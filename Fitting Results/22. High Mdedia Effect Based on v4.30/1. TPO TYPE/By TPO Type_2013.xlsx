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3.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33555" windowHeight="19470"/>
  </bookViews>
  <sheets>
    <sheet name="Distribution of data" sheetId="1" r:id="rId1"/>
    <sheet name="Actual" sheetId="5" r:id="rId2"/>
    <sheet name="Baseline" sheetId="2" r:id="rId3"/>
    <sheet name="Burnout" sheetId="6" r:id="rId4"/>
    <sheet name="Spline Pre-Adj" sheetId="4" r:id="rId5"/>
    <sheet name="Sheet2" sheetId="7" state="hidden" r:id="rId6"/>
    <sheet name="Refi Adj" sheetId="8" r:id="rId7"/>
  </sheets>
  <definedNames>
    <definedName name="solver_cvg" localSheetId="2" hidden="1">0.0001</definedName>
    <definedName name="solver_cvg" localSheetId="3" hidden="1">0.0001</definedName>
    <definedName name="solver_drv" localSheetId="2" hidden="1">1</definedName>
    <definedName name="solver_drv" localSheetId="3" hidden="1">1</definedName>
    <definedName name="solver_eng" localSheetId="2" hidden="1">1</definedName>
    <definedName name="solver_eng" localSheetId="3" hidden="1">1</definedName>
    <definedName name="solver_est" localSheetId="2" hidden="1">1</definedName>
    <definedName name="solver_est" localSheetId="3" hidden="1">1</definedName>
    <definedName name="solver_itr" localSheetId="2" hidden="1">2147483647</definedName>
    <definedName name="solver_itr" localSheetId="3" hidden="1">2147483647</definedName>
    <definedName name="solver_mip" localSheetId="2" hidden="1">2147483647</definedName>
    <definedName name="solver_mip" localSheetId="3" hidden="1">2147483647</definedName>
    <definedName name="solver_mni" localSheetId="2" hidden="1">30</definedName>
    <definedName name="solver_mni" localSheetId="3" hidden="1">30</definedName>
    <definedName name="solver_mrt" localSheetId="2" hidden="1">0.075</definedName>
    <definedName name="solver_mrt" localSheetId="3" hidden="1">0.075</definedName>
    <definedName name="solver_msl" localSheetId="2" hidden="1">2</definedName>
    <definedName name="solver_msl" localSheetId="3" hidden="1">2</definedName>
    <definedName name="solver_neg" localSheetId="2" hidden="1">1</definedName>
    <definedName name="solver_neg" localSheetId="3" hidden="1">1</definedName>
    <definedName name="solver_nod" localSheetId="2" hidden="1">2147483647</definedName>
    <definedName name="solver_nod" localSheetId="3" hidden="1">2147483647</definedName>
    <definedName name="solver_num" localSheetId="2" hidden="1">0</definedName>
    <definedName name="solver_num" localSheetId="3" hidden="1">0</definedName>
    <definedName name="solver_nwt" localSheetId="2" hidden="1">1</definedName>
    <definedName name="solver_nwt" localSheetId="3" hidden="1">1</definedName>
    <definedName name="solver_opt" localSheetId="2" hidden="1">Baseline!$P$32</definedName>
    <definedName name="solver_opt" localSheetId="3" hidden="1">Burnout!$P$50</definedName>
    <definedName name="solver_pre" localSheetId="2" hidden="1">0.000001</definedName>
    <definedName name="solver_pre" localSheetId="3" hidden="1">0.000001</definedName>
    <definedName name="solver_rbv" localSheetId="2" hidden="1">1</definedName>
    <definedName name="solver_rbv" localSheetId="3" hidden="1">1</definedName>
    <definedName name="solver_rlx" localSheetId="2" hidden="1">2</definedName>
    <definedName name="solver_rlx" localSheetId="3" hidden="1">2</definedName>
    <definedName name="solver_rsd" localSheetId="2" hidden="1">0</definedName>
    <definedName name="solver_rsd" localSheetId="3" hidden="1">0</definedName>
    <definedName name="solver_scl" localSheetId="2" hidden="1">1</definedName>
    <definedName name="solver_scl" localSheetId="3" hidden="1">1</definedName>
    <definedName name="solver_sho" localSheetId="2" hidden="1">2</definedName>
    <definedName name="solver_sho" localSheetId="3" hidden="1">2</definedName>
    <definedName name="solver_ssz" localSheetId="2" hidden="1">100</definedName>
    <definedName name="solver_ssz" localSheetId="3" hidden="1">100</definedName>
    <definedName name="solver_tim" localSheetId="2" hidden="1">2147483647</definedName>
    <definedName name="solver_tim" localSheetId="3" hidden="1">2147483647</definedName>
    <definedName name="solver_tol" localSheetId="2" hidden="1">0.01</definedName>
    <definedName name="solver_tol" localSheetId="3" hidden="1">0.01</definedName>
    <definedName name="solver_typ" localSheetId="2" hidden="1">3</definedName>
    <definedName name="solver_typ" localSheetId="3" hidden="1">3</definedName>
    <definedName name="solver_val" localSheetId="2" hidden="1">1</definedName>
    <definedName name="solver_val" localSheetId="3" hidden="1">1</definedName>
    <definedName name="solver_ver" localSheetId="2" hidden="1">3</definedName>
    <definedName name="solver_ver" localSheetId="3" hidden="1">3</definedName>
  </definedNames>
  <calcPr calcId="145621"/>
  <pivotCaches>
    <pivotCache cacheId="4" r:id="rId8"/>
  </pivotCaches>
</workbook>
</file>

<file path=xl/calcChain.xml><?xml version="1.0" encoding="utf-8"?>
<calcChain xmlns="http://schemas.openxmlformats.org/spreadsheetml/2006/main">
  <c r="I3" i="1" l="1"/>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45" i="6"/>
  <c r="N46" i="6" l="1"/>
  <c r="O46" i="6" s="1"/>
  <c r="N47" i="6"/>
  <c r="O47" i="6" s="1"/>
  <c r="N48" i="6"/>
  <c r="O48" i="6" s="1"/>
  <c r="N49" i="6"/>
  <c r="O49" i="6" s="1"/>
  <c r="N50" i="6"/>
  <c r="N51" i="6"/>
  <c r="N52" i="6"/>
  <c r="O52" i="6" s="1"/>
  <c r="N53" i="6"/>
  <c r="O53" i="6" s="1"/>
  <c r="N54" i="6"/>
  <c r="O54" i="6" s="1"/>
  <c r="N55" i="6"/>
  <c r="O55" i="6" s="1"/>
  <c r="N56" i="6"/>
  <c r="N57" i="6"/>
  <c r="O57" i="6" s="1"/>
  <c r="N58" i="6"/>
  <c r="O58" i="6" s="1"/>
  <c r="N59" i="6"/>
  <c r="O59" i="6" s="1"/>
  <c r="N60" i="6"/>
  <c r="N61" i="6"/>
  <c r="O61" i="6" s="1"/>
  <c r="N62" i="6"/>
  <c r="O62" i="6" s="1"/>
  <c r="N63" i="6"/>
  <c r="O63" i="6" s="1"/>
  <c r="N64" i="6"/>
  <c r="O64" i="6" s="1"/>
  <c r="N65" i="6"/>
  <c r="P65" i="6" s="1"/>
  <c r="N66" i="6"/>
  <c r="O66" i="6" s="1"/>
  <c r="N67" i="6"/>
  <c r="O67" i="6" s="1"/>
  <c r="N68" i="6"/>
  <c r="O68" i="6" s="1"/>
  <c r="N69" i="6"/>
  <c r="P69" i="6" s="1"/>
  <c r="N70" i="6"/>
  <c r="O70" i="6" s="1"/>
  <c r="N71" i="6"/>
  <c r="O71" i="6" s="1"/>
  <c r="N72" i="6"/>
  <c r="O72" i="6" s="1"/>
  <c r="N73" i="6"/>
  <c r="P73" i="6" s="1"/>
  <c r="N45" i="6"/>
  <c r="O45" i="6" s="1"/>
  <c r="A60" i="6"/>
  <c r="B60" i="6"/>
  <c r="C60" i="6"/>
  <c r="D60" i="6"/>
  <c r="P60" i="6" s="1"/>
  <c r="E60" i="6"/>
  <c r="H60" i="6"/>
  <c r="O60" i="6"/>
  <c r="A61" i="6"/>
  <c r="B61" i="6"/>
  <c r="C61" i="6"/>
  <c r="D61" i="6"/>
  <c r="E61" i="6"/>
  <c r="H61" i="6" s="1"/>
  <c r="F61" i="6"/>
  <c r="G61" i="6"/>
  <c r="P61" i="6"/>
  <c r="A62" i="6"/>
  <c r="B62" i="6"/>
  <c r="C62" i="6"/>
  <c r="D62" i="6"/>
  <c r="F62" i="6" s="1"/>
  <c r="E62" i="6"/>
  <c r="H62" i="6"/>
  <c r="A63" i="6"/>
  <c r="B63" i="6"/>
  <c r="C63" i="6"/>
  <c r="D63" i="6"/>
  <c r="G63" i="6" s="1"/>
  <c r="E63" i="6"/>
  <c r="H63" i="6" s="1"/>
  <c r="F63" i="6"/>
  <c r="A64" i="6"/>
  <c r="B64" i="6"/>
  <c r="C64" i="6"/>
  <c r="D64" i="6"/>
  <c r="E64" i="6"/>
  <c r="G64" i="6"/>
  <c r="H64" i="6"/>
  <c r="A65" i="6"/>
  <c r="B65" i="6"/>
  <c r="C65" i="6"/>
  <c r="D65" i="6"/>
  <c r="E65" i="6"/>
  <c r="H65" i="6" s="1"/>
  <c r="F65" i="6"/>
  <c r="G65" i="6"/>
  <c r="A66" i="6"/>
  <c r="B66" i="6"/>
  <c r="C66" i="6"/>
  <c r="D66" i="6"/>
  <c r="F66" i="6" s="1"/>
  <c r="E66" i="6"/>
  <c r="H66" i="6"/>
  <c r="A67" i="6"/>
  <c r="B67" i="6"/>
  <c r="C67" i="6"/>
  <c r="D67" i="6"/>
  <c r="E67" i="6"/>
  <c r="H67" i="6" s="1"/>
  <c r="F67" i="6"/>
  <c r="G67" i="6"/>
  <c r="A68" i="6"/>
  <c r="B68" i="6"/>
  <c r="C68" i="6"/>
  <c r="D68" i="6"/>
  <c r="E68" i="6"/>
  <c r="G68" i="6"/>
  <c r="H68" i="6"/>
  <c r="A69" i="6"/>
  <c r="B69" i="6"/>
  <c r="C69" i="6"/>
  <c r="D69" i="6"/>
  <c r="E69" i="6"/>
  <c r="H69" i="6" s="1"/>
  <c r="F69" i="6"/>
  <c r="G69" i="6"/>
  <c r="A70" i="6"/>
  <c r="B70" i="6"/>
  <c r="C70" i="6"/>
  <c r="D70" i="6"/>
  <c r="F70" i="6" s="1"/>
  <c r="E70" i="6"/>
  <c r="H70" i="6"/>
  <c r="A71" i="6"/>
  <c r="B71" i="6"/>
  <c r="C71" i="6"/>
  <c r="D71" i="6"/>
  <c r="E71" i="6"/>
  <c r="H71" i="6" s="1"/>
  <c r="F71" i="6"/>
  <c r="G71" i="6"/>
  <c r="A72" i="6"/>
  <c r="B72" i="6"/>
  <c r="C72" i="6"/>
  <c r="D72" i="6"/>
  <c r="E72" i="6"/>
  <c r="G72" i="6"/>
  <c r="H72" i="6"/>
  <c r="A73" i="6"/>
  <c r="B73" i="6"/>
  <c r="C73" i="6"/>
  <c r="D73" i="6"/>
  <c r="E73" i="6"/>
  <c r="H73" i="6" s="1"/>
  <c r="F73" i="6"/>
  <c r="G73" i="6"/>
  <c r="AP12" i="6"/>
  <c r="AP11" i="6"/>
  <c r="AP10" i="6"/>
  <c r="AP9" i="6"/>
  <c r="AP8" i="6"/>
  <c r="AP7" i="6"/>
  <c r="AP6" i="6"/>
  <c r="AP5" i="6"/>
  <c r="AP4" i="6"/>
  <c r="AP3" i="6"/>
  <c r="AC238" i="6"/>
  <c r="AD238" i="6" s="1"/>
  <c r="X238" i="6"/>
  <c r="Y238" i="6" s="1"/>
  <c r="G238" i="6"/>
  <c r="E238" i="6"/>
  <c r="D238" i="6"/>
  <c r="C238" i="6"/>
  <c r="B238" i="6"/>
  <c r="A238" i="6"/>
  <c r="F237" i="6"/>
  <c r="E237" i="6"/>
  <c r="H237" i="6" s="1"/>
  <c r="D237" i="6"/>
  <c r="G237" i="6" s="1"/>
  <c r="C237" i="6"/>
  <c r="B237" i="6"/>
  <c r="A237" i="6"/>
  <c r="AC236" i="6"/>
  <c r="AD236" i="6" s="1"/>
  <c r="X236" i="6"/>
  <c r="Y236" i="6" s="1"/>
  <c r="G236" i="6"/>
  <c r="E236" i="6"/>
  <c r="D236" i="6"/>
  <c r="C236" i="6"/>
  <c r="B236" i="6"/>
  <c r="A236" i="6"/>
  <c r="F235" i="6"/>
  <c r="E235" i="6"/>
  <c r="H235" i="6" s="1"/>
  <c r="D235" i="6"/>
  <c r="G235" i="6" s="1"/>
  <c r="C235" i="6"/>
  <c r="B235" i="6"/>
  <c r="A235" i="6"/>
  <c r="AC234" i="6"/>
  <c r="AD234" i="6" s="1"/>
  <c r="X234" i="6"/>
  <c r="Y234" i="6" s="1"/>
  <c r="G234" i="6"/>
  <c r="E234" i="6"/>
  <c r="D234" i="6"/>
  <c r="C234" i="6"/>
  <c r="B234" i="6"/>
  <c r="A234" i="6"/>
  <c r="F233" i="6"/>
  <c r="E233" i="6"/>
  <c r="H233" i="6" s="1"/>
  <c r="D233" i="6"/>
  <c r="G233" i="6" s="1"/>
  <c r="C233" i="6"/>
  <c r="B233" i="6"/>
  <c r="A233" i="6"/>
  <c r="AC232" i="6"/>
  <c r="AD232" i="6" s="1"/>
  <c r="X232" i="6"/>
  <c r="Y232" i="6" s="1"/>
  <c r="G232" i="6"/>
  <c r="E232" i="6"/>
  <c r="D232" i="6"/>
  <c r="C232" i="6"/>
  <c r="B232" i="6"/>
  <c r="A232" i="6"/>
  <c r="F231" i="6"/>
  <c r="E231" i="6"/>
  <c r="H231" i="6" s="1"/>
  <c r="D231" i="6"/>
  <c r="G231" i="6" s="1"/>
  <c r="C231" i="6"/>
  <c r="B231" i="6"/>
  <c r="A231" i="6"/>
  <c r="AC230" i="6"/>
  <c r="AD230" i="6" s="1"/>
  <c r="X230" i="6"/>
  <c r="Y230" i="6" s="1"/>
  <c r="G230" i="6"/>
  <c r="E230" i="6"/>
  <c r="D230" i="6"/>
  <c r="C230" i="6"/>
  <c r="B230" i="6"/>
  <c r="A230" i="6"/>
  <c r="F229" i="6"/>
  <c r="E229" i="6"/>
  <c r="H229" i="6" s="1"/>
  <c r="D229" i="6"/>
  <c r="G229" i="6" s="1"/>
  <c r="C229" i="6"/>
  <c r="B229" i="6"/>
  <c r="A229" i="6"/>
  <c r="AC228" i="6"/>
  <c r="AD228" i="6" s="1"/>
  <c r="X228" i="6"/>
  <c r="Y228" i="6" s="1"/>
  <c r="G228" i="6"/>
  <c r="E228" i="6"/>
  <c r="D228" i="6"/>
  <c r="C228" i="6"/>
  <c r="B228" i="6"/>
  <c r="A228" i="6"/>
  <c r="F227" i="6"/>
  <c r="E227" i="6"/>
  <c r="H227" i="6" s="1"/>
  <c r="D227" i="6"/>
  <c r="G227" i="6" s="1"/>
  <c r="C227" i="6"/>
  <c r="B227" i="6"/>
  <c r="A227" i="6"/>
  <c r="AC226" i="6"/>
  <c r="AD226" i="6" s="1"/>
  <c r="X226" i="6"/>
  <c r="Y226" i="6" s="1"/>
  <c r="G226" i="6"/>
  <c r="E226" i="6"/>
  <c r="D226" i="6"/>
  <c r="C226" i="6"/>
  <c r="B226" i="6"/>
  <c r="A226" i="6"/>
  <c r="F225" i="6"/>
  <c r="E225" i="6"/>
  <c r="H225" i="6" s="1"/>
  <c r="D225" i="6"/>
  <c r="G225" i="6" s="1"/>
  <c r="C225" i="6"/>
  <c r="B225" i="6"/>
  <c r="A225" i="6"/>
  <c r="AC224" i="6"/>
  <c r="AD224" i="6" s="1"/>
  <c r="X224" i="6"/>
  <c r="Y224" i="6" s="1"/>
  <c r="G224" i="6"/>
  <c r="E224" i="6"/>
  <c r="D224" i="6"/>
  <c r="C224" i="6"/>
  <c r="B224" i="6"/>
  <c r="A224" i="6"/>
  <c r="F223" i="6"/>
  <c r="E223" i="6"/>
  <c r="H223" i="6" s="1"/>
  <c r="D223" i="6"/>
  <c r="G223" i="6" s="1"/>
  <c r="C223" i="6"/>
  <c r="B223" i="6"/>
  <c r="A223" i="6"/>
  <c r="AC222" i="6"/>
  <c r="AD222" i="6" s="1"/>
  <c r="X222" i="6"/>
  <c r="Y222" i="6" s="1"/>
  <c r="G222" i="6"/>
  <c r="E222" i="6"/>
  <c r="H222" i="6" s="1"/>
  <c r="D222" i="6"/>
  <c r="C222" i="6"/>
  <c r="B222" i="6"/>
  <c r="A222" i="6"/>
  <c r="F221" i="6"/>
  <c r="E221" i="6"/>
  <c r="H221" i="6" s="1"/>
  <c r="D221" i="6"/>
  <c r="G221" i="6" s="1"/>
  <c r="C221" i="6"/>
  <c r="B221" i="6"/>
  <c r="A221" i="6"/>
  <c r="AC220" i="6"/>
  <c r="AD220" i="6" s="1"/>
  <c r="X220" i="6"/>
  <c r="Y220" i="6" s="1"/>
  <c r="E220" i="6"/>
  <c r="H220" i="6" s="1"/>
  <c r="D220" i="6"/>
  <c r="G220" i="6" s="1"/>
  <c r="C220" i="6"/>
  <c r="B220" i="6"/>
  <c r="A220" i="6"/>
  <c r="S220" i="6" s="1"/>
  <c r="T220" i="6" s="1"/>
  <c r="S219" i="6"/>
  <c r="T219" i="6" s="1"/>
  <c r="G219" i="6"/>
  <c r="E219" i="6"/>
  <c r="H219" i="6" s="1"/>
  <c r="D219" i="6"/>
  <c r="C219" i="6"/>
  <c r="B219" i="6"/>
  <c r="A219" i="6"/>
  <c r="AD218" i="6"/>
  <c r="Y218" i="6"/>
  <c r="X218" i="6"/>
  <c r="H218" i="6"/>
  <c r="F218" i="6"/>
  <c r="E218" i="6"/>
  <c r="D218" i="6"/>
  <c r="G218" i="6" s="1"/>
  <c r="C218" i="6"/>
  <c r="B218" i="6"/>
  <c r="A218" i="6"/>
  <c r="AC218" i="6" s="1"/>
  <c r="AC217" i="6"/>
  <c r="AD217" i="6" s="1"/>
  <c r="X217" i="6"/>
  <c r="Y217" i="6" s="1"/>
  <c r="S217" i="6"/>
  <c r="T217" i="6" s="1"/>
  <c r="G217" i="6"/>
  <c r="E217" i="6"/>
  <c r="H217" i="6" s="1"/>
  <c r="D217" i="6"/>
  <c r="C217" i="6"/>
  <c r="B217" i="6"/>
  <c r="A217" i="6"/>
  <c r="H216" i="6"/>
  <c r="E216" i="6"/>
  <c r="D216" i="6"/>
  <c r="C216" i="6"/>
  <c r="B216" i="6"/>
  <c r="A216" i="6"/>
  <c r="AC215" i="6"/>
  <c r="AD215" i="6" s="1"/>
  <c r="Y215" i="6"/>
  <c r="X215" i="6"/>
  <c r="T215" i="6"/>
  <c r="S215" i="6"/>
  <c r="G215" i="6"/>
  <c r="E215" i="6"/>
  <c r="D215" i="6"/>
  <c r="C215" i="6"/>
  <c r="B215" i="6"/>
  <c r="A215" i="6"/>
  <c r="AD214" i="6"/>
  <c r="AC214" i="6"/>
  <c r="X214" i="6"/>
  <c r="Y214" i="6" s="1"/>
  <c r="S214" i="6"/>
  <c r="T214" i="6" s="1"/>
  <c r="E214" i="6"/>
  <c r="H214" i="6" s="1"/>
  <c r="D214" i="6"/>
  <c r="G214" i="6" s="1"/>
  <c r="C214" i="6"/>
  <c r="B214" i="6"/>
  <c r="A214" i="6"/>
  <c r="E213" i="6"/>
  <c r="H213" i="6" s="1"/>
  <c r="D213" i="6"/>
  <c r="G213" i="6" s="1"/>
  <c r="C213" i="6"/>
  <c r="B213" i="6"/>
  <c r="A213" i="6"/>
  <c r="AC212" i="6"/>
  <c r="AD212" i="6" s="1"/>
  <c r="X212" i="6"/>
  <c r="Y212" i="6" s="1"/>
  <c r="T212" i="6"/>
  <c r="S212" i="6"/>
  <c r="E212" i="6"/>
  <c r="H212" i="6" s="1"/>
  <c r="D212" i="6"/>
  <c r="C212" i="6"/>
  <c r="B212" i="6"/>
  <c r="A212" i="6"/>
  <c r="E211" i="6"/>
  <c r="H211" i="6" s="1"/>
  <c r="D211" i="6"/>
  <c r="C211" i="6"/>
  <c r="B211" i="6"/>
  <c r="A211" i="6"/>
  <c r="H210" i="6"/>
  <c r="G210" i="6"/>
  <c r="E210" i="6"/>
  <c r="D210" i="6"/>
  <c r="C210" i="6"/>
  <c r="B210" i="6"/>
  <c r="AP183" i="6"/>
  <c r="AP182" i="6"/>
  <c r="AP181" i="6"/>
  <c r="AP180" i="6"/>
  <c r="AP179" i="6"/>
  <c r="AP178" i="6"/>
  <c r="AP177" i="6"/>
  <c r="AP176" i="6"/>
  <c r="AP175" i="6"/>
  <c r="AC149" i="6"/>
  <c r="AD149" i="6" s="1"/>
  <c r="X149" i="6"/>
  <c r="Y149" i="6" s="1"/>
  <c r="G149" i="6"/>
  <c r="F149" i="6"/>
  <c r="E149" i="6"/>
  <c r="H149" i="6" s="1"/>
  <c r="D149" i="6"/>
  <c r="C149" i="6"/>
  <c r="B149" i="6"/>
  <c r="A149" i="6"/>
  <c r="AD148" i="6"/>
  <c r="AC148" i="6"/>
  <c r="Y148" i="6"/>
  <c r="H148" i="6"/>
  <c r="F148" i="6"/>
  <c r="E148" i="6"/>
  <c r="D148" i="6"/>
  <c r="G148" i="6" s="1"/>
  <c r="C148" i="6"/>
  <c r="B148" i="6"/>
  <c r="A148" i="6"/>
  <c r="X148" i="6" s="1"/>
  <c r="AC147" i="6"/>
  <c r="AD147" i="6" s="1"/>
  <c r="X147" i="6"/>
  <c r="Y147" i="6" s="1"/>
  <c r="G147" i="6"/>
  <c r="E147" i="6"/>
  <c r="H147" i="6" s="1"/>
  <c r="D147" i="6"/>
  <c r="F147" i="6" s="1"/>
  <c r="C147" i="6"/>
  <c r="B147" i="6"/>
  <c r="A147" i="6"/>
  <c r="AC146" i="6"/>
  <c r="AD146" i="6" s="1"/>
  <c r="H146" i="6"/>
  <c r="F146" i="6"/>
  <c r="E146" i="6"/>
  <c r="D146" i="6"/>
  <c r="G146" i="6" s="1"/>
  <c r="C146" i="6"/>
  <c r="B146" i="6"/>
  <c r="A146" i="6"/>
  <c r="X146" i="6" s="1"/>
  <c r="Y146" i="6" s="1"/>
  <c r="AC145" i="6"/>
  <c r="AD145" i="6" s="1"/>
  <c r="X145" i="6"/>
  <c r="Y145" i="6" s="1"/>
  <c r="E145" i="6"/>
  <c r="H145" i="6" s="1"/>
  <c r="D145" i="6"/>
  <c r="C145" i="6"/>
  <c r="B145" i="6"/>
  <c r="A145" i="6"/>
  <c r="AC144" i="6"/>
  <c r="AD144" i="6" s="1"/>
  <c r="H144" i="6"/>
  <c r="F144" i="6"/>
  <c r="E144" i="6"/>
  <c r="D144" i="6"/>
  <c r="G144" i="6" s="1"/>
  <c r="C144" i="6"/>
  <c r="B144" i="6"/>
  <c r="A144" i="6"/>
  <c r="X144" i="6" s="1"/>
  <c r="Y144" i="6" s="1"/>
  <c r="AC143" i="6"/>
  <c r="AD143" i="6" s="1"/>
  <c r="X143" i="6"/>
  <c r="Y143" i="6" s="1"/>
  <c r="F143" i="6"/>
  <c r="E143" i="6"/>
  <c r="H143" i="6" s="1"/>
  <c r="D143" i="6"/>
  <c r="C143" i="6"/>
  <c r="B143" i="6"/>
  <c r="A143" i="6"/>
  <c r="AC142" i="6"/>
  <c r="AD142" i="6" s="1"/>
  <c r="Y142" i="6"/>
  <c r="F142" i="6"/>
  <c r="E142" i="6"/>
  <c r="H142" i="6" s="1"/>
  <c r="D142" i="6"/>
  <c r="G142" i="6" s="1"/>
  <c r="C142" i="6"/>
  <c r="B142" i="6"/>
  <c r="A142" i="6"/>
  <c r="X142" i="6" s="1"/>
  <c r="G141" i="6"/>
  <c r="E141" i="6"/>
  <c r="H141" i="6" s="1"/>
  <c r="D141" i="6"/>
  <c r="F141" i="6" s="1"/>
  <c r="C141" i="6"/>
  <c r="B141" i="6"/>
  <c r="A141" i="6"/>
  <c r="AC140" i="6"/>
  <c r="AD140" i="6" s="1"/>
  <c r="H140" i="6"/>
  <c r="E140" i="6"/>
  <c r="F140" i="6" s="1"/>
  <c r="D140" i="6"/>
  <c r="G140" i="6" s="1"/>
  <c r="C140" i="6"/>
  <c r="B140" i="6"/>
  <c r="A140" i="6"/>
  <c r="X140" i="6" s="1"/>
  <c r="Y140" i="6" s="1"/>
  <c r="AC139" i="6"/>
  <c r="AD139" i="6" s="1"/>
  <c r="X139" i="6"/>
  <c r="Y139" i="6" s="1"/>
  <c r="G139" i="6"/>
  <c r="F139" i="6"/>
  <c r="E139" i="6"/>
  <c r="H139" i="6" s="1"/>
  <c r="D139" i="6"/>
  <c r="C139" i="6"/>
  <c r="B139" i="6"/>
  <c r="A139" i="6"/>
  <c r="AC138" i="6"/>
  <c r="AD138" i="6" s="1"/>
  <c r="Y138" i="6"/>
  <c r="E138" i="6"/>
  <c r="D138" i="6"/>
  <c r="G138" i="6" s="1"/>
  <c r="C138" i="6"/>
  <c r="B138" i="6"/>
  <c r="A138" i="6"/>
  <c r="X138" i="6" s="1"/>
  <c r="AC137" i="6"/>
  <c r="AD137" i="6" s="1"/>
  <c r="X137" i="6"/>
  <c r="Y137" i="6" s="1"/>
  <c r="E137" i="6"/>
  <c r="H137" i="6" s="1"/>
  <c r="D137" i="6"/>
  <c r="C137" i="6"/>
  <c r="B137" i="6"/>
  <c r="A137" i="6"/>
  <c r="H136" i="6"/>
  <c r="E136" i="6"/>
  <c r="D136" i="6"/>
  <c r="C136" i="6"/>
  <c r="B136" i="6"/>
  <c r="A136" i="6"/>
  <c r="AC135" i="6"/>
  <c r="AD135" i="6" s="1"/>
  <c r="Y135" i="6"/>
  <c r="X135" i="6"/>
  <c r="E135" i="6"/>
  <c r="H135" i="6" s="1"/>
  <c r="D135" i="6"/>
  <c r="C135" i="6"/>
  <c r="B135" i="6"/>
  <c r="A135" i="6"/>
  <c r="H134" i="6"/>
  <c r="E134" i="6"/>
  <c r="D134" i="6"/>
  <c r="G134" i="6" s="1"/>
  <c r="C134" i="6"/>
  <c r="B134" i="6"/>
  <c r="A134" i="6"/>
  <c r="AC133" i="6"/>
  <c r="AD133" i="6" s="1"/>
  <c r="Y133" i="6"/>
  <c r="X133" i="6"/>
  <c r="H133" i="6"/>
  <c r="E133" i="6"/>
  <c r="D133" i="6"/>
  <c r="C133" i="6"/>
  <c r="B133" i="6"/>
  <c r="A133" i="6"/>
  <c r="H132" i="6"/>
  <c r="E132" i="6"/>
  <c r="D132" i="6"/>
  <c r="G132" i="6" s="1"/>
  <c r="C132" i="6"/>
  <c r="B132" i="6"/>
  <c r="A132" i="6"/>
  <c r="AC131" i="6"/>
  <c r="AD131" i="6" s="1"/>
  <c r="Y131" i="6"/>
  <c r="X131" i="6"/>
  <c r="S131" i="6"/>
  <c r="T131" i="6" s="1"/>
  <c r="G131" i="6"/>
  <c r="E131" i="6"/>
  <c r="F131" i="6" s="1"/>
  <c r="D131" i="6"/>
  <c r="C131" i="6"/>
  <c r="B131" i="6"/>
  <c r="A131" i="6"/>
  <c r="AD130" i="6"/>
  <c r="AC130" i="6"/>
  <c r="X130" i="6"/>
  <c r="Y130" i="6" s="1"/>
  <c r="S130" i="6"/>
  <c r="T130" i="6" s="1"/>
  <c r="G130" i="6"/>
  <c r="F130" i="6"/>
  <c r="E130" i="6"/>
  <c r="H130" i="6" s="1"/>
  <c r="D130" i="6"/>
  <c r="C130" i="6"/>
  <c r="B130" i="6"/>
  <c r="A130" i="6"/>
  <c r="E129" i="6"/>
  <c r="H129" i="6" s="1"/>
  <c r="D129" i="6"/>
  <c r="G129" i="6" s="1"/>
  <c r="C129" i="6"/>
  <c r="B129" i="6"/>
  <c r="A129" i="6"/>
  <c r="AC128" i="6"/>
  <c r="AD128" i="6" s="1"/>
  <c r="X128" i="6"/>
  <c r="Y128" i="6" s="1"/>
  <c r="T128" i="6"/>
  <c r="S128" i="6"/>
  <c r="H128" i="6"/>
  <c r="E128" i="6"/>
  <c r="D128" i="6"/>
  <c r="C128" i="6"/>
  <c r="B128" i="6"/>
  <c r="A128" i="6"/>
  <c r="E127" i="6"/>
  <c r="H127" i="6" s="1"/>
  <c r="D127" i="6"/>
  <c r="G127" i="6" s="1"/>
  <c r="C127" i="6"/>
  <c r="B127" i="6"/>
  <c r="A127" i="6"/>
  <c r="Y126" i="6"/>
  <c r="X126" i="6"/>
  <c r="T126" i="6"/>
  <c r="H126" i="6"/>
  <c r="F126" i="6"/>
  <c r="E126" i="6"/>
  <c r="D126" i="6"/>
  <c r="G126" i="6" s="1"/>
  <c r="C126" i="6"/>
  <c r="B126" i="6"/>
  <c r="A126" i="6"/>
  <c r="S126" i="6" s="1"/>
  <c r="G125" i="6"/>
  <c r="E125" i="6"/>
  <c r="H125" i="6" s="1"/>
  <c r="D125" i="6"/>
  <c r="C125" i="6"/>
  <c r="B125" i="6"/>
  <c r="A125" i="6"/>
  <c r="AC125" i="6" s="1"/>
  <c r="AD125" i="6" s="1"/>
  <c r="H124" i="6"/>
  <c r="E124" i="6"/>
  <c r="D124" i="6"/>
  <c r="G124" i="6" s="1"/>
  <c r="C124" i="6"/>
  <c r="B124" i="6"/>
  <c r="A124" i="6"/>
  <c r="S124" i="6" s="1"/>
  <c r="T124" i="6" s="1"/>
  <c r="AC123" i="6"/>
  <c r="AD123" i="6" s="1"/>
  <c r="Y123" i="6"/>
  <c r="X123" i="6"/>
  <c r="S123" i="6"/>
  <c r="T123" i="6" s="1"/>
  <c r="H123" i="6"/>
  <c r="G123" i="6"/>
  <c r="F123" i="6"/>
  <c r="E123" i="6"/>
  <c r="D123" i="6"/>
  <c r="C123" i="6"/>
  <c r="B123" i="6"/>
  <c r="A123" i="6"/>
  <c r="AD122" i="6"/>
  <c r="AC122" i="6"/>
  <c r="X122" i="6"/>
  <c r="Y122" i="6" s="1"/>
  <c r="S122" i="6"/>
  <c r="T122" i="6" s="1"/>
  <c r="E122" i="6"/>
  <c r="H122" i="6" s="1"/>
  <c r="D122" i="6"/>
  <c r="C122" i="6"/>
  <c r="B122" i="6"/>
  <c r="A122" i="6"/>
  <c r="H121" i="6"/>
  <c r="G121" i="6"/>
  <c r="E121" i="6"/>
  <c r="D121" i="6"/>
  <c r="C121" i="6"/>
  <c r="B121" i="6"/>
  <c r="AP93" i="6"/>
  <c r="AP92" i="6"/>
  <c r="AP91" i="6"/>
  <c r="AP90" i="6"/>
  <c r="AP89" i="6"/>
  <c r="AP88" i="6"/>
  <c r="AP87" i="6"/>
  <c r="E59" i="6"/>
  <c r="H59" i="6" s="1"/>
  <c r="D59" i="6"/>
  <c r="C59" i="6"/>
  <c r="B59" i="6"/>
  <c r="A59" i="6"/>
  <c r="E58" i="6"/>
  <c r="H58" i="6" s="1"/>
  <c r="D58" i="6"/>
  <c r="G58" i="6" s="1"/>
  <c r="C58" i="6"/>
  <c r="B58" i="6"/>
  <c r="A58" i="6"/>
  <c r="E57" i="6"/>
  <c r="H57" i="6" s="1"/>
  <c r="D57" i="6"/>
  <c r="C57" i="6"/>
  <c r="B57" i="6"/>
  <c r="A57" i="6"/>
  <c r="E56" i="6"/>
  <c r="H56" i="6" s="1"/>
  <c r="D56" i="6"/>
  <c r="G56" i="6" s="1"/>
  <c r="C56" i="6"/>
  <c r="B56" i="6"/>
  <c r="A56" i="6"/>
  <c r="E55" i="6"/>
  <c r="H55" i="6" s="1"/>
  <c r="D55" i="6"/>
  <c r="C55" i="6"/>
  <c r="B55" i="6"/>
  <c r="A55" i="6"/>
  <c r="E54" i="6"/>
  <c r="H54" i="6" s="1"/>
  <c r="D54" i="6"/>
  <c r="G54" i="6" s="1"/>
  <c r="C54" i="6"/>
  <c r="B54" i="6"/>
  <c r="A54" i="6"/>
  <c r="E53" i="6"/>
  <c r="H53" i="6" s="1"/>
  <c r="D53" i="6"/>
  <c r="C53" i="6"/>
  <c r="B53" i="6"/>
  <c r="A53" i="6"/>
  <c r="E52" i="6"/>
  <c r="H52" i="6" s="1"/>
  <c r="D52" i="6"/>
  <c r="G52" i="6" s="1"/>
  <c r="C52" i="6"/>
  <c r="B52" i="6"/>
  <c r="A52" i="6"/>
  <c r="O51" i="6"/>
  <c r="E51" i="6"/>
  <c r="H51" i="6" s="1"/>
  <c r="D51" i="6"/>
  <c r="G51" i="6" s="1"/>
  <c r="C51" i="6"/>
  <c r="B51" i="6"/>
  <c r="A51" i="6"/>
  <c r="E50" i="6"/>
  <c r="H50" i="6" s="1"/>
  <c r="D50" i="6"/>
  <c r="G50" i="6" s="1"/>
  <c r="C50" i="6"/>
  <c r="B50" i="6"/>
  <c r="A50" i="6"/>
  <c r="E49" i="6"/>
  <c r="H49" i="6" s="1"/>
  <c r="D49" i="6"/>
  <c r="G49" i="6" s="1"/>
  <c r="C49" i="6"/>
  <c r="B49" i="6"/>
  <c r="A49" i="6"/>
  <c r="E48" i="6"/>
  <c r="H48" i="6" s="1"/>
  <c r="D48" i="6"/>
  <c r="C48" i="6"/>
  <c r="B48" i="6"/>
  <c r="A48" i="6"/>
  <c r="E47" i="6"/>
  <c r="H47" i="6" s="1"/>
  <c r="D47" i="6"/>
  <c r="C47" i="6"/>
  <c r="B47" i="6"/>
  <c r="A47" i="6"/>
  <c r="E46" i="6"/>
  <c r="H46" i="6" s="1"/>
  <c r="D46" i="6"/>
  <c r="C46" i="6"/>
  <c r="B46" i="6"/>
  <c r="A46" i="6"/>
  <c r="E45" i="6"/>
  <c r="H45" i="6" s="1"/>
  <c r="D45" i="6"/>
  <c r="G45" i="6" s="1"/>
  <c r="C45" i="6"/>
  <c r="B45" i="6"/>
  <c r="A45" i="6"/>
  <c r="H44" i="6"/>
  <c r="G44" i="6"/>
  <c r="E44" i="6"/>
  <c r="D44" i="6"/>
  <c r="C44" i="6"/>
  <c r="B44" i="6"/>
  <c r="P64" i="6" l="1"/>
  <c r="P71" i="6"/>
  <c r="P63" i="6"/>
  <c r="P57" i="6"/>
  <c r="P67" i="6"/>
  <c r="O73" i="6"/>
  <c r="P68" i="6"/>
  <c r="O69" i="6"/>
  <c r="P72" i="6"/>
  <c r="P59" i="6"/>
  <c r="O65" i="6"/>
  <c r="P70" i="6"/>
  <c r="P66" i="6"/>
  <c r="P62" i="6"/>
  <c r="G60" i="6"/>
  <c r="F72" i="6"/>
  <c r="F68" i="6"/>
  <c r="F64" i="6"/>
  <c r="F60" i="6"/>
  <c r="G70" i="6"/>
  <c r="G66" i="6"/>
  <c r="G62" i="6"/>
  <c r="P46" i="6"/>
  <c r="P48" i="6"/>
  <c r="P50" i="6"/>
  <c r="P47" i="6"/>
  <c r="F53" i="6"/>
  <c r="F50" i="6"/>
  <c r="F56" i="6"/>
  <c r="G53" i="6"/>
  <c r="F45" i="6"/>
  <c r="P45" i="6"/>
  <c r="P53" i="6"/>
  <c r="P56" i="6"/>
  <c r="O50" i="6"/>
  <c r="P51" i="6"/>
  <c r="O56" i="6"/>
  <c r="G57" i="6"/>
  <c r="P55" i="6"/>
  <c r="F58" i="6"/>
  <c r="P54" i="6"/>
  <c r="H228" i="6"/>
  <c r="F228" i="6"/>
  <c r="X129" i="6"/>
  <c r="Y129" i="6" s="1"/>
  <c r="S129" i="6"/>
  <c r="T129" i="6" s="1"/>
  <c r="G137" i="6"/>
  <c r="F137" i="6"/>
  <c r="G216" i="6"/>
  <c r="F216" i="6"/>
  <c r="M238" i="6"/>
  <c r="AE238" i="6" s="1"/>
  <c r="K149" i="6"/>
  <c r="K148" i="6" s="1"/>
  <c r="K147" i="6" s="1"/>
  <c r="K146" i="6" s="1"/>
  <c r="K238" i="6"/>
  <c r="K237" i="6" s="1"/>
  <c r="K236" i="6" s="1"/>
  <c r="K235" i="6" s="1"/>
  <c r="K234" i="6" s="1"/>
  <c r="K233" i="6" s="1"/>
  <c r="K122" i="6"/>
  <c r="L212" i="6"/>
  <c r="Z212" i="6" s="1"/>
  <c r="F46" i="6"/>
  <c r="F47" i="6"/>
  <c r="F48" i="6"/>
  <c r="P49" i="6"/>
  <c r="F55" i="6"/>
  <c r="F122" i="6"/>
  <c r="S125" i="6"/>
  <c r="T125" i="6" s="1"/>
  <c r="X136" i="6"/>
  <c r="Y136" i="6" s="1"/>
  <c r="AC136" i="6"/>
  <c r="AD136" i="6" s="1"/>
  <c r="H234" i="6"/>
  <c r="F234" i="6"/>
  <c r="G46" i="6"/>
  <c r="G47" i="6"/>
  <c r="G48" i="6"/>
  <c r="F51" i="6"/>
  <c r="P52" i="6"/>
  <c r="G55" i="6"/>
  <c r="G122" i="6"/>
  <c r="F132" i="6"/>
  <c r="M149" i="6"/>
  <c r="AE149" i="6" s="1"/>
  <c r="AC219" i="6"/>
  <c r="AD219" i="6" s="1"/>
  <c r="X219" i="6"/>
  <c r="Y219" i="6" s="1"/>
  <c r="X223" i="6"/>
  <c r="Y223" i="6" s="1"/>
  <c r="AC223" i="6"/>
  <c r="AD223" i="6" s="1"/>
  <c r="L123" i="6"/>
  <c r="Z123" i="6" s="1"/>
  <c r="K123" i="6"/>
  <c r="AC124" i="6"/>
  <c r="AD124" i="6" s="1"/>
  <c r="X124" i="6"/>
  <c r="Y124" i="6" s="1"/>
  <c r="F127" i="6"/>
  <c r="G135" i="6"/>
  <c r="F135" i="6"/>
  <c r="H138" i="6"/>
  <c r="F138" i="6"/>
  <c r="AC141" i="6"/>
  <c r="AD141" i="6" s="1"/>
  <c r="X141" i="6"/>
  <c r="Y141" i="6" s="1"/>
  <c r="F134" i="6"/>
  <c r="G136" i="6"/>
  <c r="F145" i="6"/>
  <c r="F211" i="6"/>
  <c r="G211" i="6"/>
  <c r="L238" i="6"/>
  <c r="Z238" i="6" s="1"/>
  <c r="X134" i="6"/>
  <c r="Y134" i="6" s="1"/>
  <c r="AC134" i="6"/>
  <c r="AD134" i="6" s="1"/>
  <c r="M148" i="6"/>
  <c r="AE148" i="6" s="1"/>
  <c r="L149" i="6"/>
  <c r="Z149" i="6" s="1"/>
  <c r="L122" i="6"/>
  <c r="Z122" i="6" s="1"/>
  <c r="X125" i="6"/>
  <c r="Y125" i="6" s="1"/>
  <c r="L211" i="6"/>
  <c r="M211" i="6"/>
  <c r="F49" i="6"/>
  <c r="F124" i="6"/>
  <c r="X127" i="6"/>
  <c r="Y127" i="6" s="1"/>
  <c r="AC127" i="6"/>
  <c r="AD127" i="6" s="1"/>
  <c r="AC129" i="6"/>
  <c r="AD129" i="6" s="1"/>
  <c r="H131" i="6"/>
  <c r="F52" i="6"/>
  <c r="P58" i="6"/>
  <c r="G59" i="6"/>
  <c r="F59" i="6"/>
  <c r="M123" i="6"/>
  <c r="AE123" i="6" s="1"/>
  <c r="S127" i="6"/>
  <c r="T127" i="6" s="1"/>
  <c r="G128" i="6"/>
  <c r="F128" i="6"/>
  <c r="F129" i="6"/>
  <c r="X132" i="6"/>
  <c r="Y132" i="6" s="1"/>
  <c r="AC132" i="6"/>
  <c r="AD132" i="6" s="1"/>
  <c r="G133" i="6"/>
  <c r="F133" i="6"/>
  <c r="F215" i="6"/>
  <c r="H215" i="6"/>
  <c r="X233" i="6"/>
  <c r="Y233" i="6" s="1"/>
  <c r="AC233" i="6"/>
  <c r="AD233" i="6" s="1"/>
  <c r="F54" i="6"/>
  <c r="F57" i="6"/>
  <c r="M122" i="6"/>
  <c r="AE122" i="6" s="1"/>
  <c r="F136" i="6"/>
  <c r="G145" i="6"/>
  <c r="K211" i="6"/>
  <c r="H226" i="6"/>
  <c r="F226" i="6"/>
  <c r="X231" i="6"/>
  <c r="Y231" i="6" s="1"/>
  <c r="AC231" i="6"/>
  <c r="AD231" i="6" s="1"/>
  <c r="G143" i="6"/>
  <c r="S213" i="6"/>
  <c r="T213" i="6" s="1"/>
  <c r="X213" i="6"/>
  <c r="Y213" i="6" s="1"/>
  <c r="M214" i="6"/>
  <c r="AE214" i="6" s="1"/>
  <c r="X227" i="6"/>
  <c r="Y227" i="6" s="1"/>
  <c r="AC227" i="6"/>
  <c r="AD227" i="6" s="1"/>
  <c r="H238" i="6"/>
  <c r="F238" i="6"/>
  <c r="AC126" i="6"/>
  <c r="AD126" i="6" s="1"/>
  <c r="X221" i="6"/>
  <c r="Y221" i="6" s="1"/>
  <c r="AC221" i="6"/>
  <c r="AD221" i="6" s="1"/>
  <c r="H232" i="6"/>
  <c r="F232" i="6"/>
  <c r="X237" i="6"/>
  <c r="Y237" i="6" s="1"/>
  <c r="AC237" i="6"/>
  <c r="AD237" i="6" s="1"/>
  <c r="F125" i="6"/>
  <c r="F214" i="6"/>
  <c r="X225" i="6"/>
  <c r="Y225" i="6" s="1"/>
  <c r="AC225" i="6"/>
  <c r="AD225" i="6" s="1"/>
  <c r="H236" i="6"/>
  <c r="F236" i="6"/>
  <c r="L237" i="6"/>
  <c r="L236" i="6" s="1"/>
  <c r="Z236" i="6" s="1"/>
  <c r="AC211" i="6"/>
  <c r="AD211" i="6" s="1"/>
  <c r="X211" i="6"/>
  <c r="Y211" i="6" s="1"/>
  <c r="M212" i="6"/>
  <c r="AE212" i="6" s="1"/>
  <c r="AC213" i="6"/>
  <c r="AD213" i="6" s="1"/>
  <c r="X216" i="6"/>
  <c r="Y216" i="6" s="1"/>
  <c r="S216" i="6"/>
  <c r="T216" i="6" s="1"/>
  <c r="AC216" i="6"/>
  <c r="AD216" i="6" s="1"/>
  <c r="H230" i="6"/>
  <c r="F230" i="6"/>
  <c r="X235" i="6"/>
  <c r="Y235" i="6" s="1"/>
  <c r="AC235" i="6"/>
  <c r="AD235" i="6" s="1"/>
  <c r="S211" i="6"/>
  <c r="T211" i="6" s="1"/>
  <c r="G212" i="6"/>
  <c r="F212" i="6"/>
  <c r="F213" i="6"/>
  <c r="F219" i="6"/>
  <c r="H224" i="6"/>
  <c r="F224" i="6"/>
  <c r="X229" i="6"/>
  <c r="Y229" i="6" s="1"/>
  <c r="AC229" i="6"/>
  <c r="AD229" i="6" s="1"/>
  <c r="K212" i="6"/>
  <c r="F217" i="6"/>
  <c r="S218" i="6"/>
  <c r="T218" i="6" s="1"/>
  <c r="F222" i="6"/>
  <c r="F220" i="6"/>
  <c r="AP157" i="2"/>
  <c r="AP158" i="2"/>
  <c r="AP159" i="2"/>
  <c r="AP160" i="2"/>
  <c r="AP161" i="2"/>
  <c r="AP162" i="2"/>
  <c r="AP163" i="2"/>
  <c r="AP164" i="2"/>
  <c r="AP165" i="2"/>
  <c r="AP69" i="2"/>
  <c r="AP70" i="2"/>
  <c r="AP71" i="2"/>
  <c r="AP72" i="2"/>
  <c r="AP73" i="2"/>
  <c r="AP74" i="2"/>
  <c r="AP75" i="2"/>
  <c r="AP3" i="2"/>
  <c r="AP4" i="2"/>
  <c r="AP5" i="2"/>
  <c r="AP6" i="2"/>
  <c r="AP7" i="2"/>
  <c r="AP8" i="2"/>
  <c r="M213" i="6" l="1"/>
  <c r="M237" i="6"/>
  <c r="M236" i="6" s="1"/>
  <c r="AE236" i="6" s="1"/>
  <c r="N212" i="6"/>
  <c r="O212" i="6" s="1"/>
  <c r="L148" i="6"/>
  <c r="Z148" i="6" s="1"/>
  <c r="N122" i="6"/>
  <c r="O122" i="6" s="1"/>
  <c r="U211" i="6"/>
  <c r="K145" i="6"/>
  <c r="K144" i="6" s="1"/>
  <c r="K143" i="6" s="1"/>
  <c r="K142" i="6" s="1"/>
  <c r="K141" i="6" s="1"/>
  <c r="M235" i="6"/>
  <c r="M234" i="6" s="1"/>
  <c r="M233" i="6" s="1"/>
  <c r="M232" i="6" s="1"/>
  <c r="M231" i="6" s="1"/>
  <c r="M230" i="6" s="1"/>
  <c r="AE213" i="6"/>
  <c r="M147" i="6"/>
  <c r="L235" i="6"/>
  <c r="Z235" i="6" s="1"/>
  <c r="AE211" i="6"/>
  <c r="N149" i="6"/>
  <c r="O149" i="6" s="1"/>
  <c r="AE237" i="6"/>
  <c r="N237" i="6"/>
  <c r="N123" i="6"/>
  <c r="U122" i="6"/>
  <c r="K232" i="6"/>
  <c r="U123" i="6"/>
  <c r="U212" i="6"/>
  <c r="Z237" i="6"/>
  <c r="N211" i="6"/>
  <c r="Z211" i="6"/>
  <c r="X83" i="5"/>
  <c r="Y83" i="5"/>
  <c r="X84" i="5"/>
  <c r="Y84" i="5"/>
  <c r="X85" i="5"/>
  <c r="Y85" i="5"/>
  <c r="X86" i="5"/>
  <c r="Y86" i="5"/>
  <c r="X87" i="5"/>
  <c r="Y87" i="5"/>
  <c r="X88" i="5"/>
  <c r="Y88" i="5"/>
  <c r="X89" i="5"/>
  <c r="Y89" i="5"/>
  <c r="X90" i="5"/>
  <c r="Y90" i="5"/>
  <c r="X91" i="5"/>
  <c r="Y91" i="5"/>
  <c r="X92" i="5"/>
  <c r="Y92" i="5"/>
  <c r="X93" i="5"/>
  <c r="Y93" i="5"/>
  <c r="X94" i="5"/>
  <c r="Y94" i="5"/>
  <c r="X95" i="5"/>
  <c r="Y95" i="5"/>
  <c r="X96" i="5"/>
  <c r="Y96" i="5"/>
  <c r="X97" i="5"/>
  <c r="Y97" i="5"/>
  <c r="Y82" i="5"/>
  <c r="X82" i="5"/>
  <c r="W83" i="5"/>
  <c r="W84" i="5"/>
  <c r="W85" i="5"/>
  <c r="W86" i="5"/>
  <c r="W87" i="5"/>
  <c r="W88" i="5"/>
  <c r="W89" i="5"/>
  <c r="W90" i="5"/>
  <c r="W91" i="5"/>
  <c r="W92" i="5"/>
  <c r="W93" i="5"/>
  <c r="W94" i="5"/>
  <c r="W95" i="5"/>
  <c r="W96" i="5"/>
  <c r="W97" i="5"/>
  <c r="W82" i="5"/>
  <c r="V83" i="5"/>
  <c r="V84" i="5"/>
  <c r="V85" i="5"/>
  <c r="V86" i="5"/>
  <c r="V87" i="5"/>
  <c r="V88" i="5"/>
  <c r="V89" i="5"/>
  <c r="V90" i="5"/>
  <c r="V91" i="5"/>
  <c r="V92" i="5"/>
  <c r="V93" i="5"/>
  <c r="V94" i="5"/>
  <c r="V95" i="5"/>
  <c r="V96" i="5"/>
  <c r="V97" i="5"/>
  <c r="V82" i="5"/>
  <c r="R83" i="5"/>
  <c r="R84" i="5"/>
  <c r="R85" i="5"/>
  <c r="R86" i="5"/>
  <c r="R87" i="5"/>
  <c r="R88" i="5"/>
  <c r="R89" i="5"/>
  <c r="R90" i="5"/>
  <c r="R91" i="5"/>
  <c r="R92" i="5"/>
  <c r="R93" i="5"/>
  <c r="R94" i="5"/>
  <c r="R95" i="5"/>
  <c r="R96" i="5"/>
  <c r="N83" i="5"/>
  <c r="N84" i="5"/>
  <c r="N85" i="5"/>
  <c r="N86" i="5"/>
  <c r="N87" i="5"/>
  <c r="N88" i="5"/>
  <c r="N89" i="5"/>
  <c r="N90" i="5"/>
  <c r="N91" i="5"/>
  <c r="N92" i="5"/>
  <c r="N93" i="5"/>
  <c r="N94" i="5"/>
  <c r="N95" i="5"/>
  <c r="N96" i="5"/>
  <c r="N97" i="5"/>
  <c r="J83" i="5"/>
  <c r="J84" i="5"/>
  <c r="J85" i="5"/>
  <c r="J86" i="5"/>
  <c r="J87" i="5"/>
  <c r="J88" i="5"/>
  <c r="J89" i="5"/>
  <c r="J90" i="5"/>
  <c r="J91" i="5"/>
  <c r="J92" i="5"/>
  <c r="J93" i="5"/>
  <c r="J94" i="5"/>
  <c r="J95" i="5"/>
  <c r="J96" i="5"/>
  <c r="R82" i="5"/>
  <c r="N82" i="5"/>
  <c r="J82" i="5"/>
  <c r="F83" i="5"/>
  <c r="F84" i="5"/>
  <c r="F85" i="5"/>
  <c r="F86" i="5"/>
  <c r="F87" i="5"/>
  <c r="F88" i="5"/>
  <c r="F89" i="5"/>
  <c r="F90" i="5"/>
  <c r="F91" i="5"/>
  <c r="F92" i="5"/>
  <c r="F93" i="5"/>
  <c r="F94" i="5"/>
  <c r="F82" i="5"/>
  <c r="P82" i="5"/>
  <c r="Q82" i="5"/>
  <c r="P83" i="5"/>
  <c r="Q83" i="5"/>
  <c r="P84" i="5"/>
  <c r="Q84" i="5"/>
  <c r="P85" i="5"/>
  <c r="Q85" i="5"/>
  <c r="P86" i="5"/>
  <c r="Q86" i="5"/>
  <c r="P87" i="5"/>
  <c r="Q87" i="5"/>
  <c r="P88" i="5"/>
  <c r="Q88" i="5"/>
  <c r="P89" i="5"/>
  <c r="Q89" i="5"/>
  <c r="P90" i="5"/>
  <c r="Q90" i="5"/>
  <c r="P91" i="5"/>
  <c r="Q91" i="5"/>
  <c r="P92" i="5"/>
  <c r="Q92" i="5"/>
  <c r="P93" i="5"/>
  <c r="Q93" i="5"/>
  <c r="P94" i="5"/>
  <c r="Q94" i="5"/>
  <c r="P95" i="5"/>
  <c r="Q95" i="5"/>
  <c r="P96" i="5"/>
  <c r="Q96" i="5"/>
  <c r="Q81" i="5"/>
  <c r="P81" i="5"/>
  <c r="P80" i="5"/>
  <c r="L97" i="5"/>
  <c r="M97" i="5"/>
  <c r="L82" i="5"/>
  <c r="M82" i="5"/>
  <c r="L83" i="5"/>
  <c r="M83" i="5"/>
  <c r="L84" i="5"/>
  <c r="M84" i="5"/>
  <c r="L85" i="5"/>
  <c r="M85" i="5"/>
  <c r="L86" i="5"/>
  <c r="M86" i="5"/>
  <c r="L87" i="5"/>
  <c r="M87" i="5"/>
  <c r="L88" i="5"/>
  <c r="M88" i="5"/>
  <c r="L89" i="5"/>
  <c r="M89" i="5"/>
  <c r="L90" i="5"/>
  <c r="M90" i="5"/>
  <c r="L91" i="5"/>
  <c r="M91" i="5"/>
  <c r="L92" i="5"/>
  <c r="M92" i="5"/>
  <c r="L93" i="5"/>
  <c r="M93" i="5"/>
  <c r="L94" i="5"/>
  <c r="M94" i="5"/>
  <c r="L95" i="5"/>
  <c r="M95" i="5"/>
  <c r="L96" i="5"/>
  <c r="M96" i="5"/>
  <c r="M81" i="5"/>
  <c r="L81" i="5"/>
  <c r="L80" i="5"/>
  <c r="H95" i="5"/>
  <c r="I95" i="5"/>
  <c r="H96" i="5"/>
  <c r="I96" i="5"/>
  <c r="H82" i="5"/>
  <c r="I82" i="5"/>
  <c r="H83" i="5"/>
  <c r="I83" i="5"/>
  <c r="H84" i="5"/>
  <c r="I84" i="5"/>
  <c r="H85" i="5"/>
  <c r="I85" i="5"/>
  <c r="H86" i="5"/>
  <c r="I86" i="5"/>
  <c r="H87" i="5"/>
  <c r="I87" i="5"/>
  <c r="H88" i="5"/>
  <c r="I88" i="5"/>
  <c r="H89" i="5"/>
  <c r="I89" i="5"/>
  <c r="H90" i="5"/>
  <c r="I90" i="5"/>
  <c r="H91" i="5"/>
  <c r="I91" i="5"/>
  <c r="H92" i="5"/>
  <c r="I92" i="5"/>
  <c r="H93" i="5"/>
  <c r="I93" i="5"/>
  <c r="H94" i="5"/>
  <c r="I94" i="5"/>
  <c r="I81" i="5"/>
  <c r="H81" i="5"/>
  <c r="H80" i="5"/>
  <c r="D82" i="5"/>
  <c r="E82" i="5"/>
  <c r="D83" i="5"/>
  <c r="E83" i="5"/>
  <c r="D84" i="5"/>
  <c r="E84" i="5"/>
  <c r="D85" i="5"/>
  <c r="E85" i="5"/>
  <c r="D86" i="5"/>
  <c r="E86" i="5"/>
  <c r="D87" i="5"/>
  <c r="E87" i="5"/>
  <c r="D88" i="5"/>
  <c r="E88" i="5"/>
  <c r="D89" i="5"/>
  <c r="E89" i="5"/>
  <c r="D90" i="5"/>
  <c r="E90" i="5"/>
  <c r="D91" i="5"/>
  <c r="E91" i="5"/>
  <c r="D92" i="5"/>
  <c r="E92" i="5"/>
  <c r="D93" i="5"/>
  <c r="E93" i="5"/>
  <c r="D94" i="5"/>
  <c r="E94" i="5"/>
  <c r="E81" i="5"/>
  <c r="D81" i="5"/>
  <c r="D80" i="5"/>
  <c r="AP61" i="5"/>
  <c r="AP62" i="5"/>
  <c r="AP63" i="5"/>
  <c r="AP64" i="5"/>
  <c r="AP65" i="5"/>
  <c r="AP40" i="5"/>
  <c r="AP41" i="5"/>
  <c r="AP42" i="5"/>
  <c r="AP43" i="5"/>
  <c r="AP44" i="5"/>
  <c r="AP45" i="5"/>
  <c r="AP21" i="5"/>
  <c r="AP22" i="5"/>
  <c r="AP23" i="5"/>
  <c r="AP24" i="5"/>
  <c r="AP25" i="5"/>
  <c r="AP3" i="5"/>
  <c r="AP4" i="5"/>
  <c r="AP5" i="5"/>
  <c r="A126" i="2"/>
  <c r="X126" i="2" s="1"/>
  <c r="Y126" i="2" s="1"/>
  <c r="B126" i="2"/>
  <c r="C126" i="2"/>
  <c r="D126" i="2"/>
  <c r="E126" i="2"/>
  <c r="H126" i="2" s="1"/>
  <c r="A127" i="2"/>
  <c r="X127" i="2" s="1"/>
  <c r="Y127" i="2" s="1"/>
  <c r="B127" i="2"/>
  <c r="C127" i="2"/>
  <c r="D127" i="2"/>
  <c r="E127" i="2"/>
  <c r="H127" i="2" s="1"/>
  <c r="A128" i="2"/>
  <c r="AC128" i="2" s="1"/>
  <c r="AD128" i="2" s="1"/>
  <c r="B128" i="2"/>
  <c r="C128" i="2"/>
  <c r="D128" i="2"/>
  <c r="E128" i="2"/>
  <c r="H128" i="2" s="1"/>
  <c r="A129" i="2"/>
  <c r="X129" i="2" s="1"/>
  <c r="Y129" i="2" s="1"/>
  <c r="B129" i="2"/>
  <c r="C129" i="2"/>
  <c r="D129" i="2"/>
  <c r="E129" i="2"/>
  <c r="H129" i="2" s="1"/>
  <c r="A130" i="2"/>
  <c r="AC130" i="2" s="1"/>
  <c r="AD130" i="2" s="1"/>
  <c r="B130" i="2"/>
  <c r="C130" i="2"/>
  <c r="D130" i="2"/>
  <c r="E130" i="2"/>
  <c r="H130" i="2" s="1"/>
  <c r="A131" i="2"/>
  <c r="X131" i="2" s="1"/>
  <c r="Y131" i="2" s="1"/>
  <c r="B131" i="2"/>
  <c r="C131" i="2"/>
  <c r="D131" i="2"/>
  <c r="E131" i="2"/>
  <c r="H131" i="2" s="1"/>
  <c r="A220" i="2"/>
  <c r="X220" i="2" s="1"/>
  <c r="Y220" i="2" s="1"/>
  <c r="B192" i="2"/>
  <c r="C192" i="2"/>
  <c r="D192" i="2"/>
  <c r="E192" i="2"/>
  <c r="G192" i="2"/>
  <c r="H192" i="2"/>
  <c r="A193" i="2"/>
  <c r="AC193" i="2" s="1"/>
  <c r="AD193" i="2" s="1"/>
  <c r="B193" i="2"/>
  <c r="C193" i="2"/>
  <c r="D193" i="2"/>
  <c r="E193" i="2"/>
  <c r="H193" i="2" s="1"/>
  <c r="A194" i="2"/>
  <c r="S194" i="2" s="1"/>
  <c r="T194" i="2" s="1"/>
  <c r="B194" i="2"/>
  <c r="C194" i="2"/>
  <c r="D194" i="2"/>
  <c r="G194" i="2" s="1"/>
  <c r="E194" i="2"/>
  <c r="H194" i="2" s="1"/>
  <c r="A195" i="2"/>
  <c r="B195" i="2"/>
  <c r="C195" i="2"/>
  <c r="D195" i="2"/>
  <c r="E195" i="2"/>
  <c r="H195" i="2" s="1"/>
  <c r="A196" i="2"/>
  <c r="S196" i="2" s="1"/>
  <c r="T196" i="2" s="1"/>
  <c r="B196" i="2"/>
  <c r="C196" i="2"/>
  <c r="D196" i="2"/>
  <c r="E196" i="2"/>
  <c r="H196" i="2" s="1"/>
  <c r="A197" i="2"/>
  <c r="S197" i="2" s="1"/>
  <c r="T197" i="2" s="1"/>
  <c r="B197" i="2"/>
  <c r="C197" i="2"/>
  <c r="D197" i="2"/>
  <c r="E197" i="2"/>
  <c r="H197" i="2" s="1"/>
  <c r="A198" i="2"/>
  <c r="X198" i="2" s="1"/>
  <c r="Y198" i="2" s="1"/>
  <c r="B198" i="2"/>
  <c r="C198" i="2"/>
  <c r="D198" i="2"/>
  <c r="G198" i="2" s="1"/>
  <c r="E198" i="2"/>
  <c r="H198" i="2" s="1"/>
  <c r="A199" i="2"/>
  <c r="X199" i="2" s="1"/>
  <c r="Y199" i="2" s="1"/>
  <c r="B199" i="2"/>
  <c r="C199" i="2"/>
  <c r="D199" i="2"/>
  <c r="E199" i="2"/>
  <c r="H199" i="2" s="1"/>
  <c r="A200" i="2"/>
  <c r="B200" i="2"/>
  <c r="C200" i="2"/>
  <c r="D200" i="2"/>
  <c r="G200" i="2" s="1"/>
  <c r="E200" i="2"/>
  <c r="H200" i="2" s="1"/>
  <c r="AC200" i="2"/>
  <c r="AD200" i="2" s="1"/>
  <c r="A201" i="2"/>
  <c r="AC201" i="2" s="1"/>
  <c r="AD201" i="2" s="1"/>
  <c r="B201" i="2"/>
  <c r="C201" i="2"/>
  <c r="D201" i="2"/>
  <c r="G201" i="2" s="1"/>
  <c r="E201" i="2"/>
  <c r="H201" i="2" s="1"/>
  <c r="A202" i="2"/>
  <c r="S202" i="2" s="1"/>
  <c r="T202" i="2" s="1"/>
  <c r="B202" i="2"/>
  <c r="C202" i="2"/>
  <c r="D202" i="2"/>
  <c r="G202" i="2" s="1"/>
  <c r="E202" i="2"/>
  <c r="H202" i="2" s="1"/>
  <c r="A203" i="2"/>
  <c r="B203" i="2"/>
  <c r="C203" i="2"/>
  <c r="D203" i="2"/>
  <c r="E203" i="2"/>
  <c r="H203" i="2" s="1"/>
  <c r="A204" i="2"/>
  <c r="X204" i="2" s="1"/>
  <c r="Y204" i="2" s="1"/>
  <c r="B204" i="2"/>
  <c r="C204" i="2"/>
  <c r="D204" i="2"/>
  <c r="E204" i="2"/>
  <c r="H204" i="2" s="1"/>
  <c r="A205" i="2"/>
  <c r="B205" i="2"/>
  <c r="C205" i="2"/>
  <c r="D205" i="2"/>
  <c r="E205" i="2"/>
  <c r="H205" i="2" s="1"/>
  <c r="A206" i="2"/>
  <c r="X206" i="2" s="1"/>
  <c r="Y206" i="2" s="1"/>
  <c r="B206" i="2"/>
  <c r="C206" i="2"/>
  <c r="D206" i="2"/>
  <c r="E206" i="2"/>
  <c r="H206" i="2" s="1"/>
  <c r="A207" i="2"/>
  <c r="B207" i="2"/>
  <c r="C207" i="2"/>
  <c r="D207" i="2"/>
  <c r="E207" i="2"/>
  <c r="H207" i="2" s="1"/>
  <c r="A208" i="2"/>
  <c r="X208" i="2" s="1"/>
  <c r="Y208" i="2" s="1"/>
  <c r="B208" i="2"/>
  <c r="C208" i="2"/>
  <c r="D208" i="2"/>
  <c r="E208" i="2"/>
  <c r="H208" i="2" s="1"/>
  <c r="A209" i="2"/>
  <c r="B209" i="2"/>
  <c r="C209" i="2"/>
  <c r="D209" i="2"/>
  <c r="E209" i="2"/>
  <c r="H209" i="2" s="1"/>
  <c r="A210" i="2"/>
  <c r="X210" i="2" s="1"/>
  <c r="Y210" i="2" s="1"/>
  <c r="B210" i="2"/>
  <c r="C210" i="2"/>
  <c r="D210" i="2"/>
  <c r="E210" i="2"/>
  <c r="H210" i="2" s="1"/>
  <c r="A211" i="2"/>
  <c r="AC211" i="2" s="1"/>
  <c r="AD211" i="2" s="1"/>
  <c r="B211" i="2"/>
  <c r="C211" i="2"/>
  <c r="D211" i="2"/>
  <c r="G211" i="2" s="1"/>
  <c r="E211" i="2"/>
  <c r="H211" i="2" s="1"/>
  <c r="A212" i="2"/>
  <c r="X212" i="2" s="1"/>
  <c r="Y212" i="2" s="1"/>
  <c r="B212" i="2"/>
  <c r="C212" i="2"/>
  <c r="D212" i="2"/>
  <c r="E212" i="2"/>
  <c r="H212" i="2" s="1"/>
  <c r="A213" i="2"/>
  <c r="AC213" i="2" s="1"/>
  <c r="AD213" i="2" s="1"/>
  <c r="B213" i="2"/>
  <c r="C213" i="2"/>
  <c r="D213" i="2"/>
  <c r="E213" i="2"/>
  <c r="H213" i="2" s="1"/>
  <c r="A214" i="2"/>
  <c r="X214" i="2" s="1"/>
  <c r="Y214" i="2" s="1"/>
  <c r="B214" i="2"/>
  <c r="C214" i="2"/>
  <c r="D214" i="2"/>
  <c r="G214" i="2" s="1"/>
  <c r="E214" i="2"/>
  <c r="H214" i="2" s="1"/>
  <c r="A215" i="2"/>
  <c r="AC215" i="2" s="1"/>
  <c r="AD215" i="2" s="1"/>
  <c r="B215" i="2"/>
  <c r="C215" i="2"/>
  <c r="D215" i="2"/>
  <c r="G215" i="2" s="1"/>
  <c r="E215" i="2"/>
  <c r="H215" i="2" s="1"/>
  <c r="A216" i="2"/>
  <c r="AC216" i="2" s="1"/>
  <c r="AD216" i="2" s="1"/>
  <c r="B216" i="2"/>
  <c r="C216" i="2"/>
  <c r="D216" i="2"/>
  <c r="G216" i="2" s="1"/>
  <c r="E216" i="2"/>
  <c r="H216" i="2" s="1"/>
  <c r="A217" i="2"/>
  <c r="AC217" i="2" s="1"/>
  <c r="AD217" i="2" s="1"/>
  <c r="B217" i="2"/>
  <c r="C217" i="2"/>
  <c r="D217" i="2"/>
  <c r="G217" i="2" s="1"/>
  <c r="E217" i="2"/>
  <c r="H217" i="2" s="1"/>
  <c r="A218" i="2"/>
  <c r="AC218" i="2" s="1"/>
  <c r="AD218" i="2" s="1"/>
  <c r="B218" i="2"/>
  <c r="C218" i="2"/>
  <c r="D218" i="2"/>
  <c r="G218" i="2" s="1"/>
  <c r="E218" i="2"/>
  <c r="H218" i="2" s="1"/>
  <c r="A219" i="2"/>
  <c r="AC219" i="2" s="1"/>
  <c r="AD219" i="2" s="1"/>
  <c r="B219" i="2"/>
  <c r="C219" i="2"/>
  <c r="D219" i="2"/>
  <c r="G219" i="2" s="1"/>
  <c r="E219" i="2"/>
  <c r="H219" i="2"/>
  <c r="B220" i="2"/>
  <c r="C220" i="2"/>
  <c r="D220" i="2"/>
  <c r="E220" i="2"/>
  <c r="H220" i="2" s="1"/>
  <c r="N238" i="6" l="1"/>
  <c r="P212" i="6"/>
  <c r="N148" i="6"/>
  <c r="P148" i="6" s="1"/>
  <c r="L147" i="6"/>
  <c r="N147" i="6" s="1"/>
  <c r="P147" i="6" s="1"/>
  <c r="P122" i="6"/>
  <c r="AE235" i="6"/>
  <c r="N236" i="6"/>
  <c r="O236" i="6" s="1"/>
  <c r="AE233" i="6"/>
  <c r="AE234" i="6"/>
  <c r="AE230" i="6"/>
  <c r="AE232" i="6"/>
  <c r="AE231" i="6"/>
  <c r="Z147" i="6"/>
  <c r="AE147" i="6"/>
  <c r="M146" i="6"/>
  <c r="N235" i="6"/>
  <c r="L234" i="6"/>
  <c r="P149" i="6"/>
  <c r="O237" i="6"/>
  <c r="P237" i="6"/>
  <c r="O211" i="6"/>
  <c r="P211" i="6"/>
  <c r="O123" i="6"/>
  <c r="P123" i="6"/>
  <c r="K140" i="6"/>
  <c r="K231" i="6"/>
  <c r="P238" i="6"/>
  <c r="O238" i="6"/>
  <c r="F128" i="2"/>
  <c r="F131" i="2"/>
  <c r="F127" i="2"/>
  <c r="AC126" i="2"/>
  <c r="AD126" i="2" s="1"/>
  <c r="F126" i="2"/>
  <c r="AC220" i="2"/>
  <c r="AD220" i="2" s="1"/>
  <c r="F130" i="2"/>
  <c r="F129" i="2"/>
  <c r="X130" i="2"/>
  <c r="Y130" i="2" s="1"/>
  <c r="X128" i="2"/>
  <c r="Y128" i="2" s="1"/>
  <c r="S199" i="2"/>
  <c r="T199" i="2" s="1"/>
  <c r="X196" i="2"/>
  <c r="Y196" i="2" s="1"/>
  <c r="X201" i="2"/>
  <c r="Y201" i="2" s="1"/>
  <c r="AC208" i="2"/>
  <c r="AD208" i="2" s="1"/>
  <c r="F193" i="2"/>
  <c r="X218" i="2"/>
  <c r="Y218" i="2" s="1"/>
  <c r="AC199" i="2"/>
  <c r="AD199" i="2" s="1"/>
  <c r="F197" i="2"/>
  <c r="X219" i="2"/>
  <c r="Y219" i="2" s="1"/>
  <c r="X211" i="2"/>
  <c r="Y211" i="2" s="1"/>
  <c r="AC204" i="2"/>
  <c r="AD204" i="2" s="1"/>
  <c r="X213" i="2"/>
  <c r="Y213" i="2" s="1"/>
  <c r="X193" i="2"/>
  <c r="Y193" i="2" s="1"/>
  <c r="S193" i="2"/>
  <c r="T193" i="2" s="1"/>
  <c r="AC214" i="2"/>
  <c r="AD214" i="2" s="1"/>
  <c r="X216" i="2"/>
  <c r="Y216" i="2" s="1"/>
  <c r="AC206" i="2"/>
  <c r="AD206" i="2" s="1"/>
  <c r="AC202" i="2"/>
  <c r="AD202" i="2" s="1"/>
  <c r="S198" i="2"/>
  <c r="T198" i="2" s="1"/>
  <c r="X202" i="2"/>
  <c r="Y202" i="2" s="1"/>
  <c r="G130" i="2"/>
  <c r="G128" i="2"/>
  <c r="G126" i="2"/>
  <c r="AC131" i="2"/>
  <c r="AD131" i="2" s="1"/>
  <c r="AC129" i="2"/>
  <c r="AD129" i="2" s="1"/>
  <c r="AC127" i="2"/>
  <c r="AD127" i="2" s="1"/>
  <c r="G131" i="2"/>
  <c r="G129" i="2"/>
  <c r="G127" i="2"/>
  <c r="AC194" i="2"/>
  <c r="AD194" i="2" s="1"/>
  <c r="G193" i="2"/>
  <c r="AC197" i="2"/>
  <c r="AD197" i="2" s="1"/>
  <c r="X194" i="2"/>
  <c r="Y194" i="2" s="1"/>
  <c r="X197" i="2"/>
  <c r="Y197" i="2" s="1"/>
  <c r="G197" i="2"/>
  <c r="AC212" i="2"/>
  <c r="AD212" i="2" s="1"/>
  <c r="S201" i="2"/>
  <c r="T201" i="2" s="1"/>
  <c r="F202" i="2"/>
  <c r="F201" i="2"/>
  <c r="F196" i="2"/>
  <c r="AC210" i="2"/>
  <c r="AD210" i="2" s="1"/>
  <c r="F194" i="2"/>
  <c r="F199" i="2"/>
  <c r="G199" i="2"/>
  <c r="F195" i="2"/>
  <c r="G195" i="2"/>
  <c r="F214" i="2"/>
  <c r="F203" i="2"/>
  <c r="G203" i="2"/>
  <c r="F215" i="2"/>
  <c r="X209" i="2"/>
  <c r="Y209" i="2" s="1"/>
  <c r="AC209" i="2"/>
  <c r="AD209" i="2" s="1"/>
  <c r="X207" i="2"/>
  <c r="Y207" i="2" s="1"/>
  <c r="AC207" i="2"/>
  <c r="AD207" i="2" s="1"/>
  <c r="X205" i="2"/>
  <c r="Y205" i="2" s="1"/>
  <c r="AC205" i="2"/>
  <c r="AD205" i="2" s="1"/>
  <c r="F216" i="2"/>
  <c r="X215" i="2"/>
  <c r="Y215" i="2" s="1"/>
  <c r="F210" i="2"/>
  <c r="G210" i="2"/>
  <c r="X200" i="2"/>
  <c r="Y200" i="2" s="1"/>
  <c r="S200" i="2"/>
  <c r="T200" i="2" s="1"/>
  <c r="AC195" i="2"/>
  <c r="AD195" i="2" s="1"/>
  <c r="S195" i="2"/>
  <c r="T195" i="2" s="1"/>
  <c r="X195" i="2"/>
  <c r="Y195" i="2" s="1"/>
  <c r="F209" i="2"/>
  <c r="G209" i="2"/>
  <c r="F207" i="2"/>
  <c r="G207" i="2"/>
  <c r="F205" i="2"/>
  <c r="G205" i="2"/>
  <c r="F217" i="2"/>
  <c r="F208" i="2"/>
  <c r="G208" i="2"/>
  <c r="F206" i="2"/>
  <c r="G206" i="2"/>
  <c r="X203" i="2"/>
  <c r="Y203" i="2" s="1"/>
  <c r="AC203" i="2"/>
  <c r="AD203" i="2" s="1"/>
  <c r="F198" i="2"/>
  <c r="F220" i="2"/>
  <c r="F212" i="2"/>
  <c r="G220" i="2"/>
  <c r="F218" i="2"/>
  <c r="X217" i="2"/>
  <c r="Y217" i="2" s="1"/>
  <c r="G212" i="2"/>
  <c r="F204" i="2"/>
  <c r="G204" i="2"/>
  <c r="F213" i="2"/>
  <c r="F219" i="2"/>
  <c r="G213" i="2"/>
  <c r="F211" i="2"/>
  <c r="F200" i="2"/>
  <c r="AC196" i="2"/>
  <c r="AD196" i="2" s="1"/>
  <c r="AC198" i="2"/>
  <c r="AD198" i="2" s="1"/>
  <c r="G196" i="2"/>
  <c r="A106" i="2"/>
  <c r="AC106" i="2" s="1"/>
  <c r="AD106" i="2" s="1"/>
  <c r="A118" i="2"/>
  <c r="X118" i="2" s="1"/>
  <c r="Y118" i="2" s="1"/>
  <c r="B118" i="2"/>
  <c r="C118" i="2"/>
  <c r="D118" i="2"/>
  <c r="G118" i="2" s="1"/>
  <c r="E118" i="2"/>
  <c r="H118" i="2" s="1"/>
  <c r="A119" i="2"/>
  <c r="X119" i="2" s="1"/>
  <c r="Y119" i="2" s="1"/>
  <c r="B119" i="2"/>
  <c r="C119" i="2"/>
  <c r="D119" i="2"/>
  <c r="G119" i="2" s="1"/>
  <c r="E119" i="2"/>
  <c r="H119" i="2" s="1"/>
  <c r="A120" i="2"/>
  <c r="AC120" i="2" s="1"/>
  <c r="AD120" i="2" s="1"/>
  <c r="B120" i="2"/>
  <c r="C120" i="2"/>
  <c r="D120" i="2"/>
  <c r="E120" i="2"/>
  <c r="H120" i="2" s="1"/>
  <c r="A121" i="2"/>
  <c r="X121" i="2" s="1"/>
  <c r="Y121" i="2" s="1"/>
  <c r="B121" i="2"/>
  <c r="C121" i="2"/>
  <c r="D121" i="2"/>
  <c r="E121" i="2"/>
  <c r="H121" i="2" s="1"/>
  <c r="A122" i="2"/>
  <c r="AC122" i="2" s="1"/>
  <c r="AD122" i="2" s="1"/>
  <c r="B122" i="2"/>
  <c r="C122" i="2"/>
  <c r="D122" i="2"/>
  <c r="G122" i="2" s="1"/>
  <c r="E122" i="2"/>
  <c r="H122" i="2" s="1"/>
  <c r="A123" i="2"/>
  <c r="X123" i="2" s="1"/>
  <c r="Y123" i="2" s="1"/>
  <c r="B123" i="2"/>
  <c r="C123" i="2"/>
  <c r="D123" i="2"/>
  <c r="E123" i="2"/>
  <c r="H123" i="2" s="1"/>
  <c r="A124" i="2"/>
  <c r="AC124" i="2" s="1"/>
  <c r="AD124" i="2" s="1"/>
  <c r="B124" i="2"/>
  <c r="C124" i="2"/>
  <c r="D124" i="2"/>
  <c r="G124" i="2" s="1"/>
  <c r="E124" i="2"/>
  <c r="H124" i="2" s="1"/>
  <c r="A125" i="2"/>
  <c r="X125" i="2" s="1"/>
  <c r="Y125" i="2" s="1"/>
  <c r="B125" i="2"/>
  <c r="C125" i="2"/>
  <c r="D125" i="2"/>
  <c r="E125" i="2"/>
  <c r="H125" i="2" s="1"/>
  <c r="A104" i="2"/>
  <c r="S104" i="2" s="1"/>
  <c r="T104" i="2" s="1"/>
  <c r="B104" i="2"/>
  <c r="C104" i="2"/>
  <c r="D104" i="2"/>
  <c r="E104" i="2"/>
  <c r="H104" i="2" s="1"/>
  <c r="A105" i="2"/>
  <c r="X105" i="2" s="1"/>
  <c r="Y105" i="2" s="1"/>
  <c r="B105" i="2"/>
  <c r="C105" i="2"/>
  <c r="D105" i="2"/>
  <c r="G105" i="2" s="1"/>
  <c r="E105" i="2"/>
  <c r="H105" i="2" s="1"/>
  <c r="B106" i="2"/>
  <c r="C106" i="2"/>
  <c r="D106" i="2"/>
  <c r="E106" i="2"/>
  <c r="H106" i="2" s="1"/>
  <c r="L146" i="6" l="1"/>
  <c r="O148" i="6"/>
  <c r="O147" i="6"/>
  <c r="P236" i="6"/>
  <c r="AE146" i="6"/>
  <c r="M145" i="6"/>
  <c r="Z146" i="6"/>
  <c r="L145" i="6"/>
  <c r="N146" i="6"/>
  <c r="Z234" i="6"/>
  <c r="L233" i="6"/>
  <c r="N234" i="6"/>
  <c r="P235" i="6"/>
  <c r="O235" i="6"/>
  <c r="K139" i="6"/>
  <c r="K230" i="6"/>
  <c r="AC118" i="2"/>
  <c r="AD118" i="2" s="1"/>
  <c r="F118" i="2"/>
  <c r="F120" i="2"/>
  <c r="F121" i="2"/>
  <c r="F125" i="2"/>
  <c r="F124" i="2"/>
  <c r="X122" i="2"/>
  <c r="Y122" i="2" s="1"/>
  <c r="AC121" i="2"/>
  <c r="AD121" i="2" s="1"/>
  <c r="AC104" i="2"/>
  <c r="AD104" i="2" s="1"/>
  <c r="AC123" i="2"/>
  <c r="AD123" i="2" s="1"/>
  <c r="X120" i="2"/>
  <c r="Y120" i="2" s="1"/>
  <c r="F122" i="2"/>
  <c r="F104" i="2"/>
  <c r="F106" i="2"/>
  <c r="X104" i="2"/>
  <c r="Y104" i="2" s="1"/>
  <c r="X106" i="2"/>
  <c r="Y106" i="2" s="1"/>
  <c r="S106" i="2"/>
  <c r="T106" i="2" s="1"/>
  <c r="F123" i="2"/>
  <c r="F105" i="2"/>
  <c r="AC125" i="2"/>
  <c r="AD125" i="2" s="1"/>
  <c r="G120" i="2"/>
  <c r="AC119" i="2"/>
  <c r="AD119" i="2" s="1"/>
  <c r="G106" i="2"/>
  <c r="X124" i="2"/>
  <c r="Y124" i="2" s="1"/>
  <c r="G125" i="2"/>
  <c r="G123" i="2"/>
  <c r="G121" i="2"/>
  <c r="F119" i="2"/>
  <c r="G104" i="2"/>
  <c r="S105" i="2"/>
  <c r="T105" i="2" s="1"/>
  <c r="AC105" i="2"/>
  <c r="AD105" i="2" s="1"/>
  <c r="A117" i="2"/>
  <c r="X117" i="2" s="1"/>
  <c r="Y117" i="2" s="1"/>
  <c r="B117" i="2"/>
  <c r="C117" i="2"/>
  <c r="D117" i="2"/>
  <c r="G117" i="2" s="1"/>
  <c r="E117" i="2"/>
  <c r="P234" i="6" l="1"/>
  <c r="O234" i="6"/>
  <c r="K229" i="6"/>
  <c r="L232" i="6"/>
  <c r="Z233" i="6"/>
  <c r="N233" i="6"/>
  <c r="P146" i="6"/>
  <c r="O146" i="6"/>
  <c r="Z145" i="6"/>
  <c r="L144" i="6"/>
  <c r="N145" i="6"/>
  <c r="AE145" i="6"/>
  <c r="M144" i="6"/>
  <c r="K138" i="6"/>
  <c r="F117" i="2"/>
  <c r="AC117" i="2"/>
  <c r="AD117" i="2" s="1"/>
  <c r="H117" i="2"/>
  <c r="O233" i="6" l="1"/>
  <c r="P233" i="6"/>
  <c r="Z232" i="6"/>
  <c r="L231" i="6"/>
  <c r="Z144" i="6"/>
  <c r="L143" i="6"/>
  <c r="N144" i="6"/>
  <c r="P145" i="6"/>
  <c r="O145" i="6"/>
  <c r="K137" i="6"/>
  <c r="AE144" i="6"/>
  <c r="M143" i="6"/>
  <c r="K228" i="6"/>
  <c r="K227" i="6" s="1"/>
  <c r="I2" i="1"/>
  <c r="K226" i="6" l="1"/>
  <c r="Z143" i="6"/>
  <c r="L142" i="6"/>
  <c r="N143" i="6"/>
  <c r="AE143" i="6"/>
  <c r="M142" i="6"/>
  <c r="K136" i="6"/>
  <c r="O144" i="6"/>
  <c r="P144" i="6"/>
  <c r="L230" i="6"/>
  <c r="Z231" i="6"/>
  <c r="N41" i="2"/>
  <c r="O41" i="2" s="1"/>
  <c r="E41" i="2"/>
  <c r="H41" i="2" s="1"/>
  <c r="D41" i="2"/>
  <c r="C41" i="2"/>
  <c r="B41" i="2"/>
  <c r="A41" i="2"/>
  <c r="AC41" i="2" s="1"/>
  <c r="AD41" i="2" s="1"/>
  <c r="AE41" i="2" s="1"/>
  <c r="N40" i="2"/>
  <c r="O40" i="2" s="1"/>
  <c r="E40" i="2"/>
  <c r="D40" i="2"/>
  <c r="G40" i="2" s="1"/>
  <c r="C40" i="2"/>
  <c r="B40" i="2"/>
  <c r="A40" i="2"/>
  <c r="AC40" i="2" s="1"/>
  <c r="AD40" i="2" s="1"/>
  <c r="AE40" i="2" s="1"/>
  <c r="N39" i="2"/>
  <c r="O39" i="2" s="1"/>
  <c r="E39" i="2"/>
  <c r="H39" i="2" s="1"/>
  <c r="D39" i="2"/>
  <c r="C39" i="2"/>
  <c r="B39" i="2"/>
  <c r="A39" i="2"/>
  <c r="AC39" i="2" s="1"/>
  <c r="AD39" i="2" s="1"/>
  <c r="AE39" i="2" s="1"/>
  <c r="N38" i="2"/>
  <c r="O38" i="2" s="1"/>
  <c r="E38" i="2"/>
  <c r="H38" i="2" s="1"/>
  <c r="D38" i="2"/>
  <c r="C38" i="2"/>
  <c r="B38" i="2"/>
  <c r="A38" i="2"/>
  <c r="X38" i="2" s="1"/>
  <c r="Y38" i="2" s="1"/>
  <c r="Z38" i="2" s="1"/>
  <c r="N37" i="2"/>
  <c r="O37" i="2" s="1"/>
  <c r="E37" i="2"/>
  <c r="H37" i="2" s="1"/>
  <c r="D37" i="2"/>
  <c r="C37" i="2"/>
  <c r="B37" i="2"/>
  <c r="A37" i="2"/>
  <c r="AC37" i="2" s="1"/>
  <c r="AD37" i="2" s="1"/>
  <c r="AE37" i="2" s="1"/>
  <c r="N36" i="2"/>
  <c r="O36" i="2" s="1"/>
  <c r="E36" i="2"/>
  <c r="H36" i="2" s="1"/>
  <c r="D36" i="2"/>
  <c r="C36" i="2"/>
  <c r="B36" i="2"/>
  <c r="A36" i="2"/>
  <c r="X36" i="2" s="1"/>
  <c r="Y36" i="2" s="1"/>
  <c r="Z36" i="2" s="1"/>
  <c r="N35" i="2"/>
  <c r="O35" i="2" s="1"/>
  <c r="E35" i="2"/>
  <c r="D35" i="2"/>
  <c r="G35" i="2" s="1"/>
  <c r="C35" i="2"/>
  <c r="B35" i="2"/>
  <c r="A35" i="2"/>
  <c r="X35" i="2" s="1"/>
  <c r="Y35" i="2" s="1"/>
  <c r="Z35" i="2" s="1"/>
  <c r="N34" i="2"/>
  <c r="O34" i="2" s="1"/>
  <c r="E34" i="2"/>
  <c r="H34" i="2" s="1"/>
  <c r="D34" i="2"/>
  <c r="C34" i="2"/>
  <c r="B34" i="2"/>
  <c r="A34" i="2"/>
  <c r="X34" i="2" s="1"/>
  <c r="Y34" i="2" s="1"/>
  <c r="Z34" i="2" s="1"/>
  <c r="N33" i="2"/>
  <c r="O33" i="2" s="1"/>
  <c r="E33" i="2"/>
  <c r="H33" i="2" s="1"/>
  <c r="D33" i="2"/>
  <c r="C33" i="2"/>
  <c r="B33" i="2"/>
  <c r="A33" i="2"/>
  <c r="X33" i="2" s="1"/>
  <c r="Y33" i="2" s="1"/>
  <c r="Z33" i="2" s="1"/>
  <c r="N32" i="2"/>
  <c r="O32" i="2" s="1"/>
  <c r="E32" i="2"/>
  <c r="H32" i="2" s="1"/>
  <c r="D32" i="2"/>
  <c r="C32" i="2"/>
  <c r="B32" i="2"/>
  <c r="A32" i="2"/>
  <c r="X32" i="2" s="1"/>
  <c r="Y32" i="2" s="1"/>
  <c r="Z32" i="2" s="1"/>
  <c r="N31" i="2"/>
  <c r="O31" i="2" s="1"/>
  <c r="E31" i="2"/>
  <c r="H31" i="2" s="1"/>
  <c r="D31" i="2"/>
  <c r="C31" i="2"/>
  <c r="B31" i="2"/>
  <c r="A31" i="2"/>
  <c r="X31" i="2" s="1"/>
  <c r="Y31" i="2" s="1"/>
  <c r="Z31" i="2" s="1"/>
  <c r="N30" i="2"/>
  <c r="O30" i="2" s="1"/>
  <c r="E30" i="2"/>
  <c r="H30" i="2" s="1"/>
  <c r="D30" i="2"/>
  <c r="C30" i="2"/>
  <c r="B30" i="2"/>
  <c r="A30" i="2"/>
  <c r="X30" i="2" s="1"/>
  <c r="Y30" i="2" s="1"/>
  <c r="Z30" i="2" s="1"/>
  <c r="N29" i="2"/>
  <c r="E29" i="2"/>
  <c r="D29" i="2"/>
  <c r="G29" i="2" s="1"/>
  <c r="C29" i="2"/>
  <c r="B29" i="2"/>
  <c r="A29" i="2"/>
  <c r="X29" i="2" s="1"/>
  <c r="Y29" i="2" s="1"/>
  <c r="Z29" i="2" s="1"/>
  <c r="N28" i="2"/>
  <c r="O28" i="2" s="1"/>
  <c r="E28" i="2"/>
  <c r="H28" i="2" s="1"/>
  <c r="D28" i="2"/>
  <c r="C28" i="2"/>
  <c r="B28" i="2"/>
  <c r="A28" i="2"/>
  <c r="X28" i="2" s="1"/>
  <c r="Y28" i="2" s="1"/>
  <c r="Z28" i="2" s="1"/>
  <c r="N27" i="2"/>
  <c r="O27" i="2" s="1"/>
  <c r="E27" i="2"/>
  <c r="H27" i="2" s="1"/>
  <c r="D27" i="2"/>
  <c r="C27" i="2"/>
  <c r="B27" i="2"/>
  <c r="A27" i="2"/>
  <c r="S27" i="2" s="1"/>
  <c r="T27" i="2" s="1"/>
  <c r="U27" i="2" s="1"/>
  <c r="H26" i="2"/>
  <c r="G26" i="2"/>
  <c r="E26" i="2"/>
  <c r="D26" i="2"/>
  <c r="C26" i="2"/>
  <c r="B26" i="2"/>
  <c r="K135" i="6" l="1"/>
  <c r="AE142" i="6"/>
  <c r="M141" i="6"/>
  <c r="L141" i="6"/>
  <c r="Z142" i="6"/>
  <c r="N142" i="6"/>
  <c r="Z230" i="6"/>
  <c r="L229" i="6"/>
  <c r="P143" i="6"/>
  <c r="O143" i="6"/>
  <c r="K225" i="6"/>
  <c r="K131" i="2"/>
  <c r="M131" i="2"/>
  <c r="AE131" i="2" s="1"/>
  <c r="M196" i="2"/>
  <c r="AE196" i="2" s="1"/>
  <c r="L219" i="2"/>
  <c r="Z219" i="2" s="1"/>
  <c r="M194" i="2"/>
  <c r="AE194" i="2" s="1"/>
  <c r="K129" i="2"/>
  <c r="L216" i="2"/>
  <c r="L126" i="2"/>
  <c r="Z126" i="2" s="1"/>
  <c r="L194" i="2"/>
  <c r="Z194" i="2" s="1"/>
  <c r="M220" i="2"/>
  <c r="AE220" i="2" s="1"/>
  <c r="K220" i="2"/>
  <c r="M193" i="2"/>
  <c r="AE193" i="2" s="1"/>
  <c r="L127" i="2"/>
  <c r="K125" i="2"/>
  <c r="K128" i="2"/>
  <c r="K218" i="2"/>
  <c r="L125" i="2"/>
  <c r="L124" i="2" s="1"/>
  <c r="L123" i="2" s="1"/>
  <c r="L122" i="2" s="1"/>
  <c r="L121" i="2" s="1"/>
  <c r="K127" i="2"/>
  <c r="L131" i="2"/>
  <c r="Z131" i="2" s="1"/>
  <c r="L128" i="2"/>
  <c r="Z128" i="2" s="1"/>
  <c r="L217" i="2"/>
  <c r="Z217" i="2" s="1"/>
  <c r="M128" i="2"/>
  <c r="AE128" i="2" s="1"/>
  <c r="M129" i="2"/>
  <c r="AE129" i="2" s="1"/>
  <c r="M127" i="2"/>
  <c r="AE127" i="2" s="1"/>
  <c r="M219" i="2"/>
  <c r="AE219" i="2" s="1"/>
  <c r="K193" i="2"/>
  <c r="K194" i="2"/>
  <c r="L129" i="2"/>
  <c r="Z129" i="2" s="1"/>
  <c r="M126" i="2"/>
  <c r="AE126" i="2" s="1"/>
  <c r="M195" i="2"/>
  <c r="AE195" i="2" s="1"/>
  <c r="L195" i="2"/>
  <c r="Z195" i="2" s="1"/>
  <c r="K126" i="2"/>
  <c r="M130" i="2"/>
  <c r="AE130" i="2" s="1"/>
  <c r="L130" i="2"/>
  <c r="Z130" i="2" s="1"/>
  <c r="K219" i="2"/>
  <c r="K216" i="2"/>
  <c r="L218" i="2"/>
  <c r="Z218" i="2" s="1"/>
  <c r="L193" i="2"/>
  <c r="Z193" i="2" s="1"/>
  <c r="K130" i="2"/>
  <c r="L220" i="2"/>
  <c r="Z220" i="2" s="1"/>
  <c r="M218" i="2"/>
  <c r="AE218" i="2" s="1"/>
  <c r="M217" i="2"/>
  <c r="K217" i="2"/>
  <c r="M125" i="2"/>
  <c r="M124" i="2" s="1"/>
  <c r="M123" i="2" s="1"/>
  <c r="M122" i="2" s="1"/>
  <c r="M121" i="2" s="1"/>
  <c r="L120" i="2"/>
  <c r="L119" i="2" s="1"/>
  <c r="L118" i="2" s="1"/>
  <c r="L117" i="2" s="1"/>
  <c r="M120" i="2"/>
  <c r="AE120" i="2" s="1"/>
  <c r="K120" i="2"/>
  <c r="K196" i="2"/>
  <c r="L211" i="2"/>
  <c r="Z211" i="2" s="1"/>
  <c r="K195" i="2"/>
  <c r="K211" i="2"/>
  <c r="M105" i="2"/>
  <c r="AE105" i="2" s="1"/>
  <c r="K104" i="2"/>
  <c r="M104" i="2"/>
  <c r="AE104" i="2" s="1"/>
  <c r="K105" i="2"/>
  <c r="L105" i="2"/>
  <c r="Z105" i="2" s="1"/>
  <c r="L104" i="2"/>
  <c r="Z104" i="2" s="1"/>
  <c r="F33" i="2"/>
  <c r="G33" i="2"/>
  <c r="F35" i="2"/>
  <c r="F38" i="2"/>
  <c r="S34" i="2"/>
  <c r="T34" i="2" s="1"/>
  <c r="U34" i="2" s="1"/>
  <c r="P37" i="2"/>
  <c r="S32" i="2"/>
  <c r="T32" i="2" s="1"/>
  <c r="U32" i="2" s="1"/>
  <c r="P36" i="2"/>
  <c r="P29" i="2"/>
  <c r="X41" i="2"/>
  <c r="Y41" i="2" s="1"/>
  <c r="Z41" i="2" s="1"/>
  <c r="F29" i="2"/>
  <c r="S28" i="2"/>
  <c r="T28" i="2" s="1"/>
  <c r="U28" i="2" s="1"/>
  <c r="S36" i="2"/>
  <c r="T36" i="2" s="1"/>
  <c r="U36" i="2" s="1"/>
  <c r="P30" i="2"/>
  <c r="P32" i="2"/>
  <c r="P40" i="2"/>
  <c r="P39" i="2"/>
  <c r="AC32" i="2"/>
  <c r="AD32" i="2" s="1"/>
  <c r="AE32" i="2" s="1"/>
  <c r="X40" i="2"/>
  <c r="Y40" i="2" s="1"/>
  <c r="Z40" i="2" s="1"/>
  <c r="H35" i="2"/>
  <c r="F37" i="2"/>
  <c r="G37" i="2"/>
  <c r="G38" i="2"/>
  <c r="F40" i="2"/>
  <c r="O29" i="2"/>
  <c r="P31" i="2"/>
  <c r="AC34" i="2"/>
  <c r="AD34" i="2" s="1"/>
  <c r="AE34" i="2" s="1"/>
  <c r="P28" i="2"/>
  <c r="P33" i="2"/>
  <c r="AC36" i="2"/>
  <c r="AD36" i="2" s="1"/>
  <c r="AE36" i="2" s="1"/>
  <c r="S29" i="2"/>
  <c r="T29" i="2" s="1"/>
  <c r="U29" i="2" s="1"/>
  <c r="P27" i="2"/>
  <c r="F31" i="2"/>
  <c r="S30" i="2"/>
  <c r="T30" i="2" s="1"/>
  <c r="U30" i="2" s="1"/>
  <c r="G31" i="2"/>
  <c r="P34" i="2"/>
  <c r="AC38" i="2"/>
  <c r="AD38" i="2" s="1"/>
  <c r="AE38" i="2" s="1"/>
  <c r="X39" i="2"/>
  <c r="Y39" i="2" s="1"/>
  <c r="Z39" i="2" s="1"/>
  <c r="AC30" i="2"/>
  <c r="AD30" i="2" s="1"/>
  <c r="AE30" i="2" s="1"/>
  <c r="P35" i="2"/>
  <c r="P41" i="2"/>
  <c r="F28" i="2"/>
  <c r="G28" i="2"/>
  <c r="F30" i="2"/>
  <c r="F32" i="2"/>
  <c r="AC33" i="2"/>
  <c r="AD33" i="2" s="1"/>
  <c r="AE33" i="2" s="1"/>
  <c r="F36" i="2"/>
  <c r="F41" i="2"/>
  <c r="G27" i="2"/>
  <c r="H29" i="2"/>
  <c r="G30" i="2"/>
  <c r="G32" i="2"/>
  <c r="G34" i="2"/>
  <c r="G36" i="2"/>
  <c r="H40" i="2"/>
  <c r="G41" i="2"/>
  <c r="AC31" i="2"/>
  <c r="AD31" i="2" s="1"/>
  <c r="AE31" i="2" s="1"/>
  <c r="F34" i="2"/>
  <c r="AC35" i="2"/>
  <c r="AD35" i="2" s="1"/>
  <c r="AE35" i="2" s="1"/>
  <c r="S31" i="2"/>
  <c r="T31" i="2" s="1"/>
  <c r="U31" i="2" s="1"/>
  <c r="S33" i="2"/>
  <c r="T33" i="2" s="1"/>
  <c r="U33" i="2" s="1"/>
  <c r="S35" i="2"/>
  <c r="T35" i="2" s="1"/>
  <c r="U35" i="2" s="1"/>
  <c r="X37" i="2"/>
  <c r="Y37" i="2" s="1"/>
  <c r="Z37" i="2" s="1"/>
  <c r="P38" i="2"/>
  <c r="F39" i="2"/>
  <c r="G39" i="2"/>
  <c r="F27" i="2"/>
  <c r="P142" i="6" l="1"/>
  <c r="O142" i="6"/>
  <c r="L140" i="6"/>
  <c r="Z141" i="6"/>
  <c r="N141" i="6"/>
  <c r="K224" i="6"/>
  <c r="AE141" i="6"/>
  <c r="M140" i="6"/>
  <c r="L228" i="6"/>
  <c r="Z229" i="6"/>
  <c r="K134" i="6"/>
  <c r="U196" i="2"/>
  <c r="N218" i="2"/>
  <c r="N219" i="2"/>
  <c r="N194" i="2"/>
  <c r="N220" i="2"/>
  <c r="P220" i="2" s="1"/>
  <c r="N195" i="2"/>
  <c r="N193" i="2"/>
  <c r="L210" i="2"/>
  <c r="Z210" i="2" s="1"/>
  <c r="Z125" i="2"/>
  <c r="N130" i="2"/>
  <c r="O130" i="2" s="1"/>
  <c r="K215" i="2"/>
  <c r="K210" i="2"/>
  <c r="N129" i="2"/>
  <c r="P129" i="2" s="1"/>
  <c r="N125" i="2"/>
  <c r="O125" i="2" s="1"/>
  <c r="N120" i="2"/>
  <c r="N128" i="2"/>
  <c r="L215" i="2"/>
  <c r="Z216" i="2"/>
  <c r="M216" i="2"/>
  <c r="N217" i="2" s="1"/>
  <c r="AE217" i="2"/>
  <c r="U193" i="2"/>
  <c r="N127" i="2"/>
  <c r="P127" i="2" s="1"/>
  <c r="Z127" i="2"/>
  <c r="AE125" i="2"/>
  <c r="U195" i="2"/>
  <c r="K119" i="2"/>
  <c r="N131" i="2"/>
  <c r="U194" i="2"/>
  <c r="K124" i="2"/>
  <c r="N126" i="2"/>
  <c r="K206" i="2"/>
  <c r="N105" i="2"/>
  <c r="N104" i="2"/>
  <c r="U105" i="2"/>
  <c r="U104" i="2"/>
  <c r="H103" i="2"/>
  <c r="G103" i="2"/>
  <c r="E107" i="2"/>
  <c r="H107" i="2" s="1"/>
  <c r="E108" i="2"/>
  <c r="H108" i="2" s="1"/>
  <c r="E109" i="2"/>
  <c r="H109" i="2" s="1"/>
  <c r="E110" i="2"/>
  <c r="E111" i="2"/>
  <c r="H111" i="2" s="1"/>
  <c r="E112" i="2"/>
  <c r="H112" i="2" s="1"/>
  <c r="E113" i="2"/>
  <c r="H113" i="2" s="1"/>
  <c r="E114" i="2"/>
  <c r="H114" i="2" s="1"/>
  <c r="E115" i="2"/>
  <c r="E116" i="2"/>
  <c r="H116" i="2" s="1"/>
  <c r="D107" i="2"/>
  <c r="D108" i="2"/>
  <c r="D109" i="2"/>
  <c r="G109" i="2" s="1"/>
  <c r="D110" i="2"/>
  <c r="G110" i="2" s="1"/>
  <c r="D111" i="2"/>
  <c r="G111" i="2" s="1"/>
  <c r="D112" i="2"/>
  <c r="G112" i="2" s="1"/>
  <c r="D113" i="2"/>
  <c r="G113" i="2" s="1"/>
  <c r="D114" i="2"/>
  <c r="G114" i="2" s="1"/>
  <c r="D115" i="2"/>
  <c r="G115" i="2" s="1"/>
  <c r="D116" i="2"/>
  <c r="E103" i="2"/>
  <c r="D103" i="2"/>
  <c r="A107" i="2"/>
  <c r="A108" i="2"/>
  <c r="AC108" i="2" s="1"/>
  <c r="AD108" i="2" s="1"/>
  <c r="A109" i="2"/>
  <c r="S109" i="2" s="1"/>
  <c r="T109" i="2" s="1"/>
  <c r="A110" i="2"/>
  <c r="X110" i="2" s="1"/>
  <c r="Y110" i="2" s="1"/>
  <c r="A111" i="2"/>
  <c r="X111" i="2" s="1"/>
  <c r="Y111" i="2" s="1"/>
  <c r="A112" i="2"/>
  <c r="AC112" i="2" s="1"/>
  <c r="AD112" i="2" s="1"/>
  <c r="A113" i="2"/>
  <c r="AC113" i="2" s="1"/>
  <c r="AD113" i="2" s="1"/>
  <c r="A114" i="2"/>
  <c r="AC114" i="2" s="1"/>
  <c r="AD114" i="2" s="1"/>
  <c r="A115" i="2"/>
  <c r="X115" i="2" s="1"/>
  <c r="Y115" i="2" s="1"/>
  <c r="A116" i="2"/>
  <c r="AC116" i="2" s="1"/>
  <c r="AD116" i="2" s="1"/>
  <c r="B107" i="2"/>
  <c r="B108" i="2"/>
  <c r="B109" i="2"/>
  <c r="B110" i="2"/>
  <c r="B111" i="2"/>
  <c r="B112" i="2"/>
  <c r="B113" i="2"/>
  <c r="B114" i="2"/>
  <c r="B115" i="2"/>
  <c r="B116" i="2"/>
  <c r="C107" i="2"/>
  <c r="C108" i="2"/>
  <c r="C109" i="2"/>
  <c r="C110" i="2"/>
  <c r="C111" i="2"/>
  <c r="C112" i="2"/>
  <c r="C113" i="2"/>
  <c r="C114" i="2"/>
  <c r="C115" i="2"/>
  <c r="C116" i="2"/>
  <c r="C103" i="2"/>
  <c r="B103" i="2"/>
  <c r="O141" i="6" l="1"/>
  <c r="P141" i="6"/>
  <c r="K223" i="6"/>
  <c r="K133" i="6"/>
  <c r="L227" i="6"/>
  <c r="Z228" i="6"/>
  <c r="Z140" i="6"/>
  <c r="L139" i="6"/>
  <c r="N140" i="6"/>
  <c r="M139" i="6"/>
  <c r="AE140" i="6"/>
  <c r="L209" i="2"/>
  <c r="L208" i="2" s="1"/>
  <c r="O129" i="2"/>
  <c r="O220" i="2"/>
  <c r="P130" i="2"/>
  <c r="K214" i="2"/>
  <c r="O127" i="2"/>
  <c r="K209" i="2"/>
  <c r="O217" i="2"/>
  <c r="P217" i="2"/>
  <c r="P194" i="2"/>
  <c r="O194" i="2"/>
  <c r="O195" i="2"/>
  <c r="P195" i="2"/>
  <c r="O218" i="2"/>
  <c r="P218" i="2"/>
  <c r="L116" i="2"/>
  <c r="L115" i="2"/>
  <c r="L114" i="2" s="1"/>
  <c r="L113" i="2" s="1"/>
  <c r="L112" i="2" s="1"/>
  <c r="L111" i="2" s="1"/>
  <c r="M115" i="2"/>
  <c r="K115" i="2"/>
  <c r="K114" i="2" s="1"/>
  <c r="N124" i="2"/>
  <c r="O124" i="2" s="1"/>
  <c r="K123" i="2"/>
  <c r="N119" i="2"/>
  <c r="K118" i="2"/>
  <c r="K110" i="2"/>
  <c r="K109" i="2" s="1"/>
  <c r="M110" i="2"/>
  <c r="L110" i="2"/>
  <c r="L109" i="2" s="1"/>
  <c r="L108" i="2" s="1"/>
  <c r="L107" i="2" s="1"/>
  <c r="L106" i="2" s="1"/>
  <c r="O219" i="2"/>
  <c r="P219" i="2"/>
  <c r="AE216" i="2"/>
  <c r="M215" i="2"/>
  <c r="O126" i="2"/>
  <c r="P126" i="2"/>
  <c r="P193" i="2"/>
  <c r="O193" i="2"/>
  <c r="L214" i="2"/>
  <c r="Z215" i="2"/>
  <c r="O131" i="2"/>
  <c r="P131" i="2"/>
  <c r="O128" i="2"/>
  <c r="P128" i="2"/>
  <c r="L206" i="2"/>
  <c r="K205" i="2"/>
  <c r="O104" i="2"/>
  <c r="P104" i="2"/>
  <c r="AE124" i="2"/>
  <c r="O105" i="2"/>
  <c r="P105" i="2"/>
  <c r="P125" i="2"/>
  <c r="Z124" i="2"/>
  <c r="S107" i="2"/>
  <c r="T107" i="2" s="1"/>
  <c r="X107" i="2"/>
  <c r="Y107" i="2" s="1"/>
  <c r="F116" i="2"/>
  <c r="F108" i="2"/>
  <c r="F115" i="2"/>
  <c r="AC110" i="2"/>
  <c r="AD110" i="2" s="1"/>
  <c r="X109" i="2"/>
  <c r="Y109" i="2" s="1"/>
  <c r="F114" i="2"/>
  <c r="AC109" i="2"/>
  <c r="AD109" i="2" s="1"/>
  <c r="F113" i="2"/>
  <c r="G108" i="2"/>
  <c r="X112" i="2"/>
  <c r="Y112" i="2" s="1"/>
  <c r="F110" i="2"/>
  <c r="G116" i="2"/>
  <c r="X113" i="2"/>
  <c r="Y113" i="2" s="1"/>
  <c r="F107" i="2"/>
  <c r="H115" i="2"/>
  <c r="G107" i="2"/>
  <c r="X116" i="2"/>
  <c r="Y116" i="2" s="1"/>
  <c r="S112" i="2"/>
  <c r="T112" i="2" s="1"/>
  <c r="S113" i="2"/>
  <c r="T113" i="2" s="1"/>
  <c r="S111" i="2"/>
  <c r="T111" i="2" s="1"/>
  <c r="S110" i="2"/>
  <c r="T110" i="2" s="1"/>
  <c r="X108" i="2"/>
  <c r="Y108" i="2" s="1"/>
  <c r="AC111" i="2"/>
  <c r="AD111" i="2" s="1"/>
  <c r="S108" i="2"/>
  <c r="T108" i="2" s="1"/>
  <c r="AC115" i="2"/>
  <c r="AD115" i="2" s="1"/>
  <c r="F109" i="2"/>
  <c r="AC107" i="2"/>
  <c r="AD107" i="2" s="1"/>
  <c r="H110" i="2"/>
  <c r="F112" i="2"/>
  <c r="X114" i="2"/>
  <c r="Y114" i="2" s="1"/>
  <c r="F111" i="2"/>
  <c r="A10" i="1"/>
  <c r="L226" i="6" l="1"/>
  <c r="Z227" i="6"/>
  <c r="M138" i="6"/>
  <c r="AE139" i="6"/>
  <c r="K132" i="6"/>
  <c r="O140" i="6"/>
  <c r="P140" i="6"/>
  <c r="Z139" i="6"/>
  <c r="L138" i="6"/>
  <c r="N139" i="6"/>
  <c r="K222" i="6"/>
  <c r="Z209" i="2"/>
  <c r="M112" i="2"/>
  <c r="N109" i="2" s="1"/>
  <c r="K208" i="2"/>
  <c r="K213" i="2"/>
  <c r="K113" i="2"/>
  <c r="K108" i="2"/>
  <c r="M119" i="2"/>
  <c r="AE119" i="2" s="1"/>
  <c r="M118" i="2"/>
  <c r="N115" i="2" s="1"/>
  <c r="M117" i="2"/>
  <c r="N114" i="2" s="1"/>
  <c r="M114" i="2"/>
  <c r="AE114" i="2" s="1"/>
  <c r="M111" i="2"/>
  <c r="AE111" i="2" s="1"/>
  <c r="N123" i="2"/>
  <c r="O123" i="2" s="1"/>
  <c r="K122" i="2"/>
  <c r="L207" i="2"/>
  <c r="Z207" i="2" s="1"/>
  <c r="Z208" i="2"/>
  <c r="M116" i="2"/>
  <c r="M214" i="2"/>
  <c r="AE215" i="2"/>
  <c r="Z214" i="2"/>
  <c r="L213" i="2"/>
  <c r="M113" i="2"/>
  <c r="N110" i="2" s="1"/>
  <c r="N118" i="2"/>
  <c r="K117" i="2"/>
  <c r="L205" i="2"/>
  <c r="Z206" i="2"/>
  <c r="K204" i="2"/>
  <c r="Z123" i="2"/>
  <c r="AE123" i="2"/>
  <c r="P124" i="2"/>
  <c r="U110" i="2"/>
  <c r="AE110" i="2"/>
  <c r="AE115" i="2"/>
  <c r="L137" i="6" l="1"/>
  <c r="Z138" i="6"/>
  <c r="N138" i="6"/>
  <c r="K131" i="6"/>
  <c r="AE138" i="6"/>
  <c r="K221" i="6"/>
  <c r="P139" i="6"/>
  <c r="O139" i="6"/>
  <c r="L225" i="6"/>
  <c r="Z226" i="6"/>
  <c r="AE112" i="2"/>
  <c r="AE118" i="2"/>
  <c r="K212" i="2"/>
  <c r="K207" i="2"/>
  <c r="M213" i="2"/>
  <c r="AE214" i="2"/>
  <c r="Z213" i="2"/>
  <c r="L212" i="2"/>
  <c r="N122" i="2"/>
  <c r="O122" i="2" s="1"/>
  <c r="K121" i="2"/>
  <c r="N121" i="2" s="1"/>
  <c r="O121" i="2" s="1"/>
  <c r="N117" i="2"/>
  <c r="K116" i="2"/>
  <c r="N116" i="2" s="1"/>
  <c r="AE113" i="2"/>
  <c r="N113" i="2"/>
  <c r="K112" i="2"/>
  <c r="N108" i="2"/>
  <c r="K107" i="2"/>
  <c r="N107" i="2" s="1"/>
  <c r="M106" i="2"/>
  <c r="M109" i="2"/>
  <c r="M107" i="2"/>
  <c r="M108" i="2"/>
  <c r="L204" i="2"/>
  <c r="Z205" i="2"/>
  <c r="K203" i="2"/>
  <c r="Z120" i="2"/>
  <c r="AE116" i="2"/>
  <c r="AE117" i="2"/>
  <c r="P123" i="2"/>
  <c r="Z121" i="2"/>
  <c r="Z122" i="2"/>
  <c r="AE122" i="2"/>
  <c r="AE121" i="2"/>
  <c r="U109" i="2"/>
  <c r="K220" i="6" l="1"/>
  <c r="Z225" i="6"/>
  <c r="L224" i="6"/>
  <c r="K130" i="6"/>
  <c r="U131" i="6"/>
  <c r="P138" i="6"/>
  <c r="O138" i="6"/>
  <c r="Z137" i="6"/>
  <c r="L136" i="6"/>
  <c r="N137" i="6"/>
  <c r="N216" i="2"/>
  <c r="N112" i="2"/>
  <c r="K111" i="2"/>
  <c r="N111" i="2" s="1"/>
  <c r="Z212" i="2"/>
  <c r="M212" i="2"/>
  <c r="N215" i="2" s="1"/>
  <c r="O215" i="2" s="1"/>
  <c r="AE213" i="2"/>
  <c r="K202" i="2"/>
  <c r="L203" i="2"/>
  <c r="Z204" i="2"/>
  <c r="Z119" i="2"/>
  <c r="O120" i="2"/>
  <c r="P120" i="2"/>
  <c r="P122" i="2"/>
  <c r="U108" i="2"/>
  <c r="U113" i="2"/>
  <c r="Z224" i="6" l="1"/>
  <c r="L223" i="6"/>
  <c r="U130" i="6"/>
  <c r="K129" i="6"/>
  <c r="K219" i="6"/>
  <c r="U220" i="6"/>
  <c r="O137" i="6"/>
  <c r="P137" i="6"/>
  <c r="L135" i="6"/>
  <c r="Z136" i="6"/>
  <c r="N136" i="6"/>
  <c r="P215" i="2"/>
  <c r="O216" i="2"/>
  <c r="P216" i="2"/>
  <c r="K201" i="2"/>
  <c r="K200" i="2" s="1"/>
  <c r="AE212" i="2"/>
  <c r="Z203" i="2"/>
  <c r="L202" i="2"/>
  <c r="U202" i="2"/>
  <c r="O119" i="2"/>
  <c r="P119" i="2"/>
  <c r="Z118" i="2"/>
  <c r="P121" i="2"/>
  <c r="U112" i="2"/>
  <c r="K106" i="2"/>
  <c r="N106" i="2" s="1"/>
  <c r="U107" i="2"/>
  <c r="U219" i="6" l="1"/>
  <c r="K218" i="6"/>
  <c r="O136" i="6"/>
  <c r="P136" i="6"/>
  <c r="K128" i="6"/>
  <c r="U129" i="6"/>
  <c r="Z135" i="6"/>
  <c r="L134" i="6"/>
  <c r="N135" i="6"/>
  <c r="L222" i="6"/>
  <c r="Z223" i="6"/>
  <c r="U201" i="2"/>
  <c r="U200" i="2"/>
  <c r="K199" i="2"/>
  <c r="L201" i="2"/>
  <c r="Z202" i="2"/>
  <c r="O118" i="2"/>
  <c r="P118" i="2"/>
  <c r="Z117" i="2"/>
  <c r="U106" i="2"/>
  <c r="U111" i="2"/>
  <c r="Z222" i="6" l="1"/>
  <c r="L221" i="6"/>
  <c r="O135" i="6"/>
  <c r="P135" i="6"/>
  <c r="K127" i="6"/>
  <c r="U128" i="6"/>
  <c r="K217" i="6"/>
  <c r="U218" i="6"/>
  <c r="Z134" i="6"/>
  <c r="L133" i="6"/>
  <c r="U199" i="2"/>
  <c r="K198" i="2"/>
  <c r="L200" i="2"/>
  <c r="Z201" i="2"/>
  <c r="O117" i="2"/>
  <c r="P117" i="2"/>
  <c r="Z116" i="2"/>
  <c r="U127" i="6" l="1"/>
  <c r="K126" i="6"/>
  <c r="L132" i="6"/>
  <c r="Z133" i="6"/>
  <c r="L220" i="6"/>
  <c r="Z221" i="6"/>
  <c r="K216" i="6"/>
  <c r="U217" i="6"/>
  <c r="K197" i="2"/>
  <c r="U198" i="2"/>
  <c r="L199" i="2"/>
  <c r="N199" i="2" s="1"/>
  <c r="Z200" i="2"/>
  <c r="Z115" i="2"/>
  <c r="O116" i="2"/>
  <c r="P116" i="2"/>
  <c r="Z220" i="6" l="1"/>
  <c r="L219" i="6"/>
  <c r="K125" i="6"/>
  <c r="U126" i="6"/>
  <c r="L131" i="6"/>
  <c r="Z132" i="6"/>
  <c r="K215" i="6"/>
  <c r="U216" i="6"/>
  <c r="U197" i="2"/>
  <c r="Z199" i="2"/>
  <c r="L198" i="2"/>
  <c r="N198" i="2" s="1"/>
  <c r="O115" i="2"/>
  <c r="P115" i="2"/>
  <c r="Z114" i="2"/>
  <c r="L130" i="6" l="1"/>
  <c r="Z131" i="6"/>
  <c r="U125" i="6"/>
  <c r="K124" i="6"/>
  <c r="K214" i="6"/>
  <c r="U215" i="6"/>
  <c r="L218" i="6"/>
  <c r="Z219" i="6"/>
  <c r="L197" i="2"/>
  <c r="N197" i="2" s="1"/>
  <c r="Z198" i="2"/>
  <c r="O114" i="2"/>
  <c r="P114" i="2"/>
  <c r="Z113" i="2"/>
  <c r="U124" i="6" l="1"/>
  <c r="K213" i="6"/>
  <c r="U214" i="6"/>
  <c r="Z218" i="6"/>
  <c r="L217" i="6"/>
  <c r="L129" i="6"/>
  <c r="Z130" i="6"/>
  <c r="L196" i="2"/>
  <c r="N196" i="2" s="1"/>
  <c r="Z197" i="2"/>
  <c r="O113" i="2"/>
  <c r="P113" i="2"/>
  <c r="Z112" i="2"/>
  <c r="U213" i="6" l="1"/>
  <c r="Z217" i="6"/>
  <c r="L216" i="6"/>
  <c r="N217" i="6"/>
  <c r="Z129" i="6"/>
  <c r="L128" i="6"/>
  <c r="Z196" i="2"/>
  <c r="O112" i="2"/>
  <c r="P112" i="2"/>
  <c r="Z111" i="2"/>
  <c r="Z128" i="6" l="1"/>
  <c r="L127" i="6"/>
  <c r="O217" i="6"/>
  <c r="P217" i="6"/>
  <c r="Z216" i="6"/>
  <c r="L215" i="6"/>
  <c r="N216" i="6"/>
  <c r="O196" i="2"/>
  <c r="P196" i="2"/>
  <c r="O111" i="2"/>
  <c r="P111" i="2"/>
  <c r="Z110" i="2"/>
  <c r="Z215" i="6" l="1"/>
  <c r="L214" i="6"/>
  <c r="N215" i="6"/>
  <c r="L126" i="6"/>
  <c r="Z127" i="6"/>
  <c r="O216" i="6"/>
  <c r="P216" i="6"/>
  <c r="Z109" i="2"/>
  <c r="O110" i="2"/>
  <c r="P110" i="2"/>
  <c r="Z126" i="6" l="1"/>
  <c r="L125" i="6"/>
  <c r="P215" i="6"/>
  <c r="O215" i="6"/>
  <c r="Z214" i="6"/>
  <c r="L213" i="6"/>
  <c r="N214" i="6"/>
  <c r="O109" i="2"/>
  <c r="P109" i="2"/>
  <c r="Z108" i="2"/>
  <c r="Z213" i="6" l="1"/>
  <c r="N213" i="6"/>
  <c r="P214" i="6"/>
  <c r="O214" i="6"/>
  <c r="L124" i="6"/>
  <c r="Z125" i="6"/>
  <c r="O108" i="2"/>
  <c r="P108" i="2"/>
  <c r="Z107" i="2"/>
  <c r="Z124" i="6" l="1"/>
  <c r="P213" i="6"/>
  <c r="O213" i="6"/>
  <c r="Z106" i="2"/>
  <c r="AE108" i="2"/>
  <c r="AE109" i="2"/>
  <c r="P107" i="2"/>
  <c r="P106" i="2"/>
  <c r="AE107" i="2"/>
  <c r="AE106" i="2"/>
  <c r="O106" i="2" l="1"/>
  <c r="O107" i="2"/>
  <c r="M206" i="2" l="1"/>
  <c r="N209" i="2" s="1"/>
  <c r="M211" i="2"/>
  <c r="N214" i="2" s="1"/>
  <c r="P214" i="2" l="1"/>
  <c r="O214" i="2"/>
  <c r="M207" i="2"/>
  <c r="N210" i="2" s="1"/>
  <c r="M209" i="2"/>
  <c r="N212" i="2" s="1"/>
  <c r="M210" i="2"/>
  <c r="N213" i="2" s="1"/>
  <c r="M208" i="2"/>
  <c r="N211" i="2" s="1"/>
  <c r="AE206" i="2"/>
  <c r="AE211" i="2"/>
  <c r="P213" i="2" l="1"/>
  <c r="O213" i="2"/>
  <c r="P212" i="2"/>
  <c r="O212" i="2"/>
  <c r="P211" i="2"/>
  <c r="O211" i="2"/>
  <c r="M201" i="2"/>
  <c r="N204" i="2" s="1"/>
  <c r="M203" i="2" l="1"/>
  <c r="N206" i="2" s="1"/>
  <c r="M204" i="2"/>
  <c r="N207" i="2" s="1"/>
  <c r="M205" i="2"/>
  <c r="N208" i="2" s="1"/>
  <c r="M202" i="2"/>
  <c r="N205" i="2" s="1"/>
  <c r="M200" i="2"/>
  <c r="N203" i="2" s="1"/>
  <c r="M198" i="2"/>
  <c r="N201" i="2" s="1"/>
  <c r="M199" i="2"/>
  <c r="N202" i="2" s="1"/>
  <c r="AE201" i="2"/>
  <c r="M197" i="2"/>
  <c r="N200" i="2" s="1"/>
  <c r="P206" i="2" l="1"/>
  <c r="O206" i="2"/>
  <c r="O201" i="2"/>
  <c r="P201" i="2"/>
  <c r="O197" i="2"/>
  <c r="AE197" i="2"/>
  <c r="AE200" i="2"/>
  <c r="AE198" i="2"/>
  <c r="P200" i="2"/>
  <c r="O198" i="2"/>
  <c r="O199" i="2"/>
  <c r="AE199" i="2"/>
  <c r="AE202" i="2"/>
  <c r="P202" i="2"/>
  <c r="O202" i="2" l="1"/>
  <c r="P198" i="2"/>
  <c r="P199" i="2"/>
  <c r="P197" i="2"/>
  <c r="O200" i="2"/>
  <c r="AE207" i="2"/>
  <c r="O207" i="2"/>
  <c r="AE205" i="2"/>
  <c r="AE208" i="2"/>
  <c r="AE209" i="2"/>
  <c r="P207" i="2" l="1"/>
  <c r="O204" i="2"/>
  <c r="P204" i="2"/>
  <c r="AE204" i="2"/>
  <c r="P208" i="2"/>
  <c r="O203" i="2"/>
  <c r="P203" i="2"/>
  <c r="O210" i="2"/>
  <c r="P210" i="2"/>
  <c r="AE203" i="2"/>
  <c r="AE210" i="2"/>
  <c r="O208" i="2"/>
  <c r="O209" i="2" l="1"/>
  <c r="P209" i="2"/>
  <c r="O205" i="2"/>
  <c r="P205" i="2"/>
  <c r="AE132" i="6" l="1"/>
  <c r="AE217" i="6"/>
  <c r="AE136" i="6"/>
  <c r="AE221" i="6"/>
  <c r="M227" i="6"/>
  <c r="N230" i="6" s="1"/>
  <c r="AE227" i="6"/>
  <c r="M132" i="6"/>
  <c r="N129" i="6" s="1"/>
  <c r="AE133" i="6"/>
  <c r="N130" i="6"/>
  <c r="O130" i="6" s="1"/>
  <c r="M136" i="6"/>
  <c r="N133" i="6" s="1"/>
  <c r="AE130" i="6"/>
  <c r="M130" i="6"/>
  <c r="N127" i="6"/>
  <c r="O127" i="6" s="1"/>
  <c r="AE220" i="6"/>
  <c r="M217" i="6"/>
  <c r="N220" i="6"/>
  <c r="P220" i="6" s="1"/>
  <c r="O220" i="6"/>
  <c r="M125" i="6"/>
  <c r="AE125" i="6"/>
  <c r="P226" i="6"/>
  <c r="M223" i="6"/>
  <c r="AE223" i="6" s="1"/>
  <c r="N226" i="6"/>
  <c r="O226" i="6"/>
  <c r="M221" i="6"/>
  <c r="N224" i="6"/>
  <c r="P224" i="6" s="1"/>
  <c r="M128" i="6"/>
  <c r="N125" i="6" s="1"/>
  <c r="N131" i="6"/>
  <c r="P131" i="6" s="1"/>
  <c r="AE134" i="6"/>
  <c r="M216" i="6"/>
  <c r="N219" i="6" s="1"/>
  <c r="M124" i="6"/>
  <c r="AE124" i="6"/>
  <c r="M131" i="6"/>
  <c r="N128" i="6" s="1"/>
  <c r="M226" i="6"/>
  <c r="AE226" i="6" s="1"/>
  <c r="O218" i="6"/>
  <c r="M215" i="6"/>
  <c r="AE215" i="6" s="1"/>
  <c r="N218" i="6"/>
  <c r="P218" i="6" s="1"/>
  <c r="M127" i="6"/>
  <c r="N124" i="6" s="1"/>
  <c r="N222" i="6"/>
  <c r="P222" i="6" s="1"/>
  <c r="M220" i="6"/>
  <c r="N223" i="6" s="1"/>
  <c r="M219" i="6"/>
  <c r="AE219" i="6" s="1"/>
  <c r="M218" i="6"/>
  <c r="AE218" i="6" s="1"/>
  <c r="M135" i="6"/>
  <c r="N132" i="6" s="1"/>
  <c r="M225" i="6"/>
  <c r="M229" i="6" s="1"/>
  <c r="M224" i="6"/>
  <c r="N227" i="6" s="1"/>
  <c r="M222" i="6"/>
  <c r="AE222" i="6" s="1"/>
  <c r="N225" i="6"/>
  <c r="O225" i="6" s="1"/>
  <c r="M134" i="6"/>
  <c r="M133" i="6"/>
  <c r="M137" i="6" s="1"/>
  <c r="M129" i="6"/>
  <c r="AE129" i="6" s="1"/>
  <c r="M126" i="6"/>
  <c r="AE126" i="6" s="1"/>
  <c r="P132" i="6" l="1"/>
  <c r="O132" i="6"/>
  <c r="P125" i="6"/>
  <c r="O125" i="6"/>
  <c r="P133" i="6"/>
  <c r="O133" i="6"/>
  <c r="AE137" i="6"/>
  <c r="N134" i="6"/>
  <c r="O223" i="6"/>
  <c r="P223" i="6"/>
  <c r="O219" i="6"/>
  <c r="P219" i="6"/>
  <c r="O230" i="6"/>
  <c r="P230" i="6"/>
  <c r="P128" i="6"/>
  <c r="O128" i="6"/>
  <c r="P129" i="6"/>
  <c r="O129" i="6"/>
  <c r="O124" i="6"/>
  <c r="P124" i="6"/>
  <c r="O227" i="6"/>
  <c r="P227" i="6"/>
  <c r="AE229" i="6"/>
  <c r="N232" i="6"/>
  <c r="M228" i="6"/>
  <c r="O222" i="6"/>
  <c r="P130" i="6"/>
  <c r="N221" i="6"/>
  <c r="AE127" i="6"/>
  <c r="N229" i="6"/>
  <c r="AE128" i="6"/>
  <c r="O224" i="6"/>
  <c r="N126" i="6"/>
  <c r="N228" i="6"/>
  <c r="AE135" i="6"/>
  <c r="AE216" i="6"/>
  <c r="O131" i="6"/>
  <c r="AE225" i="6"/>
  <c r="P225" i="6"/>
  <c r="AE131" i="6"/>
  <c r="P127" i="6"/>
  <c r="AE224" i="6"/>
  <c r="P232" i="6" l="1"/>
  <c r="O232" i="6"/>
  <c r="P134" i="6"/>
  <c r="O134" i="6"/>
  <c r="P229" i="6"/>
  <c r="O229" i="6"/>
  <c r="P221" i="6"/>
  <c r="O221" i="6"/>
  <c r="P228" i="6"/>
  <c r="O228" i="6"/>
  <c r="P126" i="6"/>
  <c r="O126" i="6"/>
  <c r="AE228" i="6"/>
  <c r="N231" i="6"/>
  <c r="O231" i="6" l="1"/>
  <c r="P231" i="6"/>
</calcChain>
</file>

<file path=xl/sharedStrings.xml><?xml version="1.0" encoding="utf-8"?>
<sst xmlns="http://schemas.openxmlformats.org/spreadsheetml/2006/main" count="1189" uniqueCount="176">
  <si>
    <t>count()</t>
  </si>
  <si>
    <t>bucket</t>
  </si>
  <si>
    <t>'Done'</t>
  </si>
  <si>
    <t>&lt;= 417 &gt;= 740 no lien no invest cltv &lt;= 80</t>
  </si>
  <si>
    <t>'FICO'</t>
  </si>
  <si>
    <t>'2nd Lien'</t>
  </si>
  <si>
    <t>'INV'</t>
  </si>
  <si>
    <t>'CLTV'</t>
  </si>
  <si>
    <t>'Jumbo'</t>
  </si>
  <si>
    <t>'Not Done'</t>
  </si>
  <si>
    <t>total</t>
  </si>
  <si>
    <t>tag</t>
  </si>
  <si>
    <t>Baseline</t>
  </si>
  <si>
    <t>loansize</t>
  </si>
  <si>
    <t>fico</t>
  </si>
  <si>
    <t>lien</t>
  </si>
  <si>
    <t>invest</t>
  </si>
  <si>
    <t>cltv</t>
  </si>
  <si>
    <t>no</t>
  </si>
  <si>
    <t>state</t>
  </si>
  <si>
    <t>not in ('NY','PR')</t>
  </si>
  <si>
    <t>modelId</t>
  </si>
  <si>
    <t>SFACTOR_PREPAY_TRACKING_CPR</t>
  </si>
  <si>
    <t>PREPAY_CPR1</t>
  </si>
  <si>
    <t>PREPAY_TRACKING_CPR1</t>
  </si>
  <si>
    <t>PCT_LOANTYPE</t>
  </si>
  <si>
    <t>_ORIGNOTERATE</t>
  </si>
  <si>
    <t>_ZEROSATO</t>
  </si>
  <si>
    <t>_SATO</t>
  </si>
  <si>
    <t>_REFI_INCENTIVE_Fixed</t>
  </si>
  <si>
    <t>_Fixed_cost</t>
  </si>
  <si>
    <t>_LOANAGE</t>
  </si>
  <si>
    <t>_LTV</t>
  </si>
  <si>
    <t>_CLTV</t>
  </si>
  <si>
    <t>_AVG_LOANSIZE_SCHAMBALANCE</t>
  </si>
  <si>
    <t>_WACLS</t>
  </si>
  <si>
    <t>_FICO</t>
  </si>
  <si>
    <t>PCT_ISSECONDLIEN</t>
  </si>
  <si>
    <t>_OrigCombLTV</t>
  </si>
  <si>
    <t>PCT_SVC</t>
  </si>
  <si>
    <t>PCT_TPO</t>
  </si>
  <si>
    <t>PCT_GEO</t>
  </si>
  <si>
    <t>PCT_LOANPURPOSE</t>
  </si>
  <si>
    <t>PCT_OCC</t>
  </si>
  <si>
    <t>curtailsmm</t>
  </si>
  <si>
    <t>defaultsmm</t>
  </si>
  <si>
    <t>toverSmm</t>
  </si>
  <si>
    <t>cashoutSmm</t>
  </si>
  <si>
    <t>refiSmm</t>
  </si>
  <si>
    <t>cumHPA</t>
  </si>
  <si>
    <t>cumHPA05Pct</t>
  </si>
  <si>
    <t>cumHPA15Pct</t>
  </si>
  <si>
    <t>cumHPA20Pct</t>
  </si>
  <si>
    <t>cumHPA25Pct</t>
  </si>
  <si>
    <t>cumHPA30Pct</t>
  </si>
  <si>
    <t>cumHPA35Pct</t>
  </si>
  <si>
    <t>cumHPA40Pct</t>
  </si>
  <si>
    <t>adjtoverSmm</t>
  </si>
  <si>
    <t>adjRefiSmm</t>
  </si>
  <si>
    <t>groupByColumn</t>
  </si>
  <si>
    <t>curve</t>
  </si>
  <si>
    <t>Balance</t>
  </si>
  <si>
    <t>LoanCount</t>
  </si>
  <si>
    <t>03:-150--125</t>
  </si>
  <si>
    <t>04:-125--100</t>
  </si>
  <si>
    <t>05:-100--75</t>
  </si>
  <si>
    <t>06:-75--50</t>
  </si>
  <si>
    <t>07:-50--25</t>
  </si>
  <si>
    <t>08:-25-0</t>
  </si>
  <si>
    <t>09:0-25</t>
  </si>
  <si>
    <t>0-25</t>
  </si>
  <si>
    <t>10:25-50</t>
  </si>
  <si>
    <t>25-50</t>
  </si>
  <si>
    <t>11:50-75</t>
  </si>
  <si>
    <t>50-75</t>
  </si>
  <si>
    <t>12:75-100</t>
  </si>
  <si>
    <t>75-100</t>
  </si>
  <si>
    <t>13:100-125</t>
  </si>
  <si>
    <t>100-125</t>
  </si>
  <si>
    <t>14:125-150</t>
  </si>
  <si>
    <t>125-150</t>
  </si>
  <si>
    <t>15:150-175</t>
  </si>
  <si>
    <t>150-175</t>
  </si>
  <si>
    <t>16:175-200</t>
  </si>
  <si>
    <t>175-200</t>
  </si>
  <si>
    <t>17:200-225</t>
  </si>
  <si>
    <t>200-225</t>
  </si>
  <si>
    <t>18:225-250</t>
  </si>
  <si>
    <t>225-250</t>
  </si>
  <si>
    <t>tover</t>
  </si>
  <si>
    <t>cash</t>
  </si>
  <si>
    <t>refi</t>
  </si>
  <si>
    <t>ratio</t>
  </si>
  <si>
    <t>adj</t>
  </si>
  <si>
    <t>Knot</t>
  </si>
  <si>
    <t>incentive</t>
  </si>
  <si>
    <t>x</t>
  </si>
  <si>
    <t>PREPAY_SMM1</t>
  </si>
  <si>
    <t>PREPAY_TRACKING_SMM1</t>
  </si>
  <si>
    <t>adj Knot</t>
  </si>
  <si>
    <t>mdl_smm</t>
  </si>
  <si>
    <t>mdl_cpr</t>
  </si>
  <si>
    <t>turn</t>
  </si>
  <si>
    <t>adj x</t>
  </si>
  <si>
    <t>Row Labels</t>
  </si>
  <si>
    <t>Average of knotValues</t>
  </si>
  <si>
    <t>Grand Total</t>
  </si>
  <si>
    <t>conventional_cashout_incentive</t>
  </si>
  <si>
    <t>spline</t>
  </si>
  <si>
    <t>conventional_turnover_incentive</t>
  </si>
  <si>
    <t>conventional_refinance_himedia_incentive</t>
  </si>
  <si>
    <t>asOf</t>
  </si>
  <si>
    <t>Ticker</t>
  </si>
  <si>
    <t>All 4</t>
  </si>
  <si>
    <t>Orig Date</t>
  </si>
  <si>
    <t>post HARP</t>
  </si>
  <si>
    <t>wala</t>
  </si>
  <si>
    <t>(175,417]</t>
  </si>
  <si>
    <t>[740,860]</t>
  </si>
  <si>
    <t>(0,80]</t>
  </si>
  <si>
    <t>[20120101,20130401]</t>
  </si>
  <si>
    <t>[12,24)</t>
  </si>
  <si>
    <t>WALA [12,24)</t>
  </si>
  <si>
    <t>Better fit for WALA&lt;24</t>
  </si>
  <si>
    <t>PCT_BROKER</t>
  </si>
  <si>
    <t>PCT_CORRES</t>
  </si>
  <si>
    <t>PCT_NonRETAIL</t>
  </si>
  <si>
    <t>PCT_RETAIL</t>
  </si>
  <si>
    <t>PCT_CashWindow</t>
  </si>
  <si>
    <t>PCT_NonCashWindow</t>
  </si>
  <si>
    <t>NonCashWindow</t>
  </si>
  <si>
    <t>TPO</t>
  </si>
  <si>
    <t>CORRES, CASHWINDOW</t>
  </si>
  <si>
    <t>CORRES+CASHWINDOW</t>
  </si>
  <si>
    <t>BROKER</t>
  </si>
  <si>
    <t>0-5</t>
  </si>
  <si>
    <t>15-20</t>
  </si>
  <si>
    <t>25-30</t>
  </si>
  <si>
    <t>30-35</t>
  </si>
  <si>
    <t>35-40</t>
  </si>
  <si>
    <t>40-45</t>
  </si>
  <si>
    <t>50-55</t>
  </si>
  <si>
    <t>55-60</t>
  </si>
  <si>
    <t>60-65</t>
  </si>
  <si>
    <t>65-70</t>
  </si>
  <si>
    <t>08-1:-25--20</t>
  </si>
  <si>
    <t>08-2:-20--15</t>
  </si>
  <si>
    <t>08-3:-15--10</t>
  </si>
  <si>
    <t>08-4:-10--5</t>
  </si>
  <si>
    <t>09-1:0-5</t>
  </si>
  <si>
    <t>09-2:5-10</t>
  </si>
  <si>
    <t>09-3:10-15</t>
  </si>
  <si>
    <t>09-4:15-20</t>
  </si>
  <si>
    <t>10-1:25-30</t>
  </si>
  <si>
    <t>10-2:30-35</t>
  </si>
  <si>
    <t>10-3:35-40</t>
  </si>
  <si>
    <t>10-4:40-45</t>
  </si>
  <si>
    <t>11-1:50-55</t>
  </si>
  <si>
    <t>11-2:55-60</t>
  </si>
  <si>
    <t>11-3:60-65</t>
  </si>
  <si>
    <t>11-4:65-70</t>
  </si>
  <si>
    <t>Channel Dial</t>
  </si>
  <si>
    <t>999:&gt;= 250</t>
  </si>
  <si>
    <t>&gt;= 250</t>
  </si>
  <si>
    <t>CORRES</t>
  </si>
  <si>
    <t>CashWindow</t>
  </si>
  <si>
    <t>CPR</t>
  </si>
  <si>
    <t xml:space="preserve"> 15bps earlier</t>
  </si>
  <si>
    <t>elbow</t>
  </si>
  <si>
    <t xml:space="preserve"> 10bps later</t>
  </si>
  <si>
    <t>_Burnout_Fixed</t>
  </si>
  <si>
    <t>burnout dial</t>
  </si>
  <si>
    <t>High Media</t>
  </si>
  <si>
    <t>Burnout 0-2000</t>
  </si>
  <si>
    <t>burnout</t>
  </si>
  <si>
    <t>[0,2000]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</si>
</sst>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00"/>
    <numFmt numFmtId="165" formatCode="0.0000"/>
    <numFmt numFmtId="166" formatCode="_(* #,##0_);_(* \(#,##0\);_(*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11"/>
      <color rgb="FFC00000"/>
      <name val="Calibri"/>
      <family val="2"/>
      <scheme val="minor"/>
    </font>
    <font>
      <sz val="11"/>
      <color theme="5"/>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2" fillId="0" borderId="0" xfId="0" applyFont="1"/>
    <xf numFmtId="2" fontId="0" fillId="0" borderId="0" xfId="0" applyNumberFormat="1"/>
    <xf numFmtId="43" fontId="0" fillId="0" borderId="0" xfId="1" applyFont="1"/>
    <xf numFmtId="2" fontId="0" fillId="0" borderId="0" xfId="1" applyNumberFormat="1" applyFont="1"/>
    <xf numFmtId="165" fontId="0" fillId="0" borderId="0" xfId="1" applyNumberFormat="1" applyFont="1"/>
    <xf numFmtId="166" fontId="0" fillId="0" borderId="0" xfId="1" applyNumberFormat="1" applyFont="1"/>
    <xf numFmtId="43" fontId="0" fillId="0" borderId="0" xfId="0" applyNumberFormat="1"/>
    <xf numFmtId="164" fontId="0" fillId="0" borderId="0" xfId="0" applyNumberFormat="1"/>
    <xf numFmtId="1" fontId="0" fillId="0" borderId="0" xfId="0" applyNumberFormat="1"/>
    <xf numFmtId="165" fontId="2" fillId="0" borderId="0" xfId="1" applyNumberFormat="1" applyFont="1"/>
    <xf numFmtId="0" fontId="0" fillId="0" borderId="0" xfId="0" applyAlignment="1">
      <alignment horizontal="left"/>
    </xf>
    <xf numFmtId="0" fontId="0" fillId="0" borderId="0" xfId="0" applyNumberFormat="1"/>
    <xf numFmtId="0" fontId="0" fillId="0" borderId="0" xfId="0" pivotButton="1"/>
    <xf numFmtId="2" fontId="3" fillId="0" borderId="0" xfId="1" applyNumberFormat="1" applyFont="1"/>
    <xf numFmtId="2" fontId="4" fillId="0" borderId="0" xfId="1" applyNumberFormat="1" applyFont="1"/>
    <xf numFmtId="164" fontId="4" fillId="0" borderId="0" xfId="0" applyNumberFormat="1" applyFont="1"/>
    <xf numFmtId="0" fontId="4" fillId="0" borderId="0" xfId="0" applyFont="1"/>
    <xf numFmtId="1" fontId="4" fillId="0" borderId="0" xfId="0" applyNumberFormat="1" applyFont="1"/>
    <xf numFmtId="164" fontId="5" fillId="0" borderId="0" xfId="0" applyNumberFormat="1" applyFont="1"/>
    <xf numFmtId="1" fontId="5" fillId="0" borderId="0" xfId="0" applyNumberFormat="1" applyFont="1"/>
    <xf numFmtId="0" fontId="4" fillId="2" borderId="0" xfId="0" applyFont="1" applyFill="1"/>
    <xf numFmtId="43" fontId="4" fillId="0" borderId="0" xfId="1" applyFont="1"/>
    <xf numFmtId="2" fontId="4" fillId="0" borderId="0" xfId="0" applyNumberFormat="1" applyFont="1"/>
    <xf numFmtId="43" fontId="4" fillId="0" borderId="0" xfId="0" applyNumberFormat="1" applyFont="1"/>
    <xf numFmtId="16" fontId="0" fillId="0" borderId="0" xfId="0" applyNumberFormat="1"/>
    <xf numFmtId="2" fontId="5" fillId="0" borderId="0" xfId="1" applyNumberFormat="1" applyFont="1"/>
    <xf numFmtId="43" fontId="5" fillId="0" borderId="0" xfId="1" applyFont="1"/>
    <xf numFmtId="2" fontId="5" fillId="0" borderId="0" xfId="0" applyNumberFormat="1" applyFont="1"/>
    <xf numFmtId="0" fontId="5" fillId="0" borderId="0" xfId="0" applyFont="1"/>
    <xf numFmtId="43" fontId="5" fillId="0" borderId="0" xfId="0" applyNumberFormat="1" applyFont="1"/>
    <xf numFmtId="0" fontId="0" fillId="3" borderId="0" xfId="0" applyFill="1"/>
    <xf numFmtId="16" fontId="6" fillId="0" borderId="0" xfId="0" applyNumberFormat="1" applyFont="1"/>
    <xf numFmtId="0" fontId="0" fillId="4" borderId="0" xfId="0" applyFill="1"/>
    <xf numFmtId="0" fontId="3" fillId="0" borderId="0" xfId="0" applyFont="1" applyFill="1"/>
    <xf numFmtId="2" fontId="3" fillId="0" borderId="0" xfId="1" applyNumberFormat="1" applyFont="1" applyFill="1"/>
    <xf numFmtId="0" fontId="7" fillId="0" borderId="0" xfId="0" applyFont="1"/>
    <xf numFmtId="11" fontId="0" fillId="0" borderId="0" xfId="0" applyNumberFormat="1"/>
    <xf numFmtId="43" fontId="3" fillId="0" borderId="0" xfId="1" applyFont="1"/>
    <xf numFmtId="2" fontId="3" fillId="0" borderId="0" xfId="0" applyNumberFormat="1" applyFont="1"/>
    <xf numFmtId="164" fontId="3" fillId="0" borderId="0" xfId="0" applyNumberFormat="1" applyFont="1"/>
    <xf numFmtId="0" fontId="3" fillId="0" borderId="0" xfId="0" applyFont="1"/>
    <xf numFmtId="43" fontId="3" fillId="0" borderId="0" xfId="0" applyNumberFormat="1" applyFont="1"/>
    <xf numFmtId="1" fontId="3" fillId="0" borderId="0" xfId="0" applyNumberFormat="1" applyFont="1"/>
    <xf numFmtId="0" fontId="0" fillId="5" borderId="0" xfId="0"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Actual!$V$81</c:f>
              <c:strCache>
                <c:ptCount val="1"/>
                <c:pt idx="0">
                  <c:v>BROKER</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Actual!$V$82:$V$96</c:f>
              <c:numCache>
                <c:formatCode>General</c:formatCode>
                <c:ptCount val="15"/>
                <c:pt idx="0">
                  <c:v>#N/A</c:v>
                </c:pt>
                <c:pt idx="1">
                  <c:v>#N/A</c:v>
                </c:pt>
                <c:pt idx="2">
                  <c:v>#N/A</c:v>
                </c:pt>
                <c:pt idx="3">
                  <c:v>3.4433222093304794</c:v>
                </c:pt>
                <c:pt idx="4">
                  <c:v>2.6756425653229554</c:v>
                </c:pt>
                <c:pt idx="5">
                  <c:v>14.515410770881477</c:v>
                </c:pt>
                <c:pt idx="6">
                  <c:v>27.048998367252651</c:v>
                </c:pt>
                <c:pt idx="7">
                  <c:v>39.511306539507082</c:v>
                </c:pt>
                <c:pt idx="8">
                  <c:v>47.215946149876075</c:v>
                </c:pt>
                <c:pt idx="9">
                  <c:v>45.770827219617814</c:v>
                </c:pt>
                <c:pt idx="10">
                  <c:v>45.909203181044674</c:v>
                </c:pt>
                <c:pt idx="11">
                  <c:v>46.476872003021043</c:v>
                </c:pt>
                <c:pt idx="12">
                  <c:v>44.242835662966016</c:v>
                </c:pt>
                <c:pt idx="13">
                  <c:v>53.130436470808448</c:v>
                </c:pt>
                <c:pt idx="14">
                  <c:v>47.495830730037483</c:v>
                </c:pt>
              </c:numCache>
            </c:numRef>
          </c:val>
          <c:smooth val="0"/>
        </c:ser>
        <c:ser>
          <c:idx val="1"/>
          <c:order val="1"/>
          <c:tx>
            <c:strRef>
              <c:f>Actual!$W$81</c:f>
              <c:strCache>
                <c:ptCount val="1"/>
                <c:pt idx="0">
                  <c:v>CORRES</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Actual!$W$82:$W$96</c:f>
              <c:numCache>
                <c:formatCode>General</c:formatCode>
                <c:ptCount val="15"/>
                <c:pt idx="0">
                  <c:v>#N/A</c:v>
                </c:pt>
                <c:pt idx="1">
                  <c:v>1.2100204682674587E-5</c:v>
                </c:pt>
                <c:pt idx="2">
                  <c:v>7.9358739953947595</c:v>
                </c:pt>
                <c:pt idx="3">
                  <c:v>1.8301087366494606</c:v>
                </c:pt>
                <c:pt idx="4">
                  <c:v>3.4070806667749864</c:v>
                </c:pt>
                <c:pt idx="5">
                  <c:v>8.6868545747934895</c:v>
                </c:pt>
                <c:pt idx="6">
                  <c:v>18.62393407251194</c:v>
                </c:pt>
                <c:pt idx="7">
                  <c:v>30.1727288819705</c:v>
                </c:pt>
                <c:pt idx="8">
                  <c:v>38.013897829902064</c:v>
                </c:pt>
                <c:pt idx="9">
                  <c:v>42.416214440489064</c:v>
                </c:pt>
                <c:pt idx="10">
                  <c:v>42.85637323294408</c:v>
                </c:pt>
                <c:pt idx="11">
                  <c:v>44.800986208120854</c:v>
                </c:pt>
                <c:pt idx="12">
                  <c:v>41.981394455784212</c:v>
                </c:pt>
                <c:pt idx="13">
                  <c:v>48.655806463704451</c:v>
                </c:pt>
                <c:pt idx="14">
                  <c:v>38.318357648759196</c:v>
                </c:pt>
              </c:numCache>
            </c:numRef>
          </c:val>
          <c:smooth val="0"/>
        </c:ser>
        <c:ser>
          <c:idx val="2"/>
          <c:order val="2"/>
          <c:tx>
            <c:strRef>
              <c:f>Actual!$X$81</c:f>
              <c:strCache>
                <c:ptCount val="1"/>
                <c:pt idx="0">
                  <c:v>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Actual!$X$82:$X$96</c:f>
              <c:numCache>
                <c:formatCode>General</c:formatCode>
                <c:ptCount val="15"/>
                <c:pt idx="0">
                  <c:v>0</c:v>
                </c:pt>
                <c:pt idx="1">
                  <c:v>0</c:v>
                </c:pt>
                <c:pt idx="2">
                  <c:v>12.107776852550668</c:v>
                </c:pt>
                <c:pt idx="3">
                  <c:v>27.432197884991893</c:v>
                </c:pt>
                <c:pt idx="4">
                  <c:v>2.6971999783365286</c:v>
                </c:pt>
                <c:pt idx="5">
                  <c:v>10.272771210009758</c:v>
                </c:pt>
                <c:pt idx="6">
                  <c:v>18.56859633389023</c:v>
                </c:pt>
                <c:pt idx="7">
                  <c:v>30.159799183788238</c:v>
                </c:pt>
                <c:pt idx="8">
                  <c:v>40.14908663130624</c:v>
                </c:pt>
                <c:pt idx="9">
                  <c:v>42.720598979704036</c:v>
                </c:pt>
                <c:pt idx="10">
                  <c:v>43.681735268574954</c:v>
                </c:pt>
                <c:pt idx="11">
                  <c:v>42.096705760367449</c:v>
                </c:pt>
                <c:pt idx="12">
                  <c:v>43.974174414158249</c:v>
                </c:pt>
                <c:pt idx="13">
                  <c:v>55.301000258754321</c:v>
                </c:pt>
                <c:pt idx="14">
                  <c:v>53.736278937248748</c:v>
                </c:pt>
              </c:numCache>
            </c:numRef>
          </c:val>
          <c:smooth val="0"/>
        </c:ser>
        <c:ser>
          <c:idx val="3"/>
          <c:order val="3"/>
          <c:tx>
            <c:strRef>
              <c:f>Actual!$Y$81</c:f>
              <c:strCache>
                <c:ptCount val="1"/>
                <c:pt idx="0">
                  <c:v>NonCashWindow</c:v>
                </c:pt>
              </c:strCache>
            </c:strRef>
          </c:tx>
          <c:marker>
            <c:symbol val="none"/>
          </c:marker>
          <c:cat>
            <c:strRef>
              <c:f>Actual!$U$82:$U$96</c:f>
              <c:strCache>
                <c:ptCount val="15"/>
                <c:pt idx="0">
                  <c:v>03:-150--125</c:v>
                </c:pt>
                <c:pt idx="1">
                  <c:v>04:-125--100</c:v>
                </c:pt>
                <c:pt idx="2">
                  <c:v>05:-100--75</c:v>
                </c:pt>
                <c:pt idx="3">
                  <c:v>06:-75--50</c:v>
                </c:pt>
                <c:pt idx="4">
                  <c:v>07:-50--25</c:v>
                </c:pt>
                <c:pt idx="5">
                  <c:v>08:-25-0</c:v>
                </c:pt>
                <c:pt idx="6">
                  <c:v>09:0-25</c:v>
                </c:pt>
                <c:pt idx="7">
                  <c:v>10:25-50</c:v>
                </c:pt>
                <c:pt idx="8">
                  <c:v>11:50-75</c:v>
                </c:pt>
                <c:pt idx="9">
                  <c:v>12:75-100</c:v>
                </c:pt>
                <c:pt idx="10">
                  <c:v>13:100-125</c:v>
                </c:pt>
                <c:pt idx="11">
                  <c:v>14:125-150</c:v>
                </c:pt>
                <c:pt idx="12">
                  <c:v>15:150-175</c:v>
                </c:pt>
                <c:pt idx="13">
                  <c:v>16:175-200</c:v>
                </c:pt>
                <c:pt idx="14">
                  <c:v>17:200-225</c:v>
                </c:pt>
              </c:strCache>
            </c:strRef>
          </c:cat>
          <c:val>
            <c:numRef>
              <c:f>Actual!$Y$82:$Y$96</c:f>
              <c:numCache>
                <c:formatCode>General</c:formatCode>
                <c:ptCount val="15"/>
                <c:pt idx="0">
                  <c:v>#N/A</c:v>
                </c:pt>
                <c:pt idx="1">
                  <c:v>0</c:v>
                </c:pt>
                <c:pt idx="2">
                  <c:v>2.1576303824957122</c:v>
                </c:pt>
                <c:pt idx="3">
                  <c:v>8.845266053677193</c:v>
                </c:pt>
                <c:pt idx="4">
                  <c:v>6.1091154215680232</c:v>
                </c:pt>
                <c:pt idx="5">
                  <c:v>7.5476108074383212</c:v>
                </c:pt>
                <c:pt idx="6">
                  <c:v>11.797692900111823</c:v>
                </c:pt>
                <c:pt idx="7">
                  <c:v>17.559910432581518</c:v>
                </c:pt>
                <c:pt idx="8">
                  <c:v>25.676065547610772</c:v>
                </c:pt>
                <c:pt idx="9">
                  <c:v>31.50646531209922</c:v>
                </c:pt>
                <c:pt idx="10">
                  <c:v>35.20287534090081</c:v>
                </c:pt>
                <c:pt idx="11">
                  <c:v>35.292651765802354</c:v>
                </c:pt>
                <c:pt idx="12">
                  <c:v>34.084038108405224</c:v>
                </c:pt>
                <c:pt idx="13">
                  <c:v>33.665359871941824</c:v>
                </c:pt>
                <c:pt idx="14">
                  <c:v>28.261046737152341</c:v>
                </c:pt>
              </c:numCache>
            </c:numRef>
          </c:val>
          <c:smooth val="0"/>
        </c:ser>
        <c:dLbls>
          <c:showLegendKey val="0"/>
          <c:showVal val="0"/>
          <c:showCatName val="0"/>
          <c:showSerName val="0"/>
          <c:showPercent val="0"/>
          <c:showBubbleSize val="0"/>
        </c:dLbls>
        <c:marker val="1"/>
        <c:smooth val="0"/>
        <c:axId val="511978496"/>
        <c:axId val="512926080"/>
      </c:lineChart>
      <c:catAx>
        <c:axId val="511978496"/>
        <c:scaling>
          <c:orientation val="minMax"/>
        </c:scaling>
        <c:delete val="0"/>
        <c:axPos val="b"/>
        <c:majorTickMark val="out"/>
        <c:minorTickMark val="none"/>
        <c:tickLblPos val="nextTo"/>
        <c:crossAx val="512926080"/>
        <c:crosses val="autoZero"/>
        <c:auto val="1"/>
        <c:lblAlgn val="ctr"/>
        <c:lblOffset val="100"/>
        <c:noMultiLvlLbl val="0"/>
      </c:catAx>
      <c:valAx>
        <c:axId val="512926080"/>
        <c:scaling>
          <c:orientation val="minMax"/>
        </c:scaling>
        <c:delete val="0"/>
        <c:axPos val="l"/>
        <c:numFmt formatCode="General" sourceLinked="1"/>
        <c:majorTickMark val="out"/>
        <c:minorTickMark val="none"/>
        <c:tickLblPos val="nextTo"/>
        <c:crossAx val="51197849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 - broker, wala12to24</c:v>
          </c:tx>
          <c:xVal>
            <c:numRef>
              <c:f>Baseline!$A$107:$A$129</c:f>
              <c:numCache>
                <c:formatCode>0.00</c:formatCode>
                <c:ptCount val="23"/>
                <c:pt idx="0">
                  <c:v>-17.320366360484901</c:v>
                </c:pt>
                <c:pt idx="1">
                  <c:v>-12.2652608626338</c:v>
                </c:pt>
                <c:pt idx="2">
                  <c:v>-7.3224372973263501</c:v>
                </c:pt>
                <c:pt idx="3">
                  <c:v>-2.3387296965728201</c:v>
                </c:pt>
                <c:pt idx="4">
                  <c:v>2.65358877799809</c:v>
                </c:pt>
                <c:pt idx="5">
                  <c:v>7.6198852778356896</c:v>
                </c:pt>
                <c:pt idx="6">
                  <c:v>12.7027837487685</c:v>
                </c:pt>
                <c:pt idx="7">
                  <c:v>17.616235747790999</c:v>
                </c:pt>
                <c:pt idx="8">
                  <c:v>22.590179235964602</c:v>
                </c:pt>
                <c:pt idx="9">
                  <c:v>27.547268159078001</c:v>
                </c:pt>
                <c:pt idx="10">
                  <c:v>32.542028407735103</c:v>
                </c:pt>
                <c:pt idx="11">
                  <c:v>37.486494006130997</c:v>
                </c:pt>
                <c:pt idx="12">
                  <c:v>42.421648053468502</c:v>
                </c:pt>
                <c:pt idx="13">
                  <c:v>47.512004004398001</c:v>
                </c:pt>
                <c:pt idx="14">
                  <c:v>52.525413841629998</c:v>
                </c:pt>
                <c:pt idx="15">
                  <c:v>57.496638767331</c:v>
                </c:pt>
                <c:pt idx="16">
                  <c:v>62.446297286987999</c:v>
                </c:pt>
                <c:pt idx="17">
                  <c:v>67.445448915326594</c:v>
                </c:pt>
                <c:pt idx="18">
                  <c:v>72.479370373158204</c:v>
                </c:pt>
                <c:pt idx="19">
                  <c:v>85.725601298003895</c:v>
                </c:pt>
                <c:pt idx="20">
                  <c:v>111.841127420033</c:v>
                </c:pt>
                <c:pt idx="21">
                  <c:v>134.38012833370499</c:v>
                </c:pt>
                <c:pt idx="22">
                  <c:v>160.18516166213001</c:v>
                </c:pt>
              </c:numCache>
            </c:numRef>
          </c:xVal>
          <c:yVal>
            <c:numRef>
              <c:f>Baseline!$G$107:$G$129</c:f>
              <c:numCache>
                <c:formatCode>0.00</c:formatCode>
                <c:ptCount val="23"/>
                <c:pt idx="0">
                  <c:v>10.807500013660931</c:v>
                </c:pt>
                <c:pt idx="1">
                  <c:v>10.602841079902026</c:v>
                </c:pt>
                <c:pt idx="2">
                  <c:v>15.810679217502754</c:v>
                </c:pt>
                <c:pt idx="3">
                  <c:v>14.323614300375297</c:v>
                </c:pt>
                <c:pt idx="4">
                  <c:v>19.451517440607326</c:v>
                </c:pt>
                <c:pt idx="5">
                  <c:v>23.945019688015368</c:v>
                </c:pt>
                <c:pt idx="6">
                  <c:v>20.863987202152813</c:v>
                </c:pt>
                <c:pt idx="7">
                  <c:v>23.805678245652651</c:v>
                </c:pt>
                <c:pt idx="8">
                  <c:v>30.879326344626978</c:v>
                </c:pt>
                <c:pt idx="9">
                  <c:v>35.00248191746288</c:v>
                </c:pt>
                <c:pt idx="10">
                  <c:v>37.32208548833966</c:v>
                </c:pt>
                <c:pt idx="11">
                  <c:v>39.012061454220373</c:v>
                </c:pt>
                <c:pt idx="12">
                  <c:v>42.229079659815824</c:v>
                </c:pt>
                <c:pt idx="13">
                  <c:v>42.385460776815975</c:v>
                </c:pt>
                <c:pt idx="14">
                  <c:v>45.948809763717968</c:v>
                </c:pt>
                <c:pt idx="15">
                  <c:v>46.558380879578465</c:v>
                </c:pt>
                <c:pt idx="16">
                  <c:v>48.369596377810822</c:v>
                </c:pt>
                <c:pt idx="17">
                  <c:v>47.925493066856319</c:v>
                </c:pt>
                <c:pt idx="18">
                  <c:v>47.771931061699405</c:v>
                </c:pt>
                <c:pt idx="19">
                  <c:v>45.532111301893998</c:v>
                </c:pt>
                <c:pt idx="20">
                  <c:v>45.976159814405584</c:v>
                </c:pt>
                <c:pt idx="21">
                  <c:v>46.445828850119256</c:v>
                </c:pt>
                <c:pt idx="22">
                  <c:v>44.242835662966016</c:v>
                </c:pt>
              </c:numCache>
            </c:numRef>
          </c:yVal>
          <c:smooth val="1"/>
        </c:ser>
        <c:ser>
          <c:idx val="1"/>
          <c:order val="1"/>
          <c:tx>
            <c:v>prev high media model</c:v>
          </c:tx>
          <c:xVal>
            <c:numRef>
              <c:f>Baseline!$A$107:$A$129</c:f>
              <c:numCache>
                <c:formatCode>0.00</c:formatCode>
                <c:ptCount val="23"/>
                <c:pt idx="0">
                  <c:v>-17.320366360484901</c:v>
                </c:pt>
                <c:pt idx="1">
                  <c:v>-12.2652608626338</c:v>
                </c:pt>
                <c:pt idx="2">
                  <c:v>-7.3224372973263501</c:v>
                </c:pt>
                <c:pt idx="3">
                  <c:v>-2.3387296965728201</c:v>
                </c:pt>
                <c:pt idx="4">
                  <c:v>2.65358877799809</c:v>
                </c:pt>
                <c:pt idx="5">
                  <c:v>7.6198852778356896</c:v>
                </c:pt>
                <c:pt idx="6">
                  <c:v>12.7027837487685</c:v>
                </c:pt>
                <c:pt idx="7">
                  <c:v>17.616235747790999</c:v>
                </c:pt>
                <c:pt idx="8">
                  <c:v>22.590179235964602</c:v>
                </c:pt>
                <c:pt idx="9">
                  <c:v>27.547268159078001</c:v>
                </c:pt>
                <c:pt idx="10">
                  <c:v>32.542028407735103</c:v>
                </c:pt>
                <c:pt idx="11">
                  <c:v>37.486494006130997</c:v>
                </c:pt>
                <c:pt idx="12">
                  <c:v>42.421648053468502</c:v>
                </c:pt>
                <c:pt idx="13">
                  <c:v>47.512004004398001</c:v>
                </c:pt>
                <c:pt idx="14">
                  <c:v>52.525413841629998</c:v>
                </c:pt>
                <c:pt idx="15">
                  <c:v>57.496638767331</c:v>
                </c:pt>
                <c:pt idx="16">
                  <c:v>62.446297286987999</c:v>
                </c:pt>
                <c:pt idx="17">
                  <c:v>67.445448915326594</c:v>
                </c:pt>
                <c:pt idx="18">
                  <c:v>72.479370373158204</c:v>
                </c:pt>
                <c:pt idx="19">
                  <c:v>85.725601298003895</c:v>
                </c:pt>
                <c:pt idx="20">
                  <c:v>111.841127420033</c:v>
                </c:pt>
                <c:pt idx="21">
                  <c:v>134.38012833370499</c:v>
                </c:pt>
                <c:pt idx="22">
                  <c:v>160.18516166213001</c:v>
                </c:pt>
              </c:numCache>
            </c:numRef>
          </c:xVal>
          <c:yVal>
            <c:numRef>
              <c:f>Baseline!$H$107:$H$129</c:f>
              <c:numCache>
                <c:formatCode>0.00</c:formatCode>
                <c:ptCount val="23"/>
                <c:pt idx="0">
                  <c:v>14.894638703682062</c:v>
                </c:pt>
                <c:pt idx="1">
                  <c:v>16.329947404277569</c:v>
                </c:pt>
                <c:pt idx="2">
                  <c:v>17.722144201132739</c:v>
                </c:pt>
                <c:pt idx="3">
                  <c:v>19.053968378100585</c:v>
                </c:pt>
                <c:pt idx="4">
                  <c:v>20.326350202988021</c:v>
                </c:pt>
                <c:pt idx="5">
                  <c:v>21.445624593178891</c:v>
                </c:pt>
                <c:pt idx="6">
                  <c:v>22.685645895371664</c:v>
                </c:pt>
                <c:pt idx="7">
                  <c:v>24.316809470846536</c:v>
                </c:pt>
                <c:pt idx="8">
                  <c:v>26.197835419842907</c:v>
                </c:pt>
                <c:pt idx="9">
                  <c:v>27.91109726865265</c:v>
                </c:pt>
                <c:pt idx="10">
                  <c:v>29.824816550466803</c:v>
                </c:pt>
                <c:pt idx="11">
                  <c:v>31.417377736899876</c:v>
                </c:pt>
                <c:pt idx="12">
                  <c:v>33.365460906414356</c:v>
                </c:pt>
                <c:pt idx="13">
                  <c:v>35.375750896916522</c:v>
                </c:pt>
                <c:pt idx="14">
                  <c:v>36.216753169649728</c:v>
                </c:pt>
                <c:pt idx="15">
                  <c:v>37.673223484619186</c:v>
                </c:pt>
                <c:pt idx="16">
                  <c:v>39.055110346882024</c:v>
                </c:pt>
                <c:pt idx="17">
                  <c:v>40.023082418179271</c:v>
                </c:pt>
                <c:pt idx="18">
                  <c:v>41.629194259044603</c:v>
                </c:pt>
                <c:pt idx="19">
                  <c:v>44.056276846793438</c:v>
                </c:pt>
                <c:pt idx="20">
                  <c:v>46.960895560967877</c:v>
                </c:pt>
                <c:pt idx="21">
                  <c:v>49.446644233718558</c:v>
                </c:pt>
                <c:pt idx="22">
                  <c:v>52.245362413794041</c:v>
                </c:pt>
              </c:numCache>
            </c:numRef>
          </c:yVal>
          <c:smooth val="1"/>
        </c:ser>
        <c:ser>
          <c:idx val="2"/>
          <c:order val="2"/>
          <c:tx>
            <c:v>new model</c:v>
          </c:tx>
          <c:xVal>
            <c:numRef>
              <c:f>Baseline!$A$107:$A$129</c:f>
              <c:numCache>
                <c:formatCode>0.00</c:formatCode>
                <c:ptCount val="23"/>
                <c:pt idx="0">
                  <c:v>-17.320366360484901</c:v>
                </c:pt>
                <c:pt idx="1">
                  <c:v>-12.2652608626338</c:v>
                </c:pt>
                <c:pt idx="2">
                  <c:v>-7.3224372973263501</c:v>
                </c:pt>
                <c:pt idx="3">
                  <c:v>-2.3387296965728201</c:v>
                </c:pt>
                <c:pt idx="4">
                  <c:v>2.65358877799809</c:v>
                </c:pt>
                <c:pt idx="5">
                  <c:v>7.6198852778356896</c:v>
                </c:pt>
                <c:pt idx="6">
                  <c:v>12.7027837487685</c:v>
                </c:pt>
                <c:pt idx="7">
                  <c:v>17.616235747790999</c:v>
                </c:pt>
                <c:pt idx="8">
                  <c:v>22.590179235964602</c:v>
                </c:pt>
                <c:pt idx="9">
                  <c:v>27.547268159078001</c:v>
                </c:pt>
                <c:pt idx="10">
                  <c:v>32.542028407735103</c:v>
                </c:pt>
                <c:pt idx="11">
                  <c:v>37.486494006130997</c:v>
                </c:pt>
                <c:pt idx="12">
                  <c:v>42.421648053468502</c:v>
                </c:pt>
                <c:pt idx="13">
                  <c:v>47.512004004398001</c:v>
                </c:pt>
                <c:pt idx="14">
                  <c:v>52.525413841629998</c:v>
                </c:pt>
                <c:pt idx="15">
                  <c:v>57.496638767331</c:v>
                </c:pt>
                <c:pt idx="16">
                  <c:v>62.446297286987999</c:v>
                </c:pt>
                <c:pt idx="17">
                  <c:v>67.445448915326594</c:v>
                </c:pt>
                <c:pt idx="18">
                  <c:v>72.479370373158204</c:v>
                </c:pt>
                <c:pt idx="19">
                  <c:v>85.725601298003895</c:v>
                </c:pt>
                <c:pt idx="20">
                  <c:v>111.841127420033</c:v>
                </c:pt>
                <c:pt idx="21">
                  <c:v>134.38012833370499</c:v>
                </c:pt>
                <c:pt idx="22">
                  <c:v>160.18516166213001</c:v>
                </c:pt>
              </c:numCache>
            </c:numRef>
          </c:xVal>
          <c:yVal>
            <c:numRef>
              <c:f>Baseline!$O$107:$O$129</c:f>
              <c:numCache>
                <c:formatCode>0.00</c:formatCode>
                <c:ptCount val="23"/>
                <c:pt idx="0">
                  <c:v>12.830899397092422</c:v>
                </c:pt>
                <c:pt idx="1">
                  <c:v>14.510500191033371</c:v>
                </c:pt>
                <c:pt idx="2">
                  <c:v>15.968569233576124</c:v>
                </c:pt>
                <c:pt idx="3">
                  <c:v>17.829222569801207</c:v>
                </c:pt>
                <c:pt idx="4">
                  <c:v>20.106467726927789</c:v>
                </c:pt>
                <c:pt idx="5">
                  <c:v>22.824152352325243</c:v>
                </c:pt>
                <c:pt idx="6">
                  <c:v>25.5055447832795</c:v>
                </c:pt>
                <c:pt idx="7">
                  <c:v>28.453970267170448</c:v>
                </c:pt>
                <c:pt idx="8">
                  <c:v>31.215150319410089</c:v>
                </c:pt>
                <c:pt idx="9">
                  <c:v>34.423627404350107</c:v>
                </c:pt>
                <c:pt idx="10">
                  <c:v>37.828197226902162</c:v>
                </c:pt>
                <c:pt idx="11">
                  <c:v>40.017157671427086</c:v>
                </c:pt>
                <c:pt idx="12">
                  <c:v>41.658828333824026</c:v>
                </c:pt>
                <c:pt idx="13">
                  <c:v>43.189897610801395</c:v>
                </c:pt>
                <c:pt idx="14">
                  <c:v>44.302558740982889</c:v>
                </c:pt>
                <c:pt idx="15">
                  <c:v>46.039779428930274</c:v>
                </c:pt>
                <c:pt idx="16">
                  <c:v>46.097742019568486</c:v>
                </c:pt>
                <c:pt idx="17">
                  <c:v>46.525903332521509</c:v>
                </c:pt>
                <c:pt idx="18">
                  <c:v>47.941784259776533</c:v>
                </c:pt>
                <c:pt idx="19">
                  <c:v>46.187568818330583</c:v>
                </c:pt>
                <c:pt idx="20">
                  <c:v>46.881647920426403</c:v>
                </c:pt>
                <c:pt idx="21">
                  <c:v>48.323132983095149</c:v>
                </c:pt>
                <c:pt idx="22">
                  <c:v>50.365471740613629</c:v>
                </c:pt>
              </c:numCache>
            </c:numRef>
          </c:yVal>
          <c:smooth val="1"/>
        </c:ser>
        <c:dLbls>
          <c:showLegendKey val="0"/>
          <c:showVal val="0"/>
          <c:showCatName val="0"/>
          <c:showSerName val="0"/>
          <c:showPercent val="0"/>
          <c:showBubbleSize val="0"/>
        </c:dLbls>
        <c:axId val="208008320"/>
        <c:axId val="208009856"/>
      </c:scatterChart>
      <c:valAx>
        <c:axId val="208008320"/>
        <c:scaling>
          <c:orientation val="minMax"/>
        </c:scaling>
        <c:delete val="0"/>
        <c:axPos val="b"/>
        <c:numFmt formatCode="0" sourceLinked="0"/>
        <c:majorTickMark val="out"/>
        <c:minorTickMark val="none"/>
        <c:tickLblPos val="nextTo"/>
        <c:crossAx val="208009856"/>
        <c:crosses val="autoZero"/>
        <c:crossBetween val="midCat"/>
      </c:valAx>
      <c:valAx>
        <c:axId val="208009856"/>
        <c:scaling>
          <c:orientation val="minMax"/>
        </c:scaling>
        <c:delete val="0"/>
        <c:axPos val="l"/>
        <c:numFmt formatCode="0.00" sourceLinked="1"/>
        <c:majorTickMark val="out"/>
        <c:minorTickMark val="none"/>
        <c:tickLblPos val="nextTo"/>
        <c:crossAx val="208008320"/>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Baseline!$AD$103</c:f>
              <c:strCache>
                <c:ptCount val="1"/>
                <c:pt idx="0">
                  <c:v>Knot</c:v>
                </c:pt>
              </c:strCache>
            </c:strRef>
          </c:tx>
          <c:marker>
            <c:symbol val="none"/>
          </c:marker>
          <c:cat>
            <c:numRef>
              <c:f>Baseline!$AC$106:$AC$127</c:f>
              <c:numCache>
                <c:formatCode>0</c:formatCode>
                <c:ptCount val="22"/>
                <c:pt idx="0">
                  <c:v>-22.234952986481101</c:v>
                </c:pt>
                <c:pt idx="1">
                  <c:v>-17.320366360484901</c:v>
                </c:pt>
                <c:pt idx="2">
                  <c:v>-12.2652608626338</c:v>
                </c:pt>
                <c:pt idx="3">
                  <c:v>-7.3224372973263501</c:v>
                </c:pt>
                <c:pt idx="4">
                  <c:v>-2.3387296965728201</c:v>
                </c:pt>
                <c:pt idx="5">
                  <c:v>2.65358877799809</c:v>
                </c:pt>
                <c:pt idx="6">
                  <c:v>7.6198852778356896</c:v>
                </c:pt>
                <c:pt idx="7">
                  <c:v>12.7027837487685</c:v>
                </c:pt>
                <c:pt idx="8">
                  <c:v>17.616235747790999</c:v>
                </c:pt>
                <c:pt idx="9">
                  <c:v>22.590179235964602</c:v>
                </c:pt>
                <c:pt idx="10">
                  <c:v>27.547268159078001</c:v>
                </c:pt>
                <c:pt idx="11">
                  <c:v>32.542028407735103</c:v>
                </c:pt>
                <c:pt idx="12">
                  <c:v>37.486494006130997</c:v>
                </c:pt>
                <c:pt idx="13">
                  <c:v>42.421648053468502</c:v>
                </c:pt>
                <c:pt idx="14">
                  <c:v>47.512004004398001</c:v>
                </c:pt>
                <c:pt idx="15">
                  <c:v>52.525413841629998</c:v>
                </c:pt>
                <c:pt idx="16">
                  <c:v>57.496638767331</c:v>
                </c:pt>
                <c:pt idx="17">
                  <c:v>62.446297286987999</c:v>
                </c:pt>
                <c:pt idx="18">
                  <c:v>67.445448915326594</c:v>
                </c:pt>
                <c:pt idx="19">
                  <c:v>72.479370373158204</c:v>
                </c:pt>
                <c:pt idx="20">
                  <c:v>85.725601298003895</c:v>
                </c:pt>
                <c:pt idx="21">
                  <c:v>111.841127420033</c:v>
                </c:pt>
              </c:numCache>
            </c:numRef>
          </c:cat>
          <c:val>
            <c:numRef>
              <c:f>Baseline!$AD$106:$AD$127</c:f>
              <c:numCache>
                <c:formatCode>0.000</c:formatCode>
                <c:ptCount val="22"/>
                <c:pt idx="0">
                  <c:v>0.79645948376475795</c:v>
                </c:pt>
                <c:pt idx="1">
                  <c:v>0.95362938111262996</c:v>
                </c:pt>
                <c:pt idx="2">
                  <c:v>1.08142635820954</c:v>
                </c:pt>
                <c:pt idx="3">
                  <c:v>1.1993277822989601</c:v>
                </c:pt>
                <c:pt idx="4">
                  <c:v>1.3122379125033801</c:v>
                </c:pt>
                <c:pt idx="5">
                  <c:v>1.4018480364105399</c:v>
                </c:pt>
                <c:pt idx="6">
                  <c:v>1.51655790515</c:v>
                </c:pt>
                <c:pt idx="7">
                  <c:v>1.6382587772578501</c:v>
                </c:pt>
                <c:pt idx="8">
                  <c:v>1.77123004461028</c:v>
                </c:pt>
                <c:pt idx="9">
                  <c:v>1.91883456513696</c:v>
                </c:pt>
                <c:pt idx="10">
                  <c:v>2.0788177485891102</c:v>
                </c:pt>
                <c:pt idx="11">
                  <c:v>2.2487416798578299</c:v>
                </c:pt>
                <c:pt idx="12">
                  <c:v>2.4264029166777901</c:v>
                </c:pt>
                <c:pt idx="13">
                  <c:v>2.6095980167836599</c:v>
                </c:pt>
                <c:pt idx="14">
                  <c:v>2.7961235379101401</c:v>
                </c:pt>
                <c:pt idx="15">
                  <c:v>2.9837760377918898</c:v>
                </c:pt>
                <c:pt idx="16">
                  <c:v>3.1703520741635902</c:v>
                </c:pt>
                <c:pt idx="17">
                  <c:v>3.3536482047599101</c:v>
                </c:pt>
                <c:pt idx="18">
                  <c:v>3.5314609873155498</c:v>
                </c:pt>
                <c:pt idx="19">
                  <c:v>3.7015869795651599</c:v>
                </c:pt>
                <c:pt idx="20">
                  <c:v>4.0923365222828396</c:v>
                </c:pt>
                <c:pt idx="21">
                  <c:v>4.7299139704548203</c:v>
                </c:pt>
              </c:numCache>
            </c:numRef>
          </c:val>
          <c:smooth val="0"/>
        </c:ser>
        <c:ser>
          <c:idx val="1"/>
          <c:order val="1"/>
          <c:tx>
            <c:strRef>
              <c:f>Baseline!$AE$103</c:f>
              <c:strCache>
                <c:ptCount val="1"/>
                <c:pt idx="0">
                  <c:v>adj Knot</c:v>
                </c:pt>
              </c:strCache>
            </c:strRef>
          </c:tx>
          <c:marker>
            <c:symbol val="none"/>
          </c:marker>
          <c:cat>
            <c:numRef>
              <c:f>Baseline!$AC$106:$AC$127</c:f>
              <c:numCache>
                <c:formatCode>0</c:formatCode>
                <c:ptCount val="22"/>
                <c:pt idx="0">
                  <c:v>-22.234952986481101</c:v>
                </c:pt>
                <c:pt idx="1">
                  <c:v>-17.320366360484901</c:v>
                </c:pt>
                <c:pt idx="2">
                  <c:v>-12.2652608626338</c:v>
                </c:pt>
                <c:pt idx="3">
                  <c:v>-7.3224372973263501</c:v>
                </c:pt>
                <c:pt idx="4">
                  <c:v>-2.3387296965728201</c:v>
                </c:pt>
                <c:pt idx="5">
                  <c:v>2.65358877799809</c:v>
                </c:pt>
                <c:pt idx="6">
                  <c:v>7.6198852778356896</c:v>
                </c:pt>
                <c:pt idx="7">
                  <c:v>12.7027837487685</c:v>
                </c:pt>
                <c:pt idx="8">
                  <c:v>17.616235747790999</c:v>
                </c:pt>
                <c:pt idx="9">
                  <c:v>22.590179235964602</c:v>
                </c:pt>
                <c:pt idx="10">
                  <c:v>27.547268159078001</c:v>
                </c:pt>
                <c:pt idx="11">
                  <c:v>32.542028407735103</c:v>
                </c:pt>
                <c:pt idx="12">
                  <c:v>37.486494006130997</c:v>
                </c:pt>
                <c:pt idx="13">
                  <c:v>42.421648053468502</c:v>
                </c:pt>
                <c:pt idx="14">
                  <c:v>47.512004004398001</c:v>
                </c:pt>
                <c:pt idx="15">
                  <c:v>52.525413841629998</c:v>
                </c:pt>
                <c:pt idx="16">
                  <c:v>57.496638767331</c:v>
                </c:pt>
                <c:pt idx="17">
                  <c:v>62.446297286987999</c:v>
                </c:pt>
                <c:pt idx="18">
                  <c:v>67.445448915326594</c:v>
                </c:pt>
                <c:pt idx="19">
                  <c:v>72.479370373158204</c:v>
                </c:pt>
                <c:pt idx="20">
                  <c:v>85.725601298003895</c:v>
                </c:pt>
                <c:pt idx="21">
                  <c:v>111.841127420033</c:v>
                </c:pt>
              </c:numCache>
            </c:numRef>
          </c:cat>
          <c:val>
            <c:numRef>
              <c:f>Baseline!$AE$106:$AE$127</c:f>
              <c:numCache>
                <c:formatCode>0.000</c:formatCode>
                <c:ptCount val="22"/>
                <c:pt idx="0">
                  <c:v>0.41415893155767414</c:v>
                </c:pt>
                <c:pt idx="1">
                  <c:v>0.5149598658008202</c:v>
                </c:pt>
                <c:pt idx="2">
                  <c:v>0.60559876059734252</c:v>
                </c:pt>
                <c:pt idx="3">
                  <c:v>0.69561011373339698</c:v>
                </c:pt>
                <c:pt idx="4">
                  <c:v>0.72173085187685915</c:v>
                </c:pt>
                <c:pt idx="5">
                  <c:v>0.84110882184632407</c:v>
                </c:pt>
                <c:pt idx="6">
                  <c:v>0.9857626383475</c:v>
                </c:pt>
                <c:pt idx="7">
                  <c:v>1.1467811440804951</c:v>
                </c:pt>
                <c:pt idx="8">
                  <c:v>1.32842253345771</c:v>
                </c:pt>
                <c:pt idx="9">
                  <c:v>1.5350676521095681</c:v>
                </c:pt>
                <c:pt idx="10">
                  <c:v>1.7669950863007438</c:v>
                </c:pt>
                <c:pt idx="11">
                  <c:v>2.0238675118720471</c:v>
                </c:pt>
                <c:pt idx="12">
                  <c:v>2.3050827708439008</c:v>
                </c:pt>
                <c:pt idx="13">
                  <c:v>2.6095980167836599</c:v>
                </c:pt>
                <c:pt idx="14">
                  <c:v>2.9359297148056474</c:v>
                </c:pt>
                <c:pt idx="15">
                  <c:v>3.282153641571079</c:v>
                </c:pt>
                <c:pt idx="16">
                  <c:v>3.4873872815799496</c:v>
                </c:pt>
                <c:pt idx="17">
                  <c:v>3.6890130252359015</c:v>
                </c:pt>
                <c:pt idx="18">
                  <c:v>3.8846070860471049</c:v>
                </c:pt>
                <c:pt idx="19">
                  <c:v>4.071745677521676</c:v>
                </c:pt>
                <c:pt idx="20">
                  <c:v>4.1741832527284961</c:v>
                </c:pt>
                <c:pt idx="21">
                  <c:v>4.4934182719320788</c:v>
                </c:pt>
              </c:numCache>
            </c:numRef>
          </c:val>
          <c:smooth val="0"/>
        </c:ser>
        <c:dLbls>
          <c:showLegendKey val="0"/>
          <c:showVal val="0"/>
          <c:showCatName val="0"/>
          <c:showSerName val="0"/>
          <c:showPercent val="0"/>
          <c:showBubbleSize val="0"/>
        </c:dLbls>
        <c:marker val="1"/>
        <c:smooth val="0"/>
        <c:axId val="209549568"/>
        <c:axId val="209559552"/>
      </c:lineChart>
      <c:catAx>
        <c:axId val="209549568"/>
        <c:scaling>
          <c:orientation val="minMax"/>
        </c:scaling>
        <c:delete val="0"/>
        <c:axPos val="b"/>
        <c:numFmt formatCode="0" sourceLinked="1"/>
        <c:majorTickMark val="out"/>
        <c:minorTickMark val="none"/>
        <c:tickLblPos val="nextTo"/>
        <c:crossAx val="209559552"/>
        <c:crosses val="autoZero"/>
        <c:auto val="1"/>
        <c:lblAlgn val="ctr"/>
        <c:lblOffset val="100"/>
        <c:noMultiLvlLbl val="0"/>
      </c:catAx>
      <c:valAx>
        <c:axId val="209559552"/>
        <c:scaling>
          <c:orientation val="minMax"/>
        </c:scaling>
        <c:delete val="0"/>
        <c:axPos val="l"/>
        <c:numFmt formatCode="0" sourceLinked="0"/>
        <c:majorTickMark val="out"/>
        <c:minorTickMark val="none"/>
        <c:tickLblPos val="nextTo"/>
        <c:crossAx val="20954956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Baseline!$Y$103</c:f>
              <c:strCache>
                <c:ptCount val="1"/>
                <c:pt idx="0">
                  <c:v>Knot</c:v>
                </c:pt>
              </c:strCache>
            </c:strRef>
          </c:tx>
          <c:marker>
            <c:symbol val="none"/>
          </c:marker>
          <c:cat>
            <c:numRef>
              <c:f>Baseline!$X$104:$X$117</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Baseline!$Y$104:$Y$117</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ser>
          <c:idx val="1"/>
          <c:order val="1"/>
          <c:tx>
            <c:strRef>
              <c:f>Baseline!$Z$103</c:f>
              <c:strCache>
                <c:ptCount val="1"/>
                <c:pt idx="0">
                  <c:v>adj Knot</c:v>
                </c:pt>
              </c:strCache>
            </c:strRef>
          </c:tx>
          <c:marker>
            <c:symbol val="none"/>
          </c:marker>
          <c:cat>
            <c:numRef>
              <c:f>Baseline!$X$104:$X$117</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Baseline!$Z$104:$Z$117</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dLbls>
          <c:showLegendKey val="0"/>
          <c:showVal val="0"/>
          <c:showCatName val="0"/>
          <c:showSerName val="0"/>
          <c:showPercent val="0"/>
          <c:showBubbleSize val="0"/>
        </c:dLbls>
        <c:marker val="1"/>
        <c:smooth val="0"/>
        <c:axId val="209574528"/>
        <c:axId val="209576320"/>
      </c:lineChart>
      <c:catAx>
        <c:axId val="209574528"/>
        <c:scaling>
          <c:orientation val="minMax"/>
        </c:scaling>
        <c:delete val="0"/>
        <c:axPos val="b"/>
        <c:numFmt formatCode="0" sourceLinked="1"/>
        <c:majorTickMark val="out"/>
        <c:minorTickMark val="none"/>
        <c:tickLblPos val="nextTo"/>
        <c:crossAx val="209576320"/>
        <c:crosses val="autoZero"/>
        <c:auto val="1"/>
        <c:lblAlgn val="ctr"/>
        <c:lblOffset val="100"/>
        <c:noMultiLvlLbl val="0"/>
      </c:catAx>
      <c:valAx>
        <c:axId val="209576320"/>
        <c:scaling>
          <c:orientation val="minMax"/>
        </c:scaling>
        <c:delete val="0"/>
        <c:axPos val="l"/>
        <c:numFmt formatCode="0" sourceLinked="0"/>
        <c:majorTickMark val="out"/>
        <c:minorTickMark val="none"/>
        <c:tickLblPos val="nextTo"/>
        <c:crossAx val="20957452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Baseline!$T$103</c:f>
              <c:strCache>
                <c:ptCount val="1"/>
                <c:pt idx="0">
                  <c:v>Knot</c:v>
                </c:pt>
              </c:strCache>
            </c:strRef>
          </c:tx>
          <c:marker>
            <c:symbol val="none"/>
          </c:marker>
          <c:cat>
            <c:numRef>
              <c:f>Baseline!$S$104:$S$113</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Baseline!$T$104:$T$113</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Baseline!$U$103</c:f>
              <c:strCache>
                <c:ptCount val="1"/>
                <c:pt idx="0">
                  <c:v>adj Knot</c:v>
                </c:pt>
              </c:strCache>
            </c:strRef>
          </c:tx>
          <c:marker>
            <c:symbol val="none"/>
          </c:marker>
          <c:cat>
            <c:numRef>
              <c:f>Baseline!$S$104:$S$113</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Baseline!$U$104:$U$113</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11231488"/>
        <c:axId val="211233024"/>
      </c:lineChart>
      <c:catAx>
        <c:axId val="211231488"/>
        <c:scaling>
          <c:orientation val="minMax"/>
        </c:scaling>
        <c:delete val="0"/>
        <c:axPos val="b"/>
        <c:numFmt formatCode="0" sourceLinked="1"/>
        <c:majorTickMark val="out"/>
        <c:minorTickMark val="none"/>
        <c:tickLblPos val="nextTo"/>
        <c:crossAx val="211233024"/>
        <c:crosses val="autoZero"/>
        <c:auto val="1"/>
        <c:lblAlgn val="ctr"/>
        <c:lblOffset val="100"/>
        <c:noMultiLvlLbl val="0"/>
      </c:catAx>
      <c:valAx>
        <c:axId val="211233024"/>
        <c:scaling>
          <c:orientation val="minMax"/>
        </c:scaling>
        <c:delete val="0"/>
        <c:axPos val="l"/>
        <c:numFmt formatCode="0" sourceLinked="0"/>
        <c:majorTickMark val="out"/>
        <c:minorTickMark val="none"/>
        <c:tickLblPos val="nextTo"/>
        <c:crossAx val="21123148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 - corres+cashwindow, wala12to24</c:v>
          </c:tx>
          <c:xVal>
            <c:numRef>
              <c:f>Baseline!$A$30:$A$40</c:f>
              <c:numCache>
                <c:formatCode>0.00</c:formatCode>
                <c:ptCount val="11"/>
                <c:pt idx="0">
                  <c:v>-56.696947071490101</c:v>
                </c:pt>
                <c:pt idx="1">
                  <c:v>-33.134226991627003</c:v>
                </c:pt>
                <c:pt idx="2">
                  <c:v>-9.0774720346177702</c:v>
                </c:pt>
                <c:pt idx="3">
                  <c:v>15.5564121542712</c:v>
                </c:pt>
                <c:pt idx="4">
                  <c:v>37.631503925369103</c:v>
                </c:pt>
                <c:pt idx="5">
                  <c:v>62.402856606011298</c:v>
                </c:pt>
                <c:pt idx="6">
                  <c:v>86.123757917958599</c:v>
                </c:pt>
                <c:pt idx="7">
                  <c:v>111.835033182882</c:v>
                </c:pt>
                <c:pt idx="8">
                  <c:v>134.42075607646501</c:v>
                </c:pt>
                <c:pt idx="9">
                  <c:v>160.53489306501299</c:v>
                </c:pt>
                <c:pt idx="10">
                  <c:v>183.23039087177801</c:v>
                </c:pt>
              </c:numCache>
            </c:numRef>
          </c:xVal>
          <c:yVal>
            <c:numRef>
              <c:f>Baseline!$G$30:$G$40</c:f>
              <c:numCache>
                <c:formatCode>0.00</c:formatCode>
                <c:ptCount val="11"/>
                <c:pt idx="0">
                  <c:v>5.2786397379830596</c:v>
                </c:pt>
                <c:pt idx="1">
                  <c:v>3.4916300692288571</c:v>
                </c:pt>
                <c:pt idx="2">
                  <c:v>8.9858227991811859</c:v>
                </c:pt>
                <c:pt idx="3">
                  <c:v>18.388650160653597</c:v>
                </c:pt>
                <c:pt idx="4">
                  <c:v>30.040524212296106</c:v>
                </c:pt>
                <c:pt idx="5">
                  <c:v>38.50345879556064</c:v>
                </c:pt>
                <c:pt idx="6">
                  <c:v>42.321031147672542</c:v>
                </c:pt>
                <c:pt idx="7">
                  <c:v>43.122079732655472</c:v>
                </c:pt>
                <c:pt idx="8">
                  <c:v>44.269541027297777</c:v>
                </c:pt>
                <c:pt idx="9">
                  <c:v>42.41644592218907</c:v>
                </c:pt>
                <c:pt idx="10">
                  <c:v>49.699111470338032</c:v>
                </c:pt>
              </c:numCache>
            </c:numRef>
          </c:yVal>
          <c:smooth val="1"/>
        </c:ser>
        <c:ser>
          <c:idx val="1"/>
          <c:order val="1"/>
          <c:tx>
            <c:v>prev high media model</c:v>
          </c:tx>
          <c:xVal>
            <c:numRef>
              <c:f>Baseline!$A$30:$A$40</c:f>
              <c:numCache>
                <c:formatCode>0.00</c:formatCode>
                <c:ptCount val="11"/>
                <c:pt idx="0">
                  <c:v>-56.696947071490101</c:v>
                </c:pt>
                <c:pt idx="1">
                  <c:v>-33.134226991627003</c:v>
                </c:pt>
                <c:pt idx="2">
                  <c:v>-9.0774720346177702</c:v>
                </c:pt>
                <c:pt idx="3">
                  <c:v>15.5564121542712</c:v>
                </c:pt>
                <c:pt idx="4">
                  <c:v>37.631503925369103</c:v>
                </c:pt>
                <c:pt idx="5">
                  <c:v>62.402856606011298</c:v>
                </c:pt>
                <c:pt idx="6">
                  <c:v>86.123757917958599</c:v>
                </c:pt>
                <c:pt idx="7">
                  <c:v>111.835033182882</c:v>
                </c:pt>
                <c:pt idx="8">
                  <c:v>134.42075607646501</c:v>
                </c:pt>
                <c:pt idx="9">
                  <c:v>160.53489306501299</c:v>
                </c:pt>
                <c:pt idx="10">
                  <c:v>183.23039087177801</c:v>
                </c:pt>
              </c:numCache>
            </c:numRef>
          </c:xVal>
          <c:yVal>
            <c:numRef>
              <c:f>Baseline!$H$30:$H$40</c:f>
              <c:numCache>
                <c:formatCode>0.00</c:formatCode>
                <c:ptCount val="11"/>
                <c:pt idx="0">
                  <c:v>8.0517738358743642</c:v>
                </c:pt>
                <c:pt idx="1">
                  <c:v>8.8570502228751185</c:v>
                </c:pt>
                <c:pt idx="2">
                  <c:v>16.406399250279613</c:v>
                </c:pt>
                <c:pt idx="3">
                  <c:v>22.523966523985262</c:v>
                </c:pt>
                <c:pt idx="4">
                  <c:v>29.325951485476097</c:v>
                </c:pt>
                <c:pt idx="5">
                  <c:v>36.353961529482859</c:v>
                </c:pt>
                <c:pt idx="6">
                  <c:v>41.709779323905479</c:v>
                </c:pt>
                <c:pt idx="7">
                  <c:v>44.655124226092283</c:v>
                </c:pt>
                <c:pt idx="8">
                  <c:v>47.426373565208067</c:v>
                </c:pt>
                <c:pt idx="9">
                  <c:v>49.490639104015635</c:v>
                </c:pt>
                <c:pt idx="10">
                  <c:v>52.937446631218286</c:v>
                </c:pt>
              </c:numCache>
            </c:numRef>
          </c:yVal>
          <c:smooth val="1"/>
        </c:ser>
        <c:ser>
          <c:idx val="2"/>
          <c:order val="2"/>
          <c:tx>
            <c:v>new model</c:v>
          </c:tx>
          <c:xVal>
            <c:numRef>
              <c:f>Baseline!$A$30:$A$40</c:f>
              <c:numCache>
                <c:formatCode>0.00</c:formatCode>
                <c:ptCount val="11"/>
                <c:pt idx="0">
                  <c:v>-56.696947071490101</c:v>
                </c:pt>
                <c:pt idx="1">
                  <c:v>-33.134226991627003</c:v>
                </c:pt>
                <c:pt idx="2">
                  <c:v>-9.0774720346177702</c:v>
                </c:pt>
                <c:pt idx="3">
                  <c:v>15.5564121542712</c:v>
                </c:pt>
                <c:pt idx="4">
                  <c:v>37.631503925369103</c:v>
                </c:pt>
                <c:pt idx="5">
                  <c:v>62.402856606011298</c:v>
                </c:pt>
                <c:pt idx="6">
                  <c:v>86.123757917958599</c:v>
                </c:pt>
                <c:pt idx="7">
                  <c:v>111.835033182882</c:v>
                </c:pt>
                <c:pt idx="8">
                  <c:v>134.42075607646501</c:v>
                </c:pt>
                <c:pt idx="9">
                  <c:v>160.53489306501299</c:v>
                </c:pt>
                <c:pt idx="10">
                  <c:v>183.23039087177801</c:v>
                </c:pt>
              </c:numCache>
            </c:numRef>
          </c:xVal>
          <c:yVal>
            <c:numRef>
              <c:f>Baseline!$O$30:$O$40</c:f>
              <c:numCache>
                <c:formatCode>0.00</c:formatCode>
                <c:ptCount val="11"/>
                <c:pt idx="0">
                  <c:v>5.9058153494291332</c:v>
                </c:pt>
                <c:pt idx="1">
                  <c:v>6.3020802083969212</c:v>
                </c:pt>
                <c:pt idx="2">
                  <c:v>10.898476435656889</c:v>
                </c:pt>
                <c:pt idx="3">
                  <c:v>19.086147443281288</c:v>
                </c:pt>
                <c:pt idx="4">
                  <c:v>30.408803142235929</c:v>
                </c:pt>
                <c:pt idx="5">
                  <c:v>38.942952568519395</c:v>
                </c:pt>
                <c:pt idx="6">
                  <c:v>42.294621860729961</c:v>
                </c:pt>
                <c:pt idx="7">
                  <c:v>43.100469832283217</c:v>
                </c:pt>
                <c:pt idx="8">
                  <c:v>44.810282051252926</c:v>
                </c:pt>
                <c:pt idx="9">
                  <c:v>46.13194037319596</c:v>
                </c:pt>
                <c:pt idx="10">
                  <c:v>49.462144038083999</c:v>
                </c:pt>
              </c:numCache>
            </c:numRef>
          </c:yVal>
          <c:smooth val="1"/>
        </c:ser>
        <c:dLbls>
          <c:showLegendKey val="0"/>
          <c:showVal val="0"/>
          <c:showCatName val="0"/>
          <c:showSerName val="0"/>
          <c:showPercent val="0"/>
          <c:showBubbleSize val="0"/>
        </c:dLbls>
        <c:axId val="211849216"/>
        <c:axId val="211850752"/>
      </c:scatterChart>
      <c:valAx>
        <c:axId val="211849216"/>
        <c:scaling>
          <c:orientation val="minMax"/>
        </c:scaling>
        <c:delete val="0"/>
        <c:axPos val="b"/>
        <c:numFmt formatCode="0" sourceLinked="0"/>
        <c:majorTickMark val="out"/>
        <c:minorTickMark val="none"/>
        <c:tickLblPos val="nextTo"/>
        <c:crossAx val="211850752"/>
        <c:crosses val="autoZero"/>
        <c:crossBetween val="midCat"/>
      </c:valAx>
      <c:valAx>
        <c:axId val="211850752"/>
        <c:scaling>
          <c:orientation val="minMax"/>
        </c:scaling>
        <c:delete val="0"/>
        <c:axPos val="l"/>
        <c:numFmt formatCode="0.00" sourceLinked="1"/>
        <c:majorTickMark val="out"/>
        <c:minorTickMark val="none"/>
        <c:tickLblPos val="nextTo"/>
        <c:crossAx val="211849216"/>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Baseline!$AD$26</c:f>
              <c:strCache>
                <c:ptCount val="1"/>
                <c:pt idx="0">
                  <c:v>Knot</c:v>
                </c:pt>
              </c:strCache>
            </c:strRef>
          </c:tx>
          <c:marker>
            <c:symbol val="none"/>
          </c:marker>
          <c:cat>
            <c:numRef>
              <c:f>Baseline!$AC$30:$AC$40</c:f>
              <c:numCache>
                <c:formatCode>0</c:formatCode>
                <c:ptCount val="11"/>
                <c:pt idx="0">
                  <c:v>-56.696947071490101</c:v>
                </c:pt>
                <c:pt idx="1">
                  <c:v>-33.134226991627003</c:v>
                </c:pt>
                <c:pt idx="2">
                  <c:v>-9.0774720346177702</c:v>
                </c:pt>
                <c:pt idx="3">
                  <c:v>15.5564121542712</c:v>
                </c:pt>
                <c:pt idx="4">
                  <c:v>37.631503925369103</c:v>
                </c:pt>
                <c:pt idx="5">
                  <c:v>62.402856606011298</c:v>
                </c:pt>
                <c:pt idx="6">
                  <c:v>86.123757917958599</c:v>
                </c:pt>
                <c:pt idx="7">
                  <c:v>111.835033182882</c:v>
                </c:pt>
                <c:pt idx="8">
                  <c:v>134.42075607646501</c:v>
                </c:pt>
                <c:pt idx="9">
                  <c:v>160.53489306501299</c:v>
                </c:pt>
                <c:pt idx="10">
                  <c:v>183.23039087177801</c:v>
                </c:pt>
              </c:numCache>
            </c:numRef>
          </c:cat>
          <c:val>
            <c:numRef>
              <c:f>Baseline!$AD$30:$AD$40</c:f>
              <c:numCache>
                <c:formatCode>0.000</c:formatCode>
                <c:ptCount val="11"/>
                <c:pt idx="0">
                  <c:v>0</c:v>
                </c:pt>
                <c:pt idx="1">
                  <c:v>0.39387319081357403</c:v>
                </c:pt>
                <c:pt idx="2">
                  <c:v>1.1530058138744601</c:v>
                </c:pt>
                <c:pt idx="3">
                  <c:v>1.7164152091598801</c:v>
                </c:pt>
                <c:pt idx="4">
                  <c:v>2.4264029166777901</c:v>
                </c:pt>
                <c:pt idx="5">
                  <c:v>3.3536482047599101</c:v>
                </c:pt>
                <c:pt idx="6">
                  <c:v>4.1191352784208304</c:v>
                </c:pt>
                <c:pt idx="7">
                  <c:v>4.7299139704548203</c:v>
                </c:pt>
                <c:pt idx="8">
                  <c:v>5.2051069926153799</c:v>
                </c:pt>
                <c:pt idx="9">
                  <c:v>5.6662697466415004</c:v>
                </c:pt>
                <c:pt idx="10">
                  <c:v>6.0276934430763003</c:v>
                </c:pt>
              </c:numCache>
            </c:numRef>
          </c:val>
          <c:smooth val="0"/>
        </c:ser>
        <c:ser>
          <c:idx val="1"/>
          <c:order val="1"/>
          <c:tx>
            <c:strRef>
              <c:f>Baseline!$AE$26</c:f>
              <c:strCache>
                <c:ptCount val="1"/>
                <c:pt idx="0">
                  <c:v>adj Knot</c:v>
                </c:pt>
              </c:strCache>
            </c:strRef>
          </c:tx>
          <c:marker>
            <c:symbol val="none"/>
          </c:marker>
          <c:cat>
            <c:numRef>
              <c:f>Baseline!$AC$30:$AC$40</c:f>
              <c:numCache>
                <c:formatCode>0</c:formatCode>
                <c:ptCount val="11"/>
                <c:pt idx="0">
                  <c:v>-56.696947071490101</c:v>
                </c:pt>
                <c:pt idx="1">
                  <c:v>-33.134226991627003</c:v>
                </c:pt>
                <c:pt idx="2">
                  <c:v>-9.0774720346177702</c:v>
                </c:pt>
                <c:pt idx="3">
                  <c:v>15.5564121542712</c:v>
                </c:pt>
                <c:pt idx="4">
                  <c:v>37.631503925369103</c:v>
                </c:pt>
                <c:pt idx="5">
                  <c:v>62.402856606011298</c:v>
                </c:pt>
                <c:pt idx="6">
                  <c:v>86.123757917958599</c:v>
                </c:pt>
                <c:pt idx="7">
                  <c:v>111.835033182882</c:v>
                </c:pt>
                <c:pt idx="8">
                  <c:v>134.42075607646501</c:v>
                </c:pt>
                <c:pt idx="9">
                  <c:v>160.53489306501299</c:v>
                </c:pt>
                <c:pt idx="10">
                  <c:v>183.23039087177801</c:v>
                </c:pt>
              </c:numCache>
            </c:numRef>
          </c:cat>
          <c:val>
            <c:numRef>
              <c:f>Baseline!$AE$30:$AE$40</c:f>
              <c:numCache>
                <c:formatCode>0.000</c:formatCode>
                <c:ptCount val="11"/>
                <c:pt idx="0">
                  <c:v>0</c:v>
                </c:pt>
                <c:pt idx="1">
                  <c:v>0.19693659540678701</c:v>
                </c:pt>
                <c:pt idx="2">
                  <c:v>0.63415319763095312</c:v>
                </c:pt>
                <c:pt idx="3">
                  <c:v>1.3731321673279042</c:v>
                </c:pt>
                <c:pt idx="4">
                  <c:v>2.5477230625116798</c:v>
                </c:pt>
                <c:pt idx="5">
                  <c:v>3.6890130252359015</c:v>
                </c:pt>
                <c:pt idx="6">
                  <c:v>4.2015179839892474</c:v>
                </c:pt>
                <c:pt idx="7">
                  <c:v>4.4934182719320788</c:v>
                </c:pt>
                <c:pt idx="8">
                  <c:v>4.7886984332061493</c:v>
                </c:pt>
                <c:pt idx="9">
                  <c:v>5.0996427719773507</c:v>
                </c:pt>
                <c:pt idx="10">
                  <c:v>5.4249240987686704</c:v>
                </c:pt>
              </c:numCache>
            </c:numRef>
          </c:val>
          <c:smooth val="0"/>
        </c:ser>
        <c:dLbls>
          <c:showLegendKey val="0"/>
          <c:showVal val="0"/>
          <c:showCatName val="0"/>
          <c:showSerName val="0"/>
          <c:showPercent val="0"/>
          <c:showBubbleSize val="0"/>
        </c:dLbls>
        <c:marker val="1"/>
        <c:smooth val="0"/>
        <c:axId val="216868736"/>
        <c:axId val="216870272"/>
      </c:lineChart>
      <c:catAx>
        <c:axId val="216868736"/>
        <c:scaling>
          <c:orientation val="minMax"/>
        </c:scaling>
        <c:delete val="0"/>
        <c:axPos val="b"/>
        <c:numFmt formatCode="0" sourceLinked="1"/>
        <c:majorTickMark val="out"/>
        <c:minorTickMark val="none"/>
        <c:tickLblPos val="nextTo"/>
        <c:crossAx val="216870272"/>
        <c:crosses val="autoZero"/>
        <c:auto val="1"/>
        <c:lblAlgn val="ctr"/>
        <c:lblOffset val="100"/>
        <c:noMultiLvlLbl val="0"/>
      </c:catAx>
      <c:valAx>
        <c:axId val="216870272"/>
        <c:scaling>
          <c:orientation val="minMax"/>
        </c:scaling>
        <c:delete val="0"/>
        <c:axPos val="l"/>
        <c:numFmt formatCode="0" sourceLinked="0"/>
        <c:majorTickMark val="out"/>
        <c:minorTickMark val="none"/>
        <c:tickLblPos val="nextTo"/>
        <c:crossAx val="21686873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Baseline!$Y$103</c:f>
              <c:strCache>
                <c:ptCount val="1"/>
                <c:pt idx="0">
                  <c:v>Knot</c:v>
                </c:pt>
              </c:strCache>
            </c:strRef>
          </c:tx>
          <c:marker>
            <c:symbol val="none"/>
          </c:marker>
          <c:cat>
            <c:numRef>
              <c:f>Baseline!$X$28:$X$41</c:f>
              <c:numCache>
                <c:formatCode>0</c:formatCode>
                <c:ptCount val="14"/>
                <c:pt idx="0">
                  <c:v>-110.175225167985</c:v>
                </c:pt>
                <c:pt idx="1">
                  <c:v>-83.743458923963203</c:v>
                </c:pt>
                <c:pt idx="2">
                  <c:v>-56.696947071490101</c:v>
                </c:pt>
                <c:pt idx="3">
                  <c:v>-33.134226991627003</c:v>
                </c:pt>
                <c:pt idx="4">
                  <c:v>-9.0774720346177702</c:v>
                </c:pt>
                <c:pt idx="5">
                  <c:v>15.5564121542712</c:v>
                </c:pt>
                <c:pt idx="6">
                  <c:v>37.631503925369103</c:v>
                </c:pt>
                <c:pt idx="7">
                  <c:v>62.402856606011298</c:v>
                </c:pt>
                <c:pt idx="8">
                  <c:v>86.123757917958599</c:v>
                </c:pt>
                <c:pt idx="9">
                  <c:v>111.835033182882</c:v>
                </c:pt>
                <c:pt idx="10">
                  <c:v>134.42075607646501</c:v>
                </c:pt>
                <c:pt idx="11">
                  <c:v>160.53489306501299</c:v>
                </c:pt>
                <c:pt idx="12">
                  <c:v>183.23039087177801</c:v>
                </c:pt>
                <c:pt idx="13">
                  <c:v>209.24279868250599</c:v>
                </c:pt>
              </c:numCache>
            </c:numRef>
          </c:cat>
          <c:val>
            <c:numRef>
              <c:f>Baseline!$Y$28:$Y$41</c:f>
              <c:numCache>
                <c:formatCode>0.000</c:formatCode>
                <c:ptCount val="14"/>
                <c:pt idx="0">
                  <c:v>0</c:v>
                </c:pt>
                <c:pt idx="1">
                  <c:v>3.1256266951590402E-2</c:v>
                </c:pt>
                <c:pt idx="2">
                  <c:v>0.18862313043478299</c:v>
                </c:pt>
                <c:pt idx="3">
                  <c:v>0.30615060763888902</c:v>
                </c:pt>
                <c:pt idx="4">
                  <c:v>0.51930077356521698</c:v>
                </c:pt>
                <c:pt idx="5">
                  <c:v>0.98856376263664003</c:v>
                </c:pt>
                <c:pt idx="6">
                  <c:v>1.89537379409471</c:v>
                </c:pt>
                <c:pt idx="7">
                  <c:v>3.3799457765415402</c:v>
                </c:pt>
                <c:pt idx="8">
                  <c:v>4.7646640542534699</c:v>
                </c:pt>
                <c:pt idx="9">
                  <c:v>6.2168084690133298</c:v>
                </c:pt>
                <c:pt idx="10">
                  <c:v>7.60662891263856</c:v>
                </c:pt>
                <c:pt idx="11">
                  <c:v>8.7434835551418502</c:v>
                </c:pt>
                <c:pt idx="12">
                  <c:v>8.8912890705385497</c:v>
                </c:pt>
                <c:pt idx="13">
                  <c:v>8.9</c:v>
                </c:pt>
              </c:numCache>
            </c:numRef>
          </c:val>
          <c:smooth val="0"/>
        </c:ser>
        <c:ser>
          <c:idx val="1"/>
          <c:order val="1"/>
          <c:tx>
            <c:strRef>
              <c:f>Baseline!$Z$103</c:f>
              <c:strCache>
                <c:ptCount val="1"/>
                <c:pt idx="0">
                  <c:v>adj Knot</c:v>
                </c:pt>
              </c:strCache>
            </c:strRef>
          </c:tx>
          <c:marker>
            <c:symbol val="none"/>
          </c:marker>
          <c:cat>
            <c:numRef>
              <c:f>Baseline!$X$28:$X$41</c:f>
              <c:numCache>
                <c:formatCode>0</c:formatCode>
                <c:ptCount val="14"/>
                <c:pt idx="0">
                  <c:v>-110.175225167985</c:v>
                </c:pt>
                <c:pt idx="1">
                  <c:v>-83.743458923963203</c:v>
                </c:pt>
                <c:pt idx="2">
                  <c:v>-56.696947071490101</c:v>
                </c:pt>
                <c:pt idx="3">
                  <c:v>-33.134226991627003</c:v>
                </c:pt>
                <c:pt idx="4">
                  <c:v>-9.0774720346177702</c:v>
                </c:pt>
                <c:pt idx="5">
                  <c:v>15.5564121542712</c:v>
                </c:pt>
                <c:pt idx="6">
                  <c:v>37.631503925369103</c:v>
                </c:pt>
                <c:pt idx="7">
                  <c:v>62.402856606011298</c:v>
                </c:pt>
                <c:pt idx="8">
                  <c:v>86.123757917958599</c:v>
                </c:pt>
                <c:pt idx="9">
                  <c:v>111.835033182882</c:v>
                </c:pt>
                <c:pt idx="10">
                  <c:v>134.42075607646501</c:v>
                </c:pt>
                <c:pt idx="11">
                  <c:v>160.53489306501299</c:v>
                </c:pt>
                <c:pt idx="12">
                  <c:v>183.23039087177801</c:v>
                </c:pt>
                <c:pt idx="13">
                  <c:v>209.24279868250599</c:v>
                </c:pt>
              </c:numCache>
            </c:numRef>
          </c:cat>
          <c:val>
            <c:numRef>
              <c:f>Baseline!$Z$28:$Z$41</c:f>
              <c:numCache>
                <c:formatCode>0.000</c:formatCode>
                <c:ptCount val="14"/>
                <c:pt idx="0">
                  <c:v>0</c:v>
                </c:pt>
                <c:pt idx="1">
                  <c:v>3.1256266951590402E-2</c:v>
                </c:pt>
                <c:pt idx="2">
                  <c:v>0.18862313043478299</c:v>
                </c:pt>
                <c:pt idx="3">
                  <c:v>0.30615060763888902</c:v>
                </c:pt>
                <c:pt idx="4">
                  <c:v>0.51930077356521698</c:v>
                </c:pt>
                <c:pt idx="5">
                  <c:v>0.98856376263664003</c:v>
                </c:pt>
                <c:pt idx="6">
                  <c:v>1.89537379409471</c:v>
                </c:pt>
                <c:pt idx="7">
                  <c:v>3.3799457765415402</c:v>
                </c:pt>
                <c:pt idx="8">
                  <c:v>4.7646640542534699</c:v>
                </c:pt>
                <c:pt idx="9">
                  <c:v>6.2168084690133298</c:v>
                </c:pt>
                <c:pt idx="10">
                  <c:v>7.60662891263856</c:v>
                </c:pt>
                <c:pt idx="11">
                  <c:v>8.7434835551418502</c:v>
                </c:pt>
                <c:pt idx="12">
                  <c:v>8.8912890705385497</c:v>
                </c:pt>
                <c:pt idx="13">
                  <c:v>8.9</c:v>
                </c:pt>
              </c:numCache>
            </c:numRef>
          </c:val>
          <c:smooth val="0"/>
        </c:ser>
        <c:dLbls>
          <c:showLegendKey val="0"/>
          <c:showVal val="0"/>
          <c:showCatName val="0"/>
          <c:showSerName val="0"/>
          <c:showPercent val="0"/>
          <c:showBubbleSize val="0"/>
        </c:dLbls>
        <c:marker val="1"/>
        <c:smooth val="0"/>
        <c:axId val="216891392"/>
        <c:axId val="216892928"/>
      </c:lineChart>
      <c:catAx>
        <c:axId val="216891392"/>
        <c:scaling>
          <c:orientation val="minMax"/>
        </c:scaling>
        <c:delete val="0"/>
        <c:axPos val="b"/>
        <c:numFmt formatCode="0" sourceLinked="1"/>
        <c:majorTickMark val="out"/>
        <c:minorTickMark val="none"/>
        <c:tickLblPos val="nextTo"/>
        <c:crossAx val="216892928"/>
        <c:crosses val="autoZero"/>
        <c:auto val="1"/>
        <c:lblAlgn val="ctr"/>
        <c:lblOffset val="100"/>
        <c:noMultiLvlLbl val="0"/>
      </c:catAx>
      <c:valAx>
        <c:axId val="216892928"/>
        <c:scaling>
          <c:orientation val="minMax"/>
        </c:scaling>
        <c:delete val="0"/>
        <c:axPos val="l"/>
        <c:numFmt formatCode="0" sourceLinked="0"/>
        <c:majorTickMark val="out"/>
        <c:minorTickMark val="none"/>
        <c:tickLblPos val="nextTo"/>
        <c:crossAx val="21689139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Baseline!$T$103</c:f>
              <c:strCache>
                <c:ptCount val="1"/>
                <c:pt idx="0">
                  <c:v>Knot</c:v>
                </c:pt>
              </c:strCache>
            </c:strRef>
          </c:tx>
          <c:marker>
            <c:symbol val="none"/>
          </c:marker>
          <c:cat>
            <c:numRef>
              <c:f>Baseline!$S$27:$S$36</c:f>
              <c:numCache>
                <c:formatCode>0</c:formatCode>
                <c:ptCount val="10"/>
                <c:pt idx="0">
                  <c:v>-131.94999999999999</c:v>
                </c:pt>
                <c:pt idx="1">
                  <c:v>-110.175225167985</c:v>
                </c:pt>
                <c:pt idx="2">
                  <c:v>-83.743458923963203</c:v>
                </c:pt>
                <c:pt idx="3">
                  <c:v>-56.696947071490101</c:v>
                </c:pt>
                <c:pt idx="4">
                  <c:v>-33.134226991627003</c:v>
                </c:pt>
                <c:pt idx="5">
                  <c:v>-9.0774720346177702</c:v>
                </c:pt>
                <c:pt idx="6">
                  <c:v>15.5564121542712</c:v>
                </c:pt>
                <c:pt idx="7">
                  <c:v>37.631503925369103</c:v>
                </c:pt>
                <c:pt idx="8">
                  <c:v>62.402856606011298</c:v>
                </c:pt>
                <c:pt idx="9">
                  <c:v>86.123757917958599</c:v>
                </c:pt>
              </c:numCache>
            </c:numRef>
          </c:cat>
          <c:val>
            <c:numRef>
              <c:f>Baseline!$T$27:$T$36</c:f>
              <c:numCache>
                <c:formatCode>0.000</c:formatCode>
                <c:ptCount val="10"/>
                <c:pt idx="0">
                  <c:v>0.95832877400000005</c:v>
                </c:pt>
                <c:pt idx="1">
                  <c:v>1.012994</c:v>
                </c:pt>
                <c:pt idx="2">
                  <c:v>1.135228248</c:v>
                </c:pt>
                <c:pt idx="3">
                  <c:v>1.2795488639999999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Baseline!$U$103</c:f>
              <c:strCache>
                <c:ptCount val="1"/>
                <c:pt idx="0">
                  <c:v>adj Knot</c:v>
                </c:pt>
              </c:strCache>
            </c:strRef>
          </c:tx>
          <c:marker>
            <c:symbol val="none"/>
          </c:marker>
          <c:cat>
            <c:numRef>
              <c:f>Baseline!$S$27:$S$36</c:f>
              <c:numCache>
                <c:formatCode>0</c:formatCode>
                <c:ptCount val="10"/>
                <c:pt idx="0">
                  <c:v>-131.94999999999999</c:v>
                </c:pt>
                <c:pt idx="1">
                  <c:v>-110.175225167985</c:v>
                </c:pt>
                <c:pt idx="2">
                  <c:v>-83.743458923963203</c:v>
                </c:pt>
                <c:pt idx="3">
                  <c:v>-56.696947071490101</c:v>
                </c:pt>
                <c:pt idx="4">
                  <c:v>-33.134226991627003</c:v>
                </c:pt>
                <c:pt idx="5">
                  <c:v>-9.0774720346177702</c:v>
                </c:pt>
                <c:pt idx="6">
                  <c:v>15.5564121542712</c:v>
                </c:pt>
                <c:pt idx="7">
                  <c:v>37.631503925369103</c:v>
                </c:pt>
                <c:pt idx="8">
                  <c:v>62.402856606011298</c:v>
                </c:pt>
                <c:pt idx="9">
                  <c:v>86.123757917958599</c:v>
                </c:pt>
              </c:numCache>
            </c:numRef>
          </c:cat>
          <c:val>
            <c:numRef>
              <c:f>Baseline!$U$27:$U$36</c:f>
              <c:numCache>
                <c:formatCode>0.000</c:formatCode>
                <c:ptCount val="10"/>
                <c:pt idx="0">
                  <c:v>0.95832877400000005</c:v>
                </c:pt>
                <c:pt idx="1">
                  <c:v>1.012994</c:v>
                </c:pt>
                <c:pt idx="2">
                  <c:v>1.135228248</c:v>
                </c:pt>
                <c:pt idx="3">
                  <c:v>1.2795488639999999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16909696"/>
        <c:axId val="216911232"/>
      </c:lineChart>
      <c:catAx>
        <c:axId val="216909696"/>
        <c:scaling>
          <c:orientation val="minMax"/>
        </c:scaling>
        <c:delete val="0"/>
        <c:axPos val="b"/>
        <c:numFmt formatCode="0" sourceLinked="1"/>
        <c:majorTickMark val="out"/>
        <c:minorTickMark val="none"/>
        <c:tickLblPos val="nextTo"/>
        <c:crossAx val="216911232"/>
        <c:crosses val="autoZero"/>
        <c:auto val="1"/>
        <c:lblAlgn val="ctr"/>
        <c:lblOffset val="100"/>
        <c:noMultiLvlLbl val="0"/>
      </c:catAx>
      <c:valAx>
        <c:axId val="216911232"/>
        <c:scaling>
          <c:orientation val="minMax"/>
        </c:scaling>
        <c:delete val="0"/>
        <c:axPos val="l"/>
        <c:numFmt formatCode="0" sourceLinked="0"/>
        <c:majorTickMark val="out"/>
        <c:minorTickMark val="none"/>
        <c:tickLblPos val="nextTo"/>
        <c:crossAx val="21690969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Baseline!$AS$68</c:f>
              <c:strCache>
                <c:ptCount val="1"/>
                <c:pt idx="0">
                  <c:v>PCT_BROKER</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Baseline!$AS$73:$AS$82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1"/>
          <c:order val="1"/>
          <c:tx>
            <c:strRef>
              <c:f>Baseline!$AT$68</c:f>
              <c:strCache>
                <c:ptCount val="1"/>
                <c:pt idx="0">
                  <c:v>PCT_CORRES</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Baseline!$AT$73:$AT$82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2"/>
          <c:tx>
            <c:strRef>
              <c:f>Baseline!$AU$68</c:f>
              <c:strCache>
                <c:ptCount val="1"/>
                <c:pt idx="0">
                  <c:v>PCT_NonRETAIL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Baseline!$AU$73:$AU$82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5"/>
          <c:order val="3"/>
          <c:tx>
            <c:strRef>
              <c:f>Baseline!$AV$68</c:f>
              <c:strCache>
                <c:ptCount val="1"/>
                <c:pt idx="0">
                  <c:v>PCT_RETAIL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Baseline!$AV$73:$AV$82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1"/>
        <c:smooth val="0"/>
        <c:axId val="217978368"/>
        <c:axId val="217979904"/>
      </c:lineChart>
      <c:catAx>
        <c:axId val="217978368"/>
        <c:scaling>
          <c:orientation val="minMax"/>
        </c:scaling>
        <c:delete val="0"/>
        <c:axPos val="b"/>
        <c:majorTickMark val="out"/>
        <c:minorTickMark val="none"/>
        <c:tickLblPos val="nextTo"/>
        <c:crossAx val="217979904"/>
        <c:crosses val="autoZero"/>
        <c:auto val="1"/>
        <c:lblAlgn val="ctr"/>
        <c:lblOffset val="100"/>
        <c:noMultiLvlLbl val="0"/>
      </c:catAx>
      <c:valAx>
        <c:axId val="217979904"/>
        <c:scaling>
          <c:orientation val="minMax"/>
        </c:scaling>
        <c:delete val="0"/>
        <c:axPos val="l"/>
        <c:majorGridlines/>
        <c:numFmt formatCode="0.00" sourceLinked="1"/>
        <c:majorTickMark val="out"/>
        <c:minorTickMark val="none"/>
        <c:tickLblPos val="nextTo"/>
        <c:crossAx val="21797836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 - NonCashWindow, wala12to24</c:v>
          </c:tx>
          <c:xVal>
            <c:numRef>
              <c:f>Baseline!$A$199:$A$220</c:f>
              <c:numCache>
                <c:formatCode>0.00</c:formatCode>
                <c:ptCount val="22"/>
                <c:pt idx="0">
                  <c:v>-12.3075783504489</c:v>
                </c:pt>
                <c:pt idx="1">
                  <c:v>-7.2936691685875399</c:v>
                </c:pt>
                <c:pt idx="2">
                  <c:v>-2.3690024011631201</c:v>
                </c:pt>
                <c:pt idx="3">
                  <c:v>2.59002435886944</c:v>
                </c:pt>
                <c:pt idx="4">
                  <c:v>7.6405272530034596</c:v>
                </c:pt>
                <c:pt idx="5">
                  <c:v>12.6307763154631</c:v>
                </c:pt>
                <c:pt idx="6">
                  <c:v>17.622381253042899</c:v>
                </c:pt>
                <c:pt idx="7">
                  <c:v>22.560662303897001</c:v>
                </c:pt>
                <c:pt idx="8">
                  <c:v>27.5693575745095</c:v>
                </c:pt>
                <c:pt idx="9">
                  <c:v>32.521652477581597</c:v>
                </c:pt>
                <c:pt idx="10">
                  <c:v>37.529892332128099</c:v>
                </c:pt>
                <c:pt idx="11">
                  <c:v>42.500046610637099</c:v>
                </c:pt>
                <c:pt idx="12">
                  <c:v>47.5599904408217</c:v>
                </c:pt>
                <c:pt idx="13">
                  <c:v>52.556852645500399</c:v>
                </c:pt>
                <c:pt idx="14">
                  <c:v>57.503638390357402</c:v>
                </c:pt>
                <c:pt idx="15">
                  <c:v>62.498118249727199</c:v>
                </c:pt>
                <c:pt idx="16">
                  <c:v>67.486941816233099</c:v>
                </c:pt>
                <c:pt idx="17">
                  <c:v>72.520422224818901</c:v>
                </c:pt>
                <c:pt idx="18">
                  <c:v>86.348471629290103</c:v>
                </c:pt>
                <c:pt idx="19">
                  <c:v>111.718332385794</c:v>
                </c:pt>
                <c:pt idx="20">
                  <c:v>134.94959605790601</c:v>
                </c:pt>
                <c:pt idx="21">
                  <c:v>160.59824035554701</c:v>
                </c:pt>
              </c:numCache>
            </c:numRef>
          </c:xVal>
          <c:yVal>
            <c:numRef>
              <c:f>Baseline!$G$199:$G$220</c:f>
              <c:numCache>
                <c:formatCode>0.00</c:formatCode>
                <c:ptCount val="22"/>
                <c:pt idx="0">
                  <c:v>6.1295516587338224</c:v>
                </c:pt>
                <c:pt idx="1">
                  <c:v>7.0664615021935218</c:v>
                </c:pt>
                <c:pt idx="2">
                  <c:v>8.6206608161297549</c:v>
                </c:pt>
                <c:pt idx="3">
                  <c:v>11.349407320487003</c:v>
                </c:pt>
                <c:pt idx="4">
                  <c:v>8.9300337352935308</c:v>
                </c:pt>
                <c:pt idx="5">
                  <c:v>12.358123248222263</c:v>
                </c:pt>
                <c:pt idx="6">
                  <c:v>11.611540077245241</c:v>
                </c:pt>
                <c:pt idx="7">
                  <c:v>13.266258665496222</c:v>
                </c:pt>
                <c:pt idx="8">
                  <c:v>14.748330428502598</c:v>
                </c:pt>
                <c:pt idx="9">
                  <c:v>16.263458105646599</c:v>
                </c:pt>
                <c:pt idx="10">
                  <c:v>17.51398688830248</c:v>
                </c:pt>
                <c:pt idx="11">
                  <c:v>19.218846128225152</c:v>
                </c:pt>
                <c:pt idx="12">
                  <c:v>19.995137734802981</c:v>
                </c:pt>
                <c:pt idx="13">
                  <c:v>22.230135510407312</c:v>
                </c:pt>
                <c:pt idx="14">
                  <c:v>23.19829636442585</c:v>
                </c:pt>
                <c:pt idx="15">
                  <c:v>26.051910026550363</c:v>
                </c:pt>
                <c:pt idx="16">
                  <c:v>27.721685448049239</c:v>
                </c:pt>
                <c:pt idx="17">
                  <c:v>28.206016589357084</c:v>
                </c:pt>
                <c:pt idx="18">
                  <c:v>31.348324507307769</c:v>
                </c:pt>
                <c:pt idx="19">
                  <c:v>34.969997259688633</c:v>
                </c:pt>
                <c:pt idx="20">
                  <c:v>35.363464857130268</c:v>
                </c:pt>
                <c:pt idx="21">
                  <c:v>34.060939837629299</c:v>
                </c:pt>
              </c:numCache>
            </c:numRef>
          </c:yVal>
          <c:smooth val="1"/>
        </c:ser>
        <c:ser>
          <c:idx val="1"/>
          <c:order val="1"/>
          <c:tx>
            <c:v>prev high media model</c:v>
          </c:tx>
          <c:xVal>
            <c:numRef>
              <c:f>Baseline!$A$199:$A$220</c:f>
              <c:numCache>
                <c:formatCode>0.00</c:formatCode>
                <c:ptCount val="22"/>
                <c:pt idx="0">
                  <c:v>-12.3075783504489</c:v>
                </c:pt>
                <c:pt idx="1">
                  <c:v>-7.2936691685875399</c:v>
                </c:pt>
                <c:pt idx="2">
                  <c:v>-2.3690024011631201</c:v>
                </c:pt>
                <c:pt idx="3">
                  <c:v>2.59002435886944</c:v>
                </c:pt>
                <c:pt idx="4">
                  <c:v>7.6405272530034596</c:v>
                </c:pt>
                <c:pt idx="5">
                  <c:v>12.6307763154631</c:v>
                </c:pt>
                <c:pt idx="6">
                  <c:v>17.622381253042899</c:v>
                </c:pt>
                <c:pt idx="7">
                  <c:v>22.560662303897001</c:v>
                </c:pt>
                <c:pt idx="8">
                  <c:v>27.5693575745095</c:v>
                </c:pt>
                <c:pt idx="9">
                  <c:v>32.521652477581597</c:v>
                </c:pt>
                <c:pt idx="10">
                  <c:v>37.529892332128099</c:v>
                </c:pt>
                <c:pt idx="11">
                  <c:v>42.500046610637099</c:v>
                </c:pt>
                <c:pt idx="12">
                  <c:v>47.5599904408217</c:v>
                </c:pt>
                <c:pt idx="13">
                  <c:v>52.556852645500399</c:v>
                </c:pt>
                <c:pt idx="14">
                  <c:v>57.503638390357402</c:v>
                </c:pt>
                <c:pt idx="15">
                  <c:v>62.498118249727199</c:v>
                </c:pt>
                <c:pt idx="16">
                  <c:v>67.486941816233099</c:v>
                </c:pt>
                <c:pt idx="17">
                  <c:v>72.520422224818901</c:v>
                </c:pt>
                <c:pt idx="18">
                  <c:v>86.348471629290103</c:v>
                </c:pt>
                <c:pt idx="19">
                  <c:v>111.718332385794</c:v>
                </c:pt>
                <c:pt idx="20">
                  <c:v>134.94959605790601</c:v>
                </c:pt>
                <c:pt idx="21">
                  <c:v>160.59824035554701</c:v>
                </c:pt>
              </c:numCache>
            </c:numRef>
          </c:xVal>
          <c:yVal>
            <c:numRef>
              <c:f>Baseline!$H$199:$H$220</c:f>
              <c:numCache>
                <c:formatCode>0.00</c:formatCode>
                <c:ptCount val="22"/>
                <c:pt idx="0">
                  <c:v>13.749128539207911</c:v>
                </c:pt>
                <c:pt idx="1">
                  <c:v>14.834312811602812</c:v>
                </c:pt>
                <c:pt idx="2">
                  <c:v>16.145282909137094</c:v>
                </c:pt>
                <c:pt idx="3">
                  <c:v>17.173475482044687</c:v>
                </c:pt>
                <c:pt idx="4">
                  <c:v>18.004414560687753</c:v>
                </c:pt>
                <c:pt idx="5">
                  <c:v>19.169131184681365</c:v>
                </c:pt>
                <c:pt idx="6">
                  <c:v>20.375723320377681</c:v>
                </c:pt>
                <c:pt idx="7">
                  <c:v>21.938161986626202</c:v>
                </c:pt>
                <c:pt idx="8">
                  <c:v>23.397122746612254</c:v>
                </c:pt>
                <c:pt idx="9">
                  <c:v>25.027170596465474</c:v>
                </c:pt>
                <c:pt idx="10">
                  <c:v>26.456592512491007</c:v>
                </c:pt>
                <c:pt idx="11">
                  <c:v>27.694438874601591</c:v>
                </c:pt>
                <c:pt idx="12">
                  <c:v>29.140103386118643</c:v>
                </c:pt>
                <c:pt idx="13">
                  <c:v>30.385602493158814</c:v>
                </c:pt>
                <c:pt idx="14">
                  <c:v>31.655313128446494</c:v>
                </c:pt>
                <c:pt idx="15">
                  <c:v>32.891013328833793</c:v>
                </c:pt>
                <c:pt idx="16">
                  <c:v>33.844613093510148</c:v>
                </c:pt>
                <c:pt idx="17">
                  <c:v>35.128645784460986</c:v>
                </c:pt>
                <c:pt idx="18">
                  <c:v>37.798067821439382</c:v>
                </c:pt>
                <c:pt idx="19">
                  <c:v>40.619513547593819</c:v>
                </c:pt>
                <c:pt idx="20">
                  <c:v>43.014442578575654</c:v>
                </c:pt>
                <c:pt idx="21">
                  <c:v>44.760994959218372</c:v>
                </c:pt>
              </c:numCache>
            </c:numRef>
          </c:yVal>
          <c:smooth val="1"/>
        </c:ser>
        <c:ser>
          <c:idx val="2"/>
          <c:order val="2"/>
          <c:tx>
            <c:v>new model</c:v>
          </c:tx>
          <c:xVal>
            <c:numRef>
              <c:f>Baseline!$A$199:$A$220</c:f>
              <c:numCache>
                <c:formatCode>0.00</c:formatCode>
                <c:ptCount val="22"/>
                <c:pt idx="0">
                  <c:v>-12.3075783504489</c:v>
                </c:pt>
                <c:pt idx="1">
                  <c:v>-7.2936691685875399</c:v>
                </c:pt>
                <c:pt idx="2">
                  <c:v>-2.3690024011631201</c:v>
                </c:pt>
                <c:pt idx="3">
                  <c:v>2.59002435886944</c:v>
                </c:pt>
                <c:pt idx="4">
                  <c:v>7.6405272530034596</c:v>
                </c:pt>
                <c:pt idx="5">
                  <c:v>12.6307763154631</c:v>
                </c:pt>
                <c:pt idx="6">
                  <c:v>17.622381253042899</c:v>
                </c:pt>
                <c:pt idx="7">
                  <c:v>22.560662303897001</c:v>
                </c:pt>
                <c:pt idx="8">
                  <c:v>27.5693575745095</c:v>
                </c:pt>
                <c:pt idx="9">
                  <c:v>32.521652477581597</c:v>
                </c:pt>
                <c:pt idx="10">
                  <c:v>37.529892332128099</c:v>
                </c:pt>
                <c:pt idx="11">
                  <c:v>42.500046610637099</c:v>
                </c:pt>
                <c:pt idx="12">
                  <c:v>47.5599904408217</c:v>
                </c:pt>
                <c:pt idx="13">
                  <c:v>52.556852645500399</c:v>
                </c:pt>
                <c:pt idx="14">
                  <c:v>57.503638390357402</c:v>
                </c:pt>
                <c:pt idx="15">
                  <c:v>62.498118249727199</c:v>
                </c:pt>
                <c:pt idx="16">
                  <c:v>67.486941816233099</c:v>
                </c:pt>
                <c:pt idx="17">
                  <c:v>72.520422224818901</c:v>
                </c:pt>
                <c:pt idx="18">
                  <c:v>86.348471629290103</c:v>
                </c:pt>
                <c:pt idx="19">
                  <c:v>111.718332385794</c:v>
                </c:pt>
                <c:pt idx="20">
                  <c:v>134.94959605790601</c:v>
                </c:pt>
                <c:pt idx="21">
                  <c:v>160.59824035554701</c:v>
                </c:pt>
              </c:numCache>
            </c:numRef>
          </c:xVal>
          <c:yVal>
            <c:numRef>
              <c:f>Baseline!$O$199:$O$220</c:f>
              <c:numCache>
                <c:formatCode>0.00</c:formatCode>
                <c:ptCount val="22"/>
                <c:pt idx="0">
                  <c:v>5.79315005047828</c:v>
                </c:pt>
                <c:pt idx="1">
                  <c:v>7.10004986480266</c:v>
                </c:pt>
                <c:pt idx="2">
                  <c:v>7.8717942275912334</c:v>
                </c:pt>
                <c:pt idx="3">
                  <c:v>8.5809472125998099</c:v>
                </c:pt>
                <c:pt idx="4">
                  <c:v>9.3259349024144669</c:v>
                </c:pt>
                <c:pt idx="5">
                  <c:v>10.12997331710338</c:v>
                </c:pt>
                <c:pt idx="6">
                  <c:v>11.256396279379766</c:v>
                </c:pt>
                <c:pt idx="7">
                  <c:v>12.382582525341235</c:v>
                </c:pt>
                <c:pt idx="8">
                  <c:v>13.810652875691243</c:v>
                </c:pt>
                <c:pt idx="9">
                  <c:v>15.374992231668994</c:v>
                </c:pt>
                <c:pt idx="10">
                  <c:v>17.303200009508323</c:v>
                </c:pt>
                <c:pt idx="11">
                  <c:v>19.242964517068273</c:v>
                </c:pt>
                <c:pt idx="12">
                  <c:v>21.420514287525748</c:v>
                </c:pt>
                <c:pt idx="13">
                  <c:v>23.515469054518523</c:v>
                </c:pt>
                <c:pt idx="14">
                  <c:v>25.539505429028431</c:v>
                </c:pt>
                <c:pt idx="15">
                  <c:v>27.848044973787335</c:v>
                </c:pt>
                <c:pt idx="16">
                  <c:v>30.011019124159855</c:v>
                </c:pt>
                <c:pt idx="17">
                  <c:v>31.220443010551847</c:v>
                </c:pt>
                <c:pt idx="18">
                  <c:v>34.656768070775115</c:v>
                </c:pt>
                <c:pt idx="19">
                  <c:v>35.441926440175521</c:v>
                </c:pt>
                <c:pt idx="20">
                  <c:v>36.133481503151273</c:v>
                </c:pt>
                <c:pt idx="21">
                  <c:v>37.566818138503692</c:v>
                </c:pt>
              </c:numCache>
            </c:numRef>
          </c:yVal>
          <c:smooth val="1"/>
        </c:ser>
        <c:dLbls>
          <c:showLegendKey val="0"/>
          <c:showVal val="0"/>
          <c:showCatName val="0"/>
          <c:showSerName val="0"/>
          <c:showPercent val="0"/>
          <c:showBubbleSize val="0"/>
        </c:dLbls>
        <c:axId val="218217856"/>
        <c:axId val="218899584"/>
      </c:scatterChart>
      <c:valAx>
        <c:axId val="218217856"/>
        <c:scaling>
          <c:orientation val="minMax"/>
        </c:scaling>
        <c:delete val="0"/>
        <c:axPos val="b"/>
        <c:numFmt formatCode="0" sourceLinked="0"/>
        <c:majorTickMark val="out"/>
        <c:minorTickMark val="none"/>
        <c:tickLblPos val="nextTo"/>
        <c:crossAx val="218899584"/>
        <c:crosses val="autoZero"/>
        <c:crossBetween val="midCat"/>
      </c:valAx>
      <c:valAx>
        <c:axId val="218899584"/>
        <c:scaling>
          <c:orientation val="minMax"/>
        </c:scaling>
        <c:delete val="0"/>
        <c:axPos val="l"/>
        <c:numFmt formatCode="0.00" sourceLinked="1"/>
        <c:majorTickMark val="out"/>
        <c:minorTickMark val="none"/>
        <c:tickLblPos val="nextTo"/>
        <c:crossAx val="218217856"/>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Baseline!$AD$192</c:f>
              <c:strCache>
                <c:ptCount val="1"/>
                <c:pt idx="0">
                  <c:v>Knot</c:v>
                </c:pt>
              </c:strCache>
            </c:strRef>
          </c:tx>
          <c:marker>
            <c:symbol val="none"/>
          </c:marker>
          <c:cat>
            <c:numRef>
              <c:f>Baseline!$AC$193:$AC$220</c:f>
              <c:numCache>
                <c:formatCode>0</c:formatCode>
                <c:ptCount val="28"/>
                <c:pt idx="0">
                  <c:v>-107.582908254133</c:v>
                </c:pt>
                <c:pt idx="1">
                  <c:v>-83.391670432831603</c:v>
                </c:pt>
                <c:pt idx="2">
                  <c:v>-58.2184028779524</c:v>
                </c:pt>
                <c:pt idx="3">
                  <c:v>-33.461505855893002</c:v>
                </c:pt>
                <c:pt idx="4">
                  <c:v>-22.330523605828901</c:v>
                </c:pt>
                <c:pt idx="5">
                  <c:v>-17.340948323743898</c:v>
                </c:pt>
                <c:pt idx="6">
                  <c:v>-12.3075783504489</c:v>
                </c:pt>
                <c:pt idx="7">
                  <c:v>-7.2936691685875399</c:v>
                </c:pt>
                <c:pt idx="8">
                  <c:v>-2.3690024011631201</c:v>
                </c:pt>
                <c:pt idx="9">
                  <c:v>2.59002435886944</c:v>
                </c:pt>
                <c:pt idx="10">
                  <c:v>7.6405272530034596</c:v>
                </c:pt>
                <c:pt idx="11">
                  <c:v>12.6307763154631</c:v>
                </c:pt>
                <c:pt idx="12">
                  <c:v>17.622381253042899</c:v>
                </c:pt>
                <c:pt idx="13">
                  <c:v>22.560662303897001</c:v>
                </c:pt>
                <c:pt idx="14">
                  <c:v>27.5693575745095</c:v>
                </c:pt>
                <c:pt idx="15">
                  <c:v>32.521652477581597</c:v>
                </c:pt>
                <c:pt idx="16">
                  <c:v>37.529892332128099</c:v>
                </c:pt>
                <c:pt idx="17">
                  <c:v>42.500046610637099</c:v>
                </c:pt>
                <c:pt idx="18">
                  <c:v>47.5599904408217</c:v>
                </c:pt>
                <c:pt idx="19">
                  <c:v>52.556852645500399</c:v>
                </c:pt>
                <c:pt idx="20">
                  <c:v>57.503638390357402</c:v>
                </c:pt>
                <c:pt idx="21">
                  <c:v>62.498118249727199</c:v>
                </c:pt>
                <c:pt idx="22">
                  <c:v>67.486941816233099</c:v>
                </c:pt>
                <c:pt idx="23">
                  <c:v>72.520422224818901</c:v>
                </c:pt>
                <c:pt idx="24">
                  <c:v>86.348471629290103</c:v>
                </c:pt>
                <c:pt idx="25">
                  <c:v>111.718332385794</c:v>
                </c:pt>
                <c:pt idx="26">
                  <c:v>134.94959605790601</c:v>
                </c:pt>
                <c:pt idx="27">
                  <c:v>160.59824035554701</c:v>
                </c:pt>
              </c:numCache>
            </c:numRef>
          </c:cat>
          <c:val>
            <c:numRef>
              <c:f>Baseline!$AD$193:$AD$220</c:f>
              <c:numCache>
                <c:formatCode>0.000</c:formatCode>
                <c:ptCount val="28"/>
                <c:pt idx="0">
                  <c:v>0</c:v>
                </c:pt>
                <c:pt idx="1">
                  <c:v>0</c:v>
                </c:pt>
                <c:pt idx="2">
                  <c:v>0</c:v>
                </c:pt>
                <c:pt idx="3">
                  <c:v>0.39387319081357403</c:v>
                </c:pt>
                <c:pt idx="4">
                  <c:v>0.79645948376475795</c:v>
                </c:pt>
                <c:pt idx="5">
                  <c:v>0.95362938111262996</c:v>
                </c:pt>
                <c:pt idx="6">
                  <c:v>1.08142635820954</c:v>
                </c:pt>
                <c:pt idx="7">
                  <c:v>1.1993277822989601</c:v>
                </c:pt>
                <c:pt idx="8">
                  <c:v>1.3122379125033801</c:v>
                </c:pt>
                <c:pt idx="9">
                  <c:v>1.4018480364105399</c:v>
                </c:pt>
                <c:pt idx="10">
                  <c:v>1.51655790515</c:v>
                </c:pt>
                <c:pt idx="11">
                  <c:v>1.6382587772578501</c:v>
                </c:pt>
                <c:pt idx="12">
                  <c:v>1.77123004461028</c:v>
                </c:pt>
                <c:pt idx="13">
                  <c:v>1.91883456513696</c:v>
                </c:pt>
                <c:pt idx="14">
                  <c:v>2.0788177485891102</c:v>
                </c:pt>
                <c:pt idx="15">
                  <c:v>2.2487416798578299</c:v>
                </c:pt>
                <c:pt idx="16">
                  <c:v>2.4264029166777901</c:v>
                </c:pt>
                <c:pt idx="17">
                  <c:v>2.6095980167836599</c:v>
                </c:pt>
                <c:pt idx="18">
                  <c:v>2.7961235379101401</c:v>
                </c:pt>
                <c:pt idx="19">
                  <c:v>2.9837760377918898</c:v>
                </c:pt>
                <c:pt idx="20">
                  <c:v>3.1703520741635902</c:v>
                </c:pt>
                <c:pt idx="21">
                  <c:v>3.3536482047599101</c:v>
                </c:pt>
                <c:pt idx="22">
                  <c:v>3.5314609873155498</c:v>
                </c:pt>
                <c:pt idx="23">
                  <c:v>3.7015869795651599</c:v>
                </c:pt>
                <c:pt idx="24">
                  <c:v>4.1191352784208304</c:v>
                </c:pt>
                <c:pt idx="25">
                  <c:v>4.7299139704548203</c:v>
                </c:pt>
                <c:pt idx="26">
                  <c:v>5.2051069926153799</c:v>
                </c:pt>
                <c:pt idx="27">
                  <c:v>5.6662697466415004</c:v>
                </c:pt>
              </c:numCache>
            </c:numRef>
          </c:val>
          <c:smooth val="0"/>
        </c:ser>
        <c:ser>
          <c:idx val="1"/>
          <c:order val="1"/>
          <c:tx>
            <c:strRef>
              <c:f>Baseline!$AE$192</c:f>
              <c:strCache>
                <c:ptCount val="1"/>
                <c:pt idx="0">
                  <c:v>adj Knot</c:v>
                </c:pt>
              </c:strCache>
            </c:strRef>
          </c:tx>
          <c:marker>
            <c:symbol val="none"/>
          </c:marker>
          <c:cat>
            <c:numRef>
              <c:f>Baseline!$AC$193:$AC$220</c:f>
              <c:numCache>
                <c:formatCode>0</c:formatCode>
                <c:ptCount val="28"/>
                <c:pt idx="0">
                  <c:v>-107.582908254133</c:v>
                </c:pt>
                <c:pt idx="1">
                  <c:v>-83.391670432831603</c:v>
                </c:pt>
                <c:pt idx="2">
                  <c:v>-58.2184028779524</c:v>
                </c:pt>
                <c:pt idx="3">
                  <c:v>-33.461505855893002</c:v>
                </c:pt>
                <c:pt idx="4">
                  <c:v>-22.330523605828901</c:v>
                </c:pt>
                <c:pt idx="5">
                  <c:v>-17.340948323743898</c:v>
                </c:pt>
                <c:pt idx="6">
                  <c:v>-12.3075783504489</c:v>
                </c:pt>
                <c:pt idx="7">
                  <c:v>-7.2936691685875399</c:v>
                </c:pt>
                <c:pt idx="8">
                  <c:v>-2.3690024011631201</c:v>
                </c:pt>
                <c:pt idx="9">
                  <c:v>2.59002435886944</c:v>
                </c:pt>
                <c:pt idx="10">
                  <c:v>7.6405272530034596</c:v>
                </c:pt>
                <c:pt idx="11">
                  <c:v>12.6307763154631</c:v>
                </c:pt>
                <c:pt idx="12">
                  <c:v>17.622381253042899</c:v>
                </c:pt>
                <c:pt idx="13">
                  <c:v>22.560662303897001</c:v>
                </c:pt>
                <c:pt idx="14">
                  <c:v>27.5693575745095</c:v>
                </c:pt>
                <c:pt idx="15">
                  <c:v>32.521652477581597</c:v>
                </c:pt>
                <c:pt idx="16">
                  <c:v>37.529892332128099</c:v>
                </c:pt>
                <c:pt idx="17">
                  <c:v>42.500046610637099</c:v>
                </c:pt>
                <c:pt idx="18">
                  <c:v>47.5599904408217</c:v>
                </c:pt>
                <c:pt idx="19">
                  <c:v>52.556852645500399</c:v>
                </c:pt>
                <c:pt idx="20">
                  <c:v>57.503638390357402</c:v>
                </c:pt>
                <c:pt idx="21">
                  <c:v>62.498118249727199</c:v>
                </c:pt>
                <c:pt idx="22">
                  <c:v>67.486941816233099</c:v>
                </c:pt>
                <c:pt idx="23">
                  <c:v>72.520422224818901</c:v>
                </c:pt>
                <c:pt idx="24">
                  <c:v>86.348471629290103</c:v>
                </c:pt>
                <c:pt idx="25">
                  <c:v>111.718332385794</c:v>
                </c:pt>
                <c:pt idx="26">
                  <c:v>134.94959605790601</c:v>
                </c:pt>
                <c:pt idx="27">
                  <c:v>160.59824035554701</c:v>
                </c:pt>
              </c:numCache>
            </c:numRef>
          </c:cat>
          <c:val>
            <c:numRef>
              <c:f>Baseline!$AE$193:$AE$220</c:f>
              <c:numCache>
                <c:formatCode>0.000</c:formatCode>
                <c:ptCount val="28"/>
                <c:pt idx="0">
                  <c:v>0</c:v>
                </c:pt>
                <c:pt idx="1">
                  <c:v>0</c:v>
                </c:pt>
                <c:pt idx="2">
                  <c:v>0</c:v>
                </c:pt>
                <c:pt idx="3">
                  <c:v>0.19693659540678701</c:v>
                </c:pt>
                <c:pt idx="4">
                  <c:v>0.40619433672002658</c:v>
                </c:pt>
                <c:pt idx="5">
                  <c:v>0.49588727817856759</c:v>
                </c:pt>
                <c:pt idx="6">
                  <c:v>0.57315596985105621</c:v>
                </c:pt>
                <c:pt idx="7">
                  <c:v>0.64763700244143851</c:v>
                </c:pt>
                <c:pt idx="8">
                  <c:v>0.72173085187685915</c:v>
                </c:pt>
                <c:pt idx="9">
                  <c:v>0.84110882184632407</c:v>
                </c:pt>
                <c:pt idx="10">
                  <c:v>0.9857626383475</c:v>
                </c:pt>
                <c:pt idx="11">
                  <c:v>1.1467811440804951</c:v>
                </c:pt>
                <c:pt idx="12">
                  <c:v>1.32842253345771</c:v>
                </c:pt>
                <c:pt idx="13">
                  <c:v>1.5350676521095681</c:v>
                </c:pt>
                <c:pt idx="14">
                  <c:v>1.7669950863007438</c:v>
                </c:pt>
                <c:pt idx="15">
                  <c:v>2.0238675118720471</c:v>
                </c:pt>
                <c:pt idx="16">
                  <c:v>2.3050827708439008</c:v>
                </c:pt>
                <c:pt idx="17">
                  <c:v>2.6095980167836599</c:v>
                </c:pt>
                <c:pt idx="18">
                  <c:v>2.9359297148056474</c:v>
                </c:pt>
                <c:pt idx="19">
                  <c:v>3.282153641571079</c:v>
                </c:pt>
                <c:pt idx="20">
                  <c:v>3.4873872815799496</c:v>
                </c:pt>
                <c:pt idx="21">
                  <c:v>3.6890130252359015</c:v>
                </c:pt>
                <c:pt idx="22">
                  <c:v>3.8846070860471049</c:v>
                </c:pt>
                <c:pt idx="23">
                  <c:v>4.071745677521676</c:v>
                </c:pt>
                <c:pt idx="24">
                  <c:v>4.2015179839892474</c:v>
                </c:pt>
                <c:pt idx="25">
                  <c:v>4.4934182719320788</c:v>
                </c:pt>
                <c:pt idx="26">
                  <c:v>4.7886984332061493</c:v>
                </c:pt>
                <c:pt idx="27">
                  <c:v>5.0996427719773507</c:v>
                </c:pt>
              </c:numCache>
            </c:numRef>
          </c:val>
          <c:smooth val="0"/>
        </c:ser>
        <c:dLbls>
          <c:showLegendKey val="0"/>
          <c:showVal val="0"/>
          <c:showCatName val="0"/>
          <c:showSerName val="0"/>
          <c:showPercent val="0"/>
          <c:showBubbleSize val="0"/>
        </c:dLbls>
        <c:marker val="1"/>
        <c:smooth val="0"/>
        <c:axId val="218905984"/>
        <c:axId val="218920064"/>
      </c:lineChart>
      <c:catAx>
        <c:axId val="218905984"/>
        <c:scaling>
          <c:orientation val="minMax"/>
        </c:scaling>
        <c:delete val="0"/>
        <c:axPos val="b"/>
        <c:numFmt formatCode="0" sourceLinked="1"/>
        <c:majorTickMark val="out"/>
        <c:minorTickMark val="none"/>
        <c:tickLblPos val="nextTo"/>
        <c:crossAx val="218920064"/>
        <c:crosses val="autoZero"/>
        <c:auto val="1"/>
        <c:lblAlgn val="ctr"/>
        <c:lblOffset val="100"/>
        <c:noMultiLvlLbl val="0"/>
      </c:catAx>
      <c:valAx>
        <c:axId val="218920064"/>
        <c:scaling>
          <c:orientation val="minMax"/>
        </c:scaling>
        <c:delete val="0"/>
        <c:axPos val="l"/>
        <c:numFmt formatCode="0" sourceLinked="0"/>
        <c:majorTickMark val="out"/>
        <c:minorTickMark val="none"/>
        <c:tickLblPos val="nextTo"/>
        <c:crossAx val="21890598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Baseline!$Y$103</c:f>
              <c:strCache>
                <c:ptCount val="1"/>
                <c:pt idx="0">
                  <c:v>Knot</c:v>
                </c:pt>
              </c:strCache>
            </c:strRef>
          </c:tx>
          <c:marker>
            <c:symbol val="none"/>
          </c:marker>
          <c:cat>
            <c:numRef>
              <c:f>Baseline!$X$104:$X$117</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Baseline!$Y$104:$Y$117</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ser>
          <c:idx val="1"/>
          <c:order val="1"/>
          <c:tx>
            <c:strRef>
              <c:f>Baseline!$Z$103</c:f>
              <c:strCache>
                <c:ptCount val="1"/>
                <c:pt idx="0">
                  <c:v>adj Knot</c:v>
                </c:pt>
              </c:strCache>
            </c:strRef>
          </c:tx>
          <c:marker>
            <c:symbol val="none"/>
          </c:marker>
          <c:cat>
            <c:numRef>
              <c:f>Baseline!$X$104:$X$117</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Baseline!$Z$104:$Z$117</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dLbls>
          <c:showLegendKey val="0"/>
          <c:showVal val="0"/>
          <c:showCatName val="0"/>
          <c:showSerName val="0"/>
          <c:showPercent val="0"/>
          <c:showBubbleSize val="0"/>
        </c:dLbls>
        <c:marker val="1"/>
        <c:smooth val="0"/>
        <c:axId val="219059712"/>
        <c:axId val="219061248"/>
      </c:lineChart>
      <c:catAx>
        <c:axId val="219059712"/>
        <c:scaling>
          <c:orientation val="minMax"/>
        </c:scaling>
        <c:delete val="0"/>
        <c:axPos val="b"/>
        <c:numFmt formatCode="0" sourceLinked="1"/>
        <c:majorTickMark val="out"/>
        <c:minorTickMark val="none"/>
        <c:tickLblPos val="nextTo"/>
        <c:crossAx val="219061248"/>
        <c:crosses val="autoZero"/>
        <c:auto val="1"/>
        <c:lblAlgn val="ctr"/>
        <c:lblOffset val="100"/>
        <c:noMultiLvlLbl val="0"/>
      </c:catAx>
      <c:valAx>
        <c:axId val="219061248"/>
        <c:scaling>
          <c:orientation val="minMax"/>
        </c:scaling>
        <c:delete val="0"/>
        <c:axPos val="l"/>
        <c:numFmt formatCode="0" sourceLinked="0"/>
        <c:majorTickMark val="out"/>
        <c:minorTickMark val="none"/>
        <c:tickLblPos val="nextTo"/>
        <c:crossAx val="21905971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Baseline!$T$103</c:f>
              <c:strCache>
                <c:ptCount val="1"/>
                <c:pt idx="0">
                  <c:v>Knot</c:v>
                </c:pt>
              </c:strCache>
            </c:strRef>
          </c:tx>
          <c:marker>
            <c:symbol val="none"/>
          </c:marker>
          <c:cat>
            <c:numRef>
              <c:f>Baseline!$S$104:$S$113</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Baseline!$T$104:$T$113</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Baseline!$U$103</c:f>
              <c:strCache>
                <c:ptCount val="1"/>
                <c:pt idx="0">
                  <c:v>adj Knot</c:v>
                </c:pt>
              </c:strCache>
            </c:strRef>
          </c:tx>
          <c:marker>
            <c:symbol val="none"/>
          </c:marker>
          <c:cat>
            <c:numRef>
              <c:f>Baseline!$S$104:$S$113</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Baseline!$U$104:$U$113</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222375296"/>
        <c:axId val="228267136"/>
      </c:lineChart>
      <c:catAx>
        <c:axId val="222375296"/>
        <c:scaling>
          <c:orientation val="minMax"/>
        </c:scaling>
        <c:delete val="0"/>
        <c:axPos val="b"/>
        <c:numFmt formatCode="0" sourceLinked="1"/>
        <c:majorTickMark val="out"/>
        <c:minorTickMark val="none"/>
        <c:tickLblPos val="nextTo"/>
        <c:crossAx val="228267136"/>
        <c:crosses val="autoZero"/>
        <c:auto val="1"/>
        <c:lblAlgn val="ctr"/>
        <c:lblOffset val="100"/>
        <c:noMultiLvlLbl val="0"/>
      </c:catAx>
      <c:valAx>
        <c:axId val="228267136"/>
        <c:scaling>
          <c:orientation val="minMax"/>
        </c:scaling>
        <c:delete val="0"/>
        <c:axPos val="l"/>
        <c:numFmt formatCode="0" sourceLinked="0"/>
        <c:majorTickMark val="out"/>
        <c:minorTickMark val="none"/>
        <c:tickLblPos val="nextTo"/>
        <c:crossAx val="222375296"/>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Baseline!$AS$68</c:f>
              <c:strCache>
                <c:ptCount val="1"/>
                <c:pt idx="0">
                  <c:v>PCT_BROKER</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Baseline!$AS$73:$AS$82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1"/>
          <c:order val="1"/>
          <c:tx>
            <c:strRef>
              <c:f>Baseline!$AT$68</c:f>
              <c:strCache>
                <c:ptCount val="1"/>
                <c:pt idx="0">
                  <c:v>PCT_CORRES</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Baseline!$AT$73:$AT$82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2"/>
          <c:tx>
            <c:strRef>
              <c:f>Baseline!$AU$68</c:f>
              <c:strCache>
                <c:ptCount val="1"/>
                <c:pt idx="0">
                  <c:v>PCT_NonRETAIL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Baseline!$AU$73:$AU$82</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5"/>
          <c:order val="3"/>
          <c:tx>
            <c:strRef>
              <c:f>Baseline!$AV$68</c:f>
              <c:strCache>
                <c:ptCount val="1"/>
                <c:pt idx="0">
                  <c:v>PCT_RETAIL</c:v>
                </c:pt>
              </c:strCache>
            </c:strRef>
          </c:tx>
          <c:marker>
            <c:symbol val="none"/>
          </c:marker>
          <c:cat>
            <c:strRef>
              <c:f>Baseline!$AO$73:$AO$82</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Baseline!$AV$73:$AV$82</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1"/>
        <c:smooth val="0"/>
        <c:axId val="248130560"/>
        <c:axId val="248136448"/>
      </c:lineChart>
      <c:catAx>
        <c:axId val="248130560"/>
        <c:scaling>
          <c:orientation val="minMax"/>
        </c:scaling>
        <c:delete val="0"/>
        <c:axPos val="b"/>
        <c:majorTickMark val="out"/>
        <c:minorTickMark val="none"/>
        <c:tickLblPos val="nextTo"/>
        <c:crossAx val="248136448"/>
        <c:crosses val="autoZero"/>
        <c:auto val="1"/>
        <c:lblAlgn val="ctr"/>
        <c:lblOffset val="100"/>
        <c:noMultiLvlLbl val="0"/>
      </c:catAx>
      <c:valAx>
        <c:axId val="248136448"/>
        <c:scaling>
          <c:orientation val="minMax"/>
        </c:scaling>
        <c:delete val="0"/>
        <c:axPos val="l"/>
        <c:majorGridlines/>
        <c:numFmt formatCode="0.00" sourceLinked="1"/>
        <c:majorTickMark val="out"/>
        <c:minorTickMark val="none"/>
        <c:tickLblPos val="nextTo"/>
        <c:crossAx val="2481305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 - broker, wala12to24</c:v>
          </c:tx>
          <c:xVal>
            <c:numRef>
              <c:f>Burnout!$A$125:$A$147</c:f>
              <c:numCache>
                <c:formatCode>0.00</c:formatCode>
                <c:ptCount val="23"/>
                <c:pt idx="0">
                  <c:v>-17.320366360484901</c:v>
                </c:pt>
                <c:pt idx="1">
                  <c:v>-12.2652608626338</c:v>
                </c:pt>
                <c:pt idx="2">
                  <c:v>-7.3224372973263501</c:v>
                </c:pt>
                <c:pt idx="3">
                  <c:v>-2.3387296965728201</c:v>
                </c:pt>
                <c:pt idx="4">
                  <c:v>2.65358877799809</c:v>
                </c:pt>
                <c:pt idx="5">
                  <c:v>7.6198852778356896</c:v>
                </c:pt>
                <c:pt idx="6">
                  <c:v>12.7027837487685</c:v>
                </c:pt>
                <c:pt idx="7">
                  <c:v>17.616235747790999</c:v>
                </c:pt>
                <c:pt idx="8">
                  <c:v>22.590179235964602</c:v>
                </c:pt>
                <c:pt idx="9">
                  <c:v>27.547268159078001</c:v>
                </c:pt>
                <c:pt idx="10">
                  <c:v>32.542028407735103</c:v>
                </c:pt>
                <c:pt idx="11">
                  <c:v>37.486494006130997</c:v>
                </c:pt>
                <c:pt idx="12">
                  <c:v>42.421648053468502</c:v>
                </c:pt>
                <c:pt idx="13">
                  <c:v>47.512004004398001</c:v>
                </c:pt>
                <c:pt idx="14">
                  <c:v>52.525413841629998</c:v>
                </c:pt>
                <c:pt idx="15">
                  <c:v>57.496638767331</c:v>
                </c:pt>
                <c:pt idx="16">
                  <c:v>62.446297286987999</c:v>
                </c:pt>
                <c:pt idx="17">
                  <c:v>67.445448915326594</c:v>
                </c:pt>
                <c:pt idx="18">
                  <c:v>72.479370373158204</c:v>
                </c:pt>
                <c:pt idx="19">
                  <c:v>85.725601298003895</c:v>
                </c:pt>
                <c:pt idx="20">
                  <c:v>111.841127420033</c:v>
                </c:pt>
                <c:pt idx="21">
                  <c:v>134.38012833370499</c:v>
                </c:pt>
                <c:pt idx="22">
                  <c:v>160.18516166213001</c:v>
                </c:pt>
              </c:numCache>
            </c:numRef>
          </c:xVal>
          <c:yVal>
            <c:numRef>
              <c:f>Burnout!$G$125:$G$147</c:f>
              <c:numCache>
                <c:formatCode>0.00</c:formatCode>
                <c:ptCount val="23"/>
                <c:pt idx="0">
                  <c:v>10.807500013660931</c:v>
                </c:pt>
                <c:pt idx="1">
                  <c:v>10.602841079902026</c:v>
                </c:pt>
                <c:pt idx="2">
                  <c:v>15.810679217502754</c:v>
                </c:pt>
                <c:pt idx="3">
                  <c:v>14.323614300375297</c:v>
                </c:pt>
                <c:pt idx="4">
                  <c:v>19.451517440607326</c:v>
                </c:pt>
                <c:pt idx="5">
                  <c:v>23.945019688015368</c:v>
                </c:pt>
                <c:pt idx="6">
                  <c:v>20.863987202152813</c:v>
                </c:pt>
                <c:pt idx="7">
                  <c:v>23.805678245652651</c:v>
                </c:pt>
                <c:pt idx="8">
                  <c:v>30.879326344626978</c:v>
                </c:pt>
                <c:pt idx="9">
                  <c:v>35.00248191746288</c:v>
                </c:pt>
                <c:pt idx="10">
                  <c:v>37.32208548833966</c:v>
                </c:pt>
                <c:pt idx="11">
                  <c:v>39.012061454220373</c:v>
                </c:pt>
                <c:pt idx="12">
                  <c:v>42.229079659815824</c:v>
                </c:pt>
                <c:pt idx="13">
                  <c:v>42.385460776815975</c:v>
                </c:pt>
                <c:pt idx="14">
                  <c:v>45.948809763717968</c:v>
                </c:pt>
                <c:pt idx="15">
                  <c:v>46.558380879578465</c:v>
                </c:pt>
                <c:pt idx="16">
                  <c:v>48.369596377810822</c:v>
                </c:pt>
                <c:pt idx="17">
                  <c:v>47.925493066856319</c:v>
                </c:pt>
                <c:pt idx="18">
                  <c:v>47.771931061699405</c:v>
                </c:pt>
                <c:pt idx="19">
                  <c:v>45.532111301893998</c:v>
                </c:pt>
                <c:pt idx="20">
                  <c:v>45.976159814405584</c:v>
                </c:pt>
                <c:pt idx="21">
                  <c:v>46.445828850119256</c:v>
                </c:pt>
                <c:pt idx="22">
                  <c:v>44.242835662966016</c:v>
                </c:pt>
              </c:numCache>
            </c:numRef>
          </c:yVal>
          <c:smooth val="1"/>
        </c:ser>
        <c:ser>
          <c:idx val="1"/>
          <c:order val="1"/>
          <c:tx>
            <c:v>prev high media model</c:v>
          </c:tx>
          <c:xVal>
            <c:numRef>
              <c:f>Burnout!$A$125:$A$147</c:f>
              <c:numCache>
                <c:formatCode>0.00</c:formatCode>
                <c:ptCount val="23"/>
                <c:pt idx="0">
                  <c:v>-17.320366360484901</c:v>
                </c:pt>
                <c:pt idx="1">
                  <c:v>-12.2652608626338</c:v>
                </c:pt>
                <c:pt idx="2">
                  <c:v>-7.3224372973263501</c:v>
                </c:pt>
                <c:pt idx="3">
                  <c:v>-2.3387296965728201</c:v>
                </c:pt>
                <c:pt idx="4">
                  <c:v>2.65358877799809</c:v>
                </c:pt>
                <c:pt idx="5">
                  <c:v>7.6198852778356896</c:v>
                </c:pt>
                <c:pt idx="6">
                  <c:v>12.7027837487685</c:v>
                </c:pt>
                <c:pt idx="7">
                  <c:v>17.616235747790999</c:v>
                </c:pt>
                <c:pt idx="8">
                  <c:v>22.590179235964602</c:v>
                </c:pt>
                <c:pt idx="9">
                  <c:v>27.547268159078001</c:v>
                </c:pt>
                <c:pt idx="10">
                  <c:v>32.542028407735103</c:v>
                </c:pt>
                <c:pt idx="11">
                  <c:v>37.486494006130997</c:v>
                </c:pt>
                <c:pt idx="12">
                  <c:v>42.421648053468502</c:v>
                </c:pt>
                <c:pt idx="13">
                  <c:v>47.512004004398001</c:v>
                </c:pt>
                <c:pt idx="14">
                  <c:v>52.525413841629998</c:v>
                </c:pt>
                <c:pt idx="15">
                  <c:v>57.496638767331</c:v>
                </c:pt>
                <c:pt idx="16">
                  <c:v>62.446297286987999</c:v>
                </c:pt>
                <c:pt idx="17">
                  <c:v>67.445448915326594</c:v>
                </c:pt>
                <c:pt idx="18">
                  <c:v>72.479370373158204</c:v>
                </c:pt>
                <c:pt idx="19">
                  <c:v>85.725601298003895</c:v>
                </c:pt>
                <c:pt idx="20">
                  <c:v>111.841127420033</c:v>
                </c:pt>
                <c:pt idx="21">
                  <c:v>134.38012833370499</c:v>
                </c:pt>
                <c:pt idx="22">
                  <c:v>160.18516166213001</c:v>
                </c:pt>
              </c:numCache>
            </c:numRef>
          </c:xVal>
          <c:yVal>
            <c:numRef>
              <c:f>Burnout!$H$125:$H$147</c:f>
              <c:numCache>
                <c:formatCode>0.00</c:formatCode>
                <c:ptCount val="23"/>
                <c:pt idx="0">
                  <c:v>14.894638703682062</c:v>
                </c:pt>
                <c:pt idx="1">
                  <c:v>16.329947404277569</c:v>
                </c:pt>
                <c:pt idx="2">
                  <c:v>17.722144201132739</c:v>
                </c:pt>
                <c:pt idx="3">
                  <c:v>19.053968378100585</c:v>
                </c:pt>
                <c:pt idx="4">
                  <c:v>20.326350202988021</c:v>
                </c:pt>
                <c:pt idx="5">
                  <c:v>21.445624593178891</c:v>
                </c:pt>
                <c:pt idx="6">
                  <c:v>22.685645895371664</c:v>
                </c:pt>
                <c:pt idx="7">
                  <c:v>24.316809470846536</c:v>
                </c:pt>
                <c:pt idx="8">
                  <c:v>26.197835419842907</c:v>
                </c:pt>
                <c:pt idx="9">
                  <c:v>27.91109726865265</c:v>
                </c:pt>
                <c:pt idx="10">
                  <c:v>29.824816550466803</c:v>
                </c:pt>
                <c:pt idx="11">
                  <c:v>31.417377736899876</c:v>
                </c:pt>
                <c:pt idx="12">
                  <c:v>33.365460906414356</c:v>
                </c:pt>
                <c:pt idx="13">
                  <c:v>35.375750896916522</c:v>
                </c:pt>
                <c:pt idx="14">
                  <c:v>36.216753169649728</c:v>
                </c:pt>
                <c:pt idx="15">
                  <c:v>37.673223484619186</c:v>
                </c:pt>
                <c:pt idx="16">
                  <c:v>39.055110346882024</c:v>
                </c:pt>
                <c:pt idx="17">
                  <c:v>40.023082418179271</c:v>
                </c:pt>
                <c:pt idx="18">
                  <c:v>41.629194259044603</c:v>
                </c:pt>
                <c:pt idx="19">
                  <c:v>44.056276846793438</c:v>
                </c:pt>
                <c:pt idx="20">
                  <c:v>46.960895560967877</c:v>
                </c:pt>
                <c:pt idx="21">
                  <c:v>49.446644233718558</c:v>
                </c:pt>
                <c:pt idx="22">
                  <c:v>52.245362413794041</c:v>
                </c:pt>
              </c:numCache>
            </c:numRef>
          </c:yVal>
          <c:smooth val="1"/>
        </c:ser>
        <c:ser>
          <c:idx val="2"/>
          <c:order val="2"/>
          <c:tx>
            <c:v>new model</c:v>
          </c:tx>
          <c:xVal>
            <c:numRef>
              <c:f>Burnout!$A$125:$A$147</c:f>
              <c:numCache>
                <c:formatCode>0.00</c:formatCode>
                <c:ptCount val="23"/>
                <c:pt idx="0">
                  <c:v>-17.320366360484901</c:v>
                </c:pt>
                <c:pt idx="1">
                  <c:v>-12.2652608626338</c:v>
                </c:pt>
                <c:pt idx="2">
                  <c:v>-7.3224372973263501</c:v>
                </c:pt>
                <c:pt idx="3">
                  <c:v>-2.3387296965728201</c:v>
                </c:pt>
                <c:pt idx="4">
                  <c:v>2.65358877799809</c:v>
                </c:pt>
                <c:pt idx="5">
                  <c:v>7.6198852778356896</c:v>
                </c:pt>
                <c:pt idx="6">
                  <c:v>12.7027837487685</c:v>
                </c:pt>
                <c:pt idx="7">
                  <c:v>17.616235747790999</c:v>
                </c:pt>
                <c:pt idx="8">
                  <c:v>22.590179235964602</c:v>
                </c:pt>
                <c:pt idx="9">
                  <c:v>27.547268159078001</c:v>
                </c:pt>
                <c:pt idx="10">
                  <c:v>32.542028407735103</c:v>
                </c:pt>
                <c:pt idx="11">
                  <c:v>37.486494006130997</c:v>
                </c:pt>
                <c:pt idx="12">
                  <c:v>42.421648053468502</c:v>
                </c:pt>
                <c:pt idx="13">
                  <c:v>47.512004004398001</c:v>
                </c:pt>
                <c:pt idx="14">
                  <c:v>52.525413841629998</c:v>
                </c:pt>
                <c:pt idx="15">
                  <c:v>57.496638767331</c:v>
                </c:pt>
                <c:pt idx="16">
                  <c:v>62.446297286987999</c:v>
                </c:pt>
                <c:pt idx="17">
                  <c:v>67.445448915326594</c:v>
                </c:pt>
                <c:pt idx="18">
                  <c:v>72.479370373158204</c:v>
                </c:pt>
                <c:pt idx="19">
                  <c:v>85.725601298003895</c:v>
                </c:pt>
                <c:pt idx="20">
                  <c:v>111.841127420033</c:v>
                </c:pt>
                <c:pt idx="21">
                  <c:v>134.38012833370499</c:v>
                </c:pt>
                <c:pt idx="22">
                  <c:v>160.18516166213001</c:v>
                </c:pt>
              </c:numCache>
            </c:numRef>
          </c:xVal>
          <c:yVal>
            <c:numRef>
              <c:f>Burnout!$O$125:$O$147</c:f>
              <c:numCache>
                <c:formatCode>0.00</c:formatCode>
                <c:ptCount val="23"/>
                <c:pt idx="0">
                  <c:v>12.830899397092422</c:v>
                </c:pt>
                <c:pt idx="1">
                  <c:v>14.510500191033371</c:v>
                </c:pt>
                <c:pt idx="2">
                  <c:v>15.968569233576124</c:v>
                </c:pt>
                <c:pt idx="3">
                  <c:v>17.829222569801207</c:v>
                </c:pt>
                <c:pt idx="4">
                  <c:v>20.106467726927789</c:v>
                </c:pt>
                <c:pt idx="5">
                  <c:v>22.824152352325243</c:v>
                </c:pt>
                <c:pt idx="6">
                  <c:v>25.5055447832795</c:v>
                </c:pt>
                <c:pt idx="7">
                  <c:v>28.453970267170448</c:v>
                </c:pt>
                <c:pt idx="8">
                  <c:v>31.215150319410089</c:v>
                </c:pt>
                <c:pt idx="9">
                  <c:v>9.6413155450494337</c:v>
                </c:pt>
                <c:pt idx="10">
                  <c:v>4.1057432793268012</c:v>
                </c:pt>
                <c:pt idx="11">
                  <c:v>4.169266029381391</c:v>
                </c:pt>
                <c:pt idx="12">
                  <c:v>0.50880015518772748</c:v>
                </c:pt>
                <c:pt idx="13">
                  <c:v>0.51690576368985663</c:v>
                </c:pt>
                <c:pt idx="14">
                  <c:v>0.5298269228941721</c:v>
                </c:pt>
                <c:pt idx="15">
                  <c:v>0.53921550267065355</c:v>
                </c:pt>
                <c:pt idx="16">
                  <c:v>0.5494336385886367</c:v>
                </c:pt>
                <c:pt idx="17">
                  <c:v>0.5584176487315462</c:v>
                </c:pt>
                <c:pt idx="18">
                  <c:v>0.559976531940376</c:v>
                </c:pt>
                <c:pt idx="19">
                  <c:v>0.56683312765383187</c:v>
                </c:pt>
                <c:pt idx="20">
                  <c:v>0.61467287634252576</c:v>
                </c:pt>
                <c:pt idx="21">
                  <c:v>0.6484317640260584</c:v>
                </c:pt>
                <c:pt idx="22">
                  <c:v>0.73818688377355057</c:v>
                </c:pt>
              </c:numCache>
            </c:numRef>
          </c:yVal>
          <c:smooth val="1"/>
        </c:ser>
        <c:dLbls>
          <c:showLegendKey val="0"/>
          <c:showVal val="0"/>
          <c:showCatName val="0"/>
          <c:showSerName val="0"/>
          <c:showPercent val="0"/>
          <c:showBubbleSize val="0"/>
        </c:dLbls>
        <c:axId val="512078592"/>
        <c:axId val="512080128"/>
      </c:scatterChart>
      <c:valAx>
        <c:axId val="512078592"/>
        <c:scaling>
          <c:orientation val="minMax"/>
        </c:scaling>
        <c:delete val="0"/>
        <c:axPos val="b"/>
        <c:numFmt formatCode="0" sourceLinked="0"/>
        <c:majorTickMark val="out"/>
        <c:minorTickMark val="none"/>
        <c:tickLblPos val="nextTo"/>
        <c:crossAx val="512080128"/>
        <c:crosses val="autoZero"/>
        <c:crossBetween val="midCat"/>
      </c:valAx>
      <c:valAx>
        <c:axId val="512080128"/>
        <c:scaling>
          <c:orientation val="minMax"/>
        </c:scaling>
        <c:delete val="0"/>
        <c:axPos val="l"/>
        <c:numFmt formatCode="0.00" sourceLinked="1"/>
        <c:majorTickMark val="out"/>
        <c:minorTickMark val="none"/>
        <c:tickLblPos val="nextTo"/>
        <c:crossAx val="512078592"/>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Burnout!$AD$121</c:f>
              <c:strCache>
                <c:ptCount val="1"/>
                <c:pt idx="0">
                  <c:v>Knot</c:v>
                </c:pt>
              </c:strCache>
            </c:strRef>
          </c:tx>
          <c:marker>
            <c:symbol val="none"/>
          </c:marker>
          <c:cat>
            <c:numRef>
              <c:f>Burnout!$AC$124:$AC$145</c:f>
              <c:numCache>
                <c:formatCode>0</c:formatCode>
                <c:ptCount val="22"/>
                <c:pt idx="0">
                  <c:v>-22.234952986481101</c:v>
                </c:pt>
                <c:pt idx="1">
                  <c:v>-17.320366360484901</c:v>
                </c:pt>
                <c:pt idx="2">
                  <c:v>-12.2652608626338</c:v>
                </c:pt>
                <c:pt idx="3">
                  <c:v>-7.3224372973263501</c:v>
                </c:pt>
                <c:pt idx="4">
                  <c:v>-2.3387296965728201</c:v>
                </c:pt>
                <c:pt idx="5">
                  <c:v>2.65358877799809</c:v>
                </c:pt>
                <c:pt idx="6">
                  <c:v>7.6198852778356896</c:v>
                </c:pt>
                <c:pt idx="7">
                  <c:v>12.7027837487685</c:v>
                </c:pt>
                <c:pt idx="8">
                  <c:v>17.616235747790999</c:v>
                </c:pt>
                <c:pt idx="9">
                  <c:v>22.590179235964602</c:v>
                </c:pt>
                <c:pt idx="10">
                  <c:v>27.547268159078001</c:v>
                </c:pt>
                <c:pt idx="11">
                  <c:v>32.542028407735103</c:v>
                </c:pt>
                <c:pt idx="12">
                  <c:v>37.486494006130997</c:v>
                </c:pt>
                <c:pt idx="13">
                  <c:v>42.421648053468502</c:v>
                </c:pt>
                <c:pt idx="14">
                  <c:v>47.512004004398001</c:v>
                </c:pt>
                <c:pt idx="15">
                  <c:v>52.525413841629998</c:v>
                </c:pt>
                <c:pt idx="16">
                  <c:v>57.496638767331</c:v>
                </c:pt>
                <c:pt idx="17">
                  <c:v>62.446297286987999</c:v>
                </c:pt>
                <c:pt idx="18">
                  <c:v>67.445448915326594</c:v>
                </c:pt>
                <c:pt idx="19">
                  <c:v>72.479370373158204</c:v>
                </c:pt>
                <c:pt idx="20">
                  <c:v>85.725601298003895</c:v>
                </c:pt>
                <c:pt idx="21">
                  <c:v>111.841127420033</c:v>
                </c:pt>
              </c:numCache>
            </c:numRef>
          </c:cat>
          <c:val>
            <c:numRef>
              <c:f>Burnout!$AD$124:$AD$145</c:f>
              <c:numCache>
                <c:formatCode>0.000</c:formatCode>
                <c:ptCount val="22"/>
                <c:pt idx="0">
                  <c:v>0.79645948376475795</c:v>
                </c:pt>
                <c:pt idx="1">
                  <c:v>0.95362938111262996</c:v>
                </c:pt>
                <c:pt idx="2">
                  <c:v>1.08142635820954</c:v>
                </c:pt>
                <c:pt idx="3">
                  <c:v>1.1993277822989601</c:v>
                </c:pt>
                <c:pt idx="4">
                  <c:v>1.3122379125033801</c:v>
                </c:pt>
                <c:pt idx="5">
                  <c:v>1.4018480364105399</c:v>
                </c:pt>
                <c:pt idx="6">
                  <c:v>1.51655790515</c:v>
                </c:pt>
                <c:pt idx="7">
                  <c:v>1.6382587772578501</c:v>
                </c:pt>
                <c:pt idx="8">
                  <c:v>1.77123004461028</c:v>
                </c:pt>
                <c:pt idx="9">
                  <c:v>1.91883456513696</c:v>
                </c:pt>
                <c:pt idx="10">
                  <c:v>2.0788177485891102</c:v>
                </c:pt>
                <c:pt idx="11">
                  <c:v>2.2487416798578299</c:v>
                </c:pt>
                <c:pt idx="12">
                  <c:v>2.4264029166777901</c:v>
                </c:pt>
                <c:pt idx="13">
                  <c:v>2.6095980167836599</c:v>
                </c:pt>
                <c:pt idx="14">
                  <c:v>2.7961235379101401</c:v>
                </c:pt>
                <c:pt idx="15">
                  <c:v>2.9837760377918898</c:v>
                </c:pt>
                <c:pt idx="16">
                  <c:v>3.1703520741635902</c:v>
                </c:pt>
                <c:pt idx="17">
                  <c:v>3.3536482047599101</c:v>
                </c:pt>
                <c:pt idx="18">
                  <c:v>3.5314609873155498</c:v>
                </c:pt>
                <c:pt idx="19">
                  <c:v>3.7015869795651599</c:v>
                </c:pt>
                <c:pt idx="20">
                  <c:v>4.0923365222828396</c:v>
                </c:pt>
                <c:pt idx="21">
                  <c:v>4.7299139704548203</c:v>
                </c:pt>
              </c:numCache>
            </c:numRef>
          </c:val>
          <c:smooth val="0"/>
        </c:ser>
        <c:ser>
          <c:idx val="1"/>
          <c:order val="1"/>
          <c:tx>
            <c:strRef>
              <c:f>Burnout!$AE$121</c:f>
              <c:strCache>
                <c:ptCount val="1"/>
                <c:pt idx="0">
                  <c:v>adj Knot</c:v>
                </c:pt>
              </c:strCache>
            </c:strRef>
          </c:tx>
          <c:marker>
            <c:symbol val="none"/>
          </c:marker>
          <c:cat>
            <c:numRef>
              <c:f>Burnout!$AC$124:$AC$145</c:f>
              <c:numCache>
                <c:formatCode>0</c:formatCode>
                <c:ptCount val="22"/>
                <c:pt idx="0">
                  <c:v>-22.234952986481101</c:v>
                </c:pt>
                <c:pt idx="1">
                  <c:v>-17.320366360484901</c:v>
                </c:pt>
                <c:pt idx="2">
                  <c:v>-12.2652608626338</c:v>
                </c:pt>
                <c:pt idx="3">
                  <c:v>-7.3224372973263501</c:v>
                </c:pt>
                <c:pt idx="4">
                  <c:v>-2.3387296965728201</c:v>
                </c:pt>
                <c:pt idx="5">
                  <c:v>2.65358877799809</c:v>
                </c:pt>
                <c:pt idx="6">
                  <c:v>7.6198852778356896</c:v>
                </c:pt>
                <c:pt idx="7">
                  <c:v>12.7027837487685</c:v>
                </c:pt>
                <c:pt idx="8">
                  <c:v>17.616235747790999</c:v>
                </c:pt>
                <c:pt idx="9">
                  <c:v>22.590179235964602</c:v>
                </c:pt>
                <c:pt idx="10">
                  <c:v>27.547268159078001</c:v>
                </c:pt>
                <c:pt idx="11">
                  <c:v>32.542028407735103</c:v>
                </c:pt>
                <c:pt idx="12">
                  <c:v>37.486494006130997</c:v>
                </c:pt>
                <c:pt idx="13">
                  <c:v>42.421648053468502</c:v>
                </c:pt>
                <c:pt idx="14">
                  <c:v>47.512004004398001</c:v>
                </c:pt>
                <c:pt idx="15">
                  <c:v>52.525413841629998</c:v>
                </c:pt>
                <c:pt idx="16">
                  <c:v>57.496638767331</c:v>
                </c:pt>
                <c:pt idx="17">
                  <c:v>62.446297286987999</c:v>
                </c:pt>
                <c:pt idx="18">
                  <c:v>67.445448915326594</c:v>
                </c:pt>
                <c:pt idx="19">
                  <c:v>72.479370373158204</c:v>
                </c:pt>
                <c:pt idx="20">
                  <c:v>85.725601298003895</c:v>
                </c:pt>
                <c:pt idx="21">
                  <c:v>111.841127420033</c:v>
                </c:pt>
              </c:numCache>
            </c:numRef>
          </c:cat>
          <c:val>
            <c:numRef>
              <c:f>Burnout!$AE$124:$AE$145</c:f>
              <c:numCache>
                <c:formatCode>0.000</c:formatCode>
                <c:ptCount val="22"/>
                <c:pt idx="0">
                  <c:v>0.40619433672002658</c:v>
                </c:pt>
                <c:pt idx="1">
                  <c:v>0.49588727817856759</c:v>
                </c:pt>
                <c:pt idx="2">
                  <c:v>0.57315596985105621</c:v>
                </c:pt>
                <c:pt idx="3">
                  <c:v>0.64763700244143851</c:v>
                </c:pt>
                <c:pt idx="4">
                  <c:v>0.72173085187685915</c:v>
                </c:pt>
                <c:pt idx="5">
                  <c:v>0.84110882184632407</c:v>
                </c:pt>
                <c:pt idx="6">
                  <c:v>0.9857626383475</c:v>
                </c:pt>
                <c:pt idx="7">
                  <c:v>1.1467811440804951</c:v>
                </c:pt>
                <c:pt idx="8">
                  <c:v>1.32842253345771</c:v>
                </c:pt>
                <c:pt idx="9">
                  <c:v>1.5350676521095681</c:v>
                </c:pt>
                <c:pt idx="10">
                  <c:v>1.7669950863007438</c:v>
                </c:pt>
                <c:pt idx="11">
                  <c:v>2.0238675118720471</c:v>
                </c:pt>
                <c:pt idx="12">
                  <c:v>2.3050827708439008</c:v>
                </c:pt>
                <c:pt idx="13">
                  <c:v>0.41753568268538566</c:v>
                </c:pt>
                <c:pt idx="14">
                  <c:v>0</c:v>
                </c:pt>
                <c:pt idx="15">
                  <c:v>0</c:v>
                </c:pt>
                <c:pt idx="16">
                  <c:v>0</c:v>
                </c:pt>
                <c:pt idx="17">
                  <c:v>0</c:v>
                </c:pt>
                <c:pt idx="18">
                  <c:v>0</c:v>
                </c:pt>
                <c:pt idx="19">
                  <c:v>0</c:v>
                </c:pt>
                <c:pt idx="20">
                  <c:v>0</c:v>
                </c:pt>
                <c:pt idx="21">
                  <c:v>0</c:v>
                </c:pt>
              </c:numCache>
            </c:numRef>
          </c:val>
          <c:smooth val="0"/>
        </c:ser>
        <c:dLbls>
          <c:showLegendKey val="0"/>
          <c:showVal val="0"/>
          <c:showCatName val="0"/>
          <c:showSerName val="0"/>
          <c:showPercent val="0"/>
          <c:showBubbleSize val="0"/>
        </c:dLbls>
        <c:marker val="1"/>
        <c:smooth val="0"/>
        <c:axId val="512259968"/>
        <c:axId val="512261504"/>
      </c:lineChart>
      <c:catAx>
        <c:axId val="512259968"/>
        <c:scaling>
          <c:orientation val="minMax"/>
        </c:scaling>
        <c:delete val="0"/>
        <c:axPos val="b"/>
        <c:numFmt formatCode="0" sourceLinked="1"/>
        <c:majorTickMark val="out"/>
        <c:minorTickMark val="none"/>
        <c:tickLblPos val="nextTo"/>
        <c:crossAx val="512261504"/>
        <c:crosses val="autoZero"/>
        <c:auto val="1"/>
        <c:lblAlgn val="ctr"/>
        <c:lblOffset val="100"/>
        <c:noMultiLvlLbl val="0"/>
      </c:catAx>
      <c:valAx>
        <c:axId val="512261504"/>
        <c:scaling>
          <c:orientation val="minMax"/>
        </c:scaling>
        <c:delete val="0"/>
        <c:axPos val="l"/>
        <c:numFmt formatCode="0" sourceLinked="0"/>
        <c:majorTickMark val="out"/>
        <c:minorTickMark val="none"/>
        <c:tickLblPos val="nextTo"/>
        <c:crossAx val="512259968"/>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Burnout!$Y$121</c:f>
              <c:strCache>
                <c:ptCount val="1"/>
                <c:pt idx="0">
                  <c:v>Knot</c:v>
                </c:pt>
              </c:strCache>
            </c:strRef>
          </c:tx>
          <c:marker>
            <c:symbol val="none"/>
          </c:marker>
          <c:cat>
            <c:numRef>
              <c:f>Burnout!$X$122:$X$135</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Burnout!$Y$122:$Y$135</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ser>
          <c:idx val="1"/>
          <c:order val="1"/>
          <c:tx>
            <c:strRef>
              <c:f>Burnout!$Z$121</c:f>
              <c:strCache>
                <c:ptCount val="1"/>
                <c:pt idx="0">
                  <c:v>adj Knot</c:v>
                </c:pt>
              </c:strCache>
            </c:strRef>
          </c:tx>
          <c:marker>
            <c:symbol val="none"/>
          </c:marker>
          <c:cat>
            <c:numRef>
              <c:f>Burnout!$X$122:$X$135</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Burnout!$Z$122:$Z$135</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dLbls>
          <c:showLegendKey val="0"/>
          <c:showVal val="0"/>
          <c:showCatName val="0"/>
          <c:showSerName val="0"/>
          <c:showPercent val="0"/>
          <c:showBubbleSize val="0"/>
        </c:dLbls>
        <c:marker val="1"/>
        <c:smooth val="0"/>
        <c:axId val="512280832"/>
        <c:axId val="512282624"/>
      </c:lineChart>
      <c:catAx>
        <c:axId val="512280832"/>
        <c:scaling>
          <c:orientation val="minMax"/>
        </c:scaling>
        <c:delete val="0"/>
        <c:axPos val="b"/>
        <c:numFmt formatCode="0" sourceLinked="1"/>
        <c:majorTickMark val="out"/>
        <c:minorTickMark val="none"/>
        <c:tickLblPos val="nextTo"/>
        <c:crossAx val="512282624"/>
        <c:crosses val="autoZero"/>
        <c:auto val="1"/>
        <c:lblAlgn val="ctr"/>
        <c:lblOffset val="100"/>
        <c:noMultiLvlLbl val="0"/>
      </c:catAx>
      <c:valAx>
        <c:axId val="512282624"/>
        <c:scaling>
          <c:orientation val="minMax"/>
        </c:scaling>
        <c:delete val="0"/>
        <c:axPos val="l"/>
        <c:numFmt formatCode="0" sourceLinked="0"/>
        <c:majorTickMark val="out"/>
        <c:minorTickMark val="none"/>
        <c:tickLblPos val="nextTo"/>
        <c:crossAx val="51228083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Burnout!$T$121</c:f>
              <c:strCache>
                <c:ptCount val="1"/>
                <c:pt idx="0">
                  <c:v>Knot</c:v>
                </c:pt>
              </c:strCache>
            </c:strRef>
          </c:tx>
          <c:marker>
            <c:symbol val="none"/>
          </c:marker>
          <c:cat>
            <c:numRef>
              <c:f>Burnout!$S$122:$S$131</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Burnout!$T$122:$T$131</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Burnout!$U$121</c:f>
              <c:strCache>
                <c:ptCount val="1"/>
                <c:pt idx="0">
                  <c:v>adj Knot</c:v>
                </c:pt>
              </c:strCache>
            </c:strRef>
          </c:tx>
          <c:marker>
            <c:symbol val="none"/>
          </c:marker>
          <c:cat>
            <c:numRef>
              <c:f>Burnout!$S$122:$S$131</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Burnout!$U$122:$U$131</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512307584"/>
        <c:axId val="512309120"/>
      </c:lineChart>
      <c:catAx>
        <c:axId val="512307584"/>
        <c:scaling>
          <c:orientation val="minMax"/>
        </c:scaling>
        <c:delete val="0"/>
        <c:axPos val="b"/>
        <c:numFmt formatCode="0" sourceLinked="1"/>
        <c:majorTickMark val="out"/>
        <c:minorTickMark val="none"/>
        <c:tickLblPos val="nextTo"/>
        <c:crossAx val="512309120"/>
        <c:crosses val="autoZero"/>
        <c:auto val="1"/>
        <c:lblAlgn val="ctr"/>
        <c:lblOffset val="100"/>
        <c:noMultiLvlLbl val="0"/>
      </c:catAx>
      <c:valAx>
        <c:axId val="512309120"/>
        <c:scaling>
          <c:orientation val="minMax"/>
        </c:scaling>
        <c:delete val="0"/>
        <c:axPos val="l"/>
        <c:numFmt formatCode="0" sourceLinked="0"/>
        <c:majorTickMark val="out"/>
        <c:minorTickMark val="none"/>
        <c:tickLblPos val="nextTo"/>
        <c:crossAx val="51230758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xVal>
            <c:numRef>
              <c:f>Burnout!$A$48:$A$73</c:f>
              <c:numCache>
                <c:formatCode>0.00</c:formatCode>
                <c:ptCount val="26"/>
                <c:pt idx="0">
                  <c:v>-56.696947071490101</c:v>
                </c:pt>
                <c:pt idx="1">
                  <c:v>-33.134226991627003</c:v>
                </c:pt>
                <c:pt idx="2">
                  <c:v>-22.3528913123363</c:v>
                </c:pt>
                <c:pt idx="3">
                  <c:v>-17.273661782883298</c:v>
                </c:pt>
                <c:pt idx="4">
                  <c:v>-12.3219535563337</c:v>
                </c:pt>
                <c:pt idx="5">
                  <c:v>-7.3847568245913697</c:v>
                </c:pt>
                <c:pt idx="6">
                  <c:v>-2.35784147556687</c:v>
                </c:pt>
                <c:pt idx="7">
                  <c:v>2.6131291582139702</c:v>
                </c:pt>
                <c:pt idx="8">
                  <c:v>7.6208417326585698</c:v>
                </c:pt>
                <c:pt idx="9">
                  <c:v>12.667451193363499</c:v>
                </c:pt>
                <c:pt idx="10">
                  <c:v>17.609577118213998</c:v>
                </c:pt>
                <c:pt idx="11">
                  <c:v>22.570511639541699</c:v>
                </c:pt>
                <c:pt idx="12">
                  <c:v>27.5304555569031</c:v>
                </c:pt>
                <c:pt idx="13">
                  <c:v>32.526474136467399</c:v>
                </c:pt>
                <c:pt idx="14">
                  <c:v>37.490679398684499</c:v>
                </c:pt>
                <c:pt idx="15">
                  <c:v>42.4456490599459</c:v>
                </c:pt>
                <c:pt idx="16">
                  <c:v>47.537078355553902</c:v>
                </c:pt>
                <c:pt idx="17">
                  <c:v>52.527591880495201</c:v>
                </c:pt>
                <c:pt idx="18">
                  <c:v>57.4881298184252</c:v>
                </c:pt>
                <c:pt idx="19">
                  <c:v>62.467221643182199</c:v>
                </c:pt>
                <c:pt idx="20">
                  <c:v>67.469097316700896</c:v>
                </c:pt>
                <c:pt idx="21">
                  <c:v>72.511478292652697</c:v>
                </c:pt>
                <c:pt idx="22">
                  <c:v>86.123755253086799</c:v>
                </c:pt>
                <c:pt idx="23">
                  <c:v>111.83503563462099</c:v>
                </c:pt>
                <c:pt idx="24">
                  <c:v>134.390769582535</c:v>
                </c:pt>
                <c:pt idx="25">
                  <c:v>159.996430867318</c:v>
                </c:pt>
              </c:numCache>
            </c:numRef>
          </c:xVal>
          <c:yVal>
            <c:numRef>
              <c:f>Burnout!$G$48:$G$73</c:f>
              <c:numCache>
                <c:formatCode>0.00</c:formatCode>
                <c:ptCount val="26"/>
                <c:pt idx="0">
                  <c:v>5.2786397379830596</c:v>
                </c:pt>
                <c:pt idx="1">
                  <c:v>3.4916300692288571</c:v>
                </c:pt>
                <c:pt idx="2">
                  <c:v>6.6623896197391286</c:v>
                </c:pt>
                <c:pt idx="3">
                  <c:v>5.1089784518731696</c:v>
                </c:pt>
                <c:pt idx="4">
                  <c:v>7.3931325863314186</c:v>
                </c:pt>
                <c:pt idx="5">
                  <c:v>10.612968246597177</c:v>
                </c:pt>
                <c:pt idx="6">
                  <c:v>10.522405103432675</c:v>
                </c:pt>
                <c:pt idx="7">
                  <c:v>12.754742691622701</c:v>
                </c:pt>
                <c:pt idx="8">
                  <c:v>15.401937752550076</c:v>
                </c:pt>
                <c:pt idx="9">
                  <c:v>16.442332293616978</c:v>
                </c:pt>
                <c:pt idx="10">
                  <c:v>18.285414200769178</c:v>
                </c:pt>
                <c:pt idx="11">
                  <c:v>22.27741317611671</c:v>
                </c:pt>
                <c:pt idx="12">
                  <c:v>24.486386002077122</c:v>
                </c:pt>
                <c:pt idx="13">
                  <c:v>26.780573150169097</c:v>
                </c:pt>
                <c:pt idx="14">
                  <c:v>29.650913239599863</c:v>
                </c:pt>
                <c:pt idx="15">
                  <c:v>33.811491023672112</c:v>
                </c:pt>
                <c:pt idx="16">
                  <c:v>34.649792134356602</c:v>
                </c:pt>
                <c:pt idx="17">
                  <c:v>35.102465333372535</c:v>
                </c:pt>
                <c:pt idx="18">
                  <c:v>38.093886516507325</c:v>
                </c:pt>
                <c:pt idx="19">
                  <c:v>39.617046923149999</c:v>
                </c:pt>
                <c:pt idx="20">
                  <c:v>39.540370002320699</c:v>
                </c:pt>
                <c:pt idx="21">
                  <c:v>40.155009676080276</c:v>
                </c:pt>
                <c:pt idx="22">
                  <c:v>42.321042818036901</c:v>
                </c:pt>
                <c:pt idx="23">
                  <c:v>43.121585578601916</c:v>
                </c:pt>
                <c:pt idx="24">
                  <c:v>44.361344655484992</c:v>
                </c:pt>
                <c:pt idx="25">
                  <c:v>42.121643727900285</c:v>
                </c:pt>
              </c:numCache>
            </c:numRef>
          </c:yVal>
          <c:smooth val="1"/>
        </c:ser>
        <c:ser>
          <c:idx val="1"/>
          <c:order val="1"/>
          <c:xVal>
            <c:numRef>
              <c:f>Burnout!$A$48:$A$73</c:f>
              <c:numCache>
                <c:formatCode>0.00</c:formatCode>
                <c:ptCount val="26"/>
                <c:pt idx="0">
                  <c:v>-56.696947071490101</c:v>
                </c:pt>
                <c:pt idx="1">
                  <c:v>-33.134226991627003</c:v>
                </c:pt>
                <c:pt idx="2">
                  <c:v>-22.3528913123363</c:v>
                </c:pt>
                <c:pt idx="3">
                  <c:v>-17.273661782883298</c:v>
                </c:pt>
                <c:pt idx="4">
                  <c:v>-12.3219535563337</c:v>
                </c:pt>
                <c:pt idx="5">
                  <c:v>-7.3847568245913697</c:v>
                </c:pt>
                <c:pt idx="6">
                  <c:v>-2.35784147556687</c:v>
                </c:pt>
                <c:pt idx="7">
                  <c:v>2.6131291582139702</c:v>
                </c:pt>
                <c:pt idx="8">
                  <c:v>7.6208417326585698</c:v>
                </c:pt>
                <c:pt idx="9">
                  <c:v>12.667451193363499</c:v>
                </c:pt>
                <c:pt idx="10">
                  <c:v>17.609577118213998</c:v>
                </c:pt>
                <c:pt idx="11">
                  <c:v>22.570511639541699</c:v>
                </c:pt>
                <c:pt idx="12">
                  <c:v>27.5304555569031</c:v>
                </c:pt>
                <c:pt idx="13">
                  <c:v>32.526474136467399</c:v>
                </c:pt>
                <c:pt idx="14">
                  <c:v>37.490679398684499</c:v>
                </c:pt>
                <c:pt idx="15">
                  <c:v>42.4456490599459</c:v>
                </c:pt>
                <c:pt idx="16">
                  <c:v>47.537078355553902</c:v>
                </c:pt>
                <c:pt idx="17">
                  <c:v>52.527591880495201</c:v>
                </c:pt>
                <c:pt idx="18">
                  <c:v>57.4881298184252</c:v>
                </c:pt>
                <c:pt idx="19">
                  <c:v>62.467221643182199</c:v>
                </c:pt>
                <c:pt idx="20">
                  <c:v>67.469097316700896</c:v>
                </c:pt>
                <c:pt idx="21">
                  <c:v>72.511478292652697</c:v>
                </c:pt>
                <c:pt idx="22">
                  <c:v>86.123755253086799</c:v>
                </c:pt>
                <c:pt idx="23">
                  <c:v>111.83503563462099</c:v>
                </c:pt>
                <c:pt idx="24">
                  <c:v>134.390769582535</c:v>
                </c:pt>
                <c:pt idx="25">
                  <c:v>159.996430867318</c:v>
                </c:pt>
              </c:numCache>
            </c:numRef>
          </c:xVal>
          <c:yVal>
            <c:numRef>
              <c:f>Burnout!$H$48:$H$73</c:f>
              <c:numCache>
                <c:formatCode>0.00</c:formatCode>
                <c:ptCount val="26"/>
                <c:pt idx="0">
                  <c:v>8.0517738358743642</c:v>
                </c:pt>
                <c:pt idx="1">
                  <c:v>8.8570502228751185</c:v>
                </c:pt>
                <c:pt idx="2">
                  <c:v>12.658645379225508</c:v>
                </c:pt>
                <c:pt idx="3">
                  <c:v>14.247267311146828</c:v>
                </c:pt>
                <c:pt idx="4">
                  <c:v>15.597249192739039</c:v>
                </c:pt>
                <c:pt idx="5">
                  <c:v>16.880878985366177</c:v>
                </c:pt>
                <c:pt idx="6">
                  <c:v>18.144673872132987</c:v>
                </c:pt>
                <c:pt idx="7">
                  <c:v>19.247555090523093</c:v>
                </c:pt>
                <c:pt idx="8">
                  <c:v>20.107833681164657</c:v>
                </c:pt>
                <c:pt idx="9">
                  <c:v>21.354298154720695</c:v>
                </c:pt>
                <c:pt idx="10">
                  <c:v>22.953848410243772</c:v>
                </c:pt>
                <c:pt idx="11">
                  <c:v>24.713259228813477</c:v>
                </c:pt>
                <c:pt idx="12">
                  <c:v>26.307654830370463</c:v>
                </c:pt>
                <c:pt idx="13">
                  <c:v>27.65550400693062</c:v>
                </c:pt>
                <c:pt idx="14">
                  <c:v>29.228114322773845</c:v>
                </c:pt>
                <c:pt idx="15">
                  <c:v>30.709175890256656</c:v>
                </c:pt>
                <c:pt idx="16">
                  <c:v>32.394237540530533</c:v>
                </c:pt>
                <c:pt idx="17">
                  <c:v>33.617861404079349</c:v>
                </c:pt>
                <c:pt idx="18">
                  <c:v>35.032536540093886</c:v>
                </c:pt>
                <c:pt idx="19">
                  <c:v>36.560018715198083</c:v>
                </c:pt>
                <c:pt idx="20">
                  <c:v>37.46414202878465</c:v>
                </c:pt>
                <c:pt idx="21">
                  <c:v>39.079649313705644</c:v>
                </c:pt>
                <c:pt idx="22">
                  <c:v>41.709785592082227</c:v>
                </c:pt>
                <c:pt idx="23">
                  <c:v>44.655166050105969</c:v>
                </c:pt>
                <c:pt idx="24">
                  <c:v>47.430904746981383</c:v>
                </c:pt>
                <c:pt idx="25">
                  <c:v>49.825171759316525</c:v>
                </c:pt>
              </c:numCache>
            </c:numRef>
          </c:yVal>
          <c:smooth val="1"/>
        </c:ser>
        <c:ser>
          <c:idx val="2"/>
          <c:order val="2"/>
          <c:xVal>
            <c:numRef>
              <c:f>Burnout!$A$48:$A$73</c:f>
              <c:numCache>
                <c:formatCode>0.00</c:formatCode>
                <c:ptCount val="26"/>
                <c:pt idx="0">
                  <c:v>-56.696947071490101</c:v>
                </c:pt>
                <c:pt idx="1">
                  <c:v>-33.134226991627003</c:v>
                </c:pt>
                <c:pt idx="2">
                  <c:v>-22.3528913123363</c:v>
                </c:pt>
                <c:pt idx="3">
                  <c:v>-17.273661782883298</c:v>
                </c:pt>
                <c:pt idx="4">
                  <c:v>-12.3219535563337</c:v>
                </c:pt>
                <c:pt idx="5">
                  <c:v>-7.3847568245913697</c:v>
                </c:pt>
                <c:pt idx="6">
                  <c:v>-2.35784147556687</c:v>
                </c:pt>
                <c:pt idx="7">
                  <c:v>2.6131291582139702</c:v>
                </c:pt>
                <c:pt idx="8">
                  <c:v>7.6208417326585698</c:v>
                </c:pt>
                <c:pt idx="9">
                  <c:v>12.667451193363499</c:v>
                </c:pt>
                <c:pt idx="10">
                  <c:v>17.609577118213998</c:v>
                </c:pt>
                <c:pt idx="11">
                  <c:v>22.570511639541699</c:v>
                </c:pt>
                <c:pt idx="12">
                  <c:v>27.5304555569031</c:v>
                </c:pt>
                <c:pt idx="13">
                  <c:v>32.526474136467399</c:v>
                </c:pt>
                <c:pt idx="14">
                  <c:v>37.490679398684499</c:v>
                </c:pt>
                <c:pt idx="15">
                  <c:v>42.4456490599459</c:v>
                </c:pt>
                <c:pt idx="16">
                  <c:v>47.537078355553902</c:v>
                </c:pt>
                <c:pt idx="17">
                  <c:v>52.527591880495201</c:v>
                </c:pt>
                <c:pt idx="18">
                  <c:v>57.4881298184252</c:v>
                </c:pt>
                <c:pt idx="19">
                  <c:v>62.467221643182199</c:v>
                </c:pt>
                <c:pt idx="20">
                  <c:v>67.469097316700896</c:v>
                </c:pt>
                <c:pt idx="21">
                  <c:v>72.511478292652697</c:v>
                </c:pt>
                <c:pt idx="22">
                  <c:v>86.123755253086799</c:v>
                </c:pt>
                <c:pt idx="23">
                  <c:v>111.83503563462099</c:v>
                </c:pt>
                <c:pt idx="24">
                  <c:v>134.390769582535</c:v>
                </c:pt>
                <c:pt idx="25">
                  <c:v>159.996430867318</c:v>
                </c:pt>
              </c:numCache>
            </c:numRef>
          </c:xVal>
          <c:yVal>
            <c:numRef>
              <c:f>Burnout!$O$48:$O$73</c:f>
              <c:numCache>
                <c:formatCode>0.00</c:formatCode>
                <c:ptCount val="26"/>
                <c:pt idx="0">
                  <c:v>5.9058153494291332</c:v>
                </c:pt>
                <c:pt idx="1">
                  <c:v>6.3020802083969212</c:v>
                </c:pt>
                <c:pt idx="2">
                  <c:v>8.3742471067096318</c:v>
                </c:pt>
                <c:pt idx="3">
                  <c:v>9.3283829479990708</c:v>
                </c:pt>
                <c:pt idx="4">
                  <c:v>10.196887036959835</c:v>
                </c:pt>
                <c:pt idx="5">
                  <c:v>11.031335105920903</c:v>
                </c:pt>
                <c:pt idx="6">
                  <c:v>11.924993076287516</c:v>
                </c:pt>
                <c:pt idx="7">
                  <c:v>13.356473040211835</c:v>
                </c:pt>
                <c:pt idx="8">
                  <c:v>14.724348691144984</c:v>
                </c:pt>
                <c:pt idx="9">
                  <c:v>16.442668352193699</c:v>
                </c:pt>
                <c:pt idx="10">
                  <c:v>18.54334294255262</c:v>
                </c:pt>
                <c:pt idx="11">
                  <c:v>20.925186018669649</c:v>
                </c:pt>
                <c:pt idx="12">
                  <c:v>23.300788813125305</c:v>
                </c:pt>
                <c:pt idx="13">
                  <c:v>25.564715298161524</c:v>
                </c:pt>
                <c:pt idx="14">
                  <c:v>28.133513981856229</c:v>
                </c:pt>
                <c:pt idx="15">
                  <c:v>30.709175890256656</c:v>
                </c:pt>
                <c:pt idx="16">
                  <c:v>33.578197744262695</c:v>
                </c:pt>
                <c:pt idx="17">
                  <c:v>36.041471596028828</c:v>
                </c:pt>
                <c:pt idx="18">
                  <c:v>37.542760507740049</c:v>
                </c:pt>
                <c:pt idx="19">
                  <c:v>39.160603113797741</c:v>
                </c:pt>
                <c:pt idx="20">
                  <c:v>40.117626527746943</c:v>
                </c:pt>
                <c:pt idx="21">
                  <c:v>41.821691066000909</c:v>
                </c:pt>
                <c:pt idx="22">
                  <c:v>42.294628274442346</c:v>
                </c:pt>
                <c:pt idx="23">
                  <c:v>43.100509755770943</c:v>
                </c:pt>
                <c:pt idx="24">
                  <c:v>44.814536908476789</c:v>
                </c:pt>
                <c:pt idx="25">
                  <c:v>46.452547725047168</c:v>
                </c:pt>
              </c:numCache>
            </c:numRef>
          </c:yVal>
          <c:smooth val="1"/>
        </c:ser>
        <c:dLbls>
          <c:showLegendKey val="0"/>
          <c:showVal val="0"/>
          <c:showCatName val="0"/>
          <c:showSerName val="0"/>
          <c:showPercent val="0"/>
          <c:showBubbleSize val="0"/>
        </c:dLbls>
        <c:axId val="512343424"/>
        <c:axId val="512349312"/>
      </c:scatterChart>
      <c:valAx>
        <c:axId val="512343424"/>
        <c:scaling>
          <c:orientation val="minMax"/>
        </c:scaling>
        <c:delete val="0"/>
        <c:axPos val="b"/>
        <c:numFmt formatCode="0" sourceLinked="0"/>
        <c:majorTickMark val="out"/>
        <c:minorTickMark val="none"/>
        <c:tickLblPos val="nextTo"/>
        <c:crossAx val="512349312"/>
        <c:crosses val="autoZero"/>
        <c:crossBetween val="midCat"/>
      </c:valAx>
      <c:valAx>
        <c:axId val="512349312"/>
        <c:scaling>
          <c:orientation val="minMax"/>
        </c:scaling>
        <c:delete val="0"/>
        <c:axPos val="l"/>
        <c:numFmt formatCode="0.00" sourceLinked="1"/>
        <c:majorTickMark val="out"/>
        <c:minorTickMark val="none"/>
        <c:tickLblPos val="nextTo"/>
        <c:crossAx val="512343424"/>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Burnout!$AS$86</c:f>
              <c:strCache>
                <c:ptCount val="1"/>
                <c:pt idx="0">
                  <c:v>PCT_BROKER</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Burnout!$AS$91:$AS$100</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1"/>
          <c:order val="1"/>
          <c:tx>
            <c:strRef>
              <c:f>Burnout!$AT$86</c:f>
              <c:strCache>
                <c:ptCount val="1"/>
                <c:pt idx="0">
                  <c:v>PCT_CORRES</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Burnout!$AT$91:$AT$100</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2"/>
          <c:tx>
            <c:strRef>
              <c:f>Burnout!$AU$86</c:f>
              <c:strCache>
                <c:ptCount val="1"/>
                <c:pt idx="0">
                  <c:v>PCT_NonRETAIL</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Burnout!$AU$91:$AU$100</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5"/>
          <c:order val="3"/>
          <c:tx>
            <c:strRef>
              <c:f>Burnout!$AV$86</c:f>
              <c:strCache>
                <c:ptCount val="1"/>
                <c:pt idx="0">
                  <c:v>PCT_RETAIL</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Burnout!$AV$91:$AV$100</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1"/>
        <c:smooth val="0"/>
        <c:axId val="512488576"/>
        <c:axId val="512490112"/>
      </c:lineChart>
      <c:catAx>
        <c:axId val="512488576"/>
        <c:scaling>
          <c:orientation val="minMax"/>
        </c:scaling>
        <c:delete val="0"/>
        <c:axPos val="b"/>
        <c:majorTickMark val="out"/>
        <c:minorTickMark val="none"/>
        <c:tickLblPos val="nextTo"/>
        <c:crossAx val="512490112"/>
        <c:crosses val="autoZero"/>
        <c:auto val="1"/>
        <c:lblAlgn val="ctr"/>
        <c:lblOffset val="100"/>
        <c:noMultiLvlLbl val="0"/>
      </c:catAx>
      <c:valAx>
        <c:axId val="512490112"/>
        <c:scaling>
          <c:orientation val="minMax"/>
        </c:scaling>
        <c:delete val="0"/>
        <c:axPos val="l"/>
        <c:majorGridlines/>
        <c:numFmt formatCode="0.00" sourceLinked="1"/>
        <c:majorTickMark val="out"/>
        <c:minorTickMark val="none"/>
        <c:tickLblPos val="nextTo"/>
        <c:crossAx val="5124885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actual - NonCashWindow, wala12to24</c:v>
          </c:tx>
          <c:xVal>
            <c:numRef>
              <c:f>Burnout!$A$217:$A$238</c:f>
              <c:numCache>
                <c:formatCode>0.00</c:formatCode>
                <c:ptCount val="22"/>
                <c:pt idx="0">
                  <c:v>-12.3075783504489</c:v>
                </c:pt>
                <c:pt idx="1">
                  <c:v>-7.2936691685875399</c:v>
                </c:pt>
                <c:pt idx="2">
                  <c:v>-2.3690024011631201</c:v>
                </c:pt>
                <c:pt idx="3">
                  <c:v>2.59002435886944</c:v>
                </c:pt>
                <c:pt idx="4">
                  <c:v>7.6405272530034596</c:v>
                </c:pt>
                <c:pt idx="5">
                  <c:v>12.6307763154631</c:v>
                </c:pt>
                <c:pt idx="6">
                  <c:v>17.622381253042899</c:v>
                </c:pt>
                <c:pt idx="7">
                  <c:v>22.560662303897001</c:v>
                </c:pt>
                <c:pt idx="8">
                  <c:v>27.5693575745095</c:v>
                </c:pt>
                <c:pt idx="9">
                  <c:v>32.521652477581597</c:v>
                </c:pt>
                <c:pt idx="10">
                  <c:v>37.529892332128099</c:v>
                </c:pt>
                <c:pt idx="11">
                  <c:v>42.500046610637099</c:v>
                </c:pt>
                <c:pt idx="12">
                  <c:v>47.5599904408217</c:v>
                </c:pt>
                <c:pt idx="13">
                  <c:v>52.556852645500399</c:v>
                </c:pt>
                <c:pt idx="14">
                  <c:v>57.503638390357402</c:v>
                </c:pt>
                <c:pt idx="15">
                  <c:v>62.498118249727199</c:v>
                </c:pt>
                <c:pt idx="16">
                  <c:v>67.486941816233099</c:v>
                </c:pt>
                <c:pt idx="17">
                  <c:v>72.520422224818901</c:v>
                </c:pt>
                <c:pt idx="18">
                  <c:v>86.348471629290103</c:v>
                </c:pt>
                <c:pt idx="19">
                  <c:v>111.718332385794</c:v>
                </c:pt>
                <c:pt idx="20">
                  <c:v>134.94959605790601</c:v>
                </c:pt>
                <c:pt idx="21">
                  <c:v>160.59824035554701</c:v>
                </c:pt>
              </c:numCache>
            </c:numRef>
          </c:xVal>
          <c:yVal>
            <c:numRef>
              <c:f>Burnout!$G$217:$G$238</c:f>
              <c:numCache>
                <c:formatCode>0.00</c:formatCode>
                <c:ptCount val="22"/>
                <c:pt idx="0">
                  <c:v>6.1295516587338224</c:v>
                </c:pt>
                <c:pt idx="1">
                  <c:v>7.0664615021935218</c:v>
                </c:pt>
                <c:pt idx="2">
                  <c:v>8.6206608161297549</c:v>
                </c:pt>
                <c:pt idx="3">
                  <c:v>11.349407320487003</c:v>
                </c:pt>
                <c:pt idx="4">
                  <c:v>8.9300337352935308</c:v>
                </c:pt>
                <c:pt idx="5">
                  <c:v>12.358123248222263</c:v>
                </c:pt>
                <c:pt idx="6">
                  <c:v>11.611540077245241</c:v>
                </c:pt>
                <c:pt idx="7">
                  <c:v>13.266258665496222</c:v>
                </c:pt>
                <c:pt idx="8">
                  <c:v>14.748330428502598</c:v>
                </c:pt>
                <c:pt idx="9">
                  <c:v>16.263458105646599</c:v>
                </c:pt>
                <c:pt idx="10">
                  <c:v>17.51398688830248</c:v>
                </c:pt>
                <c:pt idx="11">
                  <c:v>19.218846128225152</c:v>
                </c:pt>
                <c:pt idx="12">
                  <c:v>19.995137734802981</c:v>
                </c:pt>
                <c:pt idx="13">
                  <c:v>22.230135510407312</c:v>
                </c:pt>
                <c:pt idx="14">
                  <c:v>23.19829636442585</c:v>
                </c:pt>
                <c:pt idx="15">
                  <c:v>26.051910026550363</c:v>
                </c:pt>
                <c:pt idx="16">
                  <c:v>27.721685448049239</c:v>
                </c:pt>
                <c:pt idx="17">
                  <c:v>28.206016589357084</c:v>
                </c:pt>
                <c:pt idx="18">
                  <c:v>31.348324507307769</c:v>
                </c:pt>
                <c:pt idx="19">
                  <c:v>34.969997259688633</c:v>
                </c:pt>
                <c:pt idx="20">
                  <c:v>35.363464857130268</c:v>
                </c:pt>
                <c:pt idx="21">
                  <c:v>34.060939837629299</c:v>
                </c:pt>
              </c:numCache>
            </c:numRef>
          </c:yVal>
          <c:smooth val="1"/>
        </c:ser>
        <c:ser>
          <c:idx val="1"/>
          <c:order val="1"/>
          <c:tx>
            <c:v>prev high media model</c:v>
          </c:tx>
          <c:xVal>
            <c:numRef>
              <c:f>Burnout!$A$217:$A$238</c:f>
              <c:numCache>
                <c:formatCode>0.00</c:formatCode>
                <c:ptCount val="22"/>
                <c:pt idx="0">
                  <c:v>-12.3075783504489</c:v>
                </c:pt>
                <c:pt idx="1">
                  <c:v>-7.2936691685875399</c:v>
                </c:pt>
                <c:pt idx="2">
                  <c:v>-2.3690024011631201</c:v>
                </c:pt>
                <c:pt idx="3">
                  <c:v>2.59002435886944</c:v>
                </c:pt>
                <c:pt idx="4">
                  <c:v>7.6405272530034596</c:v>
                </c:pt>
                <c:pt idx="5">
                  <c:v>12.6307763154631</c:v>
                </c:pt>
                <c:pt idx="6">
                  <c:v>17.622381253042899</c:v>
                </c:pt>
                <c:pt idx="7">
                  <c:v>22.560662303897001</c:v>
                </c:pt>
                <c:pt idx="8">
                  <c:v>27.5693575745095</c:v>
                </c:pt>
                <c:pt idx="9">
                  <c:v>32.521652477581597</c:v>
                </c:pt>
                <c:pt idx="10">
                  <c:v>37.529892332128099</c:v>
                </c:pt>
                <c:pt idx="11">
                  <c:v>42.500046610637099</c:v>
                </c:pt>
                <c:pt idx="12">
                  <c:v>47.5599904408217</c:v>
                </c:pt>
                <c:pt idx="13">
                  <c:v>52.556852645500399</c:v>
                </c:pt>
                <c:pt idx="14">
                  <c:v>57.503638390357402</c:v>
                </c:pt>
                <c:pt idx="15">
                  <c:v>62.498118249727199</c:v>
                </c:pt>
                <c:pt idx="16">
                  <c:v>67.486941816233099</c:v>
                </c:pt>
                <c:pt idx="17">
                  <c:v>72.520422224818901</c:v>
                </c:pt>
                <c:pt idx="18">
                  <c:v>86.348471629290103</c:v>
                </c:pt>
                <c:pt idx="19">
                  <c:v>111.718332385794</c:v>
                </c:pt>
                <c:pt idx="20">
                  <c:v>134.94959605790601</c:v>
                </c:pt>
                <c:pt idx="21">
                  <c:v>160.59824035554701</c:v>
                </c:pt>
              </c:numCache>
            </c:numRef>
          </c:xVal>
          <c:yVal>
            <c:numRef>
              <c:f>Burnout!$H$217:$H$238</c:f>
              <c:numCache>
                <c:formatCode>0.00</c:formatCode>
                <c:ptCount val="22"/>
                <c:pt idx="0">
                  <c:v>13.749128539207911</c:v>
                </c:pt>
                <c:pt idx="1">
                  <c:v>14.834312811602812</c:v>
                </c:pt>
                <c:pt idx="2">
                  <c:v>16.145282909137094</c:v>
                </c:pt>
                <c:pt idx="3">
                  <c:v>17.173475482044687</c:v>
                </c:pt>
                <c:pt idx="4">
                  <c:v>18.004414560687753</c:v>
                </c:pt>
                <c:pt idx="5">
                  <c:v>19.169131184681365</c:v>
                </c:pt>
                <c:pt idx="6">
                  <c:v>20.375723320377681</c:v>
                </c:pt>
                <c:pt idx="7">
                  <c:v>21.938161986626202</c:v>
                </c:pt>
                <c:pt idx="8">
                  <c:v>23.397122746612254</c:v>
                </c:pt>
                <c:pt idx="9">
                  <c:v>25.027170596465474</c:v>
                </c:pt>
                <c:pt idx="10">
                  <c:v>26.456592512491007</c:v>
                </c:pt>
                <c:pt idx="11">
                  <c:v>27.694438874601591</c:v>
                </c:pt>
                <c:pt idx="12">
                  <c:v>29.140103386118643</c:v>
                </c:pt>
                <c:pt idx="13">
                  <c:v>30.385602493158814</c:v>
                </c:pt>
                <c:pt idx="14">
                  <c:v>31.655313128446494</c:v>
                </c:pt>
                <c:pt idx="15">
                  <c:v>32.891013328833793</c:v>
                </c:pt>
                <c:pt idx="16">
                  <c:v>33.844613093510148</c:v>
                </c:pt>
                <c:pt idx="17">
                  <c:v>35.128645784460986</c:v>
                </c:pt>
                <c:pt idx="18">
                  <c:v>37.798067821439382</c:v>
                </c:pt>
                <c:pt idx="19">
                  <c:v>40.619513547593819</c:v>
                </c:pt>
                <c:pt idx="20">
                  <c:v>43.014442578575654</c:v>
                </c:pt>
                <c:pt idx="21">
                  <c:v>44.760994959218372</c:v>
                </c:pt>
              </c:numCache>
            </c:numRef>
          </c:yVal>
          <c:smooth val="1"/>
        </c:ser>
        <c:ser>
          <c:idx val="2"/>
          <c:order val="2"/>
          <c:tx>
            <c:v>new model</c:v>
          </c:tx>
          <c:xVal>
            <c:numRef>
              <c:f>Burnout!$A$217:$A$238</c:f>
              <c:numCache>
                <c:formatCode>0.00</c:formatCode>
                <c:ptCount val="22"/>
                <c:pt idx="0">
                  <c:v>-12.3075783504489</c:v>
                </c:pt>
                <c:pt idx="1">
                  <c:v>-7.2936691685875399</c:v>
                </c:pt>
                <c:pt idx="2">
                  <c:v>-2.3690024011631201</c:v>
                </c:pt>
                <c:pt idx="3">
                  <c:v>2.59002435886944</c:v>
                </c:pt>
                <c:pt idx="4">
                  <c:v>7.6405272530034596</c:v>
                </c:pt>
                <c:pt idx="5">
                  <c:v>12.6307763154631</c:v>
                </c:pt>
                <c:pt idx="6">
                  <c:v>17.622381253042899</c:v>
                </c:pt>
                <c:pt idx="7">
                  <c:v>22.560662303897001</c:v>
                </c:pt>
                <c:pt idx="8">
                  <c:v>27.5693575745095</c:v>
                </c:pt>
                <c:pt idx="9">
                  <c:v>32.521652477581597</c:v>
                </c:pt>
                <c:pt idx="10">
                  <c:v>37.529892332128099</c:v>
                </c:pt>
                <c:pt idx="11">
                  <c:v>42.500046610637099</c:v>
                </c:pt>
                <c:pt idx="12">
                  <c:v>47.5599904408217</c:v>
                </c:pt>
                <c:pt idx="13">
                  <c:v>52.556852645500399</c:v>
                </c:pt>
                <c:pt idx="14">
                  <c:v>57.503638390357402</c:v>
                </c:pt>
                <c:pt idx="15">
                  <c:v>62.498118249727199</c:v>
                </c:pt>
                <c:pt idx="16">
                  <c:v>67.486941816233099</c:v>
                </c:pt>
                <c:pt idx="17">
                  <c:v>72.520422224818901</c:v>
                </c:pt>
                <c:pt idx="18">
                  <c:v>86.348471629290103</c:v>
                </c:pt>
                <c:pt idx="19">
                  <c:v>111.718332385794</c:v>
                </c:pt>
                <c:pt idx="20">
                  <c:v>134.94959605790601</c:v>
                </c:pt>
                <c:pt idx="21">
                  <c:v>160.59824035554701</c:v>
                </c:pt>
              </c:numCache>
            </c:numRef>
          </c:xVal>
          <c:yVal>
            <c:numRef>
              <c:f>Burnout!$O$217:$O$238</c:f>
              <c:numCache>
                <c:formatCode>0.00</c:formatCode>
                <c:ptCount val="22"/>
                <c:pt idx="0">
                  <c:v>5.79315005047828</c:v>
                </c:pt>
                <c:pt idx="1">
                  <c:v>7.10004986480266</c:v>
                </c:pt>
                <c:pt idx="2">
                  <c:v>7.8717942275912334</c:v>
                </c:pt>
                <c:pt idx="3">
                  <c:v>8.5809472125998099</c:v>
                </c:pt>
                <c:pt idx="4">
                  <c:v>9.3259349024144669</c:v>
                </c:pt>
                <c:pt idx="5">
                  <c:v>10.12997331710338</c:v>
                </c:pt>
                <c:pt idx="6">
                  <c:v>11.256396279379766</c:v>
                </c:pt>
                <c:pt idx="7">
                  <c:v>12.382582525341235</c:v>
                </c:pt>
                <c:pt idx="8">
                  <c:v>13.810652875691243</c:v>
                </c:pt>
                <c:pt idx="9">
                  <c:v>15.374992231668994</c:v>
                </c:pt>
                <c:pt idx="10">
                  <c:v>17.303200009508323</c:v>
                </c:pt>
                <c:pt idx="11">
                  <c:v>16.089820624975694</c:v>
                </c:pt>
                <c:pt idx="12">
                  <c:v>18.296973293090659</c:v>
                </c:pt>
                <c:pt idx="13">
                  <c:v>20.424306999886653</c:v>
                </c:pt>
                <c:pt idx="14">
                  <c:v>7.5930937382075232</c:v>
                </c:pt>
                <c:pt idx="15">
                  <c:v>4.9479481659700619</c:v>
                </c:pt>
                <c:pt idx="16">
                  <c:v>0.59676965651360714</c:v>
                </c:pt>
                <c:pt idx="17">
                  <c:v>0.60370150316302329</c:v>
                </c:pt>
                <c:pt idx="18">
                  <c:v>0.6184854280131602</c:v>
                </c:pt>
                <c:pt idx="19">
                  <c:v>0.67937380220585153</c:v>
                </c:pt>
                <c:pt idx="20">
                  <c:v>0.73927134618816392</c:v>
                </c:pt>
                <c:pt idx="21">
                  <c:v>0.88151068526298726</c:v>
                </c:pt>
              </c:numCache>
            </c:numRef>
          </c:yVal>
          <c:smooth val="1"/>
        </c:ser>
        <c:dLbls>
          <c:showLegendKey val="0"/>
          <c:showVal val="0"/>
          <c:showCatName val="0"/>
          <c:showSerName val="0"/>
          <c:showPercent val="0"/>
          <c:showBubbleSize val="0"/>
        </c:dLbls>
        <c:axId val="512600704"/>
        <c:axId val="512606592"/>
      </c:scatterChart>
      <c:valAx>
        <c:axId val="512600704"/>
        <c:scaling>
          <c:orientation val="minMax"/>
        </c:scaling>
        <c:delete val="0"/>
        <c:axPos val="b"/>
        <c:numFmt formatCode="0" sourceLinked="0"/>
        <c:majorTickMark val="out"/>
        <c:minorTickMark val="none"/>
        <c:tickLblPos val="nextTo"/>
        <c:crossAx val="512606592"/>
        <c:crosses val="autoZero"/>
        <c:crossBetween val="midCat"/>
      </c:valAx>
      <c:valAx>
        <c:axId val="512606592"/>
        <c:scaling>
          <c:orientation val="minMax"/>
        </c:scaling>
        <c:delete val="0"/>
        <c:axPos val="l"/>
        <c:numFmt formatCode="0.00" sourceLinked="1"/>
        <c:majorTickMark val="out"/>
        <c:minorTickMark val="none"/>
        <c:tickLblPos val="nextTo"/>
        <c:crossAx val="512600704"/>
        <c:crosses val="autoZero"/>
        <c:crossBetween val="midCat"/>
        <c:majorUnit val="5"/>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Burnout!$AD$210</c:f>
              <c:strCache>
                <c:ptCount val="1"/>
                <c:pt idx="0">
                  <c:v>Knot</c:v>
                </c:pt>
              </c:strCache>
            </c:strRef>
          </c:tx>
          <c:marker>
            <c:symbol val="none"/>
          </c:marker>
          <c:cat>
            <c:numRef>
              <c:f>Burnout!$AC$211:$AC$238</c:f>
              <c:numCache>
                <c:formatCode>0</c:formatCode>
                <c:ptCount val="28"/>
                <c:pt idx="0">
                  <c:v>-107.582908254133</c:v>
                </c:pt>
                <c:pt idx="1">
                  <c:v>-83.391670432831603</c:v>
                </c:pt>
                <c:pt idx="2">
                  <c:v>-58.2184028779524</c:v>
                </c:pt>
                <c:pt idx="3">
                  <c:v>-33.461505855893002</c:v>
                </c:pt>
                <c:pt idx="4">
                  <c:v>-22.330523605828901</c:v>
                </c:pt>
                <c:pt idx="5">
                  <c:v>-17.340948323743898</c:v>
                </c:pt>
                <c:pt idx="6">
                  <c:v>-12.3075783504489</c:v>
                </c:pt>
                <c:pt idx="7">
                  <c:v>-7.2936691685875399</c:v>
                </c:pt>
                <c:pt idx="8">
                  <c:v>-2.3690024011631201</c:v>
                </c:pt>
                <c:pt idx="9">
                  <c:v>2.59002435886944</c:v>
                </c:pt>
                <c:pt idx="10">
                  <c:v>7.6405272530034596</c:v>
                </c:pt>
                <c:pt idx="11">
                  <c:v>12.6307763154631</c:v>
                </c:pt>
                <c:pt idx="12">
                  <c:v>17.622381253042899</c:v>
                </c:pt>
                <c:pt idx="13">
                  <c:v>22.560662303897001</c:v>
                </c:pt>
                <c:pt idx="14">
                  <c:v>27.5693575745095</c:v>
                </c:pt>
                <c:pt idx="15">
                  <c:v>32.521652477581597</c:v>
                </c:pt>
                <c:pt idx="16">
                  <c:v>37.529892332128099</c:v>
                </c:pt>
                <c:pt idx="17">
                  <c:v>42.500046610637099</c:v>
                </c:pt>
                <c:pt idx="18">
                  <c:v>47.5599904408217</c:v>
                </c:pt>
                <c:pt idx="19">
                  <c:v>52.556852645500399</c:v>
                </c:pt>
                <c:pt idx="20">
                  <c:v>57.503638390357402</c:v>
                </c:pt>
                <c:pt idx="21">
                  <c:v>62.498118249727199</c:v>
                </c:pt>
                <c:pt idx="22">
                  <c:v>67.486941816233099</c:v>
                </c:pt>
                <c:pt idx="23">
                  <c:v>72.520422224818901</c:v>
                </c:pt>
                <c:pt idx="24">
                  <c:v>86.348471629290103</c:v>
                </c:pt>
                <c:pt idx="25">
                  <c:v>111.718332385794</c:v>
                </c:pt>
                <c:pt idx="26">
                  <c:v>134.94959605790601</c:v>
                </c:pt>
                <c:pt idx="27">
                  <c:v>160.59824035554701</c:v>
                </c:pt>
              </c:numCache>
            </c:numRef>
          </c:cat>
          <c:val>
            <c:numRef>
              <c:f>Burnout!$AD$211:$AD$238</c:f>
              <c:numCache>
                <c:formatCode>0.000</c:formatCode>
                <c:ptCount val="28"/>
                <c:pt idx="0">
                  <c:v>0</c:v>
                </c:pt>
                <c:pt idx="1">
                  <c:v>0</c:v>
                </c:pt>
                <c:pt idx="2">
                  <c:v>0</c:v>
                </c:pt>
                <c:pt idx="3">
                  <c:v>0.39387319081357403</c:v>
                </c:pt>
                <c:pt idx="4">
                  <c:v>0.79645948376475795</c:v>
                </c:pt>
                <c:pt idx="5">
                  <c:v>0.95362938111262996</c:v>
                </c:pt>
                <c:pt idx="6">
                  <c:v>1.08142635820954</c:v>
                </c:pt>
                <c:pt idx="7">
                  <c:v>1.1993277822989601</c:v>
                </c:pt>
                <c:pt idx="8">
                  <c:v>1.3122379125033801</c:v>
                </c:pt>
                <c:pt idx="9">
                  <c:v>1.4018480364105399</c:v>
                </c:pt>
                <c:pt idx="10">
                  <c:v>1.51655790515</c:v>
                </c:pt>
                <c:pt idx="11">
                  <c:v>1.6382587772578501</c:v>
                </c:pt>
                <c:pt idx="12">
                  <c:v>1.77123004461028</c:v>
                </c:pt>
                <c:pt idx="13">
                  <c:v>1.91883456513696</c:v>
                </c:pt>
                <c:pt idx="14">
                  <c:v>2.0788177485891102</c:v>
                </c:pt>
                <c:pt idx="15">
                  <c:v>2.2487416798578299</c:v>
                </c:pt>
                <c:pt idx="16">
                  <c:v>2.4264029166777901</c:v>
                </c:pt>
                <c:pt idx="17">
                  <c:v>2.6095980167836599</c:v>
                </c:pt>
                <c:pt idx="18">
                  <c:v>2.7961235379101401</c:v>
                </c:pt>
                <c:pt idx="19">
                  <c:v>2.9837760377918898</c:v>
                </c:pt>
                <c:pt idx="20">
                  <c:v>3.1703520741635902</c:v>
                </c:pt>
                <c:pt idx="21">
                  <c:v>3.3536482047599101</c:v>
                </c:pt>
                <c:pt idx="22">
                  <c:v>3.5314609873155498</c:v>
                </c:pt>
                <c:pt idx="23">
                  <c:v>3.7015869795651599</c:v>
                </c:pt>
                <c:pt idx="24">
                  <c:v>4.1191352784208304</c:v>
                </c:pt>
                <c:pt idx="25">
                  <c:v>4.7299139704548203</c:v>
                </c:pt>
                <c:pt idx="26">
                  <c:v>5.2051069926153799</c:v>
                </c:pt>
                <c:pt idx="27">
                  <c:v>5.6662697466415004</c:v>
                </c:pt>
              </c:numCache>
            </c:numRef>
          </c:val>
          <c:smooth val="0"/>
        </c:ser>
        <c:ser>
          <c:idx val="1"/>
          <c:order val="1"/>
          <c:tx>
            <c:strRef>
              <c:f>Burnout!$AE$210</c:f>
              <c:strCache>
                <c:ptCount val="1"/>
                <c:pt idx="0">
                  <c:v>adj Knot</c:v>
                </c:pt>
              </c:strCache>
            </c:strRef>
          </c:tx>
          <c:marker>
            <c:symbol val="none"/>
          </c:marker>
          <c:cat>
            <c:numRef>
              <c:f>Burnout!$AC$211:$AC$238</c:f>
              <c:numCache>
                <c:formatCode>0</c:formatCode>
                <c:ptCount val="28"/>
                <c:pt idx="0">
                  <c:v>-107.582908254133</c:v>
                </c:pt>
                <c:pt idx="1">
                  <c:v>-83.391670432831603</c:v>
                </c:pt>
                <c:pt idx="2">
                  <c:v>-58.2184028779524</c:v>
                </c:pt>
                <c:pt idx="3">
                  <c:v>-33.461505855893002</c:v>
                </c:pt>
                <c:pt idx="4">
                  <c:v>-22.330523605828901</c:v>
                </c:pt>
                <c:pt idx="5">
                  <c:v>-17.340948323743898</c:v>
                </c:pt>
                <c:pt idx="6">
                  <c:v>-12.3075783504489</c:v>
                </c:pt>
                <c:pt idx="7">
                  <c:v>-7.2936691685875399</c:v>
                </c:pt>
                <c:pt idx="8">
                  <c:v>-2.3690024011631201</c:v>
                </c:pt>
                <c:pt idx="9">
                  <c:v>2.59002435886944</c:v>
                </c:pt>
                <c:pt idx="10">
                  <c:v>7.6405272530034596</c:v>
                </c:pt>
                <c:pt idx="11">
                  <c:v>12.6307763154631</c:v>
                </c:pt>
                <c:pt idx="12">
                  <c:v>17.622381253042899</c:v>
                </c:pt>
                <c:pt idx="13">
                  <c:v>22.560662303897001</c:v>
                </c:pt>
                <c:pt idx="14">
                  <c:v>27.5693575745095</c:v>
                </c:pt>
                <c:pt idx="15">
                  <c:v>32.521652477581597</c:v>
                </c:pt>
                <c:pt idx="16">
                  <c:v>37.529892332128099</c:v>
                </c:pt>
                <c:pt idx="17">
                  <c:v>42.500046610637099</c:v>
                </c:pt>
                <c:pt idx="18">
                  <c:v>47.5599904408217</c:v>
                </c:pt>
                <c:pt idx="19">
                  <c:v>52.556852645500399</c:v>
                </c:pt>
                <c:pt idx="20">
                  <c:v>57.503638390357402</c:v>
                </c:pt>
                <c:pt idx="21">
                  <c:v>62.498118249727199</c:v>
                </c:pt>
                <c:pt idx="22">
                  <c:v>67.486941816233099</c:v>
                </c:pt>
                <c:pt idx="23">
                  <c:v>72.520422224818901</c:v>
                </c:pt>
                <c:pt idx="24">
                  <c:v>86.348471629290103</c:v>
                </c:pt>
                <c:pt idx="25">
                  <c:v>111.718332385794</c:v>
                </c:pt>
                <c:pt idx="26">
                  <c:v>134.94959605790601</c:v>
                </c:pt>
                <c:pt idx="27">
                  <c:v>160.59824035554701</c:v>
                </c:pt>
              </c:numCache>
            </c:numRef>
          </c:cat>
          <c:val>
            <c:numRef>
              <c:f>Burnout!$AE$211:$AE$238</c:f>
              <c:numCache>
                <c:formatCode>0.000</c:formatCode>
                <c:ptCount val="28"/>
                <c:pt idx="0">
                  <c:v>0</c:v>
                </c:pt>
                <c:pt idx="1">
                  <c:v>0</c:v>
                </c:pt>
                <c:pt idx="2">
                  <c:v>0</c:v>
                </c:pt>
                <c:pt idx="3">
                  <c:v>0.19693659540678701</c:v>
                </c:pt>
                <c:pt idx="4">
                  <c:v>0.40619433672002658</c:v>
                </c:pt>
                <c:pt idx="5">
                  <c:v>0.49588727817856759</c:v>
                </c:pt>
                <c:pt idx="6">
                  <c:v>0.57315596985105621</c:v>
                </c:pt>
                <c:pt idx="7">
                  <c:v>0.64763700244143851</c:v>
                </c:pt>
                <c:pt idx="8">
                  <c:v>0.72173085187685915</c:v>
                </c:pt>
                <c:pt idx="9">
                  <c:v>0.84110882184632407</c:v>
                </c:pt>
                <c:pt idx="10">
                  <c:v>0.9857626383475</c:v>
                </c:pt>
                <c:pt idx="11">
                  <c:v>1.1467811440804951</c:v>
                </c:pt>
                <c:pt idx="12">
                  <c:v>1.32842253345771</c:v>
                </c:pt>
                <c:pt idx="13">
                  <c:v>1.5350676521095681</c:v>
                </c:pt>
                <c:pt idx="14">
                  <c:v>1.7669950863007438</c:v>
                </c:pt>
                <c:pt idx="15">
                  <c:v>2.0238675118720471</c:v>
                </c:pt>
                <c:pt idx="16">
                  <c:v>2.3050827708439008</c:v>
                </c:pt>
                <c:pt idx="17">
                  <c:v>0.77244101296796341</c:v>
                </c:pt>
                <c:pt idx="18">
                  <c:v>0.47534100144472391</c:v>
                </c:pt>
                <c:pt idx="19">
                  <c:v>0</c:v>
                </c:pt>
                <c:pt idx="20">
                  <c:v>0</c:v>
                </c:pt>
                <c:pt idx="21">
                  <c:v>0</c:v>
                </c:pt>
                <c:pt idx="22">
                  <c:v>0</c:v>
                </c:pt>
                <c:pt idx="23">
                  <c:v>0</c:v>
                </c:pt>
                <c:pt idx="24">
                  <c:v>0</c:v>
                </c:pt>
                <c:pt idx="25">
                  <c:v>0</c:v>
                </c:pt>
                <c:pt idx="26">
                  <c:v>0</c:v>
                </c:pt>
                <c:pt idx="27">
                  <c:v>0</c:v>
                </c:pt>
              </c:numCache>
            </c:numRef>
          </c:val>
          <c:smooth val="0"/>
        </c:ser>
        <c:dLbls>
          <c:showLegendKey val="0"/>
          <c:showVal val="0"/>
          <c:showCatName val="0"/>
          <c:showSerName val="0"/>
          <c:showPercent val="0"/>
          <c:showBubbleSize val="0"/>
        </c:dLbls>
        <c:marker val="1"/>
        <c:smooth val="0"/>
        <c:axId val="512641664"/>
        <c:axId val="512643456"/>
      </c:lineChart>
      <c:catAx>
        <c:axId val="512641664"/>
        <c:scaling>
          <c:orientation val="minMax"/>
        </c:scaling>
        <c:delete val="0"/>
        <c:axPos val="b"/>
        <c:numFmt formatCode="0" sourceLinked="1"/>
        <c:majorTickMark val="out"/>
        <c:minorTickMark val="none"/>
        <c:tickLblPos val="nextTo"/>
        <c:crossAx val="512643456"/>
        <c:crosses val="autoZero"/>
        <c:auto val="1"/>
        <c:lblAlgn val="ctr"/>
        <c:lblOffset val="100"/>
        <c:noMultiLvlLbl val="0"/>
      </c:catAx>
      <c:valAx>
        <c:axId val="512643456"/>
        <c:scaling>
          <c:orientation val="minMax"/>
        </c:scaling>
        <c:delete val="0"/>
        <c:axPos val="l"/>
        <c:numFmt formatCode="0" sourceLinked="0"/>
        <c:majorTickMark val="out"/>
        <c:minorTickMark val="none"/>
        <c:tickLblPos val="nextTo"/>
        <c:crossAx val="51264166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Burnout!$Y$121</c:f>
              <c:strCache>
                <c:ptCount val="1"/>
                <c:pt idx="0">
                  <c:v>Knot</c:v>
                </c:pt>
              </c:strCache>
            </c:strRef>
          </c:tx>
          <c:marker>
            <c:symbol val="none"/>
          </c:marker>
          <c:cat>
            <c:numRef>
              <c:f>Burnout!$X$122:$X$135</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Burnout!$Y$122:$Y$135</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ser>
          <c:idx val="1"/>
          <c:order val="1"/>
          <c:tx>
            <c:strRef>
              <c:f>Burnout!$Z$121</c:f>
              <c:strCache>
                <c:ptCount val="1"/>
                <c:pt idx="0">
                  <c:v>adj Knot</c:v>
                </c:pt>
              </c:strCache>
            </c:strRef>
          </c:tx>
          <c:marker>
            <c:symbol val="none"/>
          </c:marker>
          <c:cat>
            <c:numRef>
              <c:f>Burnout!$X$122:$X$135</c:f>
              <c:numCache>
                <c:formatCode>0</c:formatCode>
                <c:ptCount val="14"/>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pt idx="10">
                  <c:v>17.616235747790999</c:v>
                </c:pt>
                <c:pt idx="11">
                  <c:v>22.590179235964602</c:v>
                </c:pt>
                <c:pt idx="12">
                  <c:v>27.547268159078001</c:v>
                </c:pt>
                <c:pt idx="13">
                  <c:v>32.542028407735103</c:v>
                </c:pt>
              </c:numCache>
            </c:numRef>
          </c:cat>
          <c:val>
            <c:numRef>
              <c:f>Burnout!$Z$122:$Z$135</c:f>
              <c:numCache>
                <c:formatCode>0.000</c:formatCode>
                <c:ptCount val="14"/>
                <c:pt idx="0">
                  <c:v>0.18862313043478299</c:v>
                </c:pt>
                <c:pt idx="1">
                  <c:v>0.3115</c:v>
                </c:pt>
                <c:pt idx="2">
                  <c:v>0.38089236111111102</c:v>
                </c:pt>
                <c:pt idx="3">
                  <c:v>0.43050424626087003</c:v>
                </c:pt>
                <c:pt idx="4">
                  <c:v>0.48396474713043502</c:v>
                </c:pt>
                <c:pt idx="5">
                  <c:v>0.54485561321739095</c:v>
                </c:pt>
                <c:pt idx="6">
                  <c:v>0.61797136626086902</c:v>
                </c:pt>
                <c:pt idx="7">
                  <c:v>0.68848780591304304</c:v>
                </c:pt>
                <c:pt idx="8">
                  <c:v>0.79418177251202804</c:v>
                </c:pt>
                <c:pt idx="9">
                  <c:v>0.91120038717590501</c:v>
                </c:pt>
                <c:pt idx="10">
                  <c:v>1.0442240375289999</c:v>
                </c:pt>
                <c:pt idx="11">
                  <c:v>1.20153726214034</c:v>
                </c:pt>
                <c:pt idx="12">
                  <c:v>1.39142459957894</c:v>
                </c:pt>
                <c:pt idx="13">
                  <c:v>1.62333231153945</c:v>
                </c:pt>
              </c:numCache>
            </c:numRef>
          </c:val>
          <c:smooth val="0"/>
        </c:ser>
        <c:dLbls>
          <c:showLegendKey val="0"/>
          <c:showVal val="0"/>
          <c:showCatName val="0"/>
          <c:showSerName val="0"/>
          <c:showPercent val="0"/>
          <c:showBubbleSize val="0"/>
        </c:dLbls>
        <c:marker val="1"/>
        <c:smooth val="0"/>
        <c:axId val="512680704"/>
        <c:axId val="512682240"/>
      </c:lineChart>
      <c:catAx>
        <c:axId val="512680704"/>
        <c:scaling>
          <c:orientation val="minMax"/>
        </c:scaling>
        <c:delete val="0"/>
        <c:axPos val="b"/>
        <c:numFmt formatCode="0" sourceLinked="1"/>
        <c:majorTickMark val="out"/>
        <c:minorTickMark val="none"/>
        <c:tickLblPos val="nextTo"/>
        <c:crossAx val="512682240"/>
        <c:crosses val="autoZero"/>
        <c:auto val="1"/>
        <c:lblAlgn val="ctr"/>
        <c:lblOffset val="100"/>
        <c:noMultiLvlLbl val="0"/>
      </c:catAx>
      <c:valAx>
        <c:axId val="512682240"/>
        <c:scaling>
          <c:orientation val="minMax"/>
        </c:scaling>
        <c:delete val="0"/>
        <c:axPos val="l"/>
        <c:numFmt formatCode="0" sourceLinked="0"/>
        <c:majorTickMark val="out"/>
        <c:minorTickMark val="none"/>
        <c:tickLblPos val="nextTo"/>
        <c:crossAx val="512680704"/>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Burnout!$T$121</c:f>
              <c:strCache>
                <c:ptCount val="1"/>
                <c:pt idx="0">
                  <c:v>Knot</c:v>
                </c:pt>
              </c:strCache>
            </c:strRef>
          </c:tx>
          <c:marker>
            <c:symbol val="none"/>
          </c:marker>
          <c:cat>
            <c:numRef>
              <c:f>Burnout!$S$122:$S$131</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Burnout!$T$122:$T$131</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ser>
          <c:idx val="1"/>
          <c:order val="1"/>
          <c:tx>
            <c:strRef>
              <c:f>Burnout!$U$121</c:f>
              <c:strCache>
                <c:ptCount val="1"/>
                <c:pt idx="0">
                  <c:v>adj Knot</c:v>
                </c:pt>
              </c:strCache>
            </c:strRef>
          </c:tx>
          <c:marker>
            <c:symbol val="none"/>
          </c:marker>
          <c:cat>
            <c:numRef>
              <c:f>Burnout!$S$122:$S$131</c:f>
              <c:numCache>
                <c:formatCode>0</c:formatCode>
                <c:ptCount val="10"/>
                <c:pt idx="0">
                  <c:v>-56.6828166580963</c:v>
                </c:pt>
                <c:pt idx="1">
                  <c:v>-32.1513166220317</c:v>
                </c:pt>
                <c:pt idx="2">
                  <c:v>-22.234952986481101</c:v>
                </c:pt>
                <c:pt idx="3">
                  <c:v>-17.320366360484901</c:v>
                </c:pt>
                <c:pt idx="4">
                  <c:v>-12.2652608626338</c:v>
                </c:pt>
                <c:pt idx="5">
                  <c:v>-7.3224372973263501</c:v>
                </c:pt>
                <c:pt idx="6">
                  <c:v>-2.3387296965728201</c:v>
                </c:pt>
                <c:pt idx="7">
                  <c:v>2.65358877799809</c:v>
                </c:pt>
                <c:pt idx="8">
                  <c:v>7.6198852778356896</c:v>
                </c:pt>
                <c:pt idx="9">
                  <c:v>12.7027837487685</c:v>
                </c:pt>
              </c:numCache>
            </c:numRef>
          </c:cat>
          <c:val>
            <c:numRef>
              <c:f>Burnout!$U$122:$U$131</c:f>
              <c:numCache>
                <c:formatCode>0.000</c:formatCode>
                <c:ptCount val="10"/>
                <c:pt idx="0">
                  <c:v>1.2795488639999999</c:v>
                </c:pt>
                <c:pt idx="1">
                  <c:v>1.2869999999999999</c:v>
                </c:pt>
                <c:pt idx="2">
                  <c:v>1.2869999999999999</c:v>
                </c:pt>
                <c:pt idx="3">
                  <c:v>1.2869999999999999</c:v>
                </c:pt>
                <c:pt idx="4">
                  <c:v>1.2869999999999999</c:v>
                </c:pt>
                <c:pt idx="5">
                  <c:v>1.2869999999999999</c:v>
                </c:pt>
                <c:pt idx="6">
                  <c:v>1.2869999999999999</c:v>
                </c:pt>
                <c:pt idx="7">
                  <c:v>1.2869999999999999</c:v>
                </c:pt>
                <c:pt idx="8">
                  <c:v>1.2869999999999999</c:v>
                </c:pt>
                <c:pt idx="9">
                  <c:v>1.2869999999999999</c:v>
                </c:pt>
              </c:numCache>
            </c:numRef>
          </c:val>
          <c:smooth val="0"/>
        </c:ser>
        <c:dLbls>
          <c:showLegendKey val="0"/>
          <c:showVal val="0"/>
          <c:showCatName val="0"/>
          <c:showSerName val="0"/>
          <c:showPercent val="0"/>
          <c:showBubbleSize val="0"/>
        </c:dLbls>
        <c:marker val="1"/>
        <c:smooth val="0"/>
        <c:axId val="512715392"/>
        <c:axId val="512725376"/>
      </c:lineChart>
      <c:catAx>
        <c:axId val="512715392"/>
        <c:scaling>
          <c:orientation val="minMax"/>
        </c:scaling>
        <c:delete val="0"/>
        <c:axPos val="b"/>
        <c:numFmt formatCode="0" sourceLinked="1"/>
        <c:majorTickMark val="out"/>
        <c:minorTickMark val="none"/>
        <c:tickLblPos val="nextTo"/>
        <c:crossAx val="512725376"/>
        <c:crosses val="autoZero"/>
        <c:auto val="1"/>
        <c:lblAlgn val="ctr"/>
        <c:lblOffset val="100"/>
        <c:noMultiLvlLbl val="0"/>
      </c:catAx>
      <c:valAx>
        <c:axId val="512725376"/>
        <c:scaling>
          <c:orientation val="minMax"/>
        </c:scaling>
        <c:delete val="0"/>
        <c:axPos val="l"/>
        <c:numFmt formatCode="0" sourceLinked="0"/>
        <c:majorTickMark val="out"/>
        <c:minorTickMark val="none"/>
        <c:tickLblPos val="nextTo"/>
        <c:crossAx val="512715392"/>
        <c:crosses val="autoZero"/>
        <c:crossBetween val="midCat"/>
      </c:val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Burnout!$AS$86</c:f>
              <c:strCache>
                <c:ptCount val="1"/>
                <c:pt idx="0">
                  <c:v>PCT_BROKER</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Burnout!$AS$91:$AS$100</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1"/>
          <c:order val="1"/>
          <c:tx>
            <c:strRef>
              <c:f>Burnout!$AT$86</c:f>
              <c:strCache>
                <c:ptCount val="1"/>
                <c:pt idx="0">
                  <c:v>PCT_CORRES</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Burnout!$AT$91:$AT$100</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2"/>
          <c:tx>
            <c:strRef>
              <c:f>Burnout!$AU$86</c:f>
              <c:strCache>
                <c:ptCount val="1"/>
                <c:pt idx="0">
                  <c:v>PCT_NonRETAIL</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Burnout!$AU$91:$AU$100</c:f>
              <c:numCache>
                <c:formatCode>0.00</c:formatCode>
                <c:ptCount val="10"/>
                <c:pt idx="0">
                  <c:v>100</c:v>
                </c:pt>
                <c:pt idx="1">
                  <c:v>100</c:v>
                </c:pt>
                <c:pt idx="2">
                  <c:v>100</c:v>
                </c:pt>
                <c:pt idx="3">
                  <c:v>100</c:v>
                </c:pt>
                <c:pt idx="4">
                  <c:v>100</c:v>
                </c:pt>
                <c:pt idx="5">
                  <c:v>100</c:v>
                </c:pt>
                <c:pt idx="6">
                  <c:v>100</c:v>
                </c:pt>
                <c:pt idx="7">
                  <c:v>100</c:v>
                </c:pt>
                <c:pt idx="8">
                  <c:v>100</c:v>
                </c:pt>
                <c:pt idx="9">
                  <c:v>100</c:v>
                </c:pt>
              </c:numCache>
            </c:numRef>
          </c:val>
          <c:smooth val="0"/>
        </c:ser>
        <c:ser>
          <c:idx val="5"/>
          <c:order val="3"/>
          <c:tx>
            <c:strRef>
              <c:f>Burnout!$AV$86</c:f>
              <c:strCache>
                <c:ptCount val="1"/>
                <c:pt idx="0">
                  <c:v>PCT_RETAIL</c:v>
                </c:pt>
              </c:strCache>
            </c:strRef>
          </c:tx>
          <c:marker>
            <c:symbol val="none"/>
          </c:marker>
          <c:cat>
            <c:strRef>
              <c:f>Burnout!$AO$91:$AO$100</c:f>
              <c:strCache>
                <c:ptCount val="10"/>
                <c:pt idx="0">
                  <c:v>08-3:-15--10</c:v>
                </c:pt>
                <c:pt idx="1">
                  <c:v>08-4:-10--5</c:v>
                </c:pt>
                <c:pt idx="2">
                  <c:v>08:-25-0</c:v>
                </c:pt>
                <c:pt idx="3">
                  <c:v>09-1:0-5</c:v>
                </c:pt>
                <c:pt idx="4">
                  <c:v>09-2:5-10</c:v>
                </c:pt>
                <c:pt idx="5">
                  <c:v>09-3:10-15</c:v>
                </c:pt>
                <c:pt idx="6">
                  <c:v>09-4:15-20</c:v>
                </c:pt>
                <c:pt idx="7">
                  <c:v>09:0-25</c:v>
                </c:pt>
                <c:pt idx="8">
                  <c:v>10-1:25-30</c:v>
                </c:pt>
                <c:pt idx="9">
                  <c:v>10-2:30-35</c:v>
                </c:pt>
              </c:strCache>
            </c:strRef>
          </c:cat>
          <c:val>
            <c:numRef>
              <c:f>Burnout!$AV$91:$AV$100</c:f>
              <c:numCache>
                <c:formatCode>0.00</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1"/>
        <c:smooth val="0"/>
        <c:axId val="512743680"/>
        <c:axId val="512745472"/>
      </c:lineChart>
      <c:catAx>
        <c:axId val="512743680"/>
        <c:scaling>
          <c:orientation val="minMax"/>
        </c:scaling>
        <c:delete val="0"/>
        <c:axPos val="b"/>
        <c:majorTickMark val="out"/>
        <c:minorTickMark val="none"/>
        <c:tickLblPos val="nextTo"/>
        <c:crossAx val="512745472"/>
        <c:crosses val="autoZero"/>
        <c:auto val="1"/>
        <c:lblAlgn val="ctr"/>
        <c:lblOffset val="100"/>
        <c:noMultiLvlLbl val="0"/>
      </c:catAx>
      <c:valAx>
        <c:axId val="512745472"/>
        <c:scaling>
          <c:orientation val="minMax"/>
        </c:scaling>
        <c:delete val="0"/>
        <c:axPos val="l"/>
        <c:majorGridlines/>
        <c:numFmt formatCode="0.00" sourceLinked="1"/>
        <c:majorTickMark val="out"/>
        <c:minorTickMark val="none"/>
        <c:tickLblPos val="nextTo"/>
        <c:crossAx val="5127436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27</xdr:col>
      <xdr:colOff>452437</xdr:colOff>
      <xdr:row>78</xdr:row>
      <xdr:rowOff>110726</xdr:rowOff>
    </xdr:from>
    <xdr:to>
      <xdr:col>39</xdr:col>
      <xdr:colOff>178593</xdr:colOff>
      <xdr:row>100</xdr:row>
      <xdr:rowOff>83343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60</xdr:col>
      <xdr:colOff>0</xdr:colOff>
      <xdr:row>68</xdr:row>
      <xdr:rowOff>0</xdr:rowOff>
    </xdr:from>
    <xdr:to>
      <xdr:col>89</xdr:col>
      <xdr:colOff>154781</xdr:colOff>
      <xdr:row>107</xdr:row>
      <xdr:rowOff>130969</xdr:rowOff>
    </xdr:to>
    <xdr:sp macro="" textlink="">
      <xdr:nvSpPr>
        <xdr:cNvPr id="4" name="TextBox 3"/>
        <xdr:cNvSpPr txBox="1"/>
      </xdr:nvSpPr>
      <xdr:spPr>
        <a:xfrm>
          <a:off x="41148000" y="392907"/>
          <a:ext cx="17764125" cy="5834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50</xdr:col>
      <xdr:colOff>0</xdr:colOff>
      <xdr:row>101</xdr:row>
      <xdr:rowOff>0</xdr:rowOff>
    </xdr:from>
    <xdr:to>
      <xdr:col>59</xdr:col>
      <xdr:colOff>23812</xdr:colOff>
      <xdr:row>122</xdr:row>
      <xdr:rowOff>59531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137</xdr:row>
      <xdr:rowOff>71437</xdr:rowOff>
    </xdr:from>
    <xdr:to>
      <xdr:col>31</xdr:col>
      <xdr:colOff>404813</xdr:colOff>
      <xdr:row>151</xdr:row>
      <xdr:rowOff>147637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137</xdr:row>
      <xdr:rowOff>71437</xdr:rowOff>
    </xdr:from>
    <xdr:to>
      <xdr:col>26</xdr:col>
      <xdr:colOff>363140</xdr:colOff>
      <xdr:row>151</xdr:row>
      <xdr:rowOff>147637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137</xdr:row>
      <xdr:rowOff>71437</xdr:rowOff>
    </xdr:from>
    <xdr:to>
      <xdr:col>21</xdr:col>
      <xdr:colOff>321468</xdr:colOff>
      <xdr:row>151</xdr:row>
      <xdr:rowOff>147637</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0</xdr:colOff>
      <xdr:row>2</xdr:row>
      <xdr:rowOff>0</xdr:rowOff>
    </xdr:from>
    <xdr:to>
      <xdr:col>89</xdr:col>
      <xdr:colOff>154781</xdr:colOff>
      <xdr:row>30</xdr:row>
      <xdr:rowOff>130969</xdr:rowOff>
    </xdr:to>
    <xdr:sp macro="" textlink="">
      <xdr:nvSpPr>
        <xdr:cNvPr id="7" name="TextBox 6"/>
        <xdr:cNvSpPr txBox="1"/>
      </xdr:nvSpPr>
      <xdr:spPr>
        <a:xfrm>
          <a:off x="41148000" y="381000"/>
          <a:ext cx="17764125"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24</xdr:row>
      <xdr:rowOff>0</xdr:rowOff>
    </xdr:from>
    <xdr:to>
      <xdr:col>59</xdr:col>
      <xdr:colOff>23812</xdr:colOff>
      <xdr:row>44</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83345</xdr:colOff>
      <xdr:row>47</xdr:row>
      <xdr:rowOff>71437</xdr:rowOff>
    </xdr:from>
    <xdr:to>
      <xdr:col>31</xdr:col>
      <xdr:colOff>404813</xdr:colOff>
      <xdr:row>61</xdr:row>
      <xdr:rowOff>147637</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41672</xdr:colOff>
      <xdr:row>47</xdr:row>
      <xdr:rowOff>71437</xdr:rowOff>
    </xdr:from>
    <xdr:to>
      <xdr:col>26</xdr:col>
      <xdr:colOff>363140</xdr:colOff>
      <xdr:row>61</xdr:row>
      <xdr:rowOff>147637</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0</xdr:colOff>
      <xdr:row>47</xdr:row>
      <xdr:rowOff>71437</xdr:rowOff>
    </xdr:from>
    <xdr:to>
      <xdr:col>21</xdr:col>
      <xdr:colOff>321468</xdr:colOff>
      <xdr:row>61</xdr:row>
      <xdr:rowOff>147637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511968</xdr:colOff>
      <xdr:row>105</xdr:row>
      <xdr:rowOff>3571</xdr:rowOff>
    </xdr:from>
    <xdr:to>
      <xdr:col>42</xdr:col>
      <xdr:colOff>71437</xdr:colOff>
      <xdr:row>132</xdr:row>
      <xdr:rowOff>79771</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0</xdr:colOff>
      <xdr:row>156</xdr:row>
      <xdr:rowOff>0</xdr:rowOff>
    </xdr:from>
    <xdr:to>
      <xdr:col>89</xdr:col>
      <xdr:colOff>154781</xdr:colOff>
      <xdr:row>196</xdr:row>
      <xdr:rowOff>130969</xdr:rowOff>
    </xdr:to>
    <xdr:sp macro="" textlink="">
      <xdr:nvSpPr>
        <xdr:cNvPr id="26" name="TextBox 25"/>
        <xdr:cNvSpPr txBox="1"/>
      </xdr:nvSpPr>
      <xdr:spPr>
        <a:xfrm>
          <a:off x="40231219" y="12954000"/>
          <a:ext cx="17764125" cy="7369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190</xdr:row>
      <xdr:rowOff>0</xdr:rowOff>
    </xdr:from>
    <xdr:to>
      <xdr:col>59</xdr:col>
      <xdr:colOff>23812</xdr:colOff>
      <xdr:row>211</xdr:row>
      <xdr:rowOff>59531</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27</xdr:col>
      <xdr:colOff>83345</xdr:colOff>
      <xdr:row>226</xdr:row>
      <xdr:rowOff>71437</xdr:rowOff>
    </xdr:from>
    <xdr:to>
      <xdr:col>31</xdr:col>
      <xdr:colOff>404813</xdr:colOff>
      <xdr:row>240</xdr:row>
      <xdr:rowOff>147637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41672</xdr:colOff>
      <xdr:row>226</xdr:row>
      <xdr:rowOff>71437</xdr:rowOff>
    </xdr:from>
    <xdr:to>
      <xdr:col>26</xdr:col>
      <xdr:colOff>363140</xdr:colOff>
      <xdr:row>240</xdr:row>
      <xdr:rowOff>147637</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226</xdr:row>
      <xdr:rowOff>71437</xdr:rowOff>
    </xdr:from>
    <xdr:to>
      <xdr:col>21</xdr:col>
      <xdr:colOff>321468</xdr:colOff>
      <xdr:row>240</xdr:row>
      <xdr:rowOff>147637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35</xdr:col>
      <xdr:colOff>511968</xdr:colOff>
      <xdr:row>194</xdr:row>
      <xdr:rowOff>3571</xdr:rowOff>
    </xdr:from>
    <xdr:to>
      <xdr:col>42</xdr:col>
      <xdr:colOff>71437</xdr:colOff>
      <xdr:row>221</xdr:row>
      <xdr:rowOff>79771</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60</xdr:col>
      <xdr:colOff>0</xdr:colOff>
      <xdr:row>86</xdr:row>
      <xdr:rowOff>0</xdr:rowOff>
    </xdr:from>
    <xdr:to>
      <xdr:col>89</xdr:col>
      <xdr:colOff>154781</xdr:colOff>
      <xdr:row>125</xdr:row>
      <xdr:rowOff>130969</xdr:rowOff>
    </xdr:to>
    <xdr:sp macro="" textlink="">
      <xdr:nvSpPr>
        <xdr:cNvPr id="2" name="TextBox 1"/>
        <xdr:cNvSpPr txBox="1"/>
      </xdr:nvSpPr>
      <xdr:spPr>
        <a:xfrm>
          <a:off x="40147875" y="12954000"/>
          <a:ext cx="17833181" cy="75604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endParaRPr lang="en-US" sz="1100"/>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-20 then '08-1:-25--20'</a:t>
          </a:r>
        </a:p>
        <a:p>
          <a:r>
            <a:rPr lang="en-US" sz="1100"/>
            <a:t> when  refi_incentive_eligible_fixed_cost &lt;= -15 then '08-2:-20--15'</a:t>
          </a:r>
        </a:p>
        <a:p>
          <a:r>
            <a:rPr lang="en-US" sz="1100"/>
            <a:t> when  refi_incentive_eligible_fixed_cost &lt;= -10 then '08-3:-15--10'</a:t>
          </a:r>
        </a:p>
        <a:p>
          <a:r>
            <a:rPr lang="en-US" sz="1100"/>
            <a:t> when  refi_incentive_eligible_fixed_cost &lt;= -5 then '08-4:-10--5'</a:t>
          </a:r>
        </a:p>
        <a:p>
          <a:r>
            <a:rPr lang="en-US" sz="1100"/>
            <a:t> when  refi_incentive_eligible_fixed_cost &lt;= 0 then '08:-25-0'</a:t>
          </a:r>
        </a:p>
        <a:p>
          <a:r>
            <a:rPr lang="en-US" sz="1100"/>
            <a:t> when  refi_incentive_eligible_fixed_cost &lt;= 5 then '09-1:0-5'</a:t>
          </a:r>
        </a:p>
        <a:p>
          <a:r>
            <a:rPr lang="en-US" sz="1100"/>
            <a:t> when  refi_incentive_eligible_fixed_cost &lt;= 10 then '09-2:5-10'</a:t>
          </a:r>
        </a:p>
        <a:p>
          <a:r>
            <a:rPr lang="en-US" sz="1100"/>
            <a:t> when  refi_incentive_eligible_fixed_cost &lt;= 15 then '09-3:10-15'</a:t>
          </a:r>
        </a:p>
        <a:p>
          <a:r>
            <a:rPr lang="en-US" sz="1100"/>
            <a:t> when  refi_incentive_eligible_fixed_cost &lt;= 20 then '09-4:15-20'</a:t>
          </a:r>
        </a:p>
        <a:p>
          <a:r>
            <a:rPr lang="en-US" sz="1100"/>
            <a:t> when  refi_incentive_eligible_fixed_cost &lt;= 25 then '09:0-25'</a:t>
          </a:r>
        </a:p>
        <a:p>
          <a:r>
            <a:rPr lang="en-US" sz="1100"/>
            <a:t> when  refi_incentive_eligible_fixed_cost &lt;= 30 then '10-1:25-30'</a:t>
          </a:r>
        </a:p>
        <a:p>
          <a:r>
            <a:rPr lang="en-US" sz="1100"/>
            <a:t> when  refi_incentive_eligible_fixed_cost &lt;= 35 then '10-2:30-35'</a:t>
          </a:r>
        </a:p>
        <a:p>
          <a:r>
            <a:rPr lang="en-US" sz="1100"/>
            <a:t> when  refi_incentive_eligible_fixed_cost &lt;= 40 then '10-3:35-40'</a:t>
          </a:r>
        </a:p>
        <a:p>
          <a:r>
            <a:rPr lang="en-US" sz="1100"/>
            <a:t> when  refi_incentive_eligible_fixed_cost &lt;= 45 then '10-4:40-45'</a:t>
          </a:r>
        </a:p>
        <a:p>
          <a:r>
            <a:rPr lang="en-US" sz="1100"/>
            <a:t> when  refi_incentive_eligible_fixed_cost &lt;= 50 then '10:25-50'</a:t>
          </a:r>
        </a:p>
        <a:p>
          <a:r>
            <a:rPr lang="en-US" sz="1100"/>
            <a:t> when  refi_incentive_eligible_fixed_cost &lt;= 55 then '11-1:50-55'</a:t>
          </a:r>
        </a:p>
        <a:p>
          <a:r>
            <a:rPr lang="en-US" sz="1100"/>
            <a:t> when  refi_incentive_eligible_fixed_cost &lt;= 60 then '11-2:55-60'</a:t>
          </a:r>
        </a:p>
        <a:p>
          <a:r>
            <a:rPr lang="en-US" sz="1100"/>
            <a:t> when  refi_incentive_eligible_fixed_cost &lt;= 65 then '11-3:60-65'</a:t>
          </a:r>
        </a:p>
        <a:p>
          <a:r>
            <a:rPr lang="en-US" sz="1100"/>
            <a:t> when  refi_incentive_eligible_fixed_cost &lt;= 70 then '11-4:65-70'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,PCT_BROKER = sum(CASE WHEN tpoType='BROKER' THEN 100 * schamBalance else 0  end) / sum( 1*schamBalance)</a:t>
          </a:r>
        </a:p>
        <a:p>
          <a:r>
            <a:rPr lang="en-US" sz="1100"/>
            <a:t>    ,PCT_CORRES = sum(CASE WHEN tpoType='CORRES' THEN 100 * schamBalance else 0  end) / sum( 1*schamBalance)</a:t>
          </a:r>
        </a:p>
        <a:p>
          <a:r>
            <a:rPr lang="en-US" sz="1100"/>
            <a:t>    ,PCT_NonRETAIL = sum(CASE WHEN tpoType in ('BROKER', 'CORRES', 'TPO') THEN 100 * schamBalance else 0 end) / sum( 1*schamBalance)</a:t>
          </a:r>
        </a:p>
        <a:p>
          <a:r>
            <a:rPr lang="en-US" sz="1100"/>
            <a:t>    ,PCT_RETAIL = sum(CASE WHEN tpoType in ('BROKER', 'CORRES', 'TPO') THEN 0 else 100 * schamBalance end) / sum( 1*schamBalance)</a:t>
          </a:r>
        </a:p>
        <a:p>
          <a:r>
            <a:rPr lang="en-US" sz="1100"/>
            <a:t>    </a:t>
          </a:r>
        </a:p>
        <a:p>
          <a:r>
            <a:rPr lang="en-US" sz="1100"/>
            <a:t>    ,PCT_CashWindow = sum(CASE WHEN (CASE WHEN tpoType in ('BROKER', 'CORRES', 'TPO') THEN 0 else 100 end) &gt; (CASE WHEN isCashWindow = 'Y' THEN 100 ELSE 0 END) </a:t>
          </a:r>
        </a:p>
        <a:p>
          <a:r>
            <a:rPr lang="en-US" sz="1100"/>
            <a:t>                            THEN (CASE WHEN isCashWindow = 'Y' THEN 100 ELSE 0 END) ELSE (CASE WHEN tpoType in ('BROKER', 'CORRES', 'TPO') THEN 0 else 100 end) END * schamBalance) / sum( 1*schamBalance)</a:t>
          </a:r>
        </a:p>
        <a:p>
          <a:r>
            <a:rPr lang="en-US" sz="1100"/>
            <a:t>    ,PCT_NonCashWindow = sum(((CASE WHEN tpoType in ('BROKER', 'CORRES', 'TPO') THEN 0 else 100 end) </a:t>
          </a:r>
        </a:p>
        <a:p>
          <a:r>
            <a:rPr lang="en-US" sz="1100"/>
            <a:t>                                - (CASE WHEN (CASE WHEN tpoType in ('BROKER', 'CORRES', 'TPO') THEN 0 else 100 end) &gt; (CASE WHEN isCashWindow = 'Y' THEN 100 ELSE 0 END) </a:t>
          </a:r>
        </a:p>
        <a:p>
          <a:r>
            <a:rPr lang="en-US" sz="1100"/>
            <a:t>                            THEN (CASE WHEN isCashWindow = 'Y' THEN 100 ELSE 0 END) ELSE (CASE WHEN tpoType in ('BROKER', 'CORRES', 'TPO') THEN 0 else 100 end) END))*schamBalance) / sum( 1*schamBalance)</a:t>
          </a:r>
        </a:p>
        <a:p>
          <a:endParaRPr lang="en-US" sz="1100"/>
        </a:p>
        <a:p>
          <a:r>
            <a:rPr lang="en-US" sz="1100"/>
            <a:t>                    from</a:t>
          </a:r>
        </a:p>
        <a:p>
          <a:r>
            <a:rPr lang="en-US" sz="1100"/>
            <a:t>                        FHL.Cello_LoanView l, scale.LoanPrepayTracking md1 , scale.fhl_loanIncentive i</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'4.30'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 </a:t>
          </a:r>
        </a:p>
        <a:p>
          <a:r>
            <a:rPr lang="en-US" sz="1100"/>
            <a:t>--or (l.asOf &gt;= '20160401' and l.asOf&lt;='20161201')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--and loanAge &gt;= 24</a:t>
          </a:r>
        </a:p>
        <a:p>
          <a:r>
            <a:rPr lang="en-US" sz="1100"/>
            <a:t>--  and loanAge &gt;= 24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r>
            <a:rPr lang="en-US" sz="1100"/>
            <a:t>--    and tpoType='BROKER'</a:t>
          </a:r>
        </a:p>
        <a:p>
          <a:r>
            <a:rPr lang="en-US" sz="1100"/>
            <a:t>--    and tpoType='CORRES'</a:t>
          </a:r>
        </a:p>
        <a:p>
          <a:r>
            <a:rPr lang="en-US" sz="1100"/>
            <a:t>--    and tpoType in ('BROKER', 'CORRES', 'TPO')     -- Non-Retail</a:t>
          </a:r>
        </a:p>
        <a:p>
          <a:r>
            <a:rPr lang="en-US" sz="1100"/>
            <a:t>--    and tpoType not in ('BROKER', 'CORRES', 'TPO') -- Retail</a:t>
          </a:r>
        </a:p>
        <a:p>
          <a:r>
            <a:rPr lang="en-US" sz="1100"/>
            <a:t>--    and tpoType not in ('BROKER', 'CORRES', 'TPO') and isCashWindow = 'Y'  -- CashWindow</a:t>
          </a:r>
        </a:p>
        <a:p>
          <a:r>
            <a:rPr lang="en-US" sz="1100"/>
            <a:t>    and tpoType not in ('BROKER', 'CORRES', 'TPO') and isCashWindow != 'Y' -- NonCashWindow</a:t>
          </a:r>
        </a:p>
        <a:p>
          <a:r>
            <a:rPr lang="en-US" sz="1100"/>
            <a:t>--    and (tpoType='CORRES' or tpoType not in ('BROKER', 'CORRES', 'TPO') and isCashWindow = 'Y')  -- Corres and CashWindow</a:t>
          </a:r>
        </a:p>
        <a:p>
          <a:endParaRPr lang="en-US" sz="1100"/>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a:p>
          <a:r>
            <a:rPr lang="en-US" sz="1100"/>
            <a:t>;</a:t>
          </a:r>
        </a:p>
        <a:p>
          <a:r>
            <a:rPr lang="en-US" sz="1100"/>
            <a:t>commit;</a:t>
          </a:r>
        </a:p>
      </xdr:txBody>
    </xdr:sp>
    <xdr:clientData/>
  </xdr:twoCellAnchor>
  <xdr:twoCellAnchor>
    <xdr:from>
      <xdr:col>50</xdr:col>
      <xdr:colOff>0</xdr:colOff>
      <xdr:row>119</xdr:row>
      <xdr:rowOff>0</xdr:rowOff>
    </xdr:from>
    <xdr:to>
      <xdr:col>59</xdr:col>
      <xdr:colOff>23812</xdr:colOff>
      <xdr:row>140</xdr:row>
      <xdr:rowOff>59531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83345</xdr:colOff>
      <xdr:row>155</xdr:row>
      <xdr:rowOff>71437</xdr:rowOff>
    </xdr:from>
    <xdr:to>
      <xdr:col>31</xdr:col>
      <xdr:colOff>404813</xdr:colOff>
      <xdr:row>169</xdr:row>
      <xdr:rowOff>147637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41672</xdr:colOff>
      <xdr:row>155</xdr:row>
      <xdr:rowOff>71437</xdr:rowOff>
    </xdr:from>
    <xdr:to>
      <xdr:col>26</xdr:col>
      <xdr:colOff>363140</xdr:colOff>
      <xdr:row>169</xdr:row>
      <xdr:rowOff>147637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155</xdr:row>
      <xdr:rowOff>71437</xdr:rowOff>
    </xdr:from>
    <xdr:to>
      <xdr:col>21</xdr:col>
      <xdr:colOff>321468</xdr:colOff>
      <xdr:row>169</xdr:row>
      <xdr:rowOff>147637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60</xdr:col>
      <xdr:colOff>0</xdr:colOff>
      <xdr:row>2</xdr:row>
      <xdr:rowOff>0</xdr:rowOff>
    </xdr:from>
    <xdr:to>
      <xdr:col>89</xdr:col>
      <xdr:colOff>154781</xdr:colOff>
      <xdr:row>48</xdr:row>
      <xdr:rowOff>130969</xdr:rowOff>
    </xdr:to>
    <xdr:sp macro="" textlink="">
      <xdr:nvSpPr>
        <xdr:cNvPr id="7" name="TextBox 6"/>
        <xdr:cNvSpPr txBox="1"/>
      </xdr:nvSpPr>
      <xdr:spPr>
        <a:xfrm>
          <a:off x="40147875" y="381000"/>
          <a:ext cx="17833181" cy="5464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18</xdr:col>
      <xdr:colOff>476250</xdr:colOff>
      <xdr:row>43</xdr:row>
      <xdr:rowOff>190499</xdr:rowOff>
    </xdr:from>
    <xdr:to>
      <xdr:col>26</xdr:col>
      <xdr:colOff>619125</xdr:colOff>
      <xdr:row>63</xdr:row>
      <xdr:rowOff>190499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511968</xdr:colOff>
      <xdr:row>123</xdr:row>
      <xdr:rowOff>3571</xdr:rowOff>
    </xdr:from>
    <xdr:to>
      <xdr:col>42</xdr:col>
      <xdr:colOff>71437</xdr:colOff>
      <xdr:row>150</xdr:row>
      <xdr:rowOff>79771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60</xdr:col>
      <xdr:colOff>0</xdr:colOff>
      <xdr:row>174</xdr:row>
      <xdr:rowOff>0</xdr:rowOff>
    </xdr:from>
    <xdr:to>
      <xdr:col>89</xdr:col>
      <xdr:colOff>154781</xdr:colOff>
      <xdr:row>214</xdr:row>
      <xdr:rowOff>130969</xdr:rowOff>
    </xdr:to>
    <xdr:sp macro="" textlink="">
      <xdr:nvSpPr>
        <xdr:cNvPr id="13" name="TextBox 12"/>
        <xdr:cNvSpPr txBox="1"/>
      </xdr:nvSpPr>
      <xdr:spPr>
        <a:xfrm>
          <a:off x="40147875" y="29718000"/>
          <a:ext cx="17833181" cy="7750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-------------------------------Verify--------------------------------------------------------</a:t>
          </a:r>
        </a:p>
        <a:p>
          <a:endParaRPr lang="en-US" sz="1100"/>
        </a:p>
        <a:p>
          <a:r>
            <a:rPr lang="en-US" sz="1100"/>
            <a:t>                     select md1.modelId,</a:t>
          </a:r>
        </a:p>
        <a:p>
          <a:r>
            <a:rPr lang="en-US" sz="1100"/>
            <a:t>						SFACTOR_PREPAY_TRACKING_CPR = 1 - ( sum(md1.smmTotal*1*l.schamBalance)/sum(sign(md1.issueId)*1*l.schamBalance)),</a:t>
          </a:r>
        </a:p>
        <a:p>
          <a:r>
            <a:rPr lang="en-US" sz="1100"/>
            <a:t>	                    PREPAY_CPR1 = 100*(1.0 - power(sum(1*currentRpb)/sum(1*calcScham), 12))</a:t>
          </a:r>
        </a:p>
        <a:p>
          <a:r>
            <a:rPr lang="en-US" sz="1100"/>
            <a:t>			,PREPAY_TRACKING_CPR1 = 100*(1-POWER(SFACTOR_PREPAY_TRACKING_CPR,12))</a:t>
          </a:r>
        </a:p>
        <a:p>
          <a:r>
            <a:rPr lang="en-US" sz="1100"/>
            <a:t>            ,PREPAY_SMM1 = 1-sum(1*currentRpb)/sum(1*calcScham)</a:t>
          </a:r>
        </a:p>
        <a:p>
          <a:r>
            <a:rPr lang="en-US" sz="1100"/>
            <a:t>			,PREPAY_TRACKING_SMM1 = sum(md1.smmTotal*1*l.schamBalance)/sum(sign(md1.issueId)*1*l.schamBalance)</a:t>
          </a:r>
        </a:p>
        <a:p>
          <a:r>
            <a:rPr lang="en-US" sz="1100"/>
            <a:t>			,PCT_LOANTYPE = sum(case when loanType in ( 'FHA') then  1*schamBalance else 0  end) / sum( 1*schamBalance)</a:t>
          </a:r>
        </a:p>
        <a:p>
          <a:r>
            <a:rPr lang="en-US" sz="1100"/>
            <a:t>			,_ORIGNOTERATE = sum( case when OrigNoteRate &gt;0 then 1*schamBalance else NULL end *OrigNoteRate) / sum(case when OrigNoteRate &gt;0   then  1*schamBalance  else NULL end)</a:t>
          </a:r>
        </a:p>
        <a:p>
          <a:r>
            <a:rPr lang="en-US" sz="1100"/>
            <a:t>			,_ZEROSATO = sum( case when zeroSATORate &gt;0 then 1*schamBalance else NULL end *zeroSATORate) / sum(case when zeroSATORate &gt;0   then  1*schamBalance  else NULL end)</a:t>
          </a:r>
        </a:p>
        <a:p>
          <a:r>
            <a:rPr lang="en-US" sz="1100"/>
            <a:t>			,_SATO = sum(  schamBalance * SATO) / sum( schamBalance)</a:t>
          </a:r>
        </a:p>
        <a:p>
          <a:r>
            <a:rPr lang="en-US" sz="1100"/>
            <a:t>            ,_REFI_INCENTIVE_Fixed = sum( case when refi_incentive_eligible_fixed_cost &gt;-99999 then 1*schamBalance else NULL end *refi_incentive_eligible_fixed_cost) / sum(case when refi_incentive_eligible_fixed_cost &gt;-99999   then  1*schamBalance  else NULL end)</a:t>
          </a:r>
        </a:p>
        <a:p>
          <a:r>
            <a:rPr lang="en-US" sz="1100"/>
            <a:t>            ,_Fixed_cost = sum( case when refi_incentive_eligible_fixed_cost &gt;-99999 then 1*schamBalance else NULL end *(refi_incentive_eligible - refi_incentive_eligible_fixed_cost)) / sum(case when refi_incentive_eligible_fixed_cost &gt;-99999   then  1*schamBalance  else NULL end)			</a:t>
          </a:r>
        </a:p>
        <a:p>
          <a:r>
            <a:rPr lang="en-US" sz="1100"/>
            <a:t>            ,_LOANAGE = sum( case when loanAge &gt;0 then 1*schamBalance else NULL end *loanAge) / sum(case when loanAge &gt;0   then  1*schamBalance  else NULL end)</a:t>
          </a:r>
        </a:p>
        <a:p>
          <a:r>
            <a:rPr lang="en-US" sz="1100"/>
            <a:t>			,_LTV = sum( case when origLTV &gt;0 then 1*schamBalance else NULL end *origLTV) / sum(case when origLTV &gt;0   then  1*schamBalance  else NULL end)</a:t>
          </a:r>
        </a:p>
        <a:p>
          <a:r>
            <a:rPr lang="en-US" sz="1100"/>
            <a:t>			,_CLTV = sum( case when CLTV &gt;0 then 1*schamBalance else NULL end *CLTV) / sum(case when CLTV &gt;0   then  1*schamBalance  else NULL end)</a:t>
          </a:r>
        </a:p>
        <a:p>
          <a:r>
            <a:rPr lang="en-US" sz="1100"/>
            <a:t>			,_AVG_LOANSIZE_SCHAMBALANCE = sum( schamBalance*schamBalance)/sum( schamBalance)</a:t>
          </a:r>
        </a:p>
        <a:p>
          <a:r>
            <a:rPr lang="en-US" sz="1100"/>
            <a:t>            ,_WACLS = sum( 1*schamBalance)/sum( 1*1)</a:t>
          </a:r>
        </a:p>
        <a:p>
          <a:r>
            <a:rPr lang="en-US" sz="1100"/>
            <a:t>			,_FICO = sum( case when cs &gt;0 then 1*schamBalance else NULL end *cs) / sum(case when cs &gt;0   then  1*schamBalance  else NULL end)</a:t>
          </a:r>
        </a:p>
        <a:p>
          <a:r>
            <a:rPr lang="en-US" sz="1100"/>
            <a:t>			,PCT_ISSECONDLIEN = sum(case when isSecondLien in ( 'Y') then  1*schamBalance else 0  end) / sum( 1*schamBalance)</a:t>
          </a:r>
        </a:p>
        <a:p>
          <a:r>
            <a:rPr lang="en-US" sz="1100"/>
            <a:t>			,_OrigCombLTV = sum(case when isSecondLien in ( 'Y') then  l.origCombLTV*schamBalance else 0  end) / sum( 1*schamBalance)</a:t>
          </a:r>
        </a:p>
        <a:p>
          <a:endParaRPr lang="en-US" sz="1100"/>
        </a:p>
        <a:p>
          <a:r>
            <a:rPr lang="en-US" sz="1100"/>
            <a:t>			,PCT_SVC = sum(case when servicerName in ( 'CALIBER HOME LOANS INC','CALIBERHOMELOANSINC','CARRINGTON MORTGAGE SERVICES, LLC','EVER BANK','FLAGSTAR','FRANKLIN AMERICAN MORTGAGE COMPANY','FRANKLINAMERICANMTGE','FREEDOM','HOMEBRIDGE FINANCIAL SERVICES INC','LAKEVIEW LOAN SERVICING, LLC','MIDFIRST','OCWEN','PACIFIC UNION FINANCIAL LLC','PENNYMAC CORP.','PENNYMAC LOAN SERVICES, LLC','PENNYMACCORP','PINGORA LOAN SERVICING, INC.','PLAZA HOME MORTGAGE, INC','PLAZAHOMEMORTGAGEIN','PROVIDENT FUNDING','PROVIDENTSAVINGSBANK','QUICKEN','STEARNS LENDING INC DBA FPF WHOLESALE CU','STEARNS LENDING, LLC','STONEGATE MORTGAGE CORPORATION','UNITED SHORE FINANCIAL SERVICES, LLC','UNITEDSHOREFINANCIAL') then  1*schamBalance else 0  end) / sum( 1*schamBalance)</a:t>
          </a:r>
        </a:p>
        <a:p>
          <a:r>
            <a:rPr lang="en-US" sz="1100"/>
            <a:t>			,PCT_TPO = sum(case when tpoType in ( 'RETAIL') then  1*schamBalance else 0  end) / sum( 1*schamBalance)</a:t>
          </a:r>
        </a:p>
        <a:p>
          <a:r>
            <a:rPr lang="en-US" sz="1100"/>
            <a:t>			,PCT_GEO = sum(case when state in ( 'NY','PR') then  1*schamBalance else 0  end) / sum( 1*schamBalance)</a:t>
          </a:r>
        </a:p>
        <a:p>
          <a:r>
            <a:rPr lang="en-US" sz="1100"/>
            <a:t>			,PCT_LOANPURPOSE = sum(case when loanPurposeType in ( 'RE-FI','RE-FI-NCO','RE-FI-CO','RE-FI-STR','RE-FI-NSTR','RE-FI-N/S','RE-FI-N/A') then  1*schamBalance else 0  end) / sum( 1*schamBalance)</a:t>
          </a:r>
        </a:p>
        <a:p>
          <a:r>
            <a:rPr lang="en-US" sz="1100"/>
            <a:t>			,PCT_OCC = sum(case when occType in ( 'INV') then  1*schamBalance else 0  end) / sum( 1*schamBalance)</a:t>
          </a:r>
        </a:p>
        <a:p>
          <a:r>
            <a:rPr lang="en-US" sz="1100"/>
            <a:t>			,curtailsmm = sum( schamBalance * smmCurtail) / sum( schamBalance )</a:t>
          </a:r>
        </a:p>
        <a:p>
          <a:r>
            <a:rPr lang="en-US" sz="1100"/>
            <a:t>            ,defaultsmm = sum( schamBalance * smmDefault) / sum( schamBalance )</a:t>
          </a:r>
        </a:p>
        <a:p>
          <a:r>
            <a:rPr lang="en-US" sz="1100"/>
            <a:t>            ,toverSmm = sum( schamBalance * smmturnover) / sum( schamBalance )</a:t>
          </a:r>
        </a:p>
        <a:p>
          <a:r>
            <a:rPr lang="en-US" sz="1100"/>
            <a:t>            ,cashoutSmm = sum( schamBalance * smmCashout) / sum( schamBalance )</a:t>
          </a:r>
        </a:p>
        <a:p>
          <a:r>
            <a:rPr lang="en-US" sz="1100"/>
            <a:t>            ,refiSmm = sum( schamBalance * smmRefinance) / sum( schamBalance )</a:t>
          </a:r>
        </a:p>
        <a:p>
          <a:r>
            <a:rPr lang="en-US" sz="1100"/>
            <a:t>            ,cumHPA = sum( schamBalance * ((l.calcScham/l.cltv)/(l.originalLoanAmount/l.origLTV) - 1.0)   ) / sum( schamBalance )</a:t>
          </a:r>
        </a:p>
        <a:p>
          <a:r>
            <a:rPr lang="en-US" sz="1100"/>
            <a:t>            ,cumHPA05Pct = sum( schamBalance * ( case when (l.calcScham/l.cltv)/(l.originalLoanAmount/l.origLTV) - 1.0  &lt;=  0.05 then 1.0 else 0 end  )) / sum( schamBalance )</a:t>
          </a:r>
        </a:p>
        <a:p>
          <a:r>
            <a:rPr lang="en-US" sz="1100"/>
            <a:t>            ,cumHPA15Pct = sum( schamBalance * ( case when (l.calcScham/l.cltv)/(l.originalLoanAmount/l.origLTV) - 1.0  &lt;=  0.15 then 1.0 else 0 end  )) / sum( schamBalance )          </a:t>
          </a:r>
        </a:p>
        <a:p>
          <a:r>
            <a:rPr lang="en-US" sz="1100"/>
            <a:t>            ,cumHPA20Pct = sum( schamBalance * ( case when (l.calcScham/l.cltv)/(l.originalLoanAmount/l.origLTV) - 1.0  &lt;=  0.20 then 1.0 else 0 end  )) / sum( schamBalance )</a:t>
          </a:r>
        </a:p>
        <a:p>
          <a:r>
            <a:rPr lang="en-US" sz="1100"/>
            <a:t>            ,cumHPA25Pct = sum( schamBalance * ( case when (l.calcScham/l.cltv)/(l.originalLoanAmount/l.origLTV) - 1.0  &lt;=  0.25 then 1.0 else 0 end  )) / sum( schamBalance )</a:t>
          </a:r>
        </a:p>
        <a:p>
          <a:r>
            <a:rPr lang="en-US" sz="1100"/>
            <a:t>            ,cumHPA30Pct = sum( schamBalance * ( case when (l.calcScham/l.cltv)/(l.originalLoanAmount/l.origLTV) - 1.0  &lt;=  0.30 then 1.0 else 0 end  )) / sum( schamBalance )</a:t>
          </a:r>
        </a:p>
        <a:p>
          <a:r>
            <a:rPr lang="en-US" sz="1100"/>
            <a:t>            ,cumHPA35Pct = sum( schamBalance * ( case when (l.calcScham/l.cltv)/(l.originalLoanAmount/l.origLTV) - 1.0  &lt;=  0.35 then 1.0 else 0 end  )) / sum( schamBalance )</a:t>
          </a:r>
        </a:p>
        <a:p>
          <a:r>
            <a:rPr lang="en-US" sz="1100"/>
            <a:t>            ,cumHPA40Pct = sum( schamBalance * ( case when (l.calcScham/l.cltv)/(l.originalLoanAmount/l.origLTV) - 1.0  &lt;=  0.40 then 1.0 else 0 end  )) / sum( schamBalance )	  </a:t>
          </a:r>
        </a:p>
        <a:p>
          <a:r>
            <a:rPr lang="en-US" sz="1100"/>
            <a:t>--            ,adjtoverSmm = sum( schamBalance * smmturnover * s.mult) / sum( schamBalance )</a:t>
          </a:r>
        </a:p>
        <a:p>
          <a:r>
            <a:rPr lang="en-US" sz="1100"/>
            <a:t>            ,adjtoverSmm = 0</a:t>
          </a:r>
        </a:p>
        <a:p>
          <a:r>
            <a:rPr lang="en-US" sz="1100"/>
            <a:t>            ,adjRefiSmm = 0</a:t>
          </a:r>
        </a:p>
        <a:p>
          <a:r>
            <a:rPr lang="en-US" sz="1100"/>
            <a:t>                 , groupByColumn = </a:t>
          </a:r>
        </a:p>
        <a:p>
          <a:r>
            <a:rPr lang="en-US" sz="1100"/>
            <a:t> case </a:t>
          </a:r>
        </a:p>
        <a:p>
          <a:r>
            <a:rPr lang="en-US" sz="1100"/>
            <a:t> when  refi_incentive_eligible_fixed_cost &lt;= -200 then  '00:&lt;= -200'</a:t>
          </a:r>
        </a:p>
        <a:p>
          <a:r>
            <a:rPr lang="en-US" sz="1100"/>
            <a:t> when  refi_incentive_eligible_fixed_cost &lt;= -175 then '01:-200--175'</a:t>
          </a:r>
        </a:p>
        <a:p>
          <a:r>
            <a:rPr lang="en-US" sz="1100"/>
            <a:t> when  refi_incentive_eligible_fixed_cost &lt;= -150 then '02:-175--150'</a:t>
          </a:r>
        </a:p>
        <a:p>
          <a:r>
            <a:rPr lang="en-US" sz="1100"/>
            <a:t> when  refi_incentive_eligible_fixed_cost &lt;= -125 then '03:-150--125'</a:t>
          </a:r>
        </a:p>
        <a:p>
          <a:r>
            <a:rPr lang="en-US" sz="1100"/>
            <a:t> when  refi_incentive_eligible_fixed_cost &lt;= -100 then '04:-125--100'</a:t>
          </a:r>
        </a:p>
        <a:p>
          <a:r>
            <a:rPr lang="en-US" sz="1100"/>
            <a:t> when  refi_incentive_eligible_fixed_cost &lt;= -75 then '05:-100--75'</a:t>
          </a:r>
        </a:p>
        <a:p>
          <a:r>
            <a:rPr lang="en-US" sz="1100"/>
            <a:t> when  refi_incentive_eligible_fixed_cost &lt;= -50 then '06:-75--50'</a:t>
          </a:r>
        </a:p>
        <a:p>
          <a:r>
            <a:rPr lang="en-US" sz="1100"/>
            <a:t> when  refi_incentive_eligible_fixed_cost &lt;= -25 then '07:-50--25'</a:t>
          </a:r>
        </a:p>
        <a:p>
          <a:r>
            <a:rPr lang="en-US" sz="1100"/>
            <a:t> when  refi_incentive_eligible_fixed_cost &lt;= 0 then '08:-25-0'</a:t>
          </a:r>
        </a:p>
        <a:p>
          <a:r>
            <a:rPr lang="en-US" sz="1100"/>
            <a:t> when  refi_incentive_eligible_fixed_cost &lt;= 25 then '09:0-25'</a:t>
          </a:r>
        </a:p>
        <a:p>
          <a:r>
            <a:rPr lang="en-US" sz="1100"/>
            <a:t> when  refi_incentive_eligible_fixed_cost &lt;= 50 then '10:25-50'</a:t>
          </a:r>
        </a:p>
        <a:p>
          <a:r>
            <a:rPr lang="en-US" sz="1100"/>
            <a:t> when  refi_incentive_eligible_fixed_cost &lt;= 75 then '11:50-75'</a:t>
          </a:r>
        </a:p>
        <a:p>
          <a:r>
            <a:rPr lang="en-US" sz="1100"/>
            <a:t> when  refi_incentive_eligible_fixed_cost &lt;= 100 then '12:75-100'</a:t>
          </a:r>
        </a:p>
        <a:p>
          <a:r>
            <a:rPr lang="en-US" sz="1100"/>
            <a:t> when  refi_incentive_eligible_fixed_cost &lt;= 125 then '13:100-125'</a:t>
          </a:r>
        </a:p>
        <a:p>
          <a:r>
            <a:rPr lang="en-US" sz="1100"/>
            <a:t> when  refi_incentive_eligible_fixed_cost &lt;= 150 then '14:125-150'</a:t>
          </a:r>
        </a:p>
        <a:p>
          <a:r>
            <a:rPr lang="en-US" sz="1100"/>
            <a:t> when  refi_incentive_eligible_fixed_cost &lt;= 175 then '15:150-175'</a:t>
          </a:r>
        </a:p>
        <a:p>
          <a:r>
            <a:rPr lang="en-US" sz="1100"/>
            <a:t> when  refi_incentive_eligible_fixed_cost &lt;= 200 then '16:175-200'</a:t>
          </a:r>
        </a:p>
        <a:p>
          <a:r>
            <a:rPr lang="en-US" sz="1100"/>
            <a:t> when  refi_incentive_eligible_fixed_cost &lt;= 225 then '17:200-225'</a:t>
          </a:r>
        </a:p>
        <a:p>
          <a:r>
            <a:rPr lang="en-US" sz="1100"/>
            <a:t> when  refi_incentive_eligible_fixed_cost &lt;= 250 then '18:225-250'</a:t>
          </a:r>
        </a:p>
        <a:p>
          <a:r>
            <a:rPr lang="en-US" sz="1100"/>
            <a:t> when  refi_incentive_eligible_fixed_cost&lt;= 9999999 then  '999:&gt;= 250'</a:t>
          </a:r>
        </a:p>
        <a:p>
          <a:r>
            <a:rPr lang="en-US" sz="1100"/>
            <a:t> else '9999'</a:t>
          </a:r>
        </a:p>
        <a:p>
          <a:r>
            <a:rPr lang="en-US" sz="1100"/>
            <a:t>end</a:t>
          </a:r>
        </a:p>
        <a:p>
          <a:r>
            <a:rPr lang="en-US" sz="1100"/>
            <a:t>,curve = substring( groupByColumn,charindex(':',groupByColumn)+1)  </a:t>
          </a:r>
        </a:p>
        <a:p>
          <a:endParaRPr lang="en-US" sz="1100"/>
        </a:p>
        <a:p>
          <a:r>
            <a:rPr lang="en-US" sz="1100"/>
            <a:t>					   ,Balance = sum(schamBalance)</a:t>
          </a:r>
        </a:p>
        <a:p>
          <a:r>
            <a:rPr lang="en-US" sz="1100"/>
            <a:t>					   ,LoanCount = count(1)</a:t>
          </a:r>
        </a:p>
        <a:p>
          <a:r>
            <a:rPr lang="en-US" sz="1100"/>
            <a:t>                    from</a:t>
          </a:r>
        </a:p>
        <a:p>
          <a:r>
            <a:rPr lang="en-US" sz="1100"/>
            <a:t>                        FHL.Cello_LoanView l, scale.LoanPrepayTracking md1 , scale.fhl_loanIncentive i </a:t>
          </a:r>
        </a:p>
        <a:p>
          <a:r>
            <a:rPr lang="en-US" sz="1100"/>
            <a:t>						where</a:t>
          </a:r>
        </a:p>
        <a:p>
          <a:r>
            <a:rPr lang="en-US" sz="1100"/>
            <a:t>                        md1.loanseqNum = l.loanseqNum </a:t>
          </a:r>
        </a:p>
        <a:p>
          <a:r>
            <a:rPr lang="en-US" sz="1100"/>
            <a:t>                        and md1.loanseqNum = i.loanseqNum </a:t>
          </a:r>
        </a:p>
        <a:p>
          <a:r>
            <a:rPr lang="en-US" sz="1100"/>
            <a:t>                        and datediff(mm, i.asOF, l.asOf) = 1</a:t>
          </a:r>
        </a:p>
        <a:p>
          <a:r>
            <a:rPr lang="en-US" sz="1100"/>
            <a:t>                        and i.version = '2.70'</a:t>
          </a:r>
        </a:p>
        <a:p>
          <a:r>
            <a:rPr lang="en-US" sz="1100"/>
            <a:t>                        and md1.asOf =  l.asOf </a:t>
          </a:r>
        </a:p>
        <a:p>
          <a:r>
            <a:rPr lang="en-US" sz="1100"/>
            <a:t>                        and md1.modelId = '98' ------'4.30 has the latest where cashout is using turnover incentive </a:t>
          </a:r>
        </a:p>
        <a:p>
          <a:r>
            <a:rPr lang="en-US" sz="1100"/>
            <a:t>                    ------------------'98 is the latest','4.30' has HARP and 2nd matrix but loan size is buggy and tover incentive is wrong, 99 has the wrong refi incentive</a:t>
          </a:r>
        </a:p>
        <a:p>
          <a:r>
            <a:rPr lang="en-US" sz="1100"/>
            <a:t>                        and calcScham &gt; 0.1</a:t>
          </a:r>
        </a:p>
        <a:p>
          <a:r>
            <a:rPr lang="en-US" sz="1100"/>
            <a:t>--                        and l.loanSeqNum = t.id</a:t>
          </a:r>
        </a:p>
        <a:p>
          <a:r>
            <a:rPr lang="en-US" sz="1100"/>
            <a:t>--                        and 100*((l.calcScham/l.cltv)/(l.originalLoanAmount/l.origLTV) - 1.0) &gt; cc.low</a:t>
          </a:r>
        </a:p>
        <a:p>
          <a:r>
            <a:rPr lang="en-US" sz="1100"/>
            <a:t>--                        and 100*((l.calcScham/l.cltv)/(l.originalLoanAmount/l.origLTV) - 1.0) &lt;= cc.high</a:t>
          </a:r>
        </a:p>
        <a:p>
          <a:r>
            <a:rPr lang="en-US" sz="1100"/>
            <a:t>--                        and refi_incentive_eligible_fixed_cost  &gt; ci.low</a:t>
          </a:r>
        </a:p>
        <a:p>
          <a:r>
            <a:rPr lang="en-US" sz="1100"/>
            <a:t>--                        and refi_incentive_eligible_fixed_cost  &lt;= ci.high</a:t>
          </a:r>
        </a:p>
        <a:p>
          <a:r>
            <a:rPr lang="en-US" sz="1100"/>
            <a:t>--                        and refi_incentive_eligible_fixed_cost  &gt; ri.low</a:t>
          </a:r>
        </a:p>
        <a:p>
          <a:r>
            <a:rPr lang="en-US" sz="1100"/>
            <a:t>--                        and refi_incentive_eligible_fixed_cost  &lt;= ri.high              </a:t>
          </a:r>
        </a:p>
        <a:p>
          <a:r>
            <a:rPr lang="en-US" sz="1100"/>
            <a:t>                        </a:t>
          </a:r>
        </a:p>
        <a:p>
          <a:r>
            <a:rPr lang="en-US" sz="1100"/>
            <a:t>--                        and l.sato &gt; s.low</a:t>
          </a:r>
        </a:p>
        <a:p>
          <a:r>
            <a:rPr lang="en-US" sz="1100"/>
            <a:t>--                        and l.sato &lt;= s.high</a:t>
          </a:r>
        </a:p>
        <a:p>
          <a:r>
            <a:rPr lang="en-US" sz="1100"/>
            <a:t>	                    and groupByColumn is NOT NULL</a:t>
          </a:r>
        </a:p>
        <a:p>
          <a:r>
            <a:rPr lang="en-US" sz="1100"/>
            <a:t>	                    </a:t>
          </a:r>
        </a:p>
        <a:p>
          <a:endParaRPr lang="en-US" sz="1100"/>
        </a:p>
        <a:p>
          <a:r>
            <a:rPr lang="en-US" sz="1100"/>
            <a:t> and ( 1=2 </a:t>
          </a:r>
        </a:p>
        <a:p>
          <a:r>
            <a:rPr lang="en-US" sz="1100"/>
            <a:t> OR marketTicker LIKE 'FGLMC' OR marketTicker LIKE 'FGU6' OR marketTicker LIKE 'FGU9' OR marketTicker LIKE 'FGT6')</a:t>
          </a:r>
        </a:p>
        <a:p>
          <a:endParaRPr lang="en-US" sz="1100"/>
        </a:p>
        <a:p>
          <a:r>
            <a:rPr lang="en-US" sz="1100"/>
            <a:t>-- and marketTicker like 'FGT6'</a:t>
          </a:r>
        </a:p>
        <a:p>
          <a:endParaRPr lang="en-US" sz="1100"/>
        </a:p>
        <a:p>
          <a:r>
            <a:rPr lang="en-US" sz="1100"/>
            <a:t> and l.asOf &gt;= '20120101' and l.asOf&lt;='20130401'</a:t>
          </a:r>
        </a:p>
        <a:p>
          <a:endParaRPr lang="en-US" sz="1100"/>
        </a:p>
        <a:p>
          <a:r>
            <a:rPr lang="en-US" sz="1100"/>
            <a:t> and calcOrigMonth_LL &gt;= 200907 and calcOrigMonth_LL&lt;=201809</a:t>
          </a:r>
        </a:p>
        <a:p>
          <a:r>
            <a:rPr lang="en-US" sz="1100"/>
            <a:t>-- and numUnits = 1</a:t>
          </a:r>
        </a:p>
        <a:p>
          <a:r>
            <a:rPr lang="en-US" sz="1100"/>
            <a:t>-- and loanAge &gt;= 48 and loanAge&lt;=120</a:t>
          </a:r>
        </a:p>
        <a:p>
          <a:r>
            <a:rPr lang="en-US" sz="1100"/>
            <a:t> and originalLoanAmount &gt; 175000 and originalLoanAmount&lt;=417000</a:t>
          </a:r>
        </a:p>
        <a:p>
          <a:r>
            <a:rPr lang="en-US" sz="1100"/>
            <a:t>-- and originalLoanAmount &gt; 800000</a:t>
          </a:r>
        </a:p>
        <a:p>
          <a:r>
            <a:rPr lang="en-US" sz="1100"/>
            <a:t>-- and originalLoanAmount &gt; 417000  </a:t>
          </a:r>
        </a:p>
        <a:p>
          <a:endParaRPr lang="en-US" sz="1100"/>
        </a:p>
        <a:p>
          <a:r>
            <a:rPr lang="en-US" sz="1100"/>
            <a:t>-- and loanAge &gt;= 12 and loanAge&lt;=24</a:t>
          </a:r>
        </a:p>
        <a:p>
          <a:r>
            <a:rPr lang="en-US" sz="1100"/>
            <a:t>--  and loanAge &gt;= 12 and loanAge&lt;=48</a:t>
          </a:r>
        </a:p>
        <a:p>
          <a:r>
            <a:rPr lang="en-US" sz="1100"/>
            <a:t>--and originalLoanAmount &gt; 417000</a:t>
          </a:r>
        </a:p>
        <a:p>
          <a:r>
            <a:rPr lang="en-US" sz="1100"/>
            <a:t>--  and schamBalance &lt;= 70000</a:t>
          </a:r>
        </a:p>
        <a:p>
          <a:r>
            <a:rPr lang="en-US" sz="1100"/>
            <a:t>--and schamBalance &gt; 250000 and schamBalance &lt;= 400000</a:t>
          </a:r>
        </a:p>
        <a:p>
          <a:r>
            <a:rPr lang="en-US" sz="1100"/>
            <a:t>--and schamBalance &gt; 250000 and schamBalance &lt;= 300000</a:t>
          </a:r>
        </a:p>
        <a:p>
          <a:r>
            <a:rPr lang="en-US" sz="1100"/>
            <a:t>--and schamBalance &gt; 300000 and schamBalance &lt;= 350000</a:t>
          </a:r>
        </a:p>
        <a:p>
          <a:r>
            <a:rPr lang="en-US" sz="1100"/>
            <a:t>--and schamBalance &gt; 350000 and schamBalance &lt;= 400000</a:t>
          </a:r>
        </a:p>
        <a:p>
          <a:r>
            <a:rPr lang="en-US" sz="1100"/>
            <a:t>--and schamBalance &gt; 400000 and schamBalance &lt;= 450000</a:t>
          </a:r>
        </a:p>
        <a:p>
          <a:r>
            <a:rPr lang="en-US" sz="1100"/>
            <a:t>--and schamBalance &gt; 450000 and schamBalance &lt;= 500000</a:t>
          </a:r>
        </a:p>
        <a:p>
          <a:r>
            <a:rPr lang="en-US" sz="1100"/>
            <a:t>--and schamBalance &gt; 500000 and schamBalance &lt;= 550000</a:t>
          </a:r>
        </a:p>
        <a:p>
          <a:r>
            <a:rPr lang="en-US" sz="1100"/>
            <a:t>--and schamBalance &gt; 550000 and schamBalance &lt;= 600000</a:t>
          </a:r>
        </a:p>
        <a:p>
          <a:r>
            <a:rPr lang="en-US" sz="1100"/>
            <a:t>--and schamBalance &gt; 425000 and schamBalance &lt;= 550000</a:t>
          </a:r>
        </a:p>
        <a:p>
          <a:r>
            <a:rPr lang="en-US" sz="1100"/>
            <a:t>--  and schamBalance &gt; 450000</a:t>
          </a:r>
        </a:p>
        <a:p>
          <a:r>
            <a:rPr lang="en-US" sz="1100"/>
            <a:t>--and schamBalance &gt; 550000  </a:t>
          </a:r>
        </a:p>
        <a:p>
          <a:r>
            <a:rPr lang="en-US" sz="1100"/>
            <a:t>--and schamBalance &gt; 600000</a:t>
          </a:r>
        </a:p>
        <a:p>
          <a:r>
            <a:rPr lang="en-US" sz="1100"/>
            <a:t>--and schamBalance &gt; 525000 and schamBalance &lt;= 600000  -- We need schamBalance buckets</a:t>
          </a:r>
        </a:p>
        <a:p>
          <a:endParaRPr lang="en-US" sz="1100"/>
        </a:p>
        <a:p>
          <a:r>
            <a:rPr lang="en-US" sz="1100"/>
            <a:t>--and originalLoanAmount &gt; 0 and originalLoanAmount&lt;= 85000</a:t>
          </a:r>
        </a:p>
        <a:p>
          <a:r>
            <a:rPr lang="en-US" sz="1100"/>
            <a:t>--and originalLoanAmount &gt; 85000 and originalLoanAmount&lt;= 110000</a:t>
          </a:r>
        </a:p>
        <a:p>
          <a:r>
            <a:rPr lang="en-US" sz="1100"/>
            <a:t>-- and originalLoanAmount &gt; 110000 and originalLoanAmount&lt;= 150000</a:t>
          </a:r>
        </a:p>
        <a:p>
          <a:r>
            <a:rPr lang="en-US" sz="1100"/>
            <a:t>-- and originalLoanAmount &gt; 150000 and originalLoanAmount&lt;= 175000</a:t>
          </a:r>
        </a:p>
        <a:p>
          <a:r>
            <a:rPr lang="en-US" sz="1100"/>
            <a:t>-- and originalLoanAmount &gt; 175000 and originalLoanAmount&lt;= 200000</a:t>
          </a:r>
        </a:p>
        <a:p>
          <a:r>
            <a:rPr lang="en-US" sz="1100"/>
            <a:t>--   and originalLoanAmount &gt; 110000 and originalLoanAmount &lt;= 175000</a:t>
          </a:r>
        </a:p>
        <a:p>
          <a:endParaRPr lang="en-US" sz="1100"/>
        </a:p>
        <a:p>
          <a:r>
            <a:rPr lang="en-US" sz="1100"/>
            <a:t>--  and (originalLoanAmount &gt; 110000 or cs &gt;= 740)  ---U6 or U9</a:t>
          </a:r>
        </a:p>
        <a:p>
          <a:endParaRPr lang="en-US" sz="1100"/>
        </a:p>
        <a:p>
          <a:r>
            <a:rPr lang="en-US" sz="1100"/>
            <a:t>--  and (originalLoanAmount &lt;= 110000 and cs &lt; 740)</a:t>
          </a:r>
        </a:p>
        <a:p>
          <a:endParaRPr lang="en-US" sz="1100"/>
        </a:p>
        <a:p>
          <a:r>
            <a:rPr lang="en-US" sz="1100"/>
            <a:t>-- and origLTV &gt;= 0 and origLTV&lt;=80</a:t>
          </a:r>
        </a:p>
        <a:p>
          <a:r>
            <a:rPr lang="en-US" sz="1100"/>
            <a:t> and origLTV &gt; 0</a:t>
          </a:r>
        </a:p>
        <a:p>
          <a:r>
            <a:rPr lang="en-US" sz="1100"/>
            <a:t> and CLTV &gt; 0 and CLTV&lt;=80</a:t>
          </a:r>
        </a:p>
        <a:p>
          <a:r>
            <a:rPr lang="en-US" sz="1100"/>
            <a:t>-- and CLTV &gt; 80 and CLTV &lt;= 90</a:t>
          </a:r>
        </a:p>
        <a:p>
          <a:r>
            <a:rPr lang="en-US" sz="1100"/>
            <a:t>-- and CLTV &gt; 90 and CLTV &lt;= 100</a:t>
          </a:r>
        </a:p>
        <a:p>
          <a:r>
            <a:rPr lang="en-US" sz="1100"/>
            <a:t>-- and CLTV &gt; 100</a:t>
          </a:r>
        </a:p>
        <a:p>
          <a:endParaRPr lang="en-US" sz="1100"/>
        </a:p>
        <a:p>
          <a:endParaRPr lang="en-US" sz="1100"/>
        </a:p>
        <a:p>
          <a:r>
            <a:rPr lang="en-US" sz="1100"/>
            <a:t>-- and CLTV * (case when isSecondLien = 'Y' then origCombLTV else origLTV end)/origLTV &lt;= 75</a:t>
          </a:r>
        </a:p>
        <a:p>
          <a:endParaRPr lang="en-US" sz="1100"/>
        </a:p>
        <a:p>
          <a:r>
            <a:rPr lang="en-US" sz="1100"/>
            <a:t>   and cs &gt;= 740 and cs&lt;=860</a:t>
          </a:r>
        </a:p>
        <a:p>
          <a:r>
            <a:rPr lang="en-US" sz="1100"/>
            <a:t>--   and cs &lt; 740</a:t>
          </a:r>
        </a:p>
        <a:p>
          <a:r>
            <a:rPr lang="en-US" sz="1100"/>
            <a:t>--   and cs &gt;= 700 and cs &lt; 740</a:t>
          </a:r>
        </a:p>
        <a:p>
          <a:r>
            <a:rPr lang="en-US" sz="1100"/>
            <a:t>--  and cs &gt;= 660 and cs &lt; 700</a:t>
          </a:r>
        </a:p>
        <a:p>
          <a:r>
            <a:rPr lang="en-US" sz="1100"/>
            <a:t>--  and cs &gt;= 620 and cs &lt; 660</a:t>
          </a:r>
        </a:p>
        <a:p>
          <a:r>
            <a:rPr lang="en-US" sz="1100"/>
            <a:t>--   and cs &lt; 660</a:t>
          </a:r>
        </a:p>
        <a:p>
          <a:r>
            <a:rPr lang="en-US" sz="1100"/>
            <a:t>--   and cs &gt; 800</a:t>
          </a:r>
        </a:p>
        <a:p>
          <a:endParaRPr lang="en-US" sz="1100"/>
        </a:p>
        <a:p>
          <a:r>
            <a:rPr lang="en-US" sz="1100"/>
            <a:t>-- and ( 1=2 </a:t>
          </a:r>
        </a:p>
        <a:p>
          <a:r>
            <a:rPr lang="en-US" sz="1100"/>
            <a:t>-- OR occType LIKE 'OWNER' OR occType LIKE '2ND')</a:t>
          </a:r>
        </a:p>
        <a:p>
          <a:endParaRPr lang="en-US" sz="1100"/>
        </a:p>
        <a:p>
          <a:endParaRPr lang="en-US" sz="1100"/>
        </a:p>
        <a:p>
          <a:endParaRPr lang="en-US" sz="1100"/>
        </a:p>
        <a:p>
          <a:r>
            <a:rPr lang="en-US" sz="1100"/>
            <a:t>-- and origLTV &gt; 80</a:t>
          </a:r>
        </a:p>
        <a:p>
          <a:r>
            <a:rPr lang="en-US" sz="1100"/>
            <a:t>-- and origLTV &lt;= 85</a:t>
          </a:r>
        </a:p>
        <a:p>
          <a:r>
            <a:rPr lang="en-US" sz="1100"/>
            <a:t>-- and origLTV &lt;= 105</a:t>
          </a:r>
        </a:p>
        <a:p>
          <a:r>
            <a:rPr lang="en-US" sz="1100"/>
            <a:t>-- and origLTV &gt; 125</a:t>
          </a:r>
        </a:p>
        <a:p>
          <a:r>
            <a:rPr lang="en-US" sz="1100"/>
            <a:t>--and origLTV &gt; 80</a:t>
          </a:r>
        </a:p>
        <a:p>
          <a:r>
            <a:rPr lang="en-US" sz="1100"/>
            <a:t>-- and origLTV &lt;= 105</a:t>
          </a:r>
        </a:p>
        <a:p>
          <a:r>
            <a:rPr lang="en-US" sz="1100"/>
            <a:t>-- and origLTV &gt; 105</a:t>
          </a:r>
        </a:p>
        <a:p>
          <a:r>
            <a:rPr lang="en-US" sz="1100"/>
            <a:t>-- and origLTV &lt;= 125</a:t>
          </a:r>
        </a:p>
        <a:p>
          <a:r>
            <a:rPr lang="en-US" sz="1100"/>
            <a:t>-- and origLTV &gt; 125</a:t>
          </a:r>
        </a:p>
        <a:p>
          <a:r>
            <a:rPr lang="en-US" sz="1100"/>
            <a:t>--  and origLTV &gt; 75</a:t>
          </a:r>
        </a:p>
        <a:p>
          <a:r>
            <a:rPr lang="en-US" sz="1100"/>
            <a:t>--  and origLTV &lt;= 80</a:t>
          </a:r>
        </a:p>
        <a:p>
          <a:r>
            <a:rPr lang="en-US" sz="1100"/>
            <a:t>--  and origLTV &gt; 85</a:t>
          </a:r>
        </a:p>
        <a:p>
          <a:r>
            <a:rPr lang="en-US" sz="1100"/>
            <a:t>--  and origLTV &lt;= 90</a:t>
          </a:r>
        </a:p>
        <a:p>
          <a:r>
            <a:rPr lang="en-US" sz="1100"/>
            <a:t>-- and l.tpoType in ('RETAIL', 'CORRES','BROKER')</a:t>
          </a:r>
        </a:p>
        <a:p>
          <a:r>
            <a:rPr lang="en-US" sz="1100"/>
            <a:t>-- and l.tpoType in ('RETAIL')</a:t>
          </a:r>
        </a:p>
        <a:p>
          <a:r>
            <a:rPr lang="en-US" sz="1100"/>
            <a:t>-- and l.tpoType in ('CORRES')</a:t>
          </a:r>
        </a:p>
        <a:p>
          <a:r>
            <a:rPr lang="en-US" sz="1100"/>
            <a:t>-- and l.tpoType in ('BROKER')</a:t>
          </a:r>
        </a:p>
        <a:p>
          <a:endParaRPr lang="en-US" sz="1100"/>
        </a:p>
        <a:p>
          <a:r>
            <a:rPr lang="en-US" sz="1100"/>
            <a:t> </a:t>
          </a:r>
        </a:p>
        <a:p>
          <a:r>
            <a:rPr lang="en-US" sz="1100"/>
            <a:t>--and HARPSTATUS not like 'HARP'  ----Only refi has a HARP dial</a:t>
          </a:r>
        </a:p>
        <a:p>
          <a:r>
            <a:rPr lang="en-US" sz="1100"/>
            <a:t>--  and origLTV &lt;= 80</a:t>
          </a:r>
        </a:p>
        <a:p>
          <a:r>
            <a:rPr lang="en-US" sz="1100"/>
            <a:t>--   and origLTV &gt; 105</a:t>
          </a:r>
        </a:p>
        <a:p>
          <a:r>
            <a:rPr lang="en-US" sz="1100"/>
            <a:t>-- and loanPurposeType like '%RE-FI%'</a:t>
          </a:r>
        </a:p>
        <a:p>
          <a:r>
            <a:rPr lang="en-US" sz="1100"/>
            <a:t>--xxxxxx and loanPurposeType like '%PURCH%'</a:t>
          </a:r>
        </a:p>
        <a:p>
          <a:r>
            <a:rPr lang="en-US" sz="1100"/>
            <a:t>-- and l.loanPurposeType like '%PURCH%' and l.marketTicker not in ('FGU6', 'FGU9')</a:t>
          </a:r>
        </a:p>
        <a:p>
          <a:r>
            <a:rPr lang="en-US" sz="1100"/>
            <a:t>-- and l.state not in ('NY','PR','HI')</a:t>
          </a:r>
        </a:p>
        <a:p>
          <a:r>
            <a:rPr lang="en-US" sz="1100"/>
            <a:t> and l.state not in ('NY','PR')</a:t>
          </a:r>
        </a:p>
        <a:p>
          <a:r>
            <a:rPr lang="en-US" sz="1100"/>
            <a:t>-- and l.state in ('AK','AL','AR','CT','DE','IA','LA','MD','ME','MS','ND','NJ','NM','OK','PA','VA','VT','WV','WY')</a:t>
          </a:r>
        </a:p>
        <a:p>
          <a:r>
            <a:rPr lang="en-US" sz="1100"/>
            <a:t>--and l.state  in ('AZ', 'CA','CO','DC','FL','GA','ID','MI','NV','OR','TX','UT','WA')</a:t>
          </a:r>
        </a:p>
        <a:p>
          <a:r>
            <a:rPr lang="en-US" sz="1100"/>
            <a:t>-- and ( 1=2 </a:t>
          </a:r>
        </a:p>
        <a:p>
          <a:r>
            <a:rPr lang="en-US" sz="1100"/>
            <a:t>-- OR isSecondLien LIKE 'N')</a:t>
          </a:r>
        </a:p>
        <a:p>
          <a:endParaRPr lang="en-US" sz="1100"/>
        </a:p>
        <a:p>
          <a:r>
            <a:rPr lang="en-US" sz="1100"/>
            <a:t> and isSecondLien = 'N'</a:t>
          </a:r>
        </a:p>
        <a:p>
          <a:r>
            <a:rPr lang="en-US" sz="1100"/>
            <a:t> and occType not like 'INV'</a:t>
          </a:r>
        </a:p>
        <a:p>
          <a:endParaRPr lang="en-US" sz="1100"/>
        </a:p>
        <a:p>
          <a:r>
            <a:rPr lang="en-US" sz="1100"/>
            <a:t>--   and SATO &lt;= -100</a:t>
          </a:r>
        </a:p>
        <a:p>
          <a:r>
            <a:rPr lang="en-US" sz="1100"/>
            <a:t>--   and SATO &gt; -100 and SATO &lt;= -50</a:t>
          </a:r>
        </a:p>
        <a:p>
          <a:r>
            <a:rPr lang="en-US" sz="1100"/>
            <a:t>--   and SATO &gt; -50 and SATO &lt;= 0</a:t>
          </a:r>
        </a:p>
        <a:p>
          <a:r>
            <a:rPr lang="en-US" sz="1100"/>
            <a:t>--   and SATO &gt; 0   and SATO &lt;= 50</a:t>
          </a:r>
        </a:p>
        <a:p>
          <a:r>
            <a:rPr lang="en-US" sz="1100"/>
            <a:t>--   and SATO &gt; 50</a:t>
          </a:r>
        </a:p>
        <a:p>
          <a:endParaRPr lang="en-US" sz="1100"/>
        </a:p>
        <a:p>
          <a:endParaRPr lang="en-US" sz="1100"/>
        </a:p>
        <a:p>
          <a:r>
            <a:rPr lang="en-US" sz="1100"/>
            <a:t>-- and refi_incentive_eligible_fixed_cost&gt;=-99999999 and refi_incentive_eligible_fixed_cost&lt;=99999999</a:t>
          </a:r>
        </a:p>
        <a:p>
          <a:r>
            <a:rPr lang="en-US" sz="1100"/>
            <a:t> and agency in ( 'FHL')</a:t>
          </a:r>
        </a:p>
        <a:p>
          <a:r>
            <a:rPr lang="en-US" sz="1100"/>
            <a:t>                    group by </a:t>
          </a:r>
        </a:p>
        <a:p>
          <a:r>
            <a:rPr lang="en-US" sz="1100"/>
            <a:t>	                    groupByColumn, md1.modelId</a:t>
          </a:r>
        </a:p>
        <a:p>
          <a:r>
            <a:rPr lang="en-US" sz="1100"/>
            <a:t>					having </a:t>
          </a:r>
        </a:p>
        <a:p>
          <a:r>
            <a:rPr lang="en-US" sz="1100"/>
            <a:t>						1=1</a:t>
          </a:r>
        </a:p>
        <a:p>
          <a:r>
            <a:rPr lang="en-US" sz="1100"/>
            <a:t>						</a:t>
          </a:r>
        </a:p>
        <a:p>
          <a:r>
            <a:rPr lang="en-US" sz="1100"/>
            <a:t>-- and sum(schamBalance) &gt;100000000</a:t>
          </a:r>
        </a:p>
        <a:p>
          <a:r>
            <a:rPr lang="en-US" sz="1100"/>
            <a:t>                    order by </a:t>
          </a:r>
        </a:p>
        <a:p>
          <a:r>
            <a:rPr lang="en-US" sz="1100"/>
            <a:t>	                    groupByColumn, md1.modelId</a:t>
          </a:r>
        </a:p>
      </xdr:txBody>
    </xdr:sp>
    <xdr:clientData/>
  </xdr:twoCellAnchor>
  <xdr:twoCellAnchor>
    <xdr:from>
      <xdr:col>50</xdr:col>
      <xdr:colOff>0</xdr:colOff>
      <xdr:row>208</xdr:row>
      <xdr:rowOff>0</xdr:rowOff>
    </xdr:from>
    <xdr:to>
      <xdr:col>59</xdr:col>
      <xdr:colOff>23812</xdr:colOff>
      <xdr:row>229</xdr:row>
      <xdr:rowOff>59531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83345</xdr:colOff>
      <xdr:row>244</xdr:row>
      <xdr:rowOff>71437</xdr:rowOff>
    </xdr:from>
    <xdr:to>
      <xdr:col>31</xdr:col>
      <xdr:colOff>404813</xdr:colOff>
      <xdr:row>258</xdr:row>
      <xdr:rowOff>147637</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41672</xdr:colOff>
      <xdr:row>244</xdr:row>
      <xdr:rowOff>71437</xdr:rowOff>
    </xdr:from>
    <xdr:to>
      <xdr:col>26</xdr:col>
      <xdr:colOff>363140</xdr:colOff>
      <xdr:row>258</xdr:row>
      <xdr:rowOff>147637</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0</xdr:colOff>
      <xdr:row>244</xdr:row>
      <xdr:rowOff>71437</xdr:rowOff>
    </xdr:from>
    <xdr:to>
      <xdr:col>21</xdr:col>
      <xdr:colOff>321468</xdr:colOff>
      <xdr:row>258</xdr:row>
      <xdr:rowOff>147637</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511968</xdr:colOff>
      <xdr:row>212</xdr:row>
      <xdr:rowOff>3571</xdr:rowOff>
    </xdr:from>
    <xdr:to>
      <xdr:col>42</xdr:col>
      <xdr:colOff>71437</xdr:colOff>
      <xdr:row>239</xdr:row>
      <xdr:rowOff>79771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Cello\cello-it-dev\trunk\Research\AgencyPrepayment\Baton2\output\spline_tieout\conventional_all_spline_testing.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ien Chen" refreshedDate="43339.466046875001" createdVersion="4" refreshedVersion="4" minRefreshableVersion="3" recordCount="21761">
  <cacheSource type="worksheet">
    <worksheetSource ref="B1:H1048576" sheet="conventional_all_spline_testing" r:id="rId2"/>
  </cacheSource>
  <cacheFields count="7">
    <cacheField name="spline" numFmtId="0">
      <sharedItems containsBlank="1" count="72">
        <s v="conventional_refinance_cai"/>
        <s v="conventional_refinance_hpa2yr"/>
        <s v="conventional_refinance_wala"/>
        <s v="conventional_refinance_lomedia_incentive"/>
        <s v="conventional_refinance_himedia_incentive"/>
        <s v="conventional_refinance_cltv"/>
        <s v="conventional_refinance_wacls"/>
        <s v="conventional_refinance_fico"/>
        <s v="conventional_refinance_refi_elig_pct"/>
        <s v="conventional_refinance_pct_2nd"/>
        <s v="conventional_refinance_pct_second_lien"/>
        <s v="conventional_refinance_pct_tpo"/>
        <s v="conventional_refinance_media_effect"/>
        <s v="conventional_refinance_burnout"/>
        <s v="conventional_refinance_pct_inv"/>
        <s v="conventional_refinance_pct_purchase"/>
        <s v="conventional_refinance_pct_dq"/>
        <s v="conventional_refinance_pct_HARPed"/>
        <s v="conventional_refinance_HARP_eligible"/>
        <s v="conventional_refinance_purch_oltv"/>
        <s v="conventional_refinance_refi_HARP_oltv"/>
        <s v="conventional_refinance_refi_NonHARP_oltv"/>
        <s v="conventional_turnover_cai"/>
        <s v="conventional_turnover_hpa_annual"/>
        <s v="conventional_turnover_hpa2yr"/>
        <s v="conventional_turnover_pct_hihpa_wala"/>
        <s v="conventional_turnover_lohpa_wala"/>
        <s v="conventional_turnover_hihpa_wala"/>
        <s v="conventional_turnover_wala"/>
        <s v="conventional_turnover_incentive"/>
        <s v="conventional_turnover_cltv"/>
        <s v="conventional_turnover_acls"/>
        <s v="conventional_turnover_wacls"/>
        <s v="conventional_turnover_fico"/>
        <s v="conventional_turnover_sato"/>
        <s v="conventional_turnover_pct_HARPed"/>
        <s v="conventional_turnover_HARP_eligible"/>
        <s v="conventional_turnover_pct_purchase"/>
        <s v="conventional_turnover_pct_REFI"/>
        <s v="conventional_turnover_pct_inv"/>
        <s v="conventional_turnover_pct_second_lien"/>
        <s v="conventional_turnover_purch_oltv"/>
        <s v="conventional_turnover_refi_HARP_oltv"/>
        <s v="conventional_turnover_refi_NonHARP_oltv"/>
        <s v="conventional_turnover_fico_acls_interact_1_acls"/>
        <s v="conventional_turnover_fico_acls_interact_2_fico"/>
        <s v="conventional_default_current_cai"/>
        <s v="conventional_default_current_wala"/>
        <s v="conventional_default_current_monthsSince"/>
        <s v="conventional_default_current_cltv"/>
        <s v="conventional_default_current_fico"/>
        <s v="conventional_default_dq_cai"/>
        <s v="conventional_default_dq_wala"/>
        <s v="conventional_default_dq_monthsSince"/>
        <s v="conventional_default_dq_cltv"/>
        <s v="conventional_default_dq_fico"/>
        <s v="conventional_curtailment_wala"/>
        <s v="conventional_curtailment_wam"/>
        <s v="conventional_curtailment_cltv"/>
        <s v="conventional_curtailment_fico"/>
        <s v="conventional_cashout_cai"/>
        <s v="conventional_cashout_wala"/>
        <s v="conventional_cashout_incentive"/>
        <s v="conventional_cashout_cltv"/>
        <s v="conventional_cashout_pct_HARPed"/>
        <s v="conventional_cashout_wacls"/>
        <s v="conventional_cashout_fico"/>
        <s v="conventional_cashout_refi_elig_pct"/>
        <s v="conventional_cashout_pct_tpo"/>
        <s v="conventional_cashout_hpa2yr"/>
        <s v="conventional_cashout_hpa_cum"/>
        <m/>
      </sharedItems>
    </cacheField>
    <cacheField name="id" numFmtId="0">
      <sharedItems containsBlank="1"/>
    </cacheField>
    <cacheField name="knots" numFmtId="0">
      <sharedItems containsString="0" containsBlank="1" containsNumber="1" containsInteger="1" minValue="-3200" maxValue="19200" count="1900">
        <n v="-40"/>
        <n v="-39"/>
        <n v="-38"/>
        <n v="-37"/>
        <n v="-36"/>
        <n v="-35"/>
        <n v="-34"/>
        <n v="-33"/>
        <n v="-32"/>
        <n v="-31"/>
        <n v="-30"/>
        <n v="-29"/>
        <n v="-28"/>
        <n v="-27"/>
        <n v="-26"/>
        <n v="-25"/>
        <n v="-24"/>
        <n v="-23"/>
        <n v="-22"/>
        <n v="-21"/>
        <n v="-20"/>
        <n v="-19"/>
        <n v="-18"/>
        <n v="-17"/>
        <n v="-16"/>
        <n v="-15"/>
        <n v="-14"/>
        <n v="-13"/>
        <n v="-12"/>
        <n v="-11"/>
        <n v="-10"/>
        <n v="-9"/>
        <n v="-8"/>
        <n v="-7"/>
        <n v="-6"/>
        <n v="-5"/>
        <n v="-4"/>
        <n v="-3"/>
        <n v="-2"/>
        <n v="-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290"/>
        <n v="-289"/>
        <n v="-288"/>
        <n v="-287"/>
        <n v="-286"/>
        <n v="-285"/>
        <n v="-284"/>
        <n v="-283"/>
        <n v="-282"/>
        <n v="-281"/>
        <n v="-280"/>
        <n v="-279"/>
        <n v="-278"/>
        <n v="-277"/>
        <n v="-276"/>
        <n v="-275"/>
        <n v="-274"/>
        <n v="-273"/>
        <n v="-272"/>
        <n v="-271"/>
        <n v="-270"/>
        <n v="-269"/>
        <n v="-268"/>
        <n v="-267"/>
        <n v="-266"/>
        <n v="-265"/>
        <n v="-264"/>
        <n v="-263"/>
        <n v="-262"/>
        <n v="-261"/>
        <n v="-260"/>
        <n v="-259"/>
        <n v="-258"/>
        <n v="-257"/>
        <n v="-256"/>
        <n v="-255"/>
        <n v="-254"/>
        <n v="-253"/>
        <n v="-252"/>
        <n v="-251"/>
        <n v="-250"/>
        <n v="-249"/>
        <n v="-248"/>
        <n v="-247"/>
        <n v="-246"/>
        <n v="-245"/>
        <n v="-244"/>
        <n v="-243"/>
        <n v="-242"/>
        <n v="-241"/>
        <n v="-240"/>
        <n v="-239"/>
        <n v="-238"/>
        <n v="-237"/>
        <n v="-236"/>
        <n v="-235"/>
        <n v="-234"/>
        <n v="-233"/>
        <n v="-232"/>
        <n v="-231"/>
        <n v="-230"/>
        <n v="-229"/>
        <n v="-228"/>
        <n v="-227"/>
        <n v="-226"/>
        <n v="-225"/>
        <n v="-224"/>
        <n v="-223"/>
        <n v="-222"/>
        <n v="-221"/>
        <n v="-220"/>
        <n v="-219"/>
        <n v="-218"/>
        <n v="-217"/>
        <n v="-216"/>
        <n v="-215"/>
        <n v="-214"/>
        <n v="-213"/>
        <n v="-212"/>
        <n v="-211"/>
        <n v="-210"/>
        <n v="-209"/>
        <n v="-208"/>
        <n v="-207"/>
        <n v="-206"/>
        <n v="-205"/>
        <n v="-204"/>
        <n v="-203"/>
        <n v="-202"/>
        <n v="-201"/>
        <n v="-200"/>
        <n v="-199"/>
        <n v="-198"/>
        <n v="-197"/>
        <n v="-196"/>
        <n v="-195"/>
        <n v="-194"/>
        <n v="-193"/>
        <n v="-192"/>
        <n v="-191"/>
        <n v="-190"/>
        <n v="-189"/>
        <n v="-188"/>
        <n v="-187"/>
        <n v="-186"/>
        <n v="-185"/>
        <n v="-184"/>
        <n v="-183"/>
        <n v="-182"/>
        <n v="-181"/>
        <n v="-180"/>
        <n v="-179"/>
        <n v="-178"/>
        <n v="-177"/>
        <n v="-176"/>
        <n v="-175"/>
        <n v="-174"/>
        <n v="-173"/>
        <n v="-172"/>
        <n v="-171"/>
        <n v="-170"/>
        <n v="-169"/>
        <n v="-168"/>
        <n v="-167"/>
        <n v="-166"/>
        <n v="-165"/>
        <n v="-164"/>
        <n v="-163"/>
        <n v="-162"/>
        <n v="-161"/>
        <n v="-160"/>
        <n v="-159"/>
        <n v="-158"/>
        <n v="-157"/>
        <n v="-156"/>
        <n v="-155"/>
        <n v="-154"/>
        <n v="-153"/>
        <n v="-152"/>
        <n v="-151"/>
        <n v="-150"/>
        <n v="-149"/>
        <n v="-148"/>
        <n v="-147"/>
        <n v="-146"/>
        <n v="-145"/>
        <n v="-144"/>
        <n v="-143"/>
        <n v="-142"/>
        <n v="-141"/>
        <n v="-140"/>
        <n v="-139"/>
        <n v="-138"/>
        <n v="-137"/>
        <n v="-136"/>
        <n v="-135"/>
        <n v="-134"/>
        <n v="-133"/>
        <n v="-132"/>
        <n v="-131"/>
        <n v="-130"/>
        <n v="-129"/>
        <n v="-128"/>
        <n v="-127"/>
        <n v="-126"/>
        <n v="-125"/>
        <n v="-124"/>
        <n v="-123"/>
        <n v="-122"/>
        <n v="-121"/>
        <n v="-120"/>
        <n v="-119"/>
        <n v="-118"/>
        <n v="-117"/>
        <n v="-116"/>
        <n v="-115"/>
        <n v="-114"/>
        <n v="-113"/>
        <n v="-112"/>
        <n v="-111"/>
        <n v="-110"/>
        <n v="-109"/>
        <n v="-108"/>
        <n v="-107"/>
        <n v="-106"/>
        <n v="-105"/>
        <n v="-104"/>
        <n v="-103"/>
        <n v="-102"/>
        <n v="-101"/>
        <n v="-100"/>
        <n v="-99"/>
        <n v="-98"/>
        <n v="-97"/>
        <n v="-96"/>
        <n v="-95"/>
        <n v="-94"/>
        <n v="-93"/>
        <n v="-92"/>
        <n v="-91"/>
        <n v="-90"/>
        <n v="-89"/>
        <n v="-88"/>
        <n v="-87"/>
        <n v="-86"/>
        <n v="-85"/>
        <n v="-84"/>
        <n v="-83"/>
        <n v="-82"/>
        <n v="-81"/>
        <n v="-80"/>
        <n v="-79"/>
        <n v="-78"/>
        <n v="-77"/>
        <n v="-76"/>
        <n v="-75"/>
        <n v="-74"/>
        <n v="-73"/>
        <n v="-72"/>
        <n v="-71"/>
        <n v="-70"/>
        <n v="-69"/>
        <n v="-68"/>
        <n v="-67"/>
        <n v="-66"/>
        <n v="-65"/>
        <n v="-64"/>
        <n v="-63"/>
        <n v="-62"/>
        <n v="-61"/>
        <n v="-60"/>
        <n v="-59"/>
        <n v="-58"/>
        <n v="-57"/>
        <n v="-56"/>
        <n v="-55"/>
        <n v="-54"/>
        <n v="-53"/>
        <n v="-52"/>
        <n v="-51"/>
        <n v="-50"/>
        <n v="-49"/>
        <n v="-48"/>
        <n v="-47"/>
        <n v="-46"/>
        <n v="-45"/>
        <n v="-44"/>
        <n v="-43"/>
        <n v="-42"/>
        <n v="-41"/>
        <n v="-3200"/>
        <n v="-3100"/>
        <n v="-3000"/>
        <n v="-2900"/>
        <n v="-2800"/>
        <n v="-2700"/>
        <n v="-2600"/>
        <n v="-2500"/>
        <n v="-2400"/>
        <n v="-2300"/>
        <n v="-2200"/>
        <n v="-2100"/>
        <n v="-2000"/>
        <n v="-1900"/>
        <n v="-1800"/>
        <n v="-1700"/>
        <n v="-1600"/>
        <n v="-1500"/>
        <n v="-1400"/>
        <n v="-1300"/>
        <n v="-1200"/>
        <n v="-1100"/>
        <n v="-1000"/>
        <n v="-900"/>
        <n v="-800"/>
        <n v="-700"/>
        <n v="-600"/>
        <n v="-500"/>
        <n v="-400"/>
        <n v="-3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n v="5100"/>
        <n v="5200"/>
        <n v="5300"/>
        <n v="5400"/>
        <n v="5500"/>
        <n v="5600"/>
        <n v="5700"/>
        <n v="5800"/>
        <n v="5900"/>
        <n v="6000"/>
        <n v="6100"/>
        <n v="6200"/>
        <n v="6300"/>
        <n v="6400"/>
        <n v="6500"/>
        <n v="6600"/>
        <n v="6700"/>
        <n v="6800"/>
        <n v="6900"/>
        <n v="7000"/>
        <n v="7100"/>
        <n v="7200"/>
        <n v="7300"/>
        <n v="7400"/>
        <n v="7500"/>
        <n v="7600"/>
        <n v="7700"/>
        <n v="7800"/>
        <n v="7900"/>
        <n v="8000"/>
        <n v="8100"/>
        <n v="8200"/>
        <n v="8300"/>
        <n v="8400"/>
        <n v="8500"/>
        <n v="8600"/>
        <n v="8700"/>
        <n v="8800"/>
        <n v="8900"/>
        <n v="9000"/>
        <n v="9100"/>
        <n v="9200"/>
        <n v="9300"/>
        <n v="9400"/>
        <n v="9500"/>
        <n v="9600"/>
        <n v="9700"/>
        <n v="9800"/>
        <n v="9900"/>
        <n v="10000"/>
        <n v="10100"/>
        <n v="10200"/>
        <n v="10300"/>
        <n v="10400"/>
        <n v="10500"/>
        <n v="10600"/>
        <n v="10700"/>
        <n v="10800"/>
        <n v="10900"/>
        <n v="11000"/>
        <n v="11100"/>
        <n v="11200"/>
        <n v="11300"/>
        <n v="11400"/>
        <n v="11500"/>
        <n v="11600"/>
        <n v="11700"/>
        <n v="11800"/>
        <n v="11900"/>
        <n v="12000"/>
        <n v="12100"/>
        <n v="12200"/>
        <n v="12300"/>
        <n v="12400"/>
        <n v="12500"/>
        <n v="12600"/>
        <n v="12700"/>
        <n v="12800"/>
        <n v="12900"/>
        <n v="13000"/>
        <n v="13100"/>
        <n v="13200"/>
        <n v="13300"/>
        <n v="13400"/>
        <n v="13500"/>
        <n v="13600"/>
        <n v="13700"/>
        <n v="13800"/>
        <n v="13900"/>
        <n v="14000"/>
        <n v="14100"/>
        <n v="14200"/>
        <n v="14300"/>
        <n v="14400"/>
        <n v="14500"/>
        <n v="14600"/>
        <n v="14700"/>
        <n v="14800"/>
        <n v="14900"/>
        <n v="15000"/>
        <n v="15100"/>
        <n v="15200"/>
        <n v="15300"/>
        <n v="15400"/>
        <n v="15500"/>
        <n v="15600"/>
        <n v="15700"/>
        <n v="15800"/>
        <n v="15900"/>
        <n v="16000"/>
        <n v="16100"/>
        <n v="16200"/>
        <n v="16300"/>
        <n v="16400"/>
        <n v="16500"/>
        <n v="16600"/>
        <n v="16700"/>
        <n v="16800"/>
        <n v="16900"/>
        <n v="17000"/>
        <n v="17100"/>
        <n v="17200"/>
        <n v="17300"/>
        <n v="17400"/>
        <n v="17500"/>
        <n v="17600"/>
        <n v="17700"/>
        <n v="17800"/>
        <n v="17900"/>
        <n v="18000"/>
        <n v="18100"/>
        <n v="18200"/>
        <n v="18300"/>
        <n v="18400"/>
        <n v="18500"/>
        <n v="18600"/>
        <n v="18700"/>
        <n v="18800"/>
        <n v="18900"/>
        <n v="19000"/>
        <n v="19100"/>
        <n v="19200"/>
        <n v="-730"/>
        <n v="-729"/>
        <n v="-728"/>
        <n v="-727"/>
        <n v="-726"/>
        <n v="-725"/>
        <n v="-724"/>
        <n v="-723"/>
        <n v="-722"/>
        <n v="-721"/>
        <n v="-720"/>
        <n v="-719"/>
        <n v="-718"/>
        <n v="-717"/>
        <n v="-716"/>
        <n v="-715"/>
        <n v="-714"/>
        <n v="-713"/>
        <n v="-712"/>
        <n v="-711"/>
        <n v="-710"/>
        <n v="-709"/>
        <n v="-708"/>
        <n v="-707"/>
        <n v="-706"/>
        <n v="-705"/>
        <n v="-704"/>
        <n v="-703"/>
        <n v="-702"/>
        <n v="-701"/>
        <n v="-699"/>
        <n v="-698"/>
        <n v="-697"/>
        <n v="-696"/>
        <n v="-695"/>
        <n v="-694"/>
        <n v="-693"/>
        <n v="-692"/>
        <n v="-691"/>
        <n v="-690"/>
        <n v="-689"/>
        <n v="-688"/>
        <n v="-687"/>
        <n v="-686"/>
        <n v="-685"/>
        <n v="-684"/>
        <n v="-683"/>
        <n v="-682"/>
        <n v="-681"/>
        <n v="-680"/>
        <n v="-679"/>
        <n v="-678"/>
        <n v="-677"/>
        <n v="-676"/>
        <n v="-675"/>
        <n v="-674"/>
        <n v="-673"/>
        <n v="-672"/>
        <n v="-671"/>
        <n v="-670"/>
        <n v="-669"/>
        <n v="-668"/>
        <n v="-667"/>
        <n v="-666"/>
        <n v="-665"/>
        <n v="-664"/>
        <n v="-663"/>
        <n v="-662"/>
        <n v="-661"/>
        <n v="-660"/>
        <n v="-659"/>
        <n v="-658"/>
        <n v="-657"/>
        <n v="-656"/>
        <n v="-655"/>
        <n v="-654"/>
        <n v="-653"/>
        <n v="-652"/>
        <n v="-651"/>
        <n v="-650"/>
        <n v="-649"/>
        <n v="-648"/>
        <n v="-647"/>
        <n v="-646"/>
        <n v="-645"/>
        <n v="-644"/>
        <n v="-643"/>
        <n v="-642"/>
        <n v="-641"/>
        <n v="-640"/>
        <n v="-639"/>
        <n v="-638"/>
        <n v="-637"/>
        <n v="-636"/>
        <n v="-635"/>
        <n v="-634"/>
        <n v="-633"/>
        <n v="-632"/>
        <n v="-631"/>
        <n v="-630"/>
        <n v="-629"/>
        <n v="-628"/>
        <n v="-627"/>
        <n v="-626"/>
        <n v="-625"/>
        <n v="-624"/>
        <n v="-623"/>
        <n v="-622"/>
        <n v="-621"/>
        <n v="-620"/>
        <n v="-619"/>
        <n v="-618"/>
        <n v="-617"/>
        <n v="-616"/>
        <n v="-615"/>
        <n v="-614"/>
        <n v="-613"/>
        <n v="-612"/>
        <n v="-611"/>
        <n v="-610"/>
        <n v="-609"/>
        <n v="-608"/>
        <n v="-607"/>
        <n v="-606"/>
        <n v="-605"/>
        <n v="-604"/>
        <n v="-603"/>
        <n v="-602"/>
        <n v="-601"/>
        <n v="-599"/>
        <n v="-598"/>
        <n v="-597"/>
        <n v="-596"/>
        <n v="-595"/>
        <n v="-594"/>
        <n v="-593"/>
        <n v="-592"/>
        <n v="-591"/>
        <n v="-590"/>
        <n v="-589"/>
        <n v="-588"/>
        <n v="-587"/>
        <n v="-586"/>
        <n v="-585"/>
        <n v="-584"/>
        <n v="-583"/>
        <n v="-582"/>
        <n v="-581"/>
        <n v="-580"/>
        <n v="-579"/>
        <n v="-578"/>
        <n v="-577"/>
        <n v="-576"/>
        <n v="-575"/>
        <n v="-574"/>
        <n v="-573"/>
        <n v="-572"/>
        <n v="-571"/>
        <n v="-570"/>
        <n v="-569"/>
        <n v="-568"/>
        <n v="-567"/>
        <n v="-566"/>
        <n v="-565"/>
        <n v="-564"/>
        <n v="-563"/>
        <n v="-562"/>
        <n v="-561"/>
        <n v="-560"/>
        <n v="-559"/>
        <n v="-558"/>
        <n v="-557"/>
        <n v="-556"/>
        <n v="-555"/>
        <n v="-554"/>
        <n v="-553"/>
        <n v="-552"/>
        <n v="-551"/>
        <n v="-550"/>
        <n v="-549"/>
        <n v="-548"/>
        <n v="-547"/>
        <n v="-546"/>
        <n v="-545"/>
        <n v="-544"/>
        <n v="-543"/>
        <n v="-542"/>
        <n v="-541"/>
        <n v="-540"/>
        <n v="-539"/>
        <n v="-538"/>
        <n v="-537"/>
        <n v="-536"/>
        <n v="-535"/>
        <n v="-534"/>
        <n v="-533"/>
        <n v="-532"/>
        <n v="-531"/>
        <n v="-530"/>
        <n v="-529"/>
        <n v="-528"/>
        <n v="-527"/>
        <n v="-526"/>
        <n v="-525"/>
        <n v="-524"/>
        <n v="-523"/>
        <n v="-522"/>
        <n v="-521"/>
        <n v="-520"/>
        <n v="-519"/>
        <n v="-518"/>
        <n v="-517"/>
        <n v="-516"/>
        <n v="-515"/>
        <n v="-514"/>
        <n v="-513"/>
        <n v="-512"/>
        <n v="-511"/>
        <n v="-510"/>
        <n v="-509"/>
        <n v="-508"/>
        <n v="-507"/>
        <n v="-506"/>
        <n v="-505"/>
        <n v="-504"/>
        <n v="-503"/>
        <n v="-502"/>
        <n v="-501"/>
        <n v="-499"/>
        <n v="-498"/>
        <n v="-497"/>
        <n v="-496"/>
        <n v="-495"/>
        <n v="-494"/>
        <n v="-493"/>
        <n v="-492"/>
        <n v="-491"/>
        <n v="-490"/>
        <n v="-489"/>
        <n v="-488"/>
        <n v="-487"/>
        <n v="-486"/>
        <n v="-485"/>
        <n v="-484"/>
        <n v="-483"/>
        <n v="-482"/>
        <n v="-481"/>
        <n v="-480"/>
        <n v="-479"/>
        <n v="-478"/>
        <n v="-477"/>
        <n v="-476"/>
        <n v="-475"/>
        <n v="-474"/>
        <n v="-473"/>
        <n v="-472"/>
        <n v="-471"/>
        <n v="-470"/>
        <n v="-469"/>
        <n v="-468"/>
        <n v="-467"/>
        <n v="-466"/>
        <n v="-465"/>
        <n v="-464"/>
        <n v="-463"/>
        <n v="-462"/>
        <n v="-461"/>
        <n v="-460"/>
        <n v="-459"/>
        <n v="-458"/>
        <n v="-457"/>
        <n v="-456"/>
        <n v="-455"/>
        <n v="-454"/>
        <n v="-453"/>
        <n v="-452"/>
        <n v="-451"/>
        <n v="-450"/>
        <n v="-449"/>
        <n v="-448"/>
        <n v="-447"/>
        <n v="-446"/>
        <n v="-445"/>
        <n v="-444"/>
        <n v="-443"/>
        <n v="-442"/>
        <n v="-441"/>
        <n v="-440"/>
        <n v="-439"/>
        <n v="-438"/>
        <n v="-437"/>
        <n v="-436"/>
        <n v="-435"/>
        <n v="-434"/>
        <n v="-433"/>
        <n v="-432"/>
        <n v="-431"/>
        <n v="-430"/>
        <n v="-429"/>
        <n v="-428"/>
        <n v="-427"/>
        <n v="-426"/>
        <n v="-425"/>
        <n v="-424"/>
        <n v="-423"/>
        <n v="-422"/>
        <n v="-421"/>
        <n v="-420"/>
        <n v="-419"/>
        <n v="-418"/>
        <n v="-417"/>
        <n v="-416"/>
        <n v="-415"/>
        <n v="-414"/>
        <n v="-413"/>
        <n v="-412"/>
        <n v="-411"/>
        <n v="-410"/>
        <n v="-409"/>
        <n v="-408"/>
        <n v="-407"/>
        <n v="-406"/>
        <n v="-405"/>
        <n v="-404"/>
        <n v="-403"/>
        <n v="-402"/>
        <n v="-401"/>
        <n v="-399"/>
        <n v="-398"/>
        <n v="-397"/>
        <n v="-396"/>
        <n v="-395"/>
        <n v="-394"/>
        <n v="-393"/>
        <n v="-392"/>
        <n v="-391"/>
        <n v="-390"/>
        <n v="-389"/>
        <n v="-388"/>
        <n v="-387"/>
        <n v="-386"/>
        <n v="-385"/>
        <n v="-384"/>
        <n v="-383"/>
        <n v="-382"/>
        <n v="-381"/>
        <n v="-380"/>
        <n v="-379"/>
        <n v="-378"/>
        <n v="-377"/>
        <n v="-376"/>
        <n v="-375"/>
        <n v="-374"/>
        <n v="-373"/>
        <n v="-372"/>
        <n v="-371"/>
        <n v="-370"/>
        <n v="-369"/>
        <n v="-368"/>
        <n v="-367"/>
        <n v="-366"/>
        <n v="-365"/>
        <n v="-364"/>
        <n v="-363"/>
        <n v="-362"/>
        <n v="-361"/>
        <n v="-360"/>
        <n v="-359"/>
        <n v="-358"/>
        <n v="-357"/>
        <n v="-356"/>
        <n v="-355"/>
        <n v="-354"/>
        <n v="-353"/>
        <n v="-352"/>
        <n v="-351"/>
        <n v="-350"/>
        <n v="-349"/>
        <n v="-348"/>
        <n v="-347"/>
        <n v="-346"/>
        <n v="-345"/>
        <n v="-344"/>
        <n v="-343"/>
        <n v="-342"/>
        <n v="-341"/>
        <n v="-340"/>
        <n v="-339"/>
        <n v="-338"/>
        <n v="-337"/>
        <n v="-336"/>
        <n v="-335"/>
        <n v="-334"/>
        <n v="-333"/>
        <n v="-332"/>
        <n v="-331"/>
        <n v="-330"/>
        <n v="-329"/>
        <n v="-328"/>
        <n v="-327"/>
        <n v="-326"/>
        <n v="-325"/>
        <n v="-324"/>
        <n v="-323"/>
        <n v="-322"/>
        <n v="-321"/>
        <n v="-320"/>
        <n v="-319"/>
        <n v="-318"/>
        <n v="-317"/>
        <n v="-316"/>
        <n v="-315"/>
        <n v="-314"/>
        <n v="-313"/>
        <n v="-312"/>
        <n v="-311"/>
        <n v="-310"/>
        <n v="-309"/>
        <n v="-308"/>
        <n v="-307"/>
        <n v="-306"/>
        <n v="-305"/>
        <n v="-304"/>
        <n v="-303"/>
        <n v="-302"/>
        <n v="-301"/>
        <n v="-299"/>
        <n v="-298"/>
        <n v="-297"/>
        <n v="-296"/>
        <n v="-295"/>
        <n v="-294"/>
        <n v="-293"/>
        <n v="-292"/>
        <n v="-291"/>
        <n v="941"/>
        <n v="942"/>
        <n v="943"/>
        <n v="944"/>
        <n v="945"/>
        <n v="946"/>
        <n v="947"/>
        <n v="948"/>
        <n v="949"/>
        <n v="950"/>
        <n v="951"/>
        <n v="952"/>
        <n v="953"/>
        <n v="954"/>
        <n v="955"/>
        <n v="956"/>
        <n v="957"/>
        <n v="958"/>
        <n v="959"/>
        <n v="960"/>
        <m/>
      </sharedItems>
    </cacheField>
    <cacheField name="knotValues" numFmtId="0">
      <sharedItems containsString="0" containsBlank="1" containsNumber="1" minValue="-3.15" maxValue="10.058"/>
    </cacheField>
    <cacheField name="step" numFmtId="0">
      <sharedItems containsString="0" containsBlank="1" containsNumber="1" containsInteger="1" minValue="1" maxValue="100"/>
    </cacheField>
    <cacheField name="min" numFmtId="0">
      <sharedItems containsString="0" containsBlank="1" containsNumber="1" containsInteger="1" minValue="-3200" maxValue="564"/>
    </cacheField>
    <cacheField name="max" numFmtId="0">
      <sharedItems containsString="0" containsBlank="1" containsNumber="1" containsInteger="1" minValue="10" maxValue="19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761">
  <r>
    <x v="0"/>
    <s v="conventional_refinance_cai_-40"/>
    <x v="0"/>
    <n v="0.57999999999999996"/>
    <n v="1"/>
    <n v="-40"/>
    <n v="940"/>
  </r>
  <r>
    <x v="0"/>
    <s v="conventional_refinance_cai_-39"/>
    <x v="1"/>
    <n v="0.57999999999999996"/>
    <n v="1"/>
    <n v="-40"/>
    <n v="940"/>
  </r>
  <r>
    <x v="0"/>
    <s v="conventional_refinance_cai_-38"/>
    <x v="2"/>
    <n v="0.57999999999999996"/>
    <n v="1"/>
    <n v="-40"/>
    <n v="940"/>
  </r>
  <r>
    <x v="0"/>
    <s v="conventional_refinance_cai_-37"/>
    <x v="3"/>
    <n v="0.57999999999999996"/>
    <n v="1"/>
    <n v="-40"/>
    <n v="940"/>
  </r>
  <r>
    <x v="0"/>
    <s v="conventional_refinance_cai_-36"/>
    <x v="4"/>
    <n v="0.57999999999999996"/>
    <n v="1"/>
    <n v="-40"/>
    <n v="940"/>
  </r>
  <r>
    <x v="0"/>
    <s v="conventional_refinance_cai_-35"/>
    <x v="5"/>
    <n v="0.57999999999999996"/>
    <n v="1"/>
    <n v="-40"/>
    <n v="940"/>
  </r>
  <r>
    <x v="0"/>
    <s v="conventional_refinance_cai_-34"/>
    <x v="6"/>
    <n v="0.57999999999999996"/>
    <n v="1"/>
    <n v="-40"/>
    <n v="940"/>
  </r>
  <r>
    <x v="0"/>
    <s v="conventional_refinance_cai_-33"/>
    <x v="7"/>
    <n v="0.57999999999999996"/>
    <n v="1"/>
    <n v="-40"/>
    <n v="940"/>
  </r>
  <r>
    <x v="0"/>
    <s v="conventional_refinance_cai_-32"/>
    <x v="8"/>
    <n v="0.57999999999999996"/>
    <n v="1"/>
    <n v="-40"/>
    <n v="940"/>
  </r>
  <r>
    <x v="0"/>
    <s v="conventional_refinance_cai_-31"/>
    <x v="9"/>
    <n v="0.57999999999999996"/>
    <n v="1"/>
    <n v="-40"/>
    <n v="940"/>
  </r>
  <r>
    <x v="0"/>
    <s v="conventional_refinance_cai_-30"/>
    <x v="10"/>
    <n v="0.57999999999999996"/>
    <n v="1"/>
    <n v="-40"/>
    <n v="940"/>
  </r>
  <r>
    <x v="0"/>
    <s v="conventional_refinance_cai_-29"/>
    <x v="11"/>
    <n v="0.57999999999999996"/>
    <n v="1"/>
    <n v="-40"/>
    <n v="940"/>
  </r>
  <r>
    <x v="0"/>
    <s v="conventional_refinance_cai_-28"/>
    <x v="12"/>
    <n v="0.57999999999999996"/>
    <n v="1"/>
    <n v="-40"/>
    <n v="940"/>
  </r>
  <r>
    <x v="0"/>
    <s v="conventional_refinance_cai_-27"/>
    <x v="13"/>
    <n v="0.57999999999999996"/>
    <n v="1"/>
    <n v="-40"/>
    <n v="940"/>
  </r>
  <r>
    <x v="0"/>
    <s v="conventional_refinance_cai_-26"/>
    <x v="14"/>
    <n v="0.57999999999999996"/>
    <n v="1"/>
    <n v="-40"/>
    <n v="940"/>
  </r>
  <r>
    <x v="0"/>
    <s v="conventional_refinance_cai_-25"/>
    <x v="15"/>
    <n v="0.57999999999999996"/>
    <n v="1"/>
    <n v="-40"/>
    <n v="940"/>
  </r>
  <r>
    <x v="0"/>
    <s v="conventional_refinance_cai_-24"/>
    <x v="16"/>
    <n v="0.57999999999999996"/>
    <n v="1"/>
    <n v="-40"/>
    <n v="940"/>
  </r>
  <r>
    <x v="0"/>
    <s v="conventional_refinance_cai_-23"/>
    <x v="17"/>
    <n v="0.57999999999999996"/>
    <n v="1"/>
    <n v="-40"/>
    <n v="940"/>
  </r>
  <r>
    <x v="0"/>
    <s v="conventional_refinance_cai_-22"/>
    <x v="18"/>
    <n v="0.57999999999999996"/>
    <n v="1"/>
    <n v="-40"/>
    <n v="940"/>
  </r>
  <r>
    <x v="0"/>
    <s v="conventional_refinance_cai_-21"/>
    <x v="19"/>
    <n v="0.57999999999999996"/>
    <n v="1"/>
    <n v="-40"/>
    <n v="940"/>
  </r>
  <r>
    <x v="0"/>
    <s v="conventional_refinance_cai_-20"/>
    <x v="20"/>
    <n v="0.57999999999999996"/>
    <n v="1"/>
    <n v="-40"/>
    <n v="940"/>
  </r>
  <r>
    <x v="0"/>
    <s v="conventional_refinance_cai_-19"/>
    <x v="21"/>
    <n v="0.57999999999999996"/>
    <n v="1"/>
    <n v="-40"/>
    <n v="940"/>
  </r>
  <r>
    <x v="0"/>
    <s v="conventional_refinance_cai_-18"/>
    <x v="22"/>
    <n v="0.57999999999999996"/>
    <n v="1"/>
    <n v="-40"/>
    <n v="940"/>
  </r>
  <r>
    <x v="0"/>
    <s v="conventional_refinance_cai_-17"/>
    <x v="23"/>
    <n v="0.57999999999999996"/>
    <n v="1"/>
    <n v="-40"/>
    <n v="940"/>
  </r>
  <r>
    <x v="0"/>
    <s v="conventional_refinance_cai_-16"/>
    <x v="24"/>
    <n v="0.57999999999999996"/>
    <n v="1"/>
    <n v="-40"/>
    <n v="940"/>
  </r>
  <r>
    <x v="0"/>
    <s v="conventional_refinance_cai_-15"/>
    <x v="25"/>
    <n v="0.57999999999999996"/>
    <n v="1"/>
    <n v="-40"/>
    <n v="940"/>
  </r>
  <r>
    <x v="0"/>
    <s v="conventional_refinance_cai_-14"/>
    <x v="26"/>
    <n v="0.57999999999999996"/>
    <n v="1"/>
    <n v="-40"/>
    <n v="940"/>
  </r>
  <r>
    <x v="0"/>
    <s v="conventional_refinance_cai_-13"/>
    <x v="27"/>
    <n v="0.57999999999999996"/>
    <n v="1"/>
    <n v="-40"/>
    <n v="940"/>
  </r>
  <r>
    <x v="0"/>
    <s v="conventional_refinance_cai_-12"/>
    <x v="28"/>
    <n v="0.57999999999999996"/>
    <n v="1"/>
    <n v="-40"/>
    <n v="940"/>
  </r>
  <r>
    <x v="0"/>
    <s v="conventional_refinance_cai_-11"/>
    <x v="29"/>
    <n v="0.57999999999999996"/>
    <n v="1"/>
    <n v="-40"/>
    <n v="940"/>
  </r>
  <r>
    <x v="0"/>
    <s v="conventional_refinance_cai_-10"/>
    <x v="30"/>
    <n v="0.57999999999999996"/>
    <n v="1"/>
    <n v="-40"/>
    <n v="940"/>
  </r>
  <r>
    <x v="0"/>
    <s v="conventional_refinance_cai_-9"/>
    <x v="31"/>
    <n v="0.57999999999999996"/>
    <n v="1"/>
    <n v="-40"/>
    <n v="940"/>
  </r>
  <r>
    <x v="0"/>
    <s v="conventional_refinance_cai_-8"/>
    <x v="32"/>
    <n v="0.57999999999999996"/>
    <n v="1"/>
    <n v="-40"/>
    <n v="940"/>
  </r>
  <r>
    <x v="0"/>
    <s v="conventional_refinance_cai_-7"/>
    <x v="33"/>
    <n v="0.57999999999999996"/>
    <n v="1"/>
    <n v="-40"/>
    <n v="940"/>
  </r>
  <r>
    <x v="0"/>
    <s v="conventional_refinance_cai_-6"/>
    <x v="34"/>
    <n v="0.57999999999999996"/>
    <n v="1"/>
    <n v="-40"/>
    <n v="940"/>
  </r>
  <r>
    <x v="0"/>
    <s v="conventional_refinance_cai_-5"/>
    <x v="35"/>
    <n v="0.57999999999999996"/>
    <n v="1"/>
    <n v="-40"/>
    <n v="940"/>
  </r>
  <r>
    <x v="0"/>
    <s v="conventional_refinance_cai_-4"/>
    <x v="36"/>
    <n v="0.57999999999999996"/>
    <n v="1"/>
    <n v="-40"/>
    <n v="940"/>
  </r>
  <r>
    <x v="0"/>
    <s v="conventional_refinance_cai_-3"/>
    <x v="37"/>
    <n v="0.57999999999999996"/>
    <n v="1"/>
    <n v="-40"/>
    <n v="940"/>
  </r>
  <r>
    <x v="0"/>
    <s v="conventional_refinance_cai_-2"/>
    <x v="38"/>
    <n v="0.57999999999999996"/>
    <n v="1"/>
    <n v="-40"/>
    <n v="940"/>
  </r>
  <r>
    <x v="0"/>
    <s v="conventional_refinance_cai_-1"/>
    <x v="39"/>
    <n v="0.57999999999999996"/>
    <n v="1"/>
    <n v="-40"/>
    <n v="940"/>
  </r>
  <r>
    <x v="0"/>
    <s v="conventional_refinance_cai_0"/>
    <x v="40"/>
    <n v="0.57999999999999996"/>
    <n v="1"/>
    <n v="-40"/>
    <n v="940"/>
  </r>
  <r>
    <x v="0"/>
    <s v="conventional_refinance_cai_1"/>
    <x v="41"/>
    <n v="0.57999999999999996"/>
    <n v="1"/>
    <n v="-40"/>
    <n v="940"/>
  </r>
  <r>
    <x v="0"/>
    <s v="conventional_refinance_cai_2"/>
    <x v="42"/>
    <n v="0.57999999999999996"/>
    <n v="1"/>
    <n v="-40"/>
    <n v="940"/>
  </r>
  <r>
    <x v="0"/>
    <s v="conventional_refinance_cai_3"/>
    <x v="43"/>
    <n v="0.57999999999999996"/>
    <n v="1"/>
    <n v="-40"/>
    <n v="940"/>
  </r>
  <r>
    <x v="0"/>
    <s v="conventional_refinance_cai_4"/>
    <x v="44"/>
    <n v="0.57999999999999996"/>
    <n v="1"/>
    <n v="-40"/>
    <n v="940"/>
  </r>
  <r>
    <x v="0"/>
    <s v="conventional_refinance_cai_5"/>
    <x v="45"/>
    <n v="0.57999999999999996"/>
    <n v="1"/>
    <n v="-40"/>
    <n v="940"/>
  </r>
  <r>
    <x v="0"/>
    <s v="conventional_refinance_cai_6"/>
    <x v="46"/>
    <n v="0.57999999999999996"/>
    <n v="1"/>
    <n v="-40"/>
    <n v="940"/>
  </r>
  <r>
    <x v="0"/>
    <s v="conventional_refinance_cai_7"/>
    <x v="47"/>
    <n v="0.57999999999999996"/>
    <n v="1"/>
    <n v="-40"/>
    <n v="940"/>
  </r>
  <r>
    <x v="0"/>
    <s v="conventional_refinance_cai_8"/>
    <x v="48"/>
    <n v="0.57999999999999996"/>
    <n v="1"/>
    <n v="-40"/>
    <n v="940"/>
  </r>
  <r>
    <x v="0"/>
    <s v="conventional_refinance_cai_9"/>
    <x v="49"/>
    <n v="0.57999999999999996"/>
    <n v="1"/>
    <n v="-40"/>
    <n v="940"/>
  </r>
  <r>
    <x v="0"/>
    <s v="conventional_refinance_cai_10"/>
    <x v="50"/>
    <n v="0.57999999999999996"/>
    <n v="1"/>
    <n v="-40"/>
    <n v="940"/>
  </r>
  <r>
    <x v="0"/>
    <s v="conventional_refinance_cai_11"/>
    <x v="51"/>
    <n v="0.57999999999999996"/>
    <n v="1"/>
    <n v="-40"/>
    <n v="940"/>
  </r>
  <r>
    <x v="0"/>
    <s v="conventional_refinance_cai_12"/>
    <x v="52"/>
    <n v="0.57999999999999996"/>
    <n v="1"/>
    <n v="-40"/>
    <n v="940"/>
  </r>
  <r>
    <x v="0"/>
    <s v="conventional_refinance_cai_13"/>
    <x v="53"/>
    <n v="0.57999999999999996"/>
    <n v="1"/>
    <n v="-40"/>
    <n v="940"/>
  </r>
  <r>
    <x v="0"/>
    <s v="conventional_refinance_cai_14"/>
    <x v="54"/>
    <n v="0.57999999999999996"/>
    <n v="1"/>
    <n v="-40"/>
    <n v="940"/>
  </r>
  <r>
    <x v="0"/>
    <s v="conventional_refinance_cai_15"/>
    <x v="55"/>
    <n v="0.57999999999999996"/>
    <n v="1"/>
    <n v="-40"/>
    <n v="940"/>
  </r>
  <r>
    <x v="0"/>
    <s v="conventional_refinance_cai_16"/>
    <x v="56"/>
    <n v="0.57999999999999996"/>
    <n v="1"/>
    <n v="-40"/>
    <n v="940"/>
  </r>
  <r>
    <x v="0"/>
    <s v="conventional_refinance_cai_17"/>
    <x v="57"/>
    <n v="0.57999999999999996"/>
    <n v="1"/>
    <n v="-40"/>
    <n v="940"/>
  </r>
  <r>
    <x v="0"/>
    <s v="conventional_refinance_cai_18"/>
    <x v="58"/>
    <n v="0.57999999999999996"/>
    <n v="1"/>
    <n v="-40"/>
    <n v="940"/>
  </r>
  <r>
    <x v="0"/>
    <s v="conventional_refinance_cai_19"/>
    <x v="59"/>
    <n v="0.57999999999999996"/>
    <n v="1"/>
    <n v="-40"/>
    <n v="940"/>
  </r>
  <r>
    <x v="0"/>
    <s v="conventional_refinance_cai_20"/>
    <x v="60"/>
    <n v="0.57999999999999996"/>
    <n v="1"/>
    <n v="-40"/>
    <n v="940"/>
  </r>
  <r>
    <x v="0"/>
    <s v="conventional_refinance_cai_21"/>
    <x v="61"/>
    <n v="0.57999999999999996"/>
    <n v="1"/>
    <n v="-40"/>
    <n v="940"/>
  </r>
  <r>
    <x v="0"/>
    <s v="conventional_refinance_cai_22"/>
    <x v="62"/>
    <n v="0.57999999999999996"/>
    <n v="1"/>
    <n v="-40"/>
    <n v="940"/>
  </r>
  <r>
    <x v="0"/>
    <s v="conventional_refinance_cai_23"/>
    <x v="63"/>
    <n v="0.57999999999999996"/>
    <n v="1"/>
    <n v="-40"/>
    <n v="940"/>
  </r>
  <r>
    <x v="0"/>
    <s v="conventional_refinance_cai_24"/>
    <x v="64"/>
    <n v="0.57999999999999996"/>
    <n v="1"/>
    <n v="-40"/>
    <n v="940"/>
  </r>
  <r>
    <x v="0"/>
    <s v="conventional_refinance_cai_25"/>
    <x v="65"/>
    <n v="0.57999999999999996"/>
    <n v="1"/>
    <n v="-40"/>
    <n v="940"/>
  </r>
  <r>
    <x v="0"/>
    <s v="conventional_refinance_cai_26"/>
    <x v="66"/>
    <n v="0.57999999999999996"/>
    <n v="1"/>
    <n v="-40"/>
    <n v="940"/>
  </r>
  <r>
    <x v="0"/>
    <s v="conventional_refinance_cai_27"/>
    <x v="67"/>
    <n v="0.57999999999999996"/>
    <n v="1"/>
    <n v="-40"/>
    <n v="940"/>
  </r>
  <r>
    <x v="0"/>
    <s v="conventional_refinance_cai_28"/>
    <x v="68"/>
    <n v="0.57999999999999996"/>
    <n v="1"/>
    <n v="-40"/>
    <n v="940"/>
  </r>
  <r>
    <x v="0"/>
    <s v="conventional_refinance_cai_29"/>
    <x v="69"/>
    <n v="0.57999999999999996"/>
    <n v="1"/>
    <n v="-40"/>
    <n v="940"/>
  </r>
  <r>
    <x v="0"/>
    <s v="conventional_refinance_cai_30"/>
    <x v="70"/>
    <n v="0.57999999999999996"/>
    <n v="1"/>
    <n v="-40"/>
    <n v="940"/>
  </r>
  <r>
    <x v="0"/>
    <s v="conventional_refinance_cai_31"/>
    <x v="71"/>
    <n v="0.57999999999999996"/>
    <n v="1"/>
    <n v="-40"/>
    <n v="940"/>
  </r>
  <r>
    <x v="0"/>
    <s v="conventional_refinance_cai_32"/>
    <x v="72"/>
    <n v="0.57999999999999996"/>
    <n v="1"/>
    <n v="-40"/>
    <n v="940"/>
  </r>
  <r>
    <x v="0"/>
    <s v="conventional_refinance_cai_33"/>
    <x v="73"/>
    <n v="0.57999999999999996"/>
    <n v="1"/>
    <n v="-40"/>
    <n v="940"/>
  </r>
  <r>
    <x v="0"/>
    <s v="conventional_refinance_cai_34"/>
    <x v="74"/>
    <n v="0.57999999999999996"/>
    <n v="1"/>
    <n v="-40"/>
    <n v="940"/>
  </r>
  <r>
    <x v="0"/>
    <s v="conventional_refinance_cai_35"/>
    <x v="75"/>
    <n v="0.57999999999999996"/>
    <n v="1"/>
    <n v="-40"/>
    <n v="940"/>
  </r>
  <r>
    <x v="0"/>
    <s v="conventional_refinance_cai_36"/>
    <x v="76"/>
    <n v="0.57999999999999996"/>
    <n v="1"/>
    <n v="-40"/>
    <n v="940"/>
  </r>
  <r>
    <x v="0"/>
    <s v="conventional_refinance_cai_37"/>
    <x v="77"/>
    <n v="0.57999999999999996"/>
    <n v="1"/>
    <n v="-40"/>
    <n v="940"/>
  </r>
  <r>
    <x v="0"/>
    <s v="conventional_refinance_cai_38"/>
    <x v="78"/>
    <n v="0.57999999999999996"/>
    <n v="1"/>
    <n v="-40"/>
    <n v="940"/>
  </r>
  <r>
    <x v="0"/>
    <s v="conventional_refinance_cai_39"/>
    <x v="79"/>
    <n v="0.57999999999999996"/>
    <n v="1"/>
    <n v="-40"/>
    <n v="940"/>
  </r>
  <r>
    <x v="0"/>
    <s v="conventional_refinance_cai_40"/>
    <x v="80"/>
    <n v="0.57999999999999996"/>
    <n v="1"/>
    <n v="-40"/>
    <n v="940"/>
  </r>
  <r>
    <x v="0"/>
    <s v="conventional_refinance_cai_41"/>
    <x v="81"/>
    <n v="0.57999999999999996"/>
    <n v="1"/>
    <n v="-40"/>
    <n v="940"/>
  </r>
  <r>
    <x v="0"/>
    <s v="conventional_refinance_cai_42"/>
    <x v="82"/>
    <n v="0.57999999999999996"/>
    <n v="1"/>
    <n v="-40"/>
    <n v="940"/>
  </r>
  <r>
    <x v="0"/>
    <s v="conventional_refinance_cai_43"/>
    <x v="83"/>
    <n v="0.57999999999999996"/>
    <n v="1"/>
    <n v="-40"/>
    <n v="940"/>
  </r>
  <r>
    <x v="0"/>
    <s v="conventional_refinance_cai_44"/>
    <x v="84"/>
    <n v="0.57999999999999996"/>
    <n v="1"/>
    <n v="-40"/>
    <n v="940"/>
  </r>
  <r>
    <x v="0"/>
    <s v="conventional_refinance_cai_45"/>
    <x v="85"/>
    <n v="0.57999999999999996"/>
    <n v="1"/>
    <n v="-40"/>
    <n v="940"/>
  </r>
  <r>
    <x v="0"/>
    <s v="conventional_refinance_cai_46"/>
    <x v="86"/>
    <n v="0.57999999999999996"/>
    <n v="1"/>
    <n v="-40"/>
    <n v="940"/>
  </r>
  <r>
    <x v="0"/>
    <s v="conventional_refinance_cai_47"/>
    <x v="87"/>
    <n v="0.57999999999999996"/>
    <n v="1"/>
    <n v="-40"/>
    <n v="940"/>
  </r>
  <r>
    <x v="0"/>
    <s v="conventional_refinance_cai_48"/>
    <x v="88"/>
    <n v="0.57999999999999996"/>
    <n v="1"/>
    <n v="-40"/>
    <n v="940"/>
  </r>
  <r>
    <x v="0"/>
    <s v="conventional_refinance_cai_49"/>
    <x v="89"/>
    <n v="0.57999999999999996"/>
    <n v="1"/>
    <n v="-40"/>
    <n v="940"/>
  </r>
  <r>
    <x v="0"/>
    <s v="conventional_refinance_cai_50"/>
    <x v="90"/>
    <n v="0.57999999999999996"/>
    <n v="1"/>
    <n v="-40"/>
    <n v="940"/>
  </r>
  <r>
    <x v="0"/>
    <s v="conventional_refinance_cai_51"/>
    <x v="91"/>
    <n v="0.57999999999999996"/>
    <n v="1"/>
    <n v="-40"/>
    <n v="940"/>
  </r>
  <r>
    <x v="0"/>
    <s v="conventional_refinance_cai_52"/>
    <x v="92"/>
    <n v="0.57999999999999996"/>
    <n v="1"/>
    <n v="-40"/>
    <n v="940"/>
  </r>
  <r>
    <x v="0"/>
    <s v="conventional_refinance_cai_53"/>
    <x v="93"/>
    <n v="0.57999999999999996"/>
    <n v="1"/>
    <n v="-40"/>
    <n v="940"/>
  </r>
  <r>
    <x v="0"/>
    <s v="conventional_refinance_cai_54"/>
    <x v="94"/>
    <n v="0.57999999999999996"/>
    <n v="1"/>
    <n v="-40"/>
    <n v="940"/>
  </r>
  <r>
    <x v="0"/>
    <s v="conventional_refinance_cai_55"/>
    <x v="95"/>
    <n v="0.57999999999999996"/>
    <n v="1"/>
    <n v="-40"/>
    <n v="940"/>
  </r>
  <r>
    <x v="0"/>
    <s v="conventional_refinance_cai_56"/>
    <x v="96"/>
    <n v="0.57999999999999996"/>
    <n v="1"/>
    <n v="-40"/>
    <n v="940"/>
  </r>
  <r>
    <x v="0"/>
    <s v="conventional_refinance_cai_57"/>
    <x v="97"/>
    <n v="0.57999999999999996"/>
    <n v="1"/>
    <n v="-40"/>
    <n v="940"/>
  </r>
  <r>
    <x v="0"/>
    <s v="conventional_refinance_cai_58"/>
    <x v="98"/>
    <n v="0.57999999999999996"/>
    <n v="1"/>
    <n v="-40"/>
    <n v="940"/>
  </r>
  <r>
    <x v="0"/>
    <s v="conventional_refinance_cai_59"/>
    <x v="99"/>
    <n v="0.57999999999999996"/>
    <n v="1"/>
    <n v="-40"/>
    <n v="940"/>
  </r>
  <r>
    <x v="0"/>
    <s v="conventional_refinance_cai_60"/>
    <x v="100"/>
    <n v="0.57999999999999996"/>
    <n v="1"/>
    <n v="-40"/>
    <n v="940"/>
  </r>
  <r>
    <x v="0"/>
    <s v="conventional_refinance_cai_61"/>
    <x v="101"/>
    <n v="0.57999999999999996"/>
    <n v="1"/>
    <n v="-40"/>
    <n v="940"/>
  </r>
  <r>
    <x v="0"/>
    <s v="conventional_refinance_cai_62"/>
    <x v="102"/>
    <n v="0.57999999999999996"/>
    <n v="1"/>
    <n v="-40"/>
    <n v="940"/>
  </r>
  <r>
    <x v="0"/>
    <s v="conventional_refinance_cai_63"/>
    <x v="103"/>
    <n v="0.57999999999999996"/>
    <n v="1"/>
    <n v="-40"/>
    <n v="940"/>
  </r>
  <r>
    <x v="0"/>
    <s v="conventional_refinance_cai_64"/>
    <x v="104"/>
    <n v="0.57999999999999996"/>
    <n v="1"/>
    <n v="-40"/>
    <n v="940"/>
  </r>
  <r>
    <x v="0"/>
    <s v="conventional_refinance_cai_65"/>
    <x v="105"/>
    <n v="0.57999999999999996"/>
    <n v="1"/>
    <n v="-40"/>
    <n v="940"/>
  </r>
  <r>
    <x v="0"/>
    <s v="conventional_refinance_cai_66"/>
    <x v="106"/>
    <n v="0.57999999999999996"/>
    <n v="1"/>
    <n v="-40"/>
    <n v="940"/>
  </r>
  <r>
    <x v="0"/>
    <s v="conventional_refinance_cai_67"/>
    <x v="107"/>
    <n v="0.57999999999999996"/>
    <n v="1"/>
    <n v="-40"/>
    <n v="940"/>
  </r>
  <r>
    <x v="0"/>
    <s v="conventional_refinance_cai_68"/>
    <x v="108"/>
    <n v="0.57999999999999996"/>
    <n v="1"/>
    <n v="-40"/>
    <n v="940"/>
  </r>
  <r>
    <x v="0"/>
    <s v="conventional_refinance_cai_69"/>
    <x v="109"/>
    <n v="0.57999999999999996"/>
    <n v="1"/>
    <n v="-40"/>
    <n v="940"/>
  </r>
  <r>
    <x v="0"/>
    <s v="conventional_refinance_cai_70"/>
    <x v="110"/>
    <n v="0.57999999999999996"/>
    <n v="1"/>
    <n v="-40"/>
    <n v="940"/>
  </r>
  <r>
    <x v="0"/>
    <s v="conventional_refinance_cai_71"/>
    <x v="111"/>
    <n v="0.57999999999999996"/>
    <n v="1"/>
    <n v="-40"/>
    <n v="940"/>
  </r>
  <r>
    <x v="0"/>
    <s v="conventional_refinance_cai_72"/>
    <x v="112"/>
    <n v="0.57999999999999996"/>
    <n v="1"/>
    <n v="-40"/>
    <n v="940"/>
  </r>
  <r>
    <x v="0"/>
    <s v="conventional_refinance_cai_73"/>
    <x v="113"/>
    <n v="0.57999999999999996"/>
    <n v="1"/>
    <n v="-40"/>
    <n v="940"/>
  </r>
  <r>
    <x v="0"/>
    <s v="conventional_refinance_cai_74"/>
    <x v="114"/>
    <n v="0.57999999999999996"/>
    <n v="1"/>
    <n v="-40"/>
    <n v="940"/>
  </r>
  <r>
    <x v="0"/>
    <s v="conventional_refinance_cai_75"/>
    <x v="115"/>
    <n v="0.57999999999999996"/>
    <n v="1"/>
    <n v="-40"/>
    <n v="940"/>
  </r>
  <r>
    <x v="0"/>
    <s v="conventional_refinance_cai_76"/>
    <x v="116"/>
    <n v="0.57999999999999996"/>
    <n v="1"/>
    <n v="-40"/>
    <n v="940"/>
  </r>
  <r>
    <x v="0"/>
    <s v="conventional_refinance_cai_77"/>
    <x v="117"/>
    <n v="0.57999999999999996"/>
    <n v="1"/>
    <n v="-40"/>
    <n v="940"/>
  </r>
  <r>
    <x v="0"/>
    <s v="conventional_refinance_cai_78"/>
    <x v="118"/>
    <n v="0.57999999999999996"/>
    <n v="1"/>
    <n v="-40"/>
    <n v="940"/>
  </r>
  <r>
    <x v="0"/>
    <s v="conventional_refinance_cai_79"/>
    <x v="119"/>
    <n v="0.57999999999999996"/>
    <n v="1"/>
    <n v="-40"/>
    <n v="940"/>
  </r>
  <r>
    <x v="0"/>
    <s v="conventional_refinance_cai_80"/>
    <x v="120"/>
    <n v="0.57999999999999996"/>
    <n v="1"/>
    <n v="-40"/>
    <n v="940"/>
  </r>
  <r>
    <x v="0"/>
    <s v="conventional_refinance_cai_81"/>
    <x v="121"/>
    <n v="0.57999999999999996"/>
    <n v="1"/>
    <n v="-40"/>
    <n v="940"/>
  </r>
  <r>
    <x v="0"/>
    <s v="conventional_refinance_cai_82"/>
    <x v="122"/>
    <n v="0.57999999999999996"/>
    <n v="1"/>
    <n v="-40"/>
    <n v="940"/>
  </r>
  <r>
    <x v="0"/>
    <s v="conventional_refinance_cai_83"/>
    <x v="123"/>
    <n v="0.57999999999999996"/>
    <n v="1"/>
    <n v="-40"/>
    <n v="940"/>
  </r>
  <r>
    <x v="0"/>
    <s v="conventional_refinance_cai_84"/>
    <x v="124"/>
    <n v="0.57999999999999996"/>
    <n v="1"/>
    <n v="-40"/>
    <n v="940"/>
  </r>
  <r>
    <x v="0"/>
    <s v="conventional_refinance_cai_85"/>
    <x v="125"/>
    <n v="0.57999999999999996"/>
    <n v="1"/>
    <n v="-40"/>
    <n v="940"/>
  </r>
  <r>
    <x v="0"/>
    <s v="conventional_refinance_cai_86"/>
    <x v="126"/>
    <n v="0.57999999999999996"/>
    <n v="1"/>
    <n v="-40"/>
    <n v="940"/>
  </r>
  <r>
    <x v="0"/>
    <s v="conventional_refinance_cai_87"/>
    <x v="127"/>
    <n v="0.57999999999999996"/>
    <n v="1"/>
    <n v="-40"/>
    <n v="940"/>
  </r>
  <r>
    <x v="0"/>
    <s v="conventional_refinance_cai_88"/>
    <x v="128"/>
    <n v="0.57999999999999996"/>
    <n v="1"/>
    <n v="-40"/>
    <n v="940"/>
  </r>
  <r>
    <x v="0"/>
    <s v="conventional_refinance_cai_89"/>
    <x v="129"/>
    <n v="0.57999999999999996"/>
    <n v="1"/>
    <n v="-40"/>
    <n v="940"/>
  </r>
  <r>
    <x v="0"/>
    <s v="conventional_refinance_cai_90"/>
    <x v="130"/>
    <n v="0.57999999999999996"/>
    <n v="1"/>
    <n v="-40"/>
    <n v="940"/>
  </r>
  <r>
    <x v="0"/>
    <s v="conventional_refinance_cai_91"/>
    <x v="131"/>
    <n v="0.57999999999999996"/>
    <n v="1"/>
    <n v="-40"/>
    <n v="940"/>
  </r>
  <r>
    <x v="0"/>
    <s v="conventional_refinance_cai_92"/>
    <x v="132"/>
    <n v="0.57999999999999996"/>
    <n v="1"/>
    <n v="-40"/>
    <n v="940"/>
  </r>
  <r>
    <x v="0"/>
    <s v="conventional_refinance_cai_93"/>
    <x v="133"/>
    <n v="0.57999999999999996"/>
    <n v="1"/>
    <n v="-40"/>
    <n v="940"/>
  </r>
  <r>
    <x v="0"/>
    <s v="conventional_refinance_cai_94"/>
    <x v="134"/>
    <n v="0.57999999999999996"/>
    <n v="1"/>
    <n v="-40"/>
    <n v="940"/>
  </r>
  <r>
    <x v="0"/>
    <s v="conventional_refinance_cai_95"/>
    <x v="135"/>
    <n v="0.57999999999999996"/>
    <n v="1"/>
    <n v="-40"/>
    <n v="940"/>
  </r>
  <r>
    <x v="0"/>
    <s v="conventional_refinance_cai_96"/>
    <x v="136"/>
    <n v="0.57999999999999996"/>
    <n v="1"/>
    <n v="-40"/>
    <n v="940"/>
  </r>
  <r>
    <x v="0"/>
    <s v="conventional_refinance_cai_97"/>
    <x v="137"/>
    <n v="0.57999999999999996"/>
    <n v="1"/>
    <n v="-40"/>
    <n v="940"/>
  </r>
  <r>
    <x v="0"/>
    <s v="conventional_refinance_cai_98"/>
    <x v="138"/>
    <n v="0.57999999999999996"/>
    <n v="1"/>
    <n v="-40"/>
    <n v="940"/>
  </r>
  <r>
    <x v="0"/>
    <s v="conventional_refinance_cai_99"/>
    <x v="139"/>
    <n v="0.57999999999999996"/>
    <n v="1"/>
    <n v="-40"/>
    <n v="940"/>
  </r>
  <r>
    <x v="0"/>
    <s v="conventional_refinance_cai_100"/>
    <x v="140"/>
    <n v="0.57999999999999996"/>
    <n v="1"/>
    <n v="-40"/>
    <n v="940"/>
  </r>
  <r>
    <x v="0"/>
    <s v="conventional_refinance_cai_101"/>
    <x v="141"/>
    <n v="0.57999999999999996"/>
    <n v="1"/>
    <n v="-40"/>
    <n v="940"/>
  </r>
  <r>
    <x v="0"/>
    <s v="conventional_refinance_cai_102"/>
    <x v="142"/>
    <n v="0.57999999999999996"/>
    <n v="1"/>
    <n v="-40"/>
    <n v="940"/>
  </r>
  <r>
    <x v="0"/>
    <s v="conventional_refinance_cai_103"/>
    <x v="143"/>
    <n v="0.57999999999999996"/>
    <n v="1"/>
    <n v="-40"/>
    <n v="940"/>
  </r>
  <r>
    <x v="0"/>
    <s v="conventional_refinance_cai_104"/>
    <x v="144"/>
    <n v="0.57999999999999996"/>
    <n v="1"/>
    <n v="-40"/>
    <n v="940"/>
  </r>
  <r>
    <x v="0"/>
    <s v="conventional_refinance_cai_105"/>
    <x v="145"/>
    <n v="0.57999999999999996"/>
    <n v="1"/>
    <n v="-40"/>
    <n v="940"/>
  </r>
  <r>
    <x v="0"/>
    <s v="conventional_refinance_cai_106"/>
    <x v="146"/>
    <n v="0.57999999999999996"/>
    <n v="1"/>
    <n v="-40"/>
    <n v="940"/>
  </r>
  <r>
    <x v="0"/>
    <s v="conventional_refinance_cai_107"/>
    <x v="147"/>
    <n v="0.57999999999999996"/>
    <n v="1"/>
    <n v="-40"/>
    <n v="940"/>
  </r>
  <r>
    <x v="0"/>
    <s v="conventional_refinance_cai_108"/>
    <x v="148"/>
    <n v="0.57999999999999996"/>
    <n v="1"/>
    <n v="-40"/>
    <n v="940"/>
  </r>
  <r>
    <x v="0"/>
    <s v="conventional_refinance_cai_109"/>
    <x v="149"/>
    <n v="0.57999999999999996"/>
    <n v="1"/>
    <n v="-40"/>
    <n v="940"/>
  </r>
  <r>
    <x v="0"/>
    <s v="conventional_refinance_cai_110"/>
    <x v="150"/>
    <n v="0.57999999999999996"/>
    <n v="1"/>
    <n v="-40"/>
    <n v="940"/>
  </r>
  <r>
    <x v="0"/>
    <s v="conventional_refinance_cai_111"/>
    <x v="151"/>
    <n v="0.57999999999999996"/>
    <n v="1"/>
    <n v="-40"/>
    <n v="940"/>
  </r>
  <r>
    <x v="0"/>
    <s v="conventional_refinance_cai_112"/>
    <x v="152"/>
    <n v="0.57999999999999996"/>
    <n v="1"/>
    <n v="-40"/>
    <n v="940"/>
  </r>
  <r>
    <x v="0"/>
    <s v="conventional_refinance_cai_113"/>
    <x v="153"/>
    <n v="0.57999999999999996"/>
    <n v="1"/>
    <n v="-40"/>
    <n v="940"/>
  </r>
  <r>
    <x v="0"/>
    <s v="conventional_refinance_cai_114"/>
    <x v="154"/>
    <n v="0.57999999999999996"/>
    <n v="1"/>
    <n v="-40"/>
    <n v="940"/>
  </r>
  <r>
    <x v="0"/>
    <s v="conventional_refinance_cai_115"/>
    <x v="155"/>
    <n v="0.57999999999999996"/>
    <n v="1"/>
    <n v="-40"/>
    <n v="940"/>
  </r>
  <r>
    <x v="0"/>
    <s v="conventional_refinance_cai_116"/>
    <x v="156"/>
    <n v="0.57999999999999996"/>
    <n v="1"/>
    <n v="-40"/>
    <n v="940"/>
  </r>
  <r>
    <x v="0"/>
    <s v="conventional_refinance_cai_117"/>
    <x v="157"/>
    <n v="0.57999999999999996"/>
    <n v="1"/>
    <n v="-40"/>
    <n v="940"/>
  </r>
  <r>
    <x v="0"/>
    <s v="conventional_refinance_cai_118"/>
    <x v="158"/>
    <n v="0.57999999999999996"/>
    <n v="1"/>
    <n v="-40"/>
    <n v="940"/>
  </r>
  <r>
    <x v="0"/>
    <s v="conventional_refinance_cai_119"/>
    <x v="159"/>
    <n v="0.57999999999999996"/>
    <n v="1"/>
    <n v="-40"/>
    <n v="940"/>
  </r>
  <r>
    <x v="0"/>
    <s v="conventional_refinance_cai_120"/>
    <x v="160"/>
    <n v="0.57999999999999996"/>
    <n v="1"/>
    <n v="-40"/>
    <n v="940"/>
  </r>
  <r>
    <x v="0"/>
    <s v="conventional_refinance_cai_121"/>
    <x v="161"/>
    <n v="0.57999999999999996"/>
    <n v="1"/>
    <n v="-40"/>
    <n v="940"/>
  </r>
  <r>
    <x v="0"/>
    <s v="conventional_refinance_cai_122"/>
    <x v="162"/>
    <n v="0.57999999999999996"/>
    <n v="1"/>
    <n v="-40"/>
    <n v="940"/>
  </r>
  <r>
    <x v="0"/>
    <s v="conventional_refinance_cai_123"/>
    <x v="163"/>
    <n v="0.57999999999999996"/>
    <n v="1"/>
    <n v="-40"/>
    <n v="940"/>
  </r>
  <r>
    <x v="0"/>
    <s v="conventional_refinance_cai_124"/>
    <x v="164"/>
    <n v="0.57999999999999996"/>
    <n v="1"/>
    <n v="-40"/>
    <n v="940"/>
  </r>
  <r>
    <x v="0"/>
    <s v="conventional_refinance_cai_125"/>
    <x v="165"/>
    <n v="0.57999999999999996"/>
    <n v="1"/>
    <n v="-40"/>
    <n v="940"/>
  </r>
  <r>
    <x v="0"/>
    <s v="conventional_refinance_cai_126"/>
    <x v="166"/>
    <n v="0.57999999999999996"/>
    <n v="1"/>
    <n v="-40"/>
    <n v="940"/>
  </r>
  <r>
    <x v="0"/>
    <s v="conventional_refinance_cai_127"/>
    <x v="167"/>
    <n v="0.57999999999999996"/>
    <n v="1"/>
    <n v="-40"/>
    <n v="940"/>
  </r>
  <r>
    <x v="0"/>
    <s v="conventional_refinance_cai_128"/>
    <x v="168"/>
    <n v="0.57999999999999996"/>
    <n v="1"/>
    <n v="-40"/>
    <n v="940"/>
  </r>
  <r>
    <x v="0"/>
    <s v="conventional_refinance_cai_129"/>
    <x v="169"/>
    <n v="0.57999999999999996"/>
    <n v="1"/>
    <n v="-40"/>
    <n v="940"/>
  </r>
  <r>
    <x v="0"/>
    <s v="conventional_refinance_cai_130"/>
    <x v="170"/>
    <n v="0.57999999999999996"/>
    <n v="1"/>
    <n v="-40"/>
    <n v="940"/>
  </r>
  <r>
    <x v="0"/>
    <s v="conventional_refinance_cai_131"/>
    <x v="171"/>
    <n v="0.57999999999999996"/>
    <n v="1"/>
    <n v="-40"/>
    <n v="940"/>
  </r>
  <r>
    <x v="0"/>
    <s v="conventional_refinance_cai_132"/>
    <x v="172"/>
    <n v="0.57999999999999996"/>
    <n v="1"/>
    <n v="-40"/>
    <n v="940"/>
  </r>
  <r>
    <x v="0"/>
    <s v="conventional_refinance_cai_133"/>
    <x v="173"/>
    <n v="0.57999999999999996"/>
    <n v="1"/>
    <n v="-40"/>
    <n v="940"/>
  </r>
  <r>
    <x v="0"/>
    <s v="conventional_refinance_cai_134"/>
    <x v="174"/>
    <n v="0.57999999999999996"/>
    <n v="1"/>
    <n v="-40"/>
    <n v="940"/>
  </r>
  <r>
    <x v="0"/>
    <s v="conventional_refinance_cai_135"/>
    <x v="175"/>
    <n v="0.57999999999999996"/>
    <n v="1"/>
    <n v="-40"/>
    <n v="940"/>
  </r>
  <r>
    <x v="0"/>
    <s v="conventional_refinance_cai_136"/>
    <x v="176"/>
    <n v="0.57999999999999996"/>
    <n v="1"/>
    <n v="-40"/>
    <n v="940"/>
  </r>
  <r>
    <x v="0"/>
    <s v="conventional_refinance_cai_137"/>
    <x v="177"/>
    <n v="0.57999999999999996"/>
    <n v="1"/>
    <n v="-40"/>
    <n v="940"/>
  </r>
  <r>
    <x v="0"/>
    <s v="conventional_refinance_cai_138"/>
    <x v="178"/>
    <n v="0.57999999999999996"/>
    <n v="1"/>
    <n v="-40"/>
    <n v="940"/>
  </r>
  <r>
    <x v="0"/>
    <s v="conventional_refinance_cai_139"/>
    <x v="179"/>
    <n v="0.57999999999999996"/>
    <n v="1"/>
    <n v="-40"/>
    <n v="940"/>
  </r>
  <r>
    <x v="0"/>
    <s v="conventional_refinance_cai_140"/>
    <x v="180"/>
    <n v="0.57999999999999996"/>
    <n v="1"/>
    <n v="-40"/>
    <n v="940"/>
  </r>
  <r>
    <x v="0"/>
    <s v="conventional_refinance_cai_141"/>
    <x v="181"/>
    <n v="0.57999999999999996"/>
    <n v="1"/>
    <n v="-40"/>
    <n v="940"/>
  </r>
  <r>
    <x v="0"/>
    <s v="conventional_refinance_cai_142"/>
    <x v="182"/>
    <n v="0.57999999999999996"/>
    <n v="1"/>
    <n v="-40"/>
    <n v="940"/>
  </r>
  <r>
    <x v="0"/>
    <s v="conventional_refinance_cai_143"/>
    <x v="183"/>
    <n v="0.57999999999999996"/>
    <n v="1"/>
    <n v="-40"/>
    <n v="940"/>
  </r>
  <r>
    <x v="0"/>
    <s v="conventional_refinance_cai_144"/>
    <x v="184"/>
    <n v="0.57999999999999996"/>
    <n v="1"/>
    <n v="-40"/>
    <n v="940"/>
  </r>
  <r>
    <x v="0"/>
    <s v="conventional_refinance_cai_145"/>
    <x v="185"/>
    <n v="0.57999999999999996"/>
    <n v="1"/>
    <n v="-40"/>
    <n v="940"/>
  </r>
  <r>
    <x v="0"/>
    <s v="conventional_refinance_cai_146"/>
    <x v="186"/>
    <n v="0.57999999999999996"/>
    <n v="1"/>
    <n v="-40"/>
    <n v="940"/>
  </r>
  <r>
    <x v="0"/>
    <s v="conventional_refinance_cai_147"/>
    <x v="187"/>
    <n v="0.57999999999999996"/>
    <n v="1"/>
    <n v="-40"/>
    <n v="940"/>
  </r>
  <r>
    <x v="0"/>
    <s v="conventional_refinance_cai_148"/>
    <x v="188"/>
    <n v="0.57999999999999996"/>
    <n v="1"/>
    <n v="-40"/>
    <n v="940"/>
  </r>
  <r>
    <x v="0"/>
    <s v="conventional_refinance_cai_149"/>
    <x v="189"/>
    <n v="0.57999999999999996"/>
    <n v="1"/>
    <n v="-40"/>
    <n v="940"/>
  </r>
  <r>
    <x v="0"/>
    <s v="conventional_refinance_cai_150"/>
    <x v="190"/>
    <n v="0.57999999999999996"/>
    <n v="1"/>
    <n v="-40"/>
    <n v="940"/>
  </r>
  <r>
    <x v="0"/>
    <s v="conventional_refinance_cai_151"/>
    <x v="191"/>
    <n v="0.57999999999999996"/>
    <n v="1"/>
    <n v="-40"/>
    <n v="940"/>
  </r>
  <r>
    <x v="0"/>
    <s v="conventional_refinance_cai_152"/>
    <x v="192"/>
    <n v="0.57999999999999996"/>
    <n v="1"/>
    <n v="-40"/>
    <n v="940"/>
  </r>
  <r>
    <x v="0"/>
    <s v="conventional_refinance_cai_153"/>
    <x v="193"/>
    <n v="0.57999999999999996"/>
    <n v="1"/>
    <n v="-40"/>
    <n v="940"/>
  </r>
  <r>
    <x v="0"/>
    <s v="conventional_refinance_cai_154"/>
    <x v="194"/>
    <n v="0.57999999999999996"/>
    <n v="1"/>
    <n v="-40"/>
    <n v="940"/>
  </r>
  <r>
    <x v="0"/>
    <s v="conventional_refinance_cai_155"/>
    <x v="195"/>
    <n v="0.57999999999999996"/>
    <n v="1"/>
    <n v="-40"/>
    <n v="940"/>
  </r>
  <r>
    <x v="0"/>
    <s v="conventional_refinance_cai_156"/>
    <x v="196"/>
    <n v="0.57999999999999996"/>
    <n v="1"/>
    <n v="-40"/>
    <n v="940"/>
  </r>
  <r>
    <x v="0"/>
    <s v="conventional_refinance_cai_157"/>
    <x v="197"/>
    <n v="0.57999999999999996"/>
    <n v="1"/>
    <n v="-40"/>
    <n v="940"/>
  </r>
  <r>
    <x v="0"/>
    <s v="conventional_refinance_cai_158"/>
    <x v="198"/>
    <n v="0.57999999999999996"/>
    <n v="1"/>
    <n v="-40"/>
    <n v="940"/>
  </r>
  <r>
    <x v="0"/>
    <s v="conventional_refinance_cai_159"/>
    <x v="199"/>
    <n v="0.57999999999999996"/>
    <n v="1"/>
    <n v="-40"/>
    <n v="940"/>
  </r>
  <r>
    <x v="0"/>
    <s v="conventional_refinance_cai_160"/>
    <x v="200"/>
    <n v="0.57999999999999996"/>
    <n v="1"/>
    <n v="-40"/>
    <n v="940"/>
  </r>
  <r>
    <x v="0"/>
    <s v="conventional_refinance_cai_161"/>
    <x v="201"/>
    <n v="0.57999999999999996"/>
    <n v="1"/>
    <n v="-40"/>
    <n v="940"/>
  </r>
  <r>
    <x v="0"/>
    <s v="conventional_refinance_cai_162"/>
    <x v="202"/>
    <n v="0.57999999999999996"/>
    <n v="1"/>
    <n v="-40"/>
    <n v="940"/>
  </r>
  <r>
    <x v="0"/>
    <s v="conventional_refinance_cai_163"/>
    <x v="203"/>
    <n v="0.57999999999999996"/>
    <n v="1"/>
    <n v="-40"/>
    <n v="940"/>
  </r>
  <r>
    <x v="0"/>
    <s v="conventional_refinance_cai_164"/>
    <x v="204"/>
    <n v="0.57999999999999996"/>
    <n v="1"/>
    <n v="-40"/>
    <n v="940"/>
  </r>
  <r>
    <x v="0"/>
    <s v="conventional_refinance_cai_165"/>
    <x v="205"/>
    <n v="0.57999999999999996"/>
    <n v="1"/>
    <n v="-40"/>
    <n v="940"/>
  </r>
  <r>
    <x v="0"/>
    <s v="conventional_refinance_cai_166"/>
    <x v="206"/>
    <n v="0.57999999999999996"/>
    <n v="1"/>
    <n v="-40"/>
    <n v="940"/>
  </r>
  <r>
    <x v="0"/>
    <s v="conventional_refinance_cai_167"/>
    <x v="207"/>
    <n v="0.57999999999999996"/>
    <n v="1"/>
    <n v="-40"/>
    <n v="940"/>
  </r>
  <r>
    <x v="0"/>
    <s v="conventional_refinance_cai_168"/>
    <x v="208"/>
    <n v="0.57999999999999996"/>
    <n v="1"/>
    <n v="-40"/>
    <n v="940"/>
  </r>
  <r>
    <x v="0"/>
    <s v="conventional_refinance_cai_169"/>
    <x v="209"/>
    <n v="0.57999999999999996"/>
    <n v="1"/>
    <n v="-40"/>
    <n v="940"/>
  </r>
  <r>
    <x v="0"/>
    <s v="conventional_refinance_cai_170"/>
    <x v="210"/>
    <n v="0.57999999999999996"/>
    <n v="1"/>
    <n v="-40"/>
    <n v="940"/>
  </r>
  <r>
    <x v="0"/>
    <s v="conventional_refinance_cai_171"/>
    <x v="211"/>
    <n v="0.57999999999999996"/>
    <n v="1"/>
    <n v="-40"/>
    <n v="940"/>
  </r>
  <r>
    <x v="0"/>
    <s v="conventional_refinance_cai_172"/>
    <x v="212"/>
    <n v="0.57999999999999996"/>
    <n v="1"/>
    <n v="-40"/>
    <n v="940"/>
  </r>
  <r>
    <x v="0"/>
    <s v="conventional_refinance_cai_173"/>
    <x v="213"/>
    <n v="0.57999999999999996"/>
    <n v="1"/>
    <n v="-40"/>
    <n v="940"/>
  </r>
  <r>
    <x v="0"/>
    <s v="conventional_refinance_cai_174"/>
    <x v="214"/>
    <n v="0.57999999999999996"/>
    <n v="1"/>
    <n v="-40"/>
    <n v="940"/>
  </r>
  <r>
    <x v="0"/>
    <s v="conventional_refinance_cai_175"/>
    <x v="215"/>
    <n v="0.57999999999999996"/>
    <n v="1"/>
    <n v="-40"/>
    <n v="940"/>
  </r>
  <r>
    <x v="0"/>
    <s v="conventional_refinance_cai_176"/>
    <x v="216"/>
    <n v="0.57999999999999996"/>
    <n v="1"/>
    <n v="-40"/>
    <n v="940"/>
  </r>
  <r>
    <x v="0"/>
    <s v="conventional_refinance_cai_177"/>
    <x v="217"/>
    <n v="0.57999999999999996"/>
    <n v="1"/>
    <n v="-40"/>
    <n v="940"/>
  </r>
  <r>
    <x v="0"/>
    <s v="conventional_refinance_cai_178"/>
    <x v="218"/>
    <n v="0.57999999999999996"/>
    <n v="1"/>
    <n v="-40"/>
    <n v="940"/>
  </r>
  <r>
    <x v="0"/>
    <s v="conventional_refinance_cai_179"/>
    <x v="219"/>
    <n v="0.57999999999999996"/>
    <n v="1"/>
    <n v="-40"/>
    <n v="940"/>
  </r>
  <r>
    <x v="0"/>
    <s v="conventional_refinance_cai_180"/>
    <x v="220"/>
    <n v="0.57999999999999996"/>
    <n v="1"/>
    <n v="-40"/>
    <n v="940"/>
  </r>
  <r>
    <x v="0"/>
    <s v="conventional_refinance_cai_181"/>
    <x v="221"/>
    <n v="0.57999999999999996"/>
    <n v="1"/>
    <n v="-40"/>
    <n v="940"/>
  </r>
  <r>
    <x v="0"/>
    <s v="conventional_refinance_cai_182"/>
    <x v="222"/>
    <n v="0.57999999999999996"/>
    <n v="1"/>
    <n v="-40"/>
    <n v="940"/>
  </r>
  <r>
    <x v="0"/>
    <s v="conventional_refinance_cai_183"/>
    <x v="223"/>
    <n v="0.57999999999999996"/>
    <n v="1"/>
    <n v="-40"/>
    <n v="940"/>
  </r>
  <r>
    <x v="0"/>
    <s v="conventional_refinance_cai_184"/>
    <x v="224"/>
    <n v="0.57999999999999996"/>
    <n v="1"/>
    <n v="-40"/>
    <n v="940"/>
  </r>
  <r>
    <x v="0"/>
    <s v="conventional_refinance_cai_185"/>
    <x v="225"/>
    <n v="0.57999999999999996"/>
    <n v="1"/>
    <n v="-40"/>
    <n v="940"/>
  </r>
  <r>
    <x v="0"/>
    <s v="conventional_refinance_cai_186"/>
    <x v="226"/>
    <n v="0.57999999999999996"/>
    <n v="1"/>
    <n v="-40"/>
    <n v="940"/>
  </r>
  <r>
    <x v="0"/>
    <s v="conventional_refinance_cai_187"/>
    <x v="227"/>
    <n v="0.57999999999999996"/>
    <n v="1"/>
    <n v="-40"/>
    <n v="940"/>
  </r>
  <r>
    <x v="0"/>
    <s v="conventional_refinance_cai_188"/>
    <x v="228"/>
    <n v="0.57999999999999996"/>
    <n v="1"/>
    <n v="-40"/>
    <n v="940"/>
  </r>
  <r>
    <x v="0"/>
    <s v="conventional_refinance_cai_189"/>
    <x v="229"/>
    <n v="0.57999999999999996"/>
    <n v="1"/>
    <n v="-40"/>
    <n v="940"/>
  </r>
  <r>
    <x v="0"/>
    <s v="conventional_refinance_cai_190"/>
    <x v="230"/>
    <n v="0.57999999999999996"/>
    <n v="1"/>
    <n v="-40"/>
    <n v="940"/>
  </r>
  <r>
    <x v="0"/>
    <s v="conventional_refinance_cai_191"/>
    <x v="231"/>
    <n v="0.57999999999999996"/>
    <n v="1"/>
    <n v="-40"/>
    <n v="940"/>
  </r>
  <r>
    <x v="0"/>
    <s v="conventional_refinance_cai_192"/>
    <x v="232"/>
    <n v="0.57999999999999996"/>
    <n v="1"/>
    <n v="-40"/>
    <n v="940"/>
  </r>
  <r>
    <x v="0"/>
    <s v="conventional_refinance_cai_193"/>
    <x v="233"/>
    <n v="0.57999999999999996"/>
    <n v="1"/>
    <n v="-40"/>
    <n v="940"/>
  </r>
  <r>
    <x v="0"/>
    <s v="conventional_refinance_cai_194"/>
    <x v="234"/>
    <n v="0.57999999999999996"/>
    <n v="1"/>
    <n v="-40"/>
    <n v="940"/>
  </r>
  <r>
    <x v="0"/>
    <s v="conventional_refinance_cai_195"/>
    <x v="235"/>
    <n v="0.57999999999999996"/>
    <n v="1"/>
    <n v="-40"/>
    <n v="940"/>
  </r>
  <r>
    <x v="0"/>
    <s v="conventional_refinance_cai_196"/>
    <x v="236"/>
    <n v="0.57999999999999996"/>
    <n v="1"/>
    <n v="-40"/>
    <n v="940"/>
  </r>
  <r>
    <x v="0"/>
    <s v="conventional_refinance_cai_197"/>
    <x v="237"/>
    <n v="0.57999999999999996"/>
    <n v="1"/>
    <n v="-40"/>
    <n v="940"/>
  </r>
  <r>
    <x v="0"/>
    <s v="conventional_refinance_cai_198"/>
    <x v="238"/>
    <n v="0.57999999999999996"/>
    <n v="1"/>
    <n v="-40"/>
    <n v="940"/>
  </r>
  <r>
    <x v="0"/>
    <s v="conventional_refinance_cai_199"/>
    <x v="239"/>
    <n v="0.57999999999999996"/>
    <n v="1"/>
    <n v="-40"/>
    <n v="940"/>
  </r>
  <r>
    <x v="0"/>
    <s v="conventional_refinance_cai_200"/>
    <x v="240"/>
    <n v="0.57999999999999996"/>
    <n v="1"/>
    <n v="-40"/>
    <n v="940"/>
  </r>
  <r>
    <x v="0"/>
    <s v="conventional_refinance_cai_201"/>
    <x v="241"/>
    <n v="0.57999999999999996"/>
    <n v="1"/>
    <n v="-40"/>
    <n v="940"/>
  </r>
  <r>
    <x v="0"/>
    <s v="conventional_refinance_cai_202"/>
    <x v="242"/>
    <n v="0.57999999999999996"/>
    <n v="1"/>
    <n v="-40"/>
    <n v="940"/>
  </r>
  <r>
    <x v="0"/>
    <s v="conventional_refinance_cai_203"/>
    <x v="243"/>
    <n v="0.57999999999999996"/>
    <n v="1"/>
    <n v="-40"/>
    <n v="940"/>
  </r>
  <r>
    <x v="0"/>
    <s v="conventional_refinance_cai_204"/>
    <x v="244"/>
    <n v="0.57999999999999996"/>
    <n v="1"/>
    <n v="-40"/>
    <n v="940"/>
  </r>
  <r>
    <x v="0"/>
    <s v="conventional_refinance_cai_205"/>
    <x v="245"/>
    <n v="0.57999999999999996"/>
    <n v="1"/>
    <n v="-40"/>
    <n v="940"/>
  </r>
  <r>
    <x v="0"/>
    <s v="conventional_refinance_cai_206"/>
    <x v="246"/>
    <n v="0.57999999999999996"/>
    <n v="1"/>
    <n v="-40"/>
    <n v="940"/>
  </r>
  <r>
    <x v="0"/>
    <s v="conventional_refinance_cai_207"/>
    <x v="247"/>
    <n v="0.57999999999999996"/>
    <n v="1"/>
    <n v="-40"/>
    <n v="940"/>
  </r>
  <r>
    <x v="0"/>
    <s v="conventional_refinance_cai_208"/>
    <x v="248"/>
    <n v="0.57999999999999996"/>
    <n v="1"/>
    <n v="-40"/>
    <n v="940"/>
  </r>
  <r>
    <x v="0"/>
    <s v="conventional_refinance_cai_209"/>
    <x v="249"/>
    <n v="0.57999999999999996"/>
    <n v="1"/>
    <n v="-40"/>
    <n v="940"/>
  </r>
  <r>
    <x v="0"/>
    <s v="conventional_refinance_cai_210"/>
    <x v="250"/>
    <n v="0.57999999999999996"/>
    <n v="1"/>
    <n v="-40"/>
    <n v="940"/>
  </r>
  <r>
    <x v="0"/>
    <s v="conventional_refinance_cai_211"/>
    <x v="251"/>
    <n v="0.57999999999999996"/>
    <n v="1"/>
    <n v="-40"/>
    <n v="940"/>
  </r>
  <r>
    <x v="0"/>
    <s v="conventional_refinance_cai_212"/>
    <x v="252"/>
    <n v="0.57999999999999996"/>
    <n v="1"/>
    <n v="-40"/>
    <n v="940"/>
  </r>
  <r>
    <x v="0"/>
    <s v="conventional_refinance_cai_213"/>
    <x v="253"/>
    <n v="0.57999999999999996"/>
    <n v="1"/>
    <n v="-40"/>
    <n v="940"/>
  </r>
  <r>
    <x v="0"/>
    <s v="conventional_refinance_cai_214"/>
    <x v="254"/>
    <n v="0.57999999999999996"/>
    <n v="1"/>
    <n v="-40"/>
    <n v="940"/>
  </r>
  <r>
    <x v="0"/>
    <s v="conventional_refinance_cai_215"/>
    <x v="255"/>
    <n v="0.57999999999999996"/>
    <n v="1"/>
    <n v="-40"/>
    <n v="940"/>
  </r>
  <r>
    <x v="0"/>
    <s v="conventional_refinance_cai_216"/>
    <x v="256"/>
    <n v="0.57999999999999996"/>
    <n v="1"/>
    <n v="-40"/>
    <n v="940"/>
  </r>
  <r>
    <x v="0"/>
    <s v="conventional_refinance_cai_217"/>
    <x v="257"/>
    <n v="0.57999999999999996"/>
    <n v="1"/>
    <n v="-40"/>
    <n v="940"/>
  </r>
  <r>
    <x v="0"/>
    <s v="conventional_refinance_cai_218"/>
    <x v="258"/>
    <n v="0.57999999999999996"/>
    <n v="1"/>
    <n v="-40"/>
    <n v="940"/>
  </r>
  <r>
    <x v="0"/>
    <s v="conventional_refinance_cai_219"/>
    <x v="259"/>
    <n v="0.57999999999999996"/>
    <n v="1"/>
    <n v="-40"/>
    <n v="940"/>
  </r>
  <r>
    <x v="0"/>
    <s v="conventional_refinance_cai_220"/>
    <x v="260"/>
    <n v="0.57999999999999996"/>
    <n v="1"/>
    <n v="-40"/>
    <n v="940"/>
  </r>
  <r>
    <x v="0"/>
    <s v="conventional_refinance_cai_221"/>
    <x v="261"/>
    <n v="0.57999999999999996"/>
    <n v="1"/>
    <n v="-40"/>
    <n v="940"/>
  </r>
  <r>
    <x v="0"/>
    <s v="conventional_refinance_cai_222"/>
    <x v="262"/>
    <n v="0.57999999999999996"/>
    <n v="1"/>
    <n v="-40"/>
    <n v="940"/>
  </r>
  <r>
    <x v="0"/>
    <s v="conventional_refinance_cai_223"/>
    <x v="263"/>
    <n v="0.57999999999999996"/>
    <n v="1"/>
    <n v="-40"/>
    <n v="940"/>
  </r>
  <r>
    <x v="0"/>
    <s v="conventional_refinance_cai_224"/>
    <x v="264"/>
    <n v="0.57999999999999996"/>
    <n v="1"/>
    <n v="-40"/>
    <n v="940"/>
  </r>
  <r>
    <x v="0"/>
    <s v="conventional_refinance_cai_225"/>
    <x v="265"/>
    <n v="0.57999999999999996"/>
    <n v="1"/>
    <n v="-40"/>
    <n v="940"/>
  </r>
  <r>
    <x v="0"/>
    <s v="conventional_refinance_cai_226"/>
    <x v="266"/>
    <n v="0.57999999999999996"/>
    <n v="1"/>
    <n v="-40"/>
    <n v="940"/>
  </r>
  <r>
    <x v="0"/>
    <s v="conventional_refinance_cai_227"/>
    <x v="267"/>
    <n v="0.57999999999999996"/>
    <n v="1"/>
    <n v="-40"/>
    <n v="940"/>
  </r>
  <r>
    <x v="0"/>
    <s v="conventional_refinance_cai_228"/>
    <x v="268"/>
    <n v="0.57999999999999996"/>
    <n v="1"/>
    <n v="-40"/>
    <n v="940"/>
  </r>
  <r>
    <x v="0"/>
    <s v="conventional_refinance_cai_229"/>
    <x v="269"/>
    <n v="0.57999999999999996"/>
    <n v="1"/>
    <n v="-40"/>
    <n v="940"/>
  </r>
  <r>
    <x v="0"/>
    <s v="conventional_refinance_cai_230"/>
    <x v="270"/>
    <n v="0.57999999999999996"/>
    <n v="1"/>
    <n v="-40"/>
    <n v="940"/>
  </r>
  <r>
    <x v="0"/>
    <s v="conventional_refinance_cai_231"/>
    <x v="271"/>
    <n v="0.57999999999999996"/>
    <n v="1"/>
    <n v="-40"/>
    <n v="940"/>
  </r>
  <r>
    <x v="0"/>
    <s v="conventional_refinance_cai_232"/>
    <x v="272"/>
    <n v="0.57999999999999996"/>
    <n v="1"/>
    <n v="-40"/>
    <n v="940"/>
  </r>
  <r>
    <x v="0"/>
    <s v="conventional_refinance_cai_233"/>
    <x v="273"/>
    <n v="0.57999999999999996"/>
    <n v="1"/>
    <n v="-40"/>
    <n v="940"/>
  </r>
  <r>
    <x v="0"/>
    <s v="conventional_refinance_cai_234"/>
    <x v="274"/>
    <n v="0.57999999999999996"/>
    <n v="1"/>
    <n v="-40"/>
    <n v="940"/>
  </r>
  <r>
    <x v="0"/>
    <s v="conventional_refinance_cai_235"/>
    <x v="275"/>
    <n v="0.57999999999999996"/>
    <n v="1"/>
    <n v="-40"/>
    <n v="940"/>
  </r>
  <r>
    <x v="0"/>
    <s v="conventional_refinance_cai_236"/>
    <x v="276"/>
    <n v="0.57999999999999996"/>
    <n v="1"/>
    <n v="-40"/>
    <n v="940"/>
  </r>
  <r>
    <x v="0"/>
    <s v="conventional_refinance_cai_237"/>
    <x v="277"/>
    <n v="0.57999999999999996"/>
    <n v="1"/>
    <n v="-40"/>
    <n v="940"/>
  </r>
  <r>
    <x v="0"/>
    <s v="conventional_refinance_cai_238"/>
    <x v="278"/>
    <n v="0.57999999999999996"/>
    <n v="1"/>
    <n v="-40"/>
    <n v="940"/>
  </r>
  <r>
    <x v="0"/>
    <s v="conventional_refinance_cai_239"/>
    <x v="279"/>
    <n v="0.57999999999999996"/>
    <n v="1"/>
    <n v="-40"/>
    <n v="940"/>
  </r>
  <r>
    <x v="0"/>
    <s v="conventional_refinance_cai_240"/>
    <x v="280"/>
    <n v="0.57999999999999996"/>
    <n v="1"/>
    <n v="-40"/>
    <n v="940"/>
  </r>
  <r>
    <x v="0"/>
    <s v="conventional_refinance_cai_241"/>
    <x v="281"/>
    <n v="0.57999999999999996"/>
    <n v="1"/>
    <n v="-40"/>
    <n v="940"/>
  </r>
  <r>
    <x v="0"/>
    <s v="conventional_refinance_cai_242"/>
    <x v="282"/>
    <n v="0.57999999999999996"/>
    <n v="1"/>
    <n v="-40"/>
    <n v="940"/>
  </r>
  <r>
    <x v="0"/>
    <s v="conventional_refinance_cai_243"/>
    <x v="283"/>
    <n v="0.57999999999999996"/>
    <n v="1"/>
    <n v="-40"/>
    <n v="940"/>
  </r>
  <r>
    <x v="0"/>
    <s v="conventional_refinance_cai_244"/>
    <x v="284"/>
    <n v="0.57999999999999996"/>
    <n v="1"/>
    <n v="-40"/>
    <n v="940"/>
  </r>
  <r>
    <x v="0"/>
    <s v="conventional_refinance_cai_245"/>
    <x v="285"/>
    <n v="0.57999999999999996"/>
    <n v="1"/>
    <n v="-40"/>
    <n v="940"/>
  </r>
  <r>
    <x v="0"/>
    <s v="conventional_refinance_cai_246"/>
    <x v="286"/>
    <n v="0.57999999999999996"/>
    <n v="1"/>
    <n v="-40"/>
    <n v="940"/>
  </r>
  <r>
    <x v="0"/>
    <s v="conventional_refinance_cai_247"/>
    <x v="287"/>
    <n v="0.57999999999999996"/>
    <n v="1"/>
    <n v="-40"/>
    <n v="940"/>
  </r>
  <r>
    <x v="0"/>
    <s v="conventional_refinance_cai_248"/>
    <x v="288"/>
    <n v="0.57999999999999996"/>
    <n v="1"/>
    <n v="-40"/>
    <n v="940"/>
  </r>
  <r>
    <x v="0"/>
    <s v="conventional_refinance_cai_249"/>
    <x v="289"/>
    <n v="0.57999999999999996"/>
    <n v="1"/>
    <n v="-40"/>
    <n v="940"/>
  </r>
  <r>
    <x v="0"/>
    <s v="conventional_refinance_cai_250"/>
    <x v="290"/>
    <n v="0.57999999999999996"/>
    <n v="1"/>
    <n v="-40"/>
    <n v="940"/>
  </r>
  <r>
    <x v="0"/>
    <s v="conventional_refinance_cai_251"/>
    <x v="291"/>
    <n v="0.57999999999999996"/>
    <n v="1"/>
    <n v="-40"/>
    <n v="940"/>
  </r>
  <r>
    <x v="0"/>
    <s v="conventional_refinance_cai_252"/>
    <x v="292"/>
    <n v="0.57999999999999996"/>
    <n v="1"/>
    <n v="-40"/>
    <n v="940"/>
  </r>
  <r>
    <x v="0"/>
    <s v="conventional_refinance_cai_253"/>
    <x v="293"/>
    <n v="0.57999999999999996"/>
    <n v="1"/>
    <n v="-40"/>
    <n v="940"/>
  </r>
  <r>
    <x v="0"/>
    <s v="conventional_refinance_cai_254"/>
    <x v="294"/>
    <n v="0.57999999999999996"/>
    <n v="1"/>
    <n v="-40"/>
    <n v="940"/>
  </r>
  <r>
    <x v="0"/>
    <s v="conventional_refinance_cai_255"/>
    <x v="295"/>
    <n v="0.57999999999999996"/>
    <n v="1"/>
    <n v="-40"/>
    <n v="940"/>
  </r>
  <r>
    <x v="0"/>
    <s v="conventional_refinance_cai_256"/>
    <x v="296"/>
    <n v="0.57999999999999996"/>
    <n v="1"/>
    <n v="-40"/>
    <n v="940"/>
  </r>
  <r>
    <x v="0"/>
    <s v="conventional_refinance_cai_257"/>
    <x v="297"/>
    <n v="0.57999999999999996"/>
    <n v="1"/>
    <n v="-40"/>
    <n v="940"/>
  </r>
  <r>
    <x v="0"/>
    <s v="conventional_refinance_cai_258"/>
    <x v="298"/>
    <n v="0.57999999999999996"/>
    <n v="1"/>
    <n v="-40"/>
    <n v="940"/>
  </r>
  <r>
    <x v="0"/>
    <s v="conventional_refinance_cai_259"/>
    <x v="299"/>
    <n v="0.57999999999999996"/>
    <n v="1"/>
    <n v="-40"/>
    <n v="940"/>
  </r>
  <r>
    <x v="0"/>
    <s v="conventional_refinance_cai_260"/>
    <x v="300"/>
    <n v="0.57999999999999996"/>
    <n v="1"/>
    <n v="-40"/>
    <n v="940"/>
  </r>
  <r>
    <x v="0"/>
    <s v="conventional_refinance_cai_261"/>
    <x v="301"/>
    <n v="0.57999999999999996"/>
    <n v="1"/>
    <n v="-40"/>
    <n v="940"/>
  </r>
  <r>
    <x v="0"/>
    <s v="conventional_refinance_cai_262"/>
    <x v="302"/>
    <n v="0.57999999999999996"/>
    <n v="1"/>
    <n v="-40"/>
    <n v="940"/>
  </r>
  <r>
    <x v="0"/>
    <s v="conventional_refinance_cai_263"/>
    <x v="303"/>
    <n v="0.57999999999999996"/>
    <n v="1"/>
    <n v="-40"/>
    <n v="940"/>
  </r>
  <r>
    <x v="0"/>
    <s v="conventional_refinance_cai_264"/>
    <x v="304"/>
    <n v="0.57999999999999996"/>
    <n v="1"/>
    <n v="-40"/>
    <n v="940"/>
  </r>
  <r>
    <x v="0"/>
    <s v="conventional_refinance_cai_265"/>
    <x v="305"/>
    <n v="0.57999999999999996"/>
    <n v="1"/>
    <n v="-40"/>
    <n v="940"/>
  </r>
  <r>
    <x v="0"/>
    <s v="conventional_refinance_cai_266"/>
    <x v="306"/>
    <n v="0.57999999999999996"/>
    <n v="1"/>
    <n v="-40"/>
    <n v="940"/>
  </r>
  <r>
    <x v="0"/>
    <s v="conventional_refinance_cai_267"/>
    <x v="307"/>
    <n v="0.57999999999999996"/>
    <n v="1"/>
    <n v="-40"/>
    <n v="940"/>
  </r>
  <r>
    <x v="0"/>
    <s v="conventional_refinance_cai_268"/>
    <x v="308"/>
    <n v="0.57999999999999996"/>
    <n v="1"/>
    <n v="-40"/>
    <n v="940"/>
  </r>
  <r>
    <x v="0"/>
    <s v="conventional_refinance_cai_269"/>
    <x v="309"/>
    <n v="0.57999999999999996"/>
    <n v="1"/>
    <n v="-40"/>
    <n v="940"/>
  </r>
  <r>
    <x v="0"/>
    <s v="conventional_refinance_cai_270"/>
    <x v="310"/>
    <n v="0.57999999999999996"/>
    <n v="1"/>
    <n v="-40"/>
    <n v="940"/>
  </r>
  <r>
    <x v="0"/>
    <s v="conventional_refinance_cai_271"/>
    <x v="311"/>
    <n v="0.57999999999999996"/>
    <n v="1"/>
    <n v="-40"/>
    <n v="940"/>
  </r>
  <r>
    <x v="0"/>
    <s v="conventional_refinance_cai_272"/>
    <x v="312"/>
    <n v="0.57999999999999996"/>
    <n v="1"/>
    <n v="-40"/>
    <n v="940"/>
  </r>
  <r>
    <x v="0"/>
    <s v="conventional_refinance_cai_273"/>
    <x v="313"/>
    <n v="0.57999999999999996"/>
    <n v="1"/>
    <n v="-40"/>
    <n v="940"/>
  </r>
  <r>
    <x v="0"/>
    <s v="conventional_refinance_cai_274"/>
    <x v="314"/>
    <n v="0.57999999999999996"/>
    <n v="1"/>
    <n v="-40"/>
    <n v="940"/>
  </r>
  <r>
    <x v="0"/>
    <s v="conventional_refinance_cai_275"/>
    <x v="315"/>
    <n v="0.57999999999999996"/>
    <n v="1"/>
    <n v="-40"/>
    <n v="940"/>
  </r>
  <r>
    <x v="0"/>
    <s v="conventional_refinance_cai_276"/>
    <x v="316"/>
    <n v="0.57999999999999996"/>
    <n v="1"/>
    <n v="-40"/>
    <n v="940"/>
  </r>
  <r>
    <x v="0"/>
    <s v="conventional_refinance_cai_277"/>
    <x v="317"/>
    <n v="0.57999999999999996"/>
    <n v="1"/>
    <n v="-40"/>
    <n v="940"/>
  </r>
  <r>
    <x v="0"/>
    <s v="conventional_refinance_cai_278"/>
    <x v="318"/>
    <n v="0.57999999999999996"/>
    <n v="1"/>
    <n v="-40"/>
    <n v="940"/>
  </r>
  <r>
    <x v="0"/>
    <s v="conventional_refinance_cai_279"/>
    <x v="319"/>
    <n v="0.57999999999999996"/>
    <n v="1"/>
    <n v="-40"/>
    <n v="940"/>
  </r>
  <r>
    <x v="0"/>
    <s v="conventional_refinance_cai_280"/>
    <x v="320"/>
    <n v="0.57999999999999996"/>
    <n v="1"/>
    <n v="-40"/>
    <n v="940"/>
  </r>
  <r>
    <x v="0"/>
    <s v="conventional_refinance_cai_281"/>
    <x v="321"/>
    <n v="0.57999999999999996"/>
    <n v="1"/>
    <n v="-40"/>
    <n v="940"/>
  </r>
  <r>
    <x v="0"/>
    <s v="conventional_refinance_cai_282"/>
    <x v="322"/>
    <n v="0.57999999999999996"/>
    <n v="1"/>
    <n v="-40"/>
    <n v="940"/>
  </r>
  <r>
    <x v="0"/>
    <s v="conventional_refinance_cai_283"/>
    <x v="323"/>
    <n v="0.57999999999999996"/>
    <n v="1"/>
    <n v="-40"/>
    <n v="940"/>
  </r>
  <r>
    <x v="0"/>
    <s v="conventional_refinance_cai_284"/>
    <x v="324"/>
    <n v="0.57999999999999996"/>
    <n v="1"/>
    <n v="-40"/>
    <n v="940"/>
  </r>
  <r>
    <x v="0"/>
    <s v="conventional_refinance_cai_285"/>
    <x v="325"/>
    <n v="0.57999999999999996"/>
    <n v="1"/>
    <n v="-40"/>
    <n v="940"/>
  </r>
  <r>
    <x v="0"/>
    <s v="conventional_refinance_cai_286"/>
    <x v="326"/>
    <n v="0.57999999999999996"/>
    <n v="1"/>
    <n v="-40"/>
    <n v="940"/>
  </r>
  <r>
    <x v="0"/>
    <s v="conventional_refinance_cai_287"/>
    <x v="327"/>
    <n v="0.57999999999999996"/>
    <n v="1"/>
    <n v="-40"/>
    <n v="940"/>
  </r>
  <r>
    <x v="0"/>
    <s v="conventional_refinance_cai_288"/>
    <x v="328"/>
    <n v="0.57999999999999996"/>
    <n v="1"/>
    <n v="-40"/>
    <n v="940"/>
  </r>
  <r>
    <x v="0"/>
    <s v="conventional_refinance_cai_289"/>
    <x v="329"/>
    <n v="0.57999999999999996"/>
    <n v="1"/>
    <n v="-40"/>
    <n v="940"/>
  </r>
  <r>
    <x v="0"/>
    <s v="conventional_refinance_cai_290"/>
    <x v="330"/>
    <n v="0.57999999999999996"/>
    <n v="1"/>
    <n v="-40"/>
    <n v="940"/>
  </r>
  <r>
    <x v="0"/>
    <s v="conventional_refinance_cai_291"/>
    <x v="331"/>
    <n v="0.57999999999999996"/>
    <n v="1"/>
    <n v="-40"/>
    <n v="940"/>
  </r>
  <r>
    <x v="0"/>
    <s v="conventional_refinance_cai_292"/>
    <x v="332"/>
    <n v="0.57999999999999996"/>
    <n v="1"/>
    <n v="-40"/>
    <n v="940"/>
  </r>
  <r>
    <x v="0"/>
    <s v="conventional_refinance_cai_293"/>
    <x v="333"/>
    <n v="0.57999999999999996"/>
    <n v="1"/>
    <n v="-40"/>
    <n v="940"/>
  </r>
  <r>
    <x v="0"/>
    <s v="conventional_refinance_cai_294"/>
    <x v="334"/>
    <n v="0.57999999999999996"/>
    <n v="1"/>
    <n v="-40"/>
    <n v="940"/>
  </r>
  <r>
    <x v="0"/>
    <s v="conventional_refinance_cai_295"/>
    <x v="335"/>
    <n v="0.57999999999999996"/>
    <n v="1"/>
    <n v="-40"/>
    <n v="940"/>
  </r>
  <r>
    <x v="0"/>
    <s v="conventional_refinance_cai_296"/>
    <x v="336"/>
    <n v="0.57999999999999996"/>
    <n v="1"/>
    <n v="-40"/>
    <n v="940"/>
  </r>
  <r>
    <x v="0"/>
    <s v="conventional_refinance_cai_297"/>
    <x v="337"/>
    <n v="0.57999999999999996"/>
    <n v="1"/>
    <n v="-40"/>
    <n v="940"/>
  </r>
  <r>
    <x v="0"/>
    <s v="conventional_refinance_cai_298"/>
    <x v="338"/>
    <n v="0.57999999999999996"/>
    <n v="1"/>
    <n v="-40"/>
    <n v="940"/>
  </r>
  <r>
    <x v="0"/>
    <s v="conventional_refinance_cai_299"/>
    <x v="339"/>
    <n v="0.57999999999999996"/>
    <n v="1"/>
    <n v="-40"/>
    <n v="940"/>
  </r>
  <r>
    <x v="0"/>
    <s v="conventional_refinance_cai_300"/>
    <x v="340"/>
    <n v="0.57999999999999996"/>
    <n v="1"/>
    <n v="-40"/>
    <n v="940"/>
  </r>
  <r>
    <x v="0"/>
    <s v="conventional_refinance_cai_301"/>
    <x v="341"/>
    <n v="0.58009346100000003"/>
    <n v="1"/>
    <n v="-40"/>
    <n v="940"/>
  </r>
  <r>
    <x v="0"/>
    <s v="conventional_refinance_cai_302"/>
    <x v="342"/>
    <n v="0.58037208799999995"/>
    <n v="1"/>
    <n v="-40"/>
    <n v="940"/>
  </r>
  <r>
    <x v="0"/>
    <s v="conventional_refinance_cai_303"/>
    <x v="343"/>
    <n v="0.58083324700000005"/>
    <n v="1"/>
    <n v="-40"/>
    <n v="940"/>
  </r>
  <r>
    <x v="0"/>
    <s v="conventional_refinance_cai_304"/>
    <x v="344"/>
    <n v="0.581474304"/>
    <n v="1"/>
    <n v="-40"/>
    <n v="940"/>
  </r>
  <r>
    <x v="0"/>
    <s v="conventional_refinance_cai_305"/>
    <x v="345"/>
    <n v="0.58229262500000001"/>
    <n v="1"/>
    <n v="-40"/>
    <n v="940"/>
  </r>
  <r>
    <x v="0"/>
    <s v="conventional_refinance_cai_306"/>
    <x v="346"/>
    <n v="0.58328557599999997"/>
    <n v="1"/>
    <n v="-40"/>
    <n v="940"/>
  </r>
  <r>
    <x v="0"/>
    <s v="conventional_refinance_cai_307"/>
    <x v="347"/>
    <n v="0.584450523"/>
    <n v="1"/>
    <n v="-40"/>
    <n v="940"/>
  </r>
  <r>
    <x v="0"/>
    <s v="conventional_refinance_cai_308"/>
    <x v="348"/>
    <n v="0.58578483199999998"/>
    <n v="1"/>
    <n v="-40"/>
    <n v="940"/>
  </r>
  <r>
    <x v="0"/>
    <s v="conventional_refinance_cai_309"/>
    <x v="349"/>
    <n v="0.58728586900000002"/>
    <n v="1"/>
    <n v="-40"/>
    <n v="940"/>
  </r>
  <r>
    <x v="0"/>
    <s v="conventional_refinance_cai_310"/>
    <x v="350"/>
    <n v="0.588951"/>
    <n v="1"/>
    <n v="-40"/>
    <n v="940"/>
  </r>
  <r>
    <x v="0"/>
    <s v="conventional_refinance_cai_311"/>
    <x v="351"/>
    <n v="0.59077759100000005"/>
    <n v="1"/>
    <n v="-40"/>
    <n v="940"/>
  </r>
  <r>
    <x v="0"/>
    <s v="conventional_refinance_cai_312"/>
    <x v="352"/>
    <n v="0.59276300800000004"/>
    <n v="1"/>
    <n v="-40"/>
    <n v="940"/>
  </r>
  <r>
    <x v="0"/>
    <s v="conventional_refinance_cai_313"/>
    <x v="353"/>
    <n v="0.59490461699999997"/>
    <n v="1"/>
    <n v="-40"/>
    <n v="940"/>
  </r>
  <r>
    <x v="0"/>
    <s v="conventional_refinance_cai_314"/>
    <x v="354"/>
    <n v="0.59719978399999996"/>
    <n v="1"/>
    <n v="-40"/>
    <n v="940"/>
  </r>
  <r>
    <x v="0"/>
    <s v="conventional_refinance_cai_315"/>
    <x v="355"/>
    <n v="0.59964587499999999"/>
    <n v="1"/>
    <n v="-40"/>
    <n v="940"/>
  </r>
  <r>
    <x v="0"/>
    <s v="conventional_refinance_cai_316"/>
    <x v="356"/>
    <n v="0.60224025599999997"/>
    <n v="1"/>
    <n v="-40"/>
    <n v="940"/>
  </r>
  <r>
    <x v="0"/>
    <s v="conventional_refinance_cai_317"/>
    <x v="357"/>
    <n v="0.604980293"/>
    <n v="1"/>
    <n v="-40"/>
    <n v="940"/>
  </r>
  <r>
    <x v="0"/>
    <s v="conventional_refinance_cai_318"/>
    <x v="358"/>
    <n v="0.60786335199999997"/>
    <n v="1"/>
    <n v="-40"/>
    <n v="940"/>
  </r>
  <r>
    <x v="0"/>
    <s v="conventional_refinance_cai_319"/>
    <x v="359"/>
    <n v="0.61088679899999998"/>
    <n v="1"/>
    <n v="-40"/>
    <n v="940"/>
  </r>
  <r>
    <x v="0"/>
    <s v="conventional_refinance_cai_320"/>
    <x v="360"/>
    <n v="0.61404800000000004"/>
    <n v="1"/>
    <n v="-40"/>
    <n v="940"/>
  </r>
  <r>
    <x v="0"/>
    <s v="conventional_refinance_cai_321"/>
    <x v="361"/>
    <n v="0.61734432100000003"/>
    <n v="1"/>
    <n v="-40"/>
    <n v="940"/>
  </r>
  <r>
    <x v="0"/>
    <s v="conventional_refinance_cai_322"/>
    <x v="362"/>
    <n v="0.62077312799999995"/>
    <n v="1"/>
    <n v="-40"/>
    <n v="940"/>
  </r>
  <r>
    <x v="0"/>
    <s v="conventional_refinance_cai_323"/>
    <x v="363"/>
    <n v="0.62433178700000003"/>
    <n v="1"/>
    <n v="-40"/>
    <n v="940"/>
  </r>
  <r>
    <x v="0"/>
    <s v="conventional_refinance_cai_324"/>
    <x v="364"/>
    <n v="0.62801766400000003"/>
    <n v="1"/>
    <n v="-40"/>
    <n v="940"/>
  </r>
  <r>
    <x v="0"/>
    <s v="conventional_refinance_cai_325"/>
    <x v="365"/>
    <n v="0.63182812499999996"/>
    <n v="1"/>
    <n v="-40"/>
    <n v="940"/>
  </r>
  <r>
    <x v="0"/>
    <s v="conventional_refinance_cai_326"/>
    <x v="366"/>
    <n v="0.63576053600000004"/>
    <n v="1"/>
    <n v="-40"/>
    <n v="940"/>
  </r>
  <r>
    <x v="0"/>
    <s v="conventional_refinance_cai_327"/>
    <x v="367"/>
    <n v="0.63981226300000005"/>
    <n v="1"/>
    <n v="-40"/>
    <n v="940"/>
  </r>
  <r>
    <x v="0"/>
    <s v="conventional_refinance_cai_328"/>
    <x v="368"/>
    <n v="0.64398067199999998"/>
    <n v="1"/>
    <n v="-40"/>
    <n v="940"/>
  </r>
  <r>
    <x v="0"/>
    <s v="conventional_refinance_cai_329"/>
    <x v="369"/>
    <n v="0.64826312900000005"/>
    <n v="1"/>
    <n v="-40"/>
    <n v="940"/>
  </r>
  <r>
    <x v="0"/>
    <s v="conventional_refinance_cai_330"/>
    <x v="370"/>
    <n v="0.65265700000000004"/>
    <n v="1"/>
    <n v="-40"/>
    <n v="940"/>
  </r>
  <r>
    <x v="0"/>
    <s v="conventional_refinance_cai_331"/>
    <x v="371"/>
    <n v="0.65715965099999996"/>
    <n v="1"/>
    <n v="-40"/>
    <n v="940"/>
  </r>
  <r>
    <x v="0"/>
    <s v="conventional_refinance_cai_332"/>
    <x v="372"/>
    <n v="0.66176844800000001"/>
    <n v="1"/>
    <n v="-40"/>
    <n v="940"/>
  </r>
  <r>
    <x v="0"/>
    <s v="conventional_refinance_cai_333"/>
    <x v="373"/>
    <n v="0.66648075699999998"/>
    <n v="1"/>
    <n v="-40"/>
    <n v="940"/>
  </r>
  <r>
    <x v="0"/>
    <s v="conventional_refinance_cai_334"/>
    <x v="374"/>
    <n v="0.67129394399999998"/>
    <n v="1"/>
    <n v="-40"/>
    <n v="940"/>
  </r>
  <r>
    <x v="0"/>
    <s v="conventional_refinance_cai_335"/>
    <x v="375"/>
    <n v="0.676205375"/>
    <n v="1"/>
    <n v="-40"/>
    <n v="940"/>
  </r>
  <r>
    <x v="0"/>
    <s v="conventional_refinance_cai_336"/>
    <x v="376"/>
    <n v="0.68121241600000004"/>
    <n v="1"/>
    <n v="-40"/>
    <n v="940"/>
  </r>
  <r>
    <x v="0"/>
    <s v="conventional_refinance_cai_337"/>
    <x v="377"/>
    <n v="0.686312433"/>
    <n v="1"/>
    <n v="-40"/>
    <n v="940"/>
  </r>
  <r>
    <x v="0"/>
    <s v="conventional_refinance_cai_338"/>
    <x v="378"/>
    <n v="0.69150279199999998"/>
    <n v="1"/>
    <n v="-40"/>
    <n v="940"/>
  </r>
  <r>
    <x v="0"/>
    <s v="conventional_refinance_cai_339"/>
    <x v="379"/>
    <n v="0.69678085899999997"/>
    <n v="1"/>
    <n v="-40"/>
    <n v="940"/>
  </r>
  <r>
    <x v="0"/>
    <s v="conventional_refinance_cai_340"/>
    <x v="380"/>
    <n v="0.70214399999999999"/>
    <n v="1"/>
    <n v="-40"/>
    <n v="940"/>
  </r>
  <r>
    <x v="0"/>
    <s v="conventional_refinance_cai_341"/>
    <x v="381"/>
    <n v="0.70758958100000002"/>
    <n v="1"/>
    <n v="-40"/>
    <n v="940"/>
  </r>
  <r>
    <x v="0"/>
    <s v="conventional_refinance_cai_342"/>
    <x v="382"/>
    <n v="0.71311496799999996"/>
    <n v="1"/>
    <n v="-40"/>
    <n v="940"/>
  </r>
  <r>
    <x v="0"/>
    <s v="conventional_refinance_cai_343"/>
    <x v="383"/>
    <n v="0.71871752700000002"/>
    <n v="1"/>
    <n v="-40"/>
    <n v="940"/>
  </r>
  <r>
    <x v="0"/>
    <s v="conventional_refinance_cai_344"/>
    <x v="384"/>
    <n v="0.72439462399999999"/>
    <n v="1"/>
    <n v="-40"/>
    <n v="940"/>
  </r>
  <r>
    <x v="0"/>
    <s v="conventional_refinance_cai_345"/>
    <x v="385"/>
    <n v="0.73014362499999996"/>
    <n v="1"/>
    <n v="-40"/>
    <n v="940"/>
  </r>
  <r>
    <x v="0"/>
    <s v="conventional_refinance_cai_346"/>
    <x v="386"/>
    <n v="0.73596189599999995"/>
    <n v="1"/>
    <n v="-40"/>
    <n v="940"/>
  </r>
  <r>
    <x v="0"/>
    <s v="conventional_refinance_cai_347"/>
    <x v="387"/>
    <n v="0.74184680300000005"/>
    <n v="1"/>
    <n v="-40"/>
    <n v="940"/>
  </r>
  <r>
    <x v="0"/>
    <s v="conventional_refinance_cai_348"/>
    <x v="388"/>
    <n v="0.74779571199999995"/>
    <n v="1"/>
    <n v="-40"/>
    <n v="940"/>
  </r>
  <r>
    <x v="0"/>
    <s v="conventional_refinance_cai_349"/>
    <x v="389"/>
    <n v="0.75380598899999995"/>
    <n v="1"/>
    <n v="-40"/>
    <n v="940"/>
  </r>
  <r>
    <x v="0"/>
    <s v="conventional_refinance_cai_350"/>
    <x v="390"/>
    <n v="0.75987499999999997"/>
    <n v="1"/>
    <n v="-40"/>
    <n v="940"/>
  </r>
  <r>
    <x v="0"/>
    <s v="conventional_refinance_cai_351"/>
    <x v="391"/>
    <n v="0.76600011099999998"/>
    <n v="1"/>
    <n v="-40"/>
    <n v="940"/>
  </r>
  <r>
    <x v="0"/>
    <s v="conventional_refinance_cai_352"/>
    <x v="392"/>
    <n v="0.772178688"/>
    <n v="1"/>
    <n v="-40"/>
    <n v="940"/>
  </r>
  <r>
    <x v="0"/>
    <s v="conventional_refinance_cai_353"/>
    <x v="393"/>
    <n v="0.77840809700000002"/>
    <n v="1"/>
    <n v="-40"/>
    <n v="940"/>
  </r>
  <r>
    <x v="0"/>
    <s v="conventional_refinance_cai_354"/>
    <x v="394"/>
    <n v="0.78468570400000004"/>
    <n v="1"/>
    <n v="-40"/>
    <n v="940"/>
  </r>
  <r>
    <x v="0"/>
    <s v="conventional_refinance_cai_355"/>
    <x v="395"/>
    <n v="0.79100887499999994"/>
    <n v="1"/>
    <n v="-40"/>
    <n v="940"/>
  </r>
  <r>
    <x v="0"/>
    <s v="conventional_refinance_cai_356"/>
    <x v="396"/>
    <n v="0.79737497599999996"/>
    <n v="1"/>
    <n v="-40"/>
    <n v="940"/>
  </r>
  <r>
    <x v="0"/>
    <s v="conventional_refinance_cai_357"/>
    <x v="397"/>
    <n v="0.80378137299999997"/>
    <n v="1"/>
    <n v="-40"/>
    <n v="940"/>
  </r>
  <r>
    <x v="0"/>
    <s v="conventional_refinance_cai_358"/>
    <x v="398"/>
    <n v="0.81022543199999997"/>
    <n v="1"/>
    <n v="-40"/>
    <n v="940"/>
  </r>
  <r>
    <x v="0"/>
    <s v="conventional_refinance_cai_359"/>
    <x v="399"/>
    <n v="0.81670451899999996"/>
    <n v="1"/>
    <n v="-40"/>
    <n v="940"/>
  </r>
  <r>
    <x v="0"/>
    <s v="conventional_refinance_cai_360"/>
    <x v="400"/>
    <n v="0.82321599999999995"/>
    <n v="1"/>
    <n v="-40"/>
    <n v="940"/>
  </r>
  <r>
    <x v="0"/>
    <s v="conventional_refinance_cai_361"/>
    <x v="401"/>
    <n v="0.82975724100000003"/>
    <n v="1"/>
    <n v="-40"/>
    <n v="940"/>
  </r>
  <r>
    <x v="0"/>
    <s v="conventional_refinance_cai_362"/>
    <x v="402"/>
    <n v="0.836325608"/>
    <n v="1"/>
    <n v="-40"/>
    <n v="940"/>
  </r>
  <r>
    <x v="0"/>
    <s v="conventional_refinance_cai_363"/>
    <x v="403"/>
    <n v="0.84291846699999995"/>
    <n v="1"/>
    <n v="-40"/>
    <n v="940"/>
  </r>
  <r>
    <x v="0"/>
    <s v="conventional_refinance_cai_364"/>
    <x v="404"/>
    <n v="0.849533184"/>
    <n v="1"/>
    <n v="-40"/>
    <n v="940"/>
  </r>
  <r>
    <x v="0"/>
    <s v="conventional_refinance_cai_365"/>
    <x v="405"/>
    <n v="0.85616712500000003"/>
    <n v="1"/>
    <n v="-40"/>
    <n v="940"/>
  </r>
  <r>
    <x v="0"/>
    <s v="conventional_refinance_cai_366"/>
    <x v="406"/>
    <n v="0.86281765600000004"/>
    <n v="1"/>
    <n v="-40"/>
    <n v="940"/>
  </r>
  <r>
    <x v="0"/>
    <s v="conventional_refinance_cai_367"/>
    <x v="407"/>
    <n v="0.86948214300000004"/>
    <n v="1"/>
    <n v="-40"/>
    <n v="940"/>
  </r>
  <r>
    <x v="0"/>
    <s v="conventional_refinance_cai_368"/>
    <x v="408"/>
    <n v="0.87615795200000002"/>
    <n v="1"/>
    <n v="-40"/>
    <n v="940"/>
  </r>
  <r>
    <x v="0"/>
    <s v="conventional_refinance_cai_369"/>
    <x v="409"/>
    <n v="0.88284244899999997"/>
    <n v="1"/>
    <n v="-40"/>
    <n v="940"/>
  </r>
  <r>
    <x v="0"/>
    <s v="conventional_refinance_cai_370"/>
    <x v="410"/>
    <n v="0.88953300000000002"/>
    <n v="1"/>
    <n v="-40"/>
    <n v="940"/>
  </r>
  <r>
    <x v="0"/>
    <s v="conventional_refinance_cai_371"/>
    <x v="411"/>
    <n v="0.89622697100000004"/>
    <n v="1"/>
    <n v="-40"/>
    <n v="940"/>
  </r>
  <r>
    <x v="0"/>
    <s v="conventional_refinance_cai_372"/>
    <x v="412"/>
    <n v="0.90292172800000003"/>
    <n v="1"/>
    <n v="-40"/>
    <n v="940"/>
  </r>
  <r>
    <x v="0"/>
    <s v="conventional_refinance_cai_373"/>
    <x v="413"/>
    <n v="0.909614637"/>
    <n v="1"/>
    <n v="-40"/>
    <n v="940"/>
  </r>
  <r>
    <x v="0"/>
    <s v="conventional_refinance_cai_374"/>
    <x v="414"/>
    <n v="0.91630306399999994"/>
    <n v="1"/>
    <n v="-40"/>
    <n v="940"/>
  </r>
  <r>
    <x v="0"/>
    <s v="conventional_refinance_cai_375"/>
    <x v="415"/>
    <n v="0.92298437499999997"/>
    <n v="1"/>
    <n v="-40"/>
    <n v="940"/>
  </r>
  <r>
    <x v="0"/>
    <s v="conventional_refinance_cai_376"/>
    <x v="416"/>
    <n v="0.92965593599999996"/>
    <n v="1"/>
    <n v="-40"/>
    <n v="940"/>
  </r>
  <r>
    <x v="0"/>
    <s v="conventional_refinance_cai_377"/>
    <x v="417"/>
    <n v="0.93631511300000003"/>
    <n v="1"/>
    <n v="-40"/>
    <n v="940"/>
  </r>
  <r>
    <x v="0"/>
    <s v="conventional_refinance_cai_378"/>
    <x v="418"/>
    <n v="0.94295927199999996"/>
    <n v="1"/>
    <n v="-40"/>
    <n v="940"/>
  </r>
  <r>
    <x v="0"/>
    <s v="conventional_refinance_cai_379"/>
    <x v="419"/>
    <n v="0.94958577899999996"/>
    <n v="1"/>
    <n v="-40"/>
    <n v="940"/>
  </r>
  <r>
    <x v="0"/>
    <s v="conventional_refinance_cai_380"/>
    <x v="420"/>
    <n v="0.95619200000000004"/>
    <n v="1"/>
    <n v="-40"/>
    <n v="940"/>
  </r>
  <r>
    <x v="0"/>
    <s v="conventional_refinance_cai_381"/>
    <x v="421"/>
    <n v="0.96277530099999997"/>
    <n v="1"/>
    <n v="-40"/>
    <n v="940"/>
  </r>
  <r>
    <x v="0"/>
    <s v="conventional_refinance_cai_382"/>
    <x v="422"/>
    <n v="0.96933304799999997"/>
    <n v="1"/>
    <n v="-40"/>
    <n v="940"/>
  </r>
  <r>
    <x v="0"/>
    <s v="conventional_refinance_cai_383"/>
    <x v="423"/>
    <n v="0.97586260700000005"/>
    <n v="1"/>
    <n v="-40"/>
    <n v="940"/>
  </r>
  <r>
    <x v="0"/>
    <s v="conventional_refinance_cai_384"/>
    <x v="424"/>
    <n v="0.98236134399999997"/>
    <n v="1"/>
    <n v="-40"/>
    <n v="940"/>
  </r>
  <r>
    <x v="0"/>
    <s v="conventional_refinance_cai_385"/>
    <x v="425"/>
    <n v="0.98882662499999996"/>
    <n v="1"/>
    <n v="-40"/>
    <n v="940"/>
  </r>
  <r>
    <x v="0"/>
    <s v="conventional_refinance_cai_386"/>
    <x v="426"/>
    <n v="0.99525581600000002"/>
    <n v="1"/>
    <n v="-40"/>
    <n v="940"/>
  </r>
  <r>
    <x v="0"/>
    <s v="conventional_refinance_cai_387"/>
    <x v="427"/>
    <n v="1.0016462829999999"/>
    <n v="1"/>
    <n v="-40"/>
    <n v="940"/>
  </r>
  <r>
    <x v="0"/>
    <s v="conventional_refinance_cai_388"/>
    <x v="428"/>
    <n v="1.007995392"/>
    <n v="1"/>
    <n v="-40"/>
    <n v="940"/>
  </r>
  <r>
    <x v="0"/>
    <s v="conventional_refinance_cai_389"/>
    <x v="429"/>
    <n v="1.0143005089999999"/>
    <n v="1"/>
    <n v="-40"/>
    <n v="940"/>
  </r>
  <r>
    <x v="0"/>
    <s v="conventional_refinance_cai_390"/>
    <x v="430"/>
    <n v="1.020559"/>
    <n v="1"/>
    <n v="-40"/>
    <n v="940"/>
  </r>
  <r>
    <x v="0"/>
    <s v="conventional_refinance_cai_391"/>
    <x v="431"/>
    <n v="1.0267682309999999"/>
    <n v="1"/>
    <n v="-40"/>
    <n v="940"/>
  </r>
  <r>
    <x v="0"/>
    <s v="conventional_refinance_cai_392"/>
    <x v="432"/>
    <n v="1.032925568"/>
    <n v="1"/>
    <n v="-40"/>
    <n v="940"/>
  </r>
  <r>
    <x v="0"/>
    <s v="conventional_refinance_cai_393"/>
    <x v="433"/>
    <n v="1.0390283769999999"/>
    <n v="1"/>
    <n v="-40"/>
    <n v="940"/>
  </r>
  <r>
    <x v="0"/>
    <s v="conventional_refinance_cai_394"/>
    <x v="434"/>
    <n v="1.045074024"/>
    <n v="1"/>
    <n v="-40"/>
    <n v="940"/>
  </r>
  <r>
    <x v="0"/>
    <s v="conventional_refinance_cai_395"/>
    <x v="435"/>
    <n v="1.051059875"/>
    <n v="1"/>
    <n v="-40"/>
    <n v="940"/>
  </r>
  <r>
    <x v="0"/>
    <s v="conventional_refinance_cai_396"/>
    <x v="436"/>
    <n v="1.0569832960000001"/>
    <n v="1"/>
    <n v="-40"/>
    <n v="940"/>
  </r>
  <r>
    <x v="0"/>
    <s v="conventional_refinance_cai_397"/>
    <x v="437"/>
    <n v="1.062841653"/>
    <n v="1"/>
    <n v="-40"/>
    <n v="940"/>
  </r>
  <r>
    <x v="0"/>
    <s v="conventional_refinance_cai_398"/>
    <x v="438"/>
    <n v="1.0686323120000001"/>
    <n v="1"/>
    <n v="-40"/>
    <n v="940"/>
  </r>
  <r>
    <x v="0"/>
    <s v="conventional_refinance_cai_399"/>
    <x v="439"/>
    <n v="1.074352639"/>
    <n v="1"/>
    <n v="-40"/>
    <n v="940"/>
  </r>
  <r>
    <x v="0"/>
    <s v="conventional_refinance_cai_400"/>
    <x v="440"/>
    <n v="1.08"/>
    <n v="1"/>
    <n v="-40"/>
    <n v="940"/>
  </r>
  <r>
    <x v="0"/>
    <s v="conventional_refinance_cai_401"/>
    <x v="441"/>
    <n v="1.0856777804845701"/>
    <n v="1"/>
    <n v="-40"/>
    <n v="940"/>
  </r>
  <r>
    <x v="0"/>
    <s v="conventional_refinance_cai_402"/>
    <x v="442"/>
    <n v="1.0914886297974999"/>
    <n v="1"/>
    <n v="-40"/>
    <n v="940"/>
  </r>
  <r>
    <x v="0"/>
    <s v="conventional_refinance_cai_403"/>
    <x v="443"/>
    <n v="1.0974288097275899"/>
    <n v="1"/>
    <n v="-40"/>
    <n v="940"/>
  </r>
  <r>
    <x v="0"/>
    <s v="conventional_refinance_cai_404"/>
    <x v="444"/>
    <n v="1.1034945820636699"/>
    <n v="1"/>
    <n v="-40"/>
    <n v="940"/>
  </r>
  <r>
    <x v="0"/>
    <s v="conventional_refinance_cai_405"/>
    <x v="445"/>
    <n v="1.1096822085945399"/>
    <n v="1"/>
    <n v="-40"/>
    <n v="940"/>
  </r>
  <r>
    <x v="0"/>
    <s v="conventional_refinance_cai_406"/>
    <x v="446"/>
    <n v="1.1159879511090101"/>
    <n v="1"/>
    <n v="-40"/>
    <n v="940"/>
  </r>
  <r>
    <x v="0"/>
    <s v="conventional_refinance_cai_407"/>
    <x v="447"/>
    <n v="1.1224080713959199"/>
    <n v="1"/>
    <n v="-40"/>
    <n v="940"/>
  </r>
  <r>
    <x v="0"/>
    <s v="conventional_refinance_cai_408"/>
    <x v="448"/>
    <n v="1.12893883124405"/>
    <n v="1"/>
    <n v="-40"/>
    <n v="940"/>
  </r>
  <r>
    <x v="0"/>
    <s v="conventional_refinance_cai_409"/>
    <x v="449"/>
    <n v="1.13557649244224"/>
    <n v="1"/>
    <n v="-40"/>
    <n v="940"/>
  </r>
  <r>
    <x v="0"/>
    <s v="conventional_refinance_cai_410"/>
    <x v="450"/>
    <n v="1.1423173167792899"/>
    <n v="1"/>
    <n v="-40"/>
    <n v="940"/>
  </r>
  <r>
    <x v="0"/>
    <s v="conventional_refinance_cai_411"/>
    <x v="451"/>
    <n v="1.1491575660440201"/>
    <n v="1"/>
    <n v="-40"/>
    <n v="940"/>
  </r>
  <r>
    <x v="0"/>
    <s v="conventional_refinance_cai_412"/>
    <x v="452"/>
    <n v="1.1560935020252401"/>
    <n v="1"/>
    <n v="-40"/>
    <n v="940"/>
  </r>
  <r>
    <x v="0"/>
    <s v="conventional_refinance_cai_413"/>
    <x v="453"/>
    <n v="1.16312138651177"/>
    <n v="1"/>
    <n v="-40"/>
    <n v="940"/>
  </r>
  <r>
    <x v="0"/>
    <s v="conventional_refinance_cai_414"/>
    <x v="454"/>
    <n v="1.1702374812924199"/>
    <n v="1"/>
    <n v="-40"/>
    <n v="940"/>
  </r>
  <r>
    <x v="0"/>
    <s v="conventional_refinance_cai_415"/>
    <x v="455"/>
    <n v="1.1774380481560001"/>
    <n v="1"/>
    <n v="-40"/>
    <n v="940"/>
  </r>
  <r>
    <x v="0"/>
    <s v="conventional_refinance_cai_416"/>
    <x v="456"/>
    <n v="1.1847193488913199"/>
    <n v="1"/>
    <n v="-40"/>
    <n v="940"/>
  </r>
  <r>
    <x v="0"/>
    <s v="conventional_refinance_cai_417"/>
    <x v="457"/>
    <n v="1.1920776452872099"/>
    <n v="1"/>
    <n v="-40"/>
    <n v="940"/>
  </r>
  <r>
    <x v="0"/>
    <s v="conventional_refinance_cai_418"/>
    <x v="458"/>
    <n v="1.19950919913247"/>
    <n v="1"/>
    <n v="-40"/>
    <n v="940"/>
  </r>
  <r>
    <x v="0"/>
    <s v="conventional_refinance_cai_419"/>
    <x v="459"/>
    <n v="1.2070102722159199"/>
    <n v="1"/>
    <n v="-40"/>
    <n v="940"/>
  </r>
  <r>
    <x v="0"/>
    <s v="conventional_refinance_cai_420"/>
    <x v="460"/>
    <n v="1.21457712632637"/>
    <n v="1"/>
    <n v="-40"/>
    <n v="940"/>
  </r>
  <r>
    <x v="0"/>
    <s v="conventional_refinance_cai_421"/>
    <x v="461"/>
    <n v="1.2222060232526399"/>
    <n v="1"/>
    <n v="-40"/>
    <n v="940"/>
  </r>
  <r>
    <x v="0"/>
    <s v="conventional_refinance_cai_422"/>
    <x v="462"/>
    <n v="1.2298932247835399"/>
    <n v="1"/>
    <n v="-40"/>
    <n v="940"/>
  </r>
  <r>
    <x v="0"/>
    <s v="conventional_refinance_cai_423"/>
    <x v="463"/>
    <n v="1.23763499270788"/>
    <n v="1"/>
    <n v="-40"/>
    <n v="940"/>
  </r>
  <r>
    <x v="0"/>
    <s v="conventional_refinance_cai_424"/>
    <x v="464"/>
    <n v="1.2454275888144799"/>
    <n v="1"/>
    <n v="-40"/>
    <n v="940"/>
  </r>
  <r>
    <x v="0"/>
    <s v="conventional_refinance_cai_425"/>
    <x v="465"/>
    <n v="1.2532672748921501"/>
    <n v="1"/>
    <n v="-40"/>
    <n v="940"/>
  </r>
  <r>
    <x v="0"/>
    <s v="conventional_refinance_cai_426"/>
    <x v="466"/>
    <n v="1.2611503127296999"/>
    <n v="1"/>
    <n v="-40"/>
    <n v="940"/>
  </r>
  <r>
    <x v="0"/>
    <s v="conventional_refinance_cai_427"/>
    <x v="467"/>
    <n v="1.2690729641159599"/>
    <n v="1"/>
    <n v="-40"/>
    <n v="940"/>
  </r>
  <r>
    <x v="0"/>
    <s v="conventional_refinance_cai_428"/>
    <x v="468"/>
    <n v="1.27703149083972"/>
    <n v="1"/>
    <n v="-40"/>
    <n v="940"/>
  </r>
  <r>
    <x v="0"/>
    <s v="conventional_refinance_cai_429"/>
    <x v="469"/>
    <n v="1.28502215468982"/>
    <n v="1"/>
    <n v="-40"/>
    <n v="940"/>
  </r>
  <r>
    <x v="0"/>
    <s v="conventional_refinance_cai_430"/>
    <x v="470"/>
    <n v="1.2930412174550501"/>
    <n v="1"/>
    <n v="-40"/>
    <n v="940"/>
  </r>
  <r>
    <x v="0"/>
    <s v="conventional_refinance_cai_431"/>
    <x v="471"/>
    <n v="1.30108494092423"/>
    <n v="1"/>
    <n v="-40"/>
    <n v="940"/>
  </r>
  <r>
    <x v="0"/>
    <s v="conventional_refinance_cai_432"/>
    <x v="472"/>
    <n v="1.30914958688619"/>
    <n v="1"/>
    <n v="-40"/>
    <n v="940"/>
  </r>
  <r>
    <x v="0"/>
    <s v="conventional_refinance_cai_433"/>
    <x v="473"/>
    <n v="1.3172314171297299"/>
    <n v="1"/>
    <n v="-40"/>
    <n v="940"/>
  </r>
  <r>
    <x v="0"/>
    <s v="conventional_refinance_cai_434"/>
    <x v="474"/>
    <n v="1.3253266934436601"/>
    <n v="1"/>
    <n v="-40"/>
    <n v="940"/>
  </r>
  <r>
    <x v="0"/>
    <s v="conventional_refinance_cai_435"/>
    <x v="475"/>
    <n v="1.3334316776168"/>
    <n v="1"/>
    <n v="-40"/>
    <n v="940"/>
  </r>
  <r>
    <x v="0"/>
    <s v="conventional_refinance_cai_436"/>
    <x v="476"/>
    <n v="1.3415426314379599"/>
    <n v="1"/>
    <n v="-40"/>
    <n v="940"/>
  </r>
  <r>
    <x v="0"/>
    <s v="conventional_refinance_cai_437"/>
    <x v="477"/>
    <n v="1.34965581669596"/>
    <n v="1"/>
    <n v="-40"/>
    <n v="940"/>
  </r>
  <r>
    <x v="0"/>
    <s v="conventional_refinance_cai_438"/>
    <x v="478"/>
    <n v="1.3577674951796099"/>
    <n v="1"/>
    <n v="-40"/>
    <n v="940"/>
  </r>
  <r>
    <x v="0"/>
    <s v="conventional_refinance_cai_439"/>
    <x v="479"/>
    <n v="1.3658739286777299"/>
    <n v="1"/>
    <n v="-40"/>
    <n v="940"/>
  </r>
  <r>
    <x v="0"/>
    <s v="conventional_refinance_cai_440"/>
    <x v="480"/>
    <n v="1.3739713789791199"/>
    <n v="1"/>
    <n v="-40"/>
    <n v="940"/>
  </r>
  <r>
    <x v="0"/>
    <s v="conventional_refinance_cai_441"/>
    <x v="481"/>
    <n v="1.3820561078726099"/>
    <n v="1"/>
    <n v="-40"/>
    <n v="940"/>
  </r>
  <r>
    <x v="0"/>
    <s v="conventional_refinance_cai_442"/>
    <x v="482"/>
    <n v="1.390124377147"/>
    <n v="1"/>
    <n v="-40"/>
    <n v="940"/>
  </r>
  <r>
    <x v="0"/>
    <s v="conventional_refinance_cai_443"/>
    <x v="483"/>
    <n v="1.39817244859111"/>
    <n v="1"/>
    <n v="-40"/>
    <n v="940"/>
  </r>
  <r>
    <x v="0"/>
    <s v="conventional_refinance_cai_444"/>
    <x v="484"/>
    <n v="1.40619658399375"/>
    <n v="1"/>
    <n v="-40"/>
    <n v="940"/>
  </r>
  <r>
    <x v="0"/>
    <s v="conventional_refinance_cai_445"/>
    <x v="485"/>
    <n v="1.4141930451437501"/>
    <n v="1"/>
    <n v="-40"/>
    <n v="940"/>
  </r>
  <r>
    <x v="0"/>
    <s v="conventional_refinance_cai_446"/>
    <x v="486"/>
    <n v="1.4221580938299001"/>
    <n v="1"/>
    <n v="-40"/>
    <n v="940"/>
  </r>
  <r>
    <x v="0"/>
    <s v="conventional_refinance_cai_447"/>
    <x v="487"/>
    <n v="1.4300879918410301"/>
    <n v="1"/>
    <n v="-40"/>
    <n v="940"/>
  </r>
  <r>
    <x v="0"/>
    <s v="conventional_refinance_cai_448"/>
    <x v="488"/>
    <n v="1.4379790009659399"/>
    <n v="1"/>
    <n v="-40"/>
    <n v="940"/>
  </r>
  <r>
    <x v="0"/>
    <s v="conventional_refinance_cai_449"/>
    <x v="489"/>
    <n v="1.44582738299346"/>
    <n v="1"/>
    <n v="-40"/>
    <n v="940"/>
  </r>
  <r>
    <x v="0"/>
    <s v="conventional_refinance_cai_450"/>
    <x v="490"/>
    <n v="1.4536293997123999"/>
    <n v="1"/>
    <n v="-40"/>
    <n v="940"/>
  </r>
  <r>
    <x v="0"/>
    <s v="conventional_refinance_cai_451"/>
    <x v="491"/>
    <n v="1.46138131291156"/>
    <n v="1"/>
    <n v="-40"/>
    <n v="940"/>
  </r>
  <r>
    <x v="0"/>
    <s v="conventional_refinance_cai_452"/>
    <x v="492"/>
    <n v="1.46907938437977"/>
    <n v="1"/>
    <n v="-40"/>
    <n v="940"/>
  </r>
  <r>
    <x v="0"/>
    <s v="conventional_refinance_cai_453"/>
    <x v="493"/>
    <n v="1.47671987590584"/>
    <n v="1"/>
    <n v="-40"/>
    <n v="940"/>
  </r>
  <r>
    <x v="0"/>
    <s v="conventional_refinance_cai_454"/>
    <x v="494"/>
    <n v="1.4842990492785799"/>
    <n v="1"/>
    <n v="-40"/>
    <n v="940"/>
  </r>
  <r>
    <x v="0"/>
    <s v="conventional_refinance_cai_455"/>
    <x v="495"/>
    <n v="1.4918131662867999"/>
    <n v="1"/>
    <n v="-40"/>
    <n v="940"/>
  </r>
  <r>
    <x v="0"/>
    <s v="conventional_refinance_cai_456"/>
    <x v="496"/>
    <n v="1.4992584887193201"/>
    <n v="1"/>
    <n v="-40"/>
    <n v="940"/>
  </r>
  <r>
    <x v="0"/>
    <s v="conventional_refinance_cai_457"/>
    <x v="497"/>
    <n v="1.50663127836496"/>
    <n v="1"/>
    <n v="-40"/>
    <n v="940"/>
  </r>
  <r>
    <x v="0"/>
    <s v="conventional_refinance_cai_458"/>
    <x v="498"/>
    <n v="1.51392779701252"/>
    <n v="1"/>
    <n v="-40"/>
    <n v="940"/>
  </r>
  <r>
    <x v="0"/>
    <s v="conventional_refinance_cai_459"/>
    <x v="499"/>
    <n v="1.5211443064508201"/>
    <n v="1"/>
    <n v="-40"/>
    <n v="940"/>
  </r>
  <r>
    <x v="0"/>
    <s v="conventional_refinance_cai_460"/>
    <x v="500"/>
    <n v="1.5282770684686799"/>
    <n v="1"/>
    <n v="-40"/>
    <n v="940"/>
  </r>
  <r>
    <x v="0"/>
    <s v="conventional_refinance_cai_461"/>
    <x v="501"/>
    <n v="1.53532234485491"/>
    <n v="1"/>
    <n v="-40"/>
    <n v="940"/>
  </r>
  <r>
    <x v="0"/>
    <s v="conventional_refinance_cai_462"/>
    <x v="502"/>
    <n v="1.54227639739831"/>
    <n v="1"/>
    <n v="-40"/>
    <n v="940"/>
  </r>
  <r>
    <x v="0"/>
    <s v="conventional_refinance_cai_463"/>
    <x v="503"/>
    <n v="1.5491354878877199"/>
    <n v="1"/>
    <n v="-40"/>
    <n v="940"/>
  </r>
  <r>
    <x v="0"/>
    <s v="conventional_refinance_cai_464"/>
    <x v="504"/>
    <n v="1.5558958781119301"/>
    <n v="1"/>
    <n v="-40"/>
    <n v="940"/>
  </r>
  <r>
    <x v="0"/>
    <s v="conventional_refinance_cai_465"/>
    <x v="505"/>
    <n v="1.5625538298597701"/>
    <n v="1"/>
    <n v="-40"/>
    <n v="940"/>
  </r>
  <r>
    <x v="0"/>
    <s v="conventional_refinance_cai_466"/>
    <x v="506"/>
    <n v="1.56910560492004"/>
    <n v="1"/>
    <n v="-40"/>
    <n v="940"/>
  </r>
  <r>
    <x v="0"/>
    <s v="conventional_refinance_cai_467"/>
    <x v="507"/>
    <n v="1.57554746508156"/>
    <n v="1"/>
    <n v="-40"/>
    <n v="940"/>
  </r>
  <r>
    <x v="0"/>
    <s v="conventional_refinance_cai_468"/>
    <x v="508"/>
    <n v="1.5818756721331499"/>
    <n v="1"/>
    <n v="-40"/>
    <n v="940"/>
  </r>
  <r>
    <x v="0"/>
    <s v="conventional_refinance_cai_469"/>
    <x v="509"/>
    <n v="1.5880864878636201"/>
    <n v="1"/>
    <n v="-40"/>
    <n v="940"/>
  </r>
  <r>
    <x v="0"/>
    <s v="conventional_refinance_cai_470"/>
    <x v="510"/>
    <n v="1.5941761740617799"/>
    <n v="1"/>
    <n v="-40"/>
    <n v="940"/>
  </r>
  <r>
    <x v="0"/>
    <s v="conventional_refinance_cai_471"/>
    <x v="511"/>
    <n v="1.60014099251645"/>
    <n v="1"/>
    <n v="-40"/>
    <n v="940"/>
  </r>
  <r>
    <x v="0"/>
    <s v="conventional_refinance_cai_472"/>
    <x v="512"/>
    <n v="1.60597720501643"/>
    <n v="1"/>
    <n v="-40"/>
    <n v="940"/>
  </r>
  <r>
    <x v="0"/>
    <s v="conventional_refinance_cai_473"/>
    <x v="513"/>
    <n v="1.61168107335055"/>
    <n v="1"/>
    <n v="-40"/>
    <n v="940"/>
  </r>
  <r>
    <x v="0"/>
    <s v="conventional_refinance_cai_474"/>
    <x v="514"/>
    <n v="1.61724885930762"/>
    <n v="1"/>
    <n v="-40"/>
    <n v="940"/>
  </r>
  <r>
    <x v="0"/>
    <s v="conventional_refinance_cai_475"/>
    <x v="515"/>
    <n v="1.62267682467645"/>
    <n v="1"/>
    <n v="-40"/>
    <n v="940"/>
  </r>
  <r>
    <x v="0"/>
    <s v="conventional_refinance_cai_476"/>
    <x v="516"/>
    <n v="1.62796123124585"/>
    <n v="1"/>
    <n v="-40"/>
    <n v="940"/>
  </r>
  <r>
    <x v="0"/>
    <s v="conventional_refinance_cai_477"/>
    <x v="517"/>
    <n v="1.63309834080464"/>
    <n v="1"/>
    <n v="-40"/>
    <n v="940"/>
  </r>
  <r>
    <x v="0"/>
    <s v="conventional_refinance_cai_478"/>
    <x v="518"/>
    <n v="1.63808441514164"/>
    <n v="1"/>
    <n v="-40"/>
    <n v="940"/>
  </r>
  <r>
    <x v="0"/>
    <s v="conventional_refinance_cai_479"/>
    <x v="519"/>
    <n v="1.64291571604565"/>
    <n v="1"/>
    <n v="-40"/>
    <n v="940"/>
  </r>
  <r>
    <x v="0"/>
    <s v="conventional_refinance_cai_480"/>
    <x v="520"/>
    <n v="1.6475885053054999"/>
    <n v="1"/>
    <n v="-40"/>
    <n v="940"/>
  </r>
  <r>
    <x v="0"/>
    <s v="conventional_refinance_cai_481"/>
    <x v="521"/>
    <n v="1.6520990447099799"/>
    <n v="1"/>
    <n v="-40"/>
    <n v="940"/>
  </r>
  <r>
    <x v="0"/>
    <s v="conventional_refinance_cai_482"/>
    <x v="522"/>
    <n v="1.65644359604793"/>
    <n v="1"/>
    <n v="-40"/>
    <n v="940"/>
  </r>
  <r>
    <x v="0"/>
    <s v="conventional_refinance_cai_483"/>
    <x v="523"/>
    <n v="1.6606184211081401"/>
    <n v="1"/>
    <n v="-40"/>
    <n v="940"/>
  </r>
  <r>
    <x v="0"/>
    <s v="conventional_refinance_cai_484"/>
    <x v="524"/>
    <n v="1.6646197816794499"/>
    <n v="1"/>
    <n v="-40"/>
    <n v="940"/>
  </r>
  <r>
    <x v="0"/>
    <s v="conventional_refinance_cai_485"/>
    <x v="525"/>
    <n v="1.6684439395506501"/>
    <n v="1"/>
    <n v="-40"/>
    <n v="940"/>
  </r>
  <r>
    <x v="0"/>
    <s v="conventional_refinance_cai_486"/>
    <x v="526"/>
    <n v="1.6720871565105599"/>
    <n v="1"/>
    <n v="-40"/>
    <n v="940"/>
  </r>
  <r>
    <x v="0"/>
    <s v="conventional_refinance_cai_487"/>
    <x v="527"/>
    <n v="1.67554569434801"/>
    <n v="1"/>
    <n v="-40"/>
    <n v="940"/>
  </r>
  <r>
    <x v="0"/>
    <s v="conventional_refinance_cai_488"/>
    <x v="528"/>
    <n v="1.67881581485179"/>
    <n v="1"/>
    <n v="-40"/>
    <n v="940"/>
  </r>
  <r>
    <x v="0"/>
    <s v="conventional_refinance_cai_489"/>
    <x v="529"/>
    <n v="1.6818937798107301"/>
    <n v="1"/>
    <n v="-40"/>
    <n v="940"/>
  </r>
  <r>
    <x v="0"/>
    <s v="conventional_refinance_cai_490"/>
    <x v="530"/>
    <n v="1.6847758510136299"/>
    <n v="1"/>
    <n v="-40"/>
    <n v="940"/>
  </r>
  <r>
    <x v="0"/>
    <s v="conventional_refinance_cai_491"/>
    <x v="531"/>
    <n v="1.68745829024932"/>
    <n v="1"/>
    <n v="-40"/>
    <n v="940"/>
  </r>
  <r>
    <x v="0"/>
    <s v="conventional_refinance_cai_492"/>
    <x v="532"/>
    <n v="1.68993735930661"/>
    <n v="1"/>
    <n v="-40"/>
    <n v="940"/>
  </r>
  <r>
    <x v="0"/>
    <s v="conventional_refinance_cai_493"/>
    <x v="533"/>
    <n v="1.6922093199743"/>
    <n v="1"/>
    <n v="-40"/>
    <n v="940"/>
  </r>
  <r>
    <x v="0"/>
    <s v="conventional_refinance_cai_494"/>
    <x v="534"/>
    <n v="1.69427043404122"/>
    <n v="1"/>
    <n v="-40"/>
    <n v="940"/>
  </r>
  <r>
    <x v="0"/>
    <s v="conventional_refinance_cai_495"/>
    <x v="535"/>
    <n v="1.6961169632961799"/>
    <n v="1"/>
    <n v="-40"/>
    <n v="940"/>
  </r>
  <r>
    <x v="0"/>
    <s v="conventional_refinance_cai_496"/>
    <x v="536"/>
    <n v="1.6977451695279799"/>
    <n v="1"/>
    <n v="-40"/>
    <n v="940"/>
  </r>
  <r>
    <x v="0"/>
    <s v="conventional_refinance_cai_497"/>
    <x v="537"/>
    <n v="1.69915131452545"/>
    <n v="1"/>
    <n v="-40"/>
    <n v="940"/>
  </r>
  <r>
    <x v="0"/>
    <s v="conventional_refinance_cai_498"/>
    <x v="538"/>
    <n v="1.7003316600774101"/>
    <n v="1"/>
    <n v="-40"/>
    <n v="940"/>
  </r>
  <r>
    <x v="0"/>
    <s v="conventional_refinance_cai_499"/>
    <x v="539"/>
    <n v="1.7012824679726499"/>
    <n v="1"/>
    <n v="-40"/>
    <n v="940"/>
  </r>
  <r>
    <x v="0"/>
    <s v="conventional_refinance_cai_500"/>
    <x v="540"/>
    <n v="1.702"/>
    <n v="1"/>
    <n v="-40"/>
    <n v="940"/>
  </r>
  <r>
    <x v="0"/>
    <s v="conventional_refinance_cai_501"/>
    <x v="541"/>
    <n v="1.7025934715953599"/>
    <n v="1"/>
    <n v="-40"/>
    <n v="940"/>
  </r>
  <r>
    <x v="0"/>
    <s v="conventional_refinance_cai_502"/>
    <x v="542"/>
    <n v="1.7031746784141"/>
    <n v="1"/>
    <n v="-40"/>
    <n v="940"/>
  </r>
  <r>
    <x v="0"/>
    <s v="conventional_refinance_cai_503"/>
    <x v="543"/>
    <n v="1.70374375257424"/>
    <n v="1"/>
    <n v="-40"/>
    <n v="940"/>
  </r>
  <r>
    <x v="0"/>
    <s v="conventional_refinance_cai_504"/>
    <x v="544"/>
    <n v="1.7043008261938299"/>
    <n v="1"/>
    <n v="-40"/>
    <n v="940"/>
  </r>
  <r>
    <x v="0"/>
    <s v="conventional_refinance_cai_505"/>
    <x v="545"/>
    <n v="1.70484603139086"/>
    <n v="1"/>
    <n v="-40"/>
    <n v="940"/>
  </r>
  <r>
    <x v="0"/>
    <s v="conventional_refinance_cai_506"/>
    <x v="546"/>
    <n v="1.70537950028339"/>
    <n v="1"/>
    <n v="-40"/>
    <n v="940"/>
  </r>
  <r>
    <x v="0"/>
    <s v="conventional_refinance_cai_507"/>
    <x v="547"/>
    <n v="1.7059013649894199"/>
    <n v="1"/>
    <n v="-40"/>
    <n v="940"/>
  </r>
  <r>
    <x v="0"/>
    <s v="conventional_refinance_cai_508"/>
    <x v="548"/>
    <n v="1.7064117576269899"/>
    <n v="1"/>
    <n v="-40"/>
    <n v="940"/>
  </r>
  <r>
    <x v="0"/>
    <s v="conventional_refinance_cai_509"/>
    <x v="549"/>
    <n v="1.70691081031412"/>
    <n v="1"/>
    <n v="-40"/>
    <n v="940"/>
  </r>
  <r>
    <x v="0"/>
    <s v="conventional_refinance_cai_510"/>
    <x v="550"/>
    <n v="1.70739865516883"/>
    <n v="1"/>
    <n v="-40"/>
    <n v="940"/>
  </r>
  <r>
    <x v="0"/>
    <s v="conventional_refinance_cai_511"/>
    <x v="551"/>
    <n v="1.7078754243091601"/>
    <n v="1"/>
    <n v="-40"/>
    <n v="940"/>
  </r>
  <r>
    <x v="0"/>
    <s v="conventional_refinance_cai_512"/>
    <x v="552"/>
    <n v="1.7083412498531301"/>
    <n v="1"/>
    <n v="-40"/>
    <n v="940"/>
  </r>
  <r>
    <x v="0"/>
    <s v="conventional_refinance_cai_513"/>
    <x v="553"/>
    <n v="1.7087962639187499"/>
    <n v="1"/>
    <n v="-40"/>
    <n v="940"/>
  </r>
  <r>
    <x v="0"/>
    <s v="conventional_refinance_cai_514"/>
    <x v="554"/>
    <n v="1.70924059862407"/>
    <n v="1"/>
    <n v="-40"/>
    <n v="940"/>
  </r>
  <r>
    <x v="0"/>
    <s v="conventional_refinance_cai_515"/>
    <x v="555"/>
    <n v="1.7096743860871"/>
    <n v="1"/>
    <n v="-40"/>
    <n v="940"/>
  </r>
  <r>
    <x v="0"/>
    <s v="conventional_refinance_cai_516"/>
    <x v="556"/>
    <n v="1.7100977584258601"/>
    <n v="1"/>
    <n v="-40"/>
    <n v="940"/>
  </r>
  <r>
    <x v="0"/>
    <s v="conventional_refinance_cai_517"/>
    <x v="557"/>
    <n v="1.7105108477583999"/>
    <n v="1"/>
    <n v="-40"/>
    <n v="940"/>
  </r>
  <r>
    <x v="0"/>
    <s v="conventional_refinance_cai_518"/>
    <x v="558"/>
    <n v="1.7109137862027199"/>
    <n v="1"/>
    <n v="-40"/>
    <n v="940"/>
  </r>
  <r>
    <x v="0"/>
    <s v="conventional_refinance_cai_519"/>
    <x v="559"/>
    <n v="1.7113067058768601"/>
    <n v="1"/>
    <n v="-40"/>
    <n v="940"/>
  </r>
  <r>
    <x v="0"/>
    <s v="conventional_refinance_cai_520"/>
    <x v="560"/>
    <n v="1.7116897388988399"/>
    <n v="1"/>
    <n v="-40"/>
    <n v="940"/>
  </r>
  <r>
    <x v="0"/>
    <s v="conventional_refinance_cai_521"/>
    <x v="561"/>
    <n v="1.71206301738668"/>
    <n v="1"/>
    <n v="-40"/>
    <n v="940"/>
  </r>
  <r>
    <x v="0"/>
    <s v="conventional_refinance_cai_522"/>
    <x v="562"/>
    <n v="1.7124266734584199"/>
    <n v="1"/>
    <n v="-40"/>
    <n v="940"/>
  </r>
  <r>
    <x v="0"/>
    <s v="conventional_refinance_cai_523"/>
    <x v="563"/>
    <n v="1.71278083923207"/>
    <n v="1"/>
    <n v="-40"/>
    <n v="940"/>
  </r>
  <r>
    <x v="0"/>
    <s v="conventional_refinance_cai_524"/>
    <x v="564"/>
    <n v="1.7131256468256699"/>
    <n v="1"/>
    <n v="-40"/>
    <n v="940"/>
  </r>
  <r>
    <x v="0"/>
    <s v="conventional_refinance_cai_525"/>
    <x v="565"/>
    <n v="1.7134612283572399"/>
    <n v="1"/>
    <n v="-40"/>
    <n v="940"/>
  </r>
  <r>
    <x v="0"/>
    <s v="conventional_refinance_cai_526"/>
    <x v="566"/>
    <n v="1.7137877159448001"/>
    <n v="1"/>
    <n v="-40"/>
    <n v="940"/>
  </r>
  <r>
    <x v="0"/>
    <s v="conventional_refinance_cai_527"/>
    <x v="567"/>
    <n v="1.71410524170638"/>
    <n v="1"/>
    <n v="-40"/>
    <n v="940"/>
  </r>
  <r>
    <x v="0"/>
    <s v="conventional_refinance_cai_528"/>
    <x v="568"/>
    <n v="1.7144139377600101"/>
    <n v="1"/>
    <n v="-40"/>
    <n v="940"/>
  </r>
  <r>
    <x v="0"/>
    <s v="conventional_refinance_cai_529"/>
    <x v="569"/>
    <n v="1.7147139362237001"/>
    <n v="1"/>
    <n v="-40"/>
    <n v="940"/>
  </r>
  <r>
    <x v="0"/>
    <s v="conventional_refinance_cai_530"/>
    <x v="570"/>
    <n v="1.7150053692155001"/>
    <n v="1"/>
    <n v="-40"/>
    <n v="940"/>
  </r>
  <r>
    <x v="0"/>
    <s v="conventional_refinance_cai_531"/>
    <x v="571"/>
    <n v="1.71528836885341"/>
    <n v="1"/>
    <n v="-40"/>
    <n v="940"/>
  </r>
  <r>
    <x v="0"/>
    <s v="conventional_refinance_cai_532"/>
    <x v="572"/>
    <n v="1.71556306725547"/>
    <n v="1"/>
    <n v="-40"/>
    <n v="940"/>
  </r>
  <r>
    <x v="0"/>
    <s v="conventional_refinance_cai_533"/>
    <x v="573"/>
    <n v="1.7158295965396999"/>
    <n v="1"/>
    <n v="-40"/>
    <n v="940"/>
  </r>
  <r>
    <x v="0"/>
    <s v="conventional_refinance_cai_534"/>
    <x v="574"/>
    <n v="1.7160880888241401"/>
    <n v="1"/>
    <n v="-40"/>
    <n v="940"/>
  </r>
  <r>
    <x v="0"/>
    <s v="conventional_refinance_cai_535"/>
    <x v="575"/>
    <n v="1.71633867622679"/>
    <n v="1"/>
    <n v="-40"/>
    <n v="940"/>
  </r>
  <r>
    <x v="0"/>
    <s v="conventional_refinance_cai_536"/>
    <x v="576"/>
    <n v="1.71658149086569"/>
    <n v="1"/>
    <n v="-40"/>
    <n v="940"/>
  </r>
  <r>
    <x v="0"/>
    <s v="conventional_refinance_cai_537"/>
    <x v="577"/>
    <n v="1.7168166648588701"/>
    <n v="1"/>
    <n v="-40"/>
    <n v="940"/>
  </r>
  <r>
    <x v="0"/>
    <s v="conventional_refinance_cai_538"/>
    <x v="578"/>
    <n v="1.7170443303243501"/>
    <n v="1"/>
    <n v="-40"/>
    <n v="940"/>
  </r>
  <r>
    <x v="0"/>
    <s v="conventional_refinance_cai_539"/>
    <x v="579"/>
    <n v="1.71726461938016"/>
    <n v="1"/>
    <n v="-40"/>
    <n v="940"/>
  </r>
  <r>
    <x v="0"/>
    <s v="conventional_refinance_cai_540"/>
    <x v="580"/>
    <n v="1.7174776641443099"/>
    <n v="1"/>
    <n v="-40"/>
    <n v="940"/>
  </r>
  <r>
    <x v="0"/>
    <s v="conventional_refinance_cai_541"/>
    <x v="581"/>
    <n v="1.7176835967348401"/>
    <n v="1"/>
    <n v="-40"/>
    <n v="940"/>
  </r>
  <r>
    <x v="0"/>
    <s v="conventional_refinance_cai_542"/>
    <x v="582"/>
    <n v="1.71788254926977"/>
    <n v="1"/>
    <n v="-40"/>
    <n v="940"/>
  </r>
  <r>
    <x v="0"/>
    <s v="conventional_refinance_cai_543"/>
    <x v="583"/>
    <n v="1.7180746538671301"/>
    <n v="1"/>
    <n v="-40"/>
    <n v="940"/>
  </r>
  <r>
    <x v="0"/>
    <s v="conventional_refinance_cai_544"/>
    <x v="584"/>
    <n v="1.7182600426449499"/>
    <n v="1"/>
    <n v="-40"/>
    <n v="940"/>
  </r>
  <r>
    <x v="0"/>
    <s v="conventional_refinance_cai_545"/>
    <x v="585"/>
    <n v="1.71843884772124"/>
    <n v="1"/>
    <n v="-40"/>
    <n v="940"/>
  </r>
  <r>
    <x v="0"/>
    <s v="conventional_refinance_cai_546"/>
    <x v="586"/>
    <n v="1.71861120121404"/>
    <n v="1"/>
    <n v="-40"/>
    <n v="940"/>
  </r>
  <r>
    <x v="0"/>
    <s v="conventional_refinance_cai_547"/>
    <x v="587"/>
    <n v="1.7187772352413599"/>
    <n v="1"/>
    <n v="-40"/>
    <n v="940"/>
  </r>
  <r>
    <x v="0"/>
    <s v="conventional_refinance_cai_548"/>
    <x v="588"/>
    <n v="1.71893708192124"/>
    <n v="1"/>
    <n v="-40"/>
    <n v="940"/>
  </r>
  <r>
    <x v="0"/>
    <s v="conventional_refinance_cai_549"/>
    <x v="589"/>
    <n v="1.7190908733717001"/>
    <n v="1"/>
    <n v="-40"/>
    <n v="940"/>
  </r>
  <r>
    <x v="0"/>
    <s v="conventional_refinance_cai_550"/>
    <x v="590"/>
    <n v="1.71923874171077"/>
    <n v="1"/>
    <n v="-40"/>
    <n v="940"/>
  </r>
  <r>
    <x v="0"/>
    <s v="conventional_refinance_cai_551"/>
    <x v="591"/>
    <n v="1.7193808190564699"/>
    <n v="1"/>
    <n v="-40"/>
    <n v="940"/>
  </r>
  <r>
    <x v="0"/>
    <s v="conventional_refinance_cai_552"/>
    <x v="592"/>
    <n v="1.71951723752682"/>
    <n v="1"/>
    <n v="-40"/>
    <n v="940"/>
  </r>
  <r>
    <x v="0"/>
    <s v="conventional_refinance_cai_553"/>
    <x v="593"/>
    <n v="1.71964812923986"/>
    <n v="1"/>
    <n v="-40"/>
    <n v="940"/>
  </r>
  <r>
    <x v="0"/>
    <s v="conventional_refinance_cai_554"/>
    <x v="594"/>
    <n v="1.7197736263136001"/>
    <n v="1"/>
    <n v="-40"/>
    <n v="940"/>
  </r>
  <r>
    <x v="0"/>
    <s v="conventional_refinance_cai_555"/>
    <x v="595"/>
    <n v="1.7198938608660801"/>
    <n v="1"/>
    <n v="-40"/>
    <n v="940"/>
  </r>
  <r>
    <x v="0"/>
    <s v="conventional_refinance_cai_556"/>
    <x v="596"/>
    <n v="1.7200089650153201"/>
    <n v="1"/>
    <n v="-40"/>
    <n v="940"/>
  </r>
  <r>
    <x v="0"/>
    <s v="conventional_refinance_cai_557"/>
    <x v="597"/>
    <n v="1.7201190708793399"/>
    <n v="1"/>
    <n v="-40"/>
    <n v="940"/>
  </r>
  <r>
    <x v="0"/>
    <s v="conventional_refinance_cai_558"/>
    <x v="598"/>
    <n v="1.7202243105761701"/>
    <n v="1"/>
    <n v="-40"/>
    <n v="940"/>
  </r>
  <r>
    <x v="0"/>
    <s v="conventional_refinance_cai_559"/>
    <x v="599"/>
    <n v="1.72032481622384"/>
    <n v="1"/>
    <n v="-40"/>
    <n v="940"/>
  </r>
  <r>
    <x v="0"/>
    <s v="conventional_refinance_cai_560"/>
    <x v="600"/>
    <n v="1.72042071994037"/>
    <n v="1"/>
    <n v="-40"/>
    <n v="940"/>
  </r>
  <r>
    <x v="0"/>
    <s v="conventional_refinance_cai_561"/>
    <x v="601"/>
    <n v="1.72051215384378"/>
    <n v="1"/>
    <n v="-40"/>
    <n v="940"/>
  </r>
  <r>
    <x v="0"/>
    <s v="conventional_refinance_cai_562"/>
    <x v="602"/>
    <n v="1.7205992500521099"/>
    <n v="1"/>
    <n v="-40"/>
    <n v="940"/>
  </r>
  <r>
    <x v="0"/>
    <s v="conventional_refinance_cai_563"/>
    <x v="603"/>
    <n v="1.7206821406833701"/>
    <n v="1"/>
    <n v="-40"/>
    <n v="940"/>
  </r>
  <r>
    <x v="0"/>
    <s v="conventional_refinance_cai_564"/>
    <x v="604"/>
    <n v="1.72076095785559"/>
    <n v="1"/>
    <n v="-40"/>
    <n v="940"/>
  </r>
  <r>
    <x v="0"/>
    <s v="conventional_refinance_cai_565"/>
    <x v="605"/>
    <n v="1.7208358336868099"/>
    <n v="1"/>
    <n v="-40"/>
    <n v="940"/>
  </r>
  <r>
    <x v="0"/>
    <s v="conventional_refinance_cai_566"/>
    <x v="606"/>
    <n v="1.7209069002950399"/>
    <n v="1"/>
    <n v="-40"/>
    <n v="940"/>
  </r>
  <r>
    <x v="0"/>
    <s v="conventional_refinance_cai_567"/>
    <x v="607"/>
    <n v="1.7209742897983"/>
    <n v="1"/>
    <n v="-40"/>
    <n v="940"/>
  </r>
  <r>
    <x v="0"/>
    <s v="conventional_refinance_cai_568"/>
    <x v="608"/>
    <n v="1.7210381343146399"/>
    <n v="1"/>
    <n v="-40"/>
    <n v="940"/>
  </r>
  <r>
    <x v="0"/>
    <s v="conventional_refinance_cai_569"/>
    <x v="609"/>
    <n v="1.7210985659620599"/>
    <n v="1"/>
    <n v="-40"/>
    <n v="940"/>
  </r>
  <r>
    <x v="0"/>
    <s v="conventional_refinance_cai_570"/>
    <x v="610"/>
    <n v="1.7211557168586"/>
    <n v="1"/>
    <n v="-40"/>
    <n v="940"/>
  </r>
  <r>
    <x v="0"/>
    <s v="conventional_refinance_cai_571"/>
    <x v="611"/>
    <n v="1.7212097191222699"/>
    <n v="1"/>
    <n v="-40"/>
    <n v="940"/>
  </r>
  <r>
    <x v="0"/>
    <s v="conventional_refinance_cai_572"/>
    <x v="612"/>
    <n v="1.7212607048711199"/>
    <n v="1"/>
    <n v="-40"/>
    <n v="940"/>
  </r>
  <r>
    <x v="0"/>
    <s v="conventional_refinance_cai_573"/>
    <x v="613"/>
    <n v="1.7213088062231601"/>
    <n v="1"/>
    <n v="-40"/>
    <n v="940"/>
  </r>
  <r>
    <x v="0"/>
    <s v="conventional_refinance_cai_574"/>
    <x v="614"/>
    <n v="1.72135415529641"/>
    <n v="1"/>
    <n v="-40"/>
    <n v="940"/>
  </r>
  <r>
    <x v="0"/>
    <s v="conventional_refinance_cai_575"/>
    <x v="615"/>
    <n v="1.72139688420891"/>
    <n v="1"/>
    <n v="-40"/>
    <n v="940"/>
  </r>
  <r>
    <x v="0"/>
    <s v="conventional_refinance_cai_576"/>
    <x v="616"/>
    <n v="1.72143712507868"/>
    <n v="1"/>
    <n v="-40"/>
    <n v="940"/>
  </r>
  <r>
    <x v="0"/>
    <s v="conventional_refinance_cai_577"/>
    <x v="617"/>
    <n v="1.7214750100237399"/>
    <n v="1"/>
    <n v="-40"/>
    <n v="940"/>
  </r>
  <r>
    <x v="0"/>
    <s v="conventional_refinance_cai_578"/>
    <x v="618"/>
    <n v="1.72151067116212"/>
    <n v="1"/>
    <n v="-40"/>
    <n v="940"/>
  </r>
  <r>
    <x v="0"/>
    <s v="conventional_refinance_cai_579"/>
    <x v="619"/>
    <n v="1.72154424061185"/>
    <n v="1"/>
    <n v="-40"/>
    <n v="940"/>
  </r>
  <r>
    <x v="0"/>
    <s v="conventional_refinance_cai_580"/>
    <x v="620"/>
    <n v="1.72157585049095"/>
    <n v="1"/>
    <n v="-40"/>
    <n v="940"/>
  </r>
  <r>
    <x v="0"/>
    <s v="conventional_refinance_cai_581"/>
    <x v="621"/>
    <n v="1.7216056329174401"/>
    <n v="1"/>
    <n v="-40"/>
    <n v="940"/>
  </r>
  <r>
    <x v="0"/>
    <s v="conventional_refinance_cai_582"/>
    <x v="622"/>
    <n v="1.7216337200093601"/>
    <n v="1"/>
    <n v="-40"/>
    <n v="940"/>
  </r>
  <r>
    <x v="0"/>
    <s v="conventional_refinance_cai_583"/>
    <x v="623"/>
    <n v="1.7216602438847199"/>
    <n v="1"/>
    <n v="-40"/>
    <n v="940"/>
  </r>
  <r>
    <x v="0"/>
    <s v="conventional_refinance_cai_584"/>
    <x v="624"/>
    <n v="1.7216853366615501"/>
    <n v="1"/>
    <n v="-40"/>
    <n v="940"/>
  </r>
  <r>
    <x v="0"/>
    <s v="conventional_refinance_cai_585"/>
    <x v="625"/>
    <n v="1.72170913045789"/>
    <n v="1"/>
    <n v="-40"/>
    <n v="940"/>
  </r>
  <r>
    <x v="0"/>
    <s v="conventional_refinance_cai_586"/>
    <x v="626"/>
    <n v="1.7217317573917501"/>
    <n v="1"/>
    <n v="-40"/>
    <n v="940"/>
  </r>
  <r>
    <x v="0"/>
    <s v="conventional_refinance_cai_587"/>
    <x v="627"/>
    <n v="1.7217533495811499"/>
    <n v="1"/>
    <n v="-40"/>
    <n v="940"/>
  </r>
  <r>
    <x v="0"/>
    <s v="conventional_refinance_cai_588"/>
    <x v="628"/>
    <n v="1.7217740391441301"/>
    <n v="1"/>
    <n v="-40"/>
    <n v="940"/>
  </r>
  <r>
    <x v="0"/>
    <s v="conventional_refinance_cai_589"/>
    <x v="629"/>
    <n v="1.7217939581987101"/>
    <n v="1"/>
    <n v="-40"/>
    <n v="940"/>
  </r>
  <r>
    <x v="0"/>
    <s v="conventional_refinance_cai_590"/>
    <x v="630"/>
    <n v="1.7218132388629199"/>
    <n v="1"/>
    <n v="-40"/>
    <n v="940"/>
  </r>
  <r>
    <x v="0"/>
    <s v="conventional_refinance_cai_591"/>
    <x v="631"/>
    <n v="1.72183201325478"/>
    <n v="1"/>
    <n v="-40"/>
    <n v="940"/>
  </r>
  <r>
    <x v="0"/>
    <s v="conventional_refinance_cai_592"/>
    <x v="632"/>
    <n v="1.7218504134923101"/>
    <n v="1"/>
    <n v="-40"/>
    <n v="940"/>
  </r>
  <r>
    <x v="0"/>
    <s v="conventional_refinance_cai_593"/>
    <x v="633"/>
    <n v="1.72186857169355"/>
    <n v="1"/>
    <n v="-40"/>
    <n v="940"/>
  </r>
  <r>
    <x v="0"/>
    <s v="conventional_refinance_cai_594"/>
    <x v="634"/>
    <n v="1.7218866199765099"/>
    <n v="1"/>
    <n v="-40"/>
    <n v="940"/>
  </r>
  <r>
    <x v="0"/>
    <s v="conventional_refinance_cai_595"/>
    <x v="635"/>
    <n v="1.7219046904592299"/>
    <n v="1"/>
    <n v="-40"/>
    <n v="940"/>
  </r>
  <r>
    <x v="0"/>
    <s v="conventional_refinance_cai_596"/>
    <x v="636"/>
    <n v="1.72192291525972"/>
    <n v="1"/>
    <n v="-40"/>
    <n v="940"/>
  </r>
  <r>
    <x v="0"/>
    <s v="conventional_refinance_cai_597"/>
    <x v="637"/>
    <n v="1.72194142649602"/>
    <n v="1"/>
    <n v="-40"/>
    <n v="940"/>
  </r>
  <r>
    <x v="0"/>
    <s v="conventional_refinance_cai_598"/>
    <x v="638"/>
    <n v="1.7219603562861501"/>
    <n v="1"/>
    <n v="-40"/>
    <n v="940"/>
  </r>
  <r>
    <x v="0"/>
    <s v="conventional_refinance_cai_599"/>
    <x v="639"/>
    <n v="1.72197983674814"/>
    <n v="1"/>
    <n v="-40"/>
    <n v="940"/>
  </r>
  <r>
    <x v="0"/>
    <s v="conventional_refinance_cai_600"/>
    <x v="640"/>
    <n v="1.722"/>
    <n v="1"/>
    <n v="-40"/>
    <n v="940"/>
  </r>
  <r>
    <x v="0"/>
    <s v="conventional_refinance_cai_601"/>
    <x v="641"/>
    <n v="1.72202058726729"/>
    <n v="1"/>
    <n v="-40"/>
    <n v="940"/>
  </r>
  <r>
    <x v="0"/>
    <s v="conventional_refinance_cai_602"/>
    <x v="642"/>
    <n v="1.72204124991635"/>
    <n v="1"/>
    <n v="-40"/>
    <n v="940"/>
  </r>
  <r>
    <x v="0"/>
    <s v="conventional_refinance_cai_603"/>
    <x v="643"/>
    <n v="1.7220619852763901"/>
    <n v="1"/>
    <n v="-40"/>
    <n v="940"/>
  </r>
  <r>
    <x v="0"/>
    <s v="conventional_refinance_cai_604"/>
    <x v="644"/>
    <n v="1.7220827906766101"/>
    <n v="1"/>
    <n v="-40"/>
    <n v="940"/>
  </r>
  <r>
    <x v="0"/>
    <s v="conventional_refinance_cai_605"/>
    <x v="645"/>
    <n v="1.7221036634462401"/>
    <n v="1"/>
    <n v="-40"/>
    <n v="940"/>
  </r>
  <r>
    <x v="0"/>
    <s v="conventional_refinance_cai_606"/>
    <x v="646"/>
    <n v="1.7221246009144799"/>
    <n v="1"/>
    <n v="-40"/>
    <n v="940"/>
  </r>
  <r>
    <x v="0"/>
    <s v="conventional_refinance_cai_607"/>
    <x v="647"/>
    <n v="1.72214560041054"/>
    <n v="1"/>
    <n v="-40"/>
    <n v="940"/>
  </r>
  <r>
    <x v="0"/>
    <s v="conventional_refinance_cai_608"/>
    <x v="648"/>
    <n v="1.72216665926364"/>
    <n v="1"/>
    <n v="-40"/>
    <n v="940"/>
  </r>
  <r>
    <x v="0"/>
    <s v="conventional_refinance_cai_609"/>
    <x v="649"/>
    <n v="1.7221877748029799"/>
    <n v="1"/>
    <n v="-40"/>
    <n v="940"/>
  </r>
  <r>
    <x v="0"/>
    <s v="conventional_refinance_cai_610"/>
    <x v="650"/>
    <n v="1.7222089443577899"/>
    <n v="1"/>
    <n v="-40"/>
    <n v="940"/>
  </r>
  <r>
    <x v="0"/>
    <s v="conventional_refinance_cai_611"/>
    <x v="651"/>
    <n v="1.72223016525726"/>
    <n v="1"/>
    <n v="-40"/>
    <n v="940"/>
  </r>
  <r>
    <x v="0"/>
    <s v="conventional_refinance_cai_612"/>
    <x v="652"/>
    <n v="1.7222514348306199"/>
    <n v="1"/>
    <n v="-40"/>
    <n v="940"/>
  </r>
  <r>
    <x v="0"/>
    <s v="conventional_refinance_cai_613"/>
    <x v="653"/>
    <n v="1.7222727504070801"/>
    <n v="1"/>
    <n v="-40"/>
    <n v="940"/>
  </r>
  <r>
    <x v="0"/>
    <s v="conventional_refinance_cai_614"/>
    <x v="654"/>
    <n v="1.7222941093158399"/>
    <n v="1"/>
    <n v="-40"/>
    <n v="940"/>
  </r>
  <r>
    <x v="0"/>
    <s v="conventional_refinance_cai_615"/>
    <x v="655"/>
    <n v="1.72231550888612"/>
    <n v="1"/>
    <n v="-40"/>
    <n v="940"/>
  </r>
  <r>
    <x v="0"/>
    <s v="conventional_refinance_cai_616"/>
    <x v="656"/>
    <n v="1.7223369464471201"/>
    <n v="1"/>
    <n v="-40"/>
    <n v="940"/>
  </r>
  <r>
    <x v="0"/>
    <s v="conventional_refinance_cai_617"/>
    <x v="657"/>
    <n v="1.7223584193280701"/>
    <n v="1"/>
    <n v="-40"/>
    <n v="940"/>
  </r>
  <r>
    <x v="0"/>
    <s v="conventional_refinance_cai_618"/>
    <x v="658"/>
    <n v="1.7223799248581699"/>
    <n v="1"/>
    <n v="-40"/>
    <n v="940"/>
  </r>
  <r>
    <x v="0"/>
    <s v="conventional_refinance_cai_619"/>
    <x v="659"/>
    <n v="1.72240146036664"/>
    <n v="1"/>
    <n v="-40"/>
    <n v="940"/>
  </r>
  <r>
    <x v="0"/>
    <s v="conventional_refinance_cai_620"/>
    <x v="660"/>
    <n v="1.72242302318268"/>
    <n v="1"/>
    <n v="-40"/>
    <n v="940"/>
  </r>
  <r>
    <x v="0"/>
    <s v="conventional_refinance_cai_621"/>
    <x v="661"/>
    <n v="1.72244461063551"/>
    <n v="1"/>
    <n v="-40"/>
    <n v="940"/>
  </r>
  <r>
    <x v="0"/>
    <s v="conventional_refinance_cai_622"/>
    <x v="662"/>
    <n v="1.7224662200543399"/>
    <n v="1"/>
    <n v="-40"/>
    <n v="940"/>
  </r>
  <r>
    <x v="0"/>
    <s v="conventional_refinance_cai_623"/>
    <x v="663"/>
    <n v="1.7224878487683799"/>
    <n v="1"/>
    <n v="-40"/>
    <n v="940"/>
  </r>
  <r>
    <x v="0"/>
    <s v="conventional_refinance_cai_624"/>
    <x v="664"/>
    <n v="1.72250949410684"/>
    <n v="1"/>
    <n v="-40"/>
    <n v="940"/>
  </r>
  <r>
    <x v="0"/>
    <s v="conventional_refinance_cai_625"/>
    <x v="665"/>
    <n v="1.72253115339894"/>
    <n v="1"/>
    <n v="-40"/>
    <n v="940"/>
  </r>
  <r>
    <x v="0"/>
    <s v="conventional_refinance_cai_626"/>
    <x v="666"/>
    <n v="1.7225528239738801"/>
    <n v="1"/>
    <n v="-40"/>
    <n v="940"/>
  </r>
  <r>
    <x v="0"/>
    <s v="conventional_refinance_cai_627"/>
    <x v="667"/>
    <n v="1.7225745031608799"/>
    <n v="1"/>
    <n v="-40"/>
    <n v="940"/>
  </r>
  <r>
    <x v="0"/>
    <s v="conventional_refinance_cai_628"/>
    <x v="668"/>
    <n v="1.7225961882891601"/>
    <n v="1"/>
    <n v="-40"/>
    <n v="940"/>
  </r>
  <r>
    <x v="0"/>
    <s v="conventional_refinance_cai_629"/>
    <x v="669"/>
    <n v="1.7226178766879101"/>
    <n v="1"/>
    <n v="-40"/>
    <n v="940"/>
  </r>
  <r>
    <x v="0"/>
    <s v="conventional_refinance_cai_630"/>
    <x v="670"/>
    <n v="1.72263956568636"/>
    <n v="1"/>
    <n v="-40"/>
    <n v="940"/>
  </r>
  <r>
    <x v="0"/>
    <s v="conventional_refinance_cai_631"/>
    <x v="671"/>
    <n v="1.7226612526137099"/>
    <n v="1"/>
    <n v="-40"/>
    <n v="940"/>
  </r>
  <r>
    <x v="0"/>
    <s v="conventional_refinance_cai_632"/>
    <x v="672"/>
    <n v="1.7226829347991801"/>
    <n v="1"/>
    <n v="-40"/>
    <n v="940"/>
  </r>
  <r>
    <x v="0"/>
    <s v="conventional_refinance_cai_633"/>
    <x v="673"/>
    <n v="1.72270460957197"/>
    <n v="1"/>
    <n v="-40"/>
    <n v="940"/>
  </r>
  <r>
    <x v="0"/>
    <s v="conventional_refinance_cai_634"/>
    <x v="674"/>
    <n v="1.7227262742613101"/>
    <n v="1"/>
    <n v="-40"/>
    <n v="940"/>
  </r>
  <r>
    <x v="0"/>
    <s v="conventional_refinance_cai_635"/>
    <x v="675"/>
    <n v="1.7227479261963901"/>
    <n v="1"/>
    <n v="-40"/>
    <n v="940"/>
  </r>
  <r>
    <x v="0"/>
    <s v="conventional_refinance_cai_636"/>
    <x v="676"/>
    <n v="1.7227695627064401"/>
    <n v="1"/>
    <n v="-40"/>
    <n v="940"/>
  </r>
  <r>
    <x v="0"/>
    <s v="conventional_refinance_cai_637"/>
    <x v="677"/>
    <n v="1.72279118112067"/>
    <n v="1"/>
    <n v="-40"/>
    <n v="940"/>
  </r>
  <r>
    <x v="0"/>
    <s v="conventional_refinance_cai_638"/>
    <x v="678"/>
    <n v="1.7228127787682801"/>
    <n v="1"/>
    <n v="-40"/>
    <n v="940"/>
  </r>
  <r>
    <x v="0"/>
    <s v="conventional_refinance_cai_639"/>
    <x v="679"/>
    <n v="1.72283435297849"/>
    <n v="1"/>
    <n v="-40"/>
    <n v="940"/>
  </r>
  <r>
    <x v="0"/>
    <s v="conventional_refinance_cai_640"/>
    <x v="680"/>
    <n v="1.72285590108051"/>
    <n v="1"/>
    <n v="-40"/>
    <n v="940"/>
  </r>
  <r>
    <x v="0"/>
    <s v="conventional_refinance_cai_641"/>
    <x v="681"/>
    <n v="1.72287742040355"/>
    <n v="1"/>
    <n v="-40"/>
    <n v="940"/>
  </r>
  <r>
    <x v="0"/>
    <s v="conventional_refinance_cai_642"/>
    <x v="682"/>
    <n v="1.72289890827683"/>
    <n v="1"/>
    <n v="-40"/>
    <n v="940"/>
  </r>
  <r>
    <x v="0"/>
    <s v="conventional_refinance_cai_643"/>
    <x v="683"/>
    <n v="1.7229203620295499"/>
    <n v="1"/>
    <n v="-40"/>
    <n v="940"/>
  </r>
  <r>
    <x v="0"/>
    <s v="conventional_refinance_cai_644"/>
    <x v="684"/>
    <n v="1.72294177899093"/>
    <n v="1"/>
    <n v="-40"/>
    <n v="940"/>
  </r>
  <r>
    <x v="0"/>
    <s v="conventional_refinance_cai_645"/>
    <x v="685"/>
    <n v="1.72296315649017"/>
    <n v="1"/>
    <n v="-40"/>
    <n v="940"/>
  </r>
  <r>
    <x v="0"/>
    <s v="conventional_refinance_cai_646"/>
    <x v="686"/>
    <n v="1.7229844918565"/>
    <n v="1"/>
    <n v="-40"/>
    <n v="940"/>
  </r>
  <r>
    <x v="0"/>
    <s v="conventional_refinance_cai_647"/>
    <x v="687"/>
    <n v="1.7230057824191101"/>
    <n v="1"/>
    <n v="-40"/>
    <n v="940"/>
  </r>
  <r>
    <x v="0"/>
    <s v="conventional_refinance_cai_648"/>
    <x v="688"/>
    <n v="1.72302702550724"/>
    <n v="1"/>
    <n v="-40"/>
    <n v="940"/>
  </r>
  <r>
    <x v="0"/>
    <s v="conventional_refinance_cai_649"/>
    <x v="689"/>
    <n v="1.7230482184500699"/>
    <n v="1"/>
    <n v="-40"/>
    <n v="940"/>
  </r>
  <r>
    <x v="0"/>
    <s v="conventional_refinance_cai_650"/>
    <x v="690"/>
    <n v="1.72306935857683"/>
    <n v="1"/>
    <n v="-40"/>
    <n v="940"/>
  </r>
  <r>
    <x v="0"/>
    <s v="conventional_refinance_cai_651"/>
    <x v="691"/>
    <n v="1.72309044321673"/>
    <n v="1"/>
    <n v="-40"/>
    <n v="940"/>
  </r>
  <r>
    <x v="0"/>
    <s v="conventional_refinance_cai_652"/>
    <x v="692"/>
    <n v="1.72311146969899"/>
    <n v="1"/>
    <n v="-40"/>
    <n v="940"/>
  </r>
  <r>
    <x v="0"/>
    <s v="conventional_refinance_cai_653"/>
    <x v="693"/>
    <n v="1.7231324353527999"/>
    <n v="1"/>
    <n v="-40"/>
    <n v="940"/>
  </r>
  <r>
    <x v="0"/>
    <s v="conventional_refinance_cai_654"/>
    <x v="694"/>
    <n v="1.72315333750739"/>
    <n v="1"/>
    <n v="-40"/>
    <n v="940"/>
  </r>
  <r>
    <x v="0"/>
    <s v="conventional_refinance_cai_655"/>
    <x v="695"/>
    <n v="1.7231741734919599"/>
    <n v="1"/>
    <n v="-40"/>
    <n v="940"/>
  </r>
  <r>
    <x v="0"/>
    <s v="conventional_refinance_cai_656"/>
    <x v="696"/>
    <n v="1.7231949406357301"/>
    <n v="1"/>
    <n v="-40"/>
    <n v="940"/>
  </r>
  <r>
    <x v="0"/>
    <s v="conventional_refinance_cai_657"/>
    <x v="697"/>
    <n v="1.7232156362679101"/>
    <n v="1"/>
    <n v="-40"/>
    <n v="940"/>
  </r>
  <r>
    <x v="0"/>
    <s v="conventional_refinance_cai_658"/>
    <x v="698"/>
    <n v="1.7232362577177001"/>
    <n v="1"/>
    <n v="-40"/>
    <n v="940"/>
  </r>
  <r>
    <x v="0"/>
    <s v="conventional_refinance_cai_659"/>
    <x v="699"/>
    <n v="1.72325680231433"/>
    <n v="1"/>
    <n v="-40"/>
    <n v="940"/>
  </r>
  <r>
    <x v="0"/>
    <s v="conventional_refinance_cai_660"/>
    <x v="700"/>
    <n v="1.72327726738701"/>
    <n v="1"/>
    <n v="-40"/>
    <n v="940"/>
  </r>
  <r>
    <x v="0"/>
    <s v="conventional_refinance_cai_661"/>
    <x v="701"/>
    <n v="1.72329765026494"/>
    <n v="1"/>
    <n v="-40"/>
    <n v="940"/>
  </r>
  <r>
    <x v="0"/>
    <s v="conventional_refinance_cai_662"/>
    <x v="702"/>
    <n v="1.72331794827733"/>
    <n v="1"/>
    <n v="-40"/>
    <n v="940"/>
  </r>
  <r>
    <x v="0"/>
    <s v="conventional_refinance_cai_663"/>
    <x v="703"/>
    <n v="1.72333815875341"/>
    <n v="1"/>
    <n v="-40"/>
    <n v="940"/>
  </r>
  <r>
    <x v="0"/>
    <s v="conventional_refinance_cai_664"/>
    <x v="704"/>
    <n v="1.72335827902238"/>
    <n v="1"/>
    <n v="-40"/>
    <n v="940"/>
  </r>
  <r>
    <x v="0"/>
    <s v="conventional_refinance_cai_665"/>
    <x v="705"/>
    <n v="1.72337830641344"/>
    <n v="1"/>
    <n v="-40"/>
    <n v="940"/>
  </r>
  <r>
    <x v="0"/>
    <s v="conventional_refinance_cai_666"/>
    <x v="706"/>
    <n v="1.7233982382558199"/>
    <n v="1"/>
    <n v="-40"/>
    <n v="940"/>
  </r>
  <r>
    <x v="0"/>
    <s v="conventional_refinance_cai_667"/>
    <x v="707"/>
    <n v="1.72341807187873"/>
    <n v="1"/>
    <n v="-40"/>
    <n v="940"/>
  </r>
  <r>
    <x v="0"/>
    <s v="conventional_refinance_cai_668"/>
    <x v="708"/>
    <n v="1.7234378046113801"/>
    <n v="1"/>
    <n v="-40"/>
    <n v="940"/>
  </r>
  <r>
    <x v="0"/>
    <s v="conventional_refinance_cai_669"/>
    <x v="709"/>
    <n v="1.72345743378297"/>
    <n v="1"/>
    <n v="-40"/>
    <n v="940"/>
  </r>
  <r>
    <x v="0"/>
    <s v="conventional_refinance_cai_670"/>
    <x v="710"/>
    <n v="1.7234769567227199"/>
    <n v="1"/>
    <n v="-40"/>
    <n v="940"/>
  </r>
  <r>
    <x v="0"/>
    <s v="conventional_refinance_cai_671"/>
    <x v="711"/>
    <n v="1.7234963707598501"/>
    <n v="1"/>
    <n v="-40"/>
    <n v="940"/>
  </r>
  <r>
    <x v="0"/>
    <s v="conventional_refinance_cai_672"/>
    <x v="712"/>
    <n v="1.7235156732235599"/>
    <n v="1"/>
    <n v="-40"/>
    <n v="940"/>
  </r>
  <r>
    <x v="0"/>
    <s v="conventional_refinance_cai_673"/>
    <x v="713"/>
    <n v="1.7235348614430701"/>
    <n v="1"/>
    <n v="-40"/>
    <n v="940"/>
  </r>
  <r>
    <x v="0"/>
    <s v="conventional_refinance_cai_674"/>
    <x v="714"/>
    <n v="1.72355393274758"/>
    <n v="1"/>
    <n v="-40"/>
    <n v="940"/>
  </r>
  <r>
    <x v="0"/>
    <s v="conventional_refinance_cai_675"/>
    <x v="715"/>
    <n v="1.7235728844663101"/>
    <n v="1"/>
    <n v="-40"/>
    <n v="940"/>
  </r>
  <r>
    <x v="0"/>
    <s v="conventional_refinance_cai_676"/>
    <x v="716"/>
    <n v="1.72359171392848"/>
    <n v="1"/>
    <n v="-40"/>
    <n v="940"/>
  </r>
  <r>
    <x v="0"/>
    <s v="conventional_refinance_cai_677"/>
    <x v="717"/>
    <n v="1.7236104184632799"/>
    <n v="1"/>
    <n v="-40"/>
    <n v="940"/>
  </r>
  <r>
    <x v="0"/>
    <s v="conventional_refinance_cai_678"/>
    <x v="718"/>
    <n v="1.72362899539994"/>
    <n v="1"/>
    <n v="-40"/>
    <n v="940"/>
  </r>
  <r>
    <x v="0"/>
    <s v="conventional_refinance_cai_679"/>
    <x v="719"/>
    <n v="1.72364744206767"/>
    <n v="1"/>
    <n v="-40"/>
    <n v="940"/>
  </r>
  <r>
    <x v="0"/>
    <s v="conventional_refinance_cai_680"/>
    <x v="720"/>
    <n v="1.7236657557956701"/>
    <n v="1"/>
    <n v="-40"/>
    <n v="940"/>
  </r>
  <r>
    <x v="0"/>
    <s v="conventional_refinance_cai_681"/>
    <x v="721"/>
    <n v="1.72368393391316"/>
    <n v="1"/>
    <n v="-40"/>
    <n v="940"/>
  </r>
  <r>
    <x v="0"/>
    <s v="conventional_refinance_cai_682"/>
    <x v="722"/>
    <n v="1.72370197374935"/>
    <n v="1"/>
    <n v="-40"/>
    <n v="940"/>
  </r>
  <r>
    <x v="0"/>
    <s v="conventional_refinance_cai_683"/>
    <x v="723"/>
    <n v="1.7237198726334599"/>
    <n v="1"/>
    <n v="-40"/>
    <n v="940"/>
  </r>
  <r>
    <x v="0"/>
    <s v="conventional_refinance_cai_684"/>
    <x v="724"/>
    <n v="1.7237376278946901"/>
    <n v="1"/>
    <n v="-40"/>
    <n v="940"/>
  </r>
  <r>
    <x v="0"/>
    <s v="conventional_refinance_cai_685"/>
    <x v="725"/>
    <n v="1.72375523686226"/>
    <n v="1"/>
    <n v="-40"/>
    <n v="940"/>
  </r>
  <r>
    <x v="0"/>
    <s v="conventional_refinance_cai_686"/>
    <x v="726"/>
    <n v="1.7237726968653699"/>
    <n v="1"/>
    <n v="-40"/>
    <n v="940"/>
  </r>
  <r>
    <x v="0"/>
    <s v="conventional_refinance_cai_687"/>
    <x v="727"/>
    <n v="1.72379000523324"/>
    <n v="1"/>
    <n v="-40"/>
    <n v="940"/>
  </r>
  <r>
    <x v="0"/>
    <s v="conventional_refinance_cai_688"/>
    <x v="728"/>
    <n v="1.7238071592950901"/>
    <n v="1"/>
    <n v="-40"/>
    <n v="940"/>
  </r>
  <r>
    <x v="0"/>
    <s v="conventional_refinance_cai_689"/>
    <x v="729"/>
    <n v="1.72382415638011"/>
    <n v="1"/>
    <n v="-40"/>
    <n v="940"/>
  </r>
  <r>
    <x v="0"/>
    <s v="conventional_refinance_cai_690"/>
    <x v="730"/>
    <n v="1.7238409938175301"/>
    <n v="1"/>
    <n v="-40"/>
    <n v="940"/>
  </r>
  <r>
    <x v="0"/>
    <s v="conventional_refinance_cai_691"/>
    <x v="731"/>
    <n v="1.7238576689365599"/>
    <n v="1"/>
    <n v="-40"/>
    <n v="940"/>
  </r>
  <r>
    <x v="0"/>
    <s v="conventional_refinance_cai_692"/>
    <x v="732"/>
    <n v="1.7238741790664001"/>
    <n v="1"/>
    <n v="-40"/>
    <n v="940"/>
  </r>
  <r>
    <x v="0"/>
    <s v="conventional_refinance_cai_693"/>
    <x v="733"/>
    <n v="1.7238905215362801"/>
    <n v="1"/>
    <n v="-40"/>
    <n v="940"/>
  </r>
  <r>
    <x v="0"/>
    <s v="conventional_refinance_cai_694"/>
    <x v="734"/>
    <n v="1.72390669367539"/>
    <n v="1"/>
    <n v="-40"/>
    <n v="940"/>
  </r>
  <r>
    <x v="0"/>
    <s v="conventional_refinance_cai_695"/>
    <x v="735"/>
    <n v="1.7239226928129601"/>
    <n v="1"/>
    <n v="-40"/>
    <n v="940"/>
  </r>
  <r>
    <x v="0"/>
    <s v="conventional_refinance_cai_696"/>
    <x v="736"/>
    <n v="1.7239385162781899"/>
    <n v="1"/>
    <n v="-40"/>
    <n v="940"/>
  </r>
  <r>
    <x v="0"/>
    <s v="conventional_refinance_cai_697"/>
    <x v="737"/>
    <n v="1.7239541614003"/>
    <n v="1"/>
    <n v="-40"/>
    <n v="940"/>
  </r>
  <r>
    <x v="0"/>
    <s v="conventional_refinance_cai_698"/>
    <x v="738"/>
    <n v="1.7239696255085"/>
    <n v="1"/>
    <n v="-40"/>
    <n v="940"/>
  </r>
  <r>
    <x v="0"/>
    <s v="conventional_refinance_cai_699"/>
    <x v="739"/>
    <n v="1.7239849059319901"/>
    <n v="1"/>
    <n v="-40"/>
    <n v="940"/>
  </r>
  <r>
    <x v="0"/>
    <s v="conventional_refinance_cai_700"/>
    <x v="740"/>
    <n v="1.724"/>
    <n v="1"/>
    <n v="-40"/>
    <n v="940"/>
  </r>
  <r>
    <x v="0"/>
    <s v="conventional_refinance_cai_701"/>
    <x v="741"/>
    <n v="1.7240149005000001"/>
    <n v="1"/>
    <n v="-40"/>
    <n v="940"/>
  </r>
  <r>
    <x v="0"/>
    <s v="conventional_refinance_cai_702"/>
    <x v="742"/>
    <n v="1.724029604"/>
    <n v="1"/>
    <n v="-40"/>
    <n v="940"/>
  </r>
  <r>
    <x v="0"/>
    <s v="conventional_refinance_cai_703"/>
    <x v="743"/>
    <n v="1.7240441135"/>
    <n v="1"/>
    <n v="-40"/>
    <n v="940"/>
  </r>
  <r>
    <x v="0"/>
    <s v="conventional_refinance_cai_704"/>
    <x v="744"/>
    <n v="1.7240584320000001"/>
    <n v="1"/>
    <n v="-40"/>
    <n v="940"/>
  </r>
  <r>
    <x v="0"/>
    <s v="conventional_refinance_cai_705"/>
    <x v="745"/>
    <n v="1.7240725625"/>
    <n v="1"/>
    <n v="-40"/>
    <n v="940"/>
  </r>
  <r>
    <x v="0"/>
    <s v="conventional_refinance_cai_706"/>
    <x v="746"/>
    <n v="1.7240865080000001"/>
    <n v="1"/>
    <n v="-40"/>
    <n v="940"/>
  </r>
  <r>
    <x v="0"/>
    <s v="conventional_refinance_cai_707"/>
    <x v="747"/>
    <n v="1.7241002715"/>
    <n v="1"/>
    <n v="-40"/>
    <n v="940"/>
  </r>
  <r>
    <x v="0"/>
    <s v="conventional_refinance_cai_708"/>
    <x v="748"/>
    <n v="1.724113856"/>
    <n v="1"/>
    <n v="-40"/>
    <n v="940"/>
  </r>
  <r>
    <x v="0"/>
    <s v="conventional_refinance_cai_709"/>
    <x v="749"/>
    <n v="1.7241272645000001"/>
    <n v="1"/>
    <n v="-40"/>
    <n v="940"/>
  </r>
  <r>
    <x v="0"/>
    <s v="conventional_refinance_cai_710"/>
    <x v="750"/>
    <n v="1.7241405000000001"/>
    <n v="1"/>
    <n v="-40"/>
    <n v="940"/>
  </r>
  <r>
    <x v="0"/>
    <s v="conventional_refinance_cai_711"/>
    <x v="751"/>
    <n v="1.7241535655"/>
    <n v="1"/>
    <n v="-40"/>
    <n v="940"/>
  </r>
  <r>
    <x v="0"/>
    <s v="conventional_refinance_cai_712"/>
    <x v="752"/>
    <n v="1.7241664640000001"/>
    <n v="1"/>
    <n v="-40"/>
    <n v="940"/>
  </r>
  <r>
    <x v="0"/>
    <s v="conventional_refinance_cai_713"/>
    <x v="753"/>
    <n v="1.7241791984999999"/>
    <n v="1"/>
    <n v="-40"/>
    <n v="940"/>
  </r>
  <r>
    <x v="0"/>
    <s v="conventional_refinance_cai_714"/>
    <x v="754"/>
    <n v="1.724191772"/>
    <n v="1"/>
    <n v="-40"/>
    <n v="940"/>
  </r>
  <r>
    <x v="0"/>
    <s v="conventional_refinance_cai_715"/>
    <x v="755"/>
    <n v="1.7242041875"/>
    <n v="1"/>
    <n v="-40"/>
    <n v="940"/>
  </r>
  <r>
    <x v="0"/>
    <s v="conventional_refinance_cai_716"/>
    <x v="756"/>
    <n v="1.724216448"/>
    <n v="1"/>
    <n v="-40"/>
    <n v="940"/>
  </r>
  <r>
    <x v="0"/>
    <s v="conventional_refinance_cai_717"/>
    <x v="757"/>
    <n v="1.7242285565"/>
    <n v="1"/>
    <n v="-40"/>
    <n v="940"/>
  </r>
  <r>
    <x v="0"/>
    <s v="conventional_refinance_cai_718"/>
    <x v="758"/>
    <n v="1.7242405160000001"/>
    <n v="1"/>
    <n v="-40"/>
    <n v="940"/>
  </r>
  <r>
    <x v="0"/>
    <s v="conventional_refinance_cai_719"/>
    <x v="759"/>
    <n v="1.7242523295000001"/>
    <n v="1"/>
    <n v="-40"/>
    <n v="940"/>
  </r>
  <r>
    <x v="0"/>
    <s v="conventional_refinance_cai_720"/>
    <x v="760"/>
    <n v="1.724264"/>
    <n v="1"/>
    <n v="-40"/>
    <n v="940"/>
  </r>
  <r>
    <x v="0"/>
    <s v="conventional_refinance_cai_721"/>
    <x v="761"/>
    <n v="1.7242755304999999"/>
    <n v="1"/>
    <n v="-40"/>
    <n v="940"/>
  </r>
  <r>
    <x v="0"/>
    <s v="conventional_refinance_cai_722"/>
    <x v="762"/>
    <n v="1.7242869240000001"/>
    <n v="1"/>
    <n v="-40"/>
    <n v="940"/>
  </r>
  <r>
    <x v="0"/>
    <s v="conventional_refinance_cai_723"/>
    <x v="763"/>
    <n v="1.7242981835"/>
    <n v="1"/>
    <n v="-40"/>
    <n v="940"/>
  </r>
  <r>
    <x v="0"/>
    <s v="conventional_refinance_cai_724"/>
    <x v="764"/>
    <n v="1.7243093119999999"/>
    <n v="1"/>
    <n v="-40"/>
    <n v="940"/>
  </r>
  <r>
    <x v="0"/>
    <s v="conventional_refinance_cai_725"/>
    <x v="765"/>
    <n v="1.7243203125"/>
    <n v="1"/>
    <n v="-40"/>
    <n v="940"/>
  </r>
  <r>
    <x v="0"/>
    <s v="conventional_refinance_cai_726"/>
    <x v="766"/>
    <n v="1.7243311880000001"/>
    <n v="1"/>
    <n v="-40"/>
    <n v="940"/>
  </r>
  <r>
    <x v="0"/>
    <s v="conventional_refinance_cai_727"/>
    <x v="767"/>
    <n v="1.7243419415000001"/>
    <n v="1"/>
    <n v="-40"/>
    <n v="940"/>
  </r>
  <r>
    <x v="0"/>
    <s v="conventional_refinance_cai_728"/>
    <x v="768"/>
    <n v="1.724352576"/>
    <n v="1"/>
    <n v="-40"/>
    <n v="940"/>
  </r>
  <r>
    <x v="0"/>
    <s v="conventional_refinance_cai_729"/>
    <x v="769"/>
    <n v="1.7243630944999999"/>
    <n v="1"/>
    <n v="-40"/>
    <n v="940"/>
  </r>
  <r>
    <x v="0"/>
    <s v="conventional_refinance_cai_730"/>
    <x v="770"/>
    <n v="1.7243735"/>
    <n v="1"/>
    <n v="-40"/>
    <n v="940"/>
  </r>
  <r>
    <x v="0"/>
    <s v="conventional_refinance_cai_731"/>
    <x v="771"/>
    <n v="1.7243837955000001"/>
    <n v="1"/>
    <n v="-40"/>
    <n v="940"/>
  </r>
  <r>
    <x v="0"/>
    <s v="conventional_refinance_cai_732"/>
    <x v="772"/>
    <n v="1.724393984"/>
    <n v="1"/>
    <n v="-40"/>
    <n v="940"/>
  </r>
  <r>
    <x v="0"/>
    <s v="conventional_refinance_cai_733"/>
    <x v="773"/>
    <n v="1.7244040684999999"/>
    <n v="1"/>
    <n v="-40"/>
    <n v="940"/>
  </r>
  <r>
    <x v="0"/>
    <s v="conventional_refinance_cai_734"/>
    <x v="774"/>
    <n v="1.724414052"/>
    <n v="1"/>
    <n v="-40"/>
    <n v="940"/>
  </r>
  <r>
    <x v="0"/>
    <s v="conventional_refinance_cai_735"/>
    <x v="775"/>
    <n v="1.7244239374999999"/>
    <n v="1"/>
    <n v="-40"/>
    <n v="940"/>
  </r>
  <r>
    <x v="0"/>
    <s v="conventional_refinance_cai_736"/>
    <x v="776"/>
    <n v="1.7244337279999999"/>
    <n v="1"/>
    <n v="-40"/>
    <n v="940"/>
  </r>
  <r>
    <x v="0"/>
    <s v="conventional_refinance_cai_737"/>
    <x v="777"/>
    <n v="1.7244434264999999"/>
    <n v="1"/>
    <n v="-40"/>
    <n v="940"/>
  </r>
  <r>
    <x v="0"/>
    <s v="conventional_refinance_cai_738"/>
    <x v="778"/>
    <n v="1.7244530360000001"/>
    <n v="1"/>
    <n v="-40"/>
    <n v="940"/>
  </r>
  <r>
    <x v="0"/>
    <s v="conventional_refinance_cai_739"/>
    <x v="779"/>
    <n v="1.7244625595"/>
    <n v="1"/>
    <n v="-40"/>
    <n v="940"/>
  </r>
  <r>
    <x v="0"/>
    <s v="conventional_refinance_cai_740"/>
    <x v="780"/>
    <n v="1.724472"/>
    <n v="1"/>
    <n v="-40"/>
    <n v="940"/>
  </r>
  <r>
    <x v="0"/>
    <s v="conventional_refinance_cai_741"/>
    <x v="781"/>
    <n v="1.7244813605"/>
    <n v="1"/>
    <n v="-40"/>
    <n v="940"/>
  </r>
  <r>
    <x v="0"/>
    <s v="conventional_refinance_cai_742"/>
    <x v="782"/>
    <n v="1.7244906440000001"/>
    <n v="1"/>
    <n v="-40"/>
    <n v="940"/>
  </r>
  <r>
    <x v="0"/>
    <s v="conventional_refinance_cai_743"/>
    <x v="783"/>
    <n v="1.7244998535"/>
    <n v="1"/>
    <n v="-40"/>
    <n v="940"/>
  </r>
  <r>
    <x v="0"/>
    <s v="conventional_refinance_cai_744"/>
    <x v="784"/>
    <n v="1.7245089920000001"/>
    <n v="1"/>
    <n v="-40"/>
    <n v="940"/>
  </r>
  <r>
    <x v="0"/>
    <s v="conventional_refinance_cai_745"/>
    <x v="785"/>
    <n v="1.7245180625000001"/>
    <n v="1"/>
    <n v="-40"/>
    <n v="940"/>
  </r>
  <r>
    <x v="0"/>
    <s v="conventional_refinance_cai_746"/>
    <x v="786"/>
    <n v="1.724527068"/>
    <n v="1"/>
    <n v="-40"/>
    <n v="940"/>
  </r>
  <r>
    <x v="0"/>
    <s v="conventional_refinance_cai_747"/>
    <x v="787"/>
    <n v="1.7245360114999999"/>
    <n v="1"/>
    <n v="-40"/>
    <n v="940"/>
  </r>
  <r>
    <x v="0"/>
    <s v="conventional_refinance_cai_748"/>
    <x v="788"/>
    <n v="1.724544896"/>
    <n v="1"/>
    <n v="-40"/>
    <n v="940"/>
  </r>
  <r>
    <x v="0"/>
    <s v="conventional_refinance_cai_749"/>
    <x v="789"/>
    <n v="1.7245537245"/>
    <n v="1"/>
    <n v="-40"/>
    <n v="940"/>
  </r>
  <r>
    <x v="0"/>
    <s v="conventional_refinance_cai_750"/>
    <x v="790"/>
    <n v="1.7245625"/>
    <n v="1"/>
    <n v="-40"/>
    <n v="940"/>
  </r>
  <r>
    <x v="0"/>
    <s v="conventional_refinance_cai_751"/>
    <x v="791"/>
    <n v="1.7245712255000001"/>
    <n v="1"/>
    <n v="-40"/>
    <n v="940"/>
  </r>
  <r>
    <x v="0"/>
    <s v="conventional_refinance_cai_752"/>
    <x v="792"/>
    <n v="1.7245799040000001"/>
    <n v="1"/>
    <n v="-40"/>
    <n v="940"/>
  </r>
  <r>
    <x v="0"/>
    <s v="conventional_refinance_cai_753"/>
    <x v="793"/>
    <n v="1.7245885384999999"/>
    <n v="1"/>
    <n v="-40"/>
    <n v="940"/>
  </r>
  <r>
    <x v="0"/>
    <s v="conventional_refinance_cai_754"/>
    <x v="794"/>
    <n v="1.724597132"/>
    <n v="1"/>
    <n v="-40"/>
    <n v="940"/>
  </r>
  <r>
    <x v="0"/>
    <s v="conventional_refinance_cai_755"/>
    <x v="795"/>
    <n v="1.7246056875"/>
    <n v="1"/>
    <n v="-40"/>
    <n v="940"/>
  </r>
  <r>
    <x v="0"/>
    <s v="conventional_refinance_cai_756"/>
    <x v="796"/>
    <n v="1.724614208"/>
    <n v="1"/>
    <n v="-40"/>
    <n v="940"/>
  </r>
  <r>
    <x v="0"/>
    <s v="conventional_refinance_cai_757"/>
    <x v="797"/>
    <n v="1.7246226965"/>
    <n v="1"/>
    <n v="-40"/>
    <n v="940"/>
  </r>
  <r>
    <x v="0"/>
    <s v="conventional_refinance_cai_758"/>
    <x v="798"/>
    <n v="1.7246311560000001"/>
    <n v="1"/>
    <n v="-40"/>
    <n v="940"/>
  </r>
  <r>
    <x v="0"/>
    <s v="conventional_refinance_cai_759"/>
    <x v="799"/>
    <n v="1.7246395895"/>
    <n v="1"/>
    <n v="-40"/>
    <n v="940"/>
  </r>
  <r>
    <x v="0"/>
    <s v="conventional_refinance_cai_760"/>
    <x v="800"/>
    <n v="1.724648"/>
    <n v="1"/>
    <n v="-40"/>
    <n v="940"/>
  </r>
  <r>
    <x v="0"/>
    <s v="conventional_refinance_cai_761"/>
    <x v="801"/>
    <n v="1.7246563905000001"/>
    <n v="1"/>
    <n v="-40"/>
    <n v="940"/>
  </r>
  <r>
    <x v="0"/>
    <s v="conventional_refinance_cai_762"/>
    <x v="802"/>
    <n v="1.7246647639999999"/>
    <n v="1"/>
    <n v="-40"/>
    <n v="940"/>
  </r>
  <r>
    <x v="0"/>
    <s v="conventional_refinance_cai_763"/>
    <x v="803"/>
    <n v="1.7246731234999999"/>
    <n v="1"/>
    <n v="-40"/>
    <n v="940"/>
  </r>
  <r>
    <x v="0"/>
    <s v="conventional_refinance_cai_764"/>
    <x v="804"/>
    <n v="1.7246814720000001"/>
    <n v="1"/>
    <n v="-40"/>
    <n v="940"/>
  </r>
  <r>
    <x v="0"/>
    <s v="conventional_refinance_cai_765"/>
    <x v="805"/>
    <n v="1.7246898125000001"/>
    <n v="1"/>
    <n v="-40"/>
    <n v="940"/>
  </r>
  <r>
    <x v="0"/>
    <s v="conventional_refinance_cai_766"/>
    <x v="806"/>
    <n v="1.7246981480000001"/>
    <n v="1"/>
    <n v="-40"/>
    <n v="940"/>
  </r>
  <r>
    <x v="0"/>
    <s v="conventional_refinance_cai_767"/>
    <x v="807"/>
    <n v="1.7247064814999999"/>
    <n v="1"/>
    <n v="-40"/>
    <n v="940"/>
  </r>
  <r>
    <x v="0"/>
    <s v="conventional_refinance_cai_768"/>
    <x v="808"/>
    <n v="1.7247148160000001"/>
    <n v="1"/>
    <n v="-40"/>
    <n v="940"/>
  </r>
  <r>
    <x v="0"/>
    <s v="conventional_refinance_cai_769"/>
    <x v="809"/>
    <n v="1.7247231544999999"/>
    <n v="1"/>
    <n v="-40"/>
    <n v="940"/>
  </r>
  <r>
    <x v="0"/>
    <s v="conventional_refinance_cai_770"/>
    <x v="810"/>
    <n v="1.7247315000000001"/>
    <n v="1"/>
    <n v="-40"/>
    <n v="940"/>
  </r>
  <r>
    <x v="0"/>
    <s v="conventional_refinance_cai_771"/>
    <x v="811"/>
    <n v="1.7247398555"/>
    <n v="1"/>
    <n v="-40"/>
    <n v="940"/>
  </r>
  <r>
    <x v="0"/>
    <s v="conventional_refinance_cai_772"/>
    <x v="812"/>
    <n v="1.7247482240000001"/>
    <n v="1"/>
    <n v="-40"/>
    <n v="940"/>
  </r>
  <r>
    <x v="0"/>
    <s v="conventional_refinance_cai_773"/>
    <x v="813"/>
    <n v="1.7247566084999999"/>
    <n v="1"/>
    <n v="-40"/>
    <n v="940"/>
  </r>
  <r>
    <x v="0"/>
    <s v="conventional_refinance_cai_774"/>
    <x v="814"/>
    <n v="1.724765012"/>
    <n v="1"/>
    <n v="-40"/>
    <n v="940"/>
  </r>
  <r>
    <x v="0"/>
    <s v="conventional_refinance_cai_775"/>
    <x v="815"/>
    <n v="1.7247734374999999"/>
    <n v="1"/>
    <n v="-40"/>
    <n v="940"/>
  </r>
  <r>
    <x v="0"/>
    <s v="conventional_refinance_cai_776"/>
    <x v="816"/>
    <n v="1.7247818880000001"/>
    <n v="1"/>
    <n v="-40"/>
    <n v="940"/>
  </r>
  <r>
    <x v="0"/>
    <s v="conventional_refinance_cai_777"/>
    <x v="817"/>
    <n v="1.7247903664999999"/>
    <n v="1"/>
    <n v="-40"/>
    <n v="940"/>
  </r>
  <r>
    <x v="0"/>
    <s v="conventional_refinance_cai_778"/>
    <x v="818"/>
    <n v="1.7247988759999999"/>
    <n v="1"/>
    <n v="-40"/>
    <n v="940"/>
  </r>
  <r>
    <x v="0"/>
    <s v="conventional_refinance_cai_779"/>
    <x v="819"/>
    <n v="1.7248074195"/>
    <n v="1"/>
    <n v="-40"/>
    <n v="940"/>
  </r>
  <r>
    <x v="0"/>
    <s v="conventional_refinance_cai_780"/>
    <x v="820"/>
    <n v="1.7248159999999999"/>
    <n v="1"/>
    <n v="-40"/>
    <n v="940"/>
  </r>
  <r>
    <x v="0"/>
    <s v="conventional_refinance_cai_781"/>
    <x v="821"/>
    <n v="1.7248246205"/>
    <n v="1"/>
    <n v="-40"/>
    <n v="940"/>
  </r>
  <r>
    <x v="0"/>
    <s v="conventional_refinance_cai_782"/>
    <x v="822"/>
    <n v="1.724833284"/>
    <n v="1"/>
    <n v="-40"/>
    <n v="940"/>
  </r>
  <r>
    <x v="0"/>
    <s v="conventional_refinance_cai_783"/>
    <x v="823"/>
    <n v="1.7248419934999999"/>
    <n v="1"/>
    <n v="-40"/>
    <n v="940"/>
  </r>
  <r>
    <x v="0"/>
    <s v="conventional_refinance_cai_784"/>
    <x v="824"/>
    <n v="1.724850752"/>
    <n v="1"/>
    <n v="-40"/>
    <n v="940"/>
  </r>
  <r>
    <x v="0"/>
    <s v="conventional_refinance_cai_785"/>
    <x v="825"/>
    <n v="1.7248595625000001"/>
    <n v="1"/>
    <n v="-40"/>
    <n v="940"/>
  </r>
  <r>
    <x v="0"/>
    <s v="conventional_refinance_cai_786"/>
    <x v="826"/>
    <n v="1.724868428"/>
    <n v="1"/>
    <n v="-40"/>
    <n v="940"/>
  </r>
  <r>
    <x v="0"/>
    <s v="conventional_refinance_cai_787"/>
    <x v="827"/>
    <n v="1.7248773515"/>
    <n v="1"/>
    <n v="-40"/>
    <n v="940"/>
  </r>
  <r>
    <x v="0"/>
    <s v="conventional_refinance_cai_788"/>
    <x v="828"/>
    <n v="1.724886336"/>
    <n v="1"/>
    <n v="-40"/>
    <n v="940"/>
  </r>
  <r>
    <x v="0"/>
    <s v="conventional_refinance_cai_789"/>
    <x v="829"/>
    <n v="1.7248953844999999"/>
    <n v="1"/>
    <n v="-40"/>
    <n v="940"/>
  </r>
  <r>
    <x v="0"/>
    <s v="conventional_refinance_cai_790"/>
    <x v="830"/>
    <n v="1.7249045000000001"/>
    <n v="1"/>
    <n v="-40"/>
    <n v="940"/>
  </r>
  <r>
    <x v="0"/>
    <s v="conventional_refinance_cai_791"/>
    <x v="831"/>
    <n v="1.7249136855"/>
    <n v="1"/>
    <n v="-40"/>
    <n v="940"/>
  </r>
  <r>
    <x v="0"/>
    <s v="conventional_refinance_cai_792"/>
    <x v="832"/>
    <n v="1.724922944"/>
    <n v="1"/>
    <n v="-40"/>
    <n v="940"/>
  </r>
  <r>
    <x v="0"/>
    <s v="conventional_refinance_cai_793"/>
    <x v="833"/>
    <n v="1.7249322785000001"/>
    <n v="1"/>
    <n v="-40"/>
    <n v="940"/>
  </r>
  <r>
    <x v="0"/>
    <s v="conventional_refinance_cai_794"/>
    <x v="834"/>
    <n v="1.724941692"/>
    <n v="1"/>
    <n v="-40"/>
    <n v="940"/>
  </r>
  <r>
    <x v="0"/>
    <s v="conventional_refinance_cai_795"/>
    <x v="835"/>
    <n v="1.7249511875000001"/>
    <n v="1"/>
    <n v="-40"/>
    <n v="940"/>
  </r>
  <r>
    <x v="0"/>
    <s v="conventional_refinance_cai_796"/>
    <x v="836"/>
    <n v="1.7249607680000001"/>
    <n v="1"/>
    <n v="-40"/>
    <n v="940"/>
  </r>
  <r>
    <x v="0"/>
    <s v="conventional_refinance_cai_797"/>
    <x v="837"/>
    <n v="1.7249704365"/>
    <n v="1"/>
    <n v="-40"/>
    <n v="940"/>
  </r>
  <r>
    <x v="0"/>
    <s v="conventional_refinance_cai_798"/>
    <x v="838"/>
    <n v="1.724980196"/>
    <n v="1"/>
    <n v="-40"/>
    <n v="940"/>
  </r>
  <r>
    <x v="0"/>
    <s v="conventional_refinance_cai_799"/>
    <x v="839"/>
    <n v="1.7249900494999999"/>
    <n v="1"/>
    <n v="-40"/>
    <n v="940"/>
  </r>
  <r>
    <x v="0"/>
    <s v="conventional_refinance_cai_800"/>
    <x v="840"/>
    <n v="1.7250000000000001"/>
    <n v="1"/>
    <n v="-40"/>
    <n v="940"/>
  </r>
  <r>
    <x v="0"/>
    <s v="conventional_refinance_cai_801"/>
    <x v="841"/>
    <n v="1.7250099999999999"/>
    <n v="1"/>
    <n v="-40"/>
    <n v="940"/>
  </r>
  <r>
    <x v="0"/>
    <s v="conventional_refinance_cai_802"/>
    <x v="842"/>
    <n v="1.72502"/>
    <n v="1"/>
    <n v="-40"/>
    <n v="940"/>
  </r>
  <r>
    <x v="0"/>
    <s v="conventional_refinance_cai_803"/>
    <x v="843"/>
    <n v="1.7250300000000001"/>
    <n v="1"/>
    <n v="-40"/>
    <n v="940"/>
  </r>
  <r>
    <x v="0"/>
    <s v="conventional_refinance_cai_804"/>
    <x v="844"/>
    <n v="1.7250399999999999"/>
    <n v="1"/>
    <n v="-40"/>
    <n v="940"/>
  </r>
  <r>
    <x v="0"/>
    <s v="conventional_refinance_cai_805"/>
    <x v="845"/>
    <n v="1.72505"/>
    <n v="1"/>
    <n v="-40"/>
    <n v="940"/>
  </r>
  <r>
    <x v="0"/>
    <s v="conventional_refinance_cai_806"/>
    <x v="846"/>
    <n v="1.72506"/>
    <n v="1"/>
    <n v="-40"/>
    <n v="940"/>
  </r>
  <r>
    <x v="0"/>
    <s v="conventional_refinance_cai_807"/>
    <x v="847"/>
    <n v="1.7250700000000001"/>
    <n v="1"/>
    <n v="-40"/>
    <n v="940"/>
  </r>
  <r>
    <x v="0"/>
    <s v="conventional_refinance_cai_808"/>
    <x v="848"/>
    <n v="1.7250799999999999"/>
    <n v="1"/>
    <n v="-40"/>
    <n v="940"/>
  </r>
  <r>
    <x v="0"/>
    <s v="conventional_refinance_cai_809"/>
    <x v="849"/>
    <n v="1.72509"/>
    <n v="1"/>
    <n v="-40"/>
    <n v="940"/>
  </r>
  <r>
    <x v="0"/>
    <s v="conventional_refinance_cai_810"/>
    <x v="850"/>
    <n v="1.7251000000000001"/>
    <n v="1"/>
    <n v="-40"/>
    <n v="940"/>
  </r>
  <r>
    <x v="0"/>
    <s v="conventional_refinance_cai_811"/>
    <x v="851"/>
    <n v="1.7251099999999999"/>
    <n v="1"/>
    <n v="-40"/>
    <n v="940"/>
  </r>
  <r>
    <x v="0"/>
    <s v="conventional_refinance_cai_812"/>
    <x v="852"/>
    <n v="1.72512"/>
    <n v="1"/>
    <n v="-40"/>
    <n v="940"/>
  </r>
  <r>
    <x v="0"/>
    <s v="conventional_refinance_cai_813"/>
    <x v="853"/>
    <n v="1.7251300000000001"/>
    <n v="1"/>
    <n v="-40"/>
    <n v="940"/>
  </r>
  <r>
    <x v="0"/>
    <s v="conventional_refinance_cai_814"/>
    <x v="854"/>
    <n v="1.7251399999999999"/>
    <n v="1"/>
    <n v="-40"/>
    <n v="940"/>
  </r>
  <r>
    <x v="0"/>
    <s v="conventional_refinance_cai_815"/>
    <x v="855"/>
    <n v="1.72515"/>
    <n v="1"/>
    <n v="-40"/>
    <n v="940"/>
  </r>
  <r>
    <x v="0"/>
    <s v="conventional_refinance_cai_816"/>
    <x v="856"/>
    <n v="1.72516"/>
    <n v="1"/>
    <n v="-40"/>
    <n v="940"/>
  </r>
  <r>
    <x v="0"/>
    <s v="conventional_refinance_cai_817"/>
    <x v="857"/>
    <n v="1.7251700000000001"/>
    <n v="1"/>
    <n v="-40"/>
    <n v="940"/>
  </r>
  <r>
    <x v="0"/>
    <s v="conventional_refinance_cai_818"/>
    <x v="858"/>
    <n v="1.7251799999999999"/>
    <n v="1"/>
    <n v="-40"/>
    <n v="940"/>
  </r>
  <r>
    <x v="0"/>
    <s v="conventional_refinance_cai_819"/>
    <x v="859"/>
    <n v="1.72519"/>
    <n v="1"/>
    <n v="-40"/>
    <n v="940"/>
  </r>
  <r>
    <x v="0"/>
    <s v="conventional_refinance_cai_820"/>
    <x v="860"/>
    <n v="1.7252000000000001"/>
    <n v="1"/>
    <n v="-40"/>
    <n v="940"/>
  </r>
  <r>
    <x v="0"/>
    <s v="conventional_refinance_cai_821"/>
    <x v="861"/>
    <n v="1.7252099999999999"/>
    <n v="1"/>
    <n v="-40"/>
    <n v="940"/>
  </r>
  <r>
    <x v="0"/>
    <s v="conventional_refinance_cai_822"/>
    <x v="862"/>
    <n v="1.72522"/>
    <n v="1"/>
    <n v="-40"/>
    <n v="940"/>
  </r>
  <r>
    <x v="0"/>
    <s v="conventional_refinance_cai_823"/>
    <x v="863"/>
    <n v="1.72523"/>
    <n v="1"/>
    <n v="-40"/>
    <n v="940"/>
  </r>
  <r>
    <x v="0"/>
    <s v="conventional_refinance_cai_824"/>
    <x v="864"/>
    <n v="1.7252400000000001"/>
    <n v="1"/>
    <n v="-40"/>
    <n v="940"/>
  </r>
  <r>
    <x v="0"/>
    <s v="conventional_refinance_cai_825"/>
    <x v="865"/>
    <n v="1.72525"/>
    <n v="1"/>
    <n v="-40"/>
    <n v="940"/>
  </r>
  <r>
    <x v="0"/>
    <s v="conventional_refinance_cai_826"/>
    <x v="866"/>
    <n v="1.72526"/>
    <n v="1"/>
    <n v="-40"/>
    <n v="940"/>
  </r>
  <r>
    <x v="0"/>
    <s v="conventional_refinance_cai_827"/>
    <x v="867"/>
    <n v="1.7252700000000001"/>
    <n v="1"/>
    <n v="-40"/>
    <n v="940"/>
  </r>
  <r>
    <x v="0"/>
    <s v="conventional_refinance_cai_828"/>
    <x v="868"/>
    <n v="1.7252799999999999"/>
    <n v="1"/>
    <n v="-40"/>
    <n v="940"/>
  </r>
  <r>
    <x v="0"/>
    <s v="conventional_refinance_cai_829"/>
    <x v="869"/>
    <n v="1.72529"/>
    <n v="1"/>
    <n v="-40"/>
    <n v="940"/>
  </r>
  <r>
    <x v="0"/>
    <s v="conventional_refinance_cai_830"/>
    <x v="870"/>
    <n v="1.7253000000000001"/>
    <n v="1"/>
    <n v="-40"/>
    <n v="940"/>
  </r>
  <r>
    <x v="0"/>
    <s v="conventional_refinance_cai_831"/>
    <x v="871"/>
    <n v="1.7253099999999999"/>
    <n v="1"/>
    <n v="-40"/>
    <n v="940"/>
  </r>
  <r>
    <x v="0"/>
    <s v="conventional_refinance_cai_832"/>
    <x v="872"/>
    <n v="1.72532"/>
    <n v="1"/>
    <n v="-40"/>
    <n v="940"/>
  </r>
  <r>
    <x v="0"/>
    <s v="conventional_refinance_cai_833"/>
    <x v="873"/>
    <n v="1.72533"/>
    <n v="1"/>
    <n v="-40"/>
    <n v="940"/>
  </r>
  <r>
    <x v="0"/>
    <s v="conventional_refinance_cai_834"/>
    <x v="874"/>
    <n v="1.7253400000000001"/>
    <n v="1"/>
    <n v="-40"/>
    <n v="940"/>
  </r>
  <r>
    <x v="0"/>
    <s v="conventional_refinance_cai_835"/>
    <x v="875"/>
    <n v="1.7253499999999999"/>
    <n v="1"/>
    <n v="-40"/>
    <n v="940"/>
  </r>
  <r>
    <x v="0"/>
    <s v="conventional_refinance_cai_836"/>
    <x v="876"/>
    <n v="1.72536"/>
    <n v="1"/>
    <n v="-40"/>
    <n v="940"/>
  </r>
  <r>
    <x v="0"/>
    <s v="conventional_refinance_cai_837"/>
    <x v="877"/>
    <n v="1.7253700000000001"/>
    <n v="1"/>
    <n v="-40"/>
    <n v="940"/>
  </r>
  <r>
    <x v="0"/>
    <s v="conventional_refinance_cai_838"/>
    <x v="878"/>
    <n v="1.7253799999999999"/>
    <n v="1"/>
    <n v="-40"/>
    <n v="940"/>
  </r>
  <r>
    <x v="0"/>
    <s v="conventional_refinance_cai_839"/>
    <x v="879"/>
    <n v="1.72539"/>
    <n v="1"/>
    <n v="-40"/>
    <n v="940"/>
  </r>
  <r>
    <x v="0"/>
    <s v="conventional_refinance_cai_840"/>
    <x v="880"/>
    <n v="1.7254"/>
    <n v="1"/>
    <n v="-40"/>
    <n v="940"/>
  </r>
  <r>
    <x v="0"/>
    <s v="conventional_refinance_cai_841"/>
    <x v="881"/>
    <n v="1.7254100000000001"/>
    <n v="1"/>
    <n v="-40"/>
    <n v="940"/>
  </r>
  <r>
    <x v="0"/>
    <s v="conventional_refinance_cai_842"/>
    <x v="882"/>
    <n v="1.72542"/>
    <n v="1"/>
    <n v="-40"/>
    <n v="940"/>
  </r>
  <r>
    <x v="0"/>
    <s v="conventional_refinance_cai_843"/>
    <x v="883"/>
    <n v="1.72543"/>
    <n v="1"/>
    <n v="-40"/>
    <n v="940"/>
  </r>
  <r>
    <x v="0"/>
    <s v="conventional_refinance_cai_844"/>
    <x v="884"/>
    <n v="1.7254400000000001"/>
    <n v="1"/>
    <n v="-40"/>
    <n v="940"/>
  </r>
  <r>
    <x v="0"/>
    <s v="conventional_refinance_cai_845"/>
    <x v="885"/>
    <n v="1.7254499999999999"/>
    <n v="1"/>
    <n v="-40"/>
    <n v="940"/>
  </r>
  <r>
    <x v="0"/>
    <s v="conventional_refinance_cai_846"/>
    <x v="886"/>
    <n v="1.72546"/>
    <n v="1"/>
    <n v="-40"/>
    <n v="940"/>
  </r>
  <r>
    <x v="0"/>
    <s v="conventional_refinance_cai_847"/>
    <x v="887"/>
    <n v="1.7254700000000001"/>
    <n v="1"/>
    <n v="-40"/>
    <n v="940"/>
  </r>
  <r>
    <x v="0"/>
    <s v="conventional_refinance_cai_848"/>
    <x v="888"/>
    <n v="1.7254799999999999"/>
    <n v="1"/>
    <n v="-40"/>
    <n v="940"/>
  </r>
  <r>
    <x v="0"/>
    <s v="conventional_refinance_cai_849"/>
    <x v="889"/>
    <n v="1.72549"/>
    <n v="1"/>
    <n v="-40"/>
    <n v="940"/>
  </r>
  <r>
    <x v="0"/>
    <s v="conventional_refinance_cai_850"/>
    <x v="890"/>
    <n v="1.7255"/>
    <n v="1"/>
    <n v="-40"/>
    <n v="940"/>
  </r>
  <r>
    <x v="0"/>
    <s v="conventional_refinance_cai_851"/>
    <x v="891"/>
    <n v="1.7255100000000001"/>
    <n v="1"/>
    <n v="-40"/>
    <n v="940"/>
  </r>
  <r>
    <x v="0"/>
    <s v="conventional_refinance_cai_852"/>
    <x v="892"/>
    <n v="1.7255199999999999"/>
    <n v="1"/>
    <n v="-40"/>
    <n v="940"/>
  </r>
  <r>
    <x v="0"/>
    <s v="conventional_refinance_cai_853"/>
    <x v="893"/>
    <n v="1.72553"/>
    <n v="1"/>
    <n v="-40"/>
    <n v="940"/>
  </r>
  <r>
    <x v="0"/>
    <s v="conventional_refinance_cai_854"/>
    <x v="894"/>
    <n v="1.7255400000000001"/>
    <n v="1"/>
    <n v="-40"/>
    <n v="940"/>
  </r>
  <r>
    <x v="0"/>
    <s v="conventional_refinance_cai_855"/>
    <x v="895"/>
    <n v="1.7255499999999999"/>
    <n v="1"/>
    <n v="-40"/>
    <n v="940"/>
  </r>
  <r>
    <x v="0"/>
    <s v="conventional_refinance_cai_856"/>
    <x v="896"/>
    <n v="1.72556"/>
    <n v="1"/>
    <n v="-40"/>
    <n v="940"/>
  </r>
  <r>
    <x v="0"/>
    <s v="conventional_refinance_cai_857"/>
    <x v="897"/>
    <n v="1.72557"/>
    <n v="1"/>
    <n v="-40"/>
    <n v="940"/>
  </r>
  <r>
    <x v="0"/>
    <s v="conventional_refinance_cai_858"/>
    <x v="898"/>
    <n v="1.7255799999999999"/>
    <n v="1"/>
    <n v="-40"/>
    <n v="940"/>
  </r>
  <r>
    <x v="0"/>
    <s v="conventional_refinance_cai_859"/>
    <x v="899"/>
    <n v="1.72559"/>
    <n v="1"/>
    <n v="-40"/>
    <n v="940"/>
  </r>
  <r>
    <x v="0"/>
    <s v="conventional_refinance_cai_860"/>
    <x v="900"/>
    <n v="1.7256"/>
    <n v="1"/>
    <n v="-40"/>
    <n v="940"/>
  </r>
  <r>
    <x v="0"/>
    <s v="conventional_refinance_cai_861"/>
    <x v="901"/>
    <n v="1.7256100000000001"/>
    <n v="1"/>
    <n v="-40"/>
    <n v="940"/>
  </r>
  <r>
    <x v="0"/>
    <s v="conventional_refinance_cai_862"/>
    <x v="902"/>
    <n v="1.7256199999999999"/>
    <n v="1"/>
    <n v="-40"/>
    <n v="940"/>
  </r>
  <r>
    <x v="0"/>
    <s v="conventional_refinance_cai_863"/>
    <x v="903"/>
    <n v="1.72563"/>
    <n v="1"/>
    <n v="-40"/>
    <n v="940"/>
  </r>
  <r>
    <x v="0"/>
    <s v="conventional_refinance_cai_864"/>
    <x v="904"/>
    <n v="1.7256400000000001"/>
    <n v="1"/>
    <n v="-40"/>
    <n v="940"/>
  </r>
  <r>
    <x v="0"/>
    <s v="conventional_refinance_cai_865"/>
    <x v="905"/>
    <n v="1.7256499999999999"/>
    <n v="1"/>
    <n v="-40"/>
    <n v="940"/>
  </r>
  <r>
    <x v="0"/>
    <s v="conventional_refinance_cai_866"/>
    <x v="906"/>
    <n v="1.72566"/>
    <n v="1"/>
    <n v="-40"/>
    <n v="940"/>
  </r>
  <r>
    <x v="0"/>
    <s v="conventional_refinance_cai_867"/>
    <x v="907"/>
    <n v="1.72567"/>
    <n v="1"/>
    <n v="-40"/>
    <n v="940"/>
  </r>
  <r>
    <x v="0"/>
    <s v="conventional_refinance_cai_868"/>
    <x v="908"/>
    <n v="1.7256800000000001"/>
    <n v="1"/>
    <n v="-40"/>
    <n v="940"/>
  </r>
  <r>
    <x v="0"/>
    <s v="conventional_refinance_cai_869"/>
    <x v="909"/>
    <n v="1.7256899999999999"/>
    <n v="1"/>
    <n v="-40"/>
    <n v="940"/>
  </r>
  <r>
    <x v="0"/>
    <s v="conventional_refinance_cai_870"/>
    <x v="910"/>
    <n v="1.7257"/>
    <n v="1"/>
    <n v="-40"/>
    <n v="940"/>
  </r>
  <r>
    <x v="0"/>
    <s v="conventional_refinance_cai_871"/>
    <x v="911"/>
    <n v="1.7257100000000001"/>
    <n v="1"/>
    <n v="-40"/>
    <n v="940"/>
  </r>
  <r>
    <x v="0"/>
    <s v="conventional_refinance_cai_872"/>
    <x v="912"/>
    <n v="1.7257199999999999"/>
    <n v="1"/>
    <n v="-40"/>
    <n v="940"/>
  </r>
  <r>
    <x v="0"/>
    <s v="conventional_refinance_cai_873"/>
    <x v="913"/>
    <n v="1.72573"/>
    <n v="1"/>
    <n v="-40"/>
    <n v="940"/>
  </r>
  <r>
    <x v="0"/>
    <s v="conventional_refinance_cai_874"/>
    <x v="914"/>
    <n v="1.7257400000000001"/>
    <n v="1"/>
    <n v="-40"/>
    <n v="940"/>
  </r>
  <r>
    <x v="0"/>
    <s v="conventional_refinance_cai_875"/>
    <x v="915"/>
    <n v="1.7257499999999999"/>
    <n v="1"/>
    <n v="-40"/>
    <n v="940"/>
  </r>
  <r>
    <x v="0"/>
    <s v="conventional_refinance_cai_876"/>
    <x v="916"/>
    <n v="1.72576"/>
    <n v="1"/>
    <n v="-40"/>
    <n v="940"/>
  </r>
  <r>
    <x v="0"/>
    <s v="conventional_refinance_cai_877"/>
    <x v="917"/>
    <n v="1.72577"/>
    <n v="1"/>
    <n v="-40"/>
    <n v="940"/>
  </r>
  <r>
    <x v="0"/>
    <s v="conventional_refinance_cai_878"/>
    <x v="918"/>
    <n v="1.7257800000000001"/>
    <n v="1"/>
    <n v="-40"/>
    <n v="940"/>
  </r>
  <r>
    <x v="0"/>
    <s v="conventional_refinance_cai_879"/>
    <x v="919"/>
    <n v="1.7257899999999999"/>
    <n v="1"/>
    <n v="-40"/>
    <n v="940"/>
  </r>
  <r>
    <x v="0"/>
    <s v="conventional_refinance_cai_880"/>
    <x v="920"/>
    <n v="1.7258"/>
    <n v="1"/>
    <n v="-40"/>
    <n v="940"/>
  </r>
  <r>
    <x v="0"/>
    <s v="conventional_refinance_cai_881"/>
    <x v="921"/>
    <n v="1.7258100000000001"/>
    <n v="1"/>
    <n v="-40"/>
    <n v="940"/>
  </r>
  <r>
    <x v="0"/>
    <s v="conventional_refinance_cai_882"/>
    <x v="922"/>
    <n v="1.7258199999999999"/>
    <n v="1"/>
    <n v="-40"/>
    <n v="940"/>
  </r>
  <r>
    <x v="0"/>
    <s v="conventional_refinance_cai_883"/>
    <x v="923"/>
    <n v="1.72583"/>
    <n v="1"/>
    <n v="-40"/>
    <n v="940"/>
  </r>
  <r>
    <x v="0"/>
    <s v="conventional_refinance_cai_884"/>
    <x v="924"/>
    <n v="1.72584"/>
    <n v="1"/>
    <n v="-40"/>
    <n v="940"/>
  </r>
  <r>
    <x v="0"/>
    <s v="conventional_refinance_cai_885"/>
    <x v="925"/>
    <n v="1.7258500000000001"/>
    <n v="1"/>
    <n v="-40"/>
    <n v="940"/>
  </r>
  <r>
    <x v="0"/>
    <s v="conventional_refinance_cai_886"/>
    <x v="926"/>
    <n v="1.7258599999999999"/>
    <n v="1"/>
    <n v="-40"/>
    <n v="940"/>
  </r>
  <r>
    <x v="0"/>
    <s v="conventional_refinance_cai_887"/>
    <x v="927"/>
    <n v="1.72587"/>
    <n v="1"/>
    <n v="-40"/>
    <n v="940"/>
  </r>
  <r>
    <x v="0"/>
    <s v="conventional_refinance_cai_888"/>
    <x v="928"/>
    <n v="1.7258800000000001"/>
    <n v="1"/>
    <n v="-40"/>
    <n v="940"/>
  </r>
  <r>
    <x v="0"/>
    <s v="conventional_refinance_cai_889"/>
    <x v="929"/>
    <n v="1.7258899999999999"/>
    <n v="1"/>
    <n v="-40"/>
    <n v="940"/>
  </r>
  <r>
    <x v="0"/>
    <s v="conventional_refinance_cai_890"/>
    <x v="930"/>
    <n v="1.7259"/>
    <n v="1"/>
    <n v="-40"/>
    <n v="940"/>
  </r>
  <r>
    <x v="0"/>
    <s v="conventional_refinance_cai_891"/>
    <x v="931"/>
    <n v="1.7259100000000001"/>
    <n v="1"/>
    <n v="-40"/>
    <n v="940"/>
  </r>
  <r>
    <x v="0"/>
    <s v="conventional_refinance_cai_892"/>
    <x v="932"/>
    <n v="1.7259199999999999"/>
    <n v="1"/>
    <n v="-40"/>
    <n v="940"/>
  </r>
  <r>
    <x v="0"/>
    <s v="conventional_refinance_cai_893"/>
    <x v="933"/>
    <n v="1.72593"/>
    <n v="1"/>
    <n v="-40"/>
    <n v="940"/>
  </r>
  <r>
    <x v="0"/>
    <s v="conventional_refinance_cai_894"/>
    <x v="934"/>
    <n v="1.72594"/>
    <n v="1"/>
    <n v="-40"/>
    <n v="940"/>
  </r>
  <r>
    <x v="0"/>
    <s v="conventional_refinance_cai_895"/>
    <x v="935"/>
    <n v="1.7259500000000001"/>
    <n v="1"/>
    <n v="-40"/>
    <n v="940"/>
  </r>
  <r>
    <x v="0"/>
    <s v="conventional_refinance_cai_896"/>
    <x v="936"/>
    <n v="1.7259599999999999"/>
    <n v="1"/>
    <n v="-40"/>
    <n v="940"/>
  </r>
  <r>
    <x v="0"/>
    <s v="conventional_refinance_cai_897"/>
    <x v="937"/>
    <n v="1.72597"/>
    <n v="1"/>
    <n v="-40"/>
    <n v="940"/>
  </r>
  <r>
    <x v="0"/>
    <s v="conventional_refinance_cai_898"/>
    <x v="938"/>
    <n v="1.7259800000000001"/>
    <n v="1"/>
    <n v="-40"/>
    <n v="940"/>
  </r>
  <r>
    <x v="0"/>
    <s v="conventional_refinance_cai_899"/>
    <x v="939"/>
    <n v="1.7259899999999999"/>
    <n v="1"/>
    <n v="-40"/>
    <n v="940"/>
  </r>
  <r>
    <x v="0"/>
    <s v="conventional_refinance_cai_900"/>
    <x v="940"/>
    <n v="1.726"/>
    <n v="1"/>
    <n v="-40"/>
    <n v="940"/>
  </r>
  <r>
    <x v="0"/>
    <s v="conventional_refinance_cai_901"/>
    <x v="941"/>
    <n v="1.72601"/>
    <n v="1"/>
    <n v="-40"/>
    <n v="940"/>
  </r>
  <r>
    <x v="0"/>
    <s v="conventional_refinance_cai_902"/>
    <x v="942"/>
    <n v="1.7260200000000001"/>
    <n v="1"/>
    <n v="-40"/>
    <n v="940"/>
  </r>
  <r>
    <x v="0"/>
    <s v="conventional_refinance_cai_903"/>
    <x v="943"/>
    <n v="1.72603"/>
    <n v="1"/>
    <n v="-40"/>
    <n v="940"/>
  </r>
  <r>
    <x v="0"/>
    <s v="conventional_refinance_cai_904"/>
    <x v="944"/>
    <n v="1.72604"/>
    <n v="1"/>
    <n v="-40"/>
    <n v="940"/>
  </r>
  <r>
    <x v="0"/>
    <s v="conventional_refinance_cai_905"/>
    <x v="945"/>
    <n v="1.7260500000000001"/>
    <n v="1"/>
    <n v="-40"/>
    <n v="940"/>
  </r>
  <r>
    <x v="0"/>
    <s v="conventional_refinance_cai_906"/>
    <x v="946"/>
    <n v="1.7260599999999999"/>
    <n v="1"/>
    <n v="-40"/>
    <n v="940"/>
  </r>
  <r>
    <x v="0"/>
    <s v="conventional_refinance_cai_907"/>
    <x v="947"/>
    <n v="1.72607"/>
    <n v="1"/>
    <n v="-40"/>
    <n v="940"/>
  </r>
  <r>
    <x v="0"/>
    <s v="conventional_refinance_cai_908"/>
    <x v="948"/>
    <n v="1.7260800000000001"/>
    <n v="1"/>
    <n v="-40"/>
    <n v="940"/>
  </r>
  <r>
    <x v="0"/>
    <s v="conventional_refinance_cai_909"/>
    <x v="949"/>
    <n v="1.7260899999999999"/>
    <n v="1"/>
    <n v="-40"/>
    <n v="940"/>
  </r>
  <r>
    <x v="0"/>
    <s v="conventional_refinance_cai_910"/>
    <x v="950"/>
    <n v="1.7261"/>
    <n v="1"/>
    <n v="-40"/>
    <n v="940"/>
  </r>
  <r>
    <x v="0"/>
    <s v="conventional_refinance_cai_911"/>
    <x v="951"/>
    <n v="1.72611"/>
    <n v="1"/>
    <n v="-40"/>
    <n v="940"/>
  </r>
  <r>
    <x v="0"/>
    <s v="conventional_refinance_cai_912"/>
    <x v="952"/>
    <n v="1.7261200000000001"/>
    <n v="1"/>
    <n v="-40"/>
    <n v="940"/>
  </r>
  <r>
    <x v="0"/>
    <s v="conventional_refinance_cai_913"/>
    <x v="953"/>
    <n v="1.7261299999999999"/>
    <n v="1"/>
    <n v="-40"/>
    <n v="940"/>
  </r>
  <r>
    <x v="0"/>
    <s v="conventional_refinance_cai_914"/>
    <x v="954"/>
    <n v="1.72614"/>
    <n v="1"/>
    <n v="-40"/>
    <n v="940"/>
  </r>
  <r>
    <x v="0"/>
    <s v="conventional_refinance_cai_915"/>
    <x v="955"/>
    <n v="1.7261500000000001"/>
    <n v="1"/>
    <n v="-40"/>
    <n v="940"/>
  </r>
  <r>
    <x v="0"/>
    <s v="conventional_refinance_cai_916"/>
    <x v="956"/>
    <n v="1.7261599999999999"/>
    <n v="1"/>
    <n v="-40"/>
    <n v="940"/>
  </r>
  <r>
    <x v="0"/>
    <s v="conventional_refinance_cai_917"/>
    <x v="957"/>
    <n v="1.72617"/>
    <n v="1"/>
    <n v="-40"/>
    <n v="940"/>
  </r>
  <r>
    <x v="0"/>
    <s v="conventional_refinance_cai_918"/>
    <x v="958"/>
    <n v="1.72618"/>
    <n v="1"/>
    <n v="-40"/>
    <n v="940"/>
  </r>
  <r>
    <x v="0"/>
    <s v="conventional_refinance_cai_919"/>
    <x v="959"/>
    <n v="1.7261899999999999"/>
    <n v="1"/>
    <n v="-40"/>
    <n v="940"/>
  </r>
  <r>
    <x v="0"/>
    <s v="conventional_refinance_cai_920"/>
    <x v="960"/>
    <n v="1.7262"/>
    <n v="1"/>
    <n v="-40"/>
    <n v="940"/>
  </r>
  <r>
    <x v="0"/>
    <s v="conventional_refinance_cai_921"/>
    <x v="961"/>
    <n v="1.72621"/>
    <n v="1"/>
    <n v="-40"/>
    <n v="940"/>
  </r>
  <r>
    <x v="0"/>
    <s v="conventional_refinance_cai_922"/>
    <x v="962"/>
    <n v="1.7262200000000001"/>
    <n v="1"/>
    <n v="-40"/>
    <n v="940"/>
  </r>
  <r>
    <x v="0"/>
    <s v="conventional_refinance_cai_923"/>
    <x v="963"/>
    <n v="1.7262299999999999"/>
    <n v="1"/>
    <n v="-40"/>
    <n v="940"/>
  </r>
  <r>
    <x v="0"/>
    <s v="conventional_refinance_cai_924"/>
    <x v="964"/>
    <n v="1.72624"/>
    <n v="1"/>
    <n v="-40"/>
    <n v="940"/>
  </r>
  <r>
    <x v="0"/>
    <s v="conventional_refinance_cai_925"/>
    <x v="965"/>
    <n v="1.7262500000000001"/>
    <n v="1"/>
    <n v="-40"/>
    <n v="940"/>
  </r>
  <r>
    <x v="0"/>
    <s v="conventional_refinance_cai_926"/>
    <x v="966"/>
    <n v="1.7262599999999999"/>
    <n v="1"/>
    <n v="-40"/>
    <n v="940"/>
  </r>
  <r>
    <x v="0"/>
    <s v="conventional_refinance_cai_927"/>
    <x v="967"/>
    <n v="1.72627"/>
    <n v="1"/>
    <n v="-40"/>
    <n v="940"/>
  </r>
  <r>
    <x v="0"/>
    <s v="conventional_refinance_cai_928"/>
    <x v="968"/>
    <n v="1.72628"/>
    <n v="1"/>
    <n v="-40"/>
    <n v="940"/>
  </r>
  <r>
    <x v="0"/>
    <s v="conventional_refinance_cai_929"/>
    <x v="969"/>
    <n v="1.7262900000000001"/>
    <n v="1"/>
    <n v="-40"/>
    <n v="940"/>
  </r>
  <r>
    <x v="0"/>
    <s v="conventional_refinance_cai_930"/>
    <x v="970"/>
    <n v="1.7262999999999999"/>
    <n v="1"/>
    <n v="-40"/>
    <n v="940"/>
  </r>
  <r>
    <x v="0"/>
    <s v="conventional_refinance_cai_931"/>
    <x v="971"/>
    <n v="1.72631"/>
    <n v="1"/>
    <n v="-40"/>
    <n v="940"/>
  </r>
  <r>
    <x v="0"/>
    <s v="conventional_refinance_cai_932"/>
    <x v="972"/>
    <n v="1.7263200000000001"/>
    <n v="1"/>
    <n v="-40"/>
    <n v="940"/>
  </r>
  <r>
    <x v="0"/>
    <s v="conventional_refinance_cai_933"/>
    <x v="973"/>
    <n v="1.7263299999999999"/>
    <n v="1"/>
    <n v="-40"/>
    <n v="940"/>
  </r>
  <r>
    <x v="0"/>
    <s v="conventional_refinance_cai_934"/>
    <x v="974"/>
    <n v="1.72634"/>
    <n v="1"/>
    <n v="-40"/>
    <n v="940"/>
  </r>
  <r>
    <x v="0"/>
    <s v="conventional_refinance_cai_935"/>
    <x v="975"/>
    <n v="1.7263500000000001"/>
    <n v="1"/>
    <n v="-40"/>
    <n v="940"/>
  </r>
  <r>
    <x v="0"/>
    <s v="conventional_refinance_cai_936"/>
    <x v="976"/>
    <n v="1.7263599999999999"/>
    <n v="1"/>
    <n v="-40"/>
    <n v="940"/>
  </r>
  <r>
    <x v="0"/>
    <s v="conventional_refinance_cai_937"/>
    <x v="977"/>
    <n v="1.72637"/>
    <n v="1"/>
    <n v="-40"/>
    <n v="940"/>
  </r>
  <r>
    <x v="0"/>
    <s v="conventional_refinance_cai_938"/>
    <x v="978"/>
    <n v="1.72638"/>
    <n v="1"/>
    <n v="-40"/>
    <n v="940"/>
  </r>
  <r>
    <x v="0"/>
    <s v="conventional_refinance_cai_939"/>
    <x v="979"/>
    <n v="1.7263900000000001"/>
    <n v="1"/>
    <n v="-40"/>
    <n v="940"/>
  </r>
  <r>
    <x v="0"/>
    <s v="conventional_refinance_cai_940"/>
    <x v="980"/>
    <n v="1.7263999999999999"/>
    <n v="1"/>
    <n v="-40"/>
    <n v="940"/>
  </r>
  <r>
    <x v="1"/>
    <s v="conventional_refinance_hpa2yr_77"/>
    <x v="117"/>
    <n v="1"/>
    <n v="1"/>
    <n v="77"/>
    <n v="133"/>
  </r>
  <r>
    <x v="1"/>
    <s v="conventional_refinance_hpa2yr_78"/>
    <x v="118"/>
    <n v="1"/>
    <n v="1"/>
    <n v="77"/>
    <n v="133"/>
  </r>
  <r>
    <x v="1"/>
    <s v="conventional_refinance_hpa2yr_79"/>
    <x v="119"/>
    <n v="1"/>
    <n v="1"/>
    <n v="77"/>
    <n v="133"/>
  </r>
  <r>
    <x v="1"/>
    <s v="conventional_refinance_hpa2yr_80"/>
    <x v="120"/>
    <n v="1"/>
    <n v="1"/>
    <n v="77"/>
    <n v="133"/>
  </r>
  <r>
    <x v="1"/>
    <s v="conventional_refinance_hpa2yr_81"/>
    <x v="121"/>
    <n v="1"/>
    <n v="1"/>
    <n v="77"/>
    <n v="133"/>
  </r>
  <r>
    <x v="1"/>
    <s v="conventional_refinance_hpa2yr_82"/>
    <x v="122"/>
    <n v="1"/>
    <n v="1"/>
    <n v="77"/>
    <n v="133"/>
  </r>
  <r>
    <x v="1"/>
    <s v="conventional_refinance_hpa2yr_83"/>
    <x v="123"/>
    <n v="1"/>
    <n v="1"/>
    <n v="77"/>
    <n v="133"/>
  </r>
  <r>
    <x v="1"/>
    <s v="conventional_refinance_hpa2yr_84"/>
    <x v="124"/>
    <n v="1"/>
    <n v="1"/>
    <n v="77"/>
    <n v="133"/>
  </r>
  <r>
    <x v="1"/>
    <s v="conventional_refinance_hpa2yr_85"/>
    <x v="125"/>
    <n v="1"/>
    <n v="1"/>
    <n v="77"/>
    <n v="133"/>
  </r>
  <r>
    <x v="1"/>
    <s v="conventional_refinance_hpa2yr_86"/>
    <x v="126"/>
    <n v="1"/>
    <n v="1"/>
    <n v="77"/>
    <n v="133"/>
  </r>
  <r>
    <x v="1"/>
    <s v="conventional_refinance_hpa2yr_87"/>
    <x v="127"/>
    <n v="1"/>
    <n v="1"/>
    <n v="77"/>
    <n v="133"/>
  </r>
  <r>
    <x v="1"/>
    <s v="conventional_refinance_hpa2yr_88"/>
    <x v="128"/>
    <n v="1"/>
    <n v="1"/>
    <n v="77"/>
    <n v="133"/>
  </r>
  <r>
    <x v="1"/>
    <s v="conventional_refinance_hpa2yr_89"/>
    <x v="129"/>
    <n v="1"/>
    <n v="1"/>
    <n v="77"/>
    <n v="133"/>
  </r>
  <r>
    <x v="1"/>
    <s v="conventional_refinance_hpa2yr_90"/>
    <x v="130"/>
    <n v="1"/>
    <n v="1"/>
    <n v="77"/>
    <n v="133"/>
  </r>
  <r>
    <x v="1"/>
    <s v="conventional_refinance_hpa2yr_91"/>
    <x v="131"/>
    <n v="1"/>
    <n v="1"/>
    <n v="77"/>
    <n v="133"/>
  </r>
  <r>
    <x v="1"/>
    <s v="conventional_refinance_hpa2yr_92"/>
    <x v="132"/>
    <n v="1"/>
    <n v="1"/>
    <n v="77"/>
    <n v="133"/>
  </r>
  <r>
    <x v="1"/>
    <s v="conventional_refinance_hpa2yr_93"/>
    <x v="133"/>
    <n v="1"/>
    <n v="1"/>
    <n v="77"/>
    <n v="133"/>
  </r>
  <r>
    <x v="1"/>
    <s v="conventional_refinance_hpa2yr_94"/>
    <x v="134"/>
    <n v="1"/>
    <n v="1"/>
    <n v="77"/>
    <n v="133"/>
  </r>
  <r>
    <x v="1"/>
    <s v="conventional_refinance_hpa2yr_95"/>
    <x v="135"/>
    <n v="1"/>
    <n v="1"/>
    <n v="77"/>
    <n v="133"/>
  </r>
  <r>
    <x v="1"/>
    <s v="conventional_refinance_hpa2yr_96"/>
    <x v="136"/>
    <n v="1"/>
    <n v="1"/>
    <n v="77"/>
    <n v="133"/>
  </r>
  <r>
    <x v="1"/>
    <s v="conventional_refinance_hpa2yr_97"/>
    <x v="137"/>
    <n v="1"/>
    <n v="1"/>
    <n v="77"/>
    <n v="133"/>
  </r>
  <r>
    <x v="1"/>
    <s v="conventional_refinance_hpa2yr_98"/>
    <x v="138"/>
    <n v="1"/>
    <n v="1"/>
    <n v="77"/>
    <n v="133"/>
  </r>
  <r>
    <x v="1"/>
    <s v="conventional_refinance_hpa2yr_99"/>
    <x v="139"/>
    <n v="1"/>
    <n v="1"/>
    <n v="77"/>
    <n v="133"/>
  </r>
  <r>
    <x v="1"/>
    <s v="conventional_refinance_hpa2yr_100"/>
    <x v="140"/>
    <n v="1"/>
    <n v="1"/>
    <n v="77"/>
    <n v="133"/>
  </r>
  <r>
    <x v="1"/>
    <s v="conventional_refinance_hpa2yr_101"/>
    <x v="141"/>
    <n v="1"/>
    <n v="1"/>
    <n v="77"/>
    <n v="133"/>
  </r>
  <r>
    <x v="1"/>
    <s v="conventional_refinance_hpa2yr_102"/>
    <x v="142"/>
    <n v="1"/>
    <n v="1"/>
    <n v="77"/>
    <n v="133"/>
  </r>
  <r>
    <x v="1"/>
    <s v="conventional_refinance_hpa2yr_103"/>
    <x v="143"/>
    <n v="1"/>
    <n v="1"/>
    <n v="77"/>
    <n v="133"/>
  </r>
  <r>
    <x v="1"/>
    <s v="conventional_refinance_hpa2yr_104"/>
    <x v="144"/>
    <n v="1"/>
    <n v="1"/>
    <n v="77"/>
    <n v="133"/>
  </r>
  <r>
    <x v="1"/>
    <s v="conventional_refinance_hpa2yr_105"/>
    <x v="145"/>
    <n v="1"/>
    <n v="1"/>
    <n v="77"/>
    <n v="133"/>
  </r>
  <r>
    <x v="1"/>
    <s v="conventional_refinance_hpa2yr_106"/>
    <x v="146"/>
    <n v="1"/>
    <n v="1"/>
    <n v="77"/>
    <n v="133"/>
  </r>
  <r>
    <x v="1"/>
    <s v="conventional_refinance_hpa2yr_107"/>
    <x v="147"/>
    <n v="1"/>
    <n v="1"/>
    <n v="77"/>
    <n v="133"/>
  </r>
  <r>
    <x v="1"/>
    <s v="conventional_refinance_hpa2yr_108"/>
    <x v="148"/>
    <n v="1"/>
    <n v="1"/>
    <n v="77"/>
    <n v="133"/>
  </r>
  <r>
    <x v="1"/>
    <s v="conventional_refinance_hpa2yr_109"/>
    <x v="149"/>
    <n v="1"/>
    <n v="1"/>
    <n v="77"/>
    <n v="133"/>
  </r>
  <r>
    <x v="1"/>
    <s v="conventional_refinance_hpa2yr_110"/>
    <x v="150"/>
    <n v="1"/>
    <n v="1"/>
    <n v="77"/>
    <n v="133"/>
  </r>
  <r>
    <x v="1"/>
    <s v="conventional_refinance_hpa2yr_111"/>
    <x v="151"/>
    <n v="1"/>
    <n v="1"/>
    <n v="77"/>
    <n v="133"/>
  </r>
  <r>
    <x v="1"/>
    <s v="conventional_refinance_hpa2yr_112"/>
    <x v="152"/>
    <n v="1"/>
    <n v="1"/>
    <n v="77"/>
    <n v="133"/>
  </r>
  <r>
    <x v="1"/>
    <s v="conventional_refinance_hpa2yr_113"/>
    <x v="153"/>
    <n v="1"/>
    <n v="1"/>
    <n v="77"/>
    <n v="133"/>
  </r>
  <r>
    <x v="1"/>
    <s v="conventional_refinance_hpa2yr_114"/>
    <x v="154"/>
    <n v="1"/>
    <n v="1"/>
    <n v="77"/>
    <n v="133"/>
  </r>
  <r>
    <x v="1"/>
    <s v="conventional_refinance_hpa2yr_115"/>
    <x v="155"/>
    <n v="1"/>
    <n v="1"/>
    <n v="77"/>
    <n v="133"/>
  </r>
  <r>
    <x v="1"/>
    <s v="conventional_refinance_hpa2yr_116"/>
    <x v="156"/>
    <n v="1"/>
    <n v="1"/>
    <n v="77"/>
    <n v="133"/>
  </r>
  <r>
    <x v="1"/>
    <s v="conventional_refinance_hpa2yr_117"/>
    <x v="157"/>
    <n v="1"/>
    <n v="1"/>
    <n v="77"/>
    <n v="133"/>
  </r>
  <r>
    <x v="1"/>
    <s v="conventional_refinance_hpa2yr_118"/>
    <x v="158"/>
    <n v="1"/>
    <n v="1"/>
    <n v="77"/>
    <n v="133"/>
  </r>
  <r>
    <x v="1"/>
    <s v="conventional_refinance_hpa2yr_119"/>
    <x v="159"/>
    <n v="1"/>
    <n v="1"/>
    <n v="77"/>
    <n v="133"/>
  </r>
  <r>
    <x v="1"/>
    <s v="conventional_refinance_hpa2yr_120"/>
    <x v="160"/>
    <n v="1"/>
    <n v="1"/>
    <n v="77"/>
    <n v="133"/>
  </r>
  <r>
    <x v="1"/>
    <s v="conventional_refinance_hpa2yr_121"/>
    <x v="161"/>
    <n v="1"/>
    <n v="1"/>
    <n v="77"/>
    <n v="133"/>
  </r>
  <r>
    <x v="1"/>
    <s v="conventional_refinance_hpa2yr_122"/>
    <x v="162"/>
    <n v="1"/>
    <n v="1"/>
    <n v="77"/>
    <n v="133"/>
  </r>
  <r>
    <x v="1"/>
    <s v="conventional_refinance_hpa2yr_123"/>
    <x v="163"/>
    <n v="1"/>
    <n v="1"/>
    <n v="77"/>
    <n v="133"/>
  </r>
  <r>
    <x v="1"/>
    <s v="conventional_refinance_hpa2yr_124"/>
    <x v="164"/>
    <n v="1"/>
    <n v="1"/>
    <n v="77"/>
    <n v="133"/>
  </r>
  <r>
    <x v="1"/>
    <s v="conventional_refinance_hpa2yr_125"/>
    <x v="165"/>
    <n v="1"/>
    <n v="1"/>
    <n v="77"/>
    <n v="133"/>
  </r>
  <r>
    <x v="1"/>
    <s v="conventional_refinance_hpa2yr_126"/>
    <x v="166"/>
    <n v="1"/>
    <n v="1"/>
    <n v="77"/>
    <n v="133"/>
  </r>
  <r>
    <x v="1"/>
    <s v="conventional_refinance_hpa2yr_127"/>
    <x v="167"/>
    <n v="1"/>
    <n v="1"/>
    <n v="77"/>
    <n v="133"/>
  </r>
  <r>
    <x v="1"/>
    <s v="conventional_refinance_hpa2yr_128"/>
    <x v="168"/>
    <n v="1"/>
    <n v="1"/>
    <n v="77"/>
    <n v="133"/>
  </r>
  <r>
    <x v="1"/>
    <s v="conventional_refinance_hpa2yr_129"/>
    <x v="169"/>
    <n v="1"/>
    <n v="1"/>
    <n v="77"/>
    <n v="133"/>
  </r>
  <r>
    <x v="1"/>
    <s v="conventional_refinance_hpa2yr_130"/>
    <x v="170"/>
    <n v="1"/>
    <n v="1"/>
    <n v="77"/>
    <n v="133"/>
  </r>
  <r>
    <x v="1"/>
    <s v="conventional_refinance_hpa2yr_131"/>
    <x v="171"/>
    <n v="1"/>
    <n v="1"/>
    <n v="77"/>
    <n v="133"/>
  </r>
  <r>
    <x v="1"/>
    <s v="conventional_refinance_hpa2yr_132"/>
    <x v="172"/>
    <n v="1"/>
    <n v="1"/>
    <n v="77"/>
    <n v="133"/>
  </r>
  <r>
    <x v="1"/>
    <s v="conventional_refinance_hpa2yr_133"/>
    <x v="173"/>
    <n v="1"/>
    <n v="1"/>
    <n v="77"/>
    <n v="133"/>
  </r>
  <r>
    <x v="2"/>
    <s v="conventional_refinance_wala_-6"/>
    <x v="34"/>
    <n v="1E-8"/>
    <n v="1"/>
    <n v="-6"/>
    <n v="29"/>
  </r>
  <r>
    <x v="2"/>
    <s v="conventional_refinance_wala_-5"/>
    <x v="35"/>
    <n v="1E-8"/>
    <n v="1"/>
    <n v="-6"/>
    <n v="29"/>
  </r>
  <r>
    <x v="2"/>
    <s v="conventional_refinance_wala_-4"/>
    <x v="36"/>
    <n v="1E-8"/>
    <n v="1"/>
    <n v="-6"/>
    <n v="29"/>
  </r>
  <r>
    <x v="2"/>
    <s v="conventional_refinance_wala_-3"/>
    <x v="37"/>
    <n v="1E-8"/>
    <n v="1"/>
    <n v="-6"/>
    <n v="29"/>
  </r>
  <r>
    <x v="2"/>
    <s v="conventional_refinance_wala_-2"/>
    <x v="38"/>
    <n v="1E-8"/>
    <n v="1"/>
    <n v="-6"/>
    <n v="29"/>
  </r>
  <r>
    <x v="2"/>
    <s v="conventional_refinance_wala_-1"/>
    <x v="39"/>
    <n v="1E-8"/>
    <n v="1"/>
    <n v="-6"/>
    <n v="29"/>
  </r>
  <r>
    <x v="2"/>
    <s v="conventional_refinance_wala_0"/>
    <x v="40"/>
    <n v="1E-8"/>
    <n v="1"/>
    <n v="-6"/>
    <n v="29"/>
  </r>
  <r>
    <x v="2"/>
    <s v="conventional_refinance_wala_1"/>
    <x v="41"/>
    <n v="6.6819360693110896E-2"/>
    <n v="1"/>
    <n v="-6"/>
    <n v="29"/>
  </r>
  <r>
    <x v="2"/>
    <s v="conventional_refinance_wala_2"/>
    <x v="42"/>
    <n v="0.235777487551288"/>
    <n v="1"/>
    <n v="-6"/>
    <n v="29"/>
  </r>
  <r>
    <x v="2"/>
    <s v="conventional_refinance_wala_3"/>
    <x v="43"/>
    <n v="0.45962450274279898"/>
    <n v="1"/>
    <n v="-6"/>
    <n v="29"/>
  </r>
  <r>
    <x v="2"/>
    <s v="conventional_refinance_wala_4"/>
    <x v="44"/>
    <n v="0.69111051843590998"/>
    <n v="1"/>
    <n v="-6"/>
    <n v="29"/>
  </r>
  <r>
    <x v="2"/>
    <s v="conventional_refinance_wala_5"/>
    <x v="45"/>
    <n v="0.88298564679888802"/>
    <n v="1"/>
    <n v="-6"/>
    <n v="29"/>
  </r>
  <r>
    <x v="2"/>
    <s v="conventional_refinance_wala_6"/>
    <x v="46"/>
    <n v="0.98799999999999999"/>
    <n v="1"/>
    <n v="-6"/>
    <n v="29"/>
  </r>
  <r>
    <x v="2"/>
    <s v="conventional_refinance_wala_7"/>
    <x v="47"/>
    <n v="1.02664398357148"/>
    <n v="1"/>
    <n v="-6"/>
    <n v="29"/>
  </r>
  <r>
    <x v="2"/>
    <s v="conventional_refinance_wala_8"/>
    <x v="48"/>
    <n v="1.05259318786039"/>
    <n v="1"/>
    <n v="-6"/>
    <n v="29"/>
  </r>
  <r>
    <x v="2"/>
    <s v="conventional_refinance_wala_9"/>
    <x v="49"/>
    <n v="1.0683755022571999"/>
    <n v="1"/>
    <n v="-6"/>
    <n v="29"/>
  </r>
  <r>
    <x v="2"/>
    <s v="conventional_refinance_wala_10"/>
    <x v="50"/>
    <n v="1.07651881615242"/>
    <n v="1"/>
    <n v="-6"/>
    <n v="29"/>
  </r>
  <r>
    <x v="2"/>
    <s v="conventional_refinance_wala_11"/>
    <x v="51"/>
    <n v="1.0795510189365201"/>
    <n v="1"/>
    <n v="-6"/>
    <n v="29"/>
  </r>
  <r>
    <x v="2"/>
    <s v="conventional_refinance_wala_12"/>
    <x v="52"/>
    <n v="1.08"/>
    <n v="1"/>
    <n v="-6"/>
    <n v="29"/>
  </r>
  <r>
    <x v="2"/>
    <s v="conventional_refinance_wala_13"/>
    <x v="53"/>
    <n v="1.08"/>
    <n v="1"/>
    <n v="-6"/>
    <n v="29"/>
  </r>
  <r>
    <x v="2"/>
    <s v="conventional_refinance_wala_14"/>
    <x v="54"/>
    <n v="1.08"/>
    <n v="1"/>
    <n v="-6"/>
    <n v="29"/>
  </r>
  <r>
    <x v="2"/>
    <s v="conventional_refinance_wala_15"/>
    <x v="55"/>
    <n v="1.08"/>
    <n v="1"/>
    <n v="-6"/>
    <n v="29"/>
  </r>
  <r>
    <x v="2"/>
    <s v="conventional_refinance_wala_16"/>
    <x v="56"/>
    <n v="1.08"/>
    <n v="1"/>
    <n v="-6"/>
    <n v="29"/>
  </r>
  <r>
    <x v="2"/>
    <s v="conventional_refinance_wala_17"/>
    <x v="57"/>
    <n v="1.08"/>
    <n v="1"/>
    <n v="-6"/>
    <n v="29"/>
  </r>
  <r>
    <x v="2"/>
    <s v="conventional_refinance_wala_18"/>
    <x v="58"/>
    <n v="1.08"/>
    <n v="1"/>
    <n v="-6"/>
    <n v="29"/>
  </r>
  <r>
    <x v="2"/>
    <s v="conventional_refinance_wala_19"/>
    <x v="59"/>
    <n v="1.08"/>
    <n v="1"/>
    <n v="-6"/>
    <n v="29"/>
  </r>
  <r>
    <x v="2"/>
    <s v="conventional_refinance_wala_20"/>
    <x v="60"/>
    <n v="1.08"/>
    <n v="1"/>
    <n v="-6"/>
    <n v="29"/>
  </r>
  <r>
    <x v="2"/>
    <s v="conventional_refinance_wala_21"/>
    <x v="61"/>
    <n v="1.08"/>
    <n v="1"/>
    <n v="-6"/>
    <n v="29"/>
  </r>
  <r>
    <x v="2"/>
    <s v="conventional_refinance_wala_22"/>
    <x v="62"/>
    <n v="1.08"/>
    <n v="1"/>
    <n v="-6"/>
    <n v="29"/>
  </r>
  <r>
    <x v="2"/>
    <s v="conventional_refinance_wala_23"/>
    <x v="63"/>
    <n v="1.08"/>
    <n v="1"/>
    <n v="-6"/>
    <n v="29"/>
  </r>
  <r>
    <x v="2"/>
    <s v="conventional_refinance_wala_24"/>
    <x v="64"/>
    <n v="1.08"/>
    <n v="1"/>
    <n v="-6"/>
    <n v="29"/>
  </r>
  <r>
    <x v="2"/>
    <s v="conventional_refinance_wala_25"/>
    <x v="65"/>
    <n v="1.08"/>
    <n v="1"/>
    <n v="-6"/>
    <n v="29"/>
  </r>
  <r>
    <x v="2"/>
    <s v="conventional_refinance_wala_26"/>
    <x v="66"/>
    <n v="1.08"/>
    <n v="1"/>
    <n v="-6"/>
    <n v="29"/>
  </r>
  <r>
    <x v="2"/>
    <s v="conventional_refinance_wala_27"/>
    <x v="67"/>
    <n v="1.08"/>
    <n v="1"/>
    <n v="-6"/>
    <n v="29"/>
  </r>
  <r>
    <x v="2"/>
    <s v="conventional_refinance_wala_28"/>
    <x v="68"/>
    <n v="1.08"/>
    <n v="1"/>
    <n v="-6"/>
    <n v="29"/>
  </r>
  <r>
    <x v="2"/>
    <s v="conventional_refinance_wala_29"/>
    <x v="69"/>
    <n v="1.08"/>
    <n v="1"/>
    <n v="-6"/>
    <n v="29"/>
  </r>
  <r>
    <x v="3"/>
    <s v="conventional_refinance_lomedia_incentive_-290"/>
    <x v="981"/>
    <n v="0"/>
    <n v="1"/>
    <n v="-290"/>
    <n v="340"/>
  </r>
  <r>
    <x v="3"/>
    <s v="conventional_refinance_lomedia_incentive_-289"/>
    <x v="982"/>
    <n v="0"/>
    <n v="1"/>
    <n v="-290"/>
    <n v="340"/>
  </r>
  <r>
    <x v="3"/>
    <s v="conventional_refinance_lomedia_incentive_-288"/>
    <x v="983"/>
    <n v="0"/>
    <n v="1"/>
    <n v="-290"/>
    <n v="340"/>
  </r>
  <r>
    <x v="3"/>
    <s v="conventional_refinance_lomedia_incentive_-287"/>
    <x v="984"/>
    <n v="0"/>
    <n v="1"/>
    <n v="-290"/>
    <n v="340"/>
  </r>
  <r>
    <x v="3"/>
    <s v="conventional_refinance_lomedia_incentive_-286"/>
    <x v="985"/>
    <n v="0"/>
    <n v="1"/>
    <n v="-290"/>
    <n v="340"/>
  </r>
  <r>
    <x v="3"/>
    <s v="conventional_refinance_lomedia_incentive_-285"/>
    <x v="986"/>
    <n v="0"/>
    <n v="1"/>
    <n v="-290"/>
    <n v="340"/>
  </r>
  <r>
    <x v="3"/>
    <s v="conventional_refinance_lomedia_incentive_-284"/>
    <x v="987"/>
    <n v="0"/>
    <n v="1"/>
    <n v="-290"/>
    <n v="340"/>
  </r>
  <r>
    <x v="3"/>
    <s v="conventional_refinance_lomedia_incentive_-283"/>
    <x v="988"/>
    <n v="0"/>
    <n v="1"/>
    <n v="-290"/>
    <n v="340"/>
  </r>
  <r>
    <x v="3"/>
    <s v="conventional_refinance_lomedia_incentive_-282"/>
    <x v="989"/>
    <n v="0"/>
    <n v="1"/>
    <n v="-290"/>
    <n v="340"/>
  </r>
  <r>
    <x v="3"/>
    <s v="conventional_refinance_lomedia_incentive_-281"/>
    <x v="990"/>
    <n v="0"/>
    <n v="1"/>
    <n v="-290"/>
    <n v="340"/>
  </r>
  <r>
    <x v="3"/>
    <s v="conventional_refinance_lomedia_incentive_-280"/>
    <x v="991"/>
    <n v="0"/>
    <n v="1"/>
    <n v="-290"/>
    <n v="340"/>
  </r>
  <r>
    <x v="3"/>
    <s v="conventional_refinance_lomedia_incentive_-279"/>
    <x v="992"/>
    <n v="0"/>
    <n v="1"/>
    <n v="-290"/>
    <n v="340"/>
  </r>
  <r>
    <x v="3"/>
    <s v="conventional_refinance_lomedia_incentive_-278"/>
    <x v="993"/>
    <n v="0"/>
    <n v="1"/>
    <n v="-290"/>
    <n v="340"/>
  </r>
  <r>
    <x v="3"/>
    <s v="conventional_refinance_lomedia_incentive_-277"/>
    <x v="994"/>
    <n v="0"/>
    <n v="1"/>
    <n v="-290"/>
    <n v="340"/>
  </r>
  <r>
    <x v="3"/>
    <s v="conventional_refinance_lomedia_incentive_-276"/>
    <x v="995"/>
    <n v="0"/>
    <n v="1"/>
    <n v="-290"/>
    <n v="340"/>
  </r>
  <r>
    <x v="3"/>
    <s v="conventional_refinance_lomedia_incentive_-275"/>
    <x v="996"/>
    <n v="0"/>
    <n v="1"/>
    <n v="-290"/>
    <n v="340"/>
  </r>
  <r>
    <x v="3"/>
    <s v="conventional_refinance_lomedia_incentive_-274"/>
    <x v="997"/>
    <n v="0"/>
    <n v="1"/>
    <n v="-290"/>
    <n v="340"/>
  </r>
  <r>
    <x v="3"/>
    <s v="conventional_refinance_lomedia_incentive_-273"/>
    <x v="998"/>
    <n v="0"/>
    <n v="1"/>
    <n v="-290"/>
    <n v="340"/>
  </r>
  <r>
    <x v="3"/>
    <s v="conventional_refinance_lomedia_incentive_-272"/>
    <x v="999"/>
    <n v="0"/>
    <n v="1"/>
    <n v="-290"/>
    <n v="340"/>
  </r>
  <r>
    <x v="3"/>
    <s v="conventional_refinance_lomedia_incentive_-271"/>
    <x v="1000"/>
    <n v="0"/>
    <n v="1"/>
    <n v="-290"/>
    <n v="340"/>
  </r>
  <r>
    <x v="3"/>
    <s v="conventional_refinance_lomedia_incentive_-270"/>
    <x v="1001"/>
    <n v="0"/>
    <n v="1"/>
    <n v="-290"/>
    <n v="340"/>
  </r>
  <r>
    <x v="3"/>
    <s v="conventional_refinance_lomedia_incentive_-269"/>
    <x v="1002"/>
    <n v="0"/>
    <n v="1"/>
    <n v="-290"/>
    <n v="340"/>
  </r>
  <r>
    <x v="3"/>
    <s v="conventional_refinance_lomedia_incentive_-268"/>
    <x v="1003"/>
    <n v="0"/>
    <n v="1"/>
    <n v="-290"/>
    <n v="340"/>
  </r>
  <r>
    <x v="3"/>
    <s v="conventional_refinance_lomedia_incentive_-267"/>
    <x v="1004"/>
    <n v="0"/>
    <n v="1"/>
    <n v="-290"/>
    <n v="340"/>
  </r>
  <r>
    <x v="3"/>
    <s v="conventional_refinance_lomedia_incentive_-266"/>
    <x v="1005"/>
    <n v="0"/>
    <n v="1"/>
    <n v="-290"/>
    <n v="340"/>
  </r>
  <r>
    <x v="3"/>
    <s v="conventional_refinance_lomedia_incentive_-265"/>
    <x v="1006"/>
    <n v="0"/>
    <n v="1"/>
    <n v="-290"/>
    <n v="340"/>
  </r>
  <r>
    <x v="3"/>
    <s v="conventional_refinance_lomedia_incentive_-264"/>
    <x v="1007"/>
    <n v="0"/>
    <n v="1"/>
    <n v="-290"/>
    <n v="340"/>
  </r>
  <r>
    <x v="3"/>
    <s v="conventional_refinance_lomedia_incentive_-263"/>
    <x v="1008"/>
    <n v="0"/>
    <n v="1"/>
    <n v="-290"/>
    <n v="340"/>
  </r>
  <r>
    <x v="3"/>
    <s v="conventional_refinance_lomedia_incentive_-262"/>
    <x v="1009"/>
    <n v="0"/>
    <n v="1"/>
    <n v="-290"/>
    <n v="340"/>
  </r>
  <r>
    <x v="3"/>
    <s v="conventional_refinance_lomedia_incentive_-261"/>
    <x v="1010"/>
    <n v="0"/>
    <n v="1"/>
    <n v="-290"/>
    <n v="340"/>
  </r>
  <r>
    <x v="3"/>
    <s v="conventional_refinance_lomedia_incentive_-260"/>
    <x v="1011"/>
    <n v="0"/>
    <n v="1"/>
    <n v="-290"/>
    <n v="340"/>
  </r>
  <r>
    <x v="3"/>
    <s v="conventional_refinance_lomedia_incentive_-259"/>
    <x v="1012"/>
    <n v="0"/>
    <n v="1"/>
    <n v="-290"/>
    <n v="340"/>
  </r>
  <r>
    <x v="3"/>
    <s v="conventional_refinance_lomedia_incentive_-258"/>
    <x v="1013"/>
    <n v="0"/>
    <n v="1"/>
    <n v="-290"/>
    <n v="340"/>
  </r>
  <r>
    <x v="3"/>
    <s v="conventional_refinance_lomedia_incentive_-257"/>
    <x v="1014"/>
    <n v="0"/>
    <n v="1"/>
    <n v="-290"/>
    <n v="340"/>
  </r>
  <r>
    <x v="3"/>
    <s v="conventional_refinance_lomedia_incentive_-256"/>
    <x v="1015"/>
    <n v="0"/>
    <n v="1"/>
    <n v="-290"/>
    <n v="340"/>
  </r>
  <r>
    <x v="3"/>
    <s v="conventional_refinance_lomedia_incentive_-255"/>
    <x v="1016"/>
    <n v="0"/>
    <n v="1"/>
    <n v="-290"/>
    <n v="340"/>
  </r>
  <r>
    <x v="3"/>
    <s v="conventional_refinance_lomedia_incentive_-254"/>
    <x v="1017"/>
    <n v="0"/>
    <n v="1"/>
    <n v="-290"/>
    <n v="340"/>
  </r>
  <r>
    <x v="3"/>
    <s v="conventional_refinance_lomedia_incentive_-253"/>
    <x v="1018"/>
    <n v="0"/>
    <n v="1"/>
    <n v="-290"/>
    <n v="340"/>
  </r>
  <r>
    <x v="3"/>
    <s v="conventional_refinance_lomedia_incentive_-252"/>
    <x v="1019"/>
    <n v="0"/>
    <n v="1"/>
    <n v="-290"/>
    <n v="340"/>
  </r>
  <r>
    <x v="3"/>
    <s v="conventional_refinance_lomedia_incentive_-251"/>
    <x v="1020"/>
    <n v="0"/>
    <n v="1"/>
    <n v="-290"/>
    <n v="340"/>
  </r>
  <r>
    <x v="3"/>
    <s v="conventional_refinance_lomedia_incentive_-250"/>
    <x v="1021"/>
    <n v="0"/>
    <n v="1"/>
    <n v="-290"/>
    <n v="340"/>
  </r>
  <r>
    <x v="3"/>
    <s v="conventional_refinance_lomedia_incentive_-249"/>
    <x v="1022"/>
    <n v="0"/>
    <n v="1"/>
    <n v="-290"/>
    <n v="340"/>
  </r>
  <r>
    <x v="3"/>
    <s v="conventional_refinance_lomedia_incentive_-248"/>
    <x v="1023"/>
    <n v="0"/>
    <n v="1"/>
    <n v="-290"/>
    <n v="340"/>
  </r>
  <r>
    <x v="3"/>
    <s v="conventional_refinance_lomedia_incentive_-247"/>
    <x v="1024"/>
    <n v="0"/>
    <n v="1"/>
    <n v="-290"/>
    <n v="340"/>
  </r>
  <r>
    <x v="3"/>
    <s v="conventional_refinance_lomedia_incentive_-246"/>
    <x v="1025"/>
    <n v="0"/>
    <n v="1"/>
    <n v="-290"/>
    <n v="340"/>
  </r>
  <r>
    <x v="3"/>
    <s v="conventional_refinance_lomedia_incentive_-245"/>
    <x v="1026"/>
    <n v="0"/>
    <n v="1"/>
    <n v="-290"/>
    <n v="340"/>
  </r>
  <r>
    <x v="3"/>
    <s v="conventional_refinance_lomedia_incentive_-244"/>
    <x v="1027"/>
    <n v="0"/>
    <n v="1"/>
    <n v="-290"/>
    <n v="340"/>
  </r>
  <r>
    <x v="3"/>
    <s v="conventional_refinance_lomedia_incentive_-243"/>
    <x v="1028"/>
    <n v="0"/>
    <n v="1"/>
    <n v="-290"/>
    <n v="340"/>
  </r>
  <r>
    <x v="3"/>
    <s v="conventional_refinance_lomedia_incentive_-242"/>
    <x v="1029"/>
    <n v="0"/>
    <n v="1"/>
    <n v="-290"/>
    <n v="340"/>
  </r>
  <r>
    <x v="3"/>
    <s v="conventional_refinance_lomedia_incentive_-241"/>
    <x v="1030"/>
    <n v="0"/>
    <n v="1"/>
    <n v="-290"/>
    <n v="340"/>
  </r>
  <r>
    <x v="3"/>
    <s v="conventional_refinance_lomedia_incentive_-240"/>
    <x v="1031"/>
    <n v="0"/>
    <n v="1"/>
    <n v="-290"/>
    <n v="340"/>
  </r>
  <r>
    <x v="3"/>
    <s v="conventional_refinance_lomedia_incentive_-239"/>
    <x v="1032"/>
    <n v="0"/>
    <n v="1"/>
    <n v="-290"/>
    <n v="340"/>
  </r>
  <r>
    <x v="3"/>
    <s v="conventional_refinance_lomedia_incentive_-238"/>
    <x v="1033"/>
    <n v="0"/>
    <n v="1"/>
    <n v="-290"/>
    <n v="340"/>
  </r>
  <r>
    <x v="3"/>
    <s v="conventional_refinance_lomedia_incentive_-237"/>
    <x v="1034"/>
    <n v="0"/>
    <n v="1"/>
    <n v="-290"/>
    <n v="340"/>
  </r>
  <r>
    <x v="3"/>
    <s v="conventional_refinance_lomedia_incentive_-236"/>
    <x v="1035"/>
    <n v="0"/>
    <n v="1"/>
    <n v="-290"/>
    <n v="340"/>
  </r>
  <r>
    <x v="3"/>
    <s v="conventional_refinance_lomedia_incentive_-235"/>
    <x v="1036"/>
    <n v="0"/>
    <n v="1"/>
    <n v="-290"/>
    <n v="340"/>
  </r>
  <r>
    <x v="3"/>
    <s v="conventional_refinance_lomedia_incentive_-234"/>
    <x v="1037"/>
    <n v="0"/>
    <n v="1"/>
    <n v="-290"/>
    <n v="340"/>
  </r>
  <r>
    <x v="3"/>
    <s v="conventional_refinance_lomedia_incentive_-233"/>
    <x v="1038"/>
    <n v="0"/>
    <n v="1"/>
    <n v="-290"/>
    <n v="340"/>
  </r>
  <r>
    <x v="3"/>
    <s v="conventional_refinance_lomedia_incentive_-232"/>
    <x v="1039"/>
    <n v="0"/>
    <n v="1"/>
    <n v="-290"/>
    <n v="340"/>
  </r>
  <r>
    <x v="3"/>
    <s v="conventional_refinance_lomedia_incentive_-231"/>
    <x v="1040"/>
    <n v="0"/>
    <n v="1"/>
    <n v="-290"/>
    <n v="340"/>
  </r>
  <r>
    <x v="3"/>
    <s v="conventional_refinance_lomedia_incentive_-230"/>
    <x v="1041"/>
    <n v="0"/>
    <n v="1"/>
    <n v="-290"/>
    <n v="340"/>
  </r>
  <r>
    <x v="3"/>
    <s v="conventional_refinance_lomedia_incentive_-229"/>
    <x v="1042"/>
    <n v="0"/>
    <n v="1"/>
    <n v="-290"/>
    <n v="340"/>
  </r>
  <r>
    <x v="3"/>
    <s v="conventional_refinance_lomedia_incentive_-228"/>
    <x v="1043"/>
    <n v="0"/>
    <n v="1"/>
    <n v="-290"/>
    <n v="340"/>
  </r>
  <r>
    <x v="3"/>
    <s v="conventional_refinance_lomedia_incentive_-227"/>
    <x v="1044"/>
    <n v="0"/>
    <n v="1"/>
    <n v="-290"/>
    <n v="340"/>
  </r>
  <r>
    <x v="3"/>
    <s v="conventional_refinance_lomedia_incentive_-226"/>
    <x v="1045"/>
    <n v="0"/>
    <n v="1"/>
    <n v="-290"/>
    <n v="340"/>
  </r>
  <r>
    <x v="3"/>
    <s v="conventional_refinance_lomedia_incentive_-225"/>
    <x v="1046"/>
    <n v="0"/>
    <n v="1"/>
    <n v="-290"/>
    <n v="340"/>
  </r>
  <r>
    <x v="3"/>
    <s v="conventional_refinance_lomedia_incentive_-224"/>
    <x v="1047"/>
    <n v="0"/>
    <n v="1"/>
    <n v="-290"/>
    <n v="340"/>
  </r>
  <r>
    <x v="3"/>
    <s v="conventional_refinance_lomedia_incentive_-223"/>
    <x v="1048"/>
    <n v="0"/>
    <n v="1"/>
    <n v="-290"/>
    <n v="340"/>
  </r>
  <r>
    <x v="3"/>
    <s v="conventional_refinance_lomedia_incentive_-222"/>
    <x v="1049"/>
    <n v="0"/>
    <n v="1"/>
    <n v="-290"/>
    <n v="340"/>
  </r>
  <r>
    <x v="3"/>
    <s v="conventional_refinance_lomedia_incentive_-221"/>
    <x v="1050"/>
    <n v="0"/>
    <n v="1"/>
    <n v="-290"/>
    <n v="340"/>
  </r>
  <r>
    <x v="3"/>
    <s v="conventional_refinance_lomedia_incentive_-220"/>
    <x v="1051"/>
    <n v="0"/>
    <n v="1"/>
    <n v="-290"/>
    <n v="340"/>
  </r>
  <r>
    <x v="3"/>
    <s v="conventional_refinance_lomedia_incentive_-219"/>
    <x v="1052"/>
    <n v="0"/>
    <n v="1"/>
    <n v="-290"/>
    <n v="340"/>
  </r>
  <r>
    <x v="3"/>
    <s v="conventional_refinance_lomedia_incentive_-218"/>
    <x v="1053"/>
    <n v="0"/>
    <n v="1"/>
    <n v="-290"/>
    <n v="340"/>
  </r>
  <r>
    <x v="3"/>
    <s v="conventional_refinance_lomedia_incentive_-217"/>
    <x v="1054"/>
    <n v="0"/>
    <n v="1"/>
    <n v="-290"/>
    <n v="340"/>
  </r>
  <r>
    <x v="3"/>
    <s v="conventional_refinance_lomedia_incentive_-216"/>
    <x v="1055"/>
    <n v="0"/>
    <n v="1"/>
    <n v="-290"/>
    <n v="340"/>
  </r>
  <r>
    <x v="3"/>
    <s v="conventional_refinance_lomedia_incentive_-215"/>
    <x v="1056"/>
    <n v="0"/>
    <n v="1"/>
    <n v="-290"/>
    <n v="340"/>
  </r>
  <r>
    <x v="3"/>
    <s v="conventional_refinance_lomedia_incentive_-214"/>
    <x v="1057"/>
    <n v="0"/>
    <n v="1"/>
    <n v="-290"/>
    <n v="340"/>
  </r>
  <r>
    <x v="3"/>
    <s v="conventional_refinance_lomedia_incentive_-213"/>
    <x v="1058"/>
    <n v="0"/>
    <n v="1"/>
    <n v="-290"/>
    <n v="340"/>
  </r>
  <r>
    <x v="3"/>
    <s v="conventional_refinance_lomedia_incentive_-212"/>
    <x v="1059"/>
    <n v="0"/>
    <n v="1"/>
    <n v="-290"/>
    <n v="340"/>
  </r>
  <r>
    <x v="3"/>
    <s v="conventional_refinance_lomedia_incentive_-211"/>
    <x v="1060"/>
    <n v="0"/>
    <n v="1"/>
    <n v="-290"/>
    <n v="340"/>
  </r>
  <r>
    <x v="3"/>
    <s v="conventional_refinance_lomedia_incentive_-210"/>
    <x v="1061"/>
    <n v="0"/>
    <n v="1"/>
    <n v="-290"/>
    <n v="340"/>
  </r>
  <r>
    <x v="3"/>
    <s v="conventional_refinance_lomedia_incentive_-209"/>
    <x v="1062"/>
    <n v="0"/>
    <n v="1"/>
    <n v="-290"/>
    <n v="340"/>
  </r>
  <r>
    <x v="3"/>
    <s v="conventional_refinance_lomedia_incentive_-208"/>
    <x v="1063"/>
    <n v="0"/>
    <n v="1"/>
    <n v="-290"/>
    <n v="340"/>
  </r>
  <r>
    <x v="3"/>
    <s v="conventional_refinance_lomedia_incentive_-207"/>
    <x v="1064"/>
    <n v="0"/>
    <n v="1"/>
    <n v="-290"/>
    <n v="340"/>
  </r>
  <r>
    <x v="3"/>
    <s v="conventional_refinance_lomedia_incentive_-206"/>
    <x v="1065"/>
    <n v="0"/>
    <n v="1"/>
    <n v="-290"/>
    <n v="340"/>
  </r>
  <r>
    <x v="3"/>
    <s v="conventional_refinance_lomedia_incentive_-205"/>
    <x v="1066"/>
    <n v="0"/>
    <n v="1"/>
    <n v="-290"/>
    <n v="340"/>
  </r>
  <r>
    <x v="3"/>
    <s v="conventional_refinance_lomedia_incentive_-204"/>
    <x v="1067"/>
    <n v="0"/>
    <n v="1"/>
    <n v="-290"/>
    <n v="340"/>
  </r>
  <r>
    <x v="3"/>
    <s v="conventional_refinance_lomedia_incentive_-203"/>
    <x v="1068"/>
    <n v="0"/>
    <n v="1"/>
    <n v="-290"/>
    <n v="340"/>
  </r>
  <r>
    <x v="3"/>
    <s v="conventional_refinance_lomedia_incentive_-202"/>
    <x v="1069"/>
    <n v="0"/>
    <n v="1"/>
    <n v="-290"/>
    <n v="340"/>
  </r>
  <r>
    <x v="3"/>
    <s v="conventional_refinance_lomedia_incentive_-201"/>
    <x v="1070"/>
    <n v="0"/>
    <n v="1"/>
    <n v="-290"/>
    <n v="340"/>
  </r>
  <r>
    <x v="3"/>
    <s v="conventional_refinance_lomedia_incentive_-200"/>
    <x v="1071"/>
    <n v="0"/>
    <n v="1"/>
    <n v="-290"/>
    <n v="340"/>
  </r>
  <r>
    <x v="3"/>
    <s v="conventional_refinance_lomedia_incentive_-199"/>
    <x v="1072"/>
    <n v="0"/>
    <n v="1"/>
    <n v="-290"/>
    <n v="340"/>
  </r>
  <r>
    <x v="3"/>
    <s v="conventional_refinance_lomedia_incentive_-198"/>
    <x v="1073"/>
    <n v="0"/>
    <n v="1"/>
    <n v="-290"/>
    <n v="340"/>
  </r>
  <r>
    <x v="3"/>
    <s v="conventional_refinance_lomedia_incentive_-197"/>
    <x v="1074"/>
    <n v="0"/>
    <n v="1"/>
    <n v="-290"/>
    <n v="340"/>
  </r>
  <r>
    <x v="3"/>
    <s v="conventional_refinance_lomedia_incentive_-196"/>
    <x v="1075"/>
    <n v="0"/>
    <n v="1"/>
    <n v="-290"/>
    <n v="340"/>
  </r>
  <r>
    <x v="3"/>
    <s v="conventional_refinance_lomedia_incentive_-195"/>
    <x v="1076"/>
    <n v="0"/>
    <n v="1"/>
    <n v="-290"/>
    <n v="340"/>
  </r>
  <r>
    <x v="3"/>
    <s v="conventional_refinance_lomedia_incentive_-194"/>
    <x v="1077"/>
    <n v="0"/>
    <n v="1"/>
    <n v="-290"/>
    <n v="340"/>
  </r>
  <r>
    <x v="3"/>
    <s v="conventional_refinance_lomedia_incentive_-193"/>
    <x v="1078"/>
    <n v="0"/>
    <n v="1"/>
    <n v="-290"/>
    <n v="340"/>
  </r>
  <r>
    <x v="3"/>
    <s v="conventional_refinance_lomedia_incentive_-192"/>
    <x v="1079"/>
    <n v="0"/>
    <n v="1"/>
    <n v="-290"/>
    <n v="340"/>
  </r>
  <r>
    <x v="3"/>
    <s v="conventional_refinance_lomedia_incentive_-191"/>
    <x v="1080"/>
    <n v="0"/>
    <n v="1"/>
    <n v="-290"/>
    <n v="340"/>
  </r>
  <r>
    <x v="3"/>
    <s v="conventional_refinance_lomedia_incentive_-190"/>
    <x v="1081"/>
    <n v="0"/>
    <n v="1"/>
    <n v="-290"/>
    <n v="340"/>
  </r>
  <r>
    <x v="3"/>
    <s v="conventional_refinance_lomedia_incentive_-189"/>
    <x v="1082"/>
    <n v="0"/>
    <n v="1"/>
    <n v="-290"/>
    <n v="340"/>
  </r>
  <r>
    <x v="3"/>
    <s v="conventional_refinance_lomedia_incentive_-188"/>
    <x v="1083"/>
    <n v="0"/>
    <n v="1"/>
    <n v="-290"/>
    <n v="340"/>
  </r>
  <r>
    <x v="3"/>
    <s v="conventional_refinance_lomedia_incentive_-187"/>
    <x v="1084"/>
    <n v="0"/>
    <n v="1"/>
    <n v="-290"/>
    <n v="340"/>
  </r>
  <r>
    <x v="3"/>
    <s v="conventional_refinance_lomedia_incentive_-186"/>
    <x v="1085"/>
    <n v="0"/>
    <n v="1"/>
    <n v="-290"/>
    <n v="340"/>
  </r>
  <r>
    <x v="3"/>
    <s v="conventional_refinance_lomedia_incentive_-185"/>
    <x v="1086"/>
    <n v="0"/>
    <n v="1"/>
    <n v="-290"/>
    <n v="340"/>
  </r>
  <r>
    <x v="3"/>
    <s v="conventional_refinance_lomedia_incentive_-184"/>
    <x v="1087"/>
    <n v="0"/>
    <n v="1"/>
    <n v="-290"/>
    <n v="340"/>
  </r>
  <r>
    <x v="3"/>
    <s v="conventional_refinance_lomedia_incentive_-183"/>
    <x v="1088"/>
    <n v="0"/>
    <n v="1"/>
    <n v="-290"/>
    <n v="340"/>
  </r>
  <r>
    <x v="3"/>
    <s v="conventional_refinance_lomedia_incentive_-182"/>
    <x v="1089"/>
    <n v="0"/>
    <n v="1"/>
    <n v="-290"/>
    <n v="340"/>
  </r>
  <r>
    <x v="3"/>
    <s v="conventional_refinance_lomedia_incentive_-181"/>
    <x v="1090"/>
    <n v="0"/>
    <n v="1"/>
    <n v="-290"/>
    <n v="340"/>
  </r>
  <r>
    <x v="3"/>
    <s v="conventional_refinance_lomedia_incentive_-180"/>
    <x v="1091"/>
    <n v="0"/>
    <n v="1"/>
    <n v="-290"/>
    <n v="340"/>
  </r>
  <r>
    <x v="3"/>
    <s v="conventional_refinance_lomedia_incentive_-179"/>
    <x v="1092"/>
    <n v="0"/>
    <n v="1"/>
    <n v="-290"/>
    <n v="340"/>
  </r>
  <r>
    <x v="3"/>
    <s v="conventional_refinance_lomedia_incentive_-178"/>
    <x v="1093"/>
    <n v="0"/>
    <n v="1"/>
    <n v="-290"/>
    <n v="340"/>
  </r>
  <r>
    <x v="3"/>
    <s v="conventional_refinance_lomedia_incentive_-177"/>
    <x v="1094"/>
    <n v="0"/>
    <n v="1"/>
    <n v="-290"/>
    <n v="340"/>
  </r>
  <r>
    <x v="3"/>
    <s v="conventional_refinance_lomedia_incentive_-176"/>
    <x v="1095"/>
    <n v="0"/>
    <n v="1"/>
    <n v="-290"/>
    <n v="340"/>
  </r>
  <r>
    <x v="3"/>
    <s v="conventional_refinance_lomedia_incentive_-175"/>
    <x v="1096"/>
    <n v="0"/>
    <n v="1"/>
    <n v="-290"/>
    <n v="340"/>
  </r>
  <r>
    <x v="3"/>
    <s v="conventional_refinance_lomedia_incentive_-174"/>
    <x v="1097"/>
    <n v="0"/>
    <n v="1"/>
    <n v="-290"/>
    <n v="340"/>
  </r>
  <r>
    <x v="3"/>
    <s v="conventional_refinance_lomedia_incentive_-173"/>
    <x v="1098"/>
    <n v="0"/>
    <n v="1"/>
    <n v="-290"/>
    <n v="340"/>
  </r>
  <r>
    <x v="3"/>
    <s v="conventional_refinance_lomedia_incentive_-172"/>
    <x v="1099"/>
    <n v="0"/>
    <n v="1"/>
    <n v="-290"/>
    <n v="340"/>
  </r>
  <r>
    <x v="3"/>
    <s v="conventional_refinance_lomedia_incentive_-171"/>
    <x v="1100"/>
    <n v="0"/>
    <n v="1"/>
    <n v="-290"/>
    <n v="340"/>
  </r>
  <r>
    <x v="3"/>
    <s v="conventional_refinance_lomedia_incentive_-170"/>
    <x v="1101"/>
    <n v="0"/>
    <n v="1"/>
    <n v="-290"/>
    <n v="340"/>
  </r>
  <r>
    <x v="3"/>
    <s v="conventional_refinance_lomedia_incentive_-169"/>
    <x v="1102"/>
    <n v="0"/>
    <n v="1"/>
    <n v="-290"/>
    <n v="340"/>
  </r>
  <r>
    <x v="3"/>
    <s v="conventional_refinance_lomedia_incentive_-168"/>
    <x v="1103"/>
    <n v="0"/>
    <n v="1"/>
    <n v="-290"/>
    <n v="340"/>
  </r>
  <r>
    <x v="3"/>
    <s v="conventional_refinance_lomedia_incentive_-167"/>
    <x v="1104"/>
    <n v="0"/>
    <n v="1"/>
    <n v="-290"/>
    <n v="340"/>
  </r>
  <r>
    <x v="3"/>
    <s v="conventional_refinance_lomedia_incentive_-166"/>
    <x v="1105"/>
    <n v="0"/>
    <n v="1"/>
    <n v="-290"/>
    <n v="340"/>
  </r>
  <r>
    <x v="3"/>
    <s v="conventional_refinance_lomedia_incentive_-165"/>
    <x v="1106"/>
    <n v="0"/>
    <n v="1"/>
    <n v="-290"/>
    <n v="340"/>
  </r>
  <r>
    <x v="3"/>
    <s v="conventional_refinance_lomedia_incentive_-164"/>
    <x v="1107"/>
    <n v="0"/>
    <n v="1"/>
    <n v="-290"/>
    <n v="340"/>
  </r>
  <r>
    <x v="3"/>
    <s v="conventional_refinance_lomedia_incentive_-163"/>
    <x v="1108"/>
    <n v="0"/>
    <n v="1"/>
    <n v="-290"/>
    <n v="340"/>
  </r>
  <r>
    <x v="3"/>
    <s v="conventional_refinance_lomedia_incentive_-162"/>
    <x v="1109"/>
    <n v="0"/>
    <n v="1"/>
    <n v="-290"/>
    <n v="340"/>
  </r>
  <r>
    <x v="3"/>
    <s v="conventional_refinance_lomedia_incentive_-161"/>
    <x v="1110"/>
    <n v="0"/>
    <n v="1"/>
    <n v="-290"/>
    <n v="340"/>
  </r>
  <r>
    <x v="3"/>
    <s v="conventional_refinance_lomedia_incentive_-160"/>
    <x v="1111"/>
    <n v="0"/>
    <n v="1"/>
    <n v="-290"/>
    <n v="340"/>
  </r>
  <r>
    <x v="3"/>
    <s v="conventional_refinance_lomedia_incentive_-159"/>
    <x v="1112"/>
    <n v="0"/>
    <n v="1"/>
    <n v="-290"/>
    <n v="340"/>
  </r>
  <r>
    <x v="3"/>
    <s v="conventional_refinance_lomedia_incentive_-158"/>
    <x v="1113"/>
    <n v="0"/>
    <n v="1"/>
    <n v="-290"/>
    <n v="340"/>
  </r>
  <r>
    <x v="3"/>
    <s v="conventional_refinance_lomedia_incentive_-157"/>
    <x v="1114"/>
    <n v="0"/>
    <n v="1"/>
    <n v="-290"/>
    <n v="340"/>
  </r>
  <r>
    <x v="3"/>
    <s v="conventional_refinance_lomedia_incentive_-156"/>
    <x v="1115"/>
    <n v="0"/>
    <n v="1"/>
    <n v="-290"/>
    <n v="340"/>
  </r>
  <r>
    <x v="3"/>
    <s v="conventional_refinance_lomedia_incentive_-155"/>
    <x v="1116"/>
    <n v="0"/>
    <n v="1"/>
    <n v="-290"/>
    <n v="340"/>
  </r>
  <r>
    <x v="3"/>
    <s v="conventional_refinance_lomedia_incentive_-154"/>
    <x v="1117"/>
    <n v="0"/>
    <n v="1"/>
    <n v="-290"/>
    <n v="340"/>
  </r>
  <r>
    <x v="3"/>
    <s v="conventional_refinance_lomedia_incentive_-153"/>
    <x v="1118"/>
    <n v="0"/>
    <n v="1"/>
    <n v="-290"/>
    <n v="340"/>
  </r>
  <r>
    <x v="3"/>
    <s v="conventional_refinance_lomedia_incentive_-152"/>
    <x v="1119"/>
    <n v="0"/>
    <n v="1"/>
    <n v="-290"/>
    <n v="340"/>
  </r>
  <r>
    <x v="3"/>
    <s v="conventional_refinance_lomedia_incentive_-151"/>
    <x v="1120"/>
    <n v="0"/>
    <n v="1"/>
    <n v="-290"/>
    <n v="340"/>
  </r>
  <r>
    <x v="3"/>
    <s v="conventional_refinance_lomedia_incentive_-150"/>
    <x v="1121"/>
    <n v="0"/>
    <n v="1"/>
    <n v="-290"/>
    <n v="340"/>
  </r>
  <r>
    <x v="3"/>
    <s v="conventional_refinance_lomedia_incentive_-149"/>
    <x v="1122"/>
    <n v="0"/>
    <n v="1"/>
    <n v="-290"/>
    <n v="340"/>
  </r>
  <r>
    <x v="3"/>
    <s v="conventional_refinance_lomedia_incentive_-148"/>
    <x v="1123"/>
    <n v="0"/>
    <n v="1"/>
    <n v="-290"/>
    <n v="340"/>
  </r>
  <r>
    <x v="3"/>
    <s v="conventional_refinance_lomedia_incentive_-147"/>
    <x v="1124"/>
    <n v="0"/>
    <n v="1"/>
    <n v="-290"/>
    <n v="340"/>
  </r>
  <r>
    <x v="3"/>
    <s v="conventional_refinance_lomedia_incentive_-146"/>
    <x v="1125"/>
    <n v="0"/>
    <n v="1"/>
    <n v="-290"/>
    <n v="340"/>
  </r>
  <r>
    <x v="3"/>
    <s v="conventional_refinance_lomedia_incentive_-145"/>
    <x v="1126"/>
    <n v="0"/>
    <n v="1"/>
    <n v="-290"/>
    <n v="340"/>
  </r>
  <r>
    <x v="3"/>
    <s v="conventional_refinance_lomedia_incentive_-144"/>
    <x v="1127"/>
    <n v="0"/>
    <n v="1"/>
    <n v="-290"/>
    <n v="340"/>
  </r>
  <r>
    <x v="3"/>
    <s v="conventional_refinance_lomedia_incentive_-143"/>
    <x v="1128"/>
    <n v="0"/>
    <n v="1"/>
    <n v="-290"/>
    <n v="340"/>
  </r>
  <r>
    <x v="3"/>
    <s v="conventional_refinance_lomedia_incentive_-142"/>
    <x v="1129"/>
    <n v="0"/>
    <n v="1"/>
    <n v="-290"/>
    <n v="340"/>
  </r>
  <r>
    <x v="3"/>
    <s v="conventional_refinance_lomedia_incentive_-141"/>
    <x v="1130"/>
    <n v="0"/>
    <n v="1"/>
    <n v="-290"/>
    <n v="340"/>
  </r>
  <r>
    <x v="3"/>
    <s v="conventional_refinance_lomedia_incentive_-140"/>
    <x v="1131"/>
    <n v="0"/>
    <n v="1"/>
    <n v="-290"/>
    <n v="340"/>
  </r>
  <r>
    <x v="3"/>
    <s v="conventional_refinance_lomedia_incentive_-139"/>
    <x v="1132"/>
    <n v="0"/>
    <n v="1"/>
    <n v="-290"/>
    <n v="340"/>
  </r>
  <r>
    <x v="3"/>
    <s v="conventional_refinance_lomedia_incentive_-138"/>
    <x v="1133"/>
    <n v="0"/>
    <n v="1"/>
    <n v="-290"/>
    <n v="340"/>
  </r>
  <r>
    <x v="3"/>
    <s v="conventional_refinance_lomedia_incentive_-137"/>
    <x v="1134"/>
    <n v="0"/>
    <n v="1"/>
    <n v="-290"/>
    <n v="340"/>
  </r>
  <r>
    <x v="3"/>
    <s v="conventional_refinance_lomedia_incentive_-136"/>
    <x v="1135"/>
    <n v="0"/>
    <n v="1"/>
    <n v="-290"/>
    <n v="340"/>
  </r>
  <r>
    <x v="3"/>
    <s v="conventional_refinance_lomedia_incentive_-135"/>
    <x v="1136"/>
    <n v="0"/>
    <n v="1"/>
    <n v="-290"/>
    <n v="340"/>
  </r>
  <r>
    <x v="3"/>
    <s v="conventional_refinance_lomedia_incentive_-134"/>
    <x v="1137"/>
    <n v="0"/>
    <n v="1"/>
    <n v="-290"/>
    <n v="340"/>
  </r>
  <r>
    <x v="3"/>
    <s v="conventional_refinance_lomedia_incentive_-133"/>
    <x v="1138"/>
    <n v="0"/>
    <n v="1"/>
    <n v="-290"/>
    <n v="340"/>
  </r>
  <r>
    <x v="3"/>
    <s v="conventional_refinance_lomedia_incentive_-132"/>
    <x v="1139"/>
    <n v="0"/>
    <n v="1"/>
    <n v="-290"/>
    <n v="340"/>
  </r>
  <r>
    <x v="3"/>
    <s v="conventional_refinance_lomedia_incentive_-131"/>
    <x v="1140"/>
    <n v="0"/>
    <n v="1"/>
    <n v="-290"/>
    <n v="340"/>
  </r>
  <r>
    <x v="3"/>
    <s v="conventional_refinance_lomedia_incentive_-130"/>
    <x v="1141"/>
    <n v="0"/>
    <n v="1"/>
    <n v="-290"/>
    <n v="340"/>
  </r>
  <r>
    <x v="3"/>
    <s v="conventional_refinance_lomedia_incentive_-129"/>
    <x v="1142"/>
    <n v="0"/>
    <n v="1"/>
    <n v="-290"/>
    <n v="340"/>
  </r>
  <r>
    <x v="3"/>
    <s v="conventional_refinance_lomedia_incentive_-128"/>
    <x v="1143"/>
    <n v="0"/>
    <n v="1"/>
    <n v="-290"/>
    <n v="340"/>
  </r>
  <r>
    <x v="3"/>
    <s v="conventional_refinance_lomedia_incentive_-127"/>
    <x v="1144"/>
    <n v="0"/>
    <n v="1"/>
    <n v="-290"/>
    <n v="340"/>
  </r>
  <r>
    <x v="3"/>
    <s v="conventional_refinance_lomedia_incentive_-126"/>
    <x v="1145"/>
    <n v="0"/>
    <n v="1"/>
    <n v="-290"/>
    <n v="340"/>
  </r>
  <r>
    <x v="3"/>
    <s v="conventional_refinance_lomedia_incentive_-125"/>
    <x v="1146"/>
    <n v="0"/>
    <n v="1"/>
    <n v="-290"/>
    <n v="340"/>
  </r>
  <r>
    <x v="3"/>
    <s v="conventional_refinance_lomedia_incentive_-124"/>
    <x v="1147"/>
    <n v="0"/>
    <n v="1"/>
    <n v="-290"/>
    <n v="340"/>
  </r>
  <r>
    <x v="3"/>
    <s v="conventional_refinance_lomedia_incentive_-123"/>
    <x v="1148"/>
    <n v="0"/>
    <n v="1"/>
    <n v="-290"/>
    <n v="340"/>
  </r>
  <r>
    <x v="3"/>
    <s v="conventional_refinance_lomedia_incentive_-122"/>
    <x v="1149"/>
    <n v="0"/>
    <n v="1"/>
    <n v="-290"/>
    <n v="340"/>
  </r>
  <r>
    <x v="3"/>
    <s v="conventional_refinance_lomedia_incentive_-121"/>
    <x v="1150"/>
    <n v="0"/>
    <n v="1"/>
    <n v="-290"/>
    <n v="340"/>
  </r>
  <r>
    <x v="3"/>
    <s v="conventional_refinance_lomedia_incentive_-120"/>
    <x v="1151"/>
    <n v="0"/>
    <n v="1"/>
    <n v="-290"/>
    <n v="340"/>
  </r>
  <r>
    <x v="3"/>
    <s v="conventional_refinance_lomedia_incentive_-119"/>
    <x v="1152"/>
    <n v="0"/>
    <n v="1"/>
    <n v="-290"/>
    <n v="340"/>
  </r>
  <r>
    <x v="3"/>
    <s v="conventional_refinance_lomedia_incentive_-118"/>
    <x v="1153"/>
    <n v="0"/>
    <n v="1"/>
    <n v="-290"/>
    <n v="340"/>
  </r>
  <r>
    <x v="3"/>
    <s v="conventional_refinance_lomedia_incentive_-117"/>
    <x v="1154"/>
    <n v="0"/>
    <n v="1"/>
    <n v="-290"/>
    <n v="340"/>
  </r>
  <r>
    <x v="3"/>
    <s v="conventional_refinance_lomedia_incentive_-116"/>
    <x v="1155"/>
    <n v="0"/>
    <n v="1"/>
    <n v="-290"/>
    <n v="340"/>
  </r>
  <r>
    <x v="3"/>
    <s v="conventional_refinance_lomedia_incentive_-115"/>
    <x v="1156"/>
    <n v="0"/>
    <n v="1"/>
    <n v="-290"/>
    <n v="340"/>
  </r>
  <r>
    <x v="3"/>
    <s v="conventional_refinance_lomedia_incentive_-114"/>
    <x v="1157"/>
    <n v="0"/>
    <n v="1"/>
    <n v="-290"/>
    <n v="340"/>
  </r>
  <r>
    <x v="3"/>
    <s v="conventional_refinance_lomedia_incentive_-113"/>
    <x v="1158"/>
    <n v="0"/>
    <n v="1"/>
    <n v="-290"/>
    <n v="340"/>
  </r>
  <r>
    <x v="3"/>
    <s v="conventional_refinance_lomedia_incentive_-112"/>
    <x v="1159"/>
    <n v="0"/>
    <n v="1"/>
    <n v="-290"/>
    <n v="340"/>
  </r>
  <r>
    <x v="3"/>
    <s v="conventional_refinance_lomedia_incentive_-111"/>
    <x v="1160"/>
    <n v="0"/>
    <n v="1"/>
    <n v="-290"/>
    <n v="340"/>
  </r>
  <r>
    <x v="3"/>
    <s v="conventional_refinance_lomedia_incentive_-110"/>
    <x v="1161"/>
    <n v="0"/>
    <n v="1"/>
    <n v="-290"/>
    <n v="340"/>
  </r>
  <r>
    <x v="3"/>
    <s v="conventional_refinance_lomedia_incentive_-109"/>
    <x v="1162"/>
    <n v="0"/>
    <n v="1"/>
    <n v="-290"/>
    <n v="340"/>
  </r>
  <r>
    <x v="3"/>
    <s v="conventional_refinance_lomedia_incentive_-108"/>
    <x v="1163"/>
    <n v="0"/>
    <n v="1"/>
    <n v="-290"/>
    <n v="340"/>
  </r>
  <r>
    <x v="3"/>
    <s v="conventional_refinance_lomedia_incentive_-107"/>
    <x v="1164"/>
    <n v="0"/>
    <n v="1"/>
    <n v="-290"/>
    <n v="340"/>
  </r>
  <r>
    <x v="3"/>
    <s v="conventional_refinance_lomedia_incentive_-106"/>
    <x v="1165"/>
    <n v="0"/>
    <n v="1"/>
    <n v="-290"/>
    <n v="340"/>
  </r>
  <r>
    <x v="3"/>
    <s v="conventional_refinance_lomedia_incentive_-105"/>
    <x v="1166"/>
    <n v="0"/>
    <n v="1"/>
    <n v="-290"/>
    <n v="340"/>
  </r>
  <r>
    <x v="3"/>
    <s v="conventional_refinance_lomedia_incentive_-104"/>
    <x v="1167"/>
    <n v="0"/>
    <n v="1"/>
    <n v="-290"/>
    <n v="340"/>
  </r>
  <r>
    <x v="3"/>
    <s v="conventional_refinance_lomedia_incentive_-103"/>
    <x v="1168"/>
    <n v="0"/>
    <n v="1"/>
    <n v="-290"/>
    <n v="340"/>
  </r>
  <r>
    <x v="3"/>
    <s v="conventional_refinance_lomedia_incentive_-102"/>
    <x v="1169"/>
    <n v="0"/>
    <n v="1"/>
    <n v="-290"/>
    <n v="340"/>
  </r>
  <r>
    <x v="3"/>
    <s v="conventional_refinance_lomedia_incentive_-101"/>
    <x v="1170"/>
    <n v="0"/>
    <n v="1"/>
    <n v="-290"/>
    <n v="340"/>
  </r>
  <r>
    <x v="3"/>
    <s v="conventional_refinance_lomedia_incentive_-100"/>
    <x v="1171"/>
    <n v="0"/>
    <n v="1"/>
    <n v="-290"/>
    <n v="340"/>
  </r>
  <r>
    <x v="3"/>
    <s v="conventional_refinance_lomedia_incentive_-99"/>
    <x v="1172"/>
    <n v="0"/>
    <n v="1"/>
    <n v="-290"/>
    <n v="340"/>
  </r>
  <r>
    <x v="3"/>
    <s v="conventional_refinance_lomedia_incentive_-98"/>
    <x v="1173"/>
    <n v="0"/>
    <n v="1"/>
    <n v="-290"/>
    <n v="340"/>
  </r>
  <r>
    <x v="3"/>
    <s v="conventional_refinance_lomedia_incentive_-97"/>
    <x v="1174"/>
    <n v="0"/>
    <n v="1"/>
    <n v="-290"/>
    <n v="340"/>
  </r>
  <r>
    <x v="3"/>
    <s v="conventional_refinance_lomedia_incentive_-96"/>
    <x v="1175"/>
    <n v="0"/>
    <n v="1"/>
    <n v="-290"/>
    <n v="340"/>
  </r>
  <r>
    <x v="3"/>
    <s v="conventional_refinance_lomedia_incentive_-95"/>
    <x v="1176"/>
    <n v="0"/>
    <n v="1"/>
    <n v="-290"/>
    <n v="340"/>
  </r>
  <r>
    <x v="3"/>
    <s v="conventional_refinance_lomedia_incentive_-94"/>
    <x v="1177"/>
    <n v="0"/>
    <n v="1"/>
    <n v="-290"/>
    <n v="340"/>
  </r>
  <r>
    <x v="3"/>
    <s v="conventional_refinance_lomedia_incentive_-93"/>
    <x v="1178"/>
    <n v="0"/>
    <n v="1"/>
    <n v="-290"/>
    <n v="340"/>
  </r>
  <r>
    <x v="3"/>
    <s v="conventional_refinance_lomedia_incentive_-92"/>
    <x v="1179"/>
    <n v="0"/>
    <n v="1"/>
    <n v="-290"/>
    <n v="340"/>
  </r>
  <r>
    <x v="3"/>
    <s v="conventional_refinance_lomedia_incentive_-91"/>
    <x v="1180"/>
    <n v="0"/>
    <n v="1"/>
    <n v="-290"/>
    <n v="340"/>
  </r>
  <r>
    <x v="3"/>
    <s v="conventional_refinance_lomedia_incentive_-90"/>
    <x v="1181"/>
    <n v="0"/>
    <n v="1"/>
    <n v="-290"/>
    <n v="340"/>
  </r>
  <r>
    <x v="3"/>
    <s v="conventional_refinance_lomedia_incentive_-89"/>
    <x v="1182"/>
    <n v="0"/>
    <n v="1"/>
    <n v="-290"/>
    <n v="340"/>
  </r>
  <r>
    <x v="3"/>
    <s v="conventional_refinance_lomedia_incentive_-88"/>
    <x v="1183"/>
    <n v="0"/>
    <n v="1"/>
    <n v="-290"/>
    <n v="340"/>
  </r>
  <r>
    <x v="3"/>
    <s v="conventional_refinance_lomedia_incentive_-87"/>
    <x v="1184"/>
    <n v="0"/>
    <n v="1"/>
    <n v="-290"/>
    <n v="340"/>
  </r>
  <r>
    <x v="3"/>
    <s v="conventional_refinance_lomedia_incentive_-86"/>
    <x v="1185"/>
    <n v="0"/>
    <n v="1"/>
    <n v="-290"/>
    <n v="340"/>
  </r>
  <r>
    <x v="3"/>
    <s v="conventional_refinance_lomedia_incentive_-85"/>
    <x v="1186"/>
    <n v="0"/>
    <n v="1"/>
    <n v="-290"/>
    <n v="340"/>
  </r>
  <r>
    <x v="3"/>
    <s v="conventional_refinance_lomedia_incentive_-84"/>
    <x v="1187"/>
    <n v="0"/>
    <n v="1"/>
    <n v="-290"/>
    <n v="340"/>
  </r>
  <r>
    <x v="3"/>
    <s v="conventional_refinance_lomedia_incentive_-83"/>
    <x v="1188"/>
    <n v="0"/>
    <n v="1"/>
    <n v="-290"/>
    <n v="340"/>
  </r>
  <r>
    <x v="3"/>
    <s v="conventional_refinance_lomedia_incentive_-82"/>
    <x v="1189"/>
    <n v="0"/>
    <n v="1"/>
    <n v="-290"/>
    <n v="340"/>
  </r>
  <r>
    <x v="3"/>
    <s v="conventional_refinance_lomedia_incentive_-81"/>
    <x v="1190"/>
    <n v="0"/>
    <n v="1"/>
    <n v="-290"/>
    <n v="340"/>
  </r>
  <r>
    <x v="3"/>
    <s v="conventional_refinance_lomedia_incentive_-80"/>
    <x v="1191"/>
    <n v="0"/>
    <n v="1"/>
    <n v="-290"/>
    <n v="340"/>
  </r>
  <r>
    <x v="3"/>
    <s v="conventional_refinance_lomedia_incentive_-79"/>
    <x v="1192"/>
    <n v="0"/>
    <n v="1"/>
    <n v="-290"/>
    <n v="340"/>
  </r>
  <r>
    <x v="3"/>
    <s v="conventional_refinance_lomedia_incentive_-78"/>
    <x v="1193"/>
    <n v="0"/>
    <n v="1"/>
    <n v="-290"/>
    <n v="340"/>
  </r>
  <r>
    <x v="3"/>
    <s v="conventional_refinance_lomedia_incentive_-77"/>
    <x v="1194"/>
    <n v="0"/>
    <n v="1"/>
    <n v="-290"/>
    <n v="340"/>
  </r>
  <r>
    <x v="3"/>
    <s v="conventional_refinance_lomedia_incentive_-76"/>
    <x v="1195"/>
    <n v="0"/>
    <n v="1"/>
    <n v="-290"/>
    <n v="340"/>
  </r>
  <r>
    <x v="3"/>
    <s v="conventional_refinance_lomedia_incentive_-75"/>
    <x v="1196"/>
    <n v="0"/>
    <n v="1"/>
    <n v="-290"/>
    <n v="340"/>
  </r>
  <r>
    <x v="3"/>
    <s v="conventional_refinance_lomedia_incentive_-74"/>
    <x v="1197"/>
    <n v="0"/>
    <n v="1"/>
    <n v="-290"/>
    <n v="340"/>
  </r>
  <r>
    <x v="3"/>
    <s v="conventional_refinance_lomedia_incentive_-73"/>
    <x v="1198"/>
    <n v="0"/>
    <n v="1"/>
    <n v="-290"/>
    <n v="340"/>
  </r>
  <r>
    <x v="3"/>
    <s v="conventional_refinance_lomedia_incentive_-72"/>
    <x v="1199"/>
    <n v="0"/>
    <n v="1"/>
    <n v="-290"/>
    <n v="340"/>
  </r>
  <r>
    <x v="3"/>
    <s v="conventional_refinance_lomedia_incentive_-71"/>
    <x v="1200"/>
    <n v="0"/>
    <n v="1"/>
    <n v="-290"/>
    <n v="340"/>
  </r>
  <r>
    <x v="3"/>
    <s v="conventional_refinance_lomedia_incentive_-70"/>
    <x v="1201"/>
    <n v="0"/>
    <n v="1"/>
    <n v="-290"/>
    <n v="340"/>
  </r>
  <r>
    <x v="3"/>
    <s v="conventional_refinance_lomedia_incentive_-69"/>
    <x v="1202"/>
    <n v="0"/>
    <n v="1"/>
    <n v="-290"/>
    <n v="340"/>
  </r>
  <r>
    <x v="3"/>
    <s v="conventional_refinance_lomedia_incentive_-68"/>
    <x v="1203"/>
    <n v="0"/>
    <n v="1"/>
    <n v="-290"/>
    <n v="340"/>
  </r>
  <r>
    <x v="3"/>
    <s v="conventional_refinance_lomedia_incentive_-67"/>
    <x v="1204"/>
    <n v="0"/>
    <n v="1"/>
    <n v="-290"/>
    <n v="340"/>
  </r>
  <r>
    <x v="3"/>
    <s v="conventional_refinance_lomedia_incentive_-66"/>
    <x v="1205"/>
    <n v="0"/>
    <n v="1"/>
    <n v="-290"/>
    <n v="340"/>
  </r>
  <r>
    <x v="3"/>
    <s v="conventional_refinance_lomedia_incentive_-65"/>
    <x v="1206"/>
    <n v="0"/>
    <n v="1"/>
    <n v="-290"/>
    <n v="340"/>
  </r>
  <r>
    <x v="3"/>
    <s v="conventional_refinance_lomedia_incentive_-64"/>
    <x v="1207"/>
    <n v="0"/>
    <n v="1"/>
    <n v="-290"/>
    <n v="340"/>
  </r>
  <r>
    <x v="3"/>
    <s v="conventional_refinance_lomedia_incentive_-63"/>
    <x v="1208"/>
    <n v="0"/>
    <n v="1"/>
    <n v="-290"/>
    <n v="340"/>
  </r>
  <r>
    <x v="3"/>
    <s v="conventional_refinance_lomedia_incentive_-62"/>
    <x v="1209"/>
    <n v="0"/>
    <n v="1"/>
    <n v="-290"/>
    <n v="340"/>
  </r>
  <r>
    <x v="3"/>
    <s v="conventional_refinance_lomedia_incentive_-61"/>
    <x v="1210"/>
    <n v="0"/>
    <n v="1"/>
    <n v="-290"/>
    <n v="340"/>
  </r>
  <r>
    <x v="3"/>
    <s v="conventional_refinance_lomedia_incentive_-60"/>
    <x v="1211"/>
    <n v="0"/>
    <n v="1"/>
    <n v="-290"/>
    <n v="340"/>
  </r>
  <r>
    <x v="3"/>
    <s v="conventional_refinance_lomedia_incentive_-59"/>
    <x v="1212"/>
    <n v="0"/>
    <n v="1"/>
    <n v="-290"/>
    <n v="340"/>
  </r>
  <r>
    <x v="3"/>
    <s v="conventional_refinance_lomedia_incentive_-58"/>
    <x v="1213"/>
    <n v="0"/>
    <n v="1"/>
    <n v="-290"/>
    <n v="340"/>
  </r>
  <r>
    <x v="3"/>
    <s v="conventional_refinance_lomedia_incentive_-57"/>
    <x v="1214"/>
    <n v="0"/>
    <n v="1"/>
    <n v="-290"/>
    <n v="340"/>
  </r>
  <r>
    <x v="3"/>
    <s v="conventional_refinance_lomedia_incentive_-56"/>
    <x v="1215"/>
    <n v="0"/>
    <n v="1"/>
    <n v="-290"/>
    <n v="340"/>
  </r>
  <r>
    <x v="3"/>
    <s v="conventional_refinance_lomedia_incentive_-55"/>
    <x v="1216"/>
    <n v="0"/>
    <n v="1"/>
    <n v="-290"/>
    <n v="340"/>
  </r>
  <r>
    <x v="3"/>
    <s v="conventional_refinance_lomedia_incentive_-54"/>
    <x v="1217"/>
    <n v="0"/>
    <n v="1"/>
    <n v="-290"/>
    <n v="340"/>
  </r>
  <r>
    <x v="3"/>
    <s v="conventional_refinance_lomedia_incentive_-53"/>
    <x v="1218"/>
    <n v="0"/>
    <n v="1"/>
    <n v="-290"/>
    <n v="340"/>
  </r>
  <r>
    <x v="3"/>
    <s v="conventional_refinance_lomedia_incentive_-52"/>
    <x v="1219"/>
    <n v="0"/>
    <n v="1"/>
    <n v="-290"/>
    <n v="340"/>
  </r>
  <r>
    <x v="3"/>
    <s v="conventional_refinance_lomedia_incentive_-51"/>
    <x v="1220"/>
    <n v="0"/>
    <n v="1"/>
    <n v="-290"/>
    <n v="340"/>
  </r>
  <r>
    <x v="3"/>
    <s v="conventional_refinance_lomedia_incentive_-50"/>
    <x v="1221"/>
    <n v="0"/>
    <n v="1"/>
    <n v="-290"/>
    <n v="340"/>
  </r>
  <r>
    <x v="3"/>
    <s v="conventional_refinance_lomedia_incentive_-49"/>
    <x v="1222"/>
    <n v="1.9326962141257901E-4"/>
    <n v="1"/>
    <n v="-290"/>
    <n v="340"/>
  </r>
  <r>
    <x v="3"/>
    <s v="conventional_refinance_lomedia_incentive_-48"/>
    <x v="1223"/>
    <n v="7.6237704050478297E-4"/>
    <n v="1"/>
    <n v="-290"/>
    <n v="340"/>
  </r>
  <r>
    <x v="3"/>
    <s v="conventional_refinance_lomedia_incentive_-47"/>
    <x v="1224"/>
    <n v="1.6912700895583201E-3"/>
    <n v="1"/>
    <n v="-290"/>
    <n v="340"/>
  </r>
  <r>
    <x v="3"/>
    <s v="conventional_refinance_lomedia_incentive_-46"/>
    <x v="1225"/>
    <n v="2.9638966008548799E-3"/>
    <n v="1"/>
    <n v="-290"/>
    <n v="340"/>
  </r>
  <r>
    <x v="3"/>
    <s v="conventional_refinance_lomedia_incentive_-45"/>
    <x v="1226"/>
    <n v="4.5642044066761698E-3"/>
    <n v="1"/>
    <n v="-290"/>
    <n v="340"/>
  </r>
  <r>
    <x v="3"/>
    <s v="conventional_refinance_lomedia_incentive_-44"/>
    <x v="1227"/>
    <n v="6.47614133930389E-3"/>
    <n v="1"/>
    <n v="-290"/>
    <n v="340"/>
  </r>
  <r>
    <x v="3"/>
    <s v="conventional_refinance_lomedia_incentive_-43"/>
    <x v="1228"/>
    <n v="8.68365523101974E-3"/>
    <n v="1"/>
    <n v="-290"/>
    <n v="340"/>
  </r>
  <r>
    <x v="3"/>
    <s v="conventional_refinance_lomedia_incentive_-42"/>
    <x v="1229"/>
    <n v="1.11706939141054E-2"/>
    <n v="1"/>
    <n v="-290"/>
    <n v="340"/>
  </r>
  <r>
    <x v="3"/>
    <s v="conventional_refinance_lomedia_incentive_-41"/>
    <x v="1230"/>
    <n v="1.3921205220842701E-2"/>
    <n v="1"/>
    <n v="-290"/>
    <n v="340"/>
  </r>
  <r>
    <x v="3"/>
    <s v="conventional_refinance_lomedia_incentive_-40"/>
    <x v="0"/>
    <n v="1.6919136983513099E-2"/>
    <n v="1"/>
    <n v="-290"/>
    <n v="340"/>
  </r>
  <r>
    <x v="3"/>
    <s v="conventional_refinance_lomedia_incentive_-39"/>
    <x v="1"/>
    <n v="2.01484370343985E-2"/>
    <n v="1"/>
    <n v="-290"/>
    <n v="340"/>
  </r>
  <r>
    <x v="3"/>
    <s v="conventional_refinance_lomedia_incentive_-38"/>
    <x v="2"/>
    <n v="2.35930532057806E-2"/>
    <n v="1"/>
    <n v="-290"/>
    <n v="340"/>
  </r>
  <r>
    <x v="3"/>
    <s v="conventional_refinance_lomedia_incentive_-37"/>
    <x v="3"/>
    <n v="2.7236933329940999E-2"/>
    <n v="1"/>
    <n v="-290"/>
    <n v="340"/>
  </r>
  <r>
    <x v="3"/>
    <s v="conventional_refinance_lomedia_incentive_-36"/>
    <x v="4"/>
    <n v="3.1064025239161401E-2"/>
    <n v="1"/>
    <n v="-290"/>
    <n v="340"/>
  </r>
  <r>
    <x v="3"/>
    <s v="conventional_refinance_lomedia_incentive_-35"/>
    <x v="5"/>
    <n v="3.5058276765723602E-2"/>
    <n v="1"/>
    <n v="-290"/>
    <n v="340"/>
  </r>
  <r>
    <x v="3"/>
    <s v="conventional_refinance_lomedia_incentive_-34"/>
    <x v="6"/>
    <n v="3.9203635741909201E-2"/>
    <n v="1"/>
    <n v="-290"/>
    <n v="340"/>
  </r>
  <r>
    <x v="3"/>
    <s v="conventional_refinance_lomedia_incentive_-33"/>
    <x v="7"/>
    <n v="4.3484050000000003E-2"/>
    <n v="1"/>
    <n v="-290"/>
    <n v="340"/>
  </r>
  <r>
    <x v="3"/>
    <s v="conventional_refinance_lomedia_incentive_-32"/>
    <x v="8"/>
    <n v="4.7883467372277597E-2"/>
    <n v="1"/>
    <n v="-290"/>
    <n v="340"/>
  </r>
  <r>
    <x v="3"/>
    <s v="conventional_refinance_lomedia_incentive_-31"/>
    <x v="9"/>
    <n v="5.2385835691023799E-2"/>
    <n v="1"/>
    <n v="-290"/>
    <n v="340"/>
  </r>
  <r>
    <x v="3"/>
    <s v="conventional_refinance_lomedia_incentive_-30"/>
    <x v="10"/>
    <n v="5.6975102788520297E-2"/>
    <n v="1"/>
    <n v="-290"/>
    <n v="340"/>
  </r>
  <r>
    <x v="3"/>
    <s v="conventional_refinance_lomedia_incentive_-29"/>
    <x v="11"/>
    <n v="6.16352164970487E-2"/>
    <n v="1"/>
    <n v="-290"/>
    <n v="340"/>
  </r>
  <r>
    <x v="3"/>
    <s v="conventional_refinance_lomedia_incentive_-28"/>
    <x v="12"/>
    <n v="6.6350124648890701E-2"/>
    <n v="1"/>
    <n v="-290"/>
    <n v="340"/>
  </r>
  <r>
    <x v="3"/>
    <s v="conventional_refinance_lomedia_incentive_-27"/>
    <x v="13"/>
    <n v="7.1103775076328105E-2"/>
    <n v="1"/>
    <n v="-290"/>
    <n v="340"/>
  </r>
  <r>
    <x v="3"/>
    <s v="conventional_refinance_lomedia_incentive_-26"/>
    <x v="14"/>
    <n v="7.5880115611642596E-2"/>
    <n v="1"/>
    <n v="-290"/>
    <n v="340"/>
  </r>
  <r>
    <x v="3"/>
    <s v="conventional_refinance_lomedia_incentive_-25"/>
    <x v="15"/>
    <n v="8.0663094087115805E-2"/>
    <n v="1"/>
    <n v="-290"/>
    <n v="340"/>
  </r>
  <r>
    <x v="3"/>
    <s v="conventional_refinance_lomedia_incentive_-24"/>
    <x v="16"/>
    <n v="8.5436658335029503E-2"/>
    <n v="1"/>
    <n v="-290"/>
    <n v="340"/>
  </r>
  <r>
    <x v="3"/>
    <s v="conventional_refinance_lomedia_incentive_-23"/>
    <x v="17"/>
    <n v="9.0184756187665402E-2"/>
    <n v="1"/>
    <n v="-290"/>
    <n v="340"/>
  </r>
  <r>
    <x v="3"/>
    <s v="conventional_refinance_lomedia_incentive_-22"/>
    <x v="18"/>
    <n v="9.4891335477305105E-2"/>
    <n v="1"/>
    <n v="-290"/>
    <n v="340"/>
  </r>
  <r>
    <x v="3"/>
    <s v="conventional_refinance_lomedia_incentive_-21"/>
    <x v="19"/>
    <n v="9.9540344036230397E-2"/>
    <n v="1"/>
    <n v="-290"/>
    <n v="340"/>
  </r>
  <r>
    <x v="3"/>
    <s v="conventional_refinance_lomedia_incentive_-20"/>
    <x v="20"/>
    <n v="0.104115729696723"/>
    <n v="1"/>
    <n v="-290"/>
    <n v="340"/>
  </r>
  <r>
    <x v="3"/>
    <s v="conventional_refinance_lomedia_incentive_-19"/>
    <x v="21"/>
    <n v="0.108601440291065"/>
    <n v="1"/>
    <n v="-290"/>
    <n v="340"/>
  </r>
  <r>
    <x v="3"/>
    <s v="conventional_refinance_lomedia_incentive_-18"/>
    <x v="22"/>
    <n v="0.112981423651537"/>
    <n v="1"/>
    <n v="-290"/>
    <n v="340"/>
  </r>
  <r>
    <x v="3"/>
    <s v="conventional_refinance_lomedia_incentive_-17"/>
    <x v="23"/>
    <n v="0.117239627610421"/>
    <n v="1"/>
    <n v="-290"/>
    <n v="340"/>
  </r>
  <r>
    <x v="3"/>
    <s v="conventional_refinance_lomedia_incentive_-16"/>
    <x v="24"/>
    <n v="0.12136"/>
    <n v="1"/>
    <n v="-290"/>
    <n v="340"/>
  </r>
  <r>
    <x v="3"/>
    <s v="conventional_refinance_lomedia_incentive_-15"/>
    <x v="25"/>
    <n v="0.125353192621176"/>
    <n v="1"/>
    <n v="-290"/>
    <n v="340"/>
  </r>
  <r>
    <x v="3"/>
    <s v="conventional_refinance_lomedia_incentive_-14"/>
    <x v="26"/>
    <n v="0.129252555557647"/>
    <n v="1"/>
    <n v="-290"/>
    <n v="340"/>
  </r>
  <r>
    <x v="3"/>
    <s v="conventional_refinance_lomedia_incentive_-13"/>
    <x v="27"/>
    <n v="0.13307608406588201"/>
    <n v="1"/>
    <n v="-290"/>
    <n v="340"/>
  </r>
  <r>
    <x v="3"/>
    <s v="conventional_refinance_lomedia_incentive_-12"/>
    <x v="28"/>
    <n v="0.13684177340235301"/>
    <n v="1"/>
    <n v="-290"/>
    <n v="340"/>
  </r>
  <r>
    <x v="3"/>
    <s v="conventional_refinance_lomedia_incentive_-11"/>
    <x v="29"/>
    <n v="0.140567618823529"/>
    <n v="1"/>
    <n v="-290"/>
    <n v="340"/>
  </r>
  <r>
    <x v="3"/>
    <s v="conventional_refinance_lomedia_incentive_-10"/>
    <x v="30"/>
    <n v="0.144271615585882"/>
    <n v="1"/>
    <n v="-290"/>
    <n v="340"/>
  </r>
  <r>
    <x v="3"/>
    <s v="conventional_refinance_lomedia_incentive_-9"/>
    <x v="31"/>
    <n v="0.14797175894588199"/>
    <n v="1"/>
    <n v="-290"/>
    <n v="340"/>
  </r>
  <r>
    <x v="3"/>
    <s v="conventional_refinance_lomedia_incentive_-8"/>
    <x v="32"/>
    <n v="0.15168604416000001"/>
    <n v="1"/>
    <n v="-290"/>
    <n v="340"/>
  </r>
  <r>
    <x v="3"/>
    <s v="conventional_refinance_lomedia_incentive_-7"/>
    <x v="33"/>
    <n v="0.15543246648470599"/>
    <n v="1"/>
    <n v="-290"/>
    <n v="340"/>
  </r>
  <r>
    <x v="3"/>
    <s v="conventional_refinance_lomedia_incentive_-6"/>
    <x v="34"/>
    <n v="0.159229021176471"/>
    <n v="1"/>
    <n v="-290"/>
    <n v="340"/>
  </r>
  <r>
    <x v="3"/>
    <s v="conventional_refinance_lomedia_incentive_-5"/>
    <x v="35"/>
    <n v="0.163093703491765"/>
    <n v="1"/>
    <n v="-290"/>
    <n v="340"/>
  </r>
  <r>
    <x v="3"/>
    <s v="conventional_refinance_lomedia_incentive_-4"/>
    <x v="36"/>
    <n v="0.167044508687059"/>
    <n v="1"/>
    <n v="-290"/>
    <n v="340"/>
  </r>
  <r>
    <x v="3"/>
    <s v="conventional_refinance_lomedia_incentive_-3"/>
    <x v="37"/>
    <n v="0.17109943201882399"/>
    <n v="1"/>
    <n v="-290"/>
    <n v="340"/>
  </r>
  <r>
    <x v="3"/>
    <s v="conventional_refinance_lomedia_incentive_-2"/>
    <x v="38"/>
    <n v="0.17527646874352901"/>
    <n v="1"/>
    <n v="-290"/>
    <n v="340"/>
  </r>
  <r>
    <x v="3"/>
    <s v="conventional_refinance_lomedia_incentive_-1"/>
    <x v="39"/>
    <n v="0.17959361411764699"/>
    <n v="1"/>
    <n v="-290"/>
    <n v="340"/>
  </r>
  <r>
    <x v="3"/>
    <s v="conventional_refinance_lomedia_incentive_0"/>
    <x v="40"/>
    <n v="0.184068863397647"/>
    <n v="1"/>
    <n v="-290"/>
    <n v="340"/>
  </r>
  <r>
    <x v="3"/>
    <s v="conventional_refinance_lomedia_incentive_1"/>
    <x v="41"/>
    <n v="0.18872021184000001"/>
    <n v="1"/>
    <n v="-290"/>
    <n v="340"/>
  </r>
  <r>
    <x v="3"/>
    <s v="conventional_refinance_lomedia_incentive_2"/>
    <x v="42"/>
    <n v="0.19356565470117601"/>
    <n v="1"/>
    <n v="-290"/>
    <n v="340"/>
  </r>
  <r>
    <x v="3"/>
    <s v="conventional_refinance_lomedia_incentive_3"/>
    <x v="43"/>
    <n v="0.19862318723764699"/>
    <n v="1"/>
    <n v="-290"/>
    <n v="340"/>
  </r>
  <r>
    <x v="3"/>
    <s v="conventional_refinance_lomedia_incentive_4"/>
    <x v="44"/>
    <n v="0.20391080470588199"/>
    <n v="1"/>
    <n v="-290"/>
    <n v="340"/>
  </r>
  <r>
    <x v="3"/>
    <s v="conventional_refinance_lomedia_incentive_5"/>
    <x v="45"/>
    <n v="0.20944650236235299"/>
    <n v="1"/>
    <n v="-290"/>
    <n v="340"/>
  </r>
  <r>
    <x v="3"/>
    <s v="conventional_refinance_lomedia_incentive_6"/>
    <x v="46"/>
    <n v="0.21524827546352901"/>
    <n v="1"/>
    <n v="-290"/>
    <n v="340"/>
  </r>
  <r>
    <x v="3"/>
    <s v="conventional_refinance_lomedia_incentive_7"/>
    <x v="47"/>
    <n v="0.22133411926588201"/>
    <n v="1"/>
    <n v="-290"/>
    <n v="340"/>
  </r>
  <r>
    <x v="3"/>
    <s v="conventional_refinance_lomedia_incentive_8"/>
    <x v="48"/>
    <n v="0.22772202902588201"/>
    <n v="1"/>
    <n v="-290"/>
    <n v="340"/>
  </r>
  <r>
    <x v="3"/>
    <s v="conventional_refinance_lomedia_incentive_9"/>
    <x v="49"/>
    <n v="0.23443"/>
    <n v="1"/>
    <n v="-290"/>
    <n v="340"/>
  </r>
  <r>
    <x v="3"/>
    <s v="conventional_refinance_lomedia_incentive_10"/>
    <x v="50"/>
    <n v="0.24145534345846201"/>
    <n v="1"/>
    <n v="-290"/>
    <n v="340"/>
  </r>
  <r>
    <x v="3"/>
    <s v="conventional_refinance_lomedia_incentive_11"/>
    <x v="51"/>
    <n v="0.24877382459076899"/>
    <n v="1"/>
    <n v="-290"/>
    <n v="340"/>
  </r>
  <r>
    <x v="3"/>
    <s v="conventional_refinance_lomedia_incentive_12"/>
    <x v="52"/>
    <n v="0.25637111953230801"/>
    <n v="1"/>
    <n v="-290"/>
    <n v="340"/>
  </r>
  <r>
    <x v="3"/>
    <s v="conventional_refinance_lomedia_incentive_13"/>
    <x v="53"/>
    <n v="0.26423290441846198"/>
    <n v="1"/>
    <n v="-290"/>
    <n v="340"/>
  </r>
  <r>
    <x v="3"/>
    <s v="conventional_refinance_lomedia_incentive_14"/>
    <x v="54"/>
    <n v="0.272344855384615"/>
    <n v="1"/>
    <n v="-290"/>
    <n v="340"/>
  </r>
  <r>
    <x v="3"/>
    <s v="conventional_refinance_lomedia_incentive_15"/>
    <x v="55"/>
    <n v="0.280692648566154"/>
    <n v="1"/>
    <n v="-290"/>
    <n v="340"/>
  </r>
  <r>
    <x v="3"/>
    <s v="conventional_refinance_lomedia_incentive_16"/>
    <x v="56"/>
    <n v="0.289261960098462"/>
    <n v="1"/>
    <n v="-290"/>
    <n v="340"/>
  </r>
  <r>
    <x v="3"/>
    <s v="conventional_refinance_lomedia_incentive_17"/>
    <x v="57"/>
    <n v="0.29803846611692297"/>
    <n v="1"/>
    <n v="-290"/>
    <n v="340"/>
  </r>
  <r>
    <x v="3"/>
    <s v="conventional_refinance_lomedia_incentive_18"/>
    <x v="58"/>
    <n v="0.307007842756923"/>
    <n v="1"/>
    <n v="-290"/>
    <n v="340"/>
  </r>
  <r>
    <x v="3"/>
    <s v="conventional_refinance_lomedia_incentive_19"/>
    <x v="59"/>
    <n v="0.316155766153846"/>
    <n v="1"/>
    <n v="-290"/>
    <n v="340"/>
  </r>
  <r>
    <x v="3"/>
    <s v="conventional_refinance_lomedia_incentive_20"/>
    <x v="60"/>
    <n v="0.32546791244307699"/>
    <n v="1"/>
    <n v="-290"/>
    <n v="340"/>
  </r>
  <r>
    <x v="3"/>
    <s v="conventional_refinance_lomedia_incentive_21"/>
    <x v="61"/>
    <n v="0.33492995776000001"/>
    <n v="1"/>
    <n v="-290"/>
    <n v="340"/>
  </r>
  <r>
    <x v="3"/>
    <s v="conventional_refinance_lomedia_incentive_22"/>
    <x v="62"/>
    <n v="0.34452757824000002"/>
    <n v="1"/>
    <n v="-290"/>
    <n v="340"/>
  </r>
  <r>
    <x v="3"/>
    <s v="conventional_refinance_lomedia_incentive_23"/>
    <x v="63"/>
    <n v="0.354246450018462"/>
    <n v="1"/>
    <n v="-290"/>
    <n v="340"/>
  </r>
  <r>
    <x v="3"/>
    <s v="conventional_refinance_lomedia_incentive_24"/>
    <x v="64"/>
    <n v="0.36407224923076897"/>
    <n v="1"/>
    <n v="-290"/>
    <n v="340"/>
  </r>
  <r>
    <x v="3"/>
    <s v="conventional_refinance_lomedia_incentive_25"/>
    <x v="65"/>
    <n v="0.37399065201230802"/>
    <n v="1"/>
    <n v="-290"/>
    <n v="340"/>
  </r>
  <r>
    <x v="3"/>
    <s v="conventional_refinance_lomedia_incentive_26"/>
    <x v="66"/>
    <n v="0.38398733449846201"/>
    <n v="1"/>
    <n v="-290"/>
    <n v="340"/>
  </r>
  <r>
    <x v="3"/>
    <s v="conventional_refinance_lomedia_incentive_27"/>
    <x v="67"/>
    <n v="0.39404797282461501"/>
    <n v="1"/>
    <n v="-290"/>
    <n v="340"/>
  </r>
  <r>
    <x v="3"/>
    <s v="conventional_refinance_lomedia_incentive_28"/>
    <x v="68"/>
    <n v="0.404158243126154"/>
    <n v="1"/>
    <n v="-290"/>
    <n v="340"/>
  </r>
  <r>
    <x v="3"/>
    <s v="conventional_refinance_lomedia_incentive_29"/>
    <x v="69"/>
    <n v="0.41430382153846201"/>
    <n v="1"/>
    <n v="-290"/>
    <n v="340"/>
  </r>
  <r>
    <x v="3"/>
    <s v="conventional_refinance_lomedia_incentive_30"/>
    <x v="70"/>
    <n v="0.42447038419692301"/>
    <n v="1"/>
    <n v="-290"/>
    <n v="340"/>
  </r>
  <r>
    <x v="3"/>
    <s v="conventional_refinance_lomedia_incentive_31"/>
    <x v="71"/>
    <n v="0.43464360723692302"/>
    <n v="1"/>
    <n v="-290"/>
    <n v="340"/>
  </r>
  <r>
    <x v="3"/>
    <s v="conventional_refinance_lomedia_incentive_32"/>
    <x v="72"/>
    <n v="0.44480916679384602"/>
    <n v="1"/>
    <n v="-290"/>
    <n v="340"/>
  </r>
  <r>
    <x v="3"/>
    <s v="conventional_refinance_lomedia_incentive_33"/>
    <x v="73"/>
    <n v="0.45495273900307698"/>
    <n v="1"/>
    <n v="-290"/>
    <n v="340"/>
  </r>
  <r>
    <x v="3"/>
    <s v="conventional_refinance_lomedia_incentive_34"/>
    <x v="74"/>
    <n v="0.46505999999999997"/>
    <n v="1"/>
    <n v="-290"/>
    <n v="340"/>
  </r>
  <r>
    <x v="3"/>
    <s v="conventional_refinance_lomedia_incentive_35"/>
    <x v="75"/>
    <n v="0.47516326657563301"/>
    <n v="1"/>
    <n v="-290"/>
    <n v="340"/>
  </r>
  <r>
    <x v="3"/>
    <s v="conventional_refinance_lomedia_incentive_36"/>
    <x v="76"/>
    <n v="0.48530666199362799"/>
    <n v="1"/>
    <n v="-290"/>
    <n v="340"/>
  </r>
  <r>
    <x v="3"/>
    <s v="conventional_refinance_lomedia_incentive_37"/>
    <x v="77"/>
    <n v="0.49549357209831602"/>
    <n v="1"/>
    <n v="-290"/>
    <n v="340"/>
  </r>
  <r>
    <x v="3"/>
    <s v="conventional_refinance_lomedia_incentive_38"/>
    <x v="78"/>
    <n v="0.50572738273403095"/>
    <n v="1"/>
    <n v="-290"/>
    <n v="340"/>
  </r>
  <r>
    <x v="3"/>
    <s v="conventional_refinance_lomedia_incentive_39"/>
    <x v="79"/>
    <n v="0.51601147974510697"/>
    <n v="1"/>
    <n v="-290"/>
    <n v="340"/>
  </r>
  <r>
    <x v="3"/>
    <s v="conventional_refinance_lomedia_incentive_40"/>
    <x v="80"/>
    <n v="0.52634924897587598"/>
    <n v="1"/>
    <n v="-290"/>
    <n v="340"/>
  </r>
  <r>
    <x v="3"/>
    <s v="conventional_refinance_lomedia_incentive_41"/>
    <x v="81"/>
    <n v="0.536744076270672"/>
    <n v="1"/>
    <n v="-290"/>
    <n v="340"/>
  </r>
  <r>
    <x v="3"/>
    <s v="conventional_refinance_lomedia_incentive_42"/>
    <x v="82"/>
    <n v="0.54719934747382803"/>
    <n v="1"/>
    <n v="-290"/>
    <n v="340"/>
  </r>
  <r>
    <x v="3"/>
    <s v="conventional_refinance_lomedia_incentive_43"/>
    <x v="83"/>
    <n v="0.55771844842967699"/>
    <n v="1"/>
    <n v="-290"/>
    <n v="340"/>
  </r>
  <r>
    <x v="3"/>
    <s v="conventional_refinance_lomedia_incentive_44"/>
    <x v="84"/>
    <n v="0.568304764982552"/>
    <n v="1"/>
    <n v="-290"/>
    <n v="340"/>
  </r>
  <r>
    <x v="3"/>
    <s v="conventional_refinance_lomedia_incentive_45"/>
    <x v="85"/>
    <n v="0.57896168297678696"/>
    <n v="1"/>
    <n v="-290"/>
    <n v="340"/>
  </r>
  <r>
    <x v="3"/>
    <s v="conventional_refinance_lomedia_incentive_46"/>
    <x v="86"/>
    <n v="0.589692588256714"/>
    <n v="1"/>
    <n v="-290"/>
    <n v="340"/>
  </r>
  <r>
    <x v="3"/>
    <s v="conventional_refinance_lomedia_incentive_47"/>
    <x v="87"/>
    <n v="0.60050086666666702"/>
    <n v="1"/>
    <n v="-290"/>
    <n v="340"/>
  </r>
  <r>
    <x v="3"/>
    <s v="conventional_refinance_lomedia_incentive_48"/>
    <x v="88"/>
    <n v="0.61138990405097804"/>
    <n v="1"/>
    <n v="-290"/>
    <n v="340"/>
  </r>
  <r>
    <x v="3"/>
    <s v="conventional_refinance_lomedia_incentive_49"/>
    <x v="89"/>
    <n v="0.62236308625398296"/>
    <n v="1"/>
    <n v="-290"/>
    <n v="340"/>
  </r>
  <r>
    <x v="3"/>
    <s v="conventional_refinance_lomedia_incentive_50"/>
    <x v="90"/>
    <n v="0.63342379912001201"/>
    <n v="1"/>
    <n v="-290"/>
    <n v="340"/>
  </r>
  <r>
    <x v="3"/>
    <s v="conventional_refinance_lomedia_incentive_51"/>
    <x v="91"/>
    <n v="0.64457542849339999"/>
    <n v="1"/>
    <n v="-290"/>
    <n v="340"/>
  </r>
  <r>
    <x v="3"/>
    <s v="conventional_refinance_lomedia_incentive_52"/>
    <x v="92"/>
    <n v="0.65582136021848003"/>
    <n v="1"/>
    <n v="-290"/>
    <n v="340"/>
  </r>
  <r>
    <x v="3"/>
    <s v="conventional_refinance_lomedia_incentive_53"/>
    <x v="93"/>
    <n v="0.66716498013958403"/>
    <n v="1"/>
    <n v="-290"/>
    <n v="340"/>
  </r>
  <r>
    <x v="3"/>
    <s v="conventional_refinance_lomedia_incentive_54"/>
    <x v="94"/>
    <n v="0.678609674101047"/>
    <n v="1"/>
    <n v="-290"/>
    <n v="340"/>
  </r>
  <r>
    <x v="3"/>
    <s v="conventional_refinance_lomedia_incentive_55"/>
    <x v="95"/>
    <n v="0.69015882794720096"/>
    <n v="1"/>
    <n v="-290"/>
    <n v="340"/>
  </r>
  <r>
    <x v="3"/>
    <s v="conventional_refinance_lomedia_incentive_56"/>
    <x v="96"/>
    <n v="0.70181582752237903"/>
    <n v="1"/>
    <n v="-290"/>
    <n v="340"/>
  </r>
  <r>
    <x v="3"/>
    <s v="conventional_refinance_lomedia_incentive_57"/>
    <x v="97"/>
    <n v="0.71358405867091501"/>
    <n v="1"/>
    <n v="-290"/>
    <n v="340"/>
  </r>
  <r>
    <x v="3"/>
    <s v="conventional_refinance_lomedia_incentive_58"/>
    <x v="98"/>
    <n v="0.72546690723714202"/>
    <n v="1"/>
    <n v="-290"/>
    <n v="340"/>
  </r>
  <r>
    <x v="3"/>
    <s v="conventional_refinance_lomedia_incentive_59"/>
    <x v="99"/>
    <n v="0.73746775906539197"/>
    <n v="1"/>
    <n v="-290"/>
    <n v="340"/>
  </r>
  <r>
    <x v="3"/>
    <s v="conventional_refinance_lomedia_incentive_60"/>
    <x v="100"/>
    <n v="0.74958999999999998"/>
    <n v="1"/>
    <n v="-290"/>
    <n v="340"/>
  </r>
  <r>
    <x v="3"/>
    <s v="conventional_refinance_lomedia_incentive_61"/>
    <x v="101"/>
    <n v="0.76180711900081399"/>
    <n v="1"/>
    <n v="-290"/>
    <n v="340"/>
  </r>
  <r>
    <x v="3"/>
    <s v="conventional_refinance_lomedia_incentive_62"/>
    <x v="102"/>
    <n v="0.77409149242165198"/>
    <n v="1"/>
    <n v="-290"/>
    <n v="340"/>
  </r>
  <r>
    <x v="3"/>
    <s v="conventional_refinance_lomedia_incentive_63"/>
    <x v="103"/>
    <n v="0.786444837197802"/>
    <n v="1"/>
    <n v="-290"/>
    <n v="340"/>
  </r>
  <r>
    <x v="3"/>
    <s v="conventional_refinance_lomedia_incentive_64"/>
    <x v="104"/>
    <n v="0.79886887026455"/>
    <n v="1"/>
    <n v="-290"/>
    <n v="340"/>
  </r>
  <r>
    <x v="3"/>
    <s v="conventional_refinance_lomedia_incentive_65"/>
    <x v="105"/>
    <n v="0.81136530855718303"/>
    <n v="1"/>
    <n v="-290"/>
    <n v="340"/>
  </r>
  <r>
    <x v="3"/>
    <s v="conventional_refinance_lomedia_incentive_66"/>
    <x v="106"/>
    <n v="0.82393586901098903"/>
    <n v="1"/>
    <n v="-290"/>
    <n v="340"/>
  </r>
  <r>
    <x v="3"/>
    <s v="conventional_refinance_lomedia_incentive_67"/>
    <x v="107"/>
    <n v="0.83658226856125395"/>
    <n v="1"/>
    <n v="-290"/>
    <n v="340"/>
  </r>
  <r>
    <x v="3"/>
    <s v="conventional_refinance_lomedia_incentive_68"/>
    <x v="108"/>
    <n v="0.84930622414326395"/>
    <n v="1"/>
    <n v="-290"/>
    <n v="340"/>
  </r>
  <r>
    <x v="3"/>
    <s v="conventional_refinance_lomedia_incentive_69"/>
    <x v="109"/>
    <n v="0.86210945269230799"/>
    <n v="1"/>
    <n v="-290"/>
    <n v="340"/>
  </r>
  <r>
    <x v="3"/>
    <s v="conventional_refinance_lomedia_incentive_70"/>
    <x v="110"/>
    <n v="0.87499367114367099"/>
    <n v="1"/>
    <n v="-290"/>
    <n v="340"/>
  </r>
  <r>
    <x v="3"/>
    <s v="conventional_refinance_lomedia_incentive_71"/>
    <x v="111"/>
    <n v="0.88796059643264103"/>
    <n v="1"/>
    <n v="-290"/>
    <n v="340"/>
  </r>
  <r>
    <x v="3"/>
    <s v="conventional_refinance_lomedia_incentive_72"/>
    <x v="112"/>
    <n v="0.90101194549450603"/>
    <n v="1"/>
    <n v="-290"/>
    <n v="340"/>
  </r>
  <r>
    <x v="3"/>
    <s v="conventional_refinance_lomedia_incentive_73"/>
    <x v="113"/>
    <n v="0.91414943526454995"/>
    <n v="1"/>
    <n v="-290"/>
    <n v="340"/>
  </r>
  <r>
    <x v="3"/>
    <s v="conventional_refinance_lomedia_incentive_74"/>
    <x v="114"/>
    <n v="0.92737478267806295"/>
    <n v="1"/>
    <n v="-290"/>
    <n v="340"/>
  </r>
  <r>
    <x v="3"/>
    <s v="conventional_refinance_lomedia_incentive_75"/>
    <x v="115"/>
    <n v="0.94068970467032997"/>
    <n v="1"/>
    <n v="-290"/>
    <n v="340"/>
  </r>
  <r>
    <x v="3"/>
    <s v="conventional_refinance_lomedia_incentive_76"/>
    <x v="116"/>
    <n v="0.95409591817663797"/>
    <n v="1"/>
    <n v="-290"/>
    <n v="340"/>
  </r>
  <r>
    <x v="3"/>
    <s v="conventional_refinance_lomedia_incentive_77"/>
    <x v="117"/>
    <n v="0.96759514013227499"/>
    <n v="1"/>
    <n v="-290"/>
    <n v="340"/>
  </r>
  <r>
    <x v="3"/>
    <s v="conventional_refinance_lomedia_incentive_78"/>
    <x v="118"/>
    <n v="0.98118908747252798"/>
    <n v="1"/>
    <n v="-290"/>
    <n v="340"/>
  </r>
  <r>
    <x v="3"/>
    <s v="conventional_refinance_lomedia_incentive_79"/>
    <x v="119"/>
    <n v="0.99487947713268199"/>
    <n v="1"/>
    <n v="-290"/>
    <n v="340"/>
  </r>
  <r>
    <x v="3"/>
    <s v="conventional_refinance_lomedia_incentive_80"/>
    <x v="120"/>
    <n v="1.0086680260480301"/>
    <n v="1"/>
    <n v="-290"/>
    <n v="340"/>
  </r>
  <r>
    <x v="3"/>
    <s v="conventional_refinance_lomedia_incentive_81"/>
    <x v="121"/>
    <n v="1.0225564511538501"/>
    <n v="1"/>
    <n v="-290"/>
    <n v="340"/>
  </r>
  <r>
    <x v="3"/>
    <s v="conventional_refinance_lomedia_incentive_82"/>
    <x v="122"/>
    <n v="1.03654646938543"/>
    <n v="1"/>
    <n v="-290"/>
    <n v="340"/>
  </r>
  <r>
    <x v="3"/>
    <s v="conventional_refinance_lomedia_incentive_83"/>
    <x v="123"/>
    <n v="1.0506397976780599"/>
    <n v="1"/>
    <n v="-290"/>
    <n v="340"/>
  </r>
  <r>
    <x v="3"/>
    <s v="conventional_refinance_lomedia_incentive_84"/>
    <x v="124"/>
    <n v="1.0648381529670301"/>
    <n v="1"/>
    <n v="-290"/>
    <n v="340"/>
  </r>
  <r>
    <x v="3"/>
    <s v="conventional_refinance_lomedia_incentive_85"/>
    <x v="125"/>
    <n v="1.0791432521876301"/>
    <n v="1"/>
    <n v="-290"/>
    <n v="340"/>
  </r>
  <r>
    <x v="3"/>
    <s v="conventional_refinance_lomedia_incentive_86"/>
    <x v="126"/>
    <n v="1.09355681227513"/>
    <n v="1"/>
    <n v="-290"/>
    <n v="340"/>
  </r>
  <r>
    <x v="3"/>
    <s v="conventional_refinance_lomedia_incentive_87"/>
    <x v="127"/>
    <n v="1.1080805501648401"/>
    <n v="1"/>
    <n v="-290"/>
    <n v="340"/>
  </r>
  <r>
    <x v="3"/>
    <s v="conventional_refinance_lomedia_incentive_88"/>
    <x v="128"/>
    <n v="1.12271618279202"/>
    <n v="1"/>
    <n v="-290"/>
    <n v="340"/>
  </r>
  <r>
    <x v="3"/>
    <s v="conventional_refinance_lomedia_incentive_89"/>
    <x v="129"/>
    <n v="1.13746542709198"/>
    <n v="1"/>
    <n v="-290"/>
    <n v="340"/>
  </r>
  <r>
    <x v="3"/>
    <s v="conventional_refinance_lomedia_incentive_90"/>
    <x v="130"/>
    <n v="1.1523300000000001"/>
    <n v="1"/>
    <n v="-290"/>
    <n v="340"/>
  </r>
  <r>
    <x v="3"/>
    <s v="conventional_refinance_lomedia_incentive_91"/>
    <x v="131"/>
    <n v="1.1673109728971001"/>
    <n v="1"/>
    <n v="-290"/>
    <n v="340"/>
  </r>
  <r>
    <x v="3"/>
    <s v="conventional_refinance_lomedia_incentive_92"/>
    <x v="132"/>
    <n v="1.18241090789332"/>
    <n v="1"/>
    <n v="-290"/>
    <n v="340"/>
  </r>
  <r>
    <x v="3"/>
    <s v="conventional_refinance_lomedia_incentive_93"/>
    <x v="133"/>
    <n v="1.1976337580174901"/>
    <n v="1"/>
    <n v="-290"/>
    <n v="340"/>
  </r>
  <r>
    <x v="3"/>
    <s v="conventional_refinance_lomedia_incentive_94"/>
    <x v="134"/>
    <n v="1.2129834762984599"/>
    <n v="1"/>
    <n v="-290"/>
    <n v="340"/>
  </r>
  <r>
    <x v="3"/>
    <s v="conventional_refinance_lomedia_incentive_95"/>
    <x v="135"/>
    <n v="1.2284640157650399"/>
    <n v="1"/>
    <n v="-290"/>
    <n v="340"/>
  </r>
  <r>
    <x v="3"/>
    <s v="conventional_refinance_lomedia_incentive_96"/>
    <x v="136"/>
    <n v="1.2440793294460599"/>
    <n v="1"/>
    <n v="-290"/>
    <n v="340"/>
  </r>
  <r>
    <x v="3"/>
    <s v="conventional_refinance_lomedia_incentive_97"/>
    <x v="137"/>
    <n v="1.2598333703703699"/>
    <n v="1"/>
    <n v="-290"/>
    <n v="340"/>
  </r>
  <r>
    <x v="3"/>
    <s v="conventional_refinance_lomedia_incentive_98"/>
    <x v="138"/>
    <n v="1.27573009156679"/>
    <n v="1"/>
    <n v="-290"/>
    <n v="340"/>
  </r>
  <r>
    <x v="3"/>
    <s v="conventional_refinance_lomedia_incentive_99"/>
    <x v="139"/>
    <n v="1.2917734460641399"/>
    <n v="1"/>
    <n v="-290"/>
    <n v="340"/>
  </r>
  <r>
    <x v="3"/>
    <s v="conventional_refinance_lomedia_incentive_100"/>
    <x v="140"/>
    <n v="1.30796738689126"/>
    <n v="1"/>
    <n v="-290"/>
    <n v="340"/>
  </r>
  <r>
    <x v="3"/>
    <s v="conventional_refinance_lomedia_incentive_101"/>
    <x v="141"/>
    <n v="1.3243158670769899"/>
    <n v="1"/>
    <n v="-290"/>
    <n v="340"/>
  </r>
  <r>
    <x v="3"/>
    <s v="conventional_refinance_lomedia_incentive_102"/>
    <x v="142"/>
    <n v="1.34082283965015"/>
    <n v="1"/>
    <n v="-290"/>
    <n v="340"/>
  </r>
  <r>
    <x v="3"/>
    <s v="conventional_refinance_lomedia_incentive_103"/>
    <x v="143"/>
    <n v="1.3574922576395601"/>
    <n v="1"/>
    <n v="-290"/>
    <n v="340"/>
  </r>
  <r>
    <x v="3"/>
    <s v="conventional_refinance_lomedia_incentive_104"/>
    <x v="144"/>
    <n v="1.37432807407407"/>
    <n v="1"/>
    <n v="-290"/>
    <n v="340"/>
  </r>
  <r>
    <x v="3"/>
    <s v="conventional_refinance_lomedia_incentive_105"/>
    <x v="145"/>
    <n v="1.3913342419825101"/>
    <n v="1"/>
    <n v="-290"/>
    <n v="340"/>
  </r>
  <r>
    <x v="3"/>
    <s v="conventional_refinance_lomedia_incentive_106"/>
    <x v="146"/>
    <n v="1.40851471439369"/>
    <n v="1"/>
    <n v="-290"/>
    <n v="340"/>
  </r>
  <r>
    <x v="3"/>
    <s v="conventional_refinance_lomedia_incentive_107"/>
    <x v="147"/>
    <n v="1.42587344433646"/>
    <n v="1"/>
    <n v="-290"/>
    <n v="340"/>
  </r>
  <r>
    <x v="3"/>
    <s v="conventional_refinance_lomedia_incentive_108"/>
    <x v="148"/>
    <n v="1.4434143848396499"/>
    <n v="1"/>
    <n v="-290"/>
    <n v="340"/>
  </r>
  <r>
    <x v="3"/>
    <s v="conventional_refinance_lomedia_incentive_109"/>
    <x v="149"/>
    <n v="1.46114148893208"/>
    <n v="1"/>
    <n v="-290"/>
    <n v="340"/>
  </r>
  <r>
    <x v="3"/>
    <s v="conventional_refinance_lomedia_incentive_110"/>
    <x v="150"/>
    <n v="1.47905870964259"/>
    <n v="1"/>
    <n v="-290"/>
    <n v="340"/>
  </r>
  <r>
    <x v="3"/>
    <s v="conventional_refinance_lomedia_incentive_111"/>
    <x v="151"/>
    <n v="1.4971699999999999"/>
    <n v="1"/>
    <n v="-290"/>
    <n v="340"/>
  </r>
  <r>
    <x v="3"/>
    <s v="conventional_refinance_lomedia_incentive_112"/>
    <x v="152"/>
    <n v="1.5153866145144399"/>
    <n v="1"/>
    <n v="-290"/>
    <n v="340"/>
  </r>
  <r>
    <x v="3"/>
    <s v="conventional_refinance_lomedia_incentive_113"/>
    <x v="153"/>
    <n v="1.53362892140653"/>
    <n v="1"/>
    <n v="-290"/>
    <n v="340"/>
  </r>
  <r>
    <x v="3"/>
    <s v="conventional_refinance_lomedia_incentive_114"/>
    <x v="154"/>
    <n v="1.55191454427083"/>
    <n v="1"/>
    <n v="-290"/>
    <n v="340"/>
  </r>
  <r>
    <x v="3"/>
    <s v="conventional_refinance_lomedia_incentive_115"/>
    <x v="155"/>
    <n v="1.5702611067019401"/>
    <n v="1"/>
    <n v="-290"/>
    <n v="340"/>
  </r>
  <r>
    <x v="3"/>
    <s v="conventional_refinance_lomedia_incentive_116"/>
    <x v="156"/>
    <n v="1.58868623229442"/>
    <n v="1"/>
    <n v="-290"/>
    <n v="340"/>
  </r>
  <r>
    <x v="3"/>
    <s v="conventional_refinance_lomedia_incentive_117"/>
    <x v="157"/>
    <n v="1.60720754464286"/>
    <n v="1"/>
    <n v="-290"/>
    <n v="340"/>
  </r>
  <r>
    <x v="3"/>
    <s v="conventional_refinance_lomedia_incentive_118"/>
    <x v="158"/>
    <n v="1.62584266734182"/>
    <n v="1"/>
    <n v="-290"/>
    <n v="340"/>
  </r>
  <r>
    <x v="3"/>
    <s v="conventional_refinance_lomedia_incentive_119"/>
    <x v="159"/>
    <n v="1.64460922398589"/>
    <n v="1"/>
    <n v="-290"/>
    <n v="340"/>
  </r>
  <r>
    <x v="3"/>
    <s v="conventional_refinance_lomedia_incentive_120"/>
    <x v="160"/>
    <n v="1.6635248381696399"/>
    <n v="1"/>
    <n v="-290"/>
    <n v="340"/>
  </r>
  <r>
    <x v="3"/>
    <s v="conventional_refinance_lomedia_incentive_121"/>
    <x v="161"/>
    <n v="1.68260713348765"/>
    <n v="1"/>
    <n v="-290"/>
    <n v="340"/>
  </r>
  <r>
    <x v="3"/>
    <s v="conventional_refinance_lomedia_incentive_122"/>
    <x v="162"/>
    <n v="1.7018737335345"/>
    <n v="1"/>
    <n v="-290"/>
    <n v="340"/>
  </r>
  <r>
    <x v="3"/>
    <s v="conventional_refinance_lomedia_incentive_123"/>
    <x v="163"/>
    <n v="1.72134226190476"/>
    <n v="1"/>
    <n v="-290"/>
    <n v="340"/>
  </r>
  <r>
    <x v="3"/>
    <s v="conventional_refinance_lomedia_incentive_124"/>
    <x v="164"/>
    <n v="1.74103034219301"/>
    <n v="1"/>
    <n v="-290"/>
    <n v="340"/>
  </r>
  <r>
    <x v="3"/>
    <s v="conventional_refinance_lomedia_incentive_125"/>
    <x v="165"/>
    <n v="1.7609555979938301"/>
    <n v="1"/>
    <n v="-290"/>
    <n v="340"/>
  </r>
  <r>
    <x v="3"/>
    <s v="conventional_refinance_lomedia_incentive_126"/>
    <x v="166"/>
    <n v="1.7811356529017901"/>
    <n v="1"/>
    <n v="-290"/>
    <n v="340"/>
  </r>
  <r>
    <x v="3"/>
    <s v="conventional_refinance_lomedia_incentive_127"/>
    <x v="167"/>
    <n v="1.8015881305114601"/>
    <n v="1"/>
    <n v="-290"/>
    <n v="340"/>
  </r>
  <r>
    <x v="3"/>
    <s v="conventional_refinance_lomedia_incentive_128"/>
    <x v="168"/>
    <n v="1.82233065441744"/>
    <n v="1"/>
    <n v="-290"/>
    <n v="340"/>
  </r>
  <r>
    <x v="3"/>
    <s v="conventional_refinance_lomedia_incentive_129"/>
    <x v="169"/>
    <n v="1.8433808482142899"/>
    <n v="1"/>
    <n v="-290"/>
    <n v="340"/>
  </r>
  <r>
    <x v="3"/>
    <s v="conventional_refinance_lomedia_incentive_130"/>
    <x v="170"/>
    <n v="1.8647563354965799"/>
    <n v="1"/>
    <n v="-290"/>
    <n v="340"/>
  </r>
  <r>
    <x v="3"/>
    <s v="conventional_refinance_lomedia_incentive_131"/>
    <x v="171"/>
    <n v="1.8864747398589099"/>
    <n v="1"/>
    <n v="-290"/>
    <n v="340"/>
  </r>
  <r>
    <x v="3"/>
    <s v="conventional_refinance_lomedia_incentive_132"/>
    <x v="172"/>
    <n v="1.90855368489583"/>
    <n v="1"/>
    <n v="-290"/>
    <n v="340"/>
  </r>
  <r>
    <x v="3"/>
    <s v="conventional_refinance_lomedia_incentive_133"/>
    <x v="173"/>
    <n v="1.9310107942019401"/>
    <n v="1"/>
    <n v="-290"/>
    <n v="340"/>
  </r>
  <r>
    <x v="3"/>
    <s v="conventional_refinance_lomedia_incentive_134"/>
    <x v="174"/>
    <n v="1.9538636913717999"/>
    <n v="1"/>
    <n v="-290"/>
    <n v="340"/>
  </r>
  <r>
    <x v="3"/>
    <s v="conventional_refinance_lomedia_incentive_135"/>
    <x v="175"/>
    <n v="1.9771300000000001"/>
    <n v="1"/>
    <n v="-290"/>
    <n v="340"/>
  </r>
  <r>
    <x v="3"/>
    <s v="conventional_refinance_lomedia_incentive_136"/>
    <x v="176"/>
    <n v="2.0006362750623801"/>
    <n v="1"/>
    <n v="-290"/>
    <n v="340"/>
  </r>
  <r>
    <x v="3"/>
    <s v="conventional_refinance_lomedia_incentive_137"/>
    <x v="177"/>
    <n v="2.0242052420060501"/>
    <n v="1"/>
    <n v="-290"/>
    <n v="340"/>
  </r>
  <r>
    <x v="3"/>
    <s v="conventional_refinance_lomedia_incentive_138"/>
    <x v="178"/>
    <n v="2.0478487801325"/>
    <n v="1"/>
    <n v="-290"/>
    <n v="340"/>
  </r>
  <r>
    <x v="3"/>
    <s v="conventional_refinance_lomedia_incentive_139"/>
    <x v="179"/>
    <n v="2.0715787687431999"/>
    <n v="1"/>
    <n v="-290"/>
    <n v="340"/>
  </r>
  <r>
    <x v="3"/>
    <s v="conventional_refinance_lomedia_incentive_140"/>
    <x v="180"/>
    <n v="2.0954070871396202"/>
    <n v="1"/>
    <n v="-290"/>
    <n v="340"/>
  </r>
  <r>
    <x v="3"/>
    <s v="conventional_refinance_lomedia_incentive_141"/>
    <x v="181"/>
    <n v="2.1193456146232399"/>
    <n v="1"/>
    <n v="-290"/>
    <n v="340"/>
  </r>
  <r>
    <x v="3"/>
    <s v="conventional_refinance_lomedia_incentive_142"/>
    <x v="182"/>
    <n v="2.1434062304955401"/>
    <n v="1"/>
    <n v="-290"/>
    <n v="340"/>
  </r>
  <r>
    <x v="3"/>
    <s v="conventional_refinance_lomedia_incentive_143"/>
    <x v="183"/>
    <n v="2.1676008140579901"/>
    <n v="1"/>
    <n v="-290"/>
    <n v="340"/>
  </r>
  <r>
    <x v="3"/>
    <s v="conventional_refinance_lomedia_incentive_144"/>
    <x v="184"/>
    <n v="2.1919412446120701"/>
    <n v="1"/>
    <n v="-290"/>
    <n v="340"/>
  </r>
  <r>
    <x v="3"/>
    <s v="conventional_refinance_lomedia_incentive_145"/>
    <x v="185"/>
    <n v="2.2164394014592501"/>
    <n v="1"/>
    <n v="-290"/>
    <n v="340"/>
  </r>
  <r>
    <x v="3"/>
    <s v="conventional_refinance_lomedia_incentive_146"/>
    <x v="186"/>
    <n v="2.2411071639010101"/>
    <n v="1"/>
    <n v="-290"/>
    <n v="340"/>
  </r>
  <r>
    <x v="3"/>
    <s v="conventional_refinance_lomedia_incentive_147"/>
    <x v="187"/>
    <n v="2.26595641123882"/>
    <n v="1"/>
    <n v="-290"/>
    <n v="340"/>
  </r>
  <r>
    <x v="3"/>
    <s v="conventional_refinance_lomedia_incentive_148"/>
    <x v="188"/>
    <n v="2.2909990227741699"/>
    <n v="1"/>
    <n v="-290"/>
    <n v="340"/>
  </r>
  <r>
    <x v="3"/>
    <s v="conventional_refinance_lomedia_incentive_149"/>
    <x v="189"/>
    <n v="2.3162468778085201"/>
    <n v="1"/>
    <n v="-290"/>
    <n v="340"/>
  </r>
  <r>
    <x v="3"/>
    <s v="conventional_refinance_lomedia_incentive_150"/>
    <x v="190"/>
    <n v="2.3417118556433598"/>
    <n v="1"/>
    <n v="-290"/>
    <n v="340"/>
  </r>
  <r>
    <x v="3"/>
    <s v="conventional_refinance_lomedia_incentive_151"/>
    <x v="191"/>
    <n v="2.3674058355801502"/>
    <n v="1"/>
    <n v="-290"/>
    <n v="340"/>
  </r>
  <r>
    <x v="3"/>
    <s v="conventional_refinance_lomedia_incentive_152"/>
    <x v="192"/>
    <n v="2.3933406969203799"/>
    <n v="1"/>
    <n v="-290"/>
    <n v="340"/>
  </r>
  <r>
    <x v="3"/>
    <s v="conventional_refinance_lomedia_incentive_153"/>
    <x v="193"/>
    <n v="2.4195283189655199"/>
    <n v="1"/>
    <n v="-290"/>
    <n v="340"/>
  </r>
  <r>
    <x v="3"/>
    <s v="conventional_refinance_lomedia_incentive_154"/>
    <x v="194"/>
    <n v="2.4459805810170399"/>
    <n v="1"/>
    <n v="-290"/>
    <n v="340"/>
  </r>
  <r>
    <x v="3"/>
    <s v="conventional_refinance_lomedia_incentive_155"/>
    <x v="195"/>
    <n v="2.4727093623764298"/>
    <n v="1"/>
    <n v="-290"/>
    <n v="340"/>
  </r>
  <r>
    <x v="3"/>
    <s v="conventional_refinance_lomedia_incentive_156"/>
    <x v="196"/>
    <n v="2.49972654234515"/>
    <n v="1"/>
    <n v="-290"/>
    <n v="340"/>
  </r>
  <r>
    <x v="3"/>
    <s v="conventional_refinance_lomedia_incentive_157"/>
    <x v="197"/>
    <n v="2.5270440002246799"/>
    <n v="1"/>
    <n v="-290"/>
    <n v="340"/>
  </r>
  <r>
    <x v="3"/>
    <s v="conventional_refinance_lomedia_incentive_158"/>
    <x v="198"/>
    <n v="2.5546736153165099"/>
    <n v="1"/>
    <n v="-290"/>
    <n v="340"/>
  </r>
  <r>
    <x v="3"/>
    <s v="conventional_refinance_lomedia_incentive_159"/>
    <x v="199"/>
    <n v="2.5826272669220902"/>
    <n v="1"/>
    <n v="-290"/>
    <n v="340"/>
  </r>
  <r>
    <x v="3"/>
    <s v="conventional_refinance_lomedia_incentive_160"/>
    <x v="200"/>
    <n v="2.6109168343429201"/>
    <n v="1"/>
    <n v="-290"/>
    <n v="340"/>
  </r>
  <r>
    <x v="3"/>
    <s v="conventional_refinance_lomedia_incentive_161"/>
    <x v="201"/>
    <n v="2.6395541968804701"/>
    <n v="1"/>
    <n v="-290"/>
    <n v="340"/>
  </r>
  <r>
    <x v="3"/>
    <s v="conventional_refinance_lomedia_incentive_162"/>
    <x v="202"/>
    <n v="2.6685512338362098"/>
    <n v="1"/>
    <n v="-290"/>
    <n v="340"/>
  </r>
  <r>
    <x v="3"/>
    <s v="conventional_refinance_lomedia_incentive_163"/>
    <x v="203"/>
    <n v="2.6979198245116098"/>
    <n v="1"/>
    <n v="-290"/>
    <n v="340"/>
  </r>
  <r>
    <x v="3"/>
    <s v="conventional_refinance_lomedia_incentive_164"/>
    <x v="204"/>
    <n v="2.7276718482081601"/>
    <n v="1"/>
    <n v="-290"/>
    <n v="340"/>
  </r>
  <r>
    <x v="3"/>
    <s v="conventional_refinance_lomedia_incentive_165"/>
    <x v="205"/>
    <n v="2.7578191842273299"/>
    <n v="1"/>
    <n v="-290"/>
    <n v="340"/>
  </r>
  <r>
    <x v="3"/>
    <s v="conventional_refinance_lomedia_incentive_166"/>
    <x v="206"/>
    <n v="2.7883737118705998"/>
    <n v="1"/>
    <n v="-290"/>
    <n v="340"/>
  </r>
  <r>
    <x v="3"/>
    <s v="conventional_refinance_lomedia_incentive_167"/>
    <x v="207"/>
    <n v="2.8193473104394302"/>
    <n v="1"/>
    <n v="-290"/>
    <n v="340"/>
  </r>
  <r>
    <x v="3"/>
    <s v="conventional_refinance_lomedia_incentive_168"/>
    <x v="208"/>
    <n v="2.8507518592353098"/>
    <n v="1"/>
    <n v="-290"/>
    <n v="340"/>
  </r>
  <r>
    <x v="3"/>
    <s v="conventional_refinance_lomedia_incentive_169"/>
    <x v="209"/>
    <n v="2.8825992375597198"/>
    <n v="1"/>
    <n v="-290"/>
    <n v="340"/>
  </r>
  <r>
    <x v="3"/>
    <s v="conventional_refinance_lomedia_incentive_170"/>
    <x v="210"/>
    <n v="2.91490132471412"/>
    <n v="1"/>
    <n v="-290"/>
    <n v="340"/>
  </r>
  <r>
    <x v="3"/>
    <s v="conventional_refinance_lomedia_incentive_171"/>
    <x v="211"/>
    <n v="2.94767"/>
    <n v="1"/>
    <n v="-290"/>
    <n v="340"/>
  </r>
  <r>
    <x v="3"/>
    <s v="conventional_refinance_lomedia_incentive_172"/>
    <x v="212"/>
    <n v="2.9823859376950401"/>
    <n v="1"/>
    <n v="-290"/>
    <n v="340"/>
  </r>
  <r>
    <x v="3"/>
    <s v="conventional_refinance_lomedia_incentive_173"/>
    <x v="213"/>
    <n v="3.0203073912419498"/>
    <n v="1"/>
    <n v="-290"/>
    <n v="340"/>
  </r>
  <r>
    <x v="3"/>
    <s v="conventional_refinance_lomedia_incentive_174"/>
    <x v="214"/>
    <n v="3.0611126086897098"/>
    <n v="1"/>
    <n v="-290"/>
    <n v="340"/>
  </r>
  <r>
    <x v="3"/>
    <s v="conventional_refinance_lomedia_incentive_175"/>
    <x v="215"/>
    <n v="3.1044798380873"/>
    <n v="1"/>
    <n v="-290"/>
    <n v="340"/>
  </r>
  <r>
    <x v="3"/>
    <s v="conventional_refinance_lomedia_incentive_176"/>
    <x v="216"/>
    <n v="3.1500873274836998"/>
    <n v="1"/>
    <n v="-290"/>
    <n v="340"/>
  </r>
  <r>
    <x v="3"/>
    <s v="conventional_refinance_lomedia_incentive_177"/>
    <x v="217"/>
    <n v="3.1976133249279002"/>
    <n v="1"/>
    <n v="-290"/>
    <n v="340"/>
  </r>
  <r>
    <x v="3"/>
    <s v="conventional_refinance_lomedia_incentive_178"/>
    <x v="218"/>
    <n v="3.2467360784688899"/>
    <n v="1"/>
    <n v="-290"/>
    <n v="340"/>
  </r>
  <r>
    <x v="3"/>
    <s v="conventional_refinance_lomedia_incentive_179"/>
    <x v="219"/>
    <n v="3.2971338361556399"/>
    <n v="1"/>
    <n v="-290"/>
    <n v="340"/>
  </r>
  <r>
    <x v="3"/>
    <s v="conventional_refinance_lomedia_incentive_180"/>
    <x v="220"/>
    <n v="3.3484848460371501"/>
    <n v="1"/>
    <n v="-290"/>
    <n v="340"/>
  </r>
  <r>
    <x v="3"/>
    <s v="conventional_refinance_lomedia_incentive_181"/>
    <x v="221"/>
    <n v="3.4004673561623902"/>
    <n v="1"/>
    <n v="-290"/>
    <n v="340"/>
  </r>
  <r>
    <x v="3"/>
    <s v="conventional_refinance_lomedia_incentive_182"/>
    <x v="222"/>
    <n v="3.4527596145803399"/>
    <n v="1"/>
    <n v="-290"/>
    <n v="340"/>
  </r>
  <r>
    <x v="3"/>
    <s v="conventional_refinance_lomedia_incentive_183"/>
    <x v="223"/>
    <n v="3.50503986934"/>
    <n v="1"/>
    <n v="-290"/>
    <n v="340"/>
  </r>
  <r>
    <x v="3"/>
    <s v="conventional_refinance_lomedia_incentive_184"/>
    <x v="224"/>
    <n v="3.55698636849035"/>
    <n v="1"/>
    <n v="-290"/>
    <n v="340"/>
  </r>
  <r>
    <x v="3"/>
    <s v="conventional_refinance_lomedia_incentive_185"/>
    <x v="225"/>
    <n v="3.6082773600803599"/>
    <n v="1"/>
    <n v="-290"/>
    <n v="340"/>
  </r>
  <r>
    <x v="3"/>
    <s v="conventional_refinance_lomedia_incentive_186"/>
    <x v="226"/>
    <n v="3.6585910921590301"/>
    <n v="1"/>
    <n v="-290"/>
    <n v="340"/>
  </r>
  <r>
    <x v="3"/>
    <s v="conventional_refinance_lomedia_incentive_187"/>
    <x v="227"/>
    <n v="3.70760581277534"/>
    <n v="1"/>
    <n v="-290"/>
    <n v="340"/>
  </r>
  <r>
    <x v="3"/>
    <s v="conventional_refinance_lomedia_incentive_188"/>
    <x v="228"/>
    <n v="3.7549997699782698"/>
    <n v="1"/>
    <n v="-290"/>
    <n v="340"/>
  </r>
  <r>
    <x v="3"/>
    <s v="conventional_refinance_lomedia_incentive_189"/>
    <x v="229"/>
    <n v="3.8004512118167999"/>
    <n v="1"/>
    <n v="-290"/>
    <n v="340"/>
  </r>
  <r>
    <x v="3"/>
    <s v="conventional_refinance_lomedia_incentive_190"/>
    <x v="230"/>
    <n v="3.8436383863399302"/>
    <n v="1"/>
    <n v="-290"/>
    <n v="340"/>
  </r>
  <r>
    <x v="3"/>
    <s v="conventional_refinance_lomedia_incentive_191"/>
    <x v="231"/>
    <n v="3.88423954159662"/>
    <n v="1"/>
    <n v="-290"/>
    <n v="340"/>
  </r>
  <r>
    <x v="3"/>
    <s v="conventional_refinance_lomedia_incentive_192"/>
    <x v="232"/>
    <n v="3.9219329256358701"/>
    <n v="1"/>
    <n v="-290"/>
    <n v="340"/>
  </r>
  <r>
    <x v="3"/>
    <s v="conventional_refinance_lomedia_incentive_193"/>
    <x v="233"/>
    <n v="3.9563967865066698"/>
    <n v="1"/>
    <n v="-290"/>
    <n v="340"/>
  </r>
  <r>
    <x v="3"/>
    <s v="conventional_refinance_lomedia_incentive_194"/>
    <x v="234"/>
    <n v="3.98730937225799"/>
    <n v="1"/>
    <n v="-290"/>
    <n v="340"/>
  </r>
  <r>
    <x v="3"/>
    <s v="conventional_refinance_lomedia_incentive_195"/>
    <x v="235"/>
    <n v="4.0143489309388096"/>
    <n v="1"/>
    <n v="-290"/>
    <n v="340"/>
  </r>
  <r>
    <x v="3"/>
    <s v="conventional_refinance_lomedia_incentive_196"/>
    <x v="236"/>
    <n v="4.0371937105981299"/>
    <n v="1"/>
    <n v="-290"/>
    <n v="340"/>
  </r>
  <r>
    <x v="3"/>
    <s v="conventional_refinance_lomedia_incentive_197"/>
    <x v="237"/>
    <n v="4.0555219592849197"/>
    <n v="1"/>
    <n v="-290"/>
    <n v="340"/>
  </r>
  <r>
    <x v="3"/>
    <s v="conventional_refinance_lomedia_incentive_198"/>
    <x v="238"/>
    <n v="4.06901192504818"/>
    <n v="1"/>
    <n v="-290"/>
    <n v="340"/>
  </r>
  <r>
    <x v="3"/>
    <s v="conventional_refinance_lomedia_incentive_199"/>
    <x v="239"/>
    <n v="4.0773418559368704"/>
    <n v="1"/>
    <n v="-290"/>
    <n v="340"/>
  </r>
  <r>
    <x v="3"/>
    <s v="conventional_refinance_lomedia_incentive_200"/>
    <x v="240"/>
    <n v="4.08019"/>
    <n v="1"/>
    <n v="-290"/>
    <n v="340"/>
  </r>
  <r>
    <x v="3"/>
    <s v="conventional_refinance_lomedia_incentive_201"/>
    <x v="241"/>
    <n v="4.08019"/>
    <n v="1"/>
    <n v="-290"/>
    <n v="340"/>
  </r>
  <r>
    <x v="3"/>
    <s v="conventional_refinance_lomedia_incentive_202"/>
    <x v="242"/>
    <n v="4.08019"/>
    <n v="1"/>
    <n v="-290"/>
    <n v="340"/>
  </r>
  <r>
    <x v="3"/>
    <s v="conventional_refinance_lomedia_incentive_203"/>
    <x v="243"/>
    <n v="4.08019"/>
    <n v="1"/>
    <n v="-290"/>
    <n v="340"/>
  </r>
  <r>
    <x v="3"/>
    <s v="conventional_refinance_lomedia_incentive_204"/>
    <x v="244"/>
    <n v="4.08019"/>
    <n v="1"/>
    <n v="-290"/>
    <n v="340"/>
  </r>
  <r>
    <x v="3"/>
    <s v="conventional_refinance_lomedia_incentive_205"/>
    <x v="245"/>
    <n v="4.08019"/>
    <n v="1"/>
    <n v="-290"/>
    <n v="340"/>
  </r>
  <r>
    <x v="3"/>
    <s v="conventional_refinance_lomedia_incentive_206"/>
    <x v="246"/>
    <n v="4.08019"/>
    <n v="1"/>
    <n v="-290"/>
    <n v="340"/>
  </r>
  <r>
    <x v="3"/>
    <s v="conventional_refinance_lomedia_incentive_207"/>
    <x v="247"/>
    <n v="4.08019"/>
    <n v="1"/>
    <n v="-290"/>
    <n v="340"/>
  </r>
  <r>
    <x v="3"/>
    <s v="conventional_refinance_lomedia_incentive_208"/>
    <x v="248"/>
    <n v="4.08019"/>
    <n v="1"/>
    <n v="-290"/>
    <n v="340"/>
  </r>
  <r>
    <x v="3"/>
    <s v="conventional_refinance_lomedia_incentive_209"/>
    <x v="249"/>
    <n v="4.08019"/>
    <n v="1"/>
    <n v="-290"/>
    <n v="340"/>
  </r>
  <r>
    <x v="3"/>
    <s v="conventional_refinance_lomedia_incentive_210"/>
    <x v="250"/>
    <n v="4.08019"/>
    <n v="1"/>
    <n v="-290"/>
    <n v="340"/>
  </r>
  <r>
    <x v="3"/>
    <s v="conventional_refinance_lomedia_incentive_211"/>
    <x v="251"/>
    <n v="4.08019"/>
    <n v="1"/>
    <n v="-290"/>
    <n v="340"/>
  </r>
  <r>
    <x v="3"/>
    <s v="conventional_refinance_lomedia_incentive_212"/>
    <x v="252"/>
    <n v="4.08019"/>
    <n v="1"/>
    <n v="-290"/>
    <n v="340"/>
  </r>
  <r>
    <x v="3"/>
    <s v="conventional_refinance_lomedia_incentive_213"/>
    <x v="253"/>
    <n v="4.08019"/>
    <n v="1"/>
    <n v="-290"/>
    <n v="340"/>
  </r>
  <r>
    <x v="3"/>
    <s v="conventional_refinance_lomedia_incentive_214"/>
    <x v="254"/>
    <n v="4.08019"/>
    <n v="1"/>
    <n v="-290"/>
    <n v="340"/>
  </r>
  <r>
    <x v="3"/>
    <s v="conventional_refinance_lomedia_incentive_215"/>
    <x v="255"/>
    <n v="4.08019"/>
    <n v="1"/>
    <n v="-290"/>
    <n v="340"/>
  </r>
  <r>
    <x v="3"/>
    <s v="conventional_refinance_lomedia_incentive_216"/>
    <x v="256"/>
    <n v="4.08019"/>
    <n v="1"/>
    <n v="-290"/>
    <n v="340"/>
  </r>
  <r>
    <x v="3"/>
    <s v="conventional_refinance_lomedia_incentive_217"/>
    <x v="257"/>
    <n v="4.08019"/>
    <n v="1"/>
    <n v="-290"/>
    <n v="340"/>
  </r>
  <r>
    <x v="3"/>
    <s v="conventional_refinance_lomedia_incentive_218"/>
    <x v="258"/>
    <n v="4.08019"/>
    <n v="1"/>
    <n v="-290"/>
    <n v="340"/>
  </r>
  <r>
    <x v="3"/>
    <s v="conventional_refinance_lomedia_incentive_219"/>
    <x v="259"/>
    <n v="4.08019"/>
    <n v="1"/>
    <n v="-290"/>
    <n v="340"/>
  </r>
  <r>
    <x v="3"/>
    <s v="conventional_refinance_lomedia_incentive_220"/>
    <x v="260"/>
    <n v="4.08019"/>
    <n v="1"/>
    <n v="-290"/>
    <n v="340"/>
  </r>
  <r>
    <x v="3"/>
    <s v="conventional_refinance_lomedia_incentive_221"/>
    <x v="261"/>
    <n v="4.08019"/>
    <n v="1"/>
    <n v="-290"/>
    <n v="340"/>
  </r>
  <r>
    <x v="3"/>
    <s v="conventional_refinance_lomedia_incentive_222"/>
    <x v="262"/>
    <n v="4.08019"/>
    <n v="1"/>
    <n v="-290"/>
    <n v="340"/>
  </r>
  <r>
    <x v="3"/>
    <s v="conventional_refinance_lomedia_incentive_223"/>
    <x v="263"/>
    <n v="4.08019"/>
    <n v="1"/>
    <n v="-290"/>
    <n v="340"/>
  </r>
  <r>
    <x v="3"/>
    <s v="conventional_refinance_lomedia_incentive_224"/>
    <x v="264"/>
    <n v="4.08019"/>
    <n v="1"/>
    <n v="-290"/>
    <n v="340"/>
  </r>
  <r>
    <x v="3"/>
    <s v="conventional_refinance_lomedia_incentive_225"/>
    <x v="265"/>
    <n v="4.08019"/>
    <n v="1"/>
    <n v="-290"/>
    <n v="340"/>
  </r>
  <r>
    <x v="3"/>
    <s v="conventional_refinance_lomedia_incentive_226"/>
    <x v="266"/>
    <n v="4.08019"/>
    <n v="1"/>
    <n v="-290"/>
    <n v="340"/>
  </r>
  <r>
    <x v="3"/>
    <s v="conventional_refinance_lomedia_incentive_227"/>
    <x v="267"/>
    <n v="4.08019"/>
    <n v="1"/>
    <n v="-290"/>
    <n v="340"/>
  </r>
  <r>
    <x v="3"/>
    <s v="conventional_refinance_lomedia_incentive_228"/>
    <x v="268"/>
    <n v="4.08019"/>
    <n v="1"/>
    <n v="-290"/>
    <n v="340"/>
  </r>
  <r>
    <x v="3"/>
    <s v="conventional_refinance_lomedia_incentive_229"/>
    <x v="269"/>
    <n v="4.08019"/>
    <n v="1"/>
    <n v="-290"/>
    <n v="340"/>
  </r>
  <r>
    <x v="3"/>
    <s v="conventional_refinance_lomedia_incentive_230"/>
    <x v="270"/>
    <n v="4.08019"/>
    <n v="1"/>
    <n v="-290"/>
    <n v="340"/>
  </r>
  <r>
    <x v="3"/>
    <s v="conventional_refinance_lomedia_incentive_231"/>
    <x v="271"/>
    <n v="4.08019"/>
    <n v="1"/>
    <n v="-290"/>
    <n v="340"/>
  </r>
  <r>
    <x v="3"/>
    <s v="conventional_refinance_lomedia_incentive_232"/>
    <x v="272"/>
    <n v="4.08019"/>
    <n v="1"/>
    <n v="-290"/>
    <n v="340"/>
  </r>
  <r>
    <x v="3"/>
    <s v="conventional_refinance_lomedia_incentive_233"/>
    <x v="273"/>
    <n v="4.08019"/>
    <n v="1"/>
    <n v="-290"/>
    <n v="340"/>
  </r>
  <r>
    <x v="3"/>
    <s v="conventional_refinance_lomedia_incentive_234"/>
    <x v="274"/>
    <n v="4.08019"/>
    <n v="1"/>
    <n v="-290"/>
    <n v="340"/>
  </r>
  <r>
    <x v="3"/>
    <s v="conventional_refinance_lomedia_incentive_235"/>
    <x v="275"/>
    <n v="4.08019"/>
    <n v="1"/>
    <n v="-290"/>
    <n v="340"/>
  </r>
  <r>
    <x v="3"/>
    <s v="conventional_refinance_lomedia_incentive_236"/>
    <x v="276"/>
    <n v="4.08019"/>
    <n v="1"/>
    <n v="-290"/>
    <n v="340"/>
  </r>
  <r>
    <x v="3"/>
    <s v="conventional_refinance_lomedia_incentive_237"/>
    <x v="277"/>
    <n v="4.08019"/>
    <n v="1"/>
    <n v="-290"/>
    <n v="340"/>
  </r>
  <r>
    <x v="3"/>
    <s v="conventional_refinance_lomedia_incentive_238"/>
    <x v="278"/>
    <n v="4.08019"/>
    <n v="1"/>
    <n v="-290"/>
    <n v="340"/>
  </r>
  <r>
    <x v="3"/>
    <s v="conventional_refinance_lomedia_incentive_239"/>
    <x v="279"/>
    <n v="4.08019"/>
    <n v="1"/>
    <n v="-290"/>
    <n v="340"/>
  </r>
  <r>
    <x v="3"/>
    <s v="conventional_refinance_lomedia_incentive_240"/>
    <x v="280"/>
    <n v="4.08019"/>
    <n v="1"/>
    <n v="-290"/>
    <n v="340"/>
  </r>
  <r>
    <x v="3"/>
    <s v="conventional_refinance_lomedia_incentive_241"/>
    <x v="281"/>
    <n v="4.08019"/>
    <n v="1"/>
    <n v="-290"/>
    <n v="340"/>
  </r>
  <r>
    <x v="3"/>
    <s v="conventional_refinance_lomedia_incentive_242"/>
    <x v="282"/>
    <n v="4.08019"/>
    <n v="1"/>
    <n v="-290"/>
    <n v="340"/>
  </r>
  <r>
    <x v="3"/>
    <s v="conventional_refinance_lomedia_incentive_243"/>
    <x v="283"/>
    <n v="4.08019"/>
    <n v="1"/>
    <n v="-290"/>
    <n v="340"/>
  </r>
  <r>
    <x v="3"/>
    <s v="conventional_refinance_lomedia_incentive_244"/>
    <x v="284"/>
    <n v="4.08019"/>
    <n v="1"/>
    <n v="-290"/>
    <n v="340"/>
  </r>
  <r>
    <x v="3"/>
    <s v="conventional_refinance_lomedia_incentive_245"/>
    <x v="285"/>
    <n v="4.08019"/>
    <n v="1"/>
    <n v="-290"/>
    <n v="340"/>
  </r>
  <r>
    <x v="3"/>
    <s v="conventional_refinance_lomedia_incentive_246"/>
    <x v="286"/>
    <n v="4.08019"/>
    <n v="1"/>
    <n v="-290"/>
    <n v="340"/>
  </r>
  <r>
    <x v="3"/>
    <s v="conventional_refinance_lomedia_incentive_247"/>
    <x v="287"/>
    <n v="4.08019"/>
    <n v="1"/>
    <n v="-290"/>
    <n v="340"/>
  </r>
  <r>
    <x v="3"/>
    <s v="conventional_refinance_lomedia_incentive_248"/>
    <x v="288"/>
    <n v="4.08019"/>
    <n v="1"/>
    <n v="-290"/>
    <n v="340"/>
  </r>
  <r>
    <x v="3"/>
    <s v="conventional_refinance_lomedia_incentive_249"/>
    <x v="289"/>
    <n v="4.08019"/>
    <n v="1"/>
    <n v="-290"/>
    <n v="340"/>
  </r>
  <r>
    <x v="3"/>
    <s v="conventional_refinance_lomedia_incentive_250"/>
    <x v="290"/>
    <n v="4.08019"/>
    <n v="1"/>
    <n v="-290"/>
    <n v="340"/>
  </r>
  <r>
    <x v="3"/>
    <s v="conventional_refinance_lomedia_incentive_251"/>
    <x v="291"/>
    <n v="4.08019"/>
    <n v="1"/>
    <n v="-290"/>
    <n v="340"/>
  </r>
  <r>
    <x v="3"/>
    <s v="conventional_refinance_lomedia_incentive_252"/>
    <x v="292"/>
    <n v="4.08019"/>
    <n v="1"/>
    <n v="-290"/>
    <n v="340"/>
  </r>
  <r>
    <x v="3"/>
    <s v="conventional_refinance_lomedia_incentive_253"/>
    <x v="293"/>
    <n v="4.08019"/>
    <n v="1"/>
    <n v="-290"/>
    <n v="340"/>
  </r>
  <r>
    <x v="3"/>
    <s v="conventional_refinance_lomedia_incentive_254"/>
    <x v="294"/>
    <n v="4.08019"/>
    <n v="1"/>
    <n v="-290"/>
    <n v="340"/>
  </r>
  <r>
    <x v="3"/>
    <s v="conventional_refinance_lomedia_incentive_255"/>
    <x v="295"/>
    <n v="4.08019"/>
    <n v="1"/>
    <n v="-290"/>
    <n v="340"/>
  </r>
  <r>
    <x v="3"/>
    <s v="conventional_refinance_lomedia_incentive_256"/>
    <x v="296"/>
    <n v="4.08019"/>
    <n v="1"/>
    <n v="-290"/>
    <n v="340"/>
  </r>
  <r>
    <x v="3"/>
    <s v="conventional_refinance_lomedia_incentive_257"/>
    <x v="297"/>
    <n v="4.08019"/>
    <n v="1"/>
    <n v="-290"/>
    <n v="340"/>
  </r>
  <r>
    <x v="3"/>
    <s v="conventional_refinance_lomedia_incentive_258"/>
    <x v="298"/>
    <n v="4.08019"/>
    <n v="1"/>
    <n v="-290"/>
    <n v="340"/>
  </r>
  <r>
    <x v="3"/>
    <s v="conventional_refinance_lomedia_incentive_259"/>
    <x v="299"/>
    <n v="4.08019"/>
    <n v="1"/>
    <n v="-290"/>
    <n v="340"/>
  </r>
  <r>
    <x v="3"/>
    <s v="conventional_refinance_lomedia_incentive_260"/>
    <x v="300"/>
    <n v="4.08019"/>
    <n v="1"/>
    <n v="-290"/>
    <n v="340"/>
  </r>
  <r>
    <x v="3"/>
    <s v="conventional_refinance_lomedia_incentive_261"/>
    <x v="301"/>
    <n v="4.08019"/>
    <n v="1"/>
    <n v="-290"/>
    <n v="340"/>
  </r>
  <r>
    <x v="3"/>
    <s v="conventional_refinance_lomedia_incentive_262"/>
    <x v="302"/>
    <n v="4.08019"/>
    <n v="1"/>
    <n v="-290"/>
    <n v="340"/>
  </r>
  <r>
    <x v="3"/>
    <s v="conventional_refinance_lomedia_incentive_263"/>
    <x v="303"/>
    <n v="4.08019"/>
    <n v="1"/>
    <n v="-290"/>
    <n v="340"/>
  </r>
  <r>
    <x v="3"/>
    <s v="conventional_refinance_lomedia_incentive_264"/>
    <x v="304"/>
    <n v="4.08019"/>
    <n v="1"/>
    <n v="-290"/>
    <n v="340"/>
  </r>
  <r>
    <x v="3"/>
    <s v="conventional_refinance_lomedia_incentive_265"/>
    <x v="305"/>
    <n v="4.08019"/>
    <n v="1"/>
    <n v="-290"/>
    <n v="340"/>
  </r>
  <r>
    <x v="3"/>
    <s v="conventional_refinance_lomedia_incentive_266"/>
    <x v="306"/>
    <n v="4.08019"/>
    <n v="1"/>
    <n v="-290"/>
    <n v="340"/>
  </r>
  <r>
    <x v="3"/>
    <s v="conventional_refinance_lomedia_incentive_267"/>
    <x v="307"/>
    <n v="4.08019"/>
    <n v="1"/>
    <n v="-290"/>
    <n v="340"/>
  </r>
  <r>
    <x v="3"/>
    <s v="conventional_refinance_lomedia_incentive_268"/>
    <x v="308"/>
    <n v="4.08019"/>
    <n v="1"/>
    <n v="-290"/>
    <n v="340"/>
  </r>
  <r>
    <x v="3"/>
    <s v="conventional_refinance_lomedia_incentive_269"/>
    <x v="309"/>
    <n v="4.08019"/>
    <n v="1"/>
    <n v="-290"/>
    <n v="340"/>
  </r>
  <r>
    <x v="3"/>
    <s v="conventional_refinance_lomedia_incentive_270"/>
    <x v="310"/>
    <n v="4.08019"/>
    <n v="1"/>
    <n v="-290"/>
    <n v="340"/>
  </r>
  <r>
    <x v="3"/>
    <s v="conventional_refinance_lomedia_incentive_271"/>
    <x v="311"/>
    <n v="4.08019"/>
    <n v="1"/>
    <n v="-290"/>
    <n v="340"/>
  </r>
  <r>
    <x v="3"/>
    <s v="conventional_refinance_lomedia_incentive_272"/>
    <x v="312"/>
    <n v="4.08019"/>
    <n v="1"/>
    <n v="-290"/>
    <n v="340"/>
  </r>
  <r>
    <x v="3"/>
    <s v="conventional_refinance_lomedia_incentive_273"/>
    <x v="313"/>
    <n v="4.08019"/>
    <n v="1"/>
    <n v="-290"/>
    <n v="340"/>
  </r>
  <r>
    <x v="3"/>
    <s v="conventional_refinance_lomedia_incentive_274"/>
    <x v="314"/>
    <n v="4.08019"/>
    <n v="1"/>
    <n v="-290"/>
    <n v="340"/>
  </r>
  <r>
    <x v="3"/>
    <s v="conventional_refinance_lomedia_incentive_275"/>
    <x v="315"/>
    <n v="4.08019"/>
    <n v="1"/>
    <n v="-290"/>
    <n v="340"/>
  </r>
  <r>
    <x v="3"/>
    <s v="conventional_refinance_lomedia_incentive_276"/>
    <x v="316"/>
    <n v="4.08019"/>
    <n v="1"/>
    <n v="-290"/>
    <n v="340"/>
  </r>
  <r>
    <x v="3"/>
    <s v="conventional_refinance_lomedia_incentive_277"/>
    <x v="317"/>
    <n v="4.08019"/>
    <n v="1"/>
    <n v="-290"/>
    <n v="340"/>
  </r>
  <r>
    <x v="3"/>
    <s v="conventional_refinance_lomedia_incentive_278"/>
    <x v="318"/>
    <n v="4.08019"/>
    <n v="1"/>
    <n v="-290"/>
    <n v="340"/>
  </r>
  <r>
    <x v="3"/>
    <s v="conventional_refinance_lomedia_incentive_279"/>
    <x v="319"/>
    <n v="4.08019"/>
    <n v="1"/>
    <n v="-290"/>
    <n v="340"/>
  </r>
  <r>
    <x v="3"/>
    <s v="conventional_refinance_lomedia_incentive_280"/>
    <x v="320"/>
    <n v="4.08019"/>
    <n v="1"/>
    <n v="-290"/>
    <n v="340"/>
  </r>
  <r>
    <x v="3"/>
    <s v="conventional_refinance_lomedia_incentive_281"/>
    <x v="321"/>
    <n v="4.08019"/>
    <n v="1"/>
    <n v="-290"/>
    <n v="340"/>
  </r>
  <r>
    <x v="3"/>
    <s v="conventional_refinance_lomedia_incentive_282"/>
    <x v="322"/>
    <n v="4.08019"/>
    <n v="1"/>
    <n v="-290"/>
    <n v="340"/>
  </r>
  <r>
    <x v="3"/>
    <s v="conventional_refinance_lomedia_incentive_283"/>
    <x v="323"/>
    <n v="4.08019"/>
    <n v="1"/>
    <n v="-290"/>
    <n v="340"/>
  </r>
  <r>
    <x v="3"/>
    <s v="conventional_refinance_lomedia_incentive_284"/>
    <x v="324"/>
    <n v="4.08019"/>
    <n v="1"/>
    <n v="-290"/>
    <n v="340"/>
  </r>
  <r>
    <x v="3"/>
    <s v="conventional_refinance_lomedia_incentive_285"/>
    <x v="325"/>
    <n v="4.08019"/>
    <n v="1"/>
    <n v="-290"/>
    <n v="340"/>
  </r>
  <r>
    <x v="3"/>
    <s v="conventional_refinance_lomedia_incentive_286"/>
    <x v="326"/>
    <n v="4.08019"/>
    <n v="1"/>
    <n v="-290"/>
    <n v="340"/>
  </r>
  <r>
    <x v="3"/>
    <s v="conventional_refinance_lomedia_incentive_287"/>
    <x v="327"/>
    <n v="4.08019"/>
    <n v="1"/>
    <n v="-290"/>
    <n v="340"/>
  </r>
  <r>
    <x v="3"/>
    <s v="conventional_refinance_lomedia_incentive_288"/>
    <x v="328"/>
    <n v="4.08019"/>
    <n v="1"/>
    <n v="-290"/>
    <n v="340"/>
  </r>
  <r>
    <x v="3"/>
    <s v="conventional_refinance_lomedia_incentive_289"/>
    <x v="329"/>
    <n v="4.08019"/>
    <n v="1"/>
    <n v="-290"/>
    <n v="340"/>
  </r>
  <r>
    <x v="3"/>
    <s v="conventional_refinance_lomedia_incentive_290"/>
    <x v="330"/>
    <n v="4.08019"/>
    <n v="1"/>
    <n v="-290"/>
    <n v="340"/>
  </r>
  <r>
    <x v="3"/>
    <s v="conventional_refinance_lomedia_incentive_291"/>
    <x v="331"/>
    <n v="4.08019"/>
    <n v="1"/>
    <n v="-290"/>
    <n v="340"/>
  </r>
  <r>
    <x v="3"/>
    <s v="conventional_refinance_lomedia_incentive_292"/>
    <x v="332"/>
    <n v="4.08019"/>
    <n v="1"/>
    <n v="-290"/>
    <n v="340"/>
  </r>
  <r>
    <x v="3"/>
    <s v="conventional_refinance_lomedia_incentive_293"/>
    <x v="333"/>
    <n v="4.08019"/>
    <n v="1"/>
    <n v="-290"/>
    <n v="340"/>
  </r>
  <r>
    <x v="3"/>
    <s v="conventional_refinance_lomedia_incentive_294"/>
    <x v="334"/>
    <n v="4.08019"/>
    <n v="1"/>
    <n v="-290"/>
    <n v="340"/>
  </r>
  <r>
    <x v="3"/>
    <s v="conventional_refinance_lomedia_incentive_295"/>
    <x v="335"/>
    <n v="4.08019"/>
    <n v="1"/>
    <n v="-290"/>
    <n v="340"/>
  </r>
  <r>
    <x v="3"/>
    <s v="conventional_refinance_lomedia_incentive_296"/>
    <x v="336"/>
    <n v="4.08019"/>
    <n v="1"/>
    <n v="-290"/>
    <n v="340"/>
  </r>
  <r>
    <x v="3"/>
    <s v="conventional_refinance_lomedia_incentive_297"/>
    <x v="337"/>
    <n v="4.08019"/>
    <n v="1"/>
    <n v="-290"/>
    <n v="340"/>
  </r>
  <r>
    <x v="3"/>
    <s v="conventional_refinance_lomedia_incentive_298"/>
    <x v="338"/>
    <n v="4.08019"/>
    <n v="1"/>
    <n v="-290"/>
    <n v="340"/>
  </r>
  <r>
    <x v="3"/>
    <s v="conventional_refinance_lomedia_incentive_299"/>
    <x v="339"/>
    <n v="4.08019"/>
    <n v="1"/>
    <n v="-290"/>
    <n v="340"/>
  </r>
  <r>
    <x v="3"/>
    <s v="conventional_refinance_lomedia_incentive_300"/>
    <x v="340"/>
    <n v="4.08019"/>
    <n v="1"/>
    <n v="-290"/>
    <n v="340"/>
  </r>
  <r>
    <x v="3"/>
    <s v="conventional_refinance_lomedia_incentive_301"/>
    <x v="341"/>
    <n v="4.08019"/>
    <n v="1"/>
    <n v="-290"/>
    <n v="340"/>
  </r>
  <r>
    <x v="3"/>
    <s v="conventional_refinance_lomedia_incentive_302"/>
    <x v="342"/>
    <n v="4.08019"/>
    <n v="1"/>
    <n v="-290"/>
    <n v="340"/>
  </r>
  <r>
    <x v="3"/>
    <s v="conventional_refinance_lomedia_incentive_303"/>
    <x v="343"/>
    <n v="4.08019"/>
    <n v="1"/>
    <n v="-290"/>
    <n v="340"/>
  </r>
  <r>
    <x v="3"/>
    <s v="conventional_refinance_lomedia_incentive_304"/>
    <x v="344"/>
    <n v="4.08019"/>
    <n v="1"/>
    <n v="-290"/>
    <n v="340"/>
  </r>
  <r>
    <x v="3"/>
    <s v="conventional_refinance_lomedia_incentive_305"/>
    <x v="345"/>
    <n v="4.08019"/>
    <n v="1"/>
    <n v="-290"/>
    <n v="340"/>
  </r>
  <r>
    <x v="3"/>
    <s v="conventional_refinance_lomedia_incentive_306"/>
    <x v="346"/>
    <n v="4.08019"/>
    <n v="1"/>
    <n v="-290"/>
    <n v="340"/>
  </r>
  <r>
    <x v="3"/>
    <s v="conventional_refinance_lomedia_incentive_307"/>
    <x v="347"/>
    <n v="4.08019"/>
    <n v="1"/>
    <n v="-290"/>
    <n v="340"/>
  </r>
  <r>
    <x v="3"/>
    <s v="conventional_refinance_lomedia_incentive_308"/>
    <x v="348"/>
    <n v="4.08019"/>
    <n v="1"/>
    <n v="-290"/>
    <n v="340"/>
  </r>
  <r>
    <x v="3"/>
    <s v="conventional_refinance_lomedia_incentive_309"/>
    <x v="349"/>
    <n v="4.08019"/>
    <n v="1"/>
    <n v="-290"/>
    <n v="340"/>
  </r>
  <r>
    <x v="3"/>
    <s v="conventional_refinance_lomedia_incentive_310"/>
    <x v="350"/>
    <n v="4.08019"/>
    <n v="1"/>
    <n v="-290"/>
    <n v="340"/>
  </r>
  <r>
    <x v="3"/>
    <s v="conventional_refinance_lomedia_incentive_311"/>
    <x v="351"/>
    <n v="4.08019"/>
    <n v="1"/>
    <n v="-290"/>
    <n v="340"/>
  </r>
  <r>
    <x v="3"/>
    <s v="conventional_refinance_lomedia_incentive_312"/>
    <x v="352"/>
    <n v="4.08019"/>
    <n v="1"/>
    <n v="-290"/>
    <n v="340"/>
  </r>
  <r>
    <x v="3"/>
    <s v="conventional_refinance_lomedia_incentive_313"/>
    <x v="353"/>
    <n v="4.08019"/>
    <n v="1"/>
    <n v="-290"/>
    <n v="340"/>
  </r>
  <r>
    <x v="3"/>
    <s v="conventional_refinance_lomedia_incentive_314"/>
    <x v="354"/>
    <n v="4.08019"/>
    <n v="1"/>
    <n v="-290"/>
    <n v="340"/>
  </r>
  <r>
    <x v="3"/>
    <s v="conventional_refinance_lomedia_incentive_315"/>
    <x v="355"/>
    <n v="4.08019"/>
    <n v="1"/>
    <n v="-290"/>
    <n v="340"/>
  </r>
  <r>
    <x v="3"/>
    <s v="conventional_refinance_lomedia_incentive_316"/>
    <x v="356"/>
    <n v="4.08019"/>
    <n v="1"/>
    <n v="-290"/>
    <n v="340"/>
  </r>
  <r>
    <x v="3"/>
    <s v="conventional_refinance_lomedia_incentive_317"/>
    <x v="357"/>
    <n v="4.08019"/>
    <n v="1"/>
    <n v="-290"/>
    <n v="340"/>
  </r>
  <r>
    <x v="3"/>
    <s v="conventional_refinance_lomedia_incentive_318"/>
    <x v="358"/>
    <n v="4.08019"/>
    <n v="1"/>
    <n v="-290"/>
    <n v="340"/>
  </r>
  <r>
    <x v="3"/>
    <s v="conventional_refinance_lomedia_incentive_319"/>
    <x v="359"/>
    <n v="4.08019"/>
    <n v="1"/>
    <n v="-290"/>
    <n v="340"/>
  </r>
  <r>
    <x v="3"/>
    <s v="conventional_refinance_lomedia_incentive_320"/>
    <x v="360"/>
    <n v="4.08019"/>
    <n v="1"/>
    <n v="-290"/>
    <n v="340"/>
  </r>
  <r>
    <x v="3"/>
    <s v="conventional_refinance_lomedia_incentive_321"/>
    <x v="361"/>
    <n v="4.08019"/>
    <n v="1"/>
    <n v="-290"/>
    <n v="340"/>
  </r>
  <r>
    <x v="3"/>
    <s v="conventional_refinance_lomedia_incentive_322"/>
    <x v="362"/>
    <n v="4.08019"/>
    <n v="1"/>
    <n v="-290"/>
    <n v="340"/>
  </r>
  <r>
    <x v="3"/>
    <s v="conventional_refinance_lomedia_incentive_323"/>
    <x v="363"/>
    <n v="4.08019"/>
    <n v="1"/>
    <n v="-290"/>
    <n v="340"/>
  </r>
  <r>
    <x v="3"/>
    <s v="conventional_refinance_lomedia_incentive_324"/>
    <x v="364"/>
    <n v="4.08019"/>
    <n v="1"/>
    <n v="-290"/>
    <n v="340"/>
  </r>
  <r>
    <x v="3"/>
    <s v="conventional_refinance_lomedia_incentive_325"/>
    <x v="365"/>
    <n v="4.08019"/>
    <n v="1"/>
    <n v="-290"/>
    <n v="340"/>
  </r>
  <r>
    <x v="3"/>
    <s v="conventional_refinance_lomedia_incentive_326"/>
    <x v="366"/>
    <n v="4.08019"/>
    <n v="1"/>
    <n v="-290"/>
    <n v="340"/>
  </r>
  <r>
    <x v="3"/>
    <s v="conventional_refinance_lomedia_incentive_327"/>
    <x v="367"/>
    <n v="4.08019"/>
    <n v="1"/>
    <n v="-290"/>
    <n v="340"/>
  </r>
  <r>
    <x v="3"/>
    <s v="conventional_refinance_lomedia_incentive_328"/>
    <x v="368"/>
    <n v="4.08019"/>
    <n v="1"/>
    <n v="-290"/>
    <n v="340"/>
  </r>
  <r>
    <x v="3"/>
    <s v="conventional_refinance_lomedia_incentive_329"/>
    <x v="369"/>
    <n v="4.08019"/>
    <n v="1"/>
    <n v="-290"/>
    <n v="340"/>
  </r>
  <r>
    <x v="3"/>
    <s v="conventional_refinance_lomedia_incentive_330"/>
    <x v="370"/>
    <n v="4.08019"/>
    <n v="1"/>
    <n v="-290"/>
    <n v="340"/>
  </r>
  <r>
    <x v="3"/>
    <s v="conventional_refinance_lomedia_incentive_331"/>
    <x v="371"/>
    <n v="4.08019"/>
    <n v="1"/>
    <n v="-290"/>
    <n v="340"/>
  </r>
  <r>
    <x v="3"/>
    <s v="conventional_refinance_lomedia_incentive_332"/>
    <x v="372"/>
    <n v="4.08019"/>
    <n v="1"/>
    <n v="-290"/>
    <n v="340"/>
  </r>
  <r>
    <x v="3"/>
    <s v="conventional_refinance_lomedia_incentive_333"/>
    <x v="373"/>
    <n v="4.08019"/>
    <n v="1"/>
    <n v="-290"/>
    <n v="340"/>
  </r>
  <r>
    <x v="3"/>
    <s v="conventional_refinance_lomedia_incentive_334"/>
    <x v="374"/>
    <n v="4.08019"/>
    <n v="1"/>
    <n v="-290"/>
    <n v="340"/>
  </r>
  <r>
    <x v="3"/>
    <s v="conventional_refinance_lomedia_incentive_335"/>
    <x v="375"/>
    <n v="4.08019"/>
    <n v="1"/>
    <n v="-290"/>
    <n v="340"/>
  </r>
  <r>
    <x v="3"/>
    <s v="conventional_refinance_lomedia_incentive_336"/>
    <x v="376"/>
    <n v="4.08019"/>
    <n v="1"/>
    <n v="-290"/>
    <n v="340"/>
  </r>
  <r>
    <x v="3"/>
    <s v="conventional_refinance_lomedia_incentive_337"/>
    <x v="377"/>
    <n v="4.08019"/>
    <n v="1"/>
    <n v="-290"/>
    <n v="340"/>
  </r>
  <r>
    <x v="3"/>
    <s v="conventional_refinance_lomedia_incentive_338"/>
    <x v="378"/>
    <n v="4.08019"/>
    <n v="1"/>
    <n v="-290"/>
    <n v="340"/>
  </r>
  <r>
    <x v="3"/>
    <s v="conventional_refinance_lomedia_incentive_339"/>
    <x v="379"/>
    <n v="4.08019"/>
    <n v="1"/>
    <n v="-290"/>
    <n v="340"/>
  </r>
  <r>
    <x v="3"/>
    <s v="conventional_refinance_lomedia_incentive_340"/>
    <x v="380"/>
    <n v="4.08019"/>
    <n v="1"/>
    <n v="-290"/>
    <n v="340"/>
  </r>
  <r>
    <x v="4"/>
    <s v="conventional_refinance_himedia_incentive_-196"/>
    <x v="1075"/>
    <n v="0"/>
    <n v="1"/>
    <n v="-196"/>
    <n v="364"/>
  </r>
  <r>
    <x v="4"/>
    <s v="conventional_refinance_himedia_incentive_-195"/>
    <x v="1076"/>
    <n v="0"/>
    <n v="1"/>
    <n v="-196"/>
    <n v="364"/>
  </r>
  <r>
    <x v="4"/>
    <s v="conventional_refinance_himedia_incentive_-194"/>
    <x v="1077"/>
    <n v="0"/>
    <n v="1"/>
    <n v="-196"/>
    <n v="364"/>
  </r>
  <r>
    <x v="4"/>
    <s v="conventional_refinance_himedia_incentive_-193"/>
    <x v="1078"/>
    <n v="0"/>
    <n v="1"/>
    <n v="-196"/>
    <n v="364"/>
  </r>
  <r>
    <x v="4"/>
    <s v="conventional_refinance_himedia_incentive_-192"/>
    <x v="1079"/>
    <n v="0"/>
    <n v="1"/>
    <n v="-196"/>
    <n v="364"/>
  </r>
  <r>
    <x v="4"/>
    <s v="conventional_refinance_himedia_incentive_-191"/>
    <x v="1080"/>
    <n v="0"/>
    <n v="1"/>
    <n v="-196"/>
    <n v="364"/>
  </r>
  <r>
    <x v="4"/>
    <s v="conventional_refinance_himedia_incentive_-190"/>
    <x v="1081"/>
    <n v="0"/>
    <n v="1"/>
    <n v="-196"/>
    <n v="364"/>
  </r>
  <r>
    <x v="4"/>
    <s v="conventional_refinance_himedia_incentive_-189"/>
    <x v="1082"/>
    <n v="0"/>
    <n v="1"/>
    <n v="-196"/>
    <n v="364"/>
  </r>
  <r>
    <x v="4"/>
    <s v="conventional_refinance_himedia_incentive_-188"/>
    <x v="1083"/>
    <n v="0"/>
    <n v="1"/>
    <n v="-196"/>
    <n v="364"/>
  </r>
  <r>
    <x v="4"/>
    <s v="conventional_refinance_himedia_incentive_-187"/>
    <x v="1084"/>
    <n v="0"/>
    <n v="1"/>
    <n v="-196"/>
    <n v="364"/>
  </r>
  <r>
    <x v="4"/>
    <s v="conventional_refinance_himedia_incentive_-186"/>
    <x v="1085"/>
    <n v="0"/>
    <n v="1"/>
    <n v="-196"/>
    <n v="364"/>
  </r>
  <r>
    <x v="4"/>
    <s v="conventional_refinance_himedia_incentive_-185"/>
    <x v="1086"/>
    <n v="0"/>
    <n v="1"/>
    <n v="-196"/>
    <n v="364"/>
  </r>
  <r>
    <x v="4"/>
    <s v="conventional_refinance_himedia_incentive_-184"/>
    <x v="1087"/>
    <n v="0"/>
    <n v="1"/>
    <n v="-196"/>
    <n v="364"/>
  </r>
  <r>
    <x v="4"/>
    <s v="conventional_refinance_himedia_incentive_-183"/>
    <x v="1088"/>
    <n v="0"/>
    <n v="1"/>
    <n v="-196"/>
    <n v="364"/>
  </r>
  <r>
    <x v="4"/>
    <s v="conventional_refinance_himedia_incentive_-182"/>
    <x v="1089"/>
    <n v="0"/>
    <n v="1"/>
    <n v="-196"/>
    <n v="364"/>
  </r>
  <r>
    <x v="4"/>
    <s v="conventional_refinance_himedia_incentive_-181"/>
    <x v="1090"/>
    <n v="0"/>
    <n v="1"/>
    <n v="-196"/>
    <n v="364"/>
  </r>
  <r>
    <x v="4"/>
    <s v="conventional_refinance_himedia_incentive_-180"/>
    <x v="1091"/>
    <n v="0"/>
    <n v="1"/>
    <n v="-196"/>
    <n v="364"/>
  </r>
  <r>
    <x v="4"/>
    <s v="conventional_refinance_himedia_incentive_-179"/>
    <x v="1092"/>
    <n v="0"/>
    <n v="1"/>
    <n v="-196"/>
    <n v="364"/>
  </r>
  <r>
    <x v="4"/>
    <s v="conventional_refinance_himedia_incentive_-178"/>
    <x v="1093"/>
    <n v="0"/>
    <n v="1"/>
    <n v="-196"/>
    <n v="364"/>
  </r>
  <r>
    <x v="4"/>
    <s v="conventional_refinance_himedia_incentive_-177"/>
    <x v="1094"/>
    <n v="0"/>
    <n v="1"/>
    <n v="-196"/>
    <n v="364"/>
  </r>
  <r>
    <x v="4"/>
    <s v="conventional_refinance_himedia_incentive_-176"/>
    <x v="1095"/>
    <n v="0"/>
    <n v="1"/>
    <n v="-196"/>
    <n v="364"/>
  </r>
  <r>
    <x v="4"/>
    <s v="conventional_refinance_himedia_incentive_-175"/>
    <x v="1096"/>
    <n v="0"/>
    <n v="1"/>
    <n v="-196"/>
    <n v="364"/>
  </r>
  <r>
    <x v="4"/>
    <s v="conventional_refinance_himedia_incentive_-174"/>
    <x v="1097"/>
    <n v="0"/>
    <n v="1"/>
    <n v="-196"/>
    <n v="364"/>
  </r>
  <r>
    <x v="4"/>
    <s v="conventional_refinance_himedia_incentive_-173"/>
    <x v="1098"/>
    <n v="0"/>
    <n v="1"/>
    <n v="-196"/>
    <n v="364"/>
  </r>
  <r>
    <x v="4"/>
    <s v="conventional_refinance_himedia_incentive_-172"/>
    <x v="1099"/>
    <n v="0"/>
    <n v="1"/>
    <n v="-196"/>
    <n v="364"/>
  </r>
  <r>
    <x v="4"/>
    <s v="conventional_refinance_himedia_incentive_-171"/>
    <x v="1100"/>
    <n v="0"/>
    <n v="1"/>
    <n v="-196"/>
    <n v="364"/>
  </r>
  <r>
    <x v="4"/>
    <s v="conventional_refinance_himedia_incentive_-170"/>
    <x v="1101"/>
    <n v="0"/>
    <n v="1"/>
    <n v="-196"/>
    <n v="364"/>
  </r>
  <r>
    <x v="4"/>
    <s v="conventional_refinance_himedia_incentive_-169"/>
    <x v="1102"/>
    <n v="0"/>
    <n v="1"/>
    <n v="-196"/>
    <n v="364"/>
  </r>
  <r>
    <x v="4"/>
    <s v="conventional_refinance_himedia_incentive_-168"/>
    <x v="1103"/>
    <n v="0"/>
    <n v="1"/>
    <n v="-196"/>
    <n v="364"/>
  </r>
  <r>
    <x v="4"/>
    <s v="conventional_refinance_himedia_incentive_-167"/>
    <x v="1104"/>
    <n v="0"/>
    <n v="1"/>
    <n v="-196"/>
    <n v="364"/>
  </r>
  <r>
    <x v="4"/>
    <s v="conventional_refinance_himedia_incentive_-166"/>
    <x v="1105"/>
    <n v="0"/>
    <n v="1"/>
    <n v="-196"/>
    <n v="364"/>
  </r>
  <r>
    <x v="4"/>
    <s v="conventional_refinance_himedia_incentive_-165"/>
    <x v="1106"/>
    <n v="0"/>
    <n v="1"/>
    <n v="-196"/>
    <n v="364"/>
  </r>
  <r>
    <x v="4"/>
    <s v="conventional_refinance_himedia_incentive_-164"/>
    <x v="1107"/>
    <n v="0"/>
    <n v="1"/>
    <n v="-196"/>
    <n v="364"/>
  </r>
  <r>
    <x v="4"/>
    <s v="conventional_refinance_himedia_incentive_-163"/>
    <x v="1108"/>
    <n v="0"/>
    <n v="1"/>
    <n v="-196"/>
    <n v="364"/>
  </r>
  <r>
    <x v="4"/>
    <s v="conventional_refinance_himedia_incentive_-162"/>
    <x v="1109"/>
    <n v="0"/>
    <n v="1"/>
    <n v="-196"/>
    <n v="364"/>
  </r>
  <r>
    <x v="4"/>
    <s v="conventional_refinance_himedia_incentive_-161"/>
    <x v="1110"/>
    <n v="0"/>
    <n v="1"/>
    <n v="-196"/>
    <n v="364"/>
  </r>
  <r>
    <x v="4"/>
    <s v="conventional_refinance_himedia_incentive_-160"/>
    <x v="1111"/>
    <n v="0"/>
    <n v="1"/>
    <n v="-196"/>
    <n v="364"/>
  </r>
  <r>
    <x v="4"/>
    <s v="conventional_refinance_himedia_incentive_-159"/>
    <x v="1112"/>
    <n v="0"/>
    <n v="1"/>
    <n v="-196"/>
    <n v="364"/>
  </r>
  <r>
    <x v="4"/>
    <s v="conventional_refinance_himedia_incentive_-158"/>
    <x v="1113"/>
    <n v="0"/>
    <n v="1"/>
    <n v="-196"/>
    <n v="364"/>
  </r>
  <r>
    <x v="4"/>
    <s v="conventional_refinance_himedia_incentive_-157"/>
    <x v="1114"/>
    <n v="0"/>
    <n v="1"/>
    <n v="-196"/>
    <n v="364"/>
  </r>
  <r>
    <x v="4"/>
    <s v="conventional_refinance_himedia_incentive_-156"/>
    <x v="1115"/>
    <n v="0"/>
    <n v="1"/>
    <n v="-196"/>
    <n v="364"/>
  </r>
  <r>
    <x v="4"/>
    <s v="conventional_refinance_himedia_incentive_-155"/>
    <x v="1116"/>
    <n v="0"/>
    <n v="1"/>
    <n v="-196"/>
    <n v="364"/>
  </r>
  <r>
    <x v="4"/>
    <s v="conventional_refinance_himedia_incentive_-154"/>
    <x v="1117"/>
    <n v="0"/>
    <n v="1"/>
    <n v="-196"/>
    <n v="364"/>
  </r>
  <r>
    <x v="4"/>
    <s v="conventional_refinance_himedia_incentive_-153"/>
    <x v="1118"/>
    <n v="0"/>
    <n v="1"/>
    <n v="-196"/>
    <n v="364"/>
  </r>
  <r>
    <x v="4"/>
    <s v="conventional_refinance_himedia_incentive_-152"/>
    <x v="1119"/>
    <n v="0"/>
    <n v="1"/>
    <n v="-196"/>
    <n v="364"/>
  </r>
  <r>
    <x v="4"/>
    <s v="conventional_refinance_himedia_incentive_-151"/>
    <x v="1120"/>
    <n v="0"/>
    <n v="1"/>
    <n v="-196"/>
    <n v="364"/>
  </r>
  <r>
    <x v="4"/>
    <s v="conventional_refinance_himedia_incentive_-150"/>
    <x v="1121"/>
    <n v="0"/>
    <n v="1"/>
    <n v="-196"/>
    <n v="364"/>
  </r>
  <r>
    <x v="4"/>
    <s v="conventional_refinance_himedia_incentive_-149"/>
    <x v="1122"/>
    <n v="0"/>
    <n v="1"/>
    <n v="-196"/>
    <n v="364"/>
  </r>
  <r>
    <x v="4"/>
    <s v="conventional_refinance_himedia_incentive_-148"/>
    <x v="1123"/>
    <n v="0"/>
    <n v="1"/>
    <n v="-196"/>
    <n v="364"/>
  </r>
  <r>
    <x v="4"/>
    <s v="conventional_refinance_himedia_incentive_-147"/>
    <x v="1124"/>
    <n v="0"/>
    <n v="1"/>
    <n v="-196"/>
    <n v="364"/>
  </r>
  <r>
    <x v="4"/>
    <s v="conventional_refinance_himedia_incentive_-146"/>
    <x v="1125"/>
    <n v="0"/>
    <n v="1"/>
    <n v="-196"/>
    <n v="364"/>
  </r>
  <r>
    <x v="4"/>
    <s v="conventional_refinance_himedia_incentive_-145"/>
    <x v="1126"/>
    <n v="0"/>
    <n v="1"/>
    <n v="-196"/>
    <n v="364"/>
  </r>
  <r>
    <x v="4"/>
    <s v="conventional_refinance_himedia_incentive_-144"/>
    <x v="1127"/>
    <n v="0"/>
    <n v="1"/>
    <n v="-196"/>
    <n v="364"/>
  </r>
  <r>
    <x v="4"/>
    <s v="conventional_refinance_himedia_incentive_-143"/>
    <x v="1128"/>
    <n v="0"/>
    <n v="1"/>
    <n v="-196"/>
    <n v="364"/>
  </r>
  <r>
    <x v="4"/>
    <s v="conventional_refinance_himedia_incentive_-142"/>
    <x v="1129"/>
    <n v="0"/>
    <n v="1"/>
    <n v="-196"/>
    <n v="364"/>
  </r>
  <r>
    <x v="4"/>
    <s v="conventional_refinance_himedia_incentive_-141"/>
    <x v="1130"/>
    <n v="0"/>
    <n v="1"/>
    <n v="-196"/>
    <n v="364"/>
  </r>
  <r>
    <x v="4"/>
    <s v="conventional_refinance_himedia_incentive_-140"/>
    <x v="1131"/>
    <n v="0"/>
    <n v="1"/>
    <n v="-196"/>
    <n v="364"/>
  </r>
  <r>
    <x v="4"/>
    <s v="conventional_refinance_himedia_incentive_-139"/>
    <x v="1132"/>
    <n v="0"/>
    <n v="1"/>
    <n v="-196"/>
    <n v="364"/>
  </r>
  <r>
    <x v="4"/>
    <s v="conventional_refinance_himedia_incentive_-138"/>
    <x v="1133"/>
    <n v="0"/>
    <n v="1"/>
    <n v="-196"/>
    <n v="364"/>
  </r>
  <r>
    <x v="4"/>
    <s v="conventional_refinance_himedia_incentive_-137"/>
    <x v="1134"/>
    <n v="0"/>
    <n v="1"/>
    <n v="-196"/>
    <n v="364"/>
  </r>
  <r>
    <x v="4"/>
    <s v="conventional_refinance_himedia_incentive_-136"/>
    <x v="1135"/>
    <n v="0"/>
    <n v="1"/>
    <n v="-196"/>
    <n v="364"/>
  </r>
  <r>
    <x v="4"/>
    <s v="conventional_refinance_himedia_incentive_-135"/>
    <x v="1136"/>
    <n v="0"/>
    <n v="1"/>
    <n v="-196"/>
    <n v="364"/>
  </r>
  <r>
    <x v="4"/>
    <s v="conventional_refinance_himedia_incentive_-134"/>
    <x v="1137"/>
    <n v="0"/>
    <n v="1"/>
    <n v="-196"/>
    <n v="364"/>
  </r>
  <r>
    <x v="4"/>
    <s v="conventional_refinance_himedia_incentive_-133"/>
    <x v="1138"/>
    <n v="0"/>
    <n v="1"/>
    <n v="-196"/>
    <n v="364"/>
  </r>
  <r>
    <x v="4"/>
    <s v="conventional_refinance_himedia_incentive_-132"/>
    <x v="1139"/>
    <n v="0"/>
    <n v="1"/>
    <n v="-196"/>
    <n v="364"/>
  </r>
  <r>
    <x v="4"/>
    <s v="conventional_refinance_himedia_incentive_-131"/>
    <x v="1140"/>
    <n v="0"/>
    <n v="1"/>
    <n v="-196"/>
    <n v="364"/>
  </r>
  <r>
    <x v="4"/>
    <s v="conventional_refinance_himedia_incentive_-130"/>
    <x v="1141"/>
    <n v="0"/>
    <n v="1"/>
    <n v="-196"/>
    <n v="364"/>
  </r>
  <r>
    <x v="4"/>
    <s v="conventional_refinance_himedia_incentive_-129"/>
    <x v="1142"/>
    <n v="0"/>
    <n v="1"/>
    <n v="-196"/>
    <n v="364"/>
  </r>
  <r>
    <x v="4"/>
    <s v="conventional_refinance_himedia_incentive_-128"/>
    <x v="1143"/>
    <n v="0"/>
    <n v="1"/>
    <n v="-196"/>
    <n v="364"/>
  </r>
  <r>
    <x v="4"/>
    <s v="conventional_refinance_himedia_incentive_-127"/>
    <x v="1144"/>
    <n v="0"/>
    <n v="1"/>
    <n v="-196"/>
    <n v="364"/>
  </r>
  <r>
    <x v="4"/>
    <s v="conventional_refinance_himedia_incentive_-126"/>
    <x v="1145"/>
    <n v="0"/>
    <n v="1"/>
    <n v="-196"/>
    <n v="364"/>
  </r>
  <r>
    <x v="4"/>
    <s v="conventional_refinance_himedia_incentive_-125"/>
    <x v="1146"/>
    <n v="0"/>
    <n v="1"/>
    <n v="-196"/>
    <n v="364"/>
  </r>
  <r>
    <x v="4"/>
    <s v="conventional_refinance_himedia_incentive_-124"/>
    <x v="1147"/>
    <n v="0"/>
    <n v="1"/>
    <n v="-196"/>
    <n v="364"/>
  </r>
  <r>
    <x v="4"/>
    <s v="conventional_refinance_himedia_incentive_-123"/>
    <x v="1148"/>
    <n v="0"/>
    <n v="1"/>
    <n v="-196"/>
    <n v="364"/>
  </r>
  <r>
    <x v="4"/>
    <s v="conventional_refinance_himedia_incentive_-122"/>
    <x v="1149"/>
    <n v="0"/>
    <n v="1"/>
    <n v="-196"/>
    <n v="364"/>
  </r>
  <r>
    <x v="4"/>
    <s v="conventional_refinance_himedia_incentive_-121"/>
    <x v="1150"/>
    <n v="0"/>
    <n v="1"/>
    <n v="-196"/>
    <n v="364"/>
  </r>
  <r>
    <x v="4"/>
    <s v="conventional_refinance_himedia_incentive_-120"/>
    <x v="1151"/>
    <n v="0"/>
    <n v="1"/>
    <n v="-196"/>
    <n v="364"/>
  </r>
  <r>
    <x v="4"/>
    <s v="conventional_refinance_himedia_incentive_-119"/>
    <x v="1152"/>
    <n v="0"/>
    <n v="1"/>
    <n v="-196"/>
    <n v="364"/>
  </r>
  <r>
    <x v="4"/>
    <s v="conventional_refinance_himedia_incentive_-118"/>
    <x v="1153"/>
    <n v="0"/>
    <n v="1"/>
    <n v="-196"/>
    <n v="364"/>
  </r>
  <r>
    <x v="4"/>
    <s v="conventional_refinance_himedia_incentive_-117"/>
    <x v="1154"/>
    <n v="0"/>
    <n v="1"/>
    <n v="-196"/>
    <n v="364"/>
  </r>
  <r>
    <x v="4"/>
    <s v="conventional_refinance_himedia_incentive_-116"/>
    <x v="1155"/>
    <n v="0"/>
    <n v="1"/>
    <n v="-196"/>
    <n v="364"/>
  </r>
  <r>
    <x v="4"/>
    <s v="conventional_refinance_himedia_incentive_-115"/>
    <x v="1156"/>
    <n v="0"/>
    <n v="1"/>
    <n v="-196"/>
    <n v="364"/>
  </r>
  <r>
    <x v="4"/>
    <s v="conventional_refinance_himedia_incentive_-114"/>
    <x v="1157"/>
    <n v="0"/>
    <n v="1"/>
    <n v="-196"/>
    <n v="364"/>
  </r>
  <r>
    <x v="4"/>
    <s v="conventional_refinance_himedia_incentive_-113"/>
    <x v="1158"/>
    <n v="0"/>
    <n v="1"/>
    <n v="-196"/>
    <n v="364"/>
  </r>
  <r>
    <x v="4"/>
    <s v="conventional_refinance_himedia_incentive_-112"/>
    <x v="1159"/>
    <n v="0"/>
    <n v="1"/>
    <n v="-196"/>
    <n v="364"/>
  </r>
  <r>
    <x v="4"/>
    <s v="conventional_refinance_himedia_incentive_-111"/>
    <x v="1160"/>
    <n v="0"/>
    <n v="1"/>
    <n v="-196"/>
    <n v="364"/>
  </r>
  <r>
    <x v="4"/>
    <s v="conventional_refinance_himedia_incentive_-110"/>
    <x v="1161"/>
    <n v="0"/>
    <n v="1"/>
    <n v="-196"/>
    <n v="364"/>
  </r>
  <r>
    <x v="4"/>
    <s v="conventional_refinance_himedia_incentive_-109"/>
    <x v="1162"/>
    <n v="0"/>
    <n v="1"/>
    <n v="-196"/>
    <n v="364"/>
  </r>
  <r>
    <x v="4"/>
    <s v="conventional_refinance_himedia_incentive_-108"/>
    <x v="1163"/>
    <n v="0"/>
    <n v="1"/>
    <n v="-196"/>
    <n v="364"/>
  </r>
  <r>
    <x v="4"/>
    <s v="conventional_refinance_himedia_incentive_-107"/>
    <x v="1164"/>
    <n v="0"/>
    <n v="1"/>
    <n v="-196"/>
    <n v="364"/>
  </r>
  <r>
    <x v="4"/>
    <s v="conventional_refinance_himedia_incentive_-106"/>
    <x v="1165"/>
    <n v="0"/>
    <n v="1"/>
    <n v="-196"/>
    <n v="364"/>
  </r>
  <r>
    <x v="4"/>
    <s v="conventional_refinance_himedia_incentive_-105"/>
    <x v="1166"/>
    <n v="0"/>
    <n v="1"/>
    <n v="-196"/>
    <n v="364"/>
  </r>
  <r>
    <x v="4"/>
    <s v="conventional_refinance_himedia_incentive_-104"/>
    <x v="1167"/>
    <n v="0"/>
    <n v="1"/>
    <n v="-196"/>
    <n v="364"/>
  </r>
  <r>
    <x v="4"/>
    <s v="conventional_refinance_himedia_incentive_-103"/>
    <x v="1168"/>
    <n v="0"/>
    <n v="1"/>
    <n v="-196"/>
    <n v="364"/>
  </r>
  <r>
    <x v="4"/>
    <s v="conventional_refinance_himedia_incentive_-102"/>
    <x v="1169"/>
    <n v="0"/>
    <n v="1"/>
    <n v="-196"/>
    <n v="364"/>
  </r>
  <r>
    <x v="4"/>
    <s v="conventional_refinance_himedia_incentive_-101"/>
    <x v="1170"/>
    <n v="0"/>
    <n v="1"/>
    <n v="-196"/>
    <n v="364"/>
  </r>
  <r>
    <x v="4"/>
    <s v="conventional_refinance_himedia_incentive_-100"/>
    <x v="1171"/>
    <n v="0"/>
    <n v="1"/>
    <n v="-196"/>
    <n v="364"/>
  </r>
  <r>
    <x v="4"/>
    <s v="conventional_refinance_himedia_incentive_-99"/>
    <x v="1172"/>
    <n v="0"/>
    <n v="1"/>
    <n v="-196"/>
    <n v="364"/>
  </r>
  <r>
    <x v="4"/>
    <s v="conventional_refinance_himedia_incentive_-98"/>
    <x v="1173"/>
    <n v="0"/>
    <n v="1"/>
    <n v="-196"/>
    <n v="364"/>
  </r>
  <r>
    <x v="4"/>
    <s v="conventional_refinance_himedia_incentive_-97"/>
    <x v="1174"/>
    <n v="0"/>
    <n v="1"/>
    <n v="-196"/>
    <n v="364"/>
  </r>
  <r>
    <x v="4"/>
    <s v="conventional_refinance_himedia_incentive_-96"/>
    <x v="1175"/>
    <n v="0"/>
    <n v="1"/>
    <n v="-196"/>
    <n v="364"/>
  </r>
  <r>
    <x v="4"/>
    <s v="conventional_refinance_himedia_incentive_-95"/>
    <x v="1176"/>
    <n v="0"/>
    <n v="1"/>
    <n v="-196"/>
    <n v="364"/>
  </r>
  <r>
    <x v="4"/>
    <s v="conventional_refinance_himedia_incentive_-94"/>
    <x v="1177"/>
    <n v="0"/>
    <n v="1"/>
    <n v="-196"/>
    <n v="364"/>
  </r>
  <r>
    <x v="4"/>
    <s v="conventional_refinance_himedia_incentive_-93"/>
    <x v="1178"/>
    <n v="0"/>
    <n v="1"/>
    <n v="-196"/>
    <n v="364"/>
  </r>
  <r>
    <x v="4"/>
    <s v="conventional_refinance_himedia_incentive_-92"/>
    <x v="1179"/>
    <n v="0"/>
    <n v="1"/>
    <n v="-196"/>
    <n v="364"/>
  </r>
  <r>
    <x v="4"/>
    <s v="conventional_refinance_himedia_incentive_-91"/>
    <x v="1180"/>
    <n v="0"/>
    <n v="1"/>
    <n v="-196"/>
    <n v="364"/>
  </r>
  <r>
    <x v="4"/>
    <s v="conventional_refinance_himedia_incentive_-90"/>
    <x v="1181"/>
    <n v="0"/>
    <n v="1"/>
    <n v="-196"/>
    <n v="364"/>
  </r>
  <r>
    <x v="4"/>
    <s v="conventional_refinance_himedia_incentive_-89"/>
    <x v="1182"/>
    <n v="0"/>
    <n v="1"/>
    <n v="-196"/>
    <n v="364"/>
  </r>
  <r>
    <x v="4"/>
    <s v="conventional_refinance_himedia_incentive_-88"/>
    <x v="1183"/>
    <n v="0"/>
    <n v="1"/>
    <n v="-196"/>
    <n v="364"/>
  </r>
  <r>
    <x v="4"/>
    <s v="conventional_refinance_himedia_incentive_-87"/>
    <x v="1184"/>
    <n v="0"/>
    <n v="1"/>
    <n v="-196"/>
    <n v="364"/>
  </r>
  <r>
    <x v="4"/>
    <s v="conventional_refinance_himedia_incentive_-86"/>
    <x v="1185"/>
    <n v="0"/>
    <n v="1"/>
    <n v="-196"/>
    <n v="364"/>
  </r>
  <r>
    <x v="4"/>
    <s v="conventional_refinance_himedia_incentive_-85"/>
    <x v="1186"/>
    <n v="0"/>
    <n v="1"/>
    <n v="-196"/>
    <n v="364"/>
  </r>
  <r>
    <x v="4"/>
    <s v="conventional_refinance_himedia_incentive_-84"/>
    <x v="1187"/>
    <n v="0"/>
    <n v="1"/>
    <n v="-196"/>
    <n v="364"/>
  </r>
  <r>
    <x v="4"/>
    <s v="conventional_refinance_himedia_incentive_-83"/>
    <x v="1188"/>
    <n v="0"/>
    <n v="1"/>
    <n v="-196"/>
    <n v="364"/>
  </r>
  <r>
    <x v="4"/>
    <s v="conventional_refinance_himedia_incentive_-82"/>
    <x v="1189"/>
    <n v="0"/>
    <n v="1"/>
    <n v="-196"/>
    <n v="364"/>
  </r>
  <r>
    <x v="4"/>
    <s v="conventional_refinance_himedia_incentive_-81"/>
    <x v="1190"/>
    <n v="0"/>
    <n v="1"/>
    <n v="-196"/>
    <n v="364"/>
  </r>
  <r>
    <x v="4"/>
    <s v="conventional_refinance_himedia_incentive_-80"/>
    <x v="1191"/>
    <n v="0"/>
    <n v="1"/>
    <n v="-196"/>
    <n v="364"/>
  </r>
  <r>
    <x v="4"/>
    <s v="conventional_refinance_himedia_incentive_-79"/>
    <x v="1192"/>
    <n v="0"/>
    <n v="1"/>
    <n v="-196"/>
    <n v="364"/>
  </r>
  <r>
    <x v="4"/>
    <s v="conventional_refinance_himedia_incentive_-78"/>
    <x v="1193"/>
    <n v="0"/>
    <n v="1"/>
    <n v="-196"/>
    <n v="364"/>
  </r>
  <r>
    <x v="4"/>
    <s v="conventional_refinance_himedia_incentive_-77"/>
    <x v="1194"/>
    <n v="0"/>
    <n v="1"/>
    <n v="-196"/>
    <n v="364"/>
  </r>
  <r>
    <x v="4"/>
    <s v="conventional_refinance_himedia_incentive_-76"/>
    <x v="1195"/>
    <n v="0"/>
    <n v="1"/>
    <n v="-196"/>
    <n v="364"/>
  </r>
  <r>
    <x v="4"/>
    <s v="conventional_refinance_himedia_incentive_-75"/>
    <x v="1196"/>
    <n v="0"/>
    <n v="1"/>
    <n v="-196"/>
    <n v="364"/>
  </r>
  <r>
    <x v="4"/>
    <s v="conventional_refinance_himedia_incentive_-74"/>
    <x v="1197"/>
    <n v="0"/>
    <n v="1"/>
    <n v="-196"/>
    <n v="364"/>
  </r>
  <r>
    <x v="4"/>
    <s v="conventional_refinance_himedia_incentive_-73"/>
    <x v="1198"/>
    <n v="0"/>
    <n v="1"/>
    <n v="-196"/>
    <n v="364"/>
  </r>
  <r>
    <x v="4"/>
    <s v="conventional_refinance_himedia_incentive_-72"/>
    <x v="1199"/>
    <n v="0"/>
    <n v="1"/>
    <n v="-196"/>
    <n v="364"/>
  </r>
  <r>
    <x v="4"/>
    <s v="conventional_refinance_himedia_incentive_-71"/>
    <x v="1200"/>
    <n v="0"/>
    <n v="1"/>
    <n v="-196"/>
    <n v="364"/>
  </r>
  <r>
    <x v="4"/>
    <s v="conventional_refinance_himedia_incentive_-70"/>
    <x v="1201"/>
    <n v="0"/>
    <n v="1"/>
    <n v="-196"/>
    <n v="364"/>
  </r>
  <r>
    <x v="4"/>
    <s v="conventional_refinance_himedia_incentive_-69"/>
    <x v="1202"/>
    <n v="0"/>
    <n v="1"/>
    <n v="-196"/>
    <n v="364"/>
  </r>
  <r>
    <x v="4"/>
    <s v="conventional_refinance_himedia_incentive_-68"/>
    <x v="1203"/>
    <n v="0"/>
    <n v="1"/>
    <n v="-196"/>
    <n v="364"/>
  </r>
  <r>
    <x v="4"/>
    <s v="conventional_refinance_himedia_incentive_-67"/>
    <x v="1204"/>
    <n v="0"/>
    <n v="1"/>
    <n v="-196"/>
    <n v="364"/>
  </r>
  <r>
    <x v="4"/>
    <s v="conventional_refinance_himedia_incentive_-66"/>
    <x v="1205"/>
    <n v="0"/>
    <n v="1"/>
    <n v="-196"/>
    <n v="364"/>
  </r>
  <r>
    <x v="4"/>
    <s v="conventional_refinance_himedia_incentive_-65"/>
    <x v="1206"/>
    <n v="0"/>
    <n v="1"/>
    <n v="-196"/>
    <n v="364"/>
  </r>
  <r>
    <x v="4"/>
    <s v="conventional_refinance_himedia_incentive_-64"/>
    <x v="1207"/>
    <n v="0"/>
    <n v="1"/>
    <n v="-196"/>
    <n v="364"/>
  </r>
  <r>
    <x v="4"/>
    <s v="conventional_refinance_himedia_incentive_-63"/>
    <x v="1208"/>
    <n v="0"/>
    <n v="1"/>
    <n v="-196"/>
    <n v="364"/>
  </r>
  <r>
    <x v="4"/>
    <s v="conventional_refinance_himedia_incentive_-62"/>
    <x v="1209"/>
    <n v="0"/>
    <n v="1"/>
    <n v="-196"/>
    <n v="364"/>
  </r>
  <r>
    <x v="4"/>
    <s v="conventional_refinance_himedia_incentive_-61"/>
    <x v="1210"/>
    <n v="0"/>
    <n v="1"/>
    <n v="-196"/>
    <n v="364"/>
  </r>
  <r>
    <x v="4"/>
    <s v="conventional_refinance_himedia_incentive_-60"/>
    <x v="1211"/>
    <n v="0"/>
    <n v="1"/>
    <n v="-196"/>
    <n v="364"/>
  </r>
  <r>
    <x v="4"/>
    <s v="conventional_refinance_himedia_incentive_-59"/>
    <x v="1212"/>
    <n v="0"/>
    <n v="1"/>
    <n v="-196"/>
    <n v="364"/>
  </r>
  <r>
    <x v="4"/>
    <s v="conventional_refinance_himedia_incentive_-58"/>
    <x v="1213"/>
    <n v="0"/>
    <n v="1"/>
    <n v="-196"/>
    <n v="364"/>
  </r>
  <r>
    <x v="4"/>
    <s v="conventional_refinance_himedia_incentive_-57"/>
    <x v="1214"/>
    <n v="0"/>
    <n v="1"/>
    <n v="-196"/>
    <n v="364"/>
  </r>
  <r>
    <x v="4"/>
    <s v="conventional_refinance_himedia_incentive_-56"/>
    <x v="1215"/>
    <n v="0"/>
    <n v="1"/>
    <n v="-196"/>
    <n v="364"/>
  </r>
  <r>
    <x v="4"/>
    <s v="conventional_refinance_himedia_incentive_-55"/>
    <x v="1216"/>
    <n v="0"/>
    <n v="1"/>
    <n v="-196"/>
    <n v="364"/>
  </r>
  <r>
    <x v="4"/>
    <s v="conventional_refinance_himedia_incentive_-54"/>
    <x v="1217"/>
    <n v="0"/>
    <n v="1"/>
    <n v="-196"/>
    <n v="364"/>
  </r>
  <r>
    <x v="4"/>
    <s v="conventional_refinance_himedia_incentive_-53"/>
    <x v="1218"/>
    <n v="0"/>
    <n v="1"/>
    <n v="-196"/>
    <n v="364"/>
  </r>
  <r>
    <x v="4"/>
    <s v="conventional_refinance_himedia_incentive_-52"/>
    <x v="1219"/>
    <n v="0"/>
    <n v="1"/>
    <n v="-196"/>
    <n v="364"/>
  </r>
  <r>
    <x v="4"/>
    <s v="conventional_refinance_himedia_incentive_-51"/>
    <x v="1220"/>
    <n v="0"/>
    <n v="1"/>
    <n v="-196"/>
    <n v="364"/>
  </r>
  <r>
    <x v="4"/>
    <s v="conventional_refinance_himedia_incentive_-50"/>
    <x v="1221"/>
    <n v="1.6307970245131201E-3"/>
    <n v="1"/>
    <n v="-196"/>
    <n v="364"/>
  </r>
  <r>
    <x v="4"/>
    <s v="conventional_refinance_himedia_incentive_-49"/>
    <x v="1222"/>
    <n v="6.4255083267172001E-3"/>
    <n v="1"/>
    <n v="-196"/>
    <n v="364"/>
  </r>
  <r>
    <x v="4"/>
    <s v="conventional_refinance_himedia_incentive_-48"/>
    <x v="1223"/>
    <n v="1.4237614249609299E-2"/>
    <n v="1"/>
    <n v="-196"/>
    <n v="364"/>
  </r>
  <r>
    <x v="4"/>
    <s v="conventional_refinance_himedia_incentive_-47"/>
    <x v="1224"/>
    <n v="2.49205951361866E-2"/>
    <n v="1"/>
    <n v="-196"/>
    <n v="364"/>
  </r>
  <r>
    <x v="4"/>
    <s v="conventional_refinance_himedia_incentive_-46"/>
    <x v="1225"/>
    <n v="3.8327931329446098E-2"/>
    <n v="1"/>
    <n v="-196"/>
    <n v="364"/>
  </r>
  <r>
    <x v="4"/>
    <s v="conventional_refinance_himedia_incentive_-45"/>
    <x v="1226"/>
    <n v="5.4313103172384802E-2"/>
    <n v="1"/>
    <n v="-196"/>
    <n v="364"/>
  </r>
  <r>
    <x v="4"/>
    <s v="conventional_refinance_himedia_incentive_-44"/>
    <x v="1227"/>
    <n v="7.2729591008E-2"/>
    <n v="1"/>
    <n v="-196"/>
    <n v="364"/>
  </r>
  <r>
    <x v="4"/>
    <s v="conventional_refinance_himedia_incentive_-43"/>
    <x v="1228"/>
    <n v="9.3430875179288594E-2"/>
    <n v="1"/>
    <n v="-196"/>
    <n v="364"/>
  </r>
  <r>
    <x v="4"/>
    <s v="conventional_refinance_himedia_incentive_-42"/>
    <x v="1229"/>
    <n v="0.116270436029248"/>
    <n v="1"/>
    <n v="-196"/>
    <n v="364"/>
  </r>
  <r>
    <x v="4"/>
    <s v="conventional_refinance_himedia_incentive_-41"/>
    <x v="1230"/>
    <n v="0.14110175390087501"/>
    <n v="1"/>
    <n v="-196"/>
    <n v="364"/>
  </r>
  <r>
    <x v="4"/>
    <s v="conventional_refinance_himedia_incentive_-40"/>
    <x v="0"/>
    <n v="0.16777830913716599"/>
    <n v="1"/>
    <n v="-196"/>
    <n v="364"/>
  </r>
  <r>
    <x v="4"/>
    <s v="conventional_refinance_himedia_incentive_-39"/>
    <x v="1"/>
    <n v="0.19615358208111899"/>
    <n v="1"/>
    <n v="-196"/>
    <n v="364"/>
  </r>
  <r>
    <x v="4"/>
    <s v="conventional_refinance_himedia_incentive_-38"/>
    <x v="2"/>
    <n v="0.22608105307573201"/>
    <n v="1"/>
    <n v="-196"/>
    <n v="364"/>
  </r>
  <r>
    <x v="4"/>
    <s v="conventional_refinance_himedia_incentive_-37"/>
    <x v="3"/>
    <n v="0.25741420246399999"/>
    <n v="1"/>
    <n v="-196"/>
    <n v="364"/>
  </r>
  <r>
    <x v="4"/>
    <s v="conventional_refinance_himedia_incentive_-36"/>
    <x v="4"/>
    <n v="0.29000651058892102"/>
    <n v="1"/>
    <n v="-196"/>
    <n v="364"/>
  </r>
  <r>
    <x v="4"/>
    <s v="conventional_refinance_himedia_incentive_-35"/>
    <x v="5"/>
    <n v="0.32371145779349297"/>
    <n v="1"/>
    <n v="-196"/>
    <n v="364"/>
  </r>
  <r>
    <x v="4"/>
    <s v="conventional_refinance_himedia_incentive_-34"/>
    <x v="6"/>
    <n v="0.358382524420711"/>
    <n v="1"/>
    <n v="-196"/>
    <n v="364"/>
  </r>
  <r>
    <x v="4"/>
    <s v="conventional_refinance_himedia_incentive_-33"/>
    <x v="7"/>
    <n v="0.39387319081357403"/>
    <n v="1"/>
    <n v="-196"/>
    <n v="364"/>
  </r>
  <r>
    <x v="4"/>
    <s v="conventional_refinance_himedia_incentive_-32"/>
    <x v="8"/>
    <n v="0.43003693731507903"/>
    <n v="1"/>
    <n v="-196"/>
    <n v="364"/>
  </r>
  <r>
    <x v="4"/>
    <s v="conventional_refinance_himedia_incentive_-31"/>
    <x v="9"/>
    <n v="0.46672724426822199"/>
    <n v="1"/>
    <n v="-196"/>
    <n v="364"/>
  </r>
  <r>
    <x v="4"/>
    <s v="conventional_refinance_himedia_incentive_-30"/>
    <x v="10"/>
    <n v="0.50379759201600005"/>
    <n v="1"/>
    <n v="-196"/>
    <n v="364"/>
  </r>
  <r>
    <x v="4"/>
    <s v="conventional_refinance_himedia_incentive_-29"/>
    <x v="11"/>
    <n v="0.54110146090141098"/>
    <n v="1"/>
    <n v="-196"/>
    <n v="364"/>
  </r>
  <r>
    <x v="4"/>
    <s v="conventional_refinance_himedia_incentive_-28"/>
    <x v="12"/>
    <n v="0.57849233126745203"/>
    <n v="1"/>
    <n v="-196"/>
    <n v="364"/>
  </r>
  <r>
    <x v="4"/>
    <s v="conventional_refinance_himedia_incentive_-27"/>
    <x v="13"/>
    <n v="0.61582368345712002"/>
    <n v="1"/>
    <n v="-196"/>
    <n v="364"/>
  </r>
  <r>
    <x v="4"/>
    <s v="conventional_refinance_himedia_incentive_-26"/>
    <x v="14"/>
    <n v="0.65294899781341098"/>
    <n v="1"/>
    <n v="-196"/>
    <n v="364"/>
  </r>
  <r>
    <x v="4"/>
    <s v="conventional_refinance_himedia_incentive_-25"/>
    <x v="15"/>
    <n v="0.68972175467932395"/>
    <n v="1"/>
    <n v="-196"/>
    <n v="364"/>
  </r>
  <r>
    <x v="4"/>
    <s v="conventional_refinance_himedia_incentive_-24"/>
    <x v="16"/>
    <n v="0.72599543439785397"/>
    <n v="1"/>
    <n v="-196"/>
    <n v="364"/>
  </r>
  <r>
    <x v="4"/>
    <s v="conventional_refinance_himedia_incentive_-23"/>
    <x v="17"/>
    <n v="0.76162351731199995"/>
    <n v="1"/>
    <n v="-196"/>
    <n v="364"/>
  </r>
  <r>
    <x v="4"/>
    <s v="conventional_refinance_himedia_incentive_-22"/>
    <x v="18"/>
    <n v="0.79645948376475795"/>
    <n v="1"/>
    <n v="-196"/>
    <n v="364"/>
  </r>
  <r>
    <x v="4"/>
    <s v="conventional_refinance_himedia_incentive_-21"/>
    <x v="19"/>
    <n v="0.83035681409912498"/>
    <n v="1"/>
    <n v="-196"/>
    <n v="364"/>
  </r>
  <r>
    <x v="4"/>
    <s v="conventional_refinance_himedia_incentive_-20"/>
    <x v="20"/>
    <n v="0.86316898865809899"/>
    <n v="1"/>
    <n v="-196"/>
    <n v="364"/>
  </r>
  <r>
    <x v="4"/>
    <s v="conventional_refinance_himedia_incentive_-19"/>
    <x v="21"/>
    <n v="0.894749487784676"/>
    <n v="1"/>
    <n v="-196"/>
    <n v="364"/>
  </r>
  <r>
    <x v="4"/>
    <s v="conventional_refinance_himedia_incentive_-18"/>
    <x v="22"/>
    <n v="0.92495179182185405"/>
    <n v="1"/>
    <n v="-196"/>
    <n v="364"/>
  </r>
  <r>
    <x v="4"/>
    <s v="conventional_refinance_himedia_incentive_-17"/>
    <x v="23"/>
    <n v="0.95362938111262996"/>
    <n v="1"/>
    <n v="-196"/>
    <n v="364"/>
  </r>
  <r>
    <x v="4"/>
    <s v="conventional_refinance_himedia_incentive_-16"/>
    <x v="24"/>
    <n v="0.98063573599999998"/>
    <n v="1"/>
    <n v="-196"/>
    <n v="364"/>
  </r>
  <r>
    <x v="4"/>
    <s v="conventional_refinance_himedia_incentive_-15"/>
    <x v="25"/>
    <n v="1.00650945567059"/>
    <n v="1"/>
    <n v="-196"/>
    <n v="364"/>
  </r>
  <r>
    <x v="4"/>
    <s v="conventional_refinance_himedia_incentive_-14"/>
    <x v="26"/>
    <n v="1.0319096425057099"/>
    <n v="1"/>
    <n v="-196"/>
    <n v="364"/>
  </r>
  <r>
    <x v="4"/>
    <s v="conventional_refinance_himedia_incentive_-13"/>
    <x v="27"/>
    <n v="1.0568705316403499"/>
    <n v="1"/>
    <n v="-196"/>
    <n v="364"/>
  </r>
  <r>
    <x v="4"/>
    <s v="conventional_refinance_himedia_incentive_-12"/>
    <x v="28"/>
    <n v="1.08142635820954"/>
    <n v="1"/>
    <n v="-196"/>
    <n v="364"/>
  </r>
  <r>
    <x v="4"/>
    <s v="conventional_refinance_himedia_incentive_-11"/>
    <x v="29"/>
    <n v="1.10561135734828"/>
    <n v="1"/>
    <n v="-196"/>
    <n v="364"/>
  </r>
  <r>
    <x v="4"/>
    <s v="conventional_refinance_himedia_incentive_-10"/>
    <x v="30"/>
    <n v="1.12945976419159"/>
    <n v="1"/>
    <n v="-196"/>
    <n v="364"/>
  </r>
  <r>
    <x v="4"/>
    <s v="conventional_refinance_himedia_incentive_-9"/>
    <x v="31"/>
    <n v="1.1530058138744601"/>
    <n v="1"/>
    <n v="-196"/>
    <n v="364"/>
  </r>
  <r>
    <x v="4"/>
    <s v="conventional_refinance_himedia_incentive_-8"/>
    <x v="32"/>
    <n v="1.1762837415319201"/>
    <n v="1"/>
    <n v="-196"/>
    <n v="364"/>
  </r>
  <r>
    <x v="4"/>
    <s v="conventional_refinance_himedia_incentive_-7"/>
    <x v="33"/>
    <n v="1.1993277822989601"/>
    <n v="1"/>
    <n v="-196"/>
    <n v="364"/>
  </r>
  <r>
    <x v="4"/>
    <s v="conventional_refinance_himedia_incentive_-6"/>
    <x v="34"/>
    <n v="1.22217217131061"/>
    <n v="1"/>
    <n v="-196"/>
    <n v="364"/>
  </r>
  <r>
    <x v="4"/>
    <s v="conventional_refinance_himedia_incentive_-5"/>
    <x v="35"/>
    <n v="1.2448511437018599"/>
    <n v="1"/>
    <n v="-196"/>
    <n v="364"/>
  </r>
  <r>
    <x v="4"/>
    <s v="conventional_refinance_himedia_incentive_-4"/>
    <x v="36"/>
    <n v="1.2673989346077399"/>
    <n v="1"/>
    <n v="-196"/>
    <n v="364"/>
  </r>
  <r>
    <x v="4"/>
    <s v="conventional_refinance_himedia_incentive_-3"/>
    <x v="37"/>
    <n v="1.28984977916324"/>
    <n v="1"/>
    <n v="-196"/>
    <n v="364"/>
  </r>
  <r>
    <x v="4"/>
    <s v="conventional_refinance_himedia_incentive_-2"/>
    <x v="38"/>
    <n v="1.3122379125033801"/>
    <n v="1"/>
    <n v="-196"/>
    <n v="364"/>
  </r>
  <r>
    <x v="4"/>
    <s v="conventional_refinance_himedia_incentive_-1"/>
    <x v="39"/>
    <n v="1.33459756976318"/>
    <n v="1"/>
    <n v="-196"/>
    <n v="364"/>
  </r>
  <r>
    <x v="4"/>
    <s v="conventional_refinance_himedia_incentive_0"/>
    <x v="40"/>
    <n v="1.35696298607762"/>
    <n v="1"/>
    <n v="-196"/>
    <n v="364"/>
  </r>
  <r>
    <x v="4"/>
    <s v="conventional_refinance_himedia_incentive_1"/>
    <x v="41"/>
    <n v="1.37936839658174"/>
    <n v="1"/>
    <n v="-196"/>
    <n v="364"/>
  </r>
  <r>
    <x v="4"/>
    <s v="conventional_refinance_himedia_incentive_2"/>
    <x v="42"/>
    <n v="1.4018480364105399"/>
    <n v="1"/>
    <n v="-196"/>
    <n v="364"/>
  </r>
  <r>
    <x v="4"/>
    <s v="conventional_refinance_himedia_incentive_3"/>
    <x v="43"/>
    <n v="1.42443614069902"/>
    <n v="1"/>
    <n v="-196"/>
    <n v="364"/>
  </r>
  <r>
    <x v="4"/>
    <s v="conventional_refinance_himedia_incentive_4"/>
    <x v="44"/>
    <n v="1.44716694458219"/>
    <n v="1"/>
    <n v="-196"/>
    <n v="364"/>
  </r>
  <r>
    <x v="4"/>
    <s v="conventional_refinance_himedia_incentive_5"/>
    <x v="45"/>
    <n v="1.4700746831950799"/>
    <n v="1"/>
    <n v="-196"/>
    <n v="364"/>
  </r>
  <r>
    <x v="4"/>
    <s v="conventional_refinance_himedia_incentive_6"/>
    <x v="46"/>
    <n v="1.49319359167268"/>
    <n v="1"/>
    <n v="-196"/>
    <n v="364"/>
  </r>
  <r>
    <x v="4"/>
    <s v="conventional_refinance_himedia_incentive_7"/>
    <x v="47"/>
    <n v="1.51655790515"/>
    <n v="1"/>
    <n v="-196"/>
    <n v="364"/>
  </r>
  <r>
    <x v="4"/>
    <s v="conventional_refinance_himedia_incentive_8"/>
    <x v="48"/>
    <n v="1.5402018587620601"/>
    <n v="1"/>
    <n v="-196"/>
    <n v="364"/>
  </r>
  <r>
    <x v="4"/>
    <s v="conventional_refinance_himedia_incentive_9"/>
    <x v="49"/>
    <n v="1.5641596876438699"/>
    <n v="1"/>
    <n v="-196"/>
    <n v="364"/>
  </r>
  <r>
    <x v="4"/>
    <s v="conventional_refinance_himedia_incentive_10"/>
    <x v="50"/>
    <n v="1.58846562693043"/>
    <n v="1"/>
    <n v="-196"/>
    <n v="364"/>
  </r>
  <r>
    <x v="4"/>
    <s v="conventional_refinance_himedia_incentive_11"/>
    <x v="51"/>
    <n v="1.6131539117567499"/>
    <n v="1"/>
    <n v="-196"/>
    <n v="364"/>
  </r>
  <r>
    <x v="4"/>
    <s v="conventional_refinance_himedia_incentive_12"/>
    <x v="52"/>
    <n v="1.6382587772578501"/>
    <n v="1"/>
    <n v="-196"/>
    <n v="364"/>
  </r>
  <r>
    <x v="4"/>
    <s v="conventional_refinance_himedia_incentive_13"/>
    <x v="53"/>
    <n v="1.66381445856873"/>
    <n v="1"/>
    <n v="-196"/>
    <n v="364"/>
  </r>
  <r>
    <x v="4"/>
    <s v="conventional_refinance_himedia_incentive_14"/>
    <x v="54"/>
    <n v="1.6898551908243999"/>
    <n v="1"/>
    <n v="-196"/>
    <n v="364"/>
  </r>
  <r>
    <x v="4"/>
    <s v="conventional_refinance_himedia_incentive_15"/>
    <x v="55"/>
    <n v="1.7164152091598801"/>
    <n v="1"/>
    <n v="-196"/>
    <n v="364"/>
  </r>
  <r>
    <x v="4"/>
    <s v="conventional_refinance_himedia_incentive_16"/>
    <x v="56"/>
    <n v="1.7435287487101601"/>
    <n v="1"/>
    <n v="-196"/>
    <n v="364"/>
  </r>
  <r>
    <x v="4"/>
    <s v="conventional_refinance_himedia_incentive_17"/>
    <x v="57"/>
    <n v="1.77123004461028"/>
    <n v="1"/>
    <n v="-196"/>
    <n v="364"/>
  </r>
  <r>
    <x v="4"/>
    <s v="conventional_refinance_himedia_incentive_18"/>
    <x v="58"/>
    <n v="1.7995533319952199"/>
    <n v="1"/>
    <n v="-196"/>
    <n v="364"/>
  </r>
  <r>
    <x v="4"/>
    <s v="conventional_refinance_himedia_incentive_19"/>
    <x v="59"/>
    <n v="1.8285328460000001"/>
    <n v="1"/>
    <n v="-196"/>
    <n v="364"/>
  </r>
  <r>
    <x v="4"/>
    <s v="conventional_refinance_himedia_incentive_20"/>
    <x v="60"/>
    <n v="1.8581182722121701"/>
    <n v="1"/>
    <n v="-196"/>
    <n v="364"/>
  </r>
  <r>
    <x v="4"/>
    <s v="conventional_refinance_himedia_incentive_21"/>
    <x v="61"/>
    <n v="1.8882247211038701"/>
    <n v="1"/>
    <n v="-196"/>
    <n v="364"/>
  </r>
  <r>
    <x v="4"/>
    <s v="conventional_refinance_himedia_incentive_22"/>
    <x v="62"/>
    <n v="1.91883456513696"/>
    <n v="1"/>
    <n v="-196"/>
    <n v="364"/>
  </r>
  <r>
    <x v="4"/>
    <s v="conventional_refinance_himedia_incentive_23"/>
    <x v="63"/>
    <n v="1.9499301767733299"/>
    <n v="1"/>
    <n v="-196"/>
    <n v="364"/>
  </r>
  <r>
    <x v="4"/>
    <s v="conventional_refinance_himedia_incentive_24"/>
    <x v="64"/>
    <n v="1.9814939284748601"/>
    <n v="1"/>
    <n v="-196"/>
    <n v="364"/>
  </r>
  <r>
    <x v="4"/>
    <s v="conventional_refinance_himedia_incentive_25"/>
    <x v="65"/>
    <n v="2.01350819270341"/>
    <n v="1"/>
    <n v="-196"/>
    <n v="364"/>
  </r>
  <r>
    <x v="4"/>
    <s v="conventional_refinance_himedia_incentive_26"/>
    <x v="66"/>
    <n v="2.04595534192087"/>
    <n v="1"/>
    <n v="-196"/>
    <n v="364"/>
  </r>
  <r>
    <x v="4"/>
    <s v="conventional_refinance_himedia_incentive_27"/>
    <x v="67"/>
    <n v="2.0788177485891102"/>
    <n v="1"/>
    <n v="-196"/>
    <n v="364"/>
  </r>
  <r>
    <x v="4"/>
    <s v="conventional_refinance_himedia_incentive_28"/>
    <x v="68"/>
    <n v="2.1120777851700199"/>
    <n v="1"/>
    <n v="-196"/>
    <n v="364"/>
  </r>
  <r>
    <x v="4"/>
    <s v="conventional_refinance_himedia_incentive_29"/>
    <x v="69"/>
    <n v="2.14571782412547"/>
    <n v="1"/>
    <n v="-196"/>
    <n v="364"/>
  </r>
  <r>
    <x v="4"/>
    <s v="conventional_refinance_himedia_incentive_30"/>
    <x v="70"/>
    <n v="2.1797202379173402"/>
    <n v="1"/>
    <n v="-196"/>
    <n v="364"/>
  </r>
  <r>
    <x v="4"/>
    <s v="conventional_refinance_himedia_incentive_31"/>
    <x v="71"/>
    <n v="2.2140673990074999"/>
    <n v="1"/>
    <n v="-196"/>
    <n v="364"/>
  </r>
  <r>
    <x v="4"/>
    <s v="conventional_refinance_himedia_incentive_32"/>
    <x v="72"/>
    <n v="2.2487416798578299"/>
    <n v="1"/>
    <n v="-196"/>
    <n v="364"/>
  </r>
  <r>
    <x v="4"/>
    <s v="conventional_refinance_himedia_incentive_33"/>
    <x v="73"/>
    <n v="2.2837254529302098"/>
    <n v="1"/>
    <n v="-196"/>
    <n v="364"/>
  </r>
  <r>
    <x v="4"/>
    <s v="conventional_refinance_himedia_incentive_34"/>
    <x v="74"/>
    <n v="2.3190010906865202"/>
    <n v="1"/>
    <n v="-196"/>
    <n v="364"/>
  </r>
  <r>
    <x v="4"/>
    <s v="conventional_refinance_himedia_incentive_35"/>
    <x v="75"/>
    <n v="2.3545509655886301"/>
    <n v="1"/>
    <n v="-196"/>
    <n v="364"/>
  </r>
  <r>
    <x v="4"/>
    <s v="conventional_refinance_himedia_incentive_36"/>
    <x v="76"/>
    <n v="2.3903574500984299"/>
    <n v="1"/>
    <n v="-196"/>
    <n v="364"/>
  </r>
  <r>
    <x v="4"/>
    <s v="conventional_refinance_himedia_incentive_37"/>
    <x v="77"/>
    <n v="2.4264029166777901"/>
    <n v="1"/>
    <n v="-196"/>
    <n v="364"/>
  </r>
  <r>
    <x v="4"/>
    <s v="conventional_refinance_himedia_incentive_38"/>
    <x v="78"/>
    <n v="2.46266973778858"/>
    <n v="1"/>
    <n v="-196"/>
    <n v="364"/>
  </r>
  <r>
    <x v="4"/>
    <s v="conventional_refinance_himedia_incentive_39"/>
    <x v="79"/>
    <n v="2.4991402858926799"/>
    <n v="1"/>
    <n v="-196"/>
    <n v="364"/>
  </r>
  <r>
    <x v="4"/>
    <s v="conventional_refinance_himedia_incentive_40"/>
    <x v="80"/>
    <n v="2.5357969334519801"/>
    <n v="1"/>
    <n v="-196"/>
    <n v="364"/>
  </r>
  <r>
    <x v="4"/>
    <s v="conventional_refinance_himedia_incentive_41"/>
    <x v="81"/>
    <n v="2.5726220529283501"/>
    <n v="1"/>
    <n v="-196"/>
    <n v="364"/>
  </r>
  <r>
    <x v="4"/>
    <s v="conventional_refinance_himedia_incentive_42"/>
    <x v="82"/>
    <n v="2.6095980167836599"/>
    <n v="1"/>
    <n v="-196"/>
    <n v="364"/>
  </r>
  <r>
    <x v="4"/>
    <s v="conventional_refinance_himedia_incentive_43"/>
    <x v="83"/>
    <n v="2.6467071974798002"/>
    <n v="1"/>
    <n v="-196"/>
    <n v="364"/>
  </r>
  <r>
    <x v="4"/>
    <s v="conventional_refinance_himedia_incentive_44"/>
    <x v="84"/>
    <n v="2.6839319674786402"/>
    <n v="1"/>
    <n v="-196"/>
    <n v="364"/>
  </r>
  <r>
    <x v="4"/>
    <s v="conventional_refinance_himedia_incentive_45"/>
    <x v="85"/>
    <n v="2.7212546992420599"/>
    <n v="1"/>
    <n v="-196"/>
    <n v="364"/>
  </r>
  <r>
    <x v="4"/>
    <s v="conventional_refinance_himedia_incentive_46"/>
    <x v="86"/>
    <n v="2.7586577652319302"/>
    <n v="1"/>
    <n v="-196"/>
    <n v="364"/>
  </r>
  <r>
    <x v="4"/>
    <s v="conventional_refinance_himedia_incentive_47"/>
    <x v="87"/>
    <n v="2.7961235379101401"/>
    <n v="1"/>
    <n v="-196"/>
    <n v="364"/>
  </r>
  <r>
    <x v="4"/>
    <s v="conventional_refinance_himedia_incentive_48"/>
    <x v="88"/>
    <n v="2.8336343897385601"/>
    <n v="1"/>
    <n v="-196"/>
    <n v="364"/>
  </r>
  <r>
    <x v="4"/>
    <s v="conventional_refinance_himedia_incentive_49"/>
    <x v="89"/>
    <n v="2.87117269317906"/>
    <n v="1"/>
    <n v="-196"/>
    <n v="364"/>
  </r>
  <r>
    <x v="4"/>
    <s v="conventional_refinance_himedia_incentive_50"/>
    <x v="90"/>
    <n v="2.9087208206935302"/>
    <n v="1"/>
    <n v="-196"/>
    <n v="364"/>
  </r>
  <r>
    <x v="4"/>
    <s v="conventional_refinance_himedia_incentive_51"/>
    <x v="91"/>
    <n v="2.94626114474385"/>
    <n v="1"/>
    <n v="-196"/>
    <n v="364"/>
  </r>
  <r>
    <x v="4"/>
    <s v="conventional_refinance_himedia_incentive_52"/>
    <x v="92"/>
    <n v="2.9837760377918898"/>
    <n v="1"/>
    <n v="-196"/>
    <n v="364"/>
  </r>
  <r>
    <x v="4"/>
    <s v="conventional_refinance_himedia_incentive_53"/>
    <x v="93"/>
    <n v="3.02124787229952"/>
    <n v="1"/>
    <n v="-196"/>
    <n v="364"/>
  </r>
  <r>
    <x v="4"/>
    <s v="conventional_refinance_himedia_incentive_54"/>
    <x v="94"/>
    <n v="3.0586590207286299"/>
    <n v="1"/>
    <n v="-196"/>
    <n v="364"/>
  </r>
  <r>
    <x v="4"/>
    <s v="conventional_refinance_himedia_incentive_55"/>
    <x v="95"/>
    <n v="3.0959918555410901"/>
    <n v="1"/>
    <n v="-196"/>
    <n v="364"/>
  </r>
  <r>
    <x v="4"/>
    <s v="conventional_refinance_himedia_incentive_56"/>
    <x v="96"/>
    <n v="3.13322874919879"/>
    <n v="1"/>
    <n v="-196"/>
    <n v="364"/>
  </r>
  <r>
    <x v="4"/>
    <s v="conventional_refinance_himedia_incentive_57"/>
    <x v="97"/>
    <n v="3.1703520741635902"/>
    <n v="1"/>
    <n v="-196"/>
    <n v="364"/>
  </r>
  <r>
    <x v="4"/>
    <s v="conventional_refinance_himedia_incentive_58"/>
    <x v="98"/>
    <n v="3.20734420289737"/>
    <n v="1"/>
    <n v="-196"/>
    <n v="364"/>
  </r>
  <r>
    <x v="4"/>
    <s v="conventional_refinance_himedia_incentive_59"/>
    <x v="99"/>
    <n v="3.2441875078620201"/>
    <n v="1"/>
    <n v="-196"/>
    <n v="364"/>
  </r>
  <r>
    <x v="4"/>
    <s v="conventional_refinance_himedia_incentive_60"/>
    <x v="100"/>
    <n v="3.2808643615194102"/>
    <n v="1"/>
    <n v="-196"/>
    <n v="364"/>
  </r>
  <r>
    <x v="4"/>
    <s v="conventional_refinance_himedia_incentive_61"/>
    <x v="101"/>
    <n v="3.3173571363314101"/>
    <n v="1"/>
    <n v="-196"/>
    <n v="364"/>
  </r>
  <r>
    <x v="4"/>
    <s v="conventional_refinance_himedia_incentive_62"/>
    <x v="102"/>
    <n v="3.3536482047599101"/>
    <n v="1"/>
    <n v="-196"/>
    <n v="364"/>
  </r>
  <r>
    <x v="4"/>
    <s v="conventional_refinance_himedia_incentive_63"/>
    <x v="103"/>
    <n v="3.38971993926679"/>
    <n v="1"/>
    <n v="-196"/>
    <n v="364"/>
  </r>
  <r>
    <x v="4"/>
    <s v="conventional_refinance_himedia_incentive_64"/>
    <x v="104"/>
    <n v="3.4255547123139101"/>
    <n v="1"/>
    <n v="-196"/>
    <n v="364"/>
  </r>
  <r>
    <x v="4"/>
    <s v="conventional_refinance_himedia_incentive_65"/>
    <x v="105"/>
    <n v="3.4611348963631601"/>
    <n v="1"/>
    <n v="-196"/>
    <n v="364"/>
  </r>
  <r>
    <x v="4"/>
    <s v="conventional_refinance_himedia_incentive_66"/>
    <x v="106"/>
    <n v="3.49644286387641"/>
    <n v="1"/>
    <n v="-196"/>
    <n v="364"/>
  </r>
  <r>
    <x v="4"/>
    <s v="conventional_refinance_himedia_incentive_67"/>
    <x v="107"/>
    <n v="3.5314609873155498"/>
    <n v="1"/>
    <n v="-196"/>
    <n v="364"/>
  </r>
  <r>
    <x v="4"/>
    <s v="conventional_refinance_himedia_incentive_68"/>
    <x v="108"/>
    <n v="3.5661716391424401"/>
    <n v="1"/>
    <n v="-196"/>
    <n v="364"/>
  </r>
  <r>
    <x v="4"/>
    <s v="conventional_refinance_himedia_incentive_69"/>
    <x v="109"/>
    <n v="3.6005571918189698"/>
    <n v="1"/>
    <n v="-196"/>
    <n v="364"/>
  </r>
  <r>
    <x v="4"/>
    <s v="conventional_refinance_himedia_incentive_70"/>
    <x v="110"/>
    <n v="3.6346000178070201"/>
    <n v="1"/>
    <n v="-196"/>
    <n v="364"/>
  </r>
  <r>
    <x v="4"/>
    <s v="conventional_refinance_himedia_incentive_71"/>
    <x v="111"/>
    <n v="3.66828248956846"/>
    <n v="1"/>
    <n v="-196"/>
    <n v="364"/>
  </r>
  <r>
    <x v="4"/>
    <s v="conventional_refinance_himedia_incentive_72"/>
    <x v="112"/>
    <n v="3.7015869795651599"/>
    <n v="1"/>
    <n v="-196"/>
    <n v="364"/>
  </r>
  <r>
    <x v="4"/>
    <s v="conventional_refinance_himedia_incentive_73"/>
    <x v="113"/>
    <n v="3.7344958602590199"/>
    <n v="1"/>
    <n v="-196"/>
    <n v="364"/>
  </r>
  <r>
    <x v="4"/>
    <s v="conventional_refinance_himedia_incentive_74"/>
    <x v="114"/>
    <n v="3.76699150411189"/>
    <n v="1"/>
    <n v="-196"/>
    <n v="364"/>
  </r>
  <r>
    <x v="4"/>
    <s v="conventional_refinance_himedia_incentive_75"/>
    <x v="115"/>
    <n v="3.7990562835856698"/>
    <n v="1"/>
    <n v="-196"/>
    <n v="364"/>
  </r>
  <r>
    <x v="4"/>
    <s v="conventional_refinance_himedia_incentive_76"/>
    <x v="116"/>
    <n v="3.8306725711422298"/>
    <n v="1"/>
    <n v="-196"/>
    <n v="364"/>
  </r>
  <r>
    <x v="4"/>
    <s v="conventional_refinance_himedia_incentive_77"/>
    <x v="117"/>
    <n v="3.8618227392434399"/>
    <n v="1"/>
    <n v="-196"/>
    <n v="364"/>
  </r>
  <r>
    <x v="4"/>
    <s v="conventional_refinance_himedia_incentive_78"/>
    <x v="118"/>
    <n v="3.89248916035119"/>
    <n v="1"/>
    <n v="-196"/>
    <n v="364"/>
  </r>
  <r>
    <x v="4"/>
    <s v="conventional_refinance_himedia_incentive_79"/>
    <x v="119"/>
    <n v="3.9226542069273398"/>
    <n v="1"/>
    <n v="-196"/>
    <n v="364"/>
  </r>
  <r>
    <x v="4"/>
    <s v="conventional_refinance_himedia_incentive_80"/>
    <x v="120"/>
    <n v="3.9523002514337899"/>
    <n v="1"/>
    <n v="-196"/>
    <n v="364"/>
  </r>
  <r>
    <x v="4"/>
    <s v="conventional_refinance_himedia_incentive_81"/>
    <x v="121"/>
    <n v="3.9814096663324001"/>
    <n v="1"/>
    <n v="-196"/>
    <n v="364"/>
  </r>
  <r>
    <x v="4"/>
    <s v="conventional_refinance_himedia_incentive_82"/>
    <x v="122"/>
    <n v="4.0099648240850501"/>
    <n v="1"/>
    <n v="-196"/>
    <n v="364"/>
  </r>
  <r>
    <x v="4"/>
    <s v="conventional_refinance_himedia_incentive_83"/>
    <x v="123"/>
    <n v="4.0379480971536301"/>
    <n v="1"/>
    <n v="-196"/>
    <n v="364"/>
  </r>
  <r>
    <x v="4"/>
    <s v="conventional_refinance_himedia_incentive_84"/>
    <x v="124"/>
    <n v="4.065341858"/>
    <n v="1"/>
    <n v="-196"/>
    <n v="364"/>
  </r>
  <r>
    <x v="4"/>
    <s v="conventional_refinance_himedia_incentive_85"/>
    <x v="125"/>
    <n v="4.0923365222828396"/>
    <n v="1"/>
    <n v="-196"/>
    <n v="364"/>
  </r>
  <r>
    <x v="4"/>
    <s v="conventional_refinance_himedia_incentive_86"/>
    <x v="126"/>
    <n v="4.1191352784208304"/>
    <n v="1"/>
    <n v="-196"/>
    <n v="364"/>
  </r>
  <r>
    <x v="4"/>
    <s v="conventional_refinance_himedia_incentive_87"/>
    <x v="127"/>
    <n v="4.1457396580159296"/>
    <n v="1"/>
    <n v="-196"/>
    <n v="364"/>
  </r>
  <r>
    <x v="4"/>
    <s v="conventional_refinance_himedia_incentive_88"/>
    <x v="128"/>
    <n v="4.1721511926700598"/>
    <n v="1"/>
    <n v="-196"/>
    <n v="364"/>
  </r>
  <r>
    <x v="4"/>
    <s v="conventional_refinance_himedia_incentive_89"/>
    <x v="129"/>
    <n v="4.19837141398515"/>
    <n v="1"/>
    <n v="-196"/>
    <n v="364"/>
  </r>
  <r>
    <x v="4"/>
    <s v="conventional_refinance_himedia_incentive_90"/>
    <x v="130"/>
    <n v="4.2244018535631502"/>
    <n v="1"/>
    <n v="-196"/>
    <n v="364"/>
  </r>
  <r>
    <x v="4"/>
    <s v="conventional_refinance_himedia_incentive_91"/>
    <x v="131"/>
    <n v="4.2502440430059698"/>
    <n v="1"/>
    <n v="-196"/>
    <n v="364"/>
  </r>
  <r>
    <x v="4"/>
    <s v="conventional_refinance_himedia_incentive_92"/>
    <x v="132"/>
    <n v="4.2758995139155598"/>
    <n v="1"/>
    <n v="-196"/>
    <n v="364"/>
  </r>
  <r>
    <x v="4"/>
    <s v="conventional_refinance_himedia_incentive_93"/>
    <x v="133"/>
    <n v="4.3013697978938499"/>
    <n v="1"/>
    <n v="-196"/>
    <n v="364"/>
  </r>
  <r>
    <x v="4"/>
    <s v="conventional_refinance_himedia_incentive_94"/>
    <x v="134"/>
    <n v="4.3266564265427698"/>
    <n v="1"/>
    <n v="-196"/>
    <n v="364"/>
  </r>
  <r>
    <x v="4"/>
    <s v="conventional_refinance_himedia_incentive_95"/>
    <x v="135"/>
    <n v="4.35176093146426"/>
    <n v="1"/>
    <n v="-196"/>
    <n v="364"/>
  </r>
  <r>
    <x v="4"/>
    <s v="conventional_refinance_himedia_incentive_96"/>
    <x v="136"/>
    <n v="4.3766848442602404"/>
    <n v="1"/>
    <n v="-196"/>
    <n v="364"/>
  </r>
  <r>
    <x v="4"/>
    <s v="conventional_refinance_himedia_incentive_97"/>
    <x v="137"/>
    <n v="4.4014296965326603"/>
    <n v="1"/>
    <n v="-196"/>
    <n v="364"/>
  </r>
  <r>
    <x v="4"/>
    <s v="conventional_refinance_himedia_incentive_98"/>
    <x v="138"/>
    <n v="4.4259970198834502"/>
    <n v="1"/>
    <n v="-196"/>
    <n v="364"/>
  </r>
  <r>
    <x v="4"/>
    <s v="conventional_refinance_himedia_incentive_99"/>
    <x v="139"/>
    <n v="4.4503883459145399"/>
    <n v="1"/>
    <n v="-196"/>
    <n v="364"/>
  </r>
  <r>
    <x v="4"/>
    <s v="conventional_refinance_himedia_incentive_100"/>
    <x v="140"/>
    <n v="4.4746052062278601"/>
    <n v="1"/>
    <n v="-196"/>
    <n v="364"/>
  </r>
  <r>
    <x v="4"/>
    <s v="conventional_refinance_himedia_incentive_101"/>
    <x v="141"/>
    <n v="4.4986491324253501"/>
    <n v="1"/>
    <n v="-196"/>
    <n v="364"/>
  </r>
  <r>
    <x v="4"/>
    <s v="conventional_refinance_himedia_incentive_102"/>
    <x v="142"/>
    <n v="4.5225216561089399"/>
    <n v="1"/>
    <n v="-196"/>
    <n v="364"/>
  </r>
  <r>
    <x v="4"/>
    <s v="conventional_refinance_himedia_incentive_103"/>
    <x v="143"/>
    <n v="4.5462243088805598"/>
    <n v="1"/>
    <n v="-196"/>
    <n v="364"/>
  </r>
  <r>
    <x v="4"/>
    <s v="conventional_refinance_himedia_incentive_104"/>
    <x v="144"/>
    <n v="4.5697586223421496"/>
    <n v="1"/>
    <n v="-196"/>
    <n v="364"/>
  </r>
  <r>
    <x v="4"/>
    <s v="conventional_refinance_himedia_incentive_105"/>
    <x v="145"/>
    <n v="4.5931261280956504"/>
    <n v="1"/>
    <n v="-196"/>
    <n v="364"/>
  </r>
  <r>
    <x v="4"/>
    <s v="conventional_refinance_himedia_incentive_106"/>
    <x v="146"/>
    <n v="4.6163283577429803"/>
    <n v="1"/>
    <n v="-196"/>
    <n v="364"/>
  </r>
  <r>
    <x v="4"/>
    <s v="conventional_refinance_himedia_incentive_107"/>
    <x v="147"/>
    <n v="4.6393668428860702"/>
    <n v="1"/>
    <n v="-196"/>
    <n v="364"/>
  </r>
  <r>
    <x v="4"/>
    <s v="conventional_refinance_himedia_incentive_108"/>
    <x v="148"/>
    <n v="4.66224311512687"/>
    <n v="1"/>
    <n v="-196"/>
    <n v="364"/>
  </r>
  <r>
    <x v="4"/>
    <s v="conventional_refinance_himedia_incentive_109"/>
    <x v="149"/>
    <n v="4.6849587060673104"/>
    <n v="1"/>
    <n v="-196"/>
    <n v="364"/>
  </r>
  <r>
    <x v="4"/>
    <s v="conventional_refinance_himedia_incentive_110"/>
    <x v="150"/>
    <n v="4.7075151473093104"/>
    <n v="1"/>
    <n v="-196"/>
    <n v="364"/>
  </r>
  <r>
    <x v="4"/>
    <s v="conventional_refinance_himedia_incentive_111"/>
    <x v="151"/>
    <n v="4.7299139704548203"/>
    <n v="1"/>
    <n v="-196"/>
    <n v="364"/>
  </r>
  <r>
    <x v="4"/>
    <s v="conventional_refinance_himedia_incentive_112"/>
    <x v="152"/>
    <n v="4.75215670710576"/>
    <n v="1"/>
    <n v="-196"/>
    <n v="364"/>
  </r>
  <r>
    <x v="4"/>
    <s v="conventional_refinance_himedia_incentive_113"/>
    <x v="153"/>
    <n v="4.7742448888640796"/>
    <n v="1"/>
    <n v="-196"/>
    <n v="364"/>
  </r>
  <r>
    <x v="4"/>
    <s v="conventional_refinance_himedia_incentive_114"/>
    <x v="154"/>
    <n v="4.7961800473316902"/>
    <n v="1"/>
    <n v="-196"/>
    <n v="364"/>
  </r>
  <r>
    <x v="4"/>
    <s v="conventional_refinance_himedia_incentive_115"/>
    <x v="155"/>
    <n v="4.81796371411055"/>
    <n v="1"/>
    <n v="-196"/>
    <n v="364"/>
  </r>
  <r>
    <x v="4"/>
    <s v="conventional_refinance_himedia_incentive_116"/>
    <x v="156"/>
    <n v="4.83959742080257"/>
    <n v="1"/>
    <n v="-196"/>
    <n v="364"/>
  </r>
  <r>
    <x v="4"/>
    <s v="conventional_refinance_himedia_incentive_117"/>
    <x v="157"/>
    <n v="4.8610826990096996"/>
    <n v="1"/>
    <n v="-196"/>
    <n v="364"/>
  </r>
  <r>
    <x v="4"/>
    <s v="conventional_refinance_himedia_incentive_118"/>
    <x v="158"/>
    <n v="4.8824210803338604"/>
    <n v="1"/>
    <n v="-196"/>
    <n v="364"/>
  </r>
  <r>
    <x v="4"/>
    <s v="conventional_refinance_himedia_incentive_119"/>
    <x v="159"/>
    <n v="4.9036140963769999"/>
    <n v="1"/>
    <n v="-196"/>
    <n v="364"/>
  </r>
  <r>
    <x v="4"/>
    <s v="conventional_refinance_himedia_incentive_120"/>
    <x v="160"/>
    <n v="4.9246632787410398"/>
    <n v="1"/>
    <n v="-196"/>
    <n v="364"/>
  </r>
  <r>
    <x v="4"/>
    <s v="conventional_refinance_himedia_incentive_121"/>
    <x v="161"/>
    <n v="4.9455701590279197"/>
    <n v="1"/>
    <n v="-196"/>
    <n v="364"/>
  </r>
  <r>
    <x v="4"/>
    <s v="conventional_refinance_himedia_incentive_122"/>
    <x v="162"/>
    <n v="4.9663362688395702"/>
    <n v="1"/>
    <n v="-196"/>
    <n v="364"/>
  </r>
  <r>
    <x v="4"/>
    <s v="conventional_refinance_himedia_incentive_123"/>
    <x v="163"/>
    <n v="4.9869631397779299"/>
    <n v="1"/>
    <n v="-196"/>
    <n v="364"/>
  </r>
  <r>
    <x v="4"/>
    <s v="conventional_refinance_himedia_incentive_124"/>
    <x v="164"/>
    <n v="5.0074523034449197"/>
    <n v="1"/>
    <n v="-196"/>
    <n v="364"/>
  </r>
  <r>
    <x v="4"/>
    <s v="conventional_refinance_himedia_incentive_125"/>
    <x v="165"/>
    <n v="5.0278052914424904"/>
    <n v="1"/>
    <n v="-196"/>
    <n v="364"/>
  </r>
  <r>
    <x v="4"/>
    <s v="conventional_refinance_himedia_incentive_126"/>
    <x v="166"/>
    <n v="5.0480236353725596"/>
    <n v="1"/>
    <n v="-196"/>
    <n v="364"/>
  </r>
  <r>
    <x v="4"/>
    <s v="conventional_refinance_himedia_incentive_127"/>
    <x v="167"/>
    <n v="5.06810886683708"/>
    <n v="1"/>
    <n v="-196"/>
    <n v="364"/>
  </r>
  <r>
    <x v="4"/>
    <s v="conventional_refinance_himedia_incentive_128"/>
    <x v="168"/>
    <n v="5.0880625174379599"/>
    <n v="1"/>
    <n v="-196"/>
    <n v="364"/>
  </r>
  <r>
    <x v="4"/>
    <s v="conventional_refinance_himedia_incentive_129"/>
    <x v="169"/>
    <n v="5.1078861187771496"/>
    <n v="1"/>
    <n v="-196"/>
    <n v="364"/>
  </r>
  <r>
    <x v="4"/>
    <s v="conventional_refinance_himedia_incentive_130"/>
    <x v="170"/>
    <n v="5.1275812024565903"/>
    <n v="1"/>
    <n v="-196"/>
    <n v="364"/>
  </r>
  <r>
    <x v="4"/>
    <s v="conventional_refinance_himedia_incentive_131"/>
    <x v="171"/>
    <n v="5.1471493000781896"/>
    <n v="1"/>
    <n v="-196"/>
    <n v="364"/>
  </r>
  <r>
    <x v="4"/>
    <s v="conventional_refinance_himedia_incentive_132"/>
    <x v="172"/>
    <n v="5.1665919432439003"/>
    <n v="1"/>
    <n v="-196"/>
    <n v="364"/>
  </r>
  <r>
    <x v="4"/>
    <s v="conventional_refinance_himedia_incentive_133"/>
    <x v="173"/>
    <n v="5.18591066355566"/>
    <n v="1"/>
    <n v="-196"/>
    <n v="364"/>
  </r>
  <r>
    <x v="4"/>
    <s v="conventional_refinance_himedia_incentive_134"/>
    <x v="174"/>
    <n v="5.2051069926153799"/>
    <n v="1"/>
    <n v="-196"/>
    <n v="364"/>
  </r>
  <r>
    <x v="4"/>
    <s v="conventional_refinance_himedia_incentive_135"/>
    <x v="175"/>
    <n v="5.2241824620250199"/>
    <n v="1"/>
    <n v="-196"/>
    <n v="364"/>
  </r>
  <r>
    <x v="4"/>
    <s v="conventional_refinance_himedia_incentive_136"/>
    <x v="176"/>
    <n v="5.2431386033865"/>
    <n v="1"/>
    <n v="-196"/>
    <n v="364"/>
  </r>
  <r>
    <x v="4"/>
    <s v="conventional_refinance_himedia_incentive_137"/>
    <x v="177"/>
    <n v="5.2619769483017498"/>
    <n v="1"/>
    <n v="-196"/>
    <n v="364"/>
  </r>
  <r>
    <x v="4"/>
    <s v="conventional_refinance_himedia_incentive_138"/>
    <x v="178"/>
    <n v="5.2806990283727098"/>
    <n v="1"/>
    <n v="-196"/>
    <n v="364"/>
  </r>
  <r>
    <x v="4"/>
    <s v="conventional_refinance_himedia_incentive_139"/>
    <x v="179"/>
    <n v="5.2993063752013096"/>
    <n v="1"/>
    <n v="-196"/>
    <n v="364"/>
  </r>
  <r>
    <x v="4"/>
    <s v="conventional_refinance_himedia_incentive_140"/>
    <x v="180"/>
    <n v="5.31780052038948"/>
    <n v="1"/>
    <n v="-196"/>
    <n v="364"/>
  </r>
  <r>
    <x v="4"/>
    <s v="conventional_refinance_himedia_incentive_141"/>
    <x v="181"/>
    <n v="5.3361829955391702"/>
    <n v="1"/>
    <n v="-196"/>
    <n v="364"/>
  </r>
  <r>
    <x v="4"/>
    <s v="conventional_refinance_himedia_incentive_142"/>
    <x v="182"/>
    <n v="5.3544553322523001"/>
    <n v="1"/>
    <n v="-196"/>
    <n v="364"/>
  </r>
  <r>
    <x v="4"/>
    <s v="conventional_refinance_himedia_incentive_143"/>
    <x v="183"/>
    <n v="5.3726190621308003"/>
    <n v="1"/>
    <n v="-196"/>
    <n v="364"/>
  </r>
  <r>
    <x v="4"/>
    <s v="conventional_refinance_himedia_incentive_144"/>
    <x v="184"/>
    <n v="5.3906757167766202"/>
    <n v="1"/>
    <n v="-196"/>
    <n v="364"/>
  </r>
  <r>
    <x v="4"/>
    <s v="conventional_refinance_himedia_incentive_145"/>
    <x v="185"/>
    <n v="5.4086268277916698"/>
    <n v="1"/>
    <n v="-196"/>
    <n v="364"/>
  </r>
  <r>
    <x v="4"/>
    <s v="conventional_refinance_himedia_incentive_146"/>
    <x v="186"/>
    <n v="5.4264739267779101"/>
    <n v="1"/>
    <n v="-196"/>
    <n v="364"/>
  </r>
  <r>
    <x v="4"/>
    <s v="conventional_refinance_himedia_incentive_147"/>
    <x v="187"/>
    <n v="5.4442185453372502"/>
    <n v="1"/>
    <n v="-196"/>
    <n v="364"/>
  </r>
  <r>
    <x v="4"/>
    <s v="conventional_refinance_himedia_incentive_148"/>
    <x v="188"/>
    <n v="5.4618622150716396"/>
    <n v="1"/>
    <n v="-196"/>
    <n v="364"/>
  </r>
  <r>
    <x v="4"/>
    <s v="conventional_refinance_himedia_incentive_149"/>
    <x v="189"/>
    <n v="5.4794064675829999"/>
    <n v="1"/>
    <n v="-196"/>
    <n v="364"/>
  </r>
  <r>
    <x v="4"/>
    <s v="conventional_refinance_himedia_incentive_150"/>
    <x v="190"/>
    <n v="5.4968528344732697"/>
    <n v="1"/>
    <n v="-196"/>
    <n v="364"/>
  </r>
  <r>
    <x v="4"/>
    <s v="conventional_refinance_himedia_incentive_151"/>
    <x v="191"/>
    <n v="5.5142028473443903"/>
    <n v="1"/>
    <n v="-196"/>
    <n v="364"/>
  </r>
  <r>
    <x v="4"/>
    <s v="conventional_refinance_himedia_incentive_152"/>
    <x v="192"/>
    <n v="5.5314580377982896"/>
    <n v="1"/>
    <n v="-196"/>
    <n v="364"/>
  </r>
  <r>
    <x v="4"/>
    <s v="conventional_refinance_himedia_incentive_153"/>
    <x v="193"/>
    <n v="5.5486199374369001"/>
    <n v="1"/>
    <n v="-196"/>
    <n v="364"/>
  </r>
  <r>
    <x v="4"/>
    <s v="conventional_refinance_himedia_incentive_154"/>
    <x v="194"/>
    <n v="5.5656900778621496"/>
    <n v="1"/>
    <n v="-196"/>
    <n v="364"/>
  </r>
  <r>
    <x v="4"/>
    <s v="conventional_refinance_himedia_incentive_155"/>
    <x v="195"/>
    <n v="5.5826699906759902"/>
    <n v="1"/>
    <n v="-196"/>
    <n v="364"/>
  </r>
  <r>
    <x v="4"/>
    <s v="conventional_refinance_himedia_incentive_156"/>
    <x v="196"/>
    <n v="5.5995612074803303"/>
    <n v="1"/>
    <n v="-196"/>
    <n v="364"/>
  </r>
  <r>
    <x v="4"/>
    <s v="conventional_refinance_himedia_incentive_157"/>
    <x v="197"/>
    <n v="5.6163652598771199"/>
    <n v="1"/>
    <n v="-196"/>
    <n v="364"/>
  </r>
  <r>
    <x v="4"/>
    <s v="conventional_refinance_himedia_incentive_158"/>
    <x v="198"/>
    <n v="5.6330836794682897"/>
    <n v="1"/>
    <n v="-196"/>
    <n v="364"/>
  </r>
  <r>
    <x v="4"/>
    <s v="conventional_refinance_himedia_incentive_159"/>
    <x v="199"/>
    <n v="5.6497179978557703"/>
    <n v="1"/>
    <n v="-196"/>
    <n v="364"/>
  </r>
  <r>
    <x v="4"/>
    <s v="conventional_refinance_himedia_incentive_160"/>
    <x v="200"/>
    <n v="5.6662697466415004"/>
    <n v="1"/>
    <n v="-196"/>
    <n v="364"/>
  </r>
  <r>
    <x v="4"/>
    <s v="conventional_refinance_himedia_incentive_161"/>
    <x v="201"/>
    <n v="5.6827404574273999"/>
    <n v="1"/>
    <n v="-196"/>
    <n v="364"/>
  </r>
  <r>
    <x v="4"/>
    <s v="conventional_refinance_himedia_incentive_162"/>
    <x v="202"/>
    <n v="5.6991316618154197"/>
    <n v="1"/>
    <n v="-196"/>
    <n v="364"/>
  </r>
  <r>
    <x v="4"/>
    <s v="conventional_refinance_himedia_incentive_163"/>
    <x v="203"/>
    <n v="5.7154448914074898"/>
    <n v="1"/>
    <n v="-196"/>
    <n v="364"/>
  </r>
  <r>
    <x v="4"/>
    <s v="conventional_refinance_himedia_incentive_164"/>
    <x v="204"/>
    <n v="5.7316816778055397"/>
    <n v="1"/>
    <n v="-196"/>
    <n v="364"/>
  </r>
  <r>
    <x v="4"/>
    <s v="conventional_refinance_himedia_incentive_165"/>
    <x v="205"/>
    <n v="5.7478435526115002"/>
    <n v="1"/>
    <n v="-196"/>
    <n v="364"/>
  </r>
  <r>
    <x v="4"/>
    <s v="conventional_refinance_himedia_incentive_166"/>
    <x v="206"/>
    <n v="5.7639320474273097"/>
    <n v="1"/>
    <n v="-196"/>
    <n v="364"/>
  </r>
  <r>
    <x v="4"/>
    <s v="conventional_refinance_himedia_incentive_167"/>
    <x v="207"/>
    <n v="5.7799486938548998"/>
    <n v="1"/>
    <n v="-196"/>
    <n v="364"/>
  </r>
  <r>
    <x v="4"/>
    <s v="conventional_refinance_himedia_incentive_168"/>
    <x v="208"/>
    <n v="5.7958950234962003"/>
    <n v="1"/>
    <n v="-196"/>
    <n v="364"/>
  </r>
  <r>
    <x v="4"/>
    <s v="conventional_refinance_himedia_incentive_169"/>
    <x v="209"/>
    <n v="5.8117725679531498"/>
    <n v="1"/>
    <n v="-196"/>
    <n v="364"/>
  </r>
  <r>
    <x v="4"/>
    <s v="conventional_refinance_himedia_incentive_170"/>
    <x v="210"/>
    <n v="5.8275828588276903"/>
    <n v="1"/>
    <n v="-196"/>
    <n v="364"/>
  </r>
  <r>
    <x v="4"/>
    <s v="conventional_refinance_himedia_incentive_171"/>
    <x v="211"/>
    <n v="5.8433274277217402"/>
    <n v="1"/>
    <n v="-196"/>
    <n v="364"/>
  </r>
  <r>
    <x v="4"/>
    <s v="conventional_refinance_himedia_incentive_172"/>
    <x v="212"/>
    <n v="5.8590078062372299"/>
    <n v="1"/>
    <n v="-196"/>
    <n v="364"/>
  </r>
  <r>
    <x v="4"/>
    <s v="conventional_refinance_himedia_incentive_173"/>
    <x v="213"/>
    <n v="5.8746255259761098"/>
    <n v="1"/>
    <n v="-196"/>
    <n v="364"/>
  </r>
  <r>
    <x v="4"/>
    <s v="conventional_refinance_himedia_incentive_174"/>
    <x v="214"/>
    <n v="5.8901821185403103"/>
    <n v="1"/>
    <n v="-196"/>
    <n v="364"/>
  </r>
  <r>
    <x v="4"/>
    <s v="conventional_refinance_himedia_incentive_175"/>
    <x v="215"/>
    <n v="5.9056791155317496"/>
    <n v="1"/>
    <n v="-196"/>
    <n v="364"/>
  </r>
  <r>
    <x v="4"/>
    <s v="conventional_refinance_himedia_incentive_176"/>
    <x v="216"/>
    <n v="5.9211180485523798"/>
    <n v="1"/>
    <n v="-196"/>
    <n v="364"/>
  </r>
  <r>
    <x v="4"/>
    <s v="conventional_refinance_himedia_incentive_177"/>
    <x v="217"/>
    <n v="5.9365004492041198"/>
    <n v="1"/>
    <n v="-196"/>
    <n v="364"/>
  </r>
  <r>
    <x v="4"/>
    <s v="conventional_refinance_himedia_incentive_178"/>
    <x v="218"/>
    <n v="5.9518278490889198"/>
    <n v="1"/>
    <n v="-196"/>
    <n v="364"/>
  </r>
  <r>
    <x v="4"/>
    <s v="conventional_refinance_himedia_incentive_179"/>
    <x v="219"/>
    <n v="5.9671017798086901"/>
    <n v="1"/>
    <n v="-196"/>
    <n v="364"/>
  </r>
  <r>
    <x v="4"/>
    <s v="conventional_refinance_himedia_incentive_180"/>
    <x v="220"/>
    <n v="5.9823237729653904"/>
    <n v="1"/>
    <n v="-196"/>
    <n v="364"/>
  </r>
  <r>
    <x v="4"/>
    <s v="conventional_refinance_himedia_incentive_181"/>
    <x v="221"/>
    <n v="5.9974953601609302"/>
    <n v="1"/>
    <n v="-196"/>
    <n v="364"/>
  </r>
  <r>
    <x v="4"/>
    <s v="conventional_refinance_himedia_incentive_182"/>
    <x v="222"/>
    <n v="6.0126180729972596"/>
    <n v="1"/>
    <n v="-196"/>
    <n v="364"/>
  </r>
  <r>
    <x v="4"/>
    <s v="conventional_refinance_himedia_incentive_183"/>
    <x v="223"/>
    <n v="6.0276934430763003"/>
    <n v="1"/>
    <n v="-196"/>
    <n v="364"/>
  </r>
  <r>
    <x v="4"/>
    <s v="conventional_refinance_himedia_incentive_184"/>
    <x v="224"/>
    <n v="6.0427230019999998"/>
    <n v="1"/>
    <n v="-196"/>
    <n v="364"/>
  </r>
  <r>
    <x v="4"/>
    <s v="conventional_refinance_himedia_incentive_185"/>
    <x v="225"/>
    <n v="6.05763530959356"/>
    <n v="1"/>
    <n v="-196"/>
    <n v="364"/>
  </r>
  <r>
    <x v="4"/>
    <s v="conventional_refinance_himedia_incentive_186"/>
    <x v="226"/>
    <n v="6.07235981127325"/>
    <n v="1"/>
    <n v="-196"/>
    <n v="364"/>
  </r>
  <r>
    <x v="4"/>
    <s v="conventional_refinance_himedia_incentive_187"/>
    <x v="227"/>
    <n v="6.0868993670276099"/>
    <n v="1"/>
    <n v="-196"/>
    <n v="364"/>
  </r>
  <r>
    <x v="4"/>
    <s v="conventional_refinance_himedia_incentive_188"/>
    <x v="228"/>
    <n v="6.1012568368451801"/>
    <n v="1"/>
    <n v="-196"/>
    <n v="364"/>
  </r>
  <r>
    <x v="4"/>
    <s v="conventional_refinance_himedia_incentive_189"/>
    <x v="229"/>
    <n v="6.1154350807144997"/>
    <n v="1"/>
    <n v="-196"/>
    <n v="364"/>
  </r>
  <r>
    <x v="4"/>
    <s v="conventional_refinance_himedia_incentive_190"/>
    <x v="230"/>
    <n v="6.1294369586240904"/>
    <n v="1"/>
    <n v="-196"/>
    <n v="364"/>
  </r>
  <r>
    <x v="4"/>
    <s v="conventional_refinance_himedia_incentive_191"/>
    <x v="231"/>
    <n v="6.1432653305625102"/>
    <n v="1"/>
    <n v="-196"/>
    <n v="364"/>
  </r>
  <r>
    <x v="4"/>
    <s v="conventional_refinance_himedia_incentive_192"/>
    <x v="232"/>
    <n v="6.15692305651827"/>
    <n v="1"/>
    <n v="-196"/>
    <n v="364"/>
  </r>
  <r>
    <x v="4"/>
    <s v="conventional_refinance_himedia_incentive_193"/>
    <x v="233"/>
    <n v="6.1704129964799197"/>
    <n v="1"/>
    <n v="-196"/>
    <n v="364"/>
  </r>
  <r>
    <x v="4"/>
    <s v="conventional_refinance_himedia_incentive_194"/>
    <x v="234"/>
    <n v="6.1837380104359996"/>
    <n v="1"/>
    <n v="-196"/>
    <n v="364"/>
  </r>
  <r>
    <x v="4"/>
    <s v="conventional_refinance_himedia_incentive_195"/>
    <x v="235"/>
    <n v="6.1969009583750401"/>
    <n v="1"/>
    <n v="-196"/>
    <n v="364"/>
  </r>
  <r>
    <x v="4"/>
    <s v="conventional_refinance_himedia_incentive_196"/>
    <x v="236"/>
    <n v="6.2099047002855698"/>
    <n v="1"/>
    <n v="-196"/>
    <n v="364"/>
  </r>
  <r>
    <x v="4"/>
    <s v="conventional_refinance_himedia_incentive_197"/>
    <x v="237"/>
    <n v="6.22275209615613"/>
    <n v="1"/>
    <n v="-196"/>
    <n v="364"/>
  </r>
  <r>
    <x v="4"/>
    <s v="conventional_refinance_himedia_incentive_198"/>
    <x v="238"/>
    <n v="6.2354460059752599"/>
    <n v="1"/>
    <n v="-196"/>
    <n v="364"/>
  </r>
  <r>
    <x v="4"/>
    <s v="conventional_refinance_himedia_incentive_199"/>
    <x v="239"/>
    <n v="6.2479892897314997"/>
    <n v="1"/>
    <n v="-196"/>
    <n v="364"/>
  </r>
  <r>
    <x v="4"/>
    <s v="conventional_refinance_himedia_incentive_200"/>
    <x v="240"/>
    <n v="6.2603848074133799"/>
    <n v="1"/>
    <n v="-196"/>
    <n v="364"/>
  </r>
  <r>
    <x v="4"/>
    <s v="conventional_refinance_himedia_incentive_201"/>
    <x v="241"/>
    <n v="6.27263541900943"/>
    <n v="1"/>
    <n v="-196"/>
    <n v="364"/>
  </r>
  <r>
    <x v="4"/>
    <s v="conventional_refinance_himedia_incentive_202"/>
    <x v="242"/>
    <n v="6.2847439845081903"/>
    <n v="1"/>
    <n v="-196"/>
    <n v="364"/>
  </r>
  <r>
    <x v="4"/>
    <s v="conventional_refinance_himedia_incentive_203"/>
    <x v="243"/>
    <n v="6.2967133638982098"/>
    <n v="1"/>
    <n v="-196"/>
    <n v="364"/>
  </r>
  <r>
    <x v="4"/>
    <s v="conventional_refinance_himedia_incentive_204"/>
    <x v="244"/>
    <n v="6.3085464171680004"/>
    <n v="1"/>
    <n v="-196"/>
    <n v="364"/>
  </r>
  <r>
    <x v="4"/>
    <s v="conventional_refinance_himedia_incentive_205"/>
    <x v="245"/>
    <n v="6.3202460043061199"/>
    <n v="1"/>
    <n v="-196"/>
    <n v="364"/>
  </r>
  <r>
    <x v="4"/>
    <s v="conventional_refinance_himedia_incentive_206"/>
    <x v="246"/>
    <n v="6.3318149853010901"/>
    <n v="1"/>
    <n v="-196"/>
    <n v="364"/>
  </r>
  <r>
    <x v="4"/>
    <s v="conventional_refinance_himedia_incentive_207"/>
    <x v="247"/>
    <n v="6.3432562201414502"/>
    <n v="1"/>
    <n v="-196"/>
    <n v="364"/>
  </r>
  <r>
    <x v="4"/>
    <s v="conventional_refinance_himedia_incentive_208"/>
    <x v="248"/>
    <n v="6.3545725688157404"/>
    <n v="1"/>
    <n v="-196"/>
    <n v="364"/>
  </r>
  <r>
    <x v="4"/>
    <s v="conventional_refinance_himedia_incentive_209"/>
    <x v="249"/>
    <n v="6.3657668913125001"/>
    <n v="1"/>
    <n v="-196"/>
    <n v="364"/>
  </r>
  <r>
    <x v="4"/>
    <s v="conventional_refinance_himedia_incentive_210"/>
    <x v="250"/>
    <n v="6.3768420476202596"/>
    <n v="1"/>
    <n v="-196"/>
    <n v="364"/>
  </r>
  <r>
    <x v="4"/>
    <s v="conventional_refinance_himedia_incentive_211"/>
    <x v="251"/>
    <n v="6.3878008977275504"/>
    <n v="1"/>
    <n v="-196"/>
    <n v="364"/>
  </r>
  <r>
    <x v="4"/>
    <s v="conventional_refinance_himedia_incentive_212"/>
    <x v="252"/>
    <n v="6.39864630162291"/>
    <n v="1"/>
    <n v="-196"/>
    <n v="364"/>
  </r>
  <r>
    <x v="4"/>
    <s v="conventional_refinance_himedia_incentive_213"/>
    <x v="253"/>
    <n v="6.4093811192948804"/>
    <n v="1"/>
    <n v="-196"/>
    <n v="364"/>
  </r>
  <r>
    <x v="4"/>
    <s v="conventional_refinance_himedia_incentive_214"/>
    <x v="254"/>
    <n v="6.420008210732"/>
    <n v="1"/>
    <n v="-196"/>
    <n v="364"/>
  </r>
  <r>
    <x v="4"/>
    <s v="conventional_refinance_himedia_incentive_215"/>
    <x v="255"/>
    <n v="6.4305304359228002"/>
    <n v="1"/>
    <n v="-196"/>
    <n v="364"/>
  </r>
  <r>
    <x v="4"/>
    <s v="conventional_refinance_himedia_incentive_216"/>
    <x v="256"/>
    <n v="6.4409506548558104"/>
    <n v="1"/>
    <n v="-196"/>
    <n v="364"/>
  </r>
  <r>
    <x v="4"/>
    <s v="conventional_refinance_himedia_incentive_217"/>
    <x v="257"/>
    <n v="6.4512717275195701"/>
    <n v="1"/>
    <n v="-196"/>
    <n v="364"/>
  </r>
  <r>
    <x v="4"/>
    <s v="conventional_refinance_himedia_incentive_218"/>
    <x v="258"/>
    <n v="6.4614965139026204"/>
    <n v="1"/>
    <n v="-196"/>
    <n v="364"/>
  </r>
  <r>
    <x v="4"/>
    <s v="conventional_refinance_himedia_incentive_219"/>
    <x v="259"/>
    <n v="6.4716278739934996"/>
    <n v="1"/>
    <n v="-196"/>
    <n v="364"/>
  </r>
  <r>
    <x v="4"/>
    <s v="conventional_refinance_himedia_incentive_220"/>
    <x v="260"/>
    <n v="6.4816686677807303"/>
    <n v="1"/>
    <n v="-196"/>
    <n v="364"/>
  </r>
  <r>
    <x v="4"/>
    <s v="conventional_refinance_himedia_incentive_221"/>
    <x v="261"/>
    <n v="6.4916217552528703"/>
    <n v="1"/>
    <n v="-196"/>
    <n v="364"/>
  </r>
  <r>
    <x v="4"/>
    <s v="conventional_refinance_himedia_incentive_222"/>
    <x v="262"/>
    <n v="6.5014899963984298"/>
    <n v="1"/>
    <n v="-196"/>
    <n v="364"/>
  </r>
  <r>
    <x v="4"/>
    <s v="conventional_refinance_himedia_incentive_223"/>
    <x v="263"/>
    <n v="6.5112762512059597"/>
    <n v="1"/>
    <n v="-196"/>
    <n v="364"/>
  </r>
  <r>
    <x v="4"/>
    <s v="conventional_refinance_himedia_incentive_224"/>
    <x v="264"/>
    <n v="6.520983379664"/>
    <n v="1"/>
    <n v="-196"/>
    <n v="364"/>
  </r>
  <r>
    <x v="4"/>
    <s v="conventional_refinance_himedia_incentive_225"/>
    <x v="265"/>
    <n v="6.5306142417610804"/>
    <n v="1"/>
    <n v="-196"/>
    <n v="364"/>
  </r>
  <r>
    <x v="4"/>
    <s v="conventional_refinance_himedia_incentive_226"/>
    <x v="266"/>
    <n v="6.5401716974857296"/>
    <n v="1"/>
    <n v="-196"/>
    <n v="364"/>
  </r>
  <r>
    <x v="4"/>
    <s v="conventional_refinance_himedia_incentive_227"/>
    <x v="267"/>
    <n v="6.5496586068264904"/>
    <n v="1"/>
    <n v="-196"/>
    <n v="364"/>
  </r>
  <r>
    <x v="4"/>
    <s v="conventional_refinance_himedia_incentive_228"/>
    <x v="268"/>
    <n v="6.5590778297719003"/>
    <n v="1"/>
    <n v="-196"/>
    <n v="364"/>
  </r>
  <r>
    <x v="4"/>
    <s v="conventional_refinance_himedia_incentive_229"/>
    <x v="269"/>
    <n v="6.5684322263104997"/>
    <n v="1"/>
    <n v="-196"/>
    <n v="364"/>
  </r>
  <r>
    <x v="4"/>
    <s v="conventional_refinance_himedia_incentive_230"/>
    <x v="270"/>
    <n v="6.5777246564308198"/>
    <n v="1"/>
    <n v="-196"/>
    <n v="364"/>
  </r>
  <r>
    <x v="4"/>
    <s v="conventional_refinance_himedia_incentive_231"/>
    <x v="271"/>
    <n v="6.5869579801213902"/>
    <n v="1"/>
    <n v="-196"/>
    <n v="364"/>
  </r>
  <r>
    <x v="4"/>
    <s v="conventional_refinance_himedia_incentive_232"/>
    <x v="272"/>
    <n v="6.5961350573707502"/>
    <n v="1"/>
    <n v="-196"/>
    <n v="364"/>
  </r>
  <r>
    <x v="4"/>
    <s v="conventional_refinance_himedia_incentive_233"/>
    <x v="273"/>
    <n v="6.6052587481674401"/>
    <n v="1"/>
    <n v="-196"/>
    <n v="364"/>
  </r>
  <r>
    <x v="4"/>
    <s v="conventional_refinance_himedia_incentive_234"/>
    <x v="274"/>
    <n v="6.6143319125"/>
    <n v="1"/>
    <n v="-196"/>
    <n v="364"/>
  </r>
  <r>
    <x v="4"/>
    <s v="conventional_refinance_himedia_incentive_235"/>
    <x v="275"/>
    <n v="6.6233574103569604"/>
    <n v="1"/>
    <n v="-196"/>
    <n v="364"/>
  </r>
  <r>
    <x v="4"/>
    <s v="conventional_refinance_himedia_incentive_236"/>
    <x v="276"/>
    <n v="6.6323381017268499"/>
    <n v="1"/>
    <n v="-196"/>
    <n v="364"/>
  </r>
  <r>
    <x v="4"/>
    <s v="conventional_refinance_himedia_incentive_237"/>
    <x v="277"/>
    <n v="6.6412768465982097"/>
    <n v="1"/>
    <n v="-196"/>
    <n v="364"/>
  </r>
  <r>
    <x v="4"/>
    <s v="conventional_refinance_himedia_incentive_238"/>
    <x v="278"/>
    <n v="6.65017650495958"/>
    <n v="1"/>
    <n v="-196"/>
    <n v="364"/>
  </r>
  <r>
    <x v="4"/>
    <s v="conventional_refinance_himedia_incentive_239"/>
    <x v="279"/>
    <n v="6.6590399367995001"/>
    <n v="1"/>
    <n v="-196"/>
    <n v="364"/>
  </r>
  <r>
    <x v="4"/>
    <s v="conventional_refinance_himedia_incentive_240"/>
    <x v="280"/>
    <n v="6.6678700021064996"/>
    <n v="1"/>
    <n v="-196"/>
    <n v="364"/>
  </r>
  <r>
    <x v="4"/>
    <s v="conventional_refinance_himedia_incentive_241"/>
    <x v="281"/>
    <n v="6.6766695608691098"/>
    <n v="1"/>
    <n v="-196"/>
    <n v="364"/>
  </r>
  <r>
    <x v="4"/>
    <s v="conventional_refinance_himedia_incentive_242"/>
    <x v="282"/>
    <n v="6.68544147307587"/>
    <n v="1"/>
    <n v="-196"/>
    <n v="364"/>
  </r>
  <r>
    <x v="4"/>
    <s v="conventional_refinance_himedia_incentive_243"/>
    <x v="283"/>
    <n v="6.6941885987153196"/>
    <n v="1"/>
    <n v="-196"/>
    <n v="364"/>
  </r>
  <r>
    <x v="4"/>
    <s v="conventional_refinance_himedia_incentive_244"/>
    <x v="284"/>
    <n v="6.7029137977759996"/>
    <n v="1"/>
    <n v="-196"/>
    <n v="364"/>
  </r>
  <r>
    <x v="4"/>
    <s v="conventional_refinance_himedia_incentive_245"/>
    <x v="285"/>
    <n v="6.7116199302464397"/>
    <n v="1"/>
    <n v="-196"/>
    <n v="364"/>
  </r>
  <r>
    <x v="4"/>
    <s v="conventional_refinance_himedia_incentive_246"/>
    <x v="286"/>
    <n v="6.7203098561151702"/>
    <n v="1"/>
    <n v="-196"/>
    <n v="364"/>
  </r>
  <r>
    <x v="4"/>
    <s v="conventional_refinance_himedia_incentive_247"/>
    <x v="287"/>
    <n v="6.7289864353707296"/>
    <n v="1"/>
    <n v="-196"/>
    <n v="364"/>
  </r>
  <r>
    <x v="4"/>
    <s v="conventional_refinance_himedia_incentive_248"/>
    <x v="288"/>
    <n v="6.7376525280016599"/>
    <n v="1"/>
    <n v="-196"/>
    <n v="364"/>
  </r>
  <r>
    <x v="4"/>
    <s v="conventional_refinance_himedia_incentive_249"/>
    <x v="289"/>
    <n v="6.7463109939964996"/>
    <n v="1"/>
    <n v="-196"/>
    <n v="364"/>
  </r>
  <r>
    <x v="4"/>
    <s v="conventional_refinance_himedia_incentive_250"/>
    <x v="290"/>
    <n v="6.7549646933437799"/>
    <n v="1"/>
    <n v="-196"/>
    <n v="364"/>
  </r>
  <r>
    <x v="4"/>
    <s v="conventional_refinance_himedia_incentive_251"/>
    <x v="291"/>
    <n v="6.7636164860320296"/>
    <n v="1"/>
    <n v="-196"/>
    <n v="364"/>
  </r>
  <r>
    <x v="4"/>
    <s v="conventional_refinance_himedia_incentive_252"/>
    <x v="292"/>
    <n v="6.7722692320497897"/>
    <n v="1"/>
    <n v="-196"/>
    <n v="364"/>
  </r>
  <r>
    <x v="4"/>
    <s v="conventional_refinance_himedia_incentive_253"/>
    <x v="293"/>
    <n v="6.7809257913855996"/>
    <n v="1"/>
    <n v="-196"/>
    <n v="364"/>
  </r>
  <r>
    <x v="4"/>
    <s v="conventional_refinance_himedia_incentive_254"/>
    <x v="294"/>
    <n v="6.7895890240280004"/>
    <n v="1"/>
    <n v="-196"/>
    <n v="364"/>
  </r>
  <r>
    <x v="4"/>
    <s v="conventional_refinance_himedia_incentive_255"/>
    <x v="295"/>
    <n v="6.7982617899655198"/>
    <n v="1"/>
    <n v="-196"/>
    <n v="364"/>
  </r>
  <r>
    <x v="4"/>
    <s v="conventional_refinance_himedia_incentive_256"/>
    <x v="296"/>
    <n v="6.8069469491866901"/>
    <n v="1"/>
    <n v="-196"/>
    <n v="364"/>
  </r>
  <r>
    <x v="4"/>
    <s v="conventional_refinance_himedia_incentive_257"/>
    <x v="297"/>
    <n v="6.8156473616800497"/>
    <n v="1"/>
    <n v="-196"/>
    <n v="364"/>
  </r>
  <r>
    <x v="4"/>
    <s v="conventional_refinance_himedia_incentive_258"/>
    <x v="298"/>
    <n v="6.8243658874341397"/>
    <n v="1"/>
    <n v="-196"/>
    <n v="364"/>
  </r>
  <r>
    <x v="4"/>
    <s v="conventional_refinance_himedia_incentive_259"/>
    <x v="299"/>
    <n v="6.8331053864375004"/>
    <n v="1"/>
    <n v="-196"/>
    <n v="364"/>
  </r>
  <r>
    <x v="4"/>
    <s v="conventional_refinance_himedia_incentive_260"/>
    <x v="300"/>
    <n v="6.8418687186786604"/>
    <n v="1"/>
    <n v="-196"/>
    <n v="364"/>
  </r>
  <r>
    <x v="4"/>
    <s v="conventional_refinance_himedia_incentive_261"/>
    <x v="301"/>
    <n v="6.8506587441461502"/>
    <n v="1"/>
    <n v="-196"/>
    <n v="364"/>
  </r>
  <r>
    <x v="4"/>
    <s v="conventional_refinance_himedia_incentive_262"/>
    <x v="302"/>
    <n v="6.8594783228285099"/>
    <n v="1"/>
    <n v="-196"/>
    <n v="364"/>
  </r>
  <r>
    <x v="4"/>
    <s v="conventional_refinance_himedia_incentive_263"/>
    <x v="303"/>
    <n v="6.8683303147142798"/>
    <n v="1"/>
    <n v="-196"/>
    <n v="364"/>
  </r>
  <r>
    <x v="4"/>
    <s v="conventional_refinance_himedia_incentive_264"/>
    <x v="304"/>
    <n v="6.8772175797920001"/>
    <n v="1"/>
    <n v="-196"/>
    <n v="364"/>
  </r>
  <r>
    <x v="4"/>
    <s v="conventional_refinance_himedia_incentive_265"/>
    <x v="305"/>
    <n v="6.8861429780502004"/>
    <n v="1"/>
    <n v="-196"/>
    <n v="364"/>
  </r>
  <r>
    <x v="4"/>
    <s v="conventional_refinance_himedia_incentive_266"/>
    <x v="306"/>
    <n v="6.8951093694774102"/>
    <n v="1"/>
    <n v="-196"/>
    <n v="364"/>
  </r>
  <r>
    <x v="4"/>
    <s v="conventional_refinance_himedia_incentive_267"/>
    <x v="307"/>
    <n v="6.9041196140621697"/>
    <n v="1"/>
    <n v="-196"/>
    <n v="364"/>
  </r>
  <r>
    <x v="4"/>
    <s v="conventional_refinance_himedia_incentive_268"/>
    <x v="308"/>
    <n v="6.91317657179302"/>
    <n v="1"/>
    <n v="-196"/>
    <n v="364"/>
  </r>
  <r>
    <x v="4"/>
    <s v="conventional_refinance_himedia_incentive_269"/>
    <x v="309"/>
    <n v="6.9222831026584997"/>
    <n v="1"/>
    <n v="-196"/>
    <n v="364"/>
  </r>
  <r>
    <x v="4"/>
    <s v="conventional_refinance_himedia_incentive_270"/>
    <x v="310"/>
    <n v="6.9314420666471399"/>
    <n v="1"/>
    <n v="-196"/>
    <n v="364"/>
  </r>
  <r>
    <x v="4"/>
    <s v="conventional_refinance_himedia_incentive_271"/>
    <x v="311"/>
    <n v="6.9406563237474703"/>
    <n v="1"/>
    <n v="-196"/>
    <n v="364"/>
  </r>
  <r>
    <x v="4"/>
    <s v="conventional_refinance_himedia_incentive_272"/>
    <x v="312"/>
    <n v="6.9499287339480302"/>
    <n v="1"/>
    <n v="-196"/>
    <n v="364"/>
  </r>
  <r>
    <x v="4"/>
    <s v="conventional_refinance_himedia_incentive_273"/>
    <x v="313"/>
    <n v="6.9592621572373599"/>
    <n v="1"/>
    <n v="-196"/>
    <n v="364"/>
  </r>
  <r>
    <x v="4"/>
    <s v="conventional_refinance_himedia_incentive_274"/>
    <x v="314"/>
    <n v="6.9686594536040003"/>
    <n v="1"/>
    <n v="-196"/>
    <n v="364"/>
  </r>
  <r>
    <x v="4"/>
    <s v="conventional_refinance_himedia_incentive_275"/>
    <x v="315"/>
    <n v="6.9781234830364802"/>
    <n v="1"/>
    <n v="-196"/>
    <n v="364"/>
  </r>
  <r>
    <x v="4"/>
    <s v="conventional_refinance_himedia_incentive_276"/>
    <x v="316"/>
    <n v="6.9876571055233301"/>
    <n v="1"/>
    <n v="-196"/>
    <n v="364"/>
  </r>
  <r>
    <x v="4"/>
    <s v="conventional_refinance_himedia_incentive_277"/>
    <x v="317"/>
    <n v="6.9972631810530901"/>
    <n v="1"/>
    <n v="-196"/>
    <n v="364"/>
  </r>
  <r>
    <x v="4"/>
    <s v="conventional_refinance_himedia_incentive_278"/>
    <x v="318"/>
    <n v="7.0069445696142996"/>
    <n v="1"/>
    <n v="-196"/>
    <n v="364"/>
  </r>
  <r>
    <x v="4"/>
    <s v="conventional_refinance_himedia_incentive_279"/>
    <x v="319"/>
    <n v="7.0167041311954996"/>
    <n v="1"/>
    <n v="-196"/>
    <n v="364"/>
  </r>
  <r>
    <x v="4"/>
    <s v="conventional_refinance_himedia_incentive_280"/>
    <x v="320"/>
    <n v="7.0265447257852198"/>
    <n v="1"/>
    <n v="-196"/>
    <n v="364"/>
  </r>
  <r>
    <x v="4"/>
    <s v="conventional_refinance_himedia_incentive_281"/>
    <x v="321"/>
    <n v="7.0364692133719897"/>
    <n v="1"/>
    <n v="-196"/>
    <n v="364"/>
  </r>
  <r>
    <x v="4"/>
    <s v="conventional_refinance_himedia_incentive_282"/>
    <x v="322"/>
    <n v="7.0464804539443504"/>
    <n v="1"/>
    <n v="-196"/>
    <n v="364"/>
  </r>
  <r>
    <x v="4"/>
    <s v="conventional_refinance_himedia_incentive_283"/>
    <x v="323"/>
    <n v="7.0565813074908403"/>
    <n v="1"/>
    <n v="-196"/>
    <n v="364"/>
  </r>
  <r>
    <x v="4"/>
    <s v="conventional_refinance_himedia_incentive_284"/>
    <x v="324"/>
    <n v="7.0667746339999997"/>
    <n v="1"/>
    <n v="-196"/>
    <n v="364"/>
  </r>
  <r>
    <x v="4"/>
    <s v="conventional_refinance_himedia_incentive_285"/>
    <x v="325"/>
    <n v="7.0770151503200003"/>
    <n v="1"/>
    <n v="-196"/>
    <n v="364"/>
  </r>
  <r>
    <x v="4"/>
    <s v="conventional_refinance_himedia_incentive_286"/>
    <x v="326"/>
    <n v="7.08725566664"/>
    <n v="1"/>
    <n v="-196"/>
    <n v="364"/>
  </r>
  <r>
    <x v="4"/>
    <s v="conventional_refinance_himedia_incentive_287"/>
    <x v="327"/>
    <n v="7.0974961829599996"/>
    <n v="1"/>
    <n v="-196"/>
    <n v="364"/>
  </r>
  <r>
    <x v="4"/>
    <s v="conventional_refinance_himedia_incentive_288"/>
    <x v="328"/>
    <n v="7.1077366992800002"/>
    <n v="1"/>
    <n v="-196"/>
    <n v="364"/>
  </r>
  <r>
    <x v="4"/>
    <s v="conventional_refinance_himedia_incentive_289"/>
    <x v="329"/>
    <n v="7.1179772155999999"/>
    <n v="1"/>
    <n v="-196"/>
    <n v="364"/>
  </r>
  <r>
    <x v="4"/>
    <s v="conventional_refinance_himedia_incentive_290"/>
    <x v="330"/>
    <n v="7.1282177319200004"/>
    <n v="1"/>
    <n v="-196"/>
    <n v="364"/>
  </r>
  <r>
    <x v="4"/>
    <s v="conventional_refinance_himedia_incentive_291"/>
    <x v="331"/>
    <n v="7.1384582482400001"/>
    <n v="1"/>
    <n v="-196"/>
    <n v="364"/>
  </r>
  <r>
    <x v="4"/>
    <s v="conventional_refinance_himedia_incentive_292"/>
    <x v="332"/>
    <n v="7.1486987645599998"/>
    <n v="1"/>
    <n v="-196"/>
    <n v="364"/>
  </r>
  <r>
    <x v="4"/>
    <s v="conventional_refinance_himedia_incentive_293"/>
    <x v="333"/>
    <n v="7.1589392808800003"/>
    <n v="1"/>
    <n v="-196"/>
    <n v="364"/>
  </r>
  <r>
    <x v="4"/>
    <s v="conventional_refinance_himedia_incentive_294"/>
    <x v="334"/>
    <n v="7.1691797972"/>
    <n v="1"/>
    <n v="-196"/>
    <n v="364"/>
  </r>
  <r>
    <x v="4"/>
    <s v="conventional_refinance_himedia_incentive_295"/>
    <x v="335"/>
    <n v="7.1794203135199997"/>
    <n v="1"/>
    <n v="-196"/>
    <n v="364"/>
  </r>
  <r>
    <x v="4"/>
    <s v="conventional_refinance_himedia_incentive_296"/>
    <x v="336"/>
    <n v="7.1896608298400002"/>
    <n v="1"/>
    <n v="-196"/>
    <n v="364"/>
  </r>
  <r>
    <x v="4"/>
    <s v="conventional_refinance_himedia_incentive_297"/>
    <x v="337"/>
    <n v="7.1999013461599999"/>
    <n v="1"/>
    <n v="-196"/>
    <n v="364"/>
  </r>
  <r>
    <x v="4"/>
    <s v="conventional_refinance_himedia_incentive_298"/>
    <x v="338"/>
    <n v="7.2101418624800004"/>
    <n v="1"/>
    <n v="-196"/>
    <n v="364"/>
  </r>
  <r>
    <x v="4"/>
    <s v="conventional_refinance_himedia_incentive_299"/>
    <x v="339"/>
    <n v="7.2203823788000001"/>
    <n v="1"/>
    <n v="-196"/>
    <n v="364"/>
  </r>
  <r>
    <x v="4"/>
    <s v="conventional_refinance_himedia_incentive_300"/>
    <x v="340"/>
    <n v="7.2306228951199998"/>
    <n v="1"/>
    <n v="-196"/>
    <n v="364"/>
  </r>
  <r>
    <x v="4"/>
    <s v="conventional_refinance_himedia_incentive_301"/>
    <x v="341"/>
    <n v="7.2408634114400003"/>
    <n v="1"/>
    <n v="-196"/>
    <n v="364"/>
  </r>
  <r>
    <x v="4"/>
    <s v="conventional_refinance_himedia_incentive_302"/>
    <x v="342"/>
    <n v="7.25110392776"/>
    <n v="1"/>
    <n v="-196"/>
    <n v="364"/>
  </r>
  <r>
    <x v="4"/>
    <s v="conventional_refinance_himedia_incentive_303"/>
    <x v="343"/>
    <n v="7.2613444440799997"/>
    <n v="1"/>
    <n v="-196"/>
    <n v="364"/>
  </r>
  <r>
    <x v="4"/>
    <s v="conventional_refinance_himedia_incentive_304"/>
    <x v="344"/>
    <n v="7.2715849604000002"/>
    <n v="1"/>
    <n v="-196"/>
    <n v="364"/>
  </r>
  <r>
    <x v="4"/>
    <s v="conventional_refinance_himedia_incentive_305"/>
    <x v="345"/>
    <n v="7.2818254767199999"/>
    <n v="1"/>
    <n v="-196"/>
    <n v="364"/>
  </r>
  <r>
    <x v="4"/>
    <s v="conventional_refinance_himedia_incentive_306"/>
    <x v="346"/>
    <n v="7.2920659930399996"/>
    <n v="1"/>
    <n v="-196"/>
    <n v="364"/>
  </r>
  <r>
    <x v="4"/>
    <s v="conventional_refinance_himedia_incentive_307"/>
    <x v="347"/>
    <n v="7.3023065093600001"/>
    <n v="1"/>
    <n v="-196"/>
    <n v="364"/>
  </r>
  <r>
    <x v="4"/>
    <s v="conventional_refinance_himedia_incentive_308"/>
    <x v="348"/>
    <n v="7.3125470256799998"/>
    <n v="1"/>
    <n v="-196"/>
    <n v="364"/>
  </r>
  <r>
    <x v="4"/>
    <s v="conventional_refinance_himedia_incentive_309"/>
    <x v="349"/>
    <n v="7.3227875420000004"/>
    <n v="1"/>
    <n v="-196"/>
    <n v="364"/>
  </r>
  <r>
    <x v="4"/>
    <s v="conventional_refinance_himedia_incentive_310"/>
    <x v="350"/>
    <n v="7.33302805832"/>
    <n v="1"/>
    <n v="-196"/>
    <n v="364"/>
  </r>
  <r>
    <x v="4"/>
    <s v="conventional_refinance_himedia_incentive_311"/>
    <x v="351"/>
    <n v="7.3432685746399997"/>
    <n v="1"/>
    <n v="-196"/>
    <n v="364"/>
  </r>
  <r>
    <x v="4"/>
    <s v="conventional_refinance_himedia_incentive_312"/>
    <x v="352"/>
    <n v="7.3535090909600003"/>
    <n v="1"/>
    <n v="-196"/>
    <n v="364"/>
  </r>
  <r>
    <x v="4"/>
    <s v="conventional_refinance_himedia_incentive_313"/>
    <x v="353"/>
    <n v="7.3637496072799999"/>
    <n v="1"/>
    <n v="-196"/>
    <n v="364"/>
  </r>
  <r>
    <x v="4"/>
    <s v="conventional_refinance_himedia_incentive_314"/>
    <x v="354"/>
    <n v="7.3739901235999996"/>
    <n v="1"/>
    <n v="-196"/>
    <n v="364"/>
  </r>
  <r>
    <x v="4"/>
    <s v="conventional_refinance_himedia_incentive_315"/>
    <x v="355"/>
    <n v="7.3842306399200002"/>
    <n v="1"/>
    <n v="-196"/>
    <n v="364"/>
  </r>
  <r>
    <x v="4"/>
    <s v="conventional_refinance_himedia_incentive_316"/>
    <x v="356"/>
    <n v="7.3944711562399998"/>
    <n v="1"/>
    <n v="-196"/>
    <n v="364"/>
  </r>
  <r>
    <x v="4"/>
    <s v="conventional_refinance_himedia_incentive_317"/>
    <x v="357"/>
    <n v="7.4047116725600004"/>
    <n v="1"/>
    <n v="-196"/>
    <n v="364"/>
  </r>
  <r>
    <x v="4"/>
    <s v="conventional_refinance_himedia_incentive_318"/>
    <x v="358"/>
    <n v="7.4149521888800001"/>
    <n v="1"/>
    <n v="-196"/>
    <n v="364"/>
  </r>
  <r>
    <x v="4"/>
    <s v="conventional_refinance_himedia_incentive_319"/>
    <x v="359"/>
    <n v="7.4251927051999997"/>
    <n v="1"/>
    <n v="-196"/>
    <n v="364"/>
  </r>
  <r>
    <x v="4"/>
    <s v="conventional_refinance_himedia_incentive_320"/>
    <x v="360"/>
    <n v="7.4354332215200003"/>
    <n v="1"/>
    <n v="-196"/>
    <n v="364"/>
  </r>
  <r>
    <x v="4"/>
    <s v="conventional_refinance_himedia_incentive_321"/>
    <x v="361"/>
    <n v="7.44567373784"/>
    <n v="1"/>
    <n v="-196"/>
    <n v="364"/>
  </r>
  <r>
    <x v="4"/>
    <s v="conventional_refinance_himedia_incentive_322"/>
    <x v="362"/>
    <n v="7.4559142541599996"/>
    <n v="1"/>
    <n v="-196"/>
    <n v="364"/>
  </r>
  <r>
    <x v="4"/>
    <s v="conventional_refinance_himedia_incentive_323"/>
    <x v="363"/>
    <n v="7.4661547704800002"/>
    <n v="1"/>
    <n v="-196"/>
    <n v="364"/>
  </r>
  <r>
    <x v="4"/>
    <s v="conventional_refinance_himedia_incentive_324"/>
    <x v="364"/>
    <n v="7.4763952867999999"/>
    <n v="1"/>
    <n v="-196"/>
    <n v="364"/>
  </r>
  <r>
    <x v="4"/>
    <s v="conventional_refinance_himedia_incentive_325"/>
    <x v="365"/>
    <n v="7.4866358031200004"/>
    <n v="1"/>
    <n v="-196"/>
    <n v="364"/>
  </r>
  <r>
    <x v="4"/>
    <s v="conventional_refinance_himedia_incentive_326"/>
    <x v="366"/>
    <n v="7.4968763194400001"/>
    <n v="1"/>
    <n v="-196"/>
    <n v="364"/>
  </r>
  <r>
    <x v="4"/>
    <s v="conventional_refinance_himedia_incentive_327"/>
    <x v="367"/>
    <n v="7.5071168357599998"/>
    <n v="1"/>
    <n v="-196"/>
    <n v="364"/>
  </r>
  <r>
    <x v="4"/>
    <s v="conventional_refinance_himedia_incentive_328"/>
    <x v="368"/>
    <n v="7.5173573520800003"/>
    <n v="1"/>
    <n v="-196"/>
    <n v="364"/>
  </r>
  <r>
    <x v="4"/>
    <s v="conventional_refinance_himedia_incentive_329"/>
    <x v="369"/>
    <n v="7.5275978684"/>
    <n v="1"/>
    <n v="-196"/>
    <n v="364"/>
  </r>
  <r>
    <x v="4"/>
    <s v="conventional_refinance_himedia_incentive_330"/>
    <x v="370"/>
    <n v="7.5378383847199997"/>
    <n v="1"/>
    <n v="-196"/>
    <n v="364"/>
  </r>
  <r>
    <x v="4"/>
    <s v="conventional_refinance_himedia_incentive_331"/>
    <x v="371"/>
    <n v="7.5480789010400002"/>
    <n v="1"/>
    <n v="-196"/>
    <n v="364"/>
  </r>
  <r>
    <x v="4"/>
    <s v="conventional_refinance_himedia_incentive_332"/>
    <x v="372"/>
    <n v="7.5583194173599999"/>
    <n v="1"/>
    <n v="-196"/>
    <n v="364"/>
  </r>
  <r>
    <x v="4"/>
    <s v="conventional_refinance_himedia_incentive_333"/>
    <x v="373"/>
    <n v="7.5685599336799996"/>
    <n v="1"/>
    <n v="-196"/>
    <n v="364"/>
  </r>
  <r>
    <x v="4"/>
    <s v="conventional_refinance_himedia_incentive_334"/>
    <x v="374"/>
    <n v="7.5788004500000001"/>
    <n v="1"/>
    <n v="-196"/>
    <n v="364"/>
  </r>
  <r>
    <x v="4"/>
    <s v="conventional_refinance_himedia_incentive_335"/>
    <x v="375"/>
    <n v="7.5890409663199998"/>
    <n v="1"/>
    <n v="-196"/>
    <n v="364"/>
  </r>
  <r>
    <x v="4"/>
    <s v="conventional_refinance_himedia_incentive_336"/>
    <x v="376"/>
    <n v="7.5992814826400004"/>
    <n v="1"/>
    <n v="-196"/>
    <n v="364"/>
  </r>
  <r>
    <x v="4"/>
    <s v="conventional_refinance_himedia_incentive_337"/>
    <x v="377"/>
    <n v="7.60952199896"/>
    <n v="1"/>
    <n v="-196"/>
    <n v="364"/>
  </r>
  <r>
    <x v="4"/>
    <s v="conventional_refinance_himedia_incentive_338"/>
    <x v="378"/>
    <n v="7.6197625152799997"/>
    <n v="1"/>
    <n v="-196"/>
    <n v="364"/>
  </r>
  <r>
    <x v="4"/>
    <s v="conventional_refinance_himedia_incentive_339"/>
    <x v="379"/>
    <n v="7.6300030316000003"/>
    <n v="1"/>
    <n v="-196"/>
    <n v="364"/>
  </r>
  <r>
    <x v="4"/>
    <s v="conventional_refinance_himedia_incentive_340"/>
    <x v="380"/>
    <n v="7.6402435479199999"/>
    <n v="1"/>
    <n v="-196"/>
    <n v="364"/>
  </r>
  <r>
    <x v="4"/>
    <s v="conventional_refinance_himedia_incentive_341"/>
    <x v="381"/>
    <n v="7.6504840642399996"/>
    <n v="1"/>
    <n v="-196"/>
    <n v="364"/>
  </r>
  <r>
    <x v="4"/>
    <s v="conventional_refinance_himedia_incentive_342"/>
    <x v="382"/>
    <n v="7.6607245805600002"/>
    <n v="1"/>
    <n v="-196"/>
    <n v="364"/>
  </r>
  <r>
    <x v="4"/>
    <s v="conventional_refinance_himedia_incentive_343"/>
    <x v="383"/>
    <n v="7.6709650968799998"/>
    <n v="1"/>
    <n v="-196"/>
    <n v="364"/>
  </r>
  <r>
    <x v="4"/>
    <s v="conventional_refinance_himedia_incentive_344"/>
    <x v="384"/>
    <n v="7.6812056132000004"/>
    <n v="1"/>
    <n v="-196"/>
    <n v="364"/>
  </r>
  <r>
    <x v="4"/>
    <s v="conventional_refinance_himedia_incentive_345"/>
    <x v="385"/>
    <n v="7.6914461295200001"/>
    <n v="1"/>
    <n v="-196"/>
    <n v="364"/>
  </r>
  <r>
    <x v="4"/>
    <s v="conventional_refinance_himedia_incentive_346"/>
    <x v="386"/>
    <n v="7.7016866458399997"/>
    <n v="1"/>
    <n v="-196"/>
    <n v="364"/>
  </r>
  <r>
    <x v="4"/>
    <s v="conventional_refinance_himedia_incentive_347"/>
    <x v="387"/>
    <n v="7.7119271621600003"/>
    <n v="1"/>
    <n v="-196"/>
    <n v="364"/>
  </r>
  <r>
    <x v="4"/>
    <s v="conventional_refinance_himedia_incentive_348"/>
    <x v="388"/>
    <n v="7.72216767848"/>
    <n v="1"/>
    <n v="-196"/>
    <n v="364"/>
  </r>
  <r>
    <x v="4"/>
    <s v="conventional_refinance_himedia_incentive_349"/>
    <x v="389"/>
    <n v="7.7324081947999996"/>
    <n v="1"/>
    <n v="-196"/>
    <n v="364"/>
  </r>
  <r>
    <x v="4"/>
    <s v="conventional_refinance_himedia_incentive_350"/>
    <x v="390"/>
    <n v="7.7426487111200002"/>
    <n v="1"/>
    <n v="-196"/>
    <n v="364"/>
  </r>
  <r>
    <x v="4"/>
    <s v="conventional_refinance_himedia_incentive_351"/>
    <x v="391"/>
    <n v="7.7528892274399999"/>
    <n v="1"/>
    <n v="-196"/>
    <n v="364"/>
  </r>
  <r>
    <x v="4"/>
    <s v="conventional_refinance_himedia_incentive_352"/>
    <x v="392"/>
    <n v="7.7631297437600004"/>
    <n v="1"/>
    <n v="-196"/>
    <n v="364"/>
  </r>
  <r>
    <x v="4"/>
    <s v="conventional_refinance_himedia_incentive_353"/>
    <x v="393"/>
    <n v="7.7733702600800001"/>
    <n v="1"/>
    <n v="-196"/>
    <n v="364"/>
  </r>
  <r>
    <x v="4"/>
    <s v="conventional_refinance_himedia_incentive_354"/>
    <x v="394"/>
    <n v="7.7836107763999998"/>
    <n v="1"/>
    <n v="-196"/>
    <n v="364"/>
  </r>
  <r>
    <x v="4"/>
    <s v="conventional_refinance_himedia_incentive_355"/>
    <x v="395"/>
    <n v="7.7938512927200003"/>
    <n v="1"/>
    <n v="-196"/>
    <n v="364"/>
  </r>
  <r>
    <x v="4"/>
    <s v="conventional_refinance_himedia_incentive_356"/>
    <x v="396"/>
    <n v="7.80409180904"/>
    <n v="1"/>
    <n v="-196"/>
    <n v="364"/>
  </r>
  <r>
    <x v="4"/>
    <s v="conventional_refinance_himedia_incentive_357"/>
    <x v="397"/>
    <n v="7.8143323253599997"/>
    <n v="1"/>
    <n v="-196"/>
    <n v="364"/>
  </r>
  <r>
    <x v="4"/>
    <s v="conventional_refinance_himedia_incentive_358"/>
    <x v="398"/>
    <n v="7.8245728416800002"/>
    <n v="1"/>
    <n v="-196"/>
    <n v="364"/>
  </r>
  <r>
    <x v="4"/>
    <s v="conventional_refinance_himedia_incentive_359"/>
    <x v="399"/>
    <n v="7.8348133579999999"/>
    <n v="1"/>
    <n v="-196"/>
    <n v="364"/>
  </r>
  <r>
    <x v="4"/>
    <s v="conventional_refinance_himedia_incentive_360"/>
    <x v="400"/>
    <n v="7.8450538743199996"/>
    <n v="1"/>
    <n v="-196"/>
    <n v="364"/>
  </r>
  <r>
    <x v="4"/>
    <s v="conventional_refinance_himedia_incentive_361"/>
    <x v="401"/>
    <n v="7.8552943906400001"/>
    <n v="1"/>
    <n v="-196"/>
    <n v="364"/>
  </r>
  <r>
    <x v="4"/>
    <s v="conventional_refinance_himedia_incentive_362"/>
    <x v="402"/>
    <n v="7.8655349069599998"/>
    <n v="1"/>
    <n v="-196"/>
    <n v="364"/>
  </r>
  <r>
    <x v="4"/>
    <s v="conventional_refinance_himedia_incentive_363"/>
    <x v="403"/>
    <n v="7.8757754232800004"/>
    <n v="1"/>
    <n v="-196"/>
    <n v="364"/>
  </r>
  <r>
    <x v="4"/>
    <s v="conventional_refinance_himedia_incentive_364"/>
    <x v="404"/>
    <n v="7.8860159396"/>
    <n v="1"/>
    <n v="-196"/>
    <n v="364"/>
  </r>
  <r>
    <x v="5"/>
    <s v="conventional_refinance_cltv_-20"/>
    <x v="20"/>
    <n v="1"/>
    <n v="1"/>
    <n v="-20"/>
    <n v="120"/>
  </r>
  <r>
    <x v="5"/>
    <s v="conventional_refinance_cltv_-19"/>
    <x v="21"/>
    <n v="1"/>
    <n v="1"/>
    <n v="-20"/>
    <n v="120"/>
  </r>
  <r>
    <x v="5"/>
    <s v="conventional_refinance_cltv_-18"/>
    <x v="22"/>
    <n v="1"/>
    <n v="1"/>
    <n v="-20"/>
    <n v="120"/>
  </r>
  <r>
    <x v="5"/>
    <s v="conventional_refinance_cltv_-17"/>
    <x v="23"/>
    <n v="1"/>
    <n v="1"/>
    <n v="-20"/>
    <n v="120"/>
  </r>
  <r>
    <x v="5"/>
    <s v="conventional_refinance_cltv_-16"/>
    <x v="24"/>
    <n v="1"/>
    <n v="1"/>
    <n v="-20"/>
    <n v="120"/>
  </r>
  <r>
    <x v="5"/>
    <s v="conventional_refinance_cltv_-15"/>
    <x v="25"/>
    <n v="1"/>
    <n v="1"/>
    <n v="-20"/>
    <n v="120"/>
  </r>
  <r>
    <x v="5"/>
    <s v="conventional_refinance_cltv_-14"/>
    <x v="26"/>
    <n v="1"/>
    <n v="1"/>
    <n v="-20"/>
    <n v="120"/>
  </r>
  <r>
    <x v="5"/>
    <s v="conventional_refinance_cltv_-13"/>
    <x v="27"/>
    <n v="1"/>
    <n v="1"/>
    <n v="-20"/>
    <n v="120"/>
  </r>
  <r>
    <x v="5"/>
    <s v="conventional_refinance_cltv_-12"/>
    <x v="28"/>
    <n v="1"/>
    <n v="1"/>
    <n v="-20"/>
    <n v="120"/>
  </r>
  <r>
    <x v="5"/>
    <s v="conventional_refinance_cltv_-11"/>
    <x v="29"/>
    <n v="1"/>
    <n v="1"/>
    <n v="-20"/>
    <n v="120"/>
  </r>
  <r>
    <x v="5"/>
    <s v="conventional_refinance_cltv_-10"/>
    <x v="30"/>
    <n v="1"/>
    <n v="1"/>
    <n v="-20"/>
    <n v="120"/>
  </r>
  <r>
    <x v="5"/>
    <s v="conventional_refinance_cltv_-9"/>
    <x v="31"/>
    <n v="1"/>
    <n v="1"/>
    <n v="-20"/>
    <n v="120"/>
  </r>
  <r>
    <x v="5"/>
    <s v="conventional_refinance_cltv_-8"/>
    <x v="32"/>
    <n v="1"/>
    <n v="1"/>
    <n v="-20"/>
    <n v="120"/>
  </r>
  <r>
    <x v="5"/>
    <s v="conventional_refinance_cltv_-7"/>
    <x v="33"/>
    <n v="1"/>
    <n v="1"/>
    <n v="-20"/>
    <n v="120"/>
  </r>
  <r>
    <x v="5"/>
    <s v="conventional_refinance_cltv_-6"/>
    <x v="34"/>
    <n v="1"/>
    <n v="1"/>
    <n v="-20"/>
    <n v="120"/>
  </r>
  <r>
    <x v="5"/>
    <s v="conventional_refinance_cltv_-5"/>
    <x v="35"/>
    <n v="1"/>
    <n v="1"/>
    <n v="-20"/>
    <n v="120"/>
  </r>
  <r>
    <x v="5"/>
    <s v="conventional_refinance_cltv_-4"/>
    <x v="36"/>
    <n v="1"/>
    <n v="1"/>
    <n v="-20"/>
    <n v="120"/>
  </r>
  <r>
    <x v="5"/>
    <s v="conventional_refinance_cltv_-3"/>
    <x v="37"/>
    <n v="1"/>
    <n v="1"/>
    <n v="-20"/>
    <n v="120"/>
  </r>
  <r>
    <x v="5"/>
    <s v="conventional_refinance_cltv_-2"/>
    <x v="38"/>
    <n v="1"/>
    <n v="1"/>
    <n v="-20"/>
    <n v="120"/>
  </r>
  <r>
    <x v="5"/>
    <s v="conventional_refinance_cltv_-1"/>
    <x v="39"/>
    <n v="1"/>
    <n v="1"/>
    <n v="-20"/>
    <n v="120"/>
  </r>
  <r>
    <x v="5"/>
    <s v="conventional_refinance_cltv_0"/>
    <x v="40"/>
    <n v="1"/>
    <n v="1"/>
    <n v="-20"/>
    <n v="120"/>
  </r>
  <r>
    <x v="5"/>
    <s v="conventional_refinance_cltv_1"/>
    <x v="41"/>
    <n v="1"/>
    <n v="1"/>
    <n v="-20"/>
    <n v="120"/>
  </r>
  <r>
    <x v="5"/>
    <s v="conventional_refinance_cltv_2"/>
    <x v="42"/>
    <n v="1"/>
    <n v="1"/>
    <n v="-20"/>
    <n v="120"/>
  </r>
  <r>
    <x v="5"/>
    <s v="conventional_refinance_cltv_3"/>
    <x v="43"/>
    <n v="1"/>
    <n v="1"/>
    <n v="-20"/>
    <n v="120"/>
  </r>
  <r>
    <x v="5"/>
    <s v="conventional_refinance_cltv_4"/>
    <x v="44"/>
    <n v="1"/>
    <n v="1"/>
    <n v="-20"/>
    <n v="120"/>
  </r>
  <r>
    <x v="5"/>
    <s v="conventional_refinance_cltv_5"/>
    <x v="45"/>
    <n v="1"/>
    <n v="1"/>
    <n v="-20"/>
    <n v="120"/>
  </r>
  <r>
    <x v="5"/>
    <s v="conventional_refinance_cltv_6"/>
    <x v="46"/>
    <n v="1"/>
    <n v="1"/>
    <n v="-20"/>
    <n v="120"/>
  </r>
  <r>
    <x v="5"/>
    <s v="conventional_refinance_cltv_7"/>
    <x v="47"/>
    <n v="1"/>
    <n v="1"/>
    <n v="-20"/>
    <n v="120"/>
  </r>
  <r>
    <x v="5"/>
    <s v="conventional_refinance_cltv_8"/>
    <x v="48"/>
    <n v="1"/>
    <n v="1"/>
    <n v="-20"/>
    <n v="120"/>
  </r>
  <r>
    <x v="5"/>
    <s v="conventional_refinance_cltv_9"/>
    <x v="49"/>
    <n v="1"/>
    <n v="1"/>
    <n v="-20"/>
    <n v="120"/>
  </r>
  <r>
    <x v="5"/>
    <s v="conventional_refinance_cltv_10"/>
    <x v="50"/>
    <n v="1"/>
    <n v="1"/>
    <n v="-20"/>
    <n v="120"/>
  </r>
  <r>
    <x v="5"/>
    <s v="conventional_refinance_cltv_11"/>
    <x v="51"/>
    <n v="1"/>
    <n v="1"/>
    <n v="-20"/>
    <n v="120"/>
  </r>
  <r>
    <x v="5"/>
    <s v="conventional_refinance_cltv_12"/>
    <x v="52"/>
    <n v="1"/>
    <n v="1"/>
    <n v="-20"/>
    <n v="120"/>
  </r>
  <r>
    <x v="5"/>
    <s v="conventional_refinance_cltv_13"/>
    <x v="53"/>
    <n v="1"/>
    <n v="1"/>
    <n v="-20"/>
    <n v="120"/>
  </r>
  <r>
    <x v="5"/>
    <s v="conventional_refinance_cltv_14"/>
    <x v="54"/>
    <n v="1"/>
    <n v="1"/>
    <n v="-20"/>
    <n v="120"/>
  </r>
  <r>
    <x v="5"/>
    <s v="conventional_refinance_cltv_15"/>
    <x v="55"/>
    <n v="1"/>
    <n v="1"/>
    <n v="-20"/>
    <n v="120"/>
  </r>
  <r>
    <x v="5"/>
    <s v="conventional_refinance_cltv_16"/>
    <x v="56"/>
    <n v="1"/>
    <n v="1"/>
    <n v="-20"/>
    <n v="120"/>
  </r>
  <r>
    <x v="5"/>
    <s v="conventional_refinance_cltv_17"/>
    <x v="57"/>
    <n v="1"/>
    <n v="1"/>
    <n v="-20"/>
    <n v="120"/>
  </r>
  <r>
    <x v="5"/>
    <s v="conventional_refinance_cltv_18"/>
    <x v="58"/>
    <n v="1"/>
    <n v="1"/>
    <n v="-20"/>
    <n v="120"/>
  </r>
  <r>
    <x v="5"/>
    <s v="conventional_refinance_cltv_19"/>
    <x v="59"/>
    <n v="1"/>
    <n v="1"/>
    <n v="-20"/>
    <n v="120"/>
  </r>
  <r>
    <x v="5"/>
    <s v="conventional_refinance_cltv_20"/>
    <x v="60"/>
    <n v="1"/>
    <n v="1"/>
    <n v="-20"/>
    <n v="120"/>
  </r>
  <r>
    <x v="5"/>
    <s v="conventional_refinance_cltv_21"/>
    <x v="61"/>
    <n v="1"/>
    <n v="1"/>
    <n v="-20"/>
    <n v="120"/>
  </r>
  <r>
    <x v="5"/>
    <s v="conventional_refinance_cltv_22"/>
    <x v="62"/>
    <n v="1"/>
    <n v="1"/>
    <n v="-20"/>
    <n v="120"/>
  </r>
  <r>
    <x v="5"/>
    <s v="conventional_refinance_cltv_23"/>
    <x v="63"/>
    <n v="1"/>
    <n v="1"/>
    <n v="-20"/>
    <n v="120"/>
  </r>
  <r>
    <x v="5"/>
    <s v="conventional_refinance_cltv_24"/>
    <x v="64"/>
    <n v="1"/>
    <n v="1"/>
    <n v="-20"/>
    <n v="120"/>
  </r>
  <r>
    <x v="5"/>
    <s v="conventional_refinance_cltv_25"/>
    <x v="65"/>
    <n v="1"/>
    <n v="1"/>
    <n v="-20"/>
    <n v="120"/>
  </r>
  <r>
    <x v="5"/>
    <s v="conventional_refinance_cltv_26"/>
    <x v="66"/>
    <n v="1"/>
    <n v="1"/>
    <n v="-20"/>
    <n v="120"/>
  </r>
  <r>
    <x v="5"/>
    <s v="conventional_refinance_cltv_27"/>
    <x v="67"/>
    <n v="1"/>
    <n v="1"/>
    <n v="-20"/>
    <n v="120"/>
  </r>
  <r>
    <x v="5"/>
    <s v="conventional_refinance_cltv_28"/>
    <x v="68"/>
    <n v="1"/>
    <n v="1"/>
    <n v="-20"/>
    <n v="120"/>
  </r>
  <r>
    <x v="5"/>
    <s v="conventional_refinance_cltv_29"/>
    <x v="69"/>
    <n v="1"/>
    <n v="1"/>
    <n v="-20"/>
    <n v="120"/>
  </r>
  <r>
    <x v="5"/>
    <s v="conventional_refinance_cltv_30"/>
    <x v="70"/>
    <n v="1"/>
    <n v="1"/>
    <n v="-20"/>
    <n v="120"/>
  </r>
  <r>
    <x v="5"/>
    <s v="conventional_refinance_cltv_31"/>
    <x v="71"/>
    <n v="1"/>
    <n v="1"/>
    <n v="-20"/>
    <n v="120"/>
  </r>
  <r>
    <x v="5"/>
    <s v="conventional_refinance_cltv_32"/>
    <x v="72"/>
    <n v="1"/>
    <n v="1"/>
    <n v="-20"/>
    <n v="120"/>
  </r>
  <r>
    <x v="5"/>
    <s v="conventional_refinance_cltv_33"/>
    <x v="73"/>
    <n v="1"/>
    <n v="1"/>
    <n v="-20"/>
    <n v="120"/>
  </r>
  <r>
    <x v="5"/>
    <s v="conventional_refinance_cltv_34"/>
    <x v="74"/>
    <n v="1"/>
    <n v="1"/>
    <n v="-20"/>
    <n v="120"/>
  </r>
  <r>
    <x v="5"/>
    <s v="conventional_refinance_cltv_35"/>
    <x v="75"/>
    <n v="1"/>
    <n v="1"/>
    <n v="-20"/>
    <n v="120"/>
  </r>
  <r>
    <x v="5"/>
    <s v="conventional_refinance_cltv_36"/>
    <x v="76"/>
    <n v="1"/>
    <n v="1"/>
    <n v="-20"/>
    <n v="120"/>
  </r>
  <r>
    <x v="5"/>
    <s v="conventional_refinance_cltv_37"/>
    <x v="77"/>
    <n v="1"/>
    <n v="1"/>
    <n v="-20"/>
    <n v="120"/>
  </r>
  <r>
    <x v="5"/>
    <s v="conventional_refinance_cltv_38"/>
    <x v="78"/>
    <n v="1"/>
    <n v="1"/>
    <n v="-20"/>
    <n v="120"/>
  </r>
  <r>
    <x v="5"/>
    <s v="conventional_refinance_cltv_39"/>
    <x v="79"/>
    <n v="1"/>
    <n v="1"/>
    <n v="-20"/>
    <n v="120"/>
  </r>
  <r>
    <x v="5"/>
    <s v="conventional_refinance_cltv_40"/>
    <x v="80"/>
    <n v="1"/>
    <n v="1"/>
    <n v="-20"/>
    <n v="120"/>
  </r>
  <r>
    <x v="5"/>
    <s v="conventional_refinance_cltv_41"/>
    <x v="81"/>
    <n v="1"/>
    <n v="1"/>
    <n v="-20"/>
    <n v="120"/>
  </r>
  <r>
    <x v="5"/>
    <s v="conventional_refinance_cltv_42"/>
    <x v="82"/>
    <n v="1"/>
    <n v="1"/>
    <n v="-20"/>
    <n v="120"/>
  </r>
  <r>
    <x v="5"/>
    <s v="conventional_refinance_cltv_43"/>
    <x v="83"/>
    <n v="1"/>
    <n v="1"/>
    <n v="-20"/>
    <n v="120"/>
  </r>
  <r>
    <x v="5"/>
    <s v="conventional_refinance_cltv_44"/>
    <x v="84"/>
    <n v="1"/>
    <n v="1"/>
    <n v="-20"/>
    <n v="120"/>
  </r>
  <r>
    <x v="5"/>
    <s v="conventional_refinance_cltv_45"/>
    <x v="85"/>
    <n v="1"/>
    <n v="1"/>
    <n v="-20"/>
    <n v="120"/>
  </r>
  <r>
    <x v="5"/>
    <s v="conventional_refinance_cltv_46"/>
    <x v="86"/>
    <n v="1"/>
    <n v="1"/>
    <n v="-20"/>
    <n v="120"/>
  </r>
  <r>
    <x v="5"/>
    <s v="conventional_refinance_cltv_47"/>
    <x v="87"/>
    <n v="1"/>
    <n v="1"/>
    <n v="-20"/>
    <n v="120"/>
  </r>
  <r>
    <x v="5"/>
    <s v="conventional_refinance_cltv_48"/>
    <x v="88"/>
    <n v="1"/>
    <n v="1"/>
    <n v="-20"/>
    <n v="120"/>
  </r>
  <r>
    <x v="5"/>
    <s v="conventional_refinance_cltv_49"/>
    <x v="89"/>
    <n v="1"/>
    <n v="1"/>
    <n v="-20"/>
    <n v="120"/>
  </r>
  <r>
    <x v="5"/>
    <s v="conventional_refinance_cltv_50"/>
    <x v="90"/>
    <n v="1"/>
    <n v="1"/>
    <n v="-20"/>
    <n v="120"/>
  </r>
  <r>
    <x v="5"/>
    <s v="conventional_refinance_cltv_51"/>
    <x v="91"/>
    <n v="1"/>
    <n v="1"/>
    <n v="-20"/>
    <n v="120"/>
  </r>
  <r>
    <x v="5"/>
    <s v="conventional_refinance_cltv_52"/>
    <x v="92"/>
    <n v="1"/>
    <n v="1"/>
    <n v="-20"/>
    <n v="120"/>
  </r>
  <r>
    <x v="5"/>
    <s v="conventional_refinance_cltv_53"/>
    <x v="93"/>
    <n v="1"/>
    <n v="1"/>
    <n v="-20"/>
    <n v="120"/>
  </r>
  <r>
    <x v="5"/>
    <s v="conventional_refinance_cltv_54"/>
    <x v="94"/>
    <n v="1"/>
    <n v="1"/>
    <n v="-20"/>
    <n v="120"/>
  </r>
  <r>
    <x v="5"/>
    <s v="conventional_refinance_cltv_55"/>
    <x v="95"/>
    <n v="1"/>
    <n v="1"/>
    <n v="-20"/>
    <n v="120"/>
  </r>
  <r>
    <x v="5"/>
    <s v="conventional_refinance_cltv_56"/>
    <x v="96"/>
    <n v="1"/>
    <n v="1"/>
    <n v="-20"/>
    <n v="120"/>
  </r>
  <r>
    <x v="5"/>
    <s v="conventional_refinance_cltv_57"/>
    <x v="97"/>
    <n v="1"/>
    <n v="1"/>
    <n v="-20"/>
    <n v="120"/>
  </r>
  <r>
    <x v="5"/>
    <s v="conventional_refinance_cltv_58"/>
    <x v="98"/>
    <n v="1"/>
    <n v="1"/>
    <n v="-20"/>
    <n v="120"/>
  </r>
  <r>
    <x v="5"/>
    <s v="conventional_refinance_cltv_59"/>
    <x v="99"/>
    <n v="1"/>
    <n v="1"/>
    <n v="-20"/>
    <n v="120"/>
  </r>
  <r>
    <x v="5"/>
    <s v="conventional_refinance_cltv_60"/>
    <x v="100"/>
    <n v="1"/>
    <n v="1"/>
    <n v="-20"/>
    <n v="120"/>
  </r>
  <r>
    <x v="5"/>
    <s v="conventional_refinance_cltv_61"/>
    <x v="101"/>
    <n v="1"/>
    <n v="1"/>
    <n v="-20"/>
    <n v="120"/>
  </r>
  <r>
    <x v="5"/>
    <s v="conventional_refinance_cltv_62"/>
    <x v="102"/>
    <n v="1"/>
    <n v="1"/>
    <n v="-20"/>
    <n v="120"/>
  </r>
  <r>
    <x v="5"/>
    <s v="conventional_refinance_cltv_63"/>
    <x v="103"/>
    <n v="1"/>
    <n v="1"/>
    <n v="-20"/>
    <n v="120"/>
  </r>
  <r>
    <x v="5"/>
    <s v="conventional_refinance_cltv_64"/>
    <x v="104"/>
    <n v="1"/>
    <n v="1"/>
    <n v="-20"/>
    <n v="120"/>
  </r>
  <r>
    <x v="5"/>
    <s v="conventional_refinance_cltv_65"/>
    <x v="105"/>
    <n v="1"/>
    <n v="1"/>
    <n v="-20"/>
    <n v="120"/>
  </r>
  <r>
    <x v="5"/>
    <s v="conventional_refinance_cltv_66"/>
    <x v="106"/>
    <n v="1"/>
    <n v="1"/>
    <n v="-20"/>
    <n v="120"/>
  </r>
  <r>
    <x v="5"/>
    <s v="conventional_refinance_cltv_67"/>
    <x v="107"/>
    <n v="1"/>
    <n v="1"/>
    <n v="-20"/>
    <n v="120"/>
  </r>
  <r>
    <x v="5"/>
    <s v="conventional_refinance_cltv_68"/>
    <x v="108"/>
    <n v="1"/>
    <n v="1"/>
    <n v="-20"/>
    <n v="120"/>
  </r>
  <r>
    <x v="5"/>
    <s v="conventional_refinance_cltv_69"/>
    <x v="109"/>
    <n v="1"/>
    <n v="1"/>
    <n v="-20"/>
    <n v="120"/>
  </r>
  <r>
    <x v="5"/>
    <s v="conventional_refinance_cltv_70"/>
    <x v="110"/>
    <n v="1"/>
    <n v="1"/>
    <n v="-20"/>
    <n v="120"/>
  </r>
  <r>
    <x v="5"/>
    <s v="conventional_refinance_cltv_71"/>
    <x v="111"/>
    <n v="0.99821700000000002"/>
    <n v="1"/>
    <n v="-20"/>
    <n v="120"/>
  </r>
  <r>
    <x v="5"/>
    <s v="conventional_refinance_cltv_72"/>
    <x v="112"/>
    <n v="0.99321599999999999"/>
    <n v="1"/>
    <n v="-20"/>
    <n v="120"/>
  </r>
  <r>
    <x v="5"/>
    <s v="conventional_refinance_cltv_73"/>
    <x v="113"/>
    <n v="0.98551900000000003"/>
    <n v="1"/>
    <n v="-20"/>
    <n v="120"/>
  </r>
  <r>
    <x v="5"/>
    <s v="conventional_refinance_cltv_74"/>
    <x v="114"/>
    <n v="0.97564799999999996"/>
    <n v="1"/>
    <n v="-20"/>
    <n v="120"/>
  </r>
  <r>
    <x v="5"/>
    <s v="conventional_refinance_cltv_75"/>
    <x v="115"/>
    <n v="0.96412500000000001"/>
    <n v="1"/>
    <n v="-20"/>
    <n v="120"/>
  </r>
  <r>
    <x v="5"/>
    <s v="conventional_refinance_cltv_76"/>
    <x v="116"/>
    <n v="0.95147199999999998"/>
    <n v="1"/>
    <n v="-20"/>
    <n v="120"/>
  </r>
  <r>
    <x v="5"/>
    <s v="conventional_refinance_cltv_77"/>
    <x v="117"/>
    <n v="0.93821100000000002"/>
    <n v="1"/>
    <n v="-20"/>
    <n v="120"/>
  </r>
  <r>
    <x v="5"/>
    <s v="conventional_refinance_cltv_78"/>
    <x v="118"/>
    <n v="0.92486400000000002"/>
    <n v="1"/>
    <n v="-20"/>
    <n v="120"/>
  </r>
  <r>
    <x v="5"/>
    <s v="conventional_refinance_cltv_79"/>
    <x v="119"/>
    <n v="0.91195300000000001"/>
    <n v="1"/>
    <n v="-20"/>
    <n v="120"/>
  </r>
  <r>
    <x v="5"/>
    <s v="conventional_refinance_cltv_80"/>
    <x v="120"/>
    <n v="0.9"/>
    <n v="1"/>
    <n v="-20"/>
    <n v="120"/>
  </r>
  <r>
    <x v="5"/>
    <s v="conventional_refinance_cltv_81"/>
    <x v="121"/>
    <n v="0.88731899999999997"/>
    <n v="1"/>
    <n v="-20"/>
    <n v="120"/>
  </r>
  <r>
    <x v="5"/>
    <s v="conventional_refinance_cltv_82"/>
    <x v="122"/>
    <n v="0.87243199999999999"/>
    <n v="1"/>
    <n v="-20"/>
    <n v="120"/>
  </r>
  <r>
    <x v="5"/>
    <s v="conventional_refinance_cltv_83"/>
    <x v="123"/>
    <n v="0.85617299999999996"/>
    <n v="1"/>
    <n v="-20"/>
    <n v="120"/>
  </r>
  <r>
    <x v="5"/>
    <s v="conventional_refinance_cltv_84"/>
    <x v="124"/>
    <n v="0.83937600000000001"/>
    <n v="1"/>
    <n v="-20"/>
    <n v="120"/>
  </r>
  <r>
    <x v="5"/>
    <s v="conventional_refinance_cltv_85"/>
    <x v="125"/>
    <n v="0.82287500000000002"/>
    <n v="1"/>
    <n v="-20"/>
    <n v="120"/>
  </r>
  <r>
    <x v="5"/>
    <s v="conventional_refinance_cltv_86"/>
    <x v="126"/>
    <n v="0.807504"/>
    <n v="1"/>
    <n v="-20"/>
    <n v="120"/>
  </r>
  <r>
    <x v="5"/>
    <s v="conventional_refinance_cltv_87"/>
    <x v="127"/>
    <n v="0.79409700000000005"/>
    <n v="1"/>
    <n v="-20"/>
    <n v="120"/>
  </r>
  <r>
    <x v="5"/>
    <s v="conventional_refinance_cltv_88"/>
    <x v="128"/>
    <n v="0.78348799999999996"/>
    <n v="1"/>
    <n v="-20"/>
    <n v="120"/>
  </r>
  <r>
    <x v="5"/>
    <s v="conventional_refinance_cltv_89"/>
    <x v="129"/>
    <n v="0.77651099999999995"/>
    <n v="1"/>
    <n v="-20"/>
    <n v="120"/>
  </r>
  <r>
    <x v="5"/>
    <s v="conventional_refinance_cltv_90"/>
    <x v="130"/>
    <n v="0.77400000000000002"/>
    <n v="1"/>
    <n v="-20"/>
    <n v="120"/>
  </r>
  <r>
    <x v="5"/>
    <s v="conventional_refinance_cltv_91"/>
    <x v="131"/>
    <n v="0.77400000000000002"/>
    <n v="1"/>
    <n v="-20"/>
    <n v="120"/>
  </r>
  <r>
    <x v="5"/>
    <s v="conventional_refinance_cltv_92"/>
    <x v="132"/>
    <n v="0.77400000000000002"/>
    <n v="1"/>
    <n v="-20"/>
    <n v="120"/>
  </r>
  <r>
    <x v="5"/>
    <s v="conventional_refinance_cltv_93"/>
    <x v="133"/>
    <n v="0.77400000000000002"/>
    <n v="1"/>
    <n v="-20"/>
    <n v="120"/>
  </r>
  <r>
    <x v="5"/>
    <s v="conventional_refinance_cltv_94"/>
    <x v="134"/>
    <n v="0.77400000000000002"/>
    <n v="1"/>
    <n v="-20"/>
    <n v="120"/>
  </r>
  <r>
    <x v="5"/>
    <s v="conventional_refinance_cltv_95"/>
    <x v="135"/>
    <n v="0.77400000000000002"/>
    <n v="1"/>
    <n v="-20"/>
    <n v="120"/>
  </r>
  <r>
    <x v="5"/>
    <s v="conventional_refinance_cltv_96"/>
    <x v="136"/>
    <n v="0.77400000000000002"/>
    <n v="1"/>
    <n v="-20"/>
    <n v="120"/>
  </r>
  <r>
    <x v="5"/>
    <s v="conventional_refinance_cltv_97"/>
    <x v="137"/>
    <n v="0.77400000000000002"/>
    <n v="1"/>
    <n v="-20"/>
    <n v="120"/>
  </r>
  <r>
    <x v="5"/>
    <s v="conventional_refinance_cltv_98"/>
    <x v="138"/>
    <n v="0.77400000000000002"/>
    <n v="1"/>
    <n v="-20"/>
    <n v="120"/>
  </r>
  <r>
    <x v="5"/>
    <s v="conventional_refinance_cltv_99"/>
    <x v="139"/>
    <n v="0.77400000000000002"/>
    <n v="1"/>
    <n v="-20"/>
    <n v="120"/>
  </r>
  <r>
    <x v="5"/>
    <s v="conventional_refinance_cltv_100"/>
    <x v="140"/>
    <n v="0.77400000000000002"/>
    <n v="1"/>
    <n v="-20"/>
    <n v="120"/>
  </r>
  <r>
    <x v="5"/>
    <s v="conventional_refinance_cltv_101"/>
    <x v="141"/>
    <n v="0.77400000000000002"/>
    <n v="1"/>
    <n v="-20"/>
    <n v="120"/>
  </r>
  <r>
    <x v="5"/>
    <s v="conventional_refinance_cltv_102"/>
    <x v="142"/>
    <n v="0.77400000000000002"/>
    <n v="1"/>
    <n v="-20"/>
    <n v="120"/>
  </r>
  <r>
    <x v="5"/>
    <s v="conventional_refinance_cltv_103"/>
    <x v="143"/>
    <n v="0.77400000000000002"/>
    <n v="1"/>
    <n v="-20"/>
    <n v="120"/>
  </r>
  <r>
    <x v="5"/>
    <s v="conventional_refinance_cltv_104"/>
    <x v="144"/>
    <n v="0.77400000000000002"/>
    <n v="1"/>
    <n v="-20"/>
    <n v="120"/>
  </r>
  <r>
    <x v="5"/>
    <s v="conventional_refinance_cltv_105"/>
    <x v="145"/>
    <n v="0.77400000000000002"/>
    <n v="1"/>
    <n v="-20"/>
    <n v="120"/>
  </r>
  <r>
    <x v="5"/>
    <s v="conventional_refinance_cltv_106"/>
    <x v="146"/>
    <n v="0.77400000000000002"/>
    <n v="1"/>
    <n v="-20"/>
    <n v="120"/>
  </r>
  <r>
    <x v="5"/>
    <s v="conventional_refinance_cltv_107"/>
    <x v="147"/>
    <n v="0.77400000000000002"/>
    <n v="1"/>
    <n v="-20"/>
    <n v="120"/>
  </r>
  <r>
    <x v="5"/>
    <s v="conventional_refinance_cltv_108"/>
    <x v="148"/>
    <n v="0.77400000000000002"/>
    <n v="1"/>
    <n v="-20"/>
    <n v="120"/>
  </r>
  <r>
    <x v="5"/>
    <s v="conventional_refinance_cltv_109"/>
    <x v="149"/>
    <n v="0.77400000000000002"/>
    <n v="1"/>
    <n v="-20"/>
    <n v="120"/>
  </r>
  <r>
    <x v="5"/>
    <s v="conventional_refinance_cltv_110"/>
    <x v="150"/>
    <n v="0.77400000000000002"/>
    <n v="1"/>
    <n v="-20"/>
    <n v="120"/>
  </r>
  <r>
    <x v="5"/>
    <s v="conventional_refinance_cltv_111"/>
    <x v="151"/>
    <n v="0.77400000000000002"/>
    <n v="1"/>
    <n v="-20"/>
    <n v="120"/>
  </r>
  <r>
    <x v="5"/>
    <s v="conventional_refinance_cltv_112"/>
    <x v="152"/>
    <n v="0.77400000000000002"/>
    <n v="1"/>
    <n v="-20"/>
    <n v="120"/>
  </r>
  <r>
    <x v="5"/>
    <s v="conventional_refinance_cltv_113"/>
    <x v="153"/>
    <n v="0.77400000000000002"/>
    <n v="1"/>
    <n v="-20"/>
    <n v="120"/>
  </r>
  <r>
    <x v="5"/>
    <s v="conventional_refinance_cltv_114"/>
    <x v="154"/>
    <n v="0.77400000000000002"/>
    <n v="1"/>
    <n v="-20"/>
    <n v="120"/>
  </r>
  <r>
    <x v="5"/>
    <s v="conventional_refinance_cltv_115"/>
    <x v="155"/>
    <n v="0.77400000000000002"/>
    <n v="1"/>
    <n v="-20"/>
    <n v="120"/>
  </r>
  <r>
    <x v="5"/>
    <s v="conventional_refinance_cltv_116"/>
    <x v="156"/>
    <n v="0.77400000000000002"/>
    <n v="1"/>
    <n v="-20"/>
    <n v="120"/>
  </r>
  <r>
    <x v="5"/>
    <s v="conventional_refinance_cltv_117"/>
    <x v="157"/>
    <n v="0.77400000000000002"/>
    <n v="1"/>
    <n v="-20"/>
    <n v="120"/>
  </r>
  <r>
    <x v="5"/>
    <s v="conventional_refinance_cltv_118"/>
    <x v="158"/>
    <n v="0.77400000000000002"/>
    <n v="1"/>
    <n v="-20"/>
    <n v="120"/>
  </r>
  <r>
    <x v="5"/>
    <s v="conventional_refinance_cltv_119"/>
    <x v="159"/>
    <n v="0.77400000000000002"/>
    <n v="1"/>
    <n v="-20"/>
    <n v="120"/>
  </r>
  <r>
    <x v="5"/>
    <s v="conventional_refinance_cltv_120"/>
    <x v="160"/>
    <n v="0.77400000000000002"/>
    <n v="1"/>
    <n v="-20"/>
    <n v="120"/>
  </r>
  <r>
    <x v="6"/>
    <s v="conventional_refinance_wacls_-130"/>
    <x v="1141"/>
    <n v="-0.37814818181818199"/>
    <n v="1"/>
    <n v="-130"/>
    <n v="780"/>
  </r>
  <r>
    <x v="6"/>
    <s v="conventional_refinance_wacls_-129"/>
    <x v="1142"/>
    <n v="-0.37523927272727298"/>
    <n v="1"/>
    <n v="-130"/>
    <n v="780"/>
  </r>
  <r>
    <x v="6"/>
    <s v="conventional_refinance_wacls_-128"/>
    <x v="1143"/>
    <n v="-0.37233036363636401"/>
    <n v="1"/>
    <n v="-130"/>
    <n v="780"/>
  </r>
  <r>
    <x v="6"/>
    <s v="conventional_refinance_wacls_-127"/>
    <x v="1144"/>
    <n v="-0.369421454545455"/>
    <n v="1"/>
    <n v="-130"/>
    <n v="780"/>
  </r>
  <r>
    <x v="6"/>
    <s v="conventional_refinance_wacls_-126"/>
    <x v="1145"/>
    <n v="-0.36651254545454498"/>
    <n v="1"/>
    <n v="-130"/>
    <n v="780"/>
  </r>
  <r>
    <x v="6"/>
    <s v="conventional_refinance_wacls_-125"/>
    <x v="1146"/>
    <n v="-0.36360363636363602"/>
    <n v="1"/>
    <n v="-130"/>
    <n v="780"/>
  </r>
  <r>
    <x v="6"/>
    <s v="conventional_refinance_wacls_-124"/>
    <x v="1147"/>
    <n v="-0.360694727272727"/>
    <n v="1"/>
    <n v="-130"/>
    <n v="780"/>
  </r>
  <r>
    <x v="6"/>
    <s v="conventional_refinance_wacls_-123"/>
    <x v="1148"/>
    <n v="-0.35778581818181798"/>
    <n v="1"/>
    <n v="-130"/>
    <n v="780"/>
  </r>
  <r>
    <x v="6"/>
    <s v="conventional_refinance_wacls_-122"/>
    <x v="1149"/>
    <n v="-0.35487690909090902"/>
    <n v="1"/>
    <n v="-130"/>
    <n v="780"/>
  </r>
  <r>
    <x v="6"/>
    <s v="conventional_refinance_wacls_-121"/>
    <x v="1150"/>
    <n v="-0.351968"/>
    <n v="1"/>
    <n v="-130"/>
    <n v="780"/>
  </r>
  <r>
    <x v="6"/>
    <s v="conventional_refinance_wacls_-120"/>
    <x v="1151"/>
    <n v="-0.34905909090909099"/>
    <n v="1"/>
    <n v="-130"/>
    <n v="780"/>
  </r>
  <r>
    <x v="6"/>
    <s v="conventional_refinance_wacls_-119"/>
    <x v="1152"/>
    <n v="-0.34615018181818202"/>
    <n v="1"/>
    <n v="-130"/>
    <n v="780"/>
  </r>
  <r>
    <x v="6"/>
    <s v="conventional_refinance_wacls_-118"/>
    <x v="1153"/>
    <n v="-0.34324127272727301"/>
    <n v="1"/>
    <n v="-130"/>
    <n v="780"/>
  </r>
  <r>
    <x v="6"/>
    <s v="conventional_refinance_wacls_-117"/>
    <x v="1154"/>
    <n v="-0.34033236363636399"/>
    <n v="1"/>
    <n v="-130"/>
    <n v="780"/>
  </r>
  <r>
    <x v="6"/>
    <s v="conventional_refinance_wacls_-116"/>
    <x v="1155"/>
    <n v="-0.33742345454545503"/>
    <n v="1"/>
    <n v="-130"/>
    <n v="780"/>
  </r>
  <r>
    <x v="6"/>
    <s v="conventional_refinance_wacls_-115"/>
    <x v="1156"/>
    <n v="-0.33451454545454501"/>
    <n v="1"/>
    <n v="-130"/>
    <n v="780"/>
  </r>
  <r>
    <x v="6"/>
    <s v="conventional_refinance_wacls_-114"/>
    <x v="1157"/>
    <n v="-0.33160563636363599"/>
    <n v="1"/>
    <n v="-130"/>
    <n v="780"/>
  </r>
  <r>
    <x v="6"/>
    <s v="conventional_refinance_wacls_-113"/>
    <x v="1158"/>
    <n v="-0.32869672727272697"/>
    <n v="1"/>
    <n v="-130"/>
    <n v="780"/>
  </r>
  <r>
    <x v="6"/>
    <s v="conventional_refinance_wacls_-112"/>
    <x v="1159"/>
    <n v="-0.32578781818181801"/>
    <n v="1"/>
    <n v="-130"/>
    <n v="780"/>
  </r>
  <r>
    <x v="6"/>
    <s v="conventional_refinance_wacls_-111"/>
    <x v="1160"/>
    <n v="-0.32287890909090899"/>
    <n v="1"/>
    <n v="-130"/>
    <n v="780"/>
  </r>
  <r>
    <x v="6"/>
    <s v="conventional_refinance_wacls_-110"/>
    <x v="1161"/>
    <n v="-0.31996999999999998"/>
    <n v="1"/>
    <n v="-130"/>
    <n v="780"/>
  </r>
  <r>
    <x v="6"/>
    <s v="conventional_refinance_wacls_-109"/>
    <x v="1162"/>
    <n v="-0.31706109090909101"/>
    <n v="1"/>
    <n v="-130"/>
    <n v="780"/>
  </r>
  <r>
    <x v="6"/>
    <s v="conventional_refinance_wacls_-108"/>
    <x v="1163"/>
    <n v="-0.314152181818182"/>
    <n v="1"/>
    <n v="-130"/>
    <n v="780"/>
  </r>
  <r>
    <x v="6"/>
    <s v="conventional_refinance_wacls_-107"/>
    <x v="1164"/>
    <n v="-0.31124327272727298"/>
    <n v="1"/>
    <n v="-130"/>
    <n v="780"/>
  </r>
  <r>
    <x v="6"/>
    <s v="conventional_refinance_wacls_-106"/>
    <x v="1165"/>
    <n v="-0.30833436363636402"/>
    <n v="1"/>
    <n v="-130"/>
    <n v="780"/>
  </r>
  <r>
    <x v="6"/>
    <s v="conventional_refinance_wacls_-105"/>
    <x v="1166"/>
    <n v="-0.305425454545455"/>
    <n v="1"/>
    <n v="-130"/>
    <n v="780"/>
  </r>
  <r>
    <x v="6"/>
    <s v="conventional_refinance_wacls_-104"/>
    <x v="1167"/>
    <n v="-0.30251654545454498"/>
    <n v="1"/>
    <n v="-130"/>
    <n v="780"/>
  </r>
  <r>
    <x v="6"/>
    <s v="conventional_refinance_wacls_-103"/>
    <x v="1168"/>
    <n v="-0.29960763636363602"/>
    <n v="1"/>
    <n v="-130"/>
    <n v="780"/>
  </r>
  <r>
    <x v="6"/>
    <s v="conventional_refinance_wacls_-102"/>
    <x v="1169"/>
    <n v="-0.296698727272727"/>
    <n v="1"/>
    <n v="-130"/>
    <n v="780"/>
  </r>
  <r>
    <x v="6"/>
    <s v="conventional_refinance_wacls_-101"/>
    <x v="1170"/>
    <n v="-0.29378981818181799"/>
    <n v="1"/>
    <n v="-130"/>
    <n v="780"/>
  </r>
  <r>
    <x v="6"/>
    <s v="conventional_refinance_wacls_-100"/>
    <x v="1171"/>
    <n v="-0.29088090909090902"/>
    <n v="1"/>
    <n v="-130"/>
    <n v="780"/>
  </r>
  <r>
    <x v="6"/>
    <s v="conventional_refinance_wacls_-99"/>
    <x v="1172"/>
    <n v="-0.28797200000000001"/>
    <n v="1"/>
    <n v="-130"/>
    <n v="780"/>
  </r>
  <r>
    <x v="6"/>
    <s v="conventional_refinance_wacls_-98"/>
    <x v="1173"/>
    <n v="-0.28506309090909099"/>
    <n v="1"/>
    <n v="-130"/>
    <n v="780"/>
  </r>
  <r>
    <x v="6"/>
    <s v="conventional_refinance_wacls_-97"/>
    <x v="1174"/>
    <n v="-0.28215418181818203"/>
    <n v="1"/>
    <n v="-130"/>
    <n v="780"/>
  </r>
  <r>
    <x v="6"/>
    <s v="conventional_refinance_wacls_-96"/>
    <x v="1175"/>
    <n v="-0.27924527272727301"/>
    <n v="1"/>
    <n v="-130"/>
    <n v="780"/>
  </r>
  <r>
    <x v="6"/>
    <s v="conventional_refinance_wacls_-95"/>
    <x v="1176"/>
    <n v="-0.27633636363636399"/>
    <n v="1"/>
    <n v="-130"/>
    <n v="780"/>
  </r>
  <r>
    <x v="6"/>
    <s v="conventional_refinance_wacls_-94"/>
    <x v="1177"/>
    <n v="-0.27342745454545497"/>
    <n v="1"/>
    <n v="-130"/>
    <n v="780"/>
  </r>
  <r>
    <x v="6"/>
    <s v="conventional_refinance_wacls_-93"/>
    <x v="1178"/>
    <n v="-0.27051854545454501"/>
    <n v="1"/>
    <n v="-130"/>
    <n v="780"/>
  </r>
  <r>
    <x v="6"/>
    <s v="conventional_refinance_wacls_-92"/>
    <x v="1179"/>
    <n v="-0.26760963636363599"/>
    <n v="1"/>
    <n v="-130"/>
    <n v="780"/>
  </r>
  <r>
    <x v="6"/>
    <s v="conventional_refinance_wacls_-91"/>
    <x v="1180"/>
    <n v="-0.26470072727272698"/>
    <n v="1"/>
    <n v="-130"/>
    <n v="780"/>
  </r>
  <r>
    <x v="6"/>
    <s v="conventional_refinance_wacls_-90"/>
    <x v="1181"/>
    <n v="-0.26179181818181801"/>
    <n v="1"/>
    <n v="-130"/>
    <n v="780"/>
  </r>
  <r>
    <x v="6"/>
    <s v="conventional_refinance_wacls_-89"/>
    <x v="1182"/>
    <n v="-0.258882909090909"/>
    <n v="1"/>
    <n v="-130"/>
    <n v="780"/>
  </r>
  <r>
    <x v="6"/>
    <s v="conventional_refinance_wacls_-88"/>
    <x v="1183"/>
    <n v="-0.25597399999999998"/>
    <n v="1"/>
    <n v="-130"/>
    <n v="780"/>
  </r>
  <r>
    <x v="6"/>
    <s v="conventional_refinance_wacls_-87"/>
    <x v="1184"/>
    <n v="-0.25306509090909102"/>
    <n v="1"/>
    <n v="-130"/>
    <n v="780"/>
  </r>
  <r>
    <x v="6"/>
    <s v="conventional_refinance_wacls_-86"/>
    <x v="1185"/>
    <n v="-0.250156181818182"/>
    <n v="1"/>
    <n v="-130"/>
    <n v="780"/>
  </r>
  <r>
    <x v="6"/>
    <s v="conventional_refinance_wacls_-85"/>
    <x v="1186"/>
    <n v="-0.24724727272727301"/>
    <n v="1"/>
    <n v="-130"/>
    <n v="780"/>
  </r>
  <r>
    <x v="6"/>
    <s v="conventional_refinance_wacls_-84"/>
    <x v="1187"/>
    <n v="-0.24433836363636399"/>
    <n v="1"/>
    <n v="-130"/>
    <n v="780"/>
  </r>
  <r>
    <x v="6"/>
    <s v="conventional_refinance_wacls_-83"/>
    <x v="1188"/>
    <n v="-0.241429454545455"/>
    <n v="1"/>
    <n v="-130"/>
    <n v="780"/>
  </r>
  <r>
    <x v="6"/>
    <s v="conventional_refinance_wacls_-82"/>
    <x v="1189"/>
    <n v="-0.23852054545454501"/>
    <n v="1"/>
    <n v="-130"/>
    <n v="780"/>
  </r>
  <r>
    <x v="6"/>
    <s v="conventional_refinance_wacls_-81"/>
    <x v="1190"/>
    <n v="-0.235611636363636"/>
    <n v="1"/>
    <n v="-130"/>
    <n v="780"/>
  </r>
  <r>
    <x v="6"/>
    <s v="conventional_refinance_wacls_-80"/>
    <x v="1191"/>
    <n v="-0.23270272727272701"/>
    <n v="1"/>
    <n v="-130"/>
    <n v="780"/>
  </r>
  <r>
    <x v="6"/>
    <s v="conventional_refinance_wacls_-79"/>
    <x v="1192"/>
    <n v="-0.22979381818181799"/>
    <n v="1"/>
    <n v="-130"/>
    <n v="780"/>
  </r>
  <r>
    <x v="6"/>
    <s v="conventional_refinance_wacls_-78"/>
    <x v="1193"/>
    <n v="-0.226884909090909"/>
    <n v="1"/>
    <n v="-130"/>
    <n v="780"/>
  </r>
  <r>
    <x v="6"/>
    <s v="conventional_refinance_wacls_-77"/>
    <x v="1194"/>
    <n v="-0.22397600000000001"/>
    <n v="1"/>
    <n v="-130"/>
    <n v="780"/>
  </r>
  <r>
    <x v="6"/>
    <s v="conventional_refinance_wacls_-76"/>
    <x v="1195"/>
    <n v="-0.22106709090909099"/>
    <n v="1"/>
    <n v="-130"/>
    <n v="780"/>
  </r>
  <r>
    <x v="6"/>
    <s v="conventional_refinance_wacls_-75"/>
    <x v="1196"/>
    <n v="-0.218158181818182"/>
    <n v="1"/>
    <n v="-130"/>
    <n v="780"/>
  </r>
  <r>
    <x v="6"/>
    <s v="conventional_refinance_wacls_-74"/>
    <x v="1197"/>
    <n v="-0.21524927272727301"/>
    <n v="1"/>
    <n v="-130"/>
    <n v="780"/>
  </r>
  <r>
    <x v="6"/>
    <s v="conventional_refinance_wacls_-73"/>
    <x v="1198"/>
    <n v="-0.21234036363636399"/>
    <n v="1"/>
    <n v="-130"/>
    <n v="780"/>
  </r>
  <r>
    <x v="6"/>
    <s v="conventional_refinance_wacls_-72"/>
    <x v="1199"/>
    <n v="-0.209431454545455"/>
    <n v="1"/>
    <n v="-130"/>
    <n v="780"/>
  </r>
  <r>
    <x v="6"/>
    <s v="conventional_refinance_wacls_-71"/>
    <x v="1200"/>
    <n v="-0.20652254545454499"/>
    <n v="1"/>
    <n v="-130"/>
    <n v="780"/>
  </r>
  <r>
    <x v="6"/>
    <s v="conventional_refinance_wacls_-70"/>
    <x v="1201"/>
    <n v="-0.203613636363636"/>
    <n v="1"/>
    <n v="-130"/>
    <n v="780"/>
  </r>
  <r>
    <x v="6"/>
    <s v="conventional_refinance_wacls_-69"/>
    <x v="1202"/>
    <n v="-0.20070472727272701"/>
    <n v="1"/>
    <n v="-130"/>
    <n v="780"/>
  </r>
  <r>
    <x v="6"/>
    <s v="conventional_refinance_wacls_-68"/>
    <x v="1203"/>
    <n v="-0.19779581818181799"/>
    <n v="1"/>
    <n v="-130"/>
    <n v="780"/>
  </r>
  <r>
    <x v="6"/>
    <s v="conventional_refinance_wacls_-67"/>
    <x v="1204"/>
    <n v="-0.194886909090909"/>
    <n v="1"/>
    <n v="-130"/>
    <n v="780"/>
  </r>
  <r>
    <x v="6"/>
    <s v="conventional_refinance_wacls_-66"/>
    <x v="1205"/>
    <n v="-0.19197800000000001"/>
    <n v="1"/>
    <n v="-130"/>
    <n v="780"/>
  </r>
  <r>
    <x v="6"/>
    <s v="conventional_refinance_wacls_-65"/>
    <x v="1206"/>
    <n v="-0.18906909090909099"/>
    <n v="1"/>
    <n v="-130"/>
    <n v="780"/>
  </r>
  <r>
    <x v="6"/>
    <s v="conventional_refinance_wacls_-64"/>
    <x v="1207"/>
    <n v="-0.186160181818182"/>
    <n v="1"/>
    <n v="-130"/>
    <n v="780"/>
  </r>
  <r>
    <x v="6"/>
    <s v="conventional_refinance_wacls_-63"/>
    <x v="1208"/>
    <n v="-0.18325127272727301"/>
    <n v="1"/>
    <n v="-130"/>
    <n v="780"/>
  </r>
  <r>
    <x v="6"/>
    <s v="conventional_refinance_wacls_-62"/>
    <x v="1209"/>
    <n v="-0.18034236363636399"/>
    <n v="1"/>
    <n v="-130"/>
    <n v="780"/>
  </r>
  <r>
    <x v="6"/>
    <s v="conventional_refinance_wacls_-61"/>
    <x v="1210"/>
    <n v="-0.177433454545455"/>
    <n v="1"/>
    <n v="-130"/>
    <n v="780"/>
  </r>
  <r>
    <x v="6"/>
    <s v="conventional_refinance_wacls_-60"/>
    <x v="1211"/>
    <n v="-0.17452454545454499"/>
    <n v="1"/>
    <n v="-130"/>
    <n v="780"/>
  </r>
  <r>
    <x v="6"/>
    <s v="conventional_refinance_wacls_-59"/>
    <x v="1212"/>
    <n v="-0.171615636363636"/>
    <n v="1"/>
    <n v="-130"/>
    <n v="780"/>
  </r>
  <r>
    <x v="6"/>
    <s v="conventional_refinance_wacls_-58"/>
    <x v="1213"/>
    <n v="-0.16870672727272701"/>
    <n v="1"/>
    <n v="-130"/>
    <n v="780"/>
  </r>
  <r>
    <x v="6"/>
    <s v="conventional_refinance_wacls_-57"/>
    <x v="1214"/>
    <n v="-0.16579781818181799"/>
    <n v="1"/>
    <n v="-130"/>
    <n v="780"/>
  </r>
  <r>
    <x v="6"/>
    <s v="conventional_refinance_wacls_-56"/>
    <x v="1215"/>
    <n v="-0.162888909090909"/>
    <n v="1"/>
    <n v="-130"/>
    <n v="780"/>
  </r>
  <r>
    <x v="6"/>
    <s v="conventional_refinance_wacls_-55"/>
    <x v="1216"/>
    <n v="-0.15998000000000001"/>
    <n v="1"/>
    <n v="-130"/>
    <n v="780"/>
  </r>
  <r>
    <x v="6"/>
    <s v="conventional_refinance_wacls_-54"/>
    <x v="1217"/>
    <n v="-0.15707109090909099"/>
    <n v="1"/>
    <n v="-130"/>
    <n v="780"/>
  </r>
  <r>
    <x v="6"/>
    <s v="conventional_refinance_wacls_-53"/>
    <x v="1218"/>
    <n v="-0.154162181818182"/>
    <n v="1"/>
    <n v="-130"/>
    <n v="780"/>
  </r>
  <r>
    <x v="6"/>
    <s v="conventional_refinance_wacls_-52"/>
    <x v="1219"/>
    <n v="-0.15125327272727301"/>
    <n v="1"/>
    <n v="-130"/>
    <n v="780"/>
  </r>
  <r>
    <x v="6"/>
    <s v="conventional_refinance_wacls_-51"/>
    <x v="1220"/>
    <n v="-0.148344363636364"/>
    <n v="1"/>
    <n v="-130"/>
    <n v="780"/>
  </r>
  <r>
    <x v="6"/>
    <s v="conventional_refinance_wacls_-50"/>
    <x v="1221"/>
    <n v="-0.14543545454545501"/>
    <n v="1"/>
    <n v="-130"/>
    <n v="780"/>
  </r>
  <r>
    <x v="6"/>
    <s v="conventional_refinance_wacls_-49"/>
    <x v="1222"/>
    <n v="-0.14252654545454499"/>
    <n v="1"/>
    <n v="-130"/>
    <n v="780"/>
  </r>
  <r>
    <x v="6"/>
    <s v="conventional_refinance_wacls_-48"/>
    <x v="1223"/>
    <n v="-0.139617636363636"/>
    <n v="1"/>
    <n v="-130"/>
    <n v="780"/>
  </r>
  <r>
    <x v="6"/>
    <s v="conventional_refinance_wacls_-47"/>
    <x v="1224"/>
    <n v="-0.13670872727272701"/>
    <n v="1"/>
    <n v="-130"/>
    <n v="780"/>
  </r>
  <r>
    <x v="6"/>
    <s v="conventional_refinance_wacls_-46"/>
    <x v="1225"/>
    <n v="-0.13379981818181799"/>
    <n v="1"/>
    <n v="-130"/>
    <n v="780"/>
  </r>
  <r>
    <x v="6"/>
    <s v="conventional_refinance_wacls_-45"/>
    <x v="1226"/>
    <n v="-0.130890909090909"/>
    <n v="1"/>
    <n v="-130"/>
    <n v="780"/>
  </r>
  <r>
    <x v="6"/>
    <s v="conventional_refinance_wacls_-44"/>
    <x v="1227"/>
    <n v="-0.12798200000000001"/>
    <n v="1"/>
    <n v="-130"/>
    <n v="780"/>
  </r>
  <r>
    <x v="6"/>
    <s v="conventional_refinance_wacls_-43"/>
    <x v="1228"/>
    <n v="-0.12507309090909099"/>
    <n v="1"/>
    <n v="-130"/>
    <n v="780"/>
  </r>
  <r>
    <x v="6"/>
    <s v="conventional_refinance_wacls_-42"/>
    <x v="1229"/>
    <n v="-0.122164181818182"/>
    <n v="1"/>
    <n v="-130"/>
    <n v="780"/>
  </r>
  <r>
    <x v="6"/>
    <s v="conventional_refinance_wacls_-41"/>
    <x v="1230"/>
    <n v="-0.119255272727273"/>
    <n v="1"/>
    <n v="-130"/>
    <n v="780"/>
  </r>
  <r>
    <x v="6"/>
    <s v="conventional_refinance_wacls_-40"/>
    <x v="0"/>
    <n v="-0.116346363636364"/>
    <n v="1"/>
    <n v="-130"/>
    <n v="780"/>
  </r>
  <r>
    <x v="6"/>
    <s v="conventional_refinance_wacls_-39"/>
    <x v="1"/>
    <n v="-0.11343745454545499"/>
    <n v="1"/>
    <n v="-130"/>
    <n v="780"/>
  </r>
  <r>
    <x v="6"/>
    <s v="conventional_refinance_wacls_-38"/>
    <x v="2"/>
    <n v="-0.110528545454545"/>
    <n v="1"/>
    <n v="-130"/>
    <n v="780"/>
  </r>
  <r>
    <x v="6"/>
    <s v="conventional_refinance_wacls_-37"/>
    <x v="3"/>
    <n v="-0.107619636363636"/>
    <n v="1"/>
    <n v="-130"/>
    <n v="780"/>
  </r>
  <r>
    <x v="6"/>
    <s v="conventional_refinance_wacls_-36"/>
    <x v="4"/>
    <n v="-0.104710727272727"/>
    <n v="1"/>
    <n v="-130"/>
    <n v="780"/>
  </r>
  <r>
    <x v="6"/>
    <s v="conventional_refinance_wacls_-35"/>
    <x v="5"/>
    <n v="-0.10180181818181799"/>
    <n v="1"/>
    <n v="-130"/>
    <n v="780"/>
  </r>
  <r>
    <x v="6"/>
    <s v="conventional_refinance_wacls_-34"/>
    <x v="6"/>
    <n v="-9.8892909090909101E-2"/>
    <n v="1"/>
    <n v="-130"/>
    <n v="780"/>
  </r>
  <r>
    <x v="6"/>
    <s v="conventional_refinance_wacls_-33"/>
    <x v="7"/>
    <n v="-9.5984E-2"/>
    <n v="1"/>
    <n v="-130"/>
    <n v="780"/>
  </r>
  <r>
    <x v="6"/>
    <s v="conventional_refinance_wacls_-32"/>
    <x v="8"/>
    <n v="-9.3075090909090899E-2"/>
    <n v="1"/>
    <n v="-130"/>
    <n v="780"/>
  </r>
  <r>
    <x v="6"/>
    <s v="conventional_refinance_wacls_-31"/>
    <x v="9"/>
    <n v="-9.0166181818181798E-2"/>
    <n v="1"/>
    <n v="-130"/>
    <n v="780"/>
  </r>
  <r>
    <x v="6"/>
    <s v="conventional_refinance_wacls_-30"/>
    <x v="10"/>
    <n v="-8.7257272727272697E-2"/>
    <n v="1"/>
    <n v="-130"/>
    <n v="780"/>
  </r>
  <r>
    <x v="6"/>
    <s v="conventional_refinance_wacls_-29"/>
    <x v="11"/>
    <n v="-8.4348363636363596E-2"/>
    <n v="1"/>
    <n v="-130"/>
    <n v="780"/>
  </r>
  <r>
    <x v="6"/>
    <s v="conventional_refinance_wacls_-28"/>
    <x v="12"/>
    <n v="-8.1439454545454606E-2"/>
    <n v="1"/>
    <n v="-130"/>
    <n v="780"/>
  </r>
  <r>
    <x v="6"/>
    <s v="conventional_refinance_wacls_-27"/>
    <x v="13"/>
    <n v="-7.8530545454545506E-2"/>
    <n v="1"/>
    <n v="-130"/>
    <n v="780"/>
  </r>
  <r>
    <x v="6"/>
    <s v="conventional_refinance_wacls_-26"/>
    <x v="14"/>
    <n v="-7.5621636363636405E-2"/>
    <n v="1"/>
    <n v="-130"/>
    <n v="780"/>
  </r>
  <r>
    <x v="6"/>
    <s v="conventional_refinance_wacls_-25"/>
    <x v="15"/>
    <n v="-7.2712727272727304E-2"/>
    <n v="1"/>
    <n v="-130"/>
    <n v="780"/>
  </r>
  <r>
    <x v="6"/>
    <s v="conventional_refinance_wacls_-24"/>
    <x v="16"/>
    <n v="-6.9803818181818203E-2"/>
    <n v="1"/>
    <n v="-130"/>
    <n v="780"/>
  </r>
  <r>
    <x v="6"/>
    <s v="conventional_refinance_wacls_-23"/>
    <x v="17"/>
    <n v="-6.6894909090909102E-2"/>
    <n v="1"/>
    <n v="-130"/>
    <n v="780"/>
  </r>
  <r>
    <x v="6"/>
    <s v="conventional_refinance_wacls_-22"/>
    <x v="18"/>
    <n v="-6.3986000000000001E-2"/>
    <n v="1"/>
    <n v="-130"/>
    <n v="780"/>
  </r>
  <r>
    <x v="6"/>
    <s v="conventional_refinance_wacls_-21"/>
    <x v="19"/>
    <n v="-6.10770909090909E-2"/>
    <n v="1"/>
    <n v="-130"/>
    <n v="780"/>
  </r>
  <r>
    <x v="6"/>
    <s v="conventional_refinance_wacls_-20"/>
    <x v="20"/>
    <n v="-5.8168181818181799E-2"/>
    <n v="1"/>
    <n v="-130"/>
    <n v="780"/>
  </r>
  <r>
    <x v="6"/>
    <s v="conventional_refinance_wacls_-19"/>
    <x v="21"/>
    <n v="-5.5259272727272699E-2"/>
    <n v="1"/>
    <n v="-130"/>
    <n v="780"/>
  </r>
  <r>
    <x v="6"/>
    <s v="conventional_refinance_wacls_-18"/>
    <x v="22"/>
    <n v="-5.2350363636363598E-2"/>
    <n v="1"/>
    <n v="-130"/>
    <n v="780"/>
  </r>
  <r>
    <x v="6"/>
    <s v="conventional_refinance_wacls_-17"/>
    <x v="23"/>
    <n v="-4.9441454545454497E-2"/>
    <n v="1"/>
    <n v="-130"/>
    <n v="780"/>
  </r>
  <r>
    <x v="6"/>
    <s v="conventional_refinance_wacls_-16"/>
    <x v="24"/>
    <n v="-4.65325454545455E-2"/>
    <n v="1"/>
    <n v="-130"/>
    <n v="780"/>
  </r>
  <r>
    <x v="6"/>
    <s v="conventional_refinance_wacls_-15"/>
    <x v="25"/>
    <n v="-4.3623636363636399E-2"/>
    <n v="1"/>
    <n v="-130"/>
    <n v="780"/>
  </r>
  <r>
    <x v="6"/>
    <s v="conventional_refinance_wacls_-14"/>
    <x v="26"/>
    <n v="-4.0714727272727298E-2"/>
    <n v="1"/>
    <n v="-130"/>
    <n v="780"/>
  </r>
  <r>
    <x v="6"/>
    <s v="conventional_refinance_wacls_-13"/>
    <x v="27"/>
    <n v="-3.7805818181818197E-2"/>
    <n v="1"/>
    <n v="-130"/>
    <n v="780"/>
  </r>
  <r>
    <x v="6"/>
    <s v="conventional_refinance_wacls_-12"/>
    <x v="28"/>
    <n v="-3.4896909090909103E-2"/>
    <n v="1"/>
    <n v="-130"/>
    <n v="780"/>
  </r>
  <r>
    <x v="6"/>
    <s v="conventional_refinance_wacls_-11"/>
    <x v="29"/>
    <n v="-3.1988000000000003E-2"/>
    <n v="1"/>
    <n v="-130"/>
    <n v="780"/>
  </r>
  <r>
    <x v="6"/>
    <s v="conventional_refinance_wacls_-10"/>
    <x v="30"/>
    <n v="-2.9079090909090902E-2"/>
    <n v="1"/>
    <n v="-130"/>
    <n v="780"/>
  </r>
  <r>
    <x v="6"/>
    <s v="conventional_refinance_wacls_-9"/>
    <x v="31"/>
    <n v="-2.6170181818181801E-2"/>
    <n v="1"/>
    <n v="-130"/>
    <n v="780"/>
  </r>
  <r>
    <x v="6"/>
    <s v="conventional_refinance_wacls_-8"/>
    <x v="32"/>
    <n v="-2.32612727272727E-2"/>
    <n v="1"/>
    <n v="-130"/>
    <n v="780"/>
  </r>
  <r>
    <x v="6"/>
    <s v="conventional_refinance_wacls_-7"/>
    <x v="33"/>
    <n v="-2.0352363636363599E-2"/>
    <n v="1"/>
    <n v="-130"/>
    <n v="780"/>
  </r>
  <r>
    <x v="6"/>
    <s v="conventional_refinance_wacls_-6"/>
    <x v="34"/>
    <n v="-1.7443454545454502E-2"/>
    <n v="1"/>
    <n v="-130"/>
    <n v="780"/>
  </r>
  <r>
    <x v="6"/>
    <s v="conventional_refinance_wacls_-5"/>
    <x v="35"/>
    <n v="-1.45345454545455E-2"/>
    <n v="1"/>
    <n v="-130"/>
    <n v="780"/>
  </r>
  <r>
    <x v="6"/>
    <s v="conventional_refinance_wacls_-4"/>
    <x v="36"/>
    <n v="-1.16256363636364E-2"/>
    <n v="1"/>
    <n v="-130"/>
    <n v="780"/>
  </r>
  <r>
    <x v="6"/>
    <s v="conventional_refinance_wacls_-3"/>
    <x v="37"/>
    <n v="-8.7167272727272701E-3"/>
    <n v="1"/>
    <n v="-130"/>
    <n v="780"/>
  </r>
  <r>
    <x v="6"/>
    <s v="conventional_refinance_wacls_-2"/>
    <x v="38"/>
    <n v="-5.8078181818181796E-3"/>
    <n v="1"/>
    <n v="-130"/>
    <n v="780"/>
  </r>
  <r>
    <x v="6"/>
    <s v="conventional_refinance_wacls_-1"/>
    <x v="39"/>
    <n v="-2.89890909090909E-3"/>
    <n v="1"/>
    <n v="-130"/>
    <n v="780"/>
  </r>
  <r>
    <x v="6"/>
    <s v="conventional_refinance_wacls_0"/>
    <x v="40"/>
    <n v="1.0000000000000001E-5"/>
    <n v="1"/>
    <n v="-130"/>
    <n v="780"/>
  </r>
  <r>
    <x v="6"/>
    <s v="conventional_refinance_wacls_1"/>
    <x v="41"/>
    <n v="2.8734679489105901E-3"/>
    <n v="1"/>
    <n v="-130"/>
    <n v="780"/>
  </r>
  <r>
    <x v="6"/>
    <s v="conventional_refinance_wacls_2"/>
    <x v="42"/>
    <n v="5.6494196243426003E-3"/>
    <n v="1"/>
    <n v="-130"/>
    <n v="780"/>
  </r>
  <r>
    <x v="6"/>
    <s v="conventional_refinance_wacls_3"/>
    <x v="43"/>
    <n v="8.3429040420736292E-3"/>
    <n v="1"/>
    <n v="-130"/>
    <n v="780"/>
  </r>
  <r>
    <x v="6"/>
    <s v="conventional_refinance_wacls_4"/>
    <x v="44"/>
    <n v="1.09589702178813E-2"/>
    <n v="1"/>
    <n v="-130"/>
    <n v="780"/>
  </r>
  <r>
    <x v="6"/>
    <s v="conventional_refinance_wacls_5"/>
    <x v="45"/>
    <n v="1.3502667167543199E-2"/>
    <n v="1"/>
    <n v="-130"/>
    <n v="780"/>
  </r>
  <r>
    <x v="6"/>
    <s v="conventional_refinance_wacls_6"/>
    <x v="46"/>
    <n v="1.5979043906837E-2"/>
    <n v="1"/>
    <n v="-130"/>
    <n v="780"/>
  </r>
  <r>
    <x v="6"/>
    <s v="conventional_refinance_wacls_7"/>
    <x v="47"/>
    <n v="1.8393149451540199E-2"/>
    <n v="1"/>
    <n v="-130"/>
    <n v="780"/>
  </r>
  <r>
    <x v="6"/>
    <s v="conventional_refinance_wacls_8"/>
    <x v="48"/>
    <n v="2.07500328174305E-2"/>
    <n v="1"/>
    <n v="-130"/>
    <n v="780"/>
  </r>
  <r>
    <x v="6"/>
    <s v="conventional_refinance_wacls_9"/>
    <x v="49"/>
    <n v="2.3054743020285502E-2"/>
    <n v="1"/>
    <n v="-130"/>
    <n v="780"/>
  </r>
  <r>
    <x v="6"/>
    <s v="conventional_refinance_wacls_10"/>
    <x v="50"/>
    <n v="2.5312329075882802E-2"/>
    <n v="1"/>
    <n v="-130"/>
    <n v="780"/>
  </r>
  <r>
    <x v="6"/>
    <s v="conventional_refinance_wacls_11"/>
    <x v="51"/>
    <n v="2.7527840000000001E-2"/>
    <n v="1"/>
    <n v="-130"/>
    <n v="780"/>
  </r>
  <r>
    <x v="6"/>
    <s v="conventional_refinance_wacls_12"/>
    <x v="52"/>
    <n v="2.9706324808414699E-2"/>
    <n v="1"/>
    <n v="-130"/>
    <n v="780"/>
  </r>
  <r>
    <x v="6"/>
    <s v="conventional_refinance_wacls_13"/>
    <x v="53"/>
    <n v="3.18528325169046E-2"/>
    <n v="1"/>
    <n v="-130"/>
    <n v="780"/>
  </r>
  <r>
    <x v="6"/>
    <s v="conventional_refinance_wacls_14"/>
    <x v="54"/>
    <n v="3.3972412141247202E-2"/>
    <n v="1"/>
    <n v="-130"/>
    <n v="780"/>
  </r>
  <r>
    <x v="6"/>
    <s v="conventional_refinance_wacls_15"/>
    <x v="55"/>
    <n v="3.6070112697220102E-2"/>
    <n v="1"/>
    <n v="-130"/>
    <n v="780"/>
  </r>
  <r>
    <x v="6"/>
    <s v="conventional_refinance_wacls_16"/>
    <x v="56"/>
    <n v="3.8150983200601001E-2"/>
    <n v="1"/>
    <n v="-130"/>
    <n v="780"/>
  </r>
  <r>
    <x v="6"/>
    <s v="conventional_refinance_wacls_17"/>
    <x v="57"/>
    <n v="4.0220072667167497E-2"/>
    <n v="1"/>
    <n v="-130"/>
    <n v="780"/>
  </r>
  <r>
    <x v="6"/>
    <s v="conventional_refinance_wacls_18"/>
    <x v="58"/>
    <n v="4.2282430112697202E-2"/>
    <n v="1"/>
    <n v="-130"/>
    <n v="780"/>
  </r>
  <r>
    <x v="6"/>
    <s v="conventional_refinance_wacls_19"/>
    <x v="59"/>
    <n v="4.4343104552967701E-2"/>
    <n v="1"/>
    <n v="-130"/>
    <n v="780"/>
  </r>
  <r>
    <x v="6"/>
    <s v="conventional_refinance_wacls_20"/>
    <x v="60"/>
    <n v="4.6407145003756603E-2"/>
    <n v="1"/>
    <n v="-130"/>
    <n v="780"/>
  </r>
  <r>
    <x v="6"/>
    <s v="conventional_refinance_wacls_21"/>
    <x v="61"/>
    <n v="4.8479600480841503E-2"/>
    <n v="1"/>
    <n v="-130"/>
    <n v="780"/>
  </r>
  <r>
    <x v="6"/>
    <s v="conventional_refinance_wacls_22"/>
    <x v="62"/>
    <n v="5.0565520000000003E-2"/>
    <n v="1"/>
    <n v="-130"/>
    <n v="780"/>
  </r>
  <r>
    <x v="6"/>
    <s v="conventional_refinance_wacls_23"/>
    <x v="63"/>
    <n v="5.26699525770098E-2"/>
    <n v="1"/>
    <n v="-130"/>
    <n v="780"/>
  </r>
  <r>
    <x v="6"/>
    <s v="conventional_refinance_wacls_24"/>
    <x v="64"/>
    <n v="5.47979472276484E-2"/>
    <n v="1"/>
    <n v="-130"/>
    <n v="780"/>
  </r>
  <r>
    <x v="6"/>
    <s v="conventional_refinance_wacls_25"/>
    <x v="65"/>
    <n v="5.6954552967693403E-2"/>
    <n v="1"/>
    <n v="-130"/>
    <n v="780"/>
  </r>
  <r>
    <x v="6"/>
    <s v="conventional_refinance_wacls_26"/>
    <x v="66"/>
    <n v="5.9144818812922599E-2"/>
    <n v="1"/>
    <n v="-130"/>
    <n v="780"/>
  </r>
  <r>
    <x v="6"/>
    <s v="conventional_refinance_wacls_27"/>
    <x v="67"/>
    <n v="6.1373793779113402E-2"/>
    <n v="1"/>
    <n v="-130"/>
    <n v="780"/>
  </r>
  <r>
    <x v="6"/>
    <s v="conventional_refinance_wacls_28"/>
    <x v="68"/>
    <n v="6.36465268820436E-2"/>
    <n v="1"/>
    <n v="-130"/>
    <n v="780"/>
  </r>
  <r>
    <x v="6"/>
    <s v="conventional_refinance_wacls_29"/>
    <x v="69"/>
    <n v="6.5968067137490594E-2"/>
    <n v="1"/>
    <n v="-130"/>
    <n v="780"/>
  </r>
  <r>
    <x v="6"/>
    <s v="conventional_refinance_wacls_30"/>
    <x v="70"/>
    <n v="6.8343463561232096E-2"/>
    <n v="1"/>
    <n v="-130"/>
    <n v="780"/>
  </r>
  <r>
    <x v="6"/>
    <s v="conventional_refinance_wacls_31"/>
    <x v="71"/>
    <n v="7.0777765169045798E-2"/>
    <n v="1"/>
    <n v="-130"/>
    <n v="780"/>
  </r>
  <r>
    <x v="6"/>
    <s v="conventional_refinance_wacls_32"/>
    <x v="72"/>
    <n v="7.3276020976709197E-2"/>
    <n v="1"/>
    <n v="-130"/>
    <n v="780"/>
  </r>
  <r>
    <x v="6"/>
    <s v="conventional_refinance_wacls_33"/>
    <x v="73"/>
    <n v="7.5843279999999999E-2"/>
    <n v="1"/>
    <n v="-130"/>
    <n v="780"/>
  </r>
  <r>
    <x v="6"/>
    <s v="conventional_refinance_wacls_34"/>
    <x v="74"/>
    <n v="7.8484591254695701E-2"/>
    <n v="1"/>
    <n v="-130"/>
    <n v="780"/>
  </r>
  <r>
    <x v="6"/>
    <s v="conventional_refinance_wacls_35"/>
    <x v="75"/>
    <n v="8.1205003756573996E-2"/>
    <n v="1"/>
    <n v="-130"/>
    <n v="780"/>
  </r>
  <r>
    <x v="6"/>
    <s v="conventional_refinance_wacls_36"/>
    <x v="76"/>
    <n v="8.4009566521412504E-2"/>
    <n v="1"/>
    <n v="-130"/>
    <n v="780"/>
  </r>
  <r>
    <x v="6"/>
    <s v="conventional_refinance_wacls_37"/>
    <x v="77"/>
    <n v="8.6903328564988697E-2"/>
    <n v="1"/>
    <n v="-130"/>
    <n v="780"/>
  </r>
  <r>
    <x v="6"/>
    <s v="conventional_refinance_wacls_38"/>
    <x v="78"/>
    <n v="8.9891338903080403E-2"/>
    <n v="1"/>
    <n v="-130"/>
    <n v="780"/>
  </r>
  <r>
    <x v="6"/>
    <s v="conventional_refinance_wacls_39"/>
    <x v="79"/>
    <n v="9.2978646551465094E-2"/>
    <n v="1"/>
    <n v="-130"/>
    <n v="780"/>
  </r>
  <r>
    <x v="6"/>
    <s v="conventional_refinance_wacls_40"/>
    <x v="80"/>
    <n v="9.6170300525920405E-2"/>
    <n v="1"/>
    <n v="-130"/>
    <n v="780"/>
  </r>
  <r>
    <x v="6"/>
    <s v="conventional_refinance_wacls_41"/>
    <x v="81"/>
    <n v="9.9471349842223902E-2"/>
    <n v="1"/>
    <n v="-130"/>
    <n v="780"/>
  </r>
  <r>
    <x v="6"/>
    <s v="conventional_refinance_wacls_42"/>
    <x v="82"/>
    <n v="0.102886843516153"/>
    <n v="1"/>
    <n v="-130"/>
    <n v="780"/>
  </r>
  <r>
    <x v="6"/>
    <s v="conventional_refinance_wacls_43"/>
    <x v="83"/>
    <n v="0.106421830563486"/>
    <n v="1"/>
    <n v="-130"/>
    <n v="780"/>
  </r>
  <r>
    <x v="6"/>
    <s v="conventional_refinance_wacls_44"/>
    <x v="84"/>
    <n v="0.11008136"/>
    <n v="1"/>
    <n v="-130"/>
    <n v="780"/>
  </r>
  <r>
    <x v="6"/>
    <s v="conventional_refinance_wacls_45"/>
    <x v="85"/>
    <n v="0.113870480841473"/>
    <n v="1"/>
    <n v="-130"/>
    <n v="780"/>
  </r>
  <r>
    <x v="6"/>
    <s v="conventional_refinance_wacls_46"/>
    <x v="86"/>
    <n v="0.117794242103681"/>
    <n v="1"/>
    <n v="-130"/>
    <n v="780"/>
  </r>
  <r>
    <x v="6"/>
    <s v="conventional_refinance_wacls_47"/>
    <x v="87"/>
    <n v="0.12185769280240399"/>
    <n v="1"/>
    <n v="-130"/>
    <n v="780"/>
  </r>
  <r>
    <x v="6"/>
    <s v="conventional_refinance_wacls_48"/>
    <x v="88"/>
    <n v="0.126065881953418"/>
    <n v="1"/>
    <n v="-130"/>
    <n v="780"/>
  </r>
  <r>
    <x v="6"/>
    <s v="conventional_refinance_wacls_49"/>
    <x v="89"/>
    <n v="0.13042385857250199"/>
    <n v="1"/>
    <n v="-130"/>
    <n v="780"/>
  </r>
  <r>
    <x v="6"/>
    <s v="conventional_refinance_wacls_50"/>
    <x v="90"/>
    <n v="0.134936671675432"/>
    <n v="1"/>
    <n v="-130"/>
    <n v="780"/>
  </r>
  <r>
    <x v="6"/>
    <s v="conventional_refinance_wacls_51"/>
    <x v="91"/>
    <n v="0.13960937027798601"/>
    <n v="1"/>
    <n v="-130"/>
    <n v="780"/>
  </r>
  <r>
    <x v="6"/>
    <s v="conventional_refinance_wacls_52"/>
    <x v="92"/>
    <n v="0.14444700339594299"/>
    <n v="1"/>
    <n v="-130"/>
    <n v="780"/>
  </r>
  <r>
    <x v="6"/>
    <s v="conventional_refinance_wacls_53"/>
    <x v="93"/>
    <n v="0.14945462004507901"/>
    <n v="1"/>
    <n v="-130"/>
    <n v="780"/>
  </r>
  <r>
    <x v="6"/>
    <s v="conventional_refinance_wacls_54"/>
    <x v="94"/>
    <n v="0.15463726924117199"/>
    <n v="1"/>
    <n v="-130"/>
    <n v="780"/>
  </r>
  <r>
    <x v="6"/>
    <s v="conventional_refinance_wacls_55"/>
    <x v="95"/>
    <n v="0.16"/>
    <n v="1"/>
    <n v="-130"/>
    <n v="780"/>
  </r>
  <r>
    <x v="6"/>
    <s v="conventional_refinance_wacls_56"/>
    <x v="96"/>
    <n v="0.16562669956229001"/>
    <n v="1"/>
    <n v="-130"/>
    <n v="780"/>
  </r>
  <r>
    <x v="6"/>
    <s v="conventional_refinance_wacls_57"/>
    <x v="97"/>
    <n v="0.17158583488215501"/>
    <n v="1"/>
    <n v="-130"/>
    <n v="780"/>
  </r>
  <r>
    <x v="6"/>
    <s v="conventional_refinance_wacls_58"/>
    <x v="98"/>
    <n v="0.177859324545455"/>
    <n v="1"/>
    <n v="-130"/>
    <n v="780"/>
  </r>
  <r>
    <x v="6"/>
    <s v="conventional_refinance_wacls_59"/>
    <x v="99"/>
    <n v="0.18442908713804701"/>
    <n v="1"/>
    <n v="-130"/>
    <n v="780"/>
  </r>
  <r>
    <x v="6"/>
    <s v="conventional_refinance_wacls_60"/>
    <x v="100"/>
    <n v="0.19127704124579101"/>
    <n v="1"/>
    <n v="-130"/>
    <n v="780"/>
  </r>
  <r>
    <x v="6"/>
    <s v="conventional_refinance_wacls_61"/>
    <x v="101"/>
    <n v="0.19838510545454499"/>
    <n v="1"/>
    <n v="-130"/>
    <n v="780"/>
  </r>
  <r>
    <x v="6"/>
    <s v="conventional_refinance_wacls_62"/>
    <x v="102"/>
    <n v="0.20573519835016801"/>
    <n v="1"/>
    <n v="-130"/>
    <n v="780"/>
  </r>
  <r>
    <x v="6"/>
    <s v="conventional_refinance_wacls_63"/>
    <x v="103"/>
    <n v="0.21330923851851899"/>
    <n v="1"/>
    <n v="-130"/>
    <n v="780"/>
  </r>
  <r>
    <x v="6"/>
    <s v="conventional_refinance_wacls_64"/>
    <x v="104"/>
    <n v="0.221089144545455"/>
    <n v="1"/>
    <n v="-130"/>
    <n v="780"/>
  </r>
  <r>
    <x v="6"/>
    <s v="conventional_refinance_wacls_65"/>
    <x v="105"/>
    <n v="0.22905683501683499"/>
    <n v="1"/>
    <n v="-130"/>
    <n v="780"/>
  </r>
  <r>
    <x v="6"/>
    <s v="conventional_refinance_wacls_66"/>
    <x v="106"/>
    <n v="0.23719422851851901"/>
    <n v="1"/>
    <n v="-130"/>
    <n v="780"/>
  </r>
  <r>
    <x v="6"/>
    <s v="conventional_refinance_wacls_67"/>
    <x v="107"/>
    <n v="0.24548324363636401"/>
    <n v="1"/>
    <n v="-130"/>
    <n v="780"/>
  </r>
  <r>
    <x v="6"/>
    <s v="conventional_refinance_wacls_68"/>
    <x v="108"/>
    <n v="0.253905798956229"/>
    <n v="1"/>
    <n v="-130"/>
    <n v="780"/>
  </r>
  <r>
    <x v="6"/>
    <s v="conventional_refinance_wacls_69"/>
    <x v="109"/>
    <n v="0.26244381306397302"/>
    <n v="1"/>
    <n v="-130"/>
    <n v="780"/>
  </r>
  <r>
    <x v="6"/>
    <s v="conventional_refinance_wacls_70"/>
    <x v="110"/>
    <n v="0.27107920454545498"/>
    <n v="1"/>
    <n v="-130"/>
    <n v="780"/>
  </r>
  <r>
    <x v="6"/>
    <s v="conventional_refinance_wacls_71"/>
    <x v="111"/>
    <n v="0.27979389198653198"/>
    <n v="1"/>
    <n v="-130"/>
    <n v="780"/>
  </r>
  <r>
    <x v="6"/>
    <s v="conventional_refinance_wacls_72"/>
    <x v="112"/>
    <n v="0.28856979397306398"/>
    <n v="1"/>
    <n v="-130"/>
    <n v="780"/>
  </r>
  <r>
    <x v="6"/>
    <s v="conventional_refinance_wacls_73"/>
    <x v="113"/>
    <n v="0.29738882909090902"/>
    <n v="1"/>
    <n v="-130"/>
    <n v="780"/>
  </r>
  <r>
    <x v="6"/>
    <s v="conventional_refinance_wacls_74"/>
    <x v="114"/>
    <n v="0.306232915925926"/>
    <n v="1"/>
    <n v="-130"/>
    <n v="780"/>
  </r>
  <r>
    <x v="6"/>
    <s v="conventional_refinance_wacls_75"/>
    <x v="115"/>
    <n v="0.31508397306397301"/>
    <n v="1"/>
    <n v="-130"/>
    <n v="780"/>
  </r>
  <r>
    <x v="6"/>
    <s v="conventional_refinance_wacls_76"/>
    <x v="116"/>
    <n v="0.32392391909090901"/>
    <n v="1"/>
    <n v="-130"/>
    <n v="780"/>
  </r>
  <r>
    <x v="6"/>
    <s v="conventional_refinance_wacls_77"/>
    <x v="117"/>
    <n v="0.33273467259259298"/>
    <n v="1"/>
    <n v="-130"/>
    <n v="780"/>
  </r>
  <r>
    <x v="6"/>
    <s v="conventional_refinance_wacls_78"/>
    <x v="118"/>
    <n v="0.341498152154882"/>
    <n v="1"/>
    <n v="-130"/>
    <n v="780"/>
  </r>
  <r>
    <x v="6"/>
    <s v="conventional_refinance_wacls_79"/>
    <x v="119"/>
    <n v="0.35019627636363598"/>
    <n v="1"/>
    <n v="-130"/>
    <n v="780"/>
  </r>
  <r>
    <x v="6"/>
    <s v="conventional_refinance_wacls_80"/>
    <x v="120"/>
    <n v="0.358810963804714"/>
    <n v="1"/>
    <n v="-130"/>
    <n v="780"/>
  </r>
  <r>
    <x v="6"/>
    <s v="conventional_refinance_wacls_81"/>
    <x v="121"/>
    <n v="0.36732413306397299"/>
    <n v="1"/>
    <n v="-130"/>
    <n v="780"/>
  </r>
  <r>
    <x v="6"/>
    <s v="conventional_refinance_wacls_82"/>
    <x v="122"/>
    <n v="0.37571770272727301"/>
    <n v="1"/>
    <n v="-130"/>
    <n v="780"/>
  </r>
  <r>
    <x v="6"/>
    <s v="conventional_refinance_wacls_83"/>
    <x v="123"/>
    <n v="0.38397359138047099"/>
    <n v="1"/>
    <n v="-130"/>
    <n v="780"/>
  </r>
  <r>
    <x v="6"/>
    <s v="conventional_refinance_wacls_84"/>
    <x v="124"/>
    <n v="0.392073717609428"/>
    <n v="1"/>
    <n v="-130"/>
    <n v="780"/>
  </r>
  <r>
    <x v="6"/>
    <s v="conventional_refinance_wacls_85"/>
    <x v="125"/>
    <n v="0.4"/>
    <n v="1"/>
    <n v="-130"/>
    <n v="780"/>
  </r>
  <r>
    <x v="6"/>
    <s v="conventional_refinance_wacls_86"/>
    <x v="126"/>
    <n v="0.40784097354497401"/>
    <n v="1"/>
    <n v="-130"/>
    <n v="780"/>
  </r>
  <r>
    <x v="6"/>
    <s v="conventional_refinance_wacls_87"/>
    <x v="127"/>
    <n v="0.41569540740740701"/>
    <n v="1"/>
    <n v="-130"/>
    <n v="780"/>
  </r>
  <r>
    <x v="6"/>
    <s v="conventional_refinance_wacls_88"/>
    <x v="128"/>
    <n v="0.42356057142857101"/>
    <n v="1"/>
    <n v="-130"/>
    <n v="780"/>
  </r>
  <r>
    <x v="6"/>
    <s v="conventional_refinance_wacls_89"/>
    <x v="129"/>
    <n v="0.43143373544973501"/>
    <n v="1"/>
    <n v="-130"/>
    <n v="780"/>
  </r>
  <r>
    <x v="6"/>
    <s v="conventional_refinance_wacls_90"/>
    <x v="130"/>
    <n v="0.43931216931216899"/>
    <n v="1"/>
    <n v="-130"/>
    <n v="780"/>
  </r>
  <r>
    <x v="6"/>
    <s v="conventional_refinance_wacls_91"/>
    <x v="131"/>
    <n v="0.44719314285714301"/>
    <n v="1"/>
    <n v="-130"/>
    <n v="780"/>
  </r>
  <r>
    <x v="6"/>
    <s v="conventional_refinance_wacls_92"/>
    <x v="132"/>
    <n v="0.45507392592592599"/>
    <n v="1"/>
    <n v="-130"/>
    <n v="780"/>
  </r>
  <r>
    <x v="6"/>
    <s v="conventional_refinance_wacls_93"/>
    <x v="133"/>
    <n v="0.46295178835978801"/>
    <n v="1"/>
    <n v="-130"/>
    <n v="780"/>
  </r>
  <r>
    <x v="6"/>
    <s v="conventional_refinance_wacls_94"/>
    <x v="134"/>
    <n v="0.47082400000000002"/>
    <n v="1"/>
    <n v="-130"/>
    <n v="780"/>
  </r>
  <r>
    <x v="6"/>
    <s v="conventional_refinance_wacls_95"/>
    <x v="135"/>
    <n v="0.478687830687831"/>
    <n v="1"/>
    <n v="-130"/>
    <n v="780"/>
  </r>
  <r>
    <x v="6"/>
    <s v="conventional_refinance_wacls_96"/>
    <x v="136"/>
    <n v="0.48654055026455001"/>
    <n v="1"/>
    <n v="-130"/>
    <n v="780"/>
  </r>
  <r>
    <x v="6"/>
    <s v="conventional_refinance_wacls_97"/>
    <x v="137"/>
    <n v="0.49437942857142902"/>
    <n v="1"/>
    <n v="-130"/>
    <n v="780"/>
  </r>
  <r>
    <x v="6"/>
    <s v="conventional_refinance_wacls_98"/>
    <x v="138"/>
    <n v="0.50220173544973501"/>
    <n v="1"/>
    <n v="-130"/>
    <n v="780"/>
  </r>
  <r>
    <x v="6"/>
    <s v="conventional_refinance_wacls_99"/>
    <x v="139"/>
    <n v="0.51000474074074098"/>
    <n v="1"/>
    <n v="-130"/>
    <n v="780"/>
  </r>
  <r>
    <x v="6"/>
    <s v="conventional_refinance_wacls_100"/>
    <x v="140"/>
    <n v="0.51778571428571396"/>
    <n v="1"/>
    <n v="-130"/>
    <n v="780"/>
  </r>
  <r>
    <x v="6"/>
    <s v="conventional_refinance_wacls_101"/>
    <x v="141"/>
    <n v="0.52554192592592597"/>
    <n v="1"/>
    <n v="-130"/>
    <n v="780"/>
  </r>
  <r>
    <x v="6"/>
    <s v="conventional_refinance_wacls_102"/>
    <x v="142"/>
    <n v="0.53327064550264502"/>
    <n v="1"/>
    <n v="-130"/>
    <n v="780"/>
  </r>
  <r>
    <x v="6"/>
    <s v="conventional_refinance_wacls_103"/>
    <x v="143"/>
    <n v="0.54096914285714304"/>
    <n v="1"/>
    <n v="-130"/>
    <n v="780"/>
  </r>
  <r>
    <x v="6"/>
    <s v="conventional_refinance_wacls_104"/>
    <x v="144"/>
    <n v="0.54863468783068803"/>
    <n v="1"/>
    <n v="-130"/>
    <n v="780"/>
  </r>
  <r>
    <x v="6"/>
    <s v="conventional_refinance_wacls_105"/>
    <x v="145"/>
    <n v="0.55626455026455002"/>
    <n v="1"/>
    <n v="-130"/>
    <n v="780"/>
  </r>
  <r>
    <x v="6"/>
    <s v="conventional_refinance_wacls_106"/>
    <x v="146"/>
    <n v="0.56385600000000002"/>
    <n v="1"/>
    <n v="-130"/>
    <n v="780"/>
  </r>
  <r>
    <x v="6"/>
    <s v="conventional_refinance_wacls_107"/>
    <x v="147"/>
    <n v="0.57140630687830696"/>
    <n v="1"/>
    <n v="-130"/>
    <n v="780"/>
  </r>
  <r>
    <x v="6"/>
    <s v="conventional_refinance_wacls_108"/>
    <x v="148"/>
    <n v="0.57891274074074095"/>
    <n v="1"/>
    <n v="-130"/>
    <n v="780"/>
  </r>
  <r>
    <x v="6"/>
    <s v="conventional_refinance_wacls_109"/>
    <x v="149"/>
    <n v="0.58637257142857102"/>
    <n v="1"/>
    <n v="-130"/>
    <n v="780"/>
  </r>
  <r>
    <x v="6"/>
    <s v="conventional_refinance_wacls_110"/>
    <x v="150"/>
    <n v="0.59378306878306897"/>
    <n v="1"/>
    <n v="-130"/>
    <n v="780"/>
  </r>
  <r>
    <x v="6"/>
    <s v="conventional_refinance_wacls_111"/>
    <x v="151"/>
    <n v="0.60114150264550303"/>
    <n v="1"/>
    <n v="-130"/>
    <n v="780"/>
  </r>
  <r>
    <x v="6"/>
    <s v="conventional_refinance_wacls_112"/>
    <x v="152"/>
    <n v="0.60844514285714302"/>
    <n v="1"/>
    <n v="-130"/>
    <n v="780"/>
  </r>
  <r>
    <x v="6"/>
    <s v="conventional_refinance_wacls_113"/>
    <x v="153"/>
    <n v="0.61569125925925905"/>
    <n v="1"/>
    <n v="-130"/>
    <n v="780"/>
  </r>
  <r>
    <x v="6"/>
    <s v="conventional_refinance_wacls_114"/>
    <x v="154"/>
    <n v="0.62287712169312204"/>
    <n v="1"/>
    <n v="-130"/>
    <n v="780"/>
  </r>
  <r>
    <x v="6"/>
    <s v="conventional_refinance_wacls_115"/>
    <x v="155"/>
    <n v="0.63"/>
    <n v="1"/>
    <n v="-130"/>
    <n v="780"/>
  </r>
  <r>
    <x v="6"/>
    <s v="conventional_refinance_wacls_116"/>
    <x v="156"/>
    <n v="0.63705294616132202"/>
    <n v="1"/>
    <n v="-130"/>
    <n v="780"/>
  </r>
  <r>
    <x v="6"/>
    <s v="conventional_refinance_wacls_117"/>
    <x v="157"/>
    <n v="0.64403331078717196"/>
    <n v="1"/>
    <n v="-130"/>
    <n v="780"/>
  </r>
  <r>
    <x v="6"/>
    <s v="conventional_refinance_wacls_118"/>
    <x v="158"/>
    <n v="0.65094481166180795"/>
    <n v="1"/>
    <n v="-130"/>
    <n v="780"/>
  </r>
  <r>
    <x v="6"/>
    <s v="conventional_refinance_wacls_119"/>
    <x v="159"/>
    <n v="0.657791166569485"/>
    <n v="1"/>
    <n v="-130"/>
    <n v="780"/>
  </r>
  <r>
    <x v="6"/>
    <s v="conventional_refinance_wacls_120"/>
    <x v="160"/>
    <n v="0.66457609329446099"/>
    <n v="1"/>
    <n v="-130"/>
    <n v="780"/>
  </r>
  <r>
    <x v="6"/>
    <s v="conventional_refinance_wacls_121"/>
    <x v="161"/>
    <n v="0.67130330962099105"/>
    <n v="1"/>
    <n v="-130"/>
    <n v="780"/>
  </r>
  <r>
    <x v="6"/>
    <s v="conventional_refinance_wacls_122"/>
    <x v="162"/>
    <n v="0.67797653333333296"/>
    <n v="1"/>
    <n v="-130"/>
    <n v="780"/>
  </r>
  <r>
    <x v="6"/>
    <s v="conventional_refinance_wacls_123"/>
    <x v="163"/>
    <n v="0.68459948221574296"/>
    <n v="1"/>
    <n v="-130"/>
    <n v="780"/>
  </r>
  <r>
    <x v="6"/>
    <s v="conventional_refinance_wacls_124"/>
    <x v="164"/>
    <n v="0.69117587405247805"/>
    <n v="1"/>
    <n v="-130"/>
    <n v="780"/>
  </r>
  <r>
    <x v="6"/>
    <s v="conventional_refinance_wacls_125"/>
    <x v="165"/>
    <n v="0.697709426627794"/>
    <n v="1"/>
    <n v="-130"/>
    <n v="780"/>
  </r>
  <r>
    <x v="6"/>
    <s v="conventional_refinance_wacls_126"/>
    <x v="166"/>
    <n v="0.70420385772594796"/>
    <n v="1"/>
    <n v="-130"/>
    <n v="780"/>
  </r>
  <r>
    <x v="6"/>
    <s v="conventional_refinance_wacls_127"/>
    <x v="167"/>
    <n v="0.71066288513119502"/>
    <n v="1"/>
    <n v="-130"/>
    <n v="780"/>
  </r>
  <r>
    <x v="6"/>
    <s v="conventional_refinance_wacls_128"/>
    <x v="168"/>
    <n v="0.71709022662779398"/>
    <n v="1"/>
    <n v="-130"/>
    <n v="780"/>
  </r>
  <r>
    <x v="6"/>
    <s v="conventional_refinance_wacls_129"/>
    <x v="169"/>
    <n v="0.72348959999999995"/>
    <n v="1"/>
    <n v="-130"/>
    <n v="780"/>
  </r>
  <r>
    <x v="6"/>
    <s v="conventional_refinance_wacls_130"/>
    <x v="170"/>
    <n v="0.72986472303206995"/>
    <n v="1"/>
    <n v="-130"/>
    <n v="780"/>
  </r>
  <r>
    <x v="6"/>
    <s v="conventional_refinance_wacls_131"/>
    <x v="171"/>
    <n v="0.73621931350825998"/>
    <n v="1"/>
    <n v="-130"/>
    <n v="780"/>
  </r>
  <r>
    <x v="6"/>
    <s v="conventional_refinance_wacls_132"/>
    <x v="172"/>
    <n v="0.74255708921282804"/>
    <n v="1"/>
    <n v="-130"/>
    <n v="780"/>
  </r>
  <r>
    <x v="6"/>
    <s v="conventional_refinance_wacls_133"/>
    <x v="173"/>
    <n v="0.74888176793002903"/>
    <n v="1"/>
    <n v="-130"/>
    <n v="780"/>
  </r>
  <r>
    <x v="6"/>
    <s v="conventional_refinance_wacls_134"/>
    <x v="174"/>
    <n v="0.75519706744412096"/>
    <n v="1"/>
    <n v="-130"/>
    <n v="780"/>
  </r>
  <r>
    <x v="6"/>
    <s v="conventional_refinance_wacls_135"/>
    <x v="175"/>
    <n v="0.76150670553935895"/>
    <n v="1"/>
    <n v="-130"/>
    <n v="780"/>
  </r>
  <r>
    <x v="6"/>
    <s v="conventional_refinance_wacls_136"/>
    <x v="176"/>
    <n v="0.76781440000000001"/>
    <n v="1"/>
    <n v="-130"/>
    <n v="780"/>
  </r>
  <r>
    <x v="6"/>
    <s v="conventional_refinance_wacls_137"/>
    <x v="177"/>
    <n v="0.77412386861030102"/>
    <n v="1"/>
    <n v="-130"/>
    <n v="780"/>
  </r>
  <r>
    <x v="6"/>
    <s v="conventional_refinance_wacls_138"/>
    <x v="178"/>
    <n v="0.78043882915451901"/>
    <n v="1"/>
    <n v="-130"/>
    <n v="780"/>
  </r>
  <r>
    <x v="6"/>
    <s v="conventional_refinance_wacls_139"/>
    <x v="179"/>
    <n v="0.78676299941690997"/>
    <n v="1"/>
    <n v="-130"/>
    <n v="780"/>
  </r>
  <r>
    <x v="6"/>
    <s v="conventional_refinance_wacls_140"/>
    <x v="180"/>
    <n v="0.79310009718173002"/>
    <n v="1"/>
    <n v="-130"/>
    <n v="780"/>
  </r>
  <r>
    <x v="6"/>
    <s v="conventional_refinance_wacls_141"/>
    <x v="181"/>
    <n v="0.79945384023323596"/>
    <n v="1"/>
    <n v="-130"/>
    <n v="780"/>
  </r>
  <r>
    <x v="6"/>
    <s v="conventional_refinance_wacls_142"/>
    <x v="182"/>
    <n v="0.805827946355685"/>
    <n v="1"/>
    <n v="-130"/>
    <n v="780"/>
  </r>
  <r>
    <x v="6"/>
    <s v="conventional_refinance_wacls_143"/>
    <x v="183"/>
    <n v="0.81222613333333304"/>
    <n v="1"/>
    <n v="-130"/>
    <n v="780"/>
  </r>
  <r>
    <x v="6"/>
    <s v="conventional_refinance_wacls_144"/>
    <x v="184"/>
    <n v="0.81865211895043699"/>
    <n v="1"/>
    <n v="-130"/>
    <n v="780"/>
  </r>
  <r>
    <x v="6"/>
    <s v="conventional_refinance_wacls_145"/>
    <x v="185"/>
    <n v="0.82510962099125396"/>
    <n v="1"/>
    <n v="-130"/>
    <n v="780"/>
  </r>
  <r>
    <x v="6"/>
    <s v="conventional_refinance_wacls_146"/>
    <x v="186"/>
    <n v="0.83160235724003895"/>
    <n v="1"/>
    <n v="-130"/>
    <n v="780"/>
  </r>
  <r>
    <x v="6"/>
    <s v="conventional_refinance_wacls_147"/>
    <x v="187"/>
    <n v="0.83813404548104897"/>
    <n v="1"/>
    <n v="-130"/>
    <n v="780"/>
  </r>
  <r>
    <x v="6"/>
    <s v="conventional_refinance_wacls_148"/>
    <x v="188"/>
    <n v="0.84470840349854204"/>
    <n v="1"/>
    <n v="-130"/>
    <n v="780"/>
  </r>
  <r>
    <x v="6"/>
    <s v="conventional_refinance_wacls_149"/>
    <x v="189"/>
    <n v="0.85132914907677404"/>
    <n v="1"/>
    <n v="-130"/>
    <n v="780"/>
  </r>
  <r>
    <x v="6"/>
    <s v="conventional_refinance_wacls_150"/>
    <x v="190"/>
    <n v="0.85799999999999998"/>
    <n v="1"/>
    <n v="-130"/>
    <n v="780"/>
  </r>
  <r>
    <x v="6"/>
    <s v="conventional_refinance_wacls_151"/>
    <x v="191"/>
    <n v="0.86475141485714302"/>
    <n v="1"/>
    <n v="-130"/>
    <n v="780"/>
  </r>
  <r>
    <x v="6"/>
    <s v="conventional_refinance_wacls_152"/>
    <x v="192"/>
    <n v="0.87160354742857105"/>
    <n v="1"/>
    <n v="-130"/>
    <n v="780"/>
  </r>
  <r>
    <x v="6"/>
    <s v="conventional_refinance_wacls_153"/>
    <x v="193"/>
    <n v="0.87854465828571404"/>
    <n v="1"/>
    <n v="-130"/>
    <n v="780"/>
  </r>
  <r>
    <x v="6"/>
    <s v="conventional_refinance_wacls_154"/>
    <x v="194"/>
    <n v="0.88556300799999998"/>
    <n v="1"/>
    <n v="-130"/>
    <n v="780"/>
  </r>
  <r>
    <x v="6"/>
    <s v="conventional_refinance_wacls_155"/>
    <x v="195"/>
    <n v="0.89264685714285696"/>
    <n v="1"/>
    <n v="-130"/>
    <n v="780"/>
  </r>
  <r>
    <x v="6"/>
    <s v="conventional_refinance_wacls_156"/>
    <x v="196"/>
    <n v="0.89978446628571396"/>
    <n v="1"/>
    <n v="-130"/>
    <n v="780"/>
  </r>
  <r>
    <x v="6"/>
    <s v="conventional_refinance_wacls_157"/>
    <x v="197"/>
    <n v="0.90696409600000005"/>
    <n v="1"/>
    <n v="-130"/>
    <n v="780"/>
  </r>
  <r>
    <x v="6"/>
    <s v="conventional_refinance_wacls_158"/>
    <x v="198"/>
    <n v="0.91417400685714301"/>
    <n v="1"/>
    <n v="-130"/>
    <n v="780"/>
  </r>
  <r>
    <x v="6"/>
    <s v="conventional_refinance_wacls_159"/>
    <x v="199"/>
    <n v="0.92140245942857102"/>
    <n v="1"/>
    <n v="-130"/>
    <n v="780"/>
  </r>
  <r>
    <x v="6"/>
    <s v="conventional_refinance_wacls_160"/>
    <x v="200"/>
    <n v="0.92863771428571396"/>
    <n v="1"/>
    <n v="-130"/>
    <n v="780"/>
  </r>
  <r>
    <x v="6"/>
    <s v="conventional_refinance_wacls_161"/>
    <x v="201"/>
    <n v="0.93586803200000002"/>
    <n v="1"/>
    <n v="-130"/>
    <n v="780"/>
  </r>
  <r>
    <x v="6"/>
    <s v="conventional_refinance_wacls_162"/>
    <x v="202"/>
    <n v="0.94308167314285696"/>
    <n v="1"/>
    <n v="-130"/>
    <n v="780"/>
  </r>
  <r>
    <x v="6"/>
    <s v="conventional_refinance_wacls_163"/>
    <x v="203"/>
    <n v="0.95026689828571398"/>
    <n v="1"/>
    <n v="-130"/>
    <n v="780"/>
  </r>
  <r>
    <x v="6"/>
    <s v="conventional_refinance_wacls_164"/>
    <x v="204"/>
    <n v="0.95741196799999995"/>
    <n v="1"/>
    <n v="-130"/>
    <n v="780"/>
  </r>
  <r>
    <x v="6"/>
    <s v="conventional_refinance_wacls_165"/>
    <x v="205"/>
    <n v="0.96450514285714295"/>
    <n v="1"/>
    <n v="-130"/>
    <n v="780"/>
  </r>
  <r>
    <x v="6"/>
    <s v="conventional_refinance_wacls_166"/>
    <x v="206"/>
    <n v="0.97153468342857197"/>
    <n v="1"/>
    <n v="-130"/>
    <n v="780"/>
  </r>
  <r>
    <x v="6"/>
    <s v="conventional_refinance_wacls_167"/>
    <x v="207"/>
    <n v="0.97848885028571397"/>
    <n v="1"/>
    <n v="-130"/>
    <n v="780"/>
  </r>
  <r>
    <x v="6"/>
    <s v="conventional_refinance_wacls_168"/>
    <x v="208"/>
    <n v="0.98535590399999995"/>
    <n v="1"/>
    <n v="-130"/>
    <n v="780"/>
  </r>
  <r>
    <x v="6"/>
    <s v="conventional_refinance_wacls_169"/>
    <x v="209"/>
    <n v="0.99212410514285698"/>
    <n v="1"/>
    <n v="-130"/>
    <n v="780"/>
  </r>
  <r>
    <x v="6"/>
    <s v="conventional_refinance_wacls_170"/>
    <x v="210"/>
    <n v="0.99878171428571405"/>
    <n v="1"/>
    <n v="-130"/>
    <n v="780"/>
  </r>
  <r>
    <x v="6"/>
    <s v="conventional_refinance_wacls_171"/>
    <x v="211"/>
    <n v="1.005316992"/>
    <n v="1"/>
    <n v="-130"/>
    <n v="780"/>
  </r>
  <r>
    <x v="6"/>
    <s v="conventional_refinance_wacls_172"/>
    <x v="212"/>
    <n v="1.01171819885714"/>
    <n v="1"/>
    <n v="-130"/>
    <n v="780"/>
  </r>
  <r>
    <x v="6"/>
    <s v="conventional_refinance_wacls_173"/>
    <x v="213"/>
    <n v="1.01797359542857"/>
    <n v="1"/>
    <n v="-130"/>
    <n v="780"/>
  </r>
  <r>
    <x v="6"/>
    <s v="conventional_refinance_wacls_174"/>
    <x v="214"/>
    <n v="1.02407144228571"/>
    <n v="1"/>
    <n v="-130"/>
    <n v="780"/>
  </r>
  <r>
    <x v="6"/>
    <s v="conventional_refinance_wacls_175"/>
    <x v="215"/>
    <n v="1.03"/>
    <n v="1"/>
    <n v="-130"/>
    <n v="780"/>
  </r>
  <r>
    <x v="6"/>
    <s v="conventional_refinance_wacls_176"/>
    <x v="216"/>
    <n v="1.035793024"/>
    <n v="1"/>
    <n v="-130"/>
    <n v="780"/>
  </r>
  <r>
    <x v="6"/>
    <s v="conventional_refinance_wacls_177"/>
    <x v="217"/>
    <n v="1.041492992"/>
    <n v="1"/>
    <n v="-130"/>
    <n v="780"/>
  </r>
  <r>
    <x v="6"/>
    <s v="conventional_refinance_wacls_178"/>
    <x v="218"/>
    <n v="1.0471012479999999"/>
    <n v="1"/>
    <n v="-130"/>
    <n v="780"/>
  </r>
  <r>
    <x v="6"/>
    <s v="conventional_refinance_wacls_179"/>
    <x v="219"/>
    <n v="1.0526191359999999"/>
    <n v="1"/>
    <n v="-130"/>
    <n v="780"/>
  </r>
  <r>
    <x v="6"/>
    <s v="conventional_refinance_wacls_180"/>
    <x v="220"/>
    <n v="1.0580480000000001"/>
    <n v="1"/>
    <n v="-130"/>
    <n v="780"/>
  </r>
  <r>
    <x v="6"/>
    <s v="conventional_refinance_wacls_181"/>
    <x v="221"/>
    <n v="1.063389184"/>
    <n v="1"/>
    <n v="-130"/>
    <n v="780"/>
  </r>
  <r>
    <x v="6"/>
    <s v="conventional_refinance_wacls_182"/>
    <x v="222"/>
    <n v="1.0686440319999999"/>
    <n v="1"/>
    <n v="-130"/>
    <n v="780"/>
  </r>
  <r>
    <x v="6"/>
    <s v="conventional_refinance_wacls_183"/>
    <x v="223"/>
    <n v="1.0738138880000001"/>
    <n v="1"/>
    <n v="-130"/>
    <n v="780"/>
  </r>
  <r>
    <x v="6"/>
    <s v="conventional_refinance_wacls_184"/>
    <x v="224"/>
    <n v="1.0789000959999999"/>
    <n v="1"/>
    <n v="-130"/>
    <n v="780"/>
  </r>
  <r>
    <x v="6"/>
    <s v="conventional_refinance_wacls_185"/>
    <x v="225"/>
    <n v="1.083904"/>
    <n v="1"/>
    <n v="-130"/>
    <n v="780"/>
  </r>
  <r>
    <x v="6"/>
    <s v="conventional_refinance_wacls_186"/>
    <x v="226"/>
    <n v="1.088826944"/>
    <n v="1"/>
    <n v="-130"/>
    <n v="780"/>
  </r>
  <r>
    <x v="6"/>
    <s v="conventional_refinance_wacls_187"/>
    <x v="227"/>
    <n v="1.093670272"/>
    <n v="1"/>
    <n v="-130"/>
    <n v="780"/>
  </r>
  <r>
    <x v="6"/>
    <s v="conventional_refinance_wacls_188"/>
    <x v="228"/>
    <n v="1.0984353280000001"/>
    <n v="1"/>
    <n v="-130"/>
    <n v="780"/>
  </r>
  <r>
    <x v="6"/>
    <s v="conventional_refinance_wacls_189"/>
    <x v="229"/>
    <n v="1.1031234560000001"/>
    <n v="1"/>
    <n v="-130"/>
    <n v="780"/>
  </r>
  <r>
    <x v="6"/>
    <s v="conventional_refinance_wacls_190"/>
    <x v="230"/>
    <n v="1.1077360000000001"/>
    <n v="1"/>
    <n v="-130"/>
    <n v="780"/>
  </r>
  <r>
    <x v="6"/>
    <s v="conventional_refinance_wacls_191"/>
    <x v="231"/>
    <n v="1.112274304"/>
    <n v="1"/>
    <n v="-130"/>
    <n v="780"/>
  </r>
  <r>
    <x v="6"/>
    <s v="conventional_refinance_wacls_192"/>
    <x v="232"/>
    <n v="1.116739712"/>
    <n v="1"/>
    <n v="-130"/>
    <n v="780"/>
  </r>
  <r>
    <x v="6"/>
    <s v="conventional_refinance_wacls_193"/>
    <x v="233"/>
    <n v="1.1211335680000001"/>
    <n v="1"/>
    <n v="-130"/>
    <n v="780"/>
  </r>
  <r>
    <x v="6"/>
    <s v="conventional_refinance_wacls_194"/>
    <x v="234"/>
    <n v="1.125457216"/>
    <n v="1"/>
    <n v="-130"/>
    <n v="780"/>
  </r>
  <r>
    <x v="6"/>
    <s v="conventional_refinance_wacls_195"/>
    <x v="235"/>
    <n v="1.129712"/>
    <n v="1"/>
    <n v="-130"/>
    <n v="780"/>
  </r>
  <r>
    <x v="6"/>
    <s v="conventional_refinance_wacls_196"/>
    <x v="236"/>
    <n v="1.1338992640000001"/>
    <n v="1"/>
    <n v="-130"/>
    <n v="780"/>
  </r>
  <r>
    <x v="6"/>
    <s v="conventional_refinance_wacls_197"/>
    <x v="237"/>
    <n v="1.1380203520000001"/>
    <n v="1"/>
    <n v="-130"/>
    <n v="780"/>
  </r>
  <r>
    <x v="6"/>
    <s v="conventional_refinance_wacls_198"/>
    <x v="238"/>
    <n v="1.142076608"/>
    <n v="1"/>
    <n v="-130"/>
    <n v="780"/>
  </r>
  <r>
    <x v="6"/>
    <s v="conventional_refinance_wacls_199"/>
    <x v="239"/>
    <n v="1.146069376"/>
    <n v="1"/>
    <n v="-130"/>
    <n v="780"/>
  </r>
  <r>
    <x v="6"/>
    <s v="conventional_refinance_wacls_200"/>
    <x v="240"/>
    <n v="1.1499999999999999"/>
    <n v="1"/>
    <n v="-130"/>
    <n v="780"/>
  </r>
  <r>
    <x v="6"/>
    <s v="conventional_refinance_wacls_201"/>
    <x v="241"/>
    <n v="1.1538622432000001"/>
    <n v="1"/>
    <n v="-130"/>
    <n v="780"/>
  </r>
  <r>
    <x v="6"/>
    <s v="conventional_refinance_wacls_202"/>
    <x v="242"/>
    <n v="1.1576505855999999"/>
    <n v="1"/>
    <n v="-130"/>
    <n v="780"/>
  </r>
  <r>
    <x v="6"/>
    <s v="conventional_refinance_wacls_203"/>
    <x v="243"/>
    <n v="1.1613674463999999"/>
    <n v="1"/>
    <n v="-130"/>
    <n v="780"/>
  </r>
  <r>
    <x v="6"/>
    <s v="conventional_refinance_wacls_204"/>
    <x v="244"/>
    <n v="1.1650152448"/>
    <n v="1"/>
    <n v="-130"/>
    <n v="780"/>
  </r>
  <r>
    <x v="6"/>
    <s v="conventional_refinance_wacls_205"/>
    <x v="245"/>
    <n v="1.1685964"/>
    <n v="1"/>
    <n v="-130"/>
    <n v="780"/>
  </r>
  <r>
    <x v="6"/>
    <s v="conventional_refinance_wacls_206"/>
    <x v="246"/>
    <n v="1.1721133312000001"/>
    <n v="1"/>
    <n v="-130"/>
    <n v="780"/>
  </r>
  <r>
    <x v="6"/>
    <s v="conventional_refinance_wacls_207"/>
    <x v="247"/>
    <n v="1.1755684576000001"/>
    <n v="1"/>
    <n v="-130"/>
    <n v="780"/>
  </r>
  <r>
    <x v="6"/>
    <s v="conventional_refinance_wacls_208"/>
    <x v="248"/>
    <n v="1.1789641984000001"/>
    <n v="1"/>
    <n v="-130"/>
    <n v="780"/>
  </r>
  <r>
    <x v="6"/>
    <s v="conventional_refinance_wacls_209"/>
    <x v="249"/>
    <n v="1.1823029728000001"/>
    <n v="1"/>
    <n v="-130"/>
    <n v="780"/>
  </r>
  <r>
    <x v="6"/>
    <s v="conventional_refinance_wacls_210"/>
    <x v="250"/>
    <n v="1.1855872000000001"/>
    <n v="1"/>
    <n v="-130"/>
    <n v="780"/>
  </r>
  <r>
    <x v="6"/>
    <s v="conventional_refinance_wacls_211"/>
    <x v="251"/>
    <n v="1.1888192992"/>
    <n v="1"/>
    <n v="-130"/>
    <n v="780"/>
  </r>
  <r>
    <x v="6"/>
    <s v="conventional_refinance_wacls_212"/>
    <x v="252"/>
    <n v="1.1920016896000001"/>
    <n v="1"/>
    <n v="-130"/>
    <n v="780"/>
  </r>
  <r>
    <x v="6"/>
    <s v="conventional_refinance_wacls_213"/>
    <x v="253"/>
    <n v="1.1951367904000001"/>
    <n v="1"/>
    <n v="-130"/>
    <n v="780"/>
  </r>
  <r>
    <x v="6"/>
    <s v="conventional_refinance_wacls_214"/>
    <x v="254"/>
    <n v="1.1982270208000001"/>
    <n v="1"/>
    <n v="-130"/>
    <n v="780"/>
  </r>
  <r>
    <x v="6"/>
    <s v="conventional_refinance_wacls_215"/>
    <x v="255"/>
    <n v="1.2012748"/>
    <n v="1"/>
    <n v="-130"/>
    <n v="780"/>
  </r>
  <r>
    <x v="6"/>
    <s v="conventional_refinance_wacls_216"/>
    <x v="256"/>
    <n v="1.2042825472000001"/>
    <n v="1"/>
    <n v="-130"/>
    <n v="780"/>
  </r>
  <r>
    <x v="6"/>
    <s v="conventional_refinance_wacls_217"/>
    <x v="257"/>
    <n v="1.2072526816"/>
    <n v="1"/>
    <n v="-130"/>
    <n v="780"/>
  </r>
  <r>
    <x v="6"/>
    <s v="conventional_refinance_wacls_218"/>
    <x v="258"/>
    <n v="1.2101876224000001"/>
    <n v="1"/>
    <n v="-130"/>
    <n v="780"/>
  </r>
  <r>
    <x v="6"/>
    <s v="conventional_refinance_wacls_219"/>
    <x v="259"/>
    <n v="1.2130897888000001"/>
    <n v="1"/>
    <n v="-130"/>
    <n v="780"/>
  </r>
  <r>
    <x v="6"/>
    <s v="conventional_refinance_wacls_220"/>
    <x v="260"/>
    <n v="1.2159616"/>
    <n v="1"/>
    <n v="-130"/>
    <n v="780"/>
  </r>
  <r>
    <x v="6"/>
    <s v="conventional_refinance_wacls_221"/>
    <x v="261"/>
    <n v="1.2188054751999999"/>
    <n v="1"/>
    <n v="-130"/>
    <n v="780"/>
  </r>
  <r>
    <x v="6"/>
    <s v="conventional_refinance_wacls_222"/>
    <x v="262"/>
    <n v="1.2216238336"/>
    <n v="1"/>
    <n v="-130"/>
    <n v="780"/>
  </r>
  <r>
    <x v="6"/>
    <s v="conventional_refinance_wacls_223"/>
    <x v="263"/>
    <n v="1.2244190944"/>
    <n v="1"/>
    <n v="-130"/>
    <n v="780"/>
  </r>
  <r>
    <x v="6"/>
    <s v="conventional_refinance_wacls_224"/>
    <x v="264"/>
    <n v="1.2271936768"/>
    <n v="1"/>
    <n v="-130"/>
    <n v="780"/>
  </r>
  <r>
    <x v="6"/>
    <s v="conventional_refinance_wacls_225"/>
    <x v="265"/>
    <n v="1.2299500000000001"/>
    <n v="1"/>
    <n v="-130"/>
    <n v="780"/>
  </r>
  <r>
    <x v="6"/>
    <s v="conventional_refinance_wacls_226"/>
    <x v="266"/>
    <n v="1.2326904832000001"/>
    <n v="1"/>
    <n v="-130"/>
    <n v="780"/>
  </r>
  <r>
    <x v="6"/>
    <s v="conventional_refinance_wacls_227"/>
    <x v="267"/>
    <n v="1.2354175456000001"/>
    <n v="1"/>
    <n v="-130"/>
    <n v="780"/>
  </r>
  <r>
    <x v="6"/>
    <s v="conventional_refinance_wacls_228"/>
    <x v="268"/>
    <n v="1.2381336063999999"/>
    <n v="1"/>
    <n v="-130"/>
    <n v="780"/>
  </r>
  <r>
    <x v="6"/>
    <s v="conventional_refinance_wacls_229"/>
    <x v="269"/>
    <n v="1.2408410848"/>
    <n v="1"/>
    <n v="-130"/>
    <n v="780"/>
  </r>
  <r>
    <x v="6"/>
    <s v="conventional_refinance_wacls_230"/>
    <x v="270"/>
    <n v="1.2435423999999999"/>
    <n v="1"/>
    <n v="-130"/>
    <n v="780"/>
  </r>
  <r>
    <x v="6"/>
    <s v="conventional_refinance_wacls_231"/>
    <x v="271"/>
    <n v="1.2462399712000001"/>
    <n v="1"/>
    <n v="-130"/>
    <n v="780"/>
  </r>
  <r>
    <x v="6"/>
    <s v="conventional_refinance_wacls_232"/>
    <x v="272"/>
    <n v="1.2489362176000001"/>
    <n v="1"/>
    <n v="-130"/>
    <n v="780"/>
  </r>
  <r>
    <x v="6"/>
    <s v="conventional_refinance_wacls_233"/>
    <x v="273"/>
    <n v="1.2516335584"/>
    <n v="1"/>
    <n v="-130"/>
    <n v="780"/>
  </r>
  <r>
    <x v="6"/>
    <s v="conventional_refinance_wacls_234"/>
    <x v="274"/>
    <n v="1.2543344128"/>
    <n v="1"/>
    <n v="-130"/>
    <n v="780"/>
  </r>
  <r>
    <x v="6"/>
    <s v="conventional_refinance_wacls_235"/>
    <x v="275"/>
    <n v="1.2570412"/>
    <n v="1"/>
    <n v="-130"/>
    <n v="780"/>
  </r>
  <r>
    <x v="6"/>
    <s v="conventional_refinance_wacls_236"/>
    <x v="276"/>
    <n v="1.2597563392"/>
    <n v="1"/>
    <n v="-130"/>
    <n v="780"/>
  </r>
  <r>
    <x v="6"/>
    <s v="conventional_refinance_wacls_237"/>
    <x v="277"/>
    <n v="1.2624822496000001"/>
    <n v="1"/>
    <n v="-130"/>
    <n v="780"/>
  </r>
  <r>
    <x v="6"/>
    <s v="conventional_refinance_wacls_238"/>
    <x v="278"/>
    <n v="1.2652213504000001"/>
    <n v="1"/>
    <n v="-130"/>
    <n v="780"/>
  </r>
  <r>
    <x v="6"/>
    <s v="conventional_refinance_wacls_239"/>
    <x v="279"/>
    <n v="1.2679760607999999"/>
    <n v="1"/>
    <n v="-130"/>
    <n v="780"/>
  </r>
  <r>
    <x v="6"/>
    <s v="conventional_refinance_wacls_240"/>
    <x v="280"/>
    <n v="1.2707488"/>
    <n v="1"/>
    <n v="-130"/>
    <n v="780"/>
  </r>
  <r>
    <x v="6"/>
    <s v="conventional_refinance_wacls_241"/>
    <x v="281"/>
    <n v="1.2735419872"/>
    <n v="1"/>
    <n v="-130"/>
    <n v="780"/>
  </r>
  <r>
    <x v="6"/>
    <s v="conventional_refinance_wacls_242"/>
    <x v="282"/>
    <n v="1.2763580416"/>
    <n v="1"/>
    <n v="-130"/>
    <n v="780"/>
  </r>
  <r>
    <x v="6"/>
    <s v="conventional_refinance_wacls_243"/>
    <x v="283"/>
    <n v="1.2791993824000001"/>
    <n v="1"/>
    <n v="-130"/>
    <n v="780"/>
  </r>
  <r>
    <x v="6"/>
    <s v="conventional_refinance_wacls_244"/>
    <x v="284"/>
    <n v="1.2820684287999999"/>
    <n v="1"/>
    <n v="-130"/>
    <n v="780"/>
  </r>
  <r>
    <x v="6"/>
    <s v="conventional_refinance_wacls_245"/>
    <x v="285"/>
    <n v="1.2849676000000001"/>
    <n v="1"/>
    <n v="-130"/>
    <n v="780"/>
  </r>
  <r>
    <x v="6"/>
    <s v="conventional_refinance_wacls_246"/>
    <x v="286"/>
    <n v="1.2878993152"/>
    <n v="1"/>
    <n v="-130"/>
    <n v="780"/>
  </r>
  <r>
    <x v="6"/>
    <s v="conventional_refinance_wacls_247"/>
    <x v="287"/>
    <n v="1.2908659936"/>
    <n v="1"/>
    <n v="-130"/>
    <n v="780"/>
  </r>
  <r>
    <x v="6"/>
    <s v="conventional_refinance_wacls_248"/>
    <x v="288"/>
    <n v="1.2938700543999999"/>
    <n v="1"/>
    <n v="-130"/>
    <n v="780"/>
  </r>
  <r>
    <x v="6"/>
    <s v="conventional_refinance_wacls_249"/>
    <x v="289"/>
    <n v="1.2969139167999999"/>
    <n v="1"/>
    <n v="-130"/>
    <n v="780"/>
  </r>
  <r>
    <x v="6"/>
    <s v="conventional_refinance_wacls_250"/>
    <x v="290"/>
    <n v="1.3"/>
    <n v="1"/>
    <n v="-130"/>
    <n v="780"/>
  </r>
  <r>
    <x v="6"/>
    <s v="conventional_refinance_wacls_251"/>
    <x v="291"/>
    <n v="1.3031107051519999"/>
    <n v="1"/>
    <n v="-130"/>
    <n v="780"/>
  </r>
  <r>
    <x v="6"/>
    <s v="conventional_refinance_wacls_252"/>
    <x v="292"/>
    <n v="1.3062267612159999"/>
    <n v="1"/>
    <n v="-130"/>
    <n v="780"/>
  </r>
  <r>
    <x v="6"/>
    <s v="conventional_refinance_wacls_253"/>
    <x v="293"/>
    <n v="1.309348079104"/>
    <n v="1"/>
    <n v="-130"/>
    <n v="780"/>
  </r>
  <r>
    <x v="6"/>
    <s v="conventional_refinance_wacls_254"/>
    <x v="294"/>
    <n v="1.312474569728"/>
    <n v="1"/>
    <n v="-130"/>
    <n v="780"/>
  </r>
  <r>
    <x v="6"/>
    <s v="conventional_refinance_wacls_255"/>
    <x v="295"/>
    <n v="1.315606144"/>
    <n v="1"/>
    <n v="-130"/>
    <n v="780"/>
  </r>
  <r>
    <x v="6"/>
    <s v="conventional_refinance_wacls_256"/>
    <x v="296"/>
    <n v="1.318742712832"/>
    <n v="1"/>
    <n v="-130"/>
    <n v="780"/>
  </r>
  <r>
    <x v="6"/>
    <s v="conventional_refinance_wacls_257"/>
    <x v="297"/>
    <n v="1.3218841871360001"/>
    <n v="1"/>
    <n v="-130"/>
    <n v="780"/>
  </r>
  <r>
    <x v="6"/>
    <s v="conventional_refinance_wacls_258"/>
    <x v="298"/>
    <n v="1.3250304778240001"/>
    <n v="1"/>
    <n v="-130"/>
    <n v="780"/>
  </r>
  <r>
    <x v="6"/>
    <s v="conventional_refinance_wacls_259"/>
    <x v="299"/>
    <n v="1.328181495808"/>
    <n v="1"/>
    <n v="-130"/>
    <n v="780"/>
  </r>
  <r>
    <x v="6"/>
    <s v="conventional_refinance_wacls_260"/>
    <x v="300"/>
    <n v="1.3313371519999999"/>
    <n v="1"/>
    <n v="-130"/>
    <n v="780"/>
  </r>
  <r>
    <x v="6"/>
    <s v="conventional_refinance_wacls_261"/>
    <x v="301"/>
    <n v="1.334497357312"/>
    <n v="1"/>
    <n v="-130"/>
    <n v="780"/>
  </r>
  <r>
    <x v="6"/>
    <s v="conventional_refinance_wacls_262"/>
    <x v="302"/>
    <n v="1.3376620226560001"/>
    <n v="1"/>
    <n v="-130"/>
    <n v="780"/>
  </r>
  <r>
    <x v="6"/>
    <s v="conventional_refinance_wacls_263"/>
    <x v="303"/>
    <n v="1.340831058944"/>
    <n v="1"/>
    <n v="-130"/>
    <n v="780"/>
  </r>
  <r>
    <x v="6"/>
    <s v="conventional_refinance_wacls_264"/>
    <x v="304"/>
    <n v="1.3440043770879999"/>
    <n v="1"/>
    <n v="-130"/>
    <n v="780"/>
  </r>
  <r>
    <x v="6"/>
    <s v="conventional_refinance_wacls_265"/>
    <x v="305"/>
    <n v="1.3471818879999999"/>
    <n v="1"/>
    <n v="-130"/>
    <n v="780"/>
  </r>
  <r>
    <x v="6"/>
    <s v="conventional_refinance_wacls_266"/>
    <x v="306"/>
    <n v="1.350363502592"/>
    <n v="1"/>
    <n v="-130"/>
    <n v="780"/>
  </r>
  <r>
    <x v="6"/>
    <s v="conventional_refinance_wacls_267"/>
    <x v="307"/>
    <n v="1.353549131776"/>
    <n v="1"/>
    <n v="-130"/>
    <n v="780"/>
  </r>
  <r>
    <x v="6"/>
    <s v="conventional_refinance_wacls_268"/>
    <x v="308"/>
    <n v="1.3567386864640001"/>
    <n v="1"/>
    <n v="-130"/>
    <n v="780"/>
  </r>
  <r>
    <x v="6"/>
    <s v="conventional_refinance_wacls_269"/>
    <x v="309"/>
    <n v="1.3599320775679999"/>
    <n v="1"/>
    <n v="-130"/>
    <n v="780"/>
  </r>
  <r>
    <x v="6"/>
    <s v="conventional_refinance_wacls_270"/>
    <x v="310"/>
    <n v="1.3631292159999999"/>
    <n v="1"/>
    <n v="-130"/>
    <n v="780"/>
  </r>
  <r>
    <x v="6"/>
    <s v="conventional_refinance_wacls_271"/>
    <x v="311"/>
    <n v="1.3663300126719999"/>
    <n v="1"/>
    <n v="-130"/>
    <n v="780"/>
  </r>
  <r>
    <x v="6"/>
    <s v="conventional_refinance_wacls_272"/>
    <x v="312"/>
    <n v="1.3695343784959999"/>
    <n v="1"/>
    <n v="-130"/>
    <n v="780"/>
  </r>
  <r>
    <x v="6"/>
    <s v="conventional_refinance_wacls_273"/>
    <x v="313"/>
    <n v="1.372742224384"/>
    <n v="1"/>
    <n v="-130"/>
    <n v="780"/>
  </r>
  <r>
    <x v="6"/>
    <s v="conventional_refinance_wacls_274"/>
    <x v="314"/>
    <n v="1.375953461248"/>
    <n v="1"/>
    <n v="-130"/>
    <n v="780"/>
  </r>
  <r>
    <x v="6"/>
    <s v="conventional_refinance_wacls_275"/>
    <x v="315"/>
    <n v="1.3791679999999999"/>
    <n v="1"/>
    <n v="-130"/>
    <n v="780"/>
  </r>
  <r>
    <x v="6"/>
    <s v="conventional_refinance_wacls_276"/>
    <x v="316"/>
    <n v="1.3823857515519999"/>
    <n v="1"/>
    <n v="-130"/>
    <n v="780"/>
  </r>
  <r>
    <x v="6"/>
    <s v="conventional_refinance_wacls_277"/>
    <x v="317"/>
    <n v="1.3856066268160001"/>
    <n v="1"/>
    <n v="-130"/>
    <n v="780"/>
  </r>
  <r>
    <x v="6"/>
    <s v="conventional_refinance_wacls_278"/>
    <x v="318"/>
    <n v="1.3888305367039999"/>
    <n v="1"/>
    <n v="-130"/>
    <n v="780"/>
  </r>
  <r>
    <x v="6"/>
    <s v="conventional_refinance_wacls_279"/>
    <x v="319"/>
    <n v="1.3920573921279999"/>
    <n v="1"/>
    <n v="-130"/>
    <n v="780"/>
  </r>
  <r>
    <x v="6"/>
    <s v="conventional_refinance_wacls_280"/>
    <x v="320"/>
    <n v="1.3952871039999999"/>
    <n v="1"/>
    <n v="-130"/>
    <n v="780"/>
  </r>
  <r>
    <x v="6"/>
    <s v="conventional_refinance_wacls_281"/>
    <x v="321"/>
    <n v="1.3985195832320001"/>
    <n v="1"/>
    <n v="-130"/>
    <n v="780"/>
  </r>
  <r>
    <x v="6"/>
    <s v="conventional_refinance_wacls_282"/>
    <x v="322"/>
    <n v="1.401754740736"/>
    <n v="1"/>
    <n v="-130"/>
    <n v="780"/>
  </r>
  <r>
    <x v="6"/>
    <s v="conventional_refinance_wacls_283"/>
    <x v="323"/>
    <n v="1.4049924874240001"/>
    <n v="1"/>
    <n v="-130"/>
    <n v="780"/>
  </r>
  <r>
    <x v="6"/>
    <s v="conventional_refinance_wacls_284"/>
    <x v="324"/>
    <n v="1.4082327342080001"/>
    <n v="1"/>
    <n v="-130"/>
    <n v="780"/>
  </r>
  <r>
    <x v="6"/>
    <s v="conventional_refinance_wacls_285"/>
    <x v="325"/>
    <n v="1.4114753920000001"/>
    <n v="1"/>
    <n v="-130"/>
    <n v="780"/>
  </r>
  <r>
    <x v="6"/>
    <s v="conventional_refinance_wacls_286"/>
    <x v="326"/>
    <n v="1.414720371712"/>
    <n v="1"/>
    <n v="-130"/>
    <n v="780"/>
  </r>
  <r>
    <x v="6"/>
    <s v="conventional_refinance_wacls_287"/>
    <x v="327"/>
    <n v="1.417967584256"/>
    <n v="1"/>
    <n v="-130"/>
    <n v="780"/>
  </r>
  <r>
    <x v="6"/>
    <s v="conventional_refinance_wacls_288"/>
    <x v="328"/>
    <n v="1.4212169405440001"/>
    <n v="1"/>
    <n v="-130"/>
    <n v="780"/>
  </r>
  <r>
    <x v="6"/>
    <s v="conventional_refinance_wacls_289"/>
    <x v="329"/>
    <n v="1.4244683514880001"/>
    <n v="1"/>
    <n v="-130"/>
    <n v="780"/>
  </r>
  <r>
    <x v="6"/>
    <s v="conventional_refinance_wacls_290"/>
    <x v="330"/>
    <n v="1.4277217280000001"/>
    <n v="1"/>
    <n v="-130"/>
    <n v="780"/>
  </r>
  <r>
    <x v="6"/>
    <s v="conventional_refinance_wacls_291"/>
    <x v="331"/>
    <n v="1.4309769809920001"/>
    <n v="1"/>
    <n v="-130"/>
    <n v="780"/>
  </r>
  <r>
    <x v="6"/>
    <s v="conventional_refinance_wacls_292"/>
    <x v="332"/>
    <n v="1.4342340213760001"/>
    <n v="1"/>
    <n v="-130"/>
    <n v="780"/>
  </r>
  <r>
    <x v="6"/>
    <s v="conventional_refinance_wacls_293"/>
    <x v="333"/>
    <n v="1.437492760064"/>
    <n v="1"/>
    <n v="-130"/>
    <n v="780"/>
  </r>
  <r>
    <x v="6"/>
    <s v="conventional_refinance_wacls_294"/>
    <x v="334"/>
    <n v="1.440753107968"/>
    <n v="1"/>
    <n v="-130"/>
    <n v="780"/>
  </r>
  <r>
    <x v="6"/>
    <s v="conventional_refinance_wacls_295"/>
    <x v="335"/>
    <n v="1.4440149760000001"/>
    <n v="1"/>
    <n v="-130"/>
    <n v="780"/>
  </r>
  <r>
    <x v="6"/>
    <s v="conventional_refinance_wacls_296"/>
    <x v="336"/>
    <n v="1.4472782750719999"/>
    <n v="1"/>
    <n v="-130"/>
    <n v="780"/>
  </r>
  <r>
    <x v="6"/>
    <s v="conventional_refinance_wacls_297"/>
    <x v="337"/>
    <n v="1.4505429160959999"/>
    <n v="1"/>
    <n v="-130"/>
    <n v="780"/>
  </r>
  <r>
    <x v="6"/>
    <s v="conventional_refinance_wacls_298"/>
    <x v="338"/>
    <n v="1.4538088099840001"/>
    <n v="1"/>
    <n v="-130"/>
    <n v="780"/>
  </r>
  <r>
    <x v="6"/>
    <s v="conventional_refinance_wacls_299"/>
    <x v="339"/>
    <n v="1.457075867648"/>
    <n v="1"/>
    <n v="-130"/>
    <n v="780"/>
  </r>
  <r>
    <x v="6"/>
    <s v="conventional_refinance_wacls_300"/>
    <x v="340"/>
    <n v="1.4603440000000001"/>
    <n v="1"/>
    <n v="-130"/>
    <n v="780"/>
  </r>
  <r>
    <x v="6"/>
    <s v="conventional_refinance_wacls_301"/>
    <x v="341"/>
    <n v="1.463613117952"/>
    <n v="1"/>
    <n v="-130"/>
    <n v="780"/>
  </r>
  <r>
    <x v="6"/>
    <s v="conventional_refinance_wacls_302"/>
    <x v="342"/>
    <n v="1.4668831324160001"/>
    <n v="1"/>
    <n v="-130"/>
    <n v="780"/>
  </r>
  <r>
    <x v="6"/>
    <s v="conventional_refinance_wacls_303"/>
    <x v="343"/>
    <n v="1.4701539543040001"/>
    <n v="1"/>
    <n v="-130"/>
    <n v="780"/>
  </r>
  <r>
    <x v="6"/>
    <s v="conventional_refinance_wacls_304"/>
    <x v="344"/>
    <n v="1.4734254945280001"/>
    <n v="1"/>
    <n v="-130"/>
    <n v="780"/>
  </r>
  <r>
    <x v="6"/>
    <s v="conventional_refinance_wacls_305"/>
    <x v="345"/>
    <n v="1.476697664"/>
    <n v="1"/>
    <n v="-130"/>
    <n v="780"/>
  </r>
  <r>
    <x v="6"/>
    <s v="conventional_refinance_wacls_306"/>
    <x v="346"/>
    <n v="1.479970373632"/>
    <n v="1"/>
    <n v="-130"/>
    <n v="780"/>
  </r>
  <r>
    <x v="6"/>
    <s v="conventional_refinance_wacls_307"/>
    <x v="347"/>
    <n v="1.483243534336"/>
    <n v="1"/>
    <n v="-130"/>
    <n v="780"/>
  </r>
  <r>
    <x v="6"/>
    <s v="conventional_refinance_wacls_308"/>
    <x v="348"/>
    <n v="1.4865170570240001"/>
    <n v="1"/>
    <n v="-130"/>
    <n v="780"/>
  </r>
  <r>
    <x v="6"/>
    <s v="conventional_refinance_wacls_309"/>
    <x v="349"/>
    <n v="1.4897908526079999"/>
    <n v="1"/>
    <n v="-130"/>
    <n v="780"/>
  </r>
  <r>
    <x v="6"/>
    <s v="conventional_refinance_wacls_310"/>
    <x v="350"/>
    <n v="1.493064832"/>
    <n v="1"/>
    <n v="-130"/>
    <n v="780"/>
  </r>
  <r>
    <x v="6"/>
    <s v="conventional_refinance_wacls_311"/>
    <x v="351"/>
    <n v="1.496338906112"/>
    <n v="1"/>
    <n v="-130"/>
    <n v="780"/>
  </r>
  <r>
    <x v="6"/>
    <s v="conventional_refinance_wacls_312"/>
    <x v="352"/>
    <n v="1.4996129858559999"/>
    <n v="1"/>
    <n v="-130"/>
    <n v="780"/>
  </r>
  <r>
    <x v="6"/>
    <s v="conventional_refinance_wacls_313"/>
    <x v="353"/>
    <n v="1.5028869821440001"/>
    <n v="1"/>
    <n v="-130"/>
    <n v="780"/>
  </r>
  <r>
    <x v="6"/>
    <s v="conventional_refinance_wacls_314"/>
    <x v="354"/>
    <n v="1.5061608058880001"/>
    <n v="1"/>
    <n v="-130"/>
    <n v="780"/>
  </r>
  <r>
    <x v="6"/>
    <s v="conventional_refinance_wacls_315"/>
    <x v="355"/>
    <n v="1.509434368"/>
    <n v="1"/>
    <n v="-130"/>
    <n v="780"/>
  </r>
  <r>
    <x v="6"/>
    <s v="conventional_refinance_wacls_316"/>
    <x v="356"/>
    <n v="1.512707579392"/>
    <n v="1"/>
    <n v="-130"/>
    <n v="780"/>
  </r>
  <r>
    <x v="6"/>
    <s v="conventional_refinance_wacls_317"/>
    <x v="357"/>
    <n v="1.5159803509759999"/>
    <n v="1"/>
    <n v="-130"/>
    <n v="780"/>
  </r>
  <r>
    <x v="6"/>
    <s v="conventional_refinance_wacls_318"/>
    <x v="358"/>
    <n v="1.519252593664"/>
    <n v="1"/>
    <n v="-130"/>
    <n v="780"/>
  </r>
  <r>
    <x v="6"/>
    <s v="conventional_refinance_wacls_319"/>
    <x v="359"/>
    <n v="1.5225242183679999"/>
    <n v="1"/>
    <n v="-130"/>
    <n v="780"/>
  </r>
  <r>
    <x v="6"/>
    <s v="conventional_refinance_wacls_320"/>
    <x v="360"/>
    <n v="1.5257951359999999"/>
    <n v="1"/>
    <n v="-130"/>
    <n v="780"/>
  </r>
  <r>
    <x v="6"/>
    <s v="conventional_refinance_wacls_321"/>
    <x v="361"/>
    <n v="1.5290652574720001"/>
    <n v="1"/>
    <n v="-130"/>
    <n v="780"/>
  </r>
  <r>
    <x v="6"/>
    <s v="conventional_refinance_wacls_322"/>
    <x v="362"/>
    <n v="1.5323344936959999"/>
    <n v="1"/>
    <n v="-130"/>
    <n v="780"/>
  </r>
  <r>
    <x v="6"/>
    <s v="conventional_refinance_wacls_323"/>
    <x v="363"/>
    <n v="1.5356027555839999"/>
    <n v="1"/>
    <n v="-130"/>
    <n v="780"/>
  </r>
  <r>
    <x v="6"/>
    <s v="conventional_refinance_wacls_324"/>
    <x v="364"/>
    <n v="1.538869954048"/>
    <n v="1"/>
    <n v="-130"/>
    <n v="780"/>
  </r>
  <r>
    <x v="6"/>
    <s v="conventional_refinance_wacls_325"/>
    <x v="365"/>
    <n v="1.542136"/>
    <n v="1"/>
    <n v="-130"/>
    <n v="780"/>
  </r>
  <r>
    <x v="6"/>
    <s v="conventional_refinance_wacls_326"/>
    <x v="366"/>
    <n v="1.545400804352"/>
    <n v="1"/>
    <n v="-130"/>
    <n v="780"/>
  </r>
  <r>
    <x v="6"/>
    <s v="conventional_refinance_wacls_327"/>
    <x v="367"/>
    <n v="1.548664278016"/>
    <n v="1"/>
    <n v="-130"/>
    <n v="780"/>
  </r>
  <r>
    <x v="6"/>
    <s v="conventional_refinance_wacls_328"/>
    <x v="368"/>
    <n v="1.551926331904"/>
    <n v="1"/>
    <n v="-130"/>
    <n v="780"/>
  </r>
  <r>
    <x v="6"/>
    <s v="conventional_refinance_wacls_329"/>
    <x v="369"/>
    <n v="1.555186876928"/>
    <n v="1"/>
    <n v="-130"/>
    <n v="780"/>
  </r>
  <r>
    <x v="6"/>
    <s v="conventional_refinance_wacls_330"/>
    <x v="370"/>
    <n v="1.5584458240000001"/>
    <n v="1"/>
    <n v="-130"/>
    <n v="780"/>
  </r>
  <r>
    <x v="6"/>
    <s v="conventional_refinance_wacls_331"/>
    <x v="371"/>
    <n v="1.5617030840320001"/>
    <n v="1"/>
    <n v="-130"/>
    <n v="780"/>
  </r>
  <r>
    <x v="6"/>
    <s v="conventional_refinance_wacls_332"/>
    <x v="372"/>
    <n v="1.5649585679360001"/>
    <n v="1"/>
    <n v="-130"/>
    <n v="780"/>
  </r>
  <r>
    <x v="6"/>
    <s v="conventional_refinance_wacls_333"/>
    <x v="373"/>
    <n v="1.568212186624"/>
    <n v="1"/>
    <n v="-130"/>
    <n v="780"/>
  </r>
  <r>
    <x v="6"/>
    <s v="conventional_refinance_wacls_334"/>
    <x v="374"/>
    <n v="1.5714638510079999"/>
    <n v="1"/>
    <n v="-130"/>
    <n v="780"/>
  </r>
  <r>
    <x v="6"/>
    <s v="conventional_refinance_wacls_335"/>
    <x v="375"/>
    <n v="1.574713472"/>
    <n v="1"/>
    <n v="-130"/>
    <n v="780"/>
  </r>
  <r>
    <x v="6"/>
    <s v="conventional_refinance_wacls_336"/>
    <x v="376"/>
    <n v="1.577960960512"/>
    <n v="1"/>
    <n v="-130"/>
    <n v="780"/>
  </r>
  <r>
    <x v="6"/>
    <s v="conventional_refinance_wacls_337"/>
    <x v="377"/>
    <n v="1.5812062274559999"/>
    <n v="1"/>
    <n v="-130"/>
    <n v="780"/>
  </r>
  <r>
    <x v="6"/>
    <s v="conventional_refinance_wacls_338"/>
    <x v="378"/>
    <n v="1.584449183744"/>
    <n v="1"/>
    <n v="-130"/>
    <n v="780"/>
  </r>
  <r>
    <x v="6"/>
    <s v="conventional_refinance_wacls_339"/>
    <x v="379"/>
    <n v="1.5876897402879999"/>
    <n v="1"/>
    <n v="-130"/>
    <n v="780"/>
  </r>
  <r>
    <x v="6"/>
    <s v="conventional_refinance_wacls_340"/>
    <x v="380"/>
    <n v="1.590927808"/>
    <n v="1"/>
    <n v="-130"/>
    <n v="780"/>
  </r>
  <r>
    <x v="6"/>
    <s v="conventional_refinance_wacls_341"/>
    <x v="381"/>
    <n v="1.5941632977919999"/>
    <n v="1"/>
    <n v="-130"/>
    <n v="780"/>
  </r>
  <r>
    <x v="6"/>
    <s v="conventional_refinance_wacls_342"/>
    <x v="382"/>
    <n v="1.5973961205759999"/>
    <n v="1"/>
    <n v="-130"/>
    <n v="780"/>
  </r>
  <r>
    <x v="6"/>
    <s v="conventional_refinance_wacls_343"/>
    <x v="383"/>
    <n v="1.600626187264"/>
    <n v="1"/>
    <n v="-130"/>
    <n v="780"/>
  </r>
  <r>
    <x v="6"/>
    <s v="conventional_refinance_wacls_344"/>
    <x v="384"/>
    <n v="1.6038534087680001"/>
    <n v="1"/>
    <n v="-130"/>
    <n v="780"/>
  </r>
  <r>
    <x v="6"/>
    <s v="conventional_refinance_wacls_345"/>
    <x v="385"/>
    <n v="1.6070776959999999"/>
    <n v="1"/>
    <n v="-130"/>
    <n v="780"/>
  </r>
  <r>
    <x v="6"/>
    <s v="conventional_refinance_wacls_346"/>
    <x v="386"/>
    <n v="1.6102989598719999"/>
    <n v="1"/>
    <n v="-130"/>
    <n v="780"/>
  </r>
  <r>
    <x v="6"/>
    <s v="conventional_refinance_wacls_347"/>
    <x v="387"/>
    <n v="1.6135171112960001"/>
    <n v="1"/>
    <n v="-130"/>
    <n v="780"/>
  </r>
  <r>
    <x v="6"/>
    <s v="conventional_refinance_wacls_348"/>
    <x v="388"/>
    <n v="1.6167320611839999"/>
    <n v="1"/>
    <n v="-130"/>
    <n v="780"/>
  </r>
  <r>
    <x v="6"/>
    <s v="conventional_refinance_wacls_349"/>
    <x v="389"/>
    <n v="1.6199437204480001"/>
    <n v="1"/>
    <n v="-130"/>
    <n v="780"/>
  </r>
  <r>
    <x v="6"/>
    <s v="conventional_refinance_wacls_350"/>
    <x v="390"/>
    <n v="1.6231519999999999"/>
    <n v="1"/>
    <n v="-130"/>
    <n v="780"/>
  </r>
  <r>
    <x v="6"/>
    <s v="conventional_refinance_wacls_351"/>
    <x v="391"/>
    <n v="1.6263568107519999"/>
    <n v="1"/>
    <n v="-130"/>
    <n v="780"/>
  </r>
  <r>
    <x v="6"/>
    <s v="conventional_refinance_wacls_352"/>
    <x v="392"/>
    <n v="1.6295580636160001"/>
    <n v="1"/>
    <n v="-130"/>
    <n v="780"/>
  </r>
  <r>
    <x v="6"/>
    <s v="conventional_refinance_wacls_353"/>
    <x v="393"/>
    <n v="1.632755669504"/>
    <n v="1"/>
    <n v="-130"/>
    <n v="780"/>
  </r>
  <r>
    <x v="6"/>
    <s v="conventional_refinance_wacls_354"/>
    <x v="394"/>
    <n v="1.6359495393279999"/>
    <n v="1"/>
    <n v="-130"/>
    <n v="780"/>
  </r>
  <r>
    <x v="6"/>
    <s v="conventional_refinance_wacls_355"/>
    <x v="395"/>
    <n v="1.639139584"/>
    <n v="1"/>
    <n v="-130"/>
    <n v="780"/>
  </r>
  <r>
    <x v="6"/>
    <s v="conventional_refinance_wacls_356"/>
    <x v="396"/>
    <n v="1.642325714432"/>
    <n v="1"/>
    <n v="-130"/>
    <n v="780"/>
  </r>
  <r>
    <x v="6"/>
    <s v="conventional_refinance_wacls_357"/>
    <x v="397"/>
    <n v="1.645507841536"/>
    <n v="1"/>
    <n v="-130"/>
    <n v="780"/>
  </r>
  <r>
    <x v="6"/>
    <s v="conventional_refinance_wacls_358"/>
    <x v="398"/>
    <n v="1.648685876224"/>
    <n v="1"/>
    <n v="-130"/>
    <n v="780"/>
  </r>
  <r>
    <x v="6"/>
    <s v="conventional_refinance_wacls_359"/>
    <x v="399"/>
    <n v="1.651859729408"/>
    <n v="1"/>
    <n v="-130"/>
    <n v="780"/>
  </r>
  <r>
    <x v="6"/>
    <s v="conventional_refinance_wacls_360"/>
    <x v="400"/>
    <n v="1.6550293119999999"/>
    <n v="1"/>
    <n v="-130"/>
    <n v="780"/>
  </r>
  <r>
    <x v="6"/>
    <s v="conventional_refinance_wacls_361"/>
    <x v="401"/>
    <n v="1.658194534912"/>
    <n v="1"/>
    <n v="-130"/>
    <n v="780"/>
  </r>
  <r>
    <x v="6"/>
    <s v="conventional_refinance_wacls_362"/>
    <x v="402"/>
    <n v="1.661355309056"/>
    <n v="1"/>
    <n v="-130"/>
    <n v="780"/>
  </r>
  <r>
    <x v="6"/>
    <s v="conventional_refinance_wacls_363"/>
    <x v="403"/>
    <n v="1.664511545344"/>
    <n v="1"/>
    <n v="-130"/>
    <n v="780"/>
  </r>
  <r>
    <x v="6"/>
    <s v="conventional_refinance_wacls_364"/>
    <x v="404"/>
    <n v="1.6676631546880001"/>
    <n v="1"/>
    <n v="-130"/>
    <n v="780"/>
  </r>
  <r>
    <x v="6"/>
    <s v="conventional_refinance_wacls_365"/>
    <x v="405"/>
    <n v="1.6708100480000001"/>
    <n v="1"/>
    <n v="-130"/>
    <n v="780"/>
  </r>
  <r>
    <x v="6"/>
    <s v="conventional_refinance_wacls_366"/>
    <x v="406"/>
    <n v="1.673952136192"/>
    <n v="1"/>
    <n v="-130"/>
    <n v="780"/>
  </r>
  <r>
    <x v="6"/>
    <s v="conventional_refinance_wacls_367"/>
    <x v="407"/>
    <n v="1.6770893301759999"/>
    <n v="1"/>
    <n v="-130"/>
    <n v="780"/>
  </r>
  <r>
    <x v="6"/>
    <s v="conventional_refinance_wacls_368"/>
    <x v="408"/>
    <n v="1.680221540864"/>
    <n v="1"/>
    <n v="-130"/>
    <n v="780"/>
  </r>
  <r>
    <x v="6"/>
    <s v="conventional_refinance_wacls_369"/>
    <x v="409"/>
    <n v="1.6833486791679999"/>
    <n v="1"/>
    <n v="-130"/>
    <n v="780"/>
  </r>
  <r>
    <x v="6"/>
    <s v="conventional_refinance_wacls_370"/>
    <x v="410"/>
    <n v="1.686470656"/>
    <n v="1"/>
    <n v="-130"/>
    <n v="780"/>
  </r>
  <r>
    <x v="6"/>
    <s v="conventional_refinance_wacls_371"/>
    <x v="411"/>
    <n v="1.689587382272"/>
    <n v="1"/>
    <n v="-130"/>
    <n v="780"/>
  </r>
  <r>
    <x v="6"/>
    <s v="conventional_refinance_wacls_372"/>
    <x v="412"/>
    <n v="1.692698768896"/>
    <n v="1"/>
    <n v="-130"/>
    <n v="780"/>
  </r>
  <r>
    <x v="6"/>
    <s v="conventional_refinance_wacls_373"/>
    <x v="413"/>
    <n v="1.695804726784"/>
    <n v="1"/>
    <n v="-130"/>
    <n v="780"/>
  </r>
  <r>
    <x v="6"/>
    <s v="conventional_refinance_wacls_374"/>
    <x v="414"/>
    <n v="1.698905166848"/>
    <n v="1"/>
    <n v="-130"/>
    <n v="780"/>
  </r>
  <r>
    <x v="6"/>
    <s v="conventional_refinance_wacls_375"/>
    <x v="415"/>
    <n v="1.702"/>
    <n v="1"/>
    <n v="-130"/>
    <n v="780"/>
  </r>
  <r>
    <x v="6"/>
    <s v="conventional_refinance_wacls_376"/>
    <x v="416"/>
    <n v="1.7050906905600001"/>
    <n v="1"/>
    <n v="-130"/>
    <n v="780"/>
  </r>
  <r>
    <x v="6"/>
    <s v="conventional_refinance_wacls_377"/>
    <x v="417"/>
    <n v="1.7081787724799999"/>
    <n v="1"/>
    <n v="-130"/>
    <n v="780"/>
  </r>
  <r>
    <x v="6"/>
    <s v="conventional_refinance_wacls_378"/>
    <x v="418"/>
    <n v="1.71126426112"/>
    <n v="1"/>
    <n v="-130"/>
    <n v="780"/>
  </r>
  <r>
    <x v="6"/>
    <s v="conventional_refinance_wacls_379"/>
    <x v="419"/>
    <n v="1.7143471718400001"/>
    <n v="1"/>
    <n v="-130"/>
    <n v="780"/>
  </r>
  <r>
    <x v="6"/>
    <s v="conventional_refinance_wacls_380"/>
    <x v="420"/>
    <n v="1.71742752"/>
    <n v="1"/>
    <n v="-130"/>
    <n v="780"/>
  </r>
  <r>
    <x v="6"/>
    <s v="conventional_refinance_wacls_381"/>
    <x v="421"/>
    <n v="1.7205053209600001"/>
    <n v="1"/>
    <n v="-130"/>
    <n v="780"/>
  </r>
  <r>
    <x v="6"/>
    <s v="conventional_refinance_wacls_382"/>
    <x v="422"/>
    <n v="1.7235805900800001"/>
    <n v="1"/>
    <n v="-130"/>
    <n v="780"/>
  </r>
  <r>
    <x v="6"/>
    <s v="conventional_refinance_wacls_383"/>
    <x v="423"/>
    <n v="1.7266533427199999"/>
    <n v="1"/>
    <n v="-130"/>
    <n v="780"/>
  </r>
  <r>
    <x v="6"/>
    <s v="conventional_refinance_wacls_384"/>
    <x v="424"/>
    <n v="1.72972359424"/>
    <n v="1"/>
    <n v="-130"/>
    <n v="780"/>
  </r>
  <r>
    <x v="6"/>
    <s v="conventional_refinance_wacls_385"/>
    <x v="425"/>
    <n v="1.73279136"/>
    <n v="1"/>
    <n v="-130"/>
    <n v="780"/>
  </r>
  <r>
    <x v="6"/>
    <s v="conventional_refinance_wacls_386"/>
    <x v="426"/>
    <n v="1.7358566553599999"/>
    <n v="1"/>
    <n v="-130"/>
    <n v="780"/>
  </r>
  <r>
    <x v="6"/>
    <s v="conventional_refinance_wacls_387"/>
    <x v="427"/>
    <n v="1.73891949568"/>
    <n v="1"/>
    <n v="-130"/>
    <n v="780"/>
  </r>
  <r>
    <x v="6"/>
    <s v="conventional_refinance_wacls_388"/>
    <x v="428"/>
    <n v="1.7419798963199999"/>
    <n v="1"/>
    <n v="-130"/>
    <n v="780"/>
  </r>
  <r>
    <x v="6"/>
    <s v="conventional_refinance_wacls_389"/>
    <x v="429"/>
    <n v="1.74503787264"/>
    <n v="1"/>
    <n v="-130"/>
    <n v="780"/>
  </r>
  <r>
    <x v="6"/>
    <s v="conventional_refinance_wacls_390"/>
    <x v="430"/>
    <n v="1.7480934400000001"/>
    <n v="1"/>
    <n v="-130"/>
    <n v="780"/>
  </r>
  <r>
    <x v="6"/>
    <s v="conventional_refinance_wacls_391"/>
    <x v="431"/>
    <n v="1.75114661376"/>
    <n v="1"/>
    <n v="-130"/>
    <n v="780"/>
  </r>
  <r>
    <x v="6"/>
    <s v="conventional_refinance_wacls_392"/>
    <x v="432"/>
    <n v="1.7541974092799999"/>
    <n v="1"/>
    <n v="-130"/>
    <n v="780"/>
  </r>
  <r>
    <x v="6"/>
    <s v="conventional_refinance_wacls_393"/>
    <x v="433"/>
    <n v="1.7572458419200001"/>
    <n v="1"/>
    <n v="-130"/>
    <n v="780"/>
  </r>
  <r>
    <x v="6"/>
    <s v="conventional_refinance_wacls_394"/>
    <x v="434"/>
    <n v="1.7602919270399999"/>
    <n v="1"/>
    <n v="-130"/>
    <n v="780"/>
  </r>
  <r>
    <x v="6"/>
    <s v="conventional_refinance_wacls_395"/>
    <x v="435"/>
    <n v="1.76333568"/>
    <n v="1"/>
    <n v="-130"/>
    <n v="780"/>
  </r>
  <r>
    <x v="6"/>
    <s v="conventional_refinance_wacls_396"/>
    <x v="436"/>
    <n v="1.7663771161599999"/>
    <n v="1"/>
    <n v="-130"/>
    <n v="780"/>
  </r>
  <r>
    <x v="6"/>
    <s v="conventional_refinance_wacls_397"/>
    <x v="437"/>
    <n v="1.76941625088"/>
    <n v="1"/>
    <n v="-130"/>
    <n v="780"/>
  </r>
  <r>
    <x v="6"/>
    <s v="conventional_refinance_wacls_398"/>
    <x v="438"/>
    <n v="1.7724530995200001"/>
    <n v="1"/>
    <n v="-130"/>
    <n v="780"/>
  </r>
  <r>
    <x v="6"/>
    <s v="conventional_refinance_wacls_399"/>
    <x v="439"/>
    <n v="1.7754876774399999"/>
    <n v="1"/>
    <n v="-130"/>
    <n v="780"/>
  </r>
  <r>
    <x v="6"/>
    <s v="conventional_refinance_wacls_400"/>
    <x v="440"/>
    <n v="1.7785200000000001"/>
    <n v="1"/>
    <n v="-130"/>
    <n v="780"/>
  </r>
  <r>
    <x v="6"/>
    <s v="conventional_refinance_wacls_401"/>
    <x v="441"/>
    <n v="1.7815500825599999"/>
    <n v="1"/>
    <n v="-130"/>
    <n v="780"/>
  </r>
  <r>
    <x v="6"/>
    <s v="conventional_refinance_wacls_402"/>
    <x v="442"/>
    <n v="1.78457794048"/>
    <n v="1"/>
    <n v="-130"/>
    <n v="780"/>
  </r>
  <r>
    <x v="6"/>
    <s v="conventional_refinance_wacls_403"/>
    <x v="443"/>
    <n v="1.7876035891199999"/>
    <n v="1"/>
    <n v="-130"/>
    <n v="780"/>
  </r>
  <r>
    <x v="6"/>
    <s v="conventional_refinance_wacls_404"/>
    <x v="444"/>
    <n v="1.79062704384"/>
    <n v="1"/>
    <n v="-130"/>
    <n v="780"/>
  </r>
  <r>
    <x v="6"/>
    <s v="conventional_refinance_wacls_405"/>
    <x v="445"/>
    <n v="1.79364832"/>
    <n v="1"/>
    <n v="-130"/>
    <n v="780"/>
  </r>
  <r>
    <x v="6"/>
    <s v="conventional_refinance_wacls_406"/>
    <x v="446"/>
    <n v="1.7966674329600001"/>
    <n v="1"/>
    <n v="-130"/>
    <n v="780"/>
  </r>
  <r>
    <x v="6"/>
    <s v="conventional_refinance_wacls_407"/>
    <x v="447"/>
    <n v="1.7996843980799999"/>
    <n v="1"/>
    <n v="-130"/>
    <n v="780"/>
  </r>
  <r>
    <x v="6"/>
    <s v="conventional_refinance_wacls_408"/>
    <x v="448"/>
    <n v="1.80269923072"/>
    <n v="1"/>
    <n v="-130"/>
    <n v="780"/>
  </r>
  <r>
    <x v="6"/>
    <s v="conventional_refinance_wacls_409"/>
    <x v="449"/>
    <n v="1.80571194624"/>
    <n v="1"/>
    <n v="-130"/>
    <n v="780"/>
  </r>
  <r>
    <x v="6"/>
    <s v="conventional_refinance_wacls_410"/>
    <x v="450"/>
    <n v="1.8087225600000001"/>
    <n v="1"/>
    <n v="-130"/>
    <n v="780"/>
  </r>
  <r>
    <x v="6"/>
    <s v="conventional_refinance_wacls_411"/>
    <x v="451"/>
    <n v="1.8117310873600001"/>
    <n v="1"/>
    <n v="-130"/>
    <n v="780"/>
  </r>
  <r>
    <x v="6"/>
    <s v="conventional_refinance_wacls_412"/>
    <x v="452"/>
    <n v="1.81473754368"/>
    <n v="1"/>
    <n v="-130"/>
    <n v="780"/>
  </r>
  <r>
    <x v="6"/>
    <s v="conventional_refinance_wacls_413"/>
    <x v="453"/>
    <n v="1.81774194432"/>
    <n v="1"/>
    <n v="-130"/>
    <n v="780"/>
  </r>
  <r>
    <x v="6"/>
    <s v="conventional_refinance_wacls_414"/>
    <x v="454"/>
    <n v="1.82074430464"/>
    <n v="1"/>
    <n v="-130"/>
    <n v="780"/>
  </r>
  <r>
    <x v="6"/>
    <s v="conventional_refinance_wacls_415"/>
    <x v="455"/>
    <n v="1.8237446399999999"/>
    <n v="1"/>
    <n v="-130"/>
    <n v="780"/>
  </r>
  <r>
    <x v="6"/>
    <s v="conventional_refinance_wacls_416"/>
    <x v="456"/>
    <n v="1.8267429657600001"/>
    <n v="1"/>
    <n v="-130"/>
    <n v="780"/>
  </r>
  <r>
    <x v="6"/>
    <s v="conventional_refinance_wacls_417"/>
    <x v="457"/>
    <n v="1.82973929728"/>
    <n v="1"/>
    <n v="-130"/>
    <n v="780"/>
  </r>
  <r>
    <x v="6"/>
    <s v="conventional_refinance_wacls_418"/>
    <x v="458"/>
    <n v="1.83273364992"/>
    <n v="1"/>
    <n v="-130"/>
    <n v="780"/>
  </r>
  <r>
    <x v="6"/>
    <s v="conventional_refinance_wacls_419"/>
    <x v="459"/>
    <n v="1.8357260390400001"/>
    <n v="1"/>
    <n v="-130"/>
    <n v="780"/>
  </r>
  <r>
    <x v="6"/>
    <s v="conventional_refinance_wacls_420"/>
    <x v="460"/>
    <n v="1.83871648"/>
    <n v="1"/>
    <n v="-130"/>
    <n v="780"/>
  </r>
  <r>
    <x v="6"/>
    <s v="conventional_refinance_wacls_421"/>
    <x v="461"/>
    <n v="1.8417049881600001"/>
    <n v="1"/>
    <n v="-130"/>
    <n v="780"/>
  </r>
  <r>
    <x v="6"/>
    <s v="conventional_refinance_wacls_422"/>
    <x v="462"/>
    <n v="1.84469157888"/>
    <n v="1"/>
    <n v="-130"/>
    <n v="780"/>
  </r>
  <r>
    <x v="6"/>
    <s v="conventional_refinance_wacls_423"/>
    <x v="463"/>
    <n v="1.84767626752"/>
    <n v="1"/>
    <n v="-130"/>
    <n v="780"/>
  </r>
  <r>
    <x v="6"/>
    <s v="conventional_refinance_wacls_424"/>
    <x v="464"/>
    <n v="1.85065906944"/>
    <n v="1"/>
    <n v="-130"/>
    <n v="780"/>
  </r>
  <r>
    <x v="6"/>
    <s v="conventional_refinance_wacls_425"/>
    <x v="465"/>
    <n v="1.85364"/>
    <n v="1"/>
    <n v="-130"/>
    <n v="780"/>
  </r>
  <r>
    <x v="6"/>
    <s v="conventional_refinance_wacls_426"/>
    <x v="466"/>
    <n v="1.85661907456"/>
    <n v="1"/>
    <n v="-130"/>
    <n v="780"/>
  </r>
  <r>
    <x v="6"/>
    <s v="conventional_refinance_wacls_427"/>
    <x v="467"/>
    <n v="1.85959630848"/>
    <n v="1"/>
    <n v="-130"/>
    <n v="780"/>
  </r>
  <r>
    <x v="6"/>
    <s v="conventional_refinance_wacls_428"/>
    <x v="468"/>
    <n v="1.86257171712"/>
    <n v="1"/>
    <n v="-130"/>
    <n v="780"/>
  </r>
  <r>
    <x v="6"/>
    <s v="conventional_refinance_wacls_429"/>
    <x v="469"/>
    <n v="1.8655453158399999"/>
    <n v="1"/>
    <n v="-130"/>
    <n v="780"/>
  </r>
  <r>
    <x v="6"/>
    <s v="conventional_refinance_wacls_430"/>
    <x v="470"/>
    <n v="1.8685171199999999"/>
    <n v="1"/>
    <n v="-130"/>
    <n v="780"/>
  </r>
  <r>
    <x v="6"/>
    <s v="conventional_refinance_wacls_431"/>
    <x v="471"/>
    <n v="1.8714871449599999"/>
    <n v="1"/>
    <n v="-130"/>
    <n v="780"/>
  </r>
  <r>
    <x v="6"/>
    <s v="conventional_refinance_wacls_432"/>
    <x v="472"/>
    <n v="1.8744554060800001"/>
    <n v="1"/>
    <n v="-130"/>
    <n v="780"/>
  </r>
  <r>
    <x v="6"/>
    <s v="conventional_refinance_wacls_433"/>
    <x v="473"/>
    <n v="1.8774219187200001"/>
    <n v="1"/>
    <n v="-130"/>
    <n v="780"/>
  </r>
  <r>
    <x v="6"/>
    <s v="conventional_refinance_wacls_434"/>
    <x v="474"/>
    <n v="1.8803866982399999"/>
    <n v="1"/>
    <n v="-130"/>
    <n v="780"/>
  </r>
  <r>
    <x v="6"/>
    <s v="conventional_refinance_wacls_435"/>
    <x v="475"/>
    <n v="1.88334976"/>
    <n v="1"/>
    <n v="-130"/>
    <n v="780"/>
  </r>
  <r>
    <x v="6"/>
    <s v="conventional_refinance_wacls_436"/>
    <x v="476"/>
    <n v="1.88631111936"/>
    <n v="1"/>
    <n v="-130"/>
    <n v="780"/>
  </r>
  <r>
    <x v="6"/>
    <s v="conventional_refinance_wacls_437"/>
    <x v="477"/>
    <n v="1.88927079168"/>
    <n v="1"/>
    <n v="-130"/>
    <n v="780"/>
  </r>
  <r>
    <x v="6"/>
    <s v="conventional_refinance_wacls_438"/>
    <x v="478"/>
    <n v="1.8922287923200001"/>
    <n v="1"/>
    <n v="-130"/>
    <n v="780"/>
  </r>
  <r>
    <x v="6"/>
    <s v="conventional_refinance_wacls_439"/>
    <x v="479"/>
    <n v="1.8951851366400001"/>
    <n v="1"/>
    <n v="-130"/>
    <n v="780"/>
  </r>
  <r>
    <x v="6"/>
    <s v="conventional_refinance_wacls_440"/>
    <x v="480"/>
    <n v="1.89813984"/>
    <n v="1"/>
    <n v="-130"/>
    <n v="780"/>
  </r>
  <r>
    <x v="6"/>
    <s v="conventional_refinance_wacls_441"/>
    <x v="481"/>
    <n v="1.90109291776"/>
    <n v="1"/>
    <n v="-130"/>
    <n v="780"/>
  </r>
  <r>
    <x v="6"/>
    <s v="conventional_refinance_wacls_442"/>
    <x v="482"/>
    <n v="1.90404438528"/>
    <n v="1"/>
    <n v="-130"/>
    <n v="780"/>
  </r>
  <r>
    <x v="6"/>
    <s v="conventional_refinance_wacls_443"/>
    <x v="483"/>
    <n v="1.9069942579200001"/>
    <n v="1"/>
    <n v="-130"/>
    <n v="780"/>
  </r>
  <r>
    <x v="6"/>
    <s v="conventional_refinance_wacls_444"/>
    <x v="484"/>
    <n v="1.9099425510400001"/>
    <n v="1"/>
    <n v="-130"/>
    <n v="780"/>
  </r>
  <r>
    <x v="6"/>
    <s v="conventional_refinance_wacls_445"/>
    <x v="485"/>
    <n v="1.9128892799999999"/>
    <n v="1"/>
    <n v="-130"/>
    <n v="780"/>
  </r>
  <r>
    <x v="6"/>
    <s v="conventional_refinance_wacls_446"/>
    <x v="486"/>
    <n v="1.9158344601599999"/>
    <n v="1"/>
    <n v="-130"/>
    <n v="780"/>
  </r>
  <r>
    <x v="6"/>
    <s v="conventional_refinance_wacls_447"/>
    <x v="487"/>
    <n v="1.9187781068800001"/>
    <n v="1"/>
    <n v="-130"/>
    <n v="780"/>
  </r>
  <r>
    <x v="6"/>
    <s v="conventional_refinance_wacls_448"/>
    <x v="488"/>
    <n v="1.92172023552"/>
    <n v="1"/>
    <n v="-130"/>
    <n v="780"/>
  </r>
  <r>
    <x v="6"/>
    <s v="conventional_refinance_wacls_449"/>
    <x v="489"/>
    <n v="1.92466086144"/>
    <n v="1"/>
    <n v="-130"/>
    <n v="780"/>
  </r>
  <r>
    <x v="6"/>
    <s v="conventional_refinance_wacls_450"/>
    <x v="490"/>
    <n v="1.9276"/>
    <n v="1"/>
    <n v="-130"/>
    <n v="780"/>
  </r>
  <r>
    <x v="6"/>
    <s v="conventional_refinance_wacls_451"/>
    <x v="491"/>
    <n v="1.93053766656"/>
    <n v="1"/>
    <n v="-130"/>
    <n v="780"/>
  </r>
  <r>
    <x v="6"/>
    <s v="conventional_refinance_wacls_452"/>
    <x v="492"/>
    <n v="1.9334738764799999"/>
    <n v="1"/>
    <n v="-130"/>
    <n v="780"/>
  </r>
  <r>
    <x v="6"/>
    <s v="conventional_refinance_wacls_453"/>
    <x v="493"/>
    <n v="1.93640864512"/>
    <n v="1"/>
    <n v="-130"/>
    <n v="780"/>
  </r>
  <r>
    <x v="6"/>
    <s v="conventional_refinance_wacls_454"/>
    <x v="494"/>
    <n v="1.93934198784"/>
    <n v="1"/>
    <n v="-130"/>
    <n v="780"/>
  </r>
  <r>
    <x v="6"/>
    <s v="conventional_refinance_wacls_455"/>
    <x v="495"/>
    <n v="1.9422739200000001"/>
    <n v="1"/>
    <n v="-130"/>
    <n v="780"/>
  </r>
  <r>
    <x v="6"/>
    <s v="conventional_refinance_wacls_456"/>
    <x v="496"/>
    <n v="1.94520445696"/>
    <n v="1"/>
    <n v="-130"/>
    <n v="780"/>
  </r>
  <r>
    <x v="6"/>
    <s v="conventional_refinance_wacls_457"/>
    <x v="497"/>
    <n v="1.9481336140800001"/>
    <n v="1"/>
    <n v="-130"/>
    <n v="780"/>
  </r>
  <r>
    <x v="6"/>
    <s v="conventional_refinance_wacls_458"/>
    <x v="498"/>
    <n v="1.9510614067200001"/>
    <n v="1"/>
    <n v="-130"/>
    <n v="780"/>
  </r>
  <r>
    <x v="6"/>
    <s v="conventional_refinance_wacls_459"/>
    <x v="499"/>
    <n v="1.9539878502400001"/>
    <n v="1"/>
    <n v="-130"/>
    <n v="780"/>
  </r>
  <r>
    <x v="6"/>
    <s v="conventional_refinance_wacls_460"/>
    <x v="500"/>
    <n v="1.9569129599999999"/>
    <n v="1"/>
    <n v="-130"/>
    <n v="780"/>
  </r>
  <r>
    <x v="6"/>
    <s v="conventional_refinance_wacls_461"/>
    <x v="501"/>
    <n v="1.9598367513599999"/>
    <n v="1"/>
    <n v="-130"/>
    <n v="780"/>
  </r>
  <r>
    <x v="6"/>
    <s v="conventional_refinance_wacls_462"/>
    <x v="502"/>
    <n v="1.96275923968"/>
    <n v="1"/>
    <n v="-130"/>
    <n v="780"/>
  </r>
  <r>
    <x v="6"/>
    <s v="conventional_refinance_wacls_463"/>
    <x v="503"/>
    <n v="1.9656804403200001"/>
    <n v="1"/>
    <n v="-130"/>
    <n v="780"/>
  </r>
  <r>
    <x v="6"/>
    <s v="conventional_refinance_wacls_464"/>
    <x v="504"/>
    <n v="1.96860036864"/>
    <n v="1"/>
    <n v="-130"/>
    <n v="780"/>
  </r>
  <r>
    <x v="6"/>
    <s v="conventional_refinance_wacls_465"/>
    <x v="505"/>
    <n v="1.97151904"/>
    <n v="1"/>
    <n v="-130"/>
    <n v="780"/>
  </r>
  <r>
    <x v="6"/>
    <s v="conventional_refinance_wacls_466"/>
    <x v="506"/>
    <n v="1.9744364697600001"/>
    <n v="1"/>
    <n v="-130"/>
    <n v="780"/>
  </r>
  <r>
    <x v="6"/>
    <s v="conventional_refinance_wacls_467"/>
    <x v="507"/>
    <n v="1.97735267328"/>
    <n v="1"/>
    <n v="-130"/>
    <n v="780"/>
  </r>
  <r>
    <x v="6"/>
    <s v="conventional_refinance_wacls_468"/>
    <x v="508"/>
    <n v="1.98026766592"/>
    <n v="1"/>
    <n v="-130"/>
    <n v="780"/>
  </r>
  <r>
    <x v="6"/>
    <s v="conventional_refinance_wacls_469"/>
    <x v="509"/>
    <n v="1.98318146304"/>
    <n v="1"/>
    <n v="-130"/>
    <n v="780"/>
  </r>
  <r>
    <x v="6"/>
    <s v="conventional_refinance_wacls_470"/>
    <x v="510"/>
    <n v="1.98609408"/>
    <n v="1"/>
    <n v="-130"/>
    <n v="780"/>
  </r>
  <r>
    <x v="6"/>
    <s v="conventional_refinance_wacls_471"/>
    <x v="511"/>
    <n v="1.98900553216"/>
    <n v="1"/>
    <n v="-130"/>
    <n v="780"/>
  </r>
  <r>
    <x v="6"/>
    <s v="conventional_refinance_wacls_472"/>
    <x v="512"/>
    <n v="1.9919158348799999"/>
    <n v="1"/>
    <n v="-130"/>
    <n v="780"/>
  </r>
  <r>
    <x v="6"/>
    <s v="conventional_refinance_wacls_473"/>
    <x v="513"/>
    <n v="1.9948250035199999"/>
    <n v="1"/>
    <n v="-130"/>
    <n v="780"/>
  </r>
  <r>
    <x v="6"/>
    <s v="conventional_refinance_wacls_474"/>
    <x v="514"/>
    <n v="1.99773305344"/>
    <n v="1"/>
    <n v="-130"/>
    <n v="780"/>
  </r>
  <r>
    <x v="6"/>
    <s v="conventional_refinance_wacls_475"/>
    <x v="515"/>
    <n v="2.0006400000000002"/>
    <n v="1"/>
    <n v="-130"/>
    <n v="780"/>
  </r>
  <r>
    <x v="6"/>
    <s v="conventional_refinance_wacls_476"/>
    <x v="516"/>
    <n v="2.0035458585599999"/>
    <n v="1"/>
    <n v="-130"/>
    <n v="780"/>
  </r>
  <r>
    <x v="6"/>
    <s v="conventional_refinance_wacls_477"/>
    <x v="517"/>
    <n v="2.0064506444800001"/>
    <n v="1"/>
    <n v="-130"/>
    <n v="780"/>
  </r>
  <r>
    <x v="6"/>
    <s v="conventional_refinance_wacls_478"/>
    <x v="518"/>
    <n v="2.0093543731199999"/>
    <n v="1"/>
    <n v="-130"/>
    <n v="780"/>
  </r>
  <r>
    <x v="6"/>
    <s v="conventional_refinance_wacls_479"/>
    <x v="519"/>
    <n v="2.01225705984"/>
    <n v="1"/>
    <n v="-130"/>
    <n v="780"/>
  </r>
  <r>
    <x v="6"/>
    <s v="conventional_refinance_wacls_480"/>
    <x v="520"/>
    <n v="2.0151587200000001"/>
    <n v="1"/>
    <n v="-130"/>
    <n v="780"/>
  </r>
  <r>
    <x v="6"/>
    <s v="conventional_refinance_wacls_481"/>
    <x v="521"/>
    <n v="2.0180593689599999"/>
    <n v="1"/>
    <n v="-130"/>
    <n v="780"/>
  </r>
  <r>
    <x v="6"/>
    <s v="conventional_refinance_wacls_482"/>
    <x v="522"/>
    <n v="2.02095902208"/>
    <n v="1"/>
    <n v="-130"/>
    <n v="780"/>
  </r>
  <r>
    <x v="6"/>
    <s v="conventional_refinance_wacls_483"/>
    <x v="523"/>
    <n v="2.0238576947200002"/>
    <n v="1"/>
    <n v="-130"/>
    <n v="780"/>
  </r>
  <r>
    <x v="6"/>
    <s v="conventional_refinance_wacls_484"/>
    <x v="524"/>
    <n v="2.0267554022400001"/>
    <n v="1"/>
    <n v="-130"/>
    <n v="780"/>
  </r>
  <r>
    <x v="6"/>
    <s v="conventional_refinance_wacls_485"/>
    <x v="525"/>
    <n v="2.0296521599999999"/>
    <n v="1"/>
    <n v="-130"/>
    <n v="780"/>
  </r>
  <r>
    <x v="6"/>
    <s v="conventional_refinance_wacls_486"/>
    <x v="526"/>
    <n v="2.0325479833600002"/>
    <n v="1"/>
    <n v="-130"/>
    <n v="780"/>
  </r>
  <r>
    <x v="6"/>
    <s v="conventional_refinance_wacls_487"/>
    <x v="527"/>
    <n v="2.0354428876799999"/>
    <n v="1"/>
    <n v="-130"/>
    <n v="780"/>
  </r>
  <r>
    <x v="6"/>
    <s v="conventional_refinance_wacls_488"/>
    <x v="528"/>
    <n v="2.0383368883199999"/>
    <n v="1"/>
    <n v="-130"/>
    <n v="780"/>
  </r>
  <r>
    <x v="6"/>
    <s v="conventional_refinance_wacls_489"/>
    <x v="529"/>
    <n v="2.0412300006400002"/>
    <n v="1"/>
    <n v="-130"/>
    <n v="780"/>
  </r>
  <r>
    <x v="6"/>
    <s v="conventional_refinance_wacls_490"/>
    <x v="530"/>
    <n v="2.0441222400000001"/>
    <n v="1"/>
    <n v="-130"/>
    <n v="780"/>
  </r>
  <r>
    <x v="6"/>
    <s v="conventional_refinance_wacls_491"/>
    <x v="531"/>
    <n v="2.0470136217600001"/>
    <n v="1"/>
    <n v="-130"/>
    <n v="780"/>
  </r>
  <r>
    <x v="6"/>
    <s v="conventional_refinance_wacls_492"/>
    <x v="532"/>
    <n v="2.0499041612800002"/>
    <n v="1"/>
    <n v="-130"/>
    <n v="780"/>
  </r>
  <r>
    <x v="6"/>
    <s v="conventional_refinance_wacls_493"/>
    <x v="533"/>
    <n v="2.0527938739199998"/>
    <n v="1"/>
    <n v="-130"/>
    <n v="780"/>
  </r>
  <r>
    <x v="6"/>
    <s v="conventional_refinance_wacls_494"/>
    <x v="534"/>
    <n v="2.0556827750400002"/>
    <n v="1"/>
    <n v="-130"/>
    <n v="780"/>
  </r>
  <r>
    <x v="6"/>
    <s v="conventional_refinance_wacls_495"/>
    <x v="535"/>
    <n v="2.05857088"/>
    <n v="1"/>
    <n v="-130"/>
    <n v="780"/>
  </r>
  <r>
    <x v="6"/>
    <s v="conventional_refinance_wacls_496"/>
    <x v="536"/>
    <n v="2.06145820416"/>
    <n v="1"/>
    <n v="-130"/>
    <n v="780"/>
  </r>
  <r>
    <x v="6"/>
    <s v="conventional_refinance_wacls_497"/>
    <x v="537"/>
    <n v="2.0643447628799998"/>
    <n v="1"/>
    <n v="-130"/>
    <n v="780"/>
  </r>
  <r>
    <x v="6"/>
    <s v="conventional_refinance_wacls_498"/>
    <x v="538"/>
    <n v="2.0672305715200001"/>
    <n v="1"/>
    <n v="-130"/>
    <n v="780"/>
  </r>
  <r>
    <x v="6"/>
    <s v="conventional_refinance_wacls_499"/>
    <x v="539"/>
    <n v="2.07011564544"/>
    <n v="1"/>
    <n v="-130"/>
    <n v="780"/>
  </r>
  <r>
    <x v="6"/>
    <s v="conventional_refinance_wacls_500"/>
    <x v="540"/>
    <n v="2.073"/>
    <n v="1"/>
    <n v="-130"/>
    <n v="780"/>
  </r>
  <r>
    <x v="6"/>
    <s v="conventional_refinance_wacls_501"/>
    <x v="541"/>
    <n v="2.0759186104888898"/>
    <n v="1"/>
    <n v="-130"/>
    <n v="780"/>
  </r>
  <r>
    <x v="6"/>
    <s v="conventional_refinance_wacls_502"/>
    <x v="542"/>
    <n v="2.0789045105777801"/>
    <n v="1"/>
    <n v="-130"/>
    <n v="780"/>
  </r>
  <r>
    <x v="6"/>
    <s v="conventional_refinance_wacls_503"/>
    <x v="543"/>
    <n v="2.0819548031999999"/>
    <n v="1"/>
    <n v="-130"/>
    <n v="780"/>
  </r>
  <r>
    <x v="6"/>
    <s v="conventional_refinance_wacls_504"/>
    <x v="544"/>
    <n v="2.0850665912888902"/>
    <n v="1"/>
    <n v="-130"/>
    <n v="780"/>
  </r>
  <r>
    <x v="6"/>
    <s v="conventional_refinance_wacls_505"/>
    <x v="545"/>
    <n v="2.0882369777777798"/>
    <n v="1"/>
    <n v="-130"/>
    <n v="780"/>
  </r>
  <r>
    <x v="6"/>
    <s v="conventional_refinance_wacls_506"/>
    <x v="546"/>
    <n v="2.0914630656000002"/>
    <n v="1"/>
    <n v="-130"/>
    <n v="780"/>
  </r>
  <r>
    <x v="6"/>
    <s v="conventional_refinance_wacls_507"/>
    <x v="547"/>
    <n v="2.0947419576888899"/>
    <n v="1"/>
    <n v="-130"/>
    <n v="780"/>
  </r>
  <r>
    <x v="6"/>
    <s v="conventional_refinance_wacls_508"/>
    <x v="548"/>
    <n v="2.0980707569777799"/>
    <n v="1"/>
    <n v="-130"/>
    <n v="780"/>
  </r>
  <r>
    <x v="6"/>
    <s v="conventional_refinance_wacls_509"/>
    <x v="549"/>
    <n v="2.1014465663999999"/>
    <n v="1"/>
    <n v="-130"/>
    <n v="780"/>
  </r>
  <r>
    <x v="6"/>
    <s v="conventional_refinance_wacls_510"/>
    <x v="550"/>
    <n v="2.1048664888888902"/>
    <n v="1"/>
    <n v="-130"/>
    <n v="780"/>
  </r>
  <r>
    <x v="6"/>
    <s v="conventional_refinance_wacls_511"/>
    <x v="551"/>
    <n v="2.10832762737778"/>
    <n v="1"/>
    <n v="-130"/>
    <n v="780"/>
  </r>
  <r>
    <x v="6"/>
    <s v="conventional_refinance_wacls_512"/>
    <x v="552"/>
    <n v="2.1118270847999998"/>
    <n v="1"/>
    <n v="-130"/>
    <n v="780"/>
  </r>
  <r>
    <x v="6"/>
    <s v="conventional_refinance_wacls_513"/>
    <x v="553"/>
    <n v="2.1153619640888901"/>
    <n v="1"/>
    <n v="-130"/>
    <n v="780"/>
  </r>
  <r>
    <x v="6"/>
    <s v="conventional_refinance_wacls_514"/>
    <x v="554"/>
    <n v="2.1189293681777799"/>
    <n v="1"/>
    <n v="-130"/>
    <n v="780"/>
  </r>
  <r>
    <x v="6"/>
    <s v="conventional_refinance_wacls_515"/>
    <x v="555"/>
    <n v="2.1225263999999999"/>
    <n v="1"/>
    <n v="-130"/>
    <n v="780"/>
  </r>
  <r>
    <x v="6"/>
    <s v="conventional_refinance_wacls_516"/>
    <x v="556"/>
    <n v="2.1261501624888899"/>
    <n v="1"/>
    <n v="-130"/>
    <n v="780"/>
  </r>
  <r>
    <x v="6"/>
    <s v="conventional_refinance_wacls_517"/>
    <x v="557"/>
    <n v="2.1297977585777801"/>
    <n v="1"/>
    <n v="-130"/>
    <n v="780"/>
  </r>
  <r>
    <x v="6"/>
    <s v="conventional_refinance_wacls_518"/>
    <x v="558"/>
    <n v="2.1334662912"/>
    <n v="1"/>
    <n v="-130"/>
    <n v="780"/>
  </r>
  <r>
    <x v="6"/>
    <s v="conventional_refinance_wacls_519"/>
    <x v="559"/>
    <n v="2.1371528632888901"/>
    <n v="1"/>
    <n v="-130"/>
    <n v="780"/>
  </r>
  <r>
    <x v="6"/>
    <s v="conventional_refinance_wacls_520"/>
    <x v="560"/>
    <n v="2.1408545777777799"/>
    <n v="1"/>
    <n v="-130"/>
    <n v="780"/>
  </r>
  <r>
    <x v="6"/>
    <s v="conventional_refinance_wacls_521"/>
    <x v="561"/>
    <n v="2.1445685376000001"/>
    <n v="1"/>
    <n v="-130"/>
    <n v="780"/>
  </r>
  <r>
    <x v="6"/>
    <s v="conventional_refinance_wacls_522"/>
    <x v="562"/>
    <n v="2.14829184568889"/>
    <n v="1"/>
    <n v="-130"/>
    <n v="780"/>
  </r>
  <r>
    <x v="6"/>
    <s v="conventional_refinance_wacls_523"/>
    <x v="563"/>
    <n v="2.1520216049777798"/>
    <n v="1"/>
    <n v="-130"/>
    <n v="780"/>
  </r>
  <r>
    <x v="6"/>
    <s v="conventional_refinance_wacls_524"/>
    <x v="564"/>
    <n v="2.1557549184"/>
    <n v="1"/>
    <n v="-130"/>
    <n v="780"/>
  </r>
  <r>
    <x v="6"/>
    <s v="conventional_refinance_wacls_525"/>
    <x v="565"/>
    <n v="2.1594888888888901"/>
    <n v="1"/>
    <n v="-130"/>
    <n v="780"/>
  </r>
  <r>
    <x v="6"/>
    <s v="conventional_refinance_wacls_526"/>
    <x v="566"/>
    <n v="2.1632206193777801"/>
    <n v="1"/>
    <n v="-130"/>
    <n v="780"/>
  </r>
  <r>
    <x v="6"/>
    <s v="conventional_refinance_wacls_527"/>
    <x v="567"/>
    <n v="2.1669472127999998"/>
    <n v="1"/>
    <n v="-130"/>
    <n v="780"/>
  </r>
  <r>
    <x v="6"/>
    <s v="conventional_refinance_wacls_528"/>
    <x v="568"/>
    <n v="2.1706657720888902"/>
    <n v="1"/>
    <n v="-130"/>
    <n v="780"/>
  </r>
  <r>
    <x v="6"/>
    <s v="conventional_refinance_wacls_529"/>
    <x v="569"/>
    <n v="2.1743734001777799"/>
    <n v="1"/>
    <n v="-130"/>
    <n v="780"/>
  </r>
  <r>
    <x v="6"/>
    <s v="conventional_refinance_wacls_530"/>
    <x v="570"/>
    <n v="2.1780672000000001"/>
    <n v="1"/>
    <n v="-130"/>
    <n v="780"/>
  </r>
  <r>
    <x v="6"/>
    <s v="conventional_refinance_wacls_531"/>
    <x v="571"/>
    <n v="2.18174427448889"/>
    <n v="1"/>
    <n v="-130"/>
    <n v="780"/>
  </r>
  <r>
    <x v="6"/>
    <s v="conventional_refinance_wacls_532"/>
    <x v="572"/>
    <n v="2.1854017265777799"/>
    <n v="1"/>
    <n v="-130"/>
    <n v="780"/>
  </r>
  <r>
    <x v="6"/>
    <s v="conventional_refinance_wacls_533"/>
    <x v="573"/>
    <n v="2.1890366592000001"/>
    <n v="1"/>
    <n v="-130"/>
    <n v="780"/>
  </r>
  <r>
    <x v="6"/>
    <s v="conventional_refinance_wacls_534"/>
    <x v="574"/>
    <n v="2.1926461752888899"/>
    <n v="1"/>
    <n v="-130"/>
    <n v="780"/>
  </r>
  <r>
    <x v="6"/>
    <s v="conventional_refinance_wacls_535"/>
    <x v="575"/>
    <n v="2.1962273777777801"/>
    <n v="1"/>
    <n v="-130"/>
    <n v="780"/>
  </r>
  <r>
    <x v="6"/>
    <s v="conventional_refinance_wacls_536"/>
    <x v="576"/>
    <n v="2.1997773696"/>
    <n v="1"/>
    <n v="-130"/>
    <n v="780"/>
  </r>
  <r>
    <x v="6"/>
    <s v="conventional_refinance_wacls_537"/>
    <x v="577"/>
    <n v="2.2032932536888898"/>
    <n v="1"/>
    <n v="-130"/>
    <n v="780"/>
  </r>
  <r>
    <x v="6"/>
    <s v="conventional_refinance_wacls_538"/>
    <x v="578"/>
    <n v="2.2067721329777799"/>
    <n v="1"/>
    <n v="-130"/>
    <n v="780"/>
  </r>
  <r>
    <x v="6"/>
    <s v="conventional_refinance_wacls_539"/>
    <x v="579"/>
    <n v="2.2102111104"/>
    <n v="1"/>
    <n v="-130"/>
    <n v="780"/>
  </r>
  <r>
    <x v="6"/>
    <s v="conventional_refinance_wacls_540"/>
    <x v="580"/>
    <n v="2.2136072888888898"/>
    <n v="1"/>
    <n v="-130"/>
    <n v="780"/>
  </r>
  <r>
    <x v="6"/>
    <s v="conventional_refinance_wacls_541"/>
    <x v="581"/>
    <n v="2.2169577713777802"/>
    <n v="1"/>
    <n v="-130"/>
    <n v="780"/>
  </r>
  <r>
    <x v="6"/>
    <s v="conventional_refinance_wacls_542"/>
    <x v="582"/>
    <n v="2.2202596608"/>
    <n v="1"/>
    <n v="-130"/>
    <n v="780"/>
  </r>
  <r>
    <x v="6"/>
    <s v="conventional_refinance_wacls_543"/>
    <x v="583"/>
    <n v="2.22351006008889"/>
    <n v="1"/>
    <n v="-130"/>
    <n v="780"/>
  </r>
  <r>
    <x v="6"/>
    <s v="conventional_refinance_wacls_544"/>
    <x v="584"/>
    <n v="2.2267060721777798"/>
    <n v="1"/>
    <n v="-130"/>
    <n v="780"/>
  </r>
  <r>
    <x v="6"/>
    <s v="conventional_refinance_wacls_545"/>
    <x v="585"/>
    <n v="2.2298448"/>
    <n v="1"/>
    <n v="-130"/>
    <n v="780"/>
  </r>
  <r>
    <x v="6"/>
    <s v="conventional_refinance_wacls_546"/>
    <x v="586"/>
    <n v="2.23292334648889"/>
    <n v="1"/>
    <n v="-130"/>
    <n v="780"/>
  </r>
  <r>
    <x v="6"/>
    <s v="conventional_refinance_wacls_547"/>
    <x v="587"/>
    <n v="2.2359388145777799"/>
    <n v="1"/>
    <n v="-130"/>
    <n v="780"/>
  </r>
  <r>
    <x v="6"/>
    <s v="conventional_refinance_wacls_548"/>
    <x v="588"/>
    <n v="2.2388883071999999"/>
    <n v="1"/>
    <n v="-130"/>
    <n v="780"/>
  </r>
  <r>
    <x v="6"/>
    <s v="conventional_refinance_wacls_549"/>
    <x v="589"/>
    <n v="2.2417689272888901"/>
    <n v="1"/>
    <n v="-130"/>
    <n v="780"/>
  </r>
  <r>
    <x v="6"/>
    <s v="conventional_refinance_wacls_550"/>
    <x v="590"/>
    <n v="2.24457777777778"/>
    <n v="1"/>
    <n v="-130"/>
    <n v="780"/>
  </r>
  <r>
    <x v="6"/>
    <s v="conventional_refinance_wacls_551"/>
    <x v="591"/>
    <n v="2.2473119615999999"/>
    <n v="1"/>
    <n v="-130"/>
    <n v="780"/>
  </r>
  <r>
    <x v="6"/>
    <s v="conventional_refinance_wacls_552"/>
    <x v="592"/>
    <n v="2.2499685816888899"/>
    <n v="1"/>
    <n v="-130"/>
    <n v="780"/>
  </r>
  <r>
    <x v="6"/>
    <s v="conventional_refinance_wacls_553"/>
    <x v="593"/>
    <n v="2.2525447409777799"/>
    <n v="1"/>
    <n v="-130"/>
    <n v="780"/>
  </r>
  <r>
    <x v="6"/>
    <s v="conventional_refinance_wacls_554"/>
    <x v="594"/>
    <n v="2.2550375424000002"/>
    <n v="1"/>
    <n v="-130"/>
    <n v="780"/>
  </r>
  <r>
    <x v="6"/>
    <s v="conventional_refinance_wacls_555"/>
    <x v="595"/>
    <n v="2.25744408888889"/>
    <n v="1"/>
    <n v="-130"/>
    <n v="780"/>
  </r>
  <r>
    <x v="6"/>
    <s v="conventional_refinance_wacls_556"/>
    <x v="596"/>
    <n v="2.2597614833777802"/>
    <n v="1"/>
    <n v="-130"/>
    <n v="780"/>
  </r>
  <r>
    <x v="6"/>
    <s v="conventional_refinance_wacls_557"/>
    <x v="597"/>
    <n v="2.2619868288"/>
    <n v="1"/>
    <n v="-130"/>
    <n v="780"/>
  </r>
  <r>
    <x v="6"/>
    <s v="conventional_refinance_wacls_558"/>
    <x v="598"/>
    <n v="2.2641172280888902"/>
    <n v="1"/>
    <n v="-130"/>
    <n v="780"/>
  </r>
  <r>
    <x v="6"/>
    <s v="conventional_refinance_wacls_559"/>
    <x v="599"/>
    <n v="2.26614978417778"/>
    <n v="1"/>
    <n v="-130"/>
    <n v="780"/>
  </r>
  <r>
    <x v="6"/>
    <s v="conventional_refinance_wacls_560"/>
    <x v="600"/>
    <n v="2.2680815999999999"/>
    <n v="1"/>
    <n v="-130"/>
    <n v="780"/>
  </r>
  <r>
    <x v="6"/>
    <s v="conventional_refinance_wacls_561"/>
    <x v="601"/>
    <n v="2.26990977848889"/>
    <n v="1"/>
    <n v="-130"/>
    <n v="780"/>
  </r>
  <r>
    <x v="6"/>
    <s v="conventional_refinance_wacls_562"/>
    <x v="602"/>
    <n v="2.2716314225777801"/>
    <n v="1"/>
    <n v="-130"/>
    <n v="780"/>
  </r>
  <r>
    <x v="6"/>
    <s v="conventional_refinance_wacls_563"/>
    <x v="603"/>
    <n v="2.2732436352000001"/>
    <n v="1"/>
    <n v="-130"/>
    <n v="780"/>
  </r>
  <r>
    <x v="6"/>
    <s v="conventional_refinance_wacls_564"/>
    <x v="604"/>
    <n v="2.2747435192888901"/>
    <n v="1"/>
    <n v="-130"/>
    <n v="780"/>
  </r>
  <r>
    <x v="6"/>
    <s v="conventional_refinance_wacls_565"/>
    <x v="605"/>
    <n v="2.27612817777778"/>
    <n v="1"/>
    <n v="-130"/>
    <n v="780"/>
  </r>
  <r>
    <x v="6"/>
    <s v="conventional_refinance_wacls_566"/>
    <x v="606"/>
    <n v="2.2773947136000001"/>
    <n v="1"/>
    <n v="-130"/>
    <n v="780"/>
  </r>
  <r>
    <x v="6"/>
    <s v="conventional_refinance_wacls_567"/>
    <x v="607"/>
    <n v="2.2785402296888901"/>
    <n v="1"/>
    <n v="-130"/>
    <n v="780"/>
  </r>
  <r>
    <x v="6"/>
    <s v="conventional_refinance_wacls_568"/>
    <x v="608"/>
    <n v="2.2795618289777799"/>
    <n v="1"/>
    <n v="-130"/>
    <n v="780"/>
  </r>
  <r>
    <x v="6"/>
    <s v="conventional_refinance_wacls_569"/>
    <x v="609"/>
    <n v="2.2804566143999998"/>
    <n v="1"/>
    <n v="-130"/>
    <n v="780"/>
  </r>
  <r>
    <x v="6"/>
    <s v="conventional_refinance_wacls_570"/>
    <x v="610"/>
    <n v="2.2812216888888899"/>
    <n v="1"/>
    <n v="-130"/>
    <n v="780"/>
  </r>
  <r>
    <x v="6"/>
    <s v="conventional_refinance_wacls_571"/>
    <x v="611"/>
    <n v="2.28185415537778"/>
    <n v="1"/>
    <n v="-130"/>
    <n v="780"/>
  </r>
  <r>
    <x v="6"/>
    <s v="conventional_refinance_wacls_572"/>
    <x v="612"/>
    <n v="2.2823511168000001"/>
    <n v="1"/>
    <n v="-130"/>
    <n v="780"/>
  </r>
  <r>
    <x v="6"/>
    <s v="conventional_refinance_wacls_573"/>
    <x v="613"/>
    <n v="2.2827096760888899"/>
    <n v="1"/>
    <n v="-130"/>
    <n v="780"/>
  </r>
  <r>
    <x v="6"/>
    <s v="conventional_refinance_wacls_574"/>
    <x v="614"/>
    <n v="2.28292693617778"/>
    <n v="1"/>
    <n v="-130"/>
    <n v="780"/>
  </r>
  <r>
    <x v="6"/>
    <s v="conventional_refinance_wacls_575"/>
    <x v="615"/>
    <n v="2.2829999999999999"/>
    <n v="1"/>
    <n v="-130"/>
    <n v="780"/>
  </r>
  <r>
    <x v="6"/>
    <s v="conventional_refinance_wacls_576"/>
    <x v="616"/>
    <n v="2.2829999999999999"/>
    <n v="1"/>
    <n v="-130"/>
    <n v="780"/>
  </r>
  <r>
    <x v="6"/>
    <s v="conventional_refinance_wacls_577"/>
    <x v="617"/>
    <n v="2.2829999999999999"/>
    <n v="1"/>
    <n v="-130"/>
    <n v="780"/>
  </r>
  <r>
    <x v="6"/>
    <s v="conventional_refinance_wacls_578"/>
    <x v="618"/>
    <n v="2.2829999999999999"/>
    <n v="1"/>
    <n v="-130"/>
    <n v="780"/>
  </r>
  <r>
    <x v="6"/>
    <s v="conventional_refinance_wacls_579"/>
    <x v="619"/>
    <n v="2.2829999999999999"/>
    <n v="1"/>
    <n v="-130"/>
    <n v="780"/>
  </r>
  <r>
    <x v="6"/>
    <s v="conventional_refinance_wacls_580"/>
    <x v="620"/>
    <n v="2.2829999999999999"/>
    <n v="1"/>
    <n v="-130"/>
    <n v="780"/>
  </r>
  <r>
    <x v="6"/>
    <s v="conventional_refinance_wacls_581"/>
    <x v="621"/>
    <n v="2.2829999999999999"/>
    <n v="1"/>
    <n v="-130"/>
    <n v="780"/>
  </r>
  <r>
    <x v="6"/>
    <s v="conventional_refinance_wacls_582"/>
    <x v="622"/>
    <n v="2.2829999999999999"/>
    <n v="1"/>
    <n v="-130"/>
    <n v="780"/>
  </r>
  <r>
    <x v="6"/>
    <s v="conventional_refinance_wacls_583"/>
    <x v="623"/>
    <n v="2.2829999999999999"/>
    <n v="1"/>
    <n v="-130"/>
    <n v="780"/>
  </r>
  <r>
    <x v="6"/>
    <s v="conventional_refinance_wacls_584"/>
    <x v="624"/>
    <n v="2.2829999999999999"/>
    <n v="1"/>
    <n v="-130"/>
    <n v="780"/>
  </r>
  <r>
    <x v="6"/>
    <s v="conventional_refinance_wacls_585"/>
    <x v="625"/>
    <n v="2.2829999999999999"/>
    <n v="1"/>
    <n v="-130"/>
    <n v="780"/>
  </r>
  <r>
    <x v="6"/>
    <s v="conventional_refinance_wacls_586"/>
    <x v="626"/>
    <n v="2.2829999999999999"/>
    <n v="1"/>
    <n v="-130"/>
    <n v="780"/>
  </r>
  <r>
    <x v="6"/>
    <s v="conventional_refinance_wacls_587"/>
    <x v="627"/>
    <n v="2.2829999999999999"/>
    <n v="1"/>
    <n v="-130"/>
    <n v="780"/>
  </r>
  <r>
    <x v="6"/>
    <s v="conventional_refinance_wacls_588"/>
    <x v="628"/>
    <n v="2.2829999999999999"/>
    <n v="1"/>
    <n v="-130"/>
    <n v="780"/>
  </r>
  <r>
    <x v="6"/>
    <s v="conventional_refinance_wacls_589"/>
    <x v="629"/>
    <n v="2.2829999999999999"/>
    <n v="1"/>
    <n v="-130"/>
    <n v="780"/>
  </r>
  <r>
    <x v="6"/>
    <s v="conventional_refinance_wacls_590"/>
    <x v="630"/>
    <n v="2.2829999999999999"/>
    <n v="1"/>
    <n v="-130"/>
    <n v="780"/>
  </r>
  <r>
    <x v="6"/>
    <s v="conventional_refinance_wacls_591"/>
    <x v="631"/>
    <n v="2.2829999999999999"/>
    <n v="1"/>
    <n v="-130"/>
    <n v="780"/>
  </r>
  <r>
    <x v="6"/>
    <s v="conventional_refinance_wacls_592"/>
    <x v="632"/>
    <n v="2.2829999999999999"/>
    <n v="1"/>
    <n v="-130"/>
    <n v="780"/>
  </r>
  <r>
    <x v="6"/>
    <s v="conventional_refinance_wacls_593"/>
    <x v="633"/>
    <n v="2.2829999999999999"/>
    <n v="1"/>
    <n v="-130"/>
    <n v="780"/>
  </r>
  <r>
    <x v="6"/>
    <s v="conventional_refinance_wacls_594"/>
    <x v="634"/>
    <n v="2.2829999999999999"/>
    <n v="1"/>
    <n v="-130"/>
    <n v="780"/>
  </r>
  <r>
    <x v="6"/>
    <s v="conventional_refinance_wacls_595"/>
    <x v="635"/>
    <n v="2.2829999999999999"/>
    <n v="1"/>
    <n v="-130"/>
    <n v="780"/>
  </r>
  <r>
    <x v="6"/>
    <s v="conventional_refinance_wacls_596"/>
    <x v="636"/>
    <n v="2.2829999999999999"/>
    <n v="1"/>
    <n v="-130"/>
    <n v="780"/>
  </r>
  <r>
    <x v="6"/>
    <s v="conventional_refinance_wacls_597"/>
    <x v="637"/>
    <n v="2.2829999999999999"/>
    <n v="1"/>
    <n v="-130"/>
    <n v="780"/>
  </r>
  <r>
    <x v="6"/>
    <s v="conventional_refinance_wacls_598"/>
    <x v="638"/>
    <n v="2.2829999999999999"/>
    <n v="1"/>
    <n v="-130"/>
    <n v="780"/>
  </r>
  <r>
    <x v="6"/>
    <s v="conventional_refinance_wacls_599"/>
    <x v="639"/>
    <n v="2.2829999999999999"/>
    <n v="1"/>
    <n v="-130"/>
    <n v="780"/>
  </r>
  <r>
    <x v="6"/>
    <s v="conventional_refinance_wacls_600"/>
    <x v="640"/>
    <n v="2.2829999999999999"/>
    <n v="1"/>
    <n v="-130"/>
    <n v="780"/>
  </r>
  <r>
    <x v="6"/>
    <s v="conventional_refinance_wacls_601"/>
    <x v="641"/>
    <n v="2.2829999999999999"/>
    <n v="1"/>
    <n v="-130"/>
    <n v="780"/>
  </r>
  <r>
    <x v="6"/>
    <s v="conventional_refinance_wacls_602"/>
    <x v="642"/>
    <n v="2.2829999999999999"/>
    <n v="1"/>
    <n v="-130"/>
    <n v="780"/>
  </r>
  <r>
    <x v="6"/>
    <s v="conventional_refinance_wacls_603"/>
    <x v="643"/>
    <n v="2.2829999999999999"/>
    <n v="1"/>
    <n v="-130"/>
    <n v="780"/>
  </r>
  <r>
    <x v="6"/>
    <s v="conventional_refinance_wacls_604"/>
    <x v="644"/>
    <n v="2.2829999999999999"/>
    <n v="1"/>
    <n v="-130"/>
    <n v="780"/>
  </r>
  <r>
    <x v="6"/>
    <s v="conventional_refinance_wacls_605"/>
    <x v="645"/>
    <n v="2.2829999999999999"/>
    <n v="1"/>
    <n v="-130"/>
    <n v="780"/>
  </r>
  <r>
    <x v="6"/>
    <s v="conventional_refinance_wacls_606"/>
    <x v="646"/>
    <n v="2.2829999999999999"/>
    <n v="1"/>
    <n v="-130"/>
    <n v="780"/>
  </r>
  <r>
    <x v="6"/>
    <s v="conventional_refinance_wacls_607"/>
    <x v="647"/>
    <n v="2.2829999999999999"/>
    <n v="1"/>
    <n v="-130"/>
    <n v="780"/>
  </r>
  <r>
    <x v="6"/>
    <s v="conventional_refinance_wacls_608"/>
    <x v="648"/>
    <n v="2.2829999999999999"/>
    <n v="1"/>
    <n v="-130"/>
    <n v="780"/>
  </r>
  <r>
    <x v="6"/>
    <s v="conventional_refinance_wacls_609"/>
    <x v="649"/>
    <n v="2.2829999999999999"/>
    <n v="1"/>
    <n v="-130"/>
    <n v="780"/>
  </r>
  <r>
    <x v="6"/>
    <s v="conventional_refinance_wacls_610"/>
    <x v="650"/>
    <n v="2.2829999999999999"/>
    <n v="1"/>
    <n v="-130"/>
    <n v="780"/>
  </r>
  <r>
    <x v="6"/>
    <s v="conventional_refinance_wacls_611"/>
    <x v="651"/>
    <n v="2.2829999999999999"/>
    <n v="1"/>
    <n v="-130"/>
    <n v="780"/>
  </r>
  <r>
    <x v="6"/>
    <s v="conventional_refinance_wacls_612"/>
    <x v="652"/>
    <n v="2.2829999999999999"/>
    <n v="1"/>
    <n v="-130"/>
    <n v="780"/>
  </r>
  <r>
    <x v="6"/>
    <s v="conventional_refinance_wacls_613"/>
    <x v="653"/>
    <n v="2.2829999999999999"/>
    <n v="1"/>
    <n v="-130"/>
    <n v="780"/>
  </r>
  <r>
    <x v="6"/>
    <s v="conventional_refinance_wacls_614"/>
    <x v="654"/>
    <n v="2.2829999999999999"/>
    <n v="1"/>
    <n v="-130"/>
    <n v="780"/>
  </r>
  <r>
    <x v="6"/>
    <s v="conventional_refinance_wacls_615"/>
    <x v="655"/>
    <n v="2.2829999999999999"/>
    <n v="1"/>
    <n v="-130"/>
    <n v="780"/>
  </r>
  <r>
    <x v="6"/>
    <s v="conventional_refinance_wacls_616"/>
    <x v="656"/>
    <n v="2.2829999999999999"/>
    <n v="1"/>
    <n v="-130"/>
    <n v="780"/>
  </r>
  <r>
    <x v="6"/>
    <s v="conventional_refinance_wacls_617"/>
    <x v="657"/>
    <n v="2.2829999999999999"/>
    <n v="1"/>
    <n v="-130"/>
    <n v="780"/>
  </r>
  <r>
    <x v="6"/>
    <s v="conventional_refinance_wacls_618"/>
    <x v="658"/>
    <n v="2.2829999999999999"/>
    <n v="1"/>
    <n v="-130"/>
    <n v="780"/>
  </r>
  <r>
    <x v="6"/>
    <s v="conventional_refinance_wacls_619"/>
    <x v="659"/>
    <n v="2.2829999999999999"/>
    <n v="1"/>
    <n v="-130"/>
    <n v="780"/>
  </r>
  <r>
    <x v="6"/>
    <s v="conventional_refinance_wacls_620"/>
    <x v="660"/>
    <n v="2.2829999999999999"/>
    <n v="1"/>
    <n v="-130"/>
    <n v="780"/>
  </r>
  <r>
    <x v="6"/>
    <s v="conventional_refinance_wacls_621"/>
    <x v="661"/>
    <n v="2.2829999999999999"/>
    <n v="1"/>
    <n v="-130"/>
    <n v="780"/>
  </r>
  <r>
    <x v="6"/>
    <s v="conventional_refinance_wacls_622"/>
    <x v="662"/>
    <n v="2.2829999999999999"/>
    <n v="1"/>
    <n v="-130"/>
    <n v="780"/>
  </r>
  <r>
    <x v="6"/>
    <s v="conventional_refinance_wacls_623"/>
    <x v="663"/>
    <n v="2.2829999999999999"/>
    <n v="1"/>
    <n v="-130"/>
    <n v="780"/>
  </r>
  <r>
    <x v="6"/>
    <s v="conventional_refinance_wacls_624"/>
    <x v="664"/>
    <n v="2.2829999999999999"/>
    <n v="1"/>
    <n v="-130"/>
    <n v="780"/>
  </r>
  <r>
    <x v="6"/>
    <s v="conventional_refinance_wacls_625"/>
    <x v="665"/>
    <n v="2.2829999999999999"/>
    <n v="1"/>
    <n v="-130"/>
    <n v="780"/>
  </r>
  <r>
    <x v="6"/>
    <s v="conventional_refinance_wacls_626"/>
    <x v="666"/>
    <n v="2.2829999999999999"/>
    <n v="1"/>
    <n v="-130"/>
    <n v="780"/>
  </r>
  <r>
    <x v="6"/>
    <s v="conventional_refinance_wacls_627"/>
    <x v="667"/>
    <n v="2.2829999999999999"/>
    <n v="1"/>
    <n v="-130"/>
    <n v="780"/>
  </r>
  <r>
    <x v="6"/>
    <s v="conventional_refinance_wacls_628"/>
    <x v="668"/>
    <n v="2.2829999999999999"/>
    <n v="1"/>
    <n v="-130"/>
    <n v="780"/>
  </r>
  <r>
    <x v="6"/>
    <s v="conventional_refinance_wacls_629"/>
    <x v="669"/>
    <n v="2.2829999999999999"/>
    <n v="1"/>
    <n v="-130"/>
    <n v="780"/>
  </r>
  <r>
    <x v="6"/>
    <s v="conventional_refinance_wacls_630"/>
    <x v="670"/>
    <n v="2.2829999999999999"/>
    <n v="1"/>
    <n v="-130"/>
    <n v="780"/>
  </r>
  <r>
    <x v="6"/>
    <s v="conventional_refinance_wacls_631"/>
    <x v="671"/>
    <n v="2.2829999999999999"/>
    <n v="1"/>
    <n v="-130"/>
    <n v="780"/>
  </r>
  <r>
    <x v="6"/>
    <s v="conventional_refinance_wacls_632"/>
    <x v="672"/>
    <n v="2.2829999999999999"/>
    <n v="1"/>
    <n v="-130"/>
    <n v="780"/>
  </r>
  <r>
    <x v="6"/>
    <s v="conventional_refinance_wacls_633"/>
    <x v="673"/>
    <n v="2.2829999999999999"/>
    <n v="1"/>
    <n v="-130"/>
    <n v="780"/>
  </r>
  <r>
    <x v="6"/>
    <s v="conventional_refinance_wacls_634"/>
    <x v="674"/>
    <n v="2.2829999999999999"/>
    <n v="1"/>
    <n v="-130"/>
    <n v="780"/>
  </r>
  <r>
    <x v="6"/>
    <s v="conventional_refinance_wacls_635"/>
    <x v="675"/>
    <n v="2.2829999999999999"/>
    <n v="1"/>
    <n v="-130"/>
    <n v="780"/>
  </r>
  <r>
    <x v="6"/>
    <s v="conventional_refinance_wacls_636"/>
    <x v="676"/>
    <n v="2.2829999999999999"/>
    <n v="1"/>
    <n v="-130"/>
    <n v="780"/>
  </r>
  <r>
    <x v="6"/>
    <s v="conventional_refinance_wacls_637"/>
    <x v="677"/>
    <n v="2.2829999999999999"/>
    <n v="1"/>
    <n v="-130"/>
    <n v="780"/>
  </r>
  <r>
    <x v="6"/>
    <s v="conventional_refinance_wacls_638"/>
    <x v="678"/>
    <n v="2.2829999999999999"/>
    <n v="1"/>
    <n v="-130"/>
    <n v="780"/>
  </r>
  <r>
    <x v="6"/>
    <s v="conventional_refinance_wacls_639"/>
    <x v="679"/>
    <n v="2.2829999999999999"/>
    <n v="1"/>
    <n v="-130"/>
    <n v="780"/>
  </r>
  <r>
    <x v="6"/>
    <s v="conventional_refinance_wacls_640"/>
    <x v="680"/>
    <n v="2.2829999999999999"/>
    <n v="1"/>
    <n v="-130"/>
    <n v="780"/>
  </r>
  <r>
    <x v="6"/>
    <s v="conventional_refinance_wacls_641"/>
    <x v="681"/>
    <n v="2.2829999999999999"/>
    <n v="1"/>
    <n v="-130"/>
    <n v="780"/>
  </r>
  <r>
    <x v="6"/>
    <s v="conventional_refinance_wacls_642"/>
    <x v="682"/>
    <n v="2.2829999999999999"/>
    <n v="1"/>
    <n v="-130"/>
    <n v="780"/>
  </r>
  <r>
    <x v="6"/>
    <s v="conventional_refinance_wacls_643"/>
    <x v="683"/>
    <n v="2.2829999999999999"/>
    <n v="1"/>
    <n v="-130"/>
    <n v="780"/>
  </r>
  <r>
    <x v="6"/>
    <s v="conventional_refinance_wacls_644"/>
    <x v="684"/>
    <n v="2.2829999999999999"/>
    <n v="1"/>
    <n v="-130"/>
    <n v="780"/>
  </r>
  <r>
    <x v="6"/>
    <s v="conventional_refinance_wacls_645"/>
    <x v="685"/>
    <n v="2.2829999999999999"/>
    <n v="1"/>
    <n v="-130"/>
    <n v="780"/>
  </r>
  <r>
    <x v="6"/>
    <s v="conventional_refinance_wacls_646"/>
    <x v="686"/>
    <n v="2.2829999999999999"/>
    <n v="1"/>
    <n v="-130"/>
    <n v="780"/>
  </r>
  <r>
    <x v="6"/>
    <s v="conventional_refinance_wacls_647"/>
    <x v="687"/>
    <n v="2.2829999999999999"/>
    <n v="1"/>
    <n v="-130"/>
    <n v="780"/>
  </r>
  <r>
    <x v="6"/>
    <s v="conventional_refinance_wacls_648"/>
    <x v="688"/>
    <n v="2.2829999999999999"/>
    <n v="1"/>
    <n v="-130"/>
    <n v="780"/>
  </r>
  <r>
    <x v="6"/>
    <s v="conventional_refinance_wacls_649"/>
    <x v="689"/>
    <n v="2.2829999999999999"/>
    <n v="1"/>
    <n v="-130"/>
    <n v="780"/>
  </r>
  <r>
    <x v="6"/>
    <s v="conventional_refinance_wacls_650"/>
    <x v="690"/>
    <n v="2.2829999999999999"/>
    <n v="1"/>
    <n v="-130"/>
    <n v="780"/>
  </r>
  <r>
    <x v="6"/>
    <s v="conventional_refinance_wacls_651"/>
    <x v="691"/>
    <n v="2.2829999999999999"/>
    <n v="1"/>
    <n v="-130"/>
    <n v="780"/>
  </r>
  <r>
    <x v="6"/>
    <s v="conventional_refinance_wacls_652"/>
    <x v="692"/>
    <n v="2.2829999999999999"/>
    <n v="1"/>
    <n v="-130"/>
    <n v="780"/>
  </r>
  <r>
    <x v="6"/>
    <s v="conventional_refinance_wacls_653"/>
    <x v="693"/>
    <n v="2.2829999999999999"/>
    <n v="1"/>
    <n v="-130"/>
    <n v="780"/>
  </r>
  <r>
    <x v="6"/>
    <s v="conventional_refinance_wacls_654"/>
    <x v="694"/>
    <n v="2.2829999999999999"/>
    <n v="1"/>
    <n v="-130"/>
    <n v="780"/>
  </r>
  <r>
    <x v="6"/>
    <s v="conventional_refinance_wacls_655"/>
    <x v="695"/>
    <n v="2.2829999999999999"/>
    <n v="1"/>
    <n v="-130"/>
    <n v="780"/>
  </r>
  <r>
    <x v="6"/>
    <s v="conventional_refinance_wacls_656"/>
    <x v="696"/>
    <n v="2.2829999999999999"/>
    <n v="1"/>
    <n v="-130"/>
    <n v="780"/>
  </r>
  <r>
    <x v="6"/>
    <s v="conventional_refinance_wacls_657"/>
    <x v="697"/>
    <n v="2.2829999999999999"/>
    <n v="1"/>
    <n v="-130"/>
    <n v="780"/>
  </r>
  <r>
    <x v="6"/>
    <s v="conventional_refinance_wacls_658"/>
    <x v="698"/>
    <n v="2.2829999999999999"/>
    <n v="1"/>
    <n v="-130"/>
    <n v="780"/>
  </r>
  <r>
    <x v="6"/>
    <s v="conventional_refinance_wacls_659"/>
    <x v="699"/>
    <n v="2.2829999999999999"/>
    <n v="1"/>
    <n v="-130"/>
    <n v="780"/>
  </r>
  <r>
    <x v="6"/>
    <s v="conventional_refinance_wacls_660"/>
    <x v="700"/>
    <n v="2.2829999999999999"/>
    <n v="1"/>
    <n v="-130"/>
    <n v="780"/>
  </r>
  <r>
    <x v="6"/>
    <s v="conventional_refinance_wacls_661"/>
    <x v="701"/>
    <n v="2.2829999999999999"/>
    <n v="1"/>
    <n v="-130"/>
    <n v="780"/>
  </r>
  <r>
    <x v="6"/>
    <s v="conventional_refinance_wacls_662"/>
    <x v="702"/>
    <n v="2.2829999999999999"/>
    <n v="1"/>
    <n v="-130"/>
    <n v="780"/>
  </r>
  <r>
    <x v="6"/>
    <s v="conventional_refinance_wacls_663"/>
    <x v="703"/>
    <n v="2.2829999999999999"/>
    <n v="1"/>
    <n v="-130"/>
    <n v="780"/>
  </r>
  <r>
    <x v="6"/>
    <s v="conventional_refinance_wacls_664"/>
    <x v="704"/>
    <n v="2.2829999999999999"/>
    <n v="1"/>
    <n v="-130"/>
    <n v="780"/>
  </r>
  <r>
    <x v="6"/>
    <s v="conventional_refinance_wacls_665"/>
    <x v="705"/>
    <n v="2.2829999999999999"/>
    <n v="1"/>
    <n v="-130"/>
    <n v="780"/>
  </r>
  <r>
    <x v="6"/>
    <s v="conventional_refinance_wacls_666"/>
    <x v="706"/>
    <n v="2.2829999999999999"/>
    <n v="1"/>
    <n v="-130"/>
    <n v="780"/>
  </r>
  <r>
    <x v="6"/>
    <s v="conventional_refinance_wacls_667"/>
    <x v="707"/>
    <n v="2.2829999999999999"/>
    <n v="1"/>
    <n v="-130"/>
    <n v="780"/>
  </r>
  <r>
    <x v="6"/>
    <s v="conventional_refinance_wacls_668"/>
    <x v="708"/>
    <n v="2.2829999999999999"/>
    <n v="1"/>
    <n v="-130"/>
    <n v="780"/>
  </r>
  <r>
    <x v="6"/>
    <s v="conventional_refinance_wacls_669"/>
    <x v="709"/>
    <n v="2.2829999999999999"/>
    <n v="1"/>
    <n v="-130"/>
    <n v="780"/>
  </r>
  <r>
    <x v="6"/>
    <s v="conventional_refinance_wacls_670"/>
    <x v="710"/>
    <n v="2.2829999999999999"/>
    <n v="1"/>
    <n v="-130"/>
    <n v="780"/>
  </r>
  <r>
    <x v="6"/>
    <s v="conventional_refinance_wacls_671"/>
    <x v="711"/>
    <n v="2.2829999999999999"/>
    <n v="1"/>
    <n v="-130"/>
    <n v="780"/>
  </r>
  <r>
    <x v="6"/>
    <s v="conventional_refinance_wacls_672"/>
    <x v="712"/>
    <n v="2.2829999999999999"/>
    <n v="1"/>
    <n v="-130"/>
    <n v="780"/>
  </r>
  <r>
    <x v="6"/>
    <s v="conventional_refinance_wacls_673"/>
    <x v="713"/>
    <n v="2.2829999999999999"/>
    <n v="1"/>
    <n v="-130"/>
    <n v="780"/>
  </r>
  <r>
    <x v="6"/>
    <s v="conventional_refinance_wacls_674"/>
    <x v="714"/>
    <n v="2.2829999999999999"/>
    <n v="1"/>
    <n v="-130"/>
    <n v="780"/>
  </r>
  <r>
    <x v="6"/>
    <s v="conventional_refinance_wacls_675"/>
    <x v="715"/>
    <n v="2.2829999999999999"/>
    <n v="1"/>
    <n v="-130"/>
    <n v="780"/>
  </r>
  <r>
    <x v="6"/>
    <s v="conventional_refinance_wacls_676"/>
    <x v="716"/>
    <n v="2.2829999999999999"/>
    <n v="1"/>
    <n v="-130"/>
    <n v="780"/>
  </r>
  <r>
    <x v="6"/>
    <s v="conventional_refinance_wacls_677"/>
    <x v="717"/>
    <n v="2.2829999999999999"/>
    <n v="1"/>
    <n v="-130"/>
    <n v="780"/>
  </r>
  <r>
    <x v="6"/>
    <s v="conventional_refinance_wacls_678"/>
    <x v="718"/>
    <n v="2.2829999999999999"/>
    <n v="1"/>
    <n v="-130"/>
    <n v="780"/>
  </r>
  <r>
    <x v="6"/>
    <s v="conventional_refinance_wacls_679"/>
    <x v="719"/>
    <n v="2.2829999999999999"/>
    <n v="1"/>
    <n v="-130"/>
    <n v="780"/>
  </r>
  <r>
    <x v="6"/>
    <s v="conventional_refinance_wacls_680"/>
    <x v="720"/>
    <n v="2.2829999999999999"/>
    <n v="1"/>
    <n v="-130"/>
    <n v="780"/>
  </r>
  <r>
    <x v="6"/>
    <s v="conventional_refinance_wacls_681"/>
    <x v="721"/>
    <n v="2.2829999999999999"/>
    <n v="1"/>
    <n v="-130"/>
    <n v="780"/>
  </r>
  <r>
    <x v="6"/>
    <s v="conventional_refinance_wacls_682"/>
    <x v="722"/>
    <n v="2.2829999999999999"/>
    <n v="1"/>
    <n v="-130"/>
    <n v="780"/>
  </r>
  <r>
    <x v="6"/>
    <s v="conventional_refinance_wacls_683"/>
    <x v="723"/>
    <n v="2.2829999999999999"/>
    <n v="1"/>
    <n v="-130"/>
    <n v="780"/>
  </r>
  <r>
    <x v="6"/>
    <s v="conventional_refinance_wacls_684"/>
    <x v="724"/>
    <n v="2.2829999999999999"/>
    <n v="1"/>
    <n v="-130"/>
    <n v="780"/>
  </r>
  <r>
    <x v="6"/>
    <s v="conventional_refinance_wacls_685"/>
    <x v="725"/>
    <n v="2.2829999999999999"/>
    <n v="1"/>
    <n v="-130"/>
    <n v="780"/>
  </r>
  <r>
    <x v="6"/>
    <s v="conventional_refinance_wacls_686"/>
    <x v="726"/>
    <n v="2.2829999999999999"/>
    <n v="1"/>
    <n v="-130"/>
    <n v="780"/>
  </r>
  <r>
    <x v="6"/>
    <s v="conventional_refinance_wacls_687"/>
    <x v="727"/>
    <n v="2.2829999999999999"/>
    <n v="1"/>
    <n v="-130"/>
    <n v="780"/>
  </r>
  <r>
    <x v="6"/>
    <s v="conventional_refinance_wacls_688"/>
    <x v="728"/>
    <n v="2.2829999999999999"/>
    <n v="1"/>
    <n v="-130"/>
    <n v="780"/>
  </r>
  <r>
    <x v="6"/>
    <s v="conventional_refinance_wacls_689"/>
    <x v="729"/>
    <n v="2.2829999999999999"/>
    <n v="1"/>
    <n v="-130"/>
    <n v="780"/>
  </r>
  <r>
    <x v="6"/>
    <s v="conventional_refinance_wacls_690"/>
    <x v="730"/>
    <n v="2.2829999999999999"/>
    <n v="1"/>
    <n v="-130"/>
    <n v="780"/>
  </r>
  <r>
    <x v="6"/>
    <s v="conventional_refinance_wacls_691"/>
    <x v="731"/>
    <n v="2.2829999999999999"/>
    <n v="1"/>
    <n v="-130"/>
    <n v="780"/>
  </r>
  <r>
    <x v="6"/>
    <s v="conventional_refinance_wacls_692"/>
    <x v="732"/>
    <n v="2.2829999999999999"/>
    <n v="1"/>
    <n v="-130"/>
    <n v="780"/>
  </r>
  <r>
    <x v="6"/>
    <s v="conventional_refinance_wacls_693"/>
    <x v="733"/>
    <n v="2.2829999999999999"/>
    <n v="1"/>
    <n v="-130"/>
    <n v="780"/>
  </r>
  <r>
    <x v="6"/>
    <s v="conventional_refinance_wacls_694"/>
    <x v="734"/>
    <n v="2.2829999999999999"/>
    <n v="1"/>
    <n v="-130"/>
    <n v="780"/>
  </r>
  <r>
    <x v="6"/>
    <s v="conventional_refinance_wacls_695"/>
    <x v="735"/>
    <n v="2.2829999999999999"/>
    <n v="1"/>
    <n v="-130"/>
    <n v="780"/>
  </r>
  <r>
    <x v="6"/>
    <s v="conventional_refinance_wacls_696"/>
    <x v="736"/>
    <n v="2.2829999999999999"/>
    <n v="1"/>
    <n v="-130"/>
    <n v="780"/>
  </r>
  <r>
    <x v="6"/>
    <s v="conventional_refinance_wacls_697"/>
    <x v="737"/>
    <n v="2.2829999999999999"/>
    <n v="1"/>
    <n v="-130"/>
    <n v="780"/>
  </r>
  <r>
    <x v="6"/>
    <s v="conventional_refinance_wacls_698"/>
    <x v="738"/>
    <n v="2.2829999999999999"/>
    <n v="1"/>
    <n v="-130"/>
    <n v="780"/>
  </r>
  <r>
    <x v="6"/>
    <s v="conventional_refinance_wacls_699"/>
    <x v="739"/>
    <n v="2.2829999999999999"/>
    <n v="1"/>
    <n v="-130"/>
    <n v="780"/>
  </r>
  <r>
    <x v="6"/>
    <s v="conventional_refinance_wacls_700"/>
    <x v="740"/>
    <n v="2.2829999999999999"/>
    <n v="1"/>
    <n v="-130"/>
    <n v="780"/>
  </r>
  <r>
    <x v="6"/>
    <s v="conventional_refinance_wacls_701"/>
    <x v="741"/>
    <n v="2.2829999999999999"/>
    <n v="1"/>
    <n v="-130"/>
    <n v="780"/>
  </r>
  <r>
    <x v="6"/>
    <s v="conventional_refinance_wacls_702"/>
    <x v="742"/>
    <n v="2.2829999999999999"/>
    <n v="1"/>
    <n v="-130"/>
    <n v="780"/>
  </r>
  <r>
    <x v="6"/>
    <s v="conventional_refinance_wacls_703"/>
    <x v="743"/>
    <n v="2.2829999999999999"/>
    <n v="1"/>
    <n v="-130"/>
    <n v="780"/>
  </r>
  <r>
    <x v="6"/>
    <s v="conventional_refinance_wacls_704"/>
    <x v="744"/>
    <n v="2.2829999999999999"/>
    <n v="1"/>
    <n v="-130"/>
    <n v="780"/>
  </r>
  <r>
    <x v="6"/>
    <s v="conventional_refinance_wacls_705"/>
    <x v="745"/>
    <n v="2.2829999999999999"/>
    <n v="1"/>
    <n v="-130"/>
    <n v="780"/>
  </r>
  <r>
    <x v="6"/>
    <s v="conventional_refinance_wacls_706"/>
    <x v="746"/>
    <n v="2.2829999999999999"/>
    <n v="1"/>
    <n v="-130"/>
    <n v="780"/>
  </r>
  <r>
    <x v="6"/>
    <s v="conventional_refinance_wacls_707"/>
    <x v="747"/>
    <n v="2.2829999999999999"/>
    <n v="1"/>
    <n v="-130"/>
    <n v="780"/>
  </r>
  <r>
    <x v="6"/>
    <s v="conventional_refinance_wacls_708"/>
    <x v="748"/>
    <n v="2.2829999999999999"/>
    <n v="1"/>
    <n v="-130"/>
    <n v="780"/>
  </r>
  <r>
    <x v="6"/>
    <s v="conventional_refinance_wacls_709"/>
    <x v="749"/>
    <n v="2.2829999999999999"/>
    <n v="1"/>
    <n v="-130"/>
    <n v="780"/>
  </r>
  <r>
    <x v="6"/>
    <s v="conventional_refinance_wacls_710"/>
    <x v="750"/>
    <n v="2.2829999999999999"/>
    <n v="1"/>
    <n v="-130"/>
    <n v="780"/>
  </r>
  <r>
    <x v="6"/>
    <s v="conventional_refinance_wacls_711"/>
    <x v="751"/>
    <n v="2.2829999999999999"/>
    <n v="1"/>
    <n v="-130"/>
    <n v="780"/>
  </r>
  <r>
    <x v="6"/>
    <s v="conventional_refinance_wacls_712"/>
    <x v="752"/>
    <n v="2.2829999999999999"/>
    <n v="1"/>
    <n v="-130"/>
    <n v="780"/>
  </r>
  <r>
    <x v="6"/>
    <s v="conventional_refinance_wacls_713"/>
    <x v="753"/>
    <n v="2.2829999999999999"/>
    <n v="1"/>
    <n v="-130"/>
    <n v="780"/>
  </r>
  <r>
    <x v="6"/>
    <s v="conventional_refinance_wacls_714"/>
    <x v="754"/>
    <n v="2.2829999999999999"/>
    <n v="1"/>
    <n v="-130"/>
    <n v="780"/>
  </r>
  <r>
    <x v="6"/>
    <s v="conventional_refinance_wacls_715"/>
    <x v="755"/>
    <n v="2.2829999999999999"/>
    <n v="1"/>
    <n v="-130"/>
    <n v="780"/>
  </r>
  <r>
    <x v="6"/>
    <s v="conventional_refinance_wacls_716"/>
    <x v="756"/>
    <n v="2.2829999999999999"/>
    <n v="1"/>
    <n v="-130"/>
    <n v="780"/>
  </r>
  <r>
    <x v="6"/>
    <s v="conventional_refinance_wacls_717"/>
    <x v="757"/>
    <n v="2.2829999999999999"/>
    <n v="1"/>
    <n v="-130"/>
    <n v="780"/>
  </r>
  <r>
    <x v="6"/>
    <s v="conventional_refinance_wacls_718"/>
    <x v="758"/>
    <n v="2.2829999999999999"/>
    <n v="1"/>
    <n v="-130"/>
    <n v="780"/>
  </r>
  <r>
    <x v="6"/>
    <s v="conventional_refinance_wacls_719"/>
    <x v="759"/>
    <n v="2.2829999999999999"/>
    <n v="1"/>
    <n v="-130"/>
    <n v="780"/>
  </r>
  <r>
    <x v="6"/>
    <s v="conventional_refinance_wacls_720"/>
    <x v="760"/>
    <n v="2.2829999999999999"/>
    <n v="1"/>
    <n v="-130"/>
    <n v="780"/>
  </r>
  <r>
    <x v="6"/>
    <s v="conventional_refinance_wacls_721"/>
    <x v="761"/>
    <n v="2.2829999999999999"/>
    <n v="1"/>
    <n v="-130"/>
    <n v="780"/>
  </r>
  <r>
    <x v="6"/>
    <s v="conventional_refinance_wacls_722"/>
    <x v="762"/>
    <n v="2.2829999999999999"/>
    <n v="1"/>
    <n v="-130"/>
    <n v="780"/>
  </r>
  <r>
    <x v="6"/>
    <s v="conventional_refinance_wacls_723"/>
    <x v="763"/>
    <n v="2.2829999999999999"/>
    <n v="1"/>
    <n v="-130"/>
    <n v="780"/>
  </r>
  <r>
    <x v="6"/>
    <s v="conventional_refinance_wacls_724"/>
    <x v="764"/>
    <n v="2.2829999999999999"/>
    <n v="1"/>
    <n v="-130"/>
    <n v="780"/>
  </r>
  <r>
    <x v="6"/>
    <s v="conventional_refinance_wacls_725"/>
    <x v="765"/>
    <n v="2.2829999999999999"/>
    <n v="1"/>
    <n v="-130"/>
    <n v="780"/>
  </r>
  <r>
    <x v="6"/>
    <s v="conventional_refinance_wacls_726"/>
    <x v="766"/>
    <n v="2.2829999999999999"/>
    <n v="1"/>
    <n v="-130"/>
    <n v="780"/>
  </r>
  <r>
    <x v="6"/>
    <s v="conventional_refinance_wacls_727"/>
    <x v="767"/>
    <n v="2.2829999999999999"/>
    <n v="1"/>
    <n v="-130"/>
    <n v="780"/>
  </r>
  <r>
    <x v="6"/>
    <s v="conventional_refinance_wacls_728"/>
    <x v="768"/>
    <n v="2.2829999999999999"/>
    <n v="1"/>
    <n v="-130"/>
    <n v="780"/>
  </r>
  <r>
    <x v="6"/>
    <s v="conventional_refinance_wacls_729"/>
    <x v="769"/>
    <n v="2.2829999999999999"/>
    <n v="1"/>
    <n v="-130"/>
    <n v="780"/>
  </r>
  <r>
    <x v="6"/>
    <s v="conventional_refinance_wacls_730"/>
    <x v="770"/>
    <n v="2.2829999999999999"/>
    <n v="1"/>
    <n v="-130"/>
    <n v="780"/>
  </r>
  <r>
    <x v="6"/>
    <s v="conventional_refinance_wacls_731"/>
    <x v="771"/>
    <n v="2.2829999999999999"/>
    <n v="1"/>
    <n v="-130"/>
    <n v="780"/>
  </r>
  <r>
    <x v="6"/>
    <s v="conventional_refinance_wacls_732"/>
    <x v="772"/>
    <n v="2.2829999999999999"/>
    <n v="1"/>
    <n v="-130"/>
    <n v="780"/>
  </r>
  <r>
    <x v="6"/>
    <s v="conventional_refinance_wacls_733"/>
    <x v="773"/>
    <n v="2.2829999999999999"/>
    <n v="1"/>
    <n v="-130"/>
    <n v="780"/>
  </r>
  <r>
    <x v="6"/>
    <s v="conventional_refinance_wacls_734"/>
    <x v="774"/>
    <n v="2.2829999999999999"/>
    <n v="1"/>
    <n v="-130"/>
    <n v="780"/>
  </r>
  <r>
    <x v="6"/>
    <s v="conventional_refinance_wacls_735"/>
    <x v="775"/>
    <n v="2.2829999999999999"/>
    <n v="1"/>
    <n v="-130"/>
    <n v="780"/>
  </r>
  <r>
    <x v="6"/>
    <s v="conventional_refinance_wacls_736"/>
    <x v="776"/>
    <n v="2.2829999999999999"/>
    <n v="1"/>
    <n v="-130"/>
    <n v="780"/>
  </r>
  <r>
    <x v="6"/>
    <s v="conventional_refinance_wacls_737"/>
    <x v="777"/>
    <n v="2.2829999999999999"/>
    <n v="1"/>
    <n v="-130"/>
    <n v="780"/>
  </r>
  <r>
    <x v="6"/>
    <s v="conventional_refinance_wacls_738"/>
    <x v="778"/>
    <n v="2.2829999999999999"/>
    <n v="1"/>
    <n v="-130"/>
    <n v="780"/>
  </r>
  <r>
    <x v="6"/>
    <s v="conventional_refinance_wacls_739"/>
    <x v="779"/>
    <n v="2.2829999999999999"/>
    <n v="1"/>
    <n v="-130"/>
    <n v="780"/>
  </r>
  <r>
    <x v="6"/>
    <s v="conventional_refinance_wacls_740"/>
    <x v="780"/>
    <n v="2.2829999999999999"/>
    <n v="1"/>
    <n v="-130"/>
    <n v="780"/>
  </r>
  <r>
    <x v="6"/>
    <s v="conventional_refinance_wacls_741"/>
    <x v="781"/>
    <n v="2.2829999999999999"/>
    <n v="1"/>
    <n v="-130"/>
    <n v="780"/>
  </r>
  <r>
    <x v="6"/>
    <s v="conventional_refinance_wacls_742"/>
    <x v="782"/>
    <n v="2.2829999999999999"/>
    <n v="1"/>
    <n v="-130"/>
    <n v="780"/>
  </r>
  <r>
    <x v="6"/>
    <s v="conventional_refinance_wacls_743"/>
    <x v="783"/>
    <n v="2.2829999999999999"/>
    <n v="1"/>
    <n v="-130"/>
    <n v="780"/>
  </r>
  <r>
    <x v="6"/>
    <s v="conventional_refinance_wacls_744"/>
    <x v="784"/>
    <n v="2.2829999999999999"/>
    <n v="1"/>
    <n v="-130"/>
    <n v="780"/>
  </r>
  <r>
    <x v="6"/>
    <s v="conventional_refinance_wacls_745"/>
    <x v="785"/>
    <n v="2.2829999999999999"/>
    <n v="1"/>
    <n v="-130"/>
    <n v="780"/>
  </r>
  <r>
    <x v="6"/>
    <s v="conventional_refinance_wacls_746"/>
    <x v="786"/>
    <n v="2.2829999999999999"/>
    <n v="1"/>
    <n v="-130"/>
    <n v="780"/>
  </r>
  <r>
    <x v="6"/>
    <s v="conventional_refinance_wacls_747"/>
    <x v="787"/>
    <n v="2.2829999999999999"/>
    <n v="1"/>
    <n v="-130"/>
    <n v="780"/>
  </r>
  <r>
    <x v="6"/>
    <s v="conventional_refinance_wacls_748"/>
    <x v="788"/>
    <n v="2.2829999999999999"/>
    <n v="1"/>
    <n v="-130"/>
    <n v="780"/>
  </r>
  <r>
    <x v="6"/>
    <s v="conventional_refinance_wacls_749"/>
    <x v="789"/>
    <n v="2.2829999999999999"/>
    <n v="1"/>
    <n v="-130"/>
    <n v="780"/>
  </r>
  <r>
    <x v="6"/>
    <s v="conventional_refinance_wacls_750"/>
    <x v="790"/>
    <n v="2.2829999999999999"/>
    <n v="1"/>
    <n v="-130"/>
    <n v="780"/>
  </r>
  <r>
    <x v="6"/>
    <s v="conventional_refinance_wacls_751"/>
    <x v="791"/>
    <n v="2.2829999999999999"/>
    <n v="1"/>
    <n v="-130"/>
    <n v="780"/>
  </r>
  <r>
    <x v="6"/>
    <s v="conventional_refinance_wacls_752"/>
    <x v="792"/>
    <n v="2.2829999999999999"/>
    <n v="1"/>
    <n v="-130"/>
    <n v="780"/>
  </r>
  <r>
    <x v="6"/>
    <s v="conventional_refinance_wacls_753"/>
    <x v="793"/>
    <n v="2.2829999999999999"/>
    <n v="1"/>
    <n v="-130"/>
    <n v="780"/>
  </r>
  <r>
    <x v="6"/>
    <s v="conventional_refinance_wacls_754"/>
    <x v="794"/>
    <n v="2.2829999999999999"/>
    <n v="1"/>
    <n v="-130"/>
    <n v="780"/>
  </r>
  <r>
    <x v="6"/>
    <s v="conventional_refinance_wacls_755"/>
    <x v="795"/>
    <n v="2.2829999999999999"/>
    <n v="1"/>
    <n v="-130"/>
    <n v="780"/>
  </r>
  <r>
    <x v="6"/>
    <s v="conventional_refinance_wacls_756"/>
    <x v="796"/>
    <n v="2.2829999999999999"/>
    <n v="1"/>
    <n v="-130"/>
    <n v="780"/>
  </r>
  <r>
    <x v="6"/>
    <s v="conventional_refinance_wacls_757"/>
    <x v="797"/>
    <n v="2.2829999999999999"/>
    <n v="1"/>
    <n v="-130"/>
    <n v="780"/>
  </r>
  <r>
    <x v="6"/>
    <s v="conventional_refinance_wacls_758"/>
    <x v="798"/>
    <n v="2.2829999999999999"/>
    <n v="1"/>
    <n v="-130"/>
    <n v="780"/>
  </r>
  <r>
    <x v="6"/>
    <s v="conventional_refinance_wacls_759"/>
    <x v="799"/>
    <n v="2.2829999999999999"/>
    <n v="1"/>
    <n v="-130"/>
    <n v="780"/>
  </r>
  <r>
    <x v="6"/>
    <s v="conventional_refinance_wacls_760"/>
    <x v="800"/>
    <n v="2.2829999999999999"/>
    <n v="1"/>
    <n v="-130"/>
    <n v="780"/>
  </r>
  <r>
    <x v="6"/>
    <s v="conventional_refinance_wacls_761"/>
    <x v="801"/>
    <n v="2.2829999999999999"/>
    <n v="1"/>
    <n v="-130"/>
    <n v="780"/>
  </r>
  <r>
    <x v="6"/>
    <s v="conventional_refinance_wacls_762"/>
    <x v="802"/>
    <n v="2.2829999999999999"/>
    <n v="1"/>
    <n v="-130"/>
    <n v="780"/>
  </r>
  <r>
    <x v="6"/>
    <s v="conventional_refinance_wacls_763"/>
    <x v="803"/>
    <n v="2.2829999999999999"/>
    <n v="1"/>
    <n v="-130"/>
    <n v="780"/>
  </r>
  <r>
    <x v="6"/>
    <s v="conventional_refinance_wacls_764"/>
    <x v="804"/>
    <n v="2.2829999999999999"/>
    <n v="1"/>
    <n v="-130"/>
    <n v="780"/>
  </r>
  <r>
    <x v="6"/>
    <s v="conventional_refinance_wacls_765"/>
    <x v="805"/>
    <n v="2.2829999999999999"/>
    <n v="1"/>
    <n v="-130"/>
    <n v="780"/>
  </r>
  <r>
    <x v="6"/>
    <s v="conventional_refinance_wacls_766"/>
    <x v="806"/>
    <n v="2.2829999999999999"/>
    <n v="1"/>
    <n v="-130"/>
    <n v="780"/>
  </r>
  <r>
    <x v="6"/>
    <s v="conventional_refinance_wacls_767"/>
    <x v="807"/>
    <n v="2.2829999999999999"/>
    <n v="1"/>
    <n v="-130"/>
    <n v="780"/>
  </r>
  <r>
    <x v="6"/>
    <s v="conventional_refinance_wacls_768"/>
    <x v="808"/>
    <n v="2.2829999999999999"/>
    <n v="1"/>
    <n v="-130"/>
    <n v="780"/>
  </r>
  <r>
    <x v="6"/>
    <s v="conventional_refinance_wacls_769"/>
    <x v="809"/>
    <n v="2.2829999999999999"/>
    <n v="1"/>
    <n v="-130"/>
    <n v="780"/>
  </r>
  <r>
    <x v="6"/>
    <s v="conventional_refinance_wacls_770"/>
    <x v="810"/>
    <n v="2.2829999999999999"/>
    <n v="1"/>
    <n v="-130"/>
    <n v="780"/>
  </r>
  <r>
    <x v="6"/>
    <s v="conventional_refinance_wacls_771"/>
    <x v="811"/>
    <n v="2.2829999999999999"/>
    <n v="1"/>
    <n v="-130"/>
    <n v="780"/>
  </r>
  <r>
    <x v="6"/>
    <s v="conventional_refinance_wacls_772"/>
    <x v="812"/>
    <n v="2.2829999999999999"/>
    <n v="1"/>
    <n v="-130"/>
    <n v="780"/>
  </r>
  <r>
    <x v="6"/>
    <s v="conventional_refinance_wacls_773"/>
    <x v="813"/>
    <n v="2.2829999999999999"/>
    <n v="1"/>
    <n v="-130"/>
    <n v="780"/>
  </r>
  <r>
    <x v="6"/>
    <s v="conventional_refinance_wacls_774"/>
    <x v="814"/>
    <n v="2.2829999999999999"/>
    <n v="1"/>
    <n v="-130"/>
    <n v="780"/>
  </r>
  <r>
    <x v="6"/>
    <s v="conventional_refinance_wacls_775"/>
    <x v="815"/>
    <n v="2.2829999999999999"/>
    <n v="1"/>
    <n v="-130"/>
    <n v="780"/>
  </r>
  <r>
    <x v="6"/>
    <s v="conventional_refinance_wacls_776"/>
    <x v="816"/>
    <n v="2.2829999999999999"/>
    <n v="1"/>
    <n v="-130"/>
    <n v="780"/>
  </r>
  <r>
    <x v="6"/>
    <s v="conventional_refinance_wacls_777"/>
    <x v="817"/>
    <n v="2.2829999999999999"/>
    <n v="1"/>
    <n v="-130"/>
    <n v="780"/>
  </r>
  <r>
    <x v="6"/>
    <s v="conventional_refinance_wacls_778"/>
    <x v="818"/>
    <n v="2.2829999999999999"/>
    <n v="1"/>
    <n v="-130"/>
    <n v="780"/>
  </r>
  <r>
    <x v="6"/>
    <s v="conventional_refinance_wacls_779"/>
    <x v="819"/>
    <n v="2.2829999999999999"/>
    <n v="1"/>
    <n v="-130"/>
    <n v="780"/>
  </r>
  <r>
    <x v="6"/>
    <s v="conventional_refinance_wacls_780"/>
    <x v="820"/>
    <n v="2.2829999999999999"/>
    <n v="1"/>
    <n v="-130"/>
    <n v="780"/>
  </r>
  <r>
    <x v="7"/>
    <s v="conventional_refinance_fico_564"/>
    <x v="604"/>
    <n v="0.66500000000000004"/>
    <n v="1"/>
    <n v="564"/>
    <n v="816"/>
  </r>
  <r>
    <x v="7"/>
    <s v="conventional_refinance_fico_565"/>
    <x v="605"/>
    <n v="0.66500000000000004"/>
    <n v="1"/>
    <n v="564"/>
    <n v="816"/>
  </r>
  <r>
    <x v="7"/>
    <s v="conventional_refinance_fico_566"/>
    <x v="606"/>
    <n v="0.66500000000000004"/>
    <n v="1"/>
    <n v="564"/>
    <n v="816"/>
  </r>
  <r>
    <x v="7"/>
    <s v="conventional_refinance_fico_567"/>
    <x v="607"/>
    <n v="0.66500000000000004"/>
    <n v="1"/>
    <n v="564"/>
    <n v="816"/>
  </r>
  <r>
    <x v="7"/>
    <s v="conventional_refinance_fico_568"/>
    <x v="608"/>
    <n v="0.66500000000000004"/>
    <n v="1"/>
    <n v="564"/>
    <n v="816"/>
  </r>
  <r>
    <x v="7"/>
    <s v="conventional_refinance_fico_569"/>
    <x v="609"/>
    <n v="0.66500000000000004"/>
    <n v="1"/>
    <n v="564"/>
    <n v="816"/>
  </r>
  <r>
    <x v="7"/>
    <s v="conventional_refinance_fico_570"/>
    <x v="610"/>
    <n v="0.66500000000000004"/>
    <n v="1"/>
    <n v="564"/>
    <n v="816"/>
  </r>
  <r>
    <x v="7"/>
    <s v="conventional_refinance_fico_571"/>
    <x v="611"/>
    <n v="0.66500000000000004"/>
    <n v="1"/>
    <n v="564"/>
    <n v="816"/>
  </r>
  <r>
    <x v="7"/>
    <s v="conventional_refinance_fico_572"/>
    <x v="612"/>
    <n v="0.66500000000000004"/>
    <n v="1"/>
    <n v="564"/>
    <n v="816"/>
  </r>
  <r>
    <x v="7"/>
    <s v="conventional_refinance_fico_573"/>
    <x v="613"/>
    <n v="0.66500000000000004"/>
    <n v="1"/>
    <n v="564"/>
    <n v="816"/>
  </r>
  <r>
    <x v="7"/>
    <s v="conventional_refinance_fico_574"/>
    <x v="614"/>
    <n v="0.66500000000000004"/>
    <n v="1"/>
    <n v="564"/>
    <n v="816"/>
  </r>
  <r>
    <x v="7"/>
    <s v="conventional_refinance_fico_575"/>
    <x v="615"/>
    <n v="0.66500000000000004"/>
    <n v="1"/>
    <n v="564"/>
    <n v="816"/>
  </r>
  <r>
    <x v="7"/>
    <s v="conventional_refinance_fico_576"/>
    <x v="616"/>
    <n v="0.66500000000000004"/>
    <n v="1"/>
    <n v="564"/>
    <n v="816"/>
  </r>
  <r>
    <x v="7"/>
    <s v="conventional_refinance_fico_577"/>
    <x v="617"/>
    <n v="0.66500000000000004"/>
    <n v="1"/>
    <n v="564"/>
    <n v="816"/>
  </r>
  <r>
    <x v="7"/>
    <s v="conventional_refinance_fico_578"/>
    <x v="618"/>
    <n v="0.66500000000000004"/>
    <n v="1"/>
    <n v="564"/>
    <n v="816"/>
  </r>
  <r>
    <x v="7"/>
    <s v="conventional_refinance_fico_579"/>
    <x v="619"/>
    <n v="0.66500000000000004"/>
    <n v="1"/>
    <n v="564"/>
    <n v="816"/>
  </r>
  <r>
    <x v="7"/>
    <s v="conventional_refinance_fico_580"/>
    <x v="620"/>
    <n v="0.66500000000000004"/>
    <n v="1"/>
    <n v="564"/>
    <n v="816"/>
  </r>
  <r>
    <x v="7"/>
    <s v="conventional_refinance_fico_581"/>
    <x v="621"/>
    <n v="0.66500000000000004"/>
    <n v="1"/>
    <n v="564"/>
    <n v="816"/>
  </r>
  <r>
    <x v="7"/>
    <s v="conventional_refinance_fico_582"/>
    <x v="622"/>
    <n v="0.66500000000000004"/>
    <n v="1"/>
    <n v="564"/>
    <n v="816"/>
  </r>
  <r>
    <x v="7"/>
    <s v="conventional_refinance_fico_583"/>
    <x v="623"/>
    <n v="0.66500000000000004"/>
    <n v="1"/>
    <n v="564"/>
    <n v="816"/>
  </r>
  <r>
    <x v="7"/>
    <s v="conventional_refinance_fico_584"/>
    <x v="624"/>
    <n v="0.66500000000000004"/>
    <n v="1"/>
    <n v="564"/>
    <n v="816"/>
  </r>
  <r>
    <x v="7"/>
    <s v="conventional_refinance_fico_585"/>
    <x v="625"/>
    <n v="0.66500000000000004"/>
    <n v="1"/>
    <n v="564"/>
    <n v="816"/>
  </r>
  <r>
    <x v="7"/>
    <s v="conventional_refinance_fico_586"/>
    <x v="626"/>
    <n v="0.66500000000000004"/>
    <n v="1"/>
    <n v="564"/>
    <n v="816"/>
  </r>
  <r>
    <x v="7"/>
    <s v="conventional_refinance_fico_587"/>
    <x v="627"/>
    <n v="0.66500000000000004"/>
    <n v="1"/>
    <n v="564"/>
    <n v="816"/>
  </r>
  <r>
    <x v="7"/>
    <s v="conventional_refinance_fico_588"/>
    <x v="628"/>
    <n v="0.66500000000000004"/>
    <n v="1"/>
    <n v="564"/>
    <n v="816"/>
  </r>
  <r>
    <x v="7"/>
    <s v="conventional_refinance_fico_589"/>
    <x v="629"/>
    <n v="0.66500000000000004"/>
    <n v="1"/>
    <n v="564"/>
    <n v="816"/>
  </r>
  <r>
    <x v="7"/>
    <s v="conventional_refinance_fico_590"/>
    <x v="630"/>
    <n v="0.66500000000000004"/>
    <n v="1"/>
    <n v="564"/>
    <n v="816"/>
  </r>
  <r>
    <x v="7"/>
    <s v="conventional_refinance_fico_591"/>
    <x v="631"/>
    <n v="0.66500000000000004"/>
    <n v="1"/>
    <n v="564"/>
    <n v="816"/>
  </r>
  <r>
    <x v="7"/>
    <s v="conventional_refinance_fico_592"/>
    <x v="632"/>
    <n v="0.66500000000000004"/>
    <n v="1"/>
    <n v="564"/>
    <n v="816"/>
  </r>
  <r>
    <x v="7"/>
    <s v="conventional_refinance_fico_593"/>
    <x v="633"/>
    <n v="0.66500000000000004"/>
    <n v="1"/>
    <n v="564"/>
    <n v="816"/>
  </r>
  <r>
    <x v="7"/>
    <s v="conventional_refinance_fico_594"/>
    <x v="634"/>
    <n v="0.66500000000000004"/>
    <n v="1"/>
    <n v="564"/>
    <n v="816"/>
  </r>
  <r>
    <x v="7"/>
    <s v="conventional_refinance_fico_595"/>
    <x v="635"/>
    <n v="0.66500000000000004"/>
    <n v="1"/>
    <n v="564"/>
    <n v="816"/>
  </r>
  <r>
    <x v="7"/>
    <s v="conventional_refinance_fico_596"/>
    <x v="636"/>
    <n v="0.66500000000000004"/>
    <n v="1"/>
    <n v="564"/>
    <n v="816"/>
  </r>
  <r>
    <x v="7"/>
    <s v="conventional_refinance_fico_597"/>
    <x v="637"/>
    <n v="0.66500000000000004"/>
    <n v="1"/>
    <n v="564"/>
    <n v="816"/>
  </r>
  <r>
    <x v="7"/>
    <s v="conventional_refinance_fico_598"/>
    <x v="638"/>
    <n v="0.66500000000000004"/>
    <n v="1"/>
    <n v="564"/>
    <n v="816"/>
  </r>
  <r>
    <x v="7"/>
    <s v="conventional_refinance_fico_599"/>
    <x v="639"/>
    <n v="0.66500000000000004"/>
    <n v="1"/>
    <n v="564"/>
    <n v="816"/>
  </r>
  <r>
    <x v="7"/>
    <s v="conventional_refinance_fico_600"/>
    <x v="640"/>
    <n v="0.66500000000000004"/>
    <n v="1"/>
    <n v="564"/>
    <n v="816"/>
  </r>
  <r>
    <x v="7"/>
    <s v="conventional_refinance_fico_601"/>
    <x v="641"/>
    <n v="0.66500000000000004"/>
    <n v="1"/>
    <n v="564"/>
    <n v="816"/>
  </r>
  <r>
    <x v="7"/>
    <s v="conventional_refinance_fico_602"/>
    <x v="642"/>
    <n v="0.66500000000000004"/>
    <n v="1"/>
    <n v="564"/>
    <n v="816"/>
  </r>
  <r>
    <x v="7"/>
    <s v="conventional_refinance_fico_603"/>
    <x v="643"/>
    <n v="0.66500000000000004"/>
    <n v="1"/>
    <n v="564"/>
    <n v="816"/>
  </r>
  <r>
    <x v="7"/>
    <s v="conventional_refinance_fico_604"/>
    <x v="644"/>
    <n v="0.66500000000000004"/>
    <n v="1"/>
    <n v="564"/>
    <n v="816"/>
  </r>
  <r>
    <x v="7"/>
    <s v="conventional_refinance_fico_605"/>
    <x v="645"/>
    <n v="0.66500000000000004"/>
    <n v="1"/>
    <n v="564"/>
    <n v="816"/>
  </r>
  <r>
    <x v="7"/>
    <s v="conventional_refinance_fico_606"/>
    <x v="646"/>
    <n v="0.66500000000000004"/>
    <n v="1"/>
    <n v="564"/>
    <n v="816"/>
  </r>
  <r>
    <x v="7"/>
    <s v="conventional_refinance_fico_607"/>
    <x v="647"/>
    <n v="0.66500000000000004"/>
    <n v="1"/>
    <n v="564"/>
    <n v="816"/>
  </r>
  <r>
    <x v="7"/>
    <s v="conventional_refinance_fico_608"/>
    <x v="648"/>
    <n v="0.66500000000000004"/>
    <n v="1"/>
    <n v="564"/>
    <n v="816"/>
  </r>
  <r>
    <x v="7"/>
    <s v="conventional_refinance_fico_609"/>
    <x v="649"/>
    <n v="0.66500000000000004"/>
    <n v="1"/>
    <n v="564"/>
    <n v="816"/>
  </r>
  <r>
    <x v="7"/>
    <s v="conventional_refinance_fico_610"/>
    <x v="650"/>
    <n v="0.66500000000000004"/>
    <n v="1"/>
    <n v="564"/>
    <n v="816"/>
  </r>
  <r>
    <x v="7"/>
    <s v="conventional_refinance_fico_611"/>
    <x v="651"/>
    <n v="0.66500000000000004"/>
    <n v="1"/>
    <n v="564"/>
    <n v="816"/>
  </r>
  <r>
    <x v="7"/>
    <s v="conventional_refinance_fico_612"/>
    <x v="652"/>
    <n v="0.66500000000000004"/>
    <n v="1"/>
    <n v="564"/>
    <n v="816"/>
  </r>
  <r>
    <x v="7"/>
    <s v="conventional_refinance_fico_613"/>
    <x v="653"/>
    <n v="0.66500000000000004"/>
    <n v="1"/>
    <n v="564"/>
    <n v="816"/>
  </r>
  <r>
    <x v="7"/>
    <s v="conventional_refinance_fico_614"/>
    <x v="654"/>
    <n v="0.66500000000000004"/>
    <n v="1"/>
    <n v="564"/>
    <n v="816"/>
  </r>
  <r>
    <x v="7"/>
    <s v="conventional_refinance_fico_615"/>
    <x v="655"/>
    <n v="0.66500000000000004"/>
    <n v="1"/>
    <n v="564"/>
    <n v="816"/>
  </r>
  <r>
    <x v="7"/>
    <s v="conventional_refinance_fico_616"/>
    <x v="656"/>
    <n v="0.66500000000000004"/>
    <n v="1"/>
    <n v="564"/>
    <n v="816"/>
  </r>
  <r>
    <x v="7"/>
    <s v="conventional_refinance_fico_617"/>
    <x v="657"/>
    <n v="0.66500000000000004"/>
    <n v="1"/>
    <n v="564"/>
    <n v="816"/>
  </r>
  <r>
    <x v="7"/>
    <s v="conventional_refinance_fico_618"/>
    <x v="658"/>
    <n v="0.66500000000000004"/>
    <n v="1"/>
    <n v="564"/>
    <n v="816"/>
  </r>
  <r>
    <x v="7"/>
    <s v="conventional_refinance_fico_619"/>
    <x v="659"/>
    <n v="0.66500000000000004"/>
    <n v="1"/>
    <n v="564"/>
    <n v="816"/>
  </r>
  <r>
    <x v="7"/>
    <s v="conventional_refinance_fico_620"/>
    <x v="660"/>
    <n v="0.66500000000000004"/>
    <n v="1"/>
    <n v="564"/>
    <n v="816"/>
  </r>
  <r>
    <x v="7"/>
    <s v="conventional_refinance_fico_621"/>
    <x v="661"/>
    <n v="0.66500000000000004"/>
    <n v="1"/>
    <n v="564"/>
    <n v="816"/>
  </r>
  <r>
    <x v="7"/>
    <s v="conventional_refinance_fico_622"/>
    <x v="662"/>
    <n v="0.66500000000000004"/>
    <n v="1"/>
    <n v="564"/>
    <n v="816"/>
  </r>
  <r>
    <x v="7"/>
    <s v="conventional_refinance_fico_623"/>
    <x v="663"/>
    <n v="0.66500000000000004"/>
    <n v="1"/>
    <n v="564"/>
    <n v="816"/>
  </r>
  <r>
    <x v="7"/>
    <s v="conventional_refinance_fico_624"/>
    <x v="664"/>
    <n v="0.66500000000000004"/>
    <n v="1"/>
    <n v="564"/>
    <n v="816"/>
  </r>
  <r>
    <x v="7"/>
    <s v="conventional_refinance_fico_625"/>
    <x v="665"/>
    <n v="0.66500000000000004"/>
    <n v="1"/>
    <n v="564"/>
    <n v="816"/>
  </r>
  <r>
    <x v="7"/>
    <s v="conventional_refinance_fico_626"/>
    <x v="666"/>
    <n v="0.66500000000000004"/>
    <n v="1"/>
    <n v="564"/>
    <n v="816"/>
  </r>
  <r>
    <x v="7"/>
    <s v="conventional_refinance_fico_627"/>
    <x v="667"/>
    <n v="0.66500000000000004"/>
    <n v="1"/>
    <n v="564"/>
    <n v="816"/>
  </r>
  <r>
    <x v="7"/>
    <s v="conventional_refinance_fico_628"/>
    <x v="668"/>
    <n v="0.66500000000000004"/>
    <n v="1"/>
    <n v="564"/>
    <n v="816"/>
  </r>
  <r>
    <x v="7"/>
    <s v="conventional_refinance_fico_629"/>
    <x v="669"/>
    <n v="0.66500000000000004"/>
    <n v="1"/>
    <n v="564"/>
    <n v="816"/>
  </r>
  <r>
    <x v="7"/>
    <s v="conventional_refinance_fico_630"/>
    <x v="670"/>
    <n v="0.66500000000000004"/>
    <n v="1"/>
    <n v="564"/>
    <n v="816"/>
  </r>
  <r>
    <x v="7"/>
    <s v="conventional_refinance_fico_631"/>
    <x v="671"/>
    <n v="0.66500000000000004"/>
    <n v="1"/>
    <n v="564"/>
    <n v="816"/>
  </r>
  <r>
    <x v="7"/>
    <s v="conventional_refinance_fico_632"/>
    <x v="672"/>
    <n v="0.66500000000000004"/>
    <n v="1"/>
    <n v="564"/>
    <n v="816"/>
  </r>
  <r>
    <x v="7"/>
    <s v="conventional_refinance_fico_633"/>
    <x v="673"/>
    <n v="0.66500000000000004"/>
    <n v="1"/>
    <n v="564"/>
    <n v="816"/>
  </r>
  <r>
    <x v="7"/>
    <s v="conventional_refinance_fico_634"/>
    <x v="674"/>
    <n v="0.66500000000000004"/>
    <n v="1"/>
    <n v="564"/>
    <n v="816"/>
  </r>
  <r>
    <x v="7"/>
    <s v="conventional_refinance_fico_635"/>
    <x v="675"/>
    <n v="0.66500000000000004"/>
    <n v="1"/>
    <n v="564"/>
    <n v="816"/>
  </r>
  <r>
    <x v="7"/>
    <s v="conventional_refinance_fico_636"/>
    <x v="676"/>
    <n v="0.66500000000000004"/>
    <n v="1"/>
    <n v="564"/>
    <n v="816"/>
  </r>
  <r>
    <x v="7"/>
    <s v="conventional_refinance_fico_637"/>
    <x v="677"/>
    <n v="0.66500000000000004"/>
    <n v="1"/>
    <n v="564"/>
    <n v="816"/>
  </r>
  <r>
    <x v="7"/>
    <s v="conventional_refinance_fico_638"/>
    <x v="678"/>
    <n v="0.66500000000000004"/>
    <n v="1"/>
    <n v="564"/>
    <n v="816"/>
  </r>
  <r>
    <x v="7"/>
    <s v="conventional_refinance_fico_639"/>
    <x v="679"/>
    <n v="0.66500000000000004"/>
    <n v="1"/>
    <n v="564"/>
    <n v="816"/>
  </r>
  <r>
    <x v="7"/>
    <s v="conventional_refinance_fico_640"/>
    <x v="680"/>
    <n v="0.66500000000000004"/>
    <n v="1"/>
    <n v="564"/>
    <n v="816"/>
  </r>
  <r>
    <x v="7"/>
    <s v="conventional_refinance_fico_641"/>
    <x v="681"/>
    <n v="0.66500000000000004"/>
    <n v="1"/>
    <n v="564"/>
    <n v="816"/>
  </r>
  <r>
    <x v="7"/>
    <s v="conventional_refinance_fico_642"/>
    <x v="682"/>
    <n v="0.66500000000000004"/>
    <n v="1"/>
    <n v="564"/>
    <n v="816"/>
  </r>
  <r>
    <x v="7"/>
    <s v="conventional_refinance_fico_643"/>
    <x v="683"/>
    <n v="0.66500000000000004"/>
    <n v="1"/>
    <n v="564"/>
    <n v="816"/>
  </r>
  <r>
    <x v="7"/>
    <s v="conventional_refinance_fico_644"/>
    <x v="684"/>
    <n v="0.66500000000000004"/>
    <n v="1"/>
    <n v="564"/>
    <n v="816"/>
  </r>
  <r>
    <x v="7"/>
    <s v="conventional_refinance_fico_645"/>
    <x v="685"/>
    <n v="0.66500000000000004"/>
    <n v="1"/>
    <n v="564"/>
    <n v="816"/>
  </r>
  <r>
    <x v="7"/>
    <s v="conventional_refinance_fico_646"/>
    <x v="686"/>
    <n v="0.66500000000000004"/>
    <n v="1"/>
    <n v="564"/>
    <n v="816"/>
  </r>
  <r>
    <x v="7"/>
    <s v="conventional_refinance_fico_647"/>
    <x v="687"/>
    <n v="0.66500000000000004"/>
    <n v="1"/>
    <n v="564"/>
    <n v="816"/>
  </r>
  <r>
    <x v="7"/>
    <s v="conventional_refinance_fico_648"/>
    <x v="688"/>
    <n v="0.66500000000000004"/>
    <n v="1"/>
    <n v="564"/>
    <n v="816"/>
  </r>
  <r>
    <x v="7"/>
    <s v="conventional_refinance_fico_649"/>
    <x v="689"/>
    <n v="0.66500000000000004"/>
    <n v="1"/>
    <n v="564"/>
    <n v="816"/>
  </r>
  <r>
    <x v="7"/>
    <s v="conventional_refinance_fico_650"/>
    <x v="690"/>
    <n v="0.66500000000000004"/>
    <n v="1"/>
    <n v="564"/>
    <n v="816"/>
  </r>
  <r>
    <x v="7"/>
    <s v="conventional_refinance_fico_651"/>
    <x v="691"/>
    <n v="0.66500000000000004"/>
    <n v="1"/>
    <n v="564"/>
    <n v="816"/>
  </r>
  <r>
    <x v="7"/>
    <s v="conventional_refinance_fico_652"/>
    <x v="692"/>
    <n v="0.66500000000000004"/>
    <n v="1"/>
    <n v="564"/>
    <n v="816"/>
  </r>
  <r>
    <x v="7"/>
    <s v="conventional_refinance_fico_653"/>
    <x v="693"/>
    <n v="0.66500000000000004"/>
    <n v="1"/>
    <n v="564"/>
    <n v="816"/>
  </r>
  <r>
    <x v="7"/>
    <s v="conventional_refinance_fico_654"/>
    <x v="694"/>
    <n v="0.66500000000000004"/>
    <n v="1"/>
    <n v="564"/>
    <n v="816"/>
  </r>
  <r>
    <x v="7"/>
    <s v="conventional_refinance_fico_655"/>
    <x v="695"/>
    <n v="0.66500000000000004"/>
    <n v="1"/>
    <n v="564"/>
    <n v="816"/>
  </r>
  <r>
    <x v="7"/>
    <s v="conventional_refinance_fico_656"/>
    <x v="696"/>
    <n v="0.66500000000000004"/>
    <n v="1"/>
    <n v="564"/>
    <n v="816"/>
  </r>
  <r>
    <x v="7"/>
    <s v="conventional_refinance_fico_657"/>
    <x v="697"/>
    <n v="0.66500000000000004"/>
    <n v="1"/>
    <n v="564"/>
    <n v="816"/>
  </r>
  <r>
    <x v="7"/>
    <s v="conventional_refinance_fico_658"/>
    <x v="698"/>
    <n v="0.66500000000000004"/>
    <n v="1"/>
    <n v="564"/>
    <n v="816"/>
  </r>
  <r>
    <x v="7"/>
    <s v="conventional_refinance_fico_659"/>
    <x v="699"/>
    <n v="0.66500000000000004"/>
    <n v="1"/>
    <n v="564"/>
    <n v="816"/>
  </r>
  <r>
    <x v="7"/>
    <s v="conventional_refinance_fico_660"/>
    <x v="700"/>
    <n v="0.66500000000000004"/>
    <n v="1"/>
    <n v="564"/>
    <n v="816"/>
  </r>
  <r>
    <x v="7"/>
    <s v="conventional_refinance_fico_661"/>
    <x v="701"/>
    <n v="0.66500000000000004"/>
    <n v="1"/>
    <n v="564"/>
    <n v="816"/>
  </r>
  <r>
    <x v="7"/>
    <s v="conventional_refinance_fico_662"/>
    <x v="702"/>
    <n v="0.66500000000000004"/>
    <n v="1"/>
    <n v="564"/>
    <n v="816"/>
  </r>
  <r>
    <x v="7"/>
    <s v="conventional_refinance_fico_663"/>
    <x v="703"/>
    <n v="0.66500000000000004"/>
    <n v="1"/>
    <n v="564"/>
    <n v="816"/>
  </r>
  <r>
    <x v="7"/>
    <s v="conventional_refinance_fico_664"/>
    <x v="704"/>
    <n v="0.66500000000000004"/>
    <n v="1"/>
    <n v="564"/>
    <n v="816"/>
  </r>
  <r>
    <x v="7"/>
    <s v="conventional_refinance_fico_665"/>
    <x v="705"/>
    <n v="0.66500000000000004"/>
    <n v="1"/>
    <n v="564"/>
    <n v="816"/>
  </r>
  <r>
    <x v="7"/>
    <s v="conventional_refinance_fico_666"/>
    <x v="706"/>
    <n v="0.66500000000000004"/>
    <n v="1"/>
    <n v="564"/>
    <n v="816"/>
  </r>
  <r>
    <x v="7"/>
    <s v="conventional_refinance_fico_667"/>
    <x v="707"/>
    <n v="0.66500000000000004"/>
    <n v="1"/>
    <n v="564"/>
    <n v="816"/>
  </r>
  <r>
    <x v="7"/>
    <s v="conventional_refinance_fico_668"/>
    <x v="708"/>
    <n v="0.66500000000000004"/>
    <n v="1"/>
    <n v="564"/>
    <n v="816"/>
  </r>
  <r>
    <x v="7"/>
    <s v="conventional_refinance_fico_669"/>
    <x v="709"/>
    <n v="0.66500000000000004"/>
    <n v="1"/>
    <n v="564"/>
    <n v="816"/>
  </r>
  <r>
    <x v="7"/>
    <s v="conventional_refinance_fico_670"/>
    <x v="710"/>
    <n v="0.66500000000000004"/>
    <n v="1"/>
    <n v="564"/>
    <n v="816"/>
  </r>
  <r>
    <x v="7"/>
    <s v="conventional_refinance_fico_671"/>
    <x v="711"/>
    <n v="0.66500000000000004"/>
    <n v="1"/>
    <n v="564"/>
    <n v="816"/>
  </r>
  <r>
    <x v="7"/>
    <s v="conventional_refinance_fico_672"/>
    <x v="712"/>
    <n v="0.66500000000000004"/>
    <n v="1"/>
    <n v="564"/>
    <n v="816"/>
  </r>
  <r>
    <x v="7"/>
    <s v="conventional_refinance_fico_673"/>
    <x v="713"/>
    <n v="0.66500000000000004"/>
    <n v="1"/>
    <n v="564"/>
    <n v="816"/>
  </r>
  <r>
    <x v="7"/>
    <s v="conventional_refinance_fico_674"/>
    <x v="714"/>
    <n v="0.66500000000000004"/>
    <n v="1"/>
    <n v="564"/>
    <n v="816"/>
  </r>
  <r>
    <x v="7"/>
    <s v="conventional_refinance_fico_675"/>
    <x v="715"/>
    <n v="0.66500000000000004"/>
    <n v="1"/>
    <n v="564"/>
    <n v="816"/>
  </r>
  <r>
    <x v="7"/>
    <s v="conventional_refinance_fico_676"/>
    <x v="716"/>
    <n v="0.66500000000000004"/>
    <n v="1"/>
    <n v="564"/>
    <n v="816"/>
  </r>
  <r>
    <x v="7"/>
    <s v="conventional_refinance_fico_677"/>
    <x v="717"/>
    <n v="0.66500000000000004"/>
    <n v="1"/>
    <n v="564"/>
    <n v="816"/>
  </r>
  <r>
    <x v="7"/>
    <s v="conventional_refinance_fico_678"/>
    <x v="718"/>
    <n v="0.66500000000000004"/>
    <n v="1"/>
    <n v="564"/>
    <n v="816"/>
  </r>
  <r>
    <x v="7"/>
    <s v="conventional_refinance_fico_679"/>
    <x v="719"/>
    <n v="0.66500000000000004"/>
    <n v="1"/>
    <n v="564"/>
    <n v="816"/>
  </r>
  <r>
    <x v="7"/>
    <s v="conventional_refinance_fico_680"/>
    <x v="720"/>
    <n v="0.66500000000000004"/>
    <n v="1"/>
    <n v="564"/>
    <n v="816"/>
  </r>
  <r>
    <x v="7"/>
    <s v="conventional_refinance_fico_681"/>
    <x v="721"/>
    <n v="0.66545093749999995"/>
    <n v="1"/>
    <n v="564"/>
    <n v="816"/>
  </r>
  <r>
    <x v="7"/>
    <s v="conventional_refinance_fico_682"/>
    <x v="722"/>
    <n v="0.6667575"/>
    <n v="1"/>
    <n v="564"/>
    <n v="816"/>
  </r>
  <r>
    <x v="7"/>
    <s v="conventional_refinance_fico_683"/>
    <x v="723"/>
    <n v="0.66885031250000004"/>
    <n v="1"/>
    <n v="564"/>
    <n v="816"/>
  </r>
  <r>
    <x v="7"/>
    <s v="conventional_refinance_fico_684"/>
    <x v="724"/>
    <n v="0.67166000000000003"/>
    <n v="1"/>
    <n v="564"/>
    <n v="816"/>
  </r>
  <r>
    <x v="7"/>
    <s v="conventional_refinance_fico_685"/>
    <x v="725"/>
    <n v="0.67511718750000005"/>
    <n v="1"/>
    <n v="564"/>
    <n v="816"/>
  </r>
  <r>
    <x v="7"/>
    <s v="conventional_refinance_fico_686"/>
    <x v="726"/>
    <n v="0.67915250000000005"/>
    <n v="1"/>
    <n v="564"/>
    <n v="816"/>
  </r>
  <r>
    <x v="7"/>
    <s v="conventional_refinance_fico_687"/>
    <x v="727"/>
    <n v="0.68369656249999999"/>
    <n v="1"/>
    <n v="564"/>
    <n v="816"/>
  </r>
  <r>
    <x v="7"/>
    <s v="conventional_refinance_fico_688"/>
    <x v="728"/>
    <n v="0.68867999999999996"/>
    <n v="1"/>
    <n v="564"/>
    <n v="816"/>
  </r>
  <r>
    <x v="7"/>
    <s v="conventional_refinance_fico_689"/>
    <x v="729"/>
    <n v="0.69403343750000002"/>
    <n v="1"/>
    <n v="564"/>
    <n v="816"/>
  </r>
  <r>
    <x v="7"/>
    <s v="conventional_refinance_fico_690"/>
    <x v="730"/>
    <n v="0.69968750000000002"/>
    <n v="1"/>
    <n v="564"/>
    <n v="816"/>
  </r>
  <r>
    <x v="7"/>
    <s v="conventional_refinance_fico_691"/>
    <x v="731"/>
    <n v="0.70557281250000004"/>
    <n v="1"/>
    <n v="564"/>
    <n v="816"/>
  </r>
  <r>
    <x v="7"/>
    <s v="conventional_refinance_fico_692"/>
    <x v="732"/>
    <n v="0.71162000000000003"/>
    <n v="1"/>
    <n v="564"/>
    <n v="816"/>
  </r>
  <r>
    <x v="7"/>
    <s v="conventional_refinance_fico_693"/>
    <x v="733"/>
    <n v="0.71775968749999997"/>
    <n v="1"/>
    <n v="564"/>
    <n v="816"/>
  </r>
  <r>
    <x v="7"/>
    <s v="conventional_refinance_fico_694"/>
    <x v="734"/>
    <n v="0.72392250000000002"/>
    <n v="1"/>
    <n v="564"/>
    <n v="816"/>
  </r>
  <r>
    <x v="7"/>
    <s v="conventional_refinance_fico_695"/>
    <x v="735"/>
    <n v="0.73003906249999995"/>
    <n v="1"/>
    <n v="564"/>
    <n v="816"/>
  </r>
  <r>
    <x v="7"/>
    <s v="conventional_refinance_fico_696"/>
    <x v="736"/>
    <n v="0.73604000000000003"/>
    <n v="1"/>
    <n v="564"/>
    <n v="816"/>
  </r>
  <r>
    <x v="7"/>
    <s v="conventional_refinance_fico_697"/>
    <x v="737"/>
    <n v="0.74185593750000001"/>
    <n v="1"/>
    <n v="564"/>
    <n v="816"/>
  </r>
  <r>
    <x v="7"/>
    <s v="conventional_refinance_fico_698"/>
    <x v="738"/>
    <n v="0.74741749999999996"/>
    <n v="1"/>
    <n v="564"/>
    <n v="816"/>
  </r>
  <r>
    <x v="7"/>
    <s v="conventional_refinance_fico_699"/>
    <x v="739"/>
    <n v="0.75265531249999995"/>
    <n v="1"/>
    <n v="564"/>
    <n v="816"/>
  </r>
  <r>
    <x v="7"/>
    <s v="conventional_refinance_fico_700"/>
    <x v="740"/>
    <n v="0.75749999999999995"/>
    <n v="1"/>
    <n v="564"/>
    <n v="816"/>
  </r>
  <r>
    <x v="7"/>
    <s v="conventional_refinance_fico_701"/>
    <x v="741"/>
    <n v="0.76205671875000003"/>
    <n v="1"/>
    <n v="564"/>
    <n v="816"/>
  </r>
  <r>
    <x v="7"/>
    <s v="conventional_refinance_fico_702"/>
    <x v="742"/>
    <n v="0.76649124999999996"/>
    <n v="1"/>
    <n v="564"/>
    <n v="816"/>
  </r>
  <r>
    <x v="7"/>
    <s v="conventional_refinance_fico_703"/>
    <x v="743"/>
    <n v="0.77082515625000003"/>
    <n v="1"/>
    <n v="564"/>
    <n v="816"/>
  </r>
  <r>
    <x v="7"/>
    <s v="conventional_refinance_fico_704"/>
    <x v="744"/>
    <n v="0.77507999999999999"/>
    <n v="1"/>
    <n v="564"/>
    <n v="816"/>
  </r>
  <r>
    <x v="7"/>
    <s v="conventional_refinance_fico_705"/>
    <x v="745"/>
    <n v="0.77927734375000002"/>
    <n v="1"/>
    <n v="564"/>
    <n v="816"/>
  </r>
  <r>
    <x v="7"/>
    <s v="conventional_refinance_fico_706"/>
    <x v="746"/>
    <n v="0.78343874999999996"/>
    <n v="1"/>
    <n v="564"/>
    <n v="816"/>
  </r>
  <r>
    <x v="7"/>
    <s v="conventional_refinance_fico_707"/>
    <x v="747"/>
    <n v="0.78758578125000001"/>
    <n v="1"/>
    <n v="564"/>
    <n v="816"/>
  </r>
  <r>
    <x v="7"/>
    <s v="conventional_refinance_fico_708"/>
    <x v="748"/>
    <n v="0.79174"/>
    <n v="1"/>
    <n v="564"/>
    <n v="816"/>
  </r>
  <r>
    <x v="7"/>
    <s v="conventional_refinance_fico_709"/>
    <x v="749"/>
    <n v="0.79592296875000001"/>
    <n v="1"/>
    <n v="564"/>
    <n v="816"/>
  </r>
  <r>
    <x v="7"/>
    <s v="conventional_refinance_fico_710"/>
    <x v="750"/>
    <n v="0.80015625000000001"/>
    <n v="1"/>
    <n v="564"/>
    <n v="816"/>
  </r>
  <r>
    <x v="7"/>
    <s v="conventional_refinance_fico_711"/>
    <x v="751"/>
    <n v="0.80446140624999996"/>
    <n v="1"/>
    <n v="564"/>
    <n v="816"/>
  </r>
  <r>
    <x v="7"/>
    <s v="conventional_refinance_fico_712"/>
    <x v="752"/>
    <n v="0.80886000000000002"/>
    <n v="1"/>
    <n v="564"/>
    <n v="816"/>
  </r>
  <r>
    <x v="7"/>
    <s v="conventional_refinance_fico_713"/>
    <x v="753"/>
    <n v="0.81337359374999996"/>
    <n v="1"/>
    <n v="564"/>
    <n v="816"/>
  </r>
  <r>
    <x v="7"/>
    <s v="conventional_refinance_fico_714"/>
    <x v="754"/>
    <n v="0.81802375000000005"/>
    <n v="1"/>
    <n v="564"/>
    <n v="816"/>
  </r>
  <r>
    <x v="7"/>
    <s v="conventional_refinance_fico_715"/>
    <x v="755"/>
    <n v="0.82283203125000004"/>
    <n v="1"/>
    <n v="564"/>
    <n v="816"/>
  </r>
  <r>
    <x v="7"/>
    <s v="conventional_refinance_fico_716"/>
    <x v="756"/>
    <n v="0.82782"/>
    <n v="1"/>
    <n v="564"/>
    <n v="816"/>
  </r>
  <r>
    <x v="7"/>
    <s v="conventional_refinance_fico_717"/>
    <x v="757"/>
    <n v="0.83300921875"/>
    <n v="1"/>
    <n v="564"/>
    <n v="816"/>
  </r>
  <r>
    <x v="7"/>
    <s v="conventional_refinance_fico_718"/>
    <x v="758"/>
    <n v="0.83842125000000001"/>
    <n v="1"/>
    <n v="564"/>
    <n v="816"/>
  </r>
  <r>
    <x v="7"/>
    <s v="conventional_refinance_fico_719"/>
    <x v="759"/>
    <n v="0.84407765624999997"/>
    <n v="1"/>
    <n v="564"/>
    <n v="816"/>
  </r>
  <r>
    <x v="7"/>
    <s v="conventional_refinance_fico_720"/>
    <x v="760"/>
    <n v="0.85"/>
    <n v="1"/>
    <n v="564"/>
    <n v="816"/>
  </r>
  <r>
    <x v="7"/>
    <s v="conventional_refinance_fico_721"/>
    <x v="761"/>
    <n v="0.85655890624999997"/>
    <n v="1"/>
    <n v="564"/>
    <n v="816"/>
  </r>
  <r>
    <x v="7"/>
    <s v="conventional_refinance_fico_722"/>
    <x v="762"/>
    <n v="0.86402124999999996"/>
    <n v="1"/>
    <n v="564"/>
    <n v="816"/>
  </r>
  <r>
    <x v="7"/>
    <s v="conventional_refinance_fico_723"/>
    <x v="763"/>
    <n v="0.87225296875000002"/>
    <n v="1"/>
    <n v="564"/>
    <n v="816"/>
  </r>
  <r>
    <x v="7"/>
    <s v="conventional_refinance_fico_724"/>
    <x v="764"/>
    <n v="0.88112000000000001"/>
    <n v="1"/>
    <n v="564"/>
    <n v="816"/>
  </r>
  <r>
    <x v="7"/>
    <s v="conventional_refinance_fico_725"/>
    <x v="765"/>
    <n v="0.89048828125000001"/>
    <n v="1"/>
    <n v="564"/>
    <n v="816"/>
  </r>
  <r>
    <x v="7"/>
    <s v="conventional_refinance_fico_726"/>
    <x v="766"/>
    <n v="0.90022374999999999"/>
    <n v="1"/>
    <n v="564"/>
    <n v="816"/>
  </r>
  <r>
    <x v="7"/>
    <s v="conventional_refinance_fico_727"/>
    <x v="767"/>
    <n v="0.91019234375000002"/>
    <n v="1"/>
    <n v="564"/>
    <n v="816"/>
  </r>
  <r>
    <x v="7"/>
    <s v="conventional_refinance_fico_728"/>
    <x v="768"/>
    <n v="0.92025999999999997"/>
    <n v="1"/>
    <n v="564"/>
    <n v="816"/>
  </r>
  <r>
    <x v="7"/>
    <s v="conventional_refinance_fico_729"/>
    <x v="769"/>
    <n v="0.93029265625000002"/>
    <n v="1"/>
    <n v="564"/>
    <n v="816"/>
  </r>
  <r>
    <x v="7"/>
    <s v="conventional_refinance_fico_730"/>
    <x v="770"/>
    <n v="0.94015625000000003"/>
    <n v="1"/>
    <n v="564"/>
    <n v="816"/>
  </r>
  <r>
    <x v="7"/>
    <s v="conventional_refinance_fico_731"/>
    <x v="771"/>
    <n v="0.94971671874999997"/>
    <n v="1"/>
    <n v="564"/>
    <n v="816"/>
  </r>
  <r>
    <x v="7"/>
    <s v="conventional_refinance_fico_732"/>
    <x v="772"/>
    <n v="0.95884000000000003"/>
    <n v="1"/>
    <n v="564"/>
    <n v="816"/>
  </r>
  <r>
    <x v="7"/>
    <s v="conventional_refinance_fico_733"/>
    <x v="773"/>
    <n v="0.96739203124999995"/>
    <n v="1"/>
    <n v="564"/>
    <n v="816"/>
  </r>
  <r>
    <x v="7"/>
    <s v="conventional_refinance_fico_734"/>
    <x v="774"/>
    <n v="0.97523875000000004"/>
    <n v="1"/>
    <n v="564"/>
    <n v="816"/>
  </r>
  <r>
    <x v="7"/>
    <s v="conventional_refinance_fico_735"/>
    <x v="775"/>
    <n v="0.98224609375000005"/>
    <n v="1"/>
    <n v="564"/>
    <n v="816"/>
  </r>
  <r>
    <x v="7"/>
    <s v="conventional_refinance_fico_736"/>
    <x v="776"/>
    <n v="0.98828000000000005"/>
    <n v="1"/>
    <n v="564"/>
    <n v="816"/>
  </r>
  <r>
    <x v="7"/>
    <s v="conventional_refinance_fico_737"/>
    <x v="777"/>
    <n v="0.99320640625000001"/>
    <n v="1"/>
    <n v="564"/>
    <n v="816"/>
  </r>
  <r>
    <x v="7"/>
    <s v="conventional_refinance_fico_738"/>
    <x v="778"/>
    <n v="0.99689125000000001"/>
    <n v="1"/>
    <n v="564"/>
    <n v="816"/>
  </r>
  <r>
    <x v="7"/>
    <s v="conventional_refinance_fico_739"/>
    <x v="779"/>
    <n v="0.99920046875000001"/>
    <n v="1"/>
    <n v="564"/>
    <n v="816"/>
  </r>
  <r>
    <x v="7"/>
    <s v="conventional_refinance_fico_740"/>
    <x v="780"/>
    <n v="1"/>
    <n v="1"/>
    <n v="564"/>
    <n v="816"/>
  </r>
  <r>
    <x v="7"/>
    <s v="conventional_refinance_fico_741"/>
    <x v="781"/>
    <n v="1"/>
    <n v="1"/>
    <n v="564"/>
    <n v="816"/>
  </r>
  <r>
    <x v="7"/>
    <s v="conventional_refinance_fico_742"/>
    <x v="782"/>
    <n v="1"/>
    <n v="1"/>
    <n v="564"/>
    <n v="816"/>
  </r>
  <r>
    <x v="7"/>
    <s v="conventional_refinance_fico_743"/>
    <x v="783"/>
    <n v="1"/>
    <n v="1"/>
    <n v="564"/>
    <n v="816"/>
  </r>
  <r>
    <x v="7"/>
    <s v="conventional_refinance_fico_744"/>
    <x v="784"/>
    <n v="1"/>
    <n v="1"/>
    <n v="564"/>
    <n v="816"/>
  </r>
  <r>
    <x v="7"/>
    <s v="conventional_refinance_fico_745"/>
    <x v="785"/>
    <n v="1"/>
    <n v="1"/>
    <n v="564"/>
    <n v="816"/>
  </r>
  <r>
    <x v="7"/>
    <s v="conventional_refinance_fico_746"/>
    <x v="786"/>
    <n v="1"/>
    <n v="1"/>
    <n v="564"/>
    <n v="816"/>
  </r>
  <r>
    <x v="7"/>
    <s v="conventional_refinance_fico_747"/>
    <x v="787"/>
    <n v="1"/>
    <n v="1"/>
    <n v="564"/>
    <n v="816"/>
  </r>
  <r>
    <x v="7"/>
    <s v="conventional_refinance_fico_748"/>
    <x v="788"/>
    <n v="1"/>
    <n v="1"/>
    <n v="564"/>
    <n v="816"/>
  </r>
  <r>
    <x v="7"/>
    <s v="conventional_refinance_fico_749"/>
    <x v="789"/>
    <n v="1"/>
    <n v="1"/>
    <n v="564"/>
    <n v="816"/>
  </r>
  <r>
    <x v="7"/>
    <s v="conventional_refinance_fico_750"/>
    <x v="790"/>
    <n v="1"/>
    <n v="1"/>
    <n v="564"/>
    <n v="816"/>
  </r>
  <r>
    <x v="7"/>
    <s v="conventional_refinance_fico_751"/>
    <x v="791"/>
    <n v="1"/>
    <n v="1"/>
    <n v="564"/>
    <n v="816"/>
  </r>
  <r>
    <x v="7"/>
    <s v="conventional_refinance_fico_752"/>
    <x v="792"/>
    <n v="1"/>
    <n v="1"/>
    <n v="564"/>
    <n v="816"/>
  </r>
  <r>
    <x v="7"/>
    <s v="conventional_refinance_fico_753"/>
    <x v="793"/>
    <n v="1"/>
    <n v="1"/>
    <n v="564"/>
    <n v="816"/>
  </r>
  <r>
    <x v="7"/>
    <s v="conventional_refinance_fico_754"/>
    <x v="794"/>
    <n v="1"/>
    <n v="1"/>
    <n v="564"/>
    <n v="816"/>
  </r>
  <r>
    <x v="7"/>
    <s v="conventional_refinance_fico_755"/>
    <x v="795"/>
    <n v="1"/>
    <n v="1"/>
    <n v="564"/>
    <n v="816"/>
  </r>
  <r>
    <x v="7"/>
    <s v="conventional_refinance_fico_756"/>
    <x v="796"/>
    <n v="1"/>
    <n v="1"/>
    <n v="564"/>
    <n v="816"/>
  </r>
  <r>
    <x v="7"/>
    <s v="conventional_refinance_fico_757"/>
    <x v="797"/>
    <n v="1"/>
    <n v="1"/>
    <n v="564"/>
    <n v="816"/>
  </r>
  <r>
    <x v="7"/>
    <s v="conventional_refinance_fico_758"/>
    <x v="798"/>
    <n v="1"/>
    <n v="1"/>
    <n v="564"/>
    <n v="816"/>
  </r>
  <r>
    <x v="7"/>
    <s v="conventional_refinance_fico_759"/>
    <x v="799"/>
    <n v="1"/>
    <n v="1"/>
    <n v="564"/>
    <n v="816"/>
  </r>
  <r>
    <x v="7"/>
    <s v="conventional_refinance_fico_760"/>
    <x v="800"/>
    <n v="1"/>
    <n v="1"/>
    <n v="564"/>
    <n v="816"/>
  </r>
  <r>
    <x v="7"/>
    <s v="conventional_refinance_fico_761"/>
    <x v="801"/>
    <n v="1"/>
    <n v="1"/>
    <n v="564"/>
    <n v="816"/>
  </r>
  <r>
    <x v="7"/>
    <s v="conventional_refinance_fico_762"/>
    <x v="802"/>
    <n v="1"/>
    <n v="1"/>
    <n v="564"/>
    <n v="816"/>
  </r>
  <r>
    <x v="7"/>
    <s v="conventional_refinance_fico_763"/>
    <x v="803"/>
    <n v="1"/>
    <n v="1"/>
    <n v="564"/>
    <n v="816"/>
  </r>
  <r>
    <x v="7"/>
    <s v="conventional_refinance_fico_764"/>
    <x v="804"/>
    <n v="1"/>
    <n v="1"/>
    <n v="564"/>
    <n v="816"/>
  </r>
  <r>
    <x v="7"/>
    <s v="conventional_refinance_fico_765"/>
    <x v="805"/>
    <n v="1"/>
    <n v="1"/>
    <n v="564"/>
    <n v="816"/>
  </r>
  <r>
    <x v="7"/>
    <s v="conventional_refinance_fico_766"/>
    <x v="806"/>
    <n v="1"/>
    <n v="1"/>
    <n v="564"/>
    <n v="816"/>
  </r>
  <r>
    <x v="7"/>
    <s v="conventional_refinance_fico_767"/>
    <x v="807"/>
    <n v="1"/>
    <n v="1"/>
    <n v="564"/>
    <n v="816"/>
  </r>
  <r>
    <x v="7"/>
    <s v="conventional_refinance_fico_768"/>
    <x v="808"/>
    <n v="1"/>
    <n v="1"/>
    <n v="564"/>
    <n v="816"/>
  </r>
  <r>
    <x v="7"/>
    <s v="conventional_refinance_fico_769"/>
    <x v="809"/>
    <n v="1"/>
    <n v="1"/>
    <n v="564"/>
    <n v="816"/>
  </r>
  <r>
    <x v="7"/>
    <s v="conventional_refinance_fico_770"/>
    <x v="810"/>
    <n v="1"/>
    <n v="1"/>
    <n v="564"/>
    <n v="816"/>
  </r>
  <r>
    <x v="7"/>
    <s v="conventional_refinance_fico_771"/>
    <x v="811"/>
    <n v="1"/>
    <n v="1"/>
    <n v="564"/>
    <n v="816"/>
  </r>
  <r>
    <x v="7"/>
    <s v="conventional_refinance_fico_772"/>
    <x v="812"/>
    <n v="1"/>
    <n v="1"/>
    <n v="564"/>
    <n v="816"/>
  </r>
  <r>
    <x v="7"/>
    <s v="conventional_refinance_fico_773"/>
    <x v="813"/>
    <n v="1"/>
    <n v="1"/>
    <n v="564"/>
    <n v="816"/>
  </r>
  <r>
    <x v="7"/>
    <s v="conventional_refinance_fico_774"/>
    <x v="814"/>
    <n v="1"/>
    <n v="1"/>
    <n v="564"/>
    <n v="816"/>
  </r>
  <r>
    <x v="7"/>
    <s v="conventional_refinance_fico_775"/>
    <x v="815"/>
    <n v="1"/>
    <n v="1"/>
    <n v="564"/>
    <n v="816"/>
  </r>
  <r>
    <x v="7"/>
    <s v="conventional_refinance_fico_776"/>
    <x v="816"/>
    <n v="1"/>
    <n v="1"/>
    <n v="564"/>
    <n v="816"/>
  </r>
  <r>
    <x v="7"/>
    <s v="conventional_refinance_fico_777"/>
    <x v="817"/>
    <n v="1"/>
    <n v="1"/>
    <n v="564"/>
    <n v="816"/>
  </r>
  <r>
    <x v="7"/>
    <s v="conventional_refinance_fico_778"/>
    <x v="818"/>
    <n v="1"/>
    <n v="1"/>
    <n v="564"/>
    <n v="816"/>
  </r>
  <r>
    <x v="7"/>
    <s v="conventional_refinance_fico_779"/>
    <x v="819"/>
    <n v="1"/>
    <n v="1"/>
    <n v="564"/>
    <n v="816"/>
  </r>
  <r>
    <x v="7"/>
    <s v="conventional_refinance_fico_780"/>
    <x v="820"/>
    <n v="1"/>
    <n v="1"/>
    <n v="564"/>
    <n v="816"/>
  </r>
  <r>
    <x v="7"/>
    <s v="conventional_refinance_fico_781"/>
    <x v="821"/>
    <n v="1"/>
    <n v="1"/>
    <n v="564"/>
    <n v="816"/>
  </r>
  <r>
    <x v="7"/>
    <s v="conventional_refinance_fico_782"/>
    <x v="822"/>
    <n v="1"/>
    <n v="1"/>
    <n v="564"/>
    <n v="816"/>
  </r>
  <r>
    <x v="7"/>
    <s v="conventional_refinance_fico_783"/>
    <x v="823"/>
    <n v="1"/>
    <n v="1"/>
    <n v="564"/>
    <n v="816"/>
  </r>
  <r>
    <x v="7"/>
    <s v="conventional_refinance_fico_784"/>
    <x v="824"/>
    <n v="1"/>
    <n v="1"/>
    <n v="564"/>
    <n v="816"/>
  </r>
  <r>
    <x v="7"/>
    <s v="conventional_refinance_fico_785"/>
    <x v="825"/>
    <n v="1"/>
    <n v="1"/>
    <n v="564"/>
    <n v="816"/>
  </r>
  <r>
    <x v="7"/>
    <s v="conventional_refinance_fico_786"/>
    <x v="826"/>
    <n v="1"/>
    <n v="1"/>
    <n v="564"/>
    <n v="816"/>
  </r>
  <r>
    <x v="7"/>
    <s v="conventional_refinance_fico_787"/>
    <x v="827"/>
    <n v="1"/>
    <n v="1"/>
    <n v="564"/>
    <n v="816"/>
  </r>
  <r>
    <x v="7"/>
    <s v="conventional_refinance_fico_788"/>
    <x v="828"/>
    <n v="1"/>
    <n v="1"/>
    <n v="564"/>
    <n v="816"/>
  </r>
  <r>
    <x v="7"/>
    <s v="conventional_refinance_fico_789"/>
    <x v="829"/>
    <n v="1"/>
    <n v="1"/>
    <n v="564"/>
    <n v="816"/>
  </r>
  <r>
    <x v="7"/>
    <s v="conventional_refinance_fico_790"/>
    <x v="830"/>
    <n v="1"/>
    <n v="1"/>
    <n v="564"/>
    <n v="816"/>
  </r>
  <r>
    <x v="7"/>
    <s v="conventional_refinance_fico_791"/>
    <x v="831"/>
    <n v="1"/>
    <n v="1"/>
    <n v="564"/>
    <n v="816"/>
  </r>
  <r>
    <x v="7"/>
    <s v="conventional_refinance_fico_792"/>
    <x v="832"/>
    <n v="1"/>
    <n v="1"/>
    <n v="564"/>
    <n v="816"/>
  </r>
  <r>
    <x v="7"/>
    <s v="conventional_refinance_fico_793"/>
    <x v="833"/>
    <n v="1"/>
    <n v="1"/>
    <n v="564"/>
    <n v="816"/>
  </r>
  <r>
    <x v="7"/>
    <s v="conventional_refinance_fico_794"/>
    <x v="834"/>
    <n v="1"/>
    <n v="1"/>
    <n v="564"/>
    <n v="816"/>
  </r>
  <r>
    <x v="7"/>
    <s v="conventional_refinance_fico_795"/>
    <x v="835"/>
    <n v="1"/>
    <n v="1"/>
    <n v="564"/>
    <n v="816"/>
  </r>
  <r>
    <x v="7"/>
    <s v="conventional_refinance_fico_796"/>
    <x v="836"/>
    <n v="1"/>
    <n v="1"/>
    <n v="564"/>
    <n v="816"/>
  </r>
  <r>
    <x v="7"/>
    <s v="conventional_refinance_fico_797"/>
    <x v="837"/>
    <n v="1"/>
    <n v="1"/>
    <n v="564"/>
    <n v="816"/>
  </r>
  <r>
    <x v="7"/>
    <s v="conventional_refinance_fico_798"/>
    <x v="838"/>
    <n v="1"/>
    <n v="1"/>
    <n v="564"/>
    <n v="816"/>
  </r>
  <r>
    <x v="7"/>
    <s v="conventional_refinance_fico_799"/>
    <x v="839"/>
    <n v="1"/>
    <n v="1"/>
    <n v="564"/>
    <n v="816"/>
  </r>
  <r>
    <x v="7"/>
    <s v="conventional_refinance_fico_800"/>
    <x v="840"/>
    <n v="1"/>
    <n v="1"/>
    <n v="564"/>
    <n v="816"/>
  </r>
  <r>
    <x v="7"/>
    <s v="conventional_refinance_fico_801"/>
    <x v="841"/>
    <n v="1"/>
    <n v="1"/>
    <n v="564"/>
    <n v="816"/>
  </r>
  <r>
    <x v="7"/>
    <s v="conventional_refinance_fico_802"/>
    <x v="842"/>
    <n v="1"/>
    <n v="1"/>
    <n v="564"/>
    <n v="816"/>
  </r>
  <r>
    <x v="7"/>
    <s v="conventional_refinance_fico_803"/>
    <x v="843"/>
    <n v="1"/>
    <n v="1"/>
    <n v="564"/>
    <n v="816"/>
  </r>
  <r>
    <x v="7"/>
    <s v="conventional_refinance_fico_804"/>
    <x v="844"/>
    <n v="1"/>
    <n v="1"/>
    <n v="564"/>
    <n v="816"/>
  </r>
  <r>
    <x v="7"/>
    <s v="conventional_refinance_fico_805"/>
    <x v="845"/>
    <n v="1"/>
    <n v="1"/>
    <n v="564"/>
    <n v="816"/>
  </r>
  <r>
    <x v="7"/>
    <s v="conventional_refinance_fico_806"/>
    <x v="846"/>
    <n v="1"/>
    <n v="1"/>
    <n v="564"/>
    <n v="816"/>
  </r>
  <r>
    <x v="7"/>
    <s v="conventional_refinance_fico_807"/>
    <x v="847"/>
    <n v="1"/>
    <n v="1"/>
    <n v="564"/>
    <n v="816"/>
  </r>
  <r>
    <x v="7"/>
    <s v="conventional_refinance_fico_808"/>
    <x v="848"/>
    <n v="1"/>
    <n v="1"/>
    <n v="564"/>
    <n v="816"/>
  </r>
  <r>
    <x v="7"/>
    <s v="conventional_refinance_fico_809"/>
    <x v="849"/>
    <n v="1"/>
    <n v="1"/>
    <n v="564"/>
    <n v="816"/>
  </r>
  <r>
    <x v="7"/>
    <s v="conventional_refinance_fico_810"/>
    <x v="850"/>
    <n v="1"/>
    <n v="1"/>
    <n v="564"/>
    <n v="816"/>
  </r>
  <r>
    <x v="7"/>
    <s v="conventional_refinance_fico_811"/>
    <x v="851"/>
    <n v="1"/>
    <n v="1"/>
    <n v="564"/>
    <n v="816"/>
  </r>
  <r>
    <x v="7"/>
    <s v="conventional_refinance_fico_812"/>
    <x v="852"/>
    <n v="1"/>
    <n v="1"/>
    <n v="564"/>
    <n v="816"/>
  </r>
  <r>
    <x v="7"/>
    <s v="conventional_refinance_fico_813"/>
    <x v="853"/>
    <n v="1"/>
    <n v="1"/>
    <n v="564"/>
    <n v="816"/>
  </r>
  <r>
    <x v="7"/>
    <s v="conventional_refinance_fico_814"/>
    <x v="854"/>
    <n v="1"/>
    <n v="1"/>
    <n v="564"/>
    <n v="816"/>
  </r>
  <r>
    <x v="7"/>
    <s v="conventional_refinance_fico_815"/>
    <x v="855"/>
    <n v="1"/>
    <n v="1"/>
    <n v="564"/>
    <n v="816"/>
  </r>
  <r>
    <x v="7"/>
    <s v="conventional_refinance_fico_816"/>
    <x v="856"/>
    <n v="1"/>
    <n v="1"/>
    <n v="564"/>
    <n v="816"/>
  </r>
  <r>
    <x v="8"/>
    <s v="conventional_refinance_refi_elig_pct_-20"/>
    <x v="20"/>
    <n v="-0.2"/>
    <n v="1"/>
    <n v="-20"/>
    <n v="120"/>
  </r>
  <r>
    <x v="8"/>
    <s v="conventional_refinance_refi_elig_pct_-19"/>
    <x v="21"/>
    <n v="-0.19"/>
    <n v="1"/>
    <n v="-20"/>
    <n v="120"/>
  </r>
  <r>
    <x v="8"/>
    <s v="conventional_refinance_refi_elig_pct_-18"/>
    <x v="22"/>
    <n v="-0.18"/>
    <n v="1"/>
    <n v="-20"/>
    <n v="120"/>
  </r>
  <r>
    <x v="8"/>
    <s v="conventional_refinance_refi_elig_pct_-17"/>
    <x v="23"/>
    <n v="-0.17"/>
    <n v="1"/>
    <n v="-20"/>
    <n v="120"/>
  </r>
  <r>
    <x v="8"/>
    <s v="conventional_refinance_refi_elig_pct_-16"/>
    <x v="24"/>
    <n v="-0.16"/>
    <n v="1"/>
    <n v="-20"/>
    <n v="120"/>
  </r>
  <r>
    <x v="8"/>
    <s v="conventional_refinance_refi_elig_pct_-15"/>
    <x v="25"/>
    <n v="-0.15"/>
    <n v="1"/>
    <n v="-20"/>
    <n v="120"/>
  </r>
  <r>
    <x v="8"/>
    <s v="conventional_refinance_refi_elig_pct_-14"/>
    <x v="26"/>
    <n v="-0.14000000000000001"/>
    <n v="1"/>
    <n v="-20"/>
    <n v="120"/>
  </r>
  <r>
    <x v="8"/>
    <s v="conventional_refinance_refi_elig_pct_-13"/>
    <x v="27"/>
    <n v="-0.13"/>
    <n v="1"/>
    <n v="-20"/>
    <n v="120"/>
  </r>
  <r>
    <x v="8"/>
    <s v="conventional_refinance_refi_elig_pct_-12"/>
    <x v="28"/>
    <n v="-0.12"/>
    <n v="1"/>
    <n v="-20"/>
    <n v="120"/>
  </r>
  <r>
    <x v="8"/>
    <s v="conventional_refinance_refi_elig_pct_-11"/>
    <x v="29"/>
    <n v="-0.11"/>
    <n v="1"/>
    <n v="-20"/>
    <n v="120"/>
  </r>
  <r>
    <x v="8"/>
    <s v="conventional_refinance_refi_elig_pct_-10"/>
    <x v="30"/>
    <n v="-0.1"/>
    <n v="1"/>
    <n v="-20"/>
    <n v="120"/>
  </r>
  <r>
    <x v="8"/>
    <s v="conventional_refinance_refi_elig_pct_-9"/>
    <x v="31"/>
    <n v="-0.09"/>
    <n v="1"/>
    <n v="-20"/>
    <n v="120"/>
  </r>
  <r>
    <x v="8"/>
    <s v="conventional_refinance_refi_elig_pct_-8"/>
    <x v="32"/>
    <n v="-0.08"/>
    <n v="1"/>
    <n v="-20"/>
    <n v="120"/>
  </r>
  <r>
    <x v="8"/>
    <s v="conventional_refinance_refi_elig_pct_-7"/>
    <x v="33"/>
    <n v="-7.0000000000000007E-2"/>
    <n v="1"/>
    <n v="-20"/>
    <n v="120"/>
  </r>
  <r>
    <x v="8"/>
    <s v="conventional_refinance_refi_elig_pct_-6"/>
    <x v="34"/>
    <n v="-0.06"/>
    <n v="1"/>
    <n v="-20"/>
    <n v="120"/>
  </r>
  <r>
    <x v="8"/>
    <s v="conventional_refinance_refi_elig_pct_-5"/>
    <x v="35"/>
    <n v="-0.05"/>
    <n v="1"/>
    <n v="-20"/>
    <n v="120"/>
  </r>
  <r>
    <x v="8"/>
    <s v="conventional_refinance_refi_elig_pct_-4"/>
    <x v="36"/>
    <n v="-0.04"/>
    <n v="1"/>
    <n v="-20"/>
    <n v="120"/>
  </r>
  <r>
    <x v="8"/>
    <s v="conventional_refinance_refi_elig_pct_-3"/>
    <x v="37"/>
    <n v="-0.03"/>
    <n v="1"/>
    <n v="-20"/>
    <n v="120"/>
  </r>
  <r>
    <x v="8"/>
    <s v="conventional_refinance_refi_elig_pct_-2"/>
    <x v="38"/>
    <n v="-0.02"/>
    <n v="1"/>
    <n v="-20"/>
    <n v="120"/>
  </r>
  <r>
    <x v="8"/>
    <s v="conventional_refinance_refi_elig_pct_-1"/>
    <x v="39"/>
    <n v="-0.01"/>
    <n v="1"/>
    <n v="-20"/>
    <n v="120"/>
  </r>
  <r>
    <x v="8"/>
    <s v="conventional_refinance_refi_elig_pct_0"/>
    <x v="40"/>
    <n v="0"/>
    <n v="1"/>
    <n v="-20"/>
    <n v="120"/>
  </r>
  <r>
    <x v="8"/>
    <s v="conventional_refinance_refi_elig_pct_1"/>
    <x v="41"/>
    <n v="0.01"/>
    <n v="1"/>
    <n v="-20"/>
    <n v="120"/>
  </r>
  <r>
    <x v="8"/>
    <s v="conventional_refinance_refi_elig_pct_2"/>
    <x v="42"/>
    <n v="0.02"/>
    <n v="1"/>
    <n v="-20"/>
    <n v="120"/>
  </r>
  <r>
    <x v="8"/>
    <s v="conventional_refinance_refi_elig_pct_3"/>
    <x v="43"/>
    <n v="0.03"/>
    <n v="1"/>
    <n v="-20"/>
    <n v="120"/>
  </r>
  <r>
    <x v="8"/>
    <s v="conventional_refinance_refi_elig_pct_4"/>
    <x v="44"/>
    <n v="0.04"/>
    <n v="1"/>
    <n v="-20"/>
    <n v="120"/>
  </r>
  <r>
    <x v="8"/>
    <s v="conventional_refinance_refi_elig_pct_5"/>
    <x v="45"/>
    <n v="0.05"/>
    <n v="1"/>
    <n v="-20"/>
    <n v="120"/>
  </r>
  <r>
    <x v="8"/>
    <s v="conventional_refinance_refi_elig_pct_6"/>
    <x v="46"/>
    <n v="0.06"/>
    <n v="1"/>
    <n v="-20"/>
    <n v="120"/>
  </r>
  <r>
    <x v="8"/>
    <s v="conventional_refinance_refi_elig_pct_7"/>
    <x v="47"/>
    <n v="7.0000000000000007E-2"/>
    <n v="1"/>
    <n v="-20"/>
    <n v="120"/>
  </r>
  <r>
    <x v="8"/>
    <s v="conventional_refinance_refi_elig_pct_8"/>
    <x v="48"/>
    <n v="0.08"/>
    <n v="1"/>
    <n v="-20"/>
    <n v="120"/>
  </r>
  <r>
    <x v="8"/>
    <s v="conventional_refinance_refi_elig_pct_9"/>
    <x v="49"/>
    <n v="0.09"/>
    <n v="1"/>
    <n v="-20"/>
    <n v="120"/>
  </r>
  <r>
    <x v="8"/>
    <s v="conventional_refinance_refi_elig_pct_10"/>
    <x v="50"/>
    <n v="0.1"/>
    <n v="1"/>
    <n v="-20"/>
    <n v="120"/>
  </r>
  <r>
    <x v="8"/>
    <s v="conventional_refinance_refi_elig_pct_11"/>
    <x v="51"/>
    <n v="0.11"/>
    <n v="1"/>
    <n v="-20"/>
    <n v="120"/>
  </r>
  <r>
    <x v="8"/>
    <s v="conventional_refinance_refi_elig_pct_12"/>
    <x v="52"/>
    <n v="0.12"/>
    <n v="1"/>
    <n v="-20"/>
    <n v="120"/>
  </r>
  <r>
    <x v="8"/>
    <s v="conventional_refinance_refi_elig_pct_13"/>
    <x v="53"/>
    <n v="0.13"/>
    <n v="1"/>
    <n v="-20"/>
    <n v="120"/>
  </r>
  <r>
    <x v="8"/>
    <s v="conventional_refinance_refi_elig_pct_14"/>
    <x v="54"/>
    <n v="0.14000000000000001"/>
    <n v="1"/>
    <n v="-20"/>
    <n v="120"/>
  </r>
  <r>
    <x v="8"/>
    <s v="conventional_refinance_refi_elig_pct_15"/>
    <x v="55"/>
    <n v="0.15"/>
    <n v="1"/>
    <n v="-20"/>
    <n v="120"/>
  </r>
  <r>
    <x v="8"/>
    <s v="conventional_refinance_refi_elig_pct_16"/>
    <x v="56"/>
    <n v="0.16"/>
    <n v="1"/>
    <n v="-20"/>
    <n v="120"/>
  </r>
  <r>
    <x v="8"/>
    <s v="conventional_refinance_refi_elig_pct_17"/>
    <x v="57"/>
    <n v="0.17"/>
    <n v="1"/>
    <n v="-20"/>
    <n v="120"/>
  </r>
  <r>
    <x v="8"/>
    <s v="conventional_refinance_refi_elig_pct_18"/>
    <x v="58"/>
    <n v="0.18"/>
    <n v="1"/>
    <n v="-20"/>
    <n v="120"/>
  </r>
  <r>
    <x v="8"/>
    <s v="conventional_refinance_refi_elig_pct_19"/>
    <x v="59"/>
    <n v="0.19"/>
    <n v="1"/>
    <n v="-20"/>
    <n v="120"/>
  </r>
  <r>
    <x v="8"/>
    <s v="conventional_refinance_refi_elig_pct_20"/>
    <x v="60"/>
    <n v="0.2"/>
    <n v="1"/>
    <n v="-20"/>
    <n v="120"/>
  </r>
  <r>
    <x v="8"/>
    <s v="conventional_refinance_refi_elig_pct_21"/>
    <x v="61"/>
    <n v="0.21"/>
    <n v="1"/>
    <n v="-20"/>
    <n v="120"/>
  </r>
  <r>
    <x v="8"/>
    <s v="conventional_refinance_refi_elig_pct_22"/>
    <x v="62"/>
    <n v="0.22"/>
    <n v="1"/>
    <n v="-20"/>
    <n v="120"/>
  </r>
  <r>
    <x v="8"/>
    <s v="conventional_refinance_refi_elig_pct_23"/>
    <x v="63"/>
    <n v="0.23"/>
    <n v="1"/>
    <n v="-20"/>
    <n v="120"/>
  </r>
  <r>
    <x v="8"/>
    <s v="conventional_refinance_refi_elig_pct_24"/>
    <x v="64"/>
    <n v="0.24"/>
    <n v="1"/>
    <n v="-20"/>
    <n v="120"/>
  </r>
  <r>
    <x v="8"/>
    <s v="conventional_refinance_refi_elig_pct_25"/>
    <x v="65"/>
    <n v="0.25"/>
    <n v="1"/>
    <n v="-20"/>
    <n v="120"/>
  </r>
  <r>
    <x v="8"/>
    <s v="conventional_refinance_refi_elig_pct_26"/>
    <x v="66"/>
    <n v="0.26"/>
    <n v="1"/>
    <n v="-20"/>
    <n v="120"/>
  </r>
  <r>
    <x v="8"/>
    <s v="conventional_refinance_refi_elig_pct_27"/>
    <x v="67"/>
    <n v="0.27"/>
    <n v="1"/>
    <n v="-20"/>
    <n v="120"/>
  </r>
  <r>
    <x v="8"/>
    <s v="conventional_refinance_refi_elig_pct_28"/>
    <x v="68"/>
    <n v="0.28000000000000003"/>
    <n v="1"/>
    <n v="-20"/>
    <n v="120"/>
  </r>
  <r>
    <x v="8"/>
    <s v="conventional_refinance_refi_elig_pct_29"/>
    <x v="69"/>
    <n v="0.28999999999999998"/>
    <n v="1"/>
    <n v="-20"/>
    <n v="120"/>
  </r>
  <r>
    <x v="8"/>
    <s v="conventional_refinance_refi_elig_pct_30"/>
    <x v="70"/>
    <n v="0.3"/>
    <n v="1"/>
    <n v="-20"/>
    <n v="120"/>
  </r>
  <r>
    <x v="8"/>
    <s v="conventional_refinance_refi_elig_pct_31"/>
    <x v="71"/>
    <n v="0.31"/>
    <n v="1"/>
    <n v="-20"/>
    <n v="120"/>
  </r>
  <r>
    <x v="8"/>
    <s v="conventional_refinance_refi_elig_pct_32"/>
    <x v="72"/>
    <n v="0.32"/>
    <n v="1"/>
    <n v="-20"/>
    <n v="120"/>
  </r>
  <r>
    <x v="8"/>
    <s v="conventional_refinance_refi_elig_pct_33"/>
    <x v="73"/>
    <n v="0.33"/>
    <n v="1"/>
    <n v="-20"/>
    <n v="120"/>
  </r>
  <r>
    <x v="8"/>
    <s v="conventional_refinance_refi_elig_pct_34"/>
    <x v="74"/>
    <n v="0.34"/>
    <n v="1"/>
    <n v="-20"/>
    <n v="120"/>
  </r>
  <r>
    <x v="8"/>
    <s v="conventional_refinance_refi_elig_pct_35"/>
    <x v="75"/>
    <n v="0.35"/>
    <n v="1"/>
    <n v="-20"/>
    <n v="120"/>
  </r>
  <r>
    <x v="8"/>
    <s v="conventional_refinance_refi_elig_pct_36"/>
    <x v="76"/>
    <n v="0.36"/>
    <n v="1"/>
    <n v="-20"/>
    <n v="120"/>
  </r>
  <r>
    <x v="8"/>
    <s v="conventional_refinance_refi_elig_pct_37"/>
    <x v="77"/>
    <n v="0.37"/>
    <n v="1"/>
    <n v="-20"/>
    <n v="120"/>
  </r>
  <r>
    <x v="8"/>
    <s v="conventional_refinance_refi_elig_pct_38"/>
    <x v="78"/>
    <n v="0.38"/>
    <n v="1"/>
    <n v="-20"/>
    <n v="120"/>
  </r>
  <r>
    <x v="8"/>
    <s v="conventional_refinance_refi_elig_pct_39"/>
    <x v="79"/>
    <n v="0.39"/>
    <n v="1"/>
    <n v="-20"/>
    <n v="120"/>
  </r>
  <r>
    <x v="8"/>
    <s v="conventional_refinance_refi_elig_pct_40"/>
    <x v="80"/>
    <n v="0.4"/>
    <n v="1"/>
    <n v="-20"/>
    <n v="120"/>
  </r>
  <r>
    <x v="8"/>
    <s v="conventional_refinance_refi_elig_pct_41"/>
    <x v="81"/>
    <n v="0.41"/>
    <n v="1"/>
    <n v="-20"/>
    <n v="120"/>
  </r>
  <r>
    <x v="8"/>
    <s v="conventional_refinance_refi_elig_pct_42"/>
    <x v="82"/>
    <n v="0.42"/>
    <n v="1"/>
    <n v="-20"/>
    <n v="120"/>
  </r>
  <r>
    <x v="8"/>
    <s v="conventional_refinance_refi_elig_pct_43"/>
    <x v="83"/>
    <n v="0.43"/>
    <n v="1"/>
    <n v="-20"/>
    <n v="120"/>
  </r>
  <r>
    <x v="8"/>
    <s v="conventional_refinance_refi_elig_pct_44"/>
    <x v="84"/>
    <n v="0.44"/>
    <n v="1"/>
    <n v="-20"/>
    <n v="120"/>
  </r>
  <r>
    <x v="8"/>
    <s v="conventional_refinance_refi_elig_pct_45"/>
    <x v="85"/>
    <n v="0.45"/>
    <n v="1"/>
    <n v="-20"/>
    <n v="120"/>
  </r>
  <r>
    <x v="8"/>
    <s v="conventional_refinance_refi_elig_pct_46"/>
    <x v="86"/>
    <n v="0.46"/>
    <n v="1"/>
    <n v="-20"/>
    <n v="120"/>
  </r>
  <r>
    <x v="8"/>
    <s v="conventional_refinance_refi_elig_pct_47"/>
    <x v="87"/>
    <n v="0.47"/>
    <n v="1"/>
    <n v="-20"/>
    <n v="120"/>
  </r>
  <r>
    <x v="8"/>
    <s v="conventional_refinance_refi_elig_pct_48"/>
    <x v="88"/>
    <n v="0.48"/>
    <n v="1"/>
    <n v="-20"/>
    <n v="120"/>
  </r>
  <r>
    <x v="8"/>
    <s v="conventional_refinance_refi_elig_pct_49"/>
    <x v="89"/>
    <n v="0.49"/>
    <n v="1"/>
    <n v="-20"/>
    <n v="120"/>
  </r>
  <r>
    <x v="8"/>
    <s v="conventional_refinance_refi_elig_pct_50"/>
    <x v="90"/>
    <n v="0.5"/>
    <n v="1"/>
    <n v="-20"/>
    <n v="120"/>
  </r>
  <r>
    <x v="8"/>
    <s v="conventional_refinance_refi_elig_pct_51"/>
    <x v="91"/>
    <n v="0.51"/>
    <n v="1"/>
    <n v="-20"/>
    <n v="120"/>
  </r>
  <r>
    <x v="8"/>
    <s v="conventional_refinance_refi_elig_pct_52"/>
    <x v="92"/>
    <n v="0.52"/>
    <n v="1"/>
    <n v="-20"/>
    <n v="120"/>
  </r>
  <r>
    <x v="8"/>
    <s v="conventional_refinance_refi_elig_pct_53"/>
    <x v="93"/>
    <n v="0.53"/>
    <n v="1"/>
    <n v="-20"/>
    <n v="120"/>
  </r>
  <r>
    <x v="8"/>
    <s v="conventional_refinance_refi_elig_pct_54"/>
    <x v="94"/>
    <n v="0.54"/>
    <n v="1"/>
    <n v="-20"/>
    <n v="120"/>
  </r>
  <r>
    <x v="8"/>
    <s v="conventional_refinance_refi_elig_pct_55"/>
    <x v="95"/>
    <n v="0.55000000000000004"/>
    <n v="1"/>
    <n v="-20"/>
    <n v="120"/>
  </r>
  <r>
    <x v="8"/>
    <s v="conventional_refinance_refi_elig_pct_56"/>
    <x v="96"/>
    <n v="0.56000000000000005"/>
    <n v="1"/>
    <n v="-20"/>
    <n v="120"/>
  </r>
  <r>
    <x v="8"/>
    <s v="conventional_refinance_refi_elig_pct_57"/>
    <x v="97"/>
    <n v="0.56999999999999995"/>
    <n v="1"/>
    <n v="-20"/>
    <n v="120"/>
  </r>
  <r>
    <x v="8"/>
    <s v="conventional_refinance_refi_elig_pct_58"/>
    <x v="98"/>
    <n v="0.57999999999999996"/>
    <n v="1"/>
    <n v="-20"/>
    <n v="120"/>
  </r>
  <r>
    <x v="8"/>
    <s v="conventional_refinance_refi_elig_pct_59"/>
    <x v="99"/>
    <n v="0.59"/>
    <n v="1"/>
    <n v="-20"/>
    <n v="120"/>
  </r>
  <r>
    <x v="8"/>
    <s v="conventional_refinance_refi_elig_pct_60"/>
    <x v="100"/>
    <n v="0.6"/>
    <n v="1"/>
    <n v="-20"/>
    <n v="120"/>
  </r>
  <r>
    <x v="8"/>
    <s v="conventional_refinance_refi_elig_pct_61"/>
    <x v="101"/>
    <n v="0.61"/>
    <n v="1"/>
    <n v="-20"/>
    <n v="120"/>
  </r>
  <r>
    <x v="8"/>
    <s v="conventional_refinance_refi_elig_pct_62"/>
    <x v="102"/>
    <n v="0.62"/>
    <n v="1"/>
    <n v="-20"/>
    <n v="120"/>
  </r>
  <r>
    <x v="8"/>
    <s v="conventional_refinance_refi_elig_pct_63"/>
    <x v="103"/>
    <n v="0.63"/>
    <n v="1"/>
    <n v="-20"/>
    <n v="120"/>
  </r>
  <r>
    <x v="8"/>
    <s v="conventional_refinance_refi_elig_pct_64"/>
    <x v="104"/>
    <n v="0.64"/>
    <n v="1"/>
    <n v="-20"/>
    <n v="120"/>
  </r>
  <r>
    <x v="8"/>
    <s v="conventional_refinance_refi_elig_pct_65"/>
    <x v="105"/>
    <n v="0.65"/>
    <n v="1"/>
    <n v="-20"/>
    <n v="120"/>
  </r>
  <r>
    <x v="8"/>
    <s v="conventional_refinance_refi_elig_pct_66"/>
    <x v="106"/>
    <n v="0.66"/>
    <n v="1"/>
    <n v="-20"/>
    <n v="120"/>
  </r>
  <r>
    <x v="8"/>
    <s v="conventional_refinance_refi_elig_pct_67"/>
    <x v="107"/>
    <n v="0.67"/>
    <n v="1"/>
    <n v="-20"/>
    <n v="120"/>
  </r>
  <r>
    <x v="8"/>
    <s v="conventional_refinance_refi_elig_pct_68"/>
    <x v="108"/>
    <n v="0.68"/>
    <n v="1"/>
    <n v="-20"/>
    <n v="120"/>
  </r>
  <r>
    <x v="8"/>
    <s v="conventional_refinance_refi_elig_pct_69"/>
    <x v="109"/>
    <n v="0.69"/>
    <n v="1"/>
    <n v="-20"/>
    <n v="120"/>
  </r>
  <r>
    <x v="8"/>
    <s v="conventional_refinance_refi_elig_pct_70"/>
    <x v="110"/>
    <n v="0.7"/>
    <n v="1"/>
    <n v="-20"/>
    <n v="120"/>
  </r>
  <r>
    <x v="8"/>
    <s v="conventional_refinance_refi_elig_pct_71"/>
    <x v="111"/>
    <n v="0.71"/>
    <n v="1"/>
    <n v="-20"/>
    <n v="120"/>
  </r>
  <r>
    <x v="8"/>
    <s v="conventional_refinance_refi_elig_pct_72"/>
    <x v="112"/>
    <n v="0.72"/>
    <n v="1"/>
    <n v="-20"/>
    <n v="120"/>
  </r>
  <r>
    <x v="8"/>
    <s v="conventional_refinance_refi_elig_pct_73"/>
    <x v="113"/>
    <n v="0.73"/>
    <n v="1"/>
    <n v="-20"/>
    <n v="120"/>
  </r>
  <r>
    <x v="8"/>
    <s v="conventional_refinance_refi_elig_pct_74"/>
    <x v="114"/>
    <n v="0.74"/>
    <n v="1"/>
    <n v="-20"/>
    <n v="120"/>
  </r>
  <r>
    <x v="8"/>
    <s v="conventional_refinance_refi_elig_pct_75"/>
    <x v="115"/>
    <n v="0.75"/>
    <n v="1"/>
    <n v="-20"/>
    <n v="120"/>
  </r>
  <r>
    <x v="8"/>
    <s v="conventional_refinance_refi_elig_pct_76"/>
    <x v="116"/>
    <n v="0.76"/>
    <n v="1"/>
    <n v="-20"/>
    <n v="120"/>
  </r>
  <r>
    <x v="8"/>
    <s v="conventional_refinance_refi_elig_pct_77"/>
    <x v="117"/>
    <n v="0.77"/>
    <n v="1"/>
    <n v="-20"/>
    <n v="120"/>
  </r>
  <r>
    <x v="8"/>
    <s v="conventional_refinance_refi_elig_pct_78"/>
    <x v="118"/>
    <n v="0.78"/>
    <n v="1"/>
    <n v="-20"/>
    <n v="120"/>
  </r>
  <r>
    <x v="8"/>
    <s v="conventional_refinance_refi_elig_pct_79"/>
    <x v="119"/>
    <n v="0.79"/>
    <n v="1"/>
    <n v="-20"/>
    <n v="120"/>
  </r>
  <r>
    <x v="8"/>
    <s v="conventional_refinance_refi_elig_pct_80"/>
    <x v="120"/>
    <n v="0.8"/>
    <n v="1"/>
    <n v="-20"/>
    <n v="120"/>
  </r>
  <r>
    <x v="8"/>
    <s v="conventional_refinance_refi_elig_pct_81"/>
    <x v="121"/>
    <n v="0.81"/>
    <n v="1"/>
    <n v="-20"/>
    <n v="120"/>
  </r>
  <r>
    <x v="8"/>
    <s v="conventional_refinance_refi_elig_pct_82"/>
    <x v="122"/>
    <n v="0.82"/>
    <n v="1"/>
    <n v="-20"/>
    <n v="120"/>
  </r>
  <r>
    <x v="8"/>
    <s v="conventional_refinance_refi_elig_pct_83"/>
    <x v="123"/>
    <n v="0.83"/>
    <n v="1"/>
    <n v="-20"/>
    <n v="120"/>
  </r>
  <r>
    <x v="8"/>
    <s v="conventional_refinance_refi_elig_pct_84"/>
    <x v="124"/>
    <n v="0.84"/>
    <n v="1"/>
    <n v="-20"/>
    <n v="120"/>
  </r>
  <r>
    <x v="8"/>
    <s v="conventional_refinance_refi_elig_pct_85"/>
    <x v="125"/>
    <n v="0.85"/>
    <n v="1"/>
    <n v="-20"/>
    <n v="120"/>
  </r>
  <r>
    <x v="8"/>
    <s v="conventional_refinance_refi_elig_pct_86"/>
    <x v="126"/>
    <n v="0.86"/>
    <n v="1"/>
    <n v="-20"/>
    <n v="120"/>
  </r>
  <r>
    <x v="8"/>
    <s v="conventional_refinance_refi_elig_pct_87"/>
    <x v="127"/>
    <n v="0.87"/>
    <n v="1"/>
    <n v="-20"/>
    <n v="120"/>
  </r>
  <r>
    <x v="8"/>
    <s v="conventional_refinance_refi_elig_pct_88"/>
    <x v="128"/>
    <n v="0.88"/>
    <n v="1"/>
    <n v="-20"/>
    <n v="120"/>
  </r>
  <r>
    <x v="8"/>
    <s v="conventional_refinance_refi_elig_pct_89"/>
    <x v="129"/>
    <n v="0.89"/>
    <n v="1"/>
    <n v="-20"/>
    <n v="120"/>
  </r>
  <r>
    <x v="8"/>
    <s v="conventional_refinance_refi_elig_pct_90"/>
    <x v="130"/>
    <n v="0.9"/>
    <n v="1"/>
    <n v="-20"/>
    <n v="120"/>
  </r>
  <r>
    <x v="8"/>
    <s v="conventional_refinance_refi_elig_pct_91"/>
    <x v="131"/>
    <n v="0.91"/>
    <n v="1"/>
    <n v="-20"/>
    <n v="120"/>
  </r>
  <r>
    <x v="8"/>
    <s v="conventional_refinance_refi_elig_pct_92"/>
    <x v="132"/>
    <n v="0.92"/>
    <n v="1"/>
    <n v="-20"/>
    <n v="120"/>
  </r>
  <r>
    <x v="8"/>
    <s v="conventional_refinance_refi_elig_pct_93"/>
    <x v="133"/>
    <n v="0.93"/>
    <n v="1"/>
    <n v="-20"/>
    <n v="120"/>
  </r>
  <r>
    <x v="8"/>
    <s v="conventional_refinance_refi_elig_pct_94"/>
    <x v="134"/>
    <n v="0.94"/>
    <n v="1"/>
    <n v="-20"/>
    <n v="120"/>
  </r>
  <r>
    <x v="8"/>
    <s v="conventional_refinance_refi_elig_pct_95"/>
    <x v="135"/>
    <n v="0.95"/>
    <n v="1"/>
    <n v="-20"/>
    <n v="120"/>
  </r>
  <r>
    <x v="8"/>
    <s v="conventional_refinance_refi_elig_pct_96"/>
    <x v="136"/>
    <n v="0.96"/>
    <n v="1"/>
    <n v="-20"/>
    <n v="120"/>
  </r>
  <r>
    <x v="8"/>
    <s v="conventional_refinance_refi_elig_pct_97"/>
    <x v="137"/>
    <n v="0.97"/>
    <n v="1"/>
    <n v="-20"/>
    <n v="120"/>
  </r>
  <r>
    <x v="8"/>
    <s v="conventional_refinance_refi_elig_pct_98"/>
    <x v="138"/>
    <n v="0.98"/>
    <n v="1"/>
    <n v="-20"/>
    <n v="120"/>
  </r>
  <r>
    <x v="8"/>
    <s v="conventional_refinance_refi_elig_pct_99"/>
    <x v="139"/>
    <n v="0.99"/>
    <n v="1"/>
    <n v="-20"/>
    <n v="120"/>
  </r>
  <r>
    <x v="8"/>
    <s v="conventional_refinance_refi_elig_pct_100"/>
    <x v="140"/>
    <n v="1"/>
    <n v="1"/>
    <n v="-20"/>
    <n v="120"/>
  </r>
  <r>
    <x v="8"/>
    <s v="conventional_refinance_refi_elig_pct_101"/>
    <x v="141"/>
    <n v="1.01"/>
    <n v="1"/>
    <n v="-20"/>
    <n v="120"/>
  </r>
  <r>
    <x v="8"/>
    <s v="conventional_refinance_refi_elig_pct_102"/>
    <x v="142"/>
    <n v="1.02"/>
    <n v="1"/>
    <n v="-20"/>
    <n v="120"/>
  </r>
  <r>
    <x v="8"/>
    <s v="conventional_refinance_refi_elig_pct_103"/>
    <x v="143"/>
    <n v="1.03"/>
    <n v="1"/>
    <n v="-20"/>
    <n v="120"/>
  </r>
  <r>
    <x v="8"/>
    <s v="conventional_refinance_refi_elig_pct_104"/>
    <x v="144"/>
    <n v="1.04"/>
    <n v="1"/>
    <n v="-20"/>
    <n v="120"/>
  </r>
  <r>
    <x v="8"/>
    <s v="conventional_refinance_refi_elig_pct_105"/>
    <x v="145"/>
    <n v="1.05"/>
    <n v="1"/>
    <n v="-20"/>
    <n v="120"/>
  </r>
  <r>
    <x v="8"/>
    <s v="conventional_refinance_refi_elig_pct_106"/>
    <x v="146"/>
    <n v="1.06"/>
    <n v="1"/>
    <n v="-20"/>
    <n v="120"/>
  </r>
  <r>
    <x v="8"/>
    <s v="conventional_refinance_refi_elig_pct_107"/>
    <x v="147"/>
    <n v="1.07"/>
    <n v="1"/>
    <n v="-20"/>
    <n v="120"/>
  </r>
  <r>
    <x v="8"/>
    <s v="conventional_refinance_refi_elig_pct_108"/>
    <x v="148"/>
    <n v="1.08"/>
    <n v="1"/>
    <n v="-20"/>
    <n v="120"/>
  </r>
  <r>
    <x v="8"/>
    <s v="conventional_refinance_refi_elig_pct_109"/>
    <x v="149"/>
    <n v="1.0900000000000001"/>
    <n v="1"/>
    <n v="-20"/>
    <n v="120"/>
  </r>
  <r>
    <x v="8"/>
    <s v="conventional_refinance_refi_elig_pct_110"/>
    <x v="150"/>
    <n v="1.1000000000000001"/>
    <n v="1"/>
    <n v="-20"/>
    <n v="120"/>
  </r>
  <r>
    <x v="8"/>
    <s v="conventional_refinance_refi_elig_pct_111"/>
    <x v="151"/>
    <n v="1.1100000000000001"/>
    <n v="1"/>
    <n v="-20"/>
    <n v="120"/>
  </r>
  <r>
    <x v="8"/>
    <s v="conventional_refinance_refi_elig_pct_112"/>
    <x v="152"/>
    <n v="1.1200000000000001"/>
    <n v="1"/>
    <n v="-20"/>
    <n v="120"/>
  </r>
  <r>
    <x v="8"/>
    <s v="conventional_refinance_refi_elig_pct_113"/>
    <x v="153"/>
    <n v="1.1299999999999999"/>
    <n v="1"/>
    <n v="-20"/>
    <n v="120"/>
  </r>
  <r>
    <x v="8"/>
    <s v="conventional_refinance_refi_elig_pct_114"/>
    <x v="154"/>
    <n v="1.1399999999999999"/>
    <n v="1"/>
    <n v="-20"/>
    <n v="120"/>
  </r>
  <r>
    <x v="8"/>
    <s v="conventional_refinance_refi_elig_pct_115"/>
    <x v="155"/>
    <n v="1.1499999999999999"/>
    <n v="1"/>
    <n v="-20"/>
    <n v="120"/>
  </r>
  <r>
    <x v="8"/>
    <s v="conventional_refinance_refi_elig_pct_116"/>
    <x v="156"/>
    <n v="1.1599999999999999"/>
    <n v="1"/>
    <n v="-20"/>
    <n v="120"/>
  </r>
  <r>
    <x v="8"/>
    <s v="conventional_refinance_refi_elig_pct_117"/>
    <x v="157"/>
    <n v="1.17"/>
    <n v="1"/>
    <n v="-20"/>
    <n v="120"/>
  </r>
  <r>
    <x v="8"/>
    <s v="conventional_refinance_refi_elig_pct_118"/>
    <x v="158"/>
    <n v="1.18"/>
    <n v="1"/>
    <n v="-20"/>
    <n v="120"/>
  </r>
  <r>
    <x v="8"/>
    <s v="conventional_refinance_refi_elig_pct_119"/>
    <x v="159"/>
    <n v="1.19"/>
    <n v="1"/>
    <n v="-20"/>
    <n v="120"/>
  </r>
  <r>
    <x v="8"/>
    <s v="conventional_refinance_refi_elig_pct_120"/>
    <x v="160"/>
    <n v="1.2"/>
    <n v="1"/>
    <n v="-20"/>
    <n v="120"/>
  </r>
  <r>
    <x v="9"/>
    <s v="conventional_refinance_pct_2nd_-20"/>
    <x v="20"/>
    <n v="1"/>
    <n v="1"/>
    <n v="-20"/>
    <n v="120"/>
  </r>
  <r>
    <x v="9"/>
    <s v="conventional_refinance_pct_2nd_-19"/>
    <x v="21"/>
    <n v="1"/>
    <n v="1"/>
    <n v="-20"/>
    <n v="120"/>
  </r>
  <r>
    <x v="9"/>
    <s v="conventional_refinance_pct_2nd_-18"/>
    <x v="22"/>
    <n v="1"/>
    <n v="1"/>
    <n v="-20"/>
    <n v="120"/>
  </r>
  <r>
    <x v="9"/>
    <s v="conventional_refinance_pct_2nd_-17"/>
    <x v="23"/>
    <n v="1"/>
    <n v="1"/>
    <n v="-20"/>
    <n v="120"/>
  </r>
  <r>
    <x v="9"/>
    <s v="conventional_refinance_pct_2nd_-16"/>
    <x v="24"/>
    <n v="1"/>
    <n v="1"/>
    <n v="-20"/>
    <n v="120"/>
  </r>
  <r>
    <x v="9"/>
    <s v="conventional_refinance_pct_2nd_-15"/>
    <x v="25"/>
    <n v="1"/>
    <n v="1"/>
    <n v="-20"/>
    <n v="120"/>
  </r>
  <r>
    <x v="9"/>
    <s v="conventional_refinance_pct_2nd_-14"/>
    <x v="26"/>
    <n v="1"/>
    <n v="1"/>
    <n v="-20"/>
    <n v="120"/>
  </r>
  <r>
    <x v="9"/>
    <s v="conventional_refinance_pct_2nd_-13"/>
    <x v="27"/>
    <n v="1"/>
    <n v="1"/>
    <n v="-20"/>
    <n v="120"/>
  </r>
  <r>
    <x v="9"/>
    <s v="conventional_refinance_pct_2nd_-12"/>
    <x v="28"/>
    <n v="1"/>
    <n v="1"/>
    <n v="-20"/>
    <n v="120"/>
  </r>
  <r>
    <x v="9"/>
    <s v="conventional_refinance_pct_2nd_-11"/>
    <x v="29"/>
    <n v="1"/>
    <n v="1"/>
    <n v="-20"/>
    <n v="120"/>
  </r>
  <r>
    <x v="9"/>
    <s v="conventional_refinance_pct_2nd_-10"/>
    <x v="30"/>
    <n v="1"/>
    <n v="1"/>
    <n v="-20"/>
    <n v="120"/>
  </r>
  <r>
    <x v="9"/>
    <s v="conventional_refinance_pct_2nd_-9"/>
    <x v="31"/>
    <n v="1"/>
    <n v="1"/>
    <n v="-20"/>
    <n v="120"/>
  </r>
  <r>
    <x v="9"/>
    <s v="conventional_refinance_pct_2nd_-8"/>
    <x v="32"/>
    <n v="1"/>
    <n v="1"/>
    <n v="-20"/>
    <n v="120"/>
  </r>
  <r>
    <x v="9"/>
    <s v="conventional_refinance_pct_2nd_-7"/>
    <x v="33"/>
    <n v="1"/>
    <n v="1"/>
    <n v="-20"/>
    <n v="120"/>
  </r>
  <r>
    <x v="9"/>
    <s v="conventional_refinance_pct_2nd_-6"/>
    <x v="34"/>
    <n v="1"/>
    <n v="1"/>
    <n v="-20"/>
    <n v="120"/>
  </r>
  <r>
    <x v="9"/>
    <s v="conventional_refinance_pct_2nd_-5"/>
    <x v="35"/>
    <n v="1"/>
    <n v="1"/>
    <n v="-20"/>
    <n v="120"/>
  </r>
  <r>
    <x v="9"/>
    <s v="conventional_refinance_pct_2nd_-4"/>
    <x v="36"/>
    <n v="1"/>
    <n v="1"/>
    <n v="-20"/>
    <n v="120"/>
  </r>
  <r>
    <x v="9"/>
    <s v="conventional_refinance_pct_2nd_-3"/>
    <x v="37"/>
    <n v="1"/>
    <n v="1"/>
    <n v="-20"/>
    <n v="120"/>
  </r>
  <r>
    <x v="9"/>
    <s v="conventional_refinance_pct_2nd_-2"/>
    <x v="38"/>
    <n v="1"/>
    <n v="1"/>
    <n v="-20"/>
    <n v="120"/>
  </r>
  <r>
    <x v="9"/>
    <s v="conventional_refinance_pct_2nd_-1"/>
    <x v="39"/>
    <n v="1"/>
    <n v="1"/>
    <n v="-20"/>
    <n v="120"/>
  </r>
  <r>
    <x v="9"/>
    <s v="conventional_refinance_pct_2nd_0"/>
    <x v="40"/>
    <n v="1"/>
    <n v="1"/>
    <n v="-20"/>
    <n v="120"/>
  </r>
  <r>
    <x v="9"/>
    <s v="conventional_refinance_pct_2nd_1"/>
    <x v="41"/>
    <n v="1"/>
    <n v="1"/>
    <n v="-20"/>
    <n v="120"/>
  </r>
  <r>
    <x v="9"/>
    <s v="conventional_refinance_pct_2nd_2"/>
    <x v="42"/>
    <n v="1"/>
    <n v="1"/>
    <n v="-20"/>
    <n v="120"/>
  </r>
  <r>
    <x v="9"/>
    <s v="conventional_refinance_pct_2nd_3"/>
    <x v="43"/>
    <n v="1"/>
    <n v="1"/>
    <n v="-20"/>
    <n v="120"/>
  </r>
  <r>
    <x v="9"/>
    <s v="conventional_refinance_pct_2nd_4"/>
    <x v="44"/>
    <n v="1"/>
    <n v="1"/>
    <n v="-20"/>
    <n v="120"/>
  </r>
  <r>
    <x v="9"/>
    <s v="conventional_refinance_pct_2nd_5"/>
    <x v="45"/>
    <n v="1"/>
    <n v="1"/>
    <n v="-20"/>
    <n v="120"/>
  </r>
  <r>
    <x v="9"/>
    <s v="conventional_refinance_pct_2nd_6"/>
    <x v="46"/>
    <n v="1"/>
    <n v="1"/>
    <n v="-20"/>
    <n v="120"/>
  </r>
  <r>
    <x v="9"/>
    <s v="conventional_refinance_pct_2nd_7"/>
    <x v="47"/>
    <n v="1"/>
    <n v="1"/>
    <n v="-20"/>
    <n v="120"/>
  </r>
  <r>
    <x v="9"/>
    <s v="conventional_refinance_pct_2nd_8"/>
    <x v="48"/>
    <n v="1"/>
    <n v="1"/>
    <n v="-20"/>
    <n v="120"/>
  </r>
  <r>
    <x v="9"/>
    <s v="conventional_refinance_pct_2nd_9"/>
    <x v="49"/>
    <n v="1"/>
    <n v="1"/>
    <n v="-20"/>
    <n v="120"/>
  </r>
  <r>
    <x v="9"/>
    <s v="conventional_refinance_pct_2nd_10"/>
    <x v="50"/>
    <n v="1"/>
    <n v="1"/>
    <n v="-20"/>
    <n v="120"/>
  </r>
  <r>
    <x v="9"/>
    <s v="conventional_refinance_pct_2nd_11"/>
    <x v="51"/>
    <n v="1"/>
    <n v="1"/>
    <n v="-20"/>
    <n v="120"/>
  </r>
  <r>
    <x v="9"/>
    <s v="conventional_refinance_pct_2nd_12"/>
    <x v="52"/>
    <n v="1"/>
    <n v="1"/>
    <n v="-20"/>
    <n v="120"/>
  </r>
  <r>
    <x v="9"/>
    <s v="conventional_refinance_pct_2nd_13"/>
    <x v="53"/>
    <n v="1"/>
    <n v="1"/>
    <n v="-20"/>
    <n v="120"/>
  </r>
  <r>
    <x v="9"/>
    <s v="conventional_refinance_pct_2nd_14"/>
    <x v="54"/>
    <n v="1"/>
    <n v="1"/>
    <n v="-20"/>
    <n v="120"/>
  </r>
  <r>
    <x v="9"/>
    <s v="conventional_refinance_pct_2nd_15"/>
    <x v="55"/>
    <n v="1"/>
    <n v="1"/>
    <n v="-20"/>
    <n v="120"/>
  </r>
  <r>
    <x v="9"/>
    <s v="conventional_refinance_pct_2nd_16"/>
    <x v="56"/>
    <n v="1"/>
    <n v="1"/>
    <n v="-20"/>
    <n v="120"/>
  </r>
  <r>
    <x v="9"/>
    <s v="conventional_refinance_pct_2nd_17"/>
    <x v="57"/>
    <n v="1"/>
    <n v="1"/>
    <n v="-20"/>
    <n v="120"/>
  </r>
  <r>
    <x v="9"/>
    <s v="conventional_refinance_pct_2nd_18"/>
    <x v="58"/>
    <n v="1"/>
    <n v="1"/>
    <n v="-20"/>
    <n v="120"/>
  </r>
  <r>
    <x v="9"/>
    <s v="conventional_refinance_pct_2nd_19"/>
    <x v="59"/>
    <n v="1"/>
    <n v="1"/>
    <n v="-20"/>
    <n v="120"/>
  </r>
  <r>
    <x v="9"/>
    <s v="conventional_refinance_pct_2nd_20"/>
    <x v="60"/>
    <n v="1"/>
    <n v="1"/>
    <n v="-20"/>
    <n v="120"/>
  </r>
  <r>
    <x v="9"/>
    <s v="conventional_refinance_pct_2nd_21"/>
    <x v="61"/>
    <n v="1"/>
    <n v="1"/>
    <n v="-20"/>
    <n v="120"/>
  </r>
  <r>
    <x v="9"/>
    <s v="conventional_refinance_pct_2nd_22"/>
    <x v="62"/>
    <n v="1"/>
    <n v="1"/>
    <n v="-20"/>
    <n v="120"/>
  </r>
  <r>
    <x v="9"/>
    <s v="conventional_refinance_pct_2nd_23"/>
    <x v="63"/>
    <n v="1"/>
    <n v="1"/>
    <n v="-20"/>
    <n v="120"/>
  </r>
  <r>
    <x v="9"/>
    <s v="conventional_refinance_pct_2nd_24"/>
    <x v="64"/>
    <n v="1"/>
    <n v="1"/>
    <n v="-20"/>
    <n v="120"/>
  </r>
  <r>
    <x v="9"/>
    <s v="conventional_refinance_pct_2nd_25"/>
    <x v="65"/>
    <n v="1"/>
    <n v="1"/>
    <n v="-20"/>
    <n v="120"/>
  </r>
  <r>
    <x v="9"/>
    <s v="conventional_refinance_pct_2nd_26"/>
    <x v="66"/>
    <n v="1"/>
    <n v="1"/>
    <n v="-20"/>
    <n v="120"/>
  </r>
  <r>
    <x v="9"/>
    <s v="conventional_refinance_pct_2nd_27"/>
    <x v="67"/>
    <n v="1"/>
    <n v="1"/>
    <n v="-20"/>
    <n v="120"/>
  </r>
  <r>
    <x v="9"/>
    <s v="conventional_refinance_pct_2nd_28"/>
    <x v="68"/>
    <n v="1"/>
    <n v="1"/>
    <n v="-20"/>
    <n v="120"/>
  </r>
  <r>
    <x v="9"/>
    <s v="conventional_refinance_pct_2nd_29"/>
    <x v="69"/>
    <n v="1"/>
    <n v="1"/>
    <n v="-20"/>
    <n v="120"/>
  </r>
  <r>
    <x v="9"/>
    <s v="conventional_refinance_pct_2nd_30"/>
    <x v="70"/>
    <n v="1"/>
    <n v="1"/>
    <n v="-20"/>
    <n v="120"/>
  </r>
  <r>
    <x v="9"/>
    <s v="conventional_refinance_pct_2nd_31"/>
    <x v="71"/>
    <n v="1"/>
    <n v="1"/>
    <n v="-20"/>
    <n v="120"/>
  </r>
  <r>
    <x v="9"/>
    <s v="conventional_refinance_pct_2nd_32"/>
    <x v="72"/>
    <n v="1"/>
    <n v="1"/>
    <n v="-20"/>
    <n v="120"/>
  </r>
  <r>
    <x v="9"/>
    <s v="conventional_refinance_pct_2nd_33"/>
    <x v="73"/>
    <n v="1"/>
    <n v="1"/>
    <n v="-20"/>
    <n v="120"/>
  </r>
  <r>
    <x v="9"/>
    <s v="conventional_refinance_pct_2nd_34"/>
    <x v="74"/>
    <n v="1"/>
    <n v="1"/>
    <n v="-20"/>
    <n v="120"/>
  </r>
  <r>
    <x v="9"/>
    <s v="conventional_refinance_pct_2nd_35"/>
    <x v="75"/>
    <n v="1"/>
    <n v="1"/>
    <n v="-20"/>
    <n v="120"/>
  </r>
  <r>
    <x v="9"/>
    <s v="conventional_refinance_pct_2nd_36"/>
    <x v="76"/>
    <n v="1"/>
    <n v="1"/>
    <n v="-20"/>
    <n v="120"/>
  </r>
  <r>
    <x v="9"/>
    <s v="conventional_refinance_pct_2nd_37"/>
    <x v="77"/>
    <n v="1"/>
    <n v="1"/>
    <n v="-20"/>
    <n v="120"/>
  </r>
  <r>
    <x v="9"/>
    <s v="conventional_refinance_pct_2nd_38"/>
    <x v="78"/>
    <n v="1"/>
    <n v="1"/>
    <n v="-20"/>
    <n v="120"/>
  </r>
  <r>
    <x v="9"/>
    <s v="conventional_refinance_pct_2nd_39"/>
    <x v="79"/>
    <n v="1"/>
    <n v="1"/>
    <n v="-20"/>
    <n v="120"/>
  </r>
  <r>
    <x v="9"/>
    <s v="conventional_refinance_pct_2nd_40"/>
    <x v="80"/>
    <n v="1"/>
    <n v="1"/>
    <n v="-20"/>
    <n v="120"/>
  </r>
  <r>
    <x v="9"/>
    <s v="conventional_refinance_pct_2nd_41"/>
    <x v="81"/>
    <n v="1"/>
    <n v="1"/>
    <n v="-20"/>
    <n v="120"/>
  </r>
  <r>
    <x v="9"/>
    <s v="conventional_refinance_pct_2nd_42"/>
    <x v="82"/>
    <n v="1"/>
    <n v="1"/>
    <n v="-20"/>
    <n v="120"/>
  </r>
  <r>
    <x v="9"/>
    <s v="conventional_refinance_pct_2nd_43"/>
    <x v="83"/>
    <n v="1"/>
    <n v="1"/>
    <n v="-20"/>
    <n v="120"/>
  </r>
  <r>
    <x v="9"/>
    <s v="conventional_refinance_pct_2nd_44"/>
    <x v="84"/>
    <n v="1"/>
    <n v="1"/>
    <n v="-20"/>
    <n v="120"/>
  </r>
  <r>
    <x v="9"/>
    <s v="conventional_refinance_pct_2nd_45"/>
    <x v="85"/>
    <n v="1"/>
    <n v="1"/>
    <n v="-20"/>
    <n v="120"/>
  </r>
  <r>
    <x v="9"/>
    <s v="conventional_refinance_pct_2nd_46"/>
    <x v="86"/>
    <n v="1"/>
    <n v="1"/>
    <n v="-20"/>
    <n v="120"/>
  </r>
  <r>
    <x v="9"/>
    <s v="conventional_refinance_pct_2nd_47"/>
    <x v="87"/>
    <n v="1"/>
    <n v="1"/>
    <n v="-20"/>
    <n v="120"/>
  </r>
  <r>
    <x v="9"/>
    <s v="conventional_refinance_pct_2nd_48"/>
    <x v="88"/>
    <n v="1"/>
    <n v="1"/>
    <n v="-20"/>
    <n v="120"/>
  </r>
  <r>
    <x v="9"/>
    <s v="conventional_refinance_pct_2nd_49"/>
    <x v="89"/>
    <n v="1"/>
    <n v="1"/>
    <n v="-20"/>
    <n v="120"/>
  </r>
  <r>
    <x v="9"/>
    <s v="conventional_refinance_pct_2nd_50"/>
    <x v="90"/>
    <n v="1"/>
    <n v="1"/>
    <n v="-20"/>
    <n v="120"/>
  </r>
  <r>
    <x v="9"/>
    <s v="conventional_refinance_pct_2nd_51"/>
    <x v="91"/>
    <n v="1"/>
    <n v="1"/>
    <n v="-20"/>
    <n v="120"/>
  </r>
  <r>
    <x v="9"/>
    <s v="conventional_refinance_pct_2nd_52"/>
    <x v="92"/>
    <n v="1"/>
    <n v="1"/>
    <n v="-20"/>
    <n v="120"/>
  </r>
  <r>
    <x v="9"/>
    <s v="conventional_refinance_pct_2nd_53"/>
    <x v="93"/>
    <n v="1"/>
    <n v="1"/>
    <n v="-20"/>
    <n v="120"/>
  </r>
  <r>
    <x v="9"/>
    <s v="conventional_refinance_pct_2nd_54"/>
    <x v="94"/>
    <n v="1"/>
    <n v="1"/>
    <n v="-20"/>
    <n v="120"/>
  </r>
  <r>
    <x v="9"/>
    <s v="conventional_refinance_pct_2nd_55"/>
    <x v="95"/>
    <n v="1"/>
    <n v="1"/>
    <n v="-20"/>
    <n v="120"/>
  </r>
  <r>
    <x v="9"/>
    <s v="conventional_refinance_pct_2nd_56"/>
    <x v="96"/>
    <n v="1"/>
    <n v="1"/>
    <n v="-20"/>
    <n v="120"/>
  </r>
  <r>
    <x v="9"/>
    <s v="conventional_refinance_pct_2nd_57"/>
    <x v="97"/>
    <n v="1"/>
    <n v="1"/>
    <n v="-20"/>
    <n v="120"/>
  </r>
  <r>
    <x v="9"/>
    <s v="conventional_refinance_pct_2nd_58"/>
    <x v="98"/>
    <n v="1"/>
    <n v="1"/>
    <n v="-20"/>
    <n v="120"/>
  </r>
  <r>
    <x v="9"/>
    <s v="conventional_refinance_pct_2nd_59"/>
    <x v="99"/>
    <n v="1"/>
    <n v="1"/>
    <n v="-20"/>
    <n v="120"/>
  </r>
  <r>
    <x v="9"/>
    <s v="conventional_refinance_pct_2nd_60"/>
    <x v="100"/>
    <n v="1"/>
    <n v="1"/>
    <n v="-20"/>
    <n v="120"/>
  </r>
  <r>
    <x v="9"/>
    <s v="conventional_refinance_pct_2nd_61"/>
    <x v="101"/>
    <n v="1"/>
    <n v="1"/>
    <n v="-20"/>
    <n v="120"/>
  </r>
  <r>
    <x v="9"/>
    <s v="conventional_refinance_pct_2nd_62"/>
    <x v="102"/>
    <n v="1"/>
    <n v="1"/>
    <n v="-20"/>
    <n v="120"/>
  </r>
  <r>
    <x v="9"/>
    <s v="conventional_refinance_pct_2nd_63"/>
    <x v="103"/>
    <n v="1"/>
    <n v="1"/>
    <n v="-20"/>
    <n v="120"/>
  </r>
  <r>
    <x v="9"/>
    <s v="conventional_refinance_pct_2nd_64"/>
    <x v="104"/>
    <n v="1"/>
    <n v="1"/>
    <n v="-20"/>
    <n v="120"/>
  </r>
  <r>
    <x v="9"/>
    <s v="conventional_refinance_pct_2nd_65"/>
    <x v="105"/>
    <n v="1"/>
    <n v="1"/>
    <n v="-20"/>
    <n v="120"/>
  </r>
  <r>
    <x v="9"/>
    <s v="conventional_refinance_pct_2nd_66"/>
    <x v="106"/>
    <n v="1"/>
    <n v="1"/>
    <n v="-20"/>
    <n v="120"/>
  </r>
  <r>
    <x v="9"/>
    <s v="conventional_refinance_pct_2nd_67"/>
    <x v="107"/>
    <n v="1"/>
    <n v="1"/>
    <n v="-20"/>
    <n v="120"/>
  </r>
  <r>
    <x v="9"/>
    <s v="conventional_refinance_pct_2nd_68"/>
    <x v="108"/>
    <n v="1"/>
    <n v="1"/>
    <n v="-20"/>
    <n v="120"/>
  </r>
  <r>
    <x v="9"/>
    <s v="conventional_refinance_pct_2nd_69"/>
    <x v="109"/>
    <n v="1"/>
    <n v="1"/>
    <n v="-20"/>
    <n v="120"/>
  </r>
  <r>
    <x v="9"/>
    <s v="conventional_refinance_pct_2nd_70"/>
    <x v="110"/>
    <n v="1"/>
    <n v="1"/>
    <n v="-20"/>
    <n v="120"/>
  </r>
  <r>
    <x v="9"/>
    <s v="conventional_refinance_pct_2nd_71"/>
    <x v="111"/>
    <n v="1"/>
    <n v="1"/>
    <n v="-20"/>
    <n v="120"/>
  </r>
  <r>
    <x v="9"/>
    <s v="conventional_refinance_pct_2nd_72"/>
    <x v="112"/>
    <n v="1"/>
    <n v="1"/>
    <n v="-20"/>
    <n v="120"/>
  </r>
  <r>
    <x v="9"/>
    <s v="conventional_refinance_pct_2nd_73"/>
    <x v="113"/>
    <n v="1"/>
    <n v="1"/>
    <n v="-20"/>
    <n v="120"/>
  </r>
  <r>
    <x v="9"/>
    <s v="conventional_refinance_pct_2nd_74"/>
    <x v="114"/>
    <n v="1"/>
    <n v="1"/>
    <n v="-20"/>
    <n v="120"/>
  </r>
  <r>
    <x v="9"/>
    <s v="conventional_refinance_pct_2nd_75"/>
    <x v="115"/>
    <n v="1"/>
    <n v="1"/>
    <n v="-20"/>
    <n v="120"/>
  </r>
  <r>
    <x v="9"/>
    <s v="conventional_refinance_pct_2nd_76"/>
    <x v="116"/>
    <n v="1"/>
    <n v="1"/>
    <n v="-20"/>
    <n v="120"/>
  </r>
  <r>
    <x v="9"/>
    <s v="conventional_refinance_pct_2nd_77"/>
    <x v="117"/>
    <n v="1"/>
    <n v="1"/>
    <n v="-20"/>
    <n v="120"/>
  </r>
  <r>
    <x v="9"/>
    <s v="conventional_refinance_pct_2nd_78"/>
    <x v="118"/>
    <n v="1"/>
    <n v="1"/>
    <n v="-20"/>
    <n v="120"/>
  </r>
  <r>
    <x v="9"/>
    <s v="conventional_refinance_pct_2nd_79"/>
    <x v="119"/>
    <n v="1"/>
    <n v="1"/>
    <n v="-20"/>
    <n v="120"/>
  </r>
  <r>
    <x v="9"/>
    <s v="conventional_refinance_pct_2nd_80"/>
    <x v="120"/>
    <n v="1"/>
    <n v="1"/>
    <n v="-20"/>
    <n v="120"/>
  </r>
  <r>
    <x v="9"/>
    <s v="conventional_refinance_pct_2nd_81"/>
    <x v="121"/>
    <n v="1"/>
    <n v="1"/>
    <n v="-20"/>
    <n v="120"/>
  </r>
  <r>
    <x v="9"/>
    <s v="conventional_refinance_pct_2nd_82"/>
    <x v="122"/>
    <n v="1"/>
    <n v="1"/>
    <n v="-20"/>
    <n v="120"/>
  </r>
  <r>
    <x v="9"/>
    <s v="conventional_refinance_pct_2nd_83"/>
    <x v="123"/>
    <n v="1"/>
    <n v="1"/>
    <n v="-20"/>
    <n v="120"/>
  </r>
  <r>
    <x v="9"/>
    <s v="conventional_refinance_pct_2nd_84"/>
    <x v="124"/>
    <n v="1"/>
    <n v="1"/>
    <n v="-20"/>
    <n v="120"/>
  </r>
  <r>
    <x v="9"/>
    <s v="conventional_refinance_pct_2nd_85"/>
    <x v="125"/>
    <n v="1"/>
    <n v="1"/>
    <n v="-20"/>
    <n v="120"/>
  </r>
  <r>
    <x v="9"/>
    <s v="conventional_refinance_pct_2nd_86"/>
    <x v="126"/>
    <n v="1"/>
    <n v="1"/>
    <n v="-20"/>
    <n v="120"/>
  </r>
  <r>
    <x v="9"/>
    <s v="conventional_refinance_pct_2nd_87"/>
    <x v="127"/>
    <n v="1"/>
    <n v="1"/>
    <n v="-20"/>
    <n v="120"/>
  </r>
  <r>
    <x v="9"/>
    <s v="conventional_refinance_pct_2nd_88"/>
    <x v="128"/>
    <n v="1"/>
    <n v="1"/>
    <n v="-20"/>
    <n v="120"/>
  </r>
  <r>
    <x v="9"/>
    <s v="conventional_refinance_pct_2nd_89"/>
    <x v="129"/>
    <n v="1"/>
    <n v="1"/>
    <n v="-20"/>
    <n v="120"/>
  </r>
  <r>
    <x v="9"/>
    <s v="conventional_refinance_pct_2nd_90"/>
    <x v="130"/>
    <n v="1"/>
    <n v="1"/>
    <n v="-20"/>
    <n v="120"/>
  </r>
  <r>
    <x v="9"/>
    <s v="conventional_refinance_pct_2nd_91"/>
    <x v="131"/>
    <n v="1"/>
    <n v="1"/>
    <n v="-20"/>
    <n v="120"/>
  </r>
  <r>
    <x v="9"/>
    <s v="conventional_refinance_pct_2nd_92"/>
    <x v="132"/>
    <n v="1"/>
    <n v="1"/>
    <n v="-20"/>
    <n v="120"/>
  </r>
  <r>
    <x v="9"/>
    <s v="conventional_refinance_pct_2nd_93"/>
    <x v="133"/>
    <n v="1"/>
    <n v="1"/>
    <n v="-20"/>
    <n v="120"/>
  </r>
  <r>
    <x v="9"/>
    <s v="conventional_refinance_pct_2nd_94"/>
    <x v="134"/>
    <n v="1"/>
    <n v="1"/>
    <n v="-20"/>
    <n v="120"/>
  </r>
  <r>
    <x v="9"/>
    <s v="conventional_refinance_pct_2nd_95"/>
    <x v="135"/>
    <n v="1"/>
    <n v="1"/>
    <n v="-20"/>
    <n v="120"/>
  </r>
  <r>
    <x v="9"/>
    <s v="conventional_refinance_pct_2nd_96"/>
    <x v="136"/>
    <n v="1"/>
    <n v="1"/>
    <n v="-20"/>
    <n v="120"/>
  </r>
  <r>
    <x v="9"/>
    <s v="conventional_refinance_pct_2nd_97"/>
    <x v="137"/>
    <n v="1"/>
    <n v="1"/>
    <n v="-20"/>
    <n v="120"/>
  </r>
  <r>
    <x v="9"/>
    <s v="conventional_refinance_pct_2nd_98"/>
    <x v="138"/>
    <n v="1"/>
    <n v="1"/>
    <n v="-20"/>
    <n v="120"/>
  </r>
  <r>
    <x v="9"/>
    <s v="conventional_refinance_pct_2nd_99"/>
    <x v="139"/>
    <n v="1"/>
    <n v="1"/>
    <n v="-20"/>
    <n v="120"/>
  </r>
  <r>
    <x v="9"/>
    <s v="conventional_refinance_pct_2nd_100"/>
    <x v="140"/>
    <n v="1"/>
    <n v="1"/>
    <n v="-20"/>
    <n v="120"/>
  </r>
  <r>
    <x v="9"/>
    <s v="conventional_refinance_pct_2nd_101"/>
    <x v="141"/>
    <n v="1"/>
    <n v="1"/>
    <n v="-20"/>
    <n v="120"/>
  </r>
  <r>
    <x v="9"/>
    <s v="conventional_refinance_pct_2nd_102"/>
    <x v="142"/>
    <n v="1"/>
    <n v="1"/>
    <n v="-20"/>
    <n v="120"/>
  </r>
  <r>
    <x v="9"/>
    <s v="conventional_refinance_pct_2nd_103"/>
    <x v="143"/>
    <n v="1"/>
    <n v="1"/>
    <n v="-20"/>
    <n v="120"/>
  </r>
  <r>
    <x v="9"/>
    <s v="conventional_refinance_pct_2nd_104"/>
    <x v="144"/>
    <n v="1"/>
    <n v="1"/>
    <n v="-20"/>
    <n v="120"/>
  </r>
  <r>
    <x v="9"/>
    <s v="conventional_refinance_pct_2nd_105"/>
    <x v="145"/>
    <n v="1"/>
    <n v="1"/>
    <n v="-20"/>
    <n v="120"/>
  </r>
  <r>
    <x v="9"/>
    <s v="conventional_refinance_pct_2nd_106"/>
    <x v="146"/>
    <n v="1"/>
    <n v="1"/>
    <n v="-20"/>
    <n v="120"/>
  </r>
  <r>
    <x v="9"/>
    <s v="conventional_refinance_pct_2nd_107"/>
    <x v="147"/>
    <n v="1"/>
    <n v="1"/>
    <n v="-20"/>
    <n v="120"/>
  </r>
  <r>
    <x v="9"/>
    <s v="conventional_refinance_pct_2nd_108"/>
    <x v="148"/>
    <n v="1"/>
    <n v="1"/>
    <n v="-20"/>
    <n v="120"/>
  </r>
  <r>
    <x v="9"/>
    <s v="conventional_refinance_pct_2nd_109"/>
    <x v="149"/>
    <n v="1"/>
    <n v="1"/>
    <n v="-20"/>
    <n v="120"/>
  </r>
  <r>
    <x v="9"/>
    <s v="conventional_refinance_pct_2nd_110"/>
    <x v="150"/>
    <n v="1"/>
    <n v="1"/>
    <n v="-20"/>
    <n v="120"/>
  </r>
  <r>
    <x v="9"/>
    <s v="conventional_refinance_pct_2nd_111"/>
    <x v="151"/>
    <n v="1"/>
    <n v="1"/>
    <n v="-20"/>
    <n v="120"/>
  </r>
  <r>
    <x v="9"/>
    <s v="conventional_refinance_pct_2nd_112"/>
    <x v="152"/>
    <n v="1"/>
    <n v="1"/>
    <n v="-20"/>
    <n v="120"/>
  </r>
  <r>
    <x v="9"/>
    <s v="conventional_refinance_pct_2nd_113"/>
    <x v="153"/>
    <n v="1"/>
    <n v="1"/>
    <n v="-20"/>
    <n v="120"/>
  </r>
  <r>
    <x v="9"/>
    <s v="conventional_refinance_pct_2nd_114"/>
    <x v="154"/>
    <n v="1"/>
    <n v="1"/>
    <n v="-20"/>
    <n v="120"/>
  </r>
  <r>
    <x v="9"/>
    <s v="conventional_refinance_pct_2nd_115"/>
    <x v="155"/>
    <n v="1"/>
    <n v="1"/>
    <n v="-20"/>
    <n v="120"/>
  </r>
  <r>
    <x v="9"/>
    <s v="conventional_refinance_pct_2nd_116"/>
    <x v="156"/>
    <n v="1"/>
    <n v="1"/>
    <n v="-20"/>
    <n v="120"/>
  </r>
  <r>
    <x v="9"/>
    <s v="conventional_refinance_pct_2nd_117"/>
    <x v="157"/>
    <n v="1"/>
    <n v="1"/>
    <n v="-20"/>
    <n v="120"/>
  </r>
  <r>
    <x v="9"/>
    <s v="conventional_refinance_pct_2nd_118"/>
    <x v="158"/>
    <n v="1"/>
    <n v="1"/>
    <n v="-20"/>
    <n v="120"/>
  </r>
  <r>
    <x v="9"/>
    <s v="conventional_refinance_pct_2nd_119"/>
    <x v="159"/>
    <n v="1"/>
    <n v="1"/>
    <n v="-20"/>
    <n v="120"/>
  </r>
  <r>
    <x v="9"/>
    <s v="conventional_refinance_pct_2nd_120"/>
    <x v="160"/>
    <n v="1"/>
    <n v="1"/>
    <n v="-20"/>
    <n v="120"/>
  </r>
  <r>
    <x v="10"/>
    <s v="conventional_refinance_pct_second_lien_-20"/>
    <x v="20"/>
    <n v="0.87"/>
    <n v="1"/>
    <n v="-20"/>
    <n v="120"/>
  </r>
  <r>
    <x v="10"/>
    <s v="conventional_refinance_pct_second_lien_-19"/>
    <x v="21"/>
    <n v="0.87649999999999995"/>
    <n v="1"/>
    <n v="-20"/>
    <n v="120"/>
  </r>
  <r>
    <x v="10"/>
    <s v="conventional_refinance_pct_second_lien_-18"/>
    <x v="22"/>
    <n v="0.88300000000000001"/>
    <n v="1"/>
    <n v="-20"/>
    <n v="120"/>
  </r>
  <r>
    <x v="10"/>
    <s v="conventional_refinance_pct_second_lien_-17"/>
    <x v="23"/>
    <n v="0.88949999999999996"/>
    <n v="1"/>
    <n v="-20"/>
    <n v="120"/>
  </r>
  <r>
    <x v="10"/>
    <s v="conventional_refinance_pct_second_lien_-16"/>
    <x v="24"/>
    <n v="0.89600000000000002"/>
    <n v="1"/>
    <n v="-20"/>
    <n v="120"/>
  </r>
  <r>
    <x v="10"/>
    <s v="conventional_refinance_pct_second_lien_-15"/>
    <x v="25"/>
    <n v="0.90249999999999997"/>
    <n v="1"/>
    <n v="-20"/>
    <n v="120"/>
  </r>
  <r>
    <x v="10"/>
    <s v="conventional_refinance_pct_second_lien_-14"/>
    <x v="26"/>
    <n v="0.90900000000000003"/>
    <n v="1"/>
    <n v="-20"/>
    <n v="120"/>
  </r>
  <r>
    <x v="10"/>
    <s v="conventional_refinance_pct_second_lien_-13"/>
    <x v="27"/>
    <n v="0.91549999999999998"/>
    <n v="1"/>
    <n v="-20"/>
    <n v="120"/>
  </r>
  <r>
    <x v="10"/>
    <s v="conventional_refinance_pct_second_lien_-12"/>
    <x v="28"/>
    <n v="0.92200000000000004"/>
    <n v="1"/>
    <n v="-20"/>
    <n v="120"/>
  </r>
  <r>
    <x v="10"/>
    <s v="conventional_refinance_pct_second_lien_-11"/>
    <x v="29"/>
    <n v="0.92849999999999999"/>
    <n v="1"/>
    <n v="-20"/>
    <n v="120"/>
  </r>
  <r>
    <x v="10"/>
    <s v="conventional_refinance_pct_second_lien_-10"/>
    <x v="30"/>
    <n v="0.93500000000000005"/>
    <n v="1"/>
    <n v="-20"/>
    <n v="120"/>
  </r>
  <r>
    <x v="10"/>
    <s v="conventional_refinance_pct_second_lien_-9"/>
    <x v="31"/>
    <n v="0.9415"/>
    <n v="1"/>
    <n v="-20"/>
    <n v="120"/>
  </r>
  <r>
    <x v="10"/>
    <s v="conventional_refinance_pct_second_lien_-8"/>
    <x v="32"/>
    <n v="0.94799999999999995"/>
    <n v="1"/>
    <n v="-20"/>
    <n v="120"/>
  </r>
  <r>
    <x v="10"/>
    <s v="conventional_refinance_pct_second_lien_-7"/>
    <x v="33"/>
    <n v="0.95450000000000002"/>
    <n v="1"/>
    <n v="-20"/>
    <n v="120"/>
  </r>
  <r>
    <x v="10"/>
    <s v="conventional_refinance_pct_second_lien_-6"/>
    <x v="34"/>
    <n v="0.96099999999999997"/>
    <n v="1"/>
    <n v="-20"/>
    <n v="120"/>
  </r>
  <r>
    <x v="10"/>
    <s v="conventional_refinance_pct_second_lien_-5"/>
    <x v="35"/>
    <n v="0.96750000000000003"/>
    <n v="1"/>
    <n v="-20"/>
    <n v="120"/>
  </r>
  <r>
    <x v="10"/>
    <s v="conventional_refinance_pct_second_lien_-4"/>
    <x v="36"/>
    <n v="0.97399999999999998"/>
    <n v="1"/>
    <n v="-20"/>
    <n v="120"/>
  </r>
  <r>
    <x v="10"/>
    <s v="conventional_refinance_pct_second_lien_-3"/>
    <x v="37"/>
    <n v="0.98050000000000004"/>
    <n v="1"/>
    <n v="-20"/>
    <n v="120"/>
  </r>
  <r>
    <x v="10"/>
    <s v="conventional_refinance_pct_second_lien_-2"/>
    <x v="38"/>
    <n v="0.98699999999999999"/>
    <n v="1"/>
    <n v="-20"/>
    <n v="120"/>
  </r>
  <r>
    <x v="10"/>
    <s v="conventional_refinance_pct_second_lien_-1"/>
    <x v="39"/>
    <n v="0.99350000000000005"/>
    <n v="1"/>
    <n v="-20"/>
    <n v="120"/>
  </r>
  <r>
    <x v="10"/>
    <s v="conventional_refinance_pct_second_lien_0"/>
    <x v="40"/>
    <n v="1"/>
    <n v="1"/>
    <n v="-20"/>
    <n v="120"/>
  </r>
  <r>
    <x v="10"/>
    <s v="conventional_refinance_pct_second_lien_1"/>
    <x v="41"/>
    <n v="1.0065"/>
    <n v="1"/>
    <n v="-20"/>
    <n v="120"/>
  </r>
  <r>
    <x v="10"/>
    <s v="conventional_refinance_pct_second_lien_2"/>
    <x v="42"/>
    <n v="1.0129999999999999"/>
    <n v="1"/>
    <n v="-20"/>
    <n v="120"/>
  </r>
  <r>
    <x v="10"/>
    <s v="conventional_refinance_pct_second_lien_3"/>
    <x v="43"/>
    <n v="1.0195000000000001"/>
    <n v="1"/>
    <n v="-20"/>
    <n v="120"/>
  </r>
  <r>
    <x v="10"/>
    <s v="conventional_refinance_pct_second_lien_4"/>
    <x v="44"/>
    <n v="1.026"/>
    <n v="1"/>
    <n v="-20"/>
    <n v="120"/>
  </r>
  <r>
    <x v="10"/>
    <s v="conventional_refinance_pct_second_lien_5"/>
    <x v="45"/>
    <n v="1.0325"/>
    <n v="1"/>
    <n v="-20"/>
    <n v="120"/>
  </r>
  <r>
    <x v="10"/>
    <s v="conventional_refinance_pct_second_lien_6"/>
    <x v="46"/>
    <n v="1.0389999999999999"/>
    <n v="1"/>
    <n v="-20"/>
    <n v="120"/>
  </r>
  <r>
    <x v="10"/>
    <s v="conventional_refinance_pct_second_lien_7"/>
    <x v="47"/>
    <n v="1.0455000000000001"/>
    <n v="1"/>
    <n v="-20"/>
    <n v="120"/>
  </r>
  <r>
    <x v="10"/>
    <s v="conventional_refinance_pct_second_lien_8"/>
    <x v="48"/>
    <n v="1.052"/>
    <n v="1"/>
    <n v="-20"/>
    <n v="120"/>
  </r>
  <r>
    <x v="10"/>
    <s v="conventional_refinance_pct_second_lien_9"/>
    <x v="49"/>
    <n v="1.0585"/>
    <n v="1"/>
    <n v="-20"/>
    <n v="120"/>
  </r>
  <r>
    <x v="10"/>
    <s v="conventional_refinance_pct_second_lien_10"/>
    <x v="50"/>
    <n v="1.0649999999999999"/>
    <n v="1"/>
    <n v="-20"/>
    <n v="120"/>
  </r>
  <r>
    <x v="10"/>
    <s v="conventional_refinance_pct_second_lien_11"/>
    <x v="51"/>
    <n v="1.0714999999999999"/>
    <n v="1"/>
    <n v="-20"/>
    <n v="120"/>
  </r>
  <r>
    <x v="10"/>
    <s v="conventional_refinance_pct_second_lien_12"/>
    <x v="52"/>
    <n v="1.0780000000000001"/>
    <n v="1"/>
    <n v="-20"/>
    <n v="120"/>
  </r>
  <r>
    <x v="10"/>
    <s v="conventional_refinance_pct_second_lien_13"/>
    <x v="53"/>
    <n v="1.0845"/>
    <n v="1"/>
    <n v="-20"/>
    <n v="120"/>
  </r>
  <r>
    <x v="10"/>
    <s v="conventional_refinance_pct_second_lien_14"/>
    <x v="54"/>
    <n v="1.091"/>
    <n v="1"/>
    <n v="-20"/>
    <n v="120"/>
  </r>
  <r>
    <x v="10"/>
    <s v="conventional_refinance_pct_second_lien_15"/>
    <x v="55"/>
    <n v="1.0974999999999999"/>
    <n v="1"/>
    <n v="-20"/>
    <n v="120"/>
  </r>
  <r>
    <x v="10"/>
    <s v="conventional_refinance_pct_second_lien_16"/>
    <x v="56"/>
    <n v="1.1040000000000001"/>
    <n v="1"/>
    <n v="-20"/>
    <n v="120"/>
  </r>
  <r>
    <x v="10"/>
    <s v="conventional_refinance_pct_second_lien_17"/>
    <x v="57"/>
    <n v="1.1105"/>
    <n v="1"/>
    <n v="-20"/>
    <n v="120"/>
  </r>
  <r>
    <x v="10"/>
    <s v="conventional_refinance_pct_second_lien_18"/>
    <x v="58"/>
    <n v="1.117"/>
    <n v="1"/>
    <n v="-20"/>
    <n v="120"/>
  </r>
  <r>
    <x v="10"/>
    <s v="conventional_refinance_pct_second_lien_19"/>
    <x v="59"/>
    <n v="1.1234999999999999"/>
    <n v="1"/>
    <n v="-20"/>
    <n v="120"/>
  </r>
  <r>
    <x v="10"/>
    <s v="conventional_refinance_pct_second_lien_20"/>
    <x v="60"/>
    <n v="1.1299999999999999"/>
    <n v="1"/>
    <n v="-20"/>
    <n v="120"/>
  </r>
  <r>
    <x v="10"/>
    <s v="conventional_refinance_pct_second_lien_21"/>
    <x v="61"/>
    <n v="1.1365000000000001"/>
    <n v="1"/>
    <n v="-20"/>
    <n v="120"/>
  </r>
  <r>
    <x v="10"/>
    <s v="conventional_refinance_pct_second_lien_22"/>
    <x v="62"/>
    <n v="1.143"/>
    <n v="1"/>
    <n v="-20"/>
    <n v="120"/>
  </r>
  <r>
    <x v="10"/>
    <s v="conventional_refinance_pct_second_lien_23"/>
    <x v="63"/>
    <n v="1.1495"/>
    <n v="1"/>
    <n v="-20"/>
    <n v="120"/>
  </r>
  <r>
    <x v="10"/>
    <s v="conventional_refinance_pct_second_lien_24"/>
    <x v="64"/>
    <n v="1.1559999999999999"/>
    <n v="1"/>
    <n v="-20"/>
    <n v="120"/>
  </r>
  <r>
    <x v="10"/>
    <s v="conventional_refinance_pct_second_lien_25"/>
    <x v="65"/>
    <n v="1.1625000000000001"/>
    <n v="1"/>
    <n v="-20"/>
    <n v="120"/>
  </r>
  <r>
    <x v="10"/>
    <s v="conventional_refinance_pct_second_lien_26"/>
    <x v="66"/>
    <n v="1.169"/>
    <n v="1"/>
    <n v="-20"/>
    <n v="120"/>
  </r>
  <r>
    <x v="10"/>
    <s v="conventional_refinance_pct_second_lien_27"/>
    <x v="67"/>
    <n v="1.1755"/>
    <n v="1"/>
    <n v="-20"/>
    <n v="120"/>
  </r>
  <r>
    <x v="10"/>
    <s v="conventional_refinance_pct_second_lien_28"/>
    <x v="68"/>
    <n v="1.1819999999999999"/>
    <n v="1"/>
    <n v="-20"/>
    <n v="120"/>
  </r>
  <r>
    <x v="10"/>
    <s v="conventional_refinance_pct_second_lien_29"/>
    <x v="69"/>
    <n v="1.1884999999999999"/>
    <n v="1"/>
    <n v="-20"/>
    <n v="120"/>
  </r>
  <r>
    <x v="10"/>
    <s v="conventional_refinance_pct_second_lien_30"/>
    <x v="70"/>
    <n v="1.1950000000000001"/>
    <n v="1"/>
    <n v="-20"/>
    <n v="120"/>
  </r>
  <r>
    <x v="10"/>
    <s v="conventional_refinance_pct_second_lien_31"/>
    <x v="71"/>
    <n v="1.2015"/>
    <n v="1"/>
    <n v="-20"/>
    <n v="120"/>
  </r>
  <r>
    <x v="10"/>
    <s v="conventional_refinance_pct_second_lien_32"/>
    <x v="72"/>
    <n v="1.208"/>
    <n v="1"/>
    <n v="-20"/>
    <n v="120"/>
  </r>
  <r>
    <x v="10"/>
    <s v="conventional_refinance_pct_second_lien_33"/>
    <x v="73"/>
    <n v="1.2144999999999999"/>
    <n v="1"/>
    <n v="-20"/>
    <n v="120"/>
  </r>
  <r>
    <x v="10"/>
    <s v="conventional_refinance_pct_second_lien_34"/>
    <x v="74"/>
    <n v="1.2210000000000001"/>
    <n v="1"/>
    <n v="-20"/>
    <n v="120"/>
  </r>
  <r>
    <x v="10"/>
    <s v="conventional_refinance_pct_second_lien_35"/>
    <x v="75"/>
    <n v="1.2275"/>
    <n v="1"/>
    <n v="-20"/>
    <n v="120"/>
  </r>
  <r>
    <x v="10"/>
    <s v="conventional_refinance_pct_second_lien_36"/>
    <x v="76"/>
    <n v="1.234"/>
    <n v="1"/>
    <n v="-20"/>
    <n v="120"/>
  </r>
  <r>
    <x v="10"/>
    <s v="conventional_refinance_pct_second_lien_37"/>
    <x v="77"/>
    <n v="1.2404999999999999"/>
    <n v="1"/>
    <n v="-20"/>
    <n v="120"/>
  </r>
  <r>
    <x v="10"/>
    <s v="conventional_refinance_pct_second_lien_38"/>
    <x v="78"/>
    <n v="1.2470000000000001"/>
    <n v="1"/>
    <n v="-20"/>
    <n v="120"/>
  </r>
  <r>
    <x v="10"/>
    <s v="conventional_refinance_pct_second_lien_39"/>
    <x v="79"/>
    <n v="1.2535000000000001"/>
    <n v="1"/>
    <n v="-20"/>
    <n v="120"/>
  </r>
  <r>
    <x v="10"/>
    <s v="conventional_refinance_pct_second_lien_40"/>
    <x v="80"/>
    <n v="1.26"/>
    <n v="1"/>
    <n v="-20"/>
    <n v="120"/>
  </r>
  <r>
    <x v="10"/>
    <s v="conventional_refinance_pct_second_lien_41"/>
    <x v="81"/>
    <n v="1.2665"/>
    <n v="1"/>
    <n v="-20"/>
    <n v="120"/>
  </r>
  <r>
    <x v="10"/>
    <s v="conventional_refinance_pct_second_lien_42"/>
    <x v="82"/>
    <n v="1.2729999999999999"/>
    <n v="1"/>
    <n v="-20"/>
    <n v="120"/>
  </r>
  <r>
    <x v="10"/>
    <s v="conventional_refinance_pct_second_lien_43"/>
    <x v="83"/>
    <n v="1.2795000000000001"/>
    <n v="1"/>
    <n v="-20"/>
    <n v="120"/>
  </r>
  <r>
    <x v="10"/>
    <s v="conventional_refinance_pct_second_lien_44"/>
    <x v="84"/>
    <n v="1.286"/>
    <n v="1"/>
    <n v="-20"/>
    <n v="120"/>
  </r>
  <r>
    <x v="10"/>
    <s v="conventional_refinance_pct_second_lien_45"/>
    <x v="85"/>
    <n v="1.2925"/>
    <n v="1"/>
    <n v="-20"/>
    <n v="120"/>
  </r>
  <r>
    <x v="10"/>
    <s v="conventional_refinance_pct_second_lien_46"/>
    <x v="86"/>
    <n v="1.2989999999999999"/>
    <n v="1"/>
    <n v="-20"/>
    <n v="120"/>
  </r>
  <r>
    <x v="10"/>
    <s v="conventional_refinance_pct_second_lien_47"/>
    <x v="87"/>
    <n v="1.3055000000000001"/>
    <n v="1"/>
    <n v="-20"/>
    <n v="120"/>
  </r>
  <r>
    <x v="10"/>
    <s v="conventional_refinance_pct_second_lien_48"/>
    <x v="88"/>
    <n v="1.3120000000000001"/>
    <n v="1"/>
    <n v="-20"/>
    <n v="120"/>
  </r>
  <r>
    <x v="10"/>
    <s v="conventional_refinance_pct_second_lien_49"/>
    <x v="89"/>
    <n v="1.3185"/>
    <n v="1"/>
    <n v="-20"/>
    <n v="120"/>
  </r>
  <r>
    <x v="10"/>
    <s v="conventional_refinance_pct_second_lien_50"/>
    <x v="90"/>
    <n v="1.325"/>
    <n v="1"/>
    <n v="-20"/>
    <n v="120"/>
  </r>
  <r>
    <x v="10"/>
    <s v="conventional_refinance_pct_second_lien_51"/>
    <x v="91"/>
    <n v="1.3314999999999999"/>
    <n v="1"/>
    <n v="-20"/>
    <n v="120"/>
  </r>
  <r>
    <x v="10"/>
    <s v="conventional_refinance_pct_second_lien_52"/>
    <x v="92"/>
    <n v="1.3380000000000001"/>
    <n v="1"/>
    <n v="-20"/>
    <n v="120"/>
  </r>
  <r>
    <x v="10"/>
    <s v="conventional_refinance_pct_second_lien_53"/>
    <x v="93"/>
    <n v="1.3445"/>
    <n v="1"/>
    <n v="-20"/>
    <n v="120"/>
  </r>
  <r>
    <x v="10"/>
    <s v="conventional_refinance_pct_second_lien_54"/>
    <x v="94"/>
    <n v="1.351"/>
    <n v="1"/>
    <n v="-20"/>
    <n v="120"/>
  </r>
  <r>
    <x v="10"/>
    <s v="conventional_refinance_pct_second_lien_55"/>
    <x v="95"/>
    <n v="1.3574999999999999"/>
    <n v="1"/>
    <n v="-20"/>
    <n v="120"/>
  </r>
  <r>
    <x v="10"/>
    <s v="conventional_refinance_pct_second_lien_56"/>
    <x v="96"/>
    <n v="1.3640000000000001"/>
    <n v="1"/>
    <n v="-20"/>
    <n v="120"/>
  </r>
  <r>
    <x v="10"/>
    <s v="conventional_refinance_pct_second_lien_57"/>
    <x v="97"/>
    <n v="1.3705000000000001"/>
    <n v="1"/>
    <n v="-20"/>
    <n v="120"/>
  </r>
  <r>
    <x v="10"/>
    <s v="conventional_refinance_pct_second_lien_58"/>
    <x v="98"/>
    <n v="1.377"/>
    <n v="1"/>
    <n v="-20"/>
    <n v="120"/>
  </r>
  <r>
    <x v="10"/>
    <s v="conventional_refinance_pct_second_lien_59"/>
    <x v="99"/>
    <n v="1.3835"/>
    <n v="1"/>
    <n v="-20"/>
    <n v="120"/>
  </r>
  <r>
    <x v="10"/>
    <s v="conventional_refinance_pct_second_lien_60"/>
    <x v="100"/>
    <n v="1.39"/>
    <n v="1"/>
    <n v="-20"/>
    <n v="120"/>
  </r>
  <r>
    <x v="10"/>
    <s v="conventional_refinance_pct_second_lien_61"/>
    <x v="101"/>
    <n v="1.3965000000000001"/>
    <n v="1"/>
    <n v="-20"/>
    <n v="120"/>
  </r>
  <r>
    <x v="10"/>
    <s v="conventional_refinance_pct_second_lien_62"/>
    <x v="102"/>
    <n v="1.403"/>
    <n v="1"/>
    <n v="-20"/>
    <n v="120"/>
  </r>
  <r>
    <x v="10"/>
    <s v="conventional_refinance_pct_second_lien_63"/>
    <x v="103"/>
    <n v="1.4095"/>
    <n v="1"/>
    <n v="-20"/>
    <n v="120"/>
  </r>
  <r>
    <x v="10"/>
    <s v="conventional_refinance_pct_second_lien_64"/>
    <x v="104"/>
    <n v="1.4159999999999999"/>
    <n v="1"/>
    <n v="-20"/>
    <n v="120"/>
  </r>
  <r>
    <x v="10"/>
    <s v="conventional_refinance_pct_second_lien_65"/>
    <x v="105"/>
    <n v="1.4225000000000001"/>
    <n v="1"/>
    <n v="-20"/>
    <n v="120"/>
  </r>
  <r>
    <x v="10"/>
    <s v="conventional_refinance_pct_second_lien_66"/>
    <x v="106"/>
    <n v="1.429"/>
    <n v="1"/>
    <n v="-20"/>
    <n v="120"/>
  </r>
  <r>
    <x v="10"/>
    <s v="conventional_refinance_pct_second_lien_67"/>
    <x v="107"/>
    <n v="1.4355"/>
    <n v="1"/>
    <n v="-20"/>
    <n v="120"/>
  </r>
  <r>
    <x v="10"/>
    <s v="conventional_refinance_pct_second_lien_68"/>
    <x v="108"/>
    <n v="1.4419999999999999"/>
    <n v="1"/>
    <n v="-20"/>
    <n v="120"/>
  </r>
  <r>
    <x v="10"/>
    <s v="conventional_refinance_pct_second_lien_69"/>
    <x v="109"/>
    <n v="1.4484999999999999"/>
    <n v="1"/>
    <n v="-20"/>
    <n v="120"/>
  </r>
  <r>
    <x v="10"/>
    <s v="conventional_refinance_pct_second_lien_70"/>
    <x v="110"/>
    <n v="1.4550000000000001"/>
    <n v="1"/>
    <n v="-20"/>
    <n v="120"/>
  </r>
  <r>
    <x v="10"/>
    <s v="conventional_refinance_pct_second_lien_71"/>
    <x v="111"/>
    <n v="1.4615"/>
    <n v="1"/>
    <n v="-20"/>
    <n v="120"/>
  </r>
  <r>
    <x v="10"/>
    <s v="conventional_refinance_pct_second_lien_72"/>
    <x v="112"/>
    <n v="1.468"/>
    <n v="1"/>
    <n v="-20"/>
    <n v="120"/>
  </r>
  <r>
    <x v="10"/>
    <s v="conventional_refinance_pct_second_lien_73"/>
    <x v="113"/>
    <n v="1.4744999999999999"/>
    <n v="1"/>
    <n v="-20"/>
    <n v="120"/>
  </r>
  <r>
    <x v="10"/>
    <s v="conventional_refinance_pct_second_lien_74"/>
    <x v="114"/>
    <n v="1.4810000000000001"/>
    <n v="1"/>
    <n v="-20"/>
    <n v="120"/>
  </r>
  <r>
    <x v="10"/>
    <s v="conventional_refinance_pct_second_lien_75"/>
    <x v="115"/>
    <n v="1.4875"/>
    <n v="1"/>
    <n v="-20"/>
    <n v="120"/>
  </r>
  <r>
    <x v="10"/>
    <s v="conventional_refinance_pct_second_lien_76"/>
    <x v="116"/>
    <n v="1.494"/>
    <n v="1"/>
    <n v="-20"/>
    <n v="120"/>
  </r>
  <r>
    <x v="10"/>
    <s v="conventional_refinance_pct_second_lien_77"/>
    <x v="117"/>
    <n v="1.5004999999999999"/>
    <n v="1"/>
    <n v="-20"/>
    <n v="120"/>
  </r>
  <r>
    <x v="10"/>
    <s v="conventional_refinance_pct_second_lien_78"/>
    <x v="118"/>
    <n v="1.5069999999999999"/>
    <n v="1"/>
    <n v="-20"/>
    <n v="120"/>
  </r>
  <r>
    <x v="10"/>
    <s v="conventional_refinance_pct_second_lien_79"/>
    <x v="119"/>
    <n v="1.5135000000000001"/>
    <n v="1"/>
    <n v="-20"/>
    <n v="120"/>
  </r>
  <r>
    <x v="10"/>
    <s v="conventional_refinance_pct_second_lien_80"/>
    <x v="120"/>
    <n v="1.52"/>
    <n v="1"/>
    <n v="-20"/>
    <n v="120"/>
  </r>
  <r>
    <x v="10"/>
    <s v="conventional_refinance_pct_second_lien_81"/>
    <x v="121"/>
    <n v="1.5265"/>
    <n v="1"/>
    <n v="-20"/>
    <n v="120"/>
  </r>
  <r>
    <x v="10"/>
    <s v="conventional_refinance_pct_second_lien_82"/>
    <x v="122"/>
    <n v="1.5329999999999999"/>
    <n v="1"/>
    <n v="-20"/>
    <n v="120"/>
  </r>
  <r>
    <x v="10"/>
    <s v="conventional_refinance_pct_second_lien_83"/>
    <x v="123"/>
    <n v="1.5395000000000001"/>
    <n v="1"/>
    <n v="-20"/>
    <n v="120"/>
  </r>
  <r>
    <x v="10"/>
    <s v="conventional_refinance_pct_second_lien_84"/>
    <x v="124"/>
    <n v="1.546"/>
    <n v="1"/>
    <n v="-20"/>
    <n v="120"/>
  </r>
  <r>
    <x v="10"/>
    <s v="conventional_refinance_pct_second_lien_85"/>
    <x v="125"/>
    <n v="1.5525"/>
    <n v="1"/>
    <n v="-20"/>
    <n v="120"/>
  </r>
  <r>
    <x v="10"/>
    <s v="conventional_refinance_pct_second_lien_86"/>
    <x v="126"/>
    <n v="1.5589999999999999"/>
    <n v="1"/>
    <n v="-20"/>
    <n v="120"/>
  </r>
  <r>
    <x v="10"/>
    <s v="conventional_refinance_pct_second_lien_87"/>
    <x v="127"/>
    <n v="1.5654999999999999"/>
    <n v="1"/>
    <n v="-20"/>
    <n v="120"/>
  </r>
  <r>
    <x v="10"/>
    <s v="conventional_refinance_pct_second_lien_88"/>
    <x v="128"/>
    <n v="1.5720000000000001"/>
    <n v="1"/>
    <n v="-20"/>
    <n v="120"/>
  </r>
  <r>
    <x v="10"/>
    <s v="conventional_refinance_pct_second_lien_89"/>
    <x v="129"/>
    <n v="1.5785"/>
    <n v="1"/>
    <n v="-20"/>
    <n v="120"/>
  </r>
  <r>
    <x v="10"/>
    <s v="conventional_refinance_pct_second_lien_90"/>
    <x v="130"/>
    <n v="1.585"/>
    <n v="1"/>
    <n v="-20"/>
    <n v="120"/>
  </r>
  <r>
    <x v="10"/>
    <s v="conventional_refinance_pct_second_lien_91"/>
    <x v="131"/>
    <n v="1.5914999999999999"/>
    <n v="1"/>
    <n v="-20"/>
    <n v="120"/>
  </r>
  <r>
    <x v="10"/>
    <s v="conventional_refinance_pct_second_lien_92"/>
    <x v="132"/>
    <n v="1.5980000000000001"/>
    <n v="1"/>
    <n v="-20"/>
    <n v="120"/>
  </r>
  <r>
    <x v="10"/>
    <s v="conventional_refinance_pct_second_lien_93"/>
    <x v="133"/>
    <n v="1.6045"/>
    <n v="1"/>
    <n v="-20"/>
    <n v="120"/>
  </r>
  <r>
    <x v="10"/>
    <s v="conventional_refinance_pct_second_lien_94"/>
    <x v="134"/>
    <n v="1.611"/>
    <n v="1"/>
    <n v="-20"/>
    <n v="120"/>
  </r>
  <r>
    <x v="10"/>
    <s v="conventional_refinance_pct_second_lien_95"/>
    <x v="135"/>
    <n v="1.6174999999999999"/>
    <n v="1"/>
    <n v="-20"/>
    <n v="120"/>
  </r>
  <r>
    <x v="10"/>
    <s v="conventional_refinance_pct_second_lien_96"/>
    <x v="136"/>
    <n v="1.6240000000000001"/>
    <n v="1"/>
    <n v="-20"/>
    <n v="120"/>
  </r>
  <r>
    <x v="10"/>
    <s v="conventional_refinance_pct_second_lien_97"/>
    <x v="137"/>
    <n v="1.6305000000000001"/>
    <n v="1"/>
    <n v="-20"/>
    <n v="120"/>
  </r>
  <r>
    <x v="10"/>
    <s v="conventional_refinance_pct_second_lien_98"/>
    <x v="138"/>
    <n v="1.637"/>
    <n v="1"/>
    <n v="-20"/>
    <n v="120"/>
  </r>
  <r>
    <x v="10"/>
    <s v="conventional_refinance_pct_second_lien_99"/>
    <x v="139"/>
    <n v="1.6435"/>
    <n v="1"/>
    <n v="-20"/>
    <n v="120"/>
  </r>
  <r>
    <x v="10"/>
    <s v="conventional_refinance_pct_second_lien_100"/>
    <x v="140"/>
    <n v="1.65"/>
    <n v="1"/>
    <n v="-20"/>
    <n v="120"/>
  </r>
  <r>
    <x v="10"/>
    <s v="conventional_refinance_pct_second_lien_101"/>
    <x v="141"/>
    <n v="1.6565000000000001"/>
    <n v="1"/>
    <n v="-20"/>
    <n v="120"/>
  </r>
  <r>
    <x v="10"/>
    <s v="conventional_refinance_pct_second_lien_102"/>
    <x v="142"/>
    <n v="1.663"/>
    <n v="1"/>
    <n v="-20"/>
    <n v="120"/>
  </r>
  <r>
    <x v="10"/>
    <s v="conventional_refinance_pct_second_lien_103"/>
    <x v="143"/>
    <n v="1.6695"/>
    <n v="1"/>
    <n v="-20"/>
    <n v="120"/>
  </r>
  <r>
    <x v="10"/>
    <s v="conventional_refinance_pct_second_lien_104"/>
    <x v="144"/>
    <n v="1.6759999999999999"/>
    <n v="1"/>
    <n v="-20"/>
    <n v="120"/>
  </r>
  <r>
    <x v="10"/>
    <s v="conventional_refinance_pct_second_lien_105"/>
    <x v="145"/>
    <n v="1.6825000000000001"/>
    <n v="1"/>
    <n v="-20"/>
    <n v="120"/>
  </r>
  <r>
    <x v="10"/>
    <s v="conventional_refinance_pct_second_lien_106"/>
    <x v="146"/>
    <n v="1.6890000000000001"/>
    <n v="1"/>
    <n v="-20"/>
    <n v="120"/>
  </r>
  <r>
    <x v="10"/>
    <s v="conventional_refinance_pct_second_lien_107"/>
    <x v="147"/>
    <n v="1.6955"/>
    <n v="1"/>
    <n v="-20"/>
    <n v="120"/>
  </r>
  <r>
    <x v="10"/>
    <s v="conventional_refinance_pct_second_lien_108"/>
    <x v="148"/>
    <n v="1.702"/>
    <n v="1"/>
    <n v="-20"/>
    <n v="120"/>
  </r>
  <r>
    <x v="10"/>
    <s v="conventional_refinance_pct_second_lien_109"/>
    <x v="149"/>
    <n v="1.7084999999999999"/>
    <n v="1"/>
    <n v="-20"/>
    <n v="120"/>
  </r>
  <r>
    <x v="10"/>
    <s v="conventional_refinance_pct_second_lien_110"/>
    <x v="150"/>
    <n v="1.7150000000000001"/>
    <n v="1"/>
    <n v="-20"/>
    <n v="120"/>
  </r>
  <r>
    <x v="10"/>
    <s v="conventional_refinance_pct_second_lien_111"/>
    <x v="151"/>
    <n v="1.7215"/>
    <n v="1"/>
    <n v="-20"/>
    <n v="120"/>
  </r>
  <r>
    <x v="10"/>
    <s v="conventional_refinance_pct_second_lien_112"/>
    <x v="152"/>
    <n v="1.728"/>
    <n v="1"/>
    <n v="-20"/>
    <n v="120"/>
  </r>
  <r>
    <x v="10"/>
    <s v="conventional_refinance_pct_second_lien_113"/>
    <x v="153"/>
    <n v="1.7344999999999999"/>
    <n v="1"/>
    <n v="-20"/>
    <n v="120"/>
  </r>
  <r>
    <x v="10"/>
    <s v="conventional_refinance_pct_second_lien_114"/>
    <x v="154"/>
    <n v="1.7410000000000001"/>
    <n v="1"/>
    <n v="-20"/>
    <n v="120"/>
  </r>
  <r>
    <x v="10"/>
    <s v="conventional_refinance_pct_second_lien_115"/>
    <x v="155"/>
    <n v="1.7475000000000001"/>
    <n v="1"/>
    <n v="-20"/>
    <n v="120"/>
  </r>
  <r>
    <x v="10"/>
    <s v="conventional_refinance_pct_second_lien_116"/>
    <x v="156"/>
    <n v="1.754"/>
    <n v="1"/>
    <n v="-20"/>
    <n v="120"/>
  </r>
  <r>
    <x v="10"/>
    <s v="conventional_refinance_pct_second_lien_117"/>
    <x v="157"/>
    <n v="1.7605"/>
    <n v="1"/>
    <n v="-20"/>
    <n v="120"/>
  </r>
  <r>
    <x v="10"/>
    <s v="conventional_refinance_pct_second_lien_118"/>
    <x v="158"/>
    <n v="1.7669999999999999"/>
    <n v="1"/>
    <n v="-20"/>
    <n v="120"/>
  </r>
  <r>
    <x v="10"/>
    <s v="conventional_refinance_pct_second_lien_119"/>
    <x v="159"/>
    <n v="1.7735000000000001"/>
    <n v="1"/>
    <n v="-20"/>
    <n v="120"/>
  </r>
  <r>
    <x v="10"/>
    <s v="conventional_refinance_pct_second_lien_120"/>
    <x v="160"/>
    <n v="1.78"/>
    <n v="1"/>
    <n v="-20"/>
    <n v="120"/>
  </r>
  <r>
    <x v="11"/>
    <s v="conventional_refinance_pct_tpo_-20"/>
    <x v="20"/>
    <n v="0.9"/>
    <n v="1"/>
    <n v="-20"/>
    <n v="120"/>
  </r>
  <r>
    <x v="11"/>
    <s v="conventional_refinance_pct_tpo_-19"/>
    <x v="21"/>
    <n v="0.90200000000000002"/>
    <n v="1"/>
    <n v="-20"/>
    <n v="120"/>
  </r>
  <r>
    <x v="11"/>
    <s v="conventional_refinance_pct_tpo_-18"/>
    <x v="22"/>
    <n v="0.90400000000000003"/>
    <n v="1"/>
    <n v="-20"/>
    <n v="120"/>
  </r>
  <r>
    <x v="11"/>
    <s v="conventional_refinance_pct_tpo_-17"/>
    <x v="23"/>
    <n v="0.90600000000000003"/>
    <n v="1"/>
    <n v="-20"/>
    <n v="120"/>
  </r>
  <r>
    <x v="11"/>
    <s v="conventional_refinance_pct_tpo_-16"/>
    <x v="24"/>
    <n v="0.90800000000000003"/>
    <n v="1"/>
    <n v="-20"/>
    <n v="120"/>
  </r>
  <r>
    <x v="11"/>
    <s v="conventional_refinance_pct_tpo_-15"/>
    <x v="25"/>
    <n v="0.91"/>
    <n v="1"/>
    <n v="-20"/>
    <n v="120"/>
  </r>
  <r>
    <x v="11"/>
    <s v="conventional_refinance_pct_tpo_-14"/>
    <x v="26"/>
    <n v="0.91200000000000003"/>
    <n v="1"/>
    <n v="-20"/>
    <n v="120"/>
  </r>
  <r>
    <x v="11"/>
    <s v="conventional_refinance_pct_tpo_-13"/>
    <x v="27"/>
    <n v="0.91400000000000003"/>
    <n v="1"/>
    <n v="-20"/>
    <n v="120"/>
  </r>
  <r>
    <x v="11"/>
    <s v="conventional_refinance_pct_tpo_-12"/>
    <x v="28"/>
    <n v="0.91600000000000004"/>
    <n v="1"/>
    <n v="-20"/>
    <n v="120"/>
  </r>
  <r>
    <x v="11"/>
    <s v="conventional_refinance_pct_tpo_-11"/>
    <x v="29"/>
    <n v="0.91800000000000004"/>
    <n v="1"/>
    <n v="-20"/>
    <n v="120"/>
  </r>
  <r>
    <x v="11"/>
    <s v="conventional_refinance_pct_tpo_-10"/>
    <x v="30"/>
    <n v="0.92"/>
    <n v="1"/>
    <n v="-20"/>
    <n v="120"/>
  </r>
  <r>
    <x v="11"/>
    <s v="conventional_refinance_pct_tpo_-9"/>
    <x v="31"/>
    <n v="0.92200000000000004"/>
    <n v="1"/>
    <n v="-20"/>
    <n v="120"/>
  </r>
  <r>
    <x v="11"/>
    <s v="conventional_refinance_pct_tpo_-8"/>
    <x v="32"/>
    <n v="0.92400000000000004"/>
    <n v="1"/>
    <n v="-20"/>
    <n v="120"/>
  </r>
  <r>
    <x v="11"/>
    <s v="conventional_refinance_pct_tpo_-7"/>
    <x v="33"/>
    <n v="0.92600000000000005"/>
    <n v="1"/>
    <n v="-20"/>
    <n v="120"/>
  </r>
  <r>
    <x v="11"/>
    <s v="conventional_refinance_pct_tpo_-6"/>
    <x v="34"/>
    <n v="0.92800000000000005"/>
    <n v="1"/>
    <n v="-20"/>
    <n v="120"/>
  </r>
  <r>
    <x v="11"/>
    <s v="conventional_refinance_pct_tpo_-5"/>
    <x v="35"/>
    <n v="0.93"/>
    <n v="1"/>
    <n v="-20"/>
    <n v="120"/>
  </r>
  <r>
    <x v="11"/>
    <s v="conventional_refinance_pct_tpo_-4"/>
    <x v="36"/>
    <n v="0.93200000000000005"/>
    <n v="1"/>
    <n v="-20"/>
    <n v="120"/>
  </r>
  <r>
    <x v="11"/>
    <s v="conventional_refinance_pct_tpo_-3"/>
    <x v="37"/>
    <n v="0.93400000000000005"/>
    <n v="1"/>
    <n v="-20"/>
    <n v="120"/>
  </r>
  <r>
    <x v="11"/>
    <s v="conventional_refinance_pct_tpo_-2"/>
    <x v="38"/>
    <n v="0.93600000000000005"/>
    <n v="1"/>
    <n v="-20"/>
    <n v="120"/>
  </r>
  <r>
    <x v="11"/>
    <s v="conventional_refinance_pct_tpo_-1"/>
    <x v="39"/>
    <n v="0.93799999999999994"/>
    <n v="1"/>
    <n v="-20"/>
    <n v="120"/>
  </r>
  <r>
    <x v="11"/>
    <s v="conventional_refinance_pct_tpo_0"/>
    <x v="40"/>
    <n v="0.94"/>
    <n v="1"/>
    <n v="-20"/>
    <n v="120"/>
  </r>
  <r>
    <x v="11"/>
    <s v="conventional_refinance_pct_tpo_1"/>
    <x v="41"/>
    <n v="0.94199999999999995"/>
    <n v="1"/>
    <n v="-20"/>
    <n v="120"/>
  </r>
  <r>
    <x v="11"/>
    <s v="conventional_refinance_pct_tpo_2"/>
    <x v="42"/>
    <n v="0.94399999999999995"/>
    <n v="1"/>
    <n v="-20"/>
    <n v="120"/>
  </r>
  <r>
    <x v="11"/>
    <s v="conventional_refinance_pct_tpo_3"/>
    <x v="43"/>
    <n v="0.94599999999999995"/>
    <n v="1"/>
    <n v="-20"/>
    <n v="120"/>
  </r>
  <r>
    <x v="11"/>
    <s v="conventional_refinance_pct_tpo_4"/>
    <x v="44"/>
    <n v="0.94799999999999995"/>
    <n v="1"/>
    <n v="-20"/>
    <n v="120"/>
  </r>
  <r>
    <x v="11"/>
    <s v="conventional_refinance_pct_tpo_5"/>
    <x v="45"/>
    <n v="0.95"/>
    <n v="1"/>
    <n v="-20"/>
    <n v="120"/>
  </r>
  <r>
    <x v="11"/>
    <s v="conventional_refinance_pct_tpo_6"/>
    <x v="46"/>
    <n v="0.95199999999999996"/>
    <n v="1"/>
    <n v="-20"/>
    <n v="120"/>
  </r>
  <r>
    <x v="11"/>
    <s v="conventional_refinance_pct_tpo_7"/>
    <x v="47"/>
    <n v="0.95399999999999996"/>
    <n v="1"/>
    <n v="-20"/>
    <n v="120"/>
  </r>
  <r>
    <x v="11"/>
    <s v="conventional_refinance_pct_tpo_8"/>
    <x v="48"/>
    <n v="0.95599999999999996"/>
    <n v="1"/>
    <n v="-20"/>
    <n v="120"/>
  </r>
  <r>
    <x v="11"/>
    <s v="conventional_refinance_pct_tpo_9"/>
    <x v="49"/>
    <n v="0.95799999999999996"/>
    <n v="1"/>
    <n v="-20"/>
    <n v="120"/>
  </r>
  <r>
    <x v="11"/>
    <s v="conventional_refinance_pct_tpo_10"/>
    <x v="50"/>
    <n v="0.96"/>
    <n v="1"/>
    <n v="-20"/>
    <n v="120"/>
  </r>
  <r>
    <x v="11"/>
    <s v="conventional_refinance_pct_tpo_11"/>
    <x v="51"/>
    <n v="0.96199999999999997"/>
    <n v="1"/>
    <n v="-20"/>
    <n v="120"/>
  </r>
  <r>
    <x v="11"/>
    <s v="conventional_refinance_pct_tpo_12"/>
    <x v="52"/>
    <n v="0.96399999999999997"/>
    <n v="1"/>
    <n v="-20"/>
    <n v="120"/>
  </r>
  <r>
    <x v="11"/>
    <s v="conventional_refinance_pct_tpo_13"/>
    <x v="53"/>
    <n v="0.96599999999999997"/>
    <n v="1"/>
    <n v="-20"/>
    <n v="120"/>
  </r>
  <r>
    <x v="11"/>
    <s v="conventional_refinance_pct_tpo_14"/>
    <x v="54"/>
    <n v="0.96799999999999997"/>
    <n v="1"/>
    <n v="-20"/>
    <n v="120"/>
  </r>
  <r>
    <x v="11"/>
    <s v="conventional_refinance_pct_tpo_15"/>
    <x v="55"/>
    <n v="0.97"/>
    <n v="1"/>
    <n v="-20"/>
    <n v="120"/>
  </r>
  <r>
    <x v="11"/>
    <s v="conventional_refinance_pct_tpo_16"/>
    <x v="56"/>
    <n v="0.97199999999999998"/>
    <n v="1"/>
    <n v="-20"/>
    <n v="120"/>
  </r>
  <r>
    <x v="11"/>
    <s v="conventional_refinance_pct_tpo_17"/>
    <x v="57"/>
    <n v="0.97399999999999998"/>
    <n v="1"/>
    <n v="-20"/>
    <n v="120"/>
  </r>
  <r>
    <x v="11"/>
    <s v="conventional_refinance_pct_tpo_18"/>
    <x v="58"/>
    <n v="0.97599999999999998"/>
    <n v="1"/>
    <n v="-20"/>
    <n v="120"/>
  </r>
  <r>
    <x v="11"/>
    <s v="conventional_refinance_pct_tpo_19"/>
    <x v="59"/>
    <n v="0.97799999999999998"/>
    <n v="1"/>
    <n v="-20"/>
    <n v="120"/>
  </r>
  <r>
    <x v="11"/>
    <s v="conventional_refinance_pct_tpo_20"/>
    <x v="60"/>
    <n v="0.98"/>
    <n v="1"/>
    <n v="-20"/>
    <n v="120"/>
  </r>
  <r>
    <x v="11"/>
    <s v="conventional_refinance_pct_tpo_21"/>
    <x v="61"/>
    <n v="0.98199999999999998"/>
    <n v="1"/>
    <n v="-20"/>
    <n v="120"/>
  </r>
  <r>
    <x v="11"/>
    <s v="conventional_refinance_pct_tpo_22"/>
    <x v="62"/>
    <n v="0.98399999999999999"/>
    <n v="1"/>
    <n v="-20"/>
    <n v="120"/>
  </r>
  <r>
    <x v="11"/>
    <s v="conventional_refinance_pct_tpo_23"/>
    <x v="63"/>
    <n v="0.98599999999999999"/>
    <n v="1"/>
    <n v="-20"/>
    <n v="120"/>
  </r>
  <r>
    <x v="11"/>
    <s v="conventional_refinance_pct_tpo_24"/>
    <x v="64"/>
    <n v="0.98799999999999999"/>
    <n v="1"/>
    <n v="-20"/>
    <n v="120"/>
  </r>
  <r>
    <x v="11"/>
    <s v="conventional_refinance_pct_tpo_25"/>
    <x v="65"/>
    <n v="0.99"/>
    <n v="1"/>
    <n v="-20"/>
    <n v="120"/>
  </r>
  <r>
    <x v="11"/>
    <s v="conventional_refinance_pct_tpo_26"/>
    <x v="66"/>
    <n v="0.99199999999999999"/>
    <n v="1"/>
    <n v="-20"/>
    <n v="120"/>
  </r>
  <r>
    <x v="11"/>
    <s v="conventional_refinance_pct_tpo_27"/>
    <x v="67"/>
    <n v="0.99399999999999999"/>
    <n v="1"/>
    <n v="-20"/>
    <n v="120"/>
  </r>
  <r>
    <x v="11"/>
    <s v="conventional_refinance_pct_tpo_28"/>
    <x v="68"/>
    <n v="0.996"/>
    <n v="1"/>
    <n v="-20"/>
    <n v="120"/>
  </r>
  <r>
    <x v="11"/>
    <s v="conventional_refinance_pct_tpo_29"/>
    <x v="69"/>
    <n v="0.998"/>
    <n v="1"/>
    <n v="-20"/>
    <n v="120"/>
  </r>
  <r>
    <x v="11"/>
    <s v="conventional_refinance_pct_tpo_30"/>
    <x v="70"/>
    <n v="1"/>
    <n v="1"/>
    <n v="-20"/>
    <n v="120"/>
  </r>
  <r>
    <x v="11"/>
    <s v="conventional_refinance_pct_tpo_31"/>
    <x v="71"/>
    <n v="1.002"/>
    <n v="1"/>
    <n v="-20"/>
    <n v="120"/>
  </r>
  <r>
    <x v="11"/>
    <s v="conventional_refinance_pct_tpo_32"/>
    <x v="72"/>
    <n v="1.004"/>
    <n v="1"/>
    <n v="-20"/>
    <n v="120"/>
  </r>
  <r>
    <x v="11"/>
    <s v="conventional_refinance_pct_tpo_33"/>
    <x v="73"/>
    <n v="1.006"/>
    <n v="1"/>
    <n v="-20"/>
    <n v="120"/>
  </r>
  <r>
    <x v="11"/>
    <s v="conventional_refinance_pct_tpo_34"/>
    <x v="74"/>
    <n v="1.008"/>
    <n v="1"/>
    <n v="-20"/>
    <n v="120"/>
  </r>
  <r>
    <x v="11"/>
    <s v="conventional_refinance_pct_tpo_35"/>
    <x v="75"/>
    <n v="1.01"/>
    <n v="1"/>
    <n v="-20"/>
    <n v="120"/>
  </r>
  <r>
    <x v="11"/>
    <s v="conventional_refinance_pct_tpo_36"/>
    <x v="76"/>
    <n v="1.012"/>
    <n v="1"/>
    <n v="-20"/>
    <n v="120"/>
  </r>
  <r>
    <x v="11"/>
    <s v="conventional_refinance_pct_tpo_37"/>
    <x v="77"/>
    <n v="1.014"/>
    <n v="1"/>
    <n v="-20"/>
    <n v="120"/>
  </r>
  <r>
    <x v="11"/>
    <s v="conventional_refinance_pct_tpo_38"/>
    <x v="78"/>
    <n v="1.016"/>
    <n v="1"/>
    <n v="-20"/>
    <n v="120"/>
  </r>
  <r>
    <x v="11"/>
    <s v="conventional_refinance_pct_tpo_39"/>
    <x v="79"/>
    <n v="1.018"/>
    <n v="1"/>
    <n v="-20"/>
    <n v="120"/>
  </r>
  <r>
    <x v="11"/>
    <s v="conventional_refinance_pct_tpo_40"/>
    <x v="80"/>
    <n v="1.02"/>
    <n v="1"/>
    <n v="-20"/>
    <n v="120"/>
  </r>
  <r>
    <x v="11"/>
    <s v="conventional_refinance_pct_tpo_41"/>
    <x v="81"/>
    <n v="1.022"/>
    <n v="1"/>
    <n v="-20"/>
    <n v="120"/>
  </r>
  <r>
    <x v="11"/>
    <s v="conventional_refinance_pct_tpo_42"/>
    <x v="82"/>
    <n v="1.024"/>
    <n v="1"/>
    <n v="-20"/>
    <n v="120"/>
  </r>
  <r>
    <x v="11"/>
    <s v="conventional_refinance_pct_tpo_43"/>
    <x v="83"/>
    <n v="1.026"/>
    <n v="1"/>
    <n v="-20"/>
    <n v="120"/>
  </r>
  <r>
    <x v="11"/>
    <s v="conventional_refinance_pct_tpo_44"/>
    <x v="84"/>
    <n v="1.028"/>
    <n v="1"/>
    <n v="-20"/>
    <n v="120"/>
  </r>
  <r>
    <x v="11"/>
    <s v="conventional_refinance_pct_tpo_45"/>
    <x v="85"/>
    <n v="1.03"/>
    <n v="1"/>
    <n v="-20"/>
    <n v="120"/>
  </r>
  <r>
    <x v="11"/>
    <s v="conventional_refinance_pct_tpo_46"/>
    <x v="86"/>
    <n v="1.032"/>
    <n v="1"/>
    <n v="-20"/>
    <n v="120"/>
  </r>
  <r>
    <x v="11"/>
    <s v="conventional_refinance_pct_tpo_47"/>
    <x v="87"/>
    <n v="1.034"/>
    <n v="1"/>
    <n v="-20"/>
    <n v="120"/>
  </r>
  <r>
    <x v="11"/>
    <s v="conventional_refinance_pct_tpo_48"/>
    <x v="88"/>
    <n v="1.036"/>
    <n v="1"/>
    <n v="-20"/>
    <n v="120"/>
  </r>
  <r>
    <x v="11"/>
    <s v="conventional_refinance_pct_tpo_49"/>
    <x v="89"/>
    <n v="1.038"/>
    <n v="1"/>
    <n v="-20"/>
    <n v="120"/>
  </r>
  <r>
    <x v="11"/>
    <s v="conventional_refinance_pct_tpo_50"/>
    <x v="90"/>
    <n v="1.04"/>
    <n v="1"/>
    <n v="-20"/>
    <n v="120"/>
  </r>
  <r>
    <x v="11"/>
    <s v="conventional_refinance_pct_tpo_51"/>
    <x v="91"/>
    <n v="1.042"/>
    <n v="1"/>
    <n v="-20"/>
    <n v="120"/>
  </r>
  <r>
    <x v="11"/>
    <s v="conventional_refinance_pct_tpo_52"/>
    <x v="92"/>
    <n v="1.044"/>
    <n v="1"/>
    <n v="-20"/>
    <n v="120"/>
  </r>
  <r>
    <x v="11"/>
    <s v="conventional_refinance_pct_tpo_53"/>
    <x v="93"/>
    <n v="1.046"/>
    <n v="1"/>
    <n v="-20"/>
    <n v="120"/>
  </r>
  <r>
    <x v="11"/>
    <s v="conventional_refinance_pct_tpo_54"/>
    <x v="94"/>
    <n v="1.048"/>
    <n v="1"/>
    <n v="-20"/>
    <n v="120"/>
  </r>
  <r>
    <x v="11"/>
    <s v="conventional_refinance_pct_tpo_55"/>
    <x v="95"/>
    <n v="1.05"/>
    <n v="1"/>
    <n v="-20"/>
    <n v="120"/>
  </r>
  <r>
    <x v="11"/>
    <s v="conventional_refinance_pct_tpo_56"/>
    <x v="96"/>
    <n v="1.052"/>
    <n v="1"/>
    <n v="-20"/>
    <n v="120"/>
  </r>
  <r>
    <x v="11"/>
    <s v="conventional_refinance_pct_tpo_57"/>
    <x v="97"/>
    <n v="1.054"/>
    <n v="1"/>
    <n v="-20"/>
    <n v="120"/>
  </r>
  <r>
    <x v="11"/>
    <s v="conventional_refinance_pct_tpo_58"/>
    <x v="98"/>
    <n v="1.056"/>
    <n v="1"/>
    <n v="-20"/>
    <n v="120"/>
  </r>
  <r>
    <x v="11"/>
    <s v="conventional_refinance_pct_tpo_59"/>
    <x v="99"/>
    <n v="1.0580000000000001"/>
    <n v="1"/>
    <n v="-20"/>
    <n v="120"/>
  </r>
  <r>
    <x v="11"/>
    <s v="conventional_refinance_pct_tpo_60"/>
    <x v="100"/>
    <n v="1.06"/>
    <n v="1"/>
    <n v="-20"/>
    <n v="120"/>
  </r>
  <r>
    <x v="11"/>
    <s v="conventional_refinance_pct_tpo_61"/>
    <x v="101"/>
    <n v="1.0620000000000001"/>
    <n v="1"/>
    <n v="-20"/>
    <n v="120"/>
  </r>
  <r>
    <x v="11"/>
    <s v="conventional_refinance_pct_tpo_62"/>
    <x v="102"/>
    <n v="1.0640000000000001"/>
    <n v="1"/>
    <n v="-20"/>
    <n v="120"/>
  </r>
  <r>
    <x v="11"/>
    <s v="conventional_refinance_pct_tpo_63"/>
    <x v="103"/>
    <n v="1.0660000000000001"/>
    <n v="1"/>
    <n v="-20"/>
    <n v="120"/>
  </r>
  <r>
    <x v="11"/>
    <s v="conventional_refinance_pct_tpo_64"/>
    <x v="104"/>
    <n v="1.0680000000000001"/>
    <n v="1"/>
    <n v="-20"/>
    <n v="120"/>
  </r>
  <r>
    <x v="11"/>
    <s v="conventional_refinance_pct_tpo_65"/>
    <x v="105"/>
    <n v="1.07"/>
    <n v="1"/>
    <n v="-20"/>
    <n v="120"/>
  </r>
  <r>
    <x v="11"/>
    <s v="conventional_refinance_pct_tpo_66"/>
    <x v="106"/>
    <n v="1.0720000000000001"/>
    <n v="1"/>
    <n v="-20"/>
    <n v="120"/>
  </r>
  <r>
    <x v="11"/>
    <s v="conventional_refinance_pct_tpo_67"/>
    <x v="107"/>
    <n v="1.0740000000000001"/>
    <n v="1"/>
    <n v="-20"/>
    <n v="120"/>
  </r>
  <r>
    <x v="11"/>
    <s v="conventional_refinance_pct_tpo_68"/>
    <x v="108"/>
    <n v="1.0760000000000001"/>
    <n v="1"/>
    <n v="-20"/>
    <n v="120"/>
  </r>
  <r>
    <x v="11"/>
    <s v="conventional_refinance_pct_tpo_69"/>
    <x v="109"/>
    <n v="1.0780000000000001"/>
    <n v="1"/>
    <n v="-20"/>
    <n v="120"/>
  </r>
  <r>
    <x v="11"/>
    <s v="conventional_refinance_pct_tpo_70"/>
    <x v="110"/>
    <n v="1.08"/>
    <n v="1"/>
    <n v="-20"/>
    <n v="120"/>
  </r>
  <r>
    <x v="11"/>
    <s v="conventional_refinance_pct_tpo_71"/>
    <x v="111"/>
    <n v="1.0820000000000001"/>
    <n v="1"/>
    <n v="-20"/>
    <n v="120"/>
  </r>
  <r>
    <x v="11"/>
    <s v="conventional_refinance_pct_tpo_72"/>
    <x v="112"/>
    <n v="1.0840000000000001"/>
    <n v="1"/>
    <n v="-20"/>
    <n v="120"/>
  </r>
  <r>
    <x v="11"/>
    <s v="conventional_refinance_pct_tpo_73"/>
    <x v="113"/>
    <n v="1.0860000000000001"/>
    <n v="1"/>
    <n v="-20"/>
    <n v="120"/>
  </r>
  <r>
    <x v="11"/>
    <s v="conventional_refinance_pct_tpo_74"/>
    <x v="114"/>
    <n v="1.0880000000000001"/>
    <n v="1"/>
    <n v="-20"/>
    <n v="120"/>
  </r>
  <r>
    <x v="11"/>
    <s v="conventional_refinance_pct_tpo_75"/>
    <x v="115"/>
    <n v="1.0900000000000001"/>
    <n v="1"/>
    <n v="-20"/>
    <n v="120"/>
  </r>
  <r>
    <x v="11"/>
    <s v="conventional_refinance_pct_tpo_76"/>
    <x v="116"/>
    <n v="1.0920000000000001"/>
    <n v="1"/>
    <n v="-20"/>
    <n v="120"/>
  </r>
  <r>
    <x v="11"/>
    <s v="conventional_refinance_pct_tpo_77"/>
    <x v="117"/>
    <n v="1.0940000000000001"/>
    <n v="1"/>
    <n v="-20"/>
    <n v="120"/>
  </r>
  <r>
    <x v="11"/>
    <s v="conventional_refinance_pct_tpo_78"/>
    <x v="118"/>
    <n v="1.0960000000000001"/>
    <n v="1"/>
    <n v="-20"/>
    <n v="120"/>
  </r>
  <r>
    <x v="11"/>
    <s v="conventional_refinance_pct_tpo_79"/>
    <x v="119"/>
    <n v="1.0980000000000001"/>
    <n v="1"/>
    <n v="-20"/>
    <n v="120"/>
  </r>
  <r>
    <x v="11"/>
    <s v="conventional_refinance_pct_tpo_80"/>
    <x v="120"/>
    <n v="1.1000000000000001"/>
    <n v="1"/>
    <n v="-20"/>
    <n v="120"/>
  </r>
  <r>
    <x v="11"/>
    <s v="conventional_refinance_pct_tpo_81"/>
    <x v="121"/>
    <n v="1.1020000000000001"/>
    <n v="1"/>
    <n v="-20"/>
    <n v="120"/>
  </r>
  <r>
    <x v="11"/>
    <s v="conventional_refinance_pct_tpo_82"/>
    <x v="122"/>
    <n v="1.1040000000000001"/>
    <n v="1"/>
    <n v="-20"/>
    <n v="120"/>
  </r>
  <r>
    <x v="11"/>
    <s v="conventional_refinance_pct_tpo_83"/>
    <x v="123"/>
    <n v="1.1060000000000001"/>
    <n v="1"/>
    <n v="-20"/>
    <n v="120"/>
  </r>
  <r>
    <x v="11"/>
    <s v="conventional_refinance_pct_tpo_84"/>
    <x v="124"/>
    <n v="1.1080000000000001"/>
    <n v="1"/>
    <n v="-20"/>
    <n v="120"/>
  </r>
  <r>
    <x v="11"/>
    <s v="conventional_refinance_pct_tpo_85"/>
    <x v="125"/>
    <n v="1.1100000000000001"/>
    <n v="1"/>
    <n v="-20"/>
    <n v="120"/>
  </r>
  <r>
    <x v="11"/>
    <s v="conventional_refinance_pct_tpo_86"/>
    <x v="126"/>
    <n v="1.1120000000000001"/>
    <n v="1"/>
    <n v="-20"/>
    <n v="120"/>
  </r>
  <r>
    <x v="11"/>
    <s v="conventional_refinance_pct_tpo_87"/>
    <x v="127"/>
    <n v="1.1140000000000001"/>
    <n v="1"/>
    <n v="-20"/>
    <n v="120"/>
  </r>
  <r>
    <x v="11"/>
    <s v="conventional_refinance_pct_tpo_88"/>
    <x v="128"/>
    <n v="1.1160000000000001"/>
    <n v="1"/>
    <n v="-20"/>
    <n v="120"/>
  </r>
  <r>
    <x v="11"/>
    <s v="conventional_refinance_pct_tpo_89"/>
    <x v="129"/>
    <n v="1.1180000000000001"/>
    <n v="1"/>
    <n v="-20"/>
    <n v="120"/>
  </r>
  <r>
    <x v="11"/>
    <s v="conventional_refinance_pct_tpo_90"/>
    <x v="130"/>
    <n v="1.1200000000000001"/>
    <n v="1"/>
    <n v="-20"/>
    <n v="120"/>
  </r>
  <r>
    <x v="11"/>
    <s v="conventional_refinance_pct_tpo_91"/>
    <x v="131"/>
    <n v="1.1220000000000001"/>
    <n v="1"/>
    <n v="-20"/>
    <n v="120"/>
  </r>
  <r>
    <x v="11"/>
    <s v="conventional_refinance_pct_tpo_92"/>
    <x v="132"/>
    <n v="1.1240000000000001"/>
    <n v="1"/>
    <n v="-20"/>
    <n v="120"/>
  </r>
  <r>
    <x v="11"/>
    <s v="conventional_refinance_pct_tpo_93"/>
    <x v="133"/>
    <n v="1.1259999999999999"/>
    <n v="1"/>
    <n v="-20"/>
    <n v="120"/>
  </r>
  <r>
    <x v="11"/>
    <s v="conventional_refinance_pct_tpo_94"/>
    <x v="134"/>
    <n v="1.1279999999999999"/>
    <n v="1"/>
    <n v="-20"/>
    <n v="120"/>
  </r>
  <r>
    <x v="11"/>
    <s v="conventional_refinance_pct_tpo_95"/>
    <x v="135"/>
    <n v="1.1299999999999999"/>
    <n v="1"/>
    <n v="-20"/>
    <n v="120"/>
  </r>
  <r>
    <x v="11"/>
    <s v="conventional_refinance_pct_tpo_96"/>
    <x v="136"/>
    <n v="1.1319999999999999"/>
    <n v="1"/>
    <n v="-20"/>
    <n v="120"/>
  </r>
  <r>
    <x v="11"/>
    <s v="conventional_refinance_pct_tpo_97"/>
    <x v="137"/>
    <n v="1.1339999999999999"/>
    <n v="1"/>
    <n v="-20"/>
    <n v="120"/>
  </r>
  <r>
    <x v="11"/>
    <s v="conventional_refinance_pct_tpo_98"/>
    <x v="138"/>
    <n v="1.1359999999999999"/>
    <n v="1"/>
    <n v="-20"/>
    <n v="120"/>
  </r>
  <r>
    <x v="11"/>
    <s v="conventional_refinance_pct_tpo_99"/>
    <x v="139"/>
    <n v="1.1379999999999999"/>
    <n v="1"/>
    <n v="-20"/>
    <n v="120"/>
  </r>
  <r>
    <x v="11"/>
    <s v="conventional_refinance_pct_tpo_100"/>
    <x v="140"/>
    <n v="1.1399999999999999"/>
    <n v="1"/>
    <n v="-20"/>
    <n v="120"/>
  </r>
  <r>
    <x v="11"/>
    <s v="conventional_refinance_pct_tpo_101"/>
    <x v="141"/>
    <n v="1.1419999999999999"/>
    <n v="1"/>
    <n v="-20"/>
    <n v="120"/>
  </r>
  <r>
    <x v="11"/>
    <s v="conventional_refinance_pct_tpo_102"/>
    <x v="142"/>
    <n v="1.1439999999999999"/>
    <n v="1"/>
    <n v="-20"/>
    <n v="120"/>
  </r>
  <r>
    <x v="11"/>
    <s v="conventional_refinance_pct_tpo_103"/>
    <x v="143"/>
    <n v="1.1459999999999999"/>
    <n v="1"/>
    <n v="-20"/>
    <n v="120"/>
  </r>
  <r>
    <x v="11"/>
    <s v="conventional_refinance_pct_tpo_104"/>
    <x v="144"/>
    <n v="1.1479999999999999"/>
    <n v="1"/>
    <n v="-20"/>
    <n v="120"/>
  </r>
  <r>
    <x v="11"/>
    <s v="conventional_refinance_pct_tpo_105"/>
    <x v="145"/>
    <n v="1.1499999999999999"/>
    <n v="1"/>
    <n v="-20"/>
    <n v="120"/>
  </r>
  <r>
    <x v="11"/>
    <s v="conventional_refinance_pct_tpo_106"/>
    <x v="146"/>
    <n v="1.1519999999999999"/>
    <n v="1"/>
    <n v="-20"/>
    <n v="120"/>
  </r>
  <r>
    <x v="11"/>
    <s v="conventional_refinance_pct_tpo_107"/>
    <x v="147"/>
    <n v="1.1539999999999999"/>
    <n v="1"/>
    <n v="-20"/>
    <n v="120"/>
  </r>
  <r>
    <x v="11"/>
    <s v="conventional_refinance_pct_tpo_108"/>
    <x v="148"/>
    <n v="1.1559999999999999"/>
    <n v="1"/>
    <n v="-20"/>
    <n v="120"/>
  </r>
  <r>
    <x v="11"/>
    <s v="conventional_refinance_pct_tpo_109"/>
    <x v="149"/>
    <n v="1.1579999999999999"/>
    <n v="1"/>
    <n v="-20"/>
    <n v="120"/>
  </r>
  <r>
    <x v="11"/>
    <s v="conventional_refinance_pct_tpo_110"/>
    <x v="150"/>
    <n v="1.1599999999999999"/>
    <n v="1"/>
    <n v="-20"/>
    <n v="120"/>
  </r>
  <r>
    <x v="11"/>
    <s v="conventional_refinance_pct_tpo_111"/>
    <x v="151"/>
    <n v="1.1619999999999999"/>
    <n v="1"/>
    <n v="-20"/>
    <n v="120"/>
  </r>
  <r>
    <x v="11"/>
    <s v="conventional_refinance_pct_tpo_112"/>
    <x v="152"/>
    <n v="1.1639999999999999"/>
    <n v="1"/>
    <n v="-20"/>
    <n v="120"/>
  </r>
  <r>
    <x v="11"/>
    <s v="conventional_refinance_pct_tpo_113"/>
    <x v="153"/>
    <n v="1.1659999999999999"/>
    <n v="1"/>
    <n v="-20"/>
    <n v="120"/>
  </r>
  <r>
    <x v="11"/>
    <s v="conventional_refinance_pct_tpo_114"/>
    <x v="154"/>
    <n v="1.1679999999999999"/>
    <n v="1"/>
    <n v="-20"/>
    <n v="120"/>
  </r>
  <r>
    <x v="11"/>
    <s v="conventional_refinance_pct_tpo_115"/>
    <x v="155"/>
    <n v="1.17"/>
    <n v="1"/>
    <n v="-20"/>
    <n v="120"/>
  </r>
  <r>
    <x v="11"/>
    <s v="conventional_refinance_pct_tpo_116"/>
    <x v="156"/>
    <n v="1.1719999999999999"/>
    <n v="1"/>
    <n v="-20"/>
    <n v="120"/>
  </r>
  <r>
    <x v="11"/>
    <s v="conventional_refinance_pct_tpo_117"/>
    <x v="157"/>
    <n v="1.1739999999999999"/>
    <n v="1"/>
    <n v="-20"/>
    <n v="120"/>
  </r>
  <r>
    <x v="11"/>
    <s v="conventional_refinance_pct_tpo_118"/>
    <x v="158"/>
    <n v="1.1759999999999999"/>
    <n v="1"/>
    <n v="-20"/>
    <n v="120"/>
  </r>
  <r>
    <x v="11"/>
    <s v="conventional_refinance_pct_tpo_119"/>
    <x v="159"/>
    <n v="1.1779999999999999"/>
    <n v="1"/>
    <n v="-20"/>
    <n v="120"/>
  </r>
  <r>
    <x v="11"/>
    <s v="conventional_refinance_pct_tpo_120"/>
    <x v="160"/>
    <n v="1.18"/>
    <n v="1"/>
    <n v="-20"/>
    <n v="120"/>
  </r>
  <r>
    <x v="12"/>
    <s v="conventional_refinance_media_effect_-20"/>
    <x v="20"/>
    <n v="0"/>
    <n v="1"/>
    <n v="-20"/>
    <n v="120"/>
  </r>
  <r>
    <x v="12"/>
    <s v="conventional_refinance_media_effect_-19"/>
    <x v="21"/>
    <n v="0"/>
    <n v="1"/>
    <n v="-20"/>
    <n v="120"/>
  </r>
  <r>
    <x v="12"/>
    <s v="conventional_refinance_media_effect_-18"/>
    <x v="22"/>
    <n v="0"/>
    <n v="1"/>
    <n v="-20"/>
    <n v="120"/>
  </r>
  <r>
    <x v="12"/>
    <s v="conventional_refinance_media_effect_-17"/>
    <x v="23"/>
    <n v="0"/>
    <n v="1"/>
    <n v="-20"/>
    <n v="120"/>
  </r>
  <r>
    <x v="12"/>
    <s v="conventional_refinance_media_effect_-16"/>
    <x v="24"/>
    <n v="0"/>
    <n v="1"/>
    <n v="-20"/>
    <n v="120"/>
  </r>
  <r>
    <x v="12"/>
    <s v="conventional_refinance_media_effect_-15"/>
    <x v="25"/>
    <n v="0"/>
    <n v="1"/>
    <n v="-20"/>
    <n v="120"/>
  </r>
  <r>
    <x v="12"/>
    <s v="conventional_refinance_media_effect_-14"/>
    <x v="26"/>
    <n v="0"/>
    <n v="1"/>
    <n v="-20"/>
    <n v="120"/>
  </r>
  <r>
    <x v="12"/>
    <s v="conventional_refinance_media_effect_-13"/>
    <x v="27"/>
    <n v="0"/>
    <n v="1"/>
    <n v="-20"/>
    <n v="120"/>
  </r>
  <r>
    <x v="12"/>
    <s v="conventional_refinance_media_effect_-12"/>
    <x v="28"/>
    <n v="0"/>
    <n v="1"/>
    <n v="-20"/>
    <n v="120"/>
  </r>
  <r>
    <x v="12"/>
    <s v="conventional_refinance_media_effect_-11"/>
    <x v="29"/>
    <n v="0"/>
    <n v="1"/>
    <n v="-20"/>
    <n v="120"/>
  </r>
  <r>
    <x v="12"/>
    <s v="conventional_refinance_media_effect_-10"/>
    <x v="30"/>
    <n v="0"/>
    <n v="1"/>
    <n v="-20"/>
    <n v="120"/>
  </r>
  <r>
    <x v="12"/>
    <s v="conventional_refinance_media_effect_-9"/>
    <x v="31"/>
    <n v="0"/>
    <n v="1"/>
    <n v="-20"/>
    <n v="120"/>
  </r>
  <r>
    <x v="12"/>
    <s v="conventional_refinance_media_effect_-8"/>
    <x v="32"/>
    <n v="0"/>
    <n v="1"/>
    <n v="-20"/>
    <n v="120"/>
  </r>
  <r>
    <x v="12"/>
    <s v="conventional_refinance_media_effect_-7"/>
    <x v="33"/>
    <n v="0"/>
    <n v="1"/>
    <n v="-20"/>
    <n v="120"/>
  </r>
  <r>
    <x v="12"/>
    <s v="conventional_refinance_media_effect_-6"/>
    <x v="34"/>
    <n v="0"/>
    <n v="1"/>
    <n v="-20"/>
    <n v="120"/>
  </r>
  <r>
    <x v="12"/>
    <s v="conventional_refinance_media_effect_-5"/>
    <x v="35"/>
    <n v="0"/>
    <n v="1"/>
    <n v="-20"/>
    <n v="120"/>
  </r>
  <r>
    <x v="12"/>
    <s v="conventional_refinance_media_effect_-4"/>
    <x v="36"/>
    <n v="0"/>
    <n v="1"/>
    <n v="-20"/>
    <n v="120"/>
  </r>
  <r>
    <x v="12"/>
    <s v="conventional_refinance_media_effect_-3"/>
    <x v="37"/>
    <n v="0"/>
    <n v="1"/>
    <n v="-20"/>
    <n v="120"/>
  </r>
  <r>
    <x v="12"/>
    <s v="conventional_refinance_media_effect_-2"/>
    <x v="38"/>
    <n v="0"/>
    <n v="1"/>
    <n v="-20"/>
    <n v="120"/>
  </r>
  <r>
    <x v="12"/>
    <s v="conventional_refinance_media_effect_-1"/>
    <x v="39"/>
    <n v="0"/>
    <n v="1"/>
    <n v="-20"/>
    <n v="120"/>
  </r>
  <r>
    <x v="12"/>
    <s v="conventional_refinance_media_effect_0"/>
    <x v="40"/>
    <n v="0"/>
    <n v="1"/>
    <n v="-20"/>
    <n v="120"/>
  </r>
  <r>
    <x v="12"/>
    <s v="conventional_refinance_media_effect_1"/>
    <x v="41"/>
    <n v="0"/>
    <n v="1"/>
    <n v="-20"/>
    <n v="120"/>
  </r>
  <r>
    <x v="12"/>
    <s v="conventional_refinance_media_effect_2"/>
    <x v="42"/>
    <n v="0"/>
    <n v="1"/>
    <n v="-20"/>
    <n v="120"/>
  </r>
  <r>
    <x v="12"/>
    <s v="conventional_refinance_media_effect_3"/>
    <x v="43"/>
    <n v="0"/>
    <n v="1"/>
    <n v="-20"/>
    <n v="120"/>
  </r>
  <r>
    <x v="12"/>
    <s v="conventional_refinance_media_effect_4"/>
    <x v="44"/>
    <n v="0"/>
    <n v="1"/>
    <n v="-20"/>
    <n v="120"/>
  </r>
  <r>
    <x v="12"/>
    <s v="conventional_refinance_media_effect_5"/>
    <x v="45"/>
    <n v="0"/>
    <n v="1"/>
    <n v="-20"/>
    <n v="120"/>
  </r>
  <r>
    <x v="12"/>
    <s v="conventional_refinance_media_effect_6"/>
    <x v="46"/>
    <n v="0"/>
    <n v="1"/>
    <n v="-20"/>
    <n v="120"/>
  </r>
  <r>
    <x v="12"/>
    <s v="conventional_refinance_media_effect_7"/>
    <x v="47"/>
    <n v="0"/>
    <n v="1"/>
    <n v="-20"/>
    <n v="120"/>
  </r>
  <r>
    <x v="12"/>
    <s v="conventional_refinance_media_effect_8"/>
    <x v="48"/>
    <n v="0"/>
    <n v="1"/>
    <n v="-20"/>
    <n v="120"/>
  </r>
  <r>
    <x v="12"/>
    <s v="conventional_refinance_media_effect_9"/>
    <x v="49"/>
    <n v="0"/>
    <n v="1"/>
    <n v="-20"/>
    <n v="120"/>
  </r>
  <r>
    <x v="12"/>
    <s v="conventional_refinance_media_effect_10"/>
    <x v="50"/>
    <n v="0"/>
    <n v="1"/>
    <n v="-20"/>
    <n v="120"/>
  </r>
  <r>
    <x v="12"/>
    <s v="conventional_refinance_media_effect_11"/>
    <x v="51"/>
    <n v="0"/>
    <n v="1"/>
    <n v="-20"/>
    <n v="120"/>
  </r>
  <r>
    <x v="12"/>
    <s v="conventional_refinance_media_effect_12"/>
    <x v="52"/>
    <n v="0"/>
    <n v="1"/>
    <n v="-20"/>
    <n v="120"/>
  </r>
  <r>
    <x v="12"/>
    <s v="conventional_refinance_media_effect_13"/>
    <x v="53"/>
    <n v="0"/>
    <n v="1"/>
    <n v="-20"/>
    <n v="120"/>
  </r>
  <r>
    <x v="12"/>
    <s v="conventional_refinance_media_effect_14"/>
    <x v="54"/>
    <n v="0"/>
    <n v="1"/>
    <n v="-20"/>
    <n v="120"/>
  </r>
  <r>
    <x v="12"/>
    <s v="conventional_refinance_media_effect_15"/>
    <x v="55"/>
    <n v="0"/>
    <n v="1"/>
    <n v="-20"/>
    <n v="120"/>
  </r>
  <r>
    <x v="12"/>
    <s v="conventional_refinance_media_effect_16"/>
    <x v="56"/>
    <n v="0"/>
    <n v="1"/>
    <n v="-20"/>
    <n v="120"/>
  </r>
  <r>
    <x v="12"/>
    <s v="conventional_refinance_media_effect_17"/>
    <x v="57"/>
    <n v="0"/>
    <n v="1"/>
    <n v="-20"/>
    <n v="120"/>
  </r>
  <r>
    <x v="12"/>
    <s v="conventional_refinance_media_effect_18"/>
    <x v="58"/>
    <n v="0"/>
    <n v="1"/>
    <n v="-20"/>
    <n v="120"/>
  </r>
  <r>
    <x v="12"/>
    <s v="conventional_refinance_media_effect_19"/>
    <x v="59"/>
    <n v="0"/>
    <n v="1"/>
    <n v="-20"/>
    <n v="120"/>
  </r>
  <r>
    <x v="12"/>
    <s v="conventional_refinance_media_effect_20"/>
    <x v="60"/>
    <n v="0"/>
    <n v="1"/>
    <n v="-20"/>
    <n v="120"/>
  </r>
  <r>
    <x v="12"/>
    <s v="conventional_refinance_media_effect_21"/>
    <x v="61"/>
    <n v="1.403125E-4"/>
    <n v="1"/>
    <n v="-20"/>
    <n v="120"/>
  </r>
  <r>
    <x v="12"/>
    <s v="conventional_refinance_media_effect_22"/>
    <x v="62"/>
    <n v="5.4750000000000003E-4"/>
    <n v="1"/>
    <n v="-20"/>
    <n v="120"/>
  </r>
  <r>
    <x v="12"/>
    <s v="conventional_refinance_media_effect_23"/>
    <x v="63"/>
    <n v="1.2009375E-3"/>
    <n v="1"/>
    <n v="-20"/>
    <n v="120"/>
  </r>
  <r>
    <x v="12"/>
    <s v="conventional_refinance_media_effect_24"/>
    <x v="64"/>
    <n v="2.0799999999999998E-3"/>
    <n v="1"/>
    <n v="-20"/>
    <n v="120"/>
  </r>
  <r>
    <x v="12"/>
    <s v="conventional_refinance_media_effect_25"/>
    <x v="65"/>
    <n v="3.1640625000000002E-3"/>
    <n v="1"/>
    <n v="-20"/>
    <n v="120"/>
  </r>
  <r>
    <x v="12"/>
    <s v="conventional_refinance_media_effect_26"/>
    <x v="66"/>
    <n v="4.4324999999999998E-3"/>
    <n v="1"/>
    <n v="-20"/>
    <n v="120"/>
  </r>
  <r>
    <x v="12"/>
    <s v="conventional_refinance_media_effect_27"/>
    <x v="67"/>
    <n v="5.8646875000000001E-3"/>
    <n v="1"/>
    <n v="-20"/>
    <n v="120"/>
  </r>
  <r>
    <x v="12"/>
    <s v="conventional_refinance_media_effect_28"/>
    <x v="68"/>
    <n v="7.4400000000000004E-3"/>
    <n v="1"/>
    <n v="-20"/>
    <n v="120"/>
  </r>
  <r>
    <x v="12"/>
    <s v="conventional_refinance_media_effect_29"/>
    <x v="69"/>
    <n v="9.1378125000000001E-3"/>
    <n v="1"/>
    <n v="-20"/>
    <n v="120"/>
  </r>
  <r>
    <x v="12"/>
    <s v="conventional_refinance_media_effect_30"/>
    <x v="70"/>
    <n v="1.0937499999999999E-2"/>
    <n v="1"/>
    <n v="-20"/>
    <n v="120"/>
  </r>
  <r>
    <x v="12"/>
    <s v="conventional_refinance_media_effect_31"/>
    <x v="71"/>
    <n v="1.28184375E-2"/>
    <n v="1"/>
    <n v="-20"/>
    <n v="120"/>
  </r>
  <r>
    <x v="12"/>
    <s v="conventional_refinance_media_effect_32"/>
    <x v="72"/>
    <n v="1.4760000000000001E-2"/>
    <n v="1"/>
    <n v="-20"/>
    <n v="120"/>
  </r>
  <r>
    <x v="12"/>
    <s v="conventional_refinance_media_effect_33"/>
    <x v="73"/>
    <n v="1.6741562500000001E-2"/>
    <n v="1"/>
    <n v="-20"/>
    <n v="120"/>
  </r>
  <r>
    <x v="12"/>
    <s v="conventional_refinance_media_effect_34"/>
    <x v="74"/>
    <n v="1.8742499999999999E-2"/>
    <n v="1"/>
    <n v="-20"/>
    <n v="120"/>
  </r>
  <r>
    <x v="12"/>
    <s v="conventional_refinance_media_effect_35"/>
    <x v="75"/>
    <n v="2.0742187499999998E-2"/>
    <n v="1"/>
    <n v="-20"/>
    <n v="120"/>
  </r>
  <r>
    <x v="12"/>
    <s v="conventional_refinance_media_effect_36"/>
    <x v="76"/>
    <n v="2.2720000000000001E-2"/>
    <n v="1"/>
    <n v="-20"/>
    <n v="120"/>
  </r>
  <r>
    <x v="12"/>
    <s v="conventional_refinance_media_effect_37"/>
    <x v="77"/>
    <n v="2.4655312499999998E-2"/>
    <n v="1"/>
    <n v="-20"/>
    <n v="120"/>
  </r>
  <r>
    <x v="12"/>
    <s v="conventional_refinance_media_effect_38"/>
    <x v="78"/>
    <n v="2.6527499999999999E-2"/>
    <n v="1"/>
    <n v="-20"/>
    <n v="120"/>
  </r>
  <r>
    <x v="12"/>
    <s v="conventional_refinance_media_effect_39"/>
    <x v="79"/>
    <n v="2.8315937499999999E-2"/>
    <n v="1"/>
    <n v="-20"/>
    <n v="120"/>
  </r>
  <r>
    <x v="12"/>
    <s v="conventional_refinance_media_effect_40"/>
    <x v="80"/>
    <n v="0.03"/>
    <n v="1"/>
    <n v="-20"/>
    <n v="120"/>
  </r>
  <r>
    <x v="12"/>
    <s v="conventional_refinance_media_effect_41"/>
    <x v="81"/>
    <n v="3.1423333333333303E-2"/>
    <n v="1"/>
    <n v="-20"/>
    <n v="120"/>
  </r>
  <r>
    <x v="12"/>
    <s v="conventional_refinance_media_effect_42"/>
    <x v="82"/>
    <n v="3.2503333333333301E-2"/>
    <n v="1"/>
    <n v="-20"/>
    <n v="120"/>
  </r>
  <r>
    <x v="12"/>
    <s v="conventional_refinance_media_effect_43"/>
    <x v="83"/>
    <n v="3.3329999999999999E-2"/>
    <n v="1"/>
    <n v="-20"/>
    <n v="120"/>
  </r>
  <r>
    <x v="12"/>
    <s v="conventional_refinance_media_effect_44"/>
    <x v="84"/>
    <n v="3.3993333333333299E-2"/>
    <n v="1"/>
    <n v="-20"/>
    <n v="120"/>
  </r>
  <r>
    <x v="12"/>
    <s v="conventional_refinance_media_effect_45"/>
    <x v="85"/>
    <n v="3.4583333333333299E-2"/>
    <n v="1"/>
    <n v="-20"/>
    <n v="120"/>
  </r>
  <r>
    <x v="12"/>
    <s v="conventional_refinance_media_effect_46"/>
    <x v="86"/>
    <n v="3.5189999999999999E-2"/>
    <n v="1"/>
    <n v="-20"/>
    <n v="120"/>
  </r>
  <r>
    <x v="12"/>
    <s v="conventional_refinance_media_effect_47"/>
    <x v="87"/>
    <n v="3.5903333333333301E-2"/>
    <n v="1"/>
    <n v="-20"/>
    <n v="120"/>
  </r>
  <r>
    <x v="12"/>
    <s v="conventional_refinance_media_effect_48"/>
    <x v="88"/>
    <n v="3.6813333333333302E-2"/>
    <n v="1"/>
    <n v="-20"/>
    <n v="120"/>
  </r>
  <r>
    <x v="12"/>
    <s v="conventional_refinance_media_effect_49"/>
    <x v="89"/>
    <n v="3.8010000000000002E-2"/>
    <n v="1"/>
    <n v="-20"/>
    <n v="120"/>
  </r>
  <r>
    <x v="12"/>
    <s v="conventional_refinance_media_effect_50"/>
    <x v="90"/>
    <n v="3.9583333333333297E-2"/>
    <n v="1"/>
    <n v="-20"/>
    <n v="120"/>
  </r>
  <r>
    <x v="12"/>
    <s v="conventional_refinance_media_effect_51"/>
    <x v="91"/>
    <n v="4.1623333333333297E-2"/>
    <n v="1"/>
    <n v="-20"/>
    <n v="120"/>
  </r>
  <r>
    <x v="12"/>
    <s v="conventional_refinance_media_effect_52"/>
    <x v="92"/>
    <n v="4.4220000000000002E-2"/>
    <n v="1"/>
    <n v="-20"/>
    <n v="120"/>
  </r>
  <r>
    <x v="12"/>
    <s v="conventional_refinance_media_effect_53"/>
    <x v="93"/>
    <n v="4.7463333333333302E-2"/>
    <n v="1"/>
    <n v="-20"/>
    <n v="120"/>
  </r>
  <r>
    <x v="12"/>
    <s v="conventional_refinance_media_effect_54"/>
    <x v="94"/>
    <n v="5.1443333333333299E-2"/>
    <n v="1"/>
    <n v="-20"/>
    <n v="120"/>
  </r>
  <r>
    <x v="12"/>
    <s v="conventional_refinance_media_effect_55"/>
    <x v="95"/>
    <n v="5.6250000000000001E-2"/>
    <n v="1"/>
    <n v="-20"/>
    <n v="120"/>
  </r>
  <r>
    <x v="12"/>
    <s v="conventional_refinance_media_effect_56"/>
    <x v="96"/>
    <n v="6.1740000000000003E-2"/>
    <n v="1"/>
    <n v="-20"/>
    <n v="120"/>
  </r>
  <r>
    <x v="12"/>
    <s v="conventional_refinance_media_effect_57"/>
    <x v="97"/>
    <n v="6.8169999999999994E-2"/>
    <n v="1"/>
    <n v="-20"/>
    <n v="120"/>
  </r>
  <r>
    <x v="12"/>
    <s v="conventional_refinance_media_effect_58"/>
    <x v="98"/>
    <n v="7.6230000000000006E-2"/>
    <n v="1"/>
    <n v="-20"/>
    <n v="120"/>
  </r>
  <r>
    <x v="12"/>
    <s v="conventional_refinance_media_effect_59"/>
    <x v="99"/>
    <n v="8.6610000000000006E-2"/>
    <n v="1"/>
    <n v="-20"/>
    <n v="120"/>
  </r>
  <r>
    <x v="12"/>
    <s v="conventional_refinance_media_effect_60"/>
    <x v="100"/>
    <n v="0.1"/>
    <n v="1"/>
    <n v="-20"/>
    <n v="120"/>
  </r>
  <r>
    <x v="12"/>
    <s v="conventional_refinance_media_effect_61"/>
    <x v="101"/>
    <n v="0.11569906250000001"/>
    <n v="1"/>
    <n v="-20"/>
    <n v="120"/>
  </r>
  <r>
    <x v="12"/>
    <s v="conventional_refinance_media_effect_62"/>
    <x v="102"/>
    <n v="0.13249250000000001"/>
    <n v="1"/>
    <n v="-20"/>
    <n v="120"/>
  </r>
  <r>
    <x v="12"/>
    <s v="conventional_refinance_media_effect_63"/>
    <x v="103"/>
    <n v="0.1502996875"/>
    <n v="1"/>
    <n v="-20"/>
    <n v="120"/>
  </r>
  <r>
    <x v="12"/>
    <s v="conventional_refinance_media_effect_64"/>
    <x v="104"/>
    <n v="0.16904"/>
    <n v="1"/>
    <n v="-20"/>
    <n v="120"/>
  </r>
  <r>
    <x v="12"/>
    <s v="conventional_refinance_media_effect_65"/>
    <x v="105"/>
    <n v="0.1886328125"/>
    <n v="1"/>
    <n v="-20"/>
    <n v="120"/>
  </r>
  <r>
    <x v="12"/>
    <s v="conventional_refinance_media_effect_66"/>
    <x v="106"/>
    <n v="0.2089975"/>
    <n v="1"/>
    <n v="-20"/>
    <n v="120"/>
  </r>
  <r>
    <x v="12"/>
    <s v="conventional_refinance_media_effect_67"/>
    <x v="107"/>
    <n v="0.23005343750000001"/>
    <n v="1"/>
    <n v="-20"/>
    <n v="120"/>
  </r>
  <r>
    <x v="12"/>
    <s v="conventional_refinance_media_effect_68"/>
    <x v="108"/>
    <n v="0.25172"/>
    <n v="1"/>
    <n v="-20"/>
    <n v="120"/>
  </r>
  <r>
    <x v="12"/>
    <s v="conventional_refinance_media_effect_69"/>
    <x v="109"/>
    <n v="0.27391656250000002"/>
    <n v="1"/>
    <n v="-20"/>
    <n v="120"/>
  </r>
  <r>
    <x v="12"/>
    <s v="conventional_refinance_media_effect_70"/>
    <x v="110"/>
    <n v="0.29656250000000001"/>
    <n v="1"/>
    <n v="-20"/>
    <n v="120"/>
  </r>
  <r>
    <x v="12"/>
    <s v="conventional_refinance_media_effect_71"/>
    <x v="111"/>
    <n v="0.31957718750000003"/>
    <n v="1"/>
    <n v="-20"/>
    <n v="120"/>
  </r>
  <r>
    <x v="12"/>
    <s v="conventional_refinance_media_effect_72"/>
    <x v="112"/>
    <n v="0.34288000000000002"/>
    <n v="1"/>
    <n v="-20"/>
    <n v="120"/>
  </r>
  <r>
    <x v="12"/>
    <s v="conventional_refinance_media_effect_73"/>
    <x v="113"/>
    <n v="0.36639031249999998"/>
    <n v="1"/>
    <n v="-20"/>
    <n v="120"/>
  </r>
  <r>
    <x v="12"/>
    <s v="conventional_refinance_media_effect_74"/>
    <x v="114"/>
    <n v="0.39002750000000003"/>
    <n v="1"/>
    <n v="-20"/>
    <n v="120"/>
  </r>
  <r>
    <x v="12"/>
    <s v="conventional_refinance_media_effect_75"/>
    <x v="115"/>
    <n v="0.41371093749999999"/>
    <n v="1"/>
    <n v="-20"/>
    <n v="120"/>
  </r>
  <r>
    <x v="12"/>
    <s v="conventional_refinance_media_effect_76"/>
    <x v="116"/>
    <n v="0.43736000000000003"/>
    <n v="1"/>
    <n v="-20"/>
    <n v="120"/>
  </r>
  <r>
    <x v="12"/>
    <s v="conventional_refinance_media_effect_77"/>
    <x v="117"/>
    <n v="0.46089406249999998"/>
    <n v="1"/>
    <n v="-20"/>
    <n v="120"/>
  </r>
  <r>
    <x v="12"/>
    <s v="conventional_refinance_media_effect_78"/>
    <x v="118"/>
    <n v="0.48423250000000001"/>
    <n v="1"/>
    <n v="-20"/>
    <n v="120"/>
  </r>
  <r>
    <x v="12"/>
    <s v="conventional_refinance_media_effect_79"/>
    <x v="119"/>
    <n v="0.50729468749999995"/>
    <n v="1"/>
    <n v="-20"/>
    <n v="120"/>
  </r>
  <r>
    <x v="12"/>
    <s v="conventional_refinance_media_effect_80"/>
    <x v="120"/>
    <n v="0.53"/>
    <n v="1"/>
    <n v="-20"/>
    <n v="120"/>
  </r>
  <r>
    <x v="12"/>
    <s v="conventional_refinance_media_effect_81"/>
    <x v="121"/>
    <n v="0.55259749999999996"/>
    <n v="1"/>
    <n v="-20"/>
    <n v="120"/>
  </r>
  <r>
    <x v="12"/>
    <s v="conventional_refinance_media_effect_82"/>
    <x v="122"/>
    <n v="0.57538"/>
    <n v="1"/>
    <n v="-20"/>
    <n v="120"/>
  </r>
  <r>
    <x v="12"/>
    <s v="conventional_refinance_media_effect_83"/>
    <x v="123"/>
    <n v="0.59833250000000004"/>
    <n v="1"/>
    <n v="-20"/>
    <n v="120"/>
  </r>
  <r>
    <x v="12"/>
    <s v="conventional_refinance_media_effect_84"/>
    <x v="124"/>
    <n v="0.62143999999999999"/>
    <n v="1"/>
    <n v="-20"/>
    <n v="120"/>
  </r>
  <r>
    <x v="12"/>
    <s v="conventional_refinance_media_effect_85"/>
    <x v="125"/>
    <n v="0.64468749999999997"/>
    <n v="1"/>
    <n v="-20"/>
    <n v="120"/>
  </r>
  <r>
    <x v="12"/>
    <s v="conventional_refinance_media_effect_86"/>
    <x v="126"/>
    <n v="0.66805999999999999"/>
    <n v="1"/>
    <n v="-20"/>
    <n v="120"/>
  </r>
  <r>
    <x v="12"/>
    <s v="conventional_refinance_media_effect_87"/>
    <x v="127"/>
    <n v="0.69154249999999995"/>
    <n v="1"/>
    <n v="-20"/>
    <n v="120"/>
  </r>
  <r>
    <x v="12"/>
    <s v="conventional_refinance_media_effect_88"/>
    <x v="128"/>
    <n v="0.71511999999999998"/>
    <n v="1"/>
    <n v="-20"/>
    <n v="120"/>
  </r>
  <r>
    <x v="12"/>
    <s v="conventional_refinance_media_effect_89"/>
    <x v="129"/>
    <n v="0.73877749999999998"/>
    <n v="1"/>
    <n v="-20"/>
    <n v="120"/>
  </r>
  <r>
    <x v="12"/>
    <s v="conventional_refinance_media_effect_90"/>
    <x v="130"/>
    <n v="0.76249999999999996"/>
    <n v="1"/>
    <n v="-20"/>
    <n v="120"/>
  </r>
  <r>
    <x v="12"/>
    <s v="conventional_refinance_media_effect_91"/>
    <x v="131"/>
    <n v="0.78627250000000004"/>
    <n v="1"/>
    <n v="-20"/>
    <n v="120"/>
  </r>
  <r>
    <x v="12"/>
    <s v="conventional_refinance_media_effect_92"/>
    <x v="132"/>
    <n v="0.81008000000000002"/>
    <n v="1"/>
    <n v="-20"/>
    <n v="120"/>
  </r>
  <r>
    <x v="12"/>
    <s v="conventional_refinance_media_effect_93"/>
    <x v="133"/>
    <n v="0.83390750000000002"/>
    <n v="1"/>
    <n v="-20"/>
    <n v="120"/>
  </r>
  <r>
    <x v="12"/>
    <s v="conventional_refinance_media_effect_94"/>
    <x v="134"/>
    <n v="0.85773999999999995"/>
    <n v="1"/>
    <n v="-20"/>
    <n v="120"/>
  </r>
  <r>
    <x v="12"/>
    <s v="conventional_refinance_media_effect_95"/>
    <x v="135"/>
    <n v="0.88156250000000003"/>
    <n v="1"/>
    <n v="-20"/>
    <n v="120"/>
  </r>
  <r>
    <x v="12"/>
    <s v="conventional_refinance_media_effect_96"/>
    <x v="136"/>
    <n v="0.90536000000000005"/>
    <n v="1"/>
    <n v="-20"/>
    <n v="120"/>
  </r>
  <r>
    <x v="12"/>
    <s v="conventional_refinance_media_effect_97"/>
    <x v="137"/>
    <n v="0.92911750000000004"/>
    <n v="1"/>
    <n v="-20"/>
    <n v="120"/>
  </r>
  <r>
    <x v="12"/>
    <s v="conventional_refinance_media_effect_98"/>
    <x v="138"/>
    <n v="0.95282"/>
    <n v="1"/>
    <n v="-20"/>
    <n v="120"/>
  </r>
  <r>
    <x v="12"/>
    <s v="conventional_refinance_media_effect_99"/>
    <x v="139"/>
    <n v="0.97645249999999995"/>
    <n v="1"/>
    <n v="-20"/>
    <n v="120"/>
  </r>
  <r>
    <x v="12"/>
    <s v="conventional_refinance_media_effect_100"/>
    <x v="140"/>
    <n v="1"/>
    <n v="1"/>
    <n v="-20"/>
    <n v="120"/>
  </r>
  <r>
    <x v="12"/>
    <s v="conventional_refinance_media_effect_101"/>
    <x v="141"/>
    <n v="1.0235000000000001"/>
    <n v="1"/>
    <n v="-20"/>
    <n v="120"/>
  </r>
  <r>
    <x v="12"/>
    <s v="conventional_refinance_media_effect_102"/>
    <x v="142"/>
    <n v="1.0469999999999999"/>
    <n v="1"/>
    <n v="-20"/>
    <n v="120"/>
  </r>
  <r>
    <x v="12"/>
    <s v="conventional_refinance_media_effect_103"/>
    <x v="143"/>
    <n v="1.0705"/>
    <n v="1"/>
    <n v="-20"/>
    <n v="120"/>
  </r>
  <r>
    <x v="12"/>
    <s v="conventional_refinance_media_effect_104"/>
    <x v="144"/>
    <n v="1.0940000000000001"/>
    <n v="1"/>
    <n v="-20"/>
    <n v="120"/>
  </r>
  <r>
    <x v="12"/>
    <s v="conventional_refinance_media_effect_105"/>
    <x v="145"/>
    <n v="1.1174999999999999"/>
    <n v="1"/>
    <n v="-20"/>
    <n v="120"/>
  </r>
  <r>
    <x v="12"/>
    <s v="conventional_refinance_media_effect_106"/>
    <x v="146"/>
    <n v="1.141"/>
    <n v="1"/>
    <n v="-20"/>
    <n v="120"/>
  </r>
  <r>
    <x v="12"/>
    <s v="conventional_refinance_media_effect_107"/>
    <x v="147"/>
    <n v="1.1645000000000001"/>
    <n v="1"/>
    <n v="-20"/>
    <n v="120"/>
  </r>
  <r>
    <x v="12"/>
    <s v="conventional_refinance_media_effect_108"/>
    <x v="148"/>
    <n v="1.1879999999999999"/>
    <n v="1"/>
    <n v="-20"/>
    <n v="120"/>
  </r>
  <r>
    <x v="12"/>
    <s v="conventional_refinance_media_effect_109"/>
    <x v="149"/>
    <n v="1.2115"/>
    <n v="1"/>
    <n v="-20"/>
    <n v="120"/>
  </r>
  <r>
    <x v="12"/>
    <s v="conventional_refinance_media_effect_110"/>
    <x v="150"/>
    <n v="1.2350000000000001"/>
    <n v="1"/>
    <n v="-20"/>
    <n v="120"/>
  </r>
  <r>
    <x v="12"/>
    <s v="conventional_refinance_media_effect_111"/>
    <x v="151"/>
    <n v="1.2585"/>
    <n v="1"/>
    <n v="-20"/>
    <n v="120"/>
  </r>
  <r>
    <x v="12"/>
    <s v="conventional_refinance_media_effect_112"/>
    <x v="152"/>
    <n v="1.282"/>
    <n v="1"/>
    <n v="-20"/>
    <n v="120"/>
  </r>
  <r>
    <x v="12"/>
    <s v="conventional_refinance_media_effect_113"/>
    <x v="153"/>
    <n v="1.3055000000000001"/>
    <n v="1"/>
    <n v="-20"/>
    <n v="120"/>
  </r>
  <r>
    <x v="12"/>
    <s v="conventional_refinance_media_effect_114"/>
    <x v="154"/>
    <n v="1.329"/>
    <n v="1"/>
    <n v="-20"/>
    <n v="120"/>
  </r>
  <r>
    <x v="12"/>
    <s v="conventional_refinance_media_effect_115"/>
    <x v="155"/>
    <n v="1.3525"/>
    <n v="1"/>
    <n v="-20"/>
    <n v="120"/>
  </r>
  <r>
    <x v="12"/>
    <s v="conventional_refinance_media_effect_116"/>
    <x v="156"/>
    <n v="1.3759999999999999"/>
    <n v="1"/>
    <n v="-20"/>
    <n v="120"/>
  </r>
  <r>
    <x v="12"/>
    <s v="conventional_refinance_media_effect_117"/>
    <x v="157"/>
    <n v="1.3995"/>
    <n v="1"/>
    <n v="-20"/>
    <n v="120"/>
  </r>
  <r>
    <x v="12"/>
    <s v="conventional_refinance_media_effect_118"/>
    <x v="158"/>
    <n v="1.423"/>
    <n v="1"/>
    <n v="-20"/>
    <n v="120"/>
  </r>
  <r>
    <x v="12"/>
    <s v="conventional_refinance_media_effect_119"/>
    <x v="159"/>
    <n v="1.4464999999999999"/>
    <n v="1"/>
    <n v="-20"/>
    <n v="120"/>
  </r>
  <r>
    <x v="12"/>
    <s v="conventional_refinance_media_effect_120"/>
    <x v="160"/>
    <n v="1.47"/>
    <n v="1"/>
    <n v="-20"/>
    <n v="120"/>
  </r>
  <r>
    <x v="13"/>
    <s v="conventional_refinance_burnout_-3200"/>
    <x v="1231"/>
    <n v="1.1561600000000001"/>
    <n v="100"/>
    <n v="-3200"/>
    <n v="19200"/>
  </r>
  <r>
    <x v="13"/>
    <s v="conventional_refinance_burnout_-3100"/>
    <x v="1232"/>
    <n v="1.1512800000000001"/>
    <n v="100"/>
    <n v="-3200"/>
    <n v="19200"/>
  </r>
  <r>
    <x v="13"/>
    <s v="conventional_refinance_burnout_-3000"/>
    <x v="1233"/>
    <n v="1.1464000000000001"/>
    <n v="100"/>
    <n v="-3200"/>
    <n v="19200"/>
  </r>
  <r>
    <x v="13"/>
    <s v="conventional_refinance_burnout_-2900"/>
    <x v="1234"/>
    <n v="1.1415200000000001"/>
    <n v="100"/>
    <n v="-3200"/>
    <n v="19200"/>
  </r>
  <r>
    <x v="13"/>
    <s v="conventional_refinance_burnout_-2800"/>
    <x v="1235"/>
    <n v="1.1366400000000001"/>
    <n v="100"/>
    <n v="-3200"/>
    <n v="19200"/>
  </r>
  <r>
    <x v="13"/>
    <s v="conventional_refinance_burnout_-2700"/>
    <x v="1236"/>
    <n v="1.1317600000000001"/>
    <n v="100"/>
    <n v="-3200"/>
    <n v="19200"/>
  </r>
  <r>
    <x v="13"/>
    <s v="conventional_refinance_burnout_-2600"/>
    <x v="1237"/>
    <n v="1.1268800000000001"/>
    <n v="100"/>
    <n v="-3200"/>
    <n v="19200"/>
  </r>
  <r>
    <x v="13"/>
    <s v="conventional_refinance_burnout_-2500"/>
    <x v="1238"/>
    <n v="1.1220000000000001"/>
    <n v="100"/>
    <n v="-3200"/>
    <n v="19200"/>
  </r>
  <r>
    <x v="13"/>
    <s v="conventional_refinance_burnout_-2400"/>
    <x v="1239"/>
    <n v="1.1171199999999999"/>
    <n v="100"/>
    <n v="-3200"/>
    <n v="19200"/>
  </r>
  <r>
    <x v="13"/>
    <s v="conventional_refinance_burnout_-2300"/>
    <x v="1240"/>
    <n v="1.1122399999999999"/>
    <n v="100"/>
    <n v="-3200"/>
    <n v="19200"/>
  </r>
  <r>
    <x v="13"/>
    <s v="conventional_refinance_burnout_-2200"/>
    <x v="1241"/>
    <n v="1.1073599999999999"/>
    <n v="100"/>
    <n v="-3200"/>
    <n v="19200"/>
  </r>
  <r>
    <x v="13"/>
    <s v="conventional_refinance_burnout_-2100"/>
    <x v="1242"/>
    <n v="1.1024799999999999"/>
    <n v="100"/>
    <n v="-3200"/>
    <n v="19200"/>
  </r>
  <r>
    <x v="13"/>
    <s v="conventional_refinance_burnout_-2000"/>
    <x v="1243"/>
    <n v="1.0975999999999999"/>
    <n v="100"/>
    <n v="-3200"/>
    <n v="19200"/>
  </r>
  <r>
    <x v="13"/>
    <s v="conventional_refinance_burnout_-1900"/>
    <x v="1244"/>
    <n v="1.0927199999999999"/>
    <n v="100"/>
    <n v="-3200"/>
    <n v="19200"/>
  </r>
  <r>
    <x v="13"/>
    <s v="conventional_refinance_burnout_-1800"/>
    <x v="1245"/>
    <n v="1.0878399999999999"/>
    <n v="100"/>
    <n v="-3200"/>
    <n v="19200"/>
  </r>
  <r>
    <x v="13"/>
    <s v="conventional_refinance_burnout_-1700"/>
    <x v="1246"/>
    <n v="1.0829599999999999"/>
    <n v="100"/>
    <n v="-3200"/>
    <n v="19200"/>
  </r>
  <r>
    <x v="13"/>
    <s v="conventional_refinance_burnout_-1600"/>
    <x v="1247"/>
    <n v="1.0780799999999999"/>
    <n v="100"/>
    <n v="-3200"/>
    <n v="19200"/>
  </r>
  <r>
    <x v="13"/>
    <s v="conventional_refinance_burnout_-1500"/>
    <x v="1248"/>
    <n v="1.0731999999999999"/>
    <n v="100"/>
    <n v="-3200"/>
    <n v="19200"/>
  </r>
  <r>
    <x v="13"/>
    <s v="conventional_refinance_burnout_-1400"/>
    <x v="1249"/>
    <n v="1.0683199999999999"/>
    <n v="100"/>
    <n v="-3200"/>
    <n v="19200"/>
  </r>
  <r>
    <x v="13"/>
    <s v="conventional_refinance_burnout_-1300"/>
    <x v="1250"/>
    <n v="1.0634399999999999"/>
    <n v="100"/>
    <n v="-3200"/>
    <n v="19200"/>
  </r>
  <r>
    <x v="13"/>
    <s v="conventional_refinance_burnout_-1200"/>
    <x v="1251"/>
    <n v="1.0585599999999999"/>
    <n v="100"/>
    <n v="-3200"/>
    <n v="19200"/>
  </r>
  <r>
    <x v="13"/>
    <s v="conventional_refinance_burnout_-1100"/>
    <x v="1252"/>
    <n v="1.0536799999999999"/>
    <n v="100"/>
    <n v="-3200"/>
    <n v="19200"/>
  </r>
  <r>
    <x v="13"/>
    <s v="conventional_refinance_burnout_-1000"/>
    <x v="1253"/>
    <n v="1.0488"/>
    <n v="100"/>
    <n v="-3200"/>
    <n v="19200"/>
  </r>
  <r>
    <x v="13"/>
    <s v="conventional_refinance_burnout_-900"/>
    <x v="1254"/>
    <n v="1.04392"/>
    <n v="100"/>
    <n v="-3200"/>
    <n v="19200"/>
  </r>
  <r>
    <x v="13"/>
    <s v="conventional_refinance_burnout_-800"/>
    <x v="1255"/>
    <n v="1.03904"/>
    <n v="100"/>
    <n v="-3200"/>
    <n v="19200"/>
  </r>
  <r>
    <x v="13"/>
    <s v="conventional_refinance_burnout_-700"/>
    <x v="1256"/>
    <n v="1.03416"/>
    <n v="100"/>
    <n v="-3200"/>
    <n v="19200"/>
  </r>
  <r>
    <x v="13"/>
    <s v="conventional_refinance_burnout_-600"/>
    <x v="1257"/>
    <n v="1.02928"/>
    <n v="100"/>
    <n v="-3200"/>
    <n v="19200"/>
  </r>
  <r>
    <x v="13"/>
    <s v="conventional_refinance_burnout_-500"/>
    <x v="1258"/>
    <n v="1.0244"/>
    <n v="100"/>
    <n v="-3200"/>
    <n v="19200"/>
  </r>
  <r>
    <x v="13"/>
    <s v="conventional_refinance_burnout_-400"/>
    <x v="1259"/>
    <n v="1.01952"/>
    <n v="100"/>
    <n v="-3200"/>
    <n v="19200"/>
  </r>
  <r>
    <x v="13"/>
    <s v="conventional_refinance_burnout_-300"/>
    <x v="1260"/>
    <n v="1.01464"/>
    <n v="100"/>
    <n v="-3200"/>
    <n v="19200"/>
  </r>
  <r>
    <x v="13"/>
    <s v="conventional_refinance_burnout_-200"/>
    <x v="1071"/>
    <n v="1.00976"/>
    <n v="100"/>
    <n v="-3200"/>
    <n v="19200"/>
  </r>
  <r>
    <x v="13"/>
    <s v="conventional_refinance_burnout_-100"/>
    <x v="1171"/>
    <n v="1.00488"/>
    <n v="100"/>
    <n v="-3200"/>
    <n v="19200"/>
  </r>
  <r>
    <x v="13"/>
    <s v="conventional_refinance_burnout_0"/>
    <x v="40"/>
    <n v="1"/>
    <n v="100"/>
    <n v="-3200"/>
    <n v="19200"/>
  </r>
  <r>
    <x v="13"/>
    <s v="conventional_refinance_burnout_100"/>
    <x v="140"/>
    <n v="0.99523159999999999"/>
    <n v="100"/>
    <n v="-3200"/>
    <n v="19200"/>
  </r>
  <r>
    <x v="13"/>
    <s v="conventional_refinance_burnout_200"/>
    <x v="240"/>
    <n v="0.99063679999999998"/>
    <n v="100"/>
    <n v="-3200"/>
    <n v="19200"/>
  </r>
  <r>
    <x v="13"/>
    <s v="conventional_refinance_burnout_300"/>
    <x v="340"/>
    <n v="0.98614120000000005"/>
    <n v="100"/>
    <n v="-3200"/>
    <n v="19200"/>
  </r>
  <r>
    <x v="13"/>
    <s v="conventional_refinance_burnout_400"/>
    <x v="440"/>
    <n v="0.98167040000000005"/>
    <n v="100"/>
    <n v="-3200"/>
    <n v="19200"/>
  </r>
  <r>
    <x v="13"/>
    <s v="conventional_refinance_burnout_500"/>
    <x v="540"/>
    <n v="0.97714999999999996"/>
    <n v="100"/>
    <n v="-3200"/>
    <n v="19200"/>
  </r>
  <r>
    <x v="13"/>
    <s v="conventional_refinance_burnout_600"/>
    <x v="640"/>
    <n v="0.97250559999999997"/>
    <n v="100"/>
    <n v="-3200"/>
    <n v="19200"/>
  </r>
  <r>
    <x v="13"/>
    <s v="conventional_refinance_burnout_700"/>
    <x v="740"/>
    <n v="0.96766280000000005"/>
    <n v="100"/>
    <n v="-3200"/>
    <n v="19200"/>
  </r>
  <r>
    <x v="13"/>
    <s v="conventional_refinance_burnout_800"/>
    <x v="840"/>
    <n v="0.96254720000000005"/>
    <n v="100"/>
    <n v="-3200"/>
    <n v="19200"/>
  </r>
  <r>
    <x v="13"/>
    <s v="conventional_refinance_burnout_900"/>
    <x v="940"/>
    <n v="0.95708439999999995"/>
    <n v="100"/>
    <n v="-3200"/>
    <n v="19200"/>
  </r>
  <r>
    <x v="13"/>
    <s v="conventional_refinance_burnout_1000"/>
    <x v="1261"/>
    <n v="0.95120000000000005"/>
    <n v="100"/>
    <n v="-3200"/>
    <n v="19200"/>
  </r>
  <r>
    <x v="13"/>
    <s v="conventional_refinance_burnout_1100"/>
    <x v="1262"/>
    <n v="0.94511836000000005"/>
    <n v="100"/>
    <n v="-3200"/>
    <n v="19200"/>
  </r>
  <r>
    <x v="13"/>
    <s v="conventional_refinance_burnout_1200"/>
    <x v="1263"/>
    <n v="0.93904127999999998"/>
    <n v="100"/>
    <n v="-3200"/>
    <n v="19200"/>
  </r>
  <r>
    <x v="13"/>
    <s v="conventional_refinance_burnout_1300"/>
    <x v="1264"/>
    <n v="0.93286051999999997"/>
    <n v="100"/>
    <n v="-3200"/>
    <n v="19200"/>
  </r>
  <r>
    <x v="13"/>
    <s v="conventional_refinance_burnout_1400"/>
    <x v="1265"/>
    <n v="0.92646784000000004"/>
    <n v="100"/>
    <n v="-3200"/>
    <n v="19200"/>
  </r>
  <r>
    <x v="13"/>
    <s v="conventional_refinance_burnout_1500"/>
    <x v="1266"/>
    <n v="0.91975499999999999"/>
    <n v="100"/>
    <n v="-3200"/>
    <n v="19200"/>
  </r>
  <r>
    <x v="13"/>
    <s v="conventional_refinance_burnout_1600"/>
    <x v="1267"/>
    <n v="0.91261376000000005"/>
    <n v="100"/>
    <n v="-3200"/>
    <n v="19200"/>
  </r>
  <r>
    <x v="13"/>
    <s v="conventional_refinance_burnout_1700"/>
    <x v="1268"/>
    <n v="0.90493588000000003"/>
    <n v="100"/>
    <n v="-3200"/>
    <n v="19200"/>
  </r>
  <r>
    <x v="13"/>
    <s v="conventional_refinance_burnout_1800"/>
    <x v="1269"/>
    <n v="0.89661312000000004"/>
    <n v="100"/>
    <n v="-3200"/>
    <n v="19200"/>
  </r>
  <r>
    <x v="13"/>
    <s v="conventional_refinance_burnout_1900"/>
    <x v="1270"/>
    <n v="0.88753724000000001"/>
    <n v="100"/>
    <n v="-3200"/>
    <n v="19200"/>
  </r>
  <r>
    <x v="13"/>
    <s v="conventional_refinance_burnout_2000"/>
    <x v="1271"/>
    <n v="0.87760000000000005"/>
    <n v="100"/>
    <n v="-3200"/>
    <n v="19200"/>
  </r>
  <r>
    <x v="13"/>
    <s v="conventional_refinance_burnout_2100"/>
    <x v="1272"/>
    <n v="0.86671237112499999"/>
    <n v="100"/>
    <n v="-3200"/>
    <n v="19200"/>
  </r>
  <r>
    <x v="13"/>
    <s v="conventional_refinance_burnout_2200"/>
    <x v="1273"/>
    <n v="0.85492725899999999"/>
    <n v="100"/>
    <n v="-3200"/>
    <n v="19200"/>
  </r>
  <r>
    <x v="13"/>
    <s v="conventional_refinance_burnout_2300"/>
    <x v="1274"/>
    <n v="0.84234932537499996"/>
    <n v="100"/>
    <n v="-3200"/>
    <n v="19200"/>
  </r>
  <r>
    <x v="13"/>
    <s v="conventional_refinance_burnout_2400"/>
    <x v="1275"/>
    <n v="0.829083232"/>
    <n v="100"/>
    <n v="-3200"/>
    <n v="19200"/>
  </r>
  <r>
    <x v="13"/>
    <s v="conventional_refinance_burnout_2500"/>
    <x v="1276"/>
    <n v="0.81523364062500003"/>
    <n v="100"/>
    <n v="-3200"/>
    <n v="19200"/>
  </r>
  <r>
    <x v="13"/>
    <s v="conventional_refinance_burnout_2600"/>
    <x v="1277"/>
    <n v="0.80090521299999995"/>
    <n v="100"/>
    <n v="-3200"/>
    <n v="19200"/>
  </r>
  <r>
    <x v="13"/>
    <s v="conventional_refinance_burnout_2700"/>
    <x v="1278"/>
    <n v="0.78620261087499999"/>
    <n v="100"/>
    <n v="-3200"/>
    <n v="19200"/>
  </r>
  <r>
    <x v="13"/>
    <s v="conventional_refinance_burnout_2800"/>
    <x v="1279"/>
    <n v="0.77123049600000004"/>
    <n v="100"/>
    <n v="-3200"/>
    <n v="19200"/>
  </r>
  <r>
    <x v="13"/>
    <s v="conventional_refinance_burnout_2900"/>
    <x v="1280"/>
    <n v="0.75609353012500002"/>
    <n v="100"/>
    <n v="-3200"/>
    <n v="19200"/>
  </r>
  <r>
    <x v="13"/>
    <s v="conventional_refinance_burnout_3000"/>
    <x v="1281"/>
    <n v="0.74089637500000005"/>
    <n v="100"/>
    <n v="-3200"/>
    <n v="19200"/>
  </r>
  <r>
    <x v="13"/>
    <s v="conventional_refinance_burnout_3100"/>
    <x v="1282"/>
    <n v="0.72574369237500003"/>
    <n v="100"/>
    <n v="-3200"/>
    <n v="19200"/>
  </r>
  <r>
    <x v="13"/>
    <s v="conventional_refinance_burnout_3200"/>
    <x v="1283"/>
    <n v="0.71074014399999996"/>
    <n v="100"/>
    <n v="-3200"/>
    <n v="19200"/>
  </r>
  <r>
    <x v="13"/>
    <s v="conventional_refinance_burnout_3300"/>
    <x v="1284"/>
    <n v="0.69599039162499998"/>
    <n v="100"/>
    <n v="-3200"/>
    <n v="19200"/>
  </r>
  <r>
    <x v="13"/>
    <s v="conventional_refinance_burnout_3400"/>
    <x v="1285"/>
    <n v="0.68159909699999999"/>
    <n v="100"/>
    <n v="-3200"/>
    <n v="19200"/>
  </r>
  <r>
    <x v="13"/>
    <s v="conventional_refinance_burnout_3500"/>
    <x v="1286"/>
    <n v="0.66767092187499999"/>
    <n v="100"/>
    <n v="-3200"/>
    <n v="19200"/>
  </r>
  <r>
    <x v="13"/>
    <s v="conventional_refinance_burnout_3600"/>
    <x v="1287"/>
    <n v="0.654310528"/>
    <n v="100"/>
    <n v="-3200"/>
    <n v="19200"/>
  </r>
  <r>
    <x v="13"/>
    <s v="conventional_refinance_burnout_3700"/>
    <x v="1288"/>
    <n v="0.64162257712500004"/>
    <n v="100"/>
    <n v="-3200"/>
    <n v="19200"/>
  </r>
  <r>
    <x v="13"/>
    <s v="conventional_refinance_burnout_3800"/>
    <x v="1289"/>
    <n v="0.629711731"/>
    <n v="100"/>
    <n v="-3200"/>
    <n v="19200"/>
  </r>
  <r>
    <x v="13"/>
    <s v="conventional_refinance_burnout_3900"/>
    <x v="1290"/>
    <n v="0.618682651375"/>
    <n v="100"/>
    <n v="-3200"/>
    <n v="19200"/>
  </r>
  <r>
    <x v="13"/>
    <s v="conventional_refinance_burnout_4000"/>
    <x v="1291"/>
    <n v="0.60863999999999996"/>
    <n v="100"/>
    <n v="-3200"/>
    <n v="19200"/>
  </r>
  <r>
    <x v="13"/>
    <s v="conventional_refinance_burnout_4100"/>
    <x v="1292"/>
    <n v="0.59965889949999995"/>
    <n v="100"/>
    <n v="-3200"/>
    <n v="19200"/>
  </r>
  <r>
    <x v="13"/>
    <s v="conventional_refinance_burnout_4200"/>
    <x v="1293"/>
    <n v="0.59168242933333304"/>
    <n v="100"/>
    <n v="-3200"/>
    <n v="19200"/>
  </r>
  <r>
    <x v="13"/>
    <s v="conventional_refinance_burnout_4300"/>
    <x v="1294"/>
    <n v="0.58461718650000005"/>
    <n v="100"/>
    <n v="-3200"/>
    <n v="19200"/>
  </r>
  <r>
    <x v="13"/>
    <s v="conventional_refinance_burnout_4400"/>
    <x v="1295"/>
    <n v="0.57836976799999995"/>
    <n v="100"/>
    <n v="-3200"/>
    <n v="19200"/>
  </r>
  <r>
    <x v="13"/>
    <s v="conventional_refinance_burnout_4500"/>
    <x v="1296"/>
    <n v="0.57284677083333302"/>
    <n v="100"/>
    <n v="-3200"/>
    <n v="19200"/>
  </r>
  <r>
    <x v="13"/>
    <s v="conventional_refinance_burnout_4600"/>
    <x v="1297"/>
    <n v="0.56795479199999999"/>
    <n v="100"/>
    <n v="-3200"/>
    <n v="19200"/>
  </r>
  <r>
    <x v="13"/>
    <s v="conventional_refinance_burnout_4700"/>
    <x v="1298"/>
    <n v="0.56360042850000003"/>
    <n v="100"/>
    <n v="-3200"/>
    <n v="19200"/>
  </r>
  <r>
    <x v="13"/>
    <s v="conventional_refinance_burnout_4800"/>
    <x v="1299"/>
    <n v="0.55969027733333299"/>
    <n v="100"/>
    <n v="-3200"/>
    <n v="19200"/>
  </r>
  <r>
    <x v="13"/>
    <s v="conventional_refinance_burnout_4900"/>
    <x v="1300"/>
    <n v="0.55613093550000003"/>
    <n v="100"/>
    <n v="-3200"/>
    <n v="19200"/>
  </r>
  <r>
    <x v="13"/>
    <s v="conventional_refinance_burnout_5000"/>
    <x v="1301"/>
    <n v="0.55282900000000001"/>
    <n v="100"/>
    <n v="-3200"/>
    <n v="19200"/>
  </r>
  <r>
    <x v="13"/>
    <s v="conventional_refinance_burnout_5100"/>
    <x v="1302"/>
    <n v="0.54975859873072597"/>
    <n v="100"/>
    <n v="-3200"/>
    <n v="19200"/>
  </r>
  <r>
    <x v="13"/>
    <s v="conventional_refinance_burnout_5200"/>
    <x v="1303"/>
    <n v="0.54694857777996697"/>
    <n v="100"/>
    <n v="-3200"/>
    <n v="19200"/>
  </r>
  <r>
    <x v="13"/>
    <s v="conventional_refinance_burnout_5300"/>
    <x v="1304"/>
    <n v="0.54438761143332204"/>
    <n v="100"/>
    <n v="-3200"/>
    <n v="19200"/>
  </r>
  <r>
    <x v="13"/>
    <s v="conventional_refinance_burnout_5400"/>
    <x v="1305"/>
    <n v="0.54206437397638596"/>
    <n v="100"/>
    <n v="-3200"/>
    <n v="19200"/>
  </r>
  <r>
    <x v="13"/>
    <s v="conventional_refinance_burnout_5500"/>
    <x v="1306"/>
    <n v="0.53996753969475797"/>
    <n v="100"/>
    <n v="-3200"/>
    <n v="19200"/>
  </r>
  <r>
    <x v="13"/>
    <s v="conventional_refinance_burnout_5600"/>
    <x v="1307"/>
    <n v="0.53808578287403397"/>
    <n v="100"/>
    <n v="-3200"/>
    <n v="19200"/>
  </r>
  <r>
    <x v="13"/>
    <s v="conventional_refinance_burnout_5700"/>
    <x v="1308"/>
    <n v="0.53640777779980997"/>
    <n v="100"/>
    <n v="-3200"/>
    <n v="19200"/>
  </r>
  <r>
    <x v="13"/>
    <s v="conventional_refinance_burnout_5800"/>
    <x v="1309"/>
    <n v="0.53492219875768399"/>
    <n v="100"/>
    <n v="-3200"/>
    <n v="19200"/>
  </r>
  <r>
    <x v="13"/>
    <s v="conventional_refinance_burnout_5900"/>
    <x v="1310"/>
    <n v="0.53361772003325303"/>
    <n v="100"/>
    <n v="-3200"/>
    <n v="19200"/>
  </r>
  <r>
    <x v="13"/>
    <s v="conventional_refinance_burnout_6000"/>
    <x v="1311"/>
    <n v="0.532483015912115"/>
    <n v="100"/>
    <n v="-3200"/>
    <n v="19200"/>
  </r>
  <r>
    <x v="13"/>
    <s v="conventional_refinance_burnout_6100"/>
    <x v="1312"/>
    <n v="0.53150676067986502"/>
    <n v="100"/>
    <n v="-3200"/>
    <n v="19200"/>
  </r>
  <r>
    <x v="13"/>
    <s v="conventional_refinance_burnout_6200"/>
    <x v="1313"/>
    <n v="0.53067762862210099"/>
    <n v="100"/>
    <n v="-3200"/>
    <n v="19200"/>
  </r>
  <r>
    <x v="13"/>
    <s v="conventional_refinance_burnout_6300"/>
    <x v="1314"/>
    <n v="0.52998429402441904"/>
    <n v="100"/>
    <n v="-3200"/>
    <n v="19200"/>
  </r>
  <r>
    <x v="13"/>
    <s v="conventional_refinance_burnout_6400"/>
    <x v="1315"/>
    <n v="0.52941543117241796"/>
    <n v="100"/>
    <n v="-3200"/>
    <n v="19200"/>
  </r>
  <r>
    <x v="13"/>
    <s v="conventional_refinance_burnout_6500"/>
    <x v="1316"/>
    <n v="0.52895971435169298"/>
    <n v="100"/>
    <n v="-3200"/>
    <n v="19200"/>
  </r>
  <r>
    <x v="13"/>
    <s v="conventional_refinance_burnout_6600"/>
    <x v="1317"/>
    <n v="0.528605817847843"/>
    <n v="100"/>
    <n v="-3200"/>
    <n v="19200"/>
  </r>
  <r>
    <x v="13"/>
    <s v="conventional_refinance_burnout_6700"/>
    <x v="1318"/>
    <n v="0.52834241594646303"/>
    <n v="100"/>
    <n v="-3200"/>
    <n v="19200"/>
  </r>
  <r>
    <x v="13"/>
    <s v="conventional_refinance_burnout_6800"/>
    <x v="1319"/>
    <n v="0.52815818293315098"/>
    <n v="100"/>
    <n v="-3200"/>
    <n v="19200"/>
  </r>
  <r>
    <x v="13"/>
    <s v="conventional_refinance_burnout_6900"/>
    <x v="1320"/>
    <n v="0.52804179309350396"/>
    <n v="100"/>
    <n v="-3200"/>
    <n v="19200"/>
  </r>
  <r>
    <x v="13"/>
    <s v="conventional_refinance_burnout_7000"/>
    <x v="1321"/>
    <n v="0.527981920713118"/>
    <n v="100"/>
    <n v="-3200"/>
    <n v="19200"/>
  </r>
  <r>
    <x v="13"/>
    <s v="conventional_refinance_burnout_7100"/>
    <x v="1322"/>
    <n v="0.52796724007759199"/>
    <n v="100"/>
    <n v="-3200"/>
    <n v="19200"/>
  </r>
  <r>
    <x v="13"/>
    <s v="conventional_refinance_burnout_7200"/>
    <x v="1323"/>
    <n v="0.52798642547252095"/>
    <n v="100"/>
    <n v="-3200"/>
    <n v="19200"/>
  </r>
  <r>
    <x v="13"/>
    <s v="conventional_refinance_burnout_7300"/>
    <x v="1324"/>
    <n v="0.52802815118350199"/>
    <n v="100"/>
    <n v="-3200"/>
    <n v="19200"/>
  </r>
  <r>
    <x v="13"/>
    <s v="conventional_refinance_burnout_7400"/>
    <x v="1325"/>
    <n v="0.52808109149613403"/>
    <n v="100"/>
    <n v="-3200"/>
    <n v="19200"/>
  </r>
  <r>
    <x v="13"/>
    <s v="conventional_refinance_burnout_7500"/>
    <x v="1326"/>
    <n v="0.52813392069601295"/>
    <n v="100"/>
    <n v="-3200"/>
    <n v="19200"/>
  </r>
  <r>
    <x v="13"/>
    <s v="conventional_refinance_burnout_7600"/>
    <x v="1327"/>
    <n v="0.528175313068735"/>
    <n v="100"/>
    <n v="-3200"/>
    <n v="19200"/>
  </r>
  <r>
    <x v="13"/>
    <s v="conventional_refinance_burnout_7700"/>
    <x v="1328"/>
    <n v="0.52819394289989696"/>
    <n v="100"/>
    <n v="-3200"/>
    <n v="19200"/>
  </r>
  <r>
    <x v="13"/>
    <s v="conventional_refinance_burnout_7800"/>
    <x v="1329"/>
    <n v="0.52817848447509796"/>
    <n v="100"/>
    <n v="-3200"/>
    <n v="19200"/>
  </r>
  <r>
    <x v="13"/>
    <s v="conventional_refinance_burnout_7900"/>
    <x v="1330"/>
    <n v="0.52811761207993302"/>
    <n v="100"/>
    <n v="-3200"/>
    <n v="19200"/>
  </r>
  <r>
    <x v="13"/>
    <s v="conventional_refinance_burnout_8000"/>
    <x v="1331"/>
    <n v="0.52800000000000002"/>
    <n v="100"/>
    <n v="-3200"/>
    <n v="19200"/>
  </r>
  <r>
    <x v="13"/>
    <s v="conventional_refinance_burnout_8100"/>
    <x v="1332"/>
    <n v="0.52785759416269296"/>
    <n v="100"/>
    <n v="-3200"/>
    <n v="19200"/>
  </r>
  <r>
    <x v="13"/>
    <s v="conventional_refinance_burnout_8200"/>
    <x v="1333"/>
    <n v="0.52772939340006797"/>
    <n v="100"/>
    <n v="-3200"/>
    <n v="19200"/>
  </r>
  <r>
    <x v="13"/>
    <s v="conventional_refinance_burnout_8300"/>
    <x v="1334"/>
    <n v="0.52761465135472096"/>
    <n v="100"/>
    <n v="-3200"/>
    <n v="19200"/>
  </r>
  <r>
    <x v="13"/>
    <s v="conventional_refinance_burnout_8400"/>
    <x v="1335"/>
    <n v="0.52751262166924395"/>
    <n v="100"/>
    <n v="-3200"/>
    <n v="19200"/>
  </r>
  <r>
    <x v="13"/>
    <s v="conventional_refinance_burnout_8500"/>
    <x v="1336"/>
    <n v="0.52742255798622995"/>
    <n v="100"/>
    <n v="-3200"/>
    <n v="19200"/>
  </r>
  <r>
    <x v="13"/>
    <s v="conventional_refinance_burnout_8600"/>
    <x v="1337"/>
    <n v="0.52734371394827195"/>
    <n v="100"/>
    <n v="-3200"/>
    <n v="19200"/>
  </r>
  <r>
    <x v="13"/>
    <s v="conventional_refinance_burnout_8700"/>
    <x v="1338"/>
    <n v="0.52727534319796399"/>
    <n v="100"/>
    <n v="-3200"/>
    <n v="19200"/>
  </r>
  <r>
    <x v="13"/>
    <s v="conventional_refinance_burnout_8800"/>
    <x v="1339"/>
    <n v="0.52721669937790006"/>
    <n v="100"/>
    <n v="-3200"/>
    <n v="19200"/>
  </r>
  <r>
    <x v="13"/>
    <s v="conventional_refinance_burnout_8900"/>
    <x v="1340"/>
    <n v="0.52716703613067095"/>
    <n v="100"/>
    <n v="-3200"/>
    <n v="19200"/>
  </r>
  <r>
    <x v="13"/>
    <s v="conventional_refinance_burnout_9000"/>
    <x v="1341"/>
    <n v="0.52712560709887102"/>
    <n v="100"/>
    <n v="-3200"/>
    <n v="19200"/>
  </r>
  <r>
    <x v="13"/>
    <s v="conventional_refinance_burnout_9100"/>
    <x v="1342"/>
    <n v="0.52709166592509404"/>
    <n v="100"/>
    <n v="-3200"/>
    <n v="19200"/>
  </r>
  <r>
    <x v="13"/>
    <s v="conventional_refinance_burnout_9200"/>
    <x v="1343"/>
    <n v="0.52706446625193304"/>
    <n v="100"/>
    <n v="-3200"/>
    <n v="19200"/>
  </r>
  <r>
    <x v="13"/>
    <s v="conventional_refinance_burnout_9300"/>
    <x v="1344"/>
    <n v="0.52704326172198102"/>
    <n v="100"/>
    <n v="-3200"/>
    <n v="19200"/>
  </r>
  <r>
    <x v="13"/>
    <s v="conventional_refinance_burnout_9400"/>
    <x v="1345"/>
    <n v="0.52702730597783098"/>
    <n v="100"/>
    <n v="-3200"/>
    <n v="19200"/>
  </r>
  <r>
    <x v="13"/>
    <s v="conventional_refinance_burnout_9500"/>
    <x v="1346"/>
    <n v="0.52701585266207696"/>
    <n v="100"/>
    <n v="-3200"/>
    <n v="19200"/>
  </r>
  <r>
    <x v="13"/>
    <s v="conventional_refinance_burnout_9600"/>
    <x v="1347"/>
    <n v="0.52700815541731105"/>
    <n v="100"/>
    <n v="-3200"/>
    <n v="19200"/>
  </r>
  <r>
    <x v="13"/>
    <s v="conventional_refinance_burnout_9700"/>
    <x v="1348"/>
    <n v="0.52700346788612695"/>
    <n v="100"/>
    <n v="-3200"/>
    <n v="19200"/>
  </r>
  <r>
    <x v="13"/>
    <s v="conventional_refinance_burnout_9800"/>
    <x v="1349"/>
    <n v="0.527001043711119"/>
    <n v="100"/>
    <n v="-3200"/>
    <n v="19200"/>
  </r>
  <r>
    <x v="13"/>
    <s v="conventional_refinance_burnout_9900"/>
    <x v="1350"/>
    <n v="0.52700013653487898"/>
    <n v="100"/>
    <n v="-3200"/>
    <n v="19200"/>
  </r>
  <r>
    <x v="13"/>
    <s v="conventional_refinance_burnout_10000"/>
    <x v="1351"/>
    <n v="0.52700000000000002"/>
    <n v="100"/>
    <n v="-3200"/>
    <n v="19200"/>
  </r>
  <r>
    <x v="13"/>
    <s v="conventional_refinance_burnout_10100"/>
    <x v="1352"/>
    <n v="0.52700000000000002"/>
    <n v="100"/>
    <n v="-3200"/>
    <n v="19200"/>
  </r>
  <r>
    <x v="13"/>
    <s v="conventional_refinance_burnout_10200"/>
    <x v="1353"/>
    <n v="0.52700000000000002"/>
    <n v="100"/>
    <n v="-3200"/>
    <n v="19200"/>
  </r>
  <r>
    <x v="13"/>
    <s v="conventional_refinance_burnout_10300"/>
    <x v="1354"/>
    <n v="0.52700000000000002"/>
    <n v="100"/>
    <n v="-3200"/>
    <n v="19200"/>
  </r>
  <r>
    <x v="13"/>
    <s v="conventional_refinance_burnout_10400"/>
    <x v="1355"/>
    <n v="0.52700000000000002"/>
    <n v="100"/>
    <n v="-3200"/>
    <n v="19200"/>
  </r>
  <r>
    <x v="13"/>
    <s v="conventional_refinance_burnout_10500"/>
    <x v="1356"/>
    <n v="0.52700000000000002"/>
    <n v="100"/>
    <n v="-3200"/>
    <n v="19200"/>
  </r>
  <r>
    <x v="13"/>
    <s v="conventional_refinance_burnout_10600"/>
    <x v="1357"/>
    <n v="0.52700000000000002"/>
    <n v="100"/>
    <n v="-3200"/>
    <n v="19200"/>
  </r>
  <r>
    <x v="13"/>
    <s v="conventional_refinance_burnout_10700"/>
    <x v="1358"/>
    <n v="0.52700000000000002"/>
    <n v="100"/>
    <n v="-3200"/>
    <n v="19200"/>
  </r>
  <r>
    <x v="13"/>
    <s v="conventional_refinance_burnout_10800"/>
    <x v="1359"/>
    <n v="0.52700000000000002"/>
    <n v="100"/>
    <n v="-3200"/>
    <n v="19200"/>
  </r>
  <r>
    <x v="13"/>
    <s v="conventional_refinance_burnout_10900"/>
    <x v="1360"/>
    <n v="0.52700000000000002"/>
    <n v="100"/>
    <n v="-3200"/>
    <n v="19200"/>
  </r>
  <r>
    <x v="13"/>
    <s v="conventional_refinance_burnout_11000"/>
    <x v="1361"/>
    <n v="0.52700000000000002"/>
    <n v="100"/>
    <n v="-3200"/>
    <n v="19200"/>
  </r>
  <r>
    <x v="13"/>
    <s v="conventional_refinance_burnout_11100"/>
    <x v="1362"/>
    <n v="0.52700000000000002"/>
    <n v="100"/>
    <n v="-3200"/>
    <n v="19200"/>
  </r>
  <r>
    <x v="13"/>
    <s v="conventional_refinance_burnout_11200"/>
    <x v="1363"/>
    <n v="0.52700000000000002"/>
    <n v="100"/>
    <n v="-3200"/>
    <n v="19200"/>
  </r>
  <r>
    <x v="13"/>
    <s v="conventional_refinance_burnout_11300"/>
    <x v="1364"/>
    <n v="0.52700000000000002"/>
    <n v="100"/>
    <n v="-3200"/>
    <n v="19200"/>
  </r>
  <r>
    <x v="13"/>
    <s v="conventional_refinance_burnout_11400"/>
    <x v="1365"/>
    <n v="0.52700000000000002"/>
    <n v="100"/>
    <n v="-3200"/>
    <n v="19200"/>
  </r>
  <r>
    <x v="13"/>
    <s v="conventional_refinance_burnout_11500"/>
    <x v="1366"/>
    <n v="0.52700000000000002"/>
    <n v="100"/>
    <n v="-3200"/>
    <n v="19200"/>
  </r>
  <r>
    <x v="13"/>
    <s v="conventional_refinance_burnout_11600"/>
    <x v="1367"/>
    <n v="0.52700000000000002"/>
    <n v="100"/>
    <n v="-3200"/>
    <n v="19200"/>
  </r>
  <r>
    <x v="13"/>
    <s v="conventional_refinance_burnout_11700"/>
    <x v="1368"/>
    <n v="0.52700000000000002"/>
    <n v="100"/>
    <n v="-3200"/>
    <n v="19200"/>
  </r>
  <r>
    <x v="13"/>
    <s v="conventional_refinance_burnout_11800"/>
    <x v="1369"/>
    <n v="0.52700000000000002"/>
    <n v="100"/>
    <n v="-3200"/>
    <n v="19200"/>
  </r>
  <r>
    <x v="13"/>
    <s v="conventional_refinance_burnout_11900"/>
    <x v="1370"/>
    <n v="0.52700000000000002"/>
    <n v="100"/>
    <n v="-3200"/>
    <n v="19200"/>
  </r>
  <r>
    <x v="13"/>
    <s v="conventional_refinance_burnout_12000"/>
    <x v="1371"/>
    <n v="0.52700000000000002"/>
    <n v="100"/>
    <n v="-3200"/>
    <n v="19200"/>
  </r>
  <r>
    <x v="13"/>
    <s v="conventional_refinance_burnout_12100"/>
    <x v="1372"/>
    <n v="0.52700000000000002"/>
    <n v="100"/>
    <n v="-3200"/>
    <n v="19200"/>
  </r>
  <r>
    <x v="13"/>
    <s v="conventional_refinance_burnout_12200"/>
    <x v="1373"/>
    <n v="0.52700000000000002"/>
    <n v="100"/>
    <n v="-3200"/>
    <n v="19200"/>
  </r>
  <r>
    <x v="13"/>
    <s v="conventional_refinance_burnout_12300"/>
    <x v="1374"/>
    <n v="0.52700000000000002"/>
    <n v="100"/>
    <n v="-3200"/>
    <n v="19200"/>
  </r>
  <r>
    <x v="13"/>
    <s v="conventional_refinance_burnout_12400"/>
    <x v="1375"/>
    <n v="0.52700000000000002"/>
    <n v="100"/>
    <n v="-3200"/>
    <n v="19200"/>
  </r>
  <r>
    <x v="13"/>
    <s v="conventional_refinance_burnout_12500"/>
    <x v="1376"/>
    <n v="0.52700000000000002"/>
    <n v="100"/>
    <n v="-3200"/>
    <n v="19200"/>
  </r>
  <r>
    <x v="13"/>
    <s v="conventional_refinance_burnout_12600"/>
    <x v="1377"/>
    <n v="0.52700000000000002"/>
    <n v="100"/>
    <n v="-3200"/>
    <n v="19200"/>
  </r>
  <r>
    <x v="13"/>
    <s v="conventional_refinance_burnout_12700"/>
    <x v="1378"/>
    <n v="0.52700000000000002"/>
    <n v="100"/>
    <n v="-3200"/>
    <n v="19200"/>
  </r>
  <r>
    <x v="13"/>
    <s v="conventional_refinance_burnout_12800"/>
    <x v="1379"/>
    <n v="0.52700000000000002"/>
    <n v="100"/>
    <n v="-3200"/>
    <n v="19200"/>
  </r>
  <r>
    <x v="13"/>
    <s v="conventional_refinance_burnout_12900"/>
    <x v="1380"/>
    <n v="0.52700000000000002"/>
    <n v="100"/>
    <n v="-3200"/>
    <n v="19200"/>
  </r>
  <r>
    <x v="13"/>
    <s v="conventional_refinance_burnout_13000"/>
    <x v="1381"/>
    <n v="0.52700000000000002"/>
    <n v="100"/>
    <n v="-3200"/>
    <n v="19200"/>
  </r>
  <r>
    <x v="13"/>
    <s v="conventional_refinance_burnout_13100"/>
    <x v="1382"/>
    <n v="0.52700000000000002"/>
    <n v="100"/>
    <n v="-3200"/>
    <n v="19200"/>
  </r>
  <r>
    <x v="13"/>
    <s v="conventional_refinance_burnout_13200"/>
    <x v="1383"/>
    <n v="0.52700000000000002"/>
    <n v="100"/>
    <n v="-3200"/>
    <n v="19200"/>
  </r>
  <r>
    <x v="13"/>
    <s v="conventional_refinance_burnout_13300"/>
    <x v="1384"/>
    <n v="0.52700000000000002"/>
    <n v="100"/>
    <n v="-3200"/>
    <n v="19200"/>
  </r>
  <r>
    <x v="13"/>
    <s v="conventional_refinance_burnout_13400"/>
    <x v="1385"/>
    <n v="0.52700000000000002"/>
    <n v="100"/>
    <n v="-3200"/>
    <n v="19200"/>
  </r>
  <r>
    <x v="13"/>
    <s v="conventional_refinance_burnout_13500"/>
    <x v="1386"/>
    <n v="0.52700000000000002"/>
    <n v="100"/>
    <n v="-3200"/>
    <n v="19200"/>
  </r>
  <r>
    <x v="13"/>
    <s v="conventional_refinance_burnout_13600"/>
    <x v="1387"/>
    <n v="0.52700000000000002"/>
    <n v="100"/>
    <n v="-3200"/>
    <n v="19200"/>
  </r>
  <r>
    <x v="13"/>
    <s v="conventional_refinance_burnout_13700"/>
    <x v="1388"/>
    <n v="0.52700000000000002"/>
    <n v="100"/>
    <n v="-3200"/>
    <n v="19200"/>
  </r>
  <r>
    <x v="13"/>
    <s v="conventional_refinance_burnout_13800"/>
    <x v="1389"/>
    <n v="0.52700000000000002"/>
    <n v="100"/>
    <n v="-3200"/>
    <n v="19200"/>
  </r>
  <r>
    <x v="13"/>
    <s v="conventional_refinance_burnout_13900"/>
    <x v="1390"/>
    <n v="0.52700000000000002"/>
    <n v="100"/>
    <n v="-3200"/>
    <n v="19200"/>
  </r>
  <r>
    <x v="13"/>
    <s v="conventional_refinance_burnout_14000"/>
    <x v="1391"/>
    <n v="0.52700000000000002"/>
    <n v="100"/>
    <n v="-3200"/>
    <n v="19200"/>
  </r>
  <r>
    <x v="13"/>
    <s v="conventional_refinance_burnout_14100"/>
    <x v="1392"/>
    <n v="0.52700000000000002"/>
    <n v="100"/>
    <n v="-3200"/>
    <n v="19200"/>
  </r>
  <r>
    <x v="13"/>
    <s v="conventional_refinance_burnout_14200"/>
    <x v="1393"/>
    <n v="0.52700000000000002"/>
    <n v="100"/>
    <n v="-3200"/>
    <n v="19200"/>
  </r>
  <r>
    <x v="13"/>
    <s v="conventional_refinance_burnout_14300"/>
    <x v="1394"/>
    <n v="0.52700000000000002"/>
    <n v="100"/>
    <n v="-3200"/>
    <n v="19200"/>
  </r>
  <r>
    <x v="13"/>
    <s v="conventional_refinance_burnout_14400"/>
    <x v="1395"/>
    <n v="0.52700000000000002"/>
    <n v="100"/>
    <n v="-3200"/>
    <n v="19200"/>
  </r>
  <r>
    <x v="13"/>
    <s v="conventional_refinance_burnout_14500"/>
    <x v="1396"/>
    <n v="0.52700000000000002"/>
    <n v="100"/>
    <n v="-3200"/>
    <n v="19200"/>
  </r>
  <r>
    <x v="13"/>
    <s v="conventional_refinance_burnout_14600"/>
    <x v="1397"/>
    <n v="0.52700000000000002"/>
    <n v="100"/>
    <n v="-3200"/>
    <n v="19200"/>
  </r>
  <r>
    <x v="13"/>
    <s v="conventional_refinance_burnout_14700"/>
    <x v="1398"/>
    <n v="0.52700000000000002"/>
    <n v="100"/>
    <n v="-3200"/>
    <n v="19200"/>
  </r>
  <r>
    <x v="13"/>
    <s v="conventional_refinance_burnout_14800"/>
    <x v="1399"/>
    <n v="0.52700000000000002"/>
    <n v="100"/>
    <n v="-3200"/>
    <n v="19200"/>
  </r>
  <r>
    <x v="13"/>
    <s v="conventional_refinance_burnout_14900"/>
    <x v="1400"/>
    <n v="0.52700000000000002"/>
    <n v="100"/>
    <n v="-3200"/>
    <n v="19200"/>
  </r>
  <r>
    <x v="13"/>
    <s v="conventional_refinance_burnout_15000"/>
    <x v="1401"/>
    <n v="0.52700000000000002"/>
    <n v="100"/>
    <n v="-3200"/>
    <n v="19200"/>
  </r>
  <r>
    <x v="13"/>
    <s v="conventional_refinance_burnout_15100"/>
    <x v="1402"/>
    <n v="0.52700000000000002"/>
    <n v="100"/>
    <n v="-3200"/>
    <n v="19200"/>
  </r>
  <r>
    <x v="13"/>
    <s v="conventional_refinance_burnout_15200"/>
    <x v="1403"/>
    <n v="0.52700000000000002"/>
    <n v="100"/>
    <n v="-3200"/>
    <n v="19200"/>
  </r>
  <r>
    <x v="13"/>
    <s v="conventional_refinance_burnout_15300"/>
    <x v="1404"/>
    <n v="0.52700000000000002"/>
    <n v="100"/>
    <n v="-3200"/>
    <n v="19200"/>
  </r>
  <r>
    <x v="13"/>
    <s v="conventional_refinance_burnout_15400"/>
    <x v="1405"/>
    <n v="0.52700000000000002"/>
    <n v="100"/>
    <n v="-3200"/>
    <n v="19200"/>
  </r>
  <r>
    <x v="13"/>
    <s v="conventional_refinance_burnout_15500"/>
    <x v="1406"/>
    <n v="0.52700000000000002"/>
    <n v="100"/>
    <n v="-3200"/>
    <n v="19200"/>
  </r>
  <r>
    <x v="13"/>
    <s v="conventional_refinance_burnout_15600"/>
    <x v="1407"/>
    <n v="0.52700000000000002"/>
    <n v="100"/>
    <n v="-3200"/>
    <n v="19200"/>
  </r>
  <r>
    <x v="13"/>
    <s v="conventional_refinance_burnout_15700"/>
    <x v="1408"/>
    <n v="0.52700000000000002"/>
    <n v="100"/>
    <n v="-3200"/>
    <n v="19200"/>
  </r>
  <r>
    <x v="13"/>
    <s v="conventional_refinance_burnout_15800"/>
    <x v="1409"/>
    <n v="0.52700000000000002"/>
    <n v="100"/>
    <n v="-3200"/>
    <n v="19200"/>
  </r>
  <r>
    <x v="13"/>
    <s v="conventional_refinance_burnout_15900"/>
    <x v="1410"/>
    <n v="0.52700000000000002"/>
    <n v="100"/>
    <n v="-3200"/>
    <n v="19200"/>
  </r>
  <r>
    <x v="13"/>
    <s v="conventional_refinance_burnout_16000"/>
    <x v="1411"/>
    <n v="0.52700000000000002"/>
    <n v="100"/>
    <n v="-3200"/>
    <n v="19200"/>
  </r>
  <r>
    <x v="13"/>
    <s v="conventional_refinance_burnout_16100"/>
    <x v="1412"/>
    <n v="0.52700000000000002"/>
    <n v="100"/>
    <n v="-3200"/>
    <n v="19200"/>
  </r>
  <r>
    <x v="13"/>
    <s v="conventional_refinance_burnout_16200"/>
    <x v="1413"/>
    <n v="0.52700000000000002"/>
    <n v="100"/>
    <n v="-3200"/>
    <n v="19200"/>
  </r>
  <r>
    <x v="13"/>
    <s v="conventional_refinance_burnout_16300"/>
    <x v="1414"/>
    <n v="0.52700000000000002"/>
    <n v="100"/>
    <n v="-3200"/>
    <n v="19200"/>
  </r>
  <r>
    <x v="13"/>
    <s v="conventional_refinance_burnout_16400"/>
    <x v="1415"/>
    <n v="0.52700000000000002"/>
    <n v="100"/>
    <n v="-3200"/>
    <n v="19200"/>
  </r>
  <r>
    <x v="13"/>
    <s v="conventional_refinance_burnout_16500"/>
    <x v="1416"/>
    <n v="0.52700000000000002"/>
    <n v="100"/>
    <n v="-3200"/>
    <n v="19200"/>
  </r>
  <r>
    <x v="13"/>
    <s v="conventional_refinance_burnout_16600"/>
    <x v="1417"/>
    <n v="0.52700000000000002"/>
    <n v="100"/>
    <n v="-3200"/>
    <n v="19200"/>
  </r>
  <r>
    <x v="13"/>
    <s v="conventional_refinance_burnout_16700"/>
    <x v="1418"/>
    <n v="0.52700000000000002"/>
    <n v="100"/>
    <n v="-3200"/>
    <n v="19200"/>
  </r>
  <r>
    <x v="13"/>
    <s v="conventional_refinance_burnout_16800"/>
    <x v="1419"/>
    <n v="0.52700000000000002"/>
    <n v="100"/>
    <n v="-3200"/>
    <n v="19200"/>
  </r>
  <r>
    <x v="13"/>
    <s v="conventional_refinance_burnout_16900"/>
    <x v="1420"/>
    <n v="0.52700000000000002"/>
    <n v="100"/>
    <n v="-3200"/>
    <n v="19200"/>
  </r>
  <r>
    <x v="13"/>
    <s v="conventional_refinance_burnout_17000"/>
    <x v="1421"/>
    <n v="0.52700000000000002"/>
    <n v="100"/>
    <n v="-3200"/>
    <n v="19200"/>
  </r>
  <r>
    <x v="13"/>
    <s v="conventional_refinance_burnout_17100"/>
    <x v="1422"/>
    <n v="0.52700000000000002"/>
    <n v="100"/>
    <n v="-3200"/>
    <n v="19200"/>
  </r>
  <r>
    <x v="13"/>
    <s v="conventional_refinance_burnout_17200"/>
    <x v="1423"/>
    <n v="0.52700000000000002"/>
    <n v="100"/>
    <n v="-3200"/>
    <n v="19200"/>
  </r>
  <r>
    <x v="13"/>
    <s v="conventional_refinance_burnout_17300"/>
    <x v="1424"/>
    <n v="0.52700000000000002"/>
    <n v="100"/>
    <n v="-3200"/>
    <n v="19200"/>
  </r>
  <r>
    <x v="13"/>
    <s v="conventional_refinance_burnout_17400"/>
    <x v="1425"/>
    <n v="0.52700000000000002"/>
    <n v="100"/>
    <n v="-3200"/>
    <n v="19200"/>
  </r>
  <r>
    <x v="13"/>
    <s v="conventional_refinance_burnout_17500"/>
    <x v="1426"/>
    <n v="0.52700000000000002"/>
    <n v="100"/>
    <n v="-3200"/>
    <n v="19200"/>
  </r>
  <r>
    <x v="13"/>
    <s v="conventional_refinance_burnout_17600"/>
    <x v="1427"/>
    <n v="0.52700000000000002"/>
    <n v="100"/>
    <n v="-3200"/>
    <n v="19200"/>
  </r>
  <r>
    <x v="13"/>
    <s v="conventional_refinance_burnout_17700"/>
    <x v="1428"/>
    <n v="0.52700000000000002"/>
    <n v="100"/>
    <n v="-3200"/>
    <n v="19200"/>
  </r>
  <r>
    <x v="13"/>
    <s v="conventional_refinance_burnout_17800"/>
    <x v="1429"/>
    <n v="0.52700000000000002"/>
    <n v="100"/>
    <n v="-3200"/>
    <n v="19200"/>
  </r>
  <r>
    <x v="13"/>
    <s v="conventional_refinance_burnout_17900"/>
    <x v="1430"/>
    <n v="0.52700000000000002"/>
    <n v="100"/>
    <n v="-3200"/>
    <n v="19200"/>
  </r>
  <r>
    <x v="13"/>
    <s v="conventional_refinance_burnout_18000"/>
    <x v="1431"/>
    <n v="0.52700000000000002"/>
    <n v="100"/>
    <n v="-3200"/>
    <n v="19200"/>
  </r>
  <r>
    <x v="13"/>
    <s v="conventional_refinance_burnout_18100"/>
    <x v="1432"/>
    <n v="0.52700000000000002"/>
    <n v="100"/>
    <n v="-3200"/>
    <n v="19200"/>
  </r>
  <r>
    <x v="13"/>
    <s v="conventional_refinance_burnout_18200"/>
    <x v="1433"/>
    <n v="0.52700000000000002"/>
    <n v="100"/>
    <n v="-3200"/>
    <n v="19200"/>
  </r>
  <r>
    <x v="13"/>
    <s v="conventional_refinance_burnout_18300"/>
    <x v="1434"/>
    <n v="0.52700000000000002"/>
    <n v="100"/>
    <n v="-3200"/>
    <n v="19200"/>
  </r>
  <r>
    <x v="13"/>
    <s v="conventional_refinance_burnout_18400"/>
    <x v="1435"/>
    <n v="0.52700000000000002"/>
    <n v="100"/>
    <n v="-3200"/>
    <n v="19200"/>
  </r>
  <r>
    <x v="13"/>
    <s v="conventional_refinance_burnout_18500"/>
    <x v="1436"/>
    <n v="0.52700000000000002"/>
    <n v="100"/>
    <n v="-3200"/>
    <n v="19200"/>
  </r>
  <r>
    <x v="13"/>
    <s v="conventional_refinance_burnout_18600"/>
    <x v="1437"/>
    <n v="0.52700000000000002"/>
    <n v="100"/>
    <n v="-3200"/>
    <n v="19200"/>
  </r>
  <r>
    <x v="13"/>
    <s v="conventional_refinance_burnout_18700"/>
    <x v="1438"/>
    <n v="0.52700000000000002"/>
    <n v="100"/>
    <n v="-3200"/>
    <n v="19200"/>
  </r>
  <r>
    <x v="13"/>
    <s v="conventional_refinance_burnout_18800"/>
    <x v="1439"/>
    <n v="0.52700000000000002"/>
    <n v="100"/>
    <n v="-3200"/>
    <n v="19200"/>
  </r>
  <r>
    <x v="13"/>
    <s v="conventional_refinance_burnout_18900"/>
    <x v="1440"/>
    <n v="0.52700000000000002"/>
    <n v="100"/>
    <n v="-3200"/>
    <n v="19200"/>
  </r>
  <r>
    <x v="13"/>
    <s v="conventional_refinance_burnout_19000"/>
    <x v="1441"/>
    <n v="0.52700000000000002"/>
    <n v="100"/>
    <n v="-3200"/>
    <n v="19200"/>
  </r>
  <r>
    <x v="13"/>
    <s v="conventional_refinance_burnout_19100"/>
    <x v="1442"/>
    <n v="0.52700000000000002"/>
    <n v="100"/>
    <n v="-3200"/>
    <n v="19200"/>
  </r>
  <r>
    <x v="13"/>
    <s v="conventional_refinance_burnout_19200"/>
    <x v="1443"/>
    <n v="0.52700000000000002"/>
    <n v="100"/>
    <n v="-3200"/>
    <n v="19200"/>
  </r>
  <r>
    <x v="14"/>
    <s v="conventional_refinance_pct_inv_-20"/>
    <x v="20"/>
    <n v="0.9112344"/>
    <n v="1"/>
    <n v="-20"/>
    <n v="120"/>
  </r>
  <r>
    <x v="14"/>
    <s v="conventional_refinance_pct_inv_-19"/>
    <x v="21"/>
    <n v="0.91567268000000002"/>
    <n v="1"/>
    <n v="-20"/>
    <n v="120"/>
  </r>
  <r>
    <x v="14"/>
    <s v="conventional_refinance_pct_inv_-18"/>
    <x v="22"/>
    <n v="0.92011096000000003"/>
    <n v="1"/>
    <n v="-20"/>
    <n v="120"/>
  </r>
  <r>
    <x v="14"/>
    <s v="conventional_refinance_pct_inv_-17"/>
    <x v="23"/>
    <n v="0.92454924000000005"/>
    <n v="1"/>
    <n v="-20"/>
    <n v="120"/>
  </r>
  <r>
    <x v="14"/>
    <s v="conventional_refinance_pct_inv_-16"/>
    <x v="24"/>
    <n v="0.92898751999999996"/>
    <n v="1"/>
    <n v="-20"/>
    <n v="120"/>
  </r>
  <r>
    <x v="14"/>
    <s v="conventional_refinance_pct_inv_-15"/>
    <x v="25"/>
    <n v="0.93342579999999997"/>
    <n v="1"/>
    <n v="-20"/>
    <n v="120"/>
  </r>
  <r>
    <x v="14"/>
    <s v="conventional_refinance_pct_inv_-14"/>
    <x v="26"/>
    <n v="0.93786407999999999"/>
    <n v="1"/>
    <n v="-20"/>
    <n v="120"/>
  </r>
  <r>
    <x v="14"/>
    <s v="conventional_refinance_pct_inv_-13"/>
    <x v="27"/>
    <n v="0.94230236000000001"/>
    <n v="1"/>
    <n v="-20"/>
    <n v="120"/>
  </r>
  <r>
    <x v="14"/>
    <s v="conventional_refinance_pct_inv_-12"/>
    <x v="28"/>
    <n v="0.94674064000000002"/>
    <n v="1"/>
    <n v="-20"/>
    <n v="120"/>
  </r>
  <r>
    <x v="14"/>
    <s v="conventional_refinance_pct_inv_-11"/>
    <x v="29"/>
    <n v="0.95117892000000004"/>
    <n v="1"/>
    <n v="-20"/>
    <n v="120"/>
  </r>
  <r>
    <x v="14"/>
    <s v="conventional_refinance_pct_inv_-10"/>
    <x v="30"/>
    <n v="0.95561720000000006"/>
    <n v="1"/>
    <n v="-20"/>
    <n v="120"/>
  </r>
  <r>
    <x v="14"/>
    <s v="conventional_refinance_pct_inv_-9"/>
    <x v="31"/>
    <n v="0.96005547999999996"/>
    <n v="1"/>
    <n v="-20"/>
    <n v="120"/>
  </r>
  <r>
    <x v="14"/>
    <s v="conventional_refinance_pct_inv_-8"/>
    <x v="32"/>
    <n v="0.96449375999999998"/>
    <n v="1"/>
    <n v="-20"/>
    <n v="120"/>
  </r>
  <r>
    <x v="14"/>
    <s v="conventional_refinance_pct_inv_-7"/>
    <x v="33"/>
    <n v="0.96893203999999999"/>
    <n v="1"/>
    <n v="-20"/>
    <n v="120"/>
  </r>
  <r>
    <x v="14"/>
    <s v="conventional_refinance_pct_inv_-6"/>
    <x v="34"/>
    <n v="0.97337032000000001"/>
    <n v="1"/>
    <n v="-20"/>
    <n v="120"/>
  </r>
  <r>
    <x v="14"/>
    <s v="conventional_refinance_pct_inv_-5"/>
    <x v="35"/>
    <n v="0.97780860000000003"/>
    <n v="1"/>
    <n v="-20"/>
    <n v="120"/>
  </r>
  <r>
    <x v="14"/>
    <s v="conventional_refinance_pct_inv_-4"/>
    <x v="36"/>
    <n v="0.98224688000000004"/>
    <n v="1"/>
    <n v="-20"/>
    <n v="120"/>
  </r>
  <r>
    <x v="14"/>
    <s v="conventional_refinance_pct_inv_-3"/>
    <x v="37"/>
    <n v="0.98668515999999995"/>
    <n v="1"/>
    <n v="-20"/>
    <n v="120"/>
  </r>
  <r>
    <x v="14"/>
    <s v="conventional_refinance_pct_inv_-2"/>
    <x v="38"/>
    <n v="0.99112343999999997"/>
    <n v="1"/>
    <n v="-20"/>
    <n v="120"/>
  </r>
  <r>
    <x v="14"/>
    <s v="conventional_refinance_pct_inv_-1"/>
    <x v="39"/>
    <n v="0.99556171999999998"/>
    <n v="1"/>
    <n v="-20"/>
    <n v="120"/>
  </r>
  <r>
    <x v="14"/>
    <s v="conventional_refinance_pct_inv_0"/>
    <x v="40"/>
    <n v="1"/>
    <n v="1"/>
    <n v="-20"/>
    <n v="120"/>
  </r>
  <r>
    <x v="14"/>
    <s v="conventional_refinance_pct_inv_1"/>
    <x v="41"/>
    <n v="1.00443828"/>
    <n v="1"/>
    <n v="-20"/>
    <n v="120"/>
  </r>
  <r>
    <x v="14"/>
    <s v="conventional_refinance_pct_inv_2"/>
    <x v="42"/>
    <n v="1.00887656"/>
    <n v="1"/>
    <n v="-20"/>
    <n v="120"/>
  </r>
  <r>
    <x v="14"/>
    <s v="conventional_refinance_pct_inv_3"/>
    <x v="43"/>
    <n v="1.01331484"/>
    <n v="1"/>
    <n v="-20"/>
    <n v="120"/>
  </r>
  <r>
    <x v="14"/>
    <s v="conventional_refinance_pct_inv_4"/>
    <x v="44"/>
    <n v="1.0177531200000001"/>
    <n v="1"/>
    <n v="-20"/>
    <n v="120"/>
  </r>
  <r>
    <x v="14"/>
    <s v="conventional_refinance_pct_inv_5"/>
    <x v="45"/>
    <n v="1.0221914000000001"/>
    <n v="1"/>
    <n v="-20"/>
    <n v="120"/>
  </r>
  <r>
    <x v="14"/>
    <s v="conventional_refinance_pct_inv_6"/>
    <x v="46"/>
    <n v="1.0266296800000001"/>
    <n v="1"/>
    <n v="-20"/>
    <n v="120"/>
  </r>
  <r>
    <x v="14"/>
    <s v="conventional_refinance_pct_inv_7"/>
    <x v="47"/>
    <n v="1.0310679599999999"/>
    <n v="1"/>
    <n v="-20"/>
    <n v="120"/>
  </r>
  <r>
    <x v="14"/>
    <s v="conventional_refinance_pct_inv_8"/>
    <x v="48"/>
    <n v="1.0355062399999999"/>
    <n v="1"/>
    <n v="-20"/>
    <n v="120"/>
  </r>
  <r>
    <x v="14"/>
    <s v="conventional_refinance_pct_inv_9"/>
    <x v="49"/>
    <n v="1.0399445199999999"/>
    <n v="1"/>
    <n v="-20"/>
    <n v="120"/>
  </r>
  <r>
    <x v="14"/>
    <s v="conventional_refinance_pct_inv_10"/>
    <x v="50"/>
    <n v="1.0443827999999999"/>
    <n v="1"/>
    <n v="-20"/>
    <n v="120"/>
  </r>
  <r>
    <x v="14"/>
    <s v="conventional_refinance_pct_inv_11"/>
    <x v="51"/>
    <n v="1.04882108"/>
    <n v="1"/>
    <n v="-20"/>
    <n v="120"/>
  </r>
  <r>
    <x v="14"/>
    <s v="conventional_refinance_pct_inv_12"/>
    <x v="52"/>
    <n v="1.05325936"/>
    <n v="1"/>
    <n v="-20"/>
    <n v="120"/>
  </r>
  <r>
    <x v="14"/>
    <s v="conventional_refinance_pct_inv_13"/>
    <x v="53"/>
    <n v="1.05769764"/>
    <n v="1"/>
    <n v="-20"/>
    <n v="120"/>
  </r>
  <r>
    <x v="14"/>
    <s v="conventional_refinance_pct_inv_14"/>
    <x v="54"/>
    <n v="1.06213592"/>
    <n v="1"/>
    <n v="-20"/>
    <n v="120"/>
  </r>
  <r>
    <x v="14"/>
    <s v="conventional_refinance_pct_inv_15"/>
    <x v="55"/>
    <n v="1.0665742"/>
    <n v="1"/>
    <n v="-20"/>
    <n v="120"/>
  </r>
  <r>
    <x v="14"/>
    <s v="conventional_refinance_pct_inv_16"/>
    <x v="56"/>
    <n v="1.07101248"/>
    <n v="1"/>
    <n v="-20"/>
    <n v="120"/>
  </r>
  <r>
    <x v="14"/>
    <s v="conventional_refinance_pct_inv_17"/>
    <x v="57"/>
    <n v="1.0754507600000001"/>
    <n v="1"/>
    <n v="-20"/>
    <n v="120"/>
  </r>
  <r>
    <x v="14"/>
    <s v="conventional_refinance_pct_inv_18"/>
    <x v="58"/>
    <n v="1.0798890400000001"/>
    <n v="1"/>
    <n v="-20"/>
    <n v="120"/>
  </r>
  <r>
    <x v="14"/>
    <s v="conventional_refinance_pct_inv_19"/>
    <x v="59"/>
    <n v="1.0843273200000001"/>
    <n v="1"/>
    <n v="-20"/>
    <n v="120"/>
  </r>
  <r>
    <x v="14"/>
    <s v="conventional_refinance_pct_inv_20"/>
    <x v="60"/>
    <n v="1.0887655999999999"/>
    <n v="1"/>
    <n v="-20"/>
    <n v="120"/>
  </r>
  <r>
    <x v="14"/>
    <s v="conventional_refinance_pct_inv_21"/>
    <x v="61"/>
    <n v="1.0932038799999999"/>
    <n v="1"/>
    <n v="-20"/>
    <n v="120"/>
  </r>
  <r>
    <x v="14"/>
    <s v="conventional_refinance_pct_inv_22"/>
    <x v="62"/>
    <n v="1.0976421599999999"/>
    <n v="1"/>
    <n v="-20"/>
    <n v="120"/>
  </r>
  <r>
    <x v="14"/>
    <s v="conventional_refinance_pct_inv_23"/>
    <x v="63"/>
    <n v="1.1020804399999999"/>
    <n v="1"/>
    <n v="-20"/>
    <n v="120"/>
  </r>
  <r>
    <x v="14"/>
    <s v="conventional_refinance_pct_inv_24"/>
    <x v="64"/>
    <n v="1.10651872"/>
    <n v="1"/>
    <n v="-20"/>
    <n v="120"/>
  </r>
  <r>
    <x v="14"/>
    <s v="conventional_refinance_pct_inv_25"/>
    <x v="65"/>
    <n v="1.110957"/>
    <n v="1"/>
    <n v="-20"/>
    <n v="120"/>
  </r>
  <r>
    <x v="14"/>
    <s v="conventional_refinance_pct_inv_26"/>
    <x v="66"/>
    <n v="1.11539528"/>
    <n v="1"/>
    <n v="-20"/>
    <n v="120"/>
  </r>
  <r>
    <x v="14"/>
    <s v="conventional_refinance_pct_inv_27"/>
    <x v="67"/>
    <n v="1.11983356"/>
    <n v="1"/>
    <n v="-20"/>
    <n v="120"/>
  </r>
  <r>
    <x v="14"/>
    <s v="conventional_refinance_pct_inv_28"/>
    <x v="68"/>
    <n v="1.12427184"/>
    <n v="1"/>
    <n v="-20"/>
    <n v="120"/>
  </r>
  <r>
    <x v="14"/>
    <s v="conventional_refinance_pct_inv_29"/>
    <x v="69"/>
    <n v="1.12871012"/>
    <n v="1"/>
    <n v="-20"/>
    <n v="120"/>
  </r>
  <r>
    <x v="14"/>
    <s v="conventional_refinance_pct_inv_30"/>
    <x v="70"/>
    <n v="1.1331484000000001"/>
    <n v="1"/>
    <n v="-20"/>
    <n v="120"/>
  </r>
  <r>
    <x v="14"/>
    <s v="conventional_refinance_pct_inv_31"/>
    <x v="71"/>
    <n v="1.1375866800000001"/>
    <n v="1"/>
    <n v="-20"/>
    <n v="120"/>
  </r>
  <r>
    <x v="14"/>
    <s v="conventional_refinance_pct_inv_32"/>
    <x v="72"/>
    <n v="1.1420249600000001"/>
    <n v="1"/>
    <n v="-20"/>
    <n v="120"/>
  </r>
  <r>
    <x v="14"/>
    <s v="conventional_refinance_pct_inv_33"/>
    <x v="73"/>
    <n v="1.1464632400000001"/>
    <n v="1"/>
    <n v="-20"/>
    <n v="120"/>
  </r>
  <r>
    <x v="14"/>
    <s v="conventional_refinance_pct_inv_34"/>
    <x v="74"/>
    <n v="1.1509015199999999"/>
    <n v="1"/>
    <n v="-20"/>
    <n v="120"/>
  </r>
  <r>
    <x v="14"/>
    <s v="conventional_refinance_pct_inv_35"/>
    <x v="75"/>
    <n v="1.1553397999999999"/>
    <n v="1"/>
    <n v="-20"/>
    <n v="120"/>
  </r>
  <r>
    <x v="14"/>
    <s v="conventional_refinance_pct_inv_36"/>
    <x v="76"/>
    <n v="1.1597780799999999"/>
    <n v="1"/>
    <n v="-20"/>
    <n v="120"/>
  </r>
  <r>
    <x v="14"/>
    <s v="conventional_refinance_pct_inv_37"/>
    <x v="77"/>
    <n v="1.16421636"/>
    <n v="1"/>
    <n v="-20"/>
    <n v="120"/>
  </r>
  <r>
    <x v="14"/>
    <s v="conventional_refinance_pct_inv_38"/>
    <x v="78"/>
    <n v="1.16865464"/>
    <n v="1"/>
    <n v="-20"/>
    <n v="120"/>
  </r>
  <r>
    <x v="14"/>
    <s v="conventional_refinance_pct_inv_39"/>
    <x v="79"/>
    <n v="1.17309292"/>
    <n v="1"/>
    <n v="-20"/>
    <n v="120"/>
  </r>
  <r>
    <x v="14"/>
    <s v="conventional_refinance_pct_inv_40"/>
    <x v="80"/>
    <n v="1.1775312"/>
    <n v="1"/>
    <n v="-20"/>
    <n v="120"/>
  </r>
  <r>
    <x v="14"/>
    <s v="conventional_refinance_pct_inv_41"/>
    <x v="81"/>
    <n v="1.18196948"/>
    <n v="1"/>
    <n v="-20"/>
    <n v="120"/>
  </r>
  <r>
    <x v="14"/>
    <s v="conventional_refinance_pct_inv_42"/>
    <x v="82"/>
    <n v="1.18640776"/>
    <n v="1"/>
    <n v="-20"/>
    <n v="120"/>
  </r>
  <r>
    <x v="14"/>
    <s v="conventional_refinance_pct_inv_43"/>
    <x v="83"/>
    <n v="1.1908460400000001"/>
    <n v="1"/>
    <n v="-20"/>
    <n v="120"/>
  </r>
  <r>
    <x v="14"/>
    <s v="conventional_refinance_pct_inv_44"/>
    <x v="84"/>
    <n v="1.1952843200000001"/>
    <n v="1"/>
    <n v="-20"/>
    <n v="120"/>
  </r>
  <r>
    <x v="14"/>
    <s v="conventional_refinance_pct_inv_45"/>
    <x v="85"/>
    <n v="1.1997226000000001"/>
    <n v="1"/>
    <n v="-20"/>
    <n v="120"/>
  </r>
  <r>
    <x v="14"/>
    <s v="conventional_refinance_pct_inv_46"/>
    <x v="86"/>
    <n v="1.2041608800000001"/>
    <n v="1"/>
    <n v="-20"/>
    <n v="120"/>
  </r>
  <r>
    <x v="14"/>
    <s v="conventional_refinance_pct_inv_47"/>
    <x v="87"/>
    <n v="1.2085991599999999"/>
    <n v="1"/>
    <n v="-20"/>
    <n v="120"/>
  </r>
  <r>
    <x v="14"/>
    <s v="conventional_refinance_pct_inv_48"/>
    <x v="88"/>
    <n v="1.2130374399999999"/>
    <n v="1"/>
    <n v="-20"/>
    <n v="120"/>
  </r>
  <r>
    <x v="14"/>
    <s v="conventional_refinance_pct_inv_49"/>
    <x v="89"/>
    <n v="1.2174757199999999"/>
    <n v="1"/>
    <n v="-20"/>
    <n v="120"/>
  </r>
  <r>
    <x v="14"/>
    <s v="conventional_refinance_pct_inv_50"/>
    <x v="90"/>
    <n v="1.2219139999999999"/>
    <n v="1"/>
    <n v="-20"/>
    <n v="120"/>
  </r>
  <r>
    <x v="14"/>
    <s v="conventional_refinance_pct_inv_51"/>
    <x v="91"/>
    <n v="1.22635228"/>
    <n v="1"/>
    <n v="-20"/>
    <n v="120"/>
  </r>
  <r>
    <x v="14"/>
    <s v="conventional_refinance_pct_inv_52"/>
    <x v="92"/>
    <n v="1.23079056"/>
    <n v="1"/>
    <n v="-20"/>
    <n v="120"/>
  </r>
  <r>
    <x v="14"/>
    <s v="conventional_refinance_pct_inv_53"/>
    <x v="93"/>
    <n v="1.23522884"/>
    <n v="1"/>
    <n v="-20"/>
    <n v="120"/>
  </r>
  <r>
    <x v="14"/>
    <s v="conventional_refinance_pct_inv_54"/>
    <x v="94"/>
    <n v="1.23966712"/>
    <n v="1"/>
    <n v="-20"/>
    <n v="120"/>
  </r>
  <r>
    <x v="14"/>
    <s v="conventional_refinance_pct_inv_55"/>
    <x v="95"/>
    <n v="1.2441054"/>
    <n v="1"/>
    <n v="-20"/>
    <n v="120"/>
  </r>
  <r>
    <x v="14"/>
    <s v="conventional_refinance_pct_inv_56"/>
    <x v="96"/>
    <n v="1.24854368"/>
    <n v="1"/>
    <n v="-20"/>
    <n v="120"/>
  </r>
  <r>
    <x v="14"/>
    <s v="conventional_refinance_pct_inv_57"/>
    <x v="97"/>
    <n v="1.2529819600000001"/>
    <n v="1"/>
    <n v="-20"/>
    <n v="120"/>
  </r>
  <r>
    <x v="14"/>
    <s v="conventional_refinance_pct_inv_58"/>
    <x v="98"/>
    <n v="1.2574202400000001"/>
    <n v="1"/>
    <n v="-20"/>
    <n v="120"/>
  </r>
  <r>
    <x v="14"/>
    <s v="conventional_refinance_pct_inv_59"/>
    <x v="99"/>
    <n v="1.2618585200000001"/>
    <n v="1"/>
    <n v="-20"/>
    <n v="120"/>
  </r>
  <r>
    <x v="14"/>
    <s v="conventional_refinance_pct_inv_60"/>
    <x v="100"/>
    <n v="1.2662967999999999"/>
    <n v="1"/>
    <n v="-20"/>
    <n v="120"/>
  </r>
  <r>
    <x v="14"/>
    <s v="conventional_refinance_pct_inv_61"/>
    <x v="101"/>
    <n v="1.2707350799999999"/>
    <n v="1"/>
    <n v="-20"/>
    <n v="120"/>
  </r>
  <r>
    <x v="14"/>
    <s v="conventional_refinance_pct_inv_62"/>
    <x v="102"/>
    <n v="1.2751733599999999"/>
    <n v="1"/>
    <n v="-20"/>
    <n v="120"/>
  </r>
  <r>
    <x v="14"/>
    <s v="conventional_refinance_pct_inv_63"/>
    <x v="103"/>
    <n v="1.2796116399999999"/>
    <n v="1"/>
    <n v="-20"/>
    <n v="120"/>
  </r>
  <r>
    <x v="14"/>
    <s v="conventional_refinance_pct_inv_64"/>
    <x v="104"/>
    <n v="1.28404992"/>
    <n v="1"/>
    <n v="-20"/>
    <n v="120"/>
  </r>
  <r>
    <x v="14"/>
    <s v="conventional_refinance_pct_inv_65"/>
    <x v="105"/>
    <n v="1.2884882"/>
    <n v="1"/>
    <n v="-20"/>
    <n v="120"/>
  </r>
  <r>
    <x v="14"/>
    <s v="conventional_refinance_pct_inv_66"/>
    <x v="106"/>
    <n v="1.29292648"/>
    <n v="1"/>
    <n v="-20"/>
    <n v="120"/>
  </r>
  <r>
    <x v="14"/>
    <s v="conventional_refinance_pct_inv_67"/>
    <x v="107"/>
    <n v="1.29736476"/>
    <n v="1"/>
    <n v="-20"/>
    <n v="120"/>
  </r>
  <r>
    <x v="14"/>
    <s v="conventional_refinance_pct_inv_68"/>
    <x v="108"/>
    <n v="1.30180304"/>
    <n v="1"/>
    <n v="-20"/>
    <n v="120"/>
  </r>
  <r>
    <x v="14"/>
    <s v="conventional_refinance_pct_inv_69"/>
    <x v="109"/>
    <n v="1.30624132"/>
    <n v="1"/>
    <n v="-20"/>
    <n v="120"/>
  </r>
  <r>
    <x v="14"/>
    <s v="conventional_refinance_pct_inv_70"/>
    <x v="110"/>
    <n v="1.3106796000000001"/>
    <n v="1"/>
    <n v="-20"/>
    <n v="120"/>
  </r>
  <r>
    <x v="14"/>
    <s v="conventional_refinance_pct_inv_71"/>
    <x v="111"/>
    <n v="1.3151178800000001"/>
    <n v="1"/>
    <n v="-20"/>
    <n v="120"/>
  </r>
  <r>
    <x v="14"/>
    <s v="conventional_refinance_pct_inv_72"/>
    <x v="112"/>
    <n v="1.3195561600000001"/>
    <n v="1"/>
    <n v="-20"/>
    <n v="120"/>
  </r>
  <r>
    <x v="14"/>
    <s v="conventional_refinance_pct_inv_73"/>
    <x v="113"/>
    <n v="1.3239944400000001"/>
    <n v="1"/>
    <n v="-20"/>
    <n v="120"/>
  </r>
  <r>
    <x v="14"/>
    <s v="conventional_refinance_pct_inv_74"/>
    <x v="114"/>
    <n v="1.3284327199999999"/>
    <n v="1"/>
    <n v="-20"/>
    <n v="120"/>
  </r>
  <r>
    <x v="14"/>
    <s v="conventional_refinance_pct_inv_75"/>
    <x v="115"/>
    <n v="1.3328709999999999"/>
    <n v="1"/>
    <n v="-20"/>
    <n v="120"/>
  </r>
  <r>
    <x v="14"/>
    <s v="conventional_refinance_pct_inv_76"/>
    <x v="116"/>
    <n v="1.3373092799999999"/>
    <n v="1"/>
    <n v="-20"/>
    <n v="120"/>
  </r>
  <r>
    <x v="14"/>
    <s v="conventional_refinance_pct_inv_77"/>
    <x v="117"/>
    <n v="1.34174756"/>
    <n v="1"/>
    <n v="-20"/>
    <n v="120"/>
  </r>
  <r>
    <x v="14"/>
    <s v="conventional_refinance_pct_inv_78"/>
    <x v="118"/>
    <n v="1.34618584"/>
    <n v="1"/>
    <n v="-20"/>
    <n v="120"/>
  </r>
  <r>
    <x v="14"/>
    <s v="conventional_refinance_pct_inv_79"/>
    <x v="119"/>
    <n v="1.35062412"/>
    <n v="1"/>
    <n v="-20"/>
    <n v="120"/>
  </r>
  <r>
    <x v="14"/>
    <s v="conventional_refinance_pct_inv_80"/>
    <x v="120"/>
    <n v="1.3550624"/>
    <n v="1"/>
    <n v="-20"/>
    <n v="120"/>
  </r>
  <r>
    <x v="14"/>
    <s v="conventional_refinance_pct_inv_81"/>
    <x v="121"/>
    <n v="1.35950068"/>
    <n v="1"/>
    <n v="-20"/>
    <n v="120"/>
  </r>
  <r>
    <x v="14"/>
    <s v="conventional_refinance_pct_inv_82"/>
    <x v="122"/>
    <n v="1.36393896"/>
    <n v="1"/>
    <n v="-20"/>
    <n v="120"/>
  </r>
  <r>
    <x v="14"/>
    <s v="conventional_refinance_pct_inv_83"/>
    <x v="123"/>
    <n v="1.3683772400000001"/>
    <n v="1"/>
    <n v="-20"/>
    <n v="120"/>
  </r>
  <r>
    <x v="14"/>
    <s v="conventional_refinance_pct_inv_84"/>
    <x v="124"/>
    <n v="1.3728155200000001"/>
    <n v="1"/>
    <n v="-20"/>
    <n v="120"/>
  </r>
  <r>
    <x v="14"/>
    <s v="conventional_refinance_pct_inv_85"/>
    <x v="125"/>
    <n v="1.3772538000000001"/>
    <n v="1"/>
    <n v="-20"/>
    <n v="120"/>
  </r>
  <r>
    <x v="14"/>
    <s v="conventional_refinance_pct_inv_86"/>
    <x v="126"/>
    <n v="1.3816920800000001"/>
    <n v="1"/>
    <n v="-20"/>
    <n v="120"/>
  </r>
  <r>
    <x v="14"/>
    <s v="conventional_refinance_pct_inv_87"/>
    <x v="127"/>
    <n v="1.3861303599999999"/>
    <n v="1"/>
    <n v="-20"/>
    <n v="120"/>
  </r>
  <r>
    <x v="14"/>
    <s v="conventional_refinance_pct_inv_88"/>
    <x v="128"/>
    <n v="1.3905686399999999"/>
    <n v="1"/>
    <n v="-20"/>
    <n v="120"/>
  </r>
  <r>
    <x v="14"/>
    <s v="conventional_refinance_pct_inv_89"/>
    <x v="129"/>
    <n v="1.3950069199999999"/>
    <n v="1"/>
    <n v="-20"/>
    <n v="120"/>
  </r>
  <r>
    <x v="14"/>
    <s v="conventional_refinance_pct_inv_90"/>
    <x v="130"/>
    <n v="1.3994451999999999"/>
    <n v="1"/>
    <n v="-20"/>
    <n v="120"/>
  </r>
  <r>
    <x v="14"/>
    <s v="conventional_refinance_pct_inv_91"/>
    <x v="131"/>
    <n v="1.40388348"/>
    <n v="1"/>
    <n v="-20"/>
    <n v="120"/>
  </r>
  <r>
    <x v="14"/>
    <s v="conventional_refinance_pct_inv_92"/>
    <x v="132"/>
    <n v="1.40832176"/>
    <n v="1"/>
    <n v="-20"/>
    <n v="120"/>
  </r>
  <r>
    <x v="14"/>
    <s v="conventional_refinance_pct_inv_93"/>
    <x v="133"/>
    <n v="1.41276004"/>
    <n v="1"/>
    <n v="-20"/>
    <n v="120"/>
  </r>
  <r>
    <x v="14"/>
    <s v="conventional_refinance_pct_inv_94"/>
    <x v="134"/>
    <n v="1.41719832"/>
    <n v="1"/>
    <n v="-20"/>
    <n v="120"/>
  </r>
  <r>
    <x v="14"/>
    <s v="conventional_refinance_pct_inv_95"/>
    <x v="135"/>
    <n v="1.4216366"/>
    <n v="1"/>
    <n v="-20"/>
    <n v="120"/>
  </r>
  <r>
    <x v="14"/>
    <s v="conventional_refinance_pct_inv_96"/>
    <x v="136"/>
    <n v="1.42607488"/>
    <n v="1"/>
    <n v="-20"/>
    <n v="120"/>
  </r>
  <r>
    <x v="14"/>
    <s v="conventional_refinance_pct_inv_97"/>
    <x v="137"/>
    <n v="1.4305131600000001"/>
    <n v="1"/>
    <n v="-20"/>
    <n v="120"/>
  </r>
  <r>
    <x v="14"/>
    <s v="conventional_refinance_pct_inv_98"/>
    <x v="138"/>
    <n v="1.4349514400000001"/>
    <n v="1"/>
    <n v="-20"/>
    <n v="120"/>
  </r>
  <r>
    <x v="14"/>
    <s v="conventional_refinance_pct_inv_99"/>
    <x v="139"/>
    <n v="1.4393897200000001"/>
    <n v="1"/>
    <n v="-20"/>
    <n v="120"/>
  </r>
  <r>
    <x v="14"/>
    <s v="conventional_refinance_pct_inv_100"/>
    <x v="140"/>
    <n v="1.4438279999999999"/>
    <n v="1"/>
    <n v="-20"/>
    <n v="120"/>
  </r>
  <r>
    <x v="14"/>
    <s v="conventional_refinance_pct_inv_101"/>
    <x v="141"/>
    <n v="1.4482662799999999"/>
    <n v="1"/>
    <n v="-20"/>
    <n v="120"/>
  </r>
  <r>
    <x v="14"/>
    <s v="conventional_refinance_pct_inv_102"/>
    <x v="142"/>
    <n v="1.4527045599999999"/>
    <n v="1"/>
    <n v="-20"/>
    <n v="120"/>
  </r>
  <r>
    <x v="14"/>
    <s v="conventional_refinance_pct_inv_103"/>
    <x v="143"/>
    <n v="1.4571428399999999"/>
    <n v="1"/>
    <n v="-20"/>
    <n v="120"/>
  </r>
  <r>
    <x v="14"/>
    <s v="conventional_refinance_pct_inv_104"/>
    <x v="144"/>
    <n v="1.46158112"/>
    <n v="1"/>
    <n v="-20"/>
    <n v="120"/>
  </r>
  <r>
    <x v="14"/>
    <s v="conventional_refinance_pct_inv_105"/>
    <x v="145"/>
    <n v="1.4660194"/>
    <n v="1"/>
    <n v="-20"/>
    <n v="120"/>
  </r>
  <r>
    <x v="14"/>
    <s v="conventional_refinance_pct_inv_106"/>
    <x v="146"/>
    <n v="1.47045768"/>
    <n v="1"/>
    <n v="-20"/>
    <n v="120"/>
  </r>
  <r>
    <x v="14"/>
    <s v="conventional_refinance_pct_inv_107"/>
    <x v="147"/>
    <n v="1.47489596"/>
    <n v="1"/>
    <n v="-20"/>
    <n v="120"/>
  </r>
  <r>
    <x v="14"/>
    <s v="conventional_refinance_pct_inv_108"/>
    <x v="148"/>
    <n v="1.47933424"/>
    <n v="1"/>
    <n v="-20"/>
    <n v="120"/>
  </r>
  <r>
    <x v="14"/>
    <s v="conventional_refinance_pct_inv_109"/>
    <x v="149"/>
    <n v="1.48377252"/>
    <n v="1"/>
    <n v="-20"/>
    <n v="120"/>
  </r>
  <r>
    <x v="14"/>
    <s v="conventional_refinance_pct_inv_110"/>
    <x v="150"/>
    <n v="1.4882108000000001"/>
    <n v="1"/>
    <n v="-20"/>
    <n v="120"/>
  </r>
  <r>
    <x v="14"/>
    <s v="conventional_refinance_pct_inv_111"/>
    <x v="151"/>
    <n v="1.4926490800000001"/>
    <n v="1"/>
    <n v="-20"/>
    <n v="120"/>
  </r>
  <r>
    <x v="14"/>
    <s v="conventional_refinance_pct_inv_112"/>
    <x v="152"/>
    <n v="1.4970873600000001"/>
    <n v="1"/>
    <n v="-20"/>
    <n v="120"/>
  </r>
  <r>
    <x v="14"/>
    <s v="conventional_refinance_pct_inv_113"/>
    <x v="153"/>
    <n v="1.5015256400000001"/>
    <n v="1"/>
    <n v="-20"/>
    <n v="120"/>
  </r>
  <r>
    <x v="14"/>
    <s v="conventional_refinance_pct_inv_114"/>
    <x v="154"/>
    <n v="1.5059639199999999"/>
    <n v="1"/>
    <n v="-20"/>
    <n v="120"/>
  </r>
  <r>
    <x v="14"/>
    <s v="conventional_refinance_pct_inv_115"/>
    <x v="155"/>
    <n v="1.5104021999999999"/>
    <n v="1"/>
    <n v="-20"/>
    <n v="120"/>
  </r>
  <r>
    <x v="14"/>
    <s v="conventional_refinance_pct_inv_116"/>
    <x v="156"/>
    <n v="1.5148404799999999"/>
    <n v="1"/>
    <n v="-20"/>
    <n v="120"/>
  </r>
  <r>
    <x v="14"/>
    <s v="conventional_refinance_pct_inv_117"/>
    <x v="157"/>
    <n v="1.51927876"/>
    <n v="1"/>
    <n v="-20"/>
    <n v="120"/>
  </r>
  <r>
    <x v="14"/>
    <s v="conventional_refinance_pct_inv_118"/>
    <x v="158"/>
    <n v="1.52371704"/>
    <n v="1"/>
    <n v="-20"/>
    <n v="120"/>
  </r>
  <r>
    <x v="14"/>
    <s v="conventional_refinance_pct_inv_119"/>
    <x v="159"/>
    <n v="1.52815532"/>
    <n v="1"/>
    <n v="-20"/>
    <n v="120"/>
  </r>
  <r>
    <x v="14"/>
    <s v="conventional_refinance_pct_inv_120"/>
    <x v="160"/>
    <n v="1.5325936"/>
    <n v="1"/>
    <n v="-20"/>
    <n v="120"/>
  </r>
  <r>
    <x v="15"/>
    <s v="conventional_refinance_pct_purchase_-20"/>
    <x v="20"/>
    <n v="1"/>
    <n v="1"/>
    <n v="-20"/>
    <n v="120"/>
  </r>
  <r>
    <x v="15"/>
    <s v="conventional_refinance_pct_purchase_-19"/>
    <x v="21"/>
    <n v="1"/>
    <n v="1"/>
    <n v="-20"/>
    <n v="120"/>
  </r>
  <r>
    <x v="15"/>
    <s v="conventional_refinance_pct_purchase_-18"/>
    <x v="22"/>
    <n v="1"/>
    <n v="1"/>
    <n v="-20"/>
    <n v="120"/>
  </r>
  <r>
    <x v="15"/>
    <s v="conventional_refinance_pct_purchase_-17"/>
    <x v="23"/>
    <n v="1"/>
    <n v="1"/>
    <n v="-20"/>
    <n v="120"/>
  </r>
  <r>
    <x v="15"/>
    <s v="conventional_refinance_pct_purchase_-16"/>
    <x v="24"/>
    <n v="1"/>
    <n v="1"/>
    <n v="-20"/>
    <n v="120"/>
  </r>
  <r>
    <x v="15"/>
    <s v="conventional_refinance_pct_purchase_-15"/>
    <x v="25"/>
    <n v="1"/>
    <n v="1"/>
    <n v="-20"/>
    <n v="120"/>
  </r>
  <r>
    <x v="15"/>
    <s v="conventional_refinance_pct_purchase_-14"/>
    <x v="26"/>
    <n v="1"/>
    <n v="1"/>
    <n v="-20"/>
    <n v="120"/>
  </r>
  <r>
    <x v="15"/>
    <s v="conventional_refinance_pct_purchase_-13"/>
    <x v="27"/>
    <n v="1"/>
    <n v="1"/>
    <n v="-20"/>
    <n v="120"/>
  </r>
  <r>
    <x v="15"/>
    <s v="conventional_refinance_pct_purchase_-12"/>
    <x v="28"/>
    <n v="1"/>
    <n v="1"/>
    <n v="-20"/>
    <n v="120"/>
  </r>
  <r>
    <x v="15"/>
    <s v="conventional_refinance_pct_purchase_-11"/>
    <x v="29"/>
    <n v="1"/>
    <n v="1"/>
    <n v="-20"/>
    <n v="120"/>
  </r>
  <r>
    <x v="15"/>
    <s v="conventional_refinance_pct_purchase_-10"/>
    <x v="30"/>
    <n v="1"/>
    <n v="1"/>
    <n v="-20"/>
    <n v="120"/>
  </r>
  <r>
    <x v="15"/>
    <s v="conventional_refinance_pct_purchase_-9"/>
    <x v="31"/>
    <n v="1"/>
    <n v="1"/>
    <n v="-20"/>
    <n v="120"/>
  </r>
  <r>
    <x v="15"/>
    <s v="conventional_refinance_pct_purchase_-8"/>
    <x v="32"/>
    <n v="1"/>
    <n v="1"/>
    <n v="-20"/>
    <n v="120"/>
  </r>
  <r>
    <x v="15"/>
    <s v="conventional_refinance_pct_purchase_-7"/>
    <x v="33"/>
    <n v="1"/>
    <n v="1"/>
    <n v="-20"/>
    <n v="120"/>
  </r>
  <r>
    <x v="15"/>
    <s v="conventional_refinance_pct_purchase_-6"/>
    <x v="34"/>
    <n v="1"/>
    <n v="1"/>
    <n v="-20"/>
    <n v="120"/>
  </r>
  <r>
    <x v="15"/>
    <s v="conventional_refinance_pct_purchase_-5"/>
    <x v="35"/>
    <n v="1"/>
    <n v="1"/>
    <n v="-20"/>
    <n v="120"/>
  </r>
  <r>
    <x v="15"/>
    <s v="conventional_refinance_pct_purchase_-4"/>
    <x v="36"/>
    <n v="1"/>
    <n v="1"/>
    <n v="-20"/>
    <n v="120"/>
  </r>
  <r>
    <x v="15"/>
    <s v="conventional_refinance_pct_purchase_-3"/>
    <x v="37"/>
    <n v="1"/>
    <n v="1"/>
    <n v="-20"/>
    <n v="120"/>
  </r>
  <r>
    <x v="15"/>
    <s v="conventional_refinance_pct_purchase_-2"/>
    <x v="38"/>
    <n v="1"/>
    <n v="1"/>
    <n v="-20"/>
    <n v="120"/>
  </r>
  <r>
    <x v="15"/>
    <s v="conventional_refinance_pct_purchase_-1"/>
    <x v="39"/>
    <n v="1"/>
    <n v="1"/>
    <n v="-20"/>
    <n v="120"/>
  </r>
  <r>
    <x v="15"/>
    <s v="conventional_refinance_pct_purchase_0"/>
    <x v="40"/>
    <n v="1"/>
    <n v="1"/>
    <n v="-20"/>
    <n v="120"/>
  </r>
  <r>
    <x v="15"/>
    <s v="conventional_refinance_pct_purchase_1"/>
    <x v="41"/>
    <n v="1"/>
    <n v="1"/>
    <n v="-20"/>
    <n v="120"/>
  </r>
  <r>
    <x v="15"/>
    <s v="conventional_refinance_pct_purchase_2"/>
    <x v="42"/>
    <n v="1"/>
    <n v="1"/>
    <n v="-20"/>
    <n v="120"/>
  </r>
  <r>
    <x v="15"/>
    <s v="conventional_refinance_pct_purchase_3"/>
    <x v="43"/>
    <n v="1"/>
    <n v="1"/>
    <n v="-20"/>
    <n v="120"/>
  </r>
  <r>
    <x v="15"/>
    <s v="conventional_refinance_pct_purchase_4"/>
    <x v="44"/>
    <n v="1"/>
    <n v="1"/>
    <n v="-20"/>
    <n v="120"/>
  </r>
  <r>
    <x v="15"/>
    <s v="conventional_refinance_pct_purchase_5"/>
    <x v="45"/>
    <n v="1"/>
    <n v="1"/>
    <n v="-20"/>
    <n v="120"/>
  </r>
  <r>
    <x v="15"/>
    <s v="conventional_refinance_pct_purchase_6"/>
    <x v="46"/>
    <n v="1"/>
    <n v="1"/>
    <n v="-20"/>
    <n v="120"/>
  </r>
  <r>
    <x v="15"/>
    <s v="conventional_refinance_pct_purchase_7"/>
    <x v="47"/>
    <n v="1"/>
    <n v="1"/>
    <n v="-20"/>
    <n v="120"/>
  </r>
  <r>
    <x v="15"/>
    <s v="conventional_refinance_pct_purchase_8"/>
    <x v="48"/>
    <n v="1"/>
    <n v="1"/>
    <n v="-20"/>
    <n v="120"/>
  </r>
  <r>
    <x v="15"/>
    <s v="conventional_refinance_pct_purchase_9"/>
    <x v="49"/>
    <n v="1"/>
    <n v="1"/>
    <n v="-20"/>
    <n v="120"/>
  </r>
  <r>
    <x v="15"/>
    <s v="conventional_refinance_pct_purchase_10"/>
    <x v="50"/>
    <n v="1"/>
    <n v="1"/>
    <n v="-20"/>
    <n v="120"/>
  </r>
  <r>
    <x v="15"/>
    <s v="conventional_refinance_pct_purchase_11"/>
    <x v="51"/>
    <n v="1"/>
    <n v="1"/>
    <n v="-20"/>
    <n v="120"/>
  </r>
  <r>
    <x v="15"/>
    <s v="conventional_refinance_pct_purchase_12"/>
    <x v="52"/>
    <n v="1"/>
    <n v="1"/>
    <n v="-20"/>
    <n v="120"/>
  </r>
  <r>
    <x v="15"/>
    <s v="conventional_refinance_pct_purchase_13"/>
    <x v="53"/>
    <n v="1"/>
    <n v="1"/>
    <n v="-20"/>
    <n v="120"/>
  </r>
  <r>
    <x v="15"/>
    <s v="conventional_refinance_pct_purchase_14"/>
    <x v="54"/>
    <n v="1"/>
    <n v="1"/>
    <n v="-20"/>
    <n v="120"/>
  </r>
  <r>
    <x v="15"/>
    <s v="conventional_refinance_pct_purchase_15"/>
    <x v="55"/>
    <n v="1"/>
    <n v="1"/>
    <n v="-20"/>
    <n v="120"/>
  </r>
  <r>
    <x v="15"/>
    <s v="conventional_refinance_pct_purchase_16"/>
    <x v="56"/>
    <n v="1"/>
    <n v="1"/>
    <n v="-20"/>
    <n v="120"/>
  </r>
  <r>
    <x v="15"/>
    <s v="conventional_refinance_pct_purchase_17"/>
    <x v="57"/>
    <n v="1"/>
    <n v="1"/>
    <n v="-20"/>
    <n v="120"/>
  </r>
  <r>
    <x v="15"/>
    <s v="conventional_refinance_pct_purchase_18"/>
    <x v="58"/>
    <n v="1"/>
    <n v="1"/>
    <n v="-20"/>
    <n v="120"/>
  </r>
  <r>
    <x v="15"/>
    <s v="conventional_refinance_pct_purchase_19"/>
    <x v="59"/>
    <n v="1"/>
    <n v="1"/>
    <n v="-20"/>
    <n v="120"/>
  </r>
  <r>
    <x v="15"/>
    <s v="conventional_refinance_pct_purchase_20"/>
    <x v="60"/>
    <n v="1"/>
    <n v="1"/>
    <n v="-20"/>
    <n v="120"/>
  </r>
  <r>
    <x v="15"/>
    <s v="conventional_refinance_pct_purchase_21"/>
    <x v="61"/>
    <n v="1"/>
    <n v="1"/>
    <n v="-20"/>
    <n v="120"/>
  </r>
  <r>
    <x v="15"/>
    <s v="conventional_refinance_pct_purchase_22"/>
    <x v="62"/>
    <n v="1"/>
    <n v="1"/>
    <n v="-20"/>
    <n v="120"/>
  </r>
  <r>
    <x v="15"/>
    <s v="conventional_refinance_pct_purchase_23"/>
    <x v="63"/>
    <n v="1"/>
    <n v="1"/>
    <n v="-20"/>
    <n v="120"/>
  </r>
  <r>
    <x v="15"/>
    <s v="conventional_refinance_pct_purchase_24"/>
    <x v="64"/>
    <n v="1"/>
    <n v="1"/>
    <n v="-20"/>
    <n v="120"/>
  </r>
  <r>
    <x v="15"/>
    <s v="conventional_refinance_pct_purchase_25"/>
    <x v="65"/>
    <n v="1"/>
    <n v="1"/>
    <n v="-20"/>
    <n v="120"/>
  </r>
  <r>
    <x v="15"/>
    <s v="conventional_refinance_pct_purchase_26"/>
    <x v="66"/>
    <n v="1"/>
    <n v="1"/>
    <n v="-20"/>
    <n v="120"/>
  </r>
  <r>
    <x v="15"/>
    <s v="conventional_refinance_pct_purchase_27"/>
    <x v="67"/>
    <n v="1"/>
    <n v="1"/>
    <n v="-20"/>
    <n v="120"/>
  </r>
  <r>
    <x v="15"/>
    <s v="conventional_refinance_pct_purchase_28"/>
    <x v="68"/>
    <n v="1"/>
    <n v="1"/>
    <n v="-20"/>
    <n v="120"/>
  </r>
  <r>
    <x v="15"/>
    <s v="conventional_refinance_pct_purchase_29"/>
    <x v="69"/>
    <n v="1"/>
    <n v="1"/>
    <n v="-20"/>
    <n v="120"/>
  </r>
  <r>
    <x v="15"/>
    <s v="conventional_refinance_pct_purchase_30"/>
    <x v="70"/>
    <n v="1"/>
    <n v="1"/>
    <n v="-20"/>
    <n v="120"/>
  </r>
  <r>
    <x v="15"/>
    <s v="conventional_refinance_pct_purchase_31"/>
    <x v="71"/>
    <n v="1"/>
    <n v="1"/>
    <n v="-20"/>
    <n v="120"/>
  </r>
  <r>
    <x v="15"/>
    <s v="conventional_refinance_pct_purchase_32"/>
    <x v="72"/>
    <n v="1"/>
    <n v="1"/>
    <n v="-20"/>
    <n v="120"/>
  </r>
  <r>
    <x v="15"/>
    <s v="conventional_refinance_pct_purchase_33"/>
    <x v="73"/>
    <n v="1"/>
    <n v="1"/>
    <n v="-20"/>
    <n v="120"/>
  </r>
  <r>
    <x v="15"/>
    <s v="conventional_refinance_pct_purchase_34"/>
    <x v="74"/>
    <n v="1"/>
    <n v="1"/>
    <n v="-20"/>
    <n v="120"/>
  </r>
  <r>
    <x v="15"/>
    <s v="conventional_refinance_pct_purchase_35"/>
    <x v="75"/>
    <n v="1"/>
    <n v="1"/>
    <n v="-20"/>
    <n v="120"/>
  </r>
  <r>
    <x v="15"/>
    <s v="conventional_refinance_pct_purchase_36"/>
    <x v="76"/>
    <n v="1"/>
    <n v="1"/>
    <n v="-20"/>
    <n v="120"/>
  </r>
  <r>
    <x v="15"/>
    <s v="conventional_refinance_pct_purchase_37"/>
    <x v="77"/>
    <n v="1"/>
    <n v="1"/>
    <n v="-20"/>
    <n v="120"/>
  </r>
  <r>
    <x v="15"/>
    <s v="conventional_refinance_pct_purchase_38"/>
    <x v="78"/>
    <n v="1"/>
    <n v="1"/>
    <n v="-20"/>
    <n v="120"/>
  </r>
  <r>
    <x v="15"/>
    <s v="conventional_refinance_pct_purchase_39"/>
    <x v="79"/>
    <n v="1"/>
    <n v="1"/>
    <n v="-20"/>
    <n v="120"/>
  </r>
  <r>
    <x v="15"/>
    <s v="conventional_refinance_pct_purchase_40"/>
    <x v="80"/>
    <n v="1"/>
    <n v="1"/>
    <n v="-20"/>
    <n v="120"/>
  </r>
  <r>
    <x v="15"/>
    <s v="conventional_refinance_pct_purchase_41"/>
    <x v="81"/>
    <n v="1"/>
    <n v="1"/>
    <n v="-20"/>
    <n v="120"/>
  </r>
  <r>
    <x v="15"/>
    <s v="conventional_refinance_pct_purchase_42"/>
    <x v="82"/>
    <n v="1"/>
    <n v="1"/>
    <n v="-20"/>
    <n v="120"/>
  </r>
  <r>
    <x v="15"/>
    <s v="conventional_refinance_pct_purchase_43"/>
    <x v="83"/>
    <n v="1"/>
    <n v="1"/>
    <n v="-20"/>
    <n v="120"/>
  </r>
  <r>
    <x v="15"/>
    <s v="conventional_refinance_pct_purchase_44"/>
    <x v="84"/>
    <n v="1"/>
    <n v="1"/>
    <n v="-20"/>
    <n v="120"/>
  </r>
  <r>
    <x v="15"/>
    <s v="conventional_refinance_pct_purchase_45"/>
    <x v="85"/>
    <n v="1"/>
    <n v="1"/>
    <n v="-20"/>
    <n v="120"/>
  </r>
  <r>
    <x v="15"/>
    <s v="conventional_refinance_pct_purchase_46"/>
    <x v="86"/>
    <n v="1"/>
    <n v="1"/>
    <n v="-20"/>
    <n v="120"/>
  </r>
  <r>
    <x v="15"/>
    <s v="conventional_refinance_pct_purchase_47"/>
    <x v="87"/>
    <n v="1"/>
    <n v="1"/>
    <n v="-20"/>
    <n v="120"/>
  </r>
  <r>
    <x v="15"/>
    <s v="conventional_refinance_pct_purchase_48"/>
    <x v="88"/>
    <n v="1"/>
    <n v="1"/>
    <n v="-20"/>
    <n v="120"/>
  </r>
  <r>
    <x v="15"/>
    <s v="conventional_refinance_pct_purchase_49"/>
    <x v="89"/>
    <n v="1"/>
    <n v="1"/>
    <n v="-20"/>
    <n v="120"/>
  </r>
  <r>
    <x v="15"/>
    <s v="conventional_refinance_pct_purchase_50"/>
    <x v="90"/>
    <n v="1"/>
    <n v="1"/>
    <n v="-20"/>
    <n v="120"/>
  </r>
  <r>
    <x v="15"/>
    <s v="conventional_refinance_pct_purchase_51"/>
    <x v="91"/>
    <n v="1"/>
    <n v="1"/>
    <n v="-20"/>
    <n v="120"/>
  </r>
  <r>
    <x v="15"/>
    <s v="conventional_refinance_pct_purchase_52"/>
    <x v="92"/>
    <n v="1"/>
    <n v="1"/>
    <n v="-20"/>
    <n v="120"/>
  </r>
  <r>
    <x v="15"/>
    <s v="conventional_refinance_pct_purchase_53"/>
    <x v="93"/>
    <n v="1"/>
    <n v="1"/>
    <n v="-20"/>
    <n v="120"/>
  </r>
  <r>
    <x v="15"/>
    <s v="conventional_refinance_pct_purchase_54"/>
    <x v="94"/>
    <n v="1"/>
    <n v="1"/>
    <n v="-20"/>
    <n v="120"/>
  </r>
  <r>
    <x v="15"/>
    <s v="conventional_refinance_pct_purchase_55"/>
    <x v="95"/>
    <n v="1"/>
    <n v="1"/>
    <n v="-20"/>
    <n v="120"/>
  </r>
  <r>
    <x v="15"/>
    <s v="conventional_refinance_pct_purchase_56"/>
    <x v="96"/>
    <n v="1"/>
    <n v="1"/>
    <n v="-20"/>
    <n v="120"/>
  </r>
  <r>
    <x v="15"/>
    <s v="conventional_refinance_pct_purchase_57"/>
    <x v="97"/>
    <n v="1"/>
    <n v="1"/>
    <n v="-20"/>
    <n v="120"/>
  </r>
  <r>
    <x v="15"/>
    <s v="conventional_refinance_pct_purchase_58"/>
    <x v="98"/>
    <n v="1"/>
    <n v="1"/>
    <n v="-20"/>
    <n v="120"/>
  </r>
  <r>
    <x v="15"/>
    <s v="conventional_refinance_pct_purchase_59"/>
    <x v="99"/>
    <n v="1"/>
    <n v="1"/>
    <n v="-20"/>
    <n v="120"/>
  </r>
  <r>
    <x v="15"/>
    <s v="conventional_refinance_pct_purchase_60"/>
    <x v="100"/>
    <n v="1"/>
    <n v="1"/>
    <n v="-20"/>
    <n v="120"/>
  </r>
  <r>
    <x v="15"/>
    <s v="conventional_refinance_pct_purchase_61"/>
    <x v="101"/>
    <n v="1"/>
    <n v="1"/>
    <n v="-20"/>
    <n v="120"/>
  </r>
  <r>
    <x v="15"/>
    <s v="conventional_refinance_pct_purchase_62"/>
    <x v="102"/>
    <n v="1"/>
    <n v="1"/>
    <n v="-20"/>
    <n v="120"/>
  </r>
  <r>
    <x v="15"/>
    <s v="conventional_refinance_pct_purchase_63"/>
    <x v="103"/>
    <n v="1"/>
    <n v="1"/>
    <n v="-20"/>
    <n v="120"/>
  </r>
  <r>
    <x v="15"/>
    <s v="conventional_refinance_pct_purchase_64"/>
    <x v="104"/>
    <n v="1"/>
    <n v="1"/>
    <n v="-20"/>
    <n v="120"/>
  </r>
  <r>
    <x v="15"/>
    <s v="conventional_refinance_pct_purchase_65"/>
    <x v="105"/>
    <n v="1"/>
    <n v="1"/>
    <n v="-20"/>
    <n v="120"/>
  </r>
  <r>
    <x v="15"/>
    <s v="conventional_refinance_pct_purchase_66"/>
    <x v="106"/>
    <n v="1"/>
    <n v="1"/>
    <n v="-20"/>
    <n v="120"/>
  </r>
  <r>
    <x v="15"/>
    <s v="conventional_refinance_pct_purchase_67"/>
    <x v="107"/>
    <n v="1"/>
    <n v="1"/>
    <n v="-20"/>
    <n v="120"/>
  </r>
  <r>
    <x v="15"/>
    <s v="conventional_refinance_pct_purchase_68"/>
    <x v="108"/>
    <n v="1"/>
    <n v="1"/>
    <n v="-20"/>
    <n v="120"/>
  </r>
  <r>
    <x v="15"/>
    <s v="conventional_refinance_pct_purchase_69"/>
    <x v="109"/>
    <n v="1"/>
    <n v="1"/>
    <n v="-20"/>
    <n v="120"/>
  </r>
  <r>
    <x v="15"/>
    <s v="conventional_refinance_pct_purchase_70"/>
    <x v="110"/>
    <n v="1"/>
    <n v="1"/>
    <n v="-20"/>
    <n v="120"/>
  </r>
  <r>
    <x v="15"/>
    <s v="conventional_refinance_pct_purchase_71"/>
    <x v="111"/>
    <n v="1"/>
    <n v="1"/>
    <n v="-20"/>
    <n v="120"/>
  </r>
  <r>
    <x v="15"/>
    <s v="conventional_refinance_pct_purchase_72"/>
    <x v="112"/>
    <n v="1"/>
    <n v="1"/>
    <n v="-20"/>
    <n v="120"/>
  </r>
  <r>
    <x v="15"/>
    <s v="conventional_refinance_pct_purchase_73"/>
    <x v="113"/>
    <n v="1"/>
    <n v="1"/>
    <n v="-20"/>
    <n v="120"/>
  </r>
  <r>
    <x v="15"/>
    <s v="conventional_refinance_pct_purchase_74"/>
    <x v="114"/>
    <n v="1"/>
    <n v="1"/>
    <n v="-20"/>
    <n v="120"/>
  </r>
  <r>
    <x v="15"/>
    <s v="conventional_refinance_pct_purchase_75"/>
    <x v="115"/>
    <n v="1"/>
    <n v="1"/>
    <n v="-20"/>
    <n v="120"/>
  </r>
  <r>
    <x v="15"/>
    <s v="conventional_refinance_pct_purchase_76"/>
    <x v="116"/>
    <n v="1"/>
    <n v="1"/>
    <n v="-20"/>
    <n v="120"/>
  </r>
  <r>
    <x v="15"/>
    <s v="conventional_refinance_pct_purchase_77"/>
    <x v="117"/>
    <n v="1"/>
    <n v="1"/>
    <n v="-20"/>
    <n v="120"/>
  </r>
  <r>
    <x v="15"/>
    <s v="conventional_refinance_pct_purchase_78"/>
    <x v="118"/>
    <n v="1"/>
    <n v="1"/>
    <n v="-20"/>
    <n v="120"/>
  </r>
  <r>
    <x v="15"/>
    <s v="conventional_refinance_pct_purchase_79"/>
    <x v="119"/>
    <n v="1"/>
    <n v="1"/>
    <n v="-20"/>
    <n v="120"/>
  </r>
  <r>
    <x v="15"/>
    <s v="conventional_refinance_pct_purchase_80"/>
    <x v="120"/>
    <n v="1"/>
    <n v="1"/>
    <n v="-20"/>
    <n v="120"/>
  </r>
  <r>
    <x v="15"/>
    <s v="conventional_refinance_pct_purchase_81"/>
    <x v="121"/>
    <n v="1"/>
    <n v="1"/>
    <n v="-20"/>
    <n v="120"/>
  </r>
  <r>
    <x v="15"/>
    <s v="conventional_refinance_pct_purchase_82"/>
    <x v="122"/>
    <n v="1"/>
    <n v="1"/>
    <n v="-20"/>
    <n v="120"/>
  </r>
  <r>
    <x v="15"/>
    <s v="conventional_refinance_pct_purchase_83"/>
    <x v="123"/>
    <n v="1"/>
    <n v="1"/>
    <n v="-20"/>
    <n v="120"/>
  </r>
  <r>
    <x v="15"/>
    <s v="conventional_refinance_pct_purchase_84"/>
    <x v="124"/>
    <n v="1"/>
    <n v="1"/>
    <n v="-20"/>
    <n v="120"/>
  </r>
  <r>
    <x v="15"/>
    <s v="conventional_refinance_pct_purchase_85"/>
    <x v="125"/>
    <n v="1"/>
    <n v="1"/>
    <n v="-20"/>
    <n v="120"/>
  </r>
  <r>
    <x v="15"/>
    <s v="conventional_refinance_pct_purchase_86"/>
    <x v="126"/>
    <n v="1"/>
    <n v="1"/>
    <n v="-20"/>
    <n v="120"/>
  </r>
  <r>
    <x v="15"/>
    <s v="conventional_refinance_pct_purchase_87"/>
    <x v="127"/>
    <n v="1"/>
    <n v="1"/>
    <n v="-20"/>
    <n v="120"/>
  </r>
  <r>
    <x v="15"/>
    <s v="conventional_refinance_pct_purchase_88"/>
    <x v="128"/>
    <n v="1"/>
    <n v="1"/>
    <n v="-20"/>
    <n v="120"/>
  </r>
  <r>
    <x v="15"/>
    <s v="conventional_refinance_pct_purchase_89"/>
    <x v="129"/>
    <n v="1"/>
    <n v="1"/>
    <n v="-20"/>
    <n v="120"/>
  </r>
  <r>
    <x v="15"/>
    <s v="conventional_refinance_pct_purchase_90"/>
    <x v="130"/>
    <n v="1"/>
    <n v="1"/>
    <n v="-20"/>
    <n v="120"/>
  </r>
  <r>
    <x v="15"/>
    <s v="conventional_refinance_pct_purchase_91"/>
    <x v="131"/>
    <n v="1"/>
    <n v="1"/>
    <n v="-20"/>
    <n v="120"/>
  </r>
  <r>
    <x v="15"/>
    <s v="conventional_refinance_pct_purchase_92"/>
    <x v="132"/>
    <n v="1"/>
    <n v="1"/>
    <n v="-20"/>
    <n v="120"/>
  </r>
  <r>
    <x v="15"/>
    <s v="conventional_refinance_pct_purchase_93"/>
    <x v="133"/>
    <n v="1"/>
    <n v="1"/>
    <n v="-20"/>
    <n v="120"/>
  </r>
  <r>
    <x v="15"/>
    <s v="conventional_refinance_pct_purchase_94"/>
    <x v="134"/>
    <n v="1"/>
    <n v="1"/>
    <n v="-20"/>
    <n v="120"/>
  </r>
  <r>
    <x v="15"/>
    <s v="conventional_refinance_pct_purchase_95"/>
    <x v="135"/>
    <n v="1"/>
    <n v="1"/>
    <n v="-20"/>
    <n v="120"/>
  </r>
  <r>
    <x v="15"/>
    <s v="conventional_refinance_pct_purchase_96"/>
    <x v="136"/>
    <n v="1"/>
    <n v="1"/>
    <n v="-20"/>
    <n v="120"/>
  </r>
  <r>
    <x v="15"/>
    <s v="conventional_refinance_pct_purchase_97"/>
    <x v="137"/>
    <n v="1"/>
    <n v="1"/>
    <n v="-20"/>
    <n v="120"/>
  </r>
  <r>
    <x v="15"/>
    <s v="conventional_refinance_pct_purchase_98"/>
    <x v="138"/>
    <n v="1"/>
    <n v="1"/>
    <n v="-20"/>
    <n v="120"/>
  </r>
  <r>
    <x v="15"/>
    <s v="conventional_refinance_pct_purchase_99"/>
    <x v="139"/>
    <n v="1"/>
    <n v="1"/>
    <n v="-20"/>
    <n v="120"/>
  </r>
  <r>
    <x v="15"/>
    <s v="conventional_refinance_pct_purchase_100"/>
    <x v="140"/>
    <n v="1"/>
    <n v="1"/>
    <n v="-20"/>
    <n v="120"/>
  </r>
  <r>
    <x v="15"/>
    <s v="conventional_refinance_pct_purchase_101"/>
    <x v="141"/>
    <n v="1"/>
    <n v="1"/>
    <n v="-20"/>
    <n v="120"/>
  </r>
  <r>
    <x v="15"/>
    <s v="conventional_refinance_pct_purchase_102"/>
    <x v="142"/>
    <n v="1"/>
    <n v="1"/>
    <n v="-20"/>
    <n v="120"/>
  </r>
  <r>
    <x v="15"/>
    <s v="conventional_refinance_pct_purchase_103"/>
    <x v="143"/>
    <n v="1"/>
    <n v="1"/>
    <n v="-20"/>
    <n v="120"/>
  </r>
  <r>
    <x v="15"/>
    <s v="conventional_refinance_pct_purchase_104"/>
    <x v="144"/>
    <n v="1"/>
    <n v="1"/>
    <n v="-20"/>
    <n v="120"/>
  </r>
  <r>
    <x v="15"/>
    <s v="conventional_refinance_pct_purchase_105"/>
    <x v="145"/>
    <n v="1"/>
    <n v="1"/>
    <n v="-20"/>
    <n v="120"/>
  </r>
  <r>
    <x v="15"/>
    <s v="conventional_refinance_pct_purchase_106"/>
    <x v="146"/>
    <n v="1"/>
    <n v="1"/>
    <n v="-20"/>
    <n v="120"/>
  </r>
  <r>
    <x v="15"/>
    <s v="conventional_refinance_pct_purchase_107"/>
    <x v="147"/>
    <n v="1"/>
    <n v="1"/>
    <n v="-20"/>
    <n v="120"/>
  </r>
  <r>
    <x v="15"/>
    <s v="conventional_refinance_pct_purchase_108"/>
    <x v="148"/>
    <n v="1"/>
    <n v="1"/>
    <n v="-20"/>
    <n v="120"/>
  </r>
  <r>
    <x v="15"/>
    <s v="conventional_refinance_pct_purchase_109"/>
    <x v="149"/>
    <n v="1"/>
    <n v="1"/>
    <n v="-20"/>
    <n v="120"/>
  </r>
  <r>
    <x v="15"/>
    <s v="conventional_refinance_pct_purchase_110"/>
    <x v="150"/>
    <n v="1"/>
    <n v="1"/>
    <n v="-20"/>
    <n v="120"/>
  </r>
  <r>
    <x v="15"/>
    <s v="conventional_refinance_pct_purchase_111"/>
    <x v="151"/>
    <n v="1"/>
    <n v="1"/>
    <n v="-20"/>
    <n v="120"/>
  </r>
  <r>
    <x v="15"/>
    <s v="conventional_refinance_pct_purchase_112"/>
    <x v="152"/>
    <n v="1"/>
    <n v="1"/>
    <n v="-20"/>
    <n v="120"/>
  </r>
  <r>
    <x v="15"/>
    <s v="conventional_refinance_pct_purchase_113"/>
    <x v="153"/>
    <n v="1"/>
    <n v="1"/>
    <n v="-20"/>
    <n v="120"/>
  </r>
  <r>
    <x v="15"/>
    <s v="conventional_refinance_pct_purchase_114"/>
    <x v="154"/>
    <n v="1"/>
    <n v="1"/>
    <n v="-20"/>
    <n v="120"/>
  </r>
  <r>
    <x v="15"/>
    <s v="conventional_refinance_pct_purchase_115"/>
    <x v="155"/>
    <n v="1"/>
    <n v="1"/>
    <n v="-20"/>
    <n v="120"/>
  </r>
  <r>
    <x v="15"/>
    <s v="conventional_refinance_pct_purchase_116"/>
    <x v="156"/>
    <n v="1"/>
    <n v="1"/>
    <n v="-20"/>
    <n v="120"/>
  </r>
  <r>
    <x v="15"/>
    <s v="conventional_refinance_pct_purchase_117"/>
    <x v="157"/>
    <n v="1"/>
    <n v="1"/>
    <n v="-20"/>
    <n v="120"/>
  </r>
  <r>
    <x v="15"/>
    <s v="conventional_refinance_pct_purchase_118"/>
    <x v="158"/>
    <n v="1"/>
    <n v="1"/>
    <n v="-20"/>
    <n v="120"/>
  </r>
  <r>
    <x v="15"/>
    <s v="conventional_refinance_pct_purchase_119"/>
    <x v="159"/>
    <n v="1"/>
    <n v="1"/>
    <n v="-20"/>
    <n v="120"/>
  </r>
  <r>
    <x v="15"/>
    <s v="conventional_refinance_pct_purchase_120"/>
    <x v="160"/>
    <n v="1"/>
    <n v="1"/>
    <n v="-20"/>
    <n v="120"/>
  </r>
  <r>
    <x v="16"/>
    <s v="conventional_refinance_pct_dq_-20"/>
    <x v="20"/>
    <n v="1"/>
    <n v="1"/>
    <n v="-20"/>
    <n v="120"/>
  </r>
  <r>
    <x v="16"/>
    <s v="conventional_refinance_pct_dq_-19"/>
    <x v="21"/>
    <n v="1"/>
    <n v="1"/>
    <n v="-20"/>
    <n v="120"/>
  </r>
  <r>
    <x v="16"/>
    <s v="conventional_refinance_pct_dq_-18"/>
    <x v="22"/>
    <n v="1"/>
    <n v="1"/>
    <n v="-20"/>
    <n v="120"/>
  </r>
  <r>
    <x v="16"/>
    <s v="conventional_refinance_pct_dq_-17"/>
    <x v="23"/>
    <n v="1"/>
    <n v="1"/>
    <n v="-20"/>
    <n v="120"/>
  </r>
  <r>
    <x v="16"/>
    <s v="conventional_refinance_pct_dq_-16"/>
    <x v="24"/>
    <n v="1"/>
    <n v="1"/>
    <n v="-20"/>
    <n v="120"/>
  </r>
  <r>
    <x v="16"/>
    <s v="conventional_refinance_pct_dq_-15"/>
    <x v="25"/>
    <n v="1"/>
    <n v="1"/>
    <n v="-20"/>
    <n v="120"/>
  </r>
  <r>
    <x v="16"/>
    <s v="conventional_refinance_pct_dq_-14"/>
    <x v="26"/>
    <n v="1"/>
    <n v="1"/>
    <n v="-20"/>
    <n v="120"/>
  </r>
  <r>
    <x v="16"/>
    <s v="conventional_refinance_pct_dq_-13"/>
    <x v="27"/>
    <n v="1"/>
    <n v="1"/>
    <n v="-20"/>
    <n v="120"/>
  </r>
  <r>
    <x v="16"/>
    <s v="conventional_refinance_pct_dq_-12"/>
    <x v="28"/>
    <n v="1"/>
    <n v="1"/>
    <n v="-20"/>
    <n v="120"/>
  </r>
  <r>
    <x v="16"/>
    <s v="conventional_refinance_pct_dq_-11"/>
    <x v="29"/>
    <n v="1"/>
    <n v="1"/>
    <n v="-20"/>
    <n v="120"/>
  </r>
  <r>
    <x v="16"/>
    <s v="conventional_refinance_pct_dq_-10"/>
    <x v="30"/>
    <n v="1"/>
    <n v="1"/>
    <n v="-20"/>
    <n v="120"/>
  </r>
  <r>
    <x v="16"/>
    <s v="conventional_refinance_pct_dq_-9"/>
    <x v="31"/>
    <n v="1"/>
    <n v="1"/>
    <n v="-20"/>
    <n v="120"/>
  </r>
  <r>
    <x v="16"/>
    <s v="conventional_refinance_pct_dq_-8"/>
    <x v="32"/>
    <n v="1"/>
    <n v="1"/>
    <n v="-20"/>
    <n v="120"/>
  </r>
  <r>
    <x v="16"/>
    <s v="conventional_refinance_pct_dq_-7"/>
    <x v="33"/>
    <n v="1"/>
    <n v="1"/>
    <n v="-20"/>
    <n v="120"/>
  </r>
  <r>
    <x v="16"/>
    <s v="conventional_refinance_pct_dq_-6"/>
    <x v="34"/>
    <n v="1"/>
    <n v="1"/>
    <n v="-20"/>
    <n v="120"/>
  </r>
  <r>
    <x v="16"/>
    <s v="conventional_refinance_pct_dq_-5"/>
    <x v="35"/>
    <n v="1"/>
    <n v="1"/>
    <n v="-20"/>
    <n v="120"/>
  </r>
  <r>
    <x v="16"/>
    <s v="conventional_refinance_pct_dq_-4"/>
    <x v="36"/>
    <n v="1"/>
    <n v="1"/>
    <n v="-20"/>
    <n v="120"/>
  </r>
  <r>
    <x v="16"/>
    <s v="conventional_refinance_pct_dq_-3"/>
    <x v="37"/>
    <n v="1"/>
    <n v="1"/>
    <n v="-20"/>
    <n v="120"/>
  </r>
  <r>
    <x v="16"/>
    <s v="conventional_refinance_pct_dq_-2"/>
    <x v="38"/>
    <n v="1"/>
    <n v="1"/>
    <n v="-20"/>
    <n v="120"/>
  </r>
  <r>
    <x v="16"/>
    <s v="conventional_refinance_pct_dq_-1"/>
    <x v="39"/>
    <n v="1"/>
    <n v="1"/>
    <n v="-20"/>
    <n v="120"/>
  </r>
  <r>
    <x v="16"/>
    <s v="conventional_refinance_pct_dq_0"/>
    <x v="40"/>
    <n v="1"/>
    <n v="1"/>
    <n v="-20"/>
    <n v="120"/>
  </r>
  <r>
    <x v="16"/>
    <s v="conventional_refinance_pct_dq_1"/>
    <x v="41"/>
    <n v="1"/>
    <n v="1"/>
    <n v="-20"/>
    <n v="120"/>
  </r>
  <r>
    <x v="16"/>
    <s v="conventional_refinance_pct_dq_2"/>
    <x v="42"/>
    <n v="1"/>
    <n v="1"/>
    <n v="-20"/>
    <n v="120"/>
  </r>
  <r>
    <x v="16"/>
    <s v="conventional_refinance_pct_dq_3"/>
    <x v="43"/>
    <n v="1"/>
    <n v="1"/>
    <n v="-20"/>
    <n v="120"/>
  </r>
  <r>
    <x v="16"/>
    <s v="conventional_refinance_pct_dq_4"/>
    <x v="44"/>
    <n v="1"/>
    <n v="1"/>
    <n v="-20"/>
    <n v="120"/>
  </r>
  <r>
    <x v="16"/>
    <s v="conventional_refinance_pct_dq_5"/>
    <x v="45"/>
    <n v="1"/>
    <n v="1"/>
    <n v="-20"/>
    <n v="120"/>
  </r>
  <r>
    <x v="16"/>
    <s v="conventional_refinance_pct_dq_6"/>
    <x v="46"/>
    <n v="1"/>
    <n v="1"/>
    <n v="-20"/>
    <n v="120"/>
  </r>
  <r>
    <x v="16"/>
    <s v="conventional_refinance_pct_dq_7"/>
    <x v="47"/>
    <n v="1"/>
    <n v="1"/>
    <n v="-20"/>
    <n v="120"/>
  </r>
  <r>
    <x v="16"/>
    <s v="conventional_refinance_pct_dq_8"/>
    <x v="48"/>
    <n v="1"/>
    <n v="1"/>
    <n v="-20"/>
    <n v="120"/>
  </r>
  <r>
    <x v="16"/>
    <s v="conventional_refinance_pct_dq_9"/>
    <x v="49"/>
    <n v="1"/>
    <n v="1"/>
    <n v="-20"/>
    <n v="120"/>
  </r>
  <r>
    <x v="16"/>
    <s v="conventional_refinance_pct_dq_10"/>
    <x v="50"/>
    <n v="1"/>
    <n v="1"/>
    <n v="-20"/>
    <n v="120"/>
  </r>
  <r>
    <x v="16"/>
    <s v="conventional_refinance_pct_dq_11"/>
    <x v="51"/>
    <n v="1"/>
    <n v="1"/>
    <n v="-20"/>
    <n v="120"/>
  </r>
  <r>
    <x v="16"/>
    <s v="conventional_refinance_pct_dq_12"/>
    <x v="52"/>
    <n v="1"/>
    <n v="1"/>
    <n v="-20"/>
    <n v="120"/>
  </r>
  <r>
    <x v="16"/>
    <s v="conventional_refinance_pct_dq_13"/>
    <x v="53"/>
    <n v="1"/>
    <n v="1"/>
    <n v="-20"/>
    <n v="120"/>
  </r>
  <r>
    <x v="16"/>
    <s v="conventional_refinance_pct_dq_14"/>
    <x v="54"/>
    <n v="1"/>
    <n v="1"/>
    <n v="-20"/>
    <n v="120"/>
  </r>
  <r>
    <x v="16"/>
    <s v="conventional_refinance_pct_dq_15"/>
    <x v="55"/>
    <n v="1"/>
    <n v="1"/>
    <n v="-20"/>
    <n v="120"/>
  </r>
  <r>
    <x v="16"/>
    <s v="conventional_refinance_pct_dq_16"/>
    <x v="56"/>
    <n v="1"/>
    <n v="1"/>
    <n v="-20"/>
    <n v="120"/>
  </r>
  <r>
    <x v="16"/>
    <s v="conventional_refinance_pct_dq_17"/>
    <x v="57"/>
    <n v="1"/>
    <n v="1"/>
    <n v="-20"/>
    <n v="120"/>
  </r>
  <r>
    <x v="16"/>
    <s v="conventional_refinance_pct_dq_18"/>
    <x v="58"/>
    <n v="1"/>
    <n v="1"/>
    <n v="-20"/>
    <n v="120"/>
  </r>
  <r>
    <x v="16"/>
    <s v="conventional_refinance_pct_dq_19"/>
    <x v="59"/>
    <n v="1"/>
    <n v="1"/>
    <n v="-20"/>
    <n v="120"/>
  </r>
  <r>
    <x v="16"/>
    <s v="conventional_refinance_pct_dq_20"/>
    <x v="60"/>
    <n v="1"/>
    <n v="1"/>
    <n v="-20"/>
    <n v="120"/>
  </r>
  <r>
    <x v="16"/>
    <s v="conventional_refinance_pct_dq_21"/>
    <x v="61"/>
    <n v="1"/>
    <n v="1"/>
    <n v="-20"/>
    <n v="120"/>
  </r>
  <r>
    <x v="16"/>
    <s v="conventional_refinance_pct_dq_22"/>
    <x v="62"/>
    <n v="1"/>
    <n v="1"/>
    <n v="-20"/>
    <n v="120"/>
  </r>
  <r>
    <x v="16"/>
    <s v="conventional_refinance_pct_dq_23"/>
    <x v="63"/>
    <n v="1"/>
    <n v="1"/>
    <n v="-20"/>
    <n v="120"/>
  </r>
  <r>
    <x v="16"/>
    <s v="conventional_refinance_pct_dq_24"/>
    <x v="64"/>
    <n v="1"/>
    <n v="1"/>
    <n v="-20"/>
    <n v="120"/>
  </r>
  <r>
    <x v="16"/>
    <s v="conventional_refinance_pct_dq_25"/>
    <x v="65"/>
    <n v="1"/>
    <n v="1"/>
    <n v="-20"/>
    <n v="120"/>
  </r>
  <r>
    <x v="16"/>
    <s v="conventional_refinance_pct_dq_26"/>
    <x v="66"/>
    <n v="1"/>
    <n v="1"/>
    <n v="-20"/>
    <n v="120"/>
  </r>
  <r>
    <x v="16"/>
    <s v="conventional_refinance_pct_dq_27"/>
    <x v="67"/>
    <n v="1"/>
    <n v="1"/>
    <n v="-20"/>
    <n v="120"/>
  </r>
  <r>
    <x v="16"/>
    <s v="conventional_refinance_pct_dq_28"/>
    <x v="68"/>
    <n v="1"/>
    <n v="1"/>
    <n v="-20"/>
    <n v="120"/>
  </r>
  <r>
    <x v="16"/>
    <s v="conventional_refinance_pct_dq_29"/>
    <x v="69"/>
    <n v="1"/>
    <n v="1"/>
    <n v="-20"/>
    <n v="120"/>
  </r>
  <r>
    <x v="16"/>
    <s v="conventional_refinance_pct_dq_30"/>
    <x v="70"/>
    <n v="1"/>
    <n v="1"/>
    <n v="-20"/>
    <n v="120"/>
  </r>
  <r>
    <x v="16"/>
    <s v="conventional_refinance_pct_dq_31"/>
    <x v="71"/>
    <n v="1"/>
    <n v="1"/>
    <n v="-20"/>
    <n v="120"/>
  </r>
  <r>
    <x v="16"/>
    <s v="conventional_refinance_pct_dq_32"/>
    <x v="72"/>
    <n v="1"/>
    <n v="1"/>
    <n v="-20"/>
    <n v="120"/>
  </r>
  <r>
    <x v="16"/>
    <s v="conventional_refinance_pct_dq_33"/>
    <x v="73"/>
    <n v="1"/>
    <n v="1"/>
    <n v="-20"/>
    <n v="120"/>
  </r>
  <r>
    <x v="16"/>
    <s v="conventional_refinance_pct_dq_34"/>
    <x v="74"/>
    <n v="1"/>
    <n v="1"/>
    <n v="-20"/>
    <n v="120"/>
  </r>
  <r>
    <x v="16"/>
    <s v="conventional_refinance_pct_dq_35"/>
    <x v="75"/>
    <n v="1"/>
    <n v="1"/>
    <n v="-20"/>
    <n v="120"/>
  </r>
  <r>
    <x v="16"/>
    <s v="conventional_refinance_pct_dq_36"/>
    <x v="76"/>
    <n v="1"/>
    <n v="1"/>
    <n v="-20"/>
    <n v="120"/>
  </r>
  <r>
    <x v="16"/>
    <s v="conventional_refinance_pct_dq_37"/>
    <x v="77"/>
    <n v="1"/>
    <n v="1"/>
    <n v="-20"/>
    <n v="120"/>
  </r>
  <r>
    <x v="16"/>
    <s v="conventional_refinance_pct_dq_38"/>
    <x v="78"/>
    <n v="1"/>
    <n v="1"/>
    <n v="-20"/>
    <n v="120"/>
  </r>
  <r>
    <x v="16"/>
    <s v="conventional_refinance_pct_dq_39"/>
    <x v="79"/>
    <n v="1"/>
    <n v="1"/>
    <n v="-20"/>
    <n v="120"/>
  </r>
  <r>
    <x v="16"/>
    <s v="conventional_refinance_pct_dq_40"/>
    <x v="80"/>
    <n v="1"/>
    <n v="1"/>
    <n v="-20"/>
    <n v="120"/>
  </r>
  <r>
    <x v="16"/>
    <s v="conventional_refinance_pct_dq_41"/>
    <x v="81"/>
    <n v="1"/>
    <n v="1"/>
    <n v="-20"/>
    <n v="120"/>
  </r>
  <r>
    <x v="16"/>
    <s v="conventional_refinance_pct_dq_42"/>
    <x v="82"/>
    <n v="1"/>
    <n v="1"/>
    <n v="-20"/>
    <n v="120"/>
  </r>
  <r>
    <x v="16"/>
    <s v="conventional_refinance_pct_dq_43"/>
    <x v="83"/>
    <n v="1"/>
    <n v="1"/>
    <n v="-20"/>
    <n v="120"/>
  </r>
  <r>
    <x v="16"/>
    <s v="conventional_refinance_pct_dq_44"/>
    <x v="84"/>
    <n v="1"/>
    <n v="1"/>
    <n v="-20"/>
    <n v="120"/>
  </r>
  <r>
    <x v="16"/>
    <s v="conventional_refinance_pct_dq_45"/>
    <x v="85"/>
    <n v="1"/>
    <n v="1"/>
    <n v="-20"/>
    <n v="120"/>
  </r>
  <r>
    <x v="16"/>
    <s v="conventional_refinance_pct_dq_46"/>
    <x v="86"/>
    <n v="1"/>
    <n v="1"/>
    <n v="-20"/>
    <n v="120"/>
  </r>
  <r>
    <x v="16"/>
    <s v="conventional_refinance_pct_dq_47"/>
    <x v="87"/>
    <n v="1"/>
    <n v="1"/>
    <n v="-20"/>
    <n v="120"/>
  </r>
  <r>
    <x v="16"/>
    <s v="conventional_refinance_pct_dq_48"/>
    <x v="88"/>
    <n v="1"/>
    <n v="1"/>
    <n v="-20"/>
    <n v="120"/>
  </r>
  <r>
    <x v="16"/>
    <s v="conventional_refinance_pct_dq_49"/>
    <x v="89"/>
    <n v="1"/>
    <n v="1"/>
    <n v="-20"/>
    <n v="120"/>
  </r>
  <r>
    <x v="16"/>
    <s v="conventional_refinance_pct_dq_50"/>
    <x v="90"/>
    <n v="1"/>
    <n v="1"/>
    <n v="-20"/>
    <n v="120"/>
  </r>
  <r>
    <x v="16"/>
    <s v="conventional_refinance_pct_dq_51"/>
    <x v="91"/>
    <n v="1"/>
    <n v="1"/>
    <n v="-20"/>
    <n v="120"/>
  </r>
  <r>
    <x v="16"/>
    <s v="conventional_refinance_pct_dq_52"/>
    <x v="92"/>
    <n v="1"/>
    <n v="1"/>
    <n v="-20"/>
    <n v="120"/>
  </r>
  <r>
    <x v="16"/>
    <s v="conventional_refinance_pct_dq_53"/>
    <x v="93"/>
    <n v="1"/>
    <n v="1"/>
    <n v="-20"/>
    <n v="120"/>
  </r>
  <r>
    <x v="16"/>
    <s v="conventional_refinance_pct_dq_54"/>
    <x v="94"/>
    <n v="1"/>
    <n v="1"/>
    <n v="-20"/>
    <n v="120"/>
  </r>
  <r>
    <x v="16"/>
    <s v="conventional_refinance_pct_dq_55"/>
    <x v="95"/>
    <n v="1"/>
    <n v="1"/>
    <n v="-20"/>
    <n v="120"/>
  </r>
  <r>
    <x v="16"/>
    <s v="conventional_refinance_pct_dq_56"/>
    <x v="96"/>
    <n v="1"/>
    <n v="1"/>
    <n v="-20"/>
    <n v="120"/>
  </r>
  <r>
    <x v="16"/>
    <s v="conventional_refinance_pct_dq_57"/>
    <x v="97"/>
    <n v="1"/>
    <n v="1"/>
    <n v="-20"/>
    <n v="120"/>
  </r>
  <r>
    <x v="16"/>
    <s v="conventional_refinance_pct_dq_58"/>
    <x v="98"/>
    <n v="1"/>
    <n v="1"/>
    <n v="-20"/>
    <n v="120"/>
  </r>
  <r>
    <x v="16"/>
    <s v="conventional_refinance_pct_dq_59"/>
    <x v="99"/>
    <n v="1"/>
    <n v="1"/>
    <n v="-20"/>
    <n v="120"/>
  </r>
  <r>
    <x v="16"/>
    <s v="conventional_refinance_pct_dq_60"/>
    <x v="100"/>
    <n v="1"/>
    <n v="1"/>
    <n v="-20"/>
    <n v="120"/>
  </r>
  <r>
    <x v="16"/>
    <s v="conventional_refinance_pct_dq_61"/>
    <x v="101"/>
    <n v="1"/>
    <n v="1"/>
    <n v="-20"/>
    <n v="120"/>
  </r>
  <r>
    <x v="16"/>
    <s v="conventional_refinance_pct_dq_62"/>
    <x v="102"/>
    <n v="1"/>
    <n v="1"/>
    <n v="-20"/>
    <n v="120"/>
  </r>
  <r>
    <x v="16"/>
    <s v="conventional_refinance_pct_dq_63"/>
    <x v="103"/>
    <n v="1"/>
    <n v="1"/>
    <n v="-20"/>
    <n v="120"/>
  </r>
  <r>
    <x v="16"/>
    <s v="conventional_refinance_pct_dq_64"/>
    <x v="104"/>
    <n v="1"/>
    <n v="1"/>
    <n v="-20"/>
    <n v="120"/>
  </r>
  <r>
    <x v="16"/>
    <s v="conventional_refinance_pct_dq_65"/>
    <x v="105"/>
    <n v="1"/>
    <n v="1"/>
    <n v="-20"/>
    <n v="120"/>
  </r>
  <r>
    <x v="16"/>
    <s v="conventional_refinance_pct_dq_66"/>
    <x v="106"/>
    <n v="1"/>
    <n v="1"/>
    <n v="-20"/>
    <n v="120"/>
  </r>
  <r>
    <x v="16"/>
    <s v="conventional_refinance_pct_dq_67"/>
    <x v="107"/>
    <n v="1"/>
    <n v="1"/>
    <n v="-20"/>
    <n v="120"/>
  </r>
  <r>
    <x v="16"/>
    <s v="conventional_refinance_pct_dq_68"/>
    <x v="108"/>
    <n v="1"/>
    <n v="1"/>
    <n v="-20"/>
    <n v="120"/>
  </r>
  <r>
    <x v="16"/>
    <s v="conventional_refinance_pct_dq_69"/>
    <x v="109"/>
    <n v="1"/>
    <n v="1"/>
    <n v="-20"/>
    <n v="120"/>
  </r>
  <r>
    <x v="16"/>
    <s v="conventional_refinance_pct_dq_70"/>
    <x v="110"/>
    <n v="1"/>
    <n v="1"/>
    <n v="-20"/>
    <n v="120"/>
  </r>
  <r>
    <x v="16"/>
    <s v="conventional_refinance_pct_dq_71"/>
    <x v="111"/>
    <n v="1"/>
    <n v="1"/>
    <n v="-20"/>
    <n v="120"/>
  </r>
  <r>
    <x v="16"/>
    <s v="conventional_refinance_pct_dq_72"/>
    <x v="112"/>
    <n v="1"/>
    <n v="1"/>
    <n v="-20"/>
    <n v="120"/>
  </r>
  <r>
    <x v="16"/>
    <s v="conventional_refinance_pct_dq_73"/>
    <x v="113"/>
    <n v="1"/>
    <n v="1"/>
    <n v="-20"/>
    <n v="120"/>
  </r>
  <r>
    <x v="16"/>
    <s v="conventional_refinance_pct_dq_74"/>
    <x v="114"/>
    <n v="1"/>
    <n v="1"/>
    <n v="-20"/>
    <n v="120"/>
  </r>
  <r>
    <x v="16"/>
    <s v="conventional_refinance_pct_dq_75"/>
    <x v="115"/>
    <n v="1"/>
    <n v="1"/>
    <n v="-20"/>
    <n v="120"/>
  </r>
  <r>
    <x v="16"/>
    <s v="conventional_refinance_pct_dq_76"/>
    <x v="116"/>
    <n v="1"/>
    <n v="1"/>
    <n v="-20"/>
    <n v="120"/>
  </r>
  <r>
    <x v="16"/>
    <s v="conventional_refinance_pct_dq_77"/>
    <x v="117"/>
    <n v="1"/>
    <n v="1"/>
    <n v="-20"/>
    <n v="120"/>
  </r>
  <r>
    <x v="16"/>
    <s v="conventional_refinance_pct_dq_78"/>
    <x v="118"/>
    <n v="1"/>
    <n v="1"/>
    <n v="-20"/>
    <n v="120"/>
  </r>
  <r>
    <x v="16"/>
    <s v="conventional_refinance_pct_dq_79"/>
    <x v="119"/>
    <n v="1"/>
    <n v="1"/>
    <n v="-20"/>
    <n v="120"/>
  </r>
  <r>
    <x v="16"/>
    <s v="conventional_refinance_pct_dq_80"/>
    <x v="120"/>
    <n v="1"/>
    <n v="1"/>
    <n v="-20"/>
    <n v="120"/>
  </r>
  <r>
    <x v="16"/>
    <s v="conventional_refinance_pct_dq_81"/>
    <x v="121"/>
    <n v="1"/>
    <n v="1"/>
    <n v="-20"/>
    <n v="120"/>
  </r>
  <r>
    <x v="16"/>
    <s v="conventional_refinance_pct_dq_82"/>
    <x v="122"/>
    <n v="1"/>
    <n v="1"/>
    <n v="-20"/>
    <n v="120"/>
  </r>
  <r>
    <x v="16"/>
    <s v="conventional_refinance_pct_dq_83"/>
    <x v="123"/>
    <n v="1"/>
    <n v="1"/>
    <n v="-20"/>
    <n v="120"/>
  </r>
  <r>
    <x v="16"/>
    <s v="conventional_refinance_pct_dq_84"/>
    <x v="124"/>
    <n v="1"/>
    <n v="1"/>
    <n v="-20"/>
    <n v="120"/>
  </r>
  <r>
    <x v="16"/>
    <s v="conventional_refinance_pct_dq_85"/>
    <x v="125"/>
    <n v="1"/>
    <n v="1"/>
    <n v="-20"/>
    <n v="120"/>
  </r>
  <r>
    <x v="16"/>
    <s v="conventional_refinance_pct_dq_86"/>
    <x v="126"/>
    <n v="1"/>
    <n v="1"/>
    <n v="-20"/>
    <n v="120"/>
  </r>
  <r>
    <x v="16"/>
    <s v="conventional_refinance_pct_dq_87"/>
    <x v="127"/>
    <n v="1"/>
    <n v="1"/>
    <n v="-20"/>
    <n v="120"/>
  </r>
  <r>
    <x v="16"/>
    <s v="conventional_refinance_pct_dq_88"/>
    <x v="128"/>
    <n v="1"/>
    <n v="1"/>
    <n v="-20"/>
    <n v="120"/>
  </r>
  <r>
    <x v="16"/>
    <s v="conventional_refinance_pct_dq_89"/>
    <x v="129"/>
    <n v="1"/>
    <n v="1"/>
    <n v="-20"/>
    <n v="120"/>
  </r>
  <r>
    <x v="16"/>
    <s v="conventional_refinance_pct_dq_90"/>
    <x v="130"/>
    <n v="1"/>
    <n v="1"/>
    <n v="-20"/>
    <n v="120"/>
  </r>
  <r>
    <x v="16"/>
    <s v="conventional_refinance_pct_dq_91"/>
    <x v="131"/>
    <n v="1"/>
    <n v="1"/>
    <n v="-20"/>
    <n v="120"/>
  </r>
  <r>
    <x v="16"/>
    <s v="conventional_refinance_pct_dq_92"/>
    <x v="132"/>
    <n v="1"/>
    <n v="1"/>
    <n v="-20"/>
    <n v="120"/>
  </r>
  <r>
    <x v="16"/>
    <s v="conventional_refinance_pct_dq_93"/>
    <x v="133"/>
    <n v="1"/>
    <n v="1"/>
    <n v="-20"/>
    <n v="120"/>
  </r>
  <r>
    <x v="16"/>
    <s v="conventional_refinance_pct_dq_94"/>
    <x v="134"/>
    <n v="1"/>
    <n v="1"/>
    <n v="-20"/>
    <n v="120"/>
  </r>
  <r>
    <x v="16"/>
    <s v="conventional_refinance_pct_dq_95"/>
    <x v="135"/>
    <n v="1"/>
    <n v="1"/>
    <n v="-20"/>
    <n v="120"/>
  </r>
  <r>
    <x v="16"/>
    <s v="conventional_refinance_pct_dq_96"/>
    <x v="136"/>
    <n v="1"/>
    <n v="1"/>
    <n v="-20"/>
    <n v="120"/>
  </r>
  <r>
    <x v="16"/>
    <s v="conventional_refinance_pct_dq_97"/>
    <x v="137"/>
    <n v="1"/>
    <n v="1"/>
    <n v="-20"/>
    <n v="120"/>
  </r>
  <r>
    <x v="16"/>
    <s v="conventional_refinance_pct_dq_98"/>
    <x v="138"/>
    <n v="1"/>
    <n v="1"/>
    <n v="-20"/>
    <n v="120"/>
  </r>
  <r>
    <x v="16"/>
    <s v="conventional_refinance_pct_dq_99"/>
    <x v="139"/>
    <n v="1"/>
    <n v="1"/>
    <n v="-20"/>
    <n v="120"/>
  </r>
  <r>
    <x v="16"/>
    <s v="conventional_refinance_pct_dq_100"/>
    <x v="140"/>
    <n v="1"/>
    <n v="1"/>
    <n v="-20"/>
    <n v="120"/>
  </r>
  <r>
    <x v="16"/>
    <s v="conventional_refinance_pct_dq_101"/>
    <x v="141"/>
    <n v="1"/>
    <n v="1"/>
    <n v="-20"/>
    <n v="120"/>
  </r>
  <r>
    <x v="16"/>
    <s v="conventional_refinance_pct_dq_102"/>
    <x v="142"/>
    <n v="1"/>
    <n v="1"/>
    <n v="-20"/>
    <n v="120"/>
  </r>
  <r>
    <x v="16"/>
    <s v="conventional_refinance_pct_dq_103"/>
    <x v="143"/>
    <n v="1"/>
    <n v="1"/>
    <n v="-20"/>
    <n v="120"/>
  </r>
  <r>
    <x v="16"/>
    <s v="conventional_refinance_pct_dq_104"/>
    <x v="144"/>
    <n v="1"/>
    <n v="1"/>
    <n v="-20"/>
    <n v="120"/>
  </r>
  <r>
    <x v="16"/>
    <s v="conventional_refinance_pct_dq_105"/>
    <x v="145"/>
    <n v="1"/>
    <n v="1"/>
    <n v="-20"/>
    <n v="120"/>
  </r>
  <r>
    <x v="16"/>
    <s v="conventional_refinance_pct_dq_106"/>
    <x v="146"/>
    <n v="1"/>
    <n v="1"/>
    <n v="-20"/>
    <n v="120"/>
  </r>
  <r>
    <x v="16"/>
    <s v="conventional_refinance_pct_dq_107"/>
    <x v="147"/>
    <n v="1"/>
    <n v="1"/>
    <n v="-20"/>
    <n v="120"/>
  </r>
  <r>
    <x v="16"/>
    <s v="conventional_refinance_pct_dq_108"/>
    <x v="148"/>
    <n v="1"/>
    <n v="1"/>
    <n v="-20"/>
    <n v="120"/>
  </r>
  <r>
    <x v="16"/>
    <s v="conventional_refinance_pct_dq_109"/>
    <x v="149"/>
    <n v="1"/>
    <n v="1"/>
    <n v="-20"/>
    <n v="120"/>
  </r>
  <r>
    <x v="16"/>
    <s v="conventional_refinance_pct_dq_110"/>
    <x v="150"/>
    <n v="1"/>
    <n v="1"/>
    <n v="-20"/>
    <n v="120"/>
  </r>
  <r>
    <x v="16"/>
    <s v="conventional_refinance_pct_dq_111"/>
    <x v="151"/>
    <n v="1"/>
    <n v="1"/>
    <n v="-20"/>
    <n v="120"/>
  </r>
  <r>
    <x v="16"/>
    <s v="conventional_refinance_pct_dq_112"/>
    <x v="152"/>
    <n v="1"/>
    <n v="1"/>
    <n v="-20"/>
    <n v="120"/>
  </r>
  <r>
    <x v="16"/>
    <s v="conventional_refinance_pct_dq_113"/>
    <x v="153"/>
    <n v="1"/>
    <n v="1"/>
    <n v="-20"/>
    <n v="120"/>
  </r>
  <r>
    <x v="16"/>
    <s v="conventional_refinance_pct_dq_114"/>
    <x v="154"/>
    <n v="1"/>
    <n v="1"/>
    <n v="-20"/>
    <n v="120"/>
  </r>
  <r>
    <x v="16"/>
    <s v="conventional_refinance_pct_dq_115"/>
    <x v="155"/>
    <n v="1"/>
    <n v="1"/>
    <n v="-20"/>
    <n v="120"/>
  </r>
  <r>
    <x v="16"/>
    <s v="conventional_refinance_pct_dq_116"/>
    <x v="156"/>
    <n v="1"/>
    <n v="1"/>
    <n v="-20"/>
    <n v="120"/>
  </r>
  <r>
    <x v="16"/>
    <s v="conventional_refinance_pct_dq_117"/>
    <x v="157"/>
    <n v="1"/>
    <n v="1"/>
    <n v="-20"/>
    <n v="120"/>
  </r>
  <r>
    <x v="16"/>
    <s v="conventional_refinance_pct_dq_118"/>
    <x v="158"/>
    <n v="1"/>
    <n v="1"/>
    <n v="-20"/>
    <n v="120"/>
  </r>
  <r>
    <x v="16"/>
    <s v="conventional_refinance_pct_dq_119"/>
    <x v="159"/>
    <n v="1"/>
    <n v="1"/>
    <n v="-20"/>
    <n v="120"/>
  </r>
  <r>
    <x v="16"/>
    <s v="conventional_refinance_pct_dq_120"/>
    <x v="160"/>
    <n v="1"/>
    <n v="1"/>
    <n v="-20"/>
    <n v="120"/>
  </r>
  <r>
    <x v="17"/>
    <s v="conventional_refinance_pct_HARPed_-20"/>
    <x v="20"/>
    <n v="1"/>
    <n v="1"/>
    <n v="-20"/>
    <n v="120"/>
  </r>
  <r>
    <x v="17"/>
    <s v="conventional_refinance_pct_HARPed_-19"/>
    <x v="21"/>
    <n v="1"/>
    <n v="1"/>
    <n v="-20"/>
    <n v="120"/>
  </r>
  <r>
    <x v="17"/>
    <s v="conventional_refinance_pct_HARPed_-18"/>
    <x v="22"/>
    <n v="1"/>
    <n v="1"/>
    <n v="-20"/>
    <n v="120"/>
  </r>
  <r>
    <x v="17"/>
    <s v="conventional_refinance_pct_HARPed_-17"/>
    <x v="23"/>
    <n v="1"/>
    <n v="1"/>
    <n v="-20"/>
    <n v="120"/>
  </r>
  <r>
    <x v="17"/>
    <s v="conventional_refinance_pct_HARPed_-16"/>
    <x v="24"/>
    <n v="1"/>
    <n v="1"/>
    <n v="-20"/>
    <n v="120"/>
  </r>
  <r>
    <x v="17"/>
    <s v="conventional_refinance_pct_HARPed_-15"/>
    <x v="25"/>
    <n v="1"/>
    <n v="1"/>
    <n v="-20"/>
    <n v="120"/>
  </r>
  <r>
    <x v="17"/>
    <s v="conventional_refinance_pct_HARPed_-14"/>
    <x v="26"/>
    <n v="1"/>
    <n v="1"/>
    <n v="-20"/>
    <n v="120"/>
  </r>
  <r>
    <x v="17"/>
    <s v="conventional_refinance_pct_HARPed_-13"/>
    <x v="27"/>
    <n v="1"/>
    <n v="1"/>
    <n v="-20"/>
    <n v="120"/>
  </r>
  <r>
    <x v="17"/>
    <s v="conventional_refinance_pct_HARPed_-12"/>
    <x v="28"/>
    <n v="1"/>
    <n v="1"/>
    <n v="-20"/>
    <n v="120"/>
  </r>
  <r>
    <x v="17"/>
    <s v="conventional_refinance_pct_HARPed_-11"/>
    <x v="29"/>
    <n v="1"/>
    <n v="1"/>
    <n v="-20"/>
    <n v="120"/>
  </r>
  <r>
    <x v="17"/>
    <s v="conventional_refinance_pct_HARPed_-10"/>
    <x v="30"/>
    <n v="1"/>
    <n v="1"/>
    <n v="-20"/>
    <n v="120"/>
  </r>
  <r>
    <x v="17"/>
    <s v="conventional_refinance_pct_HARPed_-9"/>
    <x v="31"/>
    <n v="1"/>
    <n v="1"/>
    <n v="-20"/>
    <n v="120"/>
  </r>
  <r>
    <x v="17"/>
    <s v="conventional_refinance_pct_HARPed_-8"/>
    <x v="32"/>
    <n v="1"/>
    <n v="1"/>
    <n v="-20"/>
    <n v="120"/>
  </r>
  <r>
    <x v="17"/>
    <s v="conventional_refinance_pct_HARPed_-7"/>
    <x v="33"/>
    <n v="1"/>
    <n v="1"/>
    <n v="-20"/>
    <n v="120"/>
  </r>
  <r>
    <x v="17"/>
    <s v="conventional_refinance_pct_HARPed_-6"/>
    <x v="34"/>
    <n v="1"/>
    <n v="1"/>
    <n v="-20"/>
    <n v="120"/>
  </r>
  <r>
    <x v="17"/>
    <s v="conventional_refinance_pct_HARPed_-5"/>
    <x v="35"/>
    <n v="1"/>
    <n v="1"/>
    <n v="-20"/>
    <n v="120"/>
  </r>
  <r>
    <x v="17"/>
    <s v="conventional_refinance_pct_HARPed_-4"/>
    <x v="36"/>
    <n v="1"/>
    <n v="1"/>
    <n v="-20"/>
    <n v="120"/>
  </r>
  <r>
    <x v="17"/>
    <s v="conventional_refinance_pct_HARPed_-3"/>
    <x v="37"/>
    <n v="1"/>
    <n v="1"/>
    <n v="-20"/>
    <n v="120"/>
  </r>
  <r>
    <x v="17"/>
    <s v="conventional_refinance_pct_HARPed_-2"/>
    <x v="38"/>
    <n v="1"/>
    <n v="1"/>
    <n v="-20"/>
    <n v="120"/>
  </r>
  <r>
    <x v="17"/>
    <s v="conventional_refinance_pct_HARPed_-1"/>
    <x v="39"/>
    <n v="1"/>
    <n v="1"/>
    <n v="-20"/>
    <n v="120"/>
  </r>
  <r>
    <x v="17"/>
    <s v="conventional_refinance_pct_HARPed_0"/>
    <x v="40"/>
    <n v="1"/>
    <n v="1"/>
    <n v="-20"/>
    <n v="120"/>
  </r>
  <r>
    <x v="17"/>
    <s v="conventional_refinance_pct_HARPed_1"/>
    <x v="41"/>
    <n v="1"/>
    <n v="1"/>
    <n v="-20"/>
    <n v="120"/>
  </r>
  <r>
    <x v="17"/>
    <s v="conventional_refinance_pct_HARPed_2"/>
    <x v="42"/>
    <n v="1"/>
    <n v="1"/>
    <n v="-20"/>
    <n v="120"/>
  </r>
  <r>
    <x v="17"/>
    <s v="conventional_refinance_pct_HARPed_3"/>
    <x v="43"/>
    <n v="1"/>
    <n v="1"/>
    <n v="-20"/>
    <n v="120"/>
  </r>
  <r>
    <x v="17"/>
    <s v="conventional_refinance_pct_HARPed_4"/>
    <x v="44"/>
    <n v="1"/>
    <n v="1"/>
    <n v="-20"/>
    <n v="120"/>
  </r>
  <r>
    <x v="17"/>
    <s v="conventional_refinance_pct_HARPed_5"/>
    <x v="45"/>
    <n v="1"/>
    <n v="1"/>
    <n v="-20"/>
    <n v="120"/>
  </r>
  <r>
    <x v="17"/>
    <s v="conventional_refinance_pct_HARPed_6"/>
    <x v="46"/>
    <n v="1"/>
    <n v="1"/>
    <n v="-20"/>
    <n v="120"/>
  </r>
  <r>
    <x v="17"/>
    <s v="conventional_refinance_pct_HARPed_7"/>
    <x v="47"/>
    <n v="1"/>
    <n v="1"/>
    <n v="-20"/>
    <n v="120"/>
  </r>
  <r>
    <x v="17"/>
    <s v="conventional_refinance_pct_HARPed_8"/>
    <x v="48"/>
    <n v="1"/>
    <n v="1"/>
    <n v="-20"/>
    <n v="120"/>
  </r>
  <r>
    <x v="17"/>
    <s v="conventional_refinance_pct_HARPed_9"/>
    <x v="49"/>
    <n v="1"/>
    <n v="1"/>
    <n v="-20"/>
    <n v="120"/>
  </r>
  <r>
    <x v="17"/>
    <s v="conventional_refinance_pct_HARPed_10"/>
    <x v="50"/>
    <n v="1"/>
    <n v="1"/>
    <n v="-20"/>
    <n v="120"/>
  </r>
  <r>
    <x v="17"/>
    <s v="conventional_refinance_pct_HARPed_11"/>
    <x v="51"/>
    <n v="1"/>
    <n v="1"/>
    <n v="-20"/>
    <n v="120"/>
  </r>
  <r>
    <x v="17"/>
    <s v="conventional_refinance_pct_HARPed_12"/>
    <x v="52"/>
    <n v="1"/>
    <n v="1"/>
    <n v="-20"/>
    <n v="120"/>
  </r>
  <r>
    <x v="17"/>
    <s v="conventional_refinance_pct_HARPed_13"/>
    <x v="53"/>
    <n v="1"/>
    <n v="1"/>
    <n v="-20"/>
    <n v="120"/>
  </r>
  <r>
    <x v="17"/>
    <s v="conventional_refinance_pct_HARPed_14"/>
    <x v="54"/>
    <n v="1"/>
    <n v="1"/>
    <n v="-20"/>
    <n v="120"/>
  </r>
  <r>
    <x v="17"/>
    <s v="conventional_refinance_pct_HARPed_15"/>
    <x v="55"/>
    <n v="1"/>
    <n v="1"/>
    <n v="-20"/>
    <n v="120"/>
  </r>
  <r>
    <x v="17"/>
    <s v="conventional_refinance_pct_HARPed_16"/>
    <x v="56"/>
    <n v="1"/>
    <n v="1"/>
    <n v="-20"/>
    <n v="120"/>
  </r>
  <r>
    <x v="17"/>
    <s v="conventional_refinance_pct_HARPed_17"/>
    <x v="57"/>
    <n v="1"/>
    <n v="1"/>
    <n v="-20"/>
    <n v="120"/>
  </r>
  <r>
    <x v="17"/>
    <s v="conventional_refinance_pct_HARPed_18"/>
    <x v="58"/>
    <n v="1"/>
    <n v="1"/>
    <n v="-20"/>
    <n v="120"/>
  </r>
  <r>
    <x v="17"/>
    <s v="conventional_refinance_pct_HARPed_19"/>
    <x v="59"/>
    <n v="1"/>
    <n v="1"/>
    <n v="-20"/>
    <n v="120"/>
  </r>
  <r>
    <x v="17"/>
    <s v="conventional_refinance_pct_HARPed_20"/>
    <x v="60"/>
    <n v="1"/>
    <n v="1"/>
    <n v="-20"/>
    <n v="120"/>
  </r>
  <r>
    <x v="17"/>
    <s v="conventional_refinance_pct_HARPed_21"/>
    <x v="61"/>
    <n v="1"/>
    <n v="1"/>
    <n v="-20"/>
    <n v="120"/>
  </r>
  <r>
    <x v="17"/>
    <s v="conventional_refinance_pct_HARPed_22"/>
    <x v="62"/>
    <n v="1"/>
    <n v="1"/>
    <n v="-20"/>
    <n v="120"/>
  </r>
  <r>
    <x v="17"/>
    <s v="conventional_refinance_pct_HARPed_23"/>
    <x v="63"/>
    <n v="1"/>
    <n v="1"/>
    <n v="-20"/>
    <n v="120"/>
  </r>
  <r>
    <x v="17"/>
    <s v="conventional_refinance_pct_HARPed_24"/>
    <x v="64"/>
    <n v="1"/>
    <n v="1"/>
    <n v="-20"/>
    <n v="120"/>
  </r>
  <r>
    <x v="17"/>
    <s v="conventional_refinance_pct_HARPed_25"/>
    <x v="65"/>
    <n v="1"/>
    <n v="1"/>
    <n v="-20"/>
    <n v="120"/>
  </r>
  <r>
    <x v="17"/>
    <s v="conventional_refinance_pct_HARPed_26"/>
    <x v="66"/>
    <n v="1"/>
    <n v="1"/>
    <n v="-20"/>
    <n v="120"/>
  </r>
  <r>
    <x v="17"/>
    <s v="conventional_refinance_pct_HARPed_27"/>
    <x v="67"/>
    <n v="1"/>
    <n v="1"/>
    <n v="-20"/>
    <n v="120"/>
  </r>
  <r>
    <x v="17"/>
    <s v="conventional_refinance_pct_HARPed_28"/>
    <x v="68"/>
    <n v="1"/>
    <n v="1"/>
    <n v="-20"/>
    <n v="120"/>
  </r>
  <r>
    <x v="17"/>
    <s v="conventional_refinance_pct_HARPed_29"/>
    <x v="69"/>
    <n v="1"/>
    <n v="1"/>
    <n v="-20"/>
    <n v="120"/>
  </r>
  <r>
    <x v="17"/>
    <s v="conventional_refinance_pct_HARPed_30"/>
    <x v="70"/>
    <n v="1"/>
    <n v="1"/>
    <n v="-20"/>
    <n v="120"/>
  </r>
  <r>
    <x v="17"/>
    <s v="conventional_refinance_pct_HARPed_31"/>
    <x v="71"/>
    <n v="1"/>
    <n v="1"/>
    <n v="-20"/>
    <n v="120"/>
  </r>
  <r>
    <x v="17"/>
    <s v="conventional_refinance_pct_HARPed_32"/>
    <x v="72"/>
    <n v="1"/>
    <n v="1"/>
    <n v="-20"/>
    <n v="120"/>
  </r>
  <r>
    <x v="17"/>
    <s v="conventional_refinance_pct_HARPed_33"/>
    <x v="73"/>
    <n v="1"/>
    <n v="1"/>
    <n v="-20"/>
    <n v="120"/>
  </r>
  <r>
    <x v="17"/>
    <s v="conventional_refinance_pct_HARPed_34"/>
    <x v="74"/>
    <n v="1"/>
    <n v="1"/>
    <n v="-20"/>
    <n v="120"/>
  </r>
  <r>
    <x v="17"/>
    <s v="conventional_refinance_pct_HARPed_35"/>
    <x v="75"/>
    <n v="1"/>
    <n v="1"/>
    <n v="-20"/>
    <n v="120"/>
  </r>
  <r>
    <x v="17"/>
    <s v="conventional_refinance_pct_HARPed_36"/>
    <x v="76"/>
    <n v="1"/>
    <n v="1"/>
    <n v="-20"/>
    <n v="120"/>
  </r>
  <r>
    <x v="17"/>
    <s v="conventional_refinance_pct_HARPed_37"/>
    <x v="77"/>
    <n v="1"/>
    <n v="1"/>
    <n v="-20"/>
    <n v="120"/>
  </r>
  <r>
    <x v="17"/>
    <s v="conventional_refinance_pct_HARPed_38"/>
    <x v="78"/>
    <n v="1"/>
    <n v="1"/>
    <n v="-20"/>
    <n v="120"/>
  </r>
  <r>
    <x v="17"/>
    <s v="conventional_refinance_pct_HARPed_39"/>
    <x v="79"/>
    <n v="1"/>
    <n v="1"/>
    <n v="-20"/>
    <n v="120"/>
  </r>
  <r>
    <x v="17"/>
    <s v="conventional_refinance_pct_HARPed_40"/>
    <x v="80"/>
    <n v="1"/>
    <n v="1"/>
    <n v="-20"/>
    <n v="120"/>
  </r>
  <r>
    <x v="17"/>
    <s v="conventional_refinance_pct_HARPed_41"/>
    <x v="81"/>
    <n v="1"/>
    <n v="1"/>
    <n v="-20"/>
    <n v="120"/>
  </r>
  <r>
    <x v="17"/>
    <s v="conventional_refinance_pct_HARPed_42"/>
    <x v="82"/>
    <n v="1"/>
    <n v="1"/>
    <n v="-20"/>
    <n v="120"/>
  </r>
  <r>
    <x v="17"/>
    <s v="conventional_refinance_pct_HARPed_43"/>
    <x v="83"/>
    <n v="1"/>
    <n v="1"/>
    <n v="-20"/>
    <n v="120"/>
  </r>
  <r>
    <x v="17"/>
    <s v="conventional_refinance_pct_HARPed_44"/>
    <x v="84"/>
    <n v="1"/>
    <n v="1"/>
    <n v="-20"/>
    <n v="120"/>
  </r>
  <r>
    <x v="17"/>
    <s v="conventional_refinance_pct_HARPed_45"/>
    <x v="85"/>
    <n v="1"/>
    <n v="1"/>
    <n v="-20"/>
    <n v="120"/>
  </r>
  <r>
    <x v="17"/>
    <s v="conventional_refinance_pct_HARPed_46"/>
    <x v="86"/>
    <n v="1"/>
    <n v="1"/>
    <n v="-20"/>
    <n v="120"/>
  </r>
  <r>
    <x v="17"/>
    <s v="conventional_refinance_pct_HARPed_47"/>
    <x v="87"/>
    <n v="1"/>
    <n v="1"/>
    <n v="-20"/>
    <n v="120"/>
  </r>
  <r>
    <x v="17"/>
    <s v="conventional_refinance_pct_HARPed_48"/>
    <x v="88"/>
    <n v="1"/>
    <n v="1"/>
    <n v="-20"/>
    <n v="120"/>
  </r>
  <r>
    <x v="17"/>
    <s v="conventional_refinance_pct_HARPed_49"/>
    <x v="89"/>
    <n v="1"/>
    <n v="1"/>
    <n v="-20"/>
    <n v="120"/>
  </r>
  <r>
    <x v="17"/>
    <s v="conventional_refinance_pct_HARPed_50"/>
    <x v="90"/>
    <n v="1"/>
    <n v="1"/>
    <n v="-20"/>
    <n v="120"/>
  </r>
  <r>
    <x v="17"/>
    <s v="conventional_refinance_pct_HARPed_51"/>
    <x v="91"/>
    <n v="1"/>
    <n v="1"/>
    <n v="-20"/>
    <n v="120"/>
  </r>
  <r>
    <x v="17"/>
    <s v="conventional_refinance_pct_HARPed_52"/>
    <x v="92"/>
    <n v="1"/>
    <n v="1"/>
    <n v="-20"/>
    <n v="120"/>
  </r>
  <r>
    <x v="17"/>
    <s v="conventional_refinance_pct_HARPed_53"/>
    <x v="93"/>
    <n v="1"/>
    <n v="1"/>
    <n v="-20"/>
    <n v="120"/>
  </r>
  <r>
    <x v="17"/>
    <s v="conventional_refinance_pct_HARPed_54"/>
    <x v="94"/>
    <n v="1"/>
    <n v="1"/>
    <n v="-20"/>
    <n v="120"/>
  </r>
  <r>
    <x v="17"/>
    <s v="conventional_refinance_pct_HARPed_55"/>
    <x v="95"/>
    <n v="1"/>
    <n v="1"/>
    <n v="-20"/>
    <n v="120"/>
  </r>
  <r>
    <x v="17"/>
    <s v="conventional_refinance_pct_HARPed_56"/>
    <x v="96"/>
    <n v="1"/>
    <n v="1"/>
    <n v="-20"/>
    <n v="120"/>
  </r>
  <r>
    <x v="17"/>
    <s v="conventional_refinance_pct_HARPed_57"/>
    <x v="97"/>
    <n v="1"/>
    <n v="1"/>
    <n v="-20"/>
    <n v="120"/>
  </r>
  <r>
    <x v="17"/>
    <s v="conventional_refinance_pct_HARPed_58"/>
    <x v="98"/>
    <n v="1"/>
    <n v="1"/>
    <n v="-20"/>
    <n v="120"/>
  </r>
  <r>
    <x v="17"/>
    <s v="conventional_refinance_pct_HARPed_59"/>
    <x v="99"/>
    <n v="1"/>
    <n v="1"/>
    <n v="-20"/>
    <n v="120"/>
  </r>
  <r>
    <x v="17"/>
    <s v="conventional_refinance_pct_HARPed_60"/>
    <x v="100"/>
    <n v="1"/>
    <n v="1"/>
    <n v="-20"/>
    <n v="120"/>
  </r>
  <r>
    <x v="17"/>
    <s v="conventional_refinance_pct_HARPed_61"/>
    <x v="101"/>
    <n v="1"/>
    <n v="1"/>
    <n v="-20"/>
    <n v="120"/>
  </r>
  <r>
    <x v="17"/>
    <s v="conventional_refinance_pct_HARPed_62"/>
    <x v="102"/>
    <n v="1"/>
    <n v="1"/>
    <n v="-20"/>
    <n v="120"/>
  </r>
  <r>
    <x v="17"/>
    <s v="conventional_refinance_pct_HARPed_63"/>
    <x v="103"/>
    <n v="1"/>
    <n v="1"/>
    <n v="-20"/>
    <n v="120"/>
  </r>
  <r>
    <x v="17"/>
    <s v="conventional_refinance_pct_HARPed_64"/>
    <x v="104"/>
    <n v="1"/>
    <n v="1"/>
    <n v="-20"/>
    <n v="120"/>
  </r>
  <r>
    <x v="17"/>
    <s v="conventional_refinance_pct_HARPed_65"/>
    <x v="105"/>
    <n v="1"/>
    <n v="1"/>
    <n v="-20"/>
    <n v="120"/>
  </r>
  <r>
    <x v="17"/>
    <s v="conventional_refinance_pct_HARPed_66"/>
    <x v="106"/>
    <n v="1"/>
    <n v="1"/>
    <n v="-20"/>
    <n v="120"/>
  </r>
  <r>
    <x v="17"/>
    <s v="conventional_refinance_pct_HARPed_67"/>
    <x v="107"/>
    <n v="1"/>
    <n v="1"/>
    <n v="-20"/>
    <n v="120"/>
  </r>
  <r>
    <x v="17"/>
    <s v="conventional_refinance_pct_HARPed_68"/>
    <x v="108"/>
    <n v="1"/>
    <n v="1"/>
    <n v="-20"/>
    <n v="120"/>
  </r>
  <r>
    <x v="17"/>
    <s v="conventional_refinance_pct_HARPed_69"/>
    <x v="109"/>
    <n v="1"/>
    <n v="1"/>
    <n v="-20"/>
    <n v="120"/>
  </r>
  <r>
    <x v="17"/>
    <s v="conventional_refinance_pct_HARPed_70"/>
    <x v="110"/>
    <n v="1"/>
    <n v="1"/>
    <n v="-20"/>
    <n v="120"/>
  </r>
  <r>
    <x v="17"/>
    <s v="conventional_refinance_pct_HARPed_71"/>
    <x v="111"/>
    <n v="1"/>
    <n v="1"/>
    <n v="-20"/>
    <n v="120"/>
  </r>
  <r>
    <x v="17"/>
    <s v="conventional_refinance_pct_HARPed_72"/>
    <x v="112"/>
    <n v="1"/>
    <n v="1"/>
    <n v="-20"/>
    <n v="120"/>
  </r>
  <r>
    <x v="17"/>
    <s v="conventional_refinance_pct_HARPed_73"/>
    <x v="113"/>
    <n v="1"/>
    <n v="1"/>
    <n v="-20"/>
    <n v="120"/>
  </r>
  <r>
    <x v="17"/>
    <s v="conventional_refinance_pct_HARPed_74"/>
    <x v="114"/>
    <n v="1"/>
    <n v="1"/>
    <n v="-20"/>
    <n v="120"/>
  </r>
  <r>
    <x v="17"/>
    <s v="conventional_refinance_pct_HARPed_75"/>
    <x v="115"/>
    <n v="1"/>
    <n v="1"/>
    <n v="-20"/>
    <n v="120"/>
  </r>
  <r>
    <x v="17"/>
    <s v="conventional_refinance_pct_HARPed_76"/>
    <x v="116"/>
    <n v="1"/>
    <n v="1"/>
    <n v="-20"/>
    <n v="120"/>
  </r>
  <r>
    <x v="17"/>
    <s v="conventional_refinance_pct_HARPed_77"/>
    <x v="117"/>
    <n v="1"/>
    <n v="1"/>
    <n v="-20"/>
    <n v="120"/>
  </r>
  <r>
    <x v="17"/>
    <s v="conventional_refinance_pct_HARPed_78"/>
    <x v="118"/>
    <n v="1"/>
    <n v="1"/>
    <n v="-20"/>
    <n v="120"/>
  </r>
  <r>
    <x v="17"/>
    <s v="conventional_refinance_pct_HARPed_79"/>
    <x v="119"/>
    <n v="1"/>
    <n v="1"/>
    <n v="-20"/>
    <n v="120"/>
  </r>
  <r>
    <x v="17"/>
    <s v="conventional_refinance_pct_HARPed_80"/>
    <x v="120"/>
    <n v="1"/>
    <n v="1"/>
    <n v="-20"/>
    <n v="120"/>
  </r>
  <r>
    <x v="17"/>
    <s v="conventional_refinance_pct_HARPed_81"/>
    <x v="121"/>
    <n v="1"/>
    <n v="1"/>
    <n v="-20"/>
    <n v="120"/>
  </r>
  <r>
    <x v="17"/>
    <s v="conventional_refinance_pct_HARPed_82"/>
    <x v="122"/>
    <n v="1"/>
    <n v="1"/>
    <n v="-20"/>
    <n v="120"/>
  </r>
  <r>
    <x v="17"/>
    <s v="conventional_refinance_pct_HARPed_83"/>
    <x v="123"/>
    <n v="1"/>
    <n v="1"/>
    <n v="-20"/>
    <n v="120"/>
  </r>
  <r>
    <x v="17"/>
    <s v="conventional_refinance_pct_HARPed_84"/>
    <x v="124"/>
    <n v="1"/>
    <n v="1"/>
    <n v="-20"/>
    <n v="120"/>
  </r>
  <r>
    <x v="17"/>
    <s v="conventional_refinance_pct_HARPed_85"/>
    <x v="125"/>
    <n v="1"/>
    <n v="1"/>
    <n v="-20"/>
    <n v="120"/>
  </r>
  <r>
    <x v="17"/>
    <s v="conventional_refinance_pct_HARPed_86"/>
    <x v="126"/>
    <n v="1"/>
    <n v="1"/>
    <n v="-20"/>
    <n v="120"/>
  </r>
  <r>
    <x v="17"/>
    <s v="conventional_refinance_pct_HARPed_87"/>
    <x v="127"/>
    <n v="1"/>
    <n v="1"/>
    <n v="-20"/>
    <n v="120"/>
  </r>
  <r>
    <x v="17"/>
    <s v="conventional_refinance_pct_HARPed_88"/>
    <x v="128"/>
    <n v="1"/>
    <n v="1"/>
    <n v="-20"/>
    <n v="120"/>
  </r>
  <r>
    <x v="17"/>
    <s v="conventional_refinance_pct_HARPed_89"/>
    <x v="129"/>
    <n v="1"/>
    <n v="1"/>
    <n v="-20"/>
    <n v="120"/>
  </r>
  <r>
    <x v="17"/>
    <s v="conventional_refinance_pct_HARPed_90"/>
    <x v="130"/>
    <n v="1"/>
    <n v="1"/>
    <n v="-20"/>
    <n v="120"/>
  </r>
  <r>
    <x v="17"/>
    <s v="conventional_refinance_pct_HARPed_91"/>
    <x v="131"/>
    <n v="1"/>
    <n v="1"/>
    <n v="-20"/>
    <n v="120"/>
  </r>
  <r>
    <x v="17"/>
    <s v="conventional_refinance_pct_HARPed_92"/>
    <x v="132"/>
    <n v="1"/>
    <n v="1"/>
    <n v="-20"/>
    <n v="120"/>
  </r>
  <r>
    <x v="17"/>
    <s v="conventional_refinance_pct_HARPed_93"/>
    <x v="133"/>
    <n v="1"/>
    <n v="1"/>
    <n v="-20"/>
    <n v="120"/>
  </r>
  <r>
    <x v="17"/>
    <s v="conventional_refinance_pct_HARPed_94"/>
    <x v="134"/>
    <n v="1"/>
    <n v="1"/>
    <n v="-20"/>
    <n v="120"/>
  </r>
  <r>
    <x v="17"/>
    <s v="conventional_refinance_pct_HARPed_95"/>
    <x v="135"/>
    <n v="1"/>
    <n v="1"/>
    <n v="-20"/>
    <n v="120"/>
  </r>
  <r>
    <x v="17"/>
    <s v="conventional_refinance_pct_HARPed_96"/>
    <x v="136"/>
    <n v="1"/>
    <n v="1"/>
    <n v="-20"/>
    <n v="120"/>
  </r>
  <r>
    <x v="17"/>
    <s v="conventional_refinance_pct_HARPed_97"/>
    <x v="137"/>
    <n v="1"/>
    <n v="1"/>
    <n v="-20"/>
    <n v="120"/>
  </r>
  <r>
    <x v="17"/>
    <s v="conventional_refinance_pct_HARPed_98"/>
    <x v="138"/>
    <n v="1"/>
    <n v="1"/>
    <n v="-20"/>
    <n v="120"/>
  </r>
  <r>
    <x v="17"/>
    <s v="conventional_refinance_pct_HARPed_99"/>
    <x v="139"/>
    <n v="1"/>
    <n v="1"/>
    <n v="-20"/>
    <n v="120"/>
  </r>
  <r>
    <x v="17"/>
    <s v="conventional_refinance_pct_HARPed_100"/>
    <x v="140"/>
    <n v="1"/>
    <n v="1"/>
    <n v="-20"/>
    <n v="120"/>
  </r>
  <r>
    <x v="17"/>
    <s v="conventional_refinance_pct_HARPed_101"/>
    <x v="141"/>
    <n v="1"/>
    <n v="1"/>
    <n v="-20"/>
    <n v="120"/>
  </r>
  <r>
    <x v="17"/>
    <s v="conventional_refinance_pct_HARPed_102"/>
    <x v="142"/>
    <n v="1"/>
    <n v="1"/>
    <n v="-20"/>
    <n v="120"/>
  </r>
  <r>
    <x v="17"/>
    <s v="conventional_refinance_pct_HARPed_103"/>
    <x v="143"/>
    <n v="1"/>
    <n v="1"/>
    <n v="-20"/>
    <n v="120"/>
  </r>
  <r>
    <x v="17"/>
    <s v="conventional_refinance_pct_HARPed_104"/>
    <x v="144"/>
    <n v="1"/>
    <n v="1"/>
    <n v="-20"/>
    <n v="120"/>
  </r>
  <r>
    <x v="17"/>
    <s v="conventional_refinance_pct_HARPed_105"/>
    <x v="145"/>
    <n v="1"/>
    <n v="1"/>
    <n v="-20"/>
    <n v="120"/>
  </r>
  <r>
    <x v="17"/>
    <s v="conventional_refinance_pct_HARPed_106"/>
    <x v="146"/>
    <n v="1"/>
    <n v="1"/>
    <n v="-20"/>
    <n v="120"/>
  </r>
  <r>
    <x v="17"/>
    <s v="conventional_refinance_pct_HARPed_107"/>
    <x v="147"/>
    <n v="1"/>
    <n v="1"/>
    <n v="-20"/>
    <n v="120"/>
  </r>
  <r>
    <x v="17"/>
    <s v="conventional_refinance_pct_HARPed_108"/>
    <x v="148"/>
    <n v="1"/>
    <n v="1"/>
    <n v="-20"/>
    <n v="120"/>
  </r>
  <r>
    <x v="17"/>
    <s v="conventional_refinance_pct_HARPed_109"/>
    <x v="149"/>
    <n v="1"/>
    <n v="1"/>
    <n v="-20"/>
    <n v="120"/>
  </r>
  <r>
    <x v="17"/>
    <s v="conventional_refinance_pct_HARPed_110"/>
    <x v="150"/>
    <n v="1"/>
    <n v="1"/>
    <n v="-20"/>
    <n v="120"/>
  </r>
  <r>
    <x v="17"/>
    <s v="conventional_refinance_pct_HARPed_111"/>
    <x v="151"/>
    <n v="1"/>
    <n v="1"/>
    <n v="-20"/>
    <n v="120"/>
  </r>
  <r>
    <x v="17"/>
    <s v="conventional_refinance_pct_HARPed_112"/>
    <x v="152"/>
    <n v="1"/>
    <n v="1"/>
    <n v="-20"/>
    <n v="120"/>
  </r>
  <r>
    <x v="17"/>
    <s v="conventional_refinance_pct_HARPed_113"/>
    <x v="153"/>
    <n v="1"/>
    <n v="1"/>
    <n v="-20"/>
    <n v="120"/>
  </r>
  <r>
    <x v="17"/>
    <s v="conventional_refinance_pct_HARPed_114"/>
    <x v="154"/>
    <n v="1"/>
    <n v="1"/>
    <n v="-20"/>
    <n v="120"/>
  </r>
  <r>
    <x v="17"/>
    <s v="conventional_refinance_pct_HARPed_115"/>
    <x v="155"/>
    <n v="1"/>
    <n v="1"/>
    <n v="-20"/>
    <n v="120"/>
  </r>
  <r>
    <x v="17"/>
    <s v="conventional_refinance_pct_HARPed_116"/>
    <x v="156"/>
    <n v="1"/>
    <n v="1"/>
    <n v="-20"/>
    <n v="120"/>
  </r>
  <r>
    <x v="17"/>
    <s v="conventional_refinance_pct_HARPed_117"/>
    <x v="157"/>
    <n v="1"/>
    <n v="1"/>
    <n v="-20"/>
    <n v="120"/>
  </r>
  <r>
    <x v="17"/>
    <s v="conventional_refinance_pct_HARPed_118"/>
    <x v="158"/>
    <n v="1"/>
    <n v="1"/>
    <n v="-20"/>
    <n v="120"/>
  </r>
  <r>
    <x v="17"/>
    <s v="conventional_refinance_pct_HARPed_119"/>
    <x v="159"/>
    <n v="1"/>
    <n v="1"/>
    <n v="-20"/>
    <n v="120"/>
  </r>
  <r>
    <x v="17"/>
    <s v="conventional_refinance_pct_HARPed_120"/>
    <x v="160"/>
    <n v="1"/>
    <n v="1"/>
    <n v="-20"/>
    <n v="120"/>
  </r>
  <r>
    <x v="18"/>
    <s v="conventional_refinance_HARP_eligible_-20"/>
    <x v="20"/>
    <n v="0.94399999999999995"/>
    <n v="1"/>
    <n v="-20"/>
    <n v="120"/>
  </r>
  <r>
    <x v="18"/>
    <s v="conventional_refinance_HARP_eligible_-19"/>
    <x v="21"/>
    <n v="0.94479999999999997"/>
    <n v="1"/>
    <n v="-20"/>
    <n v="120"/>
  </r>
  <r>
    <x v="18"/>
    <s v="conventional_refinance_HARP_eligible_-18"/>
    <x v="22"/>
    <n v="0.9456"/>
    <n v="1"/>
    <n v="-20"/>
    <n v="120"/>
  </r>
  <r>
    <x v="18"/>
    <s v="conventional_refinance_HARP_eligible_-17"/>
    <x v="23"/>
    <n v="0.94640000000000002"/>
    <n v="1"/>
    <n v="-20"/>
    <n v="120"/>
  </r>
  <r>
    <x v="18"/>
    <s v="conventional_refinance_HARP_eligible_-16"/>
    <x v="24"/>
    <n v="0.94720000000000004"/>
    <n v="1"/>
    <n v="-20"/>
    <n v="120"/>
  </r>
  <r>
    <x v="18"/>
    <s v="conventional_refinance_HARP_eligible_-15"/>
    <x v="25"/>
    <n v="0.94799999999999995"/>
    <n v="1"/>
    <n v="-20"/>
    <n v="120"/>
  </r>
  <r>
    <x v="18"/>
    <s v="conventional_refinance_HARP_eligible_-14"/>
    <x v="26"/>
    <n v="0.94879999999999998"/>
    <n v="1"/>
    <n v="-20"/>
    <n v="120"/>
  </r>
  <r>
    <x v="18"/>
    <s v="conventional_refinance_HARP_eligible_-13"/>
    <x v="27"/>
    <n v="0.9496"/>
    <n v="1"/>
    <n v="-20"/>
    <n v="120"/>
  </r>
  <r>
    <x v="18"/>
    <s v="conventional_refinance_HARP_eligible_-12"/>
    <x v="28"/>
    <n v="0.95040000000000002"/>
    <n v="1"/>
    <n v="-20"/>
    <n v="120"/>
  </r>
  <r>
    <x v="18"/>
    <s v="conventional_refinance_HARP_eligible_-11"/>
    <x v="29"/>
    <n v="0.95120000000000005"/>
    <n v="1"/>
    <n v="-20"/>
    <n v="120"/>
  </r>
  <r>
    <x v="18"/>
    <s v="conventional_refinance_HARP_eligible_-10"/>
    <x v="30"/>
    <n v="0.95199999999999996"/>
    <n v="1"/>
    <n v="-20"/>
    <n v="120"/>
  </r>
  <r>
    <x v="18"/>
    <s v="conventional_refinance_HARP_eligible_-9"/>
    <x v="31"/>
    <n v="0.95279999999999998"/>
    <n v="1"/>
    <n v="-20"/>
    <n v="120"/>
  </r>
  <r>
    <x v="18"/>
    <s v="conventional_refinance_HARP_eligible_-8"/>
    <x v="32"/>
    <n v="0.9536"/>
    <n v="1"/>
    <n v="-20"/>
    <n v="120"/>
  </r>
  <r>
    <x v="18"/>
    <s v="conventional_refinance_HARP_eligible_-7"/>
    <x v="33"/>
    <n v="0.95440000000000003"/>
    <n v="1"/>
    <n v="-20"/>
    <n v="120"/>
  </r>
  <r>
    <x v="18"/>
    <s v="conventional_refinance_HARP_eligible_-6"/>
    <x v="34"/>
    <n v="0.95520000000000005"/>
    <n v="1"/>
    <n v="-20"/>
    <n v="120"/>
  </r>
  <r>
    <x v="18"/>
    <s v="conventional_refinance_HARP_eligible_-5"/>
    <x v="35"/>
    <n v="0.95599999999999996"/>
    <n v="1"/>
    <n v="-20"/>
    <n v="120"/>
  </r>
  <r>
    <x v="18"/>
    <s v="conventional_refinance_HARP_eligible_-4"/>
    <x v="36"/>
    <n v="0.95679999999999998"/>
    <n v="1"/>
    <n v="-20"/>
    <n v="120"/>
  </r>
  <r>
    <x v="18"/>
    <s v="conventional_refinance_HARP_eligible_-3"/>
    <x v="37"/>
    <n v="0.95760000000000001"/>
    <n v="1"/>
    <n v="-20"/>
    <n v="120"/>
  </r>
  <r>
    <x v="18"/>
    <s v="conventional_refinance_HARP_eligible_-2"/>
    <x v="38"/>
    <n v="0.95840000000000003"/>
    <n v="1"/>
    <n v="-20"/>
    <n v="120"/>
  </r>
  <r>
    <x v="18"/>
    <s v="conventional_refinance_HARP_eligible_-1"/>
    <x v="39"/>
    <n v="0.95920000000000005"/>
    <n v="1"/>
    <n v="-20"/>
    <n v="120"/>
  </r>
  <r>
    <x v="18"/>
    <s v="conventional_refinance_HARP_eligible_0"/>
    <x v="40"/>
    <n v="0.96"/>
    <n v="1"/>
    <n v="-20"/>
    <n v="120"/>
  </r>
  <r>
    <x v="18"/>
    <s v="conventional_refinance_HARP_eligible_1"/>
    <x v="41"/>
    <n v="0.96079999999999999"/>
    <n v="1"/>
    <n v="-20"/>
    <n v="120"/>
  </r>
  <r>
    <x v="18"/>
    <s v="conventional_refinance_HARP_eligible_2"/>
    <x v="42"/>
    <n v="0.96160000000000001"/>
    <n v="1"/>
    <n v="-20"/>
    <n v="120"/>
  </r>
  <r>
    <x v="18"/>
    <s v="conventional_refinance_HARP_eligible_3"/>
    <x v="43"/>
    <n v="0.96240000000000003"/>
    <n v="1"/>
    <n v="-20"/>
    <n v="120"/>
  </r>
  <r>
    <x v="18"/>
    <s v="conventional_refinance_HARP_eligible_4"/>
    <x v="44"/>
    <n v="0.96319999999999995"/>
    <n v="1"/>
    <n v="-20"/>
    <n v="120"/>
  </r>
  <r>
    <x v="18"/>
    <s v="conventional_refinance_HARP_eligible_5"/>
    <x v="45"/>
    <n v="0.96399999999999997"/>
    <n v="1"/>
    <n v="-20"/>
    <n v="120"/>
  </r>
  <r>
    <x v="18"/>
    <s v="conventional_refinance_HARP_eligible_6"/>
    <x v="46"/>
    <n v="0.96479999999999999"/>
    <n v="1"/>
    <n v="-20"/>
    <n v="120"/>
  </r>
  <r>
    <x v="18"/>
    <s v="conventional_refinance_HARP_eligible_7"/>
    <x v="47"/>
    <n v="0.96560000000000001"/>
    <n v="1"/>
    <n v="-20"/>
    <n v="120"/>
  </r>
  <r>
    <x v="18"/>
    <s v="conventional_refinance_HARP_eligible_8"/>
    <x v="48"/>
    <n v="0.96640000000000004"/>
    <n v="1"/>
    <n v="-20"/>
    <n v="120"/>
  </r>
  <r>
    <x v="18"/>
    <s v="conventional_refinance_HARP_eligible_9"/>
    <x v="49"/>
    <n v="0.96719999999999995"/>
    <n v="1"/>
    <n v="-20"/>
    <n v="120"/>
  </r>
  <r>
    <x v="18"/>
    <s v="conventional_refinance_HARP_eligible_10"/>
    <x v="50"/>
    <n v="0.96799999999999997"/>
    <n v="1"/>
    <n v="-20"/>
    <n v="120"/>
  </r>
  <r>
    <x v="18"/>
    <s v="conventional_refinance_HARP_eligible_11"/>
    <x v="51"/>
    <n v="0.96879999999999999"/>
    <n v="1"/>
    <n v="-20"/>
    <n v="120"/>
  </r>
  <r>
    <x v="18"/>
    <s v="conventional_refinance_HARP_eligible_12"/>
    <x v="52"/>
    <n v="0.96960000000000002"/>
    <n v="1"/>
    <n v="-20"/>
    <n v="120"/>
  </r>
  <r>
    <x v="18"/>
    <s v="conventional_refinance_HARP_eligible_13"/>
    <x v="53"/>
    <n v="0.97040000000000004"/>
    <n v="1"/>
    <n v="-20"/>
    <n v="120"/>
  </r>
  <r>
    <x v="18"/>
    <s v="conventional_refinance_HARP_eligible_14"/>
    <x v="54"/>
    <n v="0.97119999999999995"/>
    <n v="1"/>
    <n v="-20"/>
    <n v="120"/>
  </r>
  <r>
    <x v="18"/>
    <s v="conventional_refinance_HARP_eligible_15"/>
    <x v="55"/>
    <n v="0.97199999999999998"/>
    <n v="1"/>
    <n v="-20"/>
    <n v="120"/>
  </r>
  <r>
    <x v="18"/>
    <s v="conventional_refinance_HARP_eligible_16"/>
    <x v="56"/>
    <n v="0.9728"/>
    <n v="1"/>
    <n v="-20"/>
    <n v="120"/>
  </r>
  <r>
    <x v="18"/>
    <s v="conventional_refinance_HARP_eligible_17"/>
    <x v="57"/>
    <n v="0.97360000000000002"/>
    <n v="1"/>
    <n v="-20"/>
    <n v="120"/>
  </r>
  <r>
    <x v="18"/>
    <s v="conventional_refinance_HARP_eligible_18"/>
    <x v="58"/>
    <n v="0.97440000000000004"/>
    <n v="1"/>
    <n v="-20"/>
    <n v="120"/>
  </r>
  <r>
    <x v="18"/>
    <s v="conventional_refinance_HARP_eligible_19"/>
    <x v="59"/>
    <n v="0.97519999999999996"/>
    <n v="1"/>
    <n v="-20"/>
    <n v="120"/>
  </r>
  <r>
    <x v="18"/>
    <s v="conventional_refinance_HARP_eligible_20"/>
    <x v="60"/>
    <n v="0.97599999999999998"/>
    <n v="1"/>
    <n v="-20"/>
    <n v="120"/>
  </r>
  <r>
    <x v="18"/>
    <s v="conventional_refinance_HARP_eligible_21"/>
    <x v="61"/>
    <n v="0.9768"/>
    <n v="1"/>
    <n v="-20"/>
    <n v="120"/>
  </r>
  <r>
    <x v="18"/>
    <s v="conventional_refinance_HARP_eligible_22"/>
    <x v="62"/>
    <n v="0.97760000000000002"/>
    <n v="1"/>
    <n v="-20"/>
    <n v="120"/>
  </r>
  <r>
    <x v="18"/>
    <s v="conventional_refinance_HARP_eligible_23"/>
    <x v="63"/>
    <n v="0.97840000000000005"/>
    <n v="1"/>
    <n v="-20"/>
    <n v="120"/>
  </r>
  <r>
    <x v="18"/>
    <s v="conventional_refinance_HARP_eligible_24"/>
    <x v="64"/>
    <n v="0.97919999999999996"/>
    <n v="1"/>
    <n v="-20"/>
    <n v="120"/>
  </r>
  <r>
    <x v="18"/>
    <s v="conventional_refinance_HARP_eligible_25"/>
    <x v="65"/>
    <n v="0.98"/>
    <n v="1"/>
    <n v="-20"/>
    <n v="120"/>
  </r>
  <r>
    <x v="18"/>
    <s v="conventional_refinance_HARP_eligible_26"/>
    <x v="66"/>
    <n v="0.98080000000000001"/>
    <n v="1"/>
    <n v="-20"/>
    <n v="120"/>
  </r>
  <r>
    <x v="18"/>
    <s v="conventional_refinance_HARP_eligible_27"/>
    <x v="67"/>
    <n v="0.98160000000000003"/>
    <n v="1"/>
    <n v="-20"/>
    <n v="120"/>
  </r>
  <r>
    <x v="18"/>
    <s v="conventional_refinance_HARP_eligible_28"/>
    <x v="68"/>
    <n v="0.98240000000000005"/>
    <n v="1"/>
    <n v="-20"/>
    <n v="120"/>
  </r>
  <r>
    <x v="18"/>
    <s v="conventional_refinance_HARP_eligible_29"/>
    <x v="69"/>
    <n v="0.98319999999999996"/>
    <n v="1"/>
    <n v="-20"/>
    <n v="120"/>
  </r>
  <r>
    <x v="18"/>
    <s v="conventional_refinance_HARP_eligible_30"/>
    <x v="70"/>
    <n v="0.98399999999999999"/>
    <n v="1"/>
    <n v="-20"/>
    <n v="120"/>
  </r>
  <r>
    <x v="18"/>
    <s v="conventional_refinance_HARP_eligible_31"/>
    <x v="71"/>
    <n v="0.98480000000000001"/>
    <n v="1"/>
    <n v="-20"/>
    <n v="120"/>
  </r>
  <r>
    <x v="18"/>
    <s v="conventional_refinance_HARP_eligible_32"/>
    <x v="72"/>
    <n v="0.98560000000000003"/>
    <n v="1"/>
    <n v="-20"/>
    <n v="120"/>
  </r>
  <r>
    <x v="18"/>
    <s v="conventional_refinance_HARP_eligible_33"/>
    <x v="73"/>
    <n v="0.98640000000000005"/>
    <n v="1"/>
    <n v="-20"/>
    <n v="120"/>
  </r>
  <r>
    <x v="18"/>
    <s v="conventional_refinance_HARP_eligible_34"/>
    <x v="74"/>
    <n v="0.98719999999999997"/>
    <n v="1"/>
    <n v="-20"/>
    <n v="120"/>
  </r>
  <r>
    <x v="18"/>
    <s v="conventional_refinance_HARP_eligible_35"/>
    <x v="75"/>
    <n v="0.98799999999999999"/>
    <n v="1"/>
    <n v="-20"/>
    <n v="120"/>
  </r>
  <r>
    <x v="18"/>
    <s v="conventional_refinance_HARP_eligible_36"/>
    <x v="76"/>
    <n v="0.98880000000000001"/>
    <n v="1"/>
    <n v="-20"/>
    <n v="120"/>
  </r>
  <r>
    <x v="18"/>
    <s v="conventional_refinance_HARP_eligible_37"/>
    <x v="77"/>
    <n v="0.98960000000000004"/>
    <n v="1"/>
    <n v="-20"/>
    <n v="120"/>
  </r>
  <r>
    <x v="18"/>
    <s v="conventional_refinance_HARP_eligible_38"/>
    <x v="78"/>
    <n v="0.99039999999999995"/>
    <n v="1"/>
    <n v="-20"/>
    <n v="120"/>
  </r>
  <r>
    <x v="18"/>
    <s v="conventional_refinance_HARP_eligible_39"/>
    <x v="79"/>
    <n v="0.99119999999999997"/>
    <n v="1"/>
    <n v="-20"/>
    <n v="120"/>
  </r>
  <r>
    <x v="18"/>
    <s v="conventional_refinance_HARP_eligible_40"/>
    <x v="80"/>
    <n v="0.99199999999999999"/>
    <n v="1"/>
    <n v="-20"/>
    <n v="120"/>
  </r>
  <r>
    <x v="18"/>
    <s v="conventional_refinance_HARP_eligible_41"/>
    <x v="81"/>
    <n v="0.99280000000000002"/>
    <n v="1"/>
    <n v="-20"/>
    <n v="120"/>
  </r>
  <r>
    <x v="18"/>
    <s v="conventional_refinance_HARP_eligible_42"/>
    <x v="82"/>
    <n v="0.99360000000000004"/>
    <n v="1"/>
    <n v="-20"/>
    <n v="120"/>
  </r>
  <r>
    <x v="18"/>
    <s v="conventional_refinance_HARP_eligible_43"/>
    <x v="83"/>
    <n v="0.99439999999999995"/>
    <n v="1"/>
    <n v="-20"/>
    <n v="120"/>
  </r>
  <r>
    <x v="18"/>
    <s v="conventional_refinance_HARP_eligible_44"/>
    <x v="84"/>
    <n v="0.99519999999999997"/>
    <n v="1"/>
    <n v="-20"/>
    <n v="120"/>
  </r>
  <r>
    <x v="18"/>
    <s v="conventional_refinance_HARP_eligible_45"/>
    <x v="85"/>
    <n v="0.996"/>
    <n v="1"/>
    <n v="-20"/>
    <n v="120"/>
  </r>
  <r>
    <x v="18"/>
    <s v="conventional_refinance_HARP_eligible_46"/>
    <x v="86"/>
    <n v="0.99680000000000002"/>
    <n v="1"/>
    <n v="-20"/>
    <n v="120"/>
  </r>
  <r>
    <x v="18"/>
    <s v="conventional_refinance_HARP_eligible_47"/>
    <x v="87"/>
    <n v="0.99760000000000004"/>
    <n v="1"/>
    <n v="-20"/>
    <n v="120"/>
  </r>
  <r>
    <x v="18"/>
    <s v="conventional_refinance_HARP_eligible_48"/>
    <x v="88"/>
    <n v="0.99839999999999995"/>
    <n v="1"/>
    <n v="-20"/>
    <n v="120"/>
  </r>
  <r>
    <x v="18"/>
    <s v="conventional_refinance_HARP_eligible_49"/>
    <x v="89"/>
    <n v="0.99919999999999998"/>
    <n v="1"/>
    <n v="-20"/>
    <n v="120"/>
  </r>
  <r>
    <x v="18"/>
    <s v="conventional_refinance_HARP_eligible_50"/>
    <x v="90"/>
    <n v="1"/>
    <n v="1"/>
    <n v="-20"/>
    <n v="120"/>
  </r>
  <r>
    <x v="18"/>
    <s v="conventional_refinance_HARP_eligible_51"/>
    <x v="91"/>
    <n v="1.0007999999999999"/>
    <n v="1"/>
    <n v="-20"/>
    <n v="120"/>
  </r>
  <r>
    <x v="18"/>
    <s v="conventional_refinance_HARP_eligible_52"/>
    <x v="92"/>
    <n v="1.0016"/>
    <n v="1"/>
    <n v="-20"/>
    <n v="120"/>
  </r>
  <r>
    <x v="18"/>
    <s v="conventional_refinance_HARP_eligible_53"/>
    <x v="93"/>
    <n v="1.0024"/>
    <n v="1"/>
    <n v="-20"/>
    <n v="120"/>
  </r>
  <r>
    <x v="18"/>
    <s v="conventional_refinance_HARP_eligible_54"/>
    <x v="94"/>
    <n v="1.0032000000000001"/>
    <n v="1"/>
    <n v="-20"/>
    <n v="120"/>
  </r>
  <r>
    <x v="18"/>
    <s v="conventional_refinance_HARP_eligible_55"/>
    <x v="95"/>
    <n v="1.004"/>
    <n v="1"/>
    <n v="-20"/>
    <n v="120"/>
  </r>
  <r>
    <x v="18"/>
    <s v="conventional_refinance_HARP_eligible_56"/>
    <x v="96"/>
    <n v="1.0047999999999999"/>
    <n v="1"/>
    <n v="-20"/>
    <n v="120"/>
  </r>
  <r>
    <x v="18"/>
    <s v="conventional_refinance_HARP_eligible_57"/>
    <x v="97"/>
    <n v="1.0056"/>
    <n v="1"/>
    <n v="-20"/>
    <n v="120"/>
  </r>
  <r>
    <x v="18"/>
    <s v="conventional_refinance_HARP_eligible_58"/>
    <x v="98"/>
    <n v="1.0064"/>
    <n v="1"/>
    <n v="-20"/>
    <n v="120"/>
  </r>
  <r>
    <x v="18"/>
    <s v="conventional_refinance_HARP_eligible_59"/>
    <x v="99"/>
    <n v="1.0072000000000001"/>
    <n v="1"/>
    <n v="-20"/>
    <n v="120"/>
  </r>
  <r>
    <x v="18"/>
    <s v="conventional_refinance_HARP_eligible_60"/>
    <x v="100"/>
    <n v="1.008"/>
    <n v="1"/>
    <n v="-20"/>
    <n v="120"/>
  </r>
  <r>
    <x v="18"/>
    <s v="conventional_refinance_HARP_eligible_61"/>
    <x v="101"/>
    <n v="1.0087999999999999"/>
    <n v="1"/>
    <n v="-20"/>
    <n v="120"/>
  </r>
  <r>
    <x v="18"/>
    <s v="conventional_refinance_HARP_eligible_62"/>
    <x v="102"/>
    <n v="1.0096000000000001"/>
    <n v="1"/>
    <n v="-20"/>
    <n v="120"/>
  </r>
  <r>
    <x v="18"/>
    <s v="conventional_refinance_HARP_eligible_63"/>
    <x v="103"/>
    <n v="1.0104"/>
    <n v="1"/>
    <n v="-20"/>
    <n v="120"/>
  </r>
  <r>
    <x v="18"/>
    <s v="conventional_refinance_HARP_eligible_64"/>
    <x v="104"/>
    <n v="1.0112000000000001"/>
    <n v="1"/>
    <n v="-20"/>
    <n v="120"/>
  </r>
  <r>
    <x v="18"/>
    <s v="conventional_refinance_HARP_eligible_65"/>
    <x v="105"/>
    <n v="1.012"/>
    <n v="1"/>
    <n v="-20"/>
    <n v="120"/>
  </r>
  <r>
    <x v="18"/>
    <s v="conventional_refinance_HARP_eligible_66"/>
    <x v="106"/>
    <n v="1.0127999999999999"/>
    <n v="1"/>
    <n v="-20"/>
    <n v="120"/>
  </r>
  <r>
    <x v="18"/>
    <s v="conventional_refinance_HARP_eligible_67"/>
    <x v="107"/>
    <n v="1.0136000000000001"/>
    <n v="1"/>
    <n v="-20"/>
    <n v="120"/>
  </r>
  <r>
    <x v="18"/>
    <s v="conventional_refinance_HARP_eligible_68"/>
    <x v="108"/>
    <n v="1.0144"/>
    <n v="1"/>
    <n v="-20"/>
    <n v="120"/>
  </r>
  <r>
    <x v="18"/>
    <s v="conventional_refinance_HARP_eligible_69"/>
    <x v="109"/>
    <n v="1.0152000000000001"/>
    <n v="1"/>
    <n v="-20"/>
    <n v="120"/>
  </r>
  <r>
    <x v="18"/>
    <s v="conventional_refinance_HARP_eligible_70"/>
    <x v="110"/>
    <n v="1.016"/>
    <n v="1"/>
    <n v="-20"/>
    <n v="120"/>
  </r>
  <r>
    <x v="18"/>
    <s v="conventional_refinance_HARP_eligible_71"/>
    <x v="111"/>
    <n v="1.0167999999999999"/>
    <n v="1"/>
    <n v="-20"/>
    <n v="120"/>
  </r>
  <r>
    <x v="18"/>
    <s v="conventional_refinance_HARP_eligible_72"/>
    <x v="112"/>
    <n v="1.0176000000000001"/>
    <n v="1"/>
    <n v="-20"/>
    <n v="120"/>
  </r>
  <r>
    <x v="18"/>
    <s v="conventional_refinance_HARP_eligible_73"/>
    <x v="113"/>
    <n v="1.0184"/>
    <n v="1"/>
    <n v="-20"/>
    <n v="120"/>
  </r>
  <r>
    <x v="18"/>
    <s v="conventional_refinance_HARP_eligible_74"/>
    <x v="114"/>
    <n v="1.0192000000000001"/>
    <n v="1"/>
    <n v="-20"/>
    <n v="120"/>
  </r>
  <r>
    <x v="18"/>
    <s v="conventional_refinance_HARP_eligible_75"/>
    <x v="115"/>
    <n v="1.02"/>
    <n v="1"/>
    <n v="-20"/>
    <n v="120"/>
  </r>
  <r>
    <x v="18"/>
    <s v="conventional_refinance_HARP_eligible_76"/>
    <x v="116"/>
    <n v="1.0207999999999999"/>
    <n v="1"/>
    <n v="-20"/>
    <n v="120"/>
  </r>
  <r>
    <x v="18"/>
    <s v="conventional_refinance_HARP_eligible_77"/>
    <x v="117"/>
    <n v="1.0216000000000001"/>
    <n v="1"/>
    <n v="-20"/>
    <n v="120"/>
  </r>
  <r>
    <x v="18"/>
    <s v="conventional_refinance_HARP_eligible_78"/>
    <x v="118"/>
    <n v="1.0224"/>
    <n v="1"/>
    <n v="-20"/>
    <n v="120"/>
  </r>
  <r>
    <x v="18"/>
    <s v="conventional_refinance_HARP_eligible_79"/>
    <x v="119"/>
    <n v="1.0232000000000001"/>
    <n v="1"/>
    <n v="-20"/>
    <n v="120"/>
  </r>
  <r>
    <x v="18"/>
    <s v="conventional_refinance_HARP_eligible_80"/>
    <x v="120"/>
    <n v="1.024"/>
    <n v="1"/>
    <n v="-20"/>
    <n v="120"/>
  </r>
  <r>
    <x v="18"/>
    <s v="conventional_refinance_HARP_eligible_81"/>
    <x v="121"/>
    <n v="1.0247999999999999"/>
    <n v="1"/>
    <n v="-20"/>
    <n v="120"/>
  </r>
  <r>
    <x v="18"/>
    <s v="conventional_refinance_HARP_eligible_82"/>
    <x v="122"/>
    <n v="1.0256000000000001"/>
    <n v="1"/>
    <n v="-20"/>
    <n v="120"/>
  </r>
  <r>
    <x v="18"/>
    <s v="conventional_refinance_HARP_eligible_83"/>
    <x v="123"/>
    <n v="1.0264"/>
    <n v="1"/>
    <n v="-20"/>
    <n v="120"/>
  </r>
  <r>
    <x v="18"/>
    <s v="conventional_refinance_HARP_eligible_84"/>
    <x v="124"/>
    <n v="1.0271999999999999"/>
    <n v="1"/>
    <n v="-20"/>
    <n v="120"/>
  </r>
  <r>
    <x v="18"/>
    <s v="conventional_refinance_HARP_eligible_85"/>
    <x v="125"/>
    <n v="1.028"/>
    <n v="1"/>
    <n v="-20"/>
    <n v="120"/>
  </r>
  <r>
    <x v="18"/>
    <s v="conventional_refinance_HARP_eligible_86"/>
    <x v="126"/>
    <n v="1.0287999999999999"/>
    <n v="1"/>
    <n v="-20"/>
    <n v="120"/>
  </r>
  <r>
    <x v="18"/>
    <s v="conventional_refinance_HARP_eligible_87"/>
    <x v="127"/>
    <n v="1.0296000000000001"/>
    <n v="1"/>
    <n v="-20"/>
    <n v="120"/>
  </r>
  <r>
    <x v="18"/>
    <s v="conventional_refinance_HARP_eligible_88"/>
    <x v="128"/>
    <n v="1.0304"/>
    <n v="1"/>
    <n v="-20"/>
    <n v="120"/>
  </r>
  <r>
    <x v="18"/>
    <s v="conventional_refinance_HARP_eligible_89"/>
    <x v="129"/>
    <n v="1.0311999999999999"/>
    <n v="1"/>
    <n v="-20"/>
    <n v="120"/>
  </r>
  <r>
    <x v="18"/>
    <s v="conventional_refinance_HARP_eligible_90"/>
    <x v="130"/>
    <n v="1.032"/>
    <n v="1"/>
    <n v="-20"/>
    <n v="120"/>
  </r>
  <r>
    <x v="18"/>
    <s v="conventional_refinance_HARP_eligible_91"/>
    <x v="131"/>
    <n v="1.0327999999999999"/>
    <n v="1"/>
    <n v="-20"/>
    <n v="120"/>
  </r>
  <r>
    <x v="18"/>
    <s v="conventional_refinance_HARP_eligible_92"/>
    <x v="132"/>
    <n v="1.0336000000000001"/>
    <n v="1"/>
    <n v="-20"/>
    <n v="120"/>
  </r>
  <r>
    <x v="18"/>
    <s v="conventional_refinance_HARP_eligible_93"/>
    <x v="133"/>
    <n v="1.0344"/>
    <n v="1"/>
    <n v="-20"/>
    <n v="120"/>
  </r>
  <r>
    <x v="18"/>
    <s v="conventional_refinance_HARP_eligible_94"/>
    <x v="134"/>
    <n v="1.0351999999999999"/>
    <n v="1"/>
    <n v="-20"/>
    <n v="120"/>
  </r>
  <r>
    <x v="18"/>
    <s v="conventional_refinance_HARP_eligible_95"/>
    <x v="135"/>
    <n v="1.036"/>
    <n v="1"/>
    <n v="-20"/>
    <n v="120"/>
  </r>
  <r>
    <x v="18"/>
    <s v="conventional_refinance_HARP_eligible_96"/>
    <x v="136"/>
    <n v="1.0367999999999999"/>
    <n v="1"/>
    <n v="-20"/>
    <n v="120"/>
  </r>
  <r>
    <x v="18"/>
    <s v="conventional_refinance_HARP_eligible_97"/>
    <x v="137"/>
    <n v="1.0376000000000001"/>
    <n v="1"/>
    <n v="-20"/>
    <n v="120"/>
  </r>
  <r>
    <x v="18"/>
    <s v="conventional_refinance_HARP_eligible_98"/>
    <x v="138"/>
    <n v="1.0384"/>
    <n v="1"/>
    <n v="-20"/>
    <n v="120"/>
  </r>
  <r>
    <x v="18"/>
    <s v="conventional_refinance_HARP_eligible_99"/>
    <x v="139"/>
    <n v="1.0391999999999999"/>
    <n v="1"/>
    <n v="-20"/>
    <n v="120"/>
  </r>
  <r>
    <x v="18"/>
    <s v="conventional_refinance_HARP_eligible_100"/>
    <x v="140"/>
    <n v="1.04"/>
    <n v="1"/>
    <n v="-20"/>
    <n v="120"/>
  </r>
  <r>
    <x v="18"/>
    <s v="conventional_refinance_HARP_eligible_101"/>
    <x v="141"/>
    <n v="1.0407999999999999"/>
    <n v="1"/>
    <n v="-20"/>
    <n v="120"/>
  </r>
  <r>
    <x v="18"/>
    <s v="conventional_refinance_HARP_eligible_102"/>
    <x v="142"/>
    <n v="1.0416000000000001"/>
    <n v="1"/>
    <n v="-20"/>
    <n v="120"/>
  </r>
  <r>
    <x v="18"/>
    <s v="conventional_refinance_HARP_eligible_103"/>
    <x v="143"/>
    <n v="1.0424"/>
    <n v="1"/>
    <n v="-20"/>
    <n v="120"/>
  </r>
  <r>
    <x v="18"/>
    <s v="conventional_refinance_HARP_eligible_104"/>
    <x v="144"/>
    <n v="1.0431999999999999"/>
    <n v="1"/>
    <n v="-20"/>
    <n v="120"/>
  </r>
  <r>
    <x v="18"/>
    <s v="conventional_refinance_HARP_eligible_105"/>
    <x v="145"/>
    <n v="1.044"/>
    <n v="1"/>
    <n v="-20"/>
    <n v="120"/>
  </r>
  <r>
    <x v="18"/>
    <s v="conventional_refinance_HARP_eligible_106"/>
    <x v="146"/>
    <n v="1.0448"/>
    <n v="1"/>
    <n v="-20"/>
    <n v="120"/>
  </r>
  <r>
    <x v="18"/>
    <s v="conventional_refinance_HARP_eligible_107"/>
    <x v="147"/>
    <n v="1.0456000000000001"/>
    <n v="1"/>
    <n v="-20"/>
    <n v="120"/>
  </r>
  <r>
    <x v="18"/>
    <s v="conventional_refinance_HARP_eligible_108"/>
    <x v="148"/>
    <n v="1.0464"/>
    <n v="1"/>
    <n v="-20"/>
    <n v="120"/>
  </r>
  <r>
    <x v="18"/>
    <s v="conventional_refinance_HARP_eligible_109"/>
    <x v="149"/>
    <n v="1.0471999999999999"/>
    <n v="1"/>
    <n v="-20"/>
    <n v="120"/>
  </r>
  <r>
    <x v="18"/>
    <s v="conventional_refinance_HARP_eligible_110"/>
    <x v="150"/>
    <n v="1.048"/>
    <n v="1"/>
    <n v="-20"/>
    <n v="120"/>
  </r>
  <r>
    <x v="18"/>
    <s v="conventional_refinance_HARP_eligible_111"/>
    <x v="151"/>
    <n v="1.0488"/>
    <n v="1"/>
    <n v="-20"/>
    <n v="120"/>
  </r>
  <r>
    <x v="18"/>
    <s v="conventional_refinance_HARP_eligible_112"/>
    <x v="152"/>
    <n v="1.0496000000000001"/>
    <n v="1"/>
    <n v="-20"/>
    <n v="120"/>
  </r>
  <r>
    <x v="18"/>
    <s v="conventional_refinance_HARP_eligible_113"/>
    <x v="153"/>
    <n v="1.0504"/>
    <n v="1"/>
    <n v="-20"/>
    <n v="120"/>
  </r>
  <r>
    <x v="18"/>
    <s v="conventional_refinance_HARP_eligible_114"/>
    <x v="154"/>
    <n v="1.0511999999999999"/>
    <n v="1"/>
    <n v="-20"/>
    <n v="120"/>
  </r>
  <r>
    <x v="18"/>
    <s v="conventional_refinance_HARP_eligible_115"/>
    <x v="155"/>
    <n v="1.052"/>
    <n v="1"/>
    <n v="-20"/>
    <n v="120"/>
  </r>
  <r>
    <x v="18"/>
    <s v="conventional_refinance_HARP_eligible_116"/>
    <x v="156"/>
    <n v="1.0528"/>
    <n v="1"/>
    <n v="-20"/>
    <n v="120"/>
  </r>
  <r>
    <x v="18"/>
    <s v="conventional_refinance_HARP_eligible_117"/>
    <x v="157"/>
    <n v="1.0536000000000001"/>
    <n v="1"/>
    <n v="-20"/>
    <n v="120"/>
  </r>
  <r>
    <x v="18"/>
    <s v="conventional_refinance_HARP_eligible_118"/>
    <x v="158"/>
    <n v="1.0544"/>
    <n v="1"/>
    <n v="-20"/>
    <n v="120"/>
  </r>
  <r>
    <x v="18"/>
    <s v="conventional_refinance_HARP_eligible_119"/>
    <x v="159"/>
    <n v="1.0551999999999999"/>
    <n v="1"/>
    <n v="-20"/>
    <n v="120"/>
  </r>
  <r>
    <x v="18"/>
    <s v="conventional_refinance_HARP_eligible_120"/>
    <x v="160"/>
    <n v="1.056"/>
    <n v="1"/>
    <n v="-20"/>
    <n v="120"/>
  </r>
  <r>
    <x v="19"/>
    <s v="conventional_refinance_purch_oltv_52"/>
    <x v="92"/>
    <n v="0.85799999999999998"/>
    <n v="1"/>
    <n v="52"/>
    <n v="108"/>
  </r>
  <r>
    <x v="19"/>
    <s v="conventional_refinance_purch_oltv_53"/>
    <x v="93"/>
    <n v="0.85799999999999998"/>
    <n v="1"/>
    <n v="52"/>
    <n v="108"/>
  </r>
  <r>
    <x v="19"/>
    <s v="conventional_refinance_purch_oltv_54"/>
    <x v="94"/>
    <n v="0.85799999999999998"/>
    <n v="1"/>
    <n v="52"/>
    <n v="108"/>
  </r>
  <r>
    <x v="19"/>
    <s v="conventional_refinance_purch_oltv_55"/>
    <x v="95"/>
    <n v="0.85799999999999998"/>
    <n v="1"/>
    <n v="52"/>
    <n v="108"/>
  </r>
  <r>
    <x v="19"/>
    <s v="conventional_refinance_purch_oltv_56"/>
    <x v="96"/>
    <n v="0.85799999999999998"/>
    <n v="1"/>
    <n v="52"/>
    <n v="108"/>
  </r>
  <r>
    <x v="19"/>
    <s v="conventional_refinance_purch_oltv_57"/>
    <x v="97"/>
    <n v="0.85799999999999998"/>
    <n v="1"/>
    <n v="52"/>
    <n v="108"/>
  </r>
  <r>
    <x v="19"/>
    <s v="conventional_refinance_purch_oltv_58"/>
    <x v="98"/>
    <n v="0.85799999999999998"/>
    <n v="1"/>
    <n v="52"/>
    <n v="108"/>
  </r>
  <r>
    <x v="19"/>
    <s v="conventional_refinance_purch_oltv_59"/>
    <x v="99"/>
    <n v="0.85799999999999998"/>
    <n v="1"/>
    <n v="52"/>
    <n v="108"/>
  </r>
  <r>
    <x v="19"/>
    <s v="conventional_refinance_purch_oltv_60"/>
    <x v="100"/>
    <n v="0.85799999999999998"/>
    <n v="1"/>
    <n v="52"/>
    <n v="108"/>
  </r>
  <r>
    <x v="19"/>
    <s v="conventional_refinance_purch_oltv_61"/>
    <x v="101"/>
    <n v="0.85799999999999998"/>
    <n v="1"/>
    <n v="52"/>
    <n v="108"/>
  </r>
  <r>
    <x v="19"/>
    <s v="conventional_refinance_purch_oltv_62"/>
    <x v="102"/>
    <n v="0.85799999999999998"/>
    <n v="1"/>
    <n v="52"/>
    <n v="108"/>
  </r>
  <r>
    <x v="19"/>
    <s v="conventional_refinance_purch_oltv_63"/>
    <x v="103"/>
    <n v="0.85799999999999998"/>
    <n v="1"/>
    <n v="52"/>
    <n v="108"/>
  </r>
  <r>
    <x v="19"/>
    <s v="conventional_refinance_purch_oltv_64"/>
    <x v="104"/>
    <n v="0.85799999999999998"/>
    <n v="1"/>
    <n v="52"/>
    <n v="108"/>
  </r>
  <r>
    <x v="19"/>
    <s v="conventional_refinance_purch_oltv_65"/>
    <x v="105"/>
    <n v="0.85799999999999998"/>
    <n v="1"/>
    <n v="52"/>
    <n v="108"/>
  </r>
  <r>
    <x v="19"/>
    <s v="conventional_refinance_purch_oltv_66"/>
    <x v="106"/>
    <n v="0.85799999999999998"/>
    <n v="1"/>
    <n v="52"/>
    <n v="108"/>
  </r>
  <r>
    <x v="19"/>
    <s v="conventional_refinance_purch_oltv_67"/>
    <x v="107"/>
    <n v="0.85799999999999998"/>
    <n v="1"/>
    <n v="52"/>
    <n v="108"/>
  </r>
  <r>
    <x v="19"/>
    <s v="conventional_refinance_purch_oltv_68"/>
    <x v="108"/>
    <n v="0.85799999999999998"/>
    <n v="1"/>
    <n v="52"/>
    <n v="108"/>
  </r>
  <r>
    <x v="19"/>
    <s v="conventional_refinance_purch_oltv_69"/>
    <x v="109"/>
    <n v="0.85799999999999998"/>
    <n v="1"/>
    <n v="52"/>
    <n v="108"/>
  </r>
  <r>
    <x v="19"/>
    <s v="conventional_refinance_purch_oltv_70"/>
    <x v="110"/>
    <n v="0.85799999999999998"/>
    <n v="1"/>
    <n v="52"/>
    <n v="108"/>
  </r>
  <r>
    <x v="19"/>
    <s v="conventional_refinance_purch_oltv_71"/>
    <x v="111"/>
    <n v="0.85799999999999998"/>
    <n v="1"/>
    <n v="52"/>
    <n v="108"/>
  </r>
  <r>
    <x v="19"/>
    <s v="conventional_refinance_purch_oltv_72"/>
    <x v="112"/>
    <n v="0.85799999999999998"/>
    <n v="1"/>
    <n v="52"/>
    <n v="108"/>
  </r>
  <r>
    <x v="19"/>
    <s v="conventional_refinance_purch_oltv_73"/>
    <x v="113"/>
    <n v="0.85799999999999998"/>
    <n v="1"/>
    <n v="52"/>
    <n v="108"/>
  </r>
  <r>
    <x v="19"/>
    <s v="conventional_refinance_purch_oltv_74"/>
    <x v="114"/>
    <n v="0.85799999999999998"/>
    <n v="1"/>
    <n v="52"/>
    <n v="108"/>
  </r>
  <r>
    <x v="19"/>
    <s v="conventional_refinance_purch_oltv_75"/>
    <x v="115"/>
    <n v="0.85799999999999998"/>
    <n v="1"/>
    <n v="52"/>
    <n v="108"/>
  </r>
  <r>
    <x v="19"/>
    <s v="conventional_refinance_purch_oltv_76"/>
    <x v="116"/>
    <n v="0.85799999999999998"/>
    <n v="1"/>
    <n v="52"/>
    <n v="108"/>
  </r>
  <r>
    <x v="19"/>
    <s v="conventional_refinance_purch_oltv_77"/>
    <x v="117"/>
    <n v="0.85799999999999998"/>
    <n v="1"/>
    <n v="52"/>
    <n v="108"/>
  </r>
  <r>
    <x v="19"/>
    <s v="conventional_refinance_purch_oltv_78"/>
    <x v="118"/>
    <n v="0.85799999999999998"/>
    <n v="1"/>
    <n v="52"/>
    <n v="108"/>
  </r>
  <r>
    <x v="19"/>
    <s v="conventional_refinance_purch_oltv_79"/>
    <x v="119"/>
    <n v="0.85799999999999998"/>
    <n v="1"/>
    <n v="52"/>
    <n v="108"/>
  </r>
  <r>
    <x v="19"/>
    <s v="conventional_refinance_purch_oltv_80"/>
    <x v="120"/>
    <n v="0.85799999999999998"/>
    <n v="1"/>
    <n v="52"/>
    <n v="108"/>
  </r>
  <r>
    <x v="19"/>
    <s v="conventional_refinance_purch_oltv_81"/>
    <x v="121"/>
    <n v="0.86040799999999995"/>
    <n v="1"/>
    <n v="52"/>
    <n v="108"/>
  </r>
  <r>
    <x v="19"/>
    <s v="conventional_refinance_purch_oltv_82"/>
    <x v="122"/>
    <n v="0.86694400000000005"/>
    <n v="1"/>
    <n v="52"/>
    <n v="108"/>
  </r>
  <r>
    <x v="19"/>
    <s v="conventional_refinance_purch_oltv_83"/>
    <x v="123"/>
    <n v="0.87657600000000002"/>
    <n v="1"/>
    <n v="52"/>
    <n v="108"/>
  </r>
  <r>
    <x v="19"/>
    <s v="conventional_refinance_purch_oltv_84"/>
    <x v="124"/>
    <n v="0.88827199999999995"/>
    <n v="1"/>
    <n v="52"/>
    <n v="108"/>
  </r>
  <r>
    <x v="19"/>
    <s v="conventional_refinance_purch_oltv_85"/>
    <x v="125"/>
    <n v="0.90100000000000002"/>
    <n v="1"/>
    <n v="52"/>
    <n v="108"/>
  </r>
  <r>
    <x v="19"/>
    <s v="conventional_refinance_purch_oltv_86"/>
    <x v="126"/>
    <n v="0.91372799999999998"/>
    <n v="1"/>
    <n v="52"/>
    <n v="108"/>
  </r>
  <r>
    <x v="19"/>
    <s v="conventional_refinance_purch_oltv_87"/>
    <x v="127"/>
    <n v="0.92542400000000002"/>
    <n v="1"/>
    <n v="52"/>
    <n v="108"/>
  </r>
  <r>
    <x v="19"/>
    <s v="conventional_refinance_purch_oltv_88"/>
    <x v="128"/>
    <n v="0.935056"/>
    <n v="1"/>
    <n v="52"/>
    <n v="108"/>
  </r>
  <r>
    <x v="19"/>
    <s v="conventional_refinance_purch_oltv_89"/>
    <x v="129"/>
    <n v="0.94159199999999998"/>
    <n v="1"/>
    <n v="52"/>
    <n v="108"/>
  </r>
  <r>
    <x v="19"/>
    <s v="conventional_refinance_purch_oltv_90"/>
    <x v="130"/>
    <n v="0.94399999999999995"/>
    <n v="1"/>
    <n v="52"/>
    <n v="108"/>
  </r>
  <r>
    <x v="19"/>
    <s v="conventional_refinance_purch_oltv_91"/>
    <x v="131"/>
    <n v="0.94399999999999995"/>
    <n v="1"/>
    <n v="52"/>
    <n v="108"/>
  </r>
  <r>
    <x v="19"/>
    <s v="conventional_refinance_purch_oltv_92"/>
    <x v="132"/>
    <n v="0.94399999999999995"/>
    <n v="1"/>
    <n v="52"/>
    <n v="108"/>
  </r>
  <r>
    <x v="19"/>
    <s v="conventional_refinance_purch_oltv_93"/>
    <x v="133"/>
    <n v="0.94399999999999995"/>
    <n v="1"/>
    <n v="52"/>
    <n v="108"/>
  </r>
  <r>
    <x v="19"/>
    <s v="conventional_refinance_purch_oltv_94"/>
    <x v="134"/>
    <n v="0.94399999999999995"/>
    <n v="1"/>
    <n v="52"/>
    <n v="108"/>
  </r>
  <r>
    <x v="19"/>
    <s v="conventional_refinance_purch_oltv_95"/>
    <x v="135"/>
    <n v="0.94399999999999995"/>
    <n v="1"/>
    <n v="52"/>
    <n v="108"/>
  </r>
  <r>
    <x v="19"/>
    <s v="conventional_refinance_purch_oltv_96"/>
    <x v="136"/>
    <n v="0.94399999999999995"/>
    <n v="1"/>
    <n v="52"/>
    <n v="108"/>
  </r>
  <r>
    <x v="19"/>
    <s v="conventional_refinance_purch_oltv_97"/>
    <x v="137"/>
    <n v="0.94399999999999995"/>
    <n v="1"/>
    <n v="52"/>
    <n v="108"/>
  </r>
  <r>
    <x v="19"/>
    <s v="conventional_refinance_purch_oltv_98"/>
    <x v="138"/>
    <n v="0.94399999999999995"/>
    <n v="1"/>
    <n v="52"/>
    <n v="108"/>
  </r>
  <r>
    <x v="19"/>
    <s v="conventional_refinance_purch_oltv_99"/>
    <x v="139"/>
    <n v="0.94399999999999995"/>
    <n v="1"/>
    <n v="52"/>
    <n v="108"/>
  </r>
  <r>
    <x v="19"/>
    <s v="conventional_refinance_purch_oltv_100"/>
    <x v="140"/>
    <n v="0.94399999999999995"/>
    <n v="1"/>
    <n v="52"/>
    <n v="108"/>
  </r>
  <r>
    <x v="19"/>
    <s v="conventional_refinance_purch_oltv_101"/>
    <x v="141"/>
    <n v="0.94399999999999995"/>
    <n v="1"/>
    <n v="52"/>
    <n v="108"/>
  </r>
  <r>
    <x v="19"/>
    <s v="conventional_refinance_purch_oltv_102"/>
    <x v="142"/>
    <n v="0.94399999999999995"/>
    <n v="1"/>
    <n v="52"/>
    <n v="108"/>
  </r>
  <r>
    <x v="19"/>
    <s v="conventional_refinance_purch_oltv_103"/>
    <x v="143"/>
    <n v="0.94399999999999995"/>
    <n v="1"/>
    <n v="52"/>
    <n v="108"/>
  </r>
  <r>
    <x v="19"/>
    <s v="conventional_refinance_purch_oltv_104"/>
    <x v="144"/>
    <n v="0.94399999999999995"/>
    <n v="1"/>
    <n v="52"/>
    <n v="108"/>
  </r>
  <r>
    <x v="19"/>
    <s v="conventional_refinance_purch_oltv_105"/>
    <x v="145"/>
    <n v="0.94399999999999995"/>
    <n v="1"/>
    <n v="52"/>
    <n v="108"/>
  </r>
  <r>
    <x v="19"/>
    <s v="conventional_refinance_purch_oltv_106"/>
    <x v="146"/>
    <n v="0.94399999999999995"/>
    <n v="1"/>
    <n v="52"/>
    <n v="108"/>
  </r>
  <r>
    <x v="19"/>
    <s v="conventional_refinance_purch_oltv_107"/>
    <x v="147"/>
    <n v="0.94399999999999995"/>
    <n v="1"/>
    <n v="52"/>
    <n v="108"/>
  </r>
  <r>
    <x v="19"/>
    <s v="conventional_refinance_purch_oltv_108"/>
    <x v="148"/>
    <n v="0.94399999999999995"/>
    <n v="1"/>
    <n v="52"/>
    <n v="108"/>
  </r>
  <r>
    <x v="20"/>
    <s v="conventional_refinance_refi_HARP_oltv_47"/>
    <x v="87"/>
    <n v="1"/>
    <n v="1"/>
    <n v="47"/>
    <n v="138"/>
  </r>
  <r>
    <x v="20"/>
    <s v="conventional_refinance_refi_HARP_oltv_48"/>
    <x v="88"/>
    <n v="1"/>
    <n v="1"/>
    <n v="47"/>
    <n v="138"/>
  </r>
  <r>
    <x v="20"/>
    <s v="conventional_refinance_refi_HARP_oltv_49"/>
    <x v="89"/>
    <n v="1"/>
    <n v="1"/>
    <n v="47"/>
    <n v="138"/>
  </r>
  <r>
    <x v="20"/>
    <s v="conventional_refinance_refi_HARP_oltv_50"/>
    <x v="90"/>
    <n v="1"/>
    <n v="1"/>
    <n v="47"/>
    <n v="138"/>
  </r>
  <r>
    <x v="20"/>
    <s v="conventional_refinance_refi_HARP_oltv_51"/>
    <x v="91"/>
    <n v="1"/>
    <n v="1"/>
    <n v="47"/>
    <n v="138"/>
  </r>
  <r>
    <x v="20"/>
    <s v="conventional_refinance_refi_HARP_oltv_52"/>
    <x v="92"/>
    <n v="1"/>
    <n v="1"/>
    <n v="47"/>
    <n v="138"/>
  </r>
  <r>
    <x v="20"/>
    <s v="conventional_refinance_refi_HARP_oltv_53"/>
    <x v="93"/>
    <n v="1"/>
    <n v="1"/>
    <n v="47"/>
    <n v="138"/>
  </r>
  <r>
    <x v="20"/>
    <s v="conventional_refinance_refi_HARP_oltv_54"/>
    <x v="94"/>
    <n v="1"/>
    <n v="1"/>
    <n v="47"/>
    <n v="138"/>
  </r>
  <r>
    <x v="20"/>
    <s v="conventional_refinance_refi_HARP_oltv_55"/>
    <x v="95"/>
    <n v="1"/>
    <n v="1"/>
    <n v="47"/>
    <n v="138"/>
  </r>
  <r>
    <x v="20"/>
    <s v="conventional_refinance_refi_HARP_oltv_56"/>
    <x v="96"/>
    <n v="1"/>
    <n v="1"/>
    <n v="47"/>
    <n v="138"/>
  </r>
  <r>
    <x v="20"/>
    <s v="conventional_refinance_refi_HARP_oltv_57"/>
    <x v="97"/>
    <n v="1"/>
    <n v="1"/>
    <n v="47"/>
    <n v="138"/>
  </r>
  <r>
    <x v="20"/>
    <s v="conventional_refinance_refi_HARP_oltv_58"/>
    <x v="98"/>
    <n v="1"/>
    <n v="1"/>
    <n v="47"/>
    <n v="138"/>
  </r>
  <r>
    <x v="20"/>
    <s v="conventional_refinance_refi_HARP_oltv_59"/>
    <x v="99"/>
    <n v="1"/>
    <n v="1"/>
    <n v="47"/>
    <n v="138"/>
  </r>
  <r>
    <x v="20"/>
    <s v="conventional_refinance_refi_HARP_oltv_60"/>
    <x v="100"/>
    <n v="1"/>
    <n v="1"/>
    <n v="47"/>
    <n v="138"/>
  </r>
  <r>
    <x v="20"/>
    <s v="conventional_refinance_refi_HARP_oltv_61"/>
    <x v="101"/>
    <n v="1"/>
    <n v="1"/>
    <n v="47"/>
    <n v="138"/>
  </r>
  <r>
    <x v="20"/>
    <s v="conventional_refinance_refi_HARP_oltv_62"/>
    <x v="102"/>
    <n v="1"/>
    <n v="1"/>
    <n v="47"/>
    <n v="138"/>
  </r>
  <r>
    <x v="20"/>
    <s v="conventional_refinance_refi_HARP_oltv_63"/>
    <x v="103"/>
    <n v="1"/>
    <n v="1"/>
    <n v="47"/>
    <n v="138"/>
  </r>
  <r>
    <x v="20"/>
    <s v="conventional_refinance_refi_HARP_oltv_64"/>
    <x v="104"/>
    <n v="1"/>
    <n v="1"/>
    <n v="47"/>
    <n v="138"/>
  </r>
  <r>
    <x v="20"/>
    <s v="conventional_refinance_refi_HARP_oltv_65"/>
    <x v="105"/>
    <n v="1"/>
    <n v="1"/>
    <n v="47"/>
    <n v="138"/>
  </r>
  <r>
    <x v="20"/>
    <s v="conventional_refinance_refi_HARP_oltv_66"/>
    <x v="106"/>
    <n v="1"/>
    <n v="1"/>
    <n v="47"/>
    <n v="138"/>
  </r>
  <r>
    <x v="20"/>
    <s v="conventional_refinance_refi_HARP_oltv_67"/>
    <x v="107"/>
    <n v="1"/>
    <n v="1"/>
    <n v="47"/>
    <n v="138"/>
  </r>
  <r>
    <x v="20"/>
    <s v="conventional_refinance_refi_HARP_oltv_68"/>
    <x v="108"/>
    <n v="1"/>
    <n v="1"/>
    <n v="47"/>
    <n v="138"/>
  </r>
  <r>
    <x v="20"/>
    <s v="conventional_refinance_refi_HARP_oltv_69"/>
    <x v="109"/>
    <n v="1"/>
    <n v="1"/>
    <n v="47"/>
    <n v="138"/>
  </r>
  <r>
    <x v="20"/>
    <s v="conventional_refinance_refi_HARP_oltv_70"/>
    <x v="110"/>
    <n v="1"/>
    <n v="1"/>
    <n v="47"/>
    <n v="138"/>
  </r>
  <r>
    <x v="20"/>
    <s v="conventional_refinance_refi_HARP_oltv_71"/>
    <x v="111"/>
    <n v="1"/>
    <n v="1"/>
    <n v="47"/>
    <n v="138"/>
  </r>
  <r>
    <x v="20"/>
    <s v="conventional_refinance_refi_HARP_oltv_72"/>
    <x v="112"/>
    <n v="1"/>
    <n v="1"/>
    <n v="47"/>
    <n v="138"/>
  </r>
  <r>
    <x v="20"/>
    <s v="conventional_refinance_refi_HARP_oltv_73"/>
    <x v="113"/>
    <n v="1"/>
    <n v="1"/>
    <n v="47"/>
    <n v="138"/>
  </r>
  <r>
    <x v="20"/>
    <s v="conventional_refinance_refi_HARP_oltv_74"/>
    <x v="114"/>
    <n v="1"/>
    <n v="1"/>
    <n v="47"/>
    <n v="138"/>
  </r>
  <r>
    <x v="20"/>
    <s v="conventional_refinance_refi_HARP_oltv_75"/>
    <x v="115"/>
    <n v="1"/>
    <n v="1"/>
    <n v="47"/>
    <n v="138"/>
  </r>
  <r>
    <x v="20"/>
    <s v="conventional_refinance_refi_HARP_oltv_76"/>
    <x v="116"/>
    <n v="1"/>
    <n v="1"/>
    <n v="47"/>
    <n v="138"/>
  </r>
  <r>
    <x v="20"/>
    <s v="conventional_refinance_refi_HARP_oltv_77"/>
    <x v="117"/>
    <n v="1"/>
    <n v="1"/>
    <n v="47"/>
    <n v="138"/>
  </r>
  <r>
    <x v="20"/>
    <s v="conventional_refinance_refi_HARP_oltv_78"/>
    <x v="118"/>
    <n v="1"/>
    <n v="1"/>
    <n v="47"/>
    <n v="138"/>
  </r>
  <r>
    <x v="20"/>
    <s v="conventional_refinance_refi_HARP_oltv_79"/>
    <x v="119"/>
    <n v="1"/>
    <n v="1"/>
    <n v="47"/>
    <n v="138"/>
  </r>
  <r>
    <x v="20"/>
    <s v="conventional_refinance_refi_HARP_oltv_80"/>
    <x v="120"/>
    <n v="1"/>
    <n v="1"/>
    <n v="47"/>
    <n v="138"/>
  </r>
  <r>
    <x v="20"/>
    <s v="conventional_refinance_refi_HARP_oltv_81"/>
    <x v="121"/>
    <n v="1"/>
    <n v="1"/>
    <n v="47"/>
    <n v="138"/>
  </r>
  <r>
    <x v="20"/>
    <s v="conventional_refinance_refi_HARP_oltv_82"/>
    <x v="122"/>
    <n v="1"/>
    <n v="1"/>
    <n v="47"/>
    <n v="138"/>
  </r>
  <r>
    <x v="20"/>
    <s v="conventional_refinance_refi_HARP_oltv_83"/>
    <x v="123"/>
    <n v="1"/>
    <n v="1"/>
    <n v="47"/>
    <n v="138"/>
  </r>
  <r>
    <x v="20"/>
    <s v="conventional_refinance_refi_HARP_oltv_84"/>
    <x v="124"/>
    <n v="1"/>
    <n v="1"/>
    <n v="47"/>
    <n v="138"/>
  </r>
  <r>
    <x v="20"/>
    <s v="conventional_refinance_refi_HARP_oltv_85"/>
    <x v="125"/>
    <n v="1"/>
    <n v="1"/>
    <n v="47"/>
    <n v="138"/>
  </r>
  <r>
    <x v="20"/>
    <s v="conventional_refinance_refi_HARP_oltv_86"/>
    <x v="126"/>
    <n v="1"/>
    <n v="1"/>
    <n v="47"/>
    <n v="138"/>
  </r>
  <r>
    <x v="20"/>
    <s v="conventional_refinance_refi_HARP_oltv_87"/>
    <x v="127"/>
    <n v="1"/>
    <n v="1"/>
    <n v="47"/>
    <n v="138"/>
  </r>
  <r>
    <x v="20"/>
    <s v="conventional_refinance_refi_HARP_oltv_88"/>
    <x v="128"/>
    <n v="1"/>
    <n v="1"/>
    <n v="47"/>
    <n v="138"/>
  </r>
  <r>
    <x v="20"/>
    <s v="conventional_refinance_refi_HARP_oltv_89"/>
    <x v="129"/>
    <n v="1"/>
    <n v="1"/>
    <n v="47"/>
    <n v="138"/>
  </r>
  <r>
    <x v="20"/>
    <s v="conventional_refinance_refi_HARP_oltv_90"/>
    <x v="130"/>
    <n v="1"/>
    <n v="1"/>
    <n v="47"/>
    <n v="138"/>
  </r>
  <r>
    <x v="20"/>
    <s v="conventional_refinance_refi_HARP_oltv_91"/>
    <x v="131"/>
    <n v="1"/>
    <n v="1"/>
    <n v="47"/>
    <n v="138"/>
  </r>
  <r>
    <x v="20"/>
    <s v="conventional_refinance_refi_HARP_oltv_92"/>
    <x v="132"/>
    <n v="1"/>
    <n v="1"/>
    <n v="47"/>
    <n v="138"/>
  </r>
  <r>
    <x v="20"/>
    <s v="conventional_refinance_refi_HARP_oltv_93"/>
    <x v="133"/>
    <n v="1"/>
    <n v="1"/>
    <n v="47"/>
    <n v="138"/>
  </r>
  <r>
    <x v="20"/>
    <s v="conventional_refinance_refi_HARP_oltv_94"/>
    <x v="134"/>
    <n v="1"/>
    <n v="1"/>
    <n v="47"/>
    <n v="138"/>
  </r>
  <r>
    <x v="20"/>
    <s v="conventional_refinance_refi_HARP_oltv_95"/>
    <x v="135"/>
    <n v="1"/>
    <n v="1"/>
    <n v="47"/>
    <n v="138"/>
  </r>
  <r>
    <x v="20"/>
    <s v="conventional_refinance_refi_HARP_oltv_96"/>
    <x v="136"/>
    <n v="1"/>
    <n v="1"/>
    <n v="47"/>
    <n v="138"/>
  </r>
  <r>
    <x v="20"/>
    <s v="conventional_refinance_refi_HARP_oltv_97"/>
    <x v="137"/>
    <n v="1"/>
    <n v="1"/>
    <n v="47"/>
    <n v="138"/>
  </r>
  <r>
    <x v="20"/>
    <s v="conventional_refinance_refi_HARP_oltv_98"/>
    <x v="138"/>
    <n v="1"/>
    <n v="1"/>
    <n v="47"/>
    <n v="138"/>
  </r>
  <r>
    <x v="20"/>
    <s v="conventional_refinance_refi_HARP_oltv_99"/>
    <x v="139"/>
    <n v="1"/>
    <n v="1"/>
    <n v="47"/>
    <n v="138"/>
  </r>
  <r>
    <x v="20"/>
    <s v="conventional_refinance_refi_HARP_oltv_100"/>
    <x v="140"/>
    <n v="1"/>
    <n v="1"/>
    <n v="47"/>
    <n v="138"/>
  </r>
  <r>
    <x v="20"/>
    <s v="conventional_refinance_refi_HARP_oltv_101"/>
    <x v="141"/>
    <n v="0.99540799999999996"/>
    <n v="1"/>
    <n v="47"/>
    <n v="138"/>
  </r>
  <r>
    <x v="20"/>
    <s v="conventional_refinance_refi_HARP_oltv_102"/>
    <x v="142"/>
    <n v="0.98294400000000004"/>
    <n v="1"/>
    <n v="47"/>
    <n v="138"/>
  </r>
  <r>
    <x v="20"/>
    <s v="conventional_refinance_refi_HARP_oltv_103"/>
    <x v="143"/>
    <n v="0.96457599999999999"/>
    <n v="1"/>
    <n v="47"/>
    <n v="138"/>
  </r>
  <r>
    <x v="20"/>
    <s v="conventional_refinance_refi_HARP_oltv_104"/>
    <x v="144"/>
    <n v="0.942272"/>
    <n v="1"/>
    <n v="47"/>
    <n v="138"/>
  </r>
  <r>
    <x v="20"/>
    <s v="conventional_refinance_refi_HARP_oltv_105"/>
    <x v="145"/>
    <n v="0.91800000000000004"/>
    <n v="1"/>
    <n v="47"/>
    <n v="138"/>
  </r>
  <r>
    <x v="20"/>
    <s v="conventional_refinance_refi_HARP_oltv_106"/>
    <x v="146"/>
    <n v="0.89372799999999997"/>
    <n v="1"/>
    <n v="47"/>
    <n v="138"/>
  </r>
  <r>
    <x v="20"/>
    <s v="conventional_refinance_refi_HARP_oltv_107"/>
    <x v="147"/>
    <n v="0.87142399999999998"/>
    <n v="1"/>
    <n v="47"/>
    <n v="138"/>
  </r>
  <r>
    <x v="20"/>
    <s v="conventional_refinance_refi_HARP_oltv_108"/>
    <x v="148"/>
    <n v="0.85305600000000004"/>
    <n v="1"/>
    <n v="47"/>
    <n v="138"/>
  </r>
  <r>
    <x v="20"/>
    <s v="conventional_refinance_refi_HARP_oltv_109"/>
    <x v="149"/>
    <n v="0.84059200000000001"/>
    <n v="1"/>
    <n v="47"/>
    <n v="138"/>
  </r>
  <r>
    <x v="20"/>
    <s v="conventional_refinance_refi_HARP_oltv_110"/>
    <x v="150"/>
    <n v="0.83599999999999997"/>
    <n v="1"/>
    <n v="47"/>
    <n v="138"/>
  </r>
  <r>
    <x v="20"/>
    <s v="conventional_refinance_refi_HARP_oltv_111"/>
    <x v="151"/>
    <n v="0.83599999999999997"/>
    <n v="1"/>
    <n v="47"/>
    <n v="138"/>
  </r>
  <r>
    <x v="20"/>
    <s v="conventional_refinance_refi_HARP_oltv_112"/>
    <x v="152"/>
    <n v="0.83599999999999997"/>
    <n v="1"/>
    <n v="47"/>
    <n v="138"/>
  </r>
  <r>
    <x v="20"/>
    <s v="conventional_refinance_refi_HARP_oltv_113"/>
    <x v="153"/>
    <n v="0.83599999999999997"/>
    <n v="1"/>
    <n v="47"/>
    <n v="138"/>
  </r>
  <r>
    <x v="20"/>
    <s v="conventional_refinance_refi_HARP_oltv_114"/>
    <x v="154"/>
    <n v="0.83599999999999997"/>
    <n v="1"/>
    <n v="47"/>
    <n v="138"/>
  </r>
  <r>
    <x v="20"/>
    <s v="conventional_refinance_refi_HARP_oltv_115"/>
    <x v="155"/>
    <n v="0.83599999999999997"/>
    <n v="1"/>
    <n v="47"/>
    <n v="138"/>
  </r>
  <r>
    <x v="20"/>
    <s v="conventional_refinance_refi_HARP_oltv_116"/>
    <x v="156"/>
    <n v="0.83599999999999997"/>
    <n v="1"/>
    <n v="47"/>
    <n v="138"/>
  </r>
  <r>
    <x v="20"/>
    <s v="conventional_refinance_refi_HARP_oltv_117"/>
    <x v="157"/>
    <n v="0.83599999999999997"/>
    <n v="1"/>
    <n v="47"/>
    <n v="138"/>
  </r>
  <r>
    <x v="20"/>
    <s v="conventional_refinance_refi_HARP_oltv_118"/>
    <x v="158"/>
    <n v="0.83599999999999997"/>
    <n v="1"/>
    <n v="47"/>
    <n v="138"/>
  </r>
  <r>
    <x v="20"/>
    <s v="conventional_refinance_refi_HARP_oltv_119"/>
    <x v="159"/>
    <n v="0.83599999999999997"/>
    <n v="1"/>
    <n v="47"/>
    <n v="138"/>
  </r>
  <r>
    <x v="20"/>
    <s v="conventional_refinance_refi_HARP_oltv_120"/>
    <x v="160"/>
    <n v="0.83599999999999997"/>
    <n v="1"/>
    <n v="47"/>
    <n v="138"/>
  </r>
  <r>
    <x v="20"/>
    <s v="conventional_refinance_refi_HARP_oltv_121"/>
    <x v="161"/>
    <n v="0.83599999999999997"/>
    <n v="1"/>
    <n v="47"/>
    <n v="138"/>
  </r>
  <r>
    <x v="20"/>
    <s v="conventional_refinance_refi_HARP_oltv_122"/>
    <x v="162"/>
    <n v="0.83599999999999997"/>
    <n v="1"/>
    <n v="47"/>
    <n v="138"/>
  </r>
  <r>
    <x v="20"/>
    <s v="conventional_refinance_refi_HARP_oltv_123"/>
    <x v="163"/>
    <n v="0.83599999999999997"/>
    <n v="1"/>
    <n v="47"/>
    <n v="138"/>
  </r>
  <r>
    <x v="20"/>
    <s v="conventional_refinance_refi_HARP_oltv_124"/>
    <x v="164"/>
    <n v="0.83599999999999997"/>
    <n v="1"/>
    <n v="47"/>
    <n v="138"/>
  </r>
  <r>
    <x v="20"/>
    <s v="conventional_refinance_refi_HARP_oltv_125"/>
    <x v="165"/>
    <n v="0.83599999999999997"/>
    <n v="1"/>
    <n v="47"/>
    <n v="138"/>
  </r>
  <r>
    <x v="20"/>
    <s v="conventional_refinance_refi_HARP_oltv_126"/>
    <x v="166"/>
    <n v="0.83599999999999997"/>
    <n v="1"/>
    <n v="47"/>
    <n v="138"/>
  </r>
  <r>
    <x v="20"/>
    <s v="conventional_refinance_refi_HARP_oltv_127"/>
    <x v="167"/>
    <n v="0.83599999999999997"/>
    <n v="1"/>
    <n v="47"/>
    <n v="138"/>
  </r>
  <r>
    <x v="20"/>
    <s v="conventional_refinance_refi_HARP_oltv_128"/>
    <x v="168"/>
    <n v="0.83599999999999997"/>
    <n v="1"/>
    <n v="47"/>
    <n v="138"/>
  </r>
  <r>
    <x v="20"/>
    <s v="conventional_refinance_refi_HARP_oltv_129"/>
    <x v="169"/>
    <n v="0.83599999999999997"/>
    <n v="1"/>
    <n v="47"/>
    <n v="138"/>
  </r>
  <r>
    <x v="20"/>
    <s v="conventional_refinance_refi_HARP_oltv_130"/>
    <x v="170"/>
    <n v="0.83599999999999997"/>
    <n v="1"/>
    <n v="47"/>
    <n v="138"/>
  </r>
  <r>
    <x v="20"/>
    <s v="conventional_refinance_refi_HARP_oltv_131"/>
    <x v="171"/>
    <n v="0.83599999999999997"/>
    <n v="1"/>
    <n v="47"/>
    <n v="138"/>
  </r>
  <r>
    <x v="20"/>
    <s v="conventional_refinance_refi_HARP_oltv_132"/>
    <x v="172"/>
    <n v="0.83599999999999997"/>
    <n v="1"/>
    <n v="47"/>
    <n v="138"/>
  </r>
  <r>
    <x v="20"/>
    <s v="conventional_refinance_refi_HARP_oltv_133"/>
    <x v="173"/>
    <n v="0.83599999999999997"/>
    <n v="1"/>
    <n v="47"/>
    <n v="138"/>
  </r>
  <r>
    <x v="20"/>
    <s v="conventional_refinance_refi_HARP_oltv_134"/>
    <x v="174"/>
    <n v="0.83599999999999997"/>
    <n v="1"/>
    <n v="47"/>
    <n v="138"/>
  </r>
  <r>
    <x v="20"/>
    <s v="conventional_refinance_refi_HARP_oltv_135"/>
    <x v="175"/>
    <n v="0.83599999999999997"/>
    <n v="1"/>
    <n v="47"/>
    <n v="138"/>
  </r>
  <r>
    <x v="20"/>
    <s v="conventional_refinance_refi_HARP_oltv_136"/>
    <x v="176"/>
    <n v="0.83599999999999997"/>
    <n v="1"/>
    <n v="47"/>
    <n v="138"/>
  </r>
  <r>
    <x v="20"/>
    <s v="conventional_refinance_refi_HARP_oltv_137"/>
    <x v="177"/>
    <n v="0.83599999999999997"/>
    <n v="1"/>
    <n v="47"/>
    <n v="138"/>
  </r>
  <r>
    <x v="20"/>
    <s v="conventional_refinance_refi_HARP_oltv_138"/>
    <x v="178"/>
    <n v="0.83599999999999997"/>
    <n v="1"/>
    <n v="47"/>
    <n v="138"/>
  </r>
  <r>
    <x v="21"/>
    <s v="conventional_refinance_refi_NonHARP_oltv_51"/>
    <x v="91"/>
    <n v="1"/>
    <n v="1"/>
    <n v="51"/>
    <n v="114"/>
  </r>
  <r>
    <x v="21"/>
    <s v="conventional_refinance_refi_NonHARP_oltv_52"/>
    <x v="92"/>
    <n v="1"/>
    <n v="1"/>
    <n v="51"/>
    <n v="114"/>
  </r>
  <r>
    <x v="21"/>
    <s v="conventional_refinance_refi_NonHARP_oltv_53"/>
    <x v="93"/>
    <n v="1"/>
    <n v="1"/>
    <n v="51"/>
    <n v="114"/>
  </r>
  <r>
    <x v="21"/>
    <s v="conventional_refinance_refi_NonHARP_oltv_54"/>
    <x v="94"/>
    <n v="1"/>
    <n v="1"/>
    <n v="51"/>
    <n v="114"/>
  </r>
  <r>
    <x v="21"/>
    <s v="conventional_refinance_refi_NonHARP_oltv_55"/>
    <x v="95"/>
    <n v="1"/>
    <n v="1"/>
    <n v="51"/>
    <n v="114"/>
  </r>
  <r>
    <x v="21"/>
    <s v="conventional_refinance_refi_NonHARP_oltv_56"/>
    <x v="96"/>
    <n v="1"/>
    <n v="1"/>
    <n v="51"/>
    <n v="114"/>
  </r>
  <r>
    <x v="21"/>
    <s v="conventional_refinance_refi_NonHARP_oltv_57"/>
    <x v="97"/>
    <n v="1"/>
    <n v="1"/>
    <n v="51"/>
    <n v="114"/>
  </r>
  <r>
    <x v="21"/>
    <s v="conventional_refinance_refi_NonHARP_oltv_58"/>
    <x v="98"/>
    <n v="1"/>
    <n v="1"/>
    <n v="51"/>
    <n v="114"/>
  </r>
  <r>
    <x v="21"/>
    <s v="conventional_refinance_refi_NonHARP_oltv_59"/>
    <x v="99"/>
    <n v="1"/>
    <n v="1"/>
    <n v="51"/>
    <n v="114"/>
  </r>
  <r>
    <x v="21"/>
    <s v="conventional_refinance_refi_NonHARP_oltv_60"/>
    <x v="100"/>
    <n v="1"/>
    <n v="1"/>
    <n v="51"/>
    <n v="114"/>
  </r>
  <r>
    <x v="21"/>
    <s v="conventional_refinance_refi_NonHARP_oltv_61"/>
    <x v="101"/>
    <n v="1"/>
    <n v="1"/>
    <n v="51"/>
    <n v="114"/>
  </r>
  <r>
    <x v="21"/>
    <s v="conventional_refinance_refi_NonHARP_oltv_62"/>
    <x v="102"/>
    <n v="1"/>
    <n v="1"/>
    <n v="51"/>
    <n v="114"/>
  </r>
  <r>
    <x v="21"/>
    <s v="conventional_refinance_refi_NonHARP_oltv_63"/>
    <x v="103"/>
    <n v="1"/>
    <n v="1"/>
    <n v="51"/>
    <n v="114"/>
  </r>
  <r>
    <x v="21"/>
    <s v="conventional_refinance_refi_NonHARP_oltv_64"/>
    <x v="104"/>
    <n v="1"/>
    <n v="1"/>
    <n v="51"/>
    <n v="114"/>
  </r>
  <r>
    <x v="21"/>
    <s v="conventional_refinance_refi_NonHARP_oltv_65"/>
    <x v="105"/>
    <n v="1"/>
    <n v="1"/>
    <n v="51"/>
    <n v="114"/>
  </r>
  <r>
    <x v="21"/>
    <s v="conventional_refinance_refi_NonHARP_oltv_66"/>
    <x v="106"/>
    <n v="1"/>
    <n v="1"/>
    <n v="51"/>
    <n v="114"/>
  </r>
  <r>
    <x v="21"/>
    <s v="conventional_refinance_refi_NonHARP_oltv_67"/>
    <x v="107"/>
    <n v="1"/>
    <n v="1"/>
    <n v="51"/>
    <n v="114"/>
  </r>
  <r>
    <x v="21"/>
    <s v="conventional_refinance_refi_NonHARP_oltv_68"/>
    <x v="108"/>
    <n v="1"/>
    <n v="1"/>
    <n v="51"/>
    <n v="114"/>
  </r>
  <r>
    <x v="21"/>
    <s v="conventional_refinance_refi_NonHARP_oltv_69"/>
    <x v="109"/>
    <n v="1"/>
    <n v="1"/>
    <n v="51"/>
    <n v="114"/>
  </r>
  <r>
    <x v="21"/>
    <s v="conventional_refinance_refi_NonHARP_oltv_70"/>
    <x v="110"/>
    <n v="1"/>
    <n v="1"/>
    <n v="51"/>
    <n v="114"/>
  </r>
  <r>
    <x v="21"/>
    <s v="conventional_refinance_refi_NonHARP_oltv_71"/>
    <x v="111"/>
    <n v="1"/>
    <n v="1"/>
    <n v="51"/>
    <n v="114"/>
  </r>
  <r>
    <x v="21"/>
    <s v="conventional_refinance_refi_NonHARP_oltv_72"/>
    <x v="112"/>
    <n v="1"/>
    <n v="1"/>
    <n v="51"/>
    <n v="114"/>
  </r>
  <r>
    <x v="21"/>
    <s v="conventional_refinance_refi_NonHARP_oltv_73"/>
    <x v="113"/>
    <n v="1"/>
    <n v="1"/>
    <n v="51"/>
    <n v="114"/>
  </r>
  <r>
    <x v="21"/>
    <s v="conventional_refinance_refi_NonHARP_oltv_74"/>
    <x v="114"/>
    <n v="1"/>
    <n v="1"/>
    <n v="51"/>
    <n v="114"/>
  </r>
  <r>
    <x v="21"/>
    <s v="conventional_refinance_refi_NonHARP_oltv_75"/>
    <x v="115"/>
    <n v="1"/>
    <n v="1"/>
    <n v="51"/>
    <n v="114"/>
  </r>
  <r>
    <x v="21"/>
    <s v="conventional_refinance_refi_NonHARP_oltv_76"/>
    <x v="116"/>
    <n v="1"/>
    <n v="1"/>
    <n v="51"/>
    <n v="114"/>
  </r>
  <r>
    <x v="21"/>
    <s v="conventional_refinance_refi_NonHARP_oltv_77"/>
    <x v="117"/>
    <n v="1"/>
    <n v="1"/>
    <n v="51"/>
    <n v="114"/>
  </r>
  <r>
    <x v="21"/>
    <s v="conventional_refinance_refi_NonHARP_oltv_78"/>
    <x v="118"/>
    <n v="1"/>
    <n v="1"/>
    <n v="51"/>
    <n v="114"/>
  </r>
  <r>
    <x v="21"/>
    <s v="conventional_refinance_refi_NonHARP_oltv_79"/>
    <x v="119"/>
    <n v="1"/>
    <n v="1"/>
    <n v="51"/>
    <n v="114"/>
  </r>
  <r>
    <x v="21"/>
    <s v="conventional_refinance_refi_NonHARP_oltv_80"/>
    <x v="120"/>
    <n v="1"/>
    <n v="1"/>
    <n v="51"/>
    <n v="114"/>
  </r>
  <r>
    <x v="21"/>
    <s v="conventional_refinance_refi_NonHARP_oltv_81"/>
    <x v="121"/>
    <n v="1"/>
    <n v="1"/>
    <n v="51"/>
    <n v="114"/>
  </r>
  <r>
    <x v="21"/>
    <s v="conventional_refinance_refi_NonHARP_oltv_82"/>
    <x v="122"/>
    <n v="1"/>
    <n v="1"/>
    <n v="51"/>
    <n v="114"/>
  </r>
  <r>
    <x v="21"/>
    <s v="conventional_refinance_refi_NonHARP_oltv_83"/>
    <x v="123"/>
    <n v="1"/>
    <n v="1"/>
    <n v="51"/>
    <n v="114"/>
  </r>
  <r>
    <x v="21"/>
    <s v="conventional_refinance_refi_NonHARP_oltv_84"/>
    <x v="124"/>
    <n v="1"/>
    <n v="1"/>
    <n v="51"/>
    <n v="114"/>
  </r>
  <r>
    <x v="21"/>
    <s v="conventional_refinance_refi_NonHARP_oltv_85"/>
    <x v="125"/>
    <n v="1"/>
    <n v="1"/>
    <n v="51"/>
    <n v="114"/>
  </r>
  <r>
    <x v="21"/>
    <s v="conventional_refinance_refi_NonHARP_oltv_86"/>
    <x v="126"/>
    <n v="1"/>
    <n v="1"/>
    <n v="51"/>
    <n v="114"/>
  </r>
  <r>
    <x v="21"/>
    <s v="conventional_refinance_refi_NonHARP_oltv_87"/>
    <x v="127"/>
    <n v="1"/>
    <n v="1"/>
    <n v="51"/>
    <n v="114"/>
  </r>
  <r>
    <x v="21"/>
    <s v="conventional_refinance_refi_NonHARP_oltv_88"/>
    <x v="128"/>
    <n v="1"/>
    <n v="1"/>
    <n v="51"/>
    <n v="114"/>
  </r>
  <r>
    <x v="21"/>
    <s v="conventional_refinance_refi_NonHARP_oltv_89"/>
    <x v="129"/>
    <n v="1"/>
    <n v="1"/>
    <n v="51"/>
    <n v="114"/>
  </r>
  <r>
    <x v="21"/>
    <s v="conventional_refinance_refi_NonHARP_oltv_90"/>
    <x v="130"/>
    <n v="1"/>
    <n v="1"/>
    <n v="51"/>
    <n v="114"/>
  </r>
  <r>
    <x v="21"/>
    <s v="conventional_refinance_refi_NonHARP_oltv_91"/>
    <x v="131"/>
    <n v="1"/>
    <n v="1"/>
    <n v="51"/>
    <n v="114"/>
  </r>
  <r>
    <x v="21"/>
    <s v="conventional_refinance_refi_NonHARP_oltv_92"/>
    <x v="132"/>
    <n v="1"/>
    <n v="1"/>
    <n v="51"/>
    <n v="114"/>
  </r>
  <r>
    <x v="21"/>
    <s v="conventional_refinance_refi_NonHARP_oltv_93"/>
    <x v="133"/>
    <n v="1"/>
    <n v="1"/>
    <n v="51"/>
    <n v="114"/>
  </r>
  <r>
    <x v="21"/>
    <s v="conventional_refinance_refi_NonHARP_oltv_94"/>
    <x v="134"/>
    <n v="1"/>
    <n v="1"/>
    <n v="51"/>
    <n v="114"/>
  </r>
  <r>
    <x v="21"/>
    <s v="conventional_refinance_refi_NonHARP_oltv_95"/>
    <x v="135"/>
    <n v="1"/>
    <n v="1"/>
    <n v="51"/>
    <n v="114"/>
  </r>
  <r>
    <x v="21"/>
    <s v="conventional_refinance_refi_NonHARP_oltv_96"/>
    <x v="136"/>
    <n v="1"/>
    <n v="1"/>
    <n v="51"/>
    <n v="114"/>
  </r>
  <r>
    <x v="21"/>
    <s v="conventional_refinance_refi_NonHARP_oltv_97"/>
    <x v="137"/>
    <n v="1"/>
    <n v="1"/>
    <n v="51"/>
    <n v="114"/>
  </r>
  <r>
    <x v="21"/>
    <s v="conventional_refinance_refi_NonHARP_oltv_98"/>
    <x v="138"/>
    <n v="1"/>
    <n v="1"/>
    <n v="51"/>
    <n v="114"/>
  </r>
  <r>
    <x v="21"/>
    <s v="conventional_refinance_refi_NonHARP_oltv_99"/>
    <x v="139"/>
    <n v="1"/>
    <n v="1"/>
    <n v="51"/>
    <n v="114"/>
  </r>
  <r>
    <x v="21"/>
    <s v="conventional_refinance_refi_NonHARP_oltv_100"/>
    <x v="140"/>
    <n v="1"/>
    <n v="1"/>
    <n v="51"/>
    <n v="114"/>
  </r>
  <r>
    <x v="21"/>
    <s v="conventional_refinance_refi_NonHARP_oltv_101"/>
    <x v="141"/>
    <n v="1"/>
    <n v="1"/>
    <n v="51"/>
    <n v="114"/>
  </r>
  <r>
    <x v="21"/>
    <s v="conventional_refinance_refi_NonHARP_oltv_102"/>
    <x v="142"/>
    <n v="1"/>
    <n v="1"/>
    <n v="51"/>
    <n v="114"/>
  </r>
  <r>
    <x v="21"/>
    <s v="conventional_refinance_refi_NonHARP_oltv_103"/>
    <x v="143"/>
    <n v="1"/>
    <n v="1"/>
    <n v="51"/>
    <n v="114"/>
  </r>
  <r>
    <x v="21"/>
    <s v="conventional_refinance_refi_NonHARP_oltv_104"/>
    <x v="144"/>
    <n v="1"/>
    <n v="1"/>
    <n v="51"/>
    <n v="114"/>
  </r>
  <r>
    <x v="21"/>
    <s v="conventional_refinance_refi_NonHARP_oltv_105"/>
    <x v="145"/>
    <n v="1"/>
    <n v="1"/>
    <n v="51"/>
    <n v="114"/>
  </r>
  <r>
    <x v="21"/>
    <s v="conventional_refinance_refi_NonHARP_oltv_106"/>
    <x v="146"/>
    <n v="1"/>
    <n v="1"/>
    <n v="51"/>
    <n v="114"/>
  </r>
  <r>
    <x v="21"/>
    <s v="conventional_refinance_refi_NonHARP_oltv_107"/>
    <x v="147"/>
    <n v="1"/>
    <n v="1"/>
    <n v="51"/>
    <n v="114"/>
  </r>
  <r>
    <x v="21"/>
    <s v="conventional_refinance_refi_NonHARP_oltv_108"/>
    <x v="148"/>
    <n v="1"/>
    <n v="1"/>
    <n v="51"/>
    <n v="114"/>
  </r>
  <r>
    <x v="21"/>
    <s v="conventional_refinance_refi_NonHARP_oltv_109"/>
    <x v="149"/>
    <n v="1"/>
    <n v="1"/>
    <n v="51"/>
    <n v="114"/>
  </r>
  <r>
    <x v="21"/>
    <s v="conventional_refinance_refi_NonHARP_oltv_110"/>
    <x v="150"/>
    <n v="1"/>
    <n v="1"/>
    <n v="51"/>
    <n v="114"/>
  </r>
  <r>
    <x v="21"/>
    <s v="conventional_refinance_refi_NonHARP_oltv_111"/>
    <x v="151"/>
    <n v="1"/>
    <n v="1"/>
    <n v="51"/>
    <n v="114"/>
  </r>
  <r>
    <x v="21"/>
    <s v="conventional_refinance_refi_NonHARP_oltv_112"/>
    <x v="152"/>
    <n v="1"/>
    <n v="1"/>
    <n v="51"/>
    <n v="114"/>
  </r>
  <r>
    <x v="21"/>
    <s v="conventional_refinance_refi_NonHARP_oltv_113"/>
    <x v="153"/>
    <n v="1"/>
    <n v="1"/>
    <n v="51"/>
    <n v="114"/>
  </r>
  <r>
    <x v="21"/>
    <s v="conventional_refinance_refi_NonHARP_oltv_114"/>
    <x v="154"/>
    <n v="1"/>
    <n v="1"/>
    <n v="51"/>
    <n v="114"/>
  </r>
  <r>
    <x v="22"/>
    <s v="conventional_turnover_cai_-40"/>
    <x v="0"/>
    <n v="0.9"/>
    <n v="1"/>
    <n v="-40"/>
    <n v="940"/>
  </r>
  <r>
    <x v="22"/>
    <s v="conventional_turnover_cai_-39"/>
    <x v="1"/>
    <n v="0.9"/>
    <n v="1"/>
    <n v="-40"/>
    <n v="940"/>
  </r>
  <r>
    <x v="22"/>
    <s v="conventional_turnover_cai_-38"/>
    <x v="2"/>
    <n v="0.9"/>
    <n v="1"/>
    <n v="-40"/>
    <n v="940"/>
  </r>
  <r>
    <x v="22"/>
    <s v="conventional_turnover_cai_-37"/>
    <x v="3"/>
    <n v="0.9"/>
    <n v="1"/>
    <n v="-40"/>
    <n v="940"/>
  </r>
  <r>
    <x v="22"/>
    <s v="conventional_turnover_cai_-36"/>
    <x v="4"/>
    <n v="0.9"/>
    <n v="1"/>
    <n v="-40"/>
    <n v="940"/>
  </r>
  <r>
    <x v="22"/>
    <s v="conventional_turnover_cai_-35"/>
    <x v="5"/>
    <n v="0.9"/>
    <n v="1"/>
    <n v="-40"/>
    <n v="940"/>
  </r>
  <r>
    <x v="22"/>
    <s v="conventional_turnover_cai_-34"/>
    <x v="6"/>
    <n v="0.9"/>
    <n v="1"/>
    <n v="-40"/>
    <n v="940"/>
  </r>
  <r>
    <x v="22"/>
    <s v="conventional_turnover_cai_-33"/>
    <x v="7"/>
    <n v="0.9"/>
    <n v="1"/>
    <n v="-40"/>
    <n v="940"/>
  </r>
  <r>
    <x v="22"/>
    <s v="conventional_turnover_cai_-32"/>
    <x v="8"/>
    <n v="0.9"/>
    <n v="1"/>
    <n v="-40"/>
    <n v="940"/>
  </r>
  <r>
    <x v="22"/>
    <s v="conventional_turnover_cai_-31"/>
    <x v="9"/>
    <n v="0.9"/>
    <n v="1"/>
    <n v="-40"/>
    <n v="940"/>
  </r>
  <r>
    <x v="22"/>
    <s v="conventional_turnover_cai_-30"/>
    <x v="10"/>
    <n v="0.9"/>
    <n v="1"/>
    <n v="-40"/>
    <n v="940"/>
  </r>
  <r>
    <x v="22"/>
    <s v="conventional_turnover_cai_-29"/>
    <x v="11"/>
    <n v="0.9"/>
    <n v="1"/>
    <n v="-40"/>
    <n v="940"/>
  </r>
  <r>
    <x v="22"/>
    <s v="conventional_turnover_cai_-28"/>
    <x v="12"/>
    <n v="0.9"/>
    <n v="1"/>
    <n v="-40"/>
    <n v="940"/>
  </r>
  <r>
    <x v="22"/>
    <s v="conventional_turnover_cai_-27"/>
    <x v="13"/>
    <n v="0.9"/>
    <n v="1"/>
    <n v="-40"/>
    <n v="940"/>
  </r>
  <r>
    <x v="22"/>
    <s v="conventional_turnover_cai_-26"/>
    <x v="14"/>
    <n v="0.9"/>
    <n v="1"/>
    <n v="-40"/>
    <n v="940"/>
  </r>
  <r>
    <x v="22"/>
    <s v="conventional_turnover_cai_-25"/>
    <x v="15"/>
    <n v="0.9"/>
    <n v="1"/>
    <n v="-40"/>
    <n v="940"/>
  </r>
  <r>
    <x v="22"/>
    <s v="conventional_turnover_cai_-24"/>
    <x v="16"/>
    <n v="0.9"/>
    <n v="1"/>
    <n v="-40"/>
    <n v="940"/>
  </r>
  <r>
    <x v="22"/>
    <s v="conventional_turnover_cai_-23"/>
    <x v="17"/>
    <n v="0.9"/>
    <n v="1"/>
    <n v="-40"/>
    <n v="940"/>
  </r>
  <r>
    <x v="22"/>
    <s v="conventional_turnover_cai_-22"/>
    <x v="18"/>
    <n v="0.9"/>
    <n v="1"/>
    <n v="-40"/>
    <n v="940"/>
  </r>
  <r>
    <x v="22"/>
    <s v="conventional_turnover_cai_-21"/>
    <x v="19"/>
    <n v="0.9"/>
    <n v="1"/>
    <n v="-40"/>
    <n v="940"/>
  </r>
  <r>
    <x v="22"/>
    <s v="conventional_turnover_cai_-20"/>
    <x v="20"/>
    <n v="0.9"/>
    <n v="1"/>
    <n v="-40"/>
    <n v="940"/>
  </r>
  <r>
    <x v="22"/>
    <s v="conventional_turnover_cai_-19"/>
    <x v="21"/>
    <n v="0.9"/>
    <n v="1"/>
    <n v="-40"/>
    <n v="940"/>
  </r>
  <r>
    <x v="22"/>
    <s v="conventional_turnover_cai_-18"/>
    <x v="22"/>
    <n v="0.9"/>
    <n v="1"/>
    <n v="-40"/>
    <n v="940"/>
  </r>
  <r>
    <x v="22"/>
    <s v="conventional_turnover_cai_-17"/>
    <x v="23"/>
    <n v="0.9"/>
    <n v="1"/>
    <n v="-40"/>
    <n v="940"/>
  </r>
  <r>
    <x v="22"/>
    <s v="conventional_turnover_cai_-16"/>
    <x v="24"/>
    <n v="0.9"/>
    <n v="1"/>
    <n v="-40"/>
    <n v="940"/>
  </r>
  <r>
    <x v="22"/>
    <s v="conventional_turnover_cai_-15"/>
    <x v="25"/>
    <n v="0.9"/>
    <n v="1"/>
    <n v="-40"/>
    <n v="940"/>
  </r>
  <r>
    <x v="22"/>
    <s v="conventional_turnover_cai_-14"/>
    <x v="26"/>
    <n v="0.9"/>
    <n v="1"/>
    <n v="-40"/>
    <n v="940"/>
  </r>
  <r>
    <x v="22"/>
    <s v="conventional_turnover_cai_-13"/>
    <x v="27"/>
    <n v="0.9"/>
    <n v="1"/>
    <n v="-40"/>
    <n v="940"/>
  </r>
  <r>
    <x v="22"/>
    <s v="conventional_turnover_cai_-12"/>
    <x v="28"/>
    <n v="0.9"/>
    <n v="1"/>
    <n v="-40"/>
    <n v="940"/>
  </r>
  <r>
    <x v="22"/>
    <s v="conventional_turnover_cai_-11"/>
    <x v="29"/>
    <n v="0.9"/>
    <n v="1"/>
    <n v="-40"/>
    <n v="940"/>
  </r>
  <r>
    <x v="22"/>
    <s v="conventional_turnover_cai_-10"/>
    <x v="30"/>
    <n v="0.9"/>
    <n v="1"/>
    <n v="-40"/>
    <n v="940"/>
  </r>
  <r>
    <x v="22"/>
    <s v="conventional_turnover_cai_-9"/>
    <x v="31"/>
    <n v="0.9"/>
    <n v="1"/>
    <n v="-40"/>
    <n v="940"/>
  </r>
  <r>
    <x v="22"/>
    <s v="conventional_turnover_cai_-8"/>
    <x v="32"/>
    <n v="0.9"/>
    <n v="1"/>
    <n v="-40"/>
    <n v="940"/>
  </r>
  <r>
    <x v="22"/>
    <s v="conventional_turnover_cai_-7"/>
    <x v="33"/>
    <n v="0.9"/>
    <n v="1"/>
    <n v="-40"/>
    <n v="940"/>
  </r>
  <r>
    <x v="22"/>
    <s v="conventional_turnover_cai_-6"/>
    <x v="34"/>
    <n v="0.9"/>
    <n v="1"/>
    <n v="-40"/>
    <n v="940"/>
  </r>
  <r>
    <x v="22"/>
    <s v="conventional_turnover_cai_-5"/>
    <x v="35"/>
    <n v="0.9"/>
    <n v="1"/>
    <n v="-40"/>
    <n v="940"/>
  </r>
  <r>
    <x v="22"/>
    <s v="conventional_turnover_cai_-4"/>
    <x v="36"/>
    <n v="0.9"/>
    <n v="1"/>
    <n v="-40"/>
    <n v="940"/>
  </r>
  <r>
    <x v="22"/>
    <s v="conventional_turnover_cai_-3"/>
    <x v="37"/>
    <n v="0.9"/>
    <n v="1"/>
    <n v="-40"/>
    <n v="940"/>
  </r>
  <r>
    <x v="22"/>
    <s v="conventional_turnover_cai_-2"/>
    <x v="38"/>
    <n v="0.9"/>
    <n v="1"/>
    <n v="-40"/>
    <n v="940"/>
  </r>
  <r>
    <x v="22"/>
    <s v="conventional_turnover_cai_-1"/>
    <x v="39"/>
    <n v="0.9"/>
    <n v="1"/>
    <n v="-40"/>
    <n v="940"/>
  </r>
  <r>
    <x v="22"/>
    <s v="conventional_turnover_cai_0"/>
    <x v="40"/>
    <n v="0.9"/>
    <n v="1"/>
    <n v="-40"/>
    <n v="940"/>
  </r>
  <r>
    <x v="22"/>
    <s v="conventional_turnover_cai_1"/>
    <x v="41"/>
    <n v="0.9"/>
    <n v="1"/>
    <n v="-40"/>
    <n v="940"/>
  </r>
  <r>
    <x v="22"/>
    <s v="conventional_turnover_cai_2"/>
    <x v="42"/>
    <n v="0.9"/>
    <n v="1"/>
    <n v="-40"/>
    <n v="940"/>
  </r>
  <r>
    <x v="22"/>
    <s v="conventional_turnover_cai_3"/>
    <x v="43"/>
    <n v="0.9"/>
    <n v="1"/>
    <n v="-40"/>
    <n v="940"/>
  </r>
  <r>
    <x v="22"/>
    <s v="conventional_turnover_cai_4"/>
    <x v="44"/>
    <n v="0.9"/>
    <n v="1"/>
    <n v="-40"/>
    <n v="940"/>
  </r>
  <r>
    <x v="22"/>
    <s v="conventional_turnover_cai_5"/>
    <x v="45"/>
    <n v="0.9"/>
    <n v="1"/>
    <n v="-40"/>
    <n v="940"/>
  </r>
  <r>
    <x v="22"/>
    <s v="conventional_turnover_cai_6"/>
    <x v="46"/>
    <n v="0.9"/>
    <n v="1"/>
    <n v="-40"/>
    <n v="940"/>
  </r>
  <r>
    <x v="22"/>
    <s v="conventional_turnover_cai_7"/>
    <x v="47"/>
    <n v="0.9"/>
    <n v="1"/>
    <n v="-40"/>
    <n v="940"/>
  </r>
  <r>
    <x v="22"/>
    <s v="conventional_turnover_cai_8"/>
    <x v="48"/>
    <n v="0.9"/>
    <n v="1"/>
    <n v="-40"/>
    <n v="940"/>
  </r>
  <r>
    <x v="22"/>
    <s v="conventional_turnover_cai_9"/>
    <x v="49"/>
    <n v="0.9"/>
    <n v="1"/>
    <n v="-40"/>
    <n v="940"/>
  </r>
  <r>
    <x v="22"/>
    <s v="conventional_turnover_cai_10"/>
    <x v="50"/>
    <n v="0.9"/>
    <n v="1"/>
    <n v="-40"/>
    <n v="940"/>
  </r>
  <r>
    <x v="22"/>
    <s v="conventional_turnover_cai_11"/>
    <x v="51"/>
    <n v="0.9"/>
    <n v="1"/>
    <n v="-40"/>
    <n v="940"/>
  </r>
  <r>
    <x v="22"/>
    <s v="conventional_turnover_cai_12"/>
    <x v="52"/>
    <n v="0.9"/>
    <n v="1"/>
    <n v="-40"/>
    <n v="940"/>
  </r>
  <r>
    <x v="22"/>
    <s v="conventional_turnover_cai_13"/>
    <x v="53"/>
    <n v="0.9"/>
    <n v="1"/>
    <n v="-40"/>
    <n v="940"/>
  </r>
  <r>
    <x v="22"/>
    <s v="conventional_turnover_cai_14"/>
    <x v="54"/>
    <n v="0.9"/>
    <n v="1"/>
    <n v="-40"/>
    <n v="940"/>
  </r>
  <r>
    <x v="22"/>
    <s v="conventional_turnover_cai_15"/>
    <x v="55"/>
    <n v="0.9"/>
    <n v="1"/>
    <n v="-40"/>
    <n v="940"/>
  </r>
  <r>
    <x v="22"/>
    <s v="conventional_turnover_cai_16"/>
    <x v="56"/>
    <n v="0.9"/>
    <n v="1"/>
    <n v="-40"/>
    <n v="940"/>
  </r>
  <r>
    <x v="22"/>
    <s v="conventional_turnover_cai_17"/>
    <x v="57"/>
    <n v="0.9"/>
    <n v="1"/>
    <n v="-40"/>
    <n v="940"/>
  </r>
  <r>
    <x v="22"/>
    <s v="conventional_turnover_cai_18"/>
    <x v="58"/>
    <n v="0.9"/>
    <n v="1"/>
    <n v="-40"/>
    <n v="940"/>
  </r>
  <r>
    <x v="22"/>
    <s v="conventional_turnover_cai_19"/>
    <x v="59"/>
    <n v="0.9"/>
    <n v="1"/>
    <n v="-40"/>
    <n v="940"/>
  </r>
  <r>
    <x v="22"/>
    <s v="conventional_turnover_cai_20"/>
    <x v="60"/>
    <n v="0.9"/>
    <n v="1"/>
    <n v="-40"/>
    <n v="940"/>
  </r>
  <r>
    <x v="22"/>
    <s v="conventional_turnover_cai_21"/>
    <x v="61"/>
    <n v="0.9"/>
    <n v="1"/>
    <n v="-40"/>
    <n v="940"/>
  </r>
  <r>
    <x v="22"/>
    <s v="conventional_turnover_cai_22"/>
    <x v="62"/>
    <n v="0.9"/>
    <n v="1"/>
    <n v="-40"/>
    <n v="940"/>
  </r>
  <r>
    <x v="22"/>
    <s v="conventional_turnover_cai_23"/>
    <x v="63"/>
    <n v="0.9"/>
    <n v="1"/>
    <n v="-40"/>
    <n v="940"/>
  </r>
  <r>
    <x v="22"/>
    <s v="conventional_turnover_cai_24"/>
    <x v="64"/>
    <n v="0.9"/>
    <n v="1"/>
    <n v="-40"/>
    <n v="940"/>
  </r>
  <r>
    <x v="22"/>
    <s v="conventional_turnover_cai_25"/>
    <x v="65"/>
    <n v="0.9"/>
    <n v="1"/>
    <n v="-40"/>
    <n v="940"/>
  </r>
  <r>
    <x v="22"/>
    <s v="conventional_turnover_cai_26"/>
    <x v="66"/>
    <n v="0.9"/>
    <n v="1"/>
    <n v="-40"/>
    <n v="940"/>
  </r>
  <r>
    <x v="22"/>
    <s v="conventional_turnover_cai_27"/>
    <x v="67"/>
    <n v="0.9"/>
    <n v="1"/>
    <n v="-40"/>
    <n v="940"/>
  </r>
  <r>
    <x v="22"/>
    <s v="conventional_turnover_cai_28"/>
    <x v="68"/>
    <n v="0.9"/>
    <n v="1"/>
    <n v="-40"/>
    <n v="940"/>
  </r>
  <r>
    <x v="22"/>
    <s v="conventional_turnover_cai_29"/>
    <x v="69"/>
    <n v="0.9"/>
    <n v="1"/>
    <n v="-40"/>
    <n v="940"/>
  </r>
  <r>
    <x v="22"/>
    <s v="conventional_turnover_cai_30"/>
    <x v="70"/>
    <n v="0.9"/>
    <n v="1"/>
    <n v="-40"/>
    <n v="940"/>
  </r>
  <r>
    <x v="22"/>
    <s v="conventional_turnover_cai_31"/>
    <x v="71"/>
    <n v="0.9"/>
    <n v="1"/>
    <n v="-40"/>
    <n v="940"/>
  </r>
  <r>
    <x v="22"/>
    <s v="conventional_turnover_cai_32"/>
    <x v="72"/>
    <n v="0.9"/>
    <n v="1"/>
    <n v="-40"/>
    <n v="940"/>
  </r>
  <r>
    <x v="22"/>
    <s v="conventional_turnover_cai_33"/>
    <x v="73"/>
    <n v="0.9"/>
    <n v="1"/>
    <n v="-40"/>
    <n v="940"/>
  </r>
  <r>
    <x v="22"/>
    <s v="conventional_turnover_cai_34"/>
    <x v="74"/>
    <n v="0.9"/>
    <n v="1"/>
    <n v="-40"/>
    <n v="940"/>
  </r>
  <r>
    <x v="22"/>
    <s v="conventional_turnover_cai_35"/>
    <x v="75"/>
    <n v="0.9"/>
    <n v="1"/>
    <n v="-40"/>
    <n v="940"/>
  </r>
  <r>
    <x v="22"/>
    <s v="conventional_turnover_cai_36"/>
    <x v="76"/>
    <n v="0.9"/>
    <n v="1"/>
    <n v="-40"/>
    <n v="940"/>
  </r>
  <r>
    <x v="22"/>
    <s v="conventional_turnover_cai_37"/>
    <x v="77"/>
    <n v="0.9"/>
    <n v="1"/>
    <n v="-40"/>
    <n v="940"/>
  </r>
  <r>
    <x v="22"/>
    <s v="conventional_turnover_cai_38"/>
    <x v="78"/>
    <n v="0.9"/>
    <n v="1"/>
    <n v="-40"/>
    <n v="940"/>
  </r>
  <r>
    <x v="22"/>
    <s v="conventional_turnover_cai_39"/>
    <x v="79"/>
    <n v="0.9"/>
    <n v="1"/>
    <n v="-40"/>
    <n v="940"/>
  </r>
  <r>
    <x v="22"/>
    <s v="conventional_turnover_cai_40"/>
    <x v="80"/>
    <n v="0.9"/>
    <n v="1"/>
    <n v="-40"/>
    <n v="940"/>
  </r>
  <r>
    <x v="22"/>
    <s v="conventional_turnover_cai_41"/>
    <x v="81"/>
    <n v="0.9"/>
    <n v="1"/>
    <n v="-40"/>
    <n v="940"/>
  </r>
  <r>
    <x v="22"/>
    <s v="conventional_turnover_cai_42"/>
    <x v="82"/>
    <n v="0.9"/>
    <n v="1"/>
    <n v="-40"/>
    <n v="940"/>
  </r>
  <r>
    <x v="22"/>
    <s v="conventional_turnover_cai_43"/>
    <x v="83"/>
    <n v="0.9"/>
    <n v="1"/>
    <n v="-40"/>
    <n v="940"/>
  </r>
  <r>
    <x v="22"/>
    <s v="conventional_turnover_cai_44"/>
    <x v="84"/>
    <n v="0.9"/>
    <n v="1"/>
    <n v="-40"/>
    <n v="940"/>
  </r>
  <r>
    <x v="22"/>
    <s v="conventional_turnover_cai_45"/>
    <x v="85"/>
    <n v="0.9"/>
    <n v="1"/>
    <n v="-40"/>
    <n v="940"/>
  </r>
  <r>
    <x v="22"/>
    <s v="conventional_turnover_cai_46"/>
    <x v="86"/>
    <n v="0.9"/>
    <n v="1"/>
    <n v="-40"/>
    <n v="940"/>
  </r>
  <r>
    <x v="22"/>
    <s v="conventional_turnover_cai_47"/>
    <x v="87"/>
    <n v="0.9"/>
    <n v="1"/>
    <n v="-40"/>
    <n v="940"/>
  </r>
  <r>
    <x v="22"/>
    <s v="conventional_turnover_cai_48"/>
    <x v="88"/>
    <n v="0.9"/>
    <n v="1"/>
    <n v="-40"/>
    <n v="940"/>
  </r>
  <r>
    <x v="22"/>
    <s v="conventional_turnover_cai_49"/>
    <x v="89"/>
    <n v="0.9"/>
    <n v="1"/>
    <n v="-40"/>
    <n v="940"/>
  </r>
  <r>
    <x v="22"/>
    <s v="conventional_turnover_cai_50"/>
    <x v="90"/>
    <n v="0.9"/>
    <n v="1"/>
    <n v="-40"/>
    <n v="940"/>
  </r>
  <r>
    <x v="22"/>
    <s v="conventional_turnover_cai_51"/>
    <x v="91"/>
    <n v="0.9"/>
    <n v="1"/>
    <n v="-40"/>
    <n v="940"/>
  </r>
  <r>
    <x v="22"/>
    <s v="conventional_turnover_cai_52"/>
    <x v="92"/>
    <n v="0.9"/>
    <n v="1"/>
    <n v="-40"/>
    <n v="940"/>
  </r>
  <r>
    <x v="22"/>
    <s v="conventional_turnover_cai_53"/>
    <x v="93"/>
    <n v="0.9"/>
    <n v="1"/>
    <n v="-40"/>
    <n v="940"/>
  </r>
  <r>
    <x v="22"/>
    <s v="conventional_turnover_cai_54"/>
    <x v="94"/>
    <n v="0.9"/>
    <n v="1"/>
    <n v="-40"/>
    <n v="940"/>
  </r>
  <r>
    <x v="22"/>
    <s v="conventional_turnover_cai_55"/>
    <x v="95"/>
    <n v="0.9"/>
    <n v="1"/>
    <n v="-40"/>
    <n v="940"/>
  </r>
  <r>
    <x v="22"/>
    <s v="conventional_turnover_cai_56"/>
    <x v="96"/>
    <n v="0.9"/>
    <n v="1"/>
    <n v="-40"/>
    <n v="940"/>
  </r>
  <r>
    <x v="22"/>
    <s v="conventional_turnover_cai_57"/>
    <x v="97"/>
    <n v="0.9"/>
    <n v="1"/>
    <n v="-40"/>
    <n v="940"/>
  </r>
  <r>
    <x v="22"/>
    <s v="conventional_turnover_cai_58"/>
    <x v="98"/>
    <n v="0.9"/>
    <n v="1"/>
    <n v="-40"/>
    <n v="940"/>
  </r>
  <r>
    <x v="22"/>
    <s v="conventional_turnover_cai_59"/>
    <x v="99"/>
    <n v="0.9"/>
    <n v="1"/>
    <n v="-40"/>
    <n v="940"/>
  </r>
  <r>
    <x v="22"/>
    <s v="conventional_turnover_cai_60"/>
    <x v="100"/>
    <n v="0.9"/>
    <n v="1"/>
    <n v="-40"/>
    <n v="940"/>
  </r>
  <r>
    <x v="22"/>
    <s v="conventional_turnover_cai_61"/>
    <x v="101"/>
    <n v="0.9"/>
    <n v="1"/>
    <n v="-40"/>
    <n v="940"/>
  </r>
  <r>
    <x v="22"/>
    <s v="conventional_turnover_cai_62"/>
    <x v="102"/>
    <n v="0.9"/>
    <n v="1"/>
    <n v="-40"/>
    <n v="940"/>
  </r>
  <r>
    <x v="22"/>
    <s v="conventional_turnover_cai_63"/>
    <x v="103"/>
    <n v="0.9"/>
    <n v="1"/>
    <n v="-40"/>
    <n v="940"/>
  </r>
  <r>
    <x v="22"/>
    <s v="conventional_turnover_cai_64"/>
    <x v="104"/>
    <n v="0.9"/>
    <n v="1"/>
    <n v="-40"/>
    <n v="940"/>
  </r>
  <r>
    <x v="22"/>
    <s v="conventional_turnover_cai_65"/>
    <x v="105"/>
    <n v="0.9"/>
    <n v="1"/>
    <n v="-40"/>
    <n v="940"/>
  </r>
  <r>
    <x v="22"/>
    <s v="conventional_turnover_cai_66"/>
    <x v="106"/>
    <n v="0.9"/>
    <n v="1"/>
    <n v="-40"/>
    <n v="940"/>
  </r>
  <r>
    <x v="22"/>
    <s v="conventional_turnover_cai_67"/>
    <x v="107"/>
    <n v="0.9"/>
    <n v="1"/>
    <n v="-40"/>
    <n v="940"/>
  </r>
  <r>
    <x v="22"/>
    <s v="conventional_turnover_cai_68"/>
    <x v="108"/>
    <n v="0.9"/>
    <n v="1"/>
    <n v="-40"/>
    <n v="940"/>
  </r>
  <r>
    <x v="22"/>
    <s v="conventional_turnover_cai_69"/>
    <x v="109"/>
    <n v="0.9"/>
    <n v="1"/>
    <n v="-40"/>
    <n v="940"/>
  </r>
  <r>
    <x v="22"/>
    <s v="conventional_turnover_cai_70"/>
    <x v="110"/>
    <n v="0.9"/>
    <n v="1"/>
    <n v="-40"/>
    <n v="940"/>
  </r>
  <r>
    <x v="22"/>
    <s v="conventional_turnover_cai_71"/>
    <x v="111"/>
    <n v="0.9"/>
    <n v="1"/>
    <n v="-40"/>
    <n v="940"/>
  </r>
  <r>
    <x v="22"/>
    <s v="conventional_turnover_cai_72"/>
    <x v="112"/>
    <n v="0.9"/>
    <n v="1"/>
    <n v="-40"/>
    <n v="940"/>
  </r>
  <r>
    <x v="22"/>
    <s v="conventional_turnover_cai_73"/>
    <x v="113"/>
    <n v="0.9"/>
    <n v="1"/>
    <n v="-40"/>
    <n v="940"/>
  </r>
  <r>
    <x v="22"/>
    <s v="conventional_turnover_cai_74"/>
    <x v="114"/>
    <n v="0.9"/>
    <n v="1"/>
    <n v="-40"/>
    <n v="940"/>
  </r>
  <r>
    <x v="22"/>
    <s v="conventional_turnover_cai_75"/>
    <x v="115"/>
    <n v="0.9"/>
    <n v="1"/>
    <n v="-40"/>
    <n v="940"/>
  </r>
  <r>
    <x v="22"/>
    <s v="conventional_turnover_cai_76"/>
    <x v="116"/>
    <n v="0.9"/>
    <n v="1"/>
    <n v="-40"/>
    <n v="940"/>
  </r>
  <r>
    <x v="22"/>
    <s v="conventional_turnover_cai_77"/>
    <x v="117"/>
    <n v="0.9"/>
    <n v="1"/>
    <n v="-40"/>
    <n v="940"/>
  </r>
  <r>
    <x v="22"/>
    <s v="conventional_turnover_cai_78"/>
    <x v="118"/>
    <n v="0.9"/>
    <n v="1"/>
    <n v="-40"/>
    <n v="940"/>
  </r>
  <r>
    <x v="22"/>
    <s v="conventional_turnover_cai_79"/>
    <x v="119"/>
    <n v="0.9"/>
    <n v="1"/>
    <n v="-40"/>
    <n v="940"/>
  </r>
  <r>
    <x v="22"/>
    <s v="conventional_turnover_cai_80"/>
    <x v="120"/>
    <n v="0.9"/>
    <n v="1"/>
    <n v="-40"/>
    <n v="940"/>
  </r>
  <r>
    <x v="22"/>
    <s v="conventional_turnover_cai_81"/>
    <x v="121"/>
    <n v="0.9"/>
    <n v="1"/>
    <n v="-40"/>
    <n v="940"/>
  </r>
  <r>
    <x v="22"/>
    <s v="conventional_turnover_cai_82"/>
    <x v="122"/>
    <n v="0.9"/>
    <n v="1"/>
    <n v="-40"/>
    <n v="940"/>
  </r>
  <r>
    <x v="22"/>
    <s v="conventional_turnover_cai_83"/>
    <x v="123"/>
    <n v="0.9"/>
    <n v="1"/>
    <n v="-40"/>
    <n v="940"/>
  </r>
  <r>
    <x v="22"/>
    <s v="conventional_turnover_cai_84"/>
    <x v="124"/>
    <n v="0.9"/>
    <n v="1"/>
    <n v="-40"/>
    <n v="940"/>
  </r>
  <r>
    <x v="22"/>
    <s v="conventional_turnover_cai_85"/>
    <x v="125"/>
    <n v="0.9"/>
    <n v="1"/>
    <n v="-40"/>
    <n v="940"/>
  </r>
  <r>
    <x v="22"/>
    <s v="conventional_turnover_cai_86"/>
    <x v="126"/>
    <n v="0.9"/>
    <n v="1"/>
    <n v="-40"/>
    <n v="940"/>
  </r>
  <r>
    <x v="22"/>
    <s v="conventional_turnover_cai_87"/>
    <x v="127"/>
    <n v="0.9"/>
    <n v="1"/>
    <n v="-40"/>
    <n v="940"/>
  </r>
  <r>
    <x v="22"/>
    <s v="conventional_turnover_cai_88"/>
    <x v="128"/>
    <n v="0.9"/>
    <n v="1"/>
    <n v="-40"/>
    <n v="940"/>
  </r>
  <r>
    <x v="22"/>
    <s v="conventional_turnover_cai_89"/>
    <x v="129"/>
    <n v="0.9"/>
    <n v="1"/>
    <n v="-40"/>
    <n v="940"/>
  </r>
  <r>
    <x v="22"/>
    <s v="conventional_turnover_cai_90"/>
    <x v="130"/>
    <n v="0.9"/>
    <n v="1"/>
    <n v="-40"/>
    <n v="940"/>
  </r>
  <r>
    <x v="22"/>
    <s v="conventional_turnover_cai_91"/>
    <x v="131"/>
    <n v="0.9"/>
    <n v="1"/>
    <n v="-40"/>
    <n v="940"/>
  </r>
  <r>
    <x v="22"/>
    <s v="conventional_turnover_cai_92"/>
    <x v="132"/>
    <n v="0.9"/>
    <n v="1"/>
    <n v="-40"/>
    <n v="940"/>
  </r>
  <r>
    <x v="22"/>
    <s v="conventional_turnover_cai_93"/>
    <x v="133"/>
    <n v="0.9"/>
    <n v="1"/>
    <n v="-40"/>
    <n v="940"/>
  </r>
  <r>
    <x v="22"/>
    <s v="conventional_turnover_cai_94"/>
    <x v="134"/>
    <n v="0.9"/>
    <n v="1"/>
    <n v="-40"/>
    <n v="940"/>
  </r>
  <r>
    <x v="22"/>
    <s v="conventional_turnover_cai_95"/>
    <x v="135"/>
    <n v="0.9"/>
    <n v="1"/>
    <n v="-40"/>
    <n v="940"/>
  </r>
  <r>
    <x v="22"/>
    <s v="conventional_turnover_cai_96"/>
    <x v="136"/>
    <n v="0.9"/>
    <n v="1"/>
    <n v="-40"/>
    <n v="940"/>
  </r>
  <r>
    <x v="22"/>
    <s v="conventional_turnover_cai_97"/>
    <x v="137"/>
    <n v="0.9"/>
    <n v="1"/>
    <n v="-40"/>
    <n v="940"/>
  </r>
  <r>
    <x v="22"/>
    <s v="conventional_turnover_cai_98"/>
    <x v="138"/>
    <n v="0.9"/>
    <n v="1"/>
    <n v="-40"/>
    <n v="940"/>
  </r>
  <r>
    <x v="22"/>
    <s v="conventional_turnover_cai_99"/>
    <x v="139"/>
    <n v="0.9"/>
    <n v="1"/>
    <n v="-40"/>
    <n v="940"/>
  </r>
  <r>
    <x v="22"/>
    <s v="conventional_turnover_cai_100"/>
    <x v="140"/>
    <n v="0.9"/>
    <n v="1"/>
    <n v="-40"/>
    <n v="940"/>
  </r>
  <r>
    <x v="22"/>
    <s v="conventional_turnover_cai_101"/>
    <x v="141"/>
    <n v="0.9"/>
    <n v="1"/>
    <n v="-40"/>
    <n v="940"/>
  </r>
  <r>
    <x v="22"/>
    <s v="conventional_turnover_cai_102"/>
    <x v="142"/>
    <n v="0.9"/>
    <n v="1"/>
    <n v="-40"/>
    <n v="940"/>
  </r>
  <r>
    <x v="22"/>
    <s v="conventional_turnover_cai_103"/>
    <x v="143"/>
    <n v="0.9"/>
    <n v="1"/>
    <n v="-40"/>
    <n v="940"/>
  </r>
  <r>
    <x v="22"/>
    <s v="conventional_turnover_cai_104"/>
    <x v="144"/>
    <n v="0.9"/>
    <n v="1"/>
    <n v="-40"/>
    <n v="940"/>
  </r>
  <r>
    <x v="22"/>
    <s v="conventional_turnover_cai_105"/>
    <x v="145"/>
    <n v="0.9"/>
    <n v="1"/>
    <n v="-40"/>
    <n v="940"/>
  </r>
  <r>
    <x v="22"/>
    <s v="conventional_turnover_cai_106"/>
    <x v="146"/>
    <n v="0.9"/>
    <n v="1"/>
    <n v="-40"/>
    <n v="940"/>
  </r>
  <r>
    <x v="22"/>
    <s v="conventional_turnover_cai_107"/>
    <x v="147"/>
    <n v="0.9"/>
    <n v="1"/>
    <n v="-40"/>
    <n v="940"/>
  </r>
  <r>
    <x v="22"/>
    <s v="conventional_turnover_cai_108"/>
    <x v="148"/>
    <n v="0.9"/>
    <n v="1"/>
    <n v="-40"/>
    <n v="940"/>
  </r>
  <r>
    <x v="22"/>
    <s v="conventional_turnover_cai_109"/>
    <x v="149"/>
    <n v="0.9"/>
    <n v="1"/>
    <n v="-40"/>
    <n v="940"/>
  </r>
  <r>
    <x v="22"/>
    <s v="conventional_turnover_cai_110"/>
    <x v="150"/>
    <n v="0.9"/>
    <n v="1"/>
    <n v="-40"/>
    <n v="940"/>
  </r>
  <r>
    <x v="22"/>
    <s v="conventional_turnover_cai_111"/>
    <x v="151"/>
    <n v="0.9"/>
    <n v="1"/>
    <n v="-40"/>
    <n v="940"/>
  </r>
  <r>
    <x v="22"/>
    <s v="conventional_turnover_cai_112"/>
    <x v="152"/>
    <n v="0.9"/>
    <n v="1"/>
    <n v="-40"/>
    <n v="940"/>
  </r>
  <r>
    <x v="22"/>
    <s v="conventional_turnover_cai_113"/>
    <x v="153"/>
    <n v="0.9"/>
    <n v="1"/>
    <n v="-40"/>
    <n v="940"/>
  </r>
  <r>
    <x v="22"/>
    <s v="conventional_turnover_cai_114"/>
    <x v="154"/>
    <n v="0.9"/>
    <n v="1"/>
    <n v="-40"/>
    <n v="940"/>
  </r>
  <r>
    <x v="22"/>
    <s v="conventional_turnover_cai_115"/>
    <x v="155"/>
    <n v="0.9"/>
    <n v="1"/>
    <n v="-40"/>
    <n v="940"/>
  </r>
  <r>
    <x v="22"/>
    <s v="conventional_turnover_cai_116"/>
    <x v="156"/>
    <n v="0.9"/>
    <n v="1"/>
    <n v="-40"/>
    <n v="940"/>
  </r>
  <r>
    <x v="22"/>
    <s v="conventional_turnover_cai_117"/>
    <x v="157"/>
    <n v="0.9"/>
    <n v="1"/>
    <n v="-40"/>
    <n v="940"/>
  </r>
  <r>
    <x v="22"/>
    <s v="conventional_turnover_cai_118"/>
    <x v="158"/>
    <n v="0.9"/>
    <n v="1"/>
    <n v="-40"/>
    <n v="940"/>
  </r>
  <r>
    <x v="22"/>
    <s v="conventional_turnover_cai_119"/>
    <x v="159"/>
    <n v="0.9"/>
    <n v="1"/>
    <n v="-40"/>
    <n v="940"/>
  </r>
  <r>
    <x v="22"/>
    <s v="conventional_turnover_cai_120"/>
    <x v="160"/>
    <n v="0.9"/>
    <n v="1"/>
    <n v="-40"/>
    <n v="940"/>
  </r>
  <r>
    <x v="22"/>
    <s v="conventional_turnover_cai_121"/>
    <x v="161"/>
    <n v="0.9"/>
    <n v="1"/>
    <n v="-40"/>
    <n v="940"/>
  </r>
  <r>
    <x v="22"/>
    <s v="conventional_turnover_cai_122"/>
    <x v="162"/>
    <n v="0.9"/>
    <n v="1"/>
    <n v="-40"/>
    <n v="940"/>
  </r>
  <r>
    <x v="22"/>
    <s v="conventional_turnover_cai_123"/>
    <x v="163"/>
    <n v="0.9"/>
    <n v="1"/>
    <n v="-40"/>
    <n v="940"/>
  </r>
  <r>
    <x v="22"/>
    <s v="conventional_turnover_cai_124"/>
    <x v="164"/>
    <n v="0.9"/>
    <n v="1"/>
    <n v="-40"/>
    <n v="940"/>
  </r>
  <r>
    <x v="22"/>
    <s v="conventional_turnover_cai_125"/>
    <x v="165"/>
    <n v="0.9"/>
    <n v="1"/>
    <n v="-40"/>
    <n v="940"/>
  </r>
  <r>
    <x v="22"/>
    <s v="conventional_turnover_cai_126"/>
    <x v="166"/>
    <n v="0.9"/>
    <n v="1"/>
    <n v="-40"/>
    <n v="940"/>
  </r>
  <r>
    <x v="22"/>
    <s v="conventional_turnover_cai_127"/>
    <x v="167"/>
    <n v="0.9"/>
    <n v="1"/>
    <n v="-40"/>
    <n v="940"/>
  </r>
  <r>
    <x v="22"/>
    <s v="conventional_turnover_cai_128"/>
    <x v="168"/>
    <n v="0.9"/>
    <n v="1"/>
    <n v="-40"/>
    <n v="940"/>
  </r>
  <r>
    <x v="22"/>
    <s v="conventional_turnover_cai_129"/>
    <x v="169"/>
    <n v="0.9"/>
    <n v="1"/>
    <n v="-40"/>
    <n v="940"/>
  </r>
  <r>
    <x v="22"/>
    <s v="conventional_turnover_cai_130"/>
    <x v="170"/>
    <n v="0.9"/>
    <n v="1"/>
    <n v="-40"/>
    <n v="940"/>
  </r>
  <r>
    <x v="22"/>
    <s v="conventional_turnover_cai_131"/>
    <x v="171"/>
    <n v="0.9"/>
    <n v="1"/>
    <n v="-40"/>
    <n v="940"/>
  </r>
  <r>
    <x v="22"/>
    <s v="conventional_turnover_cai_132"/>
    <x v="172"/>
    <n v="0.9"/>
    <n v="1"/>
    <n v="-40"/>
    <n v="940"/>
  </r>
  <r>
    <x v="22"/>
    <s v="conventional_turnover_cai_133"/>
    <x v="173"/>
    <n v="0.9"/>
    <n v="1"/>
    <n v="-40"/>
    <n v="940"/>
  </r>
  <r>
    <x v="22"/>
    <s v="conventional_turnover_cai_134"/>
    <x v="174"/>
    <n v="0.9"/>
    <n v="1"/>
    <n v="-40"/>
    <n v="940"/>
  </r>
  <r>
    <x v="22"/>
    <s v="conventional_turnover_cai_135"/>
    <x v="175"/>
    <n v="0.9"/>
    <n v="1"/>
    <n v="-40"/>
    <n v="940"/>
  </r>
  <r>
    <x v="22"/>
    <s v="conventional_turnover_cai_136"/>
    <x v="176"/>
    <n v="0.9"/>
    <n v="1"/>
    <n v="-40"/>
    <n v="940"/>
  </r>
  <r>
    <x v="22"/>
    <s v="conventional_turnover_cai_137"/>
    <x v="177"/>
    <n v="0.9"/>
    <n v="1"/>
    <n v="-40"/>
    <n v="940"/>
  </r>
  <r>
    <x v="22"/>
    <s v="conventional_turnover_cai_138"/>
    <x v="178"/>
    <n v="0.9"/>
    <n v="1"/>
    <n v="-40"/>
    <n v="940"/>
  </r>
  <r>
    <x v="22"/>
    <s v="conventional_turnover_cai_139"/>
    <x v="179"/>
    <n v="0.9"/>
    <n v="1"/>
    <n v="-40"/>
    <n v="940"/>
  </r>
  <r>
    <x v="22"/>
    <s v="conventional_turnover_cai_140"/>
    <x v="180"/>
    <n v="0.9"/>
    <n v="1"/>
    <n v="-40"/>
    <n v="940"/>
  </r>
  <r>
    <x v="22"/>
    <s v="conventional_turnover_cai_141"/>
    <x v="181"/>
    <n v="0.9"/>
    <n v="1"/>
    <n v="-40"/>
    <n v="940"/>
  </r>
  <r>
    <x v="22"/>
    <s v="conventional_turnover_cai_142"/>
    <x v="182"/>
    <n v="0.9"/>
    <n v="1"/>
    <n v="-40"/>
    <n v="940"/>
  </r>
  <r>
    <x v="22"/>
    <s v="conventional_turnover_cai_143"/>
    <x v="183"/>
    <n v="0.9"/>
    <n v="1"/>
    <n v="-40"/>
    <n v="940"/>
  </r>
  <r>
    <x v="22"/>
    <s v="conventional_turnover_cai_144"/>
    <x v="184"/>
    <n v="0.9"/>
    <n v="1"/>
    <n v="-40"/>
    <n v="940"/>
  </r>
  <r>
    <x v="22"/>
    <s v="conventional_turnover_cai_145"/>
    <x v="185"/>
    <n v="0.9"/>
    <n v="1"/>
    <n v="-40"/>
    <n v="940"/>
  </r>
  <r>
    <x v="22"/>
    <s v="conventional_turnover_cai_146"/>
    <x v="186"/>
    <n v="0.9"/>
    <n v="1"/>
    <n v="-40"/>
    <n v="940"/>
  </r>
  <r>
    <x v="22"/>
    <s v="conventional_turnover_cai_147"/>
    <x v="187"/>
    <n v="0.9"/>
    <n v="1"/>
    <n v="-40"/>
    <n v="940"/>
  </r>
  <r>
    <x v="22"/>
    <s v="conventional_turnover_cai_148"/>
    <x v="188"/>
    <n v="0.9"/>
    <n v="1"/>
    <n v="-40"/>
    <n v="940"/>
  </r>
  <r>
    <x v="22"/>
    <s v="conventional_turnover_cai_149"/>
    <x v="189"/>
    <n v="0.9"/>
    <n v="1"/>
    <n v="-40"/>
    <n v="940"/>
  </r>
  <r>
    <x v="22"/>
    <s v="conventional_turnover_cai_150"/>
    <x v="190"/>
    <n v="0.9"/>
    <n v="1"/>
    <n v="-40"/>
    <n v="940"/>
  </r>
  <r>
    <x v="22"/>
    <s v="conventional_turnover_cai_151"/>
    <x v="191"/>
    <n v="0.9"/>
    <n v="1"/>
    <n v="-40"/>
    <n v="940"/>
  </r>
  <r>
    <x v="22"/>
    <s v="conventional_turnover_cai_152"/>
    <x v="192"/>
    <n v="0.9"/>
    <n v="1"/>
    <n v="-40"/>
    <n v="940"/>
  </r>
  <r>
    <x v="22"/>
    <s v="conventional_turnover_cai_153"/>
    <x v="193"/>
    <n v="0.9"/>
    <n v="1"/>
    <n v="-40"/>
    <n v="940"/>
  </r>
  <r>
    <x v="22"/>
    <s v="conventional_turnover_cai_154"/>
    <x v="194"/>
    <n v="0.9"/>
    <n v="1"/>
    <n v="-40"/>
    <n v="940"/>
  </r>
  <r>
    <x v="22"/>
    <s v="conventional_turnover_cai_155"/>
    <x v="195"/>
    <n v="0.9"/>
    <n v="1"/>
    <n v="-40"/>
    <n v="940"/>
  </r>
  <r>
    <x v="22"/>
    <s v="conventional_turnover_cai_156"/>
    <x v="196"/>
    <n v="0.9"/>
    <n v="1"/>
    <n v="-40"/>
    <n v="940"/>
  </r>
  <r>
    <x v="22"/>
    <s v="conventional_turnover_cai_157"/>
    <x v="197"/>
    <n v="0.9"/>
    <n v="1"/>
    <n v="-40"/>
    <n v="940"/>
  </r>
  <r>
    <x v="22"/>
    <s v="conventional_turnover_cai_158"/>
    <x v="198"/>
    <n v="0.9"/>
    <n v="1"/>
    <n v="-40"/>
    <n v="940"/>
  </r>
  <r>
    <x v="22"/>
    <s v="conventional_turnover_cai_159"/>
    <x v="199"/>
    <n v="0.9"/>
    <n v="1"/>
    <n v="-40"/>
    <n v="940"/>
  </r>
  <r>
    <x v="22"/>
    <s v="conventional_turnover_cai_160"/>
    <x v="200"/>
    <n v="0.9"/>
    <n v="1"/>
    <n v="-40"/>
    <n v="940"/>
  </r>
  <r>
    <x v="22"/>
    <s v="conventional_turnover_cai_161"/>
    <x v="201"/>
    <n v="0.9"/>
    <n v="1"/>
    <n v="-40"/>
    <n v="940"/>
  </r>
  <r>
    <x v="22"/>
    <s v="conventional_turnover_cai_162"/>
    <x v="202"/>
    <n v="0.9"/>
    <n v="1"/>
    <n v="-40"/>
    <n v="940"/>
  </r>
  <r>
    <x v="22"/>
    <s v="conventional_turnover_cai_163"/>
    <x v="203"/>
    <n v="0.9"/>
    <n v="1"/>
    <n v="-40"/>
    <n v="940"/>
  </r>
  <r>
    <x v="22"/>
    <s v="conventional_turnover_cai_164"/>
    <x v="204"/>
    <n v="0.9"/>
    <n v="1"/>
    <n v="-40"/>
    <n v="940"/>
  </r>
  <r>
    <x v="22"/>
    <s v="conventional_turnover_cai_165"/>
    <x v="205"/>
    <n v="0.9"/>
    <n v="1"/>
    <n v="-40"/>
    <n v="940"/>
  </r>
  <r>
    <x v="22"/>
    <s v="conventional_turnover_cai_166"/>
    <x v="206"/>
    <n v="0.9"/>
    <n v="1"/>
    <n v="-40"/>
    <n v="940"/>
  </r>
  <r>
    <x v="22"/>
    <s v="conventional_turnover_cai_167"/>
    <x v="207"/>
    <n v="0.9"/>
    <n v="1"/>
    <n v="-40"/>
    <n v="940"/>
  </r>
  <r>
    <x v="22"/>
    <s v="conventional_turnover_cai_168"/>
    <x v="208"/>
    <n v="0.9"/>
    <n v="1"/>
    <n v="-40"/>
    <n v="940"/>
  </r>
  <r>
    <x v="22"/>
    <s v="conventional_turnover_cai_169"/>
    <x v="209"/>
    <n v="0.9"/>
    <n v="1"/>
    <n v="-40"/>
    <n v="940"/>
  </r>
  <r>
    <x v="22"/>
    <s v="conventional_turnover_cai_170"/>
    <x v="210"/>
    <n v="0.9"/>
    <n v="1"/>
    <n v="-40"/>
    <n v="940"/>
  </r>
  <r>
    <x v="22"/>
    <s v="conventional_turnover_cai_171"/>
    <x v="211"/>
    <n v="0.9"/>
    <n v="1"/>
    <n v="-40"/>
    <n v="940"/>
  </r>
  <r>
    <x v="22"/>
    <s v="conventional_turnover_cai_172"/>
    <x v="212"/>
    <n v="0.9"/>
    <n v="1"/>
    <n v="-40"/>
    <n v="940"/>
  </r>
  <r>
    <x v="22"/>
    <s v="conventional_turnover_cai_173"/>
    <x v="213"/>
    <n v="0.9"/>
    <n v="1"/>
    <n v="-40"/>
    <n v="940"/>
  </r>
  <r>
    <x v="22"/>
    <s v="conventional_turnover_cai_174"/>
    <x v="214"/>
    <n v="0.9"/>
    <n v="1"/>
    <n v="-40"/>
    <n v="940"/>
  </r>
  <r>
    <x v="22"/>
    <s v="conventional_turnover_cai_175"/>
    <x v="215"/>
    <n v="0.9"/>
    <n v="1"/>
    <n v="-40"/>
    <n v="940"/>
  </r>
  <r>
    <x v="22"/>
    <s v="conventional_turnover_cai_176"/>
    <x v="216"/>
    <n v="0.9"/>
    <n v="1"/>
    <n v="-40"/>
    <n v="940"/>
  </r>
  <r>
    <x v="22"/>
    <s v="conventional_turnover_cai_177"/>
    <x v="217"/>
    <n v="0.9"/>
    <n v="1"/>
    <n v="-40"/>
    <n v="940"/>
  </r>
  <r>
    <x v="22"/>
    <s v="conventional_turnover_cai_178"/>
    <x v="218"/>
    <n v="0.9"/>
    <n v="1"/>
    <n v="-40"/>
    <n v="940"/>
  </r>
  <r>
    <x v="22"/>
    <s v="conventional_turnover_cai_179"/>
    <x v="219"/>
    <n v="0.9"/>
    <n v="1"/>
    <n v="-40"/>
    <n v="940"/>
  </r>
  <r>
    <x v="22"/>
    <s v="conventional_turnover_cai_180"/>
    <x v="220"/>
    <n v="0.9"/>
    <n v="1"/>
    <n v="-40"/>
    <n v="940"/>
  </r>
  <r>
    <x v="22"/>
    <s v="conventional_turnover_cai_181"/>
    <x v="221"/>
    <n v="0.9"/>
    <n v="1"/>
    <n v="-40"/>
    <n v="940"/>
  </r>
  <r>
    <x v="22"/>
    <s v="conventional_turnover_cai_182"/>
    <x v="222"/>
    <n v="0.9"/>
    <n v="1"/>
    <n v="-40"/>
    <n v="940"/>
  </r>
  <r>
    <x v="22"/>
    <s v="conventional_turnover_cai_183"/>
    <x v="223"/>
    <n v="0.9"/>
    <n v="1"/>
    <n v="-40"/>
    <n v="940"/>
  </r>
  <r>
    <x v="22"/>
    <s v="conventional_turnover_cai_184"/>
    <x v="224"/>
    <n v="0.9"/>
    <n v="1"/>
    <n v="-40"/>
    <n v="940"/>
  </r>
  <r>
    <x v="22"/>
    <s v="conventional_turnover_cai_185"/>
    <x v="225"/>
    <n v="0.9"/>
    <n v="1"/>
    <n v="-40"/>
    <n v="940"/>
  </r>
  <r>
    <x v="22"/>
    <s v="conventional_turnover_cai_186"/>
    <x v="226"/>
    <n v="0.9"/>
    <n v="1"/>
    <n v="-40"/>
    <n v="940"/>
  </r>
  <r>
    <x v="22"/>
    <s v="conventional_turnover_cai_187"/>
    <x v="227"/>
    <n v="0.9"/>
    <n v="1"/>
    <n v="-40"/>
    <n v="940"/>
  </r>
  <r>
    <x v="22"/>
    <s v="conventional_turnover_cai_188"/>
    <x v="228"/>
    <n v="0.9"/>
    <n v="1"/>
    <n v="-40"/>
    <n v="940"/>
  </r>
  <r>
    <x v="22"/>
    <s v="conventional_turnover_cai_189"/>
    <x v="229"/>
    <n v="0.9"/>
    <n v="1"/>
    <n v="-40"/>
    <n v="940"/>
  </r>
  <r>
    <x v="22"/>
    <s v="conventional_turnover_cai_190"/>
    <x v="230"/>
    <n v="0.9"/>
    <n v="1"/>
    <n v="-40"/>
    <n v="940"/>
  </r>
  <r>
    <x v="22"/>
    <s v="conventional_turnover_cai_191"/>
    <x v="231"/>
    <n v="0.9"/>
    <n v="1"/>
    <n v="-40"/>
    <n v="940"/>
  </r>
  <r>
    <x v="22"/>
    <s v="conventional_turnover_cai_192"/>
    <x v="232"/>
    <n v="0.9"/>
    <n v="1"/>
    <n v="-40"/>
    <n v="940"/>
  </r>
  <r>
    <x v="22"/>
    <s v="conventional_turnover_cai_193"/>
    <x v="233"/>
    <n v="0.9"/>
    <n v="1"/>
    <n v="-40"/>
    <n v="940"/>
  </r>
  <r>
    <x v="22"/>
    <s v="conventional_turnover_cai_194"/>
    <x v="234"/>
    <n v="0.9"/>
    <n v="1"/>
    <n v="-40"/>
    <n v="940"/>
  </r>
  <r>
    <x v="22"/>
    <s v="conventional_turnover_cai_195"/>
    <x v="235"/>
    <n v="0.9"/>
    <n v="1"/>
    <n v="-40"/>
    <n v="940"/>
  </r>
  <r>
    <x v="22"/>
    <s v="conventional_turnover_cai_196"/>
    <x v="236"/>
    <n v="0.9"/>
    <n v="1"/>
    <n v="-40"/>
    <n v="940"/>
  </r>
  <r>
    <x v="22"/>
    <s v="conventional_turnover_cai_197"/>
    <x v="237"/>
    <n v="0.9"/>
    <n v="1"/>
    <n v="-40"/>
    <n v="940"/>
  </r>
  <r>
    <x v="22"/>
    <s v="conventional_turnover_cai_198"/>
    <x v="238"/>
    <n v="0.9"/>
    <n v="1"/>
    <n v="-40"/>
    <n v="940"/>
  </r>
  <r>
    <x v="22"/>
    <s v="conventional_turnover_cai_199"/>
    <x v="239"/>
    <n v="0.9"/>
    <n v="1"/>
    <n v="-40"/>
    <n v="940"/>
  </r>
  <r>
    <x v="22"/>
    <s v="conventional_turnover_cai_200"/>
    <x v="240"/>
    <n v="0.9"/>
    <n v="1"/>
    <n v="-40"/>
    <n v="940"/>
  </r>
  <r>
    <x v="22"/>
    <s v="conventional_turnover_cai_201"/>
    <x v="241"/>
    <n v="0.9"/>
    <n v="1"/>
    <n v="-40"/>
    <n v="940"/>
  </r>
  <r>
    <x v="22"/>
    <s v="conventional_turnover_cai_202"/>
    <x v="242"/>
    <n v="0.9"/>
    <n v="1"/>
    <n v="-40"/>
    <n v="940"/>
  </r>
  <r>
    <x v="22"/>
    <s v="conventional_turnover_cai_203"/>
    <x v="243"/>
    <n v="0.9"/>
    <n v="1"/>
    <n v="-40"/>
    <n v="940"/>
  </r>
  <r>
    <x v="22"/>
    <s v="conventional_turnover_cai_204"/>
    <x v="244"/>
    <n v="0.9"/>
    <n v="1"/>
    <n v="-40"/>
    <n v="940"/>
  </r>
  <r>
    <x v="22"/>
    <s v="conventional_turnover_cai_205"/>
    <x v="245"/>
    <n v="0.9"/>
    <n v="1"/>
    <n v="-40"/>
    <n v="940"/>
  </r>
  <r>
    <x v="22"/>
    <s v="conventional_turnover_cai_206"/>
    <x v="246"/>
    <n v="0.9"/>
    <n v="1"/>
    <n v="-40"/>
    <n v="940"/>
  </r>
  <r>
    <x v="22"/>
    <s v="conventional_turnover_cai_207"/>
    <x v="247"/>
    <n v="0.9"/>
    <n v="1"/>
    <n v="-40"/>
    <n v="940"/>
  </r>
  <r>
    <x v="22"/>
    <s v="conventional_turnover_cai_208"/>
    <x v="248"/>
    <n v="0.9"/>
    <n v="1"/>
    <n v="-40"/>
    <n v="940"/>
  </r>
  <r>
    <x v="22"/>
    <s v="conventional_turnover_cai_209"/>
    <x v="249"/>
    <n v="0.9"/>
    <n v="1"/>
    <n v="-40"/>
    <n v="940"/>
  </r>
  <r>
    <x v="22"/>
    <s v="conventional_turnover_cai_210"/>
    <x v="250"/>
    <n v="0.9"/>
    <n v="1"/>
    <n v="-40"/>
    <n v="940"/>
  </r>
  <r>
    <x v="22"/>
    <s v="conventional_turnover_cai_211"/>
    <x v="251"/>
    <n v="0.9"/>
    <n v="1"/>
    <n v="-40"/>
    <n v="940"/>
  </r>
  <r>
    <x v="22"/>
    <s v="conventional_turnover_cai_212"/>
    <x v="252"/>
    <n v="0.9"/>
    <n v="1"/>
    <n v="-40"/>
    <n v="940"/>
  </r>
  <r>
    <x v="22"/>
    <s v="conventional_turnover_cai_213"/>
    <x v="253"/>
    <n v="0.9"/>
    <n v="1"/>
    <n v="-40"/>
    <n v="940"/>
  </r>
  <r>
    <x v="22"/>
    <s v="conventional_turnover_cai_214"/>
    <x v="254"/>
    <n v="0.9"/>
    <n v="1"/>
    <n v="-40"/>
    <n v="940"/>
  </r>
  <r>
    <x v="22"/>
    <s v="conventional_turnover_cai_215"/>
    <x v="255"/>
    <n v="0.9"/>
    <n v="1"/>
    <n v="-40"/>
    <n v="940"/>
  </r>
  <r>
    <x v="22"/>
    <s v="conventional_turnover_cai_216"/>
    <x v="256"/>
    <n v="0.9"/>
    <n v="1"/>
    <n v="-40"/>
    <n v="940"/>
  </r>
  <r>
    <x v="22"/>
    <s v="conventional_turnover_cai_217"/>
    <x v="257"/>
    <n v="0.9"/>
    <n v="1"/>
    <n v="-40"/>
    <n v="940"/>
  </r>
  <r>
    <x v="22"/>
    <s v="conventional_turnover_cai_218"/>
    <x v="258"/>
    <n v="0.9"/>
    <n v="1"/>
    <n v="-40"/>
    <n v="940"/>
  </r>
  <r>
    <x v="22"/>
    <s v="conventional_turnover_cai_219"/>
    <x v="259"/>
    <n v="0.9"/>
    <n v="1"/>
    <n v="-40"/>
    <n v="940"/>
  </r>
  <r>
    <x v="22"/>
    <s v="conventional_turnover_cai_220"/>
    <x v="260"/>
    <n v="0.9"/>
    <n v="1"/>
    <n v="-40"/>
    <n v="940"/>
  </r>
  <r>
    <x v="22"/>
    <s v="conventional_turnover_cai_221"/>
    <x v="261"/>
    <n v="0.9"/>
    <n v="1"/>
    <n v="-40"/>
    <n v="940"/>
  </r>
  <r>
    <x v="22"/>
    <s v="conventional_turnover_cai_222"/>
    <x v="262"/>
    <n v="0.9"/>
    <n v="1"/>
    <n v="-40"/>
    <n v="940"/>
  </r>
  <r>
    <x v="22"/>
    <s v="conventional_turnover_cai_223"/>
    <x v="263"/>
    <n v="0.9"/>
    <n v="1"/>
    <n v="-40"/>
    <n v="940"/>
  </r>
  <r>
    <x v="22"/>
    <s v="conventional_turnover_cai_224"/>
    <x v="264"/>
    <n v="0.9"/>
    <n v="1"/>
    <n v="-40"/>
    <n v="940"/>
  </r>
  <r>
    <x v="22"/>
    <s v="conventional_turnover_cai_225"/>
    <x v="265"/>
    <n v="0.9"/>
    <n v="1"/>
    <n v="-40"/>
    <n v="940"/>
  </r>
  <r>
    <x v="22"/>
    <s v="conventional_turnover_cai_226"/>
    <x v="266"/>
    <n v="0.9"/>
    <n v="1"/>
    <n v="-40"/>
    <n v="940"/>
  </r>
  <r>
    <x v="22"/>
    <s v="conventional_turnover_cai_227"/>
    <x v="267"/>
    <n v="0.9"/>
    <n v="1"/>
    <n v="-40"/>
    <n v="940"/>
  </r>
  <r>
    <x v="22"/>
    <s v="conventional_turnover_cai_228"/>
    <x v="268"/>
    <n v="0.9"/>
    <n v="1"/>
    <n v="-40"/>
    <n v="940"/>
  </r>
  <r>
    <x v="22"/>
    <s v="conventional_turnover_cai_229"/>
    <x v="269"/>
    <n v="0.9"/>
    <n v="1"/>
    <n v="-40"/>
    <n v="940"/>
  </r>
  <r>
    <x v="22"/>
    <s v="conventional_turnover_cai_230"/>
    <x v="270"/>
    <n v="0.9"/>
    <n v="1"/>
    <n v="-40"/>
    <n v="940"/>
  </r>
  <r>
    <x v="22"/>
    <s v="conventional_turnover_cai_231"/>
    <x v="271"/>
    <n v="0.9"/>
    <n v="1"/>
    <n v="-40"/>
    <n v="940"/>
  </r>
  <r>
    <x v="22"/>
    <s v="conventional_turnover_cai_232"/>
    <x v="272"/>
    <n v="0.9"/>
    <n v="1"/>
    <n v="-40"/>
    <n v="940"/>
  </r>
  <r>
    <x v="22"/>
    <s v="conventional_turnover_cai_233"/>
    <x v="273"/>
    <n v="0.9"/>
    <n v="1"/>
    <n v="-40"/>
    <n v="940"/>
  </r>
  <r>
    <x v="22"/>
    <s v="conventional_turnover_cai_234"/>
    <x v="274"/>
    <n v="0.9"/>
    <n v="1"/>
    <n v="-40"/>
    <n v="940"/>
  </r>
  <r>
    <x v="22"/>
    <s v="conventional_turnover_cai_235"/>
    <x v="275"/>
    <n v="0.9"/>
    <n v="1"/>
    <n v="-40"/>
    <n v="940"/>
  </r>
  <r>
    <x v="22"/>
    <s v="conventional_turnover_cai_236"/>
    <x v="276"/>
    <n v="0.9"/>
    <n v="1"/>
    <n v="-40"/>
    <n v="940"/>
  </r>
  <r>
    <x v="22"/>
    <s v="conventional_turnover_cai_237"/>
    <x v="277"/>
    <n v="0.9"/>
    <n v="1"/>
    <n v="-40"/>
    <n v="940"/>
  </r>
  <r>
    <x v="22"/>
    <s v="conventional_turnover_cai_238"/>
    <x v="278"/>
    <n v="0.9"/>
    <n v="1"/>
    <n v="-40"/>
    <n v="940"/>
  </r>
  <r>
    <x v="22"/>
    <s v="conventional_turnover_cai_239"/>
    <x v="279"/>
    <n v="0.9"/>
    <n v="1"/>
    <n v="-40"/>
    <n v="940"/>
  </r>
  <r>
    <x v="22"/>
    <s v="conventional_turnover_cai_240"/>
    <x v="280"/>
    <n v="0.9"/>
    <n v="1"/>
    <n v="-40"/>
    <n v="940"/>
  </r>
  <r>
    <x v="22"/>
    <s v="conventional_turnover_cai_241"/>
    <x v="281"/>
    <n v="0.9"/>
    <n v="1"/>
    <n v="-40"/>
    <n v="940"/>
  </r>
  <r>
    <x v="22"/>
    <s v="conventional_turnover_cai_242"/>
    <x v="282"/>
    <n v="0.9"/>
    <n v="1"/>
    <n v="-40"/>
    <n v="940"/>
  </r>
  <r>
    <x v="22"/>
    <s v="conventional_turnover_cai_243"/>
    <x v="283"/>
    <n v="0.9"/>
    <n v="1"/>
    <n v="-40"/>
    <n v="940"/>
  </r>
  <r>
    <x v="22"/>
    <s v="conventional_turnover_cai_244"/>
    <x v="284"/>
    <n v="0.9"/>
    <n v="1"/>
    <n v="-40"/>
    <n v="940"/>
  </r>
  <r>
    <x v="22"/>
    <s v="conventional_turnover_cai_245"/>
    <x v="285"/>
    <n v="0.9"/>
    <n v="1"/>
    <n v="-40"/>
    <n v="940"/>
  </r>
  <r>
    <x v="22"/>
    <s v="conventional_turnover_cai_246"/>
    <x v="286"/>
    <n v="0.9"/>
    <n v="1"/>
    <n v="-40"/>
    <n v="940"/>
  </r>
  <r>
    <x v="22"/>
    <s v="conventional_turnover_cai_247"/>
    <x v="287"/>
    <n v="0.9"/>
    <n v="1"/>
    <n v="-40"/>
    <n v="940"/>
  </r>
  <r>
    <x v="22"/>
    <s v="conventional_turnover_cai_248"/>
    <x v="288"/>
    <n v="0.9"/>
    <n v="1"/>
    <n v="-40"/>
    <n v="940"/>
  </r>
  <r>
    <x v="22"/>
    <s v="conventional_turnover_cai_249"/>
    <x v="289"/>
    <n v="0.9"/>
    <n v="1"/>
    <n v="-40"/>
    <n v="940"/>
  </r>
  <r>
    <x v="22"/>
    <s v="conventional_turnover_cai_250"/>
    <x v="290"/>
    <n v="0.9"/>
    <n v="1"/>
    <n v="-40"/>
    <n v="940"/>
  </r>
  <r>
    <x v="22"/>
    <s v="conventional_turnover_cai_251"/>
    <x v="291"/>
    <n v="0.9"/>
    <n v="1"/>
    <n v="-40"/>
    <n v="940"/>
  </r>
  <r>
    <x v="22"/>
    <s v="conventional_turnover_cai_252"/>
    <x v="292"/>
    <n v="0.9"/>
    <n v="1"/>
    <n v="-40"/>
    <n v="940"/>
  </r>
  <r>
    <x v="22"/>
    <s v="conventional_turnover_cai_253"/>
    <x v="293"/>
    <n v="0.9"/>
    <n v="1"/>
    <n v="-40"/>
    <n v="940"/>
  </r>
  <r>
    <x v="22"/>
    <s v="conventional_turnover_cai_254"/>
    <x v="294"/>
    <n v="0.9"/>
    <n v="1"/>
    <n v="-40"/>
    <n v="940"/>
  </r>
  <r>
    <x v="22"/>
    <s v="conventional_turnover_cai_255"/>
    <x v="295"/>
    <n v="0.9"/>
    <n v="1"/>
    <n v="-40"/>
    <n v="940"/>
  </r>
  <r>
    <x v="22"/>
    <s v="conventional_turnover_cai_256"/>
    <x v="296"/>
    <n v="0.9"/>
    <n v="1"/>
    <n v="-40"/>
    <n v="940"/>
  </r>
  <r>
    <x v="22"/>
    <s v="conventional_turnover_cai_257"/>
    <x v="297"/>
    <n v="0.9"/>
    <n v="1"/>
    <n v="-40"/>
    <n v="940"/>
  </r>
  <r>
    <x v="22"/>
    <s v="conventional_turnover_cai_258"/>
    <x v="298"/>
    <n v="0.9"/>
    <n v="1"/>
    <n v="-40"/>
    <n v="940"/>
  </r>
  <r>
    <x v="22"/>
    <s v="conventional_turnover_cai_259"/>
    <x v="299"/>
    <n v="0.9"/>
    <n v="1"/>
    <n v="-40"/>
    <n v="940"/>
  </r>
  <r>
    <x v="22"/>
    <s v="conventional_turnover_cai_260"/>
    <x v="300"/>
    <n v="0.9"/>
    <n v="1"/>
    <n v="-40"/>
    <n v="940"/>
  </r>
  <r>
    <x v="22"/>
    <s v="conventional_turnover_cai_261"/>
    <x v="301"/>
    <n v="0.9"/>
    <n v="1"/>
    <n v="-40"/>
    <n v="940"/>
  </r>
  <r>
    <x v="22"/>
    <s v="conventional_turnover_cai_262"/>
    <x v="302"/>
    <n v="0.9"/>
    <n v="1"/>
    <n v="-40"/>
    <n v="940"/>
  </r>
  <r>
    <x v="22"/>
    <s v="conventional_turnover_cai_263"/>
    <x v="303"/>
    <n v="0.9"/>
    <n v="1"/>
    <n v="-40"/>
    <n v="940"/>
  </r>
  <r>
    <x v="22"/>
    <s v="conventional_turnover_cai_264"/>
    <x v="304"/>
    <n v="0.9"/>
    <n v="1"/>
    <n v="-40"/>
    <n v="940"/>
  </r>
  <r>
    <x v="22"/>
    <s v="conventional_turnover_cai_265"/>
    <x v="305"/>
    <n v="0.9"/>
    <n v="1"/>
    <n v="-40"/>
    <n v="940"/>
  </r>
  <r>
    <x v="22"/>
    <s v="conventional_turnover_cai_266"/>
    <x v="306"/>
    <n v="0.9"/>
    <n v="1"/>
    <n v="-40"/>
    <n v="940"/>
  </r>
  <r>
    <x v="22"/>
    <s v="conventional_turnover_cai_267"/>
    <x v="307"/>
    <n v="0.9"/>
    <n v="1"/>
    <n v="-40"/>
    <n v="940"/>
  </r>
  <r>
    <x v="22"/>
    <s v="conventional_turnover_cai_268"/>
    <x v="308"/>
    <n v="0.9"/>
    <n v="1"/>
    <n v="-40"/>
    <n v="940"/>
  </r>
  <r>
    <x v="22"/>
    <s v="conventional_turnover_cai_269"/>
    <x v="309"/>
    <n v="0.9"/>
    <n v="1"/>
    <n v="-40"/>
    <n v="940"/>
  </r>
  <r>
    <x v="22"/>
    <s v="conventional_turnover_cai_270"/>
    <x v="310"/>
    <n v="0.9"/>
    <n v="1"/>
    <n v="-40"/>
    <n v="940"/>
  </r>
  <r>
    <x v="22"/>
    <s v="conventional_turnover_cai_271"/>
    <x v="311"/>
    <n v="0.9"/>
    <n v="1"/>
    <n v="-40"/>
    <n v="940"/>
  </r>
  <r>
    <x v="22"/>
    <s v="conventional_turnover_cai_272"/>
    <x v="312"/>
    <n v="0.9"/>
    <n v="1"/>
    <n v="-40"/>
    <n v="940"/>
  </r>
  <r>
    <x v="22"/>
    <s v="conventional_turnover_cai_273"/>
    <x v="313"/>
    <n v="0.9"/>
    <n v="1"/>
    <n v="-40"/>
    <n v="940"/>
  </r>
  <r>
    <x v="22"/>
    <s v="conventional_turnover_cai_274"/>
    <x v="314"/>
    <n v="0.9"/>
    <n v="1"/>
    <n v="-40"/>
    <n v="940"/>
  </r>
  <r>
    <x v="22"/>
    <s v="conventional_turnover_cai_275"/>
    <x v="315"/>
    <n v="0.9"/>
    <n v="1"/>
    <n v="-40"/>
    <n v="940"/>
  </r>
  <r>
    <x v="22"/>
    <s v="conventional_turnover_cai_276"/>
    <x v="316"/>
    <n v="0.9"/>
    <n v="1"/>
    <n v="-40"/>
    <n v="940"/>
  </r>
  <r>
    <x v="22"/>
    <s v="conventional_turnover_cai_277"/>
    <x v="317"/>
    <n v="0.9"/>
    <n v="1"/>
    <n v="-40"/>
    <n v="940"/>
  </r>
  <r>
    <x v="22"/>
    <s v="conventional_turnover_cai_278"/>
    <x v="318"/>
    <n v="0.9"/>
    <n v="1"/>
    <n v="-40"/>
    <n v="940"/>
  </r>
  <r>
    <x v="22"/>
    <s v="conventional_turnover_cai_279"/>
    <x v="319"/>
    <n v="0.9"/>
    <n v="1"/>
    <n v="-40"/>
    <n v="940"/>
  </r>
  <r>
    <x v="22"/>
    <s v="conventional_turnover_cai_280"/>
    <x v="320"/>
    <n v="0.9"/>
    <n v="1"/>
    <n v="-40"/>
    <n v="940"/>
  </r>
  <r>
    <x v="22"/>
    <s v="conventional_turnover_cai_281"/>
    <x v="321"/>
    <n v="0.9"/>
    <n v="1"/>
    <n v="-40"/>
    <n v="940"/>
  </r>
  <r>
    <x v="22"/>
    <s v="conventional_turnover_cai_282"/>
    <x v="322"/>
    <n v="0.9"/>
    <n v="1"/>
    <n v="-40"/>
    <n v="940"/>
  </r>
  <r>
    <x v="22"/>
    <s v="conventional_turnover_cai_283"/>
    <x v="323"/>
    <n v="0.9"/>
    <n v="1"/>
    <n v="-40"/>
    <n v="940"/>
  </r>
  <r>
    <x v="22"/>
    <s v="conventional_turnover_cai_284"/>
    <x v="324"/>
    <n v="0.9"/>
    <n v="1"/>
    <n v="-40"/>
    <n v="940"/>
  </r>
  <r>
    <x v="22"/>
    <s v="conventional_turnover_cai_285"/>
    <x v="325"/>
    <n v="0.9"/>
    <n v="1"/>
    <n v="-40"/>
    <n v="940"/>
  </r>
  <r>
    <x v="22"/>
    <s v="conventional_turnover_cai_286"/>
    <x v="326"/>
    <n v="0.9"/>
    <n v="1"/>
    <n v="-40"/>
    <n v="940"/>
  </r>
  <r>
    <x v="22"/>
    <s v="conventional_turnover_cai_287"/>
    <x v="327"/>
    <n v="0.9"/>
    <n v="1"/>
    <n v="-40"/>
    <n v="940"/>
  </r>
  <r>
    <x v="22"/>
    <s v="conventional_turnover_cai_288"/>
    <x v="328"/>
    <n v="0.9"/>
    <n v="1"/>
    <n v="-40"/>
    <n v="940"/>
  </r>
  <r>
    <x v="22"/>
    <s v="conventional_turnover_cai_289"/>
    <x v="329"/>
    <n v="0.9"/>
    <n v="1"/>
    <n v="-40"/>
    <n v="940"/>
  </r>
  <r>
    <x v="22"/>
    <s v="conventional_turnover_cai_290"/>
    <x v="330"/>
    <n v="0.9"/>
    <n v="1"/>
    <n v="-40"/>
    <n v="940"/>
  </r>
  <r>
    <x v="22"/>
    <s v="conventional_turnover_cai_291"/>
    <x v="331"/>
    <n v="0.9"/>
    <n v="1"/>
    <n v="-40"/>
    <n v="940"/>
  </r>
  <r>
    <x v="22"/>
    <s v="conventional_turnover_cai_292"/>
    <x v="332"/>
    <n v="0.9"/>
    <n v="1"/>
    <n v="-40"/>
    <n v="940"/>
  </r>
  <r>
    <x v="22"/>
    <s v="conventional_turnover_cai_293"/>
    <x v="333"/>
    <n v="0.9"/>
    <n v="1"/>
    <n v="-40"/>
    <n v="940"/>
  </r>
  <r>
    <x v="22"/>
    <s v="conventional_turnover_cai_294"/>
    <x v="334"/>
    <n v="0.9"/>
    <n v="1"/>
    <n v="-40"/>
    <n v="940"/>
  </r>
  <r>
    <x v="22"/>
    <s v="conventional_turnover_cai_295"/>
    <x v="335"/>
    <n v="0.9"/>
    <n v="1"/>
    <n v="-40"/>
    <n v="940"/>
  </r>
  <r>
    <x v="22"/>
    <s v="conventional_turnover_cai_296"/>
    <x v="336"/>
    <n v="0.9"/>
    <n v="1"/>
    <n v="-40"/>
    <n v="940"/>
  </r>
  <r>
    <x v="22"/>
    <s v="conventional_turnover_cai_297"/>
    <x v="337"/>
    <n v="0.9"/>
    <n v="1"/>
    <n v="-40"/>
    <n v="940"/>
  </r>
  <r>
    <x v="22"/>
    <s v="conventional_turnover_cai_298"/>
    <x v="338"/>
    <n v="0.9"/>
    <n v="1"/>
    <n v="-40"/>
    <n v="940"/>
  </r>
  <r>
    <x v="22"/>
    <s v="conventional_turnover_cai_299"/>
    <x v="339"/>
    <n v="0.9"/>
    <n v="1"/>
    <n v="-40"/>
    <n v="940"/>
  </r>
  <r>
    <x v="22"/>
    <s v="conventional_turnover_cai_300"/>
    <x v="340"/>
    <n v="0.9"/>
    <n v="1"/>
    <n v="-40"/>
    <n v="940"/>
  </r>
  <r>
    <x v="22"/>
    <s v="conventional_turnover_cai_301"/>
    <x v="341"/>
    <n v="0.90000790649999995"/>
    <n v="1"/>
    <n v="-40"/>
    <n v="940"/>
  </r>
  <r>
    <x v="22"/>
    <s v="conventional_turnover_cai_302"/>
    <x v="342"/>
    <n v="0.90003145200000001"/>
    <n v="1"/>
    <n v="-40"/>
    <n v="940"/>
  </r>
  <r>
    <x v="22"/>
    <s v="conventional_turnover_cai_303"/>
    <x v="343"/>
    <n v="0.90007037550000002"/>
    <n v="1"/>
    <n v="-40"/>
    <n v="940"/>
  </r>
  <r>
    <x v="22"/>
    <s v="conventional_turnover_cai_304"/>
    <x v="344"/>
    <n v="0.90012441600000004"/>
    <n v="1"/>
    <n v="-40"/>
    <n v="940"/>
  </r>
  <r>
    <x v="22"/>
    <s v="conventional_turnover_cai_305"/>
    <x v="345"/>
    <n v="0.90019331250000001"/>
    <n v="1"/>
    <n v="-40"/>
    <n v="940"/>
  </r>
  <r>
    <x v="22"/>
    <s v="conventional_turnover_cai_306"/>
    <x v="346"/>
    <n v="0.90027680399999999"/>
    <n v="1"/>
    <n v="-40"/>
    <n v="940"/>
  </r>
  <r>
    <x v="22"/>
    <s v="conventional_turnover_cai_307"/>
    <x v="347"/>
    <n v="0.90037462950000002"/>
    <n v="1"/>
    <n v="-40"/>
    <n v="940"/>
  </r>
  <r>
    <x v="22"/>
    <s v="conventional_turnover_cai_308"/>
    <x v="348"/>
    <n v="0.90048652799999995"/>
    <n v="1"/>
    <n v="-40"/>
    <n v="940"/>
  </r>
  <r>
    <x v="22"/>
    <s v="conventional_turnover_cai_309"/>
    <x v="349"/>
    <n v="0.90061223850000005"/>
    <n v="1"/>
    <n v="-40"/>
    <n v="940"/>
  </r>
  <r>
    <x v="22"/>
    <s v="conventional_turnover_cai_310"/>
    <x v="350"/>
    <n v="0.90075150000000004"/>
    <n v="1"/>
    <n v="-40"/>
    <n v="940"/>
  </r>
  <r>
    <x v="22"/>
    <s v="conventional_turnover_cai_311"/>
    <x v="351"/>
    <n v="0.90090405149999997"/>
    <n v="1"/>
    <n v="-40"/>
    <n v="940"/>
  </r>
  <r>
    <x v="22"/>
    <s v="conventional_turnover_cai_312"/>
    <x v="352"/>
    <n v="0.90106963200000001"/>
    <n v="1"/>
    <n v="-40"/>
    <n v="940"/>
  </r>
  <r>
    <x v="22"/>
    <s v="conventional_turnover_cai_313"/>
    <x v="353"/>
    <n v="0.90124798049999999"/>
    <n v="1"/>
    <n v="-40"/>
    <n v="940"/>
  </r>
  <r>
    <x v="22"/>
    <s v="conventional_turnover_cai_314"/>
    <x v="354"/>
    <n v="0.90143883599999997"/>
    <n v="1"/>
    <n v="-40"/>
    <n v="940"/>
  </r>
  <r>
    <x v="22"/>
    <s v="conventional_turnover_cai_315"/>
    <x v="355"/>
    <n v="0.90164193749999999"/>
    <n v="1"/>
    <n v="-40"/>
    <n v="940"/>
  </r>
  <r>
    <x v="22"/>
    <s v="conventional_turnover_cai_316"/>
    <x v="356"/>
    <n v="0.90185702400000001"/>
    <n v="1"/>
    <n v="-40"/>
    <n v="940"/>
  </r>
  <r>
    <x v="22"/>
    <s v="conventional_turnover_cai_317"/>
    <x v="357"/>
    <n v="0.90208383449999996"/>
    <n v="1"/>
    <n v="-40"/>
    <n v="940"/>
  </r>
  <r>
    <x v="22"/>
    <s v="conventional_turnover_cai_318"/>
    <x v="358"/>
    <n v="0.90232210800000001"/>
    <n v="1"/>
    <n v="-40"/>
    <n v="940"/>
  </r>
  <r>
    <x v="22"/>
    <s v="conventional_turnover_cai_319"/>
    <x v="359"/>
    <n v="0.9025715835"/>
    <n v="1"/>
    <n v="-40"/>
    <n v="940"/>
  </r>
  <r>
    <x v="22"/>
    <s v="conventional_turnover_cai_320"/>
    <x v="360"/>
    <n v="0.90283199999999997"/>
    <n v="1"/>
    <n v="-40"/>
    <n v="940"/>
  </r>
  <r>
    <x v="22"/>
    <s v="conventional_turnover_cai_321"/>
    <x v="361"/>
    <n v="0.90310309649999998"/>
    <n v="1"/>
    <n v="-40"/>
    <n v="940"/>
  </r>
  <r>
    <x v="22"/>
    <s v="conventional_turnover_cai_322"/>
    <x v="362"/>
    <n v="0.90338461199999998"/>
    <n v="1"/>
    <n v="-40"/>
    <n v="940"/>
  </r>
  <r>
    <x v="22"/>
    <s v="conventional_turnover_cai_323"/>
    <x v="363"/>
    <n v="0.90367628550000001"/>
    <n v="1"/>
    <n v="-40"/>
    <n v="940"/>
  </r>
  <r>
    <x v="22"/>
    <s v="conventional_turnover_cai_324"/>
    <x v="364"/>
    <n v="0.90397785600000002"/>
    <n v="1"/>
    <n v="-40"/>
    <n v="940"/>
  </r>
  <r>
    <x v="22"/>
    <s v="conventional_turnover_cai_325"/>
    <x v="365"/>
    <n v="0.90428906249999996"/>
    <n v="1"/>
    <n v="-40"/>
    <n v="940"/>
  </r>
  <r>
    <x v="22"/>
    <s v="conventional_turnover_cai_326"/>
    <x v="366"/>
    <n v="0.90460964399999999"/>
    <n v="1"/>
    <n v="-40"/>
    <n v="940"/>
  </r>
  <r>
    <x v="22"/>
    <s v="conventional_turnover_cai_327"/>
    <x v="367"/>
    <n v="0.90493933950000005"/>
    <n v="1"/>
    <n v="-40"/>
    <n v="940"/>
  </r>
  <r>
    <x v="22"/>
    <s v="conventional_turnover_cai_328"/>
    <x v="368"/>
    <n v="0.90527788799999998"/>
    <n v="1"/>
    <n v="-40"/>
    <n v="940"/>
  </r>
  <r>
    <x v="22"/>
    <s v="conventional_turnover_cai_329"/>
    <x v="369"/>
    <n v="0.90562502850000004"/>
    <n v="1"/>
    <n v="-40"/>
    <n v="940"/>
  </r>
  <r>
    <x v="22"/>
    <s v="conventional_turnover_cai_330"/>
    <x v="370"/>
    <n v="0.90598049999999997"/>
    <n v="1"/>
    <n v="-40"/>
    <n v="940"/>
  </r>
  <r>
    <x v="22"/>
    <s v="conventional_turnover_cai_331"/>
    <x v="371"/>
    <n v="0.90634404150000003"/>
    <n v="1"/>
    <n v="-40"/>
    <n v="940"/>
  </r>
  <r>
    <x v="22"/>
    <s v="conventional_turnover_cai_332"/>
    <x v="372"/>
    <n v="0.90671539199999995"/>
    <n v="1"/>
    <n v="-40"/>
    <n v="940"/>
  </r>
  <r>
    <x v="22"/>
    <s v="conventional_turnover_cai_333"/>
    <x v="373"/>
    <n v="0.90709429050000001"/>
    <n v="1"/>
    <n v="-40"/>
    <n v="940"/>
  </r>
  <r>
    <x v="22"/>
    <s v="conventional_turnover_cai_334"/>
    <x v="374"/>
    <n v="0.90748047600000004"/>
    <n v="1"/>
    <n v="-40"/>
    <n v="940"/>
  </r>
  <r>
    <x v="22"/>
    <s v="conventional_turnover_cai_335"/>
    <x v="375"/>
    <n v="0.90787368749999997"/>
    <n v="1"/>
    <n v="-40"/>
    <n v="940"/>
  </r>
  <r>
    <x v="22"/>
    <s v="conventional_turnover_cai_336"/>
    <x v="376"/>
    <n v="0.90827366399999998"/>
    <n v="1"/>
    <n v="-40"/>
    <n v="940"/>
  </r>
  <r>
    <x v="22"/>
    <s v="conventional_turnover_cai_337"/>
    <x v="377"/>
    <n v="0.90868014450000001"/>
    <n v="1"/>
    <n v="-40"/>
    <n v="940"/>
  </r>
  <r>
    <x v="22"/>
    <s v="conventional_turnover_cai_338"/>
    <x v="378"/>
    <n v="0.909092868"/>
    <n v="1"/>
    <n v="-40"/>
    <n v="940"/>
  </r>
  <r>
    <x v="22"/>
    <s v="conventional_turnover_cai_339"/>
    <x v="379"/>
    <n v="0.9095115735"/>
    <n v="1"/>
    <n v="-40"/>
    <n v="940"/>
  </r>
  <r>
    <x v="22"/>
    <s v="conventional_turnover_cai_340"/>
    <x v="380"/>
    <n v="0.90993599999999997"/>
    <n v="1"/>
    <n v="-40"/>
    <n v="940"/>
  </r>
  <r>
    <x v="22"/>
    <s v="conventional_turnover_cai_341"/>
    <x v="381"/>
    <n v="0.91036588650000005"/>
    <n v="1"/>
    <n v="-40"/>
    <n v="940"/>
  </r>
  <r>
    <x v="22"/>
    <s v="conventional_turnover_cai_342"/>
    <x v="382"/>
    <n v="0.91080097199999999"/>
    <n v="1"/>
    <n v="-40"/>
    <n v="940"/>
  </r>
  <r>
    <x v="22"/>
    <s v="conventional_turnover_cai_343"/>
    <x v="383"/>
    <n v="0.91124099550000004"/>
    <n v="1"/>
    <n v="-40"/>
    <n v="940"/>
  </r>
  <r>
    <x v="22"/>
    <s v="conventional_turnover_cai_344"/>
    <x v="384"/>
    <n v="0.91168569600000005"/>
    <n v="1"/>
    <n v="-40"/>
    <n v="940"/>
  </r>
  <r>
    <x v="22"/>
    <s v="conventional_turnover_cai_345"/>
    <x v="385"/>
    <n v="0.91213481249999995"/>
    <n v="1"/>
    <n v="-40"/>
    <n v="940"/>
  </r>
  <r>
    <x v="22"/>
    <s v="conventional_turnover_cai_346"/>
    <x v="386"/>
    <n v="0.91258808400000002"/>
    <n v="1"/>
    <n v="-40"/>
    <n v="940"/>
  </r>
  <r>
    <x v="22"/>
    <s v="conventional_turnover_cai_347"/>
    <x v="387"/>
    <n v="0.91304524949999999"/>
    <n v="1"/>
    <n v="-40"/>
    <n v="940"/>
  </r>
  <r>
    <x v="22"/>
    <s v="conventional_turnover_cai_348"/>
    <x v="388"/>
    <n v="0.91350604800000001"/>
    <n v="1"/>
    <n v="-40"/>
    <n v="940"/>
  </r>
  <r>
    <x v="22"/>
    <s v="conventional_turnover_cai_349"/>
    <x v="389"/>
    <n v="0.91397021850000004"/>
    <n v="1"/>
    <n v="-40"/>
    <n v="940"/>
  </r>
  <r>
    <x v="22"/>
    <s v="conventional_turnover_cai_350"/>
    <x v="390"/>
    <n v="0.91443750000000001"/>
    <n v="1"/>
    <n v="-40"/>
    <n v="940"/>
  </r>
  <r>
    <x v="22"/>
    <s v="conventional_turnover_cai_351"/>
    <x v="391"/>
    <n v="0.91490763149999998"/>
    <n v="1"/>
    <n v="-40"/>
    <n v="940"/>
  </r>
  <r>
    <x v="22"/>
    <s v="conventional_turnover_cai_352"/>
    <x v="392"/>
    <n v="0.91538035200000001"/>
    <n v="1"/>
    <n v="-40"/>
    <n v="940"/>
  </r>
  <r>
    <x v="22"/>
    <s v="conventional_turnover_cai_353"/>
    <x v="393"/>
    <n v="0.91585540050000003"/>
    <n v="1"/>
    <n v="-40"/>
    <n v="940"/>
  </r>
  <r>
    <x v="22"/>
    <s v="conventional_turnover_cai_354"/>
    <x v="394"/>
    <n v="0.91633251599999999"/>
    <n v="1"/>
    <n v="-40"/>
    <n v="940"/>
  </r>
  <r>
    <x v="22"/>
    <s v="conventional_turnover_cai_355"/>
    <x v="395"/>
    <n v="0.91681143750000005"/>
    <n v="1"/>
    <n v="-40"/>
    <n v="940"/>
  </r>
  <r>
    <x v="22"/>
    <s v="conventional_turnover_cai_356"/>
    <x v="396"/>
    <n v="0.91729190400000005"/>
    <n v="1"/>
    <n v="-40"/>
    <n v="940"/>
  </r>
  <r>
    <x v="22"/>
    <s v="conventional_turnover_cai_357"/>
    <x v="397"/>
    <n v="0.91777365450000004"/>
    <n v="1"/>
    <n v="-40"/>
    <n v="940"/>
  </r>
  <r>
    <x v="22"/>
    <s v="conventional_turnover_cai_358"/>
    <x v="398"/>
    <n v="0.91825642799999996"/>
    <n v="1"/>
    <n v="-40"/>
    <n v="940"/>
  </r>
  <r>
    <x v="22"/>
    <s v="conventional_turnover_cai_359"/>
    <x v="399"/>
    <n v="0.91873996349999998"/>
    <n v="1"/>
    <n v="-40"/>
    <n v="940"/>
  </r>
  <r>
    <x v="22"/>
    <s v="conventional_turnover_cai_360"/>
    <x v="400"/>
    <n v="0.91922400000000004"/>
    <n v="1"/>
    <n v="-40"/>
    <n v="940"/>
  </r>
  <r>
    <x v="22"/>
    <s v="conventional_turnover_cai_361"/>
    <x v="401"/>
    <n v="0.91970827649999998"/>
    <n v="1"/>
    <n v="-40"/>
    <n v="940"/>
  </r>
  <r>
    <x v="22"/>
    <s v="conventional_turnover_cai_362"/>
    <x v="402"/>
    <n v="0.92019253199999995"/>
    <n v="1"/>
    <n v="-40"/>
    <n v="940"/>
  </r>
  <r>
    <x v="22"/>
    <s v="conventional_turnover_cai_363"/>
    <x v="403"/>
    <n v="0.92067650550000002"/>
    <n v="1"/>
    <n v="-40"/>
    <n v="940"/>
  </r>
  <r>
    <x v="22"/>
    <s v="conventional_turnover_cai_364"/>
    <x v="404"/>
    <n v="0.92115993600000001"/>
    <n v="1"/>
    <n v="-40"/>
    <n v="940"/>
  </r>
  <r>
    <x v="22"/>
    <s v="conventional_turnover_cai_365"/>
    <x v="405"/>
    <n v="0.92164256249999998"/>
    <n v="1"/>
    <n v="-40"/>
    <n v="940"/>
  </r>
  <r>
    <x v="22"/>
    <s v="conventional_turnover_cai_366"/>
    <x v="406"/>
    <n v="0.92212412399999999"/>
    <n v="1"/>
    <n v="-40"/>
    <n v="940"/>
  </r>
  <r>
    <x v="22"/>
    <s v="conventional_turnover_cai_367"/>
    <x v="407"/>
    <n v="0.92260435949999997"/>
    <n v="1"/>
    <n v="-40"/>
    <n v="940"/>
  </r>
  <r>
    <x v="22"/>
    <s v="conventional_turnover_cai_368"/>
    <x v="408"/>
    <n v="0.92308300799999998"/>
    <n v="1"/>
    <n v="-40"/>
    <n v="940"/>
  </r>
  <r>
    <x v="22"/>
    <s v="conventional_turnover_cai_369"/>
    <x v="409"/>
    <n v="0.92355980849999997"/>
    <n v="1"/>
    <n v="-40"/>
    <n v="940"/>
  </r>
  <r>
    <x v="22"/>
    <s v="conventional_turnover_cai_370"/>
    <x v="410"/>
    <n v="0.92403449999999998"/>
    <n v="1"/>
    <n v="-40"/>
    <n v="940"/>
  </r>
  <r>
    <x v="22"/>
    <s v="conventional_turnover_cai_371"/>
    <x v="411"/>
    <n v="0.92450682149999996"/>
    <n v="1"/>
    <n v="-40"/>
    <n v="940"/>
  </r>
  <r>
    <x v="22"/>
    <s v="conventional_turnover_cai_372"/>
    <x v="412"/>
    <n v="0.92497651199999997"/>
    <n v="1"/>
    <n v="-40"/>
    <n v="940"/>
  </r>
  <r>
    <x v="22"/>
    <s v="conventional_turnover_cai_373"/>
    <x v="413"/>
    <n v="0.92544331049999995"/>
    <n v="1"/>
    <n v="-40"/>
    <n v="940"/>
  </r>
  <r>
    <x v="22"/>
    <s v="conventional_turnover_cai_374"/>
    <x v="414"/>
    <n v="0.92590695599999995"/>
    <n v="1"/>
    <n v="-40"/>
    <n v="940"/>
  </r>
  <r>
    <x v="22"/>
    <s v="conventional_turnover_cai_375"/>
    <x v="415"/>
    <n v="0.92636718750000002"/>
    <n v="1"/>
    <n v="-40"/>
    <n v="940"/>
  </r>
  <r>
    <x v="22"/>
    <s v="conventional_turnover_cai_376"/>
    <x v="416"/>
    <n v="0.926823744"/>
    <n v="1"/>
    <n v="-40"/>
    <n v="940"/>
  </r>
  <r>
    <x v="22"/>
    <s v="conventional_turnover_cai_377"/>
    <x v="417"/>
    <n v="0.92727636449999995"/>
    <n v="1"/>
    <n v="-40"/>
    <n v="940"/>
  </r>
  <r>
    <x v="22"/>
    <s v="conventional_turnover_cai_378"/>
    <x v="418"/>
    <n v="0.92772478800000002"/>
    <n v="1"/>
    <n v="-40"/>
    <n v="940"/>
  </r>
  <r>
    <x v="22"/>
    <s v="conventional_turnover_cai_379"/>
    <x v="419"/>
    <n v="0.92816875350000005"/>
    <n v="1"/>
    <n v="-40"/>
    <n v="940"/>
  </r>
  <r>
    <x v="22"/>
    <s v="conventional_turnover_cai_380"/>
    <x v="420"/>
    <n v="0.92860799999999999"/>
    <n v="1"/>
    <n v="-40"/>
    <n v="940"/>
  </r>
  <r>
    <x v="22"/>
    <s v="conventional_turnover_cai_381"/>
    <x v="421"/>
    <n v="0.92904226649999999"/>
    <n v="1"/>
    <n v="-40"/>
    <n v="940"/>
  </r>
  <r>
    <x v="22"/>
    <s v="conventional_turnover_cai_382"/>
    <x v="422"/>
    <n v="0.929471292"/>
    <n v="1"/>
    <n v="-40"/>
    <n v="940"/>
  </r>
  <r>
    <x v="22"/>
    <s v="conventional_turnover_cai_383"/>
    <x v="423"/>
    <n v="0.92989481549999997"/>
    <n v="1"/>
    <n v="-40"/>
    <n v="940"/>
  </r>
  <r>
    <x v="22"/>
    <s v="conventional_turnover_cai_384"/>
    <x v="424"/>
    <n v="0.93031257599999995"/>
    <n v="1"/>
    <n v="-40"/>
    <n v="940"/>
  </r>
  <r>
    <x v="22"/>
    <s v="conventional_turnover_cai_385"/>
    <x v="425"/>
    <n v="0.93072431249999998"/>
    <n v="1"/>
    <n v="-40"/>
    <n v="940"/>
  </r>
  <r>
    <x v="22"/>
    <s v="conventional_turnover_cai_386"/>
    <x v="426"/>
    <n v="0.93112976400000003"/>
    <n v="1"/>
    <n v="-40"/>
    <n v="940"/>
  </r>
  <r>
    <x v="22"/>
    <s v="conventional_turnover_cai_387"/>
    <x v="427"/>
    <n v="0.93152866950000002"/>
    <n v="1"/>
    <n v="-40"/>
    <n v="940"/>
  </r>
  <r>
    <x v="22"/>
    <s v="conventional_turnover_cai_388"/>
    <x v="428"/>
    <n v="0.93192076800000001"/>
    <n v="1"/>
    <n v="-40"/>
    <n v="940"/>
  </r>
  <r>
    <x v="22"/>
    <s v="conventional_turnover_cai_389"/>
    <x v="429"/>
    <n v="0.93230579849999995"/>
    <n v="1"/>
    <n v="-40"/>
    <n v="940"/>
  </r>
  <r>
    <x v="22"/>
    <s v="conventional_turnover_cai_390"/>
    <x v="430"/>
    <n v="0.9326835"/>
    <n v="1"/>
    <n v="-40"/>
    <n v="940"/>
  </r>
  <r>
    <x v="22"/>
    <s v="conventional_turnover_cai_391"/>
    <x v="431"/>
    <n v="0.93305361149999999"/>
    <n v="1"/>
    <n v="-40"/>
    <n v="940"/>
  </r>
  <r>
    <x v="22"/>
    <s v="conventional_turnover_cai_392"/>
    <x v="432"/>
    <n v="0.93341587199999998"/>
    <n v="1"/>
    <n v="-40"/>
    <n v="940"/>
  </r>
  <r>
    <x v="22"/>
    <s v="conventional_turnover_cai_393"/>
    <x v="433"/>
    <n v="0.93377002050000002"/>
    <n v="1"/>
    <n v="-40"/>
    <n v="940"/>
  </r>
  <r>
    <x v="22"/>
    <s v="conventional_turnover_cai_394"/>
    <x v="434"/>
    <n v="0.93411579600000005"/>
    <n v="1"/>
    <n v="-40"/>
    <n v="940"/>
  </r>
  <r>
    <x v="22"/>
    <s v="conventional_turnover_cai_395"/>
    <x v="435"/>
    <n v="0.93445293750000002"/>
    <n v="1"/>
    <n v="-40"/>
    <n v="940"/>
  </r>
  <r>
    <x v="22"/>
    <s v="conventional_turnover_cai_396"/>
    <x v="436"/>
    <n v="0.93478118399999999"/>
    <n v="1"/>
    <n v="-40"/>
    <n v="940"/>
  </r>
  <r>
    <x v="22"/>
    <s v="conventional_turnover_cai_397"/>
    <x v="437"/>
    <n v="0.93510027449999999"/>
    <n v="1"/>
    <n v="-40"/>
    <n v="940"/>
  </r>
  <r>
    <x v="22"/>
    <s v="conventional_turnover_cai_398"/>
    <x v="438"/>
    <n v="0.93540994799999999"/>
    <n v="1"/>
    <n v="-40"/>
    <n v="940"/>
  </r>
  <r>
    <x v="22"/>
    <s v="conventional_turnover_cai_399"/>
    <x v="439"/>
    <n v="0.93570994350000003"/>
    <n v="1"/>
    <n v="-40"/>
    <n v="940"/>
  </r>
  <r>
    <x v="22"/>
    <s v="conventional_turnover_cai_400"/>
    <x v="440"/>
    <n v="0.93600000000000005"/>
    <n v="1"/>
    <n v="-40"/>
    <n v="940"/>
  </r>
  <r>
    <x v="22"/>
    <s v="conventional_turnover_cai_401"/>
    <x v="441"/>
    <n v="0.9362835075"/>
    <n v="1"/>
    <n v="-40"/>
    <n v="940"/>
  </r>
  <r>
    <x v="22"/>
    <s v="conventional_turnover_cai_402"/>
    <x v="442"/>
    <n v="0.93656406000000003"/>
    <n v="1"/>
    <n v="-40"/>
    <n v="940"/>
  </r>
  <r>
    <x v="22"/>
    <s v="conventional_turnover_cai_403"/>
    <x v="443"/>
    <n v="0.93684170249999998"/>
    <n v="1"/>
    <n v="-40"/>
    <n v="940"/>
  </r>
  <r>
    <x v="22"/>
    <s v="conventional_turnover_cai_404"/>
    <x v="444"/>
    <n v="0.93711648000000003"/>
    <n v="1"/>
    <n v="-40"/>
    <n v="940"/>
  </r>
  <r>
    <x v="22"/>
    <s v="conventional_turnover_cai_405"/>
    <x v="445"/>
    <n v="0.9373884375"/>
    <n v="1"/>
    <n v="-40"/>
    <n v="940"/>
  </r>
  <r>
    <x v="22"/>
    <s v="conventional_turnover_cai_406"/>
    <x v="446"/>
    <n v="0.93765761999999997"/>
    <n v="1"/>
    <n v="-40"/>
    <n v="940"/>
  </r>
  <r>
    <x v="22"/>
    <s v="conventional_turnover_cai_407"/>
    <x v="447"/>
    <n v="0.93792407249999998"/>
    <n v="1"/>
    <n v="-40"/>
    <n v="940"/>
  </r>
  <r>
    <x v="22"/>
    <s v="conventional_turnover_cai_408"/>
    <x v="448"/>
    <n v="0.93818784"/>
    <n v="1"/>
    <n v="-40"/>
    <n v="940"/>
  </r>
  <r>
    <x v="22"/>
    <s v="conventional_turnover_cai_409"/>
    <x v="449"/>
    <n v="0.93844896749999995"/>
    <n v="1"/>
    <n v="-40"/>
    <n v="940"/>
  </r>
  <r>
    <x v="22"/>
    <s v="conventional_turnover_cai_410"/>
    <x v="450"/>
    <n v="0.93870750000000003"/>
    <n v="1"/>
    <n v="-40"/>
    <n v="940"/>
  </r>
  <r>
    <x v="22"/>
    <s v="conventional_turnover_cai_411"/>
    <x v="451"/>
    <n v="0.93896348249999995"/>
    <n v="1"/>
    <n v="-40"/>
    <n v="940"/>
  </r>
  <r>
    <x v="22"/>
    <s v="conventional_turnover_cai_412"/>
    <x v="452"/>
    <n v="0.93921695999999999"/>
    <n v="1"/>
    <n v="-40"/>
    <n v="940"/>
  </r>
  <r>
    <x v="22"/>
    <s v="conventional_turnover_cai_413"/>
    <x v="453"/>
    <n v="0.9394679775"/>
    <n v="1"/>
    <n v="-40"/>
    <n v="940"/>
  </r>
  <r>
    <x v="22"/>
    <s v="conventional_turnover_cai_414"/>
    <x v="454"/>
    <n v="0.93971658000000002"/>
    <n v="1"/>
    <n v="-40"/>
    <n v="940"/>
  </r>
  <r>
    <x v="22"/>
    <s v="conventional_turnover_cai_415"/>
    <x v="455"/>
    <n v="0.93996281250000002"/>
    <n v="1"/>
    <n v="-40"/>
    <n v="940"/>
  </r>
  <r>
    <x v="22"/>
    <s v="conventional_turnover_cai_416"/>
    <x v="456"/>
    <n v="0.94020672000000005"/>
    <n v="1"/>
    <n v="-40"/>
    <n v="940"/>
  </r>
  <r>
    <x v="22"/>
    <s v="conventional_turnover_cai_417"/>
    <x v="457"/>
    <n v="0.94044834749999995"/>
    <n v="1"/>
    <n v="-40"/>
    <n v="940"/>
  </r>
  <r>
    <x v="22"/>
    <s v="conventional_turnover_cai_418"/>
    <x v="458"/>
    <n v="0.94068773999999999"/>
    <n v="1"/>
    <n v="-40"/>
    <n v="940"/>
  </r>
  <r>
    <x v="22"/>
    <s v="conventional_turnover_cai_419"/>
    <x v="459"/>
    <n v="0.94092494250000003"/>
    <n v="1"/>
    <n v="-40"/>
    <n v="940"/>
  </r>
  <r>
    <x v="22"/>
    <s v="conventional_turnover_cai_420"/>
    <x v="460"/>
    <n v="0.94116"/>
    <n v="1"/>
    <n v="-40"/>
    <n v="940"/>
  </r>
  <r>
    <x v="22"/>
    <s v="conventional_turnover_cai_421"/>
    <x v="461"/>
    <n v="0.94139295749999996"/>
    <n v="1"/>
    <n v="-40"/>
    <n v="940"/>
  </r>
  <r>
    <x v="22"/>
    <s v="conventional_turnover_cai_422"/>
    <x v="462"/>
    <n v="0.94162385999999998"/>
    <n v="1"/>
    <n v="-40"/>
    <n v="940"/>
  </r>
  <r>
    <x v="22"/>
    <s v="conventional_turnover_cai_423"/>
    <x v="463"/>
    <n v="0.9418527525"/>
    <n v="1"/>
    <n v="-40"/>
    <n v="940"/>
  </r>
  <r>
    <x v="22"/>
    <s v="conventional_turnover_cai_424"/>
    <x v="464"/>
    <n v="0.94207967999999997"/>
    <n v="1"/>
    <n v="-40"/>
    <n v="940"/>
  </r>
  <r>
    <x v="22"/>
    <s v="conventional_turnover_cai_425"/>
    <x v="465"/>
    <n v="0.94230468749999996"/>
    <n v="1"/>
    <n v="-40"/>
    <n v="940"/>
  </r>
  <r>
    <x v="22"/>
    <s v="conventional_turnover_cai_426"/>
    <x v="466"/>
    <n v="0.94252782000000002"/>
    <n v="1"/>
    <n v="-40"/>
    <n v="940"/>
  </r>
  <r>
    <x v="22"/>
    <s v="conventional_turnover_cai_427"/>
    <x v="467"/>
    <n v="0.94274912249999998"/>
    <n v="1"/>
    <n v="-40"/>
    <n v="940"/>
  </r>
  <r>
    <x v="22"/>
    <s v="conventional_turnover_cai_428"/>
    <x v="468"/>
    <n v="0.94296864000000002"/>
    <n v="1"/>
    <n v="-40"/>
    <n v="940"/>
  </r>
  <r>
    <x v="22"/>
    <s v="conventional_turnover_cai_429"/>
    <x v="469"/>
    <n v="0.94318641749999999"/>
    <n v="1"/>
    <n v="-40"/>
    <n v="940"/>
  </r>
  <r>
    <x v="22"/>
    <s v="conventional_turnover_cai_430"/>
    <x v="470"/>
    <n v="0.94340250000000003"/>
    <n v="1"/>
    <n v="-40"/>
    <n v="940"/>
  </r>
  <r>
    <x v="22"/>
    <s v="conventional_turnover_cai_431"/>
    <x v="471"/>
    <n v="0.94361693250000001"/>
    <n v="1"/>
    <n v="-40"/>
    <n v="940"/>
  </r>
  <r>
    <x v="22"/>
    <s v="conventional_turnover_cai_432"/>
    <x v="472"/>
    <n v="0.94382975999999996"/>
    <n v="1"/>
    <n v="-40"/>
    <n v="940"/>
  </r>
  <r>
    <x v="22"/>
    <s v="conventional_turnover_cai_433"/>
    <x v="473"/>
    <n v="0.94404102749999996"/>
    <n v="1"/>
    <n v="-40"/>
    <n v="940"/>
  </r>
  <r>
    <x v="22"/>
    <s v="conventional_turnover_cai_434"/>
    <x v="474"/>
    <n v="0.94425077999999996"/>
    <n v="1"/>
    <n v="-40"/>
    <n v="940"/>
  </r>
  <r>
    <x v="22"/>
    <s v="conventional_turnover_cai_435"/>
    <x v="475"/>
    <n v="0.9444590625"/>
    <n v="1"/>
    <n v="-40"/>
    <n v="940"/>
  </r>
  <r>
    <x v="22"/>
    <s v="conventional_turnover_cai_436"/>
    <x v="476"/>
    <n v="0.94466592000000005"/>
    <n v="1"/>
    <n v="-40"/>
    <n v="940"/>
  </r>
  <r>
    <x v="22"/>
    <s v="conventional_turnover_cai_437"/>
    <x v="477"/>
    <n v="0.94487139750000004"/>
    <n v="1"/>
    <n v="-40"/>
    <n v="940"/>
  </r>
  <r>
    <x v="22"/>
    <s v="conventional_turnover_cai_438"/>
    <x v="478"/>
    <n v="0.94507554000000005"/>
    <n v="1"/>
    <n v="-40"/>
    <n v="940"/>
  </r>
  <r>
    <x v="22"/>
    <s v="conventional_turnover_cai_439"/>
    <x v="479"/>
    <n v="0.94527839250000001"/>
    <n v="1"/>
    <n v="-40"/>
    <n v="940"/>
  </r>
  <r>
    <x v="22"/>
    <s v="conventional_turnover_cai_440"/>
    <x v="480"/>
    <n v="0.94547999999999999"/>
    <n v="1"/>
    <n v="-40"/>
    <n v="940"/>
  </r>
  <r>
    <x v="22"/>
    <s v="conventional_turnover_cai_441"/>
    <x v="481"/>
    <n v="0.94568040750000004"/>
    <n v="1"/>
    <n v="-40"/>
    <n v="940"/>
  </r>
  <r>
    <x v="22"/>
    <s v="conventional_turnover_cai_442"/>
    <x v="482"/>
    <n v="0.94587966000000001"/>
    <n v="1"/>
    <n v="-40"/>
    <n v="940"/>
  </r>
  <r>
    <x v="22"/>
    <s v="conventional_turnover_cai_443"/>
    <x v="483"/>
    <n v="0.94607780249999995"/>
    <n v="1"/>
    <n v="-40"/>
    <n v="940"/>
  </r>
  <r>
    <x v="22"/>
    <s v="conventional_turnover_cai_444"/>
    <x v="484"/>
    <n v="0.94627488000000004"/>
    <n v="1"/>
    <n v="-40"/>
    <n v="940"/>
  </r>
  <r>
    <x v="22"/>
    <s v="conventional_turnover_cai_445"/>
    <x v="485"/>
    <n v="0.9464709375"/>
    <n v="1"/>
    <n v="-40"/>
    <n v="940"/>
  </r>
  <r>
    <x v="22"/>
    <s v="conventional_turnover_cai_446"/>
    <x v="486"/>
    <n v="0.94666602"/>
    <n v="1"/>
    <n v="-40"/>
    <n v="940"/>
  </r>
  <r>
    <x v="22"/>
    <s v="conventional_turnover_cai_447"/>
    <x v="487"/>
    <n v="0.94686017249999999"/>
    <n v="1"/>
    <n v="-40"/>
    <n v="940"/>
  </r>
  <r>
    <x v="22"/>
    <s v="conventional_turnover_cai_448"/>
    <x v="488"/>
    <n v="0.94705344000000002"/>
    <n v="1"/>
    <n v="-40"/>
    <n v="940"/>
  </r>
  <r>
    <x v="22"/>
    <s v="conventional_turnover_cai_449"/>
    <x v="489"/>
    <n v="0.94724586749999995"/>
    <n v="1"/>
    <n v="-40"/>
    <n v="940"/>
  </r>
  <r>
    <x v="22"/>
    <s v="conventional_turnover_cai_450"/>
    <x v="490"/>
    <n v="0.94743750000000004"/>
    <n v="1"/>
    <n v="-40"/>
    <n v="940"/>
  </r>
  <r>
    <x v="22"/>
    <s v="conventional_turnover_cai_451"/>
    <x v="491"/>
    <n v="0.94762838250000003"/>
    <n v="1"/>
    <n v="-40"/>
    <n v="940"/>
  </r>
  <r>
    <x v="22"/>
    <s v="conventional_turnover_cai_452"/>
    <x v="492"/>
    <n v="0.94781855999999998"/>
    <n v="1"/>
    <n v="-40"/>
    <n v="940"/>
  </r>
  <r>
    <x v="22"/>
    <s v="conventional_turnover_cai_453"/>
    <x v="493"/>
    <n v="0.94800807750000005"/>
    <n v="1"/>
    <n v="-40"/>
    <n v="940"/>
  </r>
  <r>
    <x v="22"/>
    <s v="conventional_turnover_cai_454"/>
    <x v="494"/>
    <n v="0.94819697999999997"/>
    <n v="1"/>
    <n v="-40"/>
    <n v="940"/>
  </r>
  <r>
    <x v="22"/>
    <s v="conventional_turnover_cai_455"/>
    <x v="495"/>
    <n v="0.94838531250000002"/>
    <n v="1"/>
    <n v="-40"/>
    <n v="940"/>
  </r>
  <r>
    <x v="22"/>
    <s v="conventional_turnover_cai_456"/>
    <x v="496"/>
    <n v="0.94857312000000005"/>
    <n v="1"/>
    <n v="-40"/>
    <n v="940"/>
  </r>
  <r>
    <x v="22"/>
    <s v="conventional_turnover_cai_457"/>
    <x v="497"/>
    <n v="0.94876044749999999"/>
    <n v="1"/>
    <n v="-40"/>
    <n v="940"/>
  </r>
  <r>
    <x v="22"/>
    <s v="conventional_turnover_cai_458"/>
    <x v="498"/>
    <n v="0.94894734000000003"/>
    <n v="1"/>
    <n v="-40"/>
    <n v="940"/>
  </r>
  <r>
    <x v="22"/>
    <s v="conventional_turnover_cai_459"/>
    <x v="499"/>
    <n v="0.94913384249999999"/>
    <n v="1"/>
    <n v="-40"/>
    <n v="940"/>
  </r>
  <r>
    <x v="22"/>
    <s v="conventional_turnover_cai_460"/>
    <x v="500"/>
    <n v="0.94932000000000005"/>
    <n v="1"/>
    <n v="-40"/>
    <n v="940"/>
  </r>
  <r>
    <x v="22"/>
    <s v="conventional_turnover_cai_461"/>
    <x v="501"/>
    <n v="0.94950585750000005"/>
    <n v="1"/>
    <n v="-40"/>
    <n v="940"/>
  </r>
  <r>
    <x v="22"/>
    <s v="conventional_turnover_cai_462"/>
    <x v="502"/>
    <n v="0.94969146000000004"/>
    <n v="1"/>
    <n v="-40"/>
    <n v="940"/>
  </r>
  <r>
    <x v="22"/>
    <s v="conventional_turnover_cai_463"/>
    <x v="503"/>
    <n v="0.94987685249999998"/>
    <n v="1"/>
    <n v="-40"/>
    <n v="940"/>
  </r>
  <r>
    <x v="22"/>
    <s v="conventional_turnover_cai_464"/>
    <x v="504"/>
    <n v="0.95006208000000003"/>
    <n v="1"/>
    <n v="-40"/>
    <n v="940"/>
  </r>
  <r>
    <x v="22"/>
    <s v="conventional_turnover_cai_465"/>
    <x v="505"/>
    <n v="0.95024718750000003"/>
    <n v="1"/>
    <n v="-40"/>
    <n v="940"/>
  </r>
  <r>
    <x v="22"/>
    <s v="conventional_turnover_cai_466"/>
    <x v="506"/>
    <n v="0.95043222000000005"/>
    <n v="1"/>
    <n v="-40"/>
    <n v="940"/>
  </r>
  <r>
    <x v="22"/>
    <s v="conventional_turnover_cai_467"/>
    <x v="507"/>
    <n v="0.95061722250000003"/>
    <n v="1"/>
    <n v="-40"/>
    <n v="940"/>
  </r>
  <r>
    <x v="22"/>
    <s v="conventional_turnover_cai_468"/>
    <x v="508"/>
    <n v="0.95080224000000002"/>
    <n v="1"/>
    <n v="-40"/>
    <n v="940"/>
  </r>
  <r>
    <x v="22"/>
    <s v="conventional_turnover_cai_469"/>
    <x v="509"/>
    <n v="0.95098731749999998"/>
    <n v="1"/>
    <n v="-40"/>
    <n v="940"/>
  </r>
  <r>
    <x v="22"/>
    <s v="conventional_turnover_cai_470"/>
    <x v="510"/>
    <n v="0.95117249999999998"/>
    <n v="1"/>
    <n v="-40"/>
    <n v="940"/>
  </r>
  <r>
    <x v="22"/>
    <s v="conventional_turnover_cai_471"/>
    <x v="511"/>
    <n v="0.95135783249999994"/>
    <n v="1"/>
    <n v="-40"/>
    <n v="940"/>
  </r>
  <r>
    <x v="22"/>
    <s v="conventional_turnover_cai_472"/>
    <x v="512"/>
    <n v="0.95154335999999995"/>
    <n v="1"/>
    <n v="-40"/>
    <n v="940"/>
  </r>
  <r>
    <x v="22"/>
    <s v="conventional_turnover_cai_473"/>
    <x v="513"/>
    <n v="0.95172912750000005"/>
    <n v="1"/>
    <n v="-40"/>
    <n v="940"/>
  </r>
  <r>
    <x v="22"/>
    <s v="conventional_turnover_cai_474"/>
    <x v="514"/>
    <n v="0.95191517999999997"/>
    <n v="1"/>
    <n v="-40"/>
    <n v="940"/>
  </r>
  <r>
    <x v="22"/>
    <s v="conventional_turnover_cai_475"/>
    <x v="515"/>
    <n v="0.9521015625"/>
    <n v="1"/>
    <n v="-40"/>
    <n v="940"/>
  </r>
  <r>
    <x v="22"/>
    <s v="conventional_turnover_cai_476"/>
    <x v="516"/>
    <n v="0.95228831999999997"/>
    <n v="1"/>
    <n v="-40"/>
    <n v="940"/>
  </r>
  <r>
    <x v="22"/>
    <s v="conventional_turnover_cai_477"/>
    <x v="517"/>
    <n v="0.95247549750000005"/>
    <n v="1"/>
    <n v="-40"/>
    <n v="940"/>
  </r>
  <r>
    <x v="22"/>
    <s v="conventional_turnover_cai_478"/>
    <x v="518"/>
    <n v="0.95266313999999996"/>
    <n v="1"/>
    <n v="-40"/>
    <n v="940"/>
  </r>
  <r>
    <x v="22"/>
    <s v="conventional_turnover_cai_479"/>
    <x v="519"/>
    <n v="0.9528512925"/>
    <n v="1"/>
    <n v="-40"/>
    <n v="940"/>
  </r>
  <r>
    <x v="22"/>
    <s v="conventional_turnover_cai_480"/>
    <x v="520"/>
    <n v="0.95304"/>
    <n v="1"/>
    <n v="-40"/>
    <n v="940"/>
  </r>
  <r>
    <x v="22"/>
    <s v="conventional_turnover_cai_481"/>
    <x v="521"/>
    <n v="0.95322930750000001"/>
    <n v="1"/>
    <n v="-40"/>
    <n v="940"/>
  </r>
  <r>
    <x v="22"/>
    <s v="conventional_turnover_cai_482"/>
    <x v="522"/>
    <n v="0.95341925999999999"/>
    <n v="1"/>
    <n v="-40"/>
    <n v="940"/>
  </r>
  <r>
    <x v="22"/>
    <s v="conventional_turnover_cai_483"/>
    <x v="523"/>
    <n v="0.9536099025"/>
    <n v="1"/>
    <n v="-40"/>
    <n v="940"/>
  </r>
  <r>
    <x v="22"/>
    <s v="conventional_turnover_cai_484"/>
    <x v="524"/>
    <n v="0.95380127999999997"/>
    <n v="1"/>
    <n v="-40"/>
    <n v="940"/>
  </r>
  <r>
    <x v="22"/>
    <s v="conventional_turnover_cai_485"/>
    <x v="525"/>
    <n v="0.95399343749999999"/>
    <n v="1"/>
    <n v="-40"/>
    <n v="940"/>
  </r>
  <r>
    <x v="22"/>
    <s v="conventional_turnover_cai_486"/>
    <x v="526"/>
    <n v="0.95418641999999998"/>
    <n v="1"/>
    <n v="-40"/>
    <n v="940"/>
  </r>
  <r>
    <x v="22"/>
    <s v="conventional_turnover_cai_487"/>
    <x v="527"/>
    <n v="0.95438027250000002"/>
    <n v="1"/>
    <n v="-40"/>
    <n v="940"/>
  </r>
  <r>
    <x v="22"/>
    <s v="conventional_turnover_cai_488"/>
    <x v="528"/>
    <n v="0.95457504000000004"/>
    <n v="1"/>
    <n v="-40"/>
    <n v="940"/>
  </r>
  <r>
    <x v="22"/>
    <s v="conventional_turnover_cai_489"/>
    <x v="529"/>
    <n v="0.95477076750000001"/>
    <n v="1"/>
    <n v="-40"/>
    <n v="940"/>
  </r>
  <r>
    <x v="22"/>
    <s v="conventional_turnover_cai_490"/>
    <x v="530"/>
    <n v="0.95496749999999997"/>
    <n v="1"/>
    <n v="-40"/>
    <n v="940"/>
  </r>
  <r>
    <x v="22"/>
    <s v="conventional_turnover_cai_491"/>
    <x v="531"/>
    <n v="0.95516528249999999"/>
    <n v="1"/>
    <n v="-40"/>
    <n v="940"/>
  </r>
  <r>
    <x v="22"/>
    <s v="conventional_turnover_cai_492"/>
    <x v="532"/>
    <n v="0.95536416000000002"/>
    <n v="1"/>
    <n v="-40"/>
    <n v="940"/>
  </r>
  <r>
    <x v="22"/>
    <s v="conventional_turnover_cai_493"/>
    <x v="533"/>
    <n v="0.9555641775"/>
    <n v="1"/>
    <n v="-40"/>
    <n v="940"/>
  </r>
  <r>
    <x v="22"/>
    <s v="conventional_turnover_cai_494"/>
    <x v="534"/>
    <n v="0.95576538"/>
    <n v="1"/>
    <n v="-40"/>
    <n v="940"/>
  </r>
  <r>
    <x v="22"/>
    <s v="conventional_turnover_cai_495"/>
    <x v="535"/>
    <n v="0.95596781249999996"/>
    <n v="1"/>
    <n v="-40"/>
    <n v="940"/>
  </r>
  <r>
    <x v="22"/>
    <s v="conventional_turnover_cai_496"/>
    <x v="536"/>
    <n v="0.95617152000000005"/>
    <n v="1"/>
    <n v="-40"/>
    <n v="940"/>
  </r>
  <r>
    <x v="22"/>
    <s v="conventional_turnover_cai_497"/>
    <x v="537"/>
    <n v="0.95637654750000001"/>
    <n v="1"/>
    <n v="-40"/>
    <n v="940"/>
  </r>
  <r>
    <x v="22"/>
    <s v="conventional_turnover_cai_498"/>
    <x v="538"/>
    <n v="0.95658293999999999"/>
    <n v="1"/>
    <n v="-40"/>
    <n v="940"/>
  </r>
  <r>
    <x v="22"/>
    <s v="conventional_turnover_cai_499"/>
    <x v="539"/>
    <n v="0.95679074249999996"/>
    <n v="1"/>
    <n v="-40"/>
    <n v="940"/>
  </r>
  <r>
    <x v="22"/>
    <s v="conventional_turnover_cai_500"/>
    <x v="540"/>
    <n v="0.95699999999999996"/>
    <n v="1"/>
    <n v="-40"/>
    <n v="940"/>
  </r>
  <r>
    <x v="22"/>
    <s v="conventional_turnover_cai_501"/>
    <x v="541"/>
    <n v="0.95721019799999996"/>
    <n v="1"/>
    <n v="-40"/>
    <n v="940"/>
  </r>
  <r>
    <x v="22"/>
    <s v="conventional_turnover_cai_502"/>
    <x v="542"/>
    <n v="0.95742078399999997"/>
    <n v="1"/>
    <n v="-40"/>
    <n v="940"/>
  </r>
  <r>
    <x v="22"/>
    <s v="conventional_turnover_cai_503"/>
    <x v="543"/>
    <n v="0.95763174600000001"/>
    <n v="1"/>
    <n v="-40"/>
    <n v="940"/>
  </r>
  <r>
    <x v="22"/>
    <s v="conventional_turnover_cai_504"/>
    <x v="544"/>
    <n v="0.95784307199999996"/>
    <n v="1"/>
    <n v="-40"/>
    <n v="940"/>
  </r>
  <r>
    <x v="22"/>
    <s v="conventional_turnover_cai_505"/>
    <x v="545"/>
    <n v="0.95805474999999996"/>
    <n v="1"/>
    <n v="-40"/>
    <n v="940"/>
  </r>
  <r>
    <x v="22"/>
    <s v="conventional_turnover_cai_506"/>
    <x v="546"/>
    <n v="0.95826676799999999"/>
    <n v="1"/>
    <n v="-40"/>
    <n v="940"/>
  </r>
  <r>
    <x v="22"/>
    <s v="conventional_turnover_cai_507"/>
    <x v="547"/>
    <n v="0.95847911399999997"/>
    <n v="1"/>
    <n v="-40"/>
    <n v="940"/>
  </r>
  <r>
    <x v="22"/>
    <s v="conventional_turnover_cai_508"/>
    <x v="548"/>
    <n v="0.958691776"/>
    <n v="1"/>
    <n v="-40"/>
    <n v="940"/>
  </r>
  <r>
    <x v="22"/>
    <s v="conventional_turnover_cai_509"/>
    <x v="549"/>
    <n v="0.95890474199999998"/>
    <n v="1"/>
    <n v="-40"/>
    <n v="940"/>
  </r>
  <r>
    <x v="22"/>
    <s v="conventional_turnover_cai_510"/>
    <x v="550"/>
    <n v="0.95911800000000003"/>
    <n v="1"/>
    <n v="-40"/>
    <n v="940"/>
  </r>
  <r>
    <x v="22"/>
    <s v="conventional_turnover_cai_511"/>
    <x v="551"/>
    <n v="0.95933153800000004"/>
    <n v="1"/>
    <n v="-40"/>
    <n v="940"/>
  </r>
  <r>
    <x v="22"/>
    <s v="conventional_turnover_cai_512"/>
    <x v="552"/>
    <n v="0.95954534400000002"/>
    <n v="1"/>
    <n v="-40"/>
    <n v="940"/>
  </r>
  <r>
    <x v="22"/>
    <s v="conventional_turnover_cai_513"/>
    <x v="553"/>
    <n v="0.95975940599999998"/>
    <n v="1"/>
    <n v="-40"/>
    <n v="940"/>
  </r>
  <r>
    <x v="22"/>
    <s v="conventional_turnover_cai_514"/>
    <x v="554"/>
    <n v="0.95997371200000003"/>
    <n v="1"/>
    <n v="-40"/>
    <n v="940"/>
  </r>
  <r>
    <x v="22"/>
    <s v="conventional_turnover_cai_515"/>
    <x v="555"/>
    <n v="0.96018824999999997"/>
    <n v="1"/>
    <n v="-40"/>
    <n v="940"/>
  </r>
  <r>
    <x v="22"/>
    <s v="conventional_turnover_cai_516"/>
    <x v="556"/>
    <n v="0.960403008"/>
    <n v="1"/>
    <n v="-40"/>
    <n v="940"/>
  </r>
  <r>
    <x v="22"/>
    <s v="conventional_turnover_cai_517"/>
    <x v="557"/>
    <n v="0.96061797400000004"/>
    <n v="1"/>
    <n v="-40"/>
    <n v="940"/>
  </r>
  <r>
    <x v="22"/>
    <s v="conventional_turnover_cai_518"/>
    <x v="558"/>
    <n v="0.96083313599999998"/>
    <n v="1"/>
    <n v="-40"/>
    <n v="940"/>
  </r>
  <r>
    <x v="22"/>
    <s v="conventional_turnover_cai_519"/>
    <x v="559"/>
    <n v="0.96104848200000004"/>
    <n v="1"/>
    <n v="-40"/>
    <n v="940"/>
  </r>
  <r>
    <x v="22"/>
    <s v="conventional_turnover_cai_520"/>
    <x v="560"/>
    <n v="0.96126400000000001"/>
    <n v="1"/>
    <n v="-40"/>
    <n v="940"/>
  </r>
  <r>
    <x v="22"/>
    <s v="conventional_turnover_cai_521"/>
    <x v="561"/>
    <n v="0.961479678"/>
    <n v="1"/>
    <n v="-40"/>
    <n v="940"/>
  </r>
  <r>
    <x v="22"/>
    <s v="conventional_turnover_cai_522"/>
    <x v="562"/>
    <n v="0.96169550400000003"/>
    <n v="1"/>
    <n v="-40"/>
    <n v="940"/>
  </r>
  <r>
    <x v="22"/>
    <s v="conventional_turnover_cai_523"/>
    <x v="563"/>
    <n v="0.96191146599999999"/>
    <n v="1"/>
    <n v="-40"/>
    <n v="940"/>
  </r>
  <r>
    <x v="22"/>
    <s v="conventional_turnover_cai_524"/>
    <x v="564"/>
    <n v="0.962127552"/>
    <n v="1"/>
    <n v="-40"/>
    <n v="940"/>
  </r>
  <r>
    <x v="22"/>
    <s v="conventional_turnover_cai_525"/>
    <x v="565"/>
    <n v="0.96234375000000005"/>
    <n v="1"/>
    <n v="-40"/>
    <n v="940"/>
  </r>
  <r>
    <x v="22"/>
    <s v="conventional_turnover_cai_526"/>
    <x v="566"/>
    <n v="0.96256004799999995"/>
    <n v="1"/>
    <n v="-40"/>
    <n v="940"/>
  </r>
  <r>
    <x v="22"/>
    <s v="conventional_turnover_cai_527"/>
    <x v="567"/>
    <n v="0.96277643400000001"/>
    <n v="1"/>
    <n v="-40"/>
    <n v="940"/>
  </r>
  <r>
    <x v="22"/>
    <s v="conventional_turnover_cai_528"/>
    <x v="568"/>
    <n v="0.96299289600000004"/>
    <n v="1"/>
    <n v="-40"/>
    <n v="940"/>
  </r>
  <r>
    <x v="22"/>
    <s v="conventional_turnover_cai_529"/>
    <x v="569"/>
    <n v="0.96320942200000004"/>
    <n v="1"/>
    <n v="-40"/>
    <n v="940"/>
  </r>
  <r>
    <x v="22"/>
    <s v="conventional_turnover_cai_530"/>
    <x v="570"/>
    <n v="0.963426"/>
    <n v="1"/>
    <n v="-40"/>
    <n v="940"/>
  </r>
  <r>
    <x v="22"/>
    <s v="conventional_turnover_cai_531"/>
    <x v="571"/>
    <n v="0.96364261799999995"/>
    <n v="1"/>
    <n v="-40"/>
    <n v="940"/>
  </r>
  <r>
    <x v="22"/>
    <s v="conventional_turnover_cai_532"/>
    <x v="572"/>
    <n v="0.96385926399999999"/>
    <n v="1"/>
    <n v="-40"/>
    <n v="940"/>
  </r>
  <r>
    <x v="22"/>
    <s v="conventional_turnover_cai_533"/>
    <x v="573"/>
    <n v="0.96407592600000003"/>
    <n v="1"/>
    <n v="-40"/>
    <n v="940"/>
  </r>
  <r>
    <x v="22"/>
    <s v="conventional_turnover_cai_534"/>
    <x v="574"/>
    <n v="0.96429259199999995"/>
    <n v="1"/>
    <n v="-40"/>
    <n v="940"/>
  </r>
  <r>
    <x v="22"/>
    <s v="conventional_turnover_cai_535"/>
    <x v="575"/>
    <n v="0.96450924999999998"/>
    <n v="1"/>
    <n v="-40"/>
    <n v="940"/>
  </r>
  <r>
    <x v="22"/>
    <s v="conventional_turnover_cai_536"/>
    <x v="576"/>
    <n v="0.96472588800000003"/>
    <n v="1"/>
    <n v="-40"/>
    <n v="940"/>
  </r>
  <r>
    <x v="22"/>
    <s v="conventional_turnover_cai_537"/>
    <x v="577"/>
    <n v="0.96494249399999998"/>
    <n v="1"/>
    <n v="-40"/>
    <n v="940"/>
  </r>
  <r>
    <x v="22"/>
    <s v="conventional_turnover_cai_538"/>
    <x v="578"/>
    <n v="0.96515905599999996"/>
    <n v="1"/>
    <n v="-40"/>
    <n v="940"/>
  </r>
  <r>
    <x v="22"/>
    <s v="conventional_turnover_cai_539"/>
    <x v="579"/>
    <n v="0.96537556199999996"/>
    <n v="1"/>
    <n v="-40"/>
    <n v="940"/>
  </r>
  <r>
    <x v="22"/>
    <s v="conventional_turnover_cai_540"/>
    <x v="580"/>
    <n v="0.96559200000000001"/>
    <n v="1"/>
    <n v="-40"/>
    <n v="940"/>
  </r>
  <r>
    <x v="22"/>
    <s v="conventional_turnover_cai_541"/>
    <x v="581"/>
    <n v="0.96580835799999998"/>
    <n v="1"/>
    <n v="-40"/>
    <n v="940"/>
  </r>
  <r>
    <x v="22"/>
    <s v="conventional_turnover_cai_542"/>
    <x v="582"/>
    <n v="0.966024624"/>
    <n v="1"/>
    <n v="-40"/>
    <n v="940"/>
  </r>
  <r>
    <x v="22"/>
    <s v="conventional_turnover_cai_543"/>
    <x v="583"/>
    <n v="0.96624078599999996"/>
    <n v="1"/>
    <n v="-40"/>
    <n v="940"/>
  </r>
  <r>
    <x v="22"/>
    <s v="conventional_turnover_cai_544"/>
    <x v="584"/>
    <n v="0.96645683199999999"/>
    <n v="1"/>
    <n v="-40"/>
    <n v="940"/>
  </r>
  <r>
    <x v="22"/>
    <s v="conventional_turnover_cai_545"/>
    <x v="585"/>
    <n v="0.96667274999999997"/>
    <n v="1"/>
    <n v="-40"/>
    <n v="940"/>
  </r>
  <r>
    <x v="22"/>
    <s v="conventional_turnover_cai_546"/>
    <x v="586"/>
    <n v="0.96688852800000002"/>
    <n v="1"/>
    <n v="-40"/>
    <n v="940"/>
  </r>
  <r>
    <x v="22"/>
    <s v="conventional_turnover_cai_547"/>
    <x v="587"/>
    <n v="0.96710415400000005"/>
    <n v="1"/>
    <n v="-40"/>
    <n v="940"/>
  </r>
  <r>
    <x v="22"/>
    <s v="conventional_turnover_cai_548"/>
    <x v="588"/>
    <n v="0.96731961600000005"/>
    <n v="1"/>
    <n v="-40"/>
    <n v="940"/>
  </r>
  <r>
    <x v="22"/>
    <s v="conventional_turnover_cai_549"/>
    <x v="589"/>
    <n v="0.96753490200000003"/>
    <n v="1"/>
    <n v="-40"/>
    <n v="940"/>
  </r>
  <r>
    <x v="22"/>
    <s v="conventional_turnover_cai_550"/>
    <x v="590"/>
    <n v="0.96775"/>
    <n v="1"/>
    <n v="-40"/>
    <n v="940"/>
  </r>
  <r>
    <x v="22"/>
    <s v="conventional_turnover_cai_551"/>
    <x v="591"/>
    <n v="0.96796489799999996"/>
    <n v="1"/>
    <n v="-40"/>
    <n v="940"/>
  </r>
  <r>
    <x v="22"/>
    <s v="conventional_turnover_cai_552"/>
    <x v="592"/>
    <n v="0.96817958400000004"/>
    <n v="1"/>
    <n v="-40"/>
    <n v="940"/>
  </r>
  <r>
    <x v="22"/>
    <s v="conventional_turnover_cai_553"/>
    <x v="593"/>
    <n v="0.96839404600000001"/>
    <n v="1"/>
    <n v="-40"/>
    <n v="940"/>
  </r>
  <r>
    <x v="22"/>
    <s v="conventional_turnover_cai_554"/>
    <x v="594"/>
    <n v="0.96860827199999999"/>
    <n v="1"/>
    <n v="-40"/>
    <n v="940"/>
  </r>
  <r>
    <x v="22"/>
    <s v="conventional_turnover_cai_555"/>
    <x v="595"/>
    <n v="0.96882225"/>
    <n v="1"/>
    <n v="-40"/>
    <n v="940"/>
  </r>
  <r>
    <x v="22"/>
    <s v="conventional_turnover_cai_556"/>
    <x v="596"/>
    <n v="0.96903596800000003"/>
    <n v="1"/>
    <n v="-40"/>
    <n v="940"/>
  </r>
  <r>
    <x v="22"/>
    <s v="conventional_turnover_cai_557"/>
    <x v="597"/>
    <n v="0.96924941399999998"/>
    <n v="1"/>
    <n v="-40"/>
    <n v="940"/>
  </r>
  <r>
    <x v="22"/>
    <s v="conventional_turnover_cai_558"/>
    <x v="598"/>
    <n v="0.96946257599999996"/>
    <n v="1"/>
    <n v="-40"/>
    <n v="940"/>
  </r>
  <r>
    <x v="22"/>
    <s v="conventional_turnover_cai_559"/>
    <x v="599"/>
    <n v="0.969675442"/>
    <n v="1"/>
    <n v="-40"/>
    <n v="940"/>
  </r>
  <r>
    <x v="22"/>
    <s v="conventional_turnover_cai_560"/>
    <x v="600"/>
    <n v="0.96988799999999997"/>
    <n v="1"/>
    <n v="-40"/>
    <n v="940"/>
  </r>
  <r>
    <x v="22"/>
    <s v="conventional_turnover_cai_561"/>
    <x v="601"/>
    <n v="0.970100238"/>
    <n v="1"/>
    <n v="-40"/>
    <n v="940"/>
  </r>
  <r>
    <x v="22"/>
    <s v="conventional_turnover_cai_562"/>
    <x v="602"/>
    <n v="0.97031214399999999"/>
    <n v="1"/>
    <n v="-40"/>
    <n v="940"/>
  </r>
  <r>
    <x v="22"/>
    <s v="conventional_turnover_cai_563"/>
    <x v="603"/>
    <n v="0.97052370600000004"/>
    <n v="1"/>
    <n v="-40"/>
    <n v="940"/>
  </r>
  <r>
    <x v="22"/>
    <s v="conventional_turnover_cai_564"/>
    <x v="604"/>
    <n v="0.97073491199999995"/>
    <n v="1"/>
    <n v="-40"/>
    <n v="940"/>
  </r>
  <r>
    <x v="22"/>
    <s v="conventional_turnover_cai_565"/>
    <x v="605"/>
    <n v="0.97094575000000005"/>
    <n v="1"/>
    <n v="-40"/>
    <n v="940"/>
  </r>
  <r>
    <x v="22"/>
    <s v="conventional_turnover_cai_566"/>
    <x v="606"/>
    <n v="0.97115620800000002"/>
    <n v="1"/>
    <n v="-40"/>
    <n v="940"/>
  </r>
  <r>
    <x v="22"/>
    <s v="conventional_turnover_cai_567"/>
    <x v="607"/>
    <n v="0.97136627399999997"/>
    <n v="1"/>
    <n v="-40"/>
    <n v="940"/>
  </r>
  <r>
    <x v="22"/>
    <s v="conventional_turnover_cai_568"/>
    <x v="608"/>
    <n v="0.97157593600000003"/>
    <n v="1"/>
    <n v="-40"/>
    <n v="940"/>
  </r>
  <r>
    <x v="22"/>
    <s v="conventional_turnover_cai_569"/>
    <x v="609"/>
    <n v="0.97178518199999997"/>
    <n v="1"/>
    <n v="-40"/>
    <n v="940"/>
  </r>
  <r>
    <x v="22"/>
    <s v="conventional_turnover_cai_570"/>
    <x v="610"/>
    <n v="0.97199400000000002"/>
    <n v="1"/>
    <n v="-40"/>
    <n v="940"/>
  </r>
  <r>
    <x v="22"/>
    <s v="conventional_turnover_cai_571"/>
    <x v="611"/>
    <n v="0.97220237799999998"/>
    <n v="1"/>
    <n v="-40"/>
    <n v="940"/>
  </r>
  <r>
    <x v="22"/>
    <s v="conventional_turnover_cai_572"/>
    <x v="612"/>
    <n v="0.97241030399999995"/>
    <n v="1"/>
    <n v="-40"/>
    <n v="940"/>
  </r>
  <r>
    <x v="22"/>
    <s v="conventional_turnover_cai_573"/>
    <x v="613"/>
    <n v="0.97261776600000005"/>
    <n v="1"/>
    <n v="-40"/>
    <n v="940"/>
  </r>
  <r>
    <x v="22"/>
    <s v="conventional_turnover_cai_574"/>
    <x v="614"/>
    <n v="0.97282475199999996"/>
    <n v="1"/>
    <n v="-40"/>
    <n v="940"/>
  </r>
  <r>
    <x v="22"/>
    <s v="conventional_turnover_cai_575"/>
    <x v="615"/>
    <n v="0.97303125000000001"/>
    <n v="1"/>
    <n v="-40"/>
    <n v="940"/>
  </r>
  <r>
    <x v="22"/>
    <s v="conventional_turnover_cai_576"/>
    <x v="616"/>
    <n v="0.973237248"/>
    <n v="1"/>
    <n v="-40"/>
    <n v="940"/>
  </r>
  <r>
    <x v="22"/>
    <s v="conventional_turnover_cai_577"/>
    <x v="617"/>
    <n v="0.97344273400000003"/>
    <n v="1"/>
    <n v="-40"/>
    <n v="940"/>
  </r>
  <r>
    <x v="22"/>
    <s v="conventional_turnover_cai_578"/>
    <x v="618"/>
    <n v="0.97364769600000001"/>
    <n v="1"/>
    <n v="-40"/>
    <n v="940"/>
  </r>
  <r>
    <x v="22"/>
    <s v="conventional_turnover_cai_579"/>
    <x v="619"/>
    <n v="0.97385212200000004"/>
    <n v="1"/>
    <n v="-40"/>
    <n v="940"/>
  </r>
  <r>
    <x v="22"/>
    <s v="conventional_turnover_cai_580"/>
    <x v="620"/>
    <n v="0.97405600000000003"/>
    <n v="1"/>
    <n v="-40"/>
    <n v="940"/>
  </r>
  <r>
    <x v="22"/>
    <s v="conventional_turnover_cai_581"/>
    <x v="621"/>
    <n v="0.97425931799999999"/>
    <n v="1"/>
    <n v="-40"/>
    <n v="940"/>
  </r>
  <r>
    <x v="22"/>
    <s v="conventional_turnover_cai_582"/>
    <x v="622"/>
    <n v="0.97446206400000002"/>
    <n v="1"/>
    <n v="-40"/>
    <n v="940"/>
  </r>
  <r>
    <x v="22"/>
    <s v="conventional_turnover_cai_583"/>
    <x v="623"/>
    <n v="0.97466422600000002"/>
    <n v="1"/>
    <n v="-40"/>
    <n v="940"/>
  </r>
  <r>
    <x v="22"/>
    <s v="conventional_turnover_cai_584"/>
    <x v="624"/>
    <n v="0.97486579200000001"/>
    <n v="1"/>
    <n v="-40"/>
    <n v="940"/>
  </r>
  <r>
    <x v="22"/>
    <s v="conventional_turnover_cai_585"/>
    <x v="625"/>
    <n v="0.97506674999999998"/>
    <n v="1"/>
    <n v="-40"/>
    <n v="940"/>
  </r>
  <r>
    <x v="22"/>
    <s v="conventional_turnover_cai_586"/>
    <x v="626"/>
    <n v="0.97526708799999995"/>
    <n v="1"/>
    <n v="-40"/>
    <n v="940"/>
  </r>
  <r>
    <x v="22"/>
    <s v="conventional_turnover_cai_587"/>
    <x v="627"/>
    <n v="0.97546679400000003"/>
    <n v="1"/>
    <n v="-40"/>
    <n v="940"/>
  </r>
  <r>
    <x v="22"/>
    <s v="conventional_turnover_cai_588"/>
    <x v="628"/>
    <n v="0.975665856"/>
    <n v="1"/>
    <n v="-40"/>
    <n v="940"/>
  </r>
  <r>
    <x v="22"/>
    <s v="conventional_turnover_cai_589"/>
    <x v="629"/>
    <n v="0.97586426199999998"/>
    <n v="1"/>
    <n v="-40"/>
    <n v="940"/>
  </r>
  <r>
    <x v="22"/>
    <s v="conventional_turnover_cai_590"/>
    <x v="630"/>
    <n v="0.97606199999999999"/>
    <n v="1"/>
    <n v="-40"/>
    <n v="940"/>
  </r>
  <r>
    <x v="22"/>
    <s v="conventional_turnover_cai_591"/>
    <x v="631"/>
    <n v="0.97625905800000001"/>
    <n v="1"/>
    <n v="-40"/>
    <n v="940"/>
  </r>
  <r>
    <x v="22"/>
    <s v="conventional_turnover_cai_592"/>
    <x v="632"/>
    <n v="0.97645542399999996"/>
    <n v="1"/>
    <n v="-40"/>
    <n v="940"/>
  </r>
  <r>
    <x v="22"/>
    <s v="conventional_turnover_cai_593"/>
    <x v="633"/>
    <n v="0.97665108599999995"/>
    <n v="1"/>
    <n v="-40"/>
    <n v="940"/>
  </r>
  <r>
    <x v="22"/>
    <s v="conventional_turnover_cai_594"/>
    <x v="634"/>
    <n v="0.97684603199999998"/>
    <n v="1"/>
    <n v="-40"/>
    <n v="940"/>
  </r>
  <r>
    <x v="22"/>
    <s v="conventional_turnover_cai_595"/>
    <x v="635"/>
    <n v="0.97704025000000005"/>
    <n v="1"/>
    <n v="-40"/>
    <n v="940"/>
  </r>
  <r>
    <x v="22"/>
    <s v="conventional_turnover_cai_596"/>
    <x v="636"/>
    <n v="0.97723372799999997"/>
    <n v="1"/>
    <n v="-40"/>
    <n v="940"/>
  </r>
  <r>
    <x v="22"/>
    <s v="conventional_turnover_cai_597"/>
    <x v="637"/>
    <n v="0.97742645399999994"/>
    <n v="1"/>
    <n v="-40"/>
    <n v="940"/>
  </r>
  <r>
    <x v="22"/>
    <s v="conventional_turnover_cai_598"/>
    <x v="638"/>
    <n v="0.97761841599999999"/>
    <n v="1"/>
    <n v="-40"/>
    <n v="940"/>
  </r>
  <r>
    <x v="22"/>
    <s v="conventional_turnover_cai_599"/>
    <x v="639"/>
    <n v="0.977809602"/>
    <n v="1"/>
    <n v="-40"/>
    <n v="940"/>
  </r>
  <r>
    <x v="22"/>
    <s v="conventional_turnover_cai_600"/>
    <x v="640"/>
    <n v="0.97799999999999998"/>
    <n v="1"/>
    <n v="-40"/>
    <n v="940"/>
  </r>
  <r>
    <x v="22"/>
    <s v="conventional_turnover_cai_601"/>
    <x v="641"/>
    <n v="0.97818960200000005"/>
    <n v="1"/>
    <n v="-40"/>
    <n v="940"/>
  </r>
  <r>
    <x v="22"/>
    <s v="conventional_turnover_cai_602"/>
    <x v="642"/>
    <n v="0.97837841599999997"/>
    <n v="1"/>
    <n v="-40"/>
    <n v="940"/>
  </r>
  <r>
    <x v="22"/>
    <s v="conventional_turnover_cai_603"/>
    <x v="643"/>
    <n v="0.97856645399999997"/>
    <n v="1"/>
    <n v="-40"/>
    <n v="940"/>
  </r>
  <r>
    <x v="22"/>
    <s v="conventional_turnover_cai_604"/>
    <x v="644"/>
    <n v="0.97875372800000005"/>
    <n v="1"/>
    <n v="-40"/>
    <n v="940"/>
  </r>
  <r>
    <x v="22"/>
    <s v="conventional_turnover_cai_605"/>
    <x v="645"/>
    <n v="0.97894024999999996"/>
    <n v="1"/>
    <n v="-40"/>
    <n v="940"/>
  </r>
  <r>
    <x v="22"/>
    <s v="conventional_turnover_cai_606"/>
    <x v="646"/>
    <n v="0.97912603200000004"/>
    <n v="1"/>
    <n v="-40"/>
    <n v="940"/>
  </r>
  <r>
    <x v="22"/>
    <s v="conventional_turnover_cai_607"/>
    <x v="647"/>
    <n v="0.97931108600000005"/>
    <n v="1"/>
    <n v="-40"/>
    <n v="940"/>
  </r>
  <r>
    <x v="22"/>
    <s v="conventional_turnover_cai_608"/>
    <x v="648"/>
    <n v="0.979495424"/>
    <n v="1"/>
    <n v="-40"/>
    <n v="940"/>
  </r>
  <r>
    <x v="22"/>
    <s v="conventional_turnover_cai_609"/>
    <x v="649"/>
    <n v="0.97967905799999999"/>
    <n v="1"/>
    <n v="-40"/>
    <n v="940"/>
  </r>
  <r>
    <x v="22"/>
    <s v="conventional_turnover_cai_610"/>
    <x v="650"/>
    <n v="0.97986200000000001"/>
    <n v="1"/>
    <n v="-40"/>
    <n v="940"/>
  </r>
  <r>
    <x v="22"/>
    <s v="conventional_turnover_cai_611"/>
    <x v="651"/>
    <n v="0.98004426200000005"/>
    <n v="1"/>
    <n v="-40"/>
    <n v="940"/>
  </r>
  <r>
    <x v="22"/>
    <s v="conventional_turnover_cai_612"/>
    <x v="652"/>
    <n v="0.98022585600000001"/>
    <n v="1"/>
    <n v="-40"/>
    <n v="940"/>
  </r>
  <r>
    <x v="22"/>
    <s v="conventional_turnover_cai_613"/>
    <x v="653"/>
    <n v="0.98040679399999997"/>
    <n v="1"/>
    <n v="-40"/>
    <n v="940"/>
  </r>
  <r>
    <x v="22"/>
    <s v="conventional_turnover_cai_614"/>
    <x v="654"/>
    <n v="0.98058708800000005"/>
    <n v="1"/>
    <n v="-40"/>
    <n v="940"/>
  </r>
  <r>
    <x v="22"/>
    <s v="conventional_turnover_cai_615"/>
    <x v="655"/>
    <n v="0.98076675000000002"/>
    <n v="1"/>
    <n v="-40"/>
    <n v="940"/>
  </r>
  <r>
    <x v="22"/>
    <s v="conventional_turnover_cai_616"/>
    <x v="656"/>
    <n v="0.98094579199999998"/>
    <n v="1"/>
    <n v="-40"/>
    <n v="940"/>
  </r>
  <r>
    <x v="22"/>
    <s v="conventional_turnover_cai_617"/>
    <x v="657"/>
    <n v="0.98112422600000004"/>
    <n v="1"/>
    <n v="-40"/>
    <n v="940"/>
  </r>
  <r>
    <x v="22"/>
    <s v="conventional_turnover_cai_618"/>
    <x v="658"/>
    <n v="0.98130206399999997"/>
    <n v="1"/>
    <n v="-40"/>
    <n v="940"/>
  </r>
  <r>
    <x v="22"/>
    <s v="conventional_turnover_cai_619"/>
    <x v="659"/>
    <n v="0.98147931799999999"/>
    <n v="1"/>
    <n v="-40"/>
    <n v="940"/>
  </r>
  <r>
    <x v="22"/>
    <s v="conventional_turnover_cai_620"/>
    <x v="660"/>
    <n v="0.98165599999999997"/>
    <n v="1"/>
    <n v="-40"/>
    <n v="940"/>
  </r>
  <r>
    <x v="22"/>
    <s v="conventional_turnover_cai_621"/>
    <x v="661"/>
    <n v="0.98183212200000003"/>
    <n v="1"/>
    <n v="-40"/>
    <n v="940"/>
  </r>
  <r>
    <x v="22"/>
    <s v="conventional_turnover_cai_622"/>
    <x v="662"/>
    <n v="0.98200769600000004"/>
    <n v="1"/>
    <n v="-40"/>
    <n v="940"/>
  </r>
  <r>
    <x v="22"/>
    <s v="conventional_turnover_cai_623"/>
    <x v="663"/>
    <n v="0.982182734"/>
    <n v="1"/>
    <n v="-40"/>
    <n v="940"/>
  </r>
  <r>
    <x v="22"/>
    <s v="conventional_turnover_cai_624"/>
    <x v="664"/>
    <n v="0.98235724800000002"/>
    <n v="1"/>
    <n v="-40"/>
    <n v="940"/>
  </r>
  <r>
    <x v="22"/>
    <s v="conventional_turnover_cai_625"/>
    <x v="665"/>
    <n v="0.98253124999999997"/>
    <n v="1"/>
    <n v="-40"/>
    <n v="940"/>
  </r>
  <r>
    <x v="22"/>
    <s v="conventional_turnover_cai_626"/>
    <x v="666"/>
    <n v="0.98270475199999996"/>
    <n v="1"/>
    <n v="-40"/>
    <n v="940"/>
  </r>
  <r>
    <x v="22"/>
    <s v="conventional_turnover_cai_627"/>
    <x v="667"/>
    <n v="0.98287776599999999"/>
    <n v="1"/>
    <n v="-40"/>
    <n v="940"/>
  </r>
  <r>
    <x v="22"/>
    <s v="conventional_turnover_cai_628"/>
    <x v="668"/>
    <n v="0.98305030400000004"/>
    <n v="1"/>
    <n v="-40"/>
    <n v="940"/>
  </r>
  <r>
    <x v="22"/>
    <s v="conventional_turnover_cai_629"/>
    <x v="669"/>
    <n v="0.98322237800000001"/>
    <n v="1"/>
    <n v="-40"/>
    <n v="940"/>
  </r>
  <r>
    <x v="22"/>
    <s v="conventional_turnover_cai_630"/>
    <x v="670"/>
    <n v="0.98339399999999999"/>
    <n v="1"/>
    <n v="-40"/>
    <n v="940"/>
  </r>
  <r>
    <x v="22"/>
    <s v="conventional_turnover_cai_631"/>
    <x v="671"/>
    <n v="0.98356518199999998"/>
    <n v="1"/>
    <n v="-40"/>
    <n v="940"/>
  </r>
  <r>
    <x v="22"/>
    <s v="conventional_turnover_cai_632"/>
    <x v="672"/>
    <n v="0.98373593599999998"/>
    <n v="1"/>
    <n v="-40"/>
    <n v="940"/>
  </r>
  <r>
    <x v="22"/>
    <s v="conventional_turnover_cai_633"/>
    <x v="673"/>
    <n v="0.98390627399999997"/>
    <n v="1"/>
    <n v="-40"/>
    <n v="940"/>
  </r>
  <r>
    <x v="22"/>
    <s v="conventional_turnover_cai_634"/>
    <x v="674"/>
    <n v="0.98407620799999995"/>
    <n v="1"/>
    <n v="-40"/>
    <n v="940"/>
  </r>
  <r>
    <x v="22"/>
    <s v="conventional_turnover_cai_635"/>
    <x v="675"/>
    <n v="0.98424575000000003"/>
    <n v="1"/>
    <n v="-40"/>
    <n v="940"/>
  </r>
  <r>
    <x v="22"/>
    <s v="conventional_turnover_cai_636"/>
    <x v="676"/>
    <n v="0.98441491199999998"/>
    <n v="1"/>
    <n v="-40"/>
    <n v="940"/>
  </r>
  <r>
    <x v="22"/>
    <s v="conventional_turnover_cai_637"/>
    <x v="677"/>
    <n v="0.984583706"/>
    <n v="1"/>
    <n v="-40"/>
    <n v="940"/>
  </r>
  <r>
    <x v="22"/>
    <s v="conventional_turnover_cai_638"/>
    <x v="678"/>
    <n v="0.984752144"/>
    <n v="1"/>
    <n v="-40"/>
    <n v="940"/>
  </r>
  <r>
    <x v="22"/>
    <s v="conventional_turnover_cai_639"/>
    <x v="679"/>
    <n v="0.98492023799999995"/>
    <n v="1"/>
    <n v="-40"/>
    <n v="940"/>
  </r>
  <r>
    <x v="22"/>
    <s v="conventional_turnover_cai_640"/>
    <x v="680"/>
    <n v="0.98508799999999996"/>
    <n v="1"/>
    <n v="-40"/>
    <n v="940"/>
  </r>
  <r>
    <x v="22"/>
    <s v="conventional_turnover_cai_641"/>
    <x v="681"/>
    <n v="0.98525544200000004"/>
    <n v="1"/>
    <n v="-40"/>
    <n v="940"/>
  </r>
  <r>
    <x v="22"/>
    <s v="conventional_turnover_cai_642"/>
    <x v="682"/>
    <n v="0.98542257600000005"/>
    <n v="1"/>
    <n v="-40"/>
    <n v="940"/>
  </r>
  <r>
    <x v="22"/>
    <s v="conventional_turnover_cai_643"/>
    <x v="683"/>
    <n v="0.985589414"/>
    <n v="1"/>
    <n v="-40"/>
    <n v="940"/>
  </r>
  <r>
    <x v="22"/>
    <s v="conventional_turnover_cai_644"/>
    <x v="684"/>
    <n v="0.98575596799999998"/>
    <n v="1"/>
    <n v="-40"/>
    <n v="940"/>
  </r>
  <r>
    <x v="22"/>
    <s v="conventional_turnover_cai_645"/>
    <x v="685"/>
    <n v="0.98592225"/>
    <n v="1"/>
    <n v="-40"/>
    <n v="940"/>
  </r>
  <r>
    <x v="22"/>
    <s v="conventional_turnover_cai_646"/>
    <x v="686"/>
    <n v="0.98608827200000004"/>
    <n v="1"/>
    <n v="-40"/>
    <n v="940"/>
  </r>
  <r>
    <x v="22"/>
    <s v="conventional_turnover_cai_647"/>
    <x v="687"/>
    <n v="0.986254046"/>
    <n v="1"/>
    <n v="-40"/>
    <n v="940"/>
  </r>
  <r>
    <x v="22"/>
    <s v="conventional_turnover_cai_648"/>
    <x v="688"/>
    <n v="0.98641958399999996"/>
    <n v="1"/>
    <n v="-40"/>
    <n v="940"/>
  </r>
  <r>
    <x v="22"/>
    <s v="conventional_turnover_cai_649"/>
    <x v="689"/>
    <n v="0.98658489800000004"/>
    <n v="1"/>
    <n v="-40"/>
    <n v="940"/>
  </r>
  <r>
    <x v="22"/>
    <s v="conventional_turnover_cai_650"/>
    <x v="690"/>
    <n v="0.98675000000000002"/>
    <n v="1"/>
    <n v="-40"/>
    <n v="940"/>
  </r>
  <r>
    <x v="22"/>
    <s v="conventional_turnover_cai_651"/>
    <x v="691"/>
    <n v="0.98691490199999998"/>
    <n v="1"/>
    <n v="-40"/>
    <n v="940"/>
  </r>
  <r>
    <x v="22"/>
    <s v="conventional_turnover_cai_652"/>
    <x v="692"/>
    <n v="0.98707961600000005"/>
    <n v="1"/>
    <n v="-40"/>
    <n v="940"/>
  </r>
  <r>
    <x v="22"/>
    <s v="conventional_turnover_cai_653"/>
    <x v="693"/>
    <n v="0.98724415399999998"/>
    <n v="1"/>
    <n v="-40"/>
    <n v="940"/>
  </r>
  <r>
    <x v="22"/>
    <s v="conventional_turnover_cai_654"/>
    <x v="694"/>
    <n v="0.98740852800000001"/>
    <n v="1"/>
    <n v="-40"/>
    <n v="940"/>
  </r>
  <r>
    <x v="22"/>
    <s v="conventional_turnover_cai_655"/>
    <x v="695"/>
    <n v="0.98757275"/>
    <n v="1"/>
    <n v="-40"/>
    <n v="940"/>
  </r>
  <r>
    <x v="22"/>
    <s v="conventional_turnover_cai_656"/>
    <x v="696"/>
    <n v="0.98773683199999995"/>
    <n v="1"/>
    <n v="-40"/>
    <n v="940"/>
  </r>
  <r>
    <x v="22"/>
    <s v="conventional_turnover_cai_657"/>
    <x v="697"/>
    <n v="0.98790078599999998"/>
    <n v="1"/>
    <n v="-40"/>
    <n v="940"/>
  </r>
  <r>
    <x v="22"/>
    <s v="conventional_turnover_cai_658"/>
    <x v="698"/>
    <n v="0.98806462399999995"/>
    <n v="1"/>
    <n v="-40"/>
    <n v="940"/>
  </r>
  <r>
    <x v="22"/>
    <s v="conventional_turnover_cai_659"/>
    <x v="699"/>
    <n v="0.98822835799999997"/>
    <n v="1"/>
    <n v="-40"/>
    <n v="940"/>
  </r>
  <r>
    <x v="22"/>
    <s v="conventional_turnover_cai_660"/>
    <x v="700"/>
    <n v="0.98839200000000005"/>
    <n v="1"/>
    <n v="-40"/>
    <n v="940"/>
  </r>
  <r>
    <x v="22"/>
    <s v="conventional_turnover_cai_661"/>
    <x v="701"/>
    <n v="0.98855556200000005"/>
    <n v="1"/>
    <n v="-40"/>
    <n v="940"/>
  </r>
  <r>
    <x v="22"/>
    <s v="conventional_turnover_cai_662"/>
    <x v="702"/>
    <n v="0.98871905599999999"/>
    <n v="1"/>
    <n v="-40"/>
    <n v="940"/>
  </r>
  <r>
    <x v="22"/>
    <s v="conventional_turnover_cai_663"/>
    <x v="703"/>
    <n v="0.98888249399999995"/>
    <n v="1"/>
    <n v="-40"/>
    <n v="940"/>
  </r>
  <r>
    <x v="22"/>
    <s v="conventional_turnover_cai_664"/>
    <x v="704"/>
    <n v="0.98904588800000004"/>
    <n v="1"/>
    <n v="-40"/>
    <n v="940"/>
  </r>
  <r>
    <x v="22"/>
    <s v="conventional_turnover_cai_665"/>
    <x v="705"/>
    <n v="0.98920925000000004"/>
    <n v="1"/>
    <n v="-40"/>
    <n v="940"/>
  </r>
  <r>
    <x v="22"/>
    <s v="conventional_turnover_cai_666"/>
    <x v="706"/>
    <n v="0.98937259200000005"/>
    <n v="1"/>
    <n v="-40"/>
    <n v="940"/>
  </r>
  <r>
    <x v="22"/>
    <s v="conventional_turnover_cai_667"/>
    <x v="707"/>
    <n v="0.98953592599999995"/>
    <n v="1"/>
    <n v="-40"/>
    <n v="940"/>
  </r>
  <r>
    <x v="22"/>
    <s v="conventional_turnover_cai_668"/>
    <x v="708"/>
    <n v="0.98969926399999997"/>
    <n v="1"/>
    <n v="-40"/>
    <n v="940"/>
  </r>
  <r>
    <x v="22"/>
    <s v="conventional_turnover_cai_669"/>
    <x v="709"/>
    <n v="0.98986261799999997"/>
    <n v="1"/>
    <n v="-40"/>
    <n v="940"/>
  </r>
  <r>
    <x v="22"/>
    <s v="conventional_turnover_cai_670"/>
    <x v="710"/>
    <n v="0.99002599999999996"/>
    <n v="1"/>
    <n v="-40"/>
    <n v="940"/>
  </r>
  <r>
    <x v="22"/>
    <s v="conventional_turnover_cai_671"/>
    <x v="711"/>
    <n v="0.99018942200000004"/>
    <n v="1"/>
    <n v="-40"/>
    <n v="940"/>
  </r>
  <r>
    <x v="22"/>
    <s v="conventional_turnover_cai_672"/>
    <x v="712"/>
    <n v="0.99035289599999998"/>
    <n v="1"/>
    <n v="-40"/>
    <n v="940"/>
  </r>
  <r>
    <x v="22"/>
    <s v="conventional_turnover_cai_673"/>
    <x v="713"/>
    <n v="0.990516434"/>
    <n v="1"/>
    <n v="-40"/>
    <n v="940"/>
  </r>
  <r>
    <x v="22"/>
    <s v="conventional_turnover_cai_674"/>
    <x v="714"/>
    <n v="0.99068004799999998"/>
    <n v="1"/>
    <n v="-40"/>
    <n v="940"/>
  </r>
  <r>
    <x v="22"/>
    <s v="conventional_turnover_cai_675"/>
    <x v="715"/>
    <n v="0.99084375000000002"/>
    <n v="1"/>
    <n v="-40"/>
    <n v="940"/>
  </r>
  <r>
    <x v="22"/>
    <s v="conventional_turnover_cai_676"/>
    <x v="716"/>
    <n v="0.99100755200000001"/>
    <n v="1"/>
    <n v="-40"/>
    <n v="940"/>
  </r>
  <r>
    <x v="22"/>
    <s v="conventional_turnover_cai_677"/>
    <x v="717"/>
    <n v="0.99117146599999995"/>
    <n v="1"/>
    <n v="-40"/>
    <n v="940"/>
  </r>
  <r>
    <x v="22"/>
    <s v="conventional_turnover_cai_678"/>
    <x v="718"/>
    <n v="0.99133550400000003"/>
    <n v="1"/>
    <n v="-40"/>
    <n v="940"/>
  </r>
  <r>
    <x v="22"/>
    <s v="conventional_turnover_cai_679"/>
    <x v="719"/>
    <n v="0.99149967800000005"/>
    <n v="1"/>
    <n v="-40"/>
    <n v="940"/>
  </r>
  <r>
    <x v="22"/>
    <s v="conventional_turnover_cai_680"/>
    <x v="720"/>
    <n v="0.99166399999999999"/>
    <n v="1"/>
    <n v="-40"/>
    <n v="940"/>
  </r>
  <r>
    <x v="22"/>
    <s v="conventional_turnover_cai_681"/>
    <x v="721"/>
    <n v="0.99182848199999996"/>
    <n v="1"/>
    <n v="-40"/>
    <n v="940"/>
  </r>
  <r>
    <x v="22"/>
    <s v="conventional_turnover_cai_682"/>
    <x v="722"/>
    <n v="0.99199313600000005"/>
    <n v="1"/>
    <n v="-40"/>
    <n v="940"/>
  </r>
  <r>
    <x v="22"/>
    <s v="conventional_turnover_cai_683"/>
    <x v="723"/>
    <n v="0.99215797400000005"/>
    <n v="1"/>
    <n v="-40"/>
    <n v="940"/>
  </r>
  <r>
    <x v="22"/>
    <s v="conventional_turnover_cai_684"/>
    <x v="724"/>
    <n v="0.99232300799999995"/>
    <n v="1"/>
    <n v="-40"/>
    <n v="940"/>
  </r>
  <r>
    <x v="22"/>
    <s v="conventional_turnover_cai_685"/>
    <x v="725"/>
    <n v="0.99248824999999996"/>
    <n v="1"/>
    <n v="-40"/>
    <n v="940"/>
  </r>
  <r>
    <x v="22"/>
    <s v="conventional_turnover_cai_686"/>
    <x v="726"/>
    <n v="0.99265371199999997"/>
    <n v="1"/>
    <n v="-40"/>
    <n v="940"/>
  </r>
  <r>
    <x v="22"/>
    <s v="conventional_turnover_cai_687"/>
    <x v="727"/>
    <n v="0.99281940599999996"/>
    <n v="1"/>
    <n v="-40"/>
    <n v="940"/>
  </r>
  <r>
    <x v="22"/>
    <s v="conventional_turnover_cai_688"/>
    <x v="728"/>
    <n v="0.99298534400000005"/>
    <n v="1"/>
    <n v="-40"/>
    <n v="940"/>
  </r>
  <r>
    <x v="22"/>
    <s v="conventional_turnover_cai_689"/>
    <x v="729"/>
    <n v="0.993151538"/>
    <n v="1"/>
    <n v="-40"/>
    <n v="940"/>
  </r>
  <r>
    <x v="22"/>
    <s v="conventional_turnover_cai_690"/>
    <x v="730"/>
    <n v="0.99331800000000003"/>
    <n v="1"/>
    <n v="-40"/>
    <n v="940"/>
  </r>
  <r>
    <x v="22"/>
    <s v="conventional_turnover_cai_691"/>
    <x v="731"/>
    <n v="0.99348474200000003"/>
    <n v="1"/>
    <n v="-40"/>
    <n v="940"/>
  </r>
  <r>
    <x v="22"/>
    <s v="conventional_turnover_cai_692"/>
    <x v="732"/>
    <n v="0.99365177599999999"/>
    <n v="1"/>
    <n v="-40"/>
    <n v="940"/>
  </r>
  <r>
    <x v="22"/>
    <s v="conventional_turnover_cai_693"/>
    <x v="733"/>
    <n v="0.993819114"/>
    <n v="1"/>
    <n v="-40"/>
    <n v="940"/>
  </r>
  <r>
    <x v="22"/>
    <s v="conventional_turnover_cai_694"/>
    <x v="734"/>
    <n v="0.99398676799999997"/>
    <n v="1"/>
    <n v="-40"/>
    <n v="940"/>
  </r>
  <r>
    <x v="22"/>
    <s v="conventional_turnover_cai_695"/>
    <x v="735"/>
    <n v="0.99415474999999998"/>
    <n v="1"/>
    <n v="-40"/>
    <n v="940"/>
  </r>
  <r>
    <x v="22"/>
    <s v="conventional_turnover_cai_696"/>
    <x v="736"/>
    <n v="0.99432307200000003"/>
    <n v="1"/>
    <n v="-40"/>
    <n v="940"/>
  </r>
  <r>
    <x v="22"/>
    <s v="conventional_turnover_cai_697"/>
    <x v="737"/>
    <n v="0.99449174600000001"/>
    <n v="1"/>
    <n v="-40"/>
    <n v="940"/>
  </r>
  <r>
    <x v="22"/>
    <s v="conventional_turnover_cai_698"/>
    <x v="738"/>
    <n v="0.99466078400000002"/>
    <n v="1"/>
    <n v="-40"/>
    <n v="940"/>
  </r>
  <r>
    <x v="22"/>
    <s v="conventional_turnover_cai_699"/>
    <x v="739"/>
    <n v="0.99483019800000005"/>
    <n v="1"/>
    <n v="-40"/>
    <n v="940"/>
  </r>
  <r>
    <x v="22"/>
    <s v="conventional_turnover_cai_700"/>
    <x v="740"/>
    <n v="0.995"/>
    <n v="1"/>
    <n v="-40"/>
    <n v="940"/>
  </r>
  <r>
    <x v="22"/>
    <s v="conventional_turnover_cai_701"/>
    <x v="741"/>
    <n v="0.99517"/>
    <n v="1"/>
    <n v="-40"/>
    <n v="940"/>
  </r>
  <r>
    <x v="22"/>
    <s v="conventional_turnover_cai_702"/>
    <x v="742"/>
    <n v="0.99534"/>
    <n v="1"/>
    <n v="-40"/>
    <n v="940"/>
  </r>
  <r>
    <x v="22"/>
    <s v="conventional_turnover_cai_703"/>
    <x v="743"/>
    <n v="0.99551000000000001"/>
    <n v="1"/>
    <n v="-40"/>
    <n v="940"/>
  </r>
  <r>
    <x v="22"/>
    <s v="conventional_turnover_cai_704"/>
    <x v="744"/>
    <n v="0.99568000000000001"/>
    <n v="1"/>
    <n v="-40"/>
    <n v="940"/>
  </r>
  <r>
    <x v="22"/>
    <s v="conventional_turnover_cai_705"/>
    <x v="745"/>
    <n v="0.99585000000000001"/>
    <n v="1"/>
    <n v="-40"/>
    <n v="940"/>
  </r>
  <r>
    <x v="22"/>
    <s v="conventional_turnover_cai_706"/>
    <x v="746"/>
    <n v="0.99602000000000002"/>
    <n v="1"/>
    <n v="-40"/>
    <n v="940"/>
  </r>
  <r>
    <x v="22"/>
    <s v="conventional_turnover_cai_707"/>
    <x v="747"/>
    <n v="0.99619000000000002"/>
    <n v="1"/>
    <n v="-40"/>
    <n v="940"/>
  </r>
  <r>
    <x v="22"/>
    <s v="conventional_turnover_cai_708"/>
    <x v="748"/>
    <n v="0.99636000000000002"/>
    <n v="1"/>
    <n v="-40"/>
    <n v="940"/>
  </r>
  <r>
    <x v="22"/>
    <s v="conventional_turnover_cai_709"/>
    <x v="749"/>
    <n v="0.99653000000000003"/>
    <n v="1"/>
    <n v="-40"/>
    <n v="940"/>
  </r>
  <r>
    <x v="22"/>
    <s v="conventional_turnover_cai_710"/>
    <x v="750"/>
    <n v="0.99670000000000003"/>
    <n v="1"/>
    <n v="-40"/>
    <n v="940"/>
  </r>
  <r>
    <x v="22"/>
    <s v="conventional_turnover_cai_711"/>
    <x v="751"/>
    <n v="0.99687000000000003"/>
    <n v="1"/>
    <n v="-40"/>
    <n v="940"/>
  </r>
  <r>
    <x v="22"/>
    <s v="conventional_turnover_cai_712"/>
    <x v="752"/>
    <n v="0.99704000000000004"/>
    <n v="1"/>
    <n v="-40"/>
    <n v="940"/>
  </r>
  <r>
    <x v="22"/>
    <s v="conventional_turnover_cai_713"/>
    <x v="753"/>
    <n v="0.99721000000000004"/>
    <n v="1"/>
    <n v="-40"/>
    <n v="940"/>
  </r>
  <r>
    <x v="22"/>
    <s v="conventional_turnover_cai_714"/>
    <x v="754"/>
    <n v="0.99738000000000004"/>
    <n v="1"/>
    <n v="-40"/>
    <n v="940"/>
  </r>
  <r>
    <x v="22"/>
    <s v="conventional_turnover_cai_715"/>
    <x v="755"/>
    <n v="0.99755000000000005"/>
    <n v="1"/>
    <n v="-40"/>
    <n v="940"/>
  </r>
  <r>
    <x v="22"/>
    <s v="conventional_turnover_cai_716"/>
    <x v="756"/>
    <n v="0.99772000000000005"/>
    <n v="1"/>
    <n v="-40"/>
    <n v="940"/>
  </r>
  <r>
    <x v="22"/>
    <s v="conventional_turnover_cai_717"/>
    <x v="757"/>
    <n v="0.99789000000000005"/>
    <n v="1"/>
    <n v="-40"/>
    <n v="940"/>
  </r>
  <r>
    <x v="22"/>
    <s v="conventional_turnover_cai_718"/>
    <x v="758"/>
    <n v="0.99805999999999995"/>
    <n v="1"/>
    <n v="-40"/>
    <n v="940"/>
  </r>
  <r>
    <x v="22"/>
    <s v="conventional_turnover_cai_719"/>
    <x v="759"/>
    <n v="0.99822999999999995"/>
    <n v="1"/>
    <n v="-40"/>
    <n v="940"/>
  </r>
  <r>
    <x v="22"/>
    <s v="conventional_turnover_cai_720"/>
    <x v="760"/>
    <n v="0.99839999999999995"/>
    <n v="1"/>
    <n v="-40"/>
    <n v="940"/>
  </r>
  <r>
    <x v="22"/>
    <s v="conventional_turnover_cai_721"/>
    <x v="761"/>
    <n v="0.99856999999999996"/>
    <n v="1"/>
    <n v="-40"/>
    <n v="940"/>
  </r>
  <r>
    <x v="22"/>
    <s v="conventional_turnover_cai_722"/>
    <x v="762"/>
    <n v="0.99873999999999996"/>
    <n v="1"/>
    <n v="-40"/>
    <n v="940"/>
  </r>
  <r>
    <x v="22"/>
    <s v="conventional_turnover_cai_723"/>
    <x v="763"/>
    <n v="0.99890999999999996"/>
    <n v="1"/>
    <n v="-40"/>
    <n v="940"/>
  </r>
  <r>
    <x v="22"/>
    <s v="conventional_turnover_cai_724"/>
    <x v="764"/>
    <n v="0.99907999999999997"/>
    <n v="1"/>
    <n v="-40"/>
    <n v="940"/>
  </r>
  <r>
    <x v="22"/>
    <s v="conventional_turnover_cai_725"/>
    <x v="765"/>
    <n v="0.99924999999999997"/>
    <n v="1"/>
    <n v="-40"/>
    <n v="940"/>
  </r>
  <r>
    <x v="22"/>
    <s v="conventional_turnover_cai_726"/>
    <x v="766"/>
    <n v="0.99941999999999998"/>
    <n v="1"/>
    <n v="-40"/>
    <n v="940"/>
  </r>
  <r>
    <x v="22"/>
    <s v="conventional_turnover_cai_727"/>
    <x v="767"/>
    <n v="0.99958999999999998"/>
    <n v="1"/>
    <n v="-40"/>
    <n v="940"/>
  </r>
  <r>
    <x v="22"/>
    <s v="conventional_turnover_cai_728"/>
    <x v="768"/>
    <n v="0.99975999999999998"/>
    <n v="1"/>
    <n v="-40"/>
    <n v="940"/>
  </r>
  <r>
    <x v="22"/>
    <s v="conventional_turnover_cai_729"/>
    <x v="769"/>
    <n v="0.99992999999999999"/>
    <n v="1"/>
    <n v="-40"/>
    <n v="940"/>
  </r>
  <r>
    <x v="22"/>
    <s v="conventional_turnover_cai_730"/>
    <x v="770"/>
    <n v="1.0001"/>
    <n v="1"/>
    <n v="-40"/>
    <n v="940"/>
  </r>
  <r>
    <x v="22"/>
    <s v="conventional_turnover_cai_731"/>
    <x v="771"/>
    <n v="1.00027"/>
    <n v="1"/>
    <n v="-40"/>
    <n v="940"/>
  </r>
  <r>
    <x v="22"/>
    <s v="conventional_turnover_cai_732"/>
    <x v="772"/>
    <n v="1.00044"/>
    <n v="1"/>
    <n v="-40"/>
    <n v="940"/>
  </r>
  <r>
    <x v="22"/>
    <s v="conventional_turnover_cai_733"/>
    <x v="773"/>
    <n v="1.00061"/>
    <n v="1"/>
    <n v="-40"/>
    <n v="940"/>
  </r>
  <r>
    <x v="22"/>
    <s v="conventional_turnover_cai_734"/>
    <x v="774"/>
    <n v="1.00078"/>
    <n v="1"/>
    <n v="-40"/>
    <n v="940"/>
  </r>
  <r>
    <x v="22"/>
    <s v="conventional_turnover_cai_735"/>
    <x v="775"/>
    <n v="1.00095"/>
    <n v="1"/>
    <n v="-40"/>
    <n v="940"/>
  </r>
  <r>
    <x v="22"/>
    <s v="conventional_turnover_cai_736"/>
    <x v="776"/>
    <n v="1.00112"/>
    <n v="1"/>
    <n v="-40"/>
    <n v="940"/>
  </r>
  <r>
    <x v="22"/>
    <s v="conventional_turnover_cai_737"/>
    <x v="777"/>
    <n v="1.00129"/>
    <n v="1"/>
    <n v="-40"/>
    <n v="940"/>
  </r>
  <r>
    <x v="22"/>
    <s v="conventional_turnover_cai_738"/>
    <x v="778"/>
    <n v="1.00146"/>
    <n v="1"/>
    <n v="-40"/>
    <n v="940"/>
  </r>
  <r>
    <x v="22"/>
    <s v="conventional_turnover_cai_739"/>
    <x v="779"/>
    <n v="1.00163"/>
    <n v="1"/>
    <n v="-40"/>
    <n v="940"/>
  </r>
  <r>
    <x v="22"/>
    <s v="conventional_turnover_cai_740"/>
    <x v="780"/>
    <n v="1.0018"/>
    <n v="1"/>
    <n v="-40"/>
    <n v="940"/>
  </r>
  <r>
    <x v="22"/>
    <s v="conventional_turnover_cai_741"/>
    <x v="781"/>
    <n v="1.00197"/>
    <n v="1"/>
    <n v="-40"/>
    <n v="940"/>
  </r>
  <r>
    <x v="22"/>
    <s v="conventional_turnover_cai_742"/>
    <x v="782"/>
    <n v="1.00214"/>
    <n v="1"/>
    <n v="-40"/>
    <n v="940"/>
  </r>
  <r>
    <x v="22"/>
    <s v="conventional_turnover_cai_743"/>
    <x v="783"/>
    <n v="1.00231"/>
    <n v="1"/>
    <n v="-40"/>
    <n v="940"/>
  </r>
  <r>
    <x v="22"/>
    <s v="conventional_turnover_cai_744"/>
    <x v="784"/>
    <n v="1.00248"/>
    <n v="1"/>
    <n v="-40"/>
    <n v="940"/>
  </r>
  <r>
    <x v="22"/>
    <s v="conventional_turnover_cai_745"/>
    <x v="785"/>
    <n v="1.00265"/>
    <n v="1"/>
    <n v="-40"/>
    <n v="940"/>
  </r>
  <r>
    <x v="22"/>
    <s v="conventional_turnover_cai_746"/>
    <x v="786"/>
    <n v="1.00282"/>
    <n v="1"/>
    <n v="-40"/>
    <n v="940"/>
  </r>
  <r>
    <x v="22"/>
    <s v="conventional_turnover_cai_747"/>
    <x v="787"/>
    <n v="1.00299"/>
    <n v="1"/>
    <n v="-40"/>
    <n v="940"/>
  </r>
  <r>
    <x v="22"/>
    <s v="conventional_turnover_cai_748"/>
    <x v="788"/>
    <n v="1.0031600000000001"/>
    <n v="1"/>
    <n v="-40"/>
    <n v="940"/>
  </r>
  <r>
    <x v="22"/>
    <s v="conventional_turnover_cai_749"/>
    <x v="789"/>
    <n v="1.0033300000000001"/>
    <n v="1"/>
    <n v="-40"/>
    <n v="940"/>
  </r>
  <r>
    <x v="22"/>
    <s v="conventional_turnover_cai_750"/>
    <x v="790"/>
    <n v="1.0035000000000001"/>
    <n v="1"/>
    <n v="-40"/>
    <n v="940"/>
  </r>
  <r>
    <x v="22"/>
    <s v="conventional_turnover_cai_751"/>
    <x v="791"/>
    <n v="1.0036700000000001"/>
    <n v="1"/>
    <n v="-40"/>
    <n v="940"/>
  </r>
  <r>
    <x v="22"/>
    <s v="conventional_turnover_cai_752"/>
    <x v="792"/>
    <n v="1.0038400000000001"/>
    <n v="1"/>
    <n v="-40"/>
    <n v="940"/>
  </r>
  <r>
    <x v="22"/>
    <s v="conventional_turnover_cai_753"/>
    <x v="793"/>
    <n v="1.0040100000000001"/>
    <n v="1"/>
    <n v="-40"/>
    <n v="940"/>
  </r>
  <r>
    <x v="22"/>
    <s v="conventional_turnover_cai_754"/>
    <x v="794"/>
    <n v="1.0041800000000001"/>
    <n v="1"/>
    <n v="-40"/>
    <n v="940"/>
  </r>
  <r>
    <x v="22"/>
    <s v="conventional_turnover_cai_755"/>
    <x v="795"/>
    <n v="1.0043500000000001"/>
    <n v="1"/>
    <n v="-40"/>
    <n v="940"/>
  </r>
  <r>
    <x v="22"/>
    <s v="conventional_turnover_cai_756"/>
    <x v="796"/>
    <n v="1.0045200000000001"/>
    <n v="1"/>
    <n v="-40"/>
    <n v="940"/>
  </r>
  <r>
    <x v="22"/>
    <s v="conventional_turnover_cai_757"/>
    <x v="797"/>
    <n v="1.0046900000000001"/>
    <n v="1"/>
    <n v="-40"/>
    <n v="940"/>
  </r>
  <r>
    <x v="22"/>
    <s v="conventional_turnover_cai_758"/>
    <x v="798"/>
    <n v="1.0048600000000001"/>
    <n v="1"/>
    <n v="-40"/>
    <n v="940"/>
  </r>
  <r>
    <x v="22"/>
    <s v="conventional_turnover_cai_759"/>
    <x v="799"/>
    <n v="1.0050300000000001"/>
    <n v="1"/>
    <n v="-40"/>
    <n v="940"/>
  </r>
  <r>
    <x v="22"/>
    <s v="conventional_turnover_cai_760"/>
    <x v="800"/>
    <n v="1.0052000000000001"/>
    <n v="1"/>
    <n v="-40"/>
    <n v="940"/>
  </r>
  <r>
    <x v="22"/>
    <s v="conventional_turnover_cai_761"/>
    <x v="801"/>
    <n v="1.0053700000000001"/>
    <n v="1"/>
    <n v="-40"/>
    <n v="940"/>
  </r>
  <r>
    <x v="22"/>
    <s v="conventional_turnover_cai_762"/>
    <x v="802"/>
    <n v="1.0055400000000001"/>
    <n v="1"/>
    <n v="-40"/>
    <n v="940"/>
  </r>
  <r>
    <x v="22"/>
    <s v="conventional_turnover_cai_763"/>
    <x v="803"/>
    <n v="1.0057100000000001"/>
    <n v="1"/>
    <n v="-40"/>
    <n v="940"/>
  </r>
  <r>
    <x v="22"/>
    <s v="conventional_turnover_cai_764"/>
    <x v="804"/>
    <n v="1.0058800000000001"/>
    <n v="1"/>
    <n v="-40"/>
    <n v="940"/>
  </r>
  <r>
    <x v="22"/>
    <s v="conventional_turnover_cai_765"/>
    <x v="805"/>
    <n v="1.0060500000000001"/>
    <n v="1"/>
    <n v="-40"/>
    <n v="940"/>
  </r>
  <r>
    <x v="22"/>
    <s v="conventional_turnover_cai_766"/>
    <x v="806"/>
    <n v="1.0062199999999999"/>
    <n v="1"/>
    <n v="-40"/>
    <n v="940"/>
  </r>
  <r>
    <x v="22"/>
    <s v="conventional_turnover_cai_767"/>
    <x v="807"/>
    <n v="1.0063899999999999"/>
    <n v="1"/>
    <n v="-40"/>
    <n v="940"/>
  </r>
  <r>
    <x v="22"/>
    <s v="conventional_turnover_cai_768"/>
    <x v="808"/>
    <n v="1.0065599999999999"/>
    <n v="1"/>
    <n v="-40"/>
    <n v="940"/>
  </r>
  <r>
    <x v="22"/>
    <s v="conventional_turnover_cai_769"/>
    <x v="809"/>
    <n v="1.0067299999999999"/>
    <n v="1"/>
    <n v="-40"/>
    <n v="940"/>
  </r>
  <r>
    <x v="22"/>
    <s v="conventional_turnover_cai_770"/>
    <x v="810"/>
    <n v="1.0068999999999999"/>
    <n v="1"/>
    <n v="-40"/>
    <n v="940"/>
  </r>
  <r>
    <x v="22"/>
    <s v="conventional_turnover_cai_771"/>
    <x v="811"/>
    <n v="1.0070699999999999"/>
    <n v="1"/>
    <n v="-40"/>
    <n v="940"/>
  </r>
  <r>
    <x v="22"/>
    <s v="conventional_turnover_cai_772"/>
    <x v="812"/>
    <n v="1.0072399999999999"/>
    <n v="1"/>
    <n v="-40"/>
    <n v="940"/>
  </r>
  <r>
    <x v="22"/>
    <s v="conventional_turnover_cai_773"/>
    <x v="813"/>
    <n v="1.0074099999999999"/>
    <n v="1"/>
    <n v="-40"/>
    <n v="940"/>
  </r>
  <r>
    <x v="22"/>
    <s v="conventional_turnover_cai_774"/>
    <x v="814"/>
    <n v="1.0075799999999999"/>
    <n v="1"/>
    <n v="-40"/>
    <n v="940"/>
  </r>
  <r>
    <x v="22"/>
    <s v="conventional_turnover_cai_775"/>
    <x v="815"/>
    <n v="1.0077499999999999"/>
    <n v="1"/>
    <n v="-40"/>
    <n v="940"/>
  </r>
  <r>
    <x v="22"/>
    <s v="conventional_turnover_cai_776"/>
    <x v="816"/>
    <n v="1.0079199999999999"/>
    <n v="1"/>
    <n v="-40"/>
    <n v="940"/>
  </r>
  <r>
    <x v="22"/>
    <s v="conventional_turnover_cai_777"/>
    <x v="817"/>
    <n v="1.0080899999999999"/>
    <n v="1"/>
    <n v="-40"/>
    <n v="940"/>
  </r>
  <r>
    <x v="22"/>
    <s v="conventional_turnover_cai_778"/>
    <x v="818"/>
    <n v="1.0082599999999999"/>
    <n v="1"/>
    <n v="-40"/>
    <n v="940"/>
  </r>
  <r>
    <x v="22"/>
    <s v="conventional_turnover_cai_779"/>
    <x v="819"/>
    <n v="1.0084299999999999"/>
    <n v="1"/>
    <n v="-40"/>
    <n v="940"/>
  </r>
  <r>
    <x v="22"/>
    <s v="conventional_turnover_cai_780"/>
    <x v="820"/>
    <n v="1.0085999999999999"/>
    <n v="1"/>
    <n v="-40"/>
    <n v="940"/>
  </r>
  <r>
    <x v="22"/>
    <s v="conventional_turnover_cai_781"/>
    <x v="821"/>
    <n v="1.0087699999999999"/>
    <n v="1"/>
    <n v="-40"/>
    <n v="940"/>
  </r>
  <r>
    <x v="22"/>
    <s v="conventional_turnover_cai_782"/>
    <x v="822"/>
    <n v="1.0089399999999999"/>
    <n v="1"/>
    <n v="-40"/>
    <n v="940"/>
  </r>
  <r>
    <x v="22"/>
    <s v="conventional_turnover_cai_783"/>
    <x v="823"/>
    <n v="1.00911"/>
    <n v="1"/>
    <n v="-40"/>
    <n v="940"/>
  </r>
  <r>
    <x v="22"/>
    <s v="conventional_turnover_cai_784"/>
    <x v="824"/>
    <n v="1.00928"/>
    <n v="1"/>
    <n v="-40"/>
    <n v="940"/>
  </r>
  <r>
    <x v="22"/>
    <s v="conventional_turnover_cai_785"/>
    <x v="825"/>
    <n v="1.00945"/>
    <n v="1"/>
    <n v="-40"/>
    <n v="940"/>
  </r>
  <r>
    <x v="22"/>
    <s v="conventional_turnover_cai_786"/>
    <x v="826"/>
    <n v="1.00962"/>
    <n v="1"/>
    <n v="-40"/>
    <n v="940"/>
  </r>
  <r>
    <x v="22"/>
    <s v="conventional_turnover_cai_787"/>
    <x v="827"/>
    <n v="1.00979"/>
    <n v="1"/>
    <n v="-40"/>
    <n v="940"/>
  </r>
  <r>
    <x v="22"/>
    <s v="conventional_turnover_cai_788"/>
    <x v="828"/>
    <n v="1.00996"/>
    <n v="1"/>
    <n v="-40"/>
    <n v="940"/>
  </r>
  <r>
    <x v="22"/>
    <s v="conventional_turnover_cai_789"/>
    <x v="829"/>
    <n v="1.01013"/>
    <n v="1"/>
    <n v="-40"/>
    <n v="940"/>
  </r>
  <r>
    <x v="22"/>
    <s v="conventional_turnover_cai_790"/>
    <x v="830"/>
    <n v="1.0103"/>
    <n v="1"/>
    <n v="-40"/>
    <n v="940"/>
  </r>
  <r>
    <x v="22"/>
    <s v="conventional_turnover_cai_791"/>
    <x v="831"/>
    <n v="1.01047"/>
    <n v="1"/>
    <n v="-40"/>
    <n v="940"/>
  </r>
  <r>
    <x v="22"/>
    <s v="conventional_turnover_cai_792"/>
    <x v="832"/>
    <n v="1.01064"/>
    <n v="1"/>
    <n v="-40"/>
    <n v="940"/>
  </r>
  <r>
    <x v="22"/>
    <s v="conventional_turnover_cai_793"/>
    <x v="833"/>
    <n v="1.01081"/>
    <n v="1"/>
    <n v="-40"/>
    <n v="940"/>
  </r>
  <r>
    <x v="22"/>
    <s v="conventional_turnover_cai_794"/>
    <x v="834"/>
    <n v="1.01098"/>
    <n v="1"/>
    <n v="-40"/>
    <n v="940"/>
  </r>
  <r>
    <x v="22"/>
    <s v="conventional_turnover_cai_795"/>
    <x v="835"/>
    <n v="1.01115"/>
    <n v="1"/>
    <n v="-40"/>
    <n v="940"/>
  </r>
  <r>
    <x v="22"/>
    <s v="conventional_turnover_cai_796"/>
    <x v="836"/>
    <n v="1.01132"/>
    <n v="1"/>
    <n v="-40"/>
    <n v="940"/>
  </r>
  <r>
    <x v="22"/>
    <s v="conventional_turnover_cai_797"/>
    <x v="837"/>
    <n v="1.01149"/>
    <n v="1"/>
    <n v="-40"/>
    <n v="940"/>
  </r>
  <r>
    <x v="22"/>
    <s v="conventional_turnover_cai_798"/>
    <x v="838"/>
    <n v="1.01166"/>
    <n v="1"/>
    <n v="-40"/>
    <n v="940"/>
  </r>
  <r>
    <x v="22"/>
    <s v="conventional_turnover_cai_799"/>
    <x v="839"/>
    <n v="1.01183"/>
    <n v="1"/>
    <n v="-40"/>
    <n v="940"/>
  </r>
  <r>
    <x v="22"/>
    <s v="conventional_turnover_cai_800"/>
    <x v="840"/>
    <n v="1.012"/>
    <n v="1"/>
    <n v="-40"/>
    <n v="940"/>
  </r>
  <r>
    <x v="22"/>
    <s v="conventional_turnover_cai_801"/>
    <x v="841"/>
    <n v="1.01217"/>
    <n v="1"/>
    <n v="-40"/>
    <n v="940"/>
  </r>
  <r>
    <x v="22"/>
    <s v="conventional_turnover_cai_802"/>
    <x v="842"/>
    <n v="1.01234"/>
    <n v="1"/>
    <n v="-40"/>
    <n v="940"/>
  </r>
  <r>
    <x v="22"/>
    <s v="conventional_turnover_cai_803"/>
    <x v="843"/>
    <n v="1.01251"/>
    <n v="1"/>
    <n v="-40"/>
    <n v="940"/>
  </r>
  <r>
    <x v="22"/>
    <s v="conventional_turnover_cai_804"/>
    <x v="844"/>
    <n v="1.01268"/>
    <n v="1"/>
    <n v="-40"/>
    <n v="940"/>
  </r>
  <r>
    <x v="22"/>
    <s v="conventional_turnover_cai_805"/>
    <x v="845"/>
    <n v="1.01285"/>
    <n v="1"/>
    <n v="-40"/>
    <n v="940"/>
  </r>
  <r>
    <x v="22"/>
    <s v="conventional_turnover_cai_806"/>
    <x v="846"/>
    <n v="1.01302"/>
    <n v="1"/>
    <n v="-40"/>
    <n v="940"/>
  </r>
  <r>
    <x v="22"/>
    <s v="conventional_turnover_cai_807"/>
    <x v="847"/>
    <n v="1.01319"/>
    <n v="1"/>
    <n v="-40"/>
    <n v="940"/>
  </r>
  <r>
    <x v="22"/>
    <s v="conventional_turnover_cai_808"/>
    <x v="848"/>
    <n v="1.01336"/>
    <n v="1"/>
    <n v="-40"/>
    <n v="940"/>
  </r>
  <r>
    <x v="22"/>
    <s v="conventional_turnover_cai_809"/>
    <x v="849"/>
    <n v="1.01353"/>
    <n v="1"/>
    <n v="-40"/>
    <n v="940"/>
  </r>
  <r>
    <x v="22"/>
    <s v="conventional_turnover_cai_810"/>
    <x v="850"/>
    <n v="1.0137"/>
    <n v="1"/>
    <n v="-40"/>
    <n v="940"/>
  </r>
  <r>
    <x v="22"/>
    <s v="conventional_turnover_cai_811"/>
    <x v="851"/>
    <n v="1.01387"/>
    <n v="1"/>
    <n v="-40"/>
    <n v="940"/>
  </r>
  <r>
    <x v="22"/>
    <s v="conventional_turnover_cai_812"/>
    <x v="852"/>
    <n v="1.0140400000000001"/>
    <n v="1"/>
    <n v="-40"/>
    <n v="940"/>
  </r>
  <r>
    <x v="22"/>
    <s v="conventional_turnover_cai_813"/>
    <x v="853"/>
    <n v="1.0142100000000001"/>
    <n v="1"/>
    <n v="-40"/>
    <n v="940"/>
  </r>
  <r>
    <x v="22"/>
    <s v="conventional_turnover_cai_814"/>
    <x v="854"/>
    <n v="1.0143800000000001"/>
    <n v="1"/>
    <n v="-40"/>
    <n v="940"/>
  </r>
  <r>
    <x v="22"/>
    <s v="conventional_turnover_cai_815"/>
    <x v="855"/>
    <n v="1.0145500000000001"/>
    <n v="1"/>
    <n v="-40"/>
    <n v="940"/>
  </r>
  <r>
    <x v="22"/>
    <s v="conventional_turnover_cai_816"/>
    <x v="856"/>
    <n v="1.0147200000000001"/>
    <n v="1"/>
    <n v="-40"/>
    <n v="940"/>
  </r>
  <r>
    <x v="22"/>
    <s v="conventional_turnover_cai_817"/>
    <x v="857"/>
    <n v="1.0148900000000001"/>
    <n v="1"/>
    <n v="-40"/>
    <n v="940"/>
  </r>
  <r>
    <x v="22"/>
    <s v="conventional_turnover_cai_818"/>
    <x v="858"/>
    <n v="1.0150600000000001"/>
    <n v="1"/>
    <n v="-40"/>
    <n v="940"/>
  </r>
  <r>
    <x v="22"/>
    <s v="conventional_turnover_cai_819"/>
    <x v="859"/>
    <n v="1.0152300000000001"/>
    <n v="1"/>
    <n v="-40"/>
    <n v="940"/>
  </r>
  <r>
    <x v="22"/>
    <s v="conventional_turnover_cai_820"/>
    <x v="860"/>
    <n v="1.0154000000000001"/>
    <n v="1"/>
    <n v="-40"/>
    <n v="940"/>
  </r>
  <r>
    <x v="22"/>
    <s v="conventional_turnover_cai_821"/>
    <x v="861"/>
    <n v="1.0155700000000001"/>
    <n v="1"/>
    <n v="-40"/>
    <n v="940"/>
  </r>
  <r>
    <x v="22"/>
    <s v="conventional_turnover_cai_822"/>
    <x v="862"/>
    <n v="1.0157400000000001"/>
    <n v="1"/>
    <n v="-40"/>
    <n v="940"/>
  </r>
  <r>
    <x v="22"/>
    <s v="conventional_turnover_cai_823"/>
    <x v="863"/>
    <n v="1.0159100000000001"/>
    <n v="1"/>
    <n v="-40"/>
    <n v="940"/>
  </r>
  <r>
    <x v="22"/>
    <s v="conventional_turnover_cai_824"/>
    <x v="864"/>
    <n v="1.0160800000000001"/>
    <n v="1"/>
    <n v="-40"/>
    <n v="940"/>
  </r>
  <r>
    <x v="22"/>
    <s v="conventional_turnover_cai_825"/>
    <x v="865"/>
    <n v="1.0162500000000001"/>
    <n v="1"/>
    <n v="-40"/>
    <n v="940"/>
  </r>
  <r>
    <x v="22"/>
    <s v="conventional_turnover_cai_826"/>
    <x v="866"/>
    <n v="1.0164200000000001"/>
    <n v="1"/>
    <n v="-40"/>
    <n v="940"/>
  </r>
  <r>
    <x v="22"/>
    <s v="conventional_turnover_cai_827"/>
    <x v="867"/>
    <n v="1.0165900000000001"/>
    <n v="1"/>
    <n v="-40"/>
    <n v="940"/>
  </r>
  <r>
    <x v="22"/>
    <s v="conventional_turnover_cai_828"/>
    <x v="868"/>
    <n v="1.0167600000000001"/>
    <n v="1"/>
    <n v="-40"/>
    <n v="940"/>
  </r>
  <r>
    <x v="22"/>
    <s v="conventional_turnover_cai_829"/>
    <x v="869"/>
    <n v="1.0169299999999999"/>
    <n v="1"/>
    <n v="-40"/>
    <n v="940"/>
  </r>
  <r>
    <x v="22"/>
    <s v="conventional_turnover_cai_830"/>
    <x v="870"/>
    <n v="1.0170999999999999"/>
    <n v="1"/>
    <n v="-40"/>
    <n v="940"/>
  </r>
  <r>
    <x v="22"/>
    <s v="conventional_turnover_cai_831"/>
    <x v="871"/>
    <n v="1.0172699999999999"/>
    <n v="1"/>
    <n v="-40"/>
    <n v="940"/>
  </r>
  <r>
    <x v="22"/>
    <s v="conventional_turnover_cai_832"/>
    <x v="872"/>
    <n v="1.0174399999999999"/>
    <n v="1"/>
    <n v="-40"/>
    <n v="940"/>
  </r>
  <r>
    <x v="22"/>
    <s v="conventional_turnover_cai_833"/>
    <x v="873"/>
    <n v="1.0176099999999999"/>
    <n v="1"/>
    <n v="-40"/>
    <n v="940"/>
  </r>
  <r>
    <x v="22"/>
    <s v="conventional_turnover_cai_834"/>
    <x v="874"/>
    <n v="1.0177799999999999"/>
    <n v="1"/>
    <n v="-40"/>
    <n v="940"/>
  </r>
  <r>
    <x v="22"/>
    <s v="conventional_turnover_cai_835"/>
    <x v="875"/>
    <n v="1.0179499999999999"/>
    <n v="1"/>
    <n v="-40"/>
    <n v="940"/>
  </r>
  <r>
    <x v="22"/>
    <s v="conventional_turnover_cai_836"/>
    <x v="876"/>
    <n v="1.0181199999999999"/>
    <n v="1"/>
    <n v="-40"/>
    <n v="940"/>
  </r>
  <r>
    <x v="22"/>
    <s v="conventional_turnover_cai_837"/>
    <x v="877"/>
    <n v="1.0182899999999999"/>
    <n v="1"/>
    <n v="-40"/>
    <n v="940"/>
  </r>
  <r>
    <x v="22"/>
    <s v="conventional_turnover_cai_838"/>
    <x v="878"/>
    <n v="1.0184599999999999"/>
    <n v="1"/>
    <n v="-40"/>
    <n v="940"/>
  </r>
  <r>
    <x v="22"/>
    <s v="conventional_turnover_cai_839"/>
    <x v="879"/>
    <n v="1.0186299999999999"/>
    <n v="1"/>
    <n v="-40"/>
    <n v="940"/>
  </r>
  <r>
    <x v="22"/>
    <s v="conventional_turnover_cai_840"/>
    <x v="880"/>
    <n v="1.0187999999999999"/>
    <n v="1"/>
    <n v="-40"/>
    <n v="940"/>
  </r>
  <r>
    <x v="22"/>
    <s v="conventional_turnover_cai_841"/>
    <x v="881"/>
    <n v="1.0189699999999999"/>
    <n v="1"/>
    <n v="-40"/>
    <n v="940"/>
  </r>
  <r>
    <x v="22"/>
    <s v="conventional_turnover_cai_842"/>
    <x v="882"/>
    <n v="1.0191399999999999"/>
    <n v="1"/>
    <n v="-40"/>
    <n v="940"/>
  </r>
  <r>
    <x v="22"/>
    <s v="conventional_turnover_cai_843"/>
    <x v="883"/>
    <n v="1.0193099999999999"/>
    <n v="1"/>
    <n v="-40"/>
    <n v="940"/>
  </r>
  <r>
    <x v="22"/>
    <s v="conventional_turnover_cai_844"/>
    <x v="884"/>
    <n v="1.0194799999999999"/>
    <n v="1"/>
    <n v="-40"/>
    <n v="940"/>
  </r>
  <r>
    <x v="22"/>
    <s v="conventional_turnover_cai_845"/>
    <x v="885"/>
    <n v="1.0196499999999999"/>
    <n v="1"/>
    <n v="-40"/>
    <n v="940"/>
  </r>
  <r>
    <x v="22"/>
    <s v="conventional_turnover_cai_846"/>
    <x v="886"/>
    <n v="1.0198199999999999"/>
    <n v="1"/>
    <n v="-40"/>
    <n v="940"/>
  </r>
  <r>
    <x v="22"/>
    <s v="conventional_turnover_cai_847"/>
    <x v="887"/>
    <n v="1.01999"/>
    <n v="1"/>
    <n v="-40"/>
    <n v="940"/>
  </r>
  <r>
    <x v="22"/>
    <s v="conventional_turnover_cai_848"/>
    <x v="888"/>
    <n v="1.02016"/>
    <n v="1"/>
    <n v="-40"/>
    <n v="940"/>
  </r>
  <r>
    <x v="22"/>
    <s v="conventional_turnover_cai_849"/>
    <x v="889"/>
    <n v="1.02033"/>
    <n v="1"/>
    <n v="-40"/>
    <n v="940"/>
  </r>
  <r>
    <x v="22"/>
    <s v="conventional_turnover_cai_850"/>
    <x v="890"/>
    <n v="1.0205"/>
    <n v="1"/>
    <n v="-40"/>
    <n v="940"/>
  </r>
  <r>
    <x v="22"/>
    <s v="conventional_turnover_cai_851"/>
    <x v="891"/>
    <n v="1.02067"/>
    <n v="1"/>
    <n v="-40"/>
    <n v="940"/>
  </r>
  <r>
    <x v="22"/>
    <s v="conventional_turnover_cai_852"/>
    <x v="892"/>
    <n v="1.02084"/>
    <n v="1"/>
    <n v="-40"/>
    <n v="940"/>
  </r>
  <r>
    <x v="22"/>
    <s v="conventional_turnover_cai_853"/>
    <x v="893"/>
    <n v="1.02101"/>
    <n v="1"/>
    <n v="-40"/>
    <n v="940"/>
  </r>
  <r>
    <x v="22"/>
    <s v="conventional_turnover_cai_854"/>
    <x v="894"/>
    <n v="1.02118"/>
    <n v="1"/>
    <n v="-40"/>
    <n v="940"/>
  </r>
  <r>
    <x v="22"/>
    <s v="conventional_turnover_cai_855"/>
    <x v="895"/>
    <n v="1.02135"/>
    <n v="1"/>
    <n v="-40"/>
    <n v="940"/>
  </r>
  <r>
    <x v="22"/>
    <s v="conventional_turnover_cai_856"/>
    <x v="896"/>
    <n v="1.02152"/>
    <n v="1"/>
    <n v="-40"/>
    <n v="940"/>
  </r>
  <r>
    <x v="22"/>
    <s v="conventional_turnover_cai_857"/>
    <x v="897"/>
    <n v="1.02169"/>
    <n v="1"/>
    <n v="-40"/>
    <n v="940"/>
  </r>
  <r>
    <x v="22"/>
    <s v="conventional_turnover_cai_858"/>
    <x v="898"/>
    <n v="1.02186"/>
    <n v="1"/>
    <n v="-40"/>
    <n v="940"/>
  </r>
  <r>
    <x v="22"/>
    <s v="conventional_turnover_cai_859"/>
    <x v="899"/>
    <n v="1.02203"/>
    <n v="1"/>
    <n v="-40"/>
    <n v="940"/>
  </r>
  <r>
    <x v="22"/>
    <s v="conventional_turnover_cai_860"/>
    <x v="900"/>
    <n v="1.0222"/>
    <n v="1"/>
    <n v="-40"/>
    <n v="940"/>
  </r>
  <r>
    <x v="22"/>
    <s v="conventional_turnover_cai_861"/>
    <x v="901"/>
    <n v="1.02237"/>
    <n v="1"/>
    <n v="-40"/>
    <n v="940"/>
  </r>
  <r>
    <x v="22"/>
    <s v="conventional_turnover_cai_862"/>
    <x v="902"/>
    <n v="1.02254"/>
    <n v="1"/>
    <n v="-40"/>
    <n v="940"/>
  </r>
  <r>
    <x v="22"/>
    <s v="conventional_turnover_cai_863"/>
    <x v="903"/>
    <n v="1.02271"/>
    <n v="1"/>
    <n v="-40"/>
    <n v="940"/>
  </r>
  <r>
    <x v="22"/>
    <s v="conventional_turnover_cai_864"/>
    <x v="904"/>
    <n v="1.02288"/>
    <n v="1"/>
    <n v="-40"/>
    <n v="940"/>
  </r>
  <r>
    <x v="22"/>
    <s v="conventional_turnover_cai_865"/>
    <x v="905"/>
    <n v="1.02305"/>
    <n v="1"/>
    <n v="-40"/>
    <n v="940"/>
  </r>
  <r>
    <x v="22"/>
    <s v="conventional_turnover_cai_866"/>
    <x v="906"/>
    <n v="1.02322"/>
    <n v="1"/>
    <n v="-40"/>
    <n v="940"/>
  </r>
  <r>
    <x v="22"/>
    <s v="conventional_turnover_cai_867"/>
    <x v="907"/>
    <n v="1.02339"/>
    <n v="1"/>
    <n v="-40"/>
    <n v="940"/>
  </r>
  <r>
    <x v="22"/>
    <s v="conventional_turnover_cai_868"/>
    <x v="908"/>
    <n v="1.02356"/>
    <n v="1"/>
    <n v="-40"/>
    <n v="940"/>
  </r>
  <r>
    <x v="22"/>
    <s v="conventional_turnover_cai_869"/>
    <x v="909"/>
    <n v="1.02373"/>
    <n v="1"/>
    <n v="-40"/>
    <n v="940"/>
  </r>
  <r>
    <x v="22"/>
    <s v="conventional_turnover_cai_870"/>
    <x v="910"/>
    <n v="1.0239"/>
    <n v="1"/>
    <n v="-40"/>
    <n v="940"/>
  </r>
  <r>
    <x v="22"/>
    <s v="conventional_turnover_cai_871"/>
    <x v="911"/>
    <n v="1.02407"/>
    <n v="1"/>
    <n v="-40"/>
    <n v="940"/>
  </r>
  <r>
    <x v="22"/>
    <s v="conventional_turnover_cai_872"/>
    <x v="912"/>
    <n v="1.02424"/>
    <n v="1"/>
    <n v="-40"/>
    <n v="940"/>
  </r>
  <r>
    <x v="22"/>
    <s v="conventional_turnover_cai_873"/>
    <x v="913"/>
    <n v="1.02441"/>
    <n v="1"/>
    <n v="-40"/>
    <n v="940"/>
  </r>
  <r>
    <x v="22"/>
    <s v="conventional_turnover_cai_874"/>
    <x v="914"/>
    <n v="1.02458"/>
    <n v="1"/>
    <n v="-40"/>
    <n v="940"/>
  </r>
  <r>
    <x v="22"/>
    <s v="conventional_turnover_cai_875"/>
    <x v="915"/>
    <n v="1.02475"/>
    <n v="1"/>
    <n v="-40"/>
    <n v="940"/>
  </r>
  <r>
    <x v="22"/>
    <s v="conventional_turnover_cai_876"/>
    <x v="916"/>
    <n v="1.0249200000000001"/>
    <n v="1"/>
    <n v="-40"/>
    <n v="940"/>
  </r>
  <r>
    <x v="22"/>
    <s v="conventional_turnover_cai_877"/>
    <x v="917"/>
    <n v="1.0250900000000001"/>
    <n v="1"/>
    <n v="-40"/>
    <n v="940"/>
  </r>
  <r>
    <x v="22"/>
    <s v="conventional_turnover_cai_878"/>
    <x v="918"/>
    <n v="1.0252600000000001"/>
    <n v="1"/>
    <n v="-40"/>
    <n v="940"/>
  </r>
  <r>
    <x v="22"/>
    <s v="conventional_turnover_cai_879"/>
    <x v="919"/>
    <n v="1.0254300000000001"/>
    <n v="1"/>
    <n v="-40"/>
    <n v="940"/>
  </r>
  <r>
    <x v="22"/>
    <s v="conventional_turnover_cai_880"/>
    <x v="920"/>
    <n v="1.0256000000000001"/>
    <n v="1"/>
    <n v="-40"/>
    <n v="940"/>
  </r>
  <r>
    <x v="22"/>
    <s v="conventional_turnover_cai_881"/>
    <x v="921"/>
    <n v="1.0257700000000001"/>
    <n v="1"/>
    <n v="-40"/>
    <n v="940"/>
  </r>
  <r>
    <x v="22"/>
    <s v="conventional_turnover_cai_882"/>
    <x v="922"/>
    <n v="1.0259400000000001"/>
    <n v="1"/>
    <n v="-40"/>
    <n v="940"/>
  </r>
  <r>
    <x v="22"/>
    <s v="conventional_turnover_cai_883"/>
    <x v="923"/>
    <n v="1.0261100000000001"/>
    <n v="1"/>
    <n v="-40"/>
    <n v="940"/>
  </r>
  <r>
    <x v="22"/>
    <s v="conventional_turnover_cai_884"/>
    <x v="924"/>
    <n v="1.0262800000000001"/>
    <n v="1"/>
    <n v="-40"/>
    <n v="940"/>
  </r>
  <r>
    <x v="22"/>
    <s v="conventional_turnover_cai_885"/>
    <x v="925"/>
    <n v="1.0264500000000001"/>
    <n v="1"/>
    <n v="-40"/>
    <n v="940"/>
  </r>
  <r>
    <x v="22"/>
    <s v="conventional_turnover_cai_886"/>
    <x v="926"/>
    <n v="1.0266200000000001"/>
    <n v="1"/>
    <n v="-40"/>
    <n v="940"/>
  </r>
  <r>
    <x v="22"/>
    <s v="conventional_turnover_cai_887"/>
    <x v="927"/>
    <n v="1.0267900000000001"/>
    <n v="1"/>
    <n v="-40"/>
    <n v="940"/>
  </r>
  <r>
    <x v="22"/>
    <s v="conventional_turnover_cai_888"/>
    <x v="928"/>
    <n v="1.0269600000000001"/>
    <n v="1"/>
    <n v="-40"/>
    <n v="940"/>
  </r>
  <r>
    <x v="22"/>
    <s v="conventional_turnover_cai_889"/>
    <x v="929"/>
    <n v="1.0271300000000001"/>
    <n v="1"/>
    <n v="-40"/>
    <n v="940"/>
  </r>
  <r>
    <x v="22"/>
    <s v="conventional_turnover_cai_890"/>
    <x v="930"/>
    <n v="1.0273000000000001"/>
    <n v="1"/>
    <n v="-40"/>
    <n v="940"/>
  </r>
  <r>
    <x v="22"/>
    <s v="conventional_turnover_cai_891"/>
    <x v="931"/>
    <n v="1.0274700000000001"/>
    <n v="1"/>
    <n v="-40"/>
    <n v="940"/>
  </r>
  <r>
    <x v="22"/>
    <s v="conventional_turnover_cai_892"/>
    <x v="932"/>
    <n v="1.0276400000000001"/>
    <n v="1"/>
    <n v="-40"/>
    <n v="940"/>
  </r>
  <r>
    <x v="22"/>
    <s v="conventional_turnover_cai_893"/>
    <x v="933"/>
    <n v="1.0278099999999999"/>
    <n v="1"/>
    <n v="-40"/>
    <n v="940"/>
  </r>
  <r>
    <x v="22"/>
    <s v="conventional_turnover_cai_894"/>
    <x v="934"/>
    <n v="1.0279799999999999"/>
    <n v="1"/>
    <n v="-40"/>
    <n v="940"/>
  </r>
  <r>
    <x v="22"/>
    <s v="conventional_turnover_cai_895"/>
    <x v="935"/>
    <n v="1.0281499999999999"/>
    <n v="1"/>
    <n v="-40"/>
    <n v="940"/>
  </r>
  <r>
    <x v="22"/>
    <s v="conventional_turnover_cai_896"/>
    <x v="936"/>
    <n v="1.0283199999999999"/>
    <n v="1"/>
    <n v="-40"/>
    <n v="940"/>
  </r>
  <r>
    <x v="22"/>
    <s v="conventional_turnover_cai_897"/>
    <x v="937"/>
    <n v="1.0284899999999999"/>
    <n v="1"/>
    <n v="-40"/>
    <n v="940"/>
  </r>
  <r>
    <x v="22"/>
    <s v="conventional_turnover_cai_898"/>
    <x v="938"/>
    <n v="1.0286599999999999"/>
    <n v="1"/>
    <n v="-40"/>
    <n v="940"/>
  </r>
  <r>
    <x v="22"/>
    <s v="conventional_turnover_cai_899"/>
    <x v="939"/>
    <n v="1.0288299999999999"/>
    <n v="1"/>
    <n v="-40"/>
    <n v="940"/>
  </r>
  <r>
    <x v="22"/>
    <s v="conventional_turnover_cai_900"/>
    <x v="940"/>
    <n v="1.0289999999999999"/>
    <n v="1"/>
    <n v="-40"/>
    <n v="940"/>
  </r>
  <r>
    <x v="22"/>
    <s v="conventional_turnover_cai_901"/>
    <x v="941"/>
    <n v="1.0291699999999999"/>
    <n v="1"/>
    <n v="-40"/>
    <n v="940"/>
  </r>
  <r>
    <x v="22"/>
    <s v="conventional_turnover_cai_902"/>
    <x v="942"/>
    <n v="1.0293399999999999"/>
    <n v="1"/>
    <n v="-40"/>
    <n v="940"/>
  </r>
  <r>
    <x v="22"/>
    <s v="conventional_turnover_cai_903"/>
    <x v="943"/>
    <n v="1.0295099999999999"/>
    <n v="1"/>
    <n v="-40"/>
    <n v="940"/>
  </r>
  <r>
    <x v="22"/>
    <s v="conventional_turnover_cai_904"/>
    <x v="944"/>
    <n v="1.0296799999999999"/>
    <n v="1"/>
    <n v="-40"/>
    <n v="940"/>
  </r>
  <r>
    <x v="22"/>
    <s v="conventional_turnover_cai_905"/>
    <x v="945"/>
    <n v="1.0298499999999999"/>
    <n v="1"/>
    <n v="-40"/>
    <n v="940"/>
  </r>
  <r>
    <x v="22"/>
    <s v="conventional_turnover_cai_906"/>
    <x v="946"/>
    <n v="1.0300199999999999"/>
    <n v="1"/>
    <n v="-40"/>
    <n v="940"/>
  </r>
  <r>
    <x v="22"/>
    <s v="conventional_turnover_cai_907"/>
    <x v="947"/>
    <n v="1.0301899999999999"/>
    <n v="1"/>
    <n v="-40"/>
    <n v="940"/>
  </r>
  <r>
    <x v="22"/>
    <s v="conventional_turnover_cai_908"/>
    <x v="948"/>
    <n v="1.0303599999999999"/>
    <n v="1"/>
    <n v="-40"/>
    <n v="940"/>
  </r>
  <r>
    <x v="22"/>
    <s v="conventional_turnover_cai_909"/>
    <x v="949"/>
    <n v="1.0305299999999999"/>
    <n v="1"/>
    <n v="-40"/>
    <n v="940"/>
  </r>
  <r>
    <x v="22"/>
    <s v="conventional_turnover_cai_910"/>
    <x v="950"/>
    <n v="1.0306999999999999"/>
    <n v="1"/>
    <n v="-40"/>
    <n v="940"/>
  </r>
  <r>
    <x v="22"/>
    <s v="conventional_turnover_cai_911"/>
    <x v="951"/>
    <n v="1.03087"/>
    <n v="1"/>
    <n v="-40"/>
    <n v="940"/>
  </r>
  <r>
    <x v="22"/>
    <s v="conventional_turnover_cai_912"/>
    <x v="952"/>
    <n v="1.03104"/>
    <n v="1"/>
    <n v="-40"/>
    <n v="940"/>
  </r>
  <r>
    <x v="22"/>
    <s v="conventional_turnover_cai_913"/>
    <x v="953"/>
    <n v="1.03121"/>
    <n v="1"/>
    <n v="-40"/>
    <n v="940"/>
  </r>
  <r>
    <x v="22"/>
    <s v="conventional_turnover_cai_914"/>
    <x v="954"/>
    <n v="1.03138"/>
    <n v="1"/>
    <n v="-40"/>
    <n v="940"/>
  </r>
  <r>
    <x v="22"/>
    <s v="conventional_turnover_cai_915"/>
    <x v="955"/>
    <n v="1.03155"/>
    <n v="1"/>
    <n v="-40"/>
    <n v="940"/>
  </r>
  <r>
    <x v="22"/>
    <s v="conventional_turnover_cai_916"/>
    <x v="956"/>
    <n v="1.03172"/>
    <n v="1"/>
    <n v="-40"/>
    <n v="940"/>
  </r>
  <r>
    <x v="22"/>
    <s v="conventional_turnover_cai_917"/>
    <x v="957"/>
    <n v="1.03189"/>
    <n v="1"/>
    <n v="-40"/>
    <n v="940"/>
  </r>
  <r>
    <x v="22"/>
    <s v="conventional_turnover_cai_918"/>
    <x v="958"/>
    <n v="1.03206"/>
    <n v="1"/>
    <n v="-40"/>
    <n v="940"/>
  </r>
  <r>
    <x v="22"/>
    <s v="conventional_turnover_cai_919"/>
    <x v="959"/>
    <n v="1.03223"/>
    <n v="1"/>
    <n v="-40"/>
    <n v="940"/>
  </r>
  <r>
    <x v="22"/>
    <s v="conventional_turnover_cai_920"/>
    <x v="960"/>
    <n v="1.0324"/>
    <n v="1"/>
    <n v="-40"/>
    <n v="940"/>
  </r>
  <r>
    <x v="22"/>
    <s v="conventional_turnover_cai_921"/>
    <x v="961"/>
    <n v="1.03257"/>
    <n v="1"/>
    <n v="-40"/>
    <n v="940"/>
  </r>
  <r>
    <x v="22"/>
    <s v="conventional_turnover_cai_922"/>
    <x v="962"/>
    <n v="1.03274"/>
    <n v="1"/>
    <n v="-40"/>
    <n v="940"/>
  </r>
  <r>
    <x v="22"/>
    <s v="conventional_turnover_cai_923"/>
    <x v="963"/>
    <n v="1.03291"/>
    <n v="1"/>
    <n v="-40"/>
    <n v="940"/>
  </r>
  <r>
    <x v="22"/>
    <s v="conventional_turnover_cai_924"/>
    <x v="964"/>
    <n v="1.03308"/>
    <n v="1"/>
    <n v="-40"/>
    <n v="940"/>
  </r>
  <r>
    <x v="22"/>
    <s v="conventional_turnover_cai_925"/>
    <x v="965"/>
    <n v="1.03325"/>
    <n v="1"/>
    <n v="-40"/>
    <n v="940"/>
  </r>
  <r>
    <x v="22"/>
    <s v="conventional_turnover_cai_926"/>
    <x v="966"/>
    <n v="1.03342"/>
    <n v="1"/>
    <n v="-40"/>
    <n v="940"/>
  </r>
  <r>
    <x v="22"/>
    <s v="conventional_turnover_cai_927"/>
    <x v="967"/>
    <n v="1.03359"/>
    <n v="1"/>
    <n v="-40"/>
    <n v="940"/>
  </r>
  <r>
    <x v="22"/>
    <s v="conventional_turnover_cai_928"/>
    <x v="968"/>
    <n v="1.03376"/>
    <n v="1"/>
    <n v="-40"/>
    <n v="940"/>
  </r>
  <r>
    <x v="22"/>
    <s v="conventional_turnover_cai_929"/>
    <x v="969"/>
    <n v="1.03393"/>
    <n v="1"/>
    <n v="-40"/>
    <n v="940"/>
  </r>
  <r>
    <x v="22"/>
    <s v="conventional_turnover_cai_930"/>
    <x v="970"/>
    <n v="1.0341"/>
    <n v="1"/>
    <n v="-40"/>
    <n v="940"/>
  </r>
  <r>
    <x v="22"/>
    <s v="conventional_turnover_cai_931"/>
    <x v="971"/>
    <n v="1.03427"/>
    <n v="1"/>
    <n v="-40"/>
    <n v="940"/>
  </r>
  <r>
    <x v="22"/>
    <s v="conventional_turnover_cai_932"/>
    <x v="972"/>
    <n v="1.03444"/>
    <n v="1"/>
    <n v="-40"/>
    <n v="940"/>
  </r>
  <r>
    <x v="22"/>
    <s v="conventional_turnover_cai_933"/>
    <x v="973"/>
    <n v="1.03461"/>
    <n v="1"/>
    <n v="-40"/>
    <n v="940"/>
  </r>
  <r>
    <x v="22"/>
    <s v="conventional_turnover_cai_934"/>
    <x v="974"/>
    <n v="1.03478"/>
    <n v="1"/>
    <n v="-40"/>
    <n v="940"/>
  </r>
  <r>
    <x v="22"/>
    <s v="conventional_turnover_cai_935"/>
    <x v="975"/>
    <n v="1.03495"/>
    <n v="1"/>
    <n v="-40"/>
    <n v="940"/>
  </r>
  <r>
    <x v="22"/>
    <s v="conventional_turnover_cai_936"/>
    <x v="976"/>
    <n v="1.03512"/>
    <n v="1"/>
    <n v="-40"/>
    <n v="940"/>
  </r>
  <r>
    <x v="22"/>
    <s v="conventional_turnover_cai_937"/>
    <x v="977"/>
    <n v="1.03529"/>
    <n v="1"/>
    <n v="-40"/>
    <n v="940"/>
  </r>
  <r>
    <x v="22"/>
    <s v="conventional_turnover_cai_938"/>
    <x v="978"/>
    <n v="1.03546"/>
    <n v="1"/>
    <n v="-40"/>
    <n v="940"/>
  </r>
  <r>
    <x v="22"/>
    <s v="conventional_turnover_cai_939"/>
    <x v="979"/>
    <n v="1.0356300000000001"/>
    <n v="1"/>
    <n v="-40"/>
    <n v="940"/>
  </r>
  <r>
    <x v="22"/>
    <s v="conventional_turnover_cai_940"/>
    <x v="980"/>
    <n v="1.0358000000000001"/>
    <n v="1"/>
    <n v="-40"/>
    <n v="940"/>
  </r>
  <r>
    <x v="23"/>
    <s v="conventional_turnover_hpa_annual_-2"/>
    <x v="38"/>
    <n v="0.98270000000000002"/>
    <n v="1"/>
    <n v="-2"/>
    <n v="10"/>
  </r>
  <r>
    <x v="23"/>
    <s v="conventional_turnover_hpa_annual_-1"/>
    <x v="39"/>
    <n v="0.98270000000000002"/>
    <n v="1"/>
    <n v="-2"/>
    <n v="10"/>
  </r>
  <r>
    <x v="23"/>
    <s v="conventional_turnover_hpa_annual_0"/>
    <x v="40"/>
    <n v="0.98270000000000002"/>
    <n v="1"/>
    <n v="-2"/>
    <n v="10"/>
  </r>
  <r>
    <x v="23"/>
    <s v="conventional_turnover_hpa_annual_1"/>
    <x v="41"/>
    <n v="0.98270000000000002"/>
    <n v="1"/>
    <n v="-2"/>
    <n v="10"/>
  </r>
  <r>
    <x v="23"/>
    <s v="conventional_turnover_hpa_annual_2"/>
    <x v="42"/>
    <n v="1.03307029086616"/>
    <n v="1"/>
    <n v="-2"/>
    <n v="10"/>
  </r>
  <r>
    <x v="23"/>
    <s v="conventional_turnover_hpa_annual_3"/>
    <x v="43"/>
    <n v="1.07373358401802"/>
    <n v="1"/>
    <n v="-2"/>
    <n v="10"/>
  </r>
  <r>
    <x v="23"/>
    <s v="conventional_turnover_hpa_annual_4"/>
    <x v="44"/>
    <n v="1.1044782010581999"/>
    <n v="1"/>
    <n v="-2"/>
    <n v="10"/>
  </r>
  <r>
    <x v="23"/>
    <s v="conventional_turnover_hpa_annual_5"/>
    <x v="45"/>
    <n v="1.1339999999999999"/>
    <n v="1"/>
    <n v="-2"/>
    <n v="10"/>
  </r>
  <r>
    <x v="23"/>
    <s v="conventional_turnover_hpa_annual_6"/>
    <x v="46"/>
    <n v="1.2052984001092"/>
    <n v="1"/>
    <n v="-2"/>
    <n v="10"/>
  </r>
  <r>
    <x v="23"/>
    <s v="conventional_turnover_hpa_annual_7"/>
    <x v="47"/>
    <n v="1.2774458668122699"/>
    <n v="1"/>
    <n v="-2"/>
    <n v="10"/>
  </r>
  <r>
    <x v="23"/>
    <s v="conventional_turnover_hpa_annual_8"/>
    <x v="48"/>
    <n v="1.2901703228670101"/>
    <n v="1"/>
    <n v="-2"/>
    <n v="10"/>
  </r>
  <r>
    <x v="23"/>
    <s v="conventional_turnover_hpa_annual_9"/>
    <x v="49"/>
    <n v="1.2902"/>
    <n v="1"/>
    <n v="-2"/>
    <n v="10"/>
  </r>
  <r>
    <x v="23"/>
    <s v="conventional_turnover_hpa_annual_10"/>
    <x v="50"/>
    <n v="1.2902004266201901"/>
    <n v="1"/>
    <n v="-2"/>
    <n v="10"/>
  </r>
  <r>
    <x v="24"/>
    <s v="conventional_turnover_hpa2yr_80"/>
    <x v="120"/>
    <n v="1"/>
    <n v="1"/>
    <n v="80"/>
    <n v="115"/>
  </r>
  <r>
    <x v="24"/>
    <s v="conventional_turnover_hpa2yr_81"/>
    <x v="121"/>
    <n v="1"/>
    <n v="1"/>
    <n v="80"/>
    <n v="115"/>
  </r>
  <r>
    <x v="24"/>
    <s v="conventional_turnover_hpa2yr_82"/>
    <x v="122"/>
    <n v="1"/>
    <n v="1"/>
    <n v="80"/>
    <n v="115"/>
  </r>
  <r>
    <x v="24"/>
    <s v="conventional_turnover_hpa2yr_83"/>
    <x v="123"/>
    <n v="1"/>
    <n v="1"/>
    <n v="80"/>
    <n v="115"/>
  </r>
  <r>
    <x v="24"/>
    <s v="conventional_turnover_hpa2yr_84"/>
    <x v="124"/>
    <n v="1"/>
    <n v="1"/>
    <n v="80"/>
    <n v="115"/>
  </r>
  <r>
    <x v="24"/>
    <s v="conventional_turnover_hpa2yr_85"/>
    <x v="125"/>
    <n v="1"/>
    <n v="1"/>
    <n v="80"/>
    <n v="115"/>
  </r>
  <r>
    <x v="24"/>
    <s v="conventional_turnover_hpa2yr_86"/>
    <x v="126"/>
    <n v="1"/>
    <n v="1"/>
    <n v="80"/>
    <n v="115"/>
  </r>
  <r>
    <x v="24"/>
    <s v="conventional_turnover_hpa2yr_87"/>
    <x v="127"/>
    <n v="1"/>
    <n v="1"/>
    <n v="80"/>
    <n v="115"/>
  </r>
  <r>
    <x v="24"/>
    <s v="conventional_turnover_hpa2yr_88"/>
    <x v="128"/>
    <n v="1"/>
    <n v="1"/>
    <n v="80"/>
    <n v="115"/>
  </r>
  <r>
    <x v="24"/>
    <s v="conventional_turnover_hpa2yr_89"/>
    <x v="129"/>
    <n v="1"/>
    <n v="1"/>
    <n v="80"/>
    <n v="115"/>
  </r>
  <r>
    <x v="24"/>
    <s v="conventional_turnover_hpa2yr_90"/>
    <x v="130"/>
    <n v="1"/>
    <n v="1"/>
    <n v="80"/>
    <n v="115"/>
  </r>
  <r>
    <x v="24"/>
    <s v="conventional_turnover_hpa2yr_91"/>
    <x v="131"/>
    <n v="1"/>
    <n v="1"/>
    <n v="80"/>
    <n v="115"/>
  </r>
  <r>
    <x v="24"/>
    <s v="conventional_turnover_hpa2yr_92"/>
    <x v="132"/>
    <n v="1"/>
    <n v="1"/>
    <n v="80"/>
    <n v="115"/>
  </r>
  <r>
    <x v="24"/>
    <s v="conventional_turnover_hpa2yr_93"/>
    <x v="133"/>
    <n v="1"/>
    <n v="1"/>
    <n v="80"/>
    <n v="115"/>
  </r>
  <r>
    <x v="24"/>
    <s v="conventional_turnover_hpa2yr_94"/>
    <x v="134"/>
    <n v="1"/>
    <n v="1"/>
    <n v="80"/>
    <n v="115"/>
  </r>
  <r>
    <x v="24"/>
    <s v="conventional_turnover_hpa2yr_95"/>
    <x v="135"/>
    <n v="1"/>
    <n v="1"/>
    <n v="80"/>
    <n v="115"/>
  </r>
  <r>
    <x v="24"/>
    <s v="conventional_turnover_hpa2yr_96"/>
    <x v="136"/>
    <n v="1"/>
    <n v="1"/>
    <n v="80"/>
    <n v="115"/>
  </r>
  <r>
    <x v="24"/>
    <s v="conventional_turnover_hpa2yr_97"/>
    <x v="137"/>
    <n v="1"/>
    <n v="1"/>
    <n v="80"/>
    <n v="115"/>
  </r>
  <r>
    <x v="24"/>
    <s v="conventional_turnover_hpa2yr_98"/>
    <x v="138"/>
    <n v="1"/>
    <n v="1"/>
    <n v="80"/>
    <n v="115"/>
  </r>
  <r>
    <x v="24"/>
    <s v="conventional_turnover_hpa2yr_99"/>
    <x v="139"/>
    <n v="1"/>
    <n v="1"/>
    <n v="80"/>
    <n v="115"/>
  </r>
  <r>
    <x v="24"/>
    <s v="conventional_turnover_hpa2yr_100"/>
    <x v="140"/>
    <n v="1"/>
    <n v="1"/>
    <n v="80"/>
    <n v="115"/>
  </r>
  <r>
    <x v="24"/>
    <s v="conventional_turnover_hpa2yr_101"/>
    <x v="141"/>
    <n v="1"/>
    <n v="1"/>
    <n v="80"/>
    <n v="115"/>
  </r>
  <r>
    <x v="24"/>
    <s v="conventional_turnover_hpa2yr_102"/>
    <x v="142"/>
    <n v="1"/>
    <n v="1"/>
    <n v="80"/>
    <n v="115"/>
  </r>
  <r>
    <x v="24"/>
    <s v="conventional_turnover_hpa2yr_103"/>
    <x v="143"/>
    <n v="1"/>
    <n v="1"/>
    <n v="80"/>
    <n v="115"/>
  </r>
  <r>
    <x v="24"/>
    <s v="conventional_turnover_hpa2yr_104"/>
    <x v="144"/>
    <n v="1"/>
    <n v="1"/>
    <n v="80"/>
    <n v="115"/>
  </r>
  <r>
    <x v="24"/>
    <s v="conventional_turnover_hpa2yr_105"/>
    <x v="145"/>
    <n v="1"/>
    <n v="1"/>
    <n v="80"/>
    <n v="115"/>
  </r>
  <r>
    <x v="24"/>
    <s v="conventional_turnover_hpa2yr_106"/>
    <x v="146"/>
    <n v="1"/>
    <n v="1"/>
    <n v="80"/>
    <n v="115"/>
  </r>
  <r>
    <x v="24"/>
    <s v="conventional_turnover_hpa2yr_107"/>
    <x v="147"/>
    <n v="1"/>
    <n v="1"/>
    <n v="80"/>
    <n v="115"/>
  </r>
  <r>
    <x v="24"/>
    <s v="conventional_turnover_hpa2yr_108"/>
    <x v="148"/>
    <n v="1"/>
    <n v="1"/>
    <n v="80"/>
    <n v="115"/>
  </r>
  <r>
    <x v="24"/>
    <s v="conventional_turnover_hpa2yr_109"/>
    <x v="149"/>
    <n v="1"/>
    <n v="1"/>
    <n v="80"/>
    <n v="115"/>
  </r>
  <r>
    <x v="24"/>
    <s v="conventional_turnover_hpa2yr_110"/>
    <x v="150"/>
    <n v="1"/>
    <n v="1"/>
    <n v="80"/>
    <n v="115"/>
  </r>
  <r>
    <x v="24"/>
    <s v="conventional_turnover_hpa2yr_111"/>
    <x v="151"/>
    <n v="1"/>
    <n v="1"/>
    <n v="80"/>
    <n v="115"/>
  </r>
  <r>
    <x v="24"/>
    <s v="conventional_turnover_hpa2yr_112"/>
    <x v="152"/>
    <n v="1"/>
    <n v="1"/>
    <n v="80"/>
    <n v="115"/>
  </r>
  <r>
    <x v="24"/>
    <s v="conventional_turnover_hpa2yr_113"/>
    <x v="153"/>
    <n v="1"/>
    <n v="1"/>
    <n v="80"/>
    <n v="115"/>
  </r>
  <r>
    <x v="24"/>
    <s v="conventional_turnover_hpa2yr_114"/>
    <x v="154"/>
    <n v="1"/>
    <n v="1"/>
    <n v="80"/>
    <n v="115"/>
  </r>
  <r>
    <x v="24"/>
    <s v="conventional_turnover_hpa2yr_115"/>
    <x v="155"/>
    <n v="1"/>
    <n v="1"/>
    <n v="80"/>
    <n v="115"/>
  </r>
  <r>
    <x v="25"/>
    <s v="conventional_turnover_pct_hihpa_wala_1"/>
    <x v="41"/>
    <n v="0"/>
    <n v="1"/>
    <n v="1"/>
    <n v="10"/>
  </r>
  <r>
    <x v="25"/>
    <s v="conventional_turnover_pct_hihpa_wala_2"/>
    <x v="42"/>
    <n v="0"/>
    <n v="1"/>
    <n v="1"/>
    <n v="10"/>
  </r>
  <r>
    <x v="25"/>
    <s v="conventional_turnover_pct_hihpa_wala_3"/>
    <x v="43"/>
    <n v="0"/>
    <n v="1"/>
    <n v="1"/>
    <n v="10"/>
  </r>
  <r>
    <x v="25"/>
    <s v="conventional_turnover_pct_hihpa_wala_4"/>
    <x v="44"/>
    <n v="0.154757834757835"/>
    <n v="1"/>
    <n v="1"/>
    <n v="10"/>
  </r>
  <r>
    <x v="25"/>
    <s v="conventional_turnover_pct_hihpa_wala_5"/>
    <x v="45"/>
    <n v="0.23"/>
    <n v="1"/>
    <n v="1"/>
    <n v="10"/>
  </r>
  <r>
    <x v="25"/>
    <s v="conventional_turnover_pct_hihpa_wala_6"/>
    <x v="46"/>
    <n v="0.291217569412836"/>
    <n v="1"/>
    <n v="1"/>
    <n v="10"/>
  </r>
  <r>
    <x v="25"/>
    <s v="conventional_turnover_pct_hihpa_wala_7"/>
    <x v="47"/>
    <n v="0.82340000000000002"/>
    <n v="1"/>
    <n v="1"/>
    <n v="10"/>
  </r>
  <r>
    <x v="25"/>
    <s v="conventional_turnover_pct_hihpa_wala_8"/>
    <x v="48"/>
    <n v="1"/>
    <n v="1"/>
    <n v="1"/>
    <n v="10"/>
  </r>
  <r>
    <x v="25"/>
    <s v="conventional_turnover_pct_hihpa_wala_9"/>
    <x v="49"/>
    <n v="1"/>
    <n v="1"/>
    <n v="1"/>
    <n v="10"/>
  </r>
  <r>
    <x v="25"/>
    <s v="conventional_turnover_pct_hihpa_wala_10"/>
    <x v="50"/>
    <n v="1"/>
    <n v="1"/>
    <n v="1"/>
    <n v="10"/>
  </r>
  <r>
    <x v="26"/>
    <s v="conventional_turnover_lohpa_wala_-10"/>
    <x v="30"/>
    <n v="-0.53166666666666695"/>
    <n v="1"/>
    <n v="-10"/>
    <n v="57"/>
  </r>
  <r>
    <x v="26"/>
    <s v="conventional_turnover_lohpa_wala_-9"/>
    <x v="31"/>
    <n v="-0.46250000000000002"/>
    <n v="1"/>
    <n v="-10"/>
    <n v="57"/>
  </r>
  <r>
    <x v="26"/>
    <s v="conventional_turnover_lohpa_wala_-8"/>
    <x v="32"/>
    <n v="-0.39333333333333298"/>
    <n v="1"/>
    <n v="-10"/>
    <n v="57"/>
  </r>
  <r>
    <x v="26"/>
    <s v="conventional_turnover_lohpa_wala_-7"/>
    <x v="33"/>
    <n v="-0.32416666666666699"/>
    <n v="1"/>
    <n v="-10"/>
    <n v="57"/>
  </r>
  <r>
    <x v="26"/>
    <s v="conventional_turnover_lohpa_wala_-6"/>
    <x v="34"/>
    <n v="-0.255"/>
    <n v="1"/>
    <n v="-10"/>
    <n v="57"/>
  </r>
  <r>
    <x v="26"/>
    <s v="conventional_turnover_lohpa_wala_-5"/>
    <x v="35"/>
    <n v="-0.18583333333333299"/>
    <n v="1"/>
    <n v="-10"/>
    <n v="57"/>
  </r>
  <r>
    <x v="26"/>
    <s v="conventional_turnover_lohpa_wala_-4"/>
    <x v="36"/>
    <n v="-0.116666666666667"/>
    <n v="1"/>
    <n v="-10"/>
    <n v="57"/>
  </r>
  <r>
    <x v="26"/>
    <s v="conventional_turnover_lohpa_wala_-3"/>
    <x v="37"/>
    <n v="-4.7500000000000001E-2"/>
    <n v="1"/>
    <n v="-10"/>
    <n v="57"/>
  </r>
  <r>
    <x v="26"/>
    <s v="conventional_turnover_lohpa_wala_-2"/>
    <x v="38"/>
    <n v="2.1666666666666699E-2"/>
    <n v="1"/>
    <n v="-10"/>
    <n v="57"/>
  </r>
  <r>
    <x v="26"/>
    <s v="conventional_turnover_lohpa_wala_-1"/>
    <x v="39"/>
    <n v="9.0833333333333294E-2"/>
    <n v="1"/>
    <n v="-10"/>
    <n v="57"/>
  </r>
  <r>
    <x v="26"/>
    <s v="conventional_turnover_lohpa_wala_0"/>
    <x v="40"/>
    <n v="0.16"/>
    <n v="1"/>
    <n v="-10"/>
    <n v="57"/>
  </r>
  <r>
    <x v="26"/>
    <s v="conventional_turnover_lohpa_wala_1"/>
    <x v="41"/>
    <n v="0.23236111111111099"/>
    <n v="1"/>
    <n v="-10"/>
    <n v="57"/>
  </r>
  <r>
    <x v="26"/>
    <s v="conventional_turnover_lohpa_wala_2"/>
    <x v="42"/>
    <n v="0.30855555555555603"/>
    <n v="1"/>
    <n v="-10"/>
    <n v="57"/>
  </r>
  <r>
    <x v="26"/>
    <s v="conventional_turnover_lohpa_wala_3"/>
    <x v="43"/>
    <n v="0.38474999999999998"/>
    <n v="1"/>
    <n v="-10"/>
    <n v="57"/>
  </r>
  <r>
    <x v="26"/>
    <s v="conventional_turnover_lohpa_wala_4"/>
    <x v="44"/>
    <n v="0.45711111111111102"/>
    <n v="1"/>
    <n v="-10"/>
    <n v="57"/>
  </r>
  <r>
    <x v="26"/>
    <s v="conventional_turnover_lohpa_wala_5"/>
    <x v="45"/>
    <n v="0.52180555555555597"/>
    <n v="1"/>
    <n v="-10"/>
    <n v="57"/>
  </r>
  <r>
    <x v="26"/>
    <s v="conventional_turnover_lohpa_wala_6"/>
    <x v="46"/>
    <n v="0.57499999999999996"/>
    <n v="1"/>
    <n v="-10"/>
    <n v="57"/>
  </r>
  <r>
    <x v="26"/>
    <s v="conventional_turnover_lohpa_wala_7"/>
    <x v="47"/>
    <n v="0.61417361111111102"/>
    <n v="1"/>
    <n v="-10"/>
    <n v="57"/>
  </r>
  <r>
    <x v="26"/>
    <s v="conventional_turnover_lohpa_wala_8"/>
    <x v="48"/>
    <n v="0.64188888888888895"/>
    <n v="1"/>
    <n v="-10"/>
    <n v="57"/>
  </r>
  <r>
    <x v="26"/>
    <s v="conventional_turnover_lohpa_wala_9"/>
    <x v="49"/>
    <n v="0.66193749999999996"/>
    <n v="1"/>
    <n v="-10"/>
    <n v="57"/>
  </r>
  <r>
    <x v="26"/>
    <s v="conventional_turnover_lohpa_wala_10"/>
    <x v="50"/>
    <n v="0.678111111111111"/>
    <n v="1"/>
    <n v="-10"/>
    <n v="57"/>
  </r>
  <r>
    <x v="26"/>
    <s v="conventional_turnover_lohpa_wala_11"/>
    <x v="51"/>
    <n v="0.69420138888888905"/>
    <n v="1"/>
    <n v="-10"/>
    <n v="57"/>
  </r>
  <r>
    <x v="26"/>
    <s v="conventional_turnover_lohpa_wala_12"/>
    <x v="52"/>
    <n v="0.71399999999999997"/>
    <n v="1"/>
    <n v="-10"/>
    <n v="57"/>
  </r>
  <r>
    <x v="26"/>
    <s v="conventional_turnover_lohpa_wala_13"/>
    <x v="53"/>
    <n v="0.73667824074074095"/>
    <n v="1"/>
    <n v="-10"/>
    <n v="57"/>
  </r>
  <r>
    <x v="26"/>
    <s v="conventional_turnover_lohpa_wala_14"/>
    <x v="54"/>
    <n v="0.75903703703703695"/>
    <n v="1"/>
    <n v="-10"/>
    <n v="57"/>
  </r>
  <r>
    <x v="26"/>
    <s v="conventional_turnover_lohpa_wala_15"/>
    <x v="55"/>
    <n v="0.78131249999999997"/>
    <n v="1"/>
    <n v="-10"/>
    <n v="57"/>
  </r>
  <r>
    <x v="26"/>
    <s v="conventional_turnover_lohpa_wala_16"/>
    <x v="56"/>
    <n v="0.80374074074074098"/>
    <n v="1"/>
    <n v="-10"/>
    <n v="57"/>
  </r>
  <r>
    <x v="26"/>
    <s v="conventional_turnover_lohpa_wala_17"/>
    <x v="57"/>
    <n v="0.82655787037036998"/>
    <n v="1"/>
    <n v="-10"/>
    <n v="57"/>
  </r>
  <r>
    <x v="26"/>
    <s v="conventional_turnover_lohpa_wala_18"/>
    <x v="58"/>
    <n v="0.85"/>
    <n v="1"/>
    <n v="-10"/>
    <n v="57"/>
  </r>
  <r>
    <x v="26"/>
    <s v="conventional_turnover_lohpa_wala_19"/>
    <x v="59"/>
    <n v="0.87462384259259296"/>
    <n v="1"/>
    <n v="-10"/>
    <n v="57"/>
  </r>
  <r>
    <x v="26"/>
    <s v="conventional_turnover_lohpa_wala_20"/>
    <x v="60"/>
    <n v="0.90035185185185196"/>
    <n v="1"/>
    <n v="-10"/>
    <n v="57"/>
  </r>
  <r>
    <x v="26"/>
    <s v="conventional_turnover_lohpa_wala_21"/>
    <x v="61"/>
    <n v="0.92646874999999995"/>
    <n v="1"/>
    <n v="-10"/>
    <n v="57"/>
  </r>
  <r>
    <x v="26"/>
    <s v="conventional_turnover_lohpa_wala_22"/>
    <x v="62"/>
    <n v="0.95225925925925903"/>
    <n v="1"/>
    <n v="-10"/>
    <n v="57"/>
  </r>
  <r>
    <x v="26"/>
    <s v="conventional_turnover_lohpa_wala_23"/>
    <x v="63"/>
    <n v="0.97700810185185205"/>
    <n v="1"/>
    <n v="-10"/>
    <n v="57"/>
  </r>
  <r>
    <x v="26"/>
    <s v="conventional_turnover_lohpa_wala_24"/>
    <x v="64"/>
    <n v="1"/>
    <n v="1"/>
    <n v="-10"/>
    <n v="57"/>
  </r>
  <r>
    <x v="26"/>
    <s v="conventional_turnover_lohpa_wala_25"/>
    <x v="65"/>
    <n v="1.0206307870370399"/>
    <n v="1"/>
    <n v="-10"/>
    <n v="57"/>
  </r>
  <r>
    <x v="26"/>
    <s v="conventional_turnover_lohpa_wala_26"/>
    <x v="66"/>
    <n v="1.0393518518518501"/>
    <n v="1"/>
    <n v="-10"/>
    <n v="57"/>
  </r>
  <r>
    <x v="26"/>
    <s v="conventional_turnover_lohpa_wala_27"/>
    <x v="67"/>
    <n v="1.0570312500000001"/>
    <n v="1"/>
    <n v="-10"/>
    <n v="57"/>
  </r>
  <r>
    <x v="26"/>
    <s v="conventional_turnover_lohpa_wala_28"/>
    <x v="68"/>
    <n v="1.07453703703704"/>
    <n v="1"/>
    <n v="-10"/>
    <n v="57"/>
  </r>
  <r>
    <x v="26"/>
    <s v="conventional_turnover_lohpa_wala_29"/>
    <x v="69"/>
    <n v="1.0927372685185199"/>
    <n v="1"/>
    <n v="-10"/>
    <n v="57"/>
  </r>
  <r>
    <x v="26"/>
    <s v="conventional_turnover_lohpa_wala_30"/>
    <x v="70"/>
    <n v="1.1125"/>
    <n v="1"/>
    <n v="-10"/>
    <n v="57"/>
  </r>
  <r>
    <x v="26"/>
    <s v="conventional_turnover_lohpa_wala_31"/>
    <x v="71"/>
    <n v="1.1371527777777799"/>
    <n v="1"/>
    <n v="-10"/>
    <n v="57"/>
  </r>
  <r>
    <x v="26"/>
    <s v="conventional_turnover_lohpa_wala_32"/>
    <x v="72"/>
    <n v="1.1666666666666701"/>
    <n v="1"/>
    <n v="-10"/>
    <n v="57"/>
  </r>
  <r>
    <x v="26"/>
    <s v="conventional_turnover_lohpa_wala_33"/>
    <x v="73"/>
    <n v="1.1968749999999999"/>
    <n v="1"/>
    <n v="-10"/>
    <n v="57"/>
  </r>
  <r>
    <x v="26"/>
    <s v="conventional_turnover_lohpa_wala_34"/>
    <x v="74"/>
    <n v="1.2236111111111101"/>
    <n v="1"/>
    <n v="-10"/>
    <n v="57"/>
  </r>
  <r>
    <x v="26"/>
    <s v="conventional_turnover_lohpa_wala_35"/>
    <x v="75"/>
    <n v="1.24270833333333"/>
    <n v="1"/>
    <n v="-10"/>
    <n v="57"/>
  </r>
  <r>
    <x v="26"/>
    <s v="conventional_turnover_lohpa_wala_36"/>
    <x v="76"/>
    <n v="1.25"/>
    <n v="1"/>
    <n v="-10"/>
    <n v="57"/>
  </r>
  <r>
    <x v="26"/>
    <s v="conventional_turnover_lohpa_wala_37"/>
    <x v="77"/>
    <n v="1.25"/>
    <n v="1"/>
    <n v="-10"/>
    <n v="57"/>
  </r>
  <r>
    <x v="26"/>
    <s v="conventional_turnover_lohpa_wala_38"/>
    <x v="78"/>
    <n v="1.25"/>
    <n v="1"/>
    <n v="-10"/>
    <n v="57"/>
  </r>
  <r>
    <x v="26"/>
    <s v="conventional_turnover_lohpa_wala_39"/>
    <x v="79"/>
    <n v="1.25"/>
    <n v="1"/>
    <n v="-10"/>
    <n v="57"/>
  </r>
  <r>
    <x v="26"/>
    <s v="conventional_turnover_lohpa_wala_40"/>
    <x v="80"/>
    <n v="1.25"/>
    <n v="1"/>
    <n v="-10"/>
    <n v="57"/>
  </r>
  <r>
    <x v="26"/>
    <s v="conventional_turnover_lohpa_wala_41"/>
    <x v="81"/>
    <n v="1.25"/>
    <n v="1"/>
    <n v="-10"/>
    <n v="57"/>
  </r>
  <r>
    <x v="26"/>
    <s v="conventional_turnover_lohpa_wala_42"/>
    <x v="82"/>
    <n v="1.25"/>
    <n v="1"/>
    <n v="-10"/>
    <n v="57"/>
  </r>
  <r>
    <x v="26"/>
    <s v="conventional_turnover_lohpa_wala_43"/>
    <x v="83"/>
    <n v="1.25"/>
    <n v="1"/>
    <n v="-10"/>
    <n v="57"/>
  </r>
  <r>
    <x v="26"/>
    <s v="conventional_turnover_lohpa_wala_44"/>
    <x v="84"/>
    <n v="1.25"/>
    <n v="1"/>
    <n v="-10"/>
    <n v="57"/>
  </r>
  <r>
    <x v="26"/>
    <s v="conventional_turnover_lohpa_wala_45"/>
    <x v="85"/>
    <n v="1.25"/>
    <n v="1"/>
    <n v="-10"/>
    <n v="57"/>
  </r>
  <r>
    <x v="26"/>
    <s v="conventional_turnover_lohpa_wala_46"/>
    <x v="86"/>
    <n v="1.25"/>
    <n v="1"/>
    <n v="-10"/>
    <n v="57"/>
  </r>
  <r>
    <x v="26"/>
    <s v="conventional_turnover_lohpa_wala_47"/>
    <x v="87"/>
    <n v="1.25"/>
    <n v="1"/>
    <n v="-10"/>
    <n v="57"/>
  </r>
  <r>
    <x v="26"/>
    <s v="conventional_turnover_lohpa_wala_48"/>
    <x v="88"/>
    <n v="1.25"/>
    <n v="1"/>
    <n v="-10"/>
    <n v="57"/>
  </r>
  <r>
    <x v="26"/>
    <s v="conventional_turnover_lohpa_wala_49"/>
    <x v="89"/>
    <n v="1.25"/>
    <n v="1"/>
    <n v="-10"/>
    <n v="57"/>
  </r>
  <r>
    <x v="26"/>
    <s v="conventional_turnover_lohpa_wala_50"/>
    <x v="90"/>
    <n v="1.25"/>
    <n v="1"/>
    <n v="-10"/>
    <n v="57"/>
  </r>
  <r>
    <x v="26"/>
    <s v="conventional_turnover_lohpa_wala_51"/>
    <x v="91"/>
    <n v="1.25"/>
    <n v="1"/>
    <n v="-10"/>
    <n v="57"/>
  </r>
  <r>
    <x v="26"/>
    <s v="conventional_turnover_lohpa_wala_52"/>
    <x v="92"/>
    <n v="1.25"/>
    <n v="1"/>
    <n v="-10"/>
    <n v="57"/>
  </r>
  <r>
    <x v="26"/>
    <s v="conventional_turnover_lohpa_wala_53"/>
    <x v="93"/>
    <n v="1.25"/>
    <n v="1"/>
    <n v="-10"/>
    <n v="57"/>
  </r>
  <r>
    <x v="26"/>
    <s v="conventional_turnover_lohpa_wala_54"/>
    <x v="94"/>
    <n v="1.25"/>
    <n v="1"/>
    <n v="-10"/>
    <n v="57"/>
  </r>
  <r>
    <x v="26"/>
    <s v="conventional_turnover_lohpa_wala_55"/>
    <x v="95"/>
    <n v="1.25"/>
    <n v="1"/>
    <n v="-10"/>
    <n v="57"/>
  </r>
  <r>
    <x v="26"/>
    <s v="conventional_turnover_lohpa_wala_56"/>
    <x v="96"/>
    <n v="1.25"/>
    <n v="1"/>
    <n v="-10"/>
    <n v="57"/>
  </r>
  <r>
    <x v="26"/>
    <s v="conventional_turnover_lohpa_wala_57"/>
    <x v="97"/>
    <n v="1.25"/>
    <n v="1"/>
    <n v="-10"/>
    <n v="57"/>
  </r>
  <r>
    <x v="27"/>
    <s v="conventional_turnover_hihpa_wala_-6"/>
    <x v="34"/>
    <n v="-0.53"/>
    <n v="1"/>
    <n v="-6"/>
    <n v="36"/>
  </r>
  <r>
    <x v="27"/>
    <s v="conventional_turnover_hihpa_wala_-5"/>
    <x v="35"/>
    <n v="-0.41499999999999998"/>
    <n v="1"/>
    <n v="-6"/>
    <n v="36"/>
  </r>
  <r>
    <x v="27"/>
    <s v="conventional_turnover_hihpa_wala_-4"/>
    <x v="36"/>
    <n v="-0.3"/>
    <n v="1"/>
    <n v="-6"/>
    <n v="36"/>
  </r>
  <r>
    <x v="27"/>
    <s v="conventional_turnover_hihpa_wala_-3"/>
    <x v="37"/>
    <n v="-0.185"/>
    <n v="1"/>
    <n v="-6"/>
    <n v="36"/>
  </r>
  <r>
    <x v="27"/>
    <s v="conventional_turnover_hihpa_wala_-2"/>
    <x v="38"/>
    <n v="-7.0000000000000007E-2"/>
    <n v="1"/>
    <n v="-6"/>
    <n v="36"/>
  </r>
  <r>
    <x v="27"/>
    <s v="conventional_turnover_hihpa_wala_-1"/>
    <x v="39"/>
    <n v="4.4999999999999998E-2"/>
    <n v="1"/>
    <n v="-6"/>
    <n v="36"/>
  </r>
  <r>
    <x v="27"/>
    <s v="conventional_turnover_hihpa_wala_0"/>
    <x v="40"/>
    <n v="0.16"/>
    <n v="1"/>
    <n v="-6"/>
    <n v="36"/>
  </r>
  <r>
    <x v="27"/>
    <s v="conventional_turnover_hihpa_wala_1"/>
    <x v="41"/>
    <n v="0.28042824074074102"/>
    <n v="1"/>
    <n v="-6"/>
    <n v="36"/>
  </r>
  <r>
    <x v="27"/>
    <s v="conventional_turnover_hihpa_wala_2"/>
    <x v="42"/>
    <n v="0.40737037037036999"/>
    <n v="1"/>
    <n v="-6"/>
    <n v="36"/>
  </r>
  <r>
    <x v="27"/>
    <s v="conventional_turnover_hihpa_wala_3"/>
    <x v="43"/>
    <n v="0.53431249999999997"/>
    <n v="1"/>
    <n v="-6"/>
    <n v="36"/>
  </r>
  <r>
    <x v="27"/>
    <s v="conventional_turnover_hihpa_wala_4"/>
    <x v="44"/>
    <n v="0.65474074074074096"/>
    <n v="1"/>
    <n v="-6"/>
    <n v="36"/>
  </r>
  <r>
    <x v="27"/>
    <s v="conventional_turnover_hihpa_wala_5"/>
    <x v="45"/>
    <n v="0.76214120370370397"/>
    <n v="1"/>
    <n v="-6"/>
    <n v="36"/>
  </r>
  <r>
    <x v="27"/>
    <s v="conventional_turnover_hihpa_wala_6"/>
    <x v="46"/>
    <n v="0.85"/>
    <n v="1"/>
    <n v="-6"/>
    <n v="36"/>
  </r>
  <r>
    <x v="27"/>
    <s v="conventional_turnover_hihpa_wala_7"/>
    <x v="47"/>
    <n v="0.91446064814814798"/>
    <n v="1"/>
    <n v="-6"/>
    <n v="36"/>
  </r>
  <r>
    <x v="27"/>
    <s v="conventional_turnover_hihpa_wala_8"/>
    <x v="48"/>
    <n v="0.95996296296296302"/>
    <n v="1"/>
    <n v="-6"/>
    <n v="36"/>
  </r>
  <r>
    <x v="27"/>
    <s v="conventional_turnover_hihpa_wala_9"/>
    <x v="49"/>
    <n v="0.99243749999999997"/>
    <n v="1"/>
    <n v="-6"/>
    <n v="36"/>
  </r>
  <r>
    <x v="27"/>
    <s v="conventional_turnover_hihpa_wala_10"/>
    <x v="50"/>
    <n v="1.0178148148148101"/>
    <n v="1"/>
    <n v="-6"/>
    <n v="36"/>
  </r>
  <r>
    <x v="27"/>
    <s v="conventional_turnover_hihpa_wala_11"/>
    <x v="51"/>
    <n v="1.0420254629629599"/>
    <n v="1"/>
    <n v="-6"/>
    <n v="36"/>
  </r>
  <r>
    <x v="27"/>
    <s v="conventional_turnover_hihpa_wala_12"/>
    <x v="52"/>
    <n v="1.071"/>
    <n v="1"/>
    <n v="-6"/>
    <n v="36"/>
  </r>
  <r>
    <x v="27"/>
    <s v="conventional_turnover_hihpa_wala_13"/>
    <x v="53"/>
    <n v="1.1074074074074101"/>
    <n v="1"/>
    <n v="-6"/>
    <n v="36"/>
  </r>
  <r>
    <x v="27"/>
    <s v="conventional_turnover_hihpa_wala_14"/>
    <x v="54"/>
    <n v="1.14703703703704"/>
    <n v="1"/>
    <n v="-6"/>
    <n v="36"/>
  </r>
  <r>
    <x v="27"/>
    <s v="conventional_turnover_hihpa_wala_15"/>
    <x v="55"/>
    <n v="1.1855"/>
    <n v="1"/>
    <n v="-6"/>
    <n v="36"/>
  </r>
  <r>
    <x v="27"/>
    <s v="conventional_turnover_hihpa_wala_16"/>
    <x v="56"/>
    <n v="1.21840740740741"/>
    <n v="1"/>
    <n v="-6"/>
    <n v="36"/>
  </r>
  <r>
    <x v="27"/>
    <s v="conventional_turnover_hihpa_wala_17"/>
    <x v="57"/>
    <n v="1.24137037037037"/>
    <n v="1"/>
    <n v="-6"/>
    <n v="36"/>
  </r>
  <r>
    <x v="27"/>
    <s v="conventional_turnover_hihpa_wala_18"/>
    <x v="58"/>
    <n v="1.25"/>
    <n v="1"/>
    <n v="-6"/>
    <n v="36"/>
  </r>
  <r>
    <x v="27"/>
    <s v="conventional_turnover_hihpa_wala_19"/>
    <x v="59"/>
    <n v="1.25"/>
    <n v="1"/>
    <n v="-6"/>
    <n v="36"/>
  </r>
  <r>
    <x v="27"/>
    <s v="conventional_turnover_hihpa_wala_20"/>
    <x v="60"/>
    <n v="1.25"/>
    <n v="1"/>
    <n v="-6"/>
    <n v="36"/>
  </r>
  <r>
    <x v="27"/>
    <s v="conventional_turnover_hihpa_wala_21"/>
    <x v="61"/>
    <n v="1.25"/>
    <n v="1"/>
    <n v="-6"/>
    <n v="36"/>
  </r>
  <r>
    <x v="27"/>
    <s v="conventional_turnover_hihpa_wala_22"/>
    <x v="62"/>
    <n v="1.25"/>
    <n v="1"/>
    <n v="-6"/>
    <n v="36"/>
  </r>
  <r>
    <x v="27"/>
    <s v="conventional_turnover_hihpa_wala_23"/>
    <x v="63"/>
    <n v="1.25"/>
    <n v="1"/>
    <n v="-6"/>
    <n v="36"/>
  </r>
  <r>
    <x v="27"/>
    <s v="conventional_turnover_hihpa_wala_24"/>
    <x v="64"/>
    <n v="1.25"/>
    <n v="1"/>
    <n v="-6"/>
    <n v="36"/>
  </r>
  <r>
    <x v="27"/>
    <s v="conventional_turnover_hihpa_wala_25"/>
    <x v="65"/>
    <n v="1.25"/>
    <n v="1"/>
    <n v="-6"/>
    <n v="36"/>
  </r>
  <r>
    <x v="27"/>
    <s v="conventional_turnover_hihpa_wala_26"/>
    <x v="66"/>
    <n v="1.25"/>
    <n v="1"/>
    <n v="-6"/>
    <n v="36"/>
  </r>
  <r>
    <x v="27"/>
    <s v="conventional_turnover_hihpa_wala_27"/>
    <x v="67"/>
    <n v="1.25"/>
    <n v="1"/>
    <n v="-6"/>
    <n v="36"/>
  </r>
  <r>
    <x v="27"/>
    <s v="conventional_turnover_hihpa_wala_28"/>
    <x v="68"/>
    <n v="1.25"/>
    <n v="1"/>
    <n v="-6"/>
    <n v="36"/>
  </r>
  <r>
    <x v="27"/>
    <s v="conventional_turnover_hihpa_wala_29"/>
    <x v="69"/>
    <n v="1.25"/>
    <n v="1"/>
    <n v="-6"/>
    <n v="36"/>
  </r>
  <r>
    <x v="27"/>
    <s v="conventional_turnover_hihpa_wala_30"/>
    <x v="70"/>
    <n v="1.25"/>
    <n v="1"/>
    <n v="-6"/>
    <n v="36"/>
  </r>
  <r>
    <x v="27"/>
    <s v="conventional_turnover_hihpa_wala_31"/>
    <x v="71"/>
    <n v="1.25"/>
    <n v="1"/>
    <n v="-6"/>
    <n v="36"/>
  </r>
  <r>
    <x v="27"/>
    <s v="conventional_turnover_hihpa_wala_32"/>
    <x v="72"/>
    <n v="1.25"/>
    <n v="1"/>
    <n v="-6"/>
    <n v="36"/>
  </r>
  <r>
    <x v="27"/>
    <s v="conventional_turnover_hihpa_wala_33"/>
    <x v="73"/>
    <n v="1.25"/>
    <n v="1"/>
    <n v="-6"/>
    <n v="36"/>
  </r>
  <r>
    <x v="27"/>
    <s v="conventional_turnover_hihpa_wala_34"/>
    <x v="74"/>
    <n v="1.25"/>
    <n v="1"/>
    <n v="-6"/>
    <n v="36"/>
  </r>
  <r>
    <x v="27"/>
    <s v="conventional_turnover_hihpa_wala_35"/>
    <x v="75"/>
    <n v="1.25"/>
    <n v="1"/>
    <n v="-6"/>
    <n v="36"/>
  </r>
  <r>
    <x v="27"/>
    <s v="conventional_turnover_hihpa_wala_36"/>
    <x v="76"/>
    <n v="1.25"/>
    <n v="1"/>
    <n v="-6"/>
    <n v="36"/>
  </r>
  <r>
    <x v="28"/>
    <s v="conventional_turnover_wala_-12"/>
    <x v="28"/>
    <n v="1"/>
    <n v="1"/>
    <n v="-12"/>
    <n v="72"/>
  </r>
  <r>
    <x v="28"/>
    <s v="conventional_turnover_wala_-11"/>
    <x v="29"/>
    <n v="1"/>
    <n v="1"/>
    <n v="-12"/>
    <n v="72"/>
  </r>
  <r>
    <x v="28"/>
    <s v="conventional_turnover_wala_-10"/>
    <x v="30"/>
    <n v="1"/>
    <n v="1"/>
    <n v="-12"/>
    <n v="72"/>
  </r>
  <r>
    <x v="28"/>
    <s v="conventional_turnover_wala_-9"/>
    <x v="31"/>
    <n v="1"/>
    <n v="1"/>
    <n v="-12"/>
    <n v="72"/>
  </r>
  <r>
    <x v="28"/>
    <s v="conventional_turnover_wala_-8"/>
    <x v="32"/>
    <n v="1"/>
    <n v="1"/>
    <n v="-12"/>
    <n v="72"/>
  </r>
  <r>
    <x v="28"/>
    <s v="conventional_turnover_wala_-7"/>
    <x v="33"/>
    <n v="1"/>
    <n v="1"/>
    <n v="-12"/>
    <n v="72"/>
  </r>
  <r>
    <x v="28"/>
    <s v="conventional_turnover_wala_-6"/>
    <x v="34"/>
    <n v="1"/>
    <n v="1"/>
    <n v="-12"/>
    <n v="72"/>
  </r>
  <r>
    <x v="28"/>
    <s v="conventional_turnover_wala_-5"/>
    <x v="35"/>
    <n v="1"/>
    <n v="1"/>
    <n v="-12"/>
    <n v="72"/>
  </r>
  <r>
    <x v="28"/>
    <s v="conventional_turnover_wala_-4"/>
    <x v="36"/>
    <n v="1"/>
    <n v="1"/>
    <n v="-12"/>
    <n v="72"/>
  </r>
  <r>
    <x v="28"/>
    <s v="conventional_turnover_wala_-3"/>
    <x v="37"/>
    <n v="1"/>
    <n v="1"/>
    <n v="-12"/>
    <n v="72"/>
  </r>
  <r>
    <x v="28"/>
    <s v="conventional_turnover_wala_-2"/>
    <x v="38"/>
    <n v="1"/>
    <n v="1"/>
    <n v="-12"/>
    <n v="72"/>
  </r>
  <r>
    <x v="28"/>
    <s v="conventional_turnover_wala_-1"/>
    <x v="39"/>
    <n v="1"/>
    <n v="1"/>
    <n v="-12"/>
    <n v="72"/>
  </r>
  <r>
    <x v="28"/>
    <s v="conventional_turnover_wala_0"/>
    <x v="40"/>
    <n v="1"/>
    <n v="1"/>
    <n v="-12"/>
    <n v="72"/>
  </r>
  <r>
    <x v="28"/>
    <s v="conventional_turnover_wala_1"/>
    <x v="41"/>
    <n v="1"/>
    <n v="1"/>
    <n v="-12"/>
    <n v="72"/>
  </r>
  <r>
    <x v="28"/>
    <s v="conventional_turnover_wala_2"/>
    <x v="42"/>
    <n v="1"/>
    <n v="1"/>
    <n v="-12"/>
    <n v="72"/>
  </r>
  <r>
    <x v="28"/>
    <s v="conventional_turnover_wala_3"/>
    <x v="43"/>
    <n v="1"/>
    <n v="1"/>
    <n v="-12"/>
    <n v="72"/>
  </r>
  <r>
    <x v="28"/>
    <s v="conventional_turnover_wala_4"/>
    <x v="44"/>
    <n v="1"/>
    <n v="1"/>
    <n v="-12"/>
    <n v="72"/>
  </r>
  <r>
    <x v="28"/>
    <s v="conventional_turnover_wala_5"/>
    <x v="45"/>
    <n v="1"/>
    <n v="1"/>
    <n v="-12"/>
    <n v="72"/>
  </r>
  <r>
    <x v="28"/>
    <s v="conventional_turnover_wala_6"/>
    <x v="46"/>
    <n v="1"/>
    <n v="1"/>
    <n v="-12"/>
    <n v="72"/>
  </r>
  <r>
    <x v="28"/>
    <s v="conventional_turnover_wala_7"/>
    <x v="47"/>
    <n v="1"/>
    <n v="1"/>
    <n v="-12"/>
    <n v="72"/>
  </r>
  <r>
    <x v="28"/>
    <s v="conventional_turnover_wala_8"/>
    <x v="48"/>
    <n v="1"/>
    <n v="1"/>
    <n v="-12"/>
    <n v="72"/>
  </r>
  <r>
    <x v="28"/>
    <s v="conventional_turnover_wala_9"/>
    <x v="49"/>
    <n v="1"/>
    <n v="1"/>
    <n v="-12"/>
    <n v="72"/>
  </r>
  <r>
    <x v="28"/>
    <s v="conventional_turnover_wala_10"/>
    <x v="50"/>
    <n v="1"/>
    <n v="1"/>
    <n v="-12"/>
    <n v="72"/>
  </r>
  <r>
    <x v="28"/>
    <s v="conventional_turnover_wala_11"/>
    <x v="51"/>
    <n v="1"/>
    <n v="1"/>
    <n v="-12"/>
    <n v="72"/>
  </r>
  <r>
    <x v="28"/>
    <s v="conventional_turnover_wala_12"/>
    <x v="52"/>
    <n v="1"/>
    <n v="1"/>
    <n v="-12"/>
    <n v="72"/>
  </r>
  <r>
    <x v="28"/>
    <s v="conventional_turnover_wala_13"/>
    <x v="53"/>
    <n v="1"/>
    <n v="1"/>
    <n v="-12"/>
    <n v="72"/>
  </r>
  <r>
    <x v="28"/>
    <s v="conventional_turnover_wala_14"/>
    <x v="54"/>
    <n v="1"/>
    <n v="1"/>
    <n v="-12"/>
    <n v="72"/>
  </r>
  <r>
    <x v="28"/>
    <s v="conventional_turnover_wala_15"/>
    <x v="55"/>
    <n v="1"/>
    <n v="1"/>
    <n v="-12"/>
    <n v="72"/>
  </r>
  <r>
    <x v="28"/>
    <s v="conventional_turnover_wala_16"/>
    <x v="56"/>
    <n v="1"/>
    <n v="1"/>
    <n v="-12"/>
    <n v="72"/>
  </r>
  <r>
    <x v="28"/>
    <s v="conventional_turnover_wala_17"/>
    <x v="57"/>
    <n v="1"/>
    <n v="1"/>
    <n v="-12"/>
    <n v="72"/>
  </r>
  <r>
    <x v="28"/>
    <s v="conventional_turnover_wala_18"/>
    <x v="58"/>
    <n v="1"/>
    <n v="1"/>
    <n v="-12"/>
    <n v="72"/>
  </r>
  <r>
    <x v="28"/>
    <s v="conventional_turnover_wala_19"/>
    <x v="59"/>
    <n v="1"/>
    <n v="1"/>
    <n v="-12"/>
    <n v="72"/>
  </r>
  <r>
    <x v="28"/>
    <s v="conventional_turnover_wala_20"/>
    <x v="60"/>
    <n v="1"/>
    <n v="1"/>
    <n v="-12"/>
    <n v="72"/>
  </r>
  <r>
    <x v="28"/>
    <s v="conventional_turnover_wala_21"/>
    <x v="61"/>
    <n v="1"/>
    <n v="1"/>
    <n v="-12"/>
    <n v="72"/>
  </r>
  <r>
    <x v="28"/>
    <s v="conventional_turnover_wala_22"/>
    <x v="62"/>
    <n v="1"/>
    <n v="1"/>
    <n v="-12"/>
    <n v="72"/>
  </r>
  <r>
    <x v="28"/>
    <s v="conventional_turnover_wala_23"/>
    <x v="63"/>
    <n v="1"/>
    <n v="1"/>
    <n v="-12"/>
    <n v="72"/>
  </r>
  <r>
    <x v="28"/>
    <s v="conventional_turnover_wala_24"/>
    <x v="64"/>
    <n v="1"/>
    <n v="1"/>
    <n v="-12"/>
    <n v="72"/>
  </r>
  <r>
    <x v="28"/>
    <s v="conventional_turnover_wala_25"/>
    <x v="65"/>
    <n v="1"/>
    <n v="1"/>
    <n v="-12"/>
    <n v="72"/>
  </r>
  <r>
    <x v="28"/>
    <s v="conventional_turnover_wala_26"/>
    <x v="66"/>
    <n v="1"/>
    <n v="1"/>
    <n v="-12"/>
    <n v="72"/>
  </r>
  <r>
    <x v="28"/>
    <s v="conventional_turnover_wala_27"/>
    <x v="67"/>
    <n v="1"/>
    <n v="1"/>
    <n v="-12"/>
    <n v="72"/>
  </r>
  <r>
    <x v="28"/>
    <s v="conventional_turnover_wala_28"/>
    <x v="68"/>
    <n v="1"/>
    <n v="1"/>
    <n v="-12"/>
    <n v="72"/>
  </r>
  <r>
    <x v="28"/>
    <s v="conventional_turnover_wala_29"/>
    <x v="69"/>
    <n v="1"/>
    <n v="1"/>
    <n v="-12"/>
    <n v="72"/>
  </r>
  <r>
    <x v="28"/>
    <s v="conventional_turnover_wala_30"/>
    <x v="70"/>
    <n v="1"/>
    <n v="1"/>
    <n v="-12"/>
    <n v="72"/>
  </r>
  <r>
    <x v="28"/>
    <s v="conventional_turnover_wala_31"/>
    <x v="71"/>
    <n v="1"/>
    <n v="1"/>
    <n v="-12"/>
    <n v="72"/>
  </r>
  <r>
    <x v="28"/>
    <s v="conventional_turnover_wala_32"/>
    <x v="72"/>
    <n v="1"/>
    <n v="1"/>
    <n v="-12"/>
    <n v="72"/>
  </r>
  <r>
    <x v="28"/>
    <s v="conventional_turnover_wala_33"/>
    <x v="73"/>
    <n v="1"/>
    <n v="1"/>
    <n v="-12"/>
    <n v="72"/>
  </r>
  <r>
    <x v="28"/>
    <s v="conventional_turnover_wala_34"/>
    <x v="74"/>
    <n v="1"/>
    <n v="1"/>
    <n v="-12"/>
    <n v="72"/>
  </r>
  <r>
    <x v="28"/>
    <s v="conventional_turnover_wala_35"/>
    <x v="75"/>
    <n v="1"/>
    <n v="1"/>
    <n v="-12"/>
    <n v="72"/>
  </r>
  <r>
    <x v="28"/>
    <s v="conventional_turnover_wala_36"/>
    <x v="76"/>
    <n v="1"/>
    <n v="1"/>
    <n v="-12"/>
    <n v="72"/>
  </r>
  <r>
    <x v="28"/>
    <s v="conventional_turnover_wala_37"/>
    <x v="77"/>
    <n v="1"/>
    <n v="1"/>
    <n v="-12"/>
    <n v="72"/>
  </r>
  <r>
    <x v="28"/>
    <s v="conventional_turnover_wala_38"/>
    <x v="78"/>
    <n v="1"/>
    <n v="1"/>
    <n v="-12"/>
    <n v="72"/>
  </r>
  <r>
    <x v="28"/>
    <s v="conventional_turnover_wala_39"/>
    <x v="79"/>
    <n v="1"/>
    <n v="1"/>
    <n v="-12"/>
    <n v="72"/>
  </r>
  <r>
    <x v="28"/>
    <s v="conventional_turnover_wala_40"/>
    <x v="80"/>
    <n v="1"/>
    <n v="1"/>
    <n v="-12"/>
    <n v="72"/>
  </r>
  <r>
    <x v="28"/>
    <s v="conventional_turnover_wala_41"/>
    <x v="81"/>
    <n v="1"/>
    <n v="1"/>
    <n v="-12"/>
    <n v="72"/>
  </r>
  <r>
    <x v="28"/>
    <s v="conventional_turnover_wala_42"/>
    <x v="82"/>
    <n v="1"/>
    <n v="1"/>
    <n v="-12"/>
    <n v="72"/>
  </r>
  <r>
    <x v="28"/>
    <s v="conventional_turnover_wala_43"/>
    <x v="83"/>
    <n v="1"/>
    <n v="1"/>
    <n v="-12"/>
    <n v="72"/>
  </r>
  <r>
    <x v="28"/>
    <s v="conventional_turnover_wala_44"/>
    <x v="84"/>
    <n v="1"/>
    <n v="1"/>
    <n v="-12"/>
    <n v="72"/>
  </r>
  <r>
    <x v="28"/>
    <s v="conventional_turnover_wala_45"/>
    <x v="85"/>
    <n v="1"/>
    <n v="1"/>
    <n v="-12"/>
    <n v="72"/>
  </r>
  <r>
    <x v="28"/>
    <s v="conventional_turnover_wala_46"/>
    <x v="86"/>
    <n v="1"/>
    <n v="1"/>
    <n v="-12"/>
    <n v="72"/>
  </r>
  <r>
    <x v="28"/>
    <s v="conventional_turnover_wala_47"/>
    <x v="87"/>
    <n v="1"/>
    <n v="1"/>
    <n v="-12"/>
    <n v="72"/>
  </r>
  <r>
    <x v="28"/>
    <s v="conventional_turnover_wala_48"/>
    <x v="88"/>
    <n v="1"/>
    <n v="1"/>
    <n v="-12"/>
    <n v="72"/>
  </r>
  <r>
    <x v="28"/>
    <s v="conventional_turnover_wala_49"/>
    <x v="89"/>
    <n v="1"/>
    <n v="1"/>
    <n v="-12"/>
    <n v="72"/>
  </r>
  <r>
    <x v="28"/>
    <s v="conventional_turnover_wala_50"/>
    <x v="90"/>
    <n v="1"/>
    <n v="1"/>
    <n v="-12"/>
    <n v="72"/>
  </r>
  <r>
    <x v="28"/>
    <s v="conventional_turnover_wala_51"/>
    <x v="91"/>
    <n v="1"/>
    <n v="1"/>
    <n v="-12"/>
    <n v="72"/>
  </r>
  <r>
    <x v="28"/>
    <s v="conventional_turnover_wala_52"/>
    <x v="92"/>
    <n v="1"/>
    <n v="1"/>
    <n v="-12"/>
    <n v="72"/>
  </r>
  <r>
    <x v="28"/>
    <s v="conventional_turnover_wala_53"/>
    <x v="93"/>
    <n v="1"/>
    <n v="1"/>
    <n v="-12"/>
    <n v="72"/>
  </r>
  <r>
    <x v="28"/>
    <s v="conventional_turnover_wala_54"/>
    <x v="94"/>
    <n v="1"/>
    <n v="1"/>
    <n v="-12"/>
    <n v="72"/>
  </r>
  <r>
    <x v="28"/>
    <s v="conventional_turnover_wala_55"/>
    <x v="95"/>
    <n v="1"/>
    <n v="1"/>
    <n v="-12"/>
    <n v="72"/>
  </r>
  <r>
    <x v="28"/>
    <s v="conventional_turnover_wala_56"/>
    <x v="96"/>
    <n v="1"/>
    <n v="1"/>
    <n v="-12"/>
    <n v="72"/>
  </r>
  <r>
    <x v="28"/>
    <s v="conventional_turnover_wala_57"/>
    <x v="97"/>
    <n v="1"/>
    <n v="1"/>
    <n v="-12"/>
    <n v="72"/>
  </r>
  <r>
    <x v="28"/>
    <s v="conventional_turnover_wala_58"/>
    <x v="98"/>
    <n v="1"/>
    <n v="1"/>
    <n v="-12"/>
    <n v="72"/>
  </r>
  <r>
    <x v="28"/>
    <s v="conventional_turnover_wala_59"/>
    <x v="99"/>
    <n v="1"/>
    <n v="1"/>
    <n v="-12"/>
    <n v="72"/>
  </r>
  <r>
    <x v="28"/>
    <s v="conventional_turnover_wala_60"/>
    <x v="100"/>
    <n v="1"/>
    <n v="1"/>
    <n v="-12"/>
    <n v="72"/>
  </r>
  <r>
    <x v="28"/>
    <s v="conventional_turnover_wala_61"/>
    <x v="101"/>
    <n v="1"/>
    <n v="1"/>
    <n v="-12"/>
    <n v="72"/>
  </r>
  <r>
    <x v="28"/>
    <s v="conventional_turnover_wala_62"/>
    <x v="102"/>
    <n v="1"/>
    <n v="1"/>
    <n v="-12"/>
    <n v="72"/>
  </r>
  <r>
    <x v="28"/>
    <s v="conventional_turnover_wala_63"/>
    <x v="103"/>
    <n v="1"/>
    <n v="1"/>
    <n v="-12"/>
    <n v="72"/>
  </r>
  <r>
    <x v="28"/>
    <s v="conventional_turnover_wala_64"/>
    <x v="104"/>
    <n v="1"/>
    <n v="1"/>
    <n v="-12"/>
    <n v="72"/>
  </r>
  <r>
    <x v="28"/>
    <s v="conventional_turnover_wala_65"/>
    <x v="105"/>
    <n v="1"/>
    <n v="1"/>
    <n v="-12"/>
    <n v="72"/>
  </r>
  <r>
    <x v="28"/>
    <s v="conventional_turnover_wala_66"/>
    <x v="106"/>
    <n v="1"/>
    <n v="1"/>
    <n v="-12"/>
    <n v="72"/>
  </r>
  <r>
    <x v="28"/>
    <s v="conventional_turnover_wala_67"/>
    <x v="107"/>
    <n v="1"/>
    <n v="1"/>
    <n v="-12"/>
    <n v="72"/>
  </r>
  <r>
    <x v="28"/>
    <s v="conventional_turnover_wala_68"/>
    <x v="108"/>
    <n v="1"/>
    <n v="1"/>
    <n v="-12"/>
    <n v="72"/>
  </r>
  <r>
    <x v="28"/>
    <s v="conventional_turnover_wala_69"/>
    <x v="109"/>
    <n v="1"/>
    <n v="1"/>
    <n v="-12"/>
    <n v="72"/>
  </r>
  <r>
    <x v="28"/>
    <s v="conventional_turnover_wala_70"/>
    <x v="110"/>
    <n v="1"/>
    <n v="1"/>
    <n v="-12"/>
    <n v="72"/>
  </r>
  <r>
    <x v="28"/>
    <s v="conventional_turnover_wala_71"/>
    <x v="111"/>
    <n v="1"/>
    <n v="1"/>
    <n v="-12"/>
    <n v="72"/>
  </r>
  <r>
    <x v="28"/>
    <s v="conventional_turnover_wala_72"/>
    <x v="112"/>
    <n v="1"/>
    <n v="1"/>
    <n v="-12"/>
    <n v="72"/>
  </r>
  <r>
    <x v="29"/>
    <s v="conventional_turnover_incentive_-730"/>
    <x v="1444"/>
    <n v="0.73140000000000005"/>
    <n v="1"/>
    <n v="-730"/>
    <n v="180"/>
  </r>
  <r>
    <x v="29"/>
    <s v="conventional_turnover_incentive_-729"/>
    <x v="1445"/>
    <n v="0.73141999999999996"/>
    <n v="1"/>
    <n v="-730"/>
    <n v="180"/>
  </r>
  <r>
    <x v="29"/>
    <s v="conventional_turnover_incentive_-728"/>
    <x v="1446"/>
    <n v="0.73143999999999998"/>
    <n v="1"/>
    <n v="-730"/>
    <n v="180"/>
  </r>
  <r>
    <x v="29"/>
    <s v="conventional_turnover_incentive_-727"/>
    <x v="1447"/>
    <n v="0.73146"/>
    <n v="1"/>
    <n v="-730"/>
    <n v="180"/>
  </r>
  <r>
    <x v="29"/>
    <s v="conventional_turnover_incentive_-726"/>
    <x v="1448"/>
    <n v="0.73148000000000002"/>
    <n v="1"/>
    <n v="-730"/>
    <n v="180"/>
  </r>
  <r>
    <x v="29"/>
    <s v="conventional_turnover_incentive_-725"/>
    <x v="1449"/>
    <n v="0.73150000000000004"/>
    <n v="1"/>
    <n v="-730"/>
    <n v="180"/>
  </r>
  <r>
    <x v="29"/>
    <s v="conventional_turnover_incentive_-724"/>
    <x v="1450"/>
    <n v="0.73151999999999995"/>
    <n v="1"/>
    <n v="-730"/>
    <n v="180"/>
  </r>
  <r>
    <x v="29"/>
    <s v="conventional_turnover_incentive_-723"/>
    <x v="1451"/>
    <n v="0.73153999999999997"/>
    <n v="1"/>
    <n v="-730"/>
    <n v="180"/>
  </r>
  <r>
    <x v="29"/>
    <s v="conventional_turnover_incentive_-722"/>
    <x v="1452"/>
    <n v="0.73155999999999999"/>
    <n v="1"/>
    <n v="-730"/>
    <n v="180"/>
  </r>
  <r>
    <x v="29"/>
    <s v="conventional_turnover_incentive_-721"/>
    <x v="1453"/>
    <n v="0.73158000000000001"/>
    <n v="1"/>
    <n v="-730"/>
    <n v="180"/>
  </r>
  <r>
    <x v="29"/>
    <s v="conventional_turnover_incentive_-720"/>
    <x v="1454"/>
    <n v="0.73160000000000003"/>
    <n v="1"/>
    <n v="-730"/>
    <n v="180"/>
  </r>
  <r>
    <x v="29"/>
    <s v="conventional_turnover_incentive_-719"/>
    <x v="1455"/>
    <n v="0.73162000000000005"/>
    <n v="1"/>
    <n v="-730"/>
    <n v="180"/>
  </r>
  <r>
    <x v="29"/>
    <s v="conventional_turnover_incentive_-718"/>
    <x v="1456"/>
    <n v="0.73163999999999996"/>
    <n v="1"/>
    <n v="-730"/>
    <n v="180"/>
  </r>
  <r>
    <x v="29"/>
    <s v="conventional_turnover_incentive_-717"/>
    <x v="1457"/>
    <n v="0.73165999999999998"/>
    <n v="1"/>
    <n v="-730"/>
    <n v="180"/>
  </r>
  <r>
    <x v="29"/>
    <s v="conventional_turnover_incentive_-716"/>
    <x v="1458"/>
    <n v="0.73168"/>
    <n v="1"/>
    <n v="-730"/>
    <n v="180"/>
  </r>
  <r>
    <x v="29"/>
    <s v="conventional_turnover_incentive_-715"/>
    <x v="1459"/>
    <n v="0.73170000000000002"/>
    <n v="1"/>
    <n v="-730"/>
    <n v="180"/>
  </r>
  <r>
    <x v="29"/>
    <s v="conventional_turnover_incentive_-714"/>
    <x v="1460"/>
    <n v="0.73172000000000004"/>
    <n v="1"/>
    <n v="-730"/>
    <n v="180"/>
  </r>
  <r>
    <x v="29"/>
    <s v="conventional_turnover_incentive_-713"/>
    <x v="1461"/>
    <n v="0.73173999999999995"/>
    <n v="1"/>
    <n v="-730"/>
    <n v="180"/>
  </r>
  <r>
    <x v="29"/>
    <s v="conventional_turnover_incentive_-712"/>
    <x v="1462"/>
    <n v="0.73175999999999997"/>
    <n v="1"/>
    <n v="-730"/>
    <n v="180"/>
  </r>
  <r>
    <x v="29"/>
    <s v="conventional_turnover_incentive_-711"/>
    <x v="1463"/>
    <n v="0.73177999999999999"/>
    <n v="1"/>
    <n v="-730"/>
    <n v="180"/>
  </r>
  <r>
    <x v="29"/>
    <s v="conventional_turnover_incentive_-710"/>
    <x v="1464"/>
    <n v="0.73180000000000001"/>
    <n v="1"/>
    <n v="-730"/>
    <n v="180"/>
  </r>
  <r>
    <x v="29"/>
    <s v="conventional_turnover_incentive_-709"/>
    <x v="1465"/>
    <n v="0.73182000000000003"/>
    <n v="1"/>
    <n v="-730"/>
    <n v="180"/>
  </r>
  <r>
    <x v="29"/>
    <s v="conventional_turnover_incentive_-708"/>
    <x v="1466"/>
    <n v="0.73184000000000005"/>
    <n v="1"/>
    <n v="-730"/>
    <n v="180"/>
  </r>
  <r>
    <x v="29"/>
    <s v="conventional_turnover_incentive_-707"/>
    <x v="1467"/>
    <n v="0.73185999999999996"/>
    <n v="1"/>
    <n v="-730"/>
    <n v="180"/>
  </r>
  <r>
    <x v="29"/>
    <s v="conventional_turnover_incentive_-706"/>
    <x v="1468"/>
    <n v="0.73187999999999998"/>
    <n v="1"/>
    <n v="-730"/>
    <n v="180"/>
  </r>
  <r>
    <x v="29"/>
    <s v="conventional_turnover_incentive_-705"/>
    <x v="1469"/>
    <n v="0.7319"/>
    <n v="1"/>
    <n v="-730"/>
    <n v="180"/>
  </r>
  <r>
    <x v="29"/>
    <s v="conventional_turnover_incentive_-704"/>
    <x v="1470"/>
    <n v="0.73192000000000002"/>
    <n v="1"/>
    <n v="-730"/>
    <n v="180"/>
  </r>
  <r>
    <x v="29"/>
    <s v="conventional_turnover_incentive_-703"/>
    <x v="1471"/>
    <n v="0.73194000000000004"/>
    <n v="1"/>
    <n v="-730"/>
    <n v="180"/>
  </r>
  <r>
    <x v="29"/>
    <s v="conventional_turnover_incentive_-702"/>
    <x v="1472"/>
    <n v="0.73196000000000006"/>
    <n v="1"/>
    <n v="-730"/>
    <n v="180"/>
  </r>
  <r>
    <x v="29"/>
    <s v="conventional_turnover_incentive_-701"/>
    <x v="1473"/>
    <n v="0.73197999999999996"/>
    <n v="1"/>
    <n v="-730"/>
    <n v="180"/>
  </r>
  <r>
    <x v="29"/>
    <s v="conventional_turnover_incentive_-700"/>
    <x v="1256"/>
    <n v="0.73199999999999998"/>
    <n v="1"/>
    <n v="-730"/>
    <n v="180"/>
  </r>
  <r>
    <x v="29"/>
    <s v="conventional_turnover_incentive_-699"/>
    <x v="1474"/>
    <n v="0.73202"/>
    <n v="1"/>
    <n v="-730"/>
    <n v="180"/>
  </r>
  <r>
    <x v="29"/>
    <s v="conventional_turnover_incentive_-698"/>
    <x v="1475"/>
    <n v="0.73204000000000002"/>
    <n v="1"/>
    <n v="-730"/>
    <n v="180"/>
  </r>
  <r>
    <x v="29"/>
    <s v="conventional_turnover_incentive_-697"/>
    <x v="1476"/>
    <n v="0.73206000000000004"/>
    <n v="1"/>
    <n v="-730"/>
    <n v="180"/>
  </r>
  <r>
    <x v="29"/>
    <s v="conventional_turnover_incentive_-696"/>
    <x v="1477"/>
    <n v="0.73207999999999995"/>
    <n v="1"/>
    <n v="-730"/>
    <n v="180"/>
  </r>
  <r>
    <x v="29"/>
    <s v="conventional_turnover_incentive_-695"/>
    <x v="1478"/>
    <n v="0.73209999999999997"/>
    <n v="1"/>
    <n v="-730"/>
    <n v="180"/>
  </r>
  <r>
    <x v="29"/>
    <s v="conventional_turnover_incentive_-694"/>
    <x v="1479"/>
    <n v="0.73211999999999999"/>
    <n v="1"/>
    <n v="-730"/>
    <n v="180"/>
  </r>
  <r>
    <x v="29"/>
    <s v="conventional_turnover_incentive_-693"/>
    <x v="1480"/>
    <n v="0.73214000000000001"/>
    <n v="1"/>
    <n v="-730"/>
    <n v="180"/>
  </r>
  <r>
    <x v="29"/>
    <s v="conventional_turnover_incentive_-692"/>
    <x v="1481"/>
    <n v="0.73216000000000003"/>
    <n v="1"/>
    <n v="-730"/>
    <n v="180"/>
  </r>
  <r>
    <x v="29"/>
    <s v="conventional_turnover_incentive_-691"/>
    <x v="1482"/>
    <n v="0.73218000000000005"/>
    <n v="1"/>
    <n v="-730"/>
    <n v="180"/>
  </r>
  <r>
    <x v="29"/>
    <s v="conventional_turnover_incentive_-690"/>
    <x v="1483"/>
    <n v="0.73219999999999996"/>
    <n v="1"/>
    <n v="-730"/>
    <n v="180"/>
  </r>
  <r>
    <x v="29"/>
    <s v="conventional_turnover_incentive_-689"/>
    <x v="1484"/>
    <n v="0.73221999999999998"/>
    <n v="1"/>
    <n v="-730"/>
    <n v="180"/>
  </r>
  <r>
    <x v="29"/>
    <s v="conventional_turnover_incentive_-688"/>
    <x v="1485"/>
    <n v="0.73224"/>
    <n v="1"/>
    <n v="-730"/>
    <n v="180"/>
  </r>
  <r>
    <x v="29"/>
    <s v="conventional_turnover_incentive_-687"/>
    <x v="1486"/>
    <n v="0.73226000000000002"/>
    <n v="1"/>
    <n v="-730"/>
    <n v="180"/>
  </r>
  <r>
    <x v="29"/>
    <s v="conventional_turnover_incentive_-686"/>
    <x v="1487"/>
    <n v="0.73228000000000004"/>
    <n v="1"/>
    <n v="-730"/>
    <n v="180"/>
  </r>
  <r>
    <x v="29"/>
    <s v="conventional_turnover_incentive_-685"/>
    <x v="1488"/>
    <n v="0.73229999999999995"/>
    <n v="1"/>
    <n v="-730"/>
    <n v="180"/>
  </r>
  <r>
    <x v="29"/>
    <s v="conventional_turnover_incentive_-684"/>
    <x v="1489"/>
    <n v="0.73231999999999997"/>
    <n v="1"/>
    <n v="-730"/>
    <n v="180"/>
  </r>
  <r>
    <x v="29"/>
    <s v="conventional_turnover_incentive_-683"/>
    <x v="1490"/>
    <n v="0.73233999999999999"/>
    <n v="1"/>
    <n v="-730"/>
    <n v="180"/>
  </r>
  <r>
    <x v="29"/>
    <s v="conventional_turnover_incentive_-682"/>
    <x v="1491"/>
    <n v="0.73236000000000001"/>
    <n v="1"/>
    <n v="-730"/>
    <n v="180"/>
  </r>
  <r>
    <x v="29"/>
    <s v="conventional_turnover_incentive_-681"/>
    <x v="1492"/>
    <n v="0.73238000000000003"/>
    <n v="1"/>
    <n v="-730"/>
    <n v="180"/>
  </r>
  <r>
    <x v="29"/>
    <s v="conventional_turnover_incentive_-680"/>
    <x v="1493"/>
    <n v="0.73240000000000005"/>
    <n v="1"/>
    <n v="-730"/>
    <n v="180"/>
  </r>
  <r>
    <x v="29"/>
    <s v="conventional_turnover_incentive_-679"/>
    <x v="1494"/>
    <n v="0.73241999999999996"/>
    <n v="1"/>
    <n v="-730"/>
    <n v="180"/>
  </r>
  <r>
    <x v="29"/>
    <s v="conventional_turnover_incentive_-678"/>
    <x v="1495"/>
    <n v="0.73243999999999998"/>
    <n v="1"/>
    <n v="-730"/>
    <n v="180"/>
  </r>
  <r>
    <x v="29"/>
    <s v="conventional_turnover_incentive_-677"/>
    <x v="1496"/>
    <n v="0.73246"/>
    <n v="1"/>
    <n v="-730"/>
    <n v="180"/>
  </r>
  <r>
    <x v="29"/>
    <s v="conventional_turnover_incentive_-676"/>
    <x v="1497"/>
    <n v="0.73248000000000002"/>
    <n v="1"/>
    <n v="-730"/>
    <n v="180"/>
  </r>
  <r>
    <x v="29"/>
    <s v="conventional_turnover_incentive_-675"/>
    <x v="1498"/>
    <n v="0.73250000000000004"/>
    <n v="1"/>
    <n v="-730"/>
    <n v="180"/>
  </r>
  <r>
    <x v="29"/>
    <s v="conventional_turnover_incentive_-674"/>
    <x v="1499"/>
    <n v="0.73251999999999995"/>
    <n v="1"/>
    <n v="-730"/>
    <n v="180"/>
  </r>
  <r>
    <x v="29"/>
    <s v="conventional_turnover_incentive_-673"/>
    <x v="1500"/>
    <n v="0.73253999999999997"/>
    <n v="1"/>
    <n v="-730"/>
    <n v="180"/>
  </r>
  <r>
    <x v="29"/>
    <s v="conventional_turnover_incentive_-672"/>
    <x v="1501"/>
    <n v="0.73255999999999999"/>
    <n v="1"/>
    <n v="-730"/>
    <n v="180"/>
  </r>
  <r>
    <x v="29"/>
    <s v="conventional_turnover_incentive_-671"/>
    <x v="1502"/>
    <n v="0.73258000000000001"/>
    <n v="1"/>
    <n v="-730"/>
    <n v="180"/>
  </r>
  <r>
    <x v="29"/>
    <s v="conventional_turnover_incentive_-670"/>
    <x v="1503"/>
    <n v="0.73260000000000003"/>
    <n v="1"/>
    <n v="-730"/>
    <n v="180"/>
  </r>
  <r>
    <x v="29"/>
    <s v="conventional_turnover_incentive_-669"/>
    <x v="1504"/>
    <n v="0.73262000000000005"/>
    <n v="1"/>
    <n v="-730"/>
    <n v="180"/>
  </r>
  <r>
    <x v="29"/>
    <s v="conventional_turnover_incentive_-668"/>
    <x v="1505"/>
    <n v="0.73263999999999996"/>
    <n v="1"/>
    <n v="-730"/>
    <n v="180"/>
  </r>
  <r>
    <x v="29"/>
    <s v="conventional_turnover_incentive_-667"/>
    <x v="1506"/>
    <n v="0.73265999999999998"/>
    <n v="1"/>
    <n v="-730"/>
    <n v="180"/>
  </r>
  <r>
    <x v="29"/>
    <s v="conventional_turnover_incentive_-666"/>
    <x v="1507"/>
    <n v="0.73268"/>
    <n v="1"/>
    <n v="-730"/>
    <n v="180"/>
  </r>
  <r>
    <x v="29"/>
    <s v="conventional_turnover_incentive_-665"/>
    <x v="1508"/>
    <n v="0.73270000000000002"/>
    <n v="1"/>
    <n v="-730"/>
    <n v="180"/>
  </r>
  <r>
    <x v="29"/>
    <s v="conventional_turnover_incentive_-664"/>
    <x v="1509"/>
    <n v="0.73272000000000004"/>
    <n v="1"/>
    <n v="-730"/>
    <n v="180"/>
  </r>
  <r>
    <x v="29"/>
    <s v="conventional_turnover_incentive_-663"/>
    <x v="1510"/>
    <n v="0.73273999999999995"/>
    <n v="1"/>
    <n v="-730"/>
    <n v="180"/>
  </r>
  <r>
    <x v="29"/>
    <s v="conventional_turnover_incentive_-662"/>
    <x v="1511"/>
    <n v="0.73275999999999997"/>
    <n v="1"/>
    <n v="-730"/>
    <n v="180"/>
  </r>
  <r>
    <x v="29"/>
    <s v="conventional_turnover_incentive_-661"/>
    <x v="1512"/>
    <n v="0.73277999999999999"/>
    <n v="1"/>
    <n v="-730"/>
    <n v="180"/>
  </r>
  <r>
    <x v="29"/>
    <s v="conventional_turnover_incentive_-660"/>
    <x v="1513"/>
    <n v="0.73280000000000001"/>
    <n v="1"/>
    <n v="-730"/>
    <n v="180"/>
  </r>
  <r>
    <x v="29"/>
    <s v="conventional_turnover_incentive_-659"/>
    <x v="1514"/>
    <n v="0.73282000000000003"/>
    <n v="1"/>
    <n v="-730"/>
    <n v="180"/>
  </r>
  <r>
    <x v="29"/>
    <s v="conventional_turnover_incentive_-658"/>
    <x v="1515"/>
    <n v="0.73284000000000005"/>
    <n v="1"/>
    <n v="-730"/>
    <n v="180"/>
  </r>
  <r>
    <x v="29"/>
    <s v="conventional_turnover_incentive_-657"/>
    <x v="1516"/>
    <n v="0.73285999999999996"/>
    <n v="1"/>
    <n v="-730"/>
    <n v="180"/>
  </r>
  <r>
    <x v="29"/>
    <s v="conventional_turnover_incentive_-656"/>
    <x v="1517"/>
    <n v="0.73287999999999998"/>
    <n v="1"/>
    <n v="-730"/>
    <n v="180"/>
  </r>
  <r>
    <x v="29"/>
    <s v="conventional_turnover_incentive_-655"/>
    <x v="1518"/>
    <n v="0.7329"/>
    <n v="1"/>
    <n v="-730"/>
    <n v="180"/>
  </r>
  <r>
    <x v="29"/>
    <s v="conventional_turnover_incentive_-654"/>
    <x v="1519"/>
    <n v="0.73292000000000002"/>
    <n v="1"/>
    <n v="-730"/>
    <n v="180"/>
  </r>
  <r>
    <x v="29"/>
    <s v="conventional_turnover_incentive_-653"/>
    <x v="1520"/>
    <n v="0.73294000000000004"/>
    <n v="1"/>
    <n v="-730"/>
    <n v="180"/>
  </r>
  <r>
    <x v="29"/>
    <s v="conventional_turnover_incentive_-652"/>
    <x v="1521"/>
    <n v="0.73295999999999994"/>
    <n v="1"/>
    <n v="-730"/>
    <n v="180"/>
  </r>
  <r>
    <x v="29"/>
    <s v="conventional_turnover_incentive_-651"/>
    <x v="1522"/>
    <n v="0.73297999999999996"/>
    <n v="1"/>
    <n v="-730"/>
    <n v="180"/>
  </r>
  <r>
    <x v="29"/>
    <s v="conventional_turnover_incentive_-650"/>
    <x v="1523"/>
    <n v="0.73299999999999998"/>
    <n v="1"/>
    <n v="-730"/>
    <n v="180"/>
  </r>
  <r>
    <x v="29"/>
    <s v="conventional_turnover_incentive_-649"/>
    <x v="1524"/>
    <n v="0.73302"/>
    <n v="1"/>
    <n v="-730"/>
    <n v="180"/>
  </r>
  <r>
    <x v="29"/>
    <s v="conventional_turnover_incentive_-648"/>
    <x v="1525"/>
    <n v="0.73304000000000002"/>
    <n v="1"/>
    <n v="-730"/>
    <n v="180"/>
  </r>
  <r>
    <x v="29"/>
    <s v="conventional_turnover_incentive_-647"/>
    <x v="1526"/>
    <n v="0.73306000000000004"/>
    <n v="1"/>
    <n v="-730"/>
    <n v="180"/>
  </r>
  <r>
    <x v="29"/>
    <s v="conventional_turnover_incentive_-646"/>
    <x v="1527"/>
    <n v="0.73307999999999995"/>
    <n v="1"/>
    <n v="-730"/>
    <n v="180"/>
  </r>
  <r>
    <x v="29"/>
    <s v="conventional_turnover_incentive_-645"/>
    <x v="1528"/>
    <n v="0.73309999999999997"/>
    <n v="1"/>
    <n v="-730"/>
    <n v="180"/>
  </r>
  <r>
    <x v="29"/>
    <s v="conventional_turnover_incentive_-644"/>
    <x v="1529"/>
    <n v="0.73311999999999999"/>
    <n v="1"/>
    <n v="-730"/>
    <n v="180"/>
  </r>
  <r>
    <x v="29"/>
    <s v="conventional_turnover_incentive_-643"/>
    <x v="1530"/>
    <n v="0.73314000000000001"/>
    <n v="1"/>
    <n v="-730"/>
    <n v="180"/>
  </r>
  <r>
    <x v="29"/>
    <s v="conventional_turnover_incentive_-642"/>
    <x v="1531"/>
    <n v="0.73316000000000003"/>
    <n v="1"/>
    <n v="-730"/>
    <n v="180"/>
  </r>
  <r>
    <x v="29"/>
    <s v="conventional_turnover_incentive_-641"/>
    <x v="1532"/>
    <n v="0.73318000000000005"/>
    <n v="1"/>
    <n v="-730"/>
    <n v="180"/>
  </r>
  <r>
    <x v="29"/>
    <s v="conventional_turnover_incentive_-640"/>
    <x v="1533"/>
    <n v="0.73319999999999996"/>
    <n v="1"/>
    <n v="-730"/>
    <n v="180"/>
  </r>
  <r>
    <x v="29"/>
    <s v="conventional_turnover_incentive_-639"/>
    <x v="1534"/>
    <n v="0.73321999999999998"/>
    <n v="1"/>
    <n v="-730"/>
    <n v="180"/>
  </r>
  <r>
    <x v="29"/>
    <s v="conventional_turnover_incentive_-638"/>
    <x v="1535"/>
    <n v="0.73324"/>
    <n v="1"/>
    <n v="-730"/>
    <n v="180"/>
  </r>
  <r>
    <x v="29"/>
    <s v="conventional_turnover_incentive_-637"/>
    <x v="1536"/>
    <n v="0.73326000000000002"/>
    <n v="1"/>
    <n v="-730"/>
    <n v="180"/>
  </r>
  <r>
    <x v="29"/>
    <s v="conventional_turnover_incentive_-636"/>
    <x v="1537"/>
    <n v="0.73328000000000004"/>
    <n v="1"/>
    <n v="-730"/>
    <n v="180"/>
  </r>
  <r>
    <x v="29"/>
    <s v="conventional_turnover_incentive_-635"/>
    <x v="1538"/>
    <n v="0.73329999999999995"/>
    <n v="1"/>
    <n v="-730"/>
    <n v="180"/>
  </r>
  <r>
    <x v="29"/>
    <s v="conventional_turnover_incentive_-634"/>
    <x v="1539"/>
    <n v="0.73331999999999997"/>
    <n v="1"/>
    <n v="-730"/>
    <n v="180"/>
  </r>
  <r>
    <x v="29"/>
    <s v="conventional_turnover_incentive_-633"/>
    <x v="1540"/>
    <n v="0.73333999999999999"/>
    <n v="1"/>
    <n v="-730"/>
    <n v="180"/>
  </r>
  <r>
    <x v="29"/>
    <s v="conventional_turnover_incentive_-632"/>
    <x v="1541"/>
    <n v="0.73336000000000001"/>
    <n v="1"/>
    <n v="-730"/>
    <n v="180"/>
  </r>
  <r>
    <x v="29"/>
    <s v="conventional_turnover_incentive_-631"/>
    <x v="1542"/>
    <n v="0.73338000000000003"/>
    <n v="1"/>
    <n v="-730"/>
    <n v="180"/>
  </r>
  <r>
    <x v="29"/>
    <s v="conventional_turnover_incentive_-630"/>
    <x v="1543"/>
    <n v="0.73340000000000005"/>
    <n v="1"/>
    <n v="-730"/>
    <n v="180"/>
  </r>
  <r>
    <x v="29"/>
    <s v="conventional_turnover_incentive_-629"/>
    <x v="1544"/>
    <n v="0.73341999999999996"/>
    <n v="1"/>
    <n v="-730"/>
    <n v="180"/>
  </r>
  <r>
    <x v="29"/>
    <s v="conventional_turnover_incentive_-628"/>
    <x v="1545"/>
    <n v="0.73343999999999998"/>
    <n v="1"/>
    <n v="-730"/>
    <n v="180"/>
  </r>
  <r>
    <x v="29"/>
    <s v="conventional_turnover_incentive_-627"/>
    <x v="1546"/>
    <n v="0.73346"/>
    <n v="1"/>
    <n v="-730"/>
    <n v="180"/>
  </r>
  <r>
    <x v="29"/>
    <s v="conventional_turnover_incentive_-626"/>
    <x v="1547"/>
    <n v="0.73348000000000002"/>
    <n v="1"/>
    <n v="-730"/>
    <n v="180"/>
  </r>
  <r>
    <x v="29"/>
    <s v="conventional_turnover_incentive_-625"/>
    <x v="1548"/>
    <n v="0.73350000000000004"/>
    <n v="1"/>
    <n v="-730"/>
    <n v="180"/>
  </r>
  <r>
    <x v="29"/>
    <s v="conventional_turnover_incentive_-624"/>
    <x v="1549"/>
    <n v="0.73351999999999995"/>
    <n v="1"/>
    <n v="-730"/>
    <n v="180"/>
  </r>
  <r>
    <x v="29"/>
    <s v="conventional_turnover_incentive_-623"/>
    <x v="1550"/>
    <n v="0.73353999999999997"/>
    <n v="1"/>
    <n v="-730"/>
    <n v="180"/>
  </r>
  <r>
    <x v="29"/>
    <s v="conventional_turnover_incentive_-622"/>
    <x v="1551"/>
    <n v="0.73355999999999999"/>
    <n v="1"/>
    <n v="-730"/>
    <n v="180"/>
  </r>
  <r>
    <x v="29"/>
    <s v="conventional_turnover_incentive_-621"/>
    <x v="1552"/>
    <n v="0.73358000000000001"/>
    <n v="1"/>
    <n v="-730"/>
    <n v="180"/>
  </r>
  <r>
    <x v="29"/>
    <s v="conventional_turnover_incentive_-620"/>
    <x v="1553"/>
    <n v="0.73360000000000003"/>
    <n v="1"/>
    <n v="-730"/>
    <n v="180"/>
  </r>
  <r>
    <x v="29"/>
    <s v="conventional_turnover_incentive_-619"/>
    <x v="1554"/>
    <n v="0.73362000000000005"/>
    <n v="1"/>
    <n v="-730"/>
    <n v="180"/>
  </r>
  <r>
    <x v="29"/>
    <s v="conventional_turnover_incentive_-618"/>
    <x v="1555"/>
    <n v="0.73363999999999996"/>
    <n v="1"/>
    <n v="-730"/>
    <n v="180"/>
  </r>
  <r>
    <x v="29"/>
    <s v="conventional_turnover_incentive_-617"/>
    <x v="1556"/>
    <n v="0.73365999999999998"/>
    <n v="1"/>
    <n v="-730"/>
    <n v="180"/>
  </r>
  <r>
    <x v="29"/>
    <s v="conventional_turnover_incentive_-616"/>
    <x v="1557"/>
    <n v="0.73368"/>
    <n v="1"/>
    <n v="-730"/>
    <n v="180"/>
  </r>
  <r>
    <x v="29"/>
    <s v="conventional_turnover_incentive_-615"/>
    <x v="1558"/>
    <n v="0.73370000000000002"/>
    <n v="1"/>
    <n v="-730"/>
    <n v="180"/>
  </r>
  <r>
    <x v="29"/>
    <s v="conventional_turnover_incentive_-614"/>
    <x v="1559"/>
    <n v="0.73372000000000004"/>
    <n v="1"/>
    <n v="-730"/>
    <n v="180"/>
  </r>
  <r>
    <x v="29"/>
    <s v="conventional_turnover_incentive_-613"/>
    <x v="1560"/>
    <n v="0.73373999999999995"/>
    <n v="1"/>
    <n v="-730"/>
    <n v="180"/>
  </r>
  <r>
    <x v="29"/>
    <s v="conventional_turnover_incentive_-612"/>
    <x v="1561"/>
    <n v="0.73375999999999997"/>
    <n v="1"/>
    <n v="-730"/>
    <n v="180"/>
  </r>
  <r>
    <x v="29"/>
    <s v="conventional_turnover_incentive_-611"/>
    <x v="1562"/>
    <n v="0.73377999999999999"/>
    <n v="1"/>
    <n v="-730"/>
    <n v="180"/>
  </r>
  <r>
    <x v="29"/>
    <s v="conventional_turnover_incentive_-610"/>
    <x v="1563"/>
    <n v="0.73380000000000001"/>
    <n v="1"/>
    <n v="-730"/>
    <n v="180"/>
  </r>
  <r>
    <x v="29"/>
    <s v="conventional_turnover_incentive_-609"/>
    <x v="1564"/>
    <n v="0.73382000000000003"/>
    <n v="1"/>
    <n v="-730"/>
    <n v="180"/>
  </r>
  <r>
    <x v="29"/>
    <s v="conventional_turnover_incentive_-608"/>
    <x v="1565"/>
    <n v="0.73384000000000005"/>
    <n v="1"/>
    <n v="-730"/>
    <n v="180"/>
  </r>
  <r>
    <x v="29"/>
    <s v="conventional_turnover_incentive_-607"/>
    <x v="1566"/>
    <n v="0.73385999999999996"/>
    <n v="1"/>
    <n v="-730"/>
    <n v="180"/>
  </r>
  <r>
    <x v="29"/>
    <s v="conventional_turnover_incentive_-606"/>
    <x v="1567"/>
    <n v="0.73387999999999998"/>
    <n v="1"/>
    <n v="-730"/>
    <n v="180"/>
  </r>
  <r>
    <x v="29"/>
    <s v="conventional_turnover_incentive_-605"/>
    <x v="1568"/>
    <n v="0.7339"/>
    <n v="1"/>
    <n v="-730"/>
    <n v="180"/>
  </r>
  <r>
    <x v="29"/>
    <s v="conventional_turnover_incentive_-604"/>
    <x v="1569"/>
    <n v="0.73392000000000002"/>
    <n v="1"/>
    <n v="-730"/>
    <n v="180"/>
  </r>
  <r>
    <x v="29"/>
    <s v="conventional_turnover_incentive_-603"/>
    <x v="1570"/>
    <n v="0.73394000000000004"/>
    <n v="1"/>
    <n v="-730"/>
    <n v="180"/>
  </r>
  <r>
    <x v="29"/>
    <s v="conventional_turnover_incentive_-602"/>
    <x v="1571"/>
    <n v="0.73395999999999995"/>
    <n v="1"/>
    <n v="-730"/>
    <n v="180"/>
  </r>
  <r>
    <x v="29"/>
    <s v="conventional_turnover_incentive_-601"/>
    <x v="1572"/>
    <n v="0.73397999999999997"/>
    <n v="1"/>
    <n v="-730"/>
    <n v="180"/>
  </r>
  <r>
    <x v="29"/>
    <s v="conventional_turnover_incentive_-600"/>
    <x v="1257"/>
    <n v="0.73399999999999999"/>
    <n v="1"/>
    <n v="-730"/>
    <n v="180"/>
  </r>
  <r>
    <x v="29"/>
    <s v="conventional_turnover_incentive_-599"/>
    <x v="1573"/>
    <n v="0.73401990100000003"/>
    <n v="1"/>
    <n v="-730"/>
    <n v="180"/>
  </r>
  <r>
    <x v="29"/>
    <s v="conventional_turnover_incentive_-598"/>
    <x v="1574"/>
    <n v="0.73403960800000001"/>
    <n v="1"/>
    <n v="-730"/>
    <n v="180"/>
  </r>
  <r>
    <x v="29"/>
    <s v="conventional_turnover_incentive_-597"/>
    <x v="1575"/>
    <n v="0.73405912699999998"/>
    <n v="1"/>
    <n v="-730"/>
    <n v="180"/>
  </r>
  <r>
    <x v="29"/>
    <s v="conventional_turnover_incentive_-596"/>
    <x v="1576"/>
    <n v="0.73407846399999999"/>
    <n v="1"/>
    <n v="-730"/>
    <n v="180"/>
  </r>
  <r>
    <x v="29"/>
    <s v="conventional_turnover_incentive_-595"/>
    <x v="1577"/>
    <n v="0.73409762499999998"/>
    <n v="1"/>
    <n v="-730"/>
    <n v="180"/>
  </r>
  <r>
    <x v="29"/>
    <s v="conventional_turnover_incentive_-594"/>
    <x v="1578"/>
    <n v="0.734116616"/>
    <n v="1"/>
    <n v="-730"/>
    <n v="180"/>
  </r>
  <r>
    <x v="29"/>
    <s v="conventional_turnover_incentive_-593"/>
    <x v="1579"/>
    <n v="0.734135443"/>
    <n v="1"/>
    <n v="-730"/>
    <n v="180"/>
  </r>
  <r>
    <x v="29"/>
    <s v="conventional_turnover_incentive_-592"/>
    <x v="1580"/>
    <n v="0.73415411200000003"/>
    <n v="1"/>
    <n v="-730"/>
    <n v="180"/>
  </r>
  <r>
    <x v="29"/>
    <s v="conventional_turnover_incentive_-591"/>
    <x v="1581"/>
    <n v="0.73417262900000002"/>
    <n v="1"/>
    <n v="-730"/>
    <n v="180"/>
  </r>
  <r>
    <x v="29"/>
    <s v="conventional_turnover_incentive_-590"/>
    <x v="1582"/>
    <n v="0.73419100000000004"/>
    <n v="1"/>
    <n v="-730"/>
    <n v="180"/>
  </r>
  <r>
    <x v="29"/>
    <s v="conventional_turnover_incentive_-589"/>
    <x v="1583"/>
    <n v="0.73420923100000002"/>
    <n v="1"/>
    <n v="-730"/>
    <n v="180"/>
  </r>
  <r>
    <x v="29"/>
    <s v="conventional_turnover_incentive_-588"/>
    <x v="1584"/>
    <n v="0.73422732800000001"/>
    <n v="1"/>
    <n v="-730"/>
    <n v="180"/>
  </r>
  <r>
    <x v="29"/>
    <s v="conventional_turnover_incentive_-587"/>
    <x v="1585"/>
    <n v="0.73424529699999996"/>
    <n v="1"/>
    <n v="-730"/>
    <n v="180"/>
  </r>
  <r>
    <x v="29"/>
    <s v="conventional_turnover_incentive_-586"/>
    <x v="1586"/>
    <n v="0.73426314400000003"/>
    <n v="1"/>
    <n v="-730"/>
    <n v="180"/>
  </r>
  <r>
    <x v="29"/>
    <s v="conventional_turnover_incentive_-585"/>
    <x v="1587"/>
    <n v="0.73428087500000006"/>
    <n v="1"/>
    <n v="-730"/>
    <n v="180"/>
  </r>
  <r>
    <x v="29"/>
    <s v="conventional_turnover_incentive_-584"/>
    <x v="1588"/>
    <n v="0.73429849599999997"/>
    <n v="1"/>
    <n v="-730"/>
    <n v="180"/>
  </r>
  <r>
    <x v="29"/>
    <s v="conventional_turnover_incentive_-583"/>
    <x v="1589"/>
    <n v="0.73431601300000005"/>
    <n v="1"/>
    <n v="-730"/>
    <n v="180"/>
  </r>
  <r>
    <x v="29"/>
    <s v="conventional_turnover_incentive_-582"/>
    <x v="1590"/>
    <n v="0.73433343200000001"/>
    <n v="1"/>
    <n v="-730"/>
    <n v="180"/>
  </r>
  <r>
    <x v="29"/>
    <s v="conventional_turnover_incentive_-581"/>
    <x v="1591"/>
    <n v="0.73435075900000002"/>
    <n v="1"/>
    <n v="-730"/>
    <n v="180"/>
  </r>
  <r>
    <x v="29"/>
    <s v="conventional_turnover_incentive_-580"/>
    <x v="1592"/>
    <n v="0.73436800000000002"/>
    <n v="1"/>
    <n v="-730"/>
    <n v="180"/>
  </r>
  <r>
    <x v="29"/>
    <s v="conventional_turnover_incentive_-579"/>
    <x v="1593"/>
    <n v="0.73438516099999995"/>
    <n v="1"/>
    <n v="-730"/>
    <n v="180"/>
  </r>
  <r>
    <x v="29"/>
    <s v="conventional_turnover_incentive_-578"/>
    <x v="1594"/>
    <n v="0.73440224799999998"/>
    <n v="1"/>
    <n v="-730"/>
    <n v="180"/>
  </r>
  <r>
    <x v="29"/>
    <s v="conventional_turnover_incentive_-577"/>
    <x v="1595"/>
    <n v="0.73441926700000004"/>
    <n v="1"/>
    <n v="-730"/>
    <n v="180"/>
  </r>
  <r>
    <x v="29"/>
    <s v="conventional_turnover_incentive_-576"/>
    <x v="1596"/>
    <n v="0.73443622399999997"/>
    <n v="1"/>
    <n v="-730"/>
    <n v="180"/>
  </r>
  <r>
    <x v="29"/>
    <s v="conventional_turnover_incentive_-575"/>
    <x v="1597"/>
    <n v="0.73445312500000004"/>
    <n v="1"/>
    <n v="-730"/>
    <n v="180"/>
  </r>
  <r>
    <x v="29"/>
    <s v="conventional_turnover_incentive_-574"/>
    <x v="1598"/>
    <n v="0.73446997599999997"/>
    <n v="1"/>
    <n v="-730"/>
    <n v="180"/>
  </r>
  <r>
    <x v="29"/>
    <s v="conventional_turnover_incentive_-573"/>
    <x v="1599"/>
    <n v="0.73448678300000003"/>
    <n v="1"/>
    <n v="-730"/>
    <n v="180"/>
  </r>
  <r>
    <x v="29"/>
    <s v="conventional_turnover_incentive_-572"/>
    <x v="1600"/>
    <n v="0.73450355199999995"/>
    <n v="1"/>
    <n v="-730"/>
    <n v="180"/>
  </r>
  <r>
    <x v="29"/>
    <s v="conventional_turnover_incentive_-571"/>
    <x v="1601"/>
    <n v="0.73452028899999999"/>
    <n v="1"/>
    <n v="-730"/>
    <n v="180"/>
  </r>
  <r>
    <x v="29"/>
    <s v="conventional_turnover_incentive_-570"/>
    <x v="1602"/>
    <n v="0.734537"/>
    <n v="1"/>
    <n v="-730"/>
    <n v="180"/>
  </r>
  <r>
    <x v="29"/>
    <s v="conventional_turnover_incentive_-569"/>
    <x v="1603"/>
    <n v="0.73455369100000001"/>
    <n v="1"/>
    <n v="-730"/>
    <n v="180"/>
  </r>
  <r>
    <x v="29"/>
    <s v="conventional_turnover_incentive_-568"/>
    <x v="1604"/>
    <n v="0.73457036799999997"/>
    <n v="1"/>
    <n v="-730"/>
    <n v="180"/>
  </r>
  <r>
    <x v="29"/>
    <s v="conventional_turnover_incentive_-567"/>
    <x v="1605"/>
    <n v="0.73458703700000005"/>
    <n v="1"/>
    <n v="-730"/>
    <n v="180"/>
  </r>
  <r>
    <x v="29"/>
    <s v="conventional_turnover_incentive_-566"/>
    <x v="1606"/>
    <n v="0.73460370399999997"/>
    <n v="1"/>
    <n v="-730"/>
    <n v="180"/>
  </r>
  <r>
    <x v="29"/>
    <s v="conventional_turnover_incentive_-565"/>
    <x v="1607"/>
    <n v="0.73462037499999999"/>
    <n v="1"/>
    <n v="-730"/>
    <n v="180"/>
  </r>
  <r>
    <x v="29"/>
    <s v="conventional_turnover_incentive_-564"/>
    <x v="1608"/>
    <n v="0.73463705599999995"/>
    <n v="1"/>
    <n v="-730"/>
    <n v="180"/>
  </r>
  <r>
    <x v="29"/>
    <s v="conventional_turnover_incentive_-563"/>
    <x v="1609"/>
    <n v="0.73465375300000002"/>
    <n v="1"/>
    <n v="-730"/>
    <n v="180"/>
  </r>
  <r>
    <x v="29"/>
    <s v="conventional_turnover_incentive_-562"/>
    <x v="1610"/>
    <n v="0.73467047200000002"/>
    <n v="1"/>
    <n v="-730"/>
    <n v="180"/>
  </r>
  <r>
    <x v="29"/>
    <s v="conventional_turnover_incentive_-561"/>
    <x v="1611"/>
    <n v="0.734687219"/>
    <n v="1"/>
    <n v="-730"/>
    <n v="180"/>
  </r>
  <r>
    <x v="29"/>
    <s v="conventional_turnover_incentive_-560"/>
    <x v="1612"/>
    <n v="0.73470400000000002"/>
    <n v="1"/>
    <n v="-730"/>
    <n v="180"/>
  </r>
  <r>
    <x v="29"/>
    <s v="conventional_turnover_incentive_-559"/>
    <x v="1613"/>
    <n v="0.73472082100000002"/>
    <n v="1"/>
    <n v="-730"/>
    <n v="180"/>
  </r>
  <r>
    <x v="29"/>
    <s v="conventional_turnover_incentive_-558"/>
    <x v="1614"/>
    <n v="0.73473768800000006"/>
    <n v="1"/>
    <n v="-730"/>
    <n v="180"/>
  </r>
  <r>
    <x v="29"/>
    <s v="conventional_turnover_incentive_-557"/>
    <x v="1615"/>
    <n v="0.73475460699999995"/>
    <n v="1"/>
    <n v="-730"/>
    <n v="180"/>
  </r>
  <r>
    <x v="29"/>
    <s v="conventional_turnover_incentive_-556"/>
    <x v="1616"/>
    <n v="0.73477158399999998"/>
    <n v="1"/>
    <n v="-730"/>
    <n v="180"/>
  </r>
  <r>
    <x v="29"/>
    <s v="conventional_turnover_incentive_-555"/>
    <x v="1617"/>
    <n v="0.73478862499999997"/>
    <n v="1"/>
    <n v="-730"/>
    <n v="180"/>
  </r>
  <r>
    <x v="29"/>
    <s v="conventional_turnover_incentive_-554"/>
    <x v="1618"/>
    <n v="0.73480573599999999"/>
    <n v="1"/>
    <n v="-730"/>
    <n v="180"/>
  </r>
  <r>
    <x v="29"/>
    <s v="conventional_turnover_incentive_-553"/>
    <x v="1619"/>
    <n v="0.73482292299999996"/>
    <n v="1"/>
    <n v="-730"/>
    <n v="180"/>
  </r>
  <r>
    <x v="29"/>
    <s v="conventional_turnover_incentive_-552"/>
    <x v="1620"/>
    <n v="0.73484019199999995"/>
    <n v="1"/>
    <n v="-730"/>
    <n v="180"/>
  </r>
  <r>
    <x v="29"/>
    <s v="conventional_turnover_incentive_-551"/>
    <x v="1621"/>
    <n v="0.734857549"/>
    <n v="1"/>
    <n v="-730"/>
    <n v="180"/>
  </r>
  <r>
    <x v="29"/>
    <s v="conventional_turnover_incentive_-550"/>
    <x v="1622"/>
    <n v="0.73487499999999994"/>
    <n v="1"/>
    <n v="-730"/>
    <n v="180"/>
  </r>
  <r>
    <x v="29"/>
    <s v="conventional_turnover_incentive_-549"/>
    <x v="1623"/>
    <n v="0.73489255099999995"/>
    <n v="1"/>
    <n v="-730"/>
    <n v="180"/>
  </r>
  <r>
    <x v="29"/>
    <s v="conventional_turnover_incentive_-548"/>
    <x v="1624"/>
    <n v="0.73491020799999995"/>
    <n v="1"/>
    <n v="-730"/>
    <n v="180"/>
  </r>
  <r>
    <x v="29"/>
    <s v="conventional_turnover_incentive_-547"/>
    <x v="1625"/>
    <n v="0.73492797700000001"/>
    <n v="1"/>
    <n v="-730"/>
    <n v="180"/>
  </r>
  <r>
    <x v="29"/>
    <s v="conventional_turnover_incentive_-546"/>
    <x v="1626"/>
    <n v="0.73494586399999995"/>
    <n v="1"/>
    <n v="-730"/>
    <n v="180"/>
  </r>
  <r>
    <x v="29"/>
    <s v="conventional_turnover_incentive_-545"/>
    <x v="1627"/>
    <n v="0.73496387500000004"/>
    <n v="1"/>
    <n v="-730"/>
    <n v="180"/>
  </r>
  <r>
    <x v="29"/>
    <s v="conventional_turnover_incentive_-544"/>
    <x v="1628"/>
    <n v="0.73498201600000002"/>
    <n v="1"/>
    <n v="-730"/>
    <n v="180"/>
  </r>
  <r>
    <x v="29"/>
    <s v="conventional_turnover_incentive_-543"/>
    <x v="1629"/>
    <n v="0.73500029300000003"/>
    <n v="1"/>
    <n v="-730"/>
    <n v="180"/>
  </r>
  <r>
    <x v="29"/>
    <s v="conventional_turnover_incentive_-542"/>
    <x v="1630"/>
    <n v="0.73501871200000002"/>
    <n v="1"/>
    <n v="-730"/>
    <n v="180"/>
  </r>
  <r>
    <x v="29"/>
    <s v="conventional_turnover_incentive_-541"/>
    <x v="1631"/>
    <n v="0.73503727900000004"/>
    <n v="1"/>
    <n v="-730"/>
    <n v="180"/>
  </r>
  <r>
    <x v="29"/>
    <s v="conventional_turnover_incentive_-540"/>
    <x v="1632"/>
    <n v="0.73505600000000004"/>
    <n v="1"/>
    <n v="-730"/>
    <n v="180"/>
  </r>
  <r>
    <x v="29"/>
    <s v="conventional_turnover_incentive_-539"/>
    <x v="1633"/>
    <n v="0.73507488099999996"/>
    <n v="1"/>
    <n v="-730"/>
    <n v="180"/>
  </r>
  <r>
    <x v="29"/>
    <s v="conventional_turnover_incentive_-538"/>
    <x v="1634"/>
    <n v="0.73509392799999995"/>
    <n v="1"/>
    <n v="-730"/>
    <n v="180"/>
  </r>
  <r>
    <x v="29"/>
    <s v="conventional_turnover_incentive_-537"/>
    <x v="1635"/>
    <n v="0.73511314699999997"/>
    <n v="1"/>
    <n v="-730"/>
    <n v="180"/>
  </r>
  <r>
    <x v="29"/>
    <s v="conventional_turnover_incentive_-536"/>
    <x v="1636"/>
    <n v="0.73513254400000005"/>
    <n v="1"/>
    <n v="-730"/>
    <n v="180"/>
  </r>
  <r>
    <x v="29"/>
    <s v="conventional_turnover_incentive_-535"/>
    <x v="1637"/>
    <n v="0.73515212500000005"/>
    <n v="1"/>
    <n v="-730"/>
    <n v="180"/>
  </r>
  <r>
    <x v="29"/>
    <s v="conventional_turnover_incentive_-534"/>
    <x v="1638"/>
    <n v="0.73517189599999999"/>
    <n v="1"/>
    <n v="-730"/>
    <n v="180"/>
  </r>
  <r>
    <x v="29"/>
    <s v="conventional_turnover_incentive_-533"/>
    <x v="1639"/>
    <n v="0.73519186299999995"/>
    <n v="1"/>
    <n v="-730"/>
    <n v="180"/>
  </r>
  <r>
    <x v="29"/>
    <s v="conventional_turnover_incentive_-532"/>
    <x v="1640"/>
    <n v="0.73521203199999996"/>
    <n v="1"/>
    <n v="-730"/>
    <n v="180"/>
  </r>
  <r>
    <x v="29"/>
    <s v="conventional_turnover_incentive_-531"/>
    <x v="1641"/>
    <n v="0.73523240899999998"/>
    <n v="1"/>
    <n v="-730"/>
    <n v="180"/>
  </r>
  <r>
    <x v="29"/>
    <s v="conventional_turnover_incentive_-530"/>
    <x v="1642"/>
    <n v="0.73525300000000005"/>
    <n v="1"/>
    <n v="-730"/>
    <n v="180"/>
  </r>
  <r>
    <x v="29"/>
    <s v="conventional_turnover_incentive_-529"/>
    <x v="1643"/>
    <n v="0.735273811"/>
    <n v="1"/>
    <n v="-730"/>
    <n v="180"/>
  </r>
  <r>
    <x v="29"/>
    <s v="conventional_turnover_incentive_-528"/>
    <x v="1644"/>
    <n v="0.735294848"/>
    <n v="1"/>
    <n v="-730"/>
    <n v="180"/>
  </r>
  <r>
    <x v="29"/>
    <s v="conventional_turnover_incentive_-527"/>
    <x v="1645"/>
    <n v="0.73531611699999999"/>
    <n v="1"/>
    <n v="-730"/>
    <n v="180"/>
  </r>
  <r>
    <x v="29"/>
    <s v="conventional_turnover_incentive_-526"/>
    <x v="1646"/>
    <n v="0.73533762400000002"/>
    <n v="1"/>
    <n v="-730"/>
    <n v="180"/>
  </r>
  <r>
    <x v="29"/>
    <s v="conventional_turnover_incentive_-525"/>
    <x v="1647"/>
    <n v="0.73535937500000004"/>
    <n v="1"/>
    <n v="-730"/>
    <n v="180"/>
  </r>
  <r>
    <x v="29"/>
    <s v="conventional_turnover_incentive_-524"/>
    <x v="1648"/>
    <n v="0.73538137599999998"/>
    <n v="1"/>
    <n v="-730"/>
    <n v="180"/>
  </r>
  <r>
    <x v="29"/>
    <s v="conventional_turnover_incentive_-523"/>
    <x v="1649"/>
    <n v="0.735403633"/>
    <n v="1"/>
    <n v="-730"/>
    <n v="180"/>
  </r>
  <r>
    <x v="29"/>
    <s v="conventional_turnover_incentive_-522"/>
    <x v="1650"/>
    <n v="0.73542615200000006"/>
    <n v="1"/>
    <n v="-730"/>
    <n v="180"/>
  </r>
  <r>
    <x v="29"/>
    <s v="conventional_turnover_incentive_-521"/>
    <x v="1651"/>
    <n v="0.73544893899999997"/>
    <n v="1"/>
    <n v="-730"/>
    <n v="180"/>
  </r>
  <r>
    <x v="29"/>
    <s v="conventional_turnover_incentive_-520"/>
    <x v="1652"/>
    <n v="0.73547200000000001"/>
    <n v="1"/>
    <n v="-730"/>
    <n v="180"/>
  </r>
  <r>
    <x v="29"/>
    <s v="conventional_turnover_incentive_-519"/>
    <x v="1653"/>
    <n v="0.73549534100000002"/>
    <n v="1"/>
    <n v="-730"/>
    <n v="180"/>
  </r>
  <r>
    <x v="29"/>
    <s v="conventional_turnover_incentive_-518"/>
    <x v="1654"/>
    <n v="0.73551896800000005"/>
    <n v="1"/>
    <n v="-730"/>
    <n v="180"/>
  </r>
  <r>
    <x v="29"/>
    <s v="conventional_turnover_incentive_-517"/>
    <x v="1655"/>
    <n v="0.73554288700000003"/>
    <n v="1"/>
    <n v="-730"/>
    <n v="180"/>
  </r>
  <r>
    <x v="29"/>
    <s v="conventional_turnover_incentive_-516"/>
    <x v="1656"/>
    <n v="0.73556710400000003"/>
    <n v="1"/>
    <n v="-730"/>
    <n v="180"/>
  </r>
  <r>
    <x v="29"/>
    <s v="conventional_turnover_incentive_-515"/>
    <x v="1657"/>
    <n v="0.73559162499999997"/>
    <n v="1"/>
    <n v="-730"/>
    <n v="180"/>
  </r>
  <r>
    <x v="29"/>
    <s v="conventional_turnover_incentive_-514"/>
    <x v="1658"/>
    <n v="0.73561645600000003"/>
    <n v="1"/>
    <n v="-730"/>
    <n v="180"/>
  </r>
  <r>
    <x v="29"/>
    <s v="conventional_turnover_incentive_-513"/>
    <x v="1659"/>
    <n v="0.73564160300000003"/>
    <n v="1"/>
    <n v="-730"/>
    <n v="180"/>
  </r>
  <r>
    <x v="29"/>
    <s v="conventional_turnover_incentive_-512"/>
    <x v="1660"/>
    <n v="0.73566707200000003"/>
    <n v="1"/>
    <n v="-730"/>
    <n v="180"/>
  </r>
  <r>
    <x v="29"/>
    <s v="conventional_turnover_incentive_-511"/>
    <x v="1661"/>
    <n v="0.73569286899999997"/>
    <n v="1"/>
    <n v="-730"/>
    <n v="180"/>
  </r>
  <r>
    <x v="29"/>
    <s v="conventional_turnover_incentive_-510"/>
    <x v="1662"/>
    <n v="0.73571900000000001"/>
    <n v="1"/>
    <n v="-730"/>
    <n v="180"/>
  </r>
  <r>
    <x v="29"/>
    <s v="conventional_turnover_incentive_-509"/>
    <x v="1663"/>
    <n v="0.73574547099999998"/>
    <n v="1"/>
    <n v="-730"/>
    <n v="180"/>
  </r>
  <r>
    <x v="29"/>
    <s v="conventional_turnover_incentive_-508"/>
    <x v="1664"/>
    <n v="0.73577228800000005"/>
    <n v="1"/>
    <n v="-730"/>
    <n v="180"/>
  </r>
  <r>
    <x v="29"/>
    <s v="conventional_turnover_incentive_-507"/>
    <x v="1665"/>
    <n v="0.73579945700000005"/>
    <n v="1"/>
    <n v="-730"/>
    <n v="180"/>
  </r>
  <r>
    <x v="29"/>
    <s v="conventional_turnover_incentive_-506"/>
    <x v="1666"/>
    <n v="0.73582698400000002"/>
    <n v="1"/>
    <n v="-730"/>
    <n v="180"/>
  </r>
  <r>
    <x v="29"/>
    <s v="conventional_turnover_incentive_-505"/>
    <x v="1667"/>
    <n v="0.73585487500000002"/>
    <n v="1"/>
    <n v="-730"/>
    <n v="180"/>
  </r>
  <r>
    <x v="29"/>
    <s v="conventional_turnover_incentive_-504"/>
    <x v="1668"/>
    <n v="0.73588313599999999"/>
    <n v="1"/>
    <n v="-730"/>
    <n v="180"/>
  </r>
  <r>
    <x v="29"/>
    <s v="conventional_turnover_incentive_-503"/>
    <x v="1669"/>
    <n v="0.73591177299999999"/>
    <n v="1"/>
    <n v="-730"/>
    <n v="180"/>
  </r>
  <r>
    <x v="29"/>
    <s v="conventional_turnover_incentive_-502"/>
    <x v="1670"/>
    <n v="0.73594079199999995"/>
    <n v="1"/>
    <n v="-730"/>
    <n v="180"/>
  </r>
  <r>
    <x v="29"/>
    <s v="conventional_turnover_incentive_-501"/>
    <x v="1671"/>
    <n v="0.73597019900000005"/>
    <n v="1"/>
    <n v="-730"/>
    <n v="180"/>
  </r>
  <r>
    <x v="29"/>
    <s v="conventional_turnover_incentive_-500"/>
    <x v="1258"/>
    <n v="0.73599999999999999"/>
    <n v="1"/>
    <n v="-730"/>
    <n v="180"/>
  </r>
  <r>
    <x v="29"/>
    <s v="conventional_turnover_incentive_-499"/>
    <x v="1672"/>
    <n v="0.73602955550000004"/>
    <n v="1"/>
    <n v="-730"/>
    <n v="180"/>
  </r>
  <r>
    <x v="29"/>
    <s v="conventional_turnover_incentive_-498"/>
    <x v="1673"/>
    <n v="0.73605824399999997"/>
    <n v="1"/>
    <n v="-730"/>
    <n v="180"/>
  </r>
  <r>
    <x v="29"/>
    <s v="conventional_turnover_incentive_-497"/>
    <x v="1674"/>
    <n v="0.73608609849999995"/>
    <n v="1"/>
    <n v="-730"/>
    <n v="180"/>
  </r>
  <r>
    <x v="29"/>
    <s v="conventional_turnover_incentive_-496"/>
    <x v="1675"/>
    <n v="0.73611315200000005"/>
    <n v="1"/>
    <n v="-730"/>
    <n v="180"/>
  </r>
  <r>
    <x v="29"/>
    <s v="conventional_turnover_incentive_-495"/>
    <x v="1676"/>
    <n v="0.73613943749999999"/>
    <n v="1"/>
    <n v="-730"/>
    <n v="180"/>
  </r>
  <r>
    <x v="29"/>
    <s v="conventional_turnover_incentive_-494"/>
    <x v="1677"/>
    <n v="0.73616498799999996"/>
    <n v="1"/>
    <n v="-730"/>
    <n v="180"/>
  </r>
  <r>
    <x v="29"/>
    <s v="conventional_turnover_incentive_-493"/>
    <x v="1678"/>
    <n v="0.73618983650000003"/>
    <n v="1"/>
    <n v="-730"/>
    <n v="180"/>
  </r>
  <r>
    <x v="29"/>
    <s v="conventional_turnover_incentive_-492"/>
    <x v="1679"/>
    <n v="0.73621401600000003"/>
    <n v="1"/>
    <n v="-730"/>
    <n v="180"/>
  </r>
  <r>
    <x v="29"/>
    <s v="conventional_turnover_incentive_-491"/>
    <x v="1680"/>
    <n v="0.73623755950000003"/>
    <n v="1"/>
    <n v="-730"/>
    <n v="180"/>
  </r>
  <r>
    <x v="29"/>
    <s v="conventional_turnover_incentive_-490"/>
    <x v="1681"/>
    <n v="0.73626049999999998"/>
    <n v="1"/>
    <n v="-730"/>
    <n v="180"/>
  </r>
  <r>
    <x v="29"/>
    <s v="conventional_turnover_incentive_-489"/>
    <x v="1682"/>
    <n v="0.73628287049999996"/>
    <n v="1"/>
    <n v="-730"/>
    <n v="180"/>
  </r>
  <r>
    <x v="29"/>
    <s v="conventional_turnover_incentive_-488"/>
    <x v="1683"/>
    <n v="0.73630470400000003"/>
    <n v="1"/>
    <n v="-730"/>
    <n v="180"/>
  </r>
  <r>
    <x v="29"/>
    <s v="conventional_turnover_incentive_-487"/>
    <x v="1684"/>
    <n v="0.73632603350000003"/>
    <n v="1"/>
    <n v="-730"/>
    <n v="180"/>
  </r>
  <r>
    <x v="29"/>
    <s v="conventional_turnover_incentive_-486"/>
    <x v="1685"/>
    <n v="0.73634689200000003"/>
    <n v="1"/>
    <n v="-730"/>
    <n v="180"/>
  </r>
  <r>
    <x v="29"/>
    <s v="conventional_turnover_incentive_-485"/>
    <x v="1686"/>
    <n v="0.73636731249999998"/>
    <n v="1"/>
    <n v="-730"/>
    <n v="180"/>
  </r>
  <r>
    <x v="29"/>
    <s v="conventional_turnover_incentive_-484"/>
    <x v="1687"/>
    <n v="0.73638732799999995"/>
    <n v="1"/>
    <n v="-730"/>
    <n v="180"/>
  </r>
  <r>
    <x v="29"/>
    <s v="conventional_turnover_incentive_-483"/>
    <x v="1688"/>
    <n v="0.73640697150000001"/>
    <n v="1"/>
    <n v="-730"/>
    <n v="180"/>
  </r>
  <r>
    <x v="29"/>
    <s v="conventional_turnover_incentive_-482"/>
    <x v="1689"/>
    <n v="0.73642627599999999"/>
    <n v="1"/>
    <n v="-730"/>
    <n v="180"/>
  </r>
  <r>
    <x v="29"/>
    <s v="conventional_turnover_incentive_-481"/>
    <x v="1690"/>
    <n v="0.73644527449999997"/>
    <n v="1"/>
    <n v="-730"/>
    <n v="180"/>
  </r>
  <r>
    <x v="29"/>
    <s v="conventional_turnover_incentive_-480"/>
    <x v="1691"/>
    <n v="0.73646400000000001"/>
    <n v="1"/>
    <n v="-730"/>
    <n v="180"/>
  </r>
  <r>
    <x v="29"/>
    <s v="conventional_turnover_incentive_-479"/>
    <x v="1692"/>
    <n v="0.73648248549999995"/>
    <n v="1"/>
    <n v="-730"/>
    <n v="180"/>
  </r>
  <r>
    <x v="29"/>
    <s v="conventional_turnover_incentive_-478"/>
    <x v="1693"/>
    <n v="0.73650076399999997"/>
    <n v="1"/>
    <n v="-730"/>
    <n v="180"/>
  </r>
  <r>
    <x v="29"/>
    <s v="conventional_turnover_incentive_-477"/>
    <x v="1694"/>
    <n v="0.73651886850000003"/>
    <n v="1"/>
    <n v="-730"/>
    <n v="180"/>
  </r>
  <r>
    <x v="29"/>
    <s v="conventional_turnover_incentive_-476"/>
    <x v="1695"/>
    <n v="0.73653683199999997"/>
    <n v="1"/>
    <n v="-730"/>
    <n v="180"/>
  </r>
  <r>
    <x v="29"/>
    <s v="conventional_turnover_incentive_-475"/>
    <x v="1696"/>
    <n v="0.73655468749999997"/>
    <n v="1"/>
    <n v="-730"/>
    <n v="180"/>
  </r>
  <r>
    <x v="29"/>
    <s v="conventional_turnover_incentive_-474"/>
    <x v="1697"/>
    <n v="0.73657246799999998"/>
    <n v="1"/>
    <n v="-730"/>
    <n v="180"/>
  </r>
  <r>
    <x v="29"/>
    <s v="conventional_turnover_incentive_-473"/>
    <x v="1698"/>
    <n v="0.73659020649999996"/>
    <n v="1"/>
    <n v="-730"/>
    <n v="180"/>
  </r>
  <r>
    <x v="29"/>
    <s v="conventional_turnover_incentive_-472"/>
    <x v="1699"/>
    <n v="0.73660793599999996"/>
    <n v="1"/>
    <n v="-730"/>
    <n v="180"/>
  </r>
  <r>
    <x v="29"/>
    <s v="conventional_turnover_incentive_-471"/>
    <x v="1700"/>
    <n v="0.73662568949999996"/>
    <n v="1"/>
    <n v="-730"/>
    <n v="180"/>
  </r>
  <r>
    <x v="29"/>
    <s v="conventional_turnover_incentive_-470"/>
    <x v="1701"/>
    <n v="0.73664350000000001"/>
    <n v="1"/>
    <n v="-730"/>
    <n v="180"/>
  </r>
  <r>
    <x v="29"/>
    <s v="conventional_turnover_incentive_-469"/>
    <x v="1702"/>
    <n v="0.73666140049999995"/>
    <n v="1"/>
    <n v="-730"/>
    <n v="180"/>
  </r>
  <r>
    <x v="29"/>
    <s v="conventional_turnover_incentive_-468"/>
    <x v="1703"/>
    <n v="0.73667942399999997"/>
    <n v="1"/>
    <n v="-730"/>
    <n v="180"/>
  </r>
  <r>
    <x v="29"/>
    <s v="conventional_turnover_incentive_-467"/>
    <x v="1704"/>
    <n v="0.73669760350000002"/>
    <n v="1"/>
    <n v="-730"/>
    <n v="180"/>
  </r>
  <r>
    <x v="29"/>
    <s v="conventional_turnover_incentive_-466"/>
    <x v="1705"/>
    <n v="0.73671597200000005"/>
    <n v="1"/>
    <n v="-730"/>
    <n v="180"/>
  </r>
  <r>
    <x v="29"/>
    <s v="conventional_turnover_incentive_-465"/>
    <x v="1706"/>
    <n v="0.73673456250000002"/>
    <n v="1"/>
    <n v="-730"/>
    <n v="180"/>
  </r>
  <r>
    <x v="29"/>
    <s v="conventional_turnover_incentive_-464"/>
    <x v="1707"/>
    <n v="0.736753408"/>
    <n v="1"/>
    <n v="-730"/>
    <n v="180"/>
  </r>
  <r>
    <x v="29"/>
    <s v="conventional_turnover_incentive_-463"/>
    <x v="1708"/>
    <n v="0.73677254150000004"/>
    <n v="1"/>
    <n v="-730"/>
    <n v="180"/>
  </r>
  <r>
    <x v="29"/>
    <s v="conventional_turnover_incentive_-462"/>
    <x v="1709"/>
    <n v="0.736791996"/>
    <n v="1"/>
    <n v="-730"/>
    <n v="180"/>
  </r>
  <r>
    <x v="29"/>
    <s v="conventional_turnover_incentive_-461"/>
    <x v="1710"/>
    <n v="0.73681180449999994"/>
    <n v="1"/>
    <n v="-730"/>
    <n v="180"/>
  </r>
  <r>
    <x v="29"/>
    <s v="conventional_turnover_incentive_-460"/>
    <x v="1711"/>
    <n v="0.73683200000000004"/>
    <n v="1"/>
    <n v="-730"/>
    <n v="180"/>
  </r>
  <r>
    <x v="29"/>
    <s v="conventional_turnover_incentive_-459"/>
    <x v="1712"/>
    <n v="0.73685261550000003"/>
    <n v="1"/>
    <n v="-730"/>
    <n v="180"/>
  </r>
  <r>
    <x v="29"/>
    <s v="conventional_turnover_incentive_-458"/>
    <x v="1713"/>
    <n v="0.73687368399999997"/>
    <n v="1"/>
    <n v="-730"/>
    <n v="180"/>
  </r>
  <r>
    <x v="29"/>
    <s v="conventional_turnover_incentive_-457"/>
    <x v="1714"/>
    <n v="0.73689523850000005"/>
    <n v="1"/>
    <n v="-730"/>
    <n v="180"/>
  </r>
  <r>
    <x v="29"/>
    <s v="conventional_turnover_incentive_-456"/>
    <x v="1715"/>
    <n v="0.73691731199999999"/>
    <n v="1"/>
    <n v="-730"/>
    <n v="180"/>
  </r>
  <r>
    <x v="29"/>
    <s v="conventional_turnover_incentive_-455"/>
    <x v="1716"/>
    <n v="0.73693993749999998"/>
    <n v="1"/>
    <n v="-730"/>
    <n v="180"/>
  </r>
  <r>
    <x v="29"/>
    <s v="conventional_turnover_incentive_-454"/>
    <x v="1717"/>
    <n v="0.73696314799999996"/>
    <n v="1"/>
    <n v="-730"/>
    <n v="180"/>
  </r>
  <r>
    <x v="29"/>
    <s v="conventional_turnover_incentive_-453"/>
    <x v="1718"/>
    <n v="0.7369869765"/>
    <n v="1"/>
    <n v="-730"/>
    <n v="180"/>
  </r>
  <r>
    <x v="29"/>
    <s v="conventional_turnover_incentive_-452"/>
    <x v="1719"/>
    <n v="0.73701145599999995"/>
    <n v="1"/>
    <n v="-730"/>
    <n v="180"/>
  </r>
  <r>
    <x v="29"/>
    <s v="conventional_turnover_incentive_-451"/>
    <x v="1720"/>
    <n v="0.73703661949999999"/>
    <n v="1"/>
    <n v="-730"/>
    <n v="180"/>
  </r>
  <r>
    <x v="29"/>
    <s v="conventional_turnover_incentive_-450"/>
    <x v="1721"/>
    <n v="0.73706249999999995"/>
    <n v="1"/>
    <n v="-730"/>
    <n v="180"/>
  </r>
  <r>
    <x v="29"/>
    <s v="conventional_turnover_incentive_-449"/>
    <x v="1722"/>
    <n v="0.73708913050000002"/>
    <n v="1"/>
    <n v="-730"/>
    <n v="180"/>
  </r>
  <r>
    <x v="29"/>
    <s v="conventional_turnover_incentive_-448"/>
    <x v="1723"/>
    <n v="0.73711654400000004"/>
    <n v="1"/>
    <n v="-730"/>
    <n v="180"/>
  </r>
  <r>
    <x v="29"/>
    <s v="conventional_turnover_incentive_-447"/>
    <x v="1724"/>
    <n v="0.73714477349999996"/>
    <n v="1"/>
    <n v="-730"/>
    <n v="180"/>
  </r>
  <r>
    <x v="29"/>
    <s v="conventional_turnover_incentive_-446"/>
    <x v="1725"/>
    <n v="0.73717385199999996"/>
    <n v="1"/>
    <n v="-730"/>
    <n v="180"/>
  </r>
  <r>
    <x v="29"/>
    <s v="conventional_turnover_incentive_-445"/>
    <x v="1726"/>
    <n v="0.7372038125"/>
    <n v="1"/>
    <n v="-730"/>
    <n v="180"/>
  </r>
  <r>
    <x v="29"/>
    <s v="conventional_turnover_incentive_-444"/>
    <x v="1727"/>
    <n v="0.73723468800000003"/>
    <n v="1"/>
    <n v="-730"/>
    <n v="180"/>
  </r>
  <r>
    <x v="29"/>
    <s v="conventional_turnover_incentive_-443"/>
    <x v="1728"/>
    <n v="0.7372665115"/>
    <n v="1"/>
    <n v="-730"/>
    <n v="180"/>
  </r>
  <r>
    <x v="29"/>
    <s v="conventional_turnover_incentive_-442"/>
    <x v="1729"/>
    <n v="0.73729931599999998"/>
    <n v="1"/>
    <n v="-730"/>
    <n v="180"/>
  </r>
  <r>
    <x v="29"/>
    <s v="conventional_turnover_incentive_-441"/>
    <x v="1730"/>
    <n v="0.73733313450000004"/>
    <n v="1"/>
    <n v="-730"/>
    <n v="180"/>
  </r>
  <r>
    <x v="29"/>
    <s v="conventional_turnover_incentive_-440"/>
    <x v="1731"/>
    <n v="0.73736800000000002"/>
    <n v="1"/>
    <n v="-730"/>
    <n v="180"/>
  </r>
  <r>
    <x v="29"/>
    <s v="conventional_turnover_incentive_-439"/>
    <x v="1732"/>
    <n v="0.73740394549999999"/>
    <n v="1"/>
    <n v="-730"/>
    <n v="180"/>
  </r>
  <r>
    <x v="29"/>
    <s v="conventional_turnover_incentive_-438"/>
    <x v="1733"/>
    <n v="0.73744100400000001"/>
    <n v="1"/>
    <n v="-730"/>
    <n v="180"/>
  </r>
  <r>
    <x v="29"/>
    <s v="conventional_turnover_incentive_-437"/>
    <x v="1734"/>
    <n v="0.73747920850000004"/>
    <n v="1"/>
    <n v="-730"/>
    <n v="180"/>
  </r>
  <r>
    <x v="29"/>
    <s v="conventional_turnover_incentive_-436"/>
    <x v="1735"/>
    <n v="0.73751859200000003"/>
    <n v="1"/>
    <n v="-730"/>
    <n v="180"/>
  </r>
  <r>
    <x v="29"/>
    <s v="conventional_turnover_incentive_-435"/>
    <x v="1736"/>
    <n v="0.73755918750000005"/>
    <n v="1"/>
    <n v="-730"/>
    <n v="180"/>
  </r>
  <r>
    <x v="29"/>
    <s v="conventional_turnover_incentive_-434"/>
    <x v="1737"/>
    <n v="0.73760102800000005"/>
    <n v="1"/>
    <n v="-730"/>
    <n v="180"/>
  </r>
  <r>
    <x v="29"/>
    <s v="conventional_turnover_incentive_-433"/>
    <x v="1738"/>
    <n v="0.73764414649999999"/>
    <n v="1"/>
    <n v="-730"/>
    <n v="180"/>
  </r>
  <r>
    <x v="29"/>
    <s v="conventional_turnover_incentive_-432"/>
    <x v="1739"/>
    <n v="0.73768857600000004"/>
    <n v="1"/>
    <n v="-730"/>
    <n v="180"/>
  </r>
  <r>
    <x v="29"/>
    <s v="conventional_turnover_incentive_-431"/>
    <x v="1740"/>
    <n v="0.73773434950000005"/>
    <n v="1"/>
    <n v="-730"/>
    <n v="180"/>
  </r>
  <r>
    <x v="29"/>
    <s v="conventional_turnover_incentive_-430"/>
    <x v="1741"/>
    <n v="0.73778149999999998"/>
    <n v="1"/>
    <n v="-730"/>
    <n v="180"/>
  </r>
  <r>
    <x v="29"/>
    <s v="conventional_turnover_incentive_-429"/>
    <x v="1742"/>
    <n v="0.7378300605"/>
    <n v="1"/>
    <n v="-730"/>
    <n v="180"/>
  </r>
  <r>
    <x v="29"/>
    <s v="conventional_turnover_incentive_-428"/>
    <x v="1743"/>
    <n v="0.73788006399999995"/>
    <n v="1"/>
    <n v="-730"/>
    <n v="180"/>
  </r>
  <r>
    <x v="29"/>
    <s v="conventional_turnover_incentive_-427"/>
    <x v="1744"/>
    <n v="0.73793154350000001"/>
    <n v="1"/>
    <n v="-730"/>
    <n v="180"/>
  </r>
  <r>
    <x v="29"/>
    <s v="conventional_turnover_incentive_-426"/>
    <x v="1745"/>
    <n v="0.73798453200000003"/>
    <n v="1"/>
    <n v="-730"/>
    <n v="180"/>
  </r>
  <r>
    <x v="29"/>
    <s v="conventional_turnover_incentive_-425"/>
    <x v="1746"/>
    <n v="0.73803906249999995"/>
    <n v="1"/>
    <n v="-730"/>
    <n v="180"/>
  </r>
  <r>
    <x v="29"/>
    <s v="conventional_turnover_incentive_-424"/>
    <x v="1747"/>
    <n v="0.73809516799999997"/>
    <n v="1"/>
    <n v="-730"/>
    <n v="180"/>
  </r>
  <r>
    <x v="29"/>
    <s v="conventional_turnover_incentive_-423"/>
    <x v="1748"/>
    <n v="0.73815288150000002"/>
    <n v="1"/>
    <n v="-730"/>
    <n v="180"/>
  </r>
  <r>
    <x v="29"/>
    <s v="conventional_turnover_incentive_-422"/>
    <x v="1749"/>
    <n v="0.73821223599999997"/>
    <n v="1"/>
    <n v="-730"/>
    <n v="180"/>
  </r>
  <r>
    <x v="29"/>
    <s v="conventional_turnover_incentive_-421"/>
    <x v="1750"/>
    <n v="0.73827326449999997"/>
    <n v="1"/>
    <n v="-730"/>
    <n v="180"/>
  </r>
  <r>
    <x v="29"/>
    <s v="conventional_turnover_incentive_-420"/>
    <x v="1751"/>
    <n v="0.73833599999999999"/>
    <n v="1"/>
    <n v="-730"/>
    <n v="180"/>
  </r>
  <r>
    <x v="29"/>
    <s v="conventional_turnover_incentive_-419"/>
    <x v="1752"/>
    <n v="0.73840047549999999"/>
    <n v="1"/>
    <n v="-730"/>
    <n v="180"/>
  </r>
  <r>
    <x v="29"/>
    <s v="conventional_turnover_incentive_-418"/>
    <x v="1753"/>
    <n v="0.73846672400000002"/>
    <n v="1"/>
    <n v="-730"/>
    <n v="180"/>
  </r>
  <r>
    <x v="29"/>
    <s v="conventional_turnover_incentive_-417"/>
    <x v="1754"/>
    <n v="0.73853477850000004"/>
    <n v="1"/>
    <n v="-730"/>
    <n v="180"/>
  </r>
  <r>
    <x v="29"/>
    <s v="conventional_turnover_incentive_-416"/>
    <x v="1755"/>
    <n v="0.73860467200000002"/>
    <n v="1"/>
    <n v="-730"/>
    <n v="180"/>
  </r>
  <r>
    <x v="29"/>
    <s v="conventional_turnover_incentive_-415"/>
    <x v="1756"/>
    <n v="0.7386764375"/>
    <n v="1"/>
    <n v="-730"/>
    <n v="180"/>
  </r>
  <r>
    <x v="29"/>
    <s v="conventional_turnover_incentive_-414"/>
    <x v="1757"/>
    <n v="0.73875010799999996"/>
    <n v="1"/>
    <n v="-730"/>
    <n v="180"/>
  </r>
  <r>
    <x v="29"/>
    <s v="conventional_turnover_incentive_-413"/>
    <x v="1758"/>
    <n v="0.73882571649999995"/>
    <n v="1"/>
    <n v="-730"/>
    <n v="180"/>
  </r>
  <r>
    <x v="29"/>
    <s v="conventional_turnover_incentive_-412"/>
    <x v="1759"/>
    <n v="0.73890329600000004"/>
    <n v="1"/>
    <n v="-730"/>
    <n v="180"/>
  </r>
  <r>
    <x v="29"/>
    <s v="conventional_turnover_incentive_-411"/>
    <x v="1760"/>
    <n v="0.73898287949999997"/>
    <n v="1"/>
    <n v="-730"/>
    <n v="180"/>
  </r>
  <r>
    <x v="29"/>
    <s v="conventional_turnover_incentive_-410"/>
    <x v="1761"/>
    <n v="0.73906450000000001"/>
    <n v="1"/>
    <n v="-730"/>
    <n v="180"/>
  </r>
  <r>
    <x v="29"/>
    <s v="conventional_turnover_incentive_-409"/>
    <x v="1762"/>
    <n v="0.73914819050000002"/>
    <n v="1"/>
    <n v="-730"/>
    <n v="180"/>
  </r>
  <r>
    <x v="29"/>
    <s v="conventional_turnover_incentive_-408"/>
    <x v="1763"/>
    <n v="0.73923398399999996"/>
    <n v="1"/>
    <n v="-730"/>
    <n v="180"/>
  </r>
  <r>
    <x v="29"/>
    <s v="conventional_turnover_incentive_-407"/>
    <x v="1764"/>
    <n v="0.73932191349999998"/>
    <n v="1"/>
    <n v="-730"/>
    <n v="180"/>
  </r>
  <r>
    <x v="29"/>
    <s v="conventional_turnover_incentive_-406"/>
    <x v="1765"/>
    <n v="0.73941201199999995"/>
    <n v="1"/>
    <n v="-730"/>
    <n v="180"/>
  </r>
  <r>
    <x v="29"/>
    <s v="conventional_turnover_incentive_-405"/>
    <x v="1766"/>
    <n v="0.73950431250000004"/>
    <n v="1"/>
    <n v="-730"/>
    <n v="180"/>
  </r>
  <r>
    <x v="29"/>
    <s v="conventional_turnover_incentive_-404"/>
    <x v="1767"/>
    <n v="0.73959884799999998"/>
    <n v="1"/>
    <n v="-730"/>
    <n v="180"/>
  </r>
  <r>
    <x v="29"/>
    <s v="conventional_turnover_incentive_-403"/>
    <x v="1768"/>
    <n v="0.73969565150000005"/>
    <n v="1"/>
    <n v="-730"/>
    <n v="180"/>
  </r>
  <r>
    <x v="29"/>
    <s v="conventional_turnover_incentive_-402"/>
    <x v="1769"/>
    <n v="0.739794756"/>
    <n v="1"/>
    <n v="-730"/>
    <n v="180"/>
  </r>
  <r>
    <x v="29"/>
    <s v="conventional_turnover_incentive_-401"/>
    <x v="1770"/>
    <n v="0.73989619449999999"/>
    <n v="1"/>
    <n v="-730"/>
    <n v="180"/>
  </r>
  <r>
    <x v="29"/>
    <s v="conventional_turnover_incentive_-400"/>
    <x v="1259"/>
    <n v="0.74"/>
    <n v="1"/>
    <n v="-730"/>
    <n v="180"/>
  </r>
  <r>
    <x v="29"/>
    <s v="conventional_turnover_incentive_-399"/>
    <x v="1771"/>
    <n v="0.74010277899999999"/>
    <n v="1"/>
    <n v="-730"/>
    <n v="180"/>
  </r>
  <r>
    <x v="29"/>
    <s v="conventional_turnover_incentive_-398"/>
    <x v="1772"/>
    <n v="0.74020123199999999"/>
    <n v="1"/>
    <n v="-730"/>
    <n v="180"/>
  </r>
  <r>
    <x v="29"/>
    <s v="conventional_turnover_incentive_-397"/>
    <x v="1773"/>
    <n v="0.74029553299999995"/>
    <n v="1"/>
    <n v="-730"/>
    <n v="180"/>
  </r>
  <r>
    <x v="29"/>
    <s v="conventional_turnover_incentive_-396"/>
    <x v="1774"/>
    <n v="0.74038585599999995"/>
    <n v="1"/>
    <n v="-730"/>
    <n v="180"/>
  </r>
  <r>
    <x v="29"/>
    <s v="conventional_turnover_incentive_-395"/>
    <x v="1775"/>
    <n v="0.74047237499999996"/>
    <n v="1"/>
    <n v="-730"/>
    <n v="180"/>
  </r>
  <r>
    <x v="29"/>
    <s v="conventional_turnover_incentive_-394"/>
    <x v="1776"/>
    <n v="0.74055526400000005"/>
    <n v="1"/>
    <n v="-730"/>
    <n v="180"/>
  </r>
  <r>
    <x v="29"/>
    <s v="conventional_turnover_incentive_-393"/>
    <x v="1777"/>
    <n v="0.74063469699999995"/>
    <n v="1"/>
    <n v="-730"/>
    <n v="180"/>
  </r>
  <r>
    <x v="29"/>
    <s v="conventional_turnover_incentive_-392"/>
    <x v="1778"/>
    <n v="0.74071084799999998"/>
    <n v="1"/>
    <n v="-730"/>
    <n v="180"/>
  </r>
  <r>
    <x v="29"/>
    <s v="conventional_turnover_incentive_-391"/>
    <x v="1779"/>
    <n v="0.74078389099999997"/>
    <n v="1"/>
    <n v="-730"/>
    <n v="180"/>
  </r>
  <r>
    <x v="29"/>
    <s v="conventional_turnover_incentive_-390"/>
    <x v="1780"/>
    <n v="0.74085400000000001"/>
    <n v="1"/>
    <n v="-730"/>
    <n v="180"/>
  </r>
  <r>
    <x v="29"/>
    <s v="conventional_turnover_incentive_-389"/>
    <x v="1781"/>
    <n v="0.74092134899999995"/>
    <n v="1"/>
    <n v="-730"/>
    <n v="180"/>
  </r>
  <r>
    <x v="29"/>
    <s v="conventional_turnover_incentive_-388"/>
    <x v="1782"/>
    <n v="0.74098611199999997"/>
    <n v="1"/>
    <n v="-730"/>
    <n v="180"/>
  </r>
  <r>
    <x v="29"/>
    <s v="conventional_turnover_incentive_-387"/>
    <x v="1783"/>
    <n v="0.74104846300000005"/>
    <n v="1"/>
    <n v="-730"/>
    <n v="180"/>
  </r>
  <r>
    <x v="29"/>
    <s v="conventional_turnover_incentive_-386"/>
    <x v="1784"/>
    <n v="0.74110857600000002"/>
    <n v="1"/>
    <n v="-730"/>
    <n v="180"/>
  </r>
  <r>
    <x v="29"/>
    <s v="conventional_turnover_incentive_-385"/>
    <x v="1785"/>
    <n v="0.74116662499999997"/>
    <n v="1"/>
    <n v="-730"/>
    <n v="180"/>
  </r>
  <r>
    <x v="29"/>
    <s v="conventional_turnover_incentive_-384"/>
    <x v="1786"/>
    <n v="0.74122278399999997"/>
    <n v="1"/>
    <n v="-730"/>
    <n v="180"/>
  </r>
  <r>
    <x v="29"/>
    <s v="conventional_turnover_incentive_-383"/>
    <x v="1787"/>
    <n v="0.74127722699999998"/>
    <n v="1"/>
    <n v="-730"/>
    <n v="180"/>
  </r>
  <r>
    <x v="29"/>
    <s v="conventional_turnover_incentive_-382"/>
    <x v="1788"/>
    <n v="0.74133012799999998"/>
    <n v="1"/>
    <n v="-730"/>
    <n v="180"/>
  </r>
  <r>
    <x v="29"/>
    <s v="conventional_turnover_incentive_-381"/>
    <x v="1789"/>
    <n v="0.74138166100000003"/>
    <n v="1"/>
    <n v="-730"/>
    <n v="180"/>
  </r>
  <r>
    <x v="29"/>
    <s v="conventional_turnover_incentive_-380"/>
    <x v="1790"/>
    <n v="0.74143199999999998"/>
    <n v="1"/>
    <n v="-730"/>
    <n v="180"/>
  </r>
  <r>
    <x v="29"/>
    <s v="conventional_turnover_incentive_-379"/>
    <x v="1791"/>
    <n v="0.74148131900000003"/>
    <n v="1"/>
    <n v="-730"/>
    <n v="180"/>
  </r>
  <r>
    <x v="29"/>
    <s v="conventional_turnover_incentive_-378"/>
    <x v="1792"/>
    <n v="0.74152979200000002"/>
    <n v="1"/>
    <n v="-730"/>
    <n v="180"/>
  </r>
  <r>
    <x v="29"/>
    <s v="conventional_turnover_incentive_-377"/>
    <x v="1793"/>
    <n v="0.74157759300000003"/>
    <n v="1"/>
    <n v="-730"/>
    <n v="180"/>
  </r>
  <r>
    <x v="29"/>
    <s v="conventional_turnover_incentive_-376"/>
    <x v="1794"/>
    <n v="0.74162489600000003"/>
    <n v="1"/>
    <n v="-730"/>
    <n v="180"/>
  </r>
  <r>
    <x v="29"/>
    <s v="conventional_turnover_incentive_-375"/>
    <x v="1795"/>
    <n v="0.74167187499999998"/>
    <n v="1"/>
    <n v="-730"/>
    <n v="180"/>
  </r>
  <r>
    <x v="29"/>
    <s v="conventional_turnover_incentive_-374"/>
    <x v="1796"/>
    <n v="0.74171870399999995"/>
    <n v="1"/>
    <n v="-730"/>
    <n v="180"/>
  </r>
  <r>
    <x v="29"/>
    <s v="conventional_turnover_incentive_-373"/>
    <x v="1797"/>
    <n v="0.74176555700000002"/>
    <n v="1"/>
    <n v="-730"/>
    <n v="180"/>
  </r>
  <r>
    <x v="29"/>
    <s v="conventional_turnover_incentive_-372"/>
    <x v="1798"/>
    <n v="0.74181260800000004"/>
    <n v="1"/>
    <n v="-730"/>
    <n v="180"/>
  </r>
  <r>
    <x v="29"/>
    <s v="conventional_turnover_incentive_-371"/>
    <x v="1799"/>
    <n v="0.74186003099999998"/>
    <n v="1"/>
    <n v="-730"/>
    <n v="180"/>
  </r>
  <r>
    <x v="29"/>
    <s v="conventional_turnover_incentive_-370"/>
    <x v="1800"/>
    <n v="0.74190800000000001"/>
    <n v="1"/>
    <n v="-730"/>
    <n v="180"/>
  </r>
  <r>
    <x v="29"/>
    <s v="conventional_turnover_incentive_-369"/>
    <x v="1801"/>
    <n v="0.741956689"/>
    <n v="1"/>
    <n v="-730"/>
    <n v="180"/>
  </r>
  <r>
    <x v="29"/>
    <s v="conventional_turnover_incentive_-368"/>
    <x v="1802"/>
    <n v="0.74200627200000002"/>
    <n v="1"/>
    <n v="-730"/>
    <n v="180"/>
  </r>
  <r>
    <x v="29"/>
    <s v="conventional_turnover_incentive_-367"/>
    <x v="1803"/>
    <n v="0.74205692300000003"/>
    <n v="1"/>
    <n v="-730"/>
    <n v="180"/>
  </r>
  <r>
    <x v="29"/>
    <s v="conventional_turnover_incentive_-366"/>
    <x v="1804"/>
    <n v="0.742108816"/>
    <n v="1"/>
    <n v="-730"/>
    <n v="180"/>
  </r>
  <r>
    <x v="29"/>
    <s v="conventional_turnover_incentive_-365"/>
    <x v="1805"/>
    <n v="0.74216212500000001"/>
    <n v="1"/>
    <n v="-730"/>
    <n v="180"/>
  </r>
  <r>
    <x v="29"/>
    <s v="conventional_turnover_incentive_-364"/>
    <x v="1806"/>
    <n v="0.742217024"/>
    <n v="1"/>
    <n v="-730"/>
    <n v="180"/>
  </r>
  <r>
    <x v="29"/>
    <s v="conventional_turnover_incentive_-363"/>
    <x v="1807"/>
    <n v="0.74227368699999996"/>
    <n v="1"/>
    <n v="-730"/>
    <n v="180"/>
  </r>
  <r>
    <x v="29"/>
    <s v="conventional_turnover_incentive_-362"/>
    <x v="1808"/>
    <n v="0.74233228799999995"/>
    <n v="1"/>
    <n v="-730"/>
    <n v="180"/>
  </r>
  <r>
    <x v="29"/>
    <s v="conventional_turnover_incentive_-361"/>
    <x v="1809"/>
    <n v="0.74239300100000005"/>
    <n v="1"/>
    <n v="-730"/>
    <n v="180"/>
  </r>
  <r>
    <x v="29"/>
    <s v="conventional_turnover_incentive_-360"/>
    <x v="1810"/>
    <n v="0.742456"/>
    <n v="1"/>
    <n v="-730"/>
    <n v="180"/>
  </r>
  <r>
    <x v="29"/>
    <s v="conventional_turnover_incentive_-359"/>
    <x v="1811"/>
    <n v="0.74252145899999999"/>
    <n v="1"/>
    <n v="-730"/>
    <n v="180"/>
  </r>
  <r>
    <x v="29"/>
    <s v="conventional_turnover_incentive_-358"/>
    <x v="1812"/>
    <n v="0.74258955199999999"/>
    <n v="1"/>
    <n v="-730"/>
    <n v="180"/>
  </r>
  <r>
    <x v="29"/>
    <s v="conventional_turnover_incentive_-357"/>
    <x v="1813"/>
    <n v="0.74266045300000005"/>
    <n v="1"/>
    <n v="-730"/>
    <n v="180"/>
  </r>
  <r>
    <x v="29"/>
    <s v="conventional_turnover_incentive_-356"/>
    <x v="1814"/>
    <n v="0.74273433600000005"/>
    <n v="1"/>
    <n v="-730"/>
    <n v="180"/>
  </r>
  <r>
    <x v="29"/>
    <s v="conventional_turnover_incentive_-355"/>
    <x v="1815"/>
    <n v="0.74281137500000005"/>
    <n v="1"/>
    <n v="-730"/>
    <n v="180"/>
  </r>
  <r>
    <x v="29"/>
    <s v="conventional_turnover_incentive_-354"/>
    <x v="1816"/>
    <n v="0.74289174400000002"/>
    <n v="1"/>
    <n v="-730"/>
    <n v="180"/>
  </r>
  <r>
    <x v="29"/>
    <s v="conventional_turnover_incentive_-353"/>
    <x v="1817"/>
    <n v="0.74297561700000003"/>
    <n v="1"/>
    <n v="-730"/>
    <n v="180"/>
  </r>
  <r>
    <x v="29"/>
    <s v="conventional_turnover_incentive_-352"/>
    <x v="1818"/>
    <n v="0.74306316800000005"/>
    <n v="1"/>
    <n v="-730"/>
    <n v="180"/>
  </r>
  <r>
    <x v="29"/>
    <s v="conventional_turnover_incentive_-351"/>
    <x v="1819"/>
    <n v="0.74315457100000004"/>
    <n v="1"/>
    <n v="-730"/>
    <n v="180"/>
  </r>
  <r>
    <x v="29"/>
    <s v="conventional_turnover_incentive_-350"/>
    <x v="1820"/>
    <n v="0.74324999999999997"/>
    <n v="1"/>
    <n v="-730"/>
    <n v="180"/>
  </r>
  <r>
    <x v="29"/>
    <s v="conventional_turnover_incentive_-349"/>
    <x v="1821"/>
    <n v="0.74334962900000001"/>
    <n v="1"/>
    <n v="-730"/>
    <n v="180"/>
  </r>
  <r>
    <x v="29"/>
    <s v="conventional_turnover_incentive_-348"/>
    <x v="1822"/>
    <n v="0.74345363200000003"/>
    <n v="1"/>
    <n v="-730"/>
    <n v="180"/>
  </r>
  <r>
    <x v="29"/>
    <s v="conventional_turnover_incentive_-347"/>
    <x v="1823"/>
    <n v="0.74356218299999999"/>
    <n v="1"/>
    <n v="-730"/>
    <n v="180"/>
  </r>
  <r>
    <x v="29"/>
    <s v="conventional_turnover_incentive_-346"/>
    <x v="1824"/>
    <n v="0.74367545599999996"/>
    <n v="1"/>
    <n v="-730"/>
    <n v="180"/>
  </r>
  <r>
    <x v="29"/>
    <s v="conventional_turnover_incentive_-345"/>
    <x v="1825"/>
    <n v="0.74379362500000001"/>
    <n v="1"/>
    <n v="-730"/>
    <n v="180"/>
  </r>
  <r>
    <x v="29"/>
    <s v="conventional_turnover_incentive_-344"/>
    <x v="1826"/>
    <n v="0.74391686400000001"/>
    <n v="1"/>
    <n v="-730"/>
    <n v="180"/>
  </r>
  <r>
    <x v="29"/>
    <s v="conventional_turnover_incentive_-343"/>
    <x v="1827"/>
    <n v="0.74404534700000002"/>
    <n v="1"/>
    <n v="-730"/>
    <n v="180"/>
  </r>
  <r>
    <x v="29"/>
    <s v="conventional_turnover_incentive_-342"/>
    <x v="1828"/>
    <n v="0.74417924800000002"/>
    <n v="1"/>
    <n v="-730"/>
    <n v="180"/>
  </r>
  <r>
    <x v="29"/>
    <s v="conventional_turnover_incentive_-341"/>
    <x v="1829"/>
    <n v="0.74431874099999995"/>
    <n v="1"/>
    <n v="-730"/>
    <n v="180"/>
  </r>
  <r>
    <x v="29"/>
    <s v="conventional_turnover_incentive_-340"/>
    <x v="1830"/>
    <n v="0.74446400000000001"/>
    <n v="1"/>
    <n v="-730"/>
    <n v="180"/>
  </r>
  <r>
    <x v="29"/>
    <s v="conventional_turnover_incentive_-339"/>
    <x v="1831"/>
    <n v="0.74461519899999995"/>
    <n v="1"/>
    <n v="-730"/>
    <n v="180"/>
  </r>
  <r>
    <x v="29"/>
    <s v="conventional_turnover_incentive_-338"/>
    <x v="1832"/>
    <n v="0.74477251200000005"/>
    <n v="1"/>
    <n v="-730"/>
    <n v="180"/>
  </r>
  <r>
    <x v="29"/>
    <s v="conventional_turnover_incentive_-337"/>
    <x v="1833"/>
    <n v="0.74493611299999996"/>
    <n v="1"/>
    <n v="-730"/>
    <n v="180"/>
  </r>
  <r>
    <x v="29"/>
    <s v="conventional_turnover_incentive_-336"/>
    <x v="1834"/>
    <n v="0.74510617599999995"/>
    <n v="1"/>
    <n v="-730"/>
    <n v="180"/>
  </r>
  <r>
    <x v="29"/>
    <s v="conventional_turnover_incentive_-335"/>
    <x v="1835"/>
    <n v="0.74528287500000001"/>
    <n v="1"/>
    <n v="-730"/>
    <n v="180"/>
  </r>
  <r>
    <x v="29"/>
    <s v="conventional_turnover_incentive_-334"/>
    <x v="1836"/>
    <n v="0.74546638399999998"/>
    <n v="1"/>
    <n v="-730"/>
    <n v="180"/>
  </r>
  <r>
    <x v="29"/>
    <s v="conventional_turnover_incentive_-333"/>
    <x v="1837"/>
    <n v="0.74565687700000005"/>
    <n v="1"/>
    <n v="-730"/>
    <n v="180"/>
  </r>
  <r>
    <x v="29"/>
    <s v="conventional_turnover_incentive_-332"/>
    <x v="1838"/>
    <n v="0.74585452799999996"/>
    <n v="1"/>
    <n v="-730"/>
    <n v="180"/>
  </r>
  <r>
    <x v="29"/>
    <s v="conventional_turnover_incentive_-331"/>
    <x v="1839"/>
    <n v="0.74605951100000001"/>
    <n v="1"/>
    <n v="-730"/>
    <n v="180"/>
  </r>
  <r>
    <x v="29"/>
    <s v="conventional_turnover_incentive_-330"/>
    <x v="1840"/>
    <n v="0.74627200000000005"/>
    <n v="1"/>
    <n v="-730"/>
    <n v="180"/>
  </r>
  <r>
    <x v="29"/>
    <s v="conventional_turnover_incentive_-329"/>
    <x v="1841"/>
    <n v="0.74649216900000004"/>
    <n v="1"/>
    <n v="-730"/>
    <n v="180"/>
  </r>
  <r>
    <x v="29"/>
    <s v="conventional_turnover_incentive_-328"/>
    <x v="1842"/>
    <n v="0.74672019199999995"/>
    <n v="1"/>
    <n v="-730"/>
    <n v="180"/>
  </r>
  <r>
    <x v="29"/>
    <s v="conventional_turnover_incentive_-327"/>
    <x v="1843"/>
    <n v="0.74695624299999996"/>
    <n v="1"/>
    <n v="-730"/>
    <n v="180"/>
  </r>
  <r>
    <x v="29"/>
    <s v="conventional_turnover_incentive_-326"/>
    <x v="1844"/>
    <n v="0.74720049600000005"/>
    <n v="1"/>
    <n v="-730"/>
    <n v="180"/>
  </r>
  <r>
    <x v="29"/>
    <s v="conventional_turnover_incentive_-325"/>
    <x v="1845"/>
    <n v="0.74745312500000005"/>
    <n v="1"/>
    <n v="-730"/>
    <n v="180"/>
  </r>
  <r>
    <x v="29"/>
    <s v="conventional_turnover_incentive_-324"/>
    <x v="1846"/>
    <n v="0.74771430400000005"/>
    <n v="1"/>
    <n v="-730"/>
    <n v="180"/>
  </r>
  <r>
    <x v="29"/>
    <s v="conventional_turnover_incentive_-323"/>
    <x v="1847"/>
    <n v="0.74798420700000001"/>
    <n v="1"/>
    <n v="-730"/>
    <n v="180"/>
  </r>
  <r>
    <x v="29"/>
    <s v="conventional_turnover_incentive_-322"/>
    <x v="1848"/>
    <n v="0.74826300800000001"/>
    <n v="1"/>
    <n v="-730"/>
    <n v="180"/>
  </r>
  <r>
    <x v="29"/>
    <s v="conventional_turnover_incentive_-321"/>
    <x v="1849"/>
    <n v="0.748550881"/>
    <n v="1"/>
    <n v="-730"/>
    <n v="180"/>
  </r>
  <r>
    <x v="29"/>
    <s v="conventional_turnover_incentive_-320"/>
    <x v="1850"/>
    <n v="0.74884799999999996"/>
    <n v="1"/>
    <n v="-730"/>
    <n v="180"/>
  </r>
  <r>
    <x v="29"/>
    <s v="conventional_turnover_incentive_-319"/>
    <x v="1851"/>
    <n v="0.74915453899999995"/>
    <n v="1"/>
    <n v="-730"/>
    <n v="180"/>
  </r>
  <r>
    <x v="29"/>
    <s v="conventional_turnover_incentive_-318"/>
    <x v="1852"/>
    <n v="0.74947067199999995"/>
    <n v="1"/>
    <n v="-730"/>
    <n v="180"/>
  </r>
  <r>
    <x v="29"/>
    <s v="conventional_turnover_incentive_-317"/>
    <x v="1853"/>
    <n v="0.74979657300000002"/>
    <n v="1"/>
    <n v="-730"/>
    <n v="180"/>
  </r>
  <r>
    <x v="29"/>
    <s v="conventional_turnover_incentive_-316"/>
    <x v="1854"/>
    <n v="0.75013241600000002"/>
    <n v="1"/>
    <n v="-730"/>
    <n v="180"/>
  </r>
  <r>
    <x v="29"/>
    <s v="conventional_turnover_incentive_-315"/>
    <x v="1855"/>
    <n v="0.75047837500000003"/>
    <n v="1"/>
    <n v="-730"/>
    <n v="180"/>
  </r>
  <r>
    <x v="29"/>
    <s v="conventional_turnover_incentive_-314"/>
    <x v="1856"/>
    <n v="0.75083462400000001"/>
    <n v="1"/>
    <n v="-730"/>
    <n v="180"/>
  </r>
  <r>
    <x v="29"/>
    <s v="conventional_turnover_incentive_-313"/>
    <x v="1857"/>
    <n v="0.75120133700000002"/>
    <n v="1"/>
    <n v="-730"/>
    <n v="180"/>
  </r>
  <r>
    <x v="29"/>
    <s v="conventional_turnover_incentive_-312"/>
    <x v="1858"/>
    <n v="0.75157868800000005"/>
    <n v="1"/>
    <n v="-730"/>
    <n v="180"/>
  </r>
  <r>
    <x v="29"/>
    <s v="conventional_turnover_incentive_-311"/>
    <x v="1859"/>
    <n v="0.75196685100000005"/>
    <n v="1"/>
    <n v="-730"/>
    <n v="180"/>
  </r>
  <r>
    <x v="29"/>
    <s v="conventional_turnover_incentive_-310"/>
    <x v="1860"/>
    <n v="0.75236599999999998"/>
    <n v="1"/>
    <n v="-730"/>
    <n v="180"/>
  </r>
  <r>
    <x v="29"/>
    <s v="conventional_turnover_incentive_-309"/>
    <x v="1861"/>
    <n v="0.75277630900000003"/>
    <n v="1"/>
    <n v="-730"/>
    <n v="180"/>
  </r>
  <r>
    <x v="29"/>
    <s v="conventional_turnover_incentive_-308"/>
    <x v="1862"/>
    <n v="0.75319795199999995"/>
    <n v="1"/>
    <n v="-730"/>
    <n v="180"/>
  </r>
  <r>
    <x v="29"/>
    <s v="conventional_turnover_incentive_-307"/>
    <x v="1863"/>
    <n v="0.75363110300000002"/>
    <n v="1"/>
    <n v="-730"/>
    <n v="180"/>
  </r>
  <r>
    <x v="29"/>
    <s v="conventional_turnover_incentive_-306"/>
    <x v="1864"/>
    <n v="0.754075936"/>
    <n v="1"/>
    <n v="-730"/>
    <n v="180"/>
  </r>
  <r>
    <x v="29"/>
    <s v="conventional_turnover_incentive_-305"/>
    <x v="1865"/>
    <n v="0.75453262499999996"/>
    <n v="1"/>
    <n v="-730"/>
    <n v="180"/>
  </r>
  <r>
    <x v="29"/>
    <s v="conventional_turnover_incentive_-304"/>
    <x v="1866"/>
    <n v="0.75500134399999996"/>
    <n v="1"/>
    <n v="-730"/>
    <n v="180"/>
  </r>
  <r>
    <x v="29"/>
    <s v="conventional_turnover_incentive_-303"/>
    <x v="1867"/>
    <n v="0.75548226699999999"/>
    <n v="1"/>
    <n v="-730"/>
    <n v="180"/>
  </r>
  <r>
    <x v="29"/>
    <s v="conventional_turnover_incentive_-302"/>
    <x v="1868"/>
    <n v="0.75597556799999999"/>
    <n v="1"/>
    <n v="-730"/>
    <n v="180"/>
  </r>
  <r>
    <x v="29"/>
    <s v="conventional_turnover_incentive_-301"/>
    <x v="1869"/>
    <n v="0.75648142100000004"/>
    <n v="1"/>
    <n v="-730"/>
    <n v="180"/>
  </r>
  <r>
    <x v="29"/>
    <s v="conventional_turnover_incentive_-300"/>
    <x v="1260"/>
    <n v="0.75700000000000001"/>
    <n v="1"/>
    <n v="-730"/>
    <n v="180"/>
  </r>
  <r>
    <x v="29"/>
    <s v="conventional_turnover_incentive_-299"/>
    <x v="1870"/>
    <n v="0.75752652050000002"/>
    <n v="1"/>
    <n v="-730"/>
    <n v="180"/>
  </r>
  <r>
    <x v="29"/>
    <s v="conventional_turnover_incentive_-298"/>
    <x v="1871"/>
    <n v="0.75805616399999998"/>
    <n v="1"/>
    <n v="-730"/>
    <n v="180"/>
  </r>
  <r>
    <x v="29"/>
    <s v="conventional_turnover_incentive_-297"/>
    <x v="1872"/>
    <n v="0.75858905350000005"/>
    <n v="1"/>
    <n v="-730"/>
    <n v="180"/>
  </r>
  <r>
    <x v="29"/>
    <s v="conventional_turnover_incentive_-296"/>
    <x v="1873"/>
    <n v="0.759125312"/>
    <n v="1"/>
    <n v="-730"/>
    <n v="180"/>
  </r>
  <r>
    <x v="29"/>
    <s v="conventional_turnover_incentive_-295"/>
    <x v="1874"/>
    <n v="0.75966506249999999"/>
    <n v="1"/>
    <n v="-730"/>
    <n v="180"/>
  </r>
  <r>
    <x v="29"/>
    <s v="conventional_turnover_incentive_-294"/>
    <x v="1875"/>
    <n v="0.76020842799999999"/>
    <n v="1"/>
    <n v="-730"/>
    <n v="180"/>
  </r>
  <r>
    <x v="29"/>
    <s v="conventional_turnover_incentive_-293"/>
    <x v="1876"/>
    <n v="0.76075553149999997"/>
    <n v="1"/>
    <n v="-730"/>
    <n v="180"/>
  </r>
  <r>
    <x v="29"/>
    <s v="conventional_turnover_incentive_-292"/>
    <x v="1877"/>
    <n v="0.761306496"/>
    <n v="1"/>
    <n v="-730"/>
    <n v="180"/>
  </r>
  <r>
    <x v="29"/>
    <s v="conventional_turnover_incentive_-291"/>
    <x v="1878"/>
    <n v="0.76186144450000004"/>
    <n v="1"/>
    <n v="-730"/>
    <n v="180"/>
  </r>
  <r>
    <x v="29"/>
    <s v="conventional_turnover_incentive_-290"/>
    <x v="981"/>
    <n v="0.76242049999999995"/>
    <n v="1"/>
    <n v="-730"/>
    <n v="180"/>
  </r>
  <r>
    <x v="29"/>
    <s v="conventional_turnover_incentive_-289"/>
    <x v="982"/>
    <n v="0.76298378550000001"/>
    <n v="1"/>
    <n v="-730"/>
    <n v="180"/>
  </r>
  <r>
    <x v="29"/>
    <s v="conventional_turnover_incentive_-288"/>
    <x v="983"/>
    <n v="0.76355142399999998"/>
    <n v="1"/>
    <n v="-730"/>
    <n v="180"/>
  </r>
  <r>
    <x v="29"/>
    <s v="conventional_turnover_incentive_-287"/>
    <x v="984"/>
    <n v="0.76412353850000003"/>
    <n v="1"/>
    <n v="-730"/>
    <n v="180"/>
  </r>
  <r>
    <x v="29"/>
    <s v="conventional_turnover_incentive_-286"/>
    <x v="985"/>
    <n v="0.76470025200000002"/>
    <n v="1"/>
    <n v="-730"/>
    <n v="180"/>
  </r>
  <r>
    <x v="29"/>
    <s v="conventional_turnover_incentive_-285"/>
    <x v="986"/>
    <n v="0.76528168750000003"/>
    <n v="1"/>
    <n v="-730"/>
    <n v="180"/>
  </r>
  <r>
    <x v="29"/>
    <s v="conventional_turnover_incentive_-284"/>
    <x v="987"/>
    <n v="0.76586796800000001"/>
    <n v="1"/>
    <n v="-730"/>
    <n v="180"/>
  </r>
  <r>
    <x v="29"/>
    <s v="conventional_turnover_incentive_-283"/>
    <x v="988"/>
    <n v="0.76645921650000004"/>
    <n v="1"/>
    <n v="-730"/>
    <n v="180"/>
  </r>
  <r>
    <x v="29"/>
    <s v="conventional_turnover_incentive_-282"/>
    <x v="989"/>
    <n v="0.76705555599999997"/>
    <n v="1"/>
    <n v="-730"/>
    <n v="180"/>
  </r>
  <r>
    <x v="29"/>
    <s v="conventional_turnover_incentive_-281"/>
    <x v="990"/>
    <n v="0.76765710949999999"/>
    <n v="1"/>
    <n v="-730"/>
    <n v="180"/>
  </r>
  <r>
    <x v="29"/>
    <s v="conventional_turnover_incentive_-280"/>
    <x v="991"/>
    <n v="0.76826399999999995"/>
    <n v="1"/>
    <n v="-730"/>
    <n v="180"/>
  </r>
  <r>
    <x v="29"/>
    <s v="conventional_turnover_incentive_-279"/>
    <x v="992"/>
    <n v="0.76887635050000003"/>
    <n v="1"/>
    <n v="-730"/>
    <n v="180"/>
  </r>
  <r>
    <x v="29"/>
    <s v="conventional_turnover_incentive_-278"/>
    <x v="993"/>
    <n v="0.76949428399999997"/>
    <n v="1"/>
    <n v="-730"/>
    <n v="180"/>
  </r>
  <r>
    <x v="29"/>
    <s v="conventional_turnover_incentive_-277"/>
    <x v="994"/>
    <n v="0.77011792349999997"/>
    <n v="1"/>
    <n v="-730"/>
    <n v="180"/>
  </r>
  <r>
    <x v="29"/>
    <s v="conventional_turnover_incentive_-276"/>
    <x v="995"/>
    <n v="0.77074739199999998"/>
    <n v="1"/>
    <n v="-730"/>
    <n v="180"/>
  </r>
  <r>
    <x v="29"/>
    <s v="conventional_turnover_incentive_-275"/>
    <x v="996"/>
    <n v="0.77138281249999996"/>
    <n v="1"/>
    <n v="-730"/>
    <n v="180"/>
  </r>
  <r>
    <x v="29"/>
    <s v="conventional_turnover_incentive_-274"/>
    <x v="997"/>
    <n v="0.77202430799999999"/>
    <n v="1"/>
    <n v="-730"/>
    <n v="180"/>
  </r>
  <r>
    <x v="29"/>
    <s v="conventional_turnover_incentive_-273"/>
    <x v="998"/>
    <n v="0.77267200150000004"/>
    <n v="1"/>
    <n v="-730"/>
    <n v="180"/>
  </r>
  <r>
    <x v="29"/>
    <s v="conventional_turnover_incentive_-272"/>
    <x v="999"/>
    <n v="0.77332601599999995"/>
    <n v="1"/>
    <n v="-730"/>
    <n v="180"/>
  </r>
  <r>
    <x v="29"/>
    <s v="conventional_turnover_incentive_-271"/>
    <x v="1000"/>
    <n v="0.77398647450000002"/>
    <n v="1"/>
    <n v="-730"/>
    <n v="180"/>
  </r>
  <r>
    <x v="29"/>
    <s v="conventional_turnover_incentive_-270"/>
    <x v="1001"/>
    <n v="0.77465349999999999"/>
    <n v="1"/>
    <n v="-730"/>
    <n v="180"/>
  </r>
  <r>
    <x v="29"/>
    <s v="conventional_turnover_incentive_-269"/>
    <x v="1002"/>
    <n v="0.77532721550000006"/>
    <n v="1"/>
    <n v="-730"/>
    <n v="180"/>
  </r>
  <r>
    <x v="29"/>
    <s v="conventional_turnover_incentive_-268"/>
    <x v="1003"/>
    <n v="0.77600774400000005"/>
    <n v="1"/>
    <n v="-730"/>
    <n v="180"/>
  </r>
  <r>
    <x v="29"/>
    <s v="conventional_turnover_incentive_-267"/>
    <x v="1004"/>
    <n v="0.77669520849999996"/>
    <n v="1"/>
    <n v="-730"/>
    <n v="180"/>
  </r>
  <r>
    <x v="29"/>
    <s v="conventional_turnover_incentive_-266"/>
    <x v="1005"/>
    <n v="0.77738973200000006"/>
    <n v="1"/>
    <n v="-730"/>
    <n v="180"/>
  </r>
  <r>
    <x v="29"/>
    <s v="conventional_turnover_incentive_-265"/>
    <x v="1006"/>
    <n v="0.77809143749999998"/>
    <n v="1"/>
    <n v="-730"/>
    <n v="180"/>
  </r>
  <r>
    <x v="29"/>
    <s v="conventional_turnover_incentive_-264"/>
    <x v="1007"/>
    <n v="0.77880044800000003"/>
    <n v="1"/>
    <n v="-730"/>
    <n v="180"/>
  </r>
  <r>
    <x v="29"/>
    <s v="conventional_turnover_incentive_-263"/>
    <x v="1008"/>
    <n v="0.77951688649999995"/>
    <n v="1"/>
    <n v="-730"/>
    <n v="180"/>
  </r>
  <r>
    <x v="29"/>
    <s v="conventional_turnover_incentive_-262"/>
    <x v="1009"/>
    <n v="0.78024087600000003"/>
    <n v="1"/>
    <n v="-730"/>
    <n v="180"/>
  </r>
  <r>
    <x v="29"/>
    <s v="conventional_turnover_incentive_-261"/>
    <x v="1010"/>
    <n v="0.78097253950000001"/>
    <n v="1"/>
    <n v="-730"/>
    <n v="180"/>
  </r>
  <r>
    <x v="29"/>
    <s v="conventional_turnover_incentive_-260"/>
    <x v="1011"/>
    <n v="0.78171199999999996"/>
    <n v="1"/>
    <n v="-730"/>
    <n v="180"/>
  </r>
  <r>
    <x v="29"/>
    <s v="conventional_turnover_incentive_-259"/>
    <x v="1012"/>
    <n v="0.78245938049999997"/>
    <n v="1"/>
    <n v="-730"/>
    <n v="180"/>
  </r>
  <r>
    <x v="29"/>
    <s v="conventional_turnover_incentive_-258"/>
    <x v="1013"/>
    <n v="0.78321480399999999"/>
    <n v="1"/>
    <n v="-730"/>
    <n v="180"/>
  </r>
  <r>
    <x v="29"/>
    <s v="conventional_turnover_incentive_-257"/>
    <x v="1014"/>
    <n v="0.78397839349999998"/>
    <n v="1"/>
    <n v="-730"/>
    <n v="180"/>
  </r>
  <r>
    <x v="29"/>
    <s v="conventional_turnover_incentive_-256"/>
    <x v="1015"/>
    <n v="0.78475027200000003"/>
    <n v="1"/>
    <n v="-730"/>
    <n v="180"/>
  </r>
  <r>
    <x v="29"/>
    <s v="conventional_turnover_incentive_-255"/>
    <x v="1016"/>
    <n v="0.78553056249999997"/>
    <n v="1"/>
    <n v="-730"/>
    <n v="180"/>
  </r>
  <r>
    <x v="29"/>
    <s v="conventional_turnover_incentive_-254"/>
    <x v="1017"/>
    <n v="0.78631938800000001"/>
    <n v="1"/>
    <n v="-730"/>
    <n v="180"/>
  </r>
  <r>
    <x v="29"/>
    <s v="conventional_turnover_incentive_-253"/>
    <x v="1018"/>
    <n v="0.78711687149999998"/>
    <n v="1"/>
    <n v="-730"/>
    <n v="180"/>
  </r>
  <r>
    <x v="29"/>
    <s v="conventional_turnover_incentive_-252"/>
    <x v="1019"/>
    <n v="0.78792313599999997"/>
    <n v="1"/>
    <n v="-730"/>
    <n v="180"/>
  </r>
  <r>
    <x v="29"/>
    <s v="conventional_turnover_incentive_-251"/>
    <x v="1020"/>
    <n v="0.78873830450000004"/>
    <n v="1"/>
    <n v="-730"/>
    <n v="180"/>
  </r>
  <r>
    <x v="29"/>
    <s v="conventional_turnover_incentive_-250"/>
    <x v="1021"/>
    <n v="0.78956249999999994"/>
    <n v="1"/>
    <n v="-730"/>
    <n v="180"/>
  </r>
  <r>
    <x v="29"/>
    <s v="conventional_turnover_incentive_-249"/>
    <x v="1022"/>
    <n v="0.79039584549999997"/>
    <n v="1"/>
    <n v="-730"/>
    <n v="180"/>
  </r>
  <r>
    <x v="29"/>
    <s v="conventional_turnover_incentive_-248"/>
    <x v="1023"/>
    <n v="0.79123846399999997"/>
    <n v="1"/>
    <n v="-730"/>
    <n v="180"/>
  </r>
  <r>
    <x v="29"/>
    <s v="conventional_turnover_incentive_-247"/>
    <x v="1024"/>
    <n v="0.79209047850000003"/>
    <n v="1"/>
    <n v="-730"/>
    <n v="180"/>
  </r>
  <r>
    <x v="29"/>
    <s v="conventional_turnover_incentive_-246"/>
    <x v="1025"/>
    <n v="0.79295201199999998"/>
    <n v="1"/>
    <n v="-730"/>
    <n v="180"/>
  </r>
  <r>
    <x v="29"/>
    <s v="conventional_turnover_incentive_-245"/>
    <x v="1026"/>
    <n v="0.79382318750000003"/>
    <n v="1"/>
    <n v="-730"/>
    <n v="180"/>
  </r>
  <r>
    <x v="29"/>
    <s v="conventional_turnover_incentive_-244"/>
    <x v="1027"/>
    <n v="0.79470412800000001"/>
    <n v="1"/>
    <n v="-730"/>
    <n v="180"/>
  </r>
  <r>
    <x v="29"/>
    <s v="conventional_turnover_incentive_-243"/>
    <x v="1028"/>
    <n v="0.79559495650000001"/>
    <n v="1"/>
    <n v="-730"/>
    <n v="180"/>
  </r>
  <r>
    <x v="29"/>
    <s v="conventional_turnover_incentive_-242"/>
    <x v="1029"/>
    <n v="0.79649579599999998"/>
    <n v="1"/>
    <n v="-730"/>
    <n v="180"/>
  </r>
  <r>
    <x v="29"/>
    <s v="conventional_turnover_incentive_-241"/>
    <x v="1030"/>
    <n v="0.7974067695"/>
    <n v="1"/>
    <n v="-730"/>
    <n v="180"/>
  </r>
  <r>
    <x v="29"/>
    <s v="conventional_turnover_incentive_-240"/>
    <x v="1031"/>
    <n v="0.79832800000000004"/>
    <n v="1"/>
    <n v="-730"/>
    <n v="180"/>
  </r>
  <r>
    <x v="29"/>
    <s v="conventional_turnover_incentive_-239"/>
    <x v="1032"/>
    <n v="0.79925961050000005"/>
    <n v="1"/>
    <n v="-730"/>
    <n v="180"/>
  </r>
  <r>
    <x v="29"/>
    <s v="conventional_turnover_incentive_-238"/>
    <x v="1033"/>
    <n v="0.800201724"/>
    <n v="1"/>
    <n v="-730"/>
    <n v="180"/>
  </r>
  <r>
    <x v="29"/>
    <s v="conventional_turnover_incentive_-237"/>
    <x v="1034"/>
    <n v="0.80115446349999997"/>
    <n v="1"/>
    <n v="-730"/>
    <n v="180"/>
  </r>
  <r>
    <x v="29"/>
    <s v="conventional_turnover_incentive_-236"/>
    <x v="1035"/>
    <n v="0.80211795200000002"/>
    <n v="1"/>
    <n v="-730"/>
    <n v="180"/>
  </r>
  <r>
    <x v="29"/>
    <s v="conventional_turnover_incentive_-235"/>
    <x v="1036"/>
    <n v="0.80309231250000002"/>
    <n v="1"/>
    <n v="-730"/>
    <n v="180"/>
  </r>
  <r>
    <x v="29"/>
    <s v="conventional_turnover_incentive_-234"/>
    <x v="1037"/>
    <n v="0.80407766800000002"/>
    <n v="1"/>
    <n v="-730"/>
    <n v="180"/>
  </r>
  <r>
    <x v="29"/>
    <s v="conventional_turnover_incentive_-233"/>
    <x v="1038"/>
    <n v="0.80507414150000001"/>
    <n v="1"/>
    <n v="-730"/>
    <n v="180"/>
  </r>
  <r>
    <x v="29"/>
    <s v="conventional_turnover_incentive_-232"/>
    <x v="1039"/>
    <n v="0.80608185600000004"/>
    <n v="1"/>
    <n v="-730"/>
    <n v="180"/>
  </r>
  <r>
    <x v="29"/>
    <s v="conventional_turnover_incentive_-231"/>
    <x v="1040"/>
    <n v="0.80710093449999998"/>
    <n v="1"/>
    <n v="-730"/>
    <n v="180"/>
  </r>
  <r>
    <x v="29"/>
    <s v="conventional_turnover_incentive_-230"/>
    <x v="1041"/>
    <n v="0.8081315"/>
    <n v="1"/>
    <n v="-730"/>
    <n v="180"/>
  </r>
  <r>
    <x v="29"/>
    <s v="conventional_turnover_incentive_-229"/>
    <x v="1042"/>
    <n v="0.80917367549999997"/>
    <n v="1"/>
    <n v="-730"/>
    <n v="180"/>
  </r>
  <r>
    <x v="29"/>
    <s v="conventional_turnover_incentive_-228"/>
    <x v="1043"/>
    <n v="0.81022758399999995"/>
    <n v="1"/>
    <n v="-730"/>
    <n v="180"/>
  </r>
  <r>
    <x v="29"/>
    <s v="conventional_turnover_incentive_-227"/>
    <x v="1044"/>
    <n v="0.81129334850000001"/>
    <n v="1"/>
    <n v="-730"/>
    <n v="180"/>
  </r>
  <r>
    <x v="29"/>
    <s v="conventional_turnover_incentive_-226"/>
    <x v="1045"/>
    <n v="0.81237109200000002"/>
    <n v="1"/>
    <n v="-730"/>
    <n v="180"/>
  </r>
  <r>
    <x v="29"/>
    <s v="conventional_turnover_incentive_-225"/>
    <x v="1046"/>
    <n v="0.81346093750000004"/>
    <n v="1"/>
    <n v="-730"/>
    <n v="180"/>
  </r>
  <r>
    <x v="29"/>
    <s v="conventional_turnover_incentive_-224"/>
    <x v="1047"/>
    <n v="0.81456300800000003"/>
    <n v="1"/>
    <n v="-730"/>
    <n v="180"/>
  </r>
  <r>
    <x v="29"/>
    <s v="conventional_turnover_incentive_-223"/>
    <x v="1048"/>
    <n v="0.81567742649999997"/>
    <n v="1"/>
    <n v="-730"/>
    <n v="180"/>
  </r>
  <r>
    <x v="29"/>
    <s v="conventional_turnover_incentive_-222"/>
    <x v="1049"/>
    <n v="0.81680431600000003"/>
    <n v="1"/>
    <n v="-730"/>
    <n v="180"/>
  </r>
  <r>
    <x v="29"/>
    <s v="conventional_turnover_incentive_-221"/>
    <x v="1050"/>
    <n v="0.81794379949999996"/>
    <n v="1"/>
    <n v="-730"/>
    <n v="180"/>
  </r>
  <r>
    <x v="29"/>
    <s v="conventional_turnover_incentive_-220"/>
    <x v="1051"/>
    <n v="0.81909600000000005"/>
    <n v="1"/>
    <n v="-730"/>
    <n v="180"/>
  </r>
  <r>
    <x v="29"/>
    <s v="conventional_turnover_incentive_-219"/>
    <x v="1052"/>
    <n v="0.82026104050000004"/>
    <n v="1"/>
    <n v="-730"/>
    <n v="180"/>
  </r>
  <r>
    <x v="29"/>
    <s v="conventional_turnover_incentive_-218"/>
    <x v="1053"/>
    <n v="0.82143904400000001"/>
    <n v="1"/>
    <n v="-730"/>
    <n v="180"/>
  </r>
  <r>
    <x v="29"/>
    <s v="conventional_turnover_incentive_-217"/>
    <x v="1054"/>
    <n v="0.82263013350000003"/>
    <n v="1"/>
    <n v="-730"/>
    <n v="180"/>
  </r>
  <r>
    <x v="29"/>
    <s v="conventional_turnover_incentive_-216"/>
    <x v="1055"/>
    <n v="0.82383443199999995"/>
    <n v="1"/>
    <n v="-730"/>
    <n v="180"/>
  </r>
  <r>
    <x v="29"/>
    <s v="conventional_turnover_incentive_-215"/>
    <x v="1056"/>
    <n v="0.82505206249999996"/>
    <n v="1"/>
    <n v="-730"/>
    <n v="180"/>
  </r>
  <r>
    <x v="29"/>
    <s v="conventional_turnover_incentive_-214"/>
    <x v="1057"/>
    <n v="0.82628314800000002"/>
    <n v="1"/>
    <n v="-730"/>
    <n v="180"/>
  </r>
  <r>
    <x v="29"/>
    <s v="conventional_turnover_incentive_-213"/>
    <x v="1058"/>
    <n v="0.82752781149999999"/>
    <n v="1"/>
    <n v="-730"/>
    <n v="180"/>
  </r>
  <r>
    <x v="29"/>
    <s v="conventional_turnover_incentive_-212"/>
    <x v="1059"/>
    <n v="0.82878617600000004"/>
    <n v="1"/>
    <n v="-730"/>
    <n v="180"/>
  </r>
  <r>
    <x v="29"/>
    <s v="conventional_turnover_incentive_-211"/>
    <x v="1060"/>
    <n v="0.83005836450000003"/>
    <n v="1"/>
    <n v="-730"/>
    <n v="180"/>
  </r>
  <r>
    <x v="29"/>
    <s v="conventional_turnover_incentive_-210"/>
    <x v="1061"/>
    <n v="0.83134450000000004"/>
    <n v="1"/>
    <n v="-730"/>
    <n v="180"/>
  </r>
  <r>
    <x v="29"/>
    <s v="conventional_turnover_incentive_-209"/>
    <x v="1062"/>
    <n v="0.83264470550000003"/>
    <n v="1"/>
    <n v="-730"/>
    <n v="180"/>
  </r>
  <r>
    <x v="29"/>
    <s v="conventional_turnover_incentive_-208"/>
    <x v="1063"/>
    <n v="0.83395910399999995"/>
    <n v="1"/>
    <n v="-730"/>
    <n v="180"/>
  </r>
  <r>
    <x v="29"/>
    <s v="conventional_turnover_incentive_-207"/>
    <x v="1064"/>
    <n v="0.8352878185"/>
    <n v="1"/>
    <n v="-730"/>
    <n v="180"/>
  </r>
  <r>
    <x v="29"/>
    <s v="conventional_turnover_incentive_-206"/>
    <x v="1065"/>
    <n v="0.83663097200000003"/>
    <n v="1"/>
    <n v="-730"/>
    <n v="180"/>
  </r>
  <r>
    <x v="29"/>
    <s v="conventional_turnover_incentive_-205"/>
    <x v="1066"/>
    <n v="0.8379886875"/>
    <n v="1"/>
    <n v="-730"/>
    <n v="180"/>
  </r>
  <r>
    <x v="29"/>
    <s v="conventional_turnover_incentive_-204"/>
    <x v="1067"/>
    <n v="0.83936108799999998"/>
    <n v="1"/>
    <n v="-730"/>
    <n v="180"/>
  </r>
  <r>
    <x v="29"/>
    <s v="conventional_turnover_incentive_-203"/>
    <x v="1068"/>
    <n v="0.84074829650000005"/>
    <n v="1"/>
    <n v="-730"/>
    <n v="180"/>
  </r>
  <r>
    <x v="29"/>
    <s v="conventional_turnover_incentive_-202"/>
    <x v="1069"/>
    <n v="0.84215043599999995"/>
    <n v="1"/>
    <n v="-730"/>
    <n v="180"/>
  </r>
  <r>
    <x v="29"/>
    <s v="conventional_turnover_incentive_-201"/>
    <x v="1070"/>
    <n v="0.84356762949999997"/>
    <n v="1"/>
    <n v="-730"/>
    <n v="180"/>
  </r>
  <r>
    <x v="29"/>
    <s v="conventional_turnover_incentive_-200"/>
    <x v="1071"/>
    <n v="0.84499999999999997"/>
    <n v="1"/>
    <n v="-730"/>
    <n v="180"/>
  </r>
  <r>
    <x v="29"/>
    <s v="conventional_turnover_incentive_-199"/>
    <x v="1072"/>
    <n v="0.84643708600000001"/>
    <n v="1"/>
    <n v="-730"/>
    <n v="180"/>
  </r>
  <r>
    <x v="29"/>
    <s v="conventional_turnover_incentive_-198"/>
    <x v="1073"/>
    <n v="0.84786868800000004"/>
    <n v="1"/>
    <n v="-730"/>
    <n v="180"/>
  </r>
  <r>
    <x v="29"/>
    <s v="conventional_turnover_incentive_-197"/>
    <x v="1074"/>
    <n v="0.84929532200000002"/>
    <n v="1"/>
    <n v="-730"/>
    <n v="180"/>
  </r>
  <r>
    <x v="29"/>
    <s v="conventional_turnover_incentive_-196"/>
    <x v="1075"/>
    <n v="0.85071750400000001"/>
    <n v="1"/>
    <n v="-730"/>
    <n v="180"/>
  </r>
  <r>
    <x v="29"/>
    <s v="conventional_turnover_incentive_-195"/>
    <x v="1076"/>
    <n v="0.85213574999999997"/>
    <n v="1"/>
    <n v="-730"/>
    <n v="180"/>
  </r>
  <r>
    <x v="29"/>
    <s v="conventional_turnover_incentive_-194"/>
    <x v="1077"/>
    <n v="0.85355057599999995"/>
    <n v="1"/>
    <n v="-730"/>
    <n v="180"/>
  </r>
  <r>
    <x v="29"/>
    <s v="conventional_turnover_incentive_-193"/>
    <x v="1078"/>
    <n v="0.85496249800000002"/>
    <n v="1"/>
    <n v="-730"/>
    <n v="180"/>
  </r>
  <r>
    <x v="29"/>
    <s v="conventional_turnover_incentive_-192"/>
    <x v="1079"/>
    <n v="0.85637203200000001"/>
    <n v="1"/>
    <n v="-730"/>
    <n v="180"/>
  </r>
  <r>
    <x v="29"/>
    <s v="conventional_turnover_incentive_-191"/>
    <x v="1080"/>
    <n v="0.85777969399999998"/>
    <n v="1"/>
    <n v="-730"/>
    <n v="180"/>
  </r>
  <r>
    <x v="29"/>
    <s v="conventional_turnover_incentive_-190"/>
    <x v="1081"/>
    <n v="0.85918600000000001"/>
    <n v="1"/>
    <n v="-730"/>
    <n v="180"/>
  </r>
  <r>
    <x v="29"/>
    <s v="conventional_turnover_incentive_-189"/>
    <x v="1082"/>
    <n v="0.86059146600000003"/>
    <n v="1"/>
    <n v="-730"/>
    <n v="180"/>
  </r>
  <r>
    <x v="29"/>
    <s v="conventional_turnover_incentive_-188"/>
    <x v="1083"/>
    <n v="0.861996608"/>
    <n v="1"/>
    <n v="-730"/>
    <n v="180"/>
  </r>
  <r>
    <x v="29"/>
    <s v="conventional_turnover_incentive_-187"/>
    <x v="1084"/>
    <n v="0.86340194199999998"/>
    <n v="1"/>
    <n v="-730"/>
    <n v="180"/>
  </r>
  <r>
    <x v="29"/>
    <s v="conventional_turnover_incentive_-186"/>
    <x v="1085"/>
    <n v="0.86480798400000003"/>
    <n v="1"/>
    <n v="-730"/>
    <n v="180"/>
  </r>
  <r>
    <x v="29"/>
    <s v="conventional_turnover_incentive_-185"/>
    <x v="1086"/>
    <n v="0.86621524999999999"/>
    <n v="1"/>
    <n v="-730"/>
    <n v="180"/>
  </r>
  <r>
    <x v="29"/>
    <s v="conventional_turnover_incentive_-184"/>
    <x v="1087"/>
    <n v="0.86762425600000004"/>
    <n v="1"/>
    <n v="-730"/>
    <n v="180"/>
  </r>
  <r>
    <x v="29"/>
    <s v="conventional_turnover_incentive_-183"/>
    <x v="1088"/>
    <n v="0.86903551800000001"/>
    <n v="1"/>
    <n v="-730"/>
    <n v="180"/>
  </r>
  <r>
    <x v="29"/>
    <s v="conventional_turnover_incentive_-182"/>
    <x v="1089"/>
    <n v="0.87044955199999996"/>
    <n v="1"/>
    <n v="-730"/>
    <n v="180"/>
  </r>
  <r>
    <x v="29"/>
    <s v="conventional_turnover_incentive_-181"/>
    <x v="1090"/>
    <n v="0.87186687399999996"/>
    <n v="1"/>
    <n v="-730"/>
    <n v="180"/>
  </r>
  <r>
    <x v="29"/>
    <s v="conventional_turnover_incentive_-180"/>
    <x v="1091"/>
    <n v="0.87328799999999995"/>
    <n v="1"/>
    <n v="-730"/>
    <n v="180"/>
  </r>
  <r>
    <x v="29"/>
    <s v="conventional_turnover_incentive_-179"/>
    <x v="1092"/>
    <n v="0.87471344600000001"/>
    <n v="1"/>
    <n v="-730"/>
    <n v="180"/>
  </r>
  <r>
    <x v="29"/>
    <s v="conventional_turnover_incentive_-178"/>
    <x v="1093"/>
    <n v="0.87614372799999996"/>
    <n v="1"/>
    <n v="-730"/>
    <n v="180"/>
  </r>
  <r>
    <x v="29"/>
    <s v="conventional_turnover_incentive_-177"/>
    <x v="1094"/>
    <n v="0.87757936199999997"/>
    <n v="1"/>
    <n v="-730"/>
    <n v="180"/>
  </r>
  <r>
    <x v="29"/>
    <s v="conventional_turnover_incentive_-176"/>
    <x v="1095"/>
    <n v="0.87902086400000001"/>
    <n v="1"/>
    <n v="-730"/>
    <n v="180"/>
  </r>
  <r>
    <x v="29"/>
    <s v="conventional_turnover_incentive_-175"/>
    <x v="1096"/>
    <n v="0.88046875000000002"/>
    <n v="1"/>
    <n v="-730"/>
    <n v="180"/>
  </r>
  <r>
    <x v="29"/>
    <s v="conventional_turnover_incentive_-174"/>
    <x v="1097"/>
    <n v="0.88192353599999995"/>
    <n v="1"/>
    <n v="-730"/>
    <n v="180"/>
  </r>
  <r>
    <x v="29"/>
    <s v="conventional_turnover_incentive_-173"/>
    <x v="1098"/>
    <n v="0.88338573799999998"/>
    <n v="1"/>
    <n v="-730"/>
    <n v="180"/>
  </r>
  <r>
    <x v="29"/>
    <s v="conventional_turnover_incentive_-172"/>
    <x v="1099"/>
    <n v="0.88485587200000004"/>
    <n v="1"/>
    <n v="-730"/>
    <n v="180"/>
  </r>
  <r>
    <x v="29"/>
    <s v="conventional_turnover_incentive_-171"/>
    <x v="1100"/>
    <n v="0.88633445399999999"/>
    <n v="1"/>
    <n v="-730"/>
    <n v="180"/>
  </r>
  <r>
    <x v="29"/>
    <s v="conventional_turnover_incentive_-170"/>
    <x v="1101"/>
    <n v="0.887822"/>
    <n v="1"/>
    <n v="-730"/>
    <n v="180"/>
  </r>
  <r>
    <x v="29"/>
    <s v="conventional_turnover_incentive_-169"/>
    <x v="1102"/>
    <n v="0.88931902600000001"/>
    <n v="1"/>
    <n v="-730"/>
    <n v="180"/>
  </r>
  <r>
    <x v="29"/>
    <s v="conventional_turnover_incentive_-168"/>
    <x v="1103"/>
    <n v="0.89082604799999998"/>
    <n v="1"/>
    <n v="-730"/>
    <n v="180"/>
  </r>
  <r>
    <x v="29"/>
    <s v="conventional_turnover_incentive_-167"/>
    <x v="1104"/>
    <n v="0.89234358199999997"/>
    <n v="1"/>
    <n v="-730"/>
    <n v="180"/>
  </r>
  <r>
    <x v="29"/>
    <s v="conventional_turnover_incentive_-166"/>
    <x v="1105"/>
    <n v="0.89387214400000004"/>
    <n v="1"/>
    <n v="-730"/>
    <n v="180"/>
  </r>
  <r>
    <x v="29"/>
    <s v="conventional_turnover_incentive_-165"/>
    <x v="1106"/>
    <n v="0.89541225000000002"/>
    <n v="1"/>
    <n v="-730"/>
    <n v="180"/>
  </r>
  <r>
    <x v="29"/>
    <s v="conventional_turnover_incentive_-164"/>
    <x v="1107"/>
    <n v="0.89696441599999999"/>
    <n v="1"/>
    <n v="-730"/>
    <n v="180"/>
  </r>
  <r>
    <x v="29"/>
    <s v="conventional_turnover_incentive_-163"/>
    <x v="1108"/>
    <n v="0.89852915799999999"/>
    <n v="1"/>
    <n v="-730"/>
    <n v="180"/>
  </r>
  <r>
    <x v="29"/>
    <s v="conventional_turnover_incentive_-162"/>
    <x v="1109"/>
    <n v="0.90010699199999999"/>
    <n v="1"/>
    <n v="-730"/>
    <n v="180"/>
  </r>
  <r>
    <x v="29"/>
    <s v="conventional_turnover_incentive_-161"/>
    <x v="1110"/>
    <n v="0.90169843400000005"/>
    <n v="1"/>
    <n v="-730"/>
    <n v="180"/>
  </r>
  <r>
    <x v="29"/>
    <s v="conventional_turnover_incentive_-160"/>
    <x v="1111"/>
    <n v="0.903304"/>
    <n v="1"/>
    <n v="-730"/>
    <n v="180"/>
  </r>
  <r>
    <x v="29"/>
    <s v="conventional_turnover_incentive_-159"/>
    <x v="1112"/>
    <n v="0.90492420600000001"/>
    <n v="1"/>
    <n v="-730"/>
    <n v="180"/>
  </r>
  <r>
    <x v="29"/>
    <s v="conventional_turnover_incentive_-158"/>
    <x v="1113"/>
    <n v="0.90655956800000004"/>
    <n v="1"/>
    <n v="-730"/>
    <n v="180"/>
  </r>
  <r>
    <x v="29"/>
    <s v="conventional_turnover_incentive_-157"/>
    <x v="1114"/>
    <n v="0.90821060200000003"/>
    <n v="1"/>
    <n v="-730"/>
    <n v="180"/>
  </r>
  <r>
    <x v="29"/>
    <s v="conventional_turnover_incentive_-156"/>
    <x v="1115"/>
    <n v="0.90987782399999995"/>
    <n v="1"/>
    <n v="-730"/>
    <n v="180"/>
  </r>
  <r>
    <x v="29"/>
    <s v="conventional_turnover_incentive_-155"/>
    <x v="1116"/>
    <n v="0.91156174999999995"/>
    <n v="1"/>
    <n v="-730"/>
    <n v="180"/>
  </r>
  <r>
    <x v="29"/>
    <s v="conventional_turnover_incentive_-154"/>
    <x v="1117"/>
    <n v="0.91326289599999999"/>
    <n v="1"/>
    <n v="-730"/>
    <n v="180"/>
  </r>
  <r>
    <x v="29"/>
    <s v="conventional_turnover_incentive_-153"/>
    <x v="1118"/>
    <n v="0.91498177800000002"/>
    <n v="1"/>
    <n v="-730"/>
    <n v="180"/>
  </r>
  <r>
    <x v="29"/>
    <s v="conventional_turnover_incentive_-152"/>
    <x v="1119"/>
    <n v="0.916718912"/>
    <n v="1"/>
    <n v="-730"/>
    <n v="180"/>
  </r>
  <r>
    <x v="29"/>
    <s v="conventional_turnover_incentive_-151"/>
    <x v="1120"/>
    <n v="0.91847481399999997"/>
    <n v="1"/>
    <n v="-730"/>
    <n v="180"/>
  </r>
  <r>
    <x v="29"/>
    <s v="conventional_turnover_incentive_-150"/>
    <x v="1121"/>
    <n v="0.92025000000000001"/>
    <n v="1"/>
    <n v="-730"/>
    <n v="180"/>
  </r>
  <r>
    <x v="29"/>
    <s v="conventional_turnover_incentive_-149"/>
    <x v="1122"/>
    <n v="0.92204498599999996"/>
    <n v="1"/>
    <n v="-730"/>
    <n v="180"/>
  </r>
  <r>
    <x v="29"/>
    <s v="conventional_turnover_incentive_-148"/>
    <x v="1123"/>
    <n v="0.92386028799999997"/>
    <n v="1"/>
    <n v="-730"/>
    <n v="180"/>
  </r>
  <r>
    <x v="29"/>
    <s v="conventional_turnover_incentive_-147"/>
    <x v="1124"/>
    <n v="0.92569642200000002"/>
    <n v="1"/>
    <n v="-730"/>
    <n v="180"/>
  </r>
  <r>
    <x v="29"/>
    <s v="conventional_turnover_incentive_-146"/>
    <x v="1125"/>
    <n v="0.92755390400000004"/>
    <n v="1"/>
    <n v="-730"/>
    <n v="180"/>
  </r>
  <r>
    <x v="29"/>
    <s v="conventional_turnover_incentive_-145"/>
    <x v="1126"/>
    <n v="0.92943324999999999"/>
    <n v="1"/>
    <n v="-730"/>
    <n v="180"/>
  </r>
  <r>
    <x v="29"/>
    <s v="conventional_turnover_incentive_-144"/>
    <x v="1127"/>
    <n v="0.93133497600000004"/>
    <n v="1"/>
    <n v="-730"/>
    <n v="180"/>
  </r>
  <r>
    <x v="29"/>
    <s v="conventional_turnover_incentive_-143"/>
    <x v="1128"/>
    <n v="0.93325959800000002"/>
    <n v="1"/>
    <n v="-730"/>
    <n v="180"/>
  </r>
  <r>
    <x v="29"/>
    <s v="conventional_turnover_incentive_-142"/>
    <x v="1129"/>
    <n v="0.93520763200000001"/>
    <n v="1"/>
    <n v="-730"/>
    <n v="180"/>
  </r>
  <r>
    <x v="29"/>
    <s v="conventional_turnover_incentive_-141"/>
    <x v="1130"/>
    <n v="0.93717959399999995"/>
    <n v="1"/>
    <n v="-730"/>
    <n v="180"/>
  </r>
  <r>
    <x v="29"/>
    <s v="conventional_turnover_incentive_-140"/>
    <x v="1131"/>
    <n v="0.93917600000000001"/>
    <n v="1"/>
    <n v="-730"/>
    <n v="180"/>
  </r>
  <r>
    <x v="29"/>
    <s v="conventional_turnover_incentive_-139"/>
    <x v="1132"/>
    <n v="0.94119736600000004"/>
    <n v="1"/>
    <n v="-730"/>
    <n v="180"/>
  </r>
  <r>
    <x v="29"/>
    <s v="conventional_turnover_incentive_-138"/>
    <x v="1133"/>
    <n v="0.94324420799999997"/>
    <n v="1"/>
    <n v="-730"/>
    <n v="180"/>
  </r>
  <r>
    <x v="29"/>
    <s v="conventional_turnover_incentive_-137"/>
    <x v="1134"/>
    <n v="0.945317042"/>
    <n v="1"/>
    <n v="-730"/>
    <n v="180"/>
  </r>
  <r>
    <x v="29"/>
    <s v="conventional_turnover_incentive_-136"/>
    <x v="1135"/>
    <n v="0.94741638399999994"/>
    <n v="1"/>
    <n v="-730"/>
    <n v="180"/>
  </r>
  <r>
    <x v="29"/>
    <s v="conventional_turnover_incentive_-135"/>
    <x v="1136"/>
    <n v="0.94954274999999999"/>
    <n v="1"/>
    <n v="-730"/>
    <n v="180"/>
  </r>
  <r>
    <x v="29"/>
    <s v="conventional_turnover_incentive_-134"/>
    <x v="1137"/>
    <n v="0.95169665599999997"/>
    <n v="1"/>
    <n v="-730"/>
    <n v="180"/>
  </r>
  <r>
    <x v="29"/>
    <s v="conventional_turnover_incentive_-133"/>
    <x v="1138"/>
    <n v="0.95387861799999996"/>
    <n v="1"/>
    <n v="-730"/>
    <n v="180"/>
  </r>
  <r>
    <x v="29"/>
    <s v="conventional_turnover_incentive_-132"/>
    <x v="1139"/>
    <n v="0.956089152"/>
    <n v="1"/>
    <n v="-730"/>
    <n v="180"/>
  </r>
  <r>
    <x v="29"/>
    <s v="conventional_turnover_incentive_-131"/>
    <x v="1140"/>
    <n v="0.95832877400000005"/>
    <n v="1"/>
    <n v="-730"/>
    <n v="180"/>
  </r>
  <r>
    <x v="29"/>
    <s v="conventional_turnover_incentive_-130"/>
    <x v="1141"/>
    <n v="0.96059799999999995"/>
    <n v="1"/>
    <n v="-730"/>
    <n v="180"/>
  </r>
  <r>
    <x v="29"/>
    <s v="conventional_turnover_incentive_-129"/>
    <x v="1142"/>
    <n v="0.96289734599999999"/>
    <n v="1"/>
    <n v="-730"/>
    <n v="180"/>
  </r>
  <r>
    <x v="29"/>
    <s v="conventional_turnover_incentive_-128"/>
    <x v="1143"/>
    <n v="0.965227328"/>
    <n v="1"/>
    <n v="-730"/>
    <n v="180"/>
  </r>
  <r>
    <x v="29"/>
    <s v="conventional_turnover_incentive_-127"/>
    <x v="1144"/>
    <n v="0.96758846200000004"/>
    <n v="1"/>
    <n v="-730"/>
    <n v="180"/>
  </r>
  <r>
    <x v="29"/>
    <s v="conventional_turnover_incentive_-126"/>
    <x v="1145"/>
    <n v="0.96998126399999995"/>
    <n v="1"/>
    <n v="-730"/>
    <n v="180"/>
  </r>
  <r>
    <x v="29"/>
    <s v="conventional_turnover_incentive_-125"/>
    <x v="1146"/>
    <n v="0.97240625000000003"/>
    <n v="1"/>
    <n v="-730"/>
    <n v="180"/>
  </r>
  <r>
    <x v="29"/>
    <s v="conventional_turnover_incentive_-124"/>
    <x v="1147"/>
    <n v="0.97486393599999999"/>
    <n v="1"/>
    <n v="-730"/>
    <n v="180"/>
  </r>
  <r>
    <x v="29"/>
    <s v="conventional_turnover_incentive_-123"/>
    <x v="1148"/>
    <n v="0.977354838"/>
    <n v="1"/>
    <n v="-730"/>
    <n v="180"/>
  </r>
  <r>
    <x v="29"/>
    <s v="conventional_turnover_incentive_-122"/>
    <x v="1149"/>
    <n v="0.97987947200000003"/>
    <n v="1"/>
    <n v="-730"/>
    <n v="180"/>
  </r>
  <r>
    <x v="29"/>
    <s v="conventional_turnover_incentive_-121"/>
    <x v="1150"/>
    <n v="0.98243835400000001"/>
    <n v="1"/>
    <n v="-730"/>
    <n v="180"/>
  </r>
  <r>
    <x v="29"/>
    <s v="conventional_turnover_incentive_-120"/>
    <x v="1151"/>
    <n v="0.98503200000000002"/>
    <n v="1"/>
    <n v="-730"/>
    <n v="180"/>
  </r>
  <r>
    <x v="29"/>
    <s v="conventional_turnover_incentive_-119"/>
    <x v="1152"/>
    <n v="0.98766092599999999"/>
    <n v="1"/>
    <n v="-730"/>
    <n v="180"/>
  </r>
  <r>
    <x v="29"/>
    <s v="conventional_turnover_incentive_-118"/>
    <x v="1153"/>
    <n v="0.990325648"/>
    <n v="1"/>
    <n v="-730"/>
    <n v="180"/>
  </r>
  <r>
    <x v="29"/>
    <s v="conventional_turnover_incentive_-117"/>
    <x v="1154"/>
    <n v="0.99302668199999999"/>
    <n v="1"/>
    <n v="-730"/>
    <n v="180"/>
  </r>
  <r>
    <x v="29"/>
    <s v="conventional_turnover_incentive_-116"/>
    <x v="1155"/>
    <n v="0.99576454400000003"/>
    <n v="1"/>
    <n v="-730"/>
    <n v="180"/>
  </r>
  <r>
    <x v="29"/>
    <s v="conventional_turnover_incentive_-115"/>
    <x v="1156"/>
    <n v="0.99853974999999995"/>
    <n v="1"/>
    <n v="-730"/>
    <n v="180"/>
  </r>
  <r>
    <x v="29"/>
    <s v="conventional_turnover_incentive_-114"/>
    <x v="1157"/>
    <n v="1.001352816"/>
    <n v="1"/>
    <n v="-730"/>
    <n v="180"/>
  </r>
  <r>
    <x v="29"/>
    <s v="conventional_turnover_incentive_-113"/>
    <x v="1158"/>
    <n v="1.0042042579999999"/>
    <n v="1"/>
    <n v="-730"/>
    <n v="180"/>
  </r>
  <r>
    <x v="29"/>
    <s v="conventional_turnover_incentive_-112"/>
    <x v="1159"/>
    <n v="1.0070945920000001"/>
    <n v="1"/>
    <n v="-730"/>
    <n v="180"/>
  </r>
  <r>
    <x v="29"/>
    <s v="conventional_turnover_incentive_-111"/>
    <x v="1160"/>
    <n v="1.0100243339999999"/>
    <n v="1"/>
    <n v="-730"/>
    <n v="180"/>
  </r>
  <r>
    <x v="29"/>
    <s v="conventional_turnover_incentive_-110"/>
    <x v="1161"/>
    <n v="1.012994"/>
    <n v="1"/>
    <n v="-730"/>
    <n v="180"/>
  </r>
  <r>
    <x v="29"/>
    <s v="conventional_turnover_incentive_-109"/>
    <x v="1162"/>
    <n v="1.016004106"/>
    <n v="1"/>
    <n v="-730"/>
    <n v="180"/>
  </r>
  <r>
    <x v="29"/>
    <s v="conventional_turnover_incentive_-108"/>
    <x v="1163"/>
    <n v="1.019055168"/>
    <n v="1"/>
    <n v="-730"/>
    <n v="180"/>
  </r>
  <r>
    <x v="29"/>
    <s v="conventional_turnover_incentive_-107"/>
    <x v="1164"/>
    <n v="1.022147702"/>
    <n v="1"/>
    <n v="-730"/>
    <n v="180"/>
  </r>
  <r>
    <x v="29"/>
    <s v="conventional_turnover_incentive_-106"/>
    <x v="1165"/>
    <n v="1.0252822239999999"/>
    <n v="1"/>
    <n v="-730"/>
    <n v="180"/>
  </r>
  <r>
    <x v="29"/>
    <s v="conventional_turnover_incentive_-105"/>
    <x v="1166"/>
    <n v="1.02845925"/>
    <n v="1"/>
    <n v="-730"/>
    <n v="180"/>
  </r>
  <r>
    <x v="29"/>
    <s v="conventional_turnover_incentive_-104"/>
    <x v="1167"/>
    <n v="1.0316792960000001"/>
    <n v="1"/>
    <n v="-730"/>
    <n v="180"/>
  </r>
  <r>
    <x v="29"/>
    <s v="conventional_turnover_incentive_-103"/>
    <x v="1168"/>
    <n v="1.0349428780000001"/>
    <n v="1"/>
    <n v="-730"/>
    <n v="180"/>
  </r>
  <r>
    <x v="29"/>
    <s v="conventional_turnover_incentive_-102"/>
    <x v="1169"/>
    <n v="1.0382505120000001"/>
    <n v="1"/>
    <n v="-730"/>
    <n v="180"/>
  </r>
  <r>
    <x v="29"/>
    <s v="conventional_turnover_incentive_-101"/>
    <x v="1170"/>
    <n v="1.0416027139999999"/>
    <n v="1"/>
    <n v="-730"/>
    <n v="180"/>
  </r>
  <r>
    <x v="29"/>
    <s v="conventional_turnover_incentive_-100"/>
    <x v="1171"/>
    <n v="1.0449999999999999"/>
    <n v="1"/>
    <n v="-730"/>
    <n v="180"/>
  </r>
  <r>
    <x v="29"/>
    <s v="conventional_turnover_incentive_-99"/>
    <x v="1172"/>
    <n v="1.0485710960000001"/>
    <n v="1"/>
    <n v="-730"/>
    <n v="180"/>
  </r>
  <r>
    <x v="29"/>
    <s v="conventional_turnover_incentive_-98"/>
    <x v="1173"/>
    <n v="1.0524343679999999"/>
    <n v="1"/>
    <n v="-730"/>
    <n v="180"/>
  </r>
  <r>
    <x v="29"/>
    <s v="conventional_turnover_incentive_-97"/>
    <x v="1174"/>
    <n v="1.0565747919999999"/>
    <n v="1"/>
    <n v="-730"/>
    <n v="180"/>
  </r>
  <r>
    <x v="29"/>
    <s v="conventional_turnover_incentive_-96"/>
    <x v="1175"/>
    <n v="1.0609773440000001"/>
    <n v="1"/>
    <n v="-730"/>
    <n v="180"/>
  </r>
  <r>
    <x v="29"/>
    <s v="conventional_turnover_incentive_-95"/>
    <x v="1176"/>
    <n v="1.0656270000000001"/>
    <n v="1"/>
    <n v="-730"/>
    <n v="180"/>
  </r>
  <r>
    <x v="29"/>
    <s v="conventional_turnover_incentive_-94"/>
    <x v="1177"/>
    <n v="1.0705087360000001"/>
    <n v="1"/>
    <n v="-730"/>
    <n v="180"/>
  </r>
  <r>
    <x v="29"/>
    <s v="conventional_turnover_incentive_-93"/>
    <x v="1178"/>
    <n v="1.0756075279999999"/>
    <n v="1"/>
    <n v="-730"/>
    <n v="180"/>
  </r>
  <r>
    <x v="29"/>
    <s v="conventional_turnover_incentive_-92"/>
    <x v="1179"/>
    <n v="1.080908352"/>
    <n v="1"/>
    <n v="-730"/>
    <n v="180"/>
  </r>
  <r>
    <x v="29"/>
    <s v="conventional_turnover_incentive_-91"/>
    <x v="1180"/>
    <n v="1.086396184"/>
    <n v="1"/>
    <n v="-730"/>
    <n v="180"/>
  </r>
  <r>
    <x v="29"/>
    <s v="conventional_turnover_incentive_-90"/>
    <x v="1181"/>
    <n v="1.0920559999999999"/>
    <n v="1"/>
    <n v="-730"/>
    <n v="180"/>
  </r>
  <r>
    <x v="29"/>
    <s v="conventional_turnover_incentive_-89"/>
    <x v="1182"/>
    <n v="1.097872776"/>
    <n v="1"/>
    <n v="-730"/>
    <n v="180"/>
  </r>
  <r>
    <x v="29"/>
    <s v="conventional_turnover_incentive_-88"/>
    <x v="1183"/>
    <n v="1.103831488"/>
    <n v="1"/>
    <n v="-730"/>
    <n v="180"/>
  </r>
  <r>
    <x v="29"/>
    <s v="conventional_turnover_incentive_-87"/>
    <x v="1184"/>
    <n v="1.109917112"/>
    <n v="1"/>
    <n v="-730"/>
    <n v="180"/>
  </r>
  <r>
    <x v="29"/>
    <s v="conventional_turnover_incentive_-86"/>
    <x v="1185"/>
    <n v="1.1161146239999999"/>
    <n v="1"/>
    <n v="-730"/>
    <n v="180"/>
  </r>
  <r>
    <x v="29"/>
    <s v="conventional_turnover_incentive_-85"/>
    <x v="1186"/>
    <n v="1.122409"/>
    <n v="1"/>
    <n v="-730"/>
    <n v="180"/>
  </r>
  <r>
    <x v="29"/>
    <s v="conventional_turnover_incentive_-84"/>
    <x v="1187"/>
    <n v="1.128785216"/>
    <n v="1"/>
    <n v="-730"/>
    <n v="180"/>
  </r>
  <r>
    <x v="29"/>
    <s v="conventional_turnover_incentive_-83"/>
    <x v="1188"/>
    <n v="1.135228248"/>
    <n v="1"/>
    <n v="-730"/>
    <n v="180"/>
  </r>
  <r>
    <x v="29"/>
    <s v="conventional_turnover_incentive_-82"/>
    <x v="1189"/>
    <n v="1.141723072"/>
    <n v="1"/>
    <n v="-730"/>
    <n v="180"/>
  </r>
  <r>
    <x v="29"/>
    <s v="conventional_turnover_incentive_-81"/>
    <x v="1190"/>
    <n v="1.148254664"/>
    <n v="1"/>
    <n v="-730"/>
    <n v="180"/>
  </r>
  <r>
    <x v="29"/>
    <s v="conventional_turnover_incentive_-80"/>
    <x v="1191"/>
    <n v="1.1548080000000001"/>
    <n v="1"/>
    <n v="-730"/>
    <n v="180"/>
  </r>
  <r>
    <x v="29"/>
    <s v="conventional_turnover_incentive_-79"/>
    <x v="1192"/>
    <n v="1.1613680559999999"/>
    <n v="1"/>
    <n v="-730"/>
    <n v="180"/>
  </r>
  <r>
    <x v="29"/>
    <s v="conventional_turnover_incentive_-78"/>
    <x v="1193"/>
    <n v="1.1679198079999999"/>
    <n v="1"/>
    <n v="-730"/>
    <n v="180"/>
  </r>
  <r>
    <x v="29"/>
    <s v="conventional_turnover_incentive_-77"/>
    <x v="1194"/>
    <n v="1.174448232"/>
    <n v="1"/>
    <n v="-730"/>
    <n v="180"/>
  </r>
  <r>
    <x v="29"/>
    <s v="conventional_turnover_incentive_-76"/>
    <x v="1195"/>
    <n v="1.1809383040000001"/>
    <n v="1"/>
    <n v="-730"/>
    <n v="180"/>
  </r>
  <r>
    <x v="29"/>
    <s v="conventional_turnover_incentive_-75"/>
    <x v="1196"/>
    <n v="1.1873750000000001"/>
    <n v="1"/>
    <n v="-730"/>
    <n v="180"/>
  </r>
  <r>
    <x v="29"/>
    <s v="conventional_turnover_incentive_-74"/>
    <x v="1197"/>
    <n v="1.1937432960000001"/>
    <n v="1"/>
    <n v="-730"/>
    <n v="180"/>
  </r>
  <r>
    <x v="29"/>
    <s v="conventional_turnover_incentive_-73"/>
    <x v="1198"/>
    <n v="1.200028168"/>
    <n v="1"/>
    <n v="-730"/>
    <n v="180"/>
  </r>
  <r>
    <x v="29"/>
    <s v="conventional_turnover_incentive_-72"/>
    <x v="1199"/>
    <n v="1.206214592"/>
    <n v="1"/>
    <n v="-730"/>
    <n v="180"/>
  </r>
  <r>
    <x v="29"/>
    <s v="conventional_turnover_incentive_-71"/>
    <x v="1200"/>
    <n v="1.2122875440000001"/>
    <n v="1"/>
    <n v="-730"/>
    <n v="180"/>
  </r>
  <r>
    <x v="29"/>
    <s v="conventional_turnover_incentive_-70"/>
    <x v="1201"/>
    <n v="1.218232"/>
    <n v="1"/>
    <n v="-730"/>
    <n v="180"/>
  </r>
  <r>
    <x v="29"/>
    <s v="conventional_turnover_incentive_-69"/>
    <x v="1202"/>
    <n v="1.224032936"/>
    <n v="1"/>
    <n v="-730"/>
    <n v="180"/>
  </r>
  <r>
    <x v="29"/>
    <s v="conventional_turnover_incentive_-68"/>
    <x v="1203"/>
    <n v="1.2296753279999999"/>
    <n v="1"/>
    <n v="-730"/>
    <n v="180"/>
  </r>
  <r>
    <x v="29"/>
    <s v="conventional_turnover_incentive_-67"/>
    <x v="1204"/>
    <n v="1.2351441519999999"/>
    <n v="1"/>
    <n v="-730"/>
    <n v="180"/>
  </r>
  <r>
    <x v="29"/>
    <s v="conventional_turnover_incentive_-66"/>
    <x v="1205"/>
    <n v="1.240424384"/>
    <n v="1"/>
    <n v="-730"/>
    <n v="180"/>
  </r>
  <r>
    <x v="29"/>
    <s v="conventional_turnover_incentive_-65"/>
    <x v="1206"/>
    <n v="1.245501"/>
    <n v="1"/>
    <n v="-730"/>
    <n v="180"/>
  </r>
  <r>
    <x v="29"/>
    <s v="conventional_turnover_incentive_-64"/>
    <x v="1207"/>
    <n v="1.250358976"/>
    <n v="1"/>
    <n v="-730"/>
    <n v="180"/>
  </r>
  <r>
    <x v="29"/>
    <s v="conventional_turnover_incentive_-63"/>
    <x v="1208"/>
    <n v="1.254983288"/>
    <n v="1"/>
    <n v="-730"/>
    <n v="180"/>
  </r>
  <r>
    <x v="29"/>
    <s v="conventional_turnover_incentive_-62"/>
    <x v="1209"/>
    <n v="1.2593589119999999"/>
    <n v="1"/>
    <n v="-730"/>
    <n v="180"/>
  </r>
  <r>
    <x v="29"/>
    <s v="conventional_turnover_incentive_-61"/>
    <x v="1210"/>
    <n v="1.2634708240000001"/>
    <n v="1"/>
    <n v="-730"/>
    <n v="180"/>
  </r>
  <r>
    <x v="29"/>
    <s v="conventional_turnover_incentive_-60"/>
    <x v="1211"/>
    <n v="1.267304"/>
    <n v="1"/>
    <n v="-730"/>
    <n v="180"/>
  </r>
  <r>
    <x v="29"/>
    <s v="conventional_turnover_incentive_-59"/>
    <x v="1212"/>
    <n v="1.2708434159999999"/>
    <n v="1"/>
    <n v="-730"/>
    <n v="180"/>
  </r>
  <r>
    <x v="29"/>
    <s v="conventional_turnover_incentive_-58"/>
    <x v="1213"/>
    <n v="1.2740740479999999"/>
    <n v="1"/>
    <n v="-730"/>
    <n v="180"/>
  </r>
  <r>
    <x v="29"/>
    <s v="conventional_turnover_incentive_-57"/>
    <x v="1214"/>
    <n v="1.276980872"/>
    <n v="1"/>
    <n v="-730"/>
    <n v="180"/>
  </r>
  <r>
    <x v="29"/>
    <s v="conventional_turnover_incentive_-56"/>
    <x v="1215"/>
    <n v="1.2795488639999999"/>
    <n v="1"/>
    <n v="-730"/>
    <n v="180"/>
  </r>
  <r>
    <x v="29"/>
    <s v="conventional_turnover_incentive_-55"/>
    <x v="1216"/>
    <n v="1.281763"/>
    <n v="1"/>
    <n v="-730"/>
    <n v="180"/>
  </r>
  <r>
    <x v="29"/>
    <s v="conventional_turnover_incentive_-54"/>
    <x v="1217"/>
    <n v="1.2836082559999999"/>
    <n v="1"/>
    <n v="-730"/>
    <n v="180"/>
  </r>
  <r>
    <x v="29"/>
    <s v="conventional_turnover_incentive_-53"/>
    <x v="1218"/>
    <n v="1.2850696079999999"/>
    <n v="1"/>
    <n v="-730"/>
    <n v="180"/>
  </r>
  <r>
    <x v="29"/>
    <s v="conventional_turnover_incentive_-52"/>
    <x v="1219"/>
    <n v="1.286132032"/>
    <n v="1"/>
    <n v="-730"/>
    <n v="180"/>
  </r>
  <r>
    <x v="29"/>
    <s v="conventional_turnover_incentive_-51"/>
    <x v="1220"/>
    <n v="1.286780504"/>
    <n v="1"/>
    <n v="-730"/>
    <n v="180"/>
  </r>
  <r>
    <x v="29"/>
    <s v="conventional_turnover_incentive_-50"/>
    <x v="1221"/>
    <n v="1.2869999999999999"/>
    <n v="1"/>
    <n v="-730"/>
    <n v="180"/>
  </r>
  <r>
    <x v="29"/>
    <s v="conventional_turnover_incentive_-49"/>
    <x v="1222"/>
    <n v="1.2869999999999999"/>
    <n v="1"/>
    <n v="-730"/>
    <n v="180"/>
  </r>
  <r>
    <x v="29"/>
    <s v="conventional_turnover_incentive_-48"/>
    <x v="1223"/>
    <n v="1.2869999999999999"/>
    <n v="1"/>
    <n v="-730"/>
    <n v="180"/>
  </r>
  <r>
    <x v="29"/>
    <s v="conventional_turnover_incentive_-47"/>
    <x v="1224"/>
    <n v="1.2869999999999999"/>
    <n v="1"/>
    <n v="-730"/>
    <n v="180"/>
  </r>
  <r>
    <x v="29"/>
    <s v="conventional_turnover_incentive_-46"/>
    <x v="1225"/>
    <n v="1.2869999999999999"/>
    <n v="1"/>
    <n v="-730"/>
    <n v="180"/>
  </r>
  <r>
    <x v="29"/>
    <s v="conventional_turnover_incentive_-45"/>
    <x v="1226"/>
    <n v="1.2869999999999999"/>
    <n v="1"/>
    <n v="-730"/>
    <n v="180"/>
  </r>
  <r>
    <x v="29"/>
    <s v="conventional_turnover_incentive_-44"/>
    <x v="1227"/>
    <n v="1.2869999999999999"/>
    <n v="1"/>
    <n v="-730"/>
    <n v="180"/>
  </r>
  <r>
    <x v="29"/>
    <s v="conventional_turnover_incentive_-43"/>
    <x v="1228"/>
    <n v="1.2869999999999999"/>
    <n v="1"/>
    <n v="-730"/>
    <n v="180"/>
  </r>
  <r>
    <x v="29"/>
    <s v="conventional_turnover_incentive_-42"/>
    <x v="1229"/>
    <n v="1.2869999999999999"/>
    <n v="1"/>
    <n v="-730"/>
    <n v="180"/>
  </r>
  <r>
    <x v="29"/>
    <s v="conventional_turnover_incentive_-41"/>
    <x v="1230"/>
    <n v="1.2869999999999999"/>
    <n v="1"/>
    <n v="-730"/>
    <n v="180"/>
  </r>
  <r>
    <x v="29"/>
    <s v="conventional_turnover_incentive_-40"/>
    <x v="0"/>
    <n v="1.2869999999999999"/>
    <n v="1"/>
    <n v="-730"/>
    <n v="180"/>
  </r>
  <r>
    <x v="29"/>
    <s v="conventional_turnover_incentive_-39"/>
    <x v="1"/>
    <n v="1.2869999999999999"/>
    <n v="1"/>
    <n v="-730"/>
    <n v="180"/>
  </r>
  <r>
    <x v="29"/>
    <s v="conventional_turnover_incentive_-38"/>
    <x v="2"/>
    <n v="1.2869999999999999"/>
    <n v="1"/>
    <n v="-730"/>
    <n v="180"/>
  </r>
  <r>
    <x v="29"/>
    <s v="conventional_turnover_incentive_-37"/>
    <x v="3"/>
    <n v="1.2869999999999999"/>
    <n v="1"/>
    <n v="-730"/>
    <n v="180"/>
  </r>
  <r>
    <x v="29"/>
    <s v="conventional_turnover_incentive_-36"/>
    <x v="4"/>
    <n v="1.2869999999999999"/>
    <n v="1"/>
    <n v="-730"/>
    <n v="180"/>
  </r>
  <r>
    <x v="29"/>
    <s v="conventional_turnover_incentive_-35"/>
    <x v="5"/>
    <n v="1.2869999999999999"/>
    <n v="1"/>
    <n v="-730"/>
    <n v="180"/>
  </r>
  <r>
    <x v="29"/>
    <s v="conventional_turnover_incentive_-34"/>
    <x v="6"/>
    <n v="1.2869999999999999"/>
    <n v="1"/>
    <n v="-730"/>
    <n v="180"/>
  </r>
  <r>
    <x v="29"/>
    <s v="conventional_turnover_incentive_-33"/>
    <x v="7"/>
    <n v="1.2869999999999999"/>
    <n v="1"/>
    <n v="-730"/>
    <n v="180"/>
  </r>
  <r>
    <x v="29"/>
    <s v="conventional_turnover_incentive_-32"/>
    <x v="8"/>
    <n v="1.2869999999999999"/>
    <n v="1"/>
    <n v="-730"/>
    <n v="180"/>
  </r>
  <r>
    <x v="29"/>
    <s v="conventional_turnover_incentive_-31"/>
    <x v="9"/>
    <n v="1.2869999999999999"/>
    <n v="1"/>
    <n v="-730"/>
    <n v="180"/>
  </r>
  <r>
    <x v="29"/>
    <s v="conventional_turnover_incentive_-30"/>
    <x v="10"/>
    <n v="1.2869999999999999"/>
    <n v="1"/>
    <n v="-730"/>
    <n v="180"/>
  </r>
  <r>
    <x v="29"/>
    <s v="conventional_turnover_incentive_-29"/>
    <x v="11"/>
    <n v="1.2869999999999999"/>
    <n v="1"/>
    <n v="-730"/>
    <n v="180"/>
  </r>
  <r>
    <x v="29"/>
    <s v="conventional_turnover_incentive_-28"/>
    <x v="12"/>
    <n v="1.2869999999999999"/>
    <n v="1"/>
    <n v="-730"/>
    <n v="180"/>
  </r>
  <r>
    <x v="29"/>
    <s v="conventional_turnover_incentive_-27"/>
    <x v="13"/>
    <n v="1.2869999999999999"/>
    <n v="1"/>
    <n v="-730"/>
    <n v="180"/>
  </r>
  <r>
    <x v="29"/>
    <s v="conventional_turnover_incentive_-26"/>
    <x v="14"/>
    <n v="1.2869999999999999"/>
    <n v="1"/>
    <n v="-730"/>
    <n v="180"/>
  </r>
  <r>
    <x v="29"/>
    <s v="conventional_turnover_incentive_-25"/>
    <x v="15"/>
    <n v="1.2869999999999999"/>
    <n v="1"/>
    <n v="-730"/>
    <n v="180"/>
  </r>
  <r>
    <x v="29"/>
    <s v="conventional_turnover_incentive_-24"/>
    <x v="16"/>
    <n v="1.2869999999999999"/>
    <n v="1"/>
    <n v="-730"/>
    <n v="180"/>
  </r>
  <r>
    <x v="29"/>
    <s v="conventional_turnover_incentive_-23"/>
    <x v="17"/>
    <n v="1.2869999999999999"/>
    <n v="1"/>
    <n v="-730"/>
    <n v="180"/>
  </r>
  <r>
    <x v="29"/>
    <s v="conventional_turnover_incentive_-22"/>
    <x v="18"/>
    <n v="1.2869999999999999"/>
    <n v="1"/>
    <n v="-730"/>
    <n v="180"/>
  </r>
  <r>
    <x v="29"/>
    <s v="conventional_turnover_incentive_-21"/>
    <x v="19"/>
    <n v="1.2869999999999999"/>
    <n v="1"/>
    <n v="-730"/>
    <n v="180"/>
  </r>
  <r>
    <x v="29"/>
    <s v="conventional_turnover_incentive_-20"/>
    <x v="20"/>
    <n v="1.2869999999999999"/>
    <n v="1"/>
    <n v="-730"/>
    <n v="180"/>
  </r>
  <r>
    <x v="29"/>
    <s v="conventional_turnover_incentive_-19"/>
    <x v="21"/>
    <n v="1.2869999999999999"/>
    <n v="1"/>
    <n v="-730"/>
    <n v="180"/>
  </r>
  <r>
    <x v="29"/>
    <s v="conventional_turnover_incentive_-18"/>
    <x v="22"/>
    <n v="1.2869999999999999"/>
    <n v="1"/>
    <n v="-730"/>
    <n v="180"/>
  </r>
  <r>
    <x v="29"/>
    <s v="conventional_turnover_incentive_-17"/>
    <x v="23"/>
    <n v="1.2869999999999999"/>
    <n v="1"/>
    <n v="-730"/>
    <n v="180"/>
  </r>
  <r>
    <x v="29"/>
    <s v="conventional_turnover_incentive_-16"/>
    <x v="24"/>
    <n v="1.2869999999999999"/>
    <n v="1"/>
    <n v="-730"/>
    <n v="180"/>
  </r>
  <r>
    <x v="29"/>
    <s v="conventional_turnover_incentive_-15"/>
    <x v="25"/>
    <n v="1.2869999999999999"/>
    <n v="1"/>
    <n v="-730"/>
    <n v="180"/>
  </r>
  <r>
    <x v="29"/>
    <s v="conventional_turnover_incentive_-14"/>
    <x v="26"/>
    <n v="1.2869999999999999"/>
    <n v="1"/>
    <n v="-730"/>
    <n v="180"/>
  </r>
  <r>
    <x v="29"/>
    <s v="conventional_turnover_incentive_-13"/>
    <x v="27"/>
    <n v="1.2869999999999999"/>
    <n v="1"/>
    <n v="-730"/>
    <n v="180"/>
  </r>
  <r>
    <x v="29"/>
    <s v="conventional_turnover_incentive_-12"/>
    <x v="28"/>
    <n v="1.2869999999999999"/>
    <n v="1"/>
    <n v="-730"/>
    <n v="180"/>
  </r>
  <r>
    <x v="29"/>
    <s v="conventional_turnover_incentive_-11"/>
    <x v="29"/>
    <n v="1.2869999999999999"/>
    <n v="1"/>
    <n v="-730"/>
    <n v="180"/>
  </r>
  <r>
    <x v="29"/>
    <s v="conventional_turnover_incentive_-10"/>
    <x v="30"/>
    <n v="1.2869999999999999"/>
    <n v="1"/>
    <n v="-730"/>
    <n v="180"/>
  </r>
  <r>
    <x v="29"/>
    <s v="conventional_turnover_incentive_-9"/>
    <x v="31"/>
    <n v="1.2869999999999999"/>
    <n v="1"/>
    <n v="-730"/>
    <n v="180"/>
  </r>
  <r>
    <x v="29"/>
    <s v="conventional_turnover_incentive_-8"/>
    <x v="32"/>
    <n v="1.2869999999999999"/>
    <n v="1"/>
    <n v="-730"/>
    <n v="180"/>
  </r>
  <r>
    <x v="29"/>
    <s v="conventional_turnover_incentive_-7"/>
    <x v="33"/>
    <n v="1.2869999999999999"/>
    <n v="1"/>
    <n v="-730"/>
    <n v="180"/>
  </r>
  <r>
    <x v="29"/>
    <s v="conventional_turnover_incentive_-6"/>
    <x v="34"/>
    <n v="1.2869999999999999"/>
    <n v="1"/>
    <n v="-730"/>
    <n v="180"/>
  </r>
  <r>
    <x v="29"/>
    <s v="conventional_turnover_incentive_-5"/>
    <x v="35"/>
    <n v="1.2869999999999999"/>
    <n v="1"/>
    <n v="-730"/>
    <n v="180"/>
  </r>
  <r>
    <x v="29"/>
    <s v="conventional_turnover_incentive_-4"/>
    <x v="36"/>
    <n v="1.2869999999999999"/>
    <n v="1"/>
    <n v="-730"/>
    <n v="180"/>
  </r>
  <r>
    <x v="29"/>
    <s v="conventional_turnover_incentive_-3"/>
    <x v="37"/>
    <n v="1.2869999999999999"/>
    <n v="1"/>
    <n v="-730"/>
    <n v="180"/>
  </r>
  <r>
    <x v="29"/>
    <s v="conventional_turnover_incentive_-2"/>
    <x v="38"/>
    <n v="1.2869999999999999"/>
    <n v="1"/>
    <n v="-730"/>
    <n v="180"/>
  </r>
  <r>
    <x v="29"/>
    <s v="conventional_turnover_incentive_-1"/>
    <x v="39"/>
    <n v="1.2869999999999999"/>
    <n v="1"/>
    <n v="-730"/>
    <n v="180"/>
  </r>
  <r>
    <x v="29"/>
    <s v="conventional_turnover_incentive_0"/>
    <x v="40"/>
    <n v="1.2869999999999999"/>
    <n v="1"/>
    <n v="-730"/>
    <n v="180"/>
  </r>
  <r>
    <x v="29"/>
    <s v="conventional_turnover_incentive_1"/>
    <x v="41"/>
    <n v="1.2869999999999999"/>
    <n v="1"/>
    <n v="-730"/>
    <n v="180"/>
  </r>
  <r>
    <x v="29"/>
    <s v="conventional_turnover_incentive_2"/>
    <x v="42"/>
    <n v="1.2869999999999999"/>
    <n v="1"/>
    <n v="-730"/>
    <n v="180"/>
  </r>
  <r>
    <x v="29"/>
    <s v="conventional_turnover_incentive_3"/>
    <x v="43"/>
    <n v="1.2869999999999999"/>
    <n v="1"/>
    <n v="-730"/>
    <n v="180"/>
  </r>
  <r>
    <x v="29"/>
    <s v="conventional_turnover_incentive_4"/>
    <x v="44"/>
    <n v="1.2869999999999999"/>
    <n v="1"/>
    <n v="-730"/>
    <n v="180"/>
  </r>
  <r>
    <x v="29"/>
    <s v="conventional_turnover_incentive_5"/>
    <x v="45"/>
    <n v="1.2869999999999999"/>
    <n v="1"/>
    <n v="-730"/>
    <n v="180"/>
  </r>
  <r>
    <x v="29"/>
    <s v="conventional_turnover_incentive_6"/>
    <x v="46"/>
    <n v="1.2869999999999999"/>
    <n v="1"/>
    <n v="-730"/>
    <n v="180"/>
  </r>
  <r>
    <x v="29"/>
    <s v="conventional_turnover_incentive_7"/>
    <x v="47"/>
    <n v="1.2869999999999999"/>
    <n v="1"/>
    <n v="-730"/>
    <n v="180"/>
  </r>
  <r>
    <x v="29"/>
    <s v="conventional_turnover_incentive_8"/>
    <x v="48"/>
    <n v="1.2869999999999999"/>
    <n v="1"/>
    <n v="-730"/>
    <n v="180"/>
  </r>
  <r>
    <x v="29"/>
    <s v="conventional_turnover_incentive_9"/>
    <x v="49"/>
    <n v="1.2869999999999999"/>
    <n v="1"/>
    <n v="-730"/>
    <n v="180"/>
  </r>
  <r>
    <x v="29"/>
    <s v="conventional_turnover_incentive_10"/>
    <x v="50"/>
    <n v="1.2869999999999999"/>
    <n v="1"/>
    <n v="-730"/>
    <n v="180"/>
  </r>
  <r>
    <x v="29"/>
    <s v="conventional_turnover_incentive_11"/>
    <x v="51"/>
    <n v="1.2869999999999999"/>
    <n v="1"/>
    <n v="-730"/>
    <n v="180"/>
  </r>
  <r>
    <x v="29"/>
    <s v="conventional_turnover_incentive_12"/>
    <x v="52"/>
    <n v="1.2869999999999999"/>
    <n v="1"/>
    <n v="-730"/>
    <n v="180"/>
  </r>
  <r>
    <x v="29"/>
    <s v="conventional_turnover_incentive_13"/>
    <x v="53"/>
    <n v="1.2869999999999999"/>
    <n v="1"/>
    <n v="-730"/>
    <n v="180"/>
  </r>
  <r>
    <x v="29"/>
    <s v="conventional_turnover_incentive_14"/>
    <x v="54"/>
    <n v="1.2869999999999999"/>
    <n v="1"/>
    <n v="-730"/>
    <n v="180"/>
  </r>
  <r>
    <x v="29"/>
    <s v="conventional_turnover_incentive_15"/>
    <x v="55"/>
    <n v="1.2869999999999999"/>
    <n v="1"/>
    <n v="-730"/>
    <n v="180"/>
  </r>
  <r>
    <x v="29"/>
    <s v="conventional_turnover_incentive_16"/>
    <x v="56"/>
    <n v="1.2869999999999999"/>
    <n v="1"/>
    <n v="-730"/>
    <n v="180"/>
  </r>
  <r>
    <x v="29"/>
    <s v="conventional_turnover_incentive_17"/>
    <x v="57"/>
    <n v="1.2869999999999999"/>
    <n v="1"/>
    <n v="-730"/>
    <n v="180"/>
  </r>
  <r>
    <x v="29"/>
    <s v="conventional_turnover_incentive_18"/>
    <x v="58"/>
    <n v="1.2869999999999999"/>
    <n v="1"/>
    <n v="-730"/>
    <n v="180"/>
  </r>
  <r>
    <x v="29"/>
    <s v="conventional_turnover_incentive_19"/>
    <x v="59"/>
    <n v="1.2869999999999999"/>
    <n v="1"/>
    <n v="-730"/>
    <n v="180"/>
  </r>
  <r>
    <x v="29"/>
    <s v="conventional_turnover_incentive_20"/>
    <x v="60"/>
    <n v="1.2869999999999999"/>
    <n v="1"/>
    <n v="-730"/>
    <n v="180"/>
  </r>
  <r>
    <x v="29"/>
    <s v="conventional_turnover_incentive_21"/>
    <x v="61"/>
    <n v="1.2869999999999999"/>
    <n v="1"/>
    <n v="-730"/>
    <n v="180"/>
  </r>
  <r>
    <x v="29"/>
    <s v="conventional_turnover_incentive_22"/>
    <x v="62"/>
    <n v="1.2869999999999999"/>
    <n v="1"/>
    <n v="-730"/>
    <n v="180"/>
  </r>
  <r>
    <x v="29"/>
    <s v="conventional_turnover_incentive_23"/>
    <x v="63"/>
    <n v="1.2869999999999999"/>
    <n v="1"/>
    <n v="-730"/>
    <n v="180"/>
  </r>
  <r>
    <x v="29"/>
    <s v="conventional_turnover_incentive_24"/>
    <x v="64"/>
    <n v="1.2869999999999999"/>
    <n v="1"/>
    <n v="-730"/>
    <n v="180"/>
  </r>
  <r>
    <x v="29"/>
    <s v="conventional_turnover_incentive_25"/>
    <x v="65"/>
    <n v="1.2869999999999999"/>
    <n v="1"/>
    <n v="-730"/>
    <n v="180"/>
  </r>
  <r>
    <x v="29"/>
    <s v="conventional_turnover_incentive_26"/>
    <x v="66"/>
    <n v="1.2869999999999999"/>
    <n v="1"/>
    <n v="-730"/>
    <n v="180"/>
  </r>
  <r>
    <x v="29"/>
    <s v="conventional_turnover_incentive_27"/>
    <x v="67"/>
    <n v="1.2869999999999999"/>
    <n v="1"/>
    <n v="-730"/>
    <n v="180"/>
  </r>
  <r>
    <x v="29"/>
    <s v="conventional_turnover_incentive_28"/>
    <x v="68"/>
    <n v="1.2869999999999999"/>
    <n v="1"/>
    <n v="-730"/>
    <n v="180"/>
  </r>
  <r>
    <x v="29"/>
    <s v="conventional_turnover_incentive_29"/>
    <x v="69"/>
    <n v="1.2869999999999999"/>
    <n v="1"/>
    <n v="-730"/>
    <n v="180"/>
  </r>
  <r>
    <x v="29"/>
    <s v="conventional_turnover_incentive_30"/>
    <x v="70"/>
    <n v="1.2869999999999999"/>
    <n v="1"/>
    <n v="-730"/>
    <n v="180"/>
  </r>
  <r>
    <x v="29"/>
    <s v="conventional_turnover_incentive_31"/>
    <x v="71"/>
    <n v="1.2869999999999999"/>
    <n v="1"/>
    <n v="-730"/>
    <n v="180"/>
  </r>
  <r>
    <x v="29"/>
    <s v="conventional_turnover_incentive_32"/>
    <x v="72"/>
    <n v="1.2869999999999999"/>
    <n v="1"/>
    <n v="-730"/>
    <n v="180"/>
  </r>
  <r>
    <x v="29"/>
    <s v="conventional_turnover_incentive_33"/>
    <x v="73"/>
    <n v="1.2869999999999999"/>
    <n v="1"/>
    <n v="-730"/>
    <n v="180"/>
  </r>
  <r>
    <x v="29"/>
    <s v="conventional_turnover_incentive_34"/>
    <x v="74"/>
    <n v="1.2869999999999999"/>
    <n v="1"/>
    <n v="-730"/>
    <n v="180"/>
  </r>
  <r>
    <x v="29"/>
    <s v="conventional_turnover_incentive_35"/>
    <x v="75"/>
    <n v="1.2869999999999999"/>
    <n v="1"/>
    <n v="-730"/>
    <n v="180"/>
  </r>
  <r>
    <x v="29"/>
    <s v="conventional_turnover_incentive_36"/>
    <x v="76"/>
    <n v="1.2869999999999999"/>
    <n v="1"/>
    <n v="-730"/>
    <n v="180"/>
  </r>
  <r>
    <x v="29"/>
    <s v="conventional_turnover_incentive_37"/>
    <x v="77"/>
    <n v="1.2869999999999999"/>
    <n v="1"/>
    <n v="-730"/>
    <n v="180"/>
  </r>
  <r>
    <x v="29"/>
    <s v="conventional_turnover_incentive_38"/>
    <x v="78"/>
    <n v="1.2869999999999999"/>
    <n v="1"/>
    <n v="-730"/>
    <n v="180"/>
  </r>
  <r>
    <x v="29"/>
    <s v="conventional_turnover_incentive_39"/>
    <x v="79"/>
    <n v="1.2869999999999999"/>
    <n v="1"/>
    <n v="-730"/>
    <n v="180"/>
  </r>
  <r>
    <x v="29"/>
    <s v="conventional_turnover_incentive_40"/>
    <x v="80"/>
    <n v="1.2869999999999999"/>
    <n v="1"/>
    <n v="-730"/>
    <n v="180"/>
  </r>
  <r>
    <x v="29"/>
    <s v="conventional_turnover_incentive_41"/>
    <x v="81"/>
    <n v="1.2869999999999999"/>
    <n v="1"/>
    <n v="-730"/>
    <n v="180"/>
  </r>
  <r>
    <x v="29"/>
    <s v="conventional_turnover_incentive_42"/>
    <x v="82"/>
    <n v="1.2869999999999999"/>
    <n v="1"/>
    <n v="-730"/>
    <n v="180"/>
  </r>
  <r>
    <x v="29"/>
    <s v="conventional_turnover_incentive_43"/>
    <x v="83"/>
    <n v="1.2869999999999999"/>
    <n v="1"/>
    <n v="-730"/>
    <n v="180"/>
  </r>
  <r>
    <x v="29"/>
    <s v="conventional_turnover_incentive_44"/>
    <x v="84"/>
    <n v="1.2869999999999999"/>
    <n v="1"/>
    <n v="-730"/>
    <n v="180"/>
  </r>
  <r>
    <x v="29"/>
    <s v="conventional_turnover_incentive_45"/>
    <x v="85"/>
    <n v="1.2869999999999999"/>
    <n v="1"/>
    <n v="-730"/>
    <n v="180"/>
  </r>
  <r>
    <x v="29"/>
    <s v="conventional_turnover_incentive_46"/>
    <x v="86"/>
    <n v="1.2869999999999999"/>
    <n v="1"/>
    <n v="-730"/>
    <n v="180"/>
  </r>
  <r>
    <x v="29"/>
    <s v="conventional_turnover_incentive_47"/>
    <x v="87"/>
    <n v="1.2869999999999999"/>
    <n v="1"/>
    <n v="-730"/>
    <n v="180"/>
  </r>
  <r>
    <x v="29"/>
    <s v="conventional_turnover_incentive_48"/>
    <x v="88"/>
    <n v="1.2869999999999999"/>
    <n v="1"/>
    <n v="-730"/>
    <n v="180"/>
  </r>
  <r>
    <x v="29"/>
    <s v="conventional_turnover_incentive_49"/>
    <x v="89"/>
    <n v="1.2869999999999999"/>
    <n v="1"/>
    <n v="-730"/>
    <n v="180"/>
  </r>
  <r>
    <x v="29"/>
    <s v="conventional_turnover_incentive_50"/>
    <x v="90"/>
    <n v="1.2869999999999999"/>
    <n v="1"/>
    <n v="-730"/>
    <n v="180"/>
  </r>
  <r>
    <x v="29"/>
    <s v="conventional_turnover_incentive_51"/>
    <x v="91"/>
    <n v="1.2869999999999999"/>
    <n v="1"/>
    <n v="-730"/>
    <n v="180"/>
  </r>
  <r>
    <x v="29"/>
    <s v="conventional_turnover_incentive_52"/>
    <x v="92"/>
    <n v="1.2869999999999999"/>
    <n v="1"/>
    <n v="-730"/>
    <n v="180"/>
  </r>
  <r>
    <x v="29"/>
    <s v="conventional_turnover_incentive_53"/>
    <x v="93"/>
    <n v="1.2869999999999999"/>
    <n v="1"/>
    <n v="-730"/>
    <n v="180"/>
  </r>
  <r>
    <x v="29"/>
    <s v="conventional_turnover_incentive_54"/>
    <x v="94"/>
    <n v="1.2869999999999999"/>
    <n v="1"/>
    <n v="-730"/>
    <n v="180"/>
  </r>
  <r>
    <x v="29"/>
    <s v="conventional_turnover_incentive_55"/>
    <x v="95"/>
    <n v="1.2869999999999999"/>
    <n v="1"/>
    <n v="-730"/>
    <n v="180"/>
  </r>
  <r>
    <x v="29"/>
    <s v="conventional_turnover_incentive_56"/>
    <x v="96"/>
    <n v="1.2869999999999999"/>
    <n v="1"/>
    <n v="-730"/>
    <n v="180"/>
  </r>
  <r>
    <x v="29"/>
    <s v="conventional_turnover_incentive_57"/>
    <x v="97"/>
    <n v="1.2869999999999999"/>
    <n v="1"/>
    <n v="-730"/>
    <n v="180"/>
  </r>
  <r>
    <x v="29"/>
    <s v="conventional_turnover_incentive_58"/>
    <x v="98"/>
    <n v="1.2869999999999999"/>
    <n v="1"/>
    <n v="-730"/>
    <n v="180"/>
  </r>
  <r>
    <x v="29"/>
    <s v="conventional_turnover_incentive_59"/>
    <x v="99"/>
    <n v="1.2869999999999999"/>
    <n v="1"/>
    <n v="-730"/>
    <n v="180"/>
  </r>
  <r>
    <x v="29"/>
    <s v="conventional_turnover_incentive_60"/>
    <x v="100"/>
    <n v="1.2869999999999999"/>
    <n v="1"/>
    <n v="-730"/>
    <n v="180"/>
  </r>
  <r>
    <x v="29"/>
    <s v="conventional_turnover_incentive_61"/>
    <x v="101"/>
    <n v="1.2869999999999999"/>
    <n v="1"/>
    <n v="-730"/>
    <n v="180"/>
  </r>
  <r>
    <x v="29"/>
    <s v="conventional_turnover_incentive_62"/>
    <x v="102"/>
    <n v="1.2869999999999999"/>
    <n v="1"/>
    <n v="-730"/>
    <n v="180"/>
  </r>
  <r>
    <x v="29"/>
    <s v="conventional_turnover_incentive_63"/>
    <x v="103"/>
    <n v="1.2869999999999999"/>
    <n v="1"/>
    <n v="-730"/>
    <n v="180"/>
  </r>
  <r>
    <x v="29"/>
    <s v="conventional_turnover_incentive_64"/>
    <x v="104"/>
    <n v="1.2869999999999999"/>
    <n v="1"/>
    <n v="-730"/>
    <n v="180"/>
  </r>
  <r>
    <x v="29"/>
    <s v="conventional_turnover_incentive_65"/>
    <x v="105"/>
    <n v="1.2869999999999999"/>
    <n v="1"/>
    <n v="-730"/>
    <n v="180"/>
  </r>
  <r>
    <x v="29"/>
    <s v="conventional_turnover_incentive_66"/>
    <x v="106"/>
    <n v="1.2869999999999999"/>
    <n v="1"/>
    <n v="-730"/>
    <n v="180"/>
  </r>
  <r>
    <x v="29"/>
    <s v="conventional_turnover_incentive_67"/>
    <x v="107"/>
    <n v="1.2869999999999999"/>
    <n v="1"/>
    <n v="-730"/>
    <n v="180"/>
  </r>
  <r>
    <x v="29"/>
    <s v="conventional_turnover_incentive_68"/>
    <x v="108"/>
    <n v="1.2869999999999999"/>
    <n v="1"/>
    <n v="-730"/>
    <n v="180"/>
  </r>
  <r>
    <x v="29"/>
    <s v="conventional_turnover_incentive_69"/>
    <x v="109"/>
    <n v="1.2869999999999999"/>
    <n v="1"/>
    <n v="-730"/>
    <n v="180"/>
  </r>
  <r>
    <x v="29"/>
    <s v="conventional_turnover_incentive_70"/>
    <x v="110"/>
    <n v="1.2869999999999999"/>
    <n v="1"/>
    <n v="-730"/>
    <n v="180"/>
  </r>
  <r>
    <x v="29"/>
    <s v="conventional_turnover_incentive_71"/>
    <x v="111"/>
    <n v="1.2869999999999999"/>
    <n v="1"/>
    <n v="-730"/>
    <n v="180"/>
  </r>
  <r>
    <x v="29"/>
    <s v="conventional_turnover_incentive_72"/>
    <x v="112"/>
    <n v="1.2869999999999999"/>
    <n v="1"/>
    <n v="-730"/>
    <n v="180"/>
  </r>
  <r>
    <x v="29"/>
    <s v="conventional_turnover_incentive_73"/>
    <x v="113"/>
    <n v="1.2869999999999999"/>
    <n v="1"/>
    <n v="-730"/>
    <n v="180"/>
  </r>
  <r>
    <x v="29"/>
    <s v="conventional_turnover_incentive_74"/>
    <x v="114"/>
    <n v="1.2869999999999999"/>
    <n v="1"/>
    <n v="-730"/>
    <n v="180"/>
  </r>
  <r>
    <x v="29"/>
    <s v="conventional_turnover_incentive_75"/>
    <x v="115"/>
    <n v="1.2869999999999999"/>
    <n v="1"/>
    <n v="-730"/>
    <n v="180"/>
  </r>
  <r>
    <x v="29"/>
    <s v="conventional_turnover_incentive_76"/>
    <x v="116"/>
    <n v="1.2869999999999999"/>
    <n v="1"/>
    <n v="-730"/>
    <n v="180"/>
  </r>
  <r>
    <x v="29"/>
    <s v="conventional_turnover_incentive_77"/>
    <x v="117"/>
    <n v="1.2869999999999999"/>
    <n v="1"/>
    <n v="-730"/>
    <n v="180"/>
  </r>
  <r>
    <x v="29"/>
    <s v="conventional_turnover_incentive_78"/>
    <x v="118"/>
    <n v="1.2869999999999999"/>
    <n v="1"/>
    <n v="-730"/>
    <n v="180"/>
  </r>
  <r>
    <x v="29"/>
    <s v="conventional_turnover_incentive_79"/>
    <x v="119"/>
    <n v="1.2869999999999999"/>
    <n v="1"/>
    <n v="-730"/>
    <n v="180"/>
  </r>
  <r>
    <x v="29"/>
    <s v="conventional_turnover_incentive_80"/>
    <x v="120"/>
    <n v="1.2869999999999999"/>
    <n v="1"/>
    <n v="-730"/>
    <n v="180"/>
  </r>
  <r>
    <x v="29"/>
    <s v="conventional_turnover_incentive_81"/>
    <x v="121"/>
    <n v="1.2869999999999999"/>
    <n v="1"/>
    <n v="-730"/>
    <n v="180"/>
  </r>
  <r>
    <x v="29"/>
    <s v="conventional_turnover_incentive_82"/>
    <x v="122"/>
    <n v="1.2869999999999999"/>
    <n v="1"/>
    <n v="-730"/>
    <n v="180"/>
  </r>
  <r>
    <x v="29"/>
    <s v="conventional_turnover_incentive_83"/>
    <x v="123"/>
    <n v="1.2869999999999999"/>
    <n v="1"/>
    <n v="-730"/>
    <n v="180"/>
  </r>
  <r>
    <x v="29"/>
    <s v="conventional_turnover_incentive_84"/>
    <x v="124"/>
    <n v="1.2869999999999999"/>
    <n v="1"/>
    <n v="-730"/>
    <n v="180"/>
  </r>
  <r>
    <x v="29"/>
    <s v="conventional_turnover_incentive_85"/>
    <x v="125"/>
    <n v="1.2869999999999999"/>
    <n v="1"/>
    <n v="-730"/>
    <n v="180"/>
  </r>
  <r>
    <x v="29"/>
    <s v="conventional_turnover_incentive_86"/>
    <x v="126"/>
    <n v="1.2869999999999999"/>
    <n v="1"/>
    <n v="-730"/>
    <n v="180"/>
  </r>
  <r>
    <x v="29"/>
    <s v="conventional_turnover_incentive_87"/>
    <x v="127"/>
    <n v="1.2869999999999999"/>
    <n v="1"/>
    <n v="-730"/>
    <n v="180"/>
  </r>
  <r>
    <x v="29"/>
    <s v="conventional_turnover_incentive_88"/>
    <x v="128"/>
    <n v="1.2869999999999999"/>
    <n v="1"/>
    <n v="-730"/>
    <n v="180"/>
  </r>
  <r>
    <x v="29"/>
    <s v="conventional_turnover_incentive_89"/>
    <x v="129"/>
    <n v="1.2869999999999999"/>
    <n v="1"/>
    <n v="-730"/>
    <n v="180"/>
  </r>
  <r>
    <x v="29"/>
    <s v="conventional_turnover_incentive_90"/>
    <x v="130"/>
    <n v="1.2869999999999999"/>
    <n v="1"/>
    <n v="-730"/>
    <n v="180"/>
  </r>
  <r>
    <x v="29"/>
    <s v="conventional_turnover_incentive_91"/>
    <x v="131"/>
    <n v="1.2869999999999999"/>
    <n v="1"/>
    <n v="-730"/>
    <n v="180"/>
  </r>
  <r>
    <x v="29"/>
    <s v="conventional_turnover_incentive_92"/>
    <x v="132"/>
    <n v="1.2869999999999999"/>
    <n v="1"/>
    <n v="-730"/>
    <n v="180"/>
  </r>
  <r>
    <x v="29"/>
    <s v="conventional_turnover_incentive_93"/>
    <x v="133"/>
    <n v="1.2869999999999999"/>
    <n v="1"/>
    <n v="-730"/>
    <n v="180"/>
  </r>
  <r>
    <x v="29"/>
    <s v="conventional_turnover_incentive_94"/>
    <x v="134"/>
    <n v="1.2869999999999999"/>
    <n v="1"/>
    <n v="-730"/>
    <n v="180"/>
  </r>
  <r>
    <x v="29"/>
    <s v="conventional_turnover_incentive_95"/>
    <x v="135"/>
    <n v="1.2869999999999999"/>
    <n v="1"/>
    <n v="-730"/>
    <n v="180"/>
  </r>
  <r>
    <x v="29"/>
    <s v="conventional_turnover_incentive_96"/>
    <x v="136"/>
    <n v="1.2869999999999999"/>
    <n v="1"/>
    <n v="-730"/>
    <n v="180"/>
  </r>
  <r>
    <x v="29"/>
    <s v="conventional_turnover_incentive_97"/>
    <x v="137"/>
    <n v="1.2869999999999999"/>
    <n v="1"/>
    <n v="-730"/>
    <n v="180"/>
  </r>
  <r>
    <x v="29"/>
    <s v="conventional_turnover_incentive_98"/>
    <x v="138"/>
    <n v="1.2869999999999999"/>
    <n v="1"/>
    <n v="-730"/>
    <n v="180"/>
  </r>
  <r>
    <x v="29"/>
    <s v="conventional_turnover_incentive_99"/>
    <x v="139"/>
    <n v="1.2869999999999999"/>
    <n v="1"/>
    <n v="-730"/>
    <n v="180"/>
  </r>
  <r>
    <x v="29"/>
    <s v="conventional_turnover_incentive_100"/>
    <x v="140"/>
    <n v="1.2869999999999999"/>
    <n v="1"/>
    <n v="-730"/>
    <n v="180"/>
  </r>
  <r>
    <x v="29"/>
    <s v="conventional_turnover_incentive_101"/>
    <x v="141"/>
    <n v="1.2869999999999999"/>
    <n v="1"/>
    <n v="-730"/>
    <n v="180"/>
  </r>
  <r>
    <x v="29"/>
    <s v="conventional_turnover_incentive_102"/>
    <x v="142"/>
    <n v="1.2869999999999999"/>
    <n v="1"/>
    <n v="-730"/>
    <n v="180"/>
  </r>
  <r>
    <x v="29"/>
    <s v="conventional_turnover_incentive_103"/>
    <x v="143"/>
    <n v="1.2869999999999999"/>
    <n v="1"/>
    <n v="-730"/>
    <n v="180"/>
  </r>
  <r>
    <x v="29"/>
    <s v="conventional_turnover_incentive_104"/>
    <x v="144"/>
    <n v="1.2869999999999999"/>
    <n v="1"/>
    <n v="-730"/>
    <n v="180"/>
  </r>
  <r>
    <x v="29"/>
    <s v="conventional_turnover_incentive_105"/>
    <x v="145"/>
    <n v="1.2869999999999999"/>
    <n v="1"/>
    <n v="-730"/>
    <n v="180"/>
  </r>
  <r>
    <x v="29"/>
    <s v="conventional_turnover_incentive_106"/>
    <x v="146"/>
    <n v="1.2869999999999999"/>
    <n v="1"/>
    <n v="-730"/>
    <n v="180"/>
  </r>
  <r>
    <x v="29"/>
    <s v="conventional_turnover_incentive_107"/>
    <x v="147"/>
    <n v="1.2869999999999999"/>
    <n v="1"/>
    <n v="-730"/>
    <n v="180"/>
  </r>
  <r>
    <x v="29"/>
    <s v="conventional_turnover_incentive_108"/>
    <x v="148"/>
    <n v="1.2869999999999999"/>
    <n v="1"/>
    <n v="-730"/>
    <n v="180"/>
  </r>
  <r>
    <x v="29"/>
    <s v="conventional_turnover_incentive_109"/>
    <x v="149"/>
    <n v="1.2869999999999999"/>
    <n v="1"/>
    <n v="-730"/>
    <n v="180"/>
  </r>
  <r>
    <x v="29"/>
    <s v="conventional_turnover_incentive_110"/>
    <x v="150"/>
    <n v="1.2869999999999999"/>
    <n v="1"/>
    <n v="-730"/>
    <n v="180"/>
  </r>
  <r>
    <x v="29"/>
    <s v="conventional_turnover_incentive_111"/>
    <x v="151"/>
    <n v="1.2869999999999999"/>
    <n v="1"/>
    <n v="-730"/>
    <n v="180"/>
  </r>
  <r>
    <x v="29"/>
    <s v="conventional_turnover_incentive_112"/>
    <x v="152"/>
    <n v="1.2869999999999999"/>
    <n v="1"/>
    <n v="-730"/>
    <n v="180"/>
  </r>
  <r>
    <x v="29"/>
    <s v="conventional_turnover_incentive_113"/>
    <x v="153"/>
    <n v="1.2869999999999999"/>
    <n v="1"/>
    <n v="-730"/>
    <n v="180"/>
  </r>
  <r>
    <x v="29"/>
    <s v="conventional_turnover_incentive_114"/>
    <x v="154"/>
    <n v="1.2869999999999999"/>
    <n v="1"/>
    <n v="-730"/>
    <n v="180"/>
  </r>
  <r>
    <x v="29"/>
    <s v="conventional_turnover_incentive_115"/>
    <x v="155"/>
    <n v="1.2869999999999999"/>
    <n v="1"/>
    <n v="-730"/>
    <n v="180"/>
  </r>
  <r>
    <x v="29"/>
    <s v="conventional_turnover_incentive_116"/>
    <x v="156"/>
    <n v="1.2869999999999999"/>
    <n v="1"/>
    <n v="-730"/>
    <n v="180"/>
  </r>
  <r>
    <x v="29"/>
    <s v="conventional_turnover_incentive_117"/>
    <x v="157"/>
    <n v="1.2869999999999999"/>
    <n v="1"/>
    <n v="-730"/>
    <n v="180"/>
  </r>
  <r>
    <x v="29"/>
    <s v="conventional_turnover_incentive_118"/>
    <x v="158"/>
    <n v="1.2869999999999999"/>
    <n v="1"/>
    <n v="-730"/>
    <n v="180"/>
  </r>
  <r>
    <x v="29"/>
    <s v="conventional_turnover_incentive_119"/>
    <x v="159"/>
    <n v="1.2869999999999999"/>
    <n v="1"/>
    <n v="-730"/>
    <n v="180"/>
  </r>
  <r>
    <x v="29"/>
    <s v="conventional_turnover_incentive_120"/>
    <x v="160"/>
    <n v="1.2869999999999999"/>
    <n v="1"/>
    <n v="-730"/>
    <n v="180"/>
  </r>
  <r>
    <x v="29"/>
    <s v="conventional_turnover_incentive_121"/>
    <x v="161"/>
    <n v="1.2869999999999999"/>
    <n v="1"/>
    <n v="-730"/>
    <n v="180"/>
  </r>
  <r>
    <x v="29"/>
    <s v="conventional_turnover_incentive_122"/>
    <x v="162"/>
    <n v="1.2869999999999999"/>
    <n v="1"/>
    <n v="-730"/>
    <n v="180"/>
  </r>
  <r>
    <x v="29"/>
    <s v="conventional_turnover_incentive_123"/>
    <x v="163"/>
    <n v="1.2869999999999999"/>
    <n v="1"/>
    <n v="-730"/>
    <n v="180"/>
  </r>
  <r>
    <x v="29"/>
    <s v="conventional_turnover_incentive_124"/>
    <x v="164"/>
    <n v="1.2869999999999999"/>
    <n v="1"/>
    <n v="-730"/>
    <n v="180"/>
  </r>
  <r>
    <x v="29"/>
    <s v="conventional_turnover_incentive_125"/>
    <x v="165"/>
    <n v="1.2869999999999999"/>
    <n v="1"/>
    <n v="-730"/>
    <n v="180"/>
  </r>
  <r>
    <x v="29"/>
    <s v="conventional_turnover_incentive_126"/>
    <x v="166"/>
    <n v="1.2869999999999999"/>
    <n v="1"/>
    <n v="-730"/>
    <n v="180"/>
  </r>
  <r>
    <x v="29"/>
    <s v="conventional_turnover_incentive_127"/>
    <x v="167"/>
    <n v="1.2869999999999999"/>
    <n v="1"/>
    <n v="-730"/>
    <n v="180"/>
  </r>
  <r>
    <x v="29"/>
    <s v="conventional_turnover_incentive_128"/>
    <x v="168"/>
    <n v="1.2869999999999999"/>
    <n v="1"/>
    <n v="-730"/>
    <n v="180"/>
  </r>
  <r>
    <x v="29"/>
    <s v="conventional_turnover_incentive_129"/>
    <x v="169"/>
    <n v="1.2869999999999999"/>
    <n v="1"/>
    <n v="-730"/>
    <n v="180"/>
  </r>
  <r>
    <x v="29"/>
    <s v="conventional_turnover_incentive_130"/>
    <x v="170"/>
    <n v="1.2869999999999999"/>
    <n v="1"/>
    <n v="-730"/>
    <n v="180"/>
  </r>
  <r>
    <x v="29"/>
    <s v="conventional_turnover_incentive_131"/>
    <x v="171"/>
    <n v="1.2869999999999999"/>
    <n v="1"/>
    <n v="-730"/>
    <n v="180"/>
  </r>
  <r>
    <x v="29"/>
    <s v="conventional_turnover_incentive_132"/>
    <x v="172"/>
    <n v="1.2869999999999999"/>
    <n v="1"/>
    <n v="-730"/>
    <n v="180"/>
  </r>
  <r>
    <x v="29"/>
    <s v="conventional_turnover_incentive_133"/>
    <x v="173"/>
    <n v="1.2869999999999999"/>
    <n v="1"/>
    <n v="-730"/>
    <n v="180"/>
  </r>
  <r>
    <x v="29"/>
    <s v="conventional_turnover_incentive_134"/>
    <x v="174"/>
    <n v="1.2869999999999999"/>
    <n v="1"/>
    <n v="-730"/>
    <n v="180"/>
  </r>
  <r>
    <x v="29"/>
    <s v="conventional_turnover_incentive_135"/>
    <x v="175"/>
    <n v="1.2869999999999999"/>
    <n v="1"/>
    <n v="-730"/>
    <n v="180"/>
  </r>
  <r>
    <x v="29"/>
    <s v="conventional_turnover_incentive_136"/>
    <x v="176"/>
    <n v="1.2869999999999999"/>
    <n v="1"/>
    <n v="-730"/>
    <n v="180"/>
  </r>
  <r>
    <x v="29"/>
    <s v="conventional_turnover_incentive_137"/>
    <x v="177"/>
    <n v="1.2869999999999999"/>
    <n v="1"/>
    <n v="-730"/>
    <n v="180"/>
  </r>
  <r>
    <x v="29"/>
    <s v="conventional_turnover_incentive_138"/>
    <x v="178"/>
    <n v="1.2869999999999999"/>
    <n v="1"/>
    <n v="-730"/>
    <n v="180"/>
  </r>
  <r>
    <x v="29"/>
    <s v="conventional_turnover_incentive_139"/>
    <x v="179"/>
    <n v="1.2869999999999999"/>
    <n v="1"/>
    <n v="-730"/>
    <n v="180"/>
  </r>
  <r>
    <x v="29"/>
    <s v="conventional_turnover_incentive_140"/>
    <x v="180"/>
    <n v="1.2869999999999999"/>
    <n v="1"/>
    <n v="-730"/>
    <n v="180"/>
  </r>
  <r>
    <x v="29"/>
    <s v="conventional_turnover_incentive_141"/>
    <x v="181"/>
    <n v="1.2869999999999999"/>
    <n v="1"/>
    <n v="-730"/>
    <n v="180"/>
  </r>
  <r>
    <x v="29"/>
    <s v="conventional_turnover_incentive_142"/>
    <x v="182"/>
    <n v="1.2869999999999999"/>
    <n v="1"/>
    <n v="-730"/>
    <n v="180"/>
  </r>
  <r>
    <x v="29"/>
    <s v="conventional_turnover_incentive_143"/>
    <x v="183"/>
    <n v="1.2869999999999999"/>
    <n v="1"/>
    <n v="-730"/>
    <n v="180"/>
  </r>
  <r>
    <x v="29"/>
    <s v="conventional_turnover_incentive_144"/>
    <x v="184"/>
    <n v="1.2869999999999999"/>
    <n v="1"/>
    <n v="-730"/>
    <n v="180"/>
  </r>
  <r>
    <x v="29"/>
    <s v="conventional_turnover_incentive_145"/>
    <x v="185"/>
    <n v="1.2869999999999999"/>
    <n v="1"/>
    <n v="-730"/>
    <n v="180"/>
  </r>
  <r>
    <x v="29"/>
    <s v="conventional_turnover_incentive_146"/>
    <x v="186"/>
    <n v="1.2869999999999999"/>
    <n v="1"/>
    <n v="-730"/>
    <n v="180"/>
  </r>
  <r>
    <x v="29"/>
    <s v="conventional_turnover_incentive_147"/>
    <x v="187"/>
    <n v="1.2869999999999999"/>
    <n v="1"/>
    <n v="-730"/>
    <n v="180"/>
  </r>
  <r>
    <x v="29"/>
    <s v="conventional_turnover_incentive_148"/>
    <x v="188"/>
    <n v="1.2869999999999999"/>
    <n v="1"/>
    <n v="-730"/>
    <n v="180"/>
  </r>
  <r>
    <x v="29"/>
    <s v="conventional_turnover_incentive_149"/>
    <x v="189"/>
    <n v="1.2869999999999999"/>
    <n v="1"/>
    <n v="-730"/>
    <n v="180"/>
  </r>
  <r>
    <x v="29"/>
    <s v="conventional_turnover_incentive_150"/>
    <x v="190"/>
    <n v="1.2869999999999999"/>
    <n v="1"/>
    <n v="-730"/>
    <n v="180"/>
  </r>
  <r>
    <x v="29"/>
    <s v="conventional_turnover_incentive_151"/>
    <x v="191"/>
    <n v="1.2869999999999999"/>
    <n v="1"/>
    <n v="-730"/>
    <n v="180"/>
  </r>
  <r>
    <x v="29"/>
    <s v="conventional_turnover_incentive_152"/>
    <x v="192"/>
    <n v="1.2869999999999999"/>
    <n v="1"/>
    <n v="-730"/>
    <n v="180"/>
  </r>
  <r>
    <x v="29"/>
    <s v="conventional_turnover_incentive_153"/>
    <x v="193"/>
    <n v="1.2869999999999999"/>
    <n v="1"/>
    <n v="-730"/>
    <n v="180"/>
  </r>
  <r>
    <x v="29"/>
    <s v="conventional_turnover_incentive_154"/>
    <x v="194"/>
    <n v="1.2869999999999999"/>
    <n v="1"/>
    <n v="-730"/>
    <n v="180"/>
  </r>
  <r>
    <x v="29"/>
    <s v="conventional_turnover_incentive_155"/>
    <x v="195"/>
    <n v="1.2869999999999999"/>
    <n v="1"/>
    <n v="-730"/>
    <n v="180"/>
  </r>
  <r>
    <x v="29"/>
    <s v="conventional_turnover_incentive_156"/>
    <x v="196"/>
    <n v="1.2869999999999999"/>
    <n v="1"/>
    <n v="-730"/>
    <n v="180"/>
  </r>
  <r>
    <x v="29"/>
    <s v="conventional_turnover_incentive_157"/>
    <x v="197"/>
    <n v="1.2869999999999999"/>
    <n v="1"/>
    <n v="-730"/>
    <n v="180"/>
  </r>
  <r>
    <x v="29"/>
    <s v="conventional_turnover_incentive_158"/>
    <x v="198"/>
    <n v="1.2869999999999999"/>
    <n v="1"/>
    <n v="-730"/>
    <n v="180"/>
  </r>
  <r>
    <x v="29"/>
    <s v="conventional_turnover_incentive_159"/>
    <x v="199"/>
    <n v="1.2869999999999999"/>
    <n v="1"/>
    <n v="-730"/>
    <n v="180"/>
  </r>
  <r>
    <x v="29"/>
    <s v="conventional_turnover_incentive_160"/>
    <x v="200"/>
    <n v="1.2869999999999999"/>
    <n v="1"/>
    <n v="-730"/>
    <n v="180"/>
  </r>
  <r>
    <x v="29"/>
    <s v="conventional_turnover_incentive_161"/>
    <x v="201"/>
    <n v="1.2869999999999999"/>
    <n v="1"/>
    <n v="-730"/>
    <n v="180"/>
  </r>
  <r>
    <x v="29"/>
    <s v="conventional_turnover_incentive_162"/>
    <x v="202"/>
    <n v="1.2869999999999999"/>
    <n v="1"/>
    <n v="-730"/>
    <n v="180"/>
  </r>
  <r>
    <x v="29"/>
    <s v="conventional_turnover_incentive_163"/>
    <x v="203"/>
    <n v="1.2869999999999999"/>
    <n v="1"/>
    <n v="-730"/>
    <n v="180"/>
  </r>
  <r>
    <x v="29"/>
    <s v="conventional_turnover_incentive_164"/>
    <x v="204"/>
    <n v="1.2869999999999999"/>
    <n v="1"/>
    <n v="-730"/>
    <n v="180"/>
  </r>
  <r>
    <x v="29"/>
    <s v="conventional_turnover_incentive_165"/>
    <x v="205"/>
    <n v="1.2869999999999999"/>
    <n v="1"/>
    <n v="-730"/>
    <n v="180"/>
  </r>
  <r>
    <x v="29"/>
    <s v="conventional_turnover_incentive_166"/>
    <x v="206"/>
    <n v="1.2869999999999999"/>
    <n v="1"/>
    <n v="-730"/>
    <n v="180"/>
  </r>
  <r>
    <x v="29"/>
    <s v="conventional_turnover_incentive_167"/>
    <x v="207"/>
    <n v="1.2869999999999999"/>
    <n v="1"/>
    <n v="-730"/>
    <n v="180"/>
  </r>
  <r>
    <x v="29"/>
    <s v="conventional_turnover_incentive_168"/>
    <x v="208"/>
    <n v="1.2869999999999999"/>
    <n v="1"/>
    <n v="-730"/>
    <n v="180"/>
  </r>
  <r>
    <x v="29"/>
    <s v="conventional_turnover_incentive_169"/>
    <x v="209"/>
    <n v="1.2869999999999999"/>
    <n v="1"/>
    <n v="-730"/>
    <n v="180"/>
  </r>
  <r>
    <x v="29"/>
    <s v="conventional_turnover_incentive_170"/>
    <x v="210"/>
    <n v="1.2869999999999999"/>
    <n v="1"/>
    <n v="-730"/>
    <n v="180"/>
  </r>
  <r>
    <x v="29"/>
    <s v="conventional_turnover_incentive_171"/>
    <x v="211"/>
    <n v="1.2869999999999999"/>
    <n v="1"/>
    <n v="-730"/>
    <n v="180"/>
  </r>
  <r>
    <x v="29"/>
    <s v="conventional_turnover_incentive_172"/>
    <x v="212"/>
    <n v="1.2869999999999999"/>
    <n v="1"/>
    <n v="-730"/>
    <n v="180"/>
  </r>
  <r>
    <x v="29"/>
    <s v="conventional_turnover_incentive_173"/>
    <x v="213"/>
    <n v="1.2869999999999999"/>
    <n v="1"/>
    <n v="-730"/>
    <n v="180"/>
  </r>
  <r>
    <x v="29"/>
    <s v="conventional_turnover_incentive_174"/>
    <x v="214"/>
    <n v="1.2869999999999999"/>
    <n v="1"/>
    <n v="-730"/>
    <n v="180"/>
  </r>
  <r>
    <x v="29"/>
    <s v="conventional_turnover_incentive_175"/>
    <x v="215"/>
    <n v="1.2869999999999999"/>
    <n v="1"/>
    <n v="-730"/>
    <n v="180"/>
  </r>
  <r>
    <x v="29"/>
    <s v="conventional_turnover_incentive_176"/>
    <x v="216"/>
    <n v="1.2869999999999999"/>
    <n v="1"/>
    <n v="-730"/>
    <n v="180"/>
  </r>
  <r>
    <x v="29"/>
    <s v="conventional_turnover_incentive_177"/>
    <x v="217"/>
    <n v="1.2869999999999999"/>
    <n v="1"/>
    <n v="-730"/>
    <n v="180"/>
  </r>
  <r>
    <x v="29"/>
    <s v="conventional_turnover_incentive_178"/>
    <x v="218"/>
    <n v="1.2869999999999999"/>
    <n v="1"/>
    <n v="-730"/>
    <n v="180"/>
  </r>
  <r>
    <x v="29"/>
    <s v="conventional_turnover_incentive_179"/>
    <x v="219"/>
    <n v="1.2869999999999999"/>
    <n v="1"/>
    <n v="-730"/>
    <n v="180"/>
  </r>
  <r>
    <x v="29"/>
    <s v="conventional_turnover_incentive_180"/>
    <x v="220"/>
    <n v="1.2869999999999999"/>
    <n v="1"/>
    <n v="-730"/>
    <n v="180"/>
  </r>
  <r>
    <x v="30"/>
    <s v="conventional_turnover_cltv_-40"/>
    <x v="0"/>
    <n v="1.0081451881449599"/>
    <n v="1"/>
    <n v="-40"/>
    <n v="240"/>
  </r>
  <r>
    <x v="30"/>
    <s v="conventional_turnover_cltv_-39"/>
    <x v="1"/>
    <n v="1.00814155844134"/>
    <n v="1"/>
    <n v="-40"/>
    <n v="240"/>
  </r>
  <r>
    <x v="30"/>
    <s v="conventional_turnover_cltv_-38"/>
    <x v="2"/>
    <n v="1.0081379287377199"/>
    <n v="1"/>
    <n v="-40"/>
    <n v="240"/>
  </r>
  <r>
    <x v="30"/>
    <s v="conventional_turnover_cltv_-37"/>
    <x v="3"/>
    <n v="1.00813429903409"/>
    <n v="1"/>
    <n v="-40"/>
    <n v="240"/>
  </r>
  <r>
    <x v="30"/>
    <s v="conventional_turnover_cltv_-36"/>
    <x v="4"/>
    <n v="1.0081306693304699"/>
    <n v="1"/>
    <n v="-40"/>
    <n v="240"/>
  </r>
  <r>
    <x v="30"/>
    <s v="conventional_turnover_cltv_-35"/>
    <x v="5"/>
    <n v="1.00812703962684"/>
    <n v="1"/>
    <n v="-40"/>
    <n v="240"/>
  </r>
  <r>
    <x v="30"/>
    <s v="conventional_turnover_cltv_-34"/>
    <x v="6"/>
    <n v="1.0081234099232199"/>
    <n v="1"/>
    <n v="-40"/>
    <n v="240"/>
  </r>
  <r>
    <x v="30"/>
    <s v="conventional_turnover_cltv_-33"/>
    <x v="7"/>
    <n v="1.0081197802196"/>
    <n v="1"/>
    <n v="-40"/>
    <n v="240"/>
  </r>
  <r>
    <x v="30"/>
    <s v="conventional_turnover_cltv_-32"/>
    <x v="8"/>
    <n v="1.0081161505159699"/>
    <n v="1"/>
    <n v="-40"/>
    <n v="240"/>
  </r>
  <r>
    <x v="30"/>
    <s v="conventional_turnover_cltv_-31"/>
    <x v="9"/>
    <n v="1.00811252081235"/>
    <n v="1"/>
    <n v="-40"/>
    <n v="240"/>
  </r>
  <r>
    <x v="30"/>
    <s v="conventional_turnover_cltv_-30"/>
    <x v="10"/>
    <n v="1.0081088911087199"/>
    <n v="1"/>
    <n v="-40"/>
    <n v="240"/>
  </r>
  <r>
    <x v="30"/>
    <s v="conventional_turnover_cltv_-29"/>
    <x v="11"/>
    <n v="1.0081052614051"/>
    <n v="1"/>
    <n v="-40"/>
    <n v="240"/>
  </r>
  <r>
    <x v="30"/>
    <s v="conventional_turnover_cltv_-28"/>
    <x v="12"/>
    <n v="1.0081016317014799"/>
    <n v="1"/>
    <n v="-40"/>
    <n v="240"/>
  </r>
  <r>
    <x v="30"/>
    <s v="conventional_turnover_cltv_-27"/>
    <x v="13"/>
    <n v="1.00809800199785"/>
    <n v="1"/>
    <n v="-40"/>
    <n v="240"/>
  </r>
  <r>
    <x v="30"/>
    <s v="conventional_turnover_cltv_-26"/>
    <x v="14"/>
    <n v="1.0080943722942299"/>
    <n v="1"/>
    <n v="-40"/>
    <n v="240"/>
  </r>
  <r>
    <x v="30"/>
    <s v="conventional_turnover_cltv_-25"/>
    <x v="15"/>
    <n v="1.0080907425906001"/>
    <n v="1"/>
    <n v="-40"/>
    <n v="240"/>
  </r>
  <r>
    <x v="30"/>
    <s v="conventional_turnover_cltv_-24"/>
    <x v="16"/>
    <n v="1.0080871128869799"/>
    <n v="1"/>
    <n v="-40"/>
    <n v="240"/>
  </r>
  <r>
    <x v="30"/>
    <s v="conventional_turnover_cltv_-23"/>
    <x v="17"/>
    <n v="1.0080834831833501"/>
    <n v="1"/>
    <n v="-40"/>
    <n v="240"/>
  </r>
  <r>
    <x v="30"/>
    <s v="conventional_turnover_cltv_-22"/>
    <x v="18"/>
    <n v="1.0080798534797299"/>
    <n v="1"/>
    <n v="-40"/>
    <n v="240"/>
  </r>
  <r>
    <x v="30"/>
    <s v="conventional_turnover_cltv_-21"/>
    <x v="19"/>
    <n v="1.0080762237761101"/>
    <n v="1"/>
    <n v="-40"/>
    <n v="240"/>
  </r>
  <r>
    <x v="30"/>
    <s v="conventional_turnover_cltv_-20"/>
    <x v="20"/>
    <n v="1.00807259407248"/>
    <n v="1"/>
    <n v="-40"/>
    <n v="240"/>
  </r>
  <r>
    <x v="30"/>
    <s v="conventional_turnover_cltv_-19"/>
    <x v="21"/>
    <n v="1.0080689643688601"/>
    <n v="1"/>
    <n v="-40"/>
    <n v="240"/>
  </r>
  <r>
    <x v="30"/>
    <s v="conventional_turnover_cltv_-18"/>
    <x v="22"/>
    <n v="1.00806533466523"/>
    <n v="1"/>
    <n v="-40"/>
    <n v="240"/>
  </r>
  <r>
    <x v="30"/>
    <s v="conventional_turnover_cltv_-17"/>
    <x v="23"/>
    <n v="1.0080617049616101"/>
    <n v="1"/>
    <n v="-40"/>
    <n v="240"/>
  </r>
  <r>
    <x v="30"/>
    <s v="conventional_turnover_cltv_-16"/>
    <x v="24"/>
    <n v="1.00805807525799"/>
    <n v="1"/>
    <n v="-40"/>
    <n v="240"/>
  </r>
  <r>
    <x v="30"/>
    <s v="conventional_turnover_cltv_-15"/>
    <x v="25"/>
    <n v="1.0080544455543601"/>
    <n v="1"/>
    <n v="-40"/>
    <n v="240"/>
  </r>
  <r>
    <x v="30"/>
    <s v="conventional_turnover_cltv_-14"/>
    <x v="26"/>
    <n v="1.00805081585074"/>
    <n v="1"/>
    <n v="-40"/>
    <n v="240"/>
  </r>
  <r>
    <x v="30"/>
    <s v="conventional_turnover_cltv_-13"/>
    <x v="27"/>
    <n v="1.0080471861471101"/>
    <n v="1"/>
    <n v="-40"/>
    <n v="240"/>
  </r>
  <r>
    <x v="30"/>
    <s v="conventional_turnover_cltv_-12"/>
    <x v="28"/>
    <n v="1.00804355644349"/>
    <n v="1"/>
    <n v="-40"/>
    <n v="240"/>
  </r>
  <r>
    <x v="30"/>
    <s v="conventional_turnover_cltv_-11"/>
    <x v="29"/>
    <n v="1.0080399267398701"/>
    <n v="1"/>
    <n v="-40"/>
    <n v="240"/>
  </r>
  <r>
    <x v="30"/>
    <s v="conventional_turnover_cltv_-10"/>
    <x v="30"/>
    <n v="1.00803629703624"/>
    <n v="1"/>
    <n v="-40"/>
    <n v="240"/>
  </r>
  <r>
    <x v="30"/>
    <s v="conventional_turnover_cltv_-9"/>
    <x v="31"/>
    <n v="1.0080326673326201"/>
    <n v="1"/>
    <n v="-40"/>
    <n v="240"/>
  </r>
  <r>
    <x v="30"/>
    <s v="conventional_turnover_cltv_-8"/>
    <x v="32"/>
    <n v="1.00802903762899"/>
    <n v="1"/>
    <n v="-40"/>
    <n v="240"/>
  </r>
  <r>
    <x v="30"/>
    <s v="conventional_turnover_cltv_-7"/>
    <x v="33"/>
    <n v="1.0080254079253701"/>
    <n v="1"/>
    <n v="-40"/>
    <n v="240"/>
  </r>
  <r>
    <x v="30"/>
    <s v="conventional_turnover_cltv_-6"/>
    <x v="34"/>
    <n v="1.00802177822174"/>
    <n v="1"/>
    <n v="-40"/>
    <n v="240"/>
  </r>
  <r>
    <x v="30"/>
    <s v="conventional_turnover_cltv_-5"/>
    <x v="35"/>
    <n v="1.0080181485181201"/>
    <n v="1"/>
    <n v="-40"/>
    <n v="240"/>
  </r>
  <r>
    <x v="30"/>
    <s v="conventional_turnover_cltv_-4"/>
    <x v="36"/>
    <n v="1.0080145188145"/>
    <n v="1"/>
    <n v="-40"/>
    <n v="240"/>
  </r>
  <r>
    <x v="30"/>
    <s v="conventional_turnover_cltv_-3"/>
    <x v="37"/>
    <n v="1.0080108891108699"/>
    <n v="1"/>
    <n v="-40"/>
    <n v="240"/>
  </r>
  <r>
    <x v="30"/>
    <s v="conventional_turnover_cltv_-2"/>
    <x v="38"/>
    <n v="1.00800725940725"/>
    <n v="1"/>
    <n v="-40"/>
    <n v="240"/>
  </r>
  <r>
    <x v="30"/>
    <s v="conventional_turnover_cltv_-1"/>
    <x v="39"/>
    <n v="1.0080036297036199"/>
    <n v="1"/>
    <n v="-40"/>
    <n v="240"/>
  </r>
  <r>
    <x v="30"/>
    <s v="conventional_turnover_cltv_0"/>
    <x v="40"/>
    <n v="1.008"/>
    <n v="1"/>
    <n v="-40"/>
    <n v="240"/>
  </r>
  <r>
    <x v="30"/>
    <s v="conventional_turnover_cltv_1"/>
    <x v="41"/>
    <n v="1.0079957348807"/>
    <n v="1"/>
    <n v="-40"/>
    <n v="240"/>
  </r>
  <r>
    <x v="30"/>
    <s v="conventional_turnover_cltv_2"/>
    <x v="42"/>
    <n v="1.00799022407369"/>
    <n v="1"/>
    <n v="-40"/>
    <n v="240"/>
  </r>
  <r>
    <x v="30"/>
    <s v="conventional_turnover_cltv_3"/>
    <x v="43"/>
    <n v="1.0079835052944499"/>
    <n v="1"/>
    <n v="-40"/>
    <n v="240"/>
  </r>
  <r>
    <x v="30"/>
    <s v="conventional_turnover_cltv_4"/>
    <x v="44"/>
    <n v="1.0079756162584801"/>
    <n v="1"/>
    <n v="-40"/>
    <n v="240"/>
  </r>
  <r>
    <x v="30"/>
    <s v="conventional_turnover_cltv_5"/>
    <x v="45"/>
    <n v="1.00796659468123"/>
    <n v="1"/>
    <n v="-40"/>
    <n v="240"/>
  </r>
  <r>
    <x v="30"/>
    <s v="conventional_turnover_cltv_6"/>
    <x v="46"/>
    <n v="1.0079564782782"/>
    <n v="1"/>
    <n v="-40"/>
    <n v="240"/>
  </r>
  <r>
    <x v="30"/>
    <s v="conventional_turnover_cltv_7"/>
    <x v="47"/>
    <n v="1.0079453047648601"/>
    <n v="1"/>
    <n v="-40"/>
    <n v="240"/>
  </r>
  <r>
    <x v="30"/>
    <s v="conventional_turnover_cltv_8"/>
    <x v="48"/>
    <n v="1.0079331118567001"/>
    <n v="1"/>
    <n v="-40"/>
    <n v="240"/>
  </r>
  <r>
    <x v="30"/>
    <s v="conventional_turnover_cltv_9"/>
    <x v="49"/>
    <n v="1.00791993726919"/>
    <n v="1"/>
    <n v="-40"/>
    <n v="240"/>
  </r>
  <r>
    <x v="30"/>
    <s v="conventional_turnover_cltv_10"/>
    <x v="50"/>
    <n v="1.00790581871781"/>
    <n v="1"/>
    <n v="-40"/>
    <n v="240"/>
  </r>
  <r>
    <x v="30"/>
    <s v="conventional_turnover_cltv_11"/>
    <x v="51"/>
    <n v="1.0078907939180499"/>
    <n v="1"/>
    <n v="-40"/>
    <n v="240"/>
  </r>
  <r>
    <x v="30"/>
    <s v="conventional_turnover_cltv_12"/>
    <x v="52"/>
    <n v="1.00787490058538"/>
    <n v="1"/>
    <n v="-40"/>
    <n v="240"/>
  </r>
  <r>
    <x v="30"/>
    <s v="conventional_turnover_cltv_13"/>
    <x v="53"/>
    <n v="1.0078581764352801"/>
    <n v="1"/>
    <n v="-40"/>
    <n v="240"/>
  </r>
  <r>
    <x v="30"/>
    <s v="conventional_turnover_cltv_14"/>
    <x v="54"/>
    <n v="1.0078406591832301"/>
    <n v="1"/>
    <n v="-40"/>
    <n v="240"/>
  </r>
  <r>
    <x v="30"/>
    <s v="conventional_turnover_cltv_15"/>
    <x v="55"/>
    <n v="1.00782238654472"/>
    <n v="1"/>
    <n v="-40"/>
    <n v="240"/>
  </r>
  <r>
    <x v="30"/>
    <s v="conventional_turnover_cltv_16"/>
    <x v="56"/>
    <n v="1.00780339623522"/>
    <n v="1"/>
    <n v="-40"/>
    <n v="240"/>
  </r>
  <r>
    <x v="30"/>
    <s v="conventional_turnover_cltv_17"/>
    <x v="57"/>
    <n v="1.00778372597021"/>
    <n v="1"/>
    <n v="-40"/>
    <n v="240"/>
  </r>
  <r>
    <x v="30"/>
    <s v="conventional_turnover_cltv_18"/>
    <x v="58"/>
    <n v="1.0077634134651701"/>
    <n v="1"/>
    <n v="-40"/>
    <n v="240"/>
  </r>
  <r>
    <x v="30"/>
    <s v="conventional_turnover_cltv_19"/>
    <x v="59"/>
    <n v="1.0077424964355799"/>
    <n v="1"/>
    <n v="-40"/>
    <n v="240"/>
  </r>
  <r>
    <x v="30"/>
    <s v="conventional_turnover_cltv_20"/>
    <x v="60"/>
    <n v="1.00772101259693"/>
    <n v="1"/>
    <n v="-40"/>
    <n v="240"/>
  </r>
  <r>
    <x v="30"/>
    <s v="conventional_turnover_cltv_21"/>
    <x v="61"/>
    <n v="1.0076989996646799"/>
    <n v="1"/>
    <n v="-40"/>
    <n v="240"/>
  </r>
  <r>
    <x v="30"/>
    <s v="conventional_turnover_cltv_22"/>
    <x v="62"/>
    <n v="1.00767649535433"/>
    <n v="1"/>
    <n v="-40"/>
    <n v="240"/>
  </r>
  <r>
    <x v="30"/>
    <s v="conventional_turnover_cltv_23"/>
    <x v="63"/>
    <n v="1.00765353738134"/>
    <n v="1"/>
    <n v="-40"/>
    <n v="240"/>
  </r>
  <r>
    <x v="30"/>
    <s v="conventional_turnover_cltv_24"/>
    <x v="64"/>
    <n v="1.0076301634612099"/>
    <n v="1"/>
    <n v="-40"/>
    <n v="240"/>
  </r>
  <r>
    <x v="30"/>
    <s v="conventional_turnover_cltv_25"/>
    <x v="65"/>
    <n v="1.0076064113094101"/>
    <n v="1"/>
    <n v="-40"/>
    <n v="240"/>
  </r>
  <r>
    <x v="30"/>
    <s v="conventional_turnover_cltv_26"/>
    <x v="66"/>
    <n v="1.0075823186414099"/>
    <n v="1"/>
    <n v="-40"/>
    <n v="240"/>
  </r>
  <r>
    <x v="30"/>
    <s v="conventional_turnover_cltv_27"/>
    <x v="67"/>
    <n v="1.0075579231727101"/>
    <n v="1"/>
    <n v="-40"/>
    <n v="240"/>
  </r>
  <r>
    <x v="30"/>
    <s v="conventional_turnover_cltv_28"/>
    <x v="68"/>
    <n v="1.0075332626187801"/>
    <n v="1"/>
    <n v="-40"/>
    <n v="240"/>
  </r>
  <r>
    <x v="30"/>
    <s v="conventional_turnover_cltv_29"/>
    <x v="69"/>
    <n v="1.0075083746950899"/>
    <n v="1"/>
    <n v="-40"/>
    <n v="240"/>
  </r>
  <r>
    <x v="30"/>
    <s v="conventional_turnover_cltv_30"/>
    <x v="70"/>
    <n v="1.0074832971171299"/>
    <n v="1"/>
    <n v="-40"/>
    <n v="240"/>
  </r>
  <r>
    <x v="30"/>
    <s v="conventional_turnover_cltv_31"/>
    <x v="71"/>
    <n v="1.0074580676003899"/>
    <n v="1"/>
    <n v="-40"/>
    <n v="240"/>
  </r>
  <r>
    <x v="30"/>
    <s v="conventional_turnover_cltv_32"/>
    <x v="72"/>
    <n v="1.00743272386033"/>
    <n v="1"/>
    <n v="-40"/>
    <n v="240"/>
  </r>
  <r>
    <x v="30"/>
    <s v="conventional_turnover_cltv_33"/>
    <x v="73"/>
    <n v="1.00740730361244"/>
    <n v="1"/>
    <n v="-40"/>
    <n v="240"/>
  </r>
  <r>
    <x v="30"/>
    <s v="conventional_turnover_cltv_34"/>
    <x v="74"/>
    <n v="1.0073818445722"/>
    <n v="1"/>
    <n v="-40"/>
    <n v="240"/>
  </r>
  <r>
    <x v="30"/>
    <s v="conventional_turnover_cltv_35"/>
    <x v="75"/>
    <n v="1.0073563844550799"/>
    <n v="1"/>
    <n v="-40"/>
    <n v="240"/>
  </r>
  <r>
    <x v="30"/>
    <s v="conventional_turnover_cltv_36"/>
    <x v="76"/>
    <n v="1.0073309609765799"/>
    <n v="1"/>
    <n v="-40"/>
    <n v="240"/>
  </r>
  <r>
    <x v="30"/>
    <s v="conventional_turnover_cltv_37"/>
    <x v="77"/>
    <n v="1.0073056118521599"/>
    <n v="1"/>
    <n v="-40"/>
    <n v="240"/>
  </r>
  <r>
    <x v="30"/>
    <s v="conventional_turnover_cltv_38"/>
    <x v="78"/>
    <n v="1.00728037479731"/>
    <n v="1"/>
    <n v="-40"/>
    <n v="240"/>
  </r>
  <r>
    <x v="30"/>
    <s v="conventional_turnover_cltv_39"/>
    <x v="79"/>
    <n v="1.0072552875275"/>
    <n v="1"/>
    <n v="-40"/>
    <n v="240"/>
  </r>
  <r>
    <x v="30"/>
    <s v="conventional_turnover_cltv_40"/>
    <x v="80"/>
    <n v="1.00723038775823"/>
    <n v="1"/>
    <n v="-40"/>
    <n v="240"/>
  </r>
  <r>
    <x v="30"/>
    <s v="conventional_turnover_cltv_41"/>
    <x v="81"/>
    <n v="1.0072057132049601"/>
    <n v="1"/>
    <n v="-40"/>
    <n v="240"/>
  </r>
  <r>
    <x v="30"/>
    <s v="conventional_turnover_cltv_42"/>
    <x v="82"/>
    <n v="1.0071813015831701"/>
    <n v="1"/>
    <n v="-40"/>
    <n v="240"/>
  </r>
  <r>
    <x v="30"/>
    <s v="conventional_turnover_cltv_43"/>
    <x v="83"/>
    <n v="1.0071571906083601"/>
    <n v="1"/>
    <n v="-40"/>
    <n v="240"/>
  </r>
  <r>
    <x v="30"/>
    <s v="conventional_turnover_cltv_44"/>
    <x v="84"/>
    <n v="1.0071334179959901"/>
    <n v="1"/>
    <n v="-40"/>
    <n v="240"/>
  </r>
  <r>
    <x v="30"/>
    <s v="conventional_turnover_cltv_45"/>
    <x v="85"/>
    <n v="1.0071100214615401"/>
    <n v="1"/>
    <n v="-40"/>
    <n v="240"/>
  </r>
  <r>
    <x v="30"/>
    <s v="conventional_turnover_cltv_46"/>
    <x v="86"/>
    <n v="1.0070870387205"/>
    <n v="1"/>
    <n v="-40"/>
    <n v="240"/>
  </r>
  <r>
    <x v="30"/>
    <s v="conventional_turnover_cltv_47"/>
    <x v="87"/>
    <n v="1.00706450748835"/>
    <n v="1"/>
    <n v="-40"/>
    <n v="240"/>
  </r>
  <r>
    <x v="30"/>
    <s v="conventional_turnover_cltv_48"/>
    <x v="88"/>
    <n v="1.0070424654805601"/>
    <n v="1"/>
    <n v="-40"/>
    <n v="240"/>
  </r>
  <r>
    <x v="30"/>
    <s v="conventional_turnover_cltv_49"/>
    <x v="89"/>
    <n v="1.00702095041262"/>
    <n v="1"/>
    <n v="-40"/>
    <n v="240"/>
  </r>
  <r>
    <x v="30"/>
    <s v="conventional_turnover_cltv_50"/>
    <x v="90"/>
    <n v="1.0069999999999999"/>
    <n v="1"/>
    <n v="-40"/>
    <n v="240"/>
  </r>
  <r>
    <x v="30"/>
    <s v="conventional_turnover_cltv_51"/>
    <x v="91"/>
    <n v="1.00697915539505"/>
    <n v="1"/>
    <n v="-40"/>
    <n v="240"/>
  </r>
  <r>
    <x v="30"/>
    <s v="conventional_turnover_cltv_52"/>
    <x v="92"/>
    <n v="1.0069461895948399"/>
    <n v="1"/>
    <n v="-40"/>
    <n v="240"/>
  </r>
  <r>
    <x v="30"/>
    <s v="conventional_turnover_cltv_53"/>
    <x v="93"/>
    <n v="1.0068834880819699"/>
    <n v="1"/>
    <n v="-40"/>
    <n v="240"/>
  </r>
  <r>
    <x v="30"/>
    <s v="conventional_turnover_cltv_54"/>
    <x v="94"/>
    <n v="1.00677343633901"/>
    <n v="1"/>
    <n v="-40"/>
    <n v="240"/>
  </r>
  <r>
    <x v="30"/>
    <s v="conventional_turnover_cltv_55"/>
    <x v="95"/>
    <n v="1.00659841984855"/>
    <n v="1"/>
    <n v="-40"/>
    <n v="240"/>
  </r>
  <r>
    <x v="30"/>
    <s v="conventional_turnover_cltv_56"/>
    <x v="96"/>
    <n v="1.0063408240931799"/>
    <n v="1"/>
    <n v="-40"/>
    <n v="240"/>
  </r>
  <r>
    <x v="30"/>
    <s v="conventional_turnover_cltv_57"/>
    <x v="97"/>
    <n v="1.0059830345554699"/>
    <n v="1"/>
    <n v="-40"/>
    <n v="240"/>
  </r>
  <r>
    <x v="30"/>
    <s v="conventional_turnover_cltv_58"/>
    <x v="98"/>
    <n v="1.0055074367180199"/>
    <n v="1"/>
    <n v="-40"/>
    <n v="240"/>
  </r>
  <r>
    <x v="30"/>
    <s v="conventional_turnover_cltv_59"/>
    <x v="99"/>
    <n v="1.0048964160634"/>
    <n v="1"/>
    <n v="-40"/>
    <n v="240"/>
  </r>
  <r>
    <x v="30"/>
    <s v="conventional_turnover_cltv_60"/>
    <x v="100"/>
    <n v="1.0041323580742001"/>
    <n v="1"/>
    <n v="-40"/>
    <n v="240"/>
  </r>
  <r>
    <x v="30"/>
    <s v="conventional_turnover_cltv_61"/>
    <x v="101"/>
    <n v="1.0031976482330101"/>
    <n v="1"/>
    <n v="-40"/>
    <n v="240"/>
  </r>
  <r>
    <x v="30"/>
    <s v="conventional_turnover_cltv_62"/>
    <x v="102"/>
    <n v="1.0020746720224101"/>
    <n v="1"/>
    <n v="-40"/>
    <n v="240"/>
  </r>
  <r>
    <x v="30"/>
    <s v="conventional_turnover_cltv_63"/>
    <x v="103"/>
    <n v="1.0007458149249899"/>
    <n v="1"/>
    <n v="-40"/>
    <n v="240"/>
  </r>
  <r>
    <x v="30"/>
    <s v="conventional_turnover_cltv_64"/>
    <x v="104"/>
    <n v="0.99919346242332296"/>
    <n v="1"/>
    <n v="-40"/>
    <n v="240"/>
  </r>
  <r>
    <x v="30"/>
    <s v="conventional_turnover_cltv_65"/>
    <x v="105"/>
    <n v="0.99739999999999995"/>
    <n v="1"/>
    <n v="-40"/>
    <n v="240"/>
  </r>
  <r>
    <x v="30"/>
    <s v="conventional_turnover_cltv_66"/>
    <x v="106"/>
    <n v="0.994171207900305"/>
    <n v="1"/>
    <n v="-40"/>
    <n v="240"/>
  </r>
  <r>
    <x v="30"/>
    <s v="conventional_turnover_cltv_67"/>
    <x v="107"/>
    <n v="0.98853527802308805"/>
    <n v="1"/>
    <n v="-40"/>
    <n v="240"/>
  </r>
  <r>
    <x v="30"/>
    <s v="conventional_turnover_cltv_68"/>
    <x v="108"/>
    <n v="0.98080821333128398"/>
    <n v="1"/>
    <n v="-40"/>
    <n v="240"/>
  </r>
  <r>
    <x v="30"/>
    <s v="conventional_turnover_cltv_69"/>
    <x v="109"/>
    <n v="0.97130601678782702"/>
    <n v="1"/>
    <n v="-40"/>
    <n v="240"/>
  </r>
  <r>
    <x v="30"/>
    <s v="conventional_turnover_cltv_70"/>
    <x v="110"/>
    <n v="0.96034469135565304"/>
    <n v="1"/>
    <n v="-40"/>
    <n v="240"/>
  </r>
  <r>
    <x v="30"/>
    <s v="conventional_turnover_cltv_71"/>
    <x v="111"/>
    <n v="0.94824023999769402"/>
    <n v="1"/>
    <n v="-40"/>
    <n v="240"/>
  </r>
  <r>
    <x v="30"/>
    <s v="conventional_turnover_cltv_72"/>
    <x v="112"/>
    <n v="0.93530866567688697"/>
    <n v="1"/>
    <n v="-40"/>
    <n v="240"/>
  </r>
  <r>
    <x v="30"/>
    <s v="conventional_turnover_cltv_73"/>
    <x v="113"/>
    <n v="0.92186597135616499"/>
    <n v="1"/>
    <n v="-40"/>
    <n v="240"/>
  </r>
  <r>
    <x v="30"/>
    <s v="conventional_turnover_cltv_74"/>
    <x v="114"/>
    <n v="0.90822815999846296"/>
    <n v="1"/>
    <n v="-40"/>
    <n v="240"/>
  </r>
  <r>
    <x v="30"/>
    <s v="conventional_turnover_cltv_75"/>
    <x v="115"/>
    <n v="0.89471123456671497"/>
    <n v="1"/>
    <n v="-40"/>
    <n v="240"/>
  </r>
  <r>
    <x v="30"/>
    <s v="conventional_turnover_cltv_76"/>
    <x v="116"/>
    <n v="0.88163119802385603"/>
    <n v="1"/>
    <n v="-40"/>
    <n v="240"/>
  </r>
  <r>
    <x v="30"/>
    <s v="conventional_turnover_cltv_77"/>
    <x v="117"/>
    <n v="0.86930405333282101"/>
    <n v="1"/>
    <n v="-40"/>
    <n v="240"/>
  </r>
  <r>
    <x v="30"/>
    <s v="conventional_turnover_cltv_78"/>
    <x v="118"/>
    <n v="0.85804580345654302"/>
    <n v="1"/>
    <n v="-40"/>
    <n v="240"/>
  </r>
  <r>
    <x v="30"/>
    <s v="conventional_turnover_cltv_79"/>
    <x v="119"/>
    <n v="0.84817245135795805"/>
    <n v="1"/>
    <n v="-40"/>
    <n v="240"/>
  </r>
  <r>
    <x v="30"/>
    <s v="conventional_turnover_cltv_80"/>
    <x v="120"/>
    <n v="0.84"/>
    <n v="1"/>
    <n v="-40"/>
    <n v="240"/>
  </r>
  <r>
    <x v="30"/>
    <s v="conventional_turnover_cltv_81"/>
    <x v="121"/>
    <n v="0.83322619259259301"/>
    <n v="1"/>
    <n v="-40"/>
    <n v="240"/>
  </r>
  <r>
    <x v="30"/>
    <s v="conventional_turnover_cltv_82"/>
    <x v="122"/>
    <n v="0.82727398518518502"/>
    <n v="1"/>
    <n v="-40"/>
    <n v="240"/>
  </r>
  <r>
    <x v="30"/>
    <s v="conventional_turnover_cltv_83"/>
    <x v="123"/>
    <n v="0.82204719999999998"/>
    <n v="1"/>
    <n v="-40"/>
    <n v="240"/>
  </r>
  <r>
    <x v="30"/>
    <s v="conventional_turnover_cltv_84"/>
    <x v="124"/>
    <n v="0.81744965925925905"/>
    <n v="1"/>
    <n v="-40"/>
    <n v="240"/>
  </r>
  <r>
    <x v="30"/>
    <s v="conventional_turnover_cltv_85"/>
    <x v="125"/>
    <n v="0.81338518518518499"/>
    <n v="1"/>
    <n v="-40"/>
    <n v="240"/>
  </r>
  <r>
    <x v="30"/>
    <s v="conventional_turnover_cltv_86"/>
    <x v="126"/>
    <n v="0.80975759999999997"/>
    <n v="1"/>
    <n v="-40"/>
    <n v="240"/>
  </r>
  <r>
    <x v="30"/>
    <s v="conventional_turnover_cltv_87"/>
    <x v="127"/>
    <n v="0.80647072592592595"/>
    <n v="1"/>
    <n v="-40"/>
    <n v="240"/>
  </r>
  <r>
    <x v="30"/>
    <s v="conventional_turnover_cltv_88"/>
    <x v="128"/>
    <n v="0.803428385185185"/>
    <n v="1"/>
    <n v="-40"/>
    <n v="240"/>
  </r>
  <r>
    <x v="30"/>
    <s v="conventional_turnover_cltv_89"/>
    <x v="129"/>
    <n v="0.80053439999999998"/>
    <n v="1"/>
    <n v="-40"/>
    <n v="240"/>
  </r>
  <r>
    <x v="30"/>
    <s v="conventional_turnover_cltv_90"/>
    <x v="130"/>
    <n v="0.79769259259259295"/>
    <n v="1"/>
    <n v="-40"/>
    <n v="240"/>
  </r>
  <r>
    <x v="30"/>
    <s v="conventional_turnover_cltv_91"/>
    <x v="131"/>
    <n v="0.79480678518518499"/>
    <n v="1"/>
    <n v="-40"/>
    <n v="240"/>
  </r>
  <r>
    <x v="30"/>
    <s v="conventional_turnover_cltv_92"/>
    <x v="132"/>
    <n v="0.79178079999999995"/>
    <n v="1"/>
    <n v="-40"/>
    <n v="240"/>
  </r>
  <r>
    <x v="30"/>
    <s v="conventional_turnover_cltv_93"/>
    <x v="133"/>
    <n v="0.78851845925925901"/>
    <n v="1"/>
    <n v="-40"/>
    <n v="240"/>
  </r>
  <r>
    <x v="30"/>
    <s v="conventional_turnover_cltv_94"/>
    <x v="134"/>
    <n v="0.78492358518518501"/>
    <n v="1"/>
    <n v="-40"/>
    <n v="240"/>
  </r>
  <r>
    <x v="30"/>
    <s v="conventional_turnover_cltv_95"/>
    <x v="135"/>
    <n v="0.78090000000000004"/>
    <n v="1"/>
    <n v="-40"/>
    <n v="240"/>
  </r>
  <r>
    <x v="30"/>
    <s v="conventional_turnover_cltv_96"/>
    <x v="136"/>
    <n v="0.77692346666666701"/>
    <n v="1"/>
    <n v="-40"/>
    <n v="240"/>
  </r>
  <r>
    <x v="30"/>
    <s v="conventional_turnover_cltv_97"/>
    <x v="137"/>
    <n v="0.77344373333333305"/>
    <n v="1"/>
    <n v="-40"/>
    <n v="240"/>
  </r>
  <r>
    <x v="30"/>
    <s v="conventional_turnover_cltv_98"/>
    <x v="138"/>
    <n v="0.77032560000000005"/>
    <n v="1"/>
    <n v="-40"/>
    <n v="240"/>
  </r>
  <r>
    <x v="30"/>
    <s v="conventional_turnover_cltv_99"/>
    <x v="139"/>
    <n v="0.76743386666666702"/>
    <n v="1"/>
    <n v="-40"/>
    <n v="240"/>
  </r>
  <r>
    <x v="30"/>
    <s v="conventional_turnover_cltv_100"/>
    <x v="140"/>
    <n v="0.76463333333333305"/>
    <n v="1"/>
    <n v="-40"/>
    <n v="240"/>
  </r>
  <r>
    <x v="30"/>
    <s v="conventional_turnover_cltv_101"/>
    <x v="141"/>
    <n v="0.76178880000000004"/>
    <n v="1"/>
    <n v="-40"/>
    <n v="240"/>
  </r>
  <r>
    <x v="30"/>
    <s v="conventional_turnover_cltv_102"/>
    <x v="142"/>
    <n v="0.75876506666666699"/>
    <n v="1"/>
    <n v="-40"/>
    <n v="240"/>
  </r>
  <r>
    <x v="30"/>
    <s v="conventional_turnover_cltv_103"/>
    <x v="143"/>
    <n v="0.75542693333333299"/>
    <n v="1"/>
    <n v="-40"/>
    <n v="240"/>
  </r>
  <r>
    <x v="30"/>
    <s v="conventional_turnover_cltv_104"/>
    <x v="144"/>
    <n v="0.75163919999999995"/>
    <n v="1"/>
    <n v="-40"/>
    <n v="240"/>
  </r>
  <r>
    <x v="30"/>
    <s v="conventional_turnover_cltv_105"/>
    <x v="145"/>
    <n v="0.74726666666666697"/>
    <n v="1"/>
    <n v="-40"/>
    <n v="240"/>
  </r>
  <r>
    <x v="30"/>
    <s v="conventional_turnover_cltv_106"/>
    <x v="146"/>
    <n v="0.74217413333333304"/>
    <n v="1"/>
    <n v="-40"/>
    <n v="240"/>
  </r>
  <r>
    <x v="30"/>
    <s v="conventional_turnover_cltv_107"/>
    <x v="147"/>
    <n v="0.73622639999999995"/>
    <n v="1"/>
    <n v="-40"/>
    <n v="240"/>
  </r>
  <r>
    <x v="30"/>
    <s v="conventional_turnover_cltv_108"/>
    <x v="148"/>
    <n v="0.72928826666666702"/>
    <n v="1"/>
    <n v="-40"/>
    <n v="240"/>
  </r>
  <r>
    <x v="30"/>
    <s v="conventional_turnover_cltv_109"/>
    <x v="149"/>
    <n v="0.72122453333333303"/>
    <n v="1"/>
    <n v="-40"/>
    <n v="240"/>
  </r>
  <r>
    <x v="30"/>
    <s v="conventional_turnover_cltv_110"/>
    <x v="150"/>
    <n v="0.71189999999999998"/>
    <n v="1"/>
    <n v="-40"/>
    <n v="240"/>
  </r>
  <r>
    <x v="30"/>
    <s v="conventional_turnover_cltv_111"/>
    <x v="151"/>
    <n v="0.70061165000000003"/>
    <n v="1"/>
    <n v="-40"/>
    <n v="240"/>
  </r>
  <r>
    <x v="30"/>
    <s v="conventional_turnover_cltv_112"/>
    <x v="152"/>
    <n v="0.6870792"/>
    <n v="1"/>
    <n v="-40"/>
    <n v="240"/>
  </r>
  <r>
    <x v="30"/>
    <s v="conventional_turnover_cltv_113"/>
    <x v="153"/>
    <n v="0.67180154999999997"/>
    <n v="1"/>
    <n v="-40"/>
    <n v="240"/>
  </r>
  <r>
    <x v="30"/>
    <s v="conventional_turnover_cltv_114"/>
    <x v="154"/>
    <n v="0.65527760000000002"/>
    <n v="1"/>
    <n v="-40"/>
    <n v="240"/>
  </r>
  <r>
    <x v="30"/>
    <s v="conventional_turnover_cltv_115"/>
    <x v="155"/>
    <n v="0.63800625"/>
    <n v="1"/>
    <n v="-40"/>
    <n v="240"/>
  </r>
  <r>
    <x v="30"/>
    <s v="conventional_turnover_cltv_116"/>
    <x v="156"/>
    <n v="0.62048639999999999"/>
    <n v="1"/>
    <n v="-40"/>
    <n v="240"/>
  </r>
  <r>
    <x v="30"/>
    <s v="conventional_turnover_cltv_117"/>
    <x v="157"/>
    <n v="0.60321694999999997"/>
    <n v="1"/>
    <n v="-40"/>
    <n v="240"/>
  </r>
  <r>
    <x v="30"/>
    <s v="conventional_turnover_cltv_118"/>
    <x v="158"/>
    <n v="0.58669680000000002"/>
    <n v="1"/>
    <n v="-40"/>
    <n v="240"/>
  </r>
  <r>
    <x v="30"/>
    <s v="conventional_turnover_cltv_119"/>
    <x v="159"/>
    <n v="0.57142484999999998"/>
    <n v="1"/>
    <n v="-40"/>
    <n v="240"/>
  </r>
  <r>
    <x v="30"/>
    <s v="conventional_turnover_cltv_120"/>
    <x v="160"/>
    <n v="0.55789999999999995"/>
    <n v="1"/>
    <n v="-40"/>
    <n v="240"/>
  </r>
  <r>
    <x v="30"/>
    <s v="conventional_turnover_cltv_121"/>
    <x v="161"/>
    <n v="0.54583362499999999"/>
    <n v="1"/>
    <n v="-40"/>
    <n v="240"/>
  </r>
  <r>
    <x v="30"/>
    <s v="conventional_turnover_cltv_122"/>
    <x v="162"/>
    <n v="0.53454800000000002"/>
    <n v="1"/>
    <n v="-40"/>
    <n v="240"/>
  </r>
  <r>
    <x v="30"/>
    <s v="conventional_turnover_cltv_123"/>
    <x v="163"/>
    <n v="0.52395837499999998"/>
    <n v="1"/>
    <n v="-40"/>
    <n v="240"/>
  </r>
  <r>
    <x v="30"/>
    <s v="conventional_turnover_cltv_124"/>
    <x v="164"/>
    <n v="0.51397999999999999"/>
    <n v="1"/>
    <n v="-40"/>
    <n v="240"/>
  </r>
  <r>
    <x v="30"/>
    <s v="conventional_turnover_cltv_125"/>
    <x v="165"/>
    <n v="0.50452812499999999"/>
    <n v="1"/>
    <n v="-40"/>
    <n v="240"/>
  </r>
  <r>
    <x v="30"/>
    <s v="conventional_turnover_cltv_126"/>
    <x v="166"/>
    <n v="0.49551800000000001"/>
    <n v="1"/>
    <n v="-40"/>
    <n v="240"/>
  </r>
  <r>
    <x v="30"/>
    <s v="conventional_turnover_cltv_127"/>
    <x v="167"/>
    <n v="0.48686487499999997"/>
    <n v="1"/>
    <n v="-40"/>
    <n v="240"/>
  </r>
  <r>
    <x v="30"/>
    <s v="conventional_turnover_cltv_128"/>
    <x v="168"/>
    <n v="0.47848400000000002"/>
    <n v="1"/>
    <n v="-40"/>
    <n v="240"/>
  </r>
  <r>
    <x v="30"/>
    <s v="conventional_turnover_cltv_129"/>
    <x v="169"/>
    <n v="0.47029062500000002"/>
    <n v="1"/>
    <n v="-40"/>
    <n v="240"/>
  </r>
  <r>
    <x v="30"/>
    <s v="conventional_turnover_cltv_130"/>
    <x v="170"/>
    <n v="0.4622"/>
    <n v="1"/>
    <n v="-40"/>
    <n v="240"/>
  </r>
  <r>
    <x v="30"/>
    <s v="conventional_turnover_cltv_131"/>
    <x v="171"/>
    <n v="0.45396715625"/>
    <n v="1"/>
    <n v="-40"/>
    <n v="240"/>
  </r>
  <r>
    <x v="30"/>
    <s v="conventional_turnover_cltv_132"/>
    <x v="172"/>
    <n v="0.44545425"/>
    <n v="1"/>
    <n v="-40"/>
    <n v="240"/>
  </r>
  <r>
    <x v="30"/>
    <s v="conventional_turnover_cltv_133"/>
    <x v="173"/>
    <n v="0.43673721874999999"/>
    <n v="1"/>
    <n v="-40"/>
    <n v="240"/>
  </r>
  <r>
    <x v="30"/>
    <s v="conventional_turnover_cltv_134"/>
    <x v="174"/>
    <n v="0.42789199999999999"/>
    <n v="1"/>
    <n v="-40"/>
    <n v="240"/>
  </r>
  <r>
    <x v="30"/>
    <s v="conventional_turnover_cltv_135"/>
    <x v="175"/>
    <n v="0.41899453125000002"/>
    <n v="1"/>
    <n v="-40"/>
    <n v="240"/>
  </r>
  <r>
    <x v="30"/>
    <s v="conventional_turnover_cltv_136"/>
    <x v="176"/>
    <n v="0.41012074999999998"/>
    <n v="1"/>
    <n v="-40"/>
    <n v="240"/>
  </r>
  <r>
    <x v="30"/>
    <s v="conventional_turnover_cltv_137"/>
    <x v="177"/>
    <n v="0.40134659374999998"/>
    <n v="1"/>
    <n v="-40"/>
    <n v="240"/>
  </r>
  <r>
    <x v="30"/>
    <s v="conventional_turnover_cltv_138"/>
    <x v="178"/>
    <n v="0.39274799999999999"/>
    <n v="1"/>
    <n v="-40"/>
    <n v="240"/>
  </r>
  <r>
    <x v="30"/>
    <s v="conventional_turnover_cltv_139"/>
    <x v="179"/>
    <n v="0.38440090625000001"/>
    <n v="1"/>
    <n v="-40"/>
    <n v="240"/>
  </r>
  <r>
    <x v="30"/>
    <s v="conventional_turnover_cltv_140"/>
    <x v="180"/>
    <n v="0.37638125"/>
    <n v="1"/>
    <n v="-40"/>
    <n v="240"/>
  </r>
  <r>
    <x v="30"/>
    <s v="conventional_turnover_cltv_141"/>
    <x v="181"/>
    <n v="0.36876496874999998"/>
    <n v="1"/>
    <n v="-40"/>
    <n v="240"/>
  </r>
  <r>
    <x v="30"/>
    <s v="conventional_turnover_cltv_142"/>
    <x v="182"/>
    <n v="0.361628"/>
    <n v="1"/>
    <n v="-40"/>
    <n v="240"/>
  </r>
  <r>
    <x v="30"/>
    <s v="conventional_turnover_cltv_143"/>
    <x v="183"/>
    <n v="0.35504628124999998"/>
    <n v="1"/>
    <n v="-40"/>
    <n v="240"/>
  </r>
  <r>
    <x v="30"/>
    <s v="conventional_turnover_cltv_144"/>
    <x v="184"/>
    <n v="0.34909574999999998"/>
    <n v="1"/>
    <n v="-40"/>
    <n v="240"/>
  </r>
  <r>
    <x v="30"/>
    <s v="conventional_turnover_cltv_145"/>
    <x v="185"/>
    <n v="0.34385234375000001"/>
    <n v="1"/>
    <n v="-40"/>
    <n v="240"/>
  </r>
  <r>
    <x v="30"/>
    <s v="conventional_turnover_cltv_146"/>
    <x v="186"/>
    <n v="0.33939200000000003"/>
    <n v="1"/>
    <n v="-40"/>
    <n v="240"/>
  </r>
  <r>
    <x v="30"/>
    <s v="conventional_turnover_cltv_147"/>
    <x v="187"/>
    <n v="0.33579065624999999"/>
    <n v="1"/>
    <n v="-40"/>
    <n v="240"/>
  </r>
  <r>
    <x v="30"/>
    <s v="conventional_turnover_cltv_148"/>
    <x v="188"/>
    <n v="0.33312425000000001"/>
    <n v="1"/>
    <n v="-40"/>
    <n v="240"/>
  </r>
  <r>
    <x v="30"/>
    <s v="conventional_turnover_cltv_149"/>
    <x v="189"/>
    <n v="0.33146871875"/>
    <n v="1"/>
    <n v="-40"/>
    <n v="240"/>
  </r>
  <r>
    <x v="30"/>
    <s v="conventional_turnover_cltv_150"/>
    <x v="190"/>
    <n v="0.33090000000000003"/>
    <n v="1"/>
    <n v="-40"/>
    <n v="240"/>
  </r>
  <r>
    <x v="30"/>
    <s v="conventional_turnover_cltv_151"/>
    <x v="191"/>
    <n v="0.33090000000000003"/>
    <n v="1"/>
    <n v="-40"/>
    <n v="240"/>
  </r>
  <r>
    <x v="30"/>
    <s v="conventional_turnover_cltv_152"/>
    <x v="192"/>
    <n v="0.33090000000000003"/>
    <n v="1"/>
    <n v="-40"/>
    <n v="240"/>
  </r>
  <r>
    <x v="30"/>
    <s v="conventional_turnover_cltv_153"/>
    <x v="193"/>
    <n v="0.33090000000000003"/>
    <n v="1"/>
    <n v="-40"/>
    <n v="240"/>
  </r>
  <r>
    <x v="30"/>
    <s v="conventional_turnover_cltv_154"/>
    <x v="194"/>
    <n v="0.33090000000000003"/>
    <n v="1"/>
    <n v="-40"/>
    <n v="240"/>
  </r>
  <r>
    <x v="30"/>
    <s v="conventional_turnover_cltv_155"/>
    <x v="195"/>
    <n v="0.33090000000000003"/>
    <n v="1"/>
    <n v="-40"/>
    <n v="240"/>
  </r>
  <r>
    <x v="30"/>
    <s v="conventional_turnover_cltv_156"/>
    <x v="196"/>
    <n v="0.33090000000000003"/>
    <n v="1"/>
    <n v="-40"/>
    <n v="240"/>
  </r>
  <r>
    <x v="30"/>
    <s v="conventional_turnover_cltv_157"/>
    <x v="197"/>
    <n v="0.33090000000000003"/>
    <n v="1"/>
    <n v="-40"/>
    <n v="240"/>
  </r>
  <r>
    <x v="30"/>
    <s v="conventional_turnover_cltv_158"/>
    <x v="198"/>
    <n v="0.33090000000000003"/>
    <n v="1"/>
    <n v="-40"/>
    <n v="240"/>
  </r>
  <r>
    <x v="30"/>
    <s v="conventional_turnover_cltv_159"/>
    <x v="199"/>
    <n v="0.33090000000000003"/>
    <n v="1"/>
    <n v="-40"/>
    <n v="240"/>
  </r>
  <r>
    <x v="30"/>
    <s v="conventional_turnover_cltv_160"/>
    <x v="200"/>
    <n v="0.33090000000000003"/>
    <n v="1"/>
    <n v="-40"/>
    <n v="240"/>
  </r>
  <r>
    <x v="30"/>
    <s v="conventional_turnover_cltv_161"/>
    <x v="201"/>
    <n v="0.33090000000000003"/>
    <n v="1"/>
    <n v="-40"/>
    <n v="240"/>
  </r>
  <r>
    <x v="30"/>
    <s v="conventional_turnover_cltv_162"/>
    <x v="202"/>
    <n v="0.33090000000000003"/>
    <n v="1"/>
    <n v="-40"/>
    <n v="240"/>
  </r>
  <r>
    <x v="30"/>
    <s v="conventional_turnover_cltv_163"/>
    <x v="203"/>
    <n v="0.33090000000000003"/>
    <n v="1"/>
    <n v="-40"/>
    <n v="240"/>
  </r>
  <r>
    <x v="30"/>
    <s v="conventional_turnover_cltv_164"/>
    <x v="204"/>
    <n v="0.33090000000000003"/>
    <n v="1"/>
    <n v="-40"/>
    <n v="240"/>
  </r>
  <r>
    <x v="30"/>
    <s v="conventional_turnover_cltv_165"/>
    <x v="205"/>
    <n v="0.33090000000000003"/>
    <n v="1"/>
    <n v="-40"/>
    <n v="240"/>
  </r>
  <r>
    <x v="30"/>
    <s v="conventional_turnover_cltv_166"/>
    <x v="206"/>
    <n v="0.33090000000000003"/>
    <n v="1"/>
    <n v="-40"/>
    <n v="240"/>
  </r>
  <r>
    <x v="30"/>
    <s v="conventional_turnover_cltv_167"/>
    <x v="207"/>
    <n v="0.33090000000000003"/>
    <n v="1"/>
    <n v="-40"/>
    <n v="240"/>
  </r>
  <r>
    <x v="30"/>
    <s v="conventional_turnover_cltv_168"/>
    <x v="208"/>
    <n v="0.33090000000000003"/>
    <n v="1"/>
    <n v="-40"/>
    <n v="240"/>
  </r>
  <r>
    <x v="30"/>
    <s v="conventional_turnover_cltv_169"/>
    <x v="209"/>
    <n v="0.33090000000000003"/>
    <n v="1"/>
    <n v="-40"/>
    <n v="240"/>
  </r>
  <r>
    <x v="30"/>
    <s v="conventional_turnover_cltv_170"/>
    <x v="210"/>
    <n v="0.33090000000000003"/>
    <n v="1"/>
    <n v="-40"/>
    <n v="240"/>
  </r>
  <r>
    <x v="30"/>
    <s v="conventional_turnover_cltv_171"/>
    <x v="211"/>
    <n v="0.33090000000000003"/>
    <n v="1"/>
    <n v="-40"/>
    <n v="240"/>
  </r>
  <r>
    <x v="30"/>
    <s v="conventional_turnover_cltv_172"/>
    <x v="212"/>
    <n v="0.33090000000000003"/>
    <n v="1"/>
    <n v="-40"/>
    <n v="240"/>
  </r>
  <r>
    <x v="30"/>
    <s v="conventional_turnover_cltv_173"/>
    <x v="213"/>
    <n v="0.33090000000000003"/>
    <n v="1"/>
    <n v="-40"/>
    <n v="240"/>
  </r>
  <r>
    <x v="30"/>
    <s v="conventional_turnover_cltv_174"/>
    <x v="214"/>
    <n v="0.33090000000000003"/>
    <n v="1"/>
    <n v="-40"/>
    <n v="240"/>
  </r>
  <r>
    <x v="30"/>
    <s v="conventional_turnover_cltv_175"/>
    <x v="215"/>
    <n v="0.33090000000000003"/>
    <n v="1"/>
    <n v="-40"/>
    <n v="240"/>
  </r>
  <r>
    <x v="30"/>
    <s v="conventional_turnover_cltv_176"/>
    <x v="216"/>
    <n v="0.33090000000000003"/>
    <n v="1"/>
    <n v="-40"/>
    <n v="240"/>
  </r>
  <r>
    <x v="30"/>
    <s v="conventional_turnover_cltv_177"/>
    <x v="217"/>
    <n v="0.33090000000000003"/>
    <n v="1"/>
    <n v="-40"/>
    <n v="240"/>
  </r>
  <r>
    <x v="30"/>
    <s v="conventional_turnover_cltv_178"/>
    <x v="218"/>
    <n v="0.33090000000000003"/>
    <n v="1"/>
    <n v="-40"/>
    <n v="240"/>
  </r>
  <r>
    <x v="30"/>
    <s v="conventional_turnover_cltv_179"/>
    <x v="219"/>
    <n v="0.33090000000000003"/>
    <n v="1"/>
    <n v="-40"/>
    <n v="240"/>
  </r>
  <r>
    <x v="30"/>
    <s v="conventional_turnover_cltv_180"/>
    <x v="220"/>
    <n v="0.33090000000000003"/>
    <n v="1"/>
    <n v="-40"/>
    <n v="240"/>
  </r>
  <r>
    <x v="30"/>
    <s v="conventional_turnover_cltv_181"/>
    <x v="221"/>
    <n v="0.33090000000000003"/>
    <n v="1"/>
    <n v="-40"/>
    <n v="240"/>
  </r>
  <r>
    <x v="30"/>
    <s v="conventional_turnover_cltv_182"/>
    <x v="222"/>
    <n v="0.33090000000000003"/>
    <n v="1"/>
    <n v="-40"/>
    <n v="240"/>
  </r>
  <r>
    <x v="30"/>
    <s v="conventional_turnover_cltv_183"/>
    <x v="223"/>
    <n v="0.33090000000000003"/>
    <n v="1"/>
    <n v="-40"/>
    <n v="240"/>
  </r>
  <r>
    <x v="30"/>
    <s v="conventional_turnover_cltv_184"/>
    <x v="224"/>
    <n v="0.33090000000000003"/>
    <n v="1"/>
    <n v="-40"/>
    <n v="240"/>
  </r>
  <r>
    <x v="30"/>
    <s v="conventional_turnover_cltv_185"/>
    <x v="225"/>
    <n v="0.33090000000000003"/>
    <n v="1"/>
    <n v="-40"/>
    <n v="240"/>
  </r>
  <r>
    <x v="30"/>
    <s v="conventional_turnover_cltv_186"/>
    <x v="226"/>
    <n v="0.33090000000000003"/>
    <n v="1"/>
    <n v="-40"/>
    <n v="240"/>
  </r>
  <r>
    <x v="30"/>
    <s v="conventional_turnover_cltv_187"/>
    <x v="227"/>
    <n v="0.33090000000000003"/>
    <n v="1"/>
    <n v="-40"/>
    <n v="240"/>
  </r>
  <r>
    <x v="30"/>
    <s v="conventional_turnover_cltv_188"/>
    <x v="228"/>
    <n v="0.33090000000000003"/>
    <n v="1"/>
    <n v="-40"/>
    <n v="240"/>
  </r>
  <r>
    <x v="30"/>
    <s v="conventional_turnover_cltv_189"/>
    <x v="229"/>
    <n v="0.33090000000000003"/>
    <n v="1"/>
    <n v="-40"/>
    <n v="240"/>
  </r>
  <r>
    <x v="30"/>
    <s v="conventional_turnover_cltv_190"/>
    <x v="230"/>
    <n v="0.33090000000000003"/>
    <n v="1"/>
    <n v="-40"/>
    <n v="240"/>
  </r>
  <r>
    <x v="30"/>
    <s v="conventional_turnover_cltv_191"/>
    <x v="231"/>
    <n v="0.33090000000000003"/>
    <n v="1"/>
    <n v="-40"/>
    <n v="240"/>
  </r>
  <r>
    <x v="30"/>
    <s v="conventional_turnover_cltv_192"/>
    <x v="232"/>
    <n v="0.33090000000000003"/>
    <n v="1"/>
    <n v="-40"/>
    <n v="240"/>
  </r>
  <r>
    <x v="30"/>
    <s v="conventional_turnover_cltv_193"/>
    <x v="233"/>
    <n v="0.33090000000000003"/>
    <n v="1"/>
    <n v="-40"/>
    <n v="240"/>
  </r>
  <r>
    <x v="30"/>
    <s v="conventional_turnover_cltv_194"/>
    <x v="234"/>
    <n v="0.33090000000000003"/>
    <n v="1"/>
    <n v="-40"/>
    <n v="240"/>
  </r>
  <r>
    <x v="30"/>
    <s v="conventional_turnover_cltv_195"/>
    <x v="235"/>
    <n v="0.33090000000000003"/>
    <n v="1"/>
    <n v="-40"/>
    <n v="240"/>
  </r>
  <r>
    <x v="30"/>
    <s v="conventional_turnover_cltv_196"/>
    <x v="236"/>
    <n v="0.33090000000000003"/>
    <n v="1"/>
    <n v="-40"/>
    <n v="240"/>
  </r>
  <r>
    <x v="30"/>
    <s v="conventional_turnover_cltv_197"/>
    <x v="237"/>
    <n v="0.33090000000000003"/>
    <n v="1"/>
    <n v="-40"/>
    <n v="240"/>
  </r>
  <r>
    <x v="30"/>
    <s v="conventional_turnover_cltv_198"/>
    <x v="238"/>
    <n v="0.33090000000000003"/>
    <n v="1"/>
    <n v="-40"/>
    <n v="240"/>
  </r>
  <r>
    <x v="30"/>
    <s v="conventional_turnover_cltv_199"/>
    <x v="239"/>
    <n v="0.33090000000000003"/>
    <n v="1"/>
    <n v="-40"/>
    <n v="240"/>
  </r>
  <r>
    <x v="30"/>
    <s v="conventional_turnover_cltv_200"/>
    <x v="240"/>
    <n v="0.33090000000000003"/>
    <n v="1"/>
    <n v="-40"/>
    <n v="240"/>
  </r>
  <r>
    <x v="30"/>
    <s v="conventional_turnover_cltv_201"/>
    <x v="241"/>
    <n v="0.33090000000000003"/>
    <n v="1"/>
    <n v="-40"/>
    <n v="240"/>
  </r>
  <r>
    <x v="30"/>
    <s v="conventional_turnover_cltv_202"/>
    <x v="242"/>
    <n v="0.33090000000000003"/>
    <n v="1"/>
    <n v="-40"/>
    <n v="240"/>
  </r>
  <r>
    <x v="30"/>
    <s v="conventional_turnover_cltv_203"/>
    <x v="243"/>
    <n v="0.33090000000000003"/>
    <n v="1"/>
    <n v="-40"/>
    <n v="240"/>
  </r>
  <r>
    <x v="30"/>
    <s v="conventional_turnover_cltv_204"/>
    <x v="244"/>
    <n v="0.33090000000000003"/>
    <n v="1"/>
    <n v="-40"/>
    <n v="240"/>
  </r>
  <r>
    <x v="30"/>
    <s v="conventional_turnover_cltv_205"/>
    <x v="245"/>
    <n v="0.33090000000000003"/>
    <n v="1"/>
    <n v="-40"/>
    <n v="240"/>
  </r>
  <r>
    <x v="30"/>
    <s v="conventional_turnover_cltv_206"/>
    <x v="246"/>
    <n v="0.33090000000000003"/>
    <n v="1"/>
    <n v="-40"/>
    <n v="240"/>
  </r>
  <r>
    <x v="30"/>
    <s v="conventional_turnover_cltv_207"/>
    <x v="247"/>
    <n v="0.33090000000000003"/>
    <n v="1"/>
    <n v="-40"/>
    <n v="240"/>
  </r>
  <r>
    <x v="30"/>
    <s v="conventional_turnover_cltv_208"/>
    <x v="248"/>
    <n v="0.33090000000000003"/>
    <n v="1"/>
    <n v="-40"/>
    <n v="240"/>
  </r>
  <r>
    <x v="30"/>
    <s v="conventional_turnover_cltv_209"/>
    <x v="249"/>
    <n v="0.33090000000000003"/>
    <n v="1"/>
    <n v="-40"/>
    <n v="240"/>
  </r>
  <r>
    <x v="30"/>
    <s v="conventional_turnover_cltv_210"/>
    <x v="250"/>
    <n v="0.33090000000000003"/>
    <n v="1"/>
    <n v="-40"/>
    <n v="240"/>
  </r>
  <r>
    <x v="30"/>
    <s v="conventional_turnover_cltv_211"/>
    <x v="251"/>
    <n v="0.33090000000000003"/>
    <n v="1"/>
    <n v="-40"/>
    <n v="240"/>
  </r>
  <r>
    <x v="30"/>
    <s v="conventional_turnover_cltv_212"/>
    <x v="252"/>
    <n v="0.33090000000000003"/>
    <n v="1"/>
    <n v="-40"/>
    <n v="240"/>
  </r>
  <r>
    <x v="30"/>
    <s v="conventional_turnover_cltv_213"/>
    <x v="253"/>
    <n v="0.33090000000000003"/>
    <n v="1"/>
    <n v="-40"/>
    <n v="240"/>
  </r>
  <r>
    <x v="30"/>
    <s v="conventional_turnover_cltv_214"/>
    <x v="254"/>
    <n v="0.33090000000000003"/>
    <n v="1"/>
    <n v="-40"/>
    <n v="240"/>
  </r>
  <r>
    <x v="30"/>
    <s v="conventional_turnover_cltv_215"/>
    <x v="255"/>
    <n v="0.33090000000000003"/>
    <n v="1"/>
    <n v="-40"/>
    <n v="240"/>
  </r>
  <r>
    <x v="30"/>
    <s v="conventional_turnover_cltv_216"/>
    <x v="256"/>
    <n v="0.33090000000000003"/>
    <n v="1"/>
    <n v="-40"/>
    <n v="240"/>
  </r>
  <r>
    <x v="30"/>
    <s v="conventional_turnover_cltv_217"/>
    <x v="257"/>
    <n v="0.33090000000000003"/>
    <n v="1"/>
    <n v="-40"/>
    <n v="240"/>
  </r>
  <r>
    <x v="30"/>
    <s v="conventional_turnover_cltv_218"/>
    <x v="258"/>
    <n v="0.33090000000000003"/>
    <n v="1"/>
    <n v="-40"/>
    <n v="240"/>
  </r>
  <r>
    <x v="30"/>
    <s v="conventional_turnover_cltv_219"/>
    <x v="259"/>
    <n v="0.33090000000000003"/>
    <n v="1"/>
    <n v="-40"/>
    <n v="240"/>
  </r>
  <r>
    <x v="30"/>
    <s v="conventional_turnover_cltv_220"/>
    <x v="260"/>
    <n v="0.33090000000000003"/>
    <n v="1"/>
    <n v="-40"/>
    <n v="240"/>
  </r>
  <r>
    <x v="30"/>
    <s v="conventional_turnover_cltv_221"/>
    <x v="261"/>
    <n v="0.33090000000000003"/>
    <n v="1"/>
    <n v="-40"/>
    <n v="240"/>
  </r>
  <r>
    <x v="30"/>
    <s v="conventional_turnover_cltv_222"/>
    <x v="262"/>
    <n v="0.33090000000000003"/>
    <n v="1"/>
    <n v="-40"/>
    <n v="240"/>
  </r>
  <r>
    <x v="30"/>
    <s v="conventional_turnover_cltv_223"/>
    <x v="263"/>
    <n v="0.33090000000000003"/>
    <n v="1"/>
    <n v="-40"/>
    <n v="240"/>
  </r>
  <r>
    <x v="30"/>
    <s v="conventional_turnover_cltv_224"/>
    <x v="264"/>
    <n v="0.33090000000000003"/>
    <n v="1"/>
    <n v="-40"/>
    <n v="240"/>
  </r>
  <r>
    <x v="30"/>
    <s v="conventional_turnover_cltv_225"/>
    <x v="265"/>
    <n v="0.33090000000000003"/>
    <n v="1"/>
    <n v="-40"/>
    <n v="240"/>
  </r>
  <r>
    <x v="30"/>
    <s v="conventional_turnover_cltv_226"/>
    <x v="266"/>
    <n v="0.33090000000000003"/>
    <n v="1"/>
    <n v="-40"/>
    <n v="240"/>
  </r>
  <r>
    <x v="30"/>
    <s v="conventional_turnover_cltv_227"/>
    <x v="267"/>
    <n v="0.33090000000000003"/>
    <n v="1"/>
    <n v="-40"/>
    <n v="240"/>
  </r>
  <r>
    <x v="30"/>
    <s v="conventional_turnover_cltv_228"/>
    <x v="268"/>
    <n v="0.33090000000000003"/>
    <n v="1"/>
    <n v="-40"/>
    <n v="240"/>
  </r>
  <r>
    <x v="30"/>
    <s v="conventional_turnover_cltv_229"/>
    <x v="269"/>
    <n v="0.33090000000000003"/>
    <n v="1"/>
    <n v="-40"/>
    <n v="240"/>
  </r>
  <r>
    <x v="30"/>
    <s v="conventional_turnover_cltv_230"/>
    <x v="270"/>
    <n v="0.33090000000000003"/>
    <n v="1"/>
    <n v="-40"/>
    <n v="240"/>
  </r>
  <r>
    <x v="30"/>
    <s v="conventional_turnover_cltv_231"/>
    <x v="271"/>
    <n v="0.33090000000000003"/>
    <n v="1"/>
    <n v="-40"/>
    <n v="240"/>
  </r>
  <r>
    <x v="30"/>
    <s v="conventional_turnover_cltv_232"/>
    <x v="272"/>
    <n v="0.33090000000000003"/>
    <n v="1"/>
    <n v="-40"/>
    <n v="240"/>
  </r>
  <r>
    <x v="30"/>
    <s v="conventional_turnover_cltv_233"/>
    <x v="273"/>
    <n v="0.33090000000000003"/>
    <n v="1"/>
    <n v="-40"/>
    <n v="240"/>
  </r>
  <r>
    <x v="30"/>
    <s v="conventional_turnover_cltv_234"/>
    <x v="274"/>
    <n v="0.33090000000000003"/>
    <n v="1"/>
    <n v="-40"/>
    <n v="240"/>
  </r>
  <r>
    <x v="30"/>
    <s v="conventional_turnover_cltv_235"/>
    <x v="275"/>
    <n v="0.33090000000000003"/>
    <n v="1"/>
    <n v="-40"/>
    <n v="240"/>
  </r>
  <r>
    <x v="30"/>
    <s v="conventional_turnover_cltv_236"/>
    <x v="276"/>
    <n v="0.33090000000000003"/>
    <n v="1"/>
    <n v="-40"/>
    <n v="240"/>
  </r>
  <r>
    <x v="30"/>
    <s v="conventional_turnover_cltv_237"/>
    <x v="277"/>
    <n v="0.33090000000000003"/>
    <n v="1"/>
    <n v="-40"/>
    <n v="240"/>
  </r>
  <r>
    <x v="30"/>
    <s v="conventional_turnover_cltv_238"/>
    <x v="278"/>
    <n v="0.33090000000000003"/>
    <n v="1"/>
    <n v="-40"/>
    <n v="240"/>
  </r>
  <r>
    <x v="30"/>
    <s v="conventional_turnover_cltv_239"/>
    <x v="279"/>
    <n v="0.33090000000000003"/>
    <n v="1"/>
    <n v="-40"/>
    <n v="240"/>
  </r>
  <r>
    <x v="30"/>
    <s v="conventional_turnover_cltv_240"/>
    <x v="280"/>
    <n v="0.33090000000000003"/>
    <n v="1"/>
    <n v="-40"/>
    <n v="240"/>
  </r>
  <r>
    <x v="31"/>
    <s v="conventional_turnover_acls_-115"/>
    <x v="1156"/>
    <n v="1.14056"/>
    <n v="1"/>
    <n v="-115"/>
    <n v="690"/>
  </r>
  <r>
    <x v="31"/>
    <s v="conventional_turnover_acls_-114"/>
    <x v="1157"/>
    <n v="1.14056"/>
    <n v="1"/>
    <n v="-115"/>
    <n v="690"/>
  </r>
  <r>
    <x v="31"/>
    <s v="conventional_turnover_acls_-113"/>
    <x v="1158"/>
    <n v="1.14056"/>
    <n v="1"/>
    <n v="-115"/>
    <n v="690"/>
  </r>
  <r>
    <x v="31"/>
    <s v="conventional_turnover_acls_-112"/>
    <x v="1159"/>
    <n v="1.14056"/>
    <n v="1"/>
    <n v="-115"/>
    <n v="690"/>
  </r>
  <r>
    <x v="31"/>
    <s v="conventional_turnover_acls_-111"/>
    <x v="1160"/>
    <n v="1.14056"/>
    <n v="1"/>
    <n v="-115"/>
    <n v="690"/>
  </r>
  <r>
    <x v="31"/>
    <s v="conventional_turnover_acls_-110"/>
    <x v="1161"/>
    <n v="1.14056"/>
    <n v="1"/>
    <n v="-115"/>
    <n v="690"/>
  </r>
  <r>
    <x v="31"/>
    <s v="conventional_turnover_acls_-109"/>
    <x v="1162"/>
    <n v="1.14056"/>
    <n v="1"/>
    <n v="-115"/>
    <n v="690"/>
  </r>
  <r>
    <x v="31"/>
    <s v="conventional_turnover_acls_-108"/>
    <x v="1163"/>
    <n v="1.14056"/>
    <n v="1"/>
    <n v="-115"/>
    <n v="690"/>
  </r>
  <r>
    <x v="31"/>
    <s v="conventional_turnover_acls_-107"/>
    <x v="1164"/>
    <n v="1.14056"/>
    <n v="1"/>
    <n v="-115"/>
    <n v="690"/>
  </r>
  <r>
    <x v="31"/>
    <s v="conventional_turnover_acls_-106"/>
    <x v="1165"/>
    <n v="1.14056"/>
    <n v="1"/>
    <n v="-115"/>
    <n v="690"/>
  </r>
  <r>
    <x v="31"/>
    <s v="conventional_turnover_acls_-105"/>
    <x v="1166"/>
    <n v="1.14056"/>
    <n v="1"/>
    <n v="-115"/>
    <n v="690"/>
  </r>
  <r>
    <x v="31"/>
    <s v="conventional_turnover_acls_-104"/>
    <x v="1167"/>
    <n v="1.14056"/>
    <n v="1"/>
    <n v="-115"/>
    <n v="690"/>
  </r>
  <r>
    <x v="31"/>
    <s v="conventional_turnover_acls_-103"/>
    <x v="1168"/>
    <n v="1.14056"/>
    <n v="1"/>
    <n v="-115"/>
    <n v="690"/>
  </r>
  <r>
    <x v="31"/>
    <s v="conventional_turnover_acls_-102"/>
    <x v="1169"/>
    <n v="1.14056"/>
    <n v="1"/>
    <n v="-115"/>
    <n v="690"/>
  </r>
  <r>
    <x v="31"/>
    <s v="conventional_turnover_acls_-101"/>
    <x v="1170"/>
    <n v="1.14056"/>
    <n v="1"/>
    <n v="-115"/>
    <n v="690"/>
  </r>
  <r>
    <x v="31"/>
    <s v="conventional_turnover_acls_-100"/>
    <x v="1171"/>
    <n v="1.14056"/>
    <n v="1"/>
    <n v="-115"/>
    <n v="690"/>
  </r>
  <r>
    <x v="31"/>
    <s v="conventional_turnover_acls_-99"/>
    <x v="1172"/>
    <n v="1.14056"/>
    <n v="1"/>
    <n v="-115"/>
    <n v="690"/>
  </r>
  <r>
    <x v="31"/>
    <s v="conventional_turnover_acls_-98"/>
    <x v="1173"/>
    <n v="1.14056"/>
    <n v="1"/>
    <n v="-115"/>
    <n v="690"/>
  </r>
  <r>
    <x v="31"/>
    <s v="conventional_turnover_acls_-97"/>
    <x v="1174"/>
    <n v="1.14056"/>
    <n v="1"/>
    <n v="-115"/>
    <n v="690"/>
  </r>
  <r>
    <x v="31"/>
    <s v="conventional_turnover_acls_-96"/>
    <x v="1175"/>
    <n v="1.14056"/>
    <n v="1"/>
    <n v="-115"/>
    <n v="690"/>
  </r>
  <r>
    <x v="31"/>
    <s v="conventional_turnover_acls_-95"/>
    <x v="1176"/>
    <n v="1.14056"/>
    <n v="1"/>
    <n v="-115"/>
    <n v="690"/>
  </r>
  <r>
    <x v="31"/>
    <s v="conventional_turnover_acls_-94"/>
    <x v="1177"/>
    <n v="1.14056"/>
    <n v="1"/>
    <n v="-115"/>
    <n v="690"/>
  </r>
  <r>
    <x v="31"/>
    <s v="conventional_turnover_acls_-93"/>
    <x v="1178"/>
    <n v="1.14056"/>
    <n v="1"/>
    <n v="-115"/>
    <n v="690"/>
  </r>
  <r>
    <x v="31"/>
    <s v="conventional_turnover_acls_-92"/>
    <x v="1179"/>
    <n v="1.14056"/>
    <n v="1"/>
    <n v="-115"/>
    <n v="690"/>
  </r>
  <r>
    <x v="31"/>
    <s v="conventional_turnover_acls_-91"/>
    <x v="1180"/>
    <n v="1.14056"/>
    <n v="1"/>
    <n v="-115"/>
    <n v="690"/>
  </r>
  <r>
    <x v="31"/>
    <s v="conventional_turnover_acls_-90"/>
    <x v="1181"/>
    <n v="1.14056"/>
    <n v="1"/>
    <n v="-115"/>
    <n v="690"/>
  </r>
  <r>
    <x v="31"/>
    <s v="conventional_turnover_acls_-89"/>
    <x v="1182"/>
    <n v="1.14056"/>
    <n v="1"/>
    <n v="-115"/>
    <n v="690"/>
  </r>
  <r>
    <x v="31"/>
    <s v="conventional_turnover_acls_-88"/>
    <x v="1183"/>
    <n v="1.14056"/>
    <n v="1"/>
    <n v="-115"/>
    <n v="690"/>
  </r>
  <r>
    <x v="31"/>
    <s v="conventional_turnover_acls_-87"/>
    <x v="1184"/>
    <n v="1.14056"/>
    <n v="1"/>
    <n v="-115"/>
    <n v="690"/>
  </r>
  <r>
    <x v="31"/>
    <s v="conventional_turnover_acls_-86"/>
    <x v="1185"/>
    <n v="1.14056"/>
    <n v="1"/>
    <n v="-115"/>
    <n v="690"/>
  </r>
  <r>
    <x v="31"/>
    <s v="conventional_turnover_acls_-85"/>
    <x v="1186"/>
    <n v="1.14056"/>
    <n v="1"/>
    <n v="-115"/>
    <n v="690"/>
  </r>
  <r>
    <x v="31"/>
    <s v="conventional_turnover_acls_-84"/>
    <x v="1187"/>
    <n v="1.14056"/>
    <n v="1"/>
    <n v="-115"/>
    <n v="690"/>
  </r>
  <r>
    <x v="31"/>
    <s v="conventional_turnover_acls_-83"/>
    <x v="1188"/>
    <n v="1.14056"/>
    <n v="1"/>
    <n v="-115"/>
    <n v="690"/>
  </r>
  <r>
    <x v="31"/>
    <s v="conventional_turnover_acls_-82"/>
    <x v="1189"/>
    <n v="1.14056"/>
    <n v="1"/>
    <n v="-115"/>
    <n v="690"/>
  </r>
  <r>
    <x v="31"/>
    <s v="conventional_turnover_acls_-81"/>
    <x v="1190"/>
    <n v="1.14056"/>
    <n v="1"/>
    <n v="-115"/>
    <n v="690"/>
  </r>
  <r>
    <x v="31"/>
    <s v="conventional_turnover_acls_-80"/>
    <x v="1191"/>
    <n v="1.14056"/>
    <n v="1"/>
    <n v="-115"/>
    <n v="690"/>
  </r>
  <r>
    <x v="31"/>
    <s v="conventional_turnover_acls_-79"/>
    <x v="1192"/>
    <n v="1.14056"/>
    <n v="1"/>
    <n v="-115"/>
    <n v="690"/>
  </r>
  <r>
    <x v="31"/>
    <s v="conventional_turnover_acls_-78"/>
    <x v="1193"/>
    <n v="1.14056"/>
    <n v="1"/>
    <n v="-115"/>
    <n v="690"/>
  </r>
  <r>
    <x v="31"/>
    <s v="conventional_turnover_acls_-77"/>
    <x v="1194"/>
    <n v="1.14056"/>
    <n v="1"/>
    <n v="-115"/>
    <n v="690"/>
  </r>
  <r>
    <x v="31"/>
    <s v="conventional_turnover_acls_-76"/>
    <x v="1195"/>
    <n v="1.14056"/>
    <n v="1"/>
    <n v="-115"/>
    <n v="690"/>
  </r>
  <r>
    <x v="31"/>
    <s v="conventional_turnover_acls_-75"/>
    <x v="1196"/>
    <n v="1.14056"/>
    <n v="1"/>
    <n v="-115"/>
    <n v="690"/>
  </r>
  <r>
    <x v="31"/>
    <s v="conventional_turnover_acls_-74"/>
    <x v="1197"/>
    <n v="1.14056"/>
    <n v="1"/>
    <n v="-115"/>
    <n v="690"/>
  </r>
  <r>
    <x v="31"/>
    <s v="conventional_turnover_acls_-73"/>
    <x v="1198"/>
    <n v="1.14056"/>
    <n v="1"/>
    <n v="-115"/>
    <n v="690"/>
  </r>
  <r>
    <x v="31"/>
    <s v="conventional_turnover_acls_-72"/>
    <x v="1199"/>
    <n v="1.14056"/>
    <n v="1"/>
    <n v="-115"/>
    <n v="690"/>
  </r>
  <r>
    <x v="31"/>
    <s v="conventional_turnover_acls_-71"/>
    <x v="1200"/>
    <n v="1.14056"/>
    <n v="1"/>
    <n v="-115"/>
    <n v="690"/>
  </r>
  <r>
    <x v="31"/>
    <s v="conventional_turnover_acls_-70"/>
    <x v="1201"/>
    <n v="1.14056"/>
    <n v="1"/>
    <n v="-115"/>
    <n v="690"/>
  </r>
  <r>
    <x v="31"/>
    <s v="conventional_turnover_acls_-69"/>
    <x v="1202"/>
    <n v="1.14056"/>
    <n v="1"/>
    <n v="-115"/>
    <n v="690"/>
  </r>
  <r>
    <x v="31"/>
    <s v="conventional_turnover_acls_-68"/>
    <x v="1203"/>
    <n v="1.14056"/>
    <n v="1"/>
    <n v="-115"/>
    <n v="690"/>
  </r>
  <r>
    <x v="31"/>
    <s v="conventional_turnover_acls_-67"/>
    <x v="1204"/>
    <n v="1.14056"/>
    <n v="1"/>
    <n v="-115"/>
    <n v="690"/>
  </r>
  <r>
    <x v="31"/>
    <s v="conventional_turnover_acls_-66"/>
    <x v="1205"/>
    <n v="1.14056"/>
    <n v="1"/>
    <n v="-115"/>
    <n v="690"/>
  </r>
  <r>
    <x v="31"/>
    <s v="conventional_turnover_acls_-65"/>
    <x v="1206"/>
    <n v="1.14056"/>
    <n v="1"/>
    <n v="-115"/>
    <n v="690"/>
  </r>
  <r>
    <x v="31"/>
    <s v="conventional_turnover_acls_-64"/>
    <x v="1207"/>
    <n v="1.14056"/>
    <n v="1"/>
    <n v="-115"/>
    <n v="690"/>
  </r>
  <r>
    <x v="31"/>
    <s v="conventional_turnover_acls_-63"/>
    <x v="1208"/>
    <n v="1.14056"/>
    <n v="1"/>
    <n v="-115"/>
    <n v="690"/>
  </r>
  <r>
    <x v="31"/>
    <s v="conventional_turnover_acls_-62"/>
    <x v="1209"/>
    <n v="1.14056"/>
    <n v="1"/>
    <n v="-115"/>
    <n v="690"/>
  </r>
  <r>
    <x v="31"/>
    <s v="conventional_turnover_acls_-61"/>
    <x v="1210"/>
    <n v="1.14056"/>
    <n v="1"/>
    <n v="-115"/>
    <n v="690"/>
  </r>
  <r>
    <x v="31"/>
    <s v="conventional_turnover_acls_-60"/>
    <x v="1211"/>
    <n v="1.14056"/>
    <n v="1"/>
    <n v="-115"/>
    <n v="690"/>
  </r>
  <r>
    <x v="31"/>
    <s v="conventional_turnover_acls_-59"/>
    <x v="1212"/>
    <n v="1.14056"/>
    <n v="1"/>
    <n v="-115"/>
    <n v="690"/>
  </r>
  <r>
    <x v="31"/>
    <s v="conventional_turnover_acls_-58"/>
    <x v="1213"/>
    <n v="1.14056"/>
    <n v="1"/>
    <n v="-115"/>
    <n v="690"/>
  </r>
  <r>
    <x v="31"/>
    <s v="conventional_turnover_acls_-57"/>
    <x v="1214"/>
    <n v="1.14056"/>
    <n v="1"/>
    <n v="-115"/>
    <n v="690"/>
  </r>
  <r>
    <x v="31"/>
    <s v="conventional_turnover_acls_-56"/>
    <x v="1215"/>
    <n v="1.14056"/>
    <n v="1"/>
    <n v="-115"/>
    <n v="690"/>
  </r>
  <r>
    <x v="31"/>
    <s v="conventional_turnover_acls_-55"/>
    <x v="1216"/>
    <n v="1.14056"/>
    <n v="1"/>
    <n v="-115"/>
    <n v="690"/>
  </r>
  <r>
    <x v="31"/>
    <s v="conventional_turnover_acls_-54"/>
    <x v="1217"/>
    <n v="1.14056"/>
    <n v="1"/>
    <n v="-115"/>
    <n v="690"/>
  </r>
  <r>
    <x v="31"/>
    <s v="conventional_turnover_acls_-53"/>
    <x v="1218"/>
    <n v="1.14056"/>
    <n v="1"/>
    <n v="-115"/>
    <n v="690"/>
  </r>
  <r>
    <x v="31"/>
    <s v="conventional_turnover_acls_-52"/>
    <x v="1219"/>
    <n v="1.14056"/>
    <n v="1"/>
    <n v="-115"/>
    <n v="690"/>
  </r>
  <r>
    <x v="31"/>
    <s v="conventional_turnover_acls_-51"/>
    <x v="1220"/>
    <n v="1.14056"/>
    <n v="1"/>
    <n v="-115"/>
    <n v="690"/>
  </r>
  <r>
    <x v="31"/>
    <s v="conventional_turnover_acls_-50"/>
    <x v="1221"/>
    <n v="1.14056"/>
    <n v="1"/>
    <n v="-115"/>
    <n v="690"/>
  </r>
  <r>
    <x v="31"/>
    <s v="conventional_turnover_acls_-49"/>
    <x v="1222"/>
    <n v="1.14056"/>
    <n v="1"/>
    <n v="-115"/>
    <n v="690"/>
  </r>
  <r>
    <x v="31"/>
    <s v="conventional_turnover_acls_-48"/>
    <x v="1223"/>
    <n v="1.14056"/>
    <n v="1"/>
    <n v="-115"/>
    <n v="690"/>
  </r>
  <r>
    <x v="31"/>
    <s v="conventional_turnover_acls_-47"/>
    <x v="1224"/>
    <n v="1.14056"/>
    <n v="1"/>
    <n v="-115"/>
    <n v="690"/>
  </r>
  <r>
    <x v="31"/>
    <s v="conventional_turnover_acls_-46"/>
    <x v="1225"/>
    <n v="1.14056"/>
    <n v="1"/>
    <n v="-115"/>
    <n v="690"/>
  </r>
  <r>
    <x v="31"/>
    <s v="conventional_turnover_acls_-45"/>
    <x v="1226"/>
    <n v="1.14056"/>
    <n v="1"/>
    <n v="-115"/>
    <n v="690"/>
  </r>
  <r>
    <x v="31"/>
    <s v="conventional_turnover_acls_-44"/>
    <x v="1227"/>
    <n v="1.14056"/>
    <n v="1"/>
    <n v="-115"/>
    <n v="690"/>
  </r>
  <r>
    <x v="31"/>
    <s v="conventional_turnover_acls_-43"/>
    <x v="1228"/>
    <n v="1.14056"/>
    <n v="1"/>
    <n v="-115"/>
    <n v="690"/>
  </r>
  <r>
    <x v="31"/>
    <s v="conventional_turnover_acls_-42"/>
    <x v="1229"/>
    <n v="1.14056"/>
    <n v="1"/>
    <n v="-115"/>
    <n v="690"/>
  </r>
  <r>
    <x v="31"/>
    <s v="conventional_turnover_acls_-41"/>
    <x v="1230"/>
    <n v="1.14056"/>
    <n v="1"/>
    <n v="-115"/>
    <n v="690"/>
  </r>
  <r>
    <x v="31"/>
    <s v="conventional_turnover_acls_-40"/>
    <x v="0"/>
    <n v="1.14056"/>
    <n v="1"/>
    <n v="-115"/>
    <n v="690"/>
  </r>
  <r>
    <x v="31"/>
    <s v="conventional_turnover_acls_-39"/>
    <x v="1"/>
    <n v="1.14056"/>
    <n v="1"/>
    <n v="-115"/>
    <n v="690"/>
  </r>
  <r>
    <x v="31"/>
    <s v="conventional_turnover_acls_-38"/>
    <x v="2"/>
    <n v="1.14056"/>
    <n v="1"/>
    <n v="-115"/>
    <n v="690"/>
  </r>
  <r>
    <x v="31"/>
    <s v="conventional_turnover_acls_-37"/>
    <x v="3"/>
    <n v="1.14056"/>
    <n v="1"/>
    <n v="-115"/>
    <n v="690"/>
  </r>
  <r>
    <x v="31"/>
    <s v="conventional_turnover_acls_-36"/>
    <x v="4"/>
    <n v="1.14056"/>
    <n v="1"/>
    <n v="-115"/>
    <n v="690"/>
  </r>
  <r>
    <x v="31"/>
    <s v="conventional_turnover_acls_-35"/>
    <x v="5"/>
    <n v="1.14056"/>
    <n v="1"/>
    <n v="-115"/>
    <n v="690"/>
  </r>
  <r>
    <x v="31"/>
    <s v="conventional_turnover_acls_-34"/>
    <x v="6"/>
    <n v="1.14056"/>
    <n v="1"/>
    <n v="-115"/>
    <n v="690"/>
  </r>
  <r>
    <x v="31"/>
    <s v="conventional_turnover_acls_-33"/>
    <x v="7"/>
    <n v="1.14056"/>
    <n v="1"/>
    <n v="-115"/>
    <n v="690"/>
  </r>
  <r>
    <x v="31"/>
    <s v="conventional_turnover_acls_-32"/>
    <x v="8"/>
    <n v="1.14056"/>
    <n v="1"/>
    <n v="-115"/>
    <n v="690"/>
  </r>
  <r>
    <x v="31"/>
    <s v="conventional_turnover_acls_-31"/>
    <x v="9"/>
    <n v="1.14056"/>
    <n v="1"/>
    <n v="-115"/>
    <n v="690"/>
  </r>
  <r>
    <x v="31"/>
    <s v="conventional_turnover_acls_-30"/>
    <x v="10"/>
    <n v="1.14056"/>
    <n v="1"/>
    <n v="-115"/>
    <n v="690"/>
  </r>
  <r>
    <x v="31"/>
    <s v="conventional_turnover_acls_-29"/>
    <x v="11"/>
    <n v="1.14056"/>
    <n v="1"/>
    <n v="-115"/>
    <n v="690"/>
  </r>
  <r>
    <x v="31"/>
    <s v="conventional_turnover_acls_-28"/>
    <x v="12"/>
    <n v="1.14056"/>
    <n v="1"/>
    <n v="-115"/>
    <n v="690"/>
  </r>
  <r>
    <x v="31"/>
    <s v="conventional_turnover_acls_-27"/>
    <x v="13"/>
    <n v="1.14056"/>
    <n v="1"/>
    <n v="-115"/>
    <n v="690"/>
  </r>
  <r>
    <x v="31"/>
    <s v="conventional_turnover_acls_-26"/>
    <x v="14"/>
    <n v="1.14056"/>
    <n v="1"/>
    <n v="-115"/>
    <n v="690"/>
  </r>
  <r>
    <x v="31"/>
    <s v="conventional_turnover_acls_-25"/>
    <x v="15"/>
    <n v="1.14056"/>
    <n v="1"/>
    <n v="-115"/>
    <n v="690"/>
  </r>
  <r>
    <x v="31"/>
    <s v="conventional_turnover_acls_-24"/>
    <x v="16"/>
    <n v="1.14056"/>
    <n v="1"/>
    <n v="-115"/>
    <n v="690"/>
  </r>
  <r>
    <x v="31"/>
    <s v="conventional_turnover_acls_-23"/>
    <x v="17"/>
    <n v="1.14056"/>
    <n v="1"/>
    <n v="-115"/>
    <n v="690"/>
  </r>
  <r>
    <x v="31"/>
    <s v="conventional_turnover_acls_-22"/>
    <x v="18"/>
    <n v="1.14056"/>
    <n v="1"/>
    <n v="-115"/>
    <n v="690"/>
  </r>
  <r>
    <x v="31"/>
    <s v="conventional_turnover_acls_-21"/>
    <x v="19"/>
    <n v="1.14056"/>
    <n v="1"/>
    <n v="-115"/>
    <n v="690"/>
  </r>
  <r>
    <x v="31"/>
    <s v="conventional_turnover_acls_-20"/>
    <x v="20"/>
    <n v="1.14056"/>
    <n v="1"/>
    <n v="-115"/>
    <n v="690"/>
  </r>
  <r>
    <x v="31"/>
    <s v="conventional_turnover_acls_-19"/>
    <x v="21"/>
    <n v="1.14056"/>
    <n v="1"/>
    <n v="-115"/>
    <n v="690"/>
  </r>
  <r>
    <x v="31"/>
    <s v="conventional_turnover_acls_-18"/>
    <x v="22"/>
    <n v="1.14056"/>
    <n v="1"/>
    <n v="-115"/>
    <n v="690"/>
  </r>
  <r>
    <x v="31"/>
    <s v="conventional_turnover_acls_-17"/>
    <x v="23"/>
    <n v="1.14056"/>
    <n v="1"/>
    <n v="-115"/>
    <n v="690"/>
  </r>
  <r>
    <x v="31"/>
    <s v="conventional_turnover_acls_-16"/>
    <x v="24"/>
    <n v="1.14056"/>
    <n v="1"/>
    <n v="-115"/>
    <n v="690"/>
  </r>
  <r>
    <x v="31"/>
    <s v="conventional_turnover_acls_-15"/>
    <x v="25"/>
    <n v="1.14056"/>
    <n v="1"/>
    <n v="-115"/>
    <n v="690"/>
  </r>
  <r>
    <x v="31"/>
    <s v="conventional_turnover_acls_-14"/>
    <x v="26"/>
    <n v="1.14056"/>
    <n v="1"/>
    <n v="-115"/>
    <n v="690"/>
  </r>
  <r>
    <x v="31"/>
    <s v="conventional_turnover_acls_-13"/>
    <x v="27"/>
    <n v="1.14056"/>
    <n v="1"/>
    <n v="-115"/>
    <n v="690"/>
  </r>
  <r>
    <x v="31"/>
    <s v="conventional_turnover_acls_-12"/>
    <x v="28"/>
    <n v="1.14056"/>
    <n v="1"/>
    <n v="-115"/>
    <n v="690"/>
  </r>
  <r>
    <x v="31"/>
    <s v="conventional_turnover_acls_-11"/>
    <x v="29"/>
    <n v="1.14056"/>
    <n v="1"/>
    <n v="-115"/>
    <n v="690"/>
  </r>
  <r>
    <x v="31"/>
    <s v="conventional_turnover_acls_-10"/>
    <x v="30"/>
    <n v="1.14056"/>
    <n v="1"/>
    <n v="-115"/>
    <n v="690"/>
  </r>
  <r>
    <x v="31"/>
    <s v="conventional_turnover_acls_-9"/>
    <x v="31"/>
    <n v="1.14056"/>
    <n v="1"/>
    <n v="-115"/>
    <n v="690"/>
  </r>
  <r>
    <x v="31"/>
    <s v="conventional_turnover_acls_-8"/>
    <x v="32"/>
    <n v="1.14056"/>
    <n v="1"/>
    <n v="-115"/>
    <n v="690"/>
  </r>
  <r>
    <x v="31"/>
    <s v="conventional_turnover_acls_-7"/>
    <x v="33"/>
    <n v="1.14056"/>
    <n v="1"/>
    <n v="-115"/>
    <n v="690"/>
  </r>
  <r>
    <x v="31"/>
    <s v="conventional_turnover_acls_-6"/>
    <x v="34"/>
    <n v="1.14056"/>
    <n v="1"/>
    <n v="-115"/>
    <n v="690"/>
  </r>
  <r>
    <x v="31"/>
    <s v="conventional_turnover_acls_-5"/>
    <x v="35"/>
    <n v="1.14056"/>
    <n v="1"/>
    <n v="-115"/>
    <n v="690"/>
  </r>
  <r>
    <x v="31"/>
    <s v="conventional_turnover_acls_-4"/>
    <x v="36"/>
    <n v="1.14056"/>
    <n v="1"/>
    <n v="-115"/>
    <n v="690"/>
  </r>
  <r>
    <x v="31"/>
    <s v="conventional_turnover_acls_-3"/>
    <x v="37"/>
    <n v="1.14056"/>
    <n v="1"/>
    <n v="-115"/>
    <n v="690"/>
  </r>
  <r>
    <x v="31"/>
    <s v="conventional_turnover_acls_-2"/>
    <x v="38"/>
    <n v="1.14056"/>
    <n v="1"/>
    <n v="-115"/>
    <n v="690"/>
  </r>
  <r>
    <x v="31"/>
    <s v="conventional_turnover_acls_-1"/>
    <x v="39"/>
    <n v="1.14056"/>
    <n v="1"/>
    <n v="-115"/>
    <n v="690"/>
  </r>
  <r>
    <x v="31"/>
    <s v="conventional_turnover_acls_0"/>
    <x v="40"/>
    <n v="1.14056"/>
    <n v="1"/>
    <n v="-115"/>
    <n v="690"/>
  </r>
  <r>
    <x v="31"/>
    <s v="conventional_turnover_acls_1"/>
    <x v="41"/>
    <n v="1.14056"/>
    <n v="1"/>
    <n v="-115"/>
    <n v="690"/>
  </r>
  <r>
    <x v="31"/>
    <s v="conventional_turnover_acls_2"/>
    <x v="42"/>
    <n v="1.14056"/>
    <n v="1"/>
    <n v="-115"/>
    <n v="690"/>
  </r>
  <r>
    <x v="31"/>
    <s v="conventional_turnover_acls_3"/>
    <x v="43"/>
    <n v="1.14056"/>
    <n v="1"/>
    <n v="-115"/>
    <n v="690"/>
  </r>
  <r>
    <x v="31"/>
    <s v="conventional_turnover_acls_4"/>
    <x v="44"/>
    <n v="1.14056"/>
    <n v="1"/>
    <n v="-115"/>
    <n v="690"/>
  </r>
  <r>
    <x v="31"/>
    <s v="conventional_turnover_acls_5"/>
    <x v="45"/>
    <n v="1.14056"/>
    <n v="1"/>
    <n v="-115"/>
    <n v="690"/>
  </r>
  <r>
    <x v="31"/>
    <s v="conventional_turnover_acls_6"/>
    <x v="46"/>
    <n v="1.14056"/>
    <n v="1"/>
    <n v="-115"/>
    <n v="690"/>
  </r>
  <r>
    <x v="31"/>
    <s v="conventional_turnover_acls_7"/>
    <x v="47"/>
    <n v="1.14056"/>
    <n v="1"/>
    <n v="-115"/>
    <n v="690"/>
  </r>
  <r>
    <x v="31"/>
    <s v="conventional_turnover_acls_8"/>
    <x v="48"/>
    <n v="1.14056"/>
    <n v="1"/>
    <n v="-115"/>
    <n v="690"/>
  </r>
  <r>
    <x v="31"/>
    <s v="conventional_turnover_acls_9"/>
    <x v="49"/>
    <n v="1.14056"/>
    <n v="1"/>
    <n v="-115"/>
    <n v="690"/>
  </r>
  <r>
    <x v="31"/>
    <s v="conventional_turnover_acls_10"/>
    <x v="50"/>
    <n v="1.14056"/>
    <n v="1"/>
    <n v="-115"/>
    <n v="690"/>
  </r>
  <r>
    <x v="31"/>
    <s v="conventional_turnover_acls_11"/>
    <x v="51"/>
    <n v="1.14056"/>
    <n v="1"/>
    <n v="-115"/>
    <n v="690"/>
  </r>
  <r>
    <x v="31"/>
    <s v="conventional_turnover_acls_12"/>
    <x v="52"/>
    <n v="1.14056"/>
    <n v="1"/>
    <n v="-115"/>
    <n v="690"/>
  </r>
  <r>
    <x v="31"/>
    <s v="conventional_turnover_acls_13"/>
    <x v="53"/>
    <n v="1.14056"/>
    <n v="1"/>
    <n v="-115"/>
    <n v="690"/>
  </r>
  <r>
    <x v="31"/>
    <s v="conventional_turnover_acls_14"/>
    <x v="54"/>
    <n v="1.14056"/>
    <n v="1"/>
    <n v="-115"/>
    <n v="690"/>
  </r>
  <r>
    <x v="31"/>
    <s v="conventional_turnover_acls_15"/>
    <x v="55"/>
    <n v="1.14056"/>
    <n v="1"/>
    <n v="-115"/>
    <n v="690"/>
  </r>
  <r>
    <x v="31"/>
    <s v="conventional_turnover_acls_16"/>
    <x v="56"/>
    <n v="1.14056"/>
    <n v="1"/>
    <n v="-115"/>
    <n v="690"/>
  </r>
  <r>
    <x v="31"/>
    <s v="conventional_turnover_acls_17"/>
    <x v="57"/>
    <n v="1.14056"/>
    <n v="1"/>
    <n v="-115"/>
    <n v="690"/>
  </r>
  <r>
    <x v="31"/>
    <s v="conventional_turnover_acls_18"/>
    <x v="58"/>
    <n v="1.14056"/>
    <n v="1"/>
    <n v="-115"/>
    <n v="690"/>
  </r>
  <r>
    <x v="31"/>
    <s v="conventional_turnover_acls_19"/>
    <x v="59"/>
    <n v="1.14056"/>
    <n v="1"/>
    <n v="-115"/>
    <n v="690"/>
  </r>
  <r>
    <x v="31"/>
    <s v="conventional_turnover_acls_20"/>
    <x v="60"/>
    <n v="1.14056"/>
    <n v="1"/>
    <n v="-115"/>
    <n v="690"/>
  </r>
  <r>
    <x v="31"/>
    <s v="conventional_turnover_acls_21"/>
    <x v="61"/>
    <n v="1.14056"/>
    <n v="1"/>
    <n v="-115"/>
    <n v="690"/>
  </r>
  <r>
    <x v="31"/>
    <s v="conventional_turnover_acls_22"/>
    <x v="62"/>
    <n v="1.14056"/>
    <n v="1"/>
    <n v="-115"/>
    <n v="690"/>
  </r>
  <r>
    <x v="31"/>
    <s v="conventional_turnover_acls_23"/>
    <x v="63"/>
    <n v="1.14056"/>
    <n v="1"/>
    <n v="-115"/>
    <n v="690"/>
  </r>
  <r>
    <x v="31"/>
    <s v="conventional_turnover_acls_24"/>
    <x v="64"/>
    <n v="1.14056"/>
    <n v="1"/>
    <n v="-115"/>
    <n v="690"/>
  </r>
  <r>
    <x v="31"/>
    <s v="conventional_turnover_acls_25"/>
    <x v="65"/>
    <n v="1.14056"/>
    <n v="1"/>
    <n v="-115"/>
    <n v="690"/>
  </r>
  <r>
    <x v="31"/>
    <s v="conventional_turnover_acls_26"/>
    <x v="66"/>
    <n v="1.14056"/>
    <n v="1"/>
    <n v="-115"/>
    <n v="690"/>
  </r>
  <r>
    <x v="31"/>
    <s v="conventional_turnover_acls_27"/>
    <x v="67"/>
    <n v="1.14056"/>
    <n v="1"/>
    <n v="-115"/>
    <n v="690"/>
  </r>
  <r>
    <x v="31"/>
    <s v="conventional_turnover_acls_28"/>
    <x v="68"/>
    <n v="1.14056"/>
    <n v="1"/>
    <n v="-115"/>
    <n v="690"/>
  </r>
  <r>
    <x v="31"/>
    <s v="conventional_turnover_acls_29"/>
    <x v="69"/>
    <n v="1.14056"/>
    <n v="1"/>
    <n v="-115"/>
    <n v="690"/>
  </r>
  <r>
    <x v="31"/>
    <s v="conventional_turnover_acls_30"/>
    <x v="70"/>
    <n v="1.14056"/>
    <n v="1"/>
    <n v="-115"/>
    <n v="690"/>
  </r>
  <r>
    <x v="31"/>
    <s v="conventional_turnover_acls_31"/>
    <x v="71"/>
    <n v="1.14056"/>
    <n v="1"/>
    <n v="-115"/>
    <n v="690"/>
  </r>
  <r>
    <x v="31"/>
    <s v="conventional_turnover_acls_32"/>
    <x v="72"/>
    <n v="1.14056"/>
    <n v="1"/>
    <n v="-115"/>
    <n v="690"/>
  </r>
  <r>
    <x v="31"/>
    <s v="conventional_turnover_acls_33"/>
    <x v="73"/>
    <n v="1.14056"/>
    <n v="1"/>
    <n v="-115"/>
    <n v="690"/>
  </r>
  <r>
    <x v="31"/>
    <s v="conventional_turnover_acls_34"/>
    <x v="74"/>
    <n v="1.14056"/>
    <n v="1"/>
    <n v="-115"/>
    <n v="690"/>
  </r>
  <r>
    <x v="31"/>
    <s v="conventional_turnover_acls_35"/>
    <x v="75"/>
    <n v="1.14056"/>
    <n v="1"/>
    <n v="-115"/>
    <n v="690"/>
  </r>
  <r>
    <x v="31"/>
    <s v="conventional_turnover_acls_36"/>
    <x v="76"/>
    <n v="1.14056"/>
    <n v="1"/>
    <n v="-115"/>
    <n v="690"/>
  </r>
  <r>
    <x v="31"/>
    <s v="conventional_turnover_acls_37"/>
    <x v="77"/>
    <n v="1.14056"/>
    <n v="1"/>
    <n v="-115"/>
    <n v="690"/>
  </r>
  <r>
    <x v="31"/>
    <s v="conventional_turnover_acls_38"/>
    <x v="78"/>
    <n v="1.14056"/>
    <n v="1"/>
    <n v="-115"/>
    <n v="690"/>
  </r>
  <r>
    <x v="31"/>
    <s v="conventional_turnover_acls_39"/>
    <x v="79"/>
    <n v="1.14056"/>
    <n v="1"/>
    <n v="-115"/>
    <n v="690"/>
  </r>
  <r>
    <x v="31"/>
    <s v="conventional_turnover_acls_40"/>
    <x v="80"/>
    <n v="1.14056"/>
    <n v="1"/>
    <n v="-115"/>
    <n v="690"/>
  </r>
  <r>
    <x v="31"/>
    <s v="conventional_turnover_acls_41"/>
    <x v="81"/>
    <n v="1.14056"/>
    <n v="1"/>
    <n v="-115"/>
    <n v="690"/>
  </r>
  <r>
    <x v="31"/>
    <s v="conventional_turnover_acls_42"/>
    <x v="82"/>
    <n v="1.14056"/>
    <n v="1"/>
    <n v="-115"/>
    <n v="690"/>
  </r>
  <r>
    <x v="31"/>
    <s v="conventional_turnover_acls_43"/>
    <x v="83"/>
    <n v="1.14056"/>
    <n v="1"/>
    <n v="-115"/>
    <n v="690"/>
  </r>
  <r>
    <x v="31"/>
    <s v="conventional_turnover_acls_44"/>
    <x v="84"/>
    <n v="1.14056"/>
    <n v="1"/>
    <n v="-115"/>
    <n v="690"/>
  </r>
  <r>
    <x v="31"/>
    <s v="conventional_turnover_acls_45"/>
    <x v="85"/>
    <n v="1.14056"/>
    <n v="1"/>
    <n v="-115"/>
    <n v="690"/>
  </r>
  <r>
    <x v="31"/>
    <s v="conventional_turnover_acls_46"/>
    <x v="86"/>
    <n v="1.14056"/>
    <n v="1"/>
    <n v="-115"/>
    <n v="690"/>
  </r>
  <r>
    <x v="31"/>
    <s v="conventional_turnover_acls_47"/>
    <x v="87"/>
    <n v="1.14056"/>
    <n v="1"/>
    <n v="-115"/>
    <n v="690"/>
  </r>
  <r>
    <x v="31"/>
    <s v="conventional_turnover_acls_48"/>
    <x v="88"/>
    <n v="1.14056"/>
    <n v="1"/>
    <n v="-115"/>
    <n v="690"/>
  </r>
  <r>
    <x v="31"/>
    <s v="conventional_turnover_acls_49"/>
    <x v="89"/>
    <n v="1.14056"/>
    <n v="1"/>
    <n v="-115"/>
    <n v="690"/>
  </r>
  <r>
    <x v="31"/>
    <s v="conventional_turnover_acls_50"/>
    <x v="90"/>
    <n v="1.14056"/>
    <n v="1"/>
    <n v="-115"/>
    <n v="690"/>
  </r>
  <r>
    <x v="31"/>
    <s v="conventional_turnover_acls_51"/>
    <x v="91"/>
    <n v="1.14056"/>
    <n v="1"/>
    <n v="-115"/>
    <n v="690"/>
  </r>
  <r>
    <x v="31"/>
    <s v="conventional_turnover_acls_52"/>
    <x v="92"/>
    <n v="1.14056"/>
    <n v="1"/>
    <n v="-115"/>
    <n v="690"/>
  </r>
  <r>
    <x v="31"/>
    <s v="conventional_turnover_acls_53"/>
    <x v="93"/>
    <n v="1.14056"/>
    <n v="1"/>
    <n v="-115"/>
    <n v="690"/>
  </r>
  <r>
    <x v="31"/>
    <s v="conventional_turnover_acls_54"/>
    <x v="94"/>
    <n v="1.14056"/>
    <n v="1"/>
    <n v="-115"/>
    <n v="690"/>
  </r>
  <r>
    <x v="31"/>
    <s v="conventional_turnover_acls_55"/>
    <x v="95"/>
    <n v="1.14056"/>
    <n v="1"/>
    <n v="-115"/>
    <n v="690"/>
  </r>
  <r>
    <x v="31"/>
    <s v="conventional_turnover_acls_56"/>
    <x v="96"/>
    <n v="1.1405374707407401"/>
    <n v="1"/>
    <n v="-115"/>
    <n v="690"/>
  </r>
  <r>
    <x v="31"/>
    <s v="conventional_turnover_acls_57"/>
    <x v="97"/>
    <n v="1.1404714103703699"/>
    <n v="1"/>
    <n v="-115"/>
    <n v="690"/>
  </r>
  <r>
    <x v="31"/>
    <s v="conventional_turnover_acls_58"/>
    <x v="98"/>
    <n v="1.1403641099999999"/>
    <n v="1"/>
    <n v="-115"/>
    <n v="690"/>
  </r>
  <r>
    <x v="31"/>
    <s v="conventional_turnover_acls_59"/>
    <x v="99"/>
    <n v="1.1402178607407401"/>
    <n v="1"/>
    <n v="-115"/>
    <n v="690"/>
  </r>
  <r>
    <x v="31"/>
    <s v="conventional_turnover_acls_60"/>
    <x v="100"/>
    <n v="1.1400349537037"/>
    <n v="1"/>
    <n v="-115"/>
    <n v="690"/>
  </r>
  <r>
    <x v="31"/>
    <s v="conventional_turnover_acls_61"/>
    <x v="101"/>
    <n v="1.1398176799999999"/>
    <n v="1"/>
    <n v="-115"/>
    <n v="690"/>
  </r>
  <r>
    <x v="31"/>
    <s v="conventional_turnover_acls_62"/>
    <x v="102"/>
    <n v="1.13956833074074"/>
    <n v="1"/>
    <n v="-115"/>
    <n v="690"/>
  </r>
  <r>
    <x v="31"/>
    <s v="conventional_turnover_acls_63"/>
    <x v="103"/>
    <n v="1.13928919703704"/>
    <n v="1"/>
    <n v="-115"/>
    <n v="690"/>
  </r>
  <r>
    <x v="31"/>
    <s v="conventional_turnover_acls_64"/>
    <x v="104"/>
    <n v="1.13898257"/>
    <n v="1"/>
    <n v="-115"/>
    <n v="690"/>
  </r>
  <r>
    <x v="31"/>
    <s v="conventional_turnover_acls_65"/>
    <x v="105"/>
    <n v="1.13865074074074"/>
    <n v="1"/>
    <n v="-115"/>
    <n v="690"/>
  </r>
  <r>
    <x v="31"/>
    <s v="conventional_turnover_acls_66"/>
    <x v="106"/>
    <n v="1.1382960003703699"/>
    <n v="1"/>
    <n v="-115"/>
    <n v="690"/>
  </r>
  <r>
    <x v="31"/>
    <s v="conventional_turnover_acls_67"/>
    <x v="107"/>
    <n v="1.1379206399999999"/>
    <n v="1"/>
    <n v="-115"/>
    <n v="690"/>
  </r>
  <r>
    <x v="31"/>
    <s v="conventional_turnover_acls_68"/>
    <x v="108"/>
    <n v="1.13752695074074"/>
    <n v="1"/>
    <n v="-115"/>
    <n v="690"/>
  </r>
  <r>
    <x v="31"/>
    <s v="conventional_turnover_acls_69"/>
    <x v="109"/>
    <n v="1.1371172237036999"/>
    <n v="1"/>
    <n v="-115"/>
    <n v="690"/>
  </r>
  <r>
    <x v="31"/>
    <s v="conventional_turnover_acls_70"/>
    <x v="110"/>
    <n v="1.1366937500000001"/>
    <n v="1"/>
    <n v="-115"/>
    <n v="690"/>
  </r>
  <r>
    <x v="31"/>
    <s v="conventional_turnover_acls_71"/>
    <x v="111"/>
    <n v="1.13625882074074"/>
    <n v="1"/>
    <n v="-115"/>
    <n v="690"/>
  </r>
  <r>
    <x v="31"/>
    <s v="conventional_turnover_acls_72"/>
    <x v="112"/>
    <n v="1.13581472703704"/>
    <n v="1"/>
    <n v="-115"/>
    <n v="690"/>
  </r>
  <r>
    <x v="31"/>
    <s v="conventional_turnover_acls_73"/>
    <x v="113"/>
    <n v="1.1353637599999999"/>
    <n v="1"/>
    <n v="-115"/>
    <n v="690"/>
  </r>
  <r>
    <x v="31"/>
    <s v="conventional_turnover_acls_74"/>
    <x v="114"/>
    <n v="1.13490821074074"/>
    <n v="1"/>
    <n v="-115"/>
    <n v="690"/>
  </r>
  <r>
    <x v="31"/>
    <s v="conventional_turnover_acls_75"/>
    <x v="115"/>
    <n v="1.1344503703703701"/>
    <n v="1"/>
    <n v="-115"/>
    <n v="690"/>
  </r>
  <r>
    <x v="31"/>
    <s v="conventional_turnover_acls_76"/>
    <x v="116"/>
    <n v="1.13399253"/>
    <n v="1"/>
    <n v="-115"/>
    <n v="690"/>
  </r>
  <r>
    <x v="31"/>
    <s v="conventional_turnover_acls_77"/>
    <x v="117"/>
    <n v="1.1335369807407401"/>
    <n v="1"/>
    <n v="-115"/>
    <n v="690"/>
  </r>
  <r>
    <x v="31"/>
    <s v="conventional_turnover_acls_78"/>
    <x v="118"/>
    <n v="1.1330860137037"/>
    <n v="1"/>
    <n v="-115"/>
    <n v="690"/>
  </r>
  <r>
    <x v="31"/>
    <s v="conventional_turnover_acls_79"/>
    <x v="119"/>
    <n v="1.13264192"/>
    <n v="1"/>
    <n v="-115"/>
    <n v="690"/>
  </r>
  <r>
    <x v="31"/>
    <s v="conventional_turnover_acls_80"/>
    <x v="120"/>
    <n v="1.1322069907407399"/>
    <n v="1"/>
    <n v="-115"/>
    <n v="690"/>
  </r>
  <r>
    <x v="31"/>
    <s v="conventional_turnover_acls_81"/>
    <x v="121"/>
    <n v="1.1317835170370401"/>
    <n v="1"/>
    <n v="-115"/>
    <n v="690"/>
  </r>
  <r>
    <x v="31"/>
    <s v="conventional_turnover_acls_82"/>
    <x v="122"/>
    <n v="1.13137379"/>
    <n v="1"/>
    <n v="-115"/>
    <n v="690"/>
  </r>
  <r>
    <x v="31"/>
    <s v="conventional_turnover_acls_83"/>
    <x v="123"/>
    <n v="1.1309801007407401"/>
    <n v="1"/>
    <n v="-115"/>
    <n v="690"/>
  </r>
  <r>
    <x v="31"/>
    <s v="conventional_turnover_acls_84"/>
    <x v="124"/>
    <n v="1.1306047403703701"/>
    <n v="1"/>
    <n v="-115"/>
    <n v="690"/>
  </r>
  <r>
    <x v="31"/>
    <s v="conventional_turnover_acls_85"/>
    <x v="125"/>
    <n v="1.13025"/>
    <n v="1"/>
    <n v="-115"/>
    <n v="690"/>
  </r>
  <r>
    <x v="31"/>
    <s v="conventional_turnover_acls_86"/>
    <x v="126"/>
    <n v="1.1299297177160501"/>
    <n v="1"/>
    <n v="-115"/>
    <n v="690"/>
  </r>
  <r>
    <x v="31"/>
    <s v="conventional_turnover_acls_87"/>
    <x v="127"/>
    <n v="1.1296529787654299"/>
    <n v="1"/>
    <n v="-115"/>
    <n v="690"/>
  </r>
  <r>
    <x v="31"/>
    <s v="conventional_turnover_acls_88"/>
    <x v="128"/>
    <n v="1.1294149449999999"/>
    <n v="1"/>
    <n v="-115"/>
    <n v="690"/>
  </r>
  <r>
    <x v="31"/>
    <s v="conventional_turnover_acls_89"/>
    <x v="129"/>
    <n v="1.1292107782716001"/>
    <n v="1"/>
    <n v="-115"/>
    <n v="690"/>
  </r>
  <r>
    <x v="31"/>
    <s v="conventional_turnover_acls_90"/>
    <x v="130"/>
    <n v="1.1290356404321"/>
    <n v="1"/>
    <n v="-115"/>
    <n v="690"/>
  </r>
  <r>
    <x v="31"/>
    <s v="conventional_turnover_acls_91"/>
    <x v="131"/>
    <n v="1.1288846933333301"/>
    <n v="1"/>
    <n v="-115"/>
    <n v="690"/>
  </r>
  <r>
    <x v="31"/>
    <s v="conventional_turnover_acls_92"/>
    <x v="132"/>
    <n v="1.1287530988271599"/>
    <n v="1"/>
    <n v="-115"/>
    <n v="690"/>
  </r>
  <r>
    <x v="31"/>
    <s v="conventional_turnover_acls_93"/>
    <x v="133"/>
    <n v="1.1286360187654301"/>
    <n v="1"/>
    <n v="-115"/>
    <n v="690"/>
  </r>
  <r>
    <x v="31"/>
    <s v="conventional_turnover_acls_94"/>
    <x v="134"/>
    <n v="1.128528615"/>
    <n v="1"/>
    <n v="-115"/>
    <n v="690"/>
  </r>
  <r>
    <x v="31"/>
    <s v="conventional_turnover_acls_95"/>
    <x v="135"/>
    <n v="1.1284260493827201"/>
    <n v="1"/>
    <n v="-115"/>
    <n v="690"/>
  </r>
  <r>
    <x v="31"/>
    <s v="conventional_turnover_acls_96"/>
    <x v="136"/>
    <n v="1.1283234837654299"/>
    <n v="1"/>
    <n v="-115"/>
    <n v="690"/>
  </r>
  <r>
    <x v="31"/>
    <s v="conventional_turnover_acls_97"/>
    <x v="137"/>
    <n v="1.1282160800000001"/>
    <n v="1"/>
    <n v="-115"/>
    <n v="690"/>
  </r>
  <r>
    <x v="31"/>
    <s v="conventional_turnover_acls_98"/>
    <x v="138"/>
    <n v="1.12809899993827"/>
    <n v="1"/>
    <n v="-115"/>
    <n v="690"/>
  </r>
  <r>
    <x v="31"/>
    <s v="conventional_turnover_acls_99"/>
    <x v="139"/>
    <n v="1.1279674054321001"/>
    <n v="1"/>
    <n v="-115"/>
    <n v="690"/>
  </r>
  <r>
    <x v="31"/>
    <s v="conventional_turnover_acls_100"/>
    <x v="140"/>
    <n v="1.1278164583333301"/>
    <n v="1"/>
    <n v="-115"/>
    <n v="690"/>
  </r>
  <r>
    <x v="31"/>
    <s v="conventional_turnover_acls_101"/>
    <x v="141"/>
    <n v="1.12764132049383"/>
    <n v="1"/>
    <n v="-115"/>
    <n v="690"/>
  </r>
  <r>
    <x v="31"/>
    <s v="conventional_turnover_acls_102"/>
    <x v="142"/>
    <n v="1.12743715376543"/>
    <n v="1"/>
    <n v="-115"/>
    <n v="690"/>
  </r>
  <r>
    <x v="31"/>
    <s v="conventional_turnover_acls_103"/>
    <x v="143"/>
    <n v="1.12719912"/>
    <n v="1"/>
    <n v="-115"/>
    <n v="690"/>
  </r>
  <r>
    <x v="31"/>
    <s v="conventional_turnover_acls_104"/>
    <x v="144"/>
    <n v="1.12692238104938"/>
    <n v="1"/>
    <n v="-115"/>
    <n v="690"/>
  </r>
  <r>
    <x v="31"/>
    <s v="conventional_turnover_acls_105"/>
    <x v="145"/>
    <n v="1.1266020987654299"/>
    <n v="1"/>
    <n v="-115"/>
    <n v="690"/>
  </r>
  <r>
    <x v="31"/>
    <s v="conventional_turnover_acls_106"/>
    <x v="146"/>
    <n v="1.1262334350000001"/>
    <n v="1"/>
    <n v="-115"/>
    <n v="690"/>
  </r>
  <r>
    <x v="31"/>
    <s v="conventional_turnover_acls_107"/>
    <x v="147"/>
    <n v="1.1258115516049401"/>
    <n v="1"/>
    <n v="-115"/>
    <n v="690"/>
  </r>
  <r>
    <x v="31"/>
    <s v="conventional_turnover_acls_108"/>
    <x v="148"/>
    <n v="1.1253316104321001"/>
    <n v="1"/>
    <n v="-115"/>
    <n v="690"/>
  </r>
  <r>
    <x v="31"/>
    <s v="conventional_turnover_acls_109"/>
    <x v="149"/>
    <n v="1.1247887733333299"/>
    <n v="1"/>
    <n v="-115"/>
    <n v="690"/>
  </r>
  <r>
    <x v="31"/>
    <s v="conventional_turnover_acls_110"/>
    <x v="150"/>
    <n v="1.12417820216049"/>
    <n v="1"/>
    <n v="-115"/>
    <n v="690"/>
  </r>
  <r>
    <x v="31"/>
    <s v="conventional_turnover_acls_111"/>
    <x v="151"/>
    <n v="1.12349505876543"/>
    <n v="1"/>
    <n v="-115"/>
    <n v="690"/>
  </r>
  <r>
    <x v="31"/>
    <s v="conventional_turnover_acls_112"/>
    <x v="152"/>
    <n v="1.1227345049999999"/>
    <n v="1"/>
    <n v="-115"/>
    <n v="690"/>
  </r>
  <r>
    <x v="31"/>
    <s v="conventional_turnover_acls_113"/>
    <x v="153"/>
    <n v="1.12189170271605"/>
    <n v="1"/>
    <n v="-115"/>
    <n v="690"/>
  </r>
  <r>
    <x v="31"/>
    <s v="conventional_turnover_acls_114"/>
    <x v="154"/>
    <n v="1.12096181376543"/>
    <n v="1"/>
    <n v="-115"/>
    <n v="690"/>
  </r>
  <r>
    <x v="31"/>
    <s v="conventional_turnover_acls_115"/>
    <x v="155"/>
    <n v="1.1199399999999999"/>
    <n v="1"/>
    <n v="-115"/>
    <n v="690"/>
  </r>
  <r>
    <x v="31"/>
    <s v="conventional_turnover_acls_116"/>
    <x v="156"/>
    <n v="1.1188390263100101"/>
    <n v="1"/>
    <n v="-115"/>
    <n v="690"/>
  </r>
  <r>
    <x v="31"/>
    <s v="conventional_turnover_acls_117"/>
    <x v="157"/>
    <n v="1.1176762882578899"/>
    <n v="1"/>
    <n v="-115"/>
    <n v="690"/>
  </r>
  <r>
    <x v="31"/>
    <s v="conventional_turnover_acls_118"/>
    <x v="158"/>
    <n v="1.1164538937037001"/>
    <n v="1"/>
    <n v="-115"/>
    <n v="690"/>
  </r>
  <r>
    <x v="31"/>
    <s v="conventional_turnover_acls_119"/>
    <x v="159"/>
    <n v="1.11517395050754"/>
    <n v="1"/>
    <n v="-115"/>
    <n v="690"/>
  </r>
  <r>
    <x v="31"/>
    <s v="conventional_turnover_acls_120"/>
    <x v="160"/>
    <n v="1.1138385665294901"/>
    <n v="1"/>
    <n v="-115"/>
    <n v="690"/>
  </r>
  <r>
    <x v="31"/>
    <s v="conventional_turnover_acls_121"/>
    <x v="161"/>
    <n v="1.11244984962963"/>
    <n v="1"/>
    <n v="-115"/>
    <n v="690"/>
  </r>
  <r>
    <x v="31"/>
    <s v="conventional_turnover_acls_122"/>
    <x v="162"/>
    <n v="1.11100990766804"/>
    <n v="1"/>
    <n v="-115"/>
    <n v="690"/>
  </r>
  <r>
    <x v="31"/>
    <s v="conventional_turnover_acls_123"/>
    <x v="163"/>
    <n v="1.1095208485048"/>
    <n v="1"/>
    <n v="-115"/>
    <n v="690"/>
  </r>
  <r>
    <x v="31"/>
    <s v="conventional_turnover_acls_124"/>
    <x v="164"/>
    <n v="1.10798478"/>
    <n v="1"/>
    <n v="-115"/>
    <n v="690"/>
  </r>
  <r>
    <x v="31"/>
    <s v="conventional_turnover_acls_125"/>
    <x v="165"/>
    <n v="1.1064038100137199"/>
    <n v="1"/>
    <n v="-115"/>
    <n v="690"/>
  </r>
  <r>
    <x v="31"/>
    <s v="conventional_turnover_acls_126"/>
    <x v="166"/>
    <n v="1.10478004640604"/>
    <n v="1"/>
    <n v="-115"/>
    <n v="690"/>
  </r>
  <r>
    <x v="31"/>
    <s v="conventional_turnover_acls_127"/>
    <x v="167"/>
    <n v="1.1031155970370401"/>
    <n v="1"/>
    <n v="-115"/>
    <n v="690"/>
  </r>
  <r>
    <x v="31"/>
    <s v="conventional_turnover_acls_128"/>
    <x v="168"/>
    <n v="1.1014125697668"/>
    <n v="1"/>
    <n v="-115"/>
    <n v="690"/>
  </r>
  <r>
    <x v="31"/>
    <s v="conventional_turnover_acls_129"/>
    <x v="169"/>
    <n v="1.09967307245542"/>
    <n v="1"/>
    <n v="-115"/>
    <n v="690"/>
  </r>
  <r>
    <x v="31"/>
    <s v="conventional_turnover_acls_130"/>
    <x v="170"/>
    <n v="1.0978992129629599"/>
    <n v="1"/>
    <n v="-115"/>
    <n v="690"/>
  </r>
  <r>
    <x v="31"/>
    <s v="conventional_turnover_acls_131"/>
    <x v="171"/>
    <n v="1.0960930991495199"/>
    <n v="1"/>
    <n v="-115"/>
    <n v="690"/>
  </r>
  <r>
    <x v="31"/>
    <s v="conventional_turnover_acls_132"/>
    <x v="172"/>
    <n v="1.0942568388751699"/>
    <n v="1"/>
    <n v="-115"/>
    <n v="690"/>
  </r>
  <r>
    <x v="31"/>
    <s v="conventional_turnover_acls_133"/>
    <x v="173"/>
    <n v="1.0923925400000001"/>
    <n v="1"/>
    <n v="-115"/>
    <n v="690"/>
  </r>
  <r>
    <x v="31"/>
    <s v="conventional_turnover_acls_134"/>
    <x v="174"/>
    <n v="1.0905023103840901"/>
    <n v="1"/>
    <n v="-115"/>
    <n v="690"/>
  </r>
  <r>
    <x v="31"/>
    <s v="conventional_turnover_acls_135"/>
    <x v="175"/>
    <n v="1.0885882578875199"/>
    <n v="1"/>
    <n v="-115"/>
    <n v="690"/>
  </r>
  <r>
    <x v="31"/>
    <s v="conventional_turnover_acls_136"/>
    <x v="176"/>
    <n v="1.08665249037037"/>
    <n v="1"/>
    <n v="-115"/>
    <n v="690"/>
  </r>
  <r>
    <x v="31"/>
    <s v="conventional_turnover_acls_137"/>
    <x v="177"/>
    <n v="1.0846971156927301"/>
    <n v="1"/>
    <n v="-115"/>
    <n v="690"/>
  </r>
  <r>
    <x v="31"/>
    <s v="conventional_turnover_acls_138"/>
    <x v="178"/>
    <n v="1.0827242417146801"/>
    <n v="1"/>
    <n v="-115"/>
    <n v="690"/>
  </r>
  <r>
    <x v="31"/>
    <s v="conventional_turnover_acls_139"/>
    <x v="179"/>
    <n v="1.0807359762963"/>
    <n v="1"/>
    <n v="-115"/>
    <n v="690"/>
  </r>
  <r>
    <x v="31"/>
    <s v="conventional_turnover_acls_140"/>
    <x v="180"/>
    <n v="1.07873442729767"/>
    <n v="1"/>
    <n v="-115"/>
    <n v="690"/>
  </r>
  <r>
    <x v="31"/>
    <s v="conventional_turnover_acls_141"/>
    <x v="181"/>
    <n v="1.07672170257888"/>
    <n v="1"/>
    <n v="-115"/>
    <n v="690"/>
  </r>
  <r>
    <x v="31"/>
    <s v="conventional_turnover_acls_142"/>
    <x v="182"/>
    <n v="1.0746999100000001"/>
    <n v="1"/>
    <n v="-115"/>
    <n v="690"/>
  </r>
  <r>
    <x v="31"/>
    <s v="conventional_turnover_acls_143"/>
    <x v="183"/>
    <n v="1.0726711574211201"/>
    <n v="1"/>
    <n v="-115"/>
    <n v="690"/>
  </r>
  <r>
    <x v="31"/>
    <s v="conventional_turnover_acls_144"/>
    <x v="184"/>
    <n v="1.07063755270233"/>
    <n v="1"/>
    <n v="-115"/>
    <n v="690"/>
  </r>
  <r>
    <x v="31"/>
    <s v="conventional_turnover_acls_145"/>
    <x v="185"/>
    <n v="1.0686012037037"/>
    <n v="1"/>
    <n v="-115"/>
    <n v="690"/>
  </r>
  <r>
    <x v="31"/>
    <s v="conventional_turnover_acls_146"/>
    <x v="186"/>
    <n v="1.0665642182853201"/>
    <n v="1"/>
    <n v="-115"/>
    <n v="690"/>
  </r>
  <r>
    <x v="31"/>
    <s v="conventional_turnover_acls_147"/>
    <x v="187"/>
    <n v="1.06452870430727"/>
    <n v="1"/>
    <n v="-115"/>
    <n v="690"/>
  </r>
  <r>
    <x v="31"/>
    <s v="conventional_turnover_acls_148"/>
    <x v="188"/>
    <n v="1.0624967696296299"/>
    <n v="1"/>
    <n v="-115"/>
    <n v="690"/>
  </r>
  <r>
    <x v="31"/>
    <s v="conventional_turnover_acls_149"/>
    <x v="189"/>
    <n v="1.0604705221124799"/>
    <n v="1"/>
    <n v="-115"/>
    <n v="690"/>
  </r>
  <r>
    <x v="31"/>
    <s v="conventional_turnover_acls_150"/>
    <x v="190"/>
    <n v="1.0584520696159101"/>
    <n v="1"/>
    <n v="-115"/>
    <n v="690"/>
  </r>
  <r>
    <x v="31"/>
    <s v="conventional_turnover_acls_151"/>
    <x v="191"/>
    <n v="1.05644352"/>
    <n v="1"/>
    <n v="-115"/>
    <n v="690"/>
  </r>
  <r>
    <x v="31"/>
    <s v="conventional_turnover_acls_152"/>
    <x v="192"/>
    <n v="1.05444698112483"/>
    <n v="1"/>
    <n v="-115"/>
    <n v="690"/>
  </r>
  <r>
    <x v="31"/>
    <s v="conventional_turnover_acls_153"/>
    <x v="193"/>
    <n v="1.0524645608504799"/>
    <n v="1"/>
    <n v="-115"/>
    <n v="690"/>
  </r>
  <r>
    <x v="31"/>
    <s v="conventional_turnover_acls_154"/>
    <x v="194"/>
    <n v="1.05049836703704"/>
    <n v="1"/>
    <n v="-115"/>
    <n v="690"/>
  </r>
  <r>
    <x v="31"/>
    <s v="conventional_turnover_acls_155"/>
    <x v="195"/>
    <n v="1.04855050754458"/>
    <n v="1"/>
    <n v="-115"/>
    <n v="690"/>
  </r>
  <r>
    <x v="31"/>
    <s v="conventional_turnover_acls_156"/>
    <x v="196"/>
    <n v="1.0466230902332001"/>
    <n v="1"/>
    <n v="-115"/>
    <n v="690"/>
  </r>
  <r>
    <x v="31"/>
    <s v="conventional_turnover_acls_157"/>
    <x v="197"/>
    <n v="1.0447182229629599"/>
    <n v="1"/>
    <n v="-115"/>
    <n v="690"/>
  </r>
  <r>
    <x v="31"/>
    <s v="conventional_turnover_acls_158"/>
    <x v="198"/>
    <n v="1.0428380135939599"/>
    <n v="1"/>
    <n v="-115"/>
    <n v="690"/>
  </r>
  <r>
    <x v="31"/>
    <s v="conventional_turnover_acls_159"/>
    <x v="199"/>
    <n v="1.0409845699862801"/>
    <n v="1"/>
    <n v="-115"/>
    <n v="690"/>
  </r>
  <r>
    <x v="31"/>
    <s v="conventional_turnover_acls_160"/>
    <x v="200"/>
    <n v="1.0391600000000001"/>
    <n v="1"/>
    <n v="-115"/>
    <n v="690"/>
  </r>
  <r>
    <x v="31"/>
    <s v="conventional_turnover_acls_161"/>
    <x v="201"/>
    <n v="1.03734081844375"/>
    <n v="1"/>
    <n v="-115"/>
    <n v="690"/>
  </r>
  <r>
    <x v="31"/>
    <s v="conventional_turnover_acls_162"/>
    <x v="202"/>
    <n v="1.03550309827222"/>
    <n v="1"/>
    <n v="-115"/>
    <n v="690"/>
  </r>
  <r>
    <x v="31"/>
    <s v="conventional_turnover_acls_163"/>
    <x v="203"/>
    <n v="1.03364828456458"/>
    <n v="1"/>
    <n v="-115"/>
    <n v="690"/>
  </r>
  <r>
    <x v="31"/>
    <s v="conventional_turnover_acls_164"/>
    <x v="204"/>
    <n v="1.0317778224"/>
    <n v="1"/>
    <n v="-115"/>
    <n v="690"/>
  </r>
  <r>
    <x v="31"/>
    <s v="conventional_turnover_acls_165"/>
    <x v="205"/>
    <n v="1.0298931568576399"/>
    <n v="1"/>
    <n v="-115"/>
    <n v="690"/>
  </r>
  <r>
    <x v="31"/>
    <s v="conventional_turnover_acls_166"/>
    <x v="206"/>
    <n v="1.02799573301667"/>
    <n v="1"/>
    <n v="-115"/>
    <n v="690"/>
  </r>
  <r>
    <x v="31"/>
    <s v="conventional_turnover_acls_167"/>
    <x v="207"/>
    <n v="1.02608699595625"/>
    <n v="1"/>
    <n v="-115"/>
    <n v="690"/>
  </r>
  <r>
    <x v="31"/>
    <s v="conventional_turnover_acls_168"/>
    <x v="208"/>
    <n v="1.0241683907555601"/>
    <n v="1"/>
    <n v="-115"/>
    <n v="690"/>
  </r>
  <r>
    <x v="31"/>
    <s v="conventional_turnover_acls_169"/>
    <x v="209"/>
    <n v="1.0222413624937501"/>
    <n v="1"/>
    <n v="-115"/>
    <n v="690"/>
  </r>
  <r>
    <x v="31"/>
    <s v="conventional_turnover_acls_170"/>
    <x v="210"/>
    <n v="1.02030735625"/>
    <n v="1"/>
    <n v="-115"/>
    <n v="690"/>
  </r>
  <r>
    <x v="31"/>
    <s v="conventional_turnover_acls_171"/>
    <x v="211"/>
    <n v="1.01836781710347"/>
    <n v="1"/>
    <n v="-115"/>
    <n v="690"/>
  </r>
  <r>
    <x v="31"/>
    <s v="conventional_turnover_acls_172"/>
    <x v="212"/>
    <n v="1.01642419013333"/>
    <n v="1"/>
    <n v="-115"/>
    <n v="690"/>
  </r>
  <r>
    <x v="31"/>
    <s v="conventional_turnover_acls_173"/>
    <x v="213"/>
    <n v="1.01447792041875"/>
    <n v="1"/>
    <n v="-115"/>
    <n v="690"/>
  </r>
  <r>
    <x v="31"/>
    <s v="conventional_turnover_acls_174"/>
    <x v="214"/>
    <n v="1.0125304530388901"/>
    <n v="1"/>
    <n v="-115"/>
    <n v="690"/>
  </r>
  <r>
    <x v="31"/>
    <s v="conventional_turnover_acls_175"/>
    <x v="215"/>
    <n v="1.0105832330729201"/>
    <n v="1"/>
    <n v="-115"/>
    <n v="690"/>
  </r>
  <r>
    <x v="31"/>
    <s v="conventional_turnover_acls_176"/>
    <x v="216"/>
    <n v="1.0086377056"/>
    <n v="1"/>
    <n v="-115"/>
    <n v="690"/>
  </r>
  <r>
    <x v="31"/>
    <s v="conventional_turnover_acls_177"/>
    <x v="217"/>
    <n v="1.0066953156993099"/>
    <n v="1"/>
    <n v="-115"/>
    <n v="690"/>
  </r>
  <r>
    <x v="31"/>
    <s v="conventional_turnover_acls_178"/>
    <x v="218"/>
    <n v="1.00475750845"/>
    <n v="1"/>
    <n v="-115"/>
    <n v="690"/>
  </r>
  <r>
    <x v="31"/>
    <s v="conventional_turnover_acls_179"/>
    <x v="219"/>
    <n v="1.0028257289312501"/>
    <n v="1"/>
    <n v="-115"/>
    <n v="690"/>
  </r>
  <r>
    <x v="31"/>
    <s v="conventional_turnover_acls_180"/>
    <x v="220"/>
    <n v="1.0009014222222199"/>
    <n v="1"/>
    <n v="-115"/>
    <n v="690"/>
  </r>
  <r>
    <x v="31"/>
    <s v="conventional_turnover_acls_181"/>
    <x v="221"/>
    <n v="0.99898603340208303"/>
    <n v="1"/>
    <n v="-115"/>
    <n v="690"/>
  </r>
  <r>
    <x v="31"/>
    <s v="conventional_turnover_acls_182"/>
    <x v="222"/>
    <n v="0.99708100754999995"/>
    <n v="1"/>
    <n v="-115"/>
    <n v="690"/>
  </r>
  <r>
    <x v="31"/>
    <s v="conventional_turnover_acls_183"/>
    <x v="223"/>
    <n v="0.995187789745139"/>
    <n v="1"/>
    <n v="-115"/>
    <n v="690"/>
  </r>
  <r>
    <x v="31"/>
    <s v="conventional_turnover_acls_184"/>
    <x v="224"/>
    <n v="0.99330782506666704"/>
    <n v="1"/>
    <n v="-115"/>
    <n v="690"/>
  </r>
  <r>
    <x v="31"/>
    <s v="conventional_turnover_acls_185"/>
    <x v="225"/>
    <n v="0.99144255859374997"/>
    <n v="1"/>
    <n v="-115"/>
    <n v="690"/>
  </r>
  <r>
    <x v="31"/>
    <s v="conventional_turnover_acls_186"/>
    <x v="226"/>
    <n v="0.989593435405556"/>
    <n v="1"/>
    <n v="-115"/>
    <n v="690"/>
  </r>
  <r>
    <x v="31"/>
    <s v="conventional_turnover_acls_187"/>
    <x v="227"/>
    <n v="0.98776190058125002"/>
    <n v="1"/>
    <n v="-115"/>
    <n v="690"/>
  </r>
  <r>
    <x v="31"/>
    <s v="conventional_turnover_acls_188"/>
    <x v="228"/>
    <n v="0.98594939920000002"/>
    <n v="1"/>
    <n v="-115"/>
    <n v="690"/>
  </r>
  <r>
    <x v="31"/>
    <s v="conventional_turnover_acls_189"/>
    <x v="229"/>
    <n v="0.984157376340972"/>
    <n v="1"/>
    <n v="-115"/>
    <n v="690"/>
  </r>
  <r>
    <x v="31"/>
    <s v="conventional_turnover_acls_190"/>
    <x v="230"/>
    <n v="0.98238727708333295"/>
    <n v="1"/>
    <n v="-115"/>
    <n v="690"/>
  </r>
  <r>
    <x v="31"/>
    <s v="conventional_turnover_acls_191"/>
    <x v="231"/>
    <n v="0.98064054650624999"/>
    <n v="1"/>
    <n v="-115"/>
    <n v="690"/>
  </r>
  <r>
    <x v="31"/>
    <s v="conventional_turnover_acls_192"/>
    <x v="232"/>
    <n v="0.97891862968888899"/>
    <n v="1"/>
    <n v="-115"/>
    <n v="690"/>
  </r>
  <r>
    <x v="31"/>
    <s v="conventional_turnover_acls_193"/>
    <x v="233"/>
    <n v="0.97722297171041705"/>
    <n v="1"/>
    <n v="-115"/>
    <n v="690"/>
  </r>
  <r>
    <x v="31"/>
    <s v="conventional_turnover_acls_194"/>
    <x v="234"/>
    <n v="0.97555501764999997"/>
    <n v="1"/>
    <n v="-115"/>
    <n v="690"/>
  </r>
  <r>
    <x v="31"/>
    <s v="conventional_turnover_acls_195"/>
    <x v="235"/>
    <n v="0.97391621258680605"/>
    <n v="1"/>
    <n v="-115"/>
    <n v="690"/>
  </r>
  <r>
    <x v="31"/>
    <s v="conventional_turnover_acls_196"/>
    <x v="236"/>
    <n v="0.97230800159999997"/>
    <n v="1"/>
    <n v="-115"/>
    <n v="690"/>
  </r>
  <r>
    <x v="31"/>
    <s v="conventional_turnover_acls_197"/>
    <x v="237"/>
    <n v="0.97073182976875005"/>
    <n v="1"/>
    <n v="-115"/>
    <n v="690"/>
  </r>
  <r>
    <x v="31"/>
    <s v="conventional_turnover_acls_198"/>
    <x v="238"/>
    <n v="0.96918914217222196"/>
    <n v="1"/>
    <n v="-115"/>
    <n v="690"/>
  </r>
  <r>
    <x v="31"/>
    <s v="conventional_turnover_acls_199"/>
    <x v="239"/>
    <n v="0.96768138388958302"/>
    <n v="1"/>
    <n v="-115"/>
    <n v="690"/>
  </r>
  <r>
    <x v="31"/>
    <s v="conventional_turnover_acls_200"/>
    <x v="240"/>
    <n v="0.96621000000000001"/>
    <n v="1"/>
    <n v="-115"/>
    <n v="690"/>
  </r>
  <r>
    <x v="31"/>
    <s v="conventional_turnover_acls_201"/>
    <x v="241"/>
    <n v="0.96476751388672"/>
    <n v="1"/>
    <n v="-115"/>
    <n v="690"/>
  </r>
  <r>
    <x v="31"/>
    <s v="conventional_turnover_acls_202"/>
    <x v="242"/>
    <n v="0.96334525133376003"/>
    <n v="1"/>
    <n v="-115"/>
    <n v="690"/>
  </r>
  <r>
    <x v="31"/>
    <s v="conventional_turnover_acls_203"/>
    <x v="243"/>
    <n v="0.96194286102144"/>
    <n v="1"/>
    <n v="-115"/>
    <n v="690"/>
  </r>
  <r>
    <x v="31"/>
    <s v="conventional_turnover_acls_204"/>
    <x v="244"/>
    <n v="0.96055999163007999"/>
    <n v="1"/>
    <n v="-115"/>
    <n v="690"/>
  </r>
  <r>
    <x v="31"/>
    <s v="conventional_turnover_acls_205"/>
    <x v="245"/>
    <n v="0.95919629183999999"/>
    <n v="1"/>
    <n v="-115"/>
    <n v="690"/>
  </r>
  <r>
    <x v="31"/>
    <s v="conventional_turnover_acls_206"/>
    <x v="246"/>
    <n v="0.95785141033151999"/>
    <n v="1"/>
    <n v="-115"/>
    <n v="690"/>
  </r>
  <r>
    <x v="31"/>
    <s v="conventional_turnover_acls_207"/>
    <x v="247"/>
    <n v="0.95652499578495997"/>
    <n v="1"/>
    <n v="-115"/>
    <n v="690"/>
  </r>
  <r>
    <x v="31"/>
    <s v="conventional_turnover_acls_208"/>
    <x v="248"/>
    <n v="0.95521669688064004"/>
    <n v="1"/>
    <n v="-115"/>
    <n v="690"/>
  </r>
  <r>
    <x v="31"/>
    <s v="conventional_turnover_acls_209"/>
    <x v="249"/>
    <n v="0.95392616229888005"/>
    <n v="1"/>
    <n v="-115"/>
    <n v="690"/>
  </r>
  <r>
    <x v="31"/>
    <s v="conventional_turnover_acls_210"/>
    <x v="250"/>
    <n v="0.95265304072000001"/>
    <n v="1"/>
    <n v="-115"/>
    <n v="690"/>
  </r>
  <r>
    <x v="31"/>
    <s v="conventional_turnover_acls_211"/>
    <x v="251"/>
    <n v="0.95139698082432"/>
    <n v="1"/>
    <n v="-115"/>
    <n v="690"/>
  </r>
  <r>
    <x v="31"/>
    <s v="conventional_turnover_acls_212"/>
    <x v="252"/>
    <n v="0.95015763129216002"/>
    <n v="1"/>
    <n v="-115"/>
    <n v="690"/>
  </r>
  <r>
    <x v="31"/>
    <s v="conventional_turnover_acls_213"/>
    <x v="253"/>
    <n v="0.94893464080384005"/>
    <n v="1"/>
    <n v="-115"/>
    <n v="690"/>
  </r>
  <r>
    <x v="31"/>
    <s v="conventional_turnover_acls_214"/>
    <x v="254"/>
    <n v="0.94772765803967995"/>
    <n v="1"/>
    <n v="-115"/>
    <n v="690"/>
  </r>
  <r>
    <x v="31"/>
    <s v="conventional_turnover_acls_215"/>
    <x v="255"/>
    <n v="0.94653633167999995"/>
    <n v="1"/>
    <n v="-115"/>
    <n v="690"/>
  </r>
  <r>
    <x v="31"/>
    <s v="conventional_turnover_acls_216"/>
    <x v="256"/>
    <n v="0.94536031040512003"/>
    <n v="1"/>
    <n v="-115"/>
    <n v="690"/>
  </r>
  <r>
    <x v="31"/>
    <s v="conventional_turnover_acls_217"/>
    <x v="257"/>
    <n v="0.94419924289535995"/>
    <n v="1"/>
    <n v="-115"/>
    <n v="690"/>
  </r>
  <r>
    <x v="31"/>
    <s v="conventional_turnover_acls_218"/>
    <x v="258"/>
    <n v="0.94305277783104002"/>
    <n v="1"/>
    <n v="-115"/>
    <n v="690"/>
  </r>
  <r>
    <x v="31"/>
    <s v="conventional_turnover_acls_219"/>
    <x v="259"/>
    <n v="0.94192056389248002"/>
    <n v="1"/>
    <n v="-115"/>
    <n v="690"/>
  </r>
  <r>
    <x v="31"/>
    <s v="conventional_turnover_acls_220"/>
    <x v="260"/>
    <n v="0.94080224976000004"/>
    <n v="1"/>
    <n v="-115"/>
    <n v="690"/>
  </r>
  <r>
    <x v="31"/>
    <s v="conventional_turnover_acls_221"/>
    <x v="261"/>
    <n v="0.93969748411391996"/>
    <n v="1"/>
    <n v="-115"/>
    <n v="690"/>
  </r>
  <r>
    <x v="31"/>
    <s v="conventional_turnover_acls_222"/>
    <x v="262"/>
    <n v="0.93860591563455997"/>
    <n v="1"/>
    <n v="-115"/>
    <n v="690"/>
  </r>
  <r>
    <x v="31"/>
    <s v="conventional_turnover_acls_223"/>
    <x v="263"/>
    <n v="0.93752719300223997"/>
    <n v="1"/>
    <n v="-115"/>
    <n v="690"/>
  </r>
  <r>
    <x v="31"/>
    <s v="conventional_turnover_acls_224"/>
    <x v="264"/>
    <n v="0.93646096489728003"/>
    <n v="1"/>
    <n v="-115"/>
    <n v="690"/>
  </r>
  <r>
    <x v="31"/>
    <s v="conventional_turnover_acls_225"/>
    <x v="265"/>
    <n v="0.93540688000000005"/>
    <n v="1"/>
    <n v="-115"/>
    <n v="690"/>
  </r>
  <r>
    <x v="31"/>
    <s v="conventional_turnover_acls_226"/>
    <x v="266"/>
    <n v="0.93436458699072"/>
    <n v="1"/>
    <n v="-115"/>
    <n v="690"/>
  </r>
  <r>
    <x v="31"/>
    <s v="conventional_turnover_acls_227"/>
    <x v="267"/>
    <n v="0.93333373454975999"/>
    <n v="1"/>
    <n v="-115"/>
    <n v="690"/>
  </r>
  <r>
    <x v="31"/>
    <s v="conventional_turnover_acls_228"/>
    <x v="268"/>
    <n v="0.93231397135743999"/>
    <n v="1"/>
    <n v="-115"/>
    <n v="690"/>
  </r>
  <r>
    <x v="31"/>
    <s v="conventional_turnover_acls_229"/>
    <x v="269"/>
    <n v="0.93130494609407999"/>
    <n v="1"/>
    <n v="-115"/>
    <n v="690"/>
  </r>
  <r>
    <x v="31"/>
    <s v="conventional_turnover_acls_230"/>
    <x v="270"/>
    <n v="0.93030630743999998"/>
    <n v="1"/>
    <n v="-115"/>
    <n v="690"/>
  </r>
  <r>
    <x v="31"/>
    <s v="conventional_turnover_acls_231"/>
    <x v="271"/>
    <n v="0.92931770407551995"/>
    <n v="1"/>
    <n v="-115"/>
    <n v="690"/>
  </r>
  <r>
    <x v="31"/>
    <s v="conventional_turnover_acls_232"/>
    <x v="272"/>
    <n v="0.92833878468095998"/>
    <n v="1"/>
    <n v="-115"/>
    <n v="690"/>
  </r>
  <r>
    <x v="31"/>
    <s v="conventional_turnover_acls_233"/>
    <x v="273"/>
    <n v="0.92736919793663997"/>
    <n v="1"/>
    <n v="-115"/>
    <n v="690"/>
  </r>
  <r>
    <x v="31"/>
    <s v="conventional_turnover_acls_234"/>
    <x v="274"/>
    <n v="0.92640859252287999"/>
    <n v="1"/>
    <n v="-115"/>
    <n v="690"/>
  </r>
  <r>
    <x v="31"/>
    <s v="conventional_turnover_acls_235"/>
    <x v="275"/>
    <n v="0.92545661712000005"/>
    <n v="1"/>
    <n v="-115"/>
    <n v="690"/>
  </r>
  <r>
    <x v="31"/>
    <s v="conventional_turnover_acls_236"/>
    <x v="276"/>
    <n v="0.92451292040832"/>
    <n v="1"/>
    <n v="-115"/>
    <n v="690"/>
  </r>
  <r>
    <x v="31"/>
    <s v="conventional_turnover_acls_237"/>
    <x v="277"/>
    <n v="0.92357715106815996"/>
    <n v="1"/>
    <n v="-115"/>
    <n v="690"/>
  </r>
  <r>
    <x v="31"/>
    <s v="conventional_turnover_acls_238"/>
    <x v="278"/>
    <n v="0.92264895777984002"/>
    <n v="1"/>
    <n v="-115"/>
    <n v="690"/>
  </r>
  <r>
    <x v="31"/>
    <s v="conventional_turnover_acls_239"/>
    <x v="279"/>
    <n v="0.92172798922368004"/>
    <n v="1"/>
    <n v="-115"/>
    <n v="690"/>
  </r>
  <r>
    <x v="31"/>
    <s v="conventional_turnover_acls_240"/>
    <x v="280"/>
    <n v="0.92081389408000003"/>
    <n v="1"/>
    <n v="-115"/>
    <n v="690"/>
  </r>
  <r>
    <x v="31"/>
    <s v="conventional_turnover_acls_241"/>
    <x v="281"/>
    <n v="0.91990632102911996"/>
    <n v="1"/>
    <n v="-115"/>
    <n v="690"/>
  </r>
  <r>
    <x v="31"/>
    <s v="conventional_turnover_acls_242"/>
    <x v="282"/>
    <n v="0.91900491875136003"/>
    <n v="1"/>
    <n v="-115"/>
    <n v="690"/>
  </r>
  <r>
    <x v="31"/>
    <s v="conventional_turnover_acls_243"/>
    <x v="283"/>
    <n v="0.91810933592704003"/>
    <n v="1"/>
    <n v="-115"/>
    <n v="690"/>
  </r>
  <r>
    <x v="31"/>
    <s v="conventional_turnover_acls_244"/>
    <x v="284"/>
    <n v="0.91721922123648003"/>
    <n v="1"/>
    <n v="-115"/>
    <n v="690"/>
  </r>
  <r>
    <x v="31"/>
    <s v="conventional_turnover_acls_245"/>
    <x v="285"/>
    <n v="0.91633422336000003"/>
    <n v="1"/>
    <n v="-115"/>
    <n v="690"/>
  </r>
  <r>
    <x v="31"/>
    <s v="conventional_turnover_acls_246"/>
    <x v="286"/>
    <n v="0.91545399097792002"/>
    <n v="1"/>
    <n v="-115"/>
    <n v="690"/>
  </r>
  <r>
    <x v="31"/>
    <s v="conventional_turnover_acls_247"/>
    <x v="287"/>
    <n v="0.91457817277055997"/>
    <n v="1"/>
    <n v="-115"/>
    <n v="690"/>
  </r>
  <r>
    <x v="31"/>
    <s v="conventional_turnover_acls_248"/>
    <x v="288"/>
    <n v="0.91370641741823999"/>
    <n v="1"/>
    <n v="-115"/>
    <n v="690"/>
  </r>
  <r>
    <x v="31"/>
    <s v="conventional_turnover_acls_249"/>
    <x v="289"/>
    <n v="0.91283837360127995"/>
    <n v="1"/>
    <n v="-115"/>
    <n v="690"/>
  </r>
  <r>
    <x v="31"/>
    <s v="conventional_turnover_acls_250"/>
    <x v="290"/>
    <n v="0.91197368999999995"/>
    <n v="1"/>
    <n v="-115"/>
    <n v="690"/>
  </r>
  <r>
    <x v="31"/>
    <s v="conventional_turnover_acls_251"/>
    <x v="291"/>
    <n v="0.91111201529471997"/>
    <n v="1"/>
    <n v="-115"/>
    <n v="690"/>
  </r>
  <r>
    <x v="31"/>
    <s v="conventional_turnover_acls_252"/>
    <x v="292"/>
    <n v="0.91025299816576"/>
    <n v="1"/>
    <n v="-115"/>
    <n v="690"/>
  </r>
  <r>
    <x v="31"/>
    <s v="conventional_turnover_acls_253"/>
    <x v="293"/>
    <n v="0.90939628729344002"/>
    <n v="1"/>
    <n v="-115"/>
    <n v="690"/>
  </r>
  <r>
    <x v="31"/>
    <s v="conventional_turnover_acls_254"/>
    <x v="294"/>
    <n v="0.90854153135808002"/>
    <n v="1"/>
    <n v="-115"/>
    <n v="690"/>
  </r>
  <r>
    <x v="31"/>
    <s v="conventional_turnover_acls_255"/>
    <x v="295"/>
    <n v="0.90768837903999999"/>
    <n v="1"/>
    <n v="-115"/>
    <n v="690"/>
  </r>
  <r>
    <x v="31"/>
    <s v="conventional_turnover_acls_256"/>
    <x v="296"/>
    <n v="0.90683647901952003"/>
    <n v="1"/>
    <n v="-115"/>
    <n v="690"/>
  </r>
  <r>
    <x v="31"/>
    <s v="conventional_turnover_acls_257"/>
    <x v="297"/>
    <n v="0.90598547997696"/>
    <n v="1"/>
    <n v="-115"/>
    <n v="690"/>
  </r>
  <r>
    <x v="31"/>
    <s v="conventional_turnover_acls_258"/>
    <x v="298"/>
    <n v="0.90513503059264"/>
    <n v="1"/>
    <n v="-115"/>
    <n v="690"/>
  </r>
  <r>
    <x v="31"/>
    <s v="conventional_turnover_acls_259"/>
    <x v="299"/>
    <n v="0.90428477954688002"/>
    <n v="1"/>
    <n v="-115"/>
    <n v="690"/>
  </r>
  <r>
    <x v="31"/>
    <s v="conventional_turnover_acls_260"/>
    <x v="300"/>
    <n v="0.90343437552000005"/>
    <n v="1"/>
    <n v="-115"/>
    <n v="690"/>
  </r>
  <r>
    <x v="31"/>
    <s v="conventional_turnover_acls_261"/>
    <x v="301"/>
    <n v="0.90258346719231997"/>
    <n v="1"/>
    <n v="-115"/>
    <n v="690"/>
  </r>
  <r>
    <x v="31"/>
    <s v="conventional_turnover_acls_262"/>
    <x v="302"/>
    <n v="0.90173170324415997"/>
    <n v="1"/>
    <n v="-115"/>
    <n v="690"/>
  </r>
  <r>
    <x v="31"/>
    <s v="conventional_turnover_acls_263"/>
    <x v="303"/>
    <n v="0.90087873235584004"/>
    <n v="1"/>
    <n v="-115"/>
    <n v="690"/>
  </r>
  <r>
    <x v="31"/>
    <s v="conventional_turnover_acls_264"/>
    <x v="304"/>
    <n v="0.90002420320767995"/>
    <n v="1"/>
    <n v="-115"/>
    <n v="690"/>
  </r>
  <r>
    <x v="31"/>
    <s v="conventional_turnover_acls_265"/>
    <x v="305"/>
    <n v="0.89916776448000002"/>
    <n v="1"/>
    <n v="-115"/>
    <n v="690"/>
  </r>
  <r>
    <x v="31"/>
    <s v="conventional_turnover_acls_266"/>
    <x v="306"/>
    <n v="0.89830906485312001"/>
    <n v="1"/>
    <n v="-115"/>
    <n v="690"/>
  </r>
  <r>
    <x v="31"/>
    <s v="conventional_turnover_acls_267"/>
    <x v="307"/>
    <n v="0.89744775300736002"/>
    <n v="1"/>
    <n v="-115"/>
    <n v="690"/>
  </r>
  <r>
    <x v="31"/>
    <s v="conventional_turnover_acls_268"/>
    <x v="308"/>
    <n v="0.89658347762304003"/>
    <n v="1"/>
    <n v="-115"/>
    <n v="690"/>
  </r>
  <r>
    <x v="31"/>
    <s v="conventional_turnover_acls_269"/>
    <x v="309"/>
    <n v="0.89571588738048002"/>
    <n v="1"/>
    <n v="-115"/>
    <n v="690"/>
  </r>
  <r>
    <x v="31"/>
    <s v="conventional_turnover_acls_270"/>
    <x v="310"/>
    <n v="0.89484463096"/>
    <n v="1"/>
    <n v="-115"/>
    <n v="690"/>
  </r>
  <r>
    <x v="31"/>
    <s v="conventional_turnover_acls_271"/>
    <x v="311"/>
    <n v="0.89396935704192004"/>
    <n v="1"/>
    <n v="-115"/>
    <n v="690"/>
  </r>
  <r>
    <x v="31"/>
    <s v="conventional_turnover_acls_272"/>
    <x v="312"/>
    <n v="0.89308971430656003"/>
    <n v="1"/>
    <n v="-115"/>
    <n v="690"/>
  </r>
  <r>
    <x v="31"/>
    <s v="conventional_turnover_acls_273"/>
    <x v="313"/>
    <n v="0.89220535143423996"/>
    <n v="1"/>
    <n v="-115"/>
    <n v="690"/>
  </r>
  <r>
    <x v="31"/>
    <s v="conventional_turnover_acls_274"/>
    <x v="314"/>
    <n v="0.89131591710528002"/>
    <n v="1"/>
    <n v="-115"/>
    <n v="690"/>
  </r>
  <r>
    <x v="31"/>
    <s v="conventional_turnover_acls_275"/>
    <x v="315"/>
    <n v="0.89042105999999999"/>
    <n v="1"/>
    <n v="-115"/>
    <n v="690"/>
  </r>
  <r>
    <x v="31"/>
    <s v="conventional_turnover_acls_276"/>
    <x v="316"/>
    <n v="0.88952042879871995"/>
    <n v="1"/>
    <n v="-115"/>
    <n v="690"/>
  </r>
  <r>
    <x v="31"/>
    <s v="conventional_turnover_acls_277"/>
    <x v="317"/>
    <n v="0.88861367218176002"/>
    <n v="1"/>
    <n v="-115"/>
    <n v="690"/>
  </r>
  <r>
    <x v="31"/>
    <s v="conventional_turnover_acls_278"/>
    <x v="318"/>
    <n v="0.88770043882944005"/>
    <n v="1"/>
    <n v="-115"/>
    <n v="690"/>
  </r>
  <r>
    <x v="31"/>
    <s v="conventional_turnover_acls_279"/>
    <x v="319"/>
    <n v="0.88678037742208005"/>
    <n v="1"/>
    <n v="-115"/>
    <n v="690"/>
  </r>
  <r>
    <x v="31"/>
    <s v="conventional_turnover_acls_280"/>
    <x v="320"/>
    <n v="0.88585313663999998"/>
    <n v="1"/>
    <n v="-115"/>
    <n v="690"/>
  </r>
  <r>
    <x v="31"/>
    <s v="conventional_turnover_acls_281"/>
    <x v="321"/>
    <n v="0.88491836516351996"/>
    <n v="1"/>
    <n v="-115"/>
    <n v="690"/>
  </r>
  <r>
    <x v="31"/>
    <s v="conventional_turnover_acls_282"/>
    <x v="322"/>
    <n v="0.88397571167295996"/>
    <n v="1"/>
    <n v="-115"/>
    <n v="690"/>
  </r>
  <r>
    <x v="31"/>
    <s v="conventional_turnover_acls_283"/>
    <x v="323"/>
    <n v="0.88302482484863998"/>
    <n v="1"/>
    <n v="-115"/>
    <n v="690"/>
  </r>
  <r>
    <x v="31"/>
    <s v="conventional_turnover_acls_284"/>
    <x v="324"/>
    <n v="0.88206535337087999"/>
    <n v="1"/>
    <n v="-115"/>
    <n v="690"/>
  </r>
  <r>
    <x v="31"/>
    <s v="conventional_turnover_acls_285"/>
    <x v="325"/>
    <n v="0.88109694591999999"/>
    <n v="1"/>
    <n v="-115"/>
    <n v="690"/>
  </r>
  <r>
    <x v="31"/>
    <s v="conventional_turnover_acls_286"/>
    <x v="326"/>
    <n v="0.88011925117631995"/>
    <n v="1"/>
    <n v="-115"/>
    <n v="690"/>
  </r>
  <r>
    <x v="31"/>
    <s v="conventional_turnover_acls_287"/>
    <x v="327"/>
    <n v="0.87913191782015998"/>
    <n v="1"/>
    <n v="-115"/>
    <n v="690"/>
  </r>
  <r>
    <x v="31"/>
    <s v="conventional_turnover_acls_288"/>
    <x v="328"/>
    <n v="0.87813459453183995"/>
    <n v="1"/>
    <n v="-115"/>
    <n v="690"/>
  </r>
  <r>
    <x v="31"/>
    <s v="conventional_turnover_acls_289"/>
    <x v="329"/>
    <n v="0.87712692999167996"/>
    <n v="1"/>
    <n v="-115"/>
    <n v="690"/>
  </r>
  <r>
    <x v="31"/>
    <s v="conventional_turnover_acls_290"/>
    <x v="330"/>
    <n v="0.87610857287999999"/>
    <n v="1"/>
    <n v="-115"/>
    <n v="690"/>
  </r>
  <r>
    <x v="31"/>
    <s v="conventional_turnover_acls_291"/>
    <x v="331"/>
    <n v="0.87507917187712003"/>
    <n v="1"/>
    <n v="-115"/>
    <n v="690"/>
  </r>
  <r>
    <x v="31"/>
    <s v="conventional_turnover_acls_292"/>
    <x v="332"/>
    <n v="0.87403837566335996"/>
    <n v="1"/>
    <n v="-115"/>
    <n v="690"/>
  </r>
  <r>
    <x v="31"/>
    <s v="conventional_turnover_acls_293"/>
    <x v="333"/>
    <n v="0.87298583291903997"/>
    <n v="1"/>
    <n v="-115"/>
    <n v="690"/>
  </r>
  <r>
    <x v="31"/>
    <s v="conventional_turnover_acls_294"/>
    <x v="334"/>
    <n v="0.87192119232447995"/>
    <n v="1"/>
    <n v="-115"/>
    <n v="690"/>
  </r>
  <r>
    <x v="31"/>
    <s v="conventional_turnover_acls_295"/>
    <x v="335"/>
    <n v="0.87084410256"/>
    <n v="1"/>
    <n v="-115"/>
    <n v="690"/>
  </r>
  <r>
    <x v="31"/>
    <s v="conventional_turnover_acls_296"/>
    <x v="336"/>
    <n v="0.86975421230591998"/>
    <n v="1"/>
    <n v="-115"/>
    <n v="690"/>
  </r>
  <r>
    <x v="31"/>
    <s v="conventional_turnover_acls_297"/>
    <x v="337"/>
    <n v="0.86865117024256"/>
    <n v="1"/>
    <n v="-115"/>
    <n v="690"/>
  </r>
  <r>
    <x v="31"/>
    <s v="conventional_turnover_acls_298"/>
    <x v="338"/>
    <n v="0.86753462505024004"/>
    <n v="1"/>
    <n v="-115"/>
    <n v="690"/>
  </r>
  <r>
    <x v="31"/>
    <s v="conventional_turnover_acls_299"/>
    <x v="339"/>
    <n v="0.86640422540927997"/>
    <n v="1"/>
    <n v="-115"/>
    <n v="690"/>
  </r>
  <r>
    <x v="31"/>
    <s v="conventional_turnover_acls_300"/>
    <x v="340"/>
    <n v="0.86525962000000001"/>
    <n v="1"/>
    <n v="-115"/>
    <n v="690"/>
  </r>
  <r>
    <x v="31"/>
    <s v="conventional_turnover_acls_301"/>
    <x v="341"/>
    <n v="0.86410045750272002"/>
    <n v="1"/>
    <n v="-115"/>
    <n v="690"/>
  </r>
  <r>
    <x v="31"/>
    <s v="conventional_turnover_acls_302"/>
    <x v="342"/>
    <n v="0.86292638659776"/>
    <n v="1"/>
    <n v="-115"/>
    <n v="690"/>
  </r>
  <r>
    <x v="31"/>
    <s v="conventional_turnover_acls_303"/>
    <x v="343"/>
    <n v="0.86173705596544004"/>
    <n v="1"/>
    <n v="-115"/>
    <n v="690"/>
  </r>
  <r>
    <x v="31"/>
    <s v="conventional_turnover_acls_304"/>
    <x v="344"/>
    <n v="0.86053211428608001"/>
    <n v="1"/>
    <n v="-115"/>
    <n v="690"/>
  </r>
  <r>
    <x v="31"/>
    <s v="conventional_turnover_acls_305"/>
    <x v="345"/>
    <n v="0.85931121024000001"/>
    <n v="1"/>
    <n v="-115"/>
    <n v="690"/>
  </r>
  <r>
    <x v="31"/>
    <s v="conventional_turnover_acls_306"/>
    <x v="346"/>
    <n v="0.85807399250752003"/>
    <n v="1"/>
    <n v="-115"/>
    <n v="690"/>
  </r>
  <r>
    <x v="31"/>
    <s v="conventional_turnover_acls_307"/>
    <x v="347"/>
    <n v="0.85682010976895995"/>
    <n v="1"/>
    <n v="-115"/>
    <n v="690"/>
  </r>
  <r>
    <x v="31"/>
    <s v="conventional_turnover_acls_308"/>
    <x v="348"/>
    <n v="0.85554921070463996"/>
    <n v="1"/>
    <n v="-115"/>
    <n v="690"/>
  </r>
  <r>
    <x v="31"/>
    <s v="conventional_turnover_acls_309"/>
    <x v="349"/>
    <n v="0.85426094399487995"/>
    <n v="1"/>
    <n v="-115"/>
    <n v="690"/>
  </r>
  <r>
    <x v="31"/>
    <s v="conventional_turnover_acls_310"/>
    <x v="350"/>
    <n v="0.85295495832000001"/>
    <n v="1"/>
    <n v="-115"/>
    <n v="690"/>
  </r>
  <r>
    <x v="31"/>
    <s v="conventional_turnover_acls_311"/>
    <x v="351"/>
    <n v="0.85163090236032002"/>
    <n v="1"/>
    <n v="-115"/>
    <n v="690"/>
  </r>
  <r>
    <x v="31"/>
    <s v="conventional_turnover_acls_312"/>
    <x v="352"/>
    <n v="0.85028842479615996"/>
    <n v="1"/>
    <n v="-115"/>
    <n v="690"/>
  </r>
  <r>
    <x v="31"/>
    <s v="conventional_turnover_acls_313"/>
    <x v="353"/>
    <n v="0.84892717430784004"/>
    <n v="1"/>
    <n v="-115"/>
    <n v="690"/>
  </r>
  <r>
    <x v="31"/>
    <s v="conventional_turnover_acls_314"/>
    <x v="354"/>
    <n v="0.84754679957568002"/>
    <n v="1"/>
    <n v="-115"/>
    <n v="690"/>
  </r>
  <r>
    <x v="31"/>
    <s v="conventional_turnover_acls_315"/>
    <x v="355"/>
    <n v="0.84614694928"/>
    <n v="1"/>
    <n v="-115"/>
    <n v="690"/>
  </r>
  <r>
    <x v="31"/>
    <s v="conventional_turnover_acls_316"/>
    <x v="356"/>
    <n v="0.84472727210111997"/>
    <n v="1"/>
    <n v="-115"/>
    <n v="690"/>
  </r>
  <r>
    <x v="31"/>
    <s v="conventional_turnover_acls_317"/>
    <x v="357"/>
    <n v="0.84328741671936003"/>
    <n v="1"/>
    <n v="-115"/>
    <n v="690"/>
  </r>
  <r>
    <x v="31"/>
    <s v="conventional_turnover_acls_318"/>
    <x v="358"/>
    <n v="0.84182703181504004"/>
    <n v="1"/>
    <n v="-115"/>
    <n v="690"/>
  </r>
  <r>
    <x v="31"/>
    <s v="conventional_turnover_acls_319"/>
    <x v="359"/>
    <n v="0.84034576606847999"/>
    <n v="1"/>
    <n v="-115"/>
    <n v="690"/>
  </r>
  <r>
    <x v="31"/>
    <s v="conventional_turnover_acls_320"/>
    <x v="360"/>
    <n v="0.83884326815999999"/>
    <n v="1"/>
    <n v="-115"/>
    <n v="690"/>
  </r>
  <r>
    <x v="31"/>
    <s v="conventional_turnover_acls_321"/>
    <x v="361"/>
    <n v="0.83731918676992001"/>
    <n v="1"/>
    <n v="-115"/>
    <n v="690"/>
  </r>
  <r>
    <x v="31"/>
    <s v="conventional_turnover_acls_322"/>
    <x v="362"/>
    <n v="0.83577317057856004"/>
    <n v="1"/>
    <n v="-115"/>
    <n v="690"/>
  </r>
  <r>
    <x v="31"/>
    <s v="conventional_turnover_acls_323"/>
    <x v="363"/>
    <n v="0.83420486826623996"/>
    <n v="1"/>
    <n v="-115"/>
    <n v="690"/>
  </r>
  <r>
    <x v="31"/>
    <s v="conventional_turnover_acls_324"/>
    <x v="364"/>
    <n v="0.83261392851327998"/>
    <n v="1"/>
    <n v="-115"/>
    <n v="690"/>
  </r>
  <r>
    <x v="31"/>
    <s v="conventional_turnover_acls_325"/>
    <x v="365"/>
    <n v="0.83099999999999996"/>
    <n v="1"/>
    <n v="-115"/>
    <n v="690"/>
  </r>
  <r>
    <x v="31"/>
    <s v="conventional_turnover_acls_326"/>
    <x v="366"/>
    <n v="0.82934152182400001"/>
    <n v="1"/>
    <n v="-115"/>
    <n v="690"/>
  </r>
  <r>
    <x v="31"/>
    <s v="conventional_turnover_acls_327"/>
    <x v="367"/>
    <n v="0.82761896819199998"/>
    <n v="1"/>
    <n v="-115"/>
    <n v="690"/>
  </r>
  <r>
    <x v="31"/>
    <s v="conventional_turnover_acls_328"/>
    <x v="368"/>
    <n v="0.82583504044800005"/>
    <n v="1"/>
    <n v="-115"/>
    <n v="690"/>
  </r>
  <r>
    <x v="31"/>
    <s v="conventional_turnover_acls_329"/>
    <x v="369"/>
    <n v="0.82399243993600002"/>
    <n v="1"/>
    <n v="-115"/>
    <n v="690"/>
  </r>
  <r>
    <x v="31"/>
    <s v="conventional_turnover_acls_330"/>
    <x v="370"/>
    <n v="0.82209386799999995"/>
    <n v="1"/>
    <n v="-115"/>
    <n v="690"/>
  </r>
  <r>
    <x v="31"/>
    <s v="conventional_turnover_acls_331"/>
    <x v="371"/>
    <n v="0.82014202598399999"/>
    <n v="1"/>
    <n v="-115"/>
    <n v="690"/>
  </r>
  <r>
    <x v="31"/>
    <s v="conventional_turnover_acls_332"/>
    <x v="372"/>
    <n v="0.81813961523199996"/>
    <n v="1"/>
    <n v="-115"/>
    <n v="690"/>
  </r>
  <r>
    <x v="31"/>
    <s v="conventional_turnover_acls_333"/>
    <x v="373"/>
    <n v="0.81608933708800002"/>
    <n v="1"/>
    <n v="-115"/>
    <n v="690"/>
  </r>
  <r>
    <x v="31"/>
    <s v="conventional_turnover_acls_334"/>
    <x v="374"/>
    <n v="0.81399389289599999"/>
    <n v="1"/>
    <n v="-115"/>
    <n v="690"/>
  </r>
  <r>
    <x v="31"/>
    <s v="conventional_turnover_acls_335"/>
    <x v="375"/>
    <n v="0.81185598400000003"/>
    <n v="1"/>
    <n v="-115"/>
    <n v="690"/>
  </r>
  <r>
    <x v="31"/>
    <s v="conventional_turnover_acls_336"/>
    <x v="376"/>
    <n v="0.80967831174399996"/>
    <n v="1"/>
    <n v="-115"/>
    <n v="690"/>
  </r>
  <r>
    <x v="31"/>
    <s v="conventional_turnover_acls_337"/>
    <x v="377"/>
    <n v="0.80746357747200004"/>
    <n v="1"/>
    <n v="-115"/>
    <n v="690"/>
  </r>
  <r>
    <x v="31"/>
    <s v="conventional_turnover_acls_338"/>
    <x v="378"/>
    <n v="0.80521448252799999"/>
    <n v="1"/>
    <n v="-115"/>
    <n v="690"/>
  </r>
  <r>
    <x v="31"/>
    <s v="conventional_turnover_acls_339"/>
    <x v="379"/>
    <n v="0.80293372825599996"/>
    <n v="1"/>
    <n v="-115"/>
    <n v="690"/>
  </r>
  <r>
    <x v="31"/>
    <s v="conventional_turnover_acls_340"/>
    <x v="380"/>
    <n v="0.80062401599999999"/>
    <n v="1"/>
    <n v="-115"/>
    <n v="690"/>
  </r>
  <r>
    <x v="31"/>
    <s v="conventional_turnover_acls_341"/>
    <x v="381"/>
    <n v="0.79828804710400003"/>
    <n v="1"/>
    <n v="-115"/>
    <n v="690"/>
  </r>
  <r>
    <x v="31"/>
    <s v="conventional_turnover_acls_342"/>
    <x v="382"/>
    <n v="0.795928522912"/>
    <n v="1"/>
    <n v="-115"/>
    <n v="690"/>
  </r>
  <r>
    <x v="31"/>
    <s v="conventional_turnover_acls_343"/>
    <x v="383"/>
    <n v="0.79354814476799995"/>
    <n v="1"/>
    <n v="-115"/>
    <n v="690"/>
  </r>
  <r>
    <x v="31"/>
    <s v="conventional_turnover_acls_344"/>
    <x v="384"/>
    <n v="0.79114961401600004"/>
    <n v="1"/>
    <n v="-115"/>
    <n v="690"/>
  </r>
  <r>
    <x v="31"/>
    <s v="conventional_turnover_acls_345"/>
    <x v="385"/>
    <n v="0.78873563199999996"/>
    <n v="1"/>
    <n v="-115"/>
    <n v="690"/>
  </r>
  <r>
    <x v="31"/>
    <s v="conventional_turnover_acls_346"/>
    <x v="386"/>
    <n v="0.786308900064"/>
    <n v="1"/>
    <n v="-115"/>
    <n v="690"/>
  </r>
  <r>
    <x v="31"/>
    <s v="conventional_turnover_acls_347"/>
    <x v="387"/>
    <n v="0.78387211955199998"/>
    <n v="1"/>
    <n v="-115"/>
    <n v="690"/>
  </r>
  <r>
    <x v="31"/>
    <s v="conventional_turnover_acls_348"/>
    <x v="388"/>
    <n v="0.78142799180800004"/>
    <n v="1"/>
    <n v="-115"/>
    <n v="690"/>
  </r>
  <r>
    <x v="31"/>
    <s v="conventional_turnover_acls_349"/>
    <x v="389"/>
    <n v="0.77897921817600002"/>
    <n v="1"/>
    <n v="-115"/>
    <n v="690"/>
  </r>
  <r>
    <x v="31"/>
    <s v="conventional_turnover_acls_350"/>
    <x v="390"/>
    <n v="0.77652849999999995"/>
    <n v="1"/>
    <n v="-115"/>
    <n v="690"/>
  </r>
  <r>
    <x v="31"/>
    <s v="conventional_turnover_acls_351"/>
    <x v="391"/>
    <n v="0.774078538624"/>
    <n v="1"/>
    <n v="-115"/>
    <n v="690"/>
  </r>
  <r>
    <x v="31"/>
    <s v="conventional_turnover_acls_352"/>
    <x v="392"/>
    <n v="0.77163203539199998"/>
    <n v="1"/>
    <n v="-115"/>
    <n v="690"/>
  </r>
  <r>
    <x v="31"/>
    <s v="conventional_turnover_acls_353"/>
    <x v="393"/>
    <n v="0.76919169164800005"/>
    <n v="1"/>
    <n v="-115"/>
    <n v="690"/>
  </r>
  <r>
    <x v="31"/>
    <s v="conventional_turnover_acls_354"/>
    <x v="394"/>
    <n v="0.76676020873600004"/>
    <n v="1"/>
    <n v="-115"/>
    <n v="690"/>
  </r>
  <r>
    <x v="31"/>
    <s v="conventional_turnover_acls_355"/>
    <x v="395"/>
    <n v="0.76434028799999998"/>
    <n v="1"/>
    <n v="-115"/>
    <n v="690"/>
  </r>
  <r>
    <x v="31"/>
    <s v="conventional_turnover_acls_356"/>
    <x v="396"/>
    <n v="0.76193463078400003"/>
    <n v="1"/>
    <n v="-115"/>
    <n v="690"/>
  </r>
  <r>
    <x v="31"/>
    <s v="conventional_turnover_acls_357"/>
    <x v="397"/>
    <n v="0.75954593843200002"/>
    <n v="1"/>
    <n v="-115"/>
    <n v="690"/>
  </r>
  <r>
    <x v="31"/>
    <s v="conventional_turnover_acls_358"/>
    <x v="398"/>
    <n v="0.75717691228799999"/>
    <n v="1"/>
    <n v="-115"/>
    <n v="690"/>
  </r>
  <r>
    <x v="31"/>
    <s v="conventional_turnover_acls_359"/>
    <x v="399"/>
    <n v="0.75483025369599999"/>
    <n v="1"/>
    <n v="-115"/>
    <n v="690"/>
  </r>
  <r>
    <x v="31"/>
    <s v="conventional_turnover_acls_360"/>
    <x v="400"/>
    <n v="0.75250866400000005"/>
    <n v="1"/>
    <n v="-115"/>
    <n v="690"/>
  </r>
  <r>
    <x v="31"/>
    <s v="conventional_turnover_acls_361"/>
    <x v="401"/>
    <n v="0.750214844544"/>
    <n v="1"/>
    <n v="-115"/>
    <n v="690"/>
  </r>
  <r>
    <x v="31"/>
    <s v="conventional_turnover_acls_362"/>
    <x v="402"/>
    <n v="0.747951496672"/>
    <n v="1"/>
    <n v="-115"/>
    <n v="690"/>
  </r>
  <r>
    <x v="31"/>
    <s v="conventional_turnover_acls_363"/>
    <x v="403"/>
    <n v="0.74572132172799999"/>
    <n v="1"/>
    <n v="-115"/>
    <n v="690"/>
  </r>
  <r>
    <x v="31"/>
    <s v="conventional_turnover_acls_364"/>
    <x v="404"/>
    <n v="0.74352702105599999"/>
    <n v="1"/>
    <n v="-115"/>
    <n v="690"/>
  </r>
  <r>
    <x v="31"/>
    <s v="conventional_turnover_acls_365"/>
    <x v="405"/>
    <n v="0.74137129599999996"/>
    <n v="1"/>
    <n v="-115"/>
    <n v="690"/>
  </r>
  <r>
    <x v="31"/>
    <s v="conventional_turnover_acls_366"/>
    <x v="406"/>
    <n v="0.73925684790400004"/>
    <n v="1"/>
    <n v="-115"/>
    <n v="690"/>
  </r>
  <r>
    <x v="31"/>
    <s v="conventional_turnover_acls_367"/>
    <x v="407"/>
    <n v="0.73718637811200005"/>
    <n v="1"/>
    <n v="-115"/>
    <n v="690"/>
  </r>
  <r>
    <x v="31"/>
    <s v="conventional_turnover_acls_368"/>
    <x v="408"/>
    <n v="0.73516258796800005"/>
    <n v="1"/>
    <n v="-115"/>
    <n v="690"/>
  </r>
  <r>
    <x v="31"/>
    <s v="conventional_turnover_acls_369"/>
    <x v="409"/>
    <n v="0.73318817881599996"/>
    <n v="1"/>
    <n v="-115"/>
    <n v="690"/>
  </r>
  <r>
    <x v="31"/>
    <s v="conventional_turnover_acls_370"/>
    <x v="410"/>
    <n v="0.73126585200000005"/>
    <n v="1"/>
    <n v="-115"/>
    <n v="690"/>
  </r>
  <r>
    <x v="31"/>
    <s v="conventional_turnover_acls_371"/>
    <x v="411"/>
    <n v="0.72939830886400003"/>
    <n v="1"/>
    <n v="-115"/>
    <n v="690"/>
  </r>
  <r>
    <x v="31"/>
    <s v="conventional_turnover_acls_372"/>
    <x v="412"/>
    <n v="0.72758825075199995"/>
    <n v="1"/>
    <n v="-115"/>
    <n v="690"/>
  </r>
  <r>
    <x v="31"/>
    <s v="conventional_turnover_acls_373"/>
    <x v="413"/>
    <n v="0.72583837900799997"/>
    <n v="1"/>
    <n v="-115"/>
    <n v="690"/>
  </r>
  <r>
    <x v="31"/>
    <s v="conventional_turnover_acls_374"/>
    <x v="414"/>
    <n v="0.72415139497600001"/>
    <n v="1"/>
    <n v="-115"/>
    <n v="690"/>
  </r>
  <r>
    <x v="31"/>
    <s v="conventional_turnover_acls_375"/>
    <x v="415"/>
    <n v="0.72253000000000001"/>
    <n v="1"/>
    <n v="-115"/>
    <n v="690"/>
  </r>
  <r>
    <x v="31"/>
    <s v="conventional_turnover_acls_376"/>
    <x v="416"/>
    <n v="0.72095773752888903"/>
    <n v="1"/>
    <n v="-115"/>
    <n v="690"/>
  </r>
  <r>
    <x v="31"/>
    <s v="conventional_turnover_acls_377"/>
    <x v="417"/>
    <n v="0.719415934897778"/>
    <n v="1"/>
    <n v="-115"/>
    <n v="690"/>
  </r>
  <r>
    <x v="31"/>
    <s v="conventional_turnover_acls_378"/>
    <x v="418"/>
    <n v="0.71790396928"/>
    <n v="1"/>
    <n v="-115"/>
    <n v="690"/>
  </r>
  <r>
    <x v="31"/>
    <s v="conventional_turnover_acls_379"/>
    <x v="419"/>
    <n v="0.71642121784888901"/>
    <n v="1"/>
    <n v="-115"/>
    <n v="690"/>
  </r>
  <r>
    <x v="31"/>
    <s v="conventional_turnover_acls_380"/>
    <x v="420"/>
    <n v="0.71496705777777803"/>
    <n v="1"/>
    <n v="-115"/>
    <n v="690"/>
  </r>
  <r>
    <x v="31"/>
    <s v="conventional_turnover_acls_381"/>
    <x v="421"/>
    <n v="0.71354086624000002"/>
    <n v="1"/>
    <n v="-115"/>
    <n v="690"/>
  </r>
  <r>
    <x v="31"/>
    <s v="conventional_turnover_acls_382"/>
    <x v="422"/>
    <n v="0.71214202040888896"/>
    <n v="1"/>
    <n v="-115"/>
    <n v="690"/>
  </r>
  <r>
    <x v="31"/>
    <s v="conventional_turnover_acls_383"/>
    <x v="423"/>
    <n v="0.71076989745777797"/>
    <n v="1"/>
    <n v="-115"/>
    <n v="690"/>
  </r>
  <r>
    <x v="31"/>
    <s v="conventional_turnover_acls_384"/>
    <x v="424"/>
    <n v="0.70942387456"/>
    <n v="1"/>
    <n v="-115"/>
    <n v="690"/>
  </r>
  <r>
    <x v="31"/>
    <s v="conventional_turnover_acls_385"/>
    <x v="425"/>
    <n v="0.70810332888888905"/>
    <n v="1"/>
    <n v="-115"/>
    <n v="690"/>
  </r>
  <r>
    <x v="31"/>
    <s v="conventional_turnover_acls_386"/>
    <x v="426"/>
    <n v="0.70680763761777798"/>
    <n v="1"/>
    <n v="-115"/>
    <n v="690"/>
  </r>
  <r>
    <x v="31"/>
    <s v="conventional_turnover_acls_387"/>
    <x v="427"/>
    <n v="0.70553617792000001"/>
    <n v="1"/>
    <n v="-115"/>
    <n v="690"/>
  </r>
  <r>
    <x v="31"/>
    <s v="conventional_turnover_acls_388"/>
    <x v="428"/>
    <n v="0.70428832696888899"/>
    <n v="1"/>
    <n v="-115"/>
    <n v="690"/>
  </r>
  <r>
    <x v="31"/>
    <s v="conventional_turnover_acls_389"/>
    <x v="429"/>
    <n v="0.70306346193777802"/>
    <n v="1"/>
    <n v="-115"/>
    <n v="690"/>
  </r>
  <r>
    <x v="31"/>
    <s v="conventional_turnover_acls_390"/>
    <x v="430"/>
    <n v="0.70186095999999998"/>
    <n v="1"/>
    <n v="-115"/>
    <n v="690"/>
  </r>
  <r>
    <x v="31"/>
    <s v="conventional_turnover_acls_391"/>
    <x v="431"/>
    <n v="0.70068019832888895"/>
    <n v="1"/>
    <n v="-115"/>
    <n v="690"/>
  </r>
  <r>
    <x v="31"/>
    <s v="conventional_turnover_acls_392"/>
    <x v="432"/>
    <n v="0.69952055409777802"/>
    <n v="1"/>
    <n v="-115"/>
    <n v="690"/>
  </r>
  <r>
    <x v="31"/>
    <s v="conventional_turnover_acls_393"/>
    <x v="433"/>
    <n v="0.69838140447999997"/>
    <n v="1"/>
    <n v="-115"/>
    <n v="690"/>
  </r>
  <r>
    <x v="31"/>
    <s v="conventional_turnover_acls_394"/>
    <x v="434"/>
    <n v="0.69726212664888898"/>
    <n v="1"/>
    <n v="-115"/>
    <n v="690"/>
  </r>
  <r>
    <x v="31"/>
    <s v="conventional_turnover_acls_395"/>
    <x v="435"/>
    <n v="0.69616209777777804"/>
    <n v="1"/>
    <n v="-115"/>
    <n v="690"/>
  </r>
  <r>
    <x v="31"/>
    <s v="conventional_turnover_acls_396"/>
    <x v="436"/>
    <n v="0.69508069504000003"/>
    <n v="1"/>
    <n v="-115"/>
    <n v="690"/>
  </r>
  <r>
    <x v="31"/>
    <s v="conventional_turnover_acls_397"/>
    <x v="437"/>
    <n v="0.69401729560888903"/>
    <n v="1"/>
    <n v="-115"/>
    <n v="690"/>
  </r>
  <r>
    <x v="31"/>
    <s v="conventional_turnover_acls_398"/>
    <x v="438"/>
    <n v="0.69297127665777802"/>
    <n v="1"/>
    <n v="-115"/>
    <n v="690"/>
  </r>
  <r>
    <x v="31"/>
    <s v="conventional_turnover_acls_399"/>
    <x v="439"/>
    <n v="0.69194201536"/>
    <n v="1"/>
    <n v="-115"/>
    <n v="690"/>
  </r>
  <r>
    <x v="31"/>
    <s v="conventional_turnover_acls_400"/>
    <x v="440"/>
    <n v="0.69092888888888904"/>
    <n v="1"/>
    <n v="-115"/>
    <n v="690"/>
  </r>
  <r>
    <x v="31"/>
    <s v="conventional_turnover_acls_401"/>
    <x v="441"/>
    <n v="0.68993127441777802"/>
    <n v="1"/>
    <n v="-115"/>
    <n v="690"/>
  </r>
  <r>
    <x v="31"/>
    <s v="conventional_turnover_acls_402"/>
    <x v="442"/>
    <n v="0.68894854912000003"/>
    <n v="1"/>
    <n v="-115"/>
    <n v="690"/>
  </r>
  <r>
    <x v="31"/>
    <s v="conventional_turnover_acls_403"/>
    <x v="443"/>
    <n v="0.68798009016888895"/>
    <n v="1"/>
    <n v="-115"/>
    <n v="690"/>
  </r>
  <r>
    <x v="31"/>
    <s v="conventional_turnover_acls_404"/>
    <x v="444"/>
    <n v="0.68702527473777797"/>
    <n v="1"/>
    <n v="-115"/>
    <n v="690"/>
  </r>
  <r>
    <x v="31"/>
    <s v="conventional_turnover_acls_405"/>
    <x v="445"/>
    <n v="0.68608347999999997"/>
    <n v="1"/>
    <n v="-115"/>
    <n v="690"/>
  </r>
  <r>
    <x v="31"/>
    <s v="conventional_turnover_acls_406"/>
    <x v="446"/>
    <n v="0.68515408312888904"/>
    <n v="1"/>
    <n v="-115"/>
    <n v="690"/>
  </r>
  <r>
    <x v="31"/>
    <s v="conventional_turnover_acls_407"/>
    <x v="447"/>
    <n v="0.68423646129777804"/>
    <n v="1"/>
    <n v="-115"/>
    <n v="690"/>
  </r>
  <r>
    <x v="31"/>
    <s v="conventional_turnover_acls_408"/>
    <x v="448"/>
    <n v="0.68332999167999997"/>
    <n v="1"/>
    <n v="-115"/>
    <n v="690"/>
  </r>
  <r>
    <x v="31"/>
    <s v="conventional_turnover_acls_409"/>
    <x v="449"/>
    <n v="0.68243405144888902"/>
    <n v="1"/>
    <n v="-115"/>
    <n v="690"/>
  </r>
  <r>
    <x v="31"/>
    <s v="conventional_turnover_acls_410"/>
    <x v="450"/>
    <n v="0.68154801777777796"/>
    <n v="1"/>
    <n v="-115"/>
    <n v="690"/>
  </r>
  <r>
    <x v="31"/>
    <s v="conventional_turnover_acls_411"/>
    <x v="451"/>
    <n v="0.68067126783999998"/>
    <n v="1"/>
    <n v="-115"/>
    <n v="690"/>
  </r>
  <r>
    <x v="31"/>
    <s v="conventional_turnover_acls_412"/>
    <x v="452"/>
    <n v="0.67980317880888896"/>
    <n v="1"/>
    <n v="-115"/>
    <n v="690"/>
  </r>
  <r>
    <x v="31"/>
    <s v="conventional_turnover_acls_413"/>
    <x v="453"/>
    <n v="0.67894312785777799"/>
    <n v="1"/>
    <n v="-115"/>
    <n v="690"/>
  </r>
  <r>
    <x v="31"/>
    <s v="conventional_turnover_acls_414"/>
    <x v="454"/>
    <n v="0.67809049215999995"/>
    <n v="1"/>
    <n v="-115"/>
    <n v="690"/>
  </r>
  <r>
    <x v="31"/>
    <s v="conventional_turnover_acls_415"/>
    <x v="455"/>
    <n v="0.67724464888888902"/>
    <n v="1"/>
    <n v="-115"/>
    <n v="690"/>
  </r>
  <r>
    <x v="31"/>
    <s v="conventional_turnover_acls_416"/>
    <x v="456"/>
    <n v="0.67640497521777798"/>
    <n v="1"/>
    <n v="-115"/>
    <n v="690"/>
  </r>
  <r>
    <x v="31"/>
    <s v="conventional_turnover_acls_417"/>
    <x v="457"/>
    <n v="0.67557084832000003"/>
    <n v="1"/>
    <n v="-115"/>
    <n v="690"/>
  </r>
  <r>
    <x v="31"/>
    <s v="conventional_turnover_acls_418"/>
    <x v="458"/>
    <n v="0.67474164536888903"/>
    <n v="1"/>
    <n v="-115"/>
    <n v="690"/>
  </r>
  <r>
    <x v="31"/>
    <s v="conventional_turnover_acls_419"/>
    <x v="459"/>
    <n v="0.67391674353777797"/>
    <n v="1"/>
    <n v="-115"/>
    <n v="690"/>
  </r>
  <r>
    <x v="31"/>
    <s v="conventional_turnover_acls_420"/>
    <x v="460"/>
    <n v="0.67309551999999995"/>
    <n v="1"/>
    <n v="-115"/>
    <n v="690"/>
  </r>
  <r>
    <x v="31"/>
    <s v="conventional_turnover_acls_421"/>
    <x v="461"/>
    <n v="0.67227735192888904"/>
    <n v="1"/>
    <n v="-115"/>
    <n v="690"/>
  </r>
  <r>
    <x v="31"/>
    <s v="conventional_turnover_acls_422"/>
    <x v="462"/>
    <n v="0.67146161649777802"/>
    <n v="1"/>
    <n v="-115"/>
    <n v="690"/>
  </r>
  <r>
    <x v="31"/>
    <s v="conventional_turnover_acls_423"/>
    <x v="463"/>
    <n v="0.67064769087999998"/>
    <n v="1"/>
    <n v="-115"/>
    <n v="690"/>
  </r>
  <r>
    <x v="31"/>
    <s v="conventional_turnover_acls_424"/>
    <x v="464"/>
    <n v="0.669834952248889"/>
    <n v="1"/>
    <n v="-115"/>
    <n v="690"/>
  </r>
  <r>
    <x v="31"/>
    <s v="conventional_turnover_acls_425"/>
    <x v="465"/>
    <n v="0.66902277777777797"/>
    <n v="1"/>
    <n v="-115"/>
    <n v="690"/>
  </r>
  <r>
    <x v="31"/>
    <s v="conventional_turnover_acls_426"/>
    <x v="466"/>
    <n v="0.66821054463999996"/>
    <n v="1"/>
    <n v="-115"/>
    <n v="690"/>
  </r>
  <r>
    <x v="31"/>
    <s v="conventional_turnover_acls_427"/>
    <x v="467"/>
    <n v="0.66739763000888896"/>
    <n v="1"/>
    <n v="-115"/>
    <n v="690"/>
  </r>
  <r>
    <x v="31"/>
    <s v="conventional_turnover_acls_428"/>
    <x v="468"/>
    <n v="0.66658341105777796"/>
    <n v="1"/>
    <n v="-115"/>
    <n v="690"/>
  </r>
  <r>
    <x v="31"/>
    <s v="conventional_turnover_acls_429"/>
    <x v="469"/>
    <n v="0.66576726496000005"/>
    <n v="1"/>
    <n v="-115"/>
    <n v="690"/>
  </r>
  <r>
    <x v="31"/>
    <s v="conventional_turnover_acls_430"/>
    <x v="470"/>
    <n v="0.66494856888888898"/>
    <n v="1"/>
    <n v="-115"/>
    <n v="690"/>
  </r>
  <r>
    <x v="31"/>
    <s v="conventional_turnover_acls_431"/>
    <x v="471"/>
    <n v="0.66412670001777796"/>
    <n v="1"/>
    <n v="-115"/>
    <n v="690"/>
  </r>
  <r>
    <x v="31"/>
    <s v="conventional_turnover_acls_432"/>
    <x v="472"/>
    <n v="0.66330103551999997"/>
    <n v="1"/>
    <n v="-115"/>
    <n v="690"/>
  </r>
  <r>
    <x v="31"/>
    <s v="conventional_turnover_acls_433"/>
    <x v="473"/>
    <n v="0.66247095256888899"/>
    <n v="1"/>
    <n v="-115"/>
    <n v="690"/>
  </r>
  <r>
    <x v="31"/>
    <s v="conventional_turnover_acls_434"/>
    <x v="474"/>
    <n v="0.66163582833777801"/>
    <n v="1"/>
    <n v="-115"/>
    <n v="690"/>
  </r>
  <r>
    <x v="31"/>
    <s v="conventional_turnover_acls_435"/>
    <x v="475"/>
    <n v="0.66079504"/>
    <n v="1"/>
    <n v="-115"/>
    <n v="690"/>
  </r>
  <r>
    <x v="31"/>
    <s v="conventional_turnover_acls_436"/>
    <x v="476"/>
    <n v="0.65994796472888895"/>
    <n v="1"/>
    <n v="-115"/>
    <n v="690"/>
  </r>
  <r>
    <x v="31"/>
    <s v="conventional_turnover_acls_437"/>
    <x v="477"/>
    <n v="0.65909397969777805"/>
    <n v="1"/>
    <n v="-115"/>
    <n v="690"/>
  </r>
  <r>
    <x v="31"/>
    <s v="conventional_turnover_acls_438"/>
    <x v="478"/>
    <n v="0.65823246207999997"/>
    <n v="1"/>
    <n v="-115"/>
    <n v="690"/>
  </r>
  <r>
    <x v="31"/>
    <s v="conventional_turnover_acls_439"/>
    <x v="479"/>
    <n v="0.65736278904888901"/>
    <n v="1"/>
    <n v="-115"/>
    <n v="690"/>
  </r>
  <r>
    <x v="31"/>
    <s v="conventional_turnover_acls_440"/>
    <x v="480"/>
    <n v="0.65648433777777804"/>
    <n v="1"/>
    <n v="-115"/>
    <n v="690"/>
  </r>
  <r>
    <x v="31"/>
    <s v="conventional_turnover_acls_441"/>
    <x v="481"/>
    <n v="0.65559648544000004"/>
    <n v="1"/>
    <n v="-115"/>
    <n v="690"/>
  </r>
  <r>
    <x v="31"/>
    <s v="conventional_turnover_acls_442"/>
    <x v="482"/>
    <n v="0.654698609208889"/>
    <n v="1"/>
    <n v="-115"/>
    <n v="690"/>
  </r>
  <r>
    <x v="31"/>
    <s v="conventional_turnover_acls_443"/>
    <x v="483"/>
    <n v="0.65379008625777801"/>
    <n v="1"/>
    <n v="-115"/>
    <n v="690"/>
  </r>
  <r>
    <x v="31"/>
    <s v="conventional_turnover_acls_444"/>
    <x v="484"/>
    <n v="0.65287029376000005"/>
    <n v="1"/>
    <n v="-115"/>
    <n v="690"/>
  </r>
  <r>
    <x v="31"/>
    <s v="conventional_turnover_acls_445"/>
    <x v="485"/>
    <n v="0.65193860888888899"/>
    <n v="1"/>
    <n v="-115"/>
    <n v="690"/>
  </r>
  <r>
    <x v="31"/>
    <s v="conventional_turnover_acls_446"/>
    <x v="486"/>
    <n v="0.65099440881777804"/>
    <n v="1"/>
    <n v="-115"/>
    <n v="690"/>
  </r>
  <r>
    <x v="31"/>
    <s v="conventional_turnover_acls_447"/>
    <x v="487"/>
    <n v="0.65003707072000005"/>
    <n v="1"/>
    <n v="-115"/>
    <n v="690"/>
  </r>
  <r>
    <x v="31"/>
    <s v="conventional_turnover_acls_448"/>
    <x v="488"/>
    <n v="0.64906597176888903"/>
    <n v="1"/>
    <n v="-115"/>
    <n v="690"/>
  </r>
  <r>
    <x v="31"/>
    <s v="conventional_turnover_acls_449"/>
    <x v="489"/>
    <n v="0.64808048913777805"/>
    <n v="1"/>
    <n v="-115"/>
    <n v="690"/>
  </r>
  <r>
    <x v="31"/>
    <s v="conventional_turnover_acls_450"/>
    <x v="490"/>
    <n v="0.64707999999999999"/>
    <n v="1"/>
    <n v="-115"/>
    <n v="690"/>
  </r>
  <r>
    <x v="31"/>
    <s v="conventional_turnover_acls_451"/>
    <x v="491"/>
    <n v="0.64605673600000002"/>
    <n v="1"/>
    <n v="-115"/>
    <n v="690"/>
  </r>
  <r>
    <x v="31"/>
    <s v="conventional_turnover_acls_452"/>
    <x v="492"/>
    <n v="0.64500584000000005"/>
    <n v="1"/>
    <n v="-115"/>
    <n v="690"/>
  </r>
  <r>
    <x v="31"/>
    <s v="conventional_turnover_acls_453"/>
    <x v="493"/>
    <n v="0.643931056"/>
    <n v="1"/>
    <n v="-115"/>
    <n v="690"/>
  </r>
  <r>
    <x v="31"/>
    <s v="conventional_turnover_acls_454"/>
    <x v="494"/>
    <n v="0.64283612800000001"/>
    <n v="1"/>
    <n v="-115"/>
    <n v="690"/>
  </r>
  <r>
    <x v="31"/>
    <s v="conventional_turnover_acls_455"/>
    <x v="495"/>
    <n v="0.64172479999999998"/>
    <n v="1"/>
    <n v="-115"/>
    <n v="690"/>
  </r>
  <r>
    <x v="31"/>
    <s v="conventional_turnover_acls_456"/>
    <x v="496"/>
    <n v="0.64060081599999996"/>
    <n v="1"/>
    <n v="-115"/>
    <n v="690"/>
  </r>
  <r>
    <x v="31"/>
    <s v="conventional_turnover_acls_457"/>
    <x v="497"/>
    <n v="0.63946791999999997"/>
    <n v="1"/>
    <n v="-115"/>
    <n v="690"/>
  </r>
  <r>
    <x v="31"/>
    <s v="conventional_turnover_acls_458"/>
    <x v="498"/>
    <n v="0.63832985600000003"/>
    <n v="1"/>
    <n v="-115"/>
    <n v="690"/>
  </r>
  <r>
    <x v="31"/>
    <s v="conventional_turnover_acls_459"/>
    <x v="499"/>
    <n v="0.63719036799999995"/>
    <n v="1"/>
    <n v="-115"/>
    <n v="690"/>
  </r>
  <r>
    <x v="31"/>
    <s v="conventional_turnover_acls_460"/>
    <x v="500"/>
    <n v="0.63605319999999999"/>
    <n v="1"/>
    <n v="-115"/>
    <n v="690"/>
  </r>
  <r>
    <x v="31"/>
    <s v="conventional_turnover_acls_461"/>
    <x v="501"/>
    <n v="0.63492209600000005"/>
    <n v="1"/>
    <n v="-115"/>
    <n v="690"/>
  </r>
  <r>
    <x v="31"/>
    <s v="conventional_turnover_acls_462"/>
    <x v="502"/>
    <n v="0.63380080000000005"/>
    <n v="1"/>
    <n v="-115"/>
    <n v="690"/>
  </r>
  <r>
    <x v="31"/>
    <s v="conventional_turnover_acls_463"/>
    <x v="503"/>
    <n v="0.63269305600000003"/>
    <n v="1"/>
    <n v="-115"/>
    <n v="690"/>
  </r>
  <r>
    <x v="31"/>
    <s v="conventional_turnover_acls_464"/>
    <x v="504"/>
    <n v="0.63160260800000001"/>
    <n v="1"/>
    <n v="-115"/>
    <n v="690"/>
  </r>
  <r>
    <x v="31"/>
    <s v="conventional_turnover_acls_465"/>
    <x v="505"/>
    <n v="0.63053320000000002"/>
    <n v="1"/>
    <n v="-115"/>
    <n v="690"/>
  </r>
  <r>
    <x v="31"/>
    <s v="conventional_turnover_acls_466"/>
    <x v="506"/>
    <n v="0.62948857599999997"/>
    <n v="1"/>
    <n v="-115"/>
    <n v="690"/>
  </r>
  <r>
    <x v="31"/>
    <s v="conventional_turnover_acls_467"/>
    <x v="507"/>
    <n v="0.62847248"/>
    <n v="1"/>
    <n v="-115"/>
    <n v="690"/>
  </r>
  <r>
    <x v="31"/>
    <s v="conventional_turnover_acls_468"/>
    <x v="508"/>
    <n v="0.62748865600000003"/>
    <n v="1"/>
    <n v="-115"/>
    <n v="690"/>
  </r>
  <r>
    <x v="31"/>
    <s v="conventional_turnover_acls_469"/>
    <x v="509"/>
    <n v="0.62654084799999998"/>
    <n v="1"/>
    <n v="-115"/>
    <n v="690"/>
  </r>
  <r>
    <x v="31"/>
    <s v="conventional_turnover_acls_470"/>
    <x v="510"/>
    <n v="0.62563279999999999"/>
    <n v="1"/>
    <n v="-115"/>
    <n v="690"/>
  </r>
  <r>
    <x v="31"/>
    <s v="conventional_turnover_acls_471"/>
    <x v="511"/>
    <n v="0.62476825599999997"/>
    <n v="1"/>
    <n v="-115"/>
    <n v="690"/>
  </r>
  <r>
    <x v="31"/>
    <s v="conventional_turnover_acls_472"/>
    <x v="512"/>
    <n v="0.62395096000000005"/>
    <n v="1"/>
    <n v="-115"/>
    <n v="690"/>
  </r>
  <r>
    <x v="31"/>
    <s v="conventional_turnover_acls_473"/>
    <x v="513"/>
    <n v="0.62318465599999995"/>
    <n v="1"/>
    <n v="-115"/>
    <n v="690"/>
  </r>
  <r>
    <x v="31"/>
    <s v="conventional_turnover_acls_474"/>
    <x v="514"/>
    <n v="0.62247308800000001"/>
    <n v="1"/>
    <n v="-115"/>
    <n v="690"/>
  </r>
  <r>
    <x v="31"/>
    <s v="conventional_turnover_acls_475"/>
    <x v="515"/>
    <n v="0.62182000000000004"/>
    <n v="1"/>
    <n v="-115"/>
    <n v="690"/>
  </r>
  <r>
    <x v="31"/>
    <s v="conventional_turnover_acls_476"/>
    <x v="516"/>
    <n v="0.62120815480000002"/>
    <n v="1"/>
    <n v="-115"/>
    <n v="690"/>
  </r>
  <r>
    <x v="31"/>
    <s v="conventional_turnover_acls_477"/>
    <x v="517"/>
    <n v="0.62061757439999998"/>
    <n v="1"/>
    <n v="-115"/>
    <n v="690"/>
  </r>
  <r>
    <x v="31"/>
    <s v="conventional_turnover_acls_478"/>
    <x v="518"/>
    <n v="0.62004789159999996"/>
    <n v="1"/>
    <n v="-115"/>
    <n v="690"/>
  </r>
  <r>
    <x v="31"/>
    <s v="conventional_turnover_acls_479"/>
    <x v="519"/>
    <n v="0.61949873919999998"/>
    <n v="1"/>
    <n v="-115"/>
    <n v="690"/>
  </r>
  <r>
    <x v="31"/>
    <s v="conventional_turnover_acls_480"/>
    <x v="520"/>
    <n v="0.61896974999999999"/>
    <n v="1"/>
    <n v="-115"/>
    <n v="690"/>
  </r>
  <r>
    <x v="31"/>
    <s v="conventional_turnover_acls_481"/>
    <x v="521"/>
    <n v="0.61846055680000001"/>
    <n v="1"/>
    <n v="-115"/>
    <n v="690"/>
  </r>
  <r>
    <x v="31"/>
    <s v="conventional_turnover_acls_482"/>
    <x v="522"/>
    <n v="0.61797079239999997"/>
    <n v="1"/>
    <n v="-115"/>
    <n v="690"/>
  </r>
  <r>
    <x v="31"/>
    <s v="conventional_turnover_acls_483"/>
    <x v="523"/>
    <n v="0.61750008960000002"/>
    <n v="1"/>
    <n v="-115"/>
    <n v="690"/>
  </r>
  <r>
    <x v="31"/>
    <s v="conventional_turnover_acls_484"/>
    <x v="524"/>
    <n v="0.61704808119999999"/>
    <n v="1"/>
    <n v="-115"/>
    <n v="690"/>
  </r>
  <r>
    <x v="31"/>
    <s v="conventional_turnover_acls_485"/>
    <x v="525"/>
    <n v="0.61661440000000001"/>
    <n v="1"/>
    <n v="-115"/>
    <n v="690"/>
  </r>
  <r>
    <x v="31"/>
    <s v="conventional_turnover_acls_486"/>
    <x v="526"/>
    <n v="0.61619867880000001"/>
    <n v="1"/>
    <n v="-115"/>
    <n v="690"/>
  </r>
  <r>
    <x v="31"/>
    <s v="conventional_turnover_acls_487"/>
    <x v="527"/>
    <n v="0.61580055040000004"/>
    <n v="1"/>
    <n v="-115"/>
    <n v="690"/>
  </r>
  <r>
    <x v="31"/>
    <s v="conventional_turnover_acls_488"/>
    <x v="528"/>
    <n v="0.61541964760000001"/>
    <n v="1"/>
    <n v="-115"/>
    <n v="690"/>
  </r>
  <r>
    <x v="31"/>
    <s v="conventional_turnover_acls_489"/>
    <x v="529"/>
    <n v="0.61505560319999997"/>
    <n v="1"/>
    <n v="-115"/>
    <n v="690"/>
  </r>
  <r>
    <x v="31"/>
    <s v="conventional_turnover_acls_490"/>
    <x v="530"/>
    <n v="0.61470804999999995"/>
    <n v="1"/>
    <n v="-115"/>
    <n v="690"/>
  </r>
  <r>
    <x v="31"/>
    <s v="conventional_turnover_acls_491"/>
    <x v="531"/>
    <n v="0.6143766208"/>
    <n v="1"/>
    <n v="-115"/>
    <n v="690"/>
  </r>
  <r>
    <x v="31"/>
    <s v="conventional_turnover_acls_492"/>
    <x v="532"/>
    <n v="0.61406094840000003"/>
    <n v="1"/>
    <n v="-115"/>
    <n v="690"/>
  </r>
  <r>
    <x v="31"/>
    <s v="conventional_turnover_acls_493"/>
    <x v="533"/>
    <n v="0.61376066559999998"/>
    <n v="1"/>
    <n v="-115"/>
    <n v="690"/>
  </r>
  <r>
    <x v="31"/>
    <s v="conventional_turnover_acls_494"/>
    <x v="534"/>
    <n v="0.61347540519999999"/>
    <n v="1"/>
    <n v="-115"/>
    <n v="690"/>
  </r>
  <r>
    <x v="31"/>
    <s v="conventional_turnover_acls_495"/>
    <x v="535"/>
    <n v="0.61320479999999999"/>
    <n v="1"/>
    <n v="-115"/>
    <n v="690"/>
  </r>
  <r>
    <x v="31"/>
    <s v="conventional_turnover_acls_496"/>
    <x v="536"/>
    <n v="0.61294848280000003"/>
    <n v="1"/>
    <n v="-115"/>
    <n v="690"/>
  </r>
  <r>
    <x v="31"/>
    <s v="conventional_turnover_acls_497"/>
    <x v="537"/>
    <n v="0.61270608640000002"/>
    <n v="1"/>
    <n v="-115"/>
    <n v="690"/>
  </r>
  <r>
    <x v="31"/>
    <s v="conventional_turnover_acls_498"/>
    <x v="538"/>
    <n v="0.6124772436"/>
    <n v="1"/>
    <n v="-115"/>
    <n v="690"/>
  </r>
  <r>
    <x v="31"/>
    <s v="conventional_turnover_acls_499"/>
    <x v="539"/>
    <n v="0.61226158720000001"/>
    <n v="1"/>
    <n v="-115"/>
    <n v="690"/>
  </r>
  <r>
    <x v="31"/>
    <s v="conventional_turnover_acls_500"/>
    <x v="540"/>
    <n v="0.61205874999999998"/>
    <n v="1"/>
    <n v="-115"/>
    <n v="690"/>
  </r>
  <r>
    <x v="31"/>
    <s v="conventional_turnover_acls_501"/>
    <x v="541"/>
    <n v="0.61186836479999995"/>
    <n v="1"/>
    <n v="-115"/>
    <n v="690"/>
  </r>
  <r>
    <x v="31"/>
    <s v="conventional_turnover_acls_502"/>
    <x v="542"/>
    <n v="0.61169006439999996"/>
    <n v="1"/>
    <n v="-115"/>
    <n v="690"/>
  </r>
  <r>
    <x v="31"/>
    <s v="conventional_turnover_acls_503"/>
    <x v="543"/>
    <n v="0.61152348160000003"/>
    <n v="1"/>
    <n v="-115"/>
    <n v="690"/>
  </r>
  <r>
    <x v="31"/>
    <s v="conventional_turnover_acls_504"/>
    <x v="544"/>
    <n v="0.61136824919999999"/>
    <n v="1"/>
    <n v="-115"/>
    <n v="690"/>
  </r>
  <r>
    <x v="31"/>
    <s v="conventional_turnover_acls_505"/>
    <x v="545"/>
    <n v="0.61122399999999999"/>
    <n v="1"/>
    <n v="-115"/>
    <n v="690"/>
  </r>
  <r>
    <x v="31"/>
    <s v="conventional_turnover_acls_506"/>
    <x v="546"/>
    <n v="0.61109036679999995"/>
    <n v="1"/>
    <n v="-115"/>
    <n v="690"/>
  </r>
  <r>
    <x v="31"/>
    <s v="conventional_turnover_acls_507"/>
    <x v="547"/>
    <n v="0.61096698240000002"/>
    <n v="1"/>
    <n v="-115"/>
    <n v="690"/>
  </r>
  <r>
    <x v="31"/>
    <s v="conventional_turnover_acls_508"/>
    <x v="548"/>
    <n v="0.61085347960000003"/>
    <n v="1"/>
    <n v="-115"/>
    <n v="690"/>
  </r>
  <r>
    <x v="31"/>
    <s v="conventional_turnover_acls_509"/>
    <x v="549"/>
    <n v="0.61074949119999999"/>
    <n v="1"/>
    <n v="-115"/>
    <n v="690"/>
  </r>
  <r>
    <x v="31"/>
    <s v="conventional_turnover_acls_510"/>
    <x v="550"/>
    <n v="0.61065464999999997"/>
    <n v="1"/>
    <n v="-115"/>
    <n v="690"/>
  </r>
  <r>
    <x v="31"/>
    <s v="conventional_turnover_acls_511"/>
    <x v="551"/>
    <n v="0.61056858879999998"/>
    <n v="1"/>
    <n v="-115"/>
    <n v="690"/>
  </r>
  <r>
    <x v="31"/>
    <s v="conventional_turnover_acls_512"/>
    <x v="552"/>
    <n v="0.61049094039999996"/>
    <n v="1"/>
    <n v="-115"/>
    <n v="690"/>
  </r>
  <r>
    <x v="31"/>
    <s v="conventional_turnover_acls_513"/>
    <x v="553"/>
    <n v="0.61042133759999995"/>
    <n v="1"/>
    <n v="-115"/>
    <n v="690"/>
  </r>
  <r>
    <x v="31"/>
    <s v="conventional_turnover_acls_514"/>
    <x v="554"/>
    <n v="0.61035941319999998"/>
    <n v="1"/>
    <n v="-115"/>
    <n v="690"/>
  </r>
  <r>
    <x v="31"/>
    <s v="conventional_turnover_acls_515"/>
    <x v="555"/>
    <n v="0.61030479999999998"/>
    <n v="1"/>
    <n v="-115"/>
    <n v="690"/>
  </r>
  <r>
    <x v="31"/>
    <s v="conventional_turnover_acls_516"/>
    <x v="556"/>
    <n v="0.61025713079999999"/>
    <n v="1"/>
    <n v="-115"/>
    <n v="690"/>
  </r>
  <r>
    <x v="31"/>
    <s v="conventional_turnover_acls_517"/>
    <x v="557"/>
    <n v="0.61021603840000005"/>
    <n v="1"/>
    <n v="-115"/>
    <n v="690"/>
  </r>
  <r>
    <x v="31"/>
    <s v="conventional_turnover_acls_518"/>
    <x v="558"/>
    <n v="0.61018115559999997"/>
    <n v="1"/>
    <n v="-115"/>
    <n v="690"/>
  </r>
  <r>
    <x v="31"/>
    <s v="conventional_turnover_acls_519"/>
    <x v="559"/>
    <n v="0.61015211520000001"/>
    <n v="1"/>
    <n v="-115"/>
    <n v="690"/>
  </r>
  <r>
    <x v="31"/>
    <s v="conventional_turnover_acls_520"/>
    <x v="560"/>
    <n v="0.61012854999999999"/>
    <n v="1"/>
    <n v="-115"/>
    <n v="690"/>
  </r>
  <r>
    <x v="31"/>
    <s v="conventional_turnover_acls_521"/>
    <x v="561"/>
    <n v="0.61011009279999995"/>
    <n v="1"/>
    <n v="-115"/>
    <n v="690"/>
  </r>
  <r>
    <x v="31"/>
    <s v="conventional_turnover_acls_522"/>
    <x v="562"/>
    <n v="0.61009637640000003"/>
    <n v="1"/>
    <n v="-115"/>
    <n v="690"/>
  </r>
  <r>
    <x v="31"/>
    <s v="conventional_turnover_acls_523"/>
    <x v="563"/>
    <n v="0.61008703360000005"/>
    <n v="1"/>
    <n v="-115"/>
    <n v="690"/>
  </r>
  <r>
    <x v="31"/>
    <s v="conventional_turnover_acls_524"/>
    <x v="564"/>
    <n v="0.61008169720000005"/>
    <n v="1"/>
    <n v="-115"/>
    <n v="690"/>
  </r>
  <r>
    <x v="31"/>
    <s v="conventional_turnover_acls_525"/>
    <x v="565"/>
    <n v="0.61007999999999996"/>
    <n v="1"/>
    <n v="-115"/>
    <n v="690"/>
  </r>
  <r>
    <x v="31"/>
    <s v="conventional_turnover_acls_526"/>
    <x v="566"/>
    <n v="0.61007999999999996"/>
    <n v="1"/>
    <n v="-115"/>
    <n v="690"/>
  </r>
  <r>
    <x v="31"/>
    <s v="conventional_turnover_acls_527"/>
    <x v="567"/>
    <n v="0.61007999999999996"/>
    <n v="1"/>
    <n v="-115"/>
    <n v="690"/>
  </r>
  <r>
    <x v="31"/>
    <s v="conventional_turnover_acls_528"/>
    <x v="568"/>
    <n v="0.61007999999999996"/>
    <n v="1"/>
    <n v="-115"/>
    <n v="690"/>
  </r>
  <r>
    <x v="31"/>
    <s v="conventional_turnover_acls_529"/>
    <x v="569"/>
    <n v="0.61007999999999996"/>
    <n v="1"/>
    <n v="-115"/>
    <n v="690"/>
  </r>
  <r>
    <x v="31"/>
    <s v="conventional_turnover_acls_530"/>
    <x v="570"/>
    <n v="0.61007999999999996"/>
    <n v="1"/>
    <n v="-115"/>
    <n v="690"/>
  </r>
  <r>
    <x v="31"/>
    <s v="conventional_turnover_acls_531"/>
    <x v="571"/>
    <n v="0.61007999999999996"/>
    <n v="1"/>
    <n v="-115"/>
    <n v="690"/>
  </r>
  <r>
    <x v="31"/>
    <s v="conventional_turnover_acls_532"/>
    <x v="572"/>
    <n v="0.61007999999999996"/>
    <n v="1"/>
    <n v="-115"/>
    <n v="690"/>
  </r>
  <r>
    <x v="31"/>
    <s v="conventional_turnover_acls_533"/>
    <x v="573"/>
    <n v="0.61007999999999996"/>
    <n v="1"/>
    <n v="-115"/>
    <n v="690"/>
  </r>
  <r>
    <x v="31"/>
    <s v="conventional_turnover_acls_534"/>
    <x v="574"/>
    <n v="0.61007999999999996"/>
    <n v="1"/>
    <n v="-115"/>
    <n v="690"/>
  </r>
  <r>
    <x v="31"/>
    <s v="conventional_turnover_acls_535"/>
    <x v="575"/>
    <n v="0.61007999999999996"/>
    <n v="1"/>
    <n v="-115"/>
    <n v="690"/>
  </r>
  <r>
    <x v="31"/>
    <s v="conventional_turnover_acls_536"/>
    <x v="576"/>
    <n v="0.61007999999999996"/>
    <n v="1"/>
    <n v="-115"/>
    <n v="690"/>
  </r>
  <r>
    <x v="31"/>
    <s v="conventional_turnover_acls_537"/>
    <x v="577"/>
    <n v="0.61007999999999996"/>
    <n v="1"/>
    <n v="-115"/>
    <n v="690"/>
  </r>
  <r>
    <x v="31"/>
    <s v="conventional_turnover_acls_538"/>
    <x v="578"/>
    <n v="0.61007999999999996"/>
    <n v="1"/>
    <n v="-115"/>
    <n v="690"/>
  </r>
  <r>
    <x v="31"/>
    <s v="conventional_turnover_acls_539"/>
    <x v="579"/>
    <n v="0.61007999999999996"/>
    <n v="1"/>
    <n v="-115"/>
    <n v="690"/>
  </r>
  <r>
    <x v="31"/>
    <s v="conventional_turnover_acls_540"/>
    <x v="580"/>
    <n v="0.61007999999999996"/>
    <n v="1"/>
    <n v="-115"/>
    <n v="690"/>
  </r>
  <r>
    <x v="31"/>
    <s v="conventional_turnover_acls_541"/>
    <x v="581"/>
    <n v="0.61007999999999996"/>
    <n v="1"/>
    <n v="-115"/>
    <n v="690"/>
  </r>
  <r>
    <x v="31"/>
    <s v="conventional_turnover_acls_542"/>
    <x v="582"/>
    <n v="0.61007999999999996"/>
    <n v="1"/>
    <n v="-115"/>
    <n v="690"/>
  </r>
  <r>
    <x v="31"/>
    <s v="conventional_turnover_acls_543"/>
    <x v="583"/>
    <n v="0.61007999999999996"/>
    <n v="1"/>
    <n v="-115"/>
    <n v="690"/>
  </r>
  <r>
    <x v="31"/>
    <s v="conventional_turnover_acls_544"/>
    <x v="584"/>
    <n v="0.61007999999999996"/>
    <n v="1"/>
    <n v="-115"/>
    <n v="690"/>
  </r>
  <r>
    <x v="31"/>
    <s v="conventional_turnover_acls_545"/>
    <x v="585"/>
    <n v="0.61007999999999996"/>
    <n v="1"/>
    <n v="-115"/>
    <n v="690"/>
  </r>
  <r>
    <x v="31"/>
    <s v="conventional_turnover_acls_546"/>
    <x v="586"/>
    <n v="0.61007999999999996"/>
    <n v="1"/>
    <n v="-115"/>
    <n v="690"/>
  </r>
  <r>
    <x v="31"/>
    <s v="conventional_turnover_acls_547"/>
    <x v="587"/>
    <n v="0.61007999999999996"/>
    <n v="1"/>
    <n v="-115"/>
    <n v="690"/>
  </r>
  <r>
    <x v="31"/>
    <s v="conventional_turnover_acls_548"/>
    <x v="588"/>
    <n v="0.61007999999999996"/>
    <n v="1"/>
    <n v="-115"/>
    <n v="690"/>
  </r>
  <r>
    <x v="31"/>
    <s v="conventional_turnover_acls_549"/>
    <x v="589"/>
    <n v="0.61007999999999996"/>
    <n v="1"/>
    <n v="-115"/>
    <n v="690"/>
  </r>
  <r>
    <x v="31"/>
    <s v="conventional_turnover_acls_550"/>
    <x v="590"/>
    <n v="0.61007999999999996"/>
    <n v="1"/>
    <n v="-115"/>
    <n v="690"/>
  </r>
  <r>
    <x v="31"/>
    <s v="conventional_turnover_acls_551"/>
    <x v="591"/>
    <n v="0.61007999999999996"/>
    <n v="1"/>
    <n v="-115"/>
    <n v="690"/>
  </r>
  <r>
    <x v="31"/>
    <s v="conventional_turnover_acls_552"/>
    <x v="592"/>
    <n v="0.61007999999999996"/>
    <n v="1"/>
    <n v="-115"/>
    <n v="690"/>
  </r>
  <r>
    <x v="31"/>
    <s v="conventional_turnover_acls_553"/>
    <x v="593"/>
    <n v="0.61007999999999996"/>
    <n v="1"/>
    <n v="-115"/>
    <n v="690"/>
  </r>
  <r>
    <x v="31"/>
    <s v="conventional_turnover_acls_554"/>
    <x v="594"/>
    <n v="0.61007999999999996"/>
    <n v="1"/>
    <n v="-115"/>
    <n v="690"/>
  </r>
  <r>
    <x v="31"/>
    <s v="conventional_turnover_acls_555"/>
    <x v="595"/>
    <n v="0.61007999999999996"/>
    <n v="1"/>
    <n v="-115"/>
    <n v="690"/>
  </r>
  <r>
    <x v="31"/>
    <s v="conventional_turnover_acls_556"/>
    <x v="596"/>
    <n v="0.61007999999999996"/>
    <n v="1"/>
    <n v="-115"/>
    <n v="690"/>
  </r>
  <r>
    <x v="31"/>
    <s v="conventional_turnover_acls_557"/>
    <x v="597"/>
    <n v="0.61007999999999996"/>
    <n v="1"/>
    <n v="-115"/>
    <n v="690"/>
  </r>
  <r>
    <x v="31"/>
    <s v="conventional_turnover_acls_558"/>
    <x v="598"/>
    <n v="0.61007999999999996"/>
    <n v="1"/>
    <n v="-115"/>
    <n v="690"/>
  </r>
  <r>
    <x v="31"/>
    <s v="conventional_turnover_acls_559"/>
    <x v="599"/>
    <n v="0.61007999999999996"/>
    <n v="1"/>
    <n v="-115"/>
    <n v="690"/>
  </r>
  <r>
    <x v="31"/>
    <s v="conventional_turnover_acls_560"/>
    <x v="600"/>
    <n v="0.61007999999999996"/>
    <n v="1"/>
    <n v="-115"/>
    <n v="690"/>
  </r>
  <r>
    <x v="31"/>
    <s v="conventional_turnover_acls_561"/>
    <x v="601"/>
    <n v="0.61007999999999996"/>
    <n v="1"/>
    <n v="-115"/>
    <n v="690"/>
  </r>
  <r>
    <x v="31"/>
    <s v="conventional_turnover_acls_562"/>
    <x v="602"/>
    <n v="0.61007999999999996"/>
    <n v="1"/>
    <n v="-115"/>
    <n v="690"/>
  </r>
  <r>
    <x v="31"/>
    <s v="conventional_turnover_acls_563"/>
    <x v="603"/>
    <n v="0.61007999999999996"/>
    <n v="1"/>
    <n v="-115"/>
    <n v="690"/>
  </r>
  <r>
    <x v="31"/>
    <s v="conventional_turnover_acls_564"/>
    <x v="604"/>
    <n v="0.61007999999999996"/>
    <n v="1"/>
    <n v="-115"/>
    <n v="690"/>
  </r>
  <r>
    <x v="31"/>
    <s v="conventional_turnover_acls_565"/>
    <x v="605"/>
    <n v="0.61007999999999996"/>
    <n v="1"/>
    <n v="-115"/>
    <n v="690"/>
  </r>
  <r>
    <x v="31"/>
    <s v="conventional_turnover_acls_566"/>
    <x v="606"/>
    <n v="0.61007999999999996"/>
    <n v="1"/>
    <n v="-115"/>
    <n v="690"/>
  </r>
  <r>
    <x v="31"/>
    <s v="conventional_turnover_acls_567"/>
    <x v="607"/>
    <n v="0.61007999999999996"/>
    <n v="1"/>
    <n v="-115"/>
    <n v="690"/>
  </r>
  <r>
    <x v="31"/>
    <s v="conventional_turnover_acls_568"/>
    <x v="608"/>
    <n v="0.61007999999999996"/>
    <n v="1"/>
    <n v="-115"/>
    <n v="690"/>
  </r>
  <r>
    <x v="31"/>
    <s v="conventional_turnover_acls_569"/>
    <x v="609"/>
    <n v="0.61007999999999996"/>
    <n v="1"/>
    <n v="-115"/>
    <n v="690"/>
  </r>
  <r>
    <x v="31"/>
    <s v="conventional_turnover_acls_570"/>
    <x v="610"/>
    <n v="0.61007999999999996"/>
    <n v="1"/>
    <n v="-115"/>
    <n v="690"/>
  </r>
  <r>
    <x v="31"/>
    <s v="conventional_turnover_acls_571"/>
    <x v="611"/>
    <n v="0.61007999999999996"/>
    <n v="1"/>
    <n v="-115"/>
    <n v="690"/>
  </r>
  <r>
    <x v="31"/>
    <s v="conventional_turnover_acls_572"/>
    <x v="612"/>
    <n v="0.61007999999999996"/>
    <n v="1"/>
    <n v="-115"/>
    <n v="690"/>
  </r>
  <r>
    <x v="31"/>
    <s v="conventional_turnover_acls_573"/>
    <x v="613"/>
    <n v="0.61007999999999996"/>
    <n v="1"/>
    <n v="-115"/>
    <n v="690"/>
  </r>
  <r>
    <x v="31"/>
    <s v="conventional_turnover_acls_574"/>
    <x v="614"/>
    <n v="0.61007999999999996"/>
    <n v="1"/>
    <n v="-115"/>
    <n v="690"/>
  </r>
  <r>
    <x v="31"/>
    <s v="conventional_turnover_acls_575"/>
    <x v="615"/>
    <n v="0.61007999999999996"/>
    <n v="1"/>
    <n v="-115"/>
    <n v="690"/>
  </r>
  <r>
    <x v="31"/>
    <s v="conventional_turnover_acls_576"/>
    <x v="616"/>
    <n v="0.61007999999999996"/>
    <n v="1"/>
    <n v="-115"/>
    <n v="690"/>
  </r>
  <r>
    <x v="31"/>
    <s v="conventional_turnover_acls_577"/>
    <x v="617"/>
    <n v="0.61007999999999996"/>
    <n v="1"/>
    <n v="-115"/>
    <n v="690"/>
  </r>
  <r>
    <x v="31"/>
    <s v="conventional_turnover_acls_578"/>
    <x v="618"/>
    <n v="0.61007999999999996"/>
    <n v="1"/>
    <n v="-115"/>
    <n v="690"/>
  </r>
  <r>
    <x v="31"/>
    <s v="conventional_turnover_acls_579"/>
    <x v="619"/>
    <n v="0.61007999999999996"/>
    <n v="1"/>
    <n v="-115"/>
    <n v="690"/>
  </r>
  <r>
    <x v="31"/>
    <s v="conventional_turnover_acls_580"/>
    <x v="620"/>
    <n v="0.61007999999999996"/>
    <n v="1"/>
    <n v="-115"/>
    <n v="690"/>
  </r>
  <r>
    <x v="31"/>
    <s v="conventional_turnover_acls_581"/>
    <x v="621"/>
    <n v="0.61007999999999996"/>
    <n v="1"/>
    <n v="-115"/>
    <n v="690"/>
  </r>
  <r>
    <x v="31"/>
    <s v="conventional_turnover_acls_582"/>
    <x v="622"/>
    <n v="0.61007999999999996"/>
    <n v="1"/>
    <n v="-115"/>
    <n v="690"/>
  </r>
  <r>
    <x v="31"/>
    <s v="conventional_turnover_acls_583"/>
    <x v="623"/>
    <n v="0.61007999999999996"/>
    <n v="1"/>
    <n v="-115"/>
    <n v="690"/>
  </r>
  <r>
    <x v="31"/>
    <s v="conventional_turnover_acls_584"/>
    <x v="624"/>
    <n v="0.61007999999999996"/>
    <n v="1"/>
    <n v="-115"/>
    <n v="690"/>
  </r>
  <r>
    <x v="31"/>
    <s v="conventional_turnover_acls_585"/>
    <x v="625"/>
    <n v="0.61007999999999996"/>
    <n v="1"/>
    <n v="-115"/>
    <n v="690"/>
  </r>
  <r>
    <x v="31"/>
    <s v="conventional_turnover_acls_586"/>
    <x v="626"/>
    <n v="0.61007999999999996"/>
    <n v="1"/>
    <n v="-115"/>
    <n v="690"/>
  </r>
  <r>
    <x v="31"/>
    <s v="conventional_turnover_acls_587"/>
    <x v="627"/>
    <n v="0.61007999999999996"/>
    <n v="1"/>
    <n v="-115"/>
    <n v="690"/>
  </r>
  <r>
    <x v="31"/>
    <s v="conventional_turnover_acls_588"/>
    <x v="628"/>
    <n v="0.61007999999999996"/>
    <n v="1"/>
    <n v="-115"/>
    <n v="690"/>
  </r>
  <r>
    <x v="31"/>
    <s v="conventional_turnover_acls_589"/>
    <x v="629"/>
    <n v="0.61007999999999996"/>
    <n v="1"/>
    <n v="-115"/>
    <n v="690"/>
  </r>
  <r>
    <x v="31"/>
    <s v="conventional_turnover_acls_590"/>
    <x v="630"/>
    <n v="0.61007999999999996"/>
    <n v="1"/>
    <n v="-115"/>
    <n v="690"/>
  </r>
  <r>
    <x v="31"/>
    <s v="conventional_turnover_acls_591"/>
    <x v="631"/>
    <n v="0.61007999999999996"/>
    <n v="1"/>
    <n v="-115"/>
    <n v="690"/>
  </r>
  <r>
    <x v="31"/>
    <s v="conventional_turnover_acls_592"/>
    <x v="632"/>
    <n v="0.61007999999999996"/>
    <n v="1"/>
    <n v="-115"/>
    <n v="690"/>
  </r>
  <r>
    <x v="31"/>
    <s v="conventional_turnover_acls_593"/>
    <x v="633"/>
    <n v="0.61007999999999996"/>
    <n v="1"/>
    <n v="-115"/>
    <n v="690"/>
  </r>
  <r>
    <x v="31"/>
    <s v="conventional_turnover_acls_594"/>
    <x v="634"/>
    <n v="0.61007999999999996"/>
    <n v="1"/>
    <n v="-115"/>
    <n v="690"/>
  </r>
  <r>
    <x v="31"/>
    <s v="conventional_turnover_acls_595"/>
    <x v="635"/>
    <n v="0.61007999999999996"/>
    <n v="1"/>
    <n v="-115"/>
    <n v="690"/>
  </r>
  <r>
    <x v="31"/>
    <s v="conventional_turnover_acls_596"/>
    <x v="636"/>
    <n v="0.61007999999999996"/>
    <n v="1"/>
    <n v="-115"/>
    <n v="690"/>
  </r>
  <r>
    <x v="31"/>
    <s v="conventional_turnover_acls_597"/>
    <x v="637"/>
    <n v="0.61007999999999996"/>
    <n v="1"/>
    <n v="-115"/>
    <n v="690"/>
  </r>
  <r>
    <x v="31"/>
    <s v="conventional_turnover_acls_598"/>
    <x v="638"/>
    <n v="0.61007999999999996"/>
    <n v="1"/>
    <n v="-115"/>
    <n v="690"/>
  </r>
  <r>
    <x v="31"/>
    <s v="conventional_turnover_acls_599"/>
    <x v="639"/>
    <n v="0.61007999999999996"/>
    <n v="1"/>
    <n v="-115"/>
    <n v="690"/>
  </r>
  <r>
    <x v="31"/>
    <s v="conventional_turnover_acls_600"/>
    <x v="640"/>
    <n v="0.61007999999999996"/>
    <n v="1"/>
    <n v="-115"/>
    <n v="690"/>
  </r>
  <r>
    <x v="31"/>
    <s v="conventional_turnover_acls_601"/>
    <x v="641"/>
    <n v="0.61007999999999996"/>
    <n v="1"/>
    <n v="-115"/>
    <n v="690"/>
  </r>
  <r>
    <x v="31"/>
    <s v="conventional_turnover_acls_602"/>
    <x v="642"/>
    <n v="0.61007999999999996"/>
    <n v="1"/>
    <n v="-115"/>
    <n v="690"/>
  </r>
  <r>
    <x v="31"/>
    <s v="conventional_turnover_acls_603"/>
    <x v="643"/>
    <n v="0.61007999999999996"/>
    <n v="1"/>
    <n v="-115"/>
    <n v="690"/>
  </r>
  <r>
    <x v="31"/>
    <s v="conventional_turnover_acls_604"/>
    <x v="644"/>
    <n v="0.61007999999999996"/>
    <n v="1"/>
    <n v="-115"/>
    <n v="690"/>
  </r>
  <r>
    <x v="31"/>
    <s v="conventional_turnover_acls_605"/>
    <x v="645"/>
    <n v="0.61007999999999996"/>
    <n v="1"/>
    <n v="-115"/>
    <n v="690"/>
  </r>
  <r>
    <x v="31"/>
    <s v="conventional_turnover_acls_606"/>
    <x v="646"/>
    <n v="0.61007999999999996"/>
    <n v="1"/>
    <n v="-115"/>
    <n v="690"/>
  </r>
  <r>
    <x v="31"/>
    <s v="conventional_turnover_acls_607"/>
    <x v="647"/>
    <n v="0.61007999999999996"/>
    <n v="1"/>
    <n v="-115"/>
    <n v="690"/>
  </r>
  <r>
    <x v="31"/>
    <s v="conventional_turnover_acls_608"/>
    <x v="648"/>
    <n v="0.61007999999999996"/>
    <n v="1"/>
    <n v="-115"/>
    <n v="690"/>
  </r>
  <r>
    <x v="31"/>
    <s v="conventional_turnover_acls_609"/>
    <x v="649"/>
    <n v="0.61007999999999996"/>
    <n v="1"/>
    <n v="-115"/>
    <n v="690"/>
  </r>
  <r>
    <x v="31"/>
    <s v="conventional_turnover_acls_610"/>
    <x v="650"/>
    <n v="0.61007999999999996"/>
    <n v="1"/>
    <n v="-115"/>
    <n v="690"/>
  </r>
  <r>
    <x v="31"/>
    <s v="conventional_turnover_acls_611"/>
    <x v="651"/>
    <n v="0.61007999999999996"/>
    <n v="1"/>
    <n v="-115"/>
    <n v="690"/>
  </r>
  <r>
    <x v="31"/>
    <s v="conventional_turnover_acls_612"/>
    <x v="652"/>
    <n v="0.61007999999999996"/>
    <n v="1"/>
    <n v="-115"/>
    <n v="690"/>
  </r>
  <r>
    <x v="31"/>
    <s v="conventional_turnover_acls_613"/>
    <x v="653"/>
    <n v="0.61007999999999996"/>
    <n v="1"/>
    <n v="-115"/>
    <n v="690"/>
  </r>
  <r>
    <x v="31"/>
    <s v="conventional_turnover_acls_614"/>
    <x v="654"/>
    <n v="0.61007999999999996"/>
    <n v="1"/>
    <n v="-115"/>
    <n v="690"/>
  </r>
  <r>
    <x v="31"/>
    <s v="conventional_turnover_acls_615"/>
    <x v="655"/>
    <n v="0.61007999999999996"/>
    <n v="1"/>
    <n v="-115"/>
    <n v="690"/>
  </r>
  <r>
    <x v="31"/>
    <s v="conventional_turnover_acls_616"/>
    <x v="656"/>
    <n v="0.61007999999999996"/>
    <n v="1"/>
    <n v="-115"/>
    <n v="690"/>
  </r>
  <r>
    <x v="31"/>
    <s v="conventional_turnover_acls_617"/>
    <x v="657"/>
    <n v="0.61007999999999996"/>
    <n v="1"/>
    <n v="-115"/>
    <n v="690"/>
  </r>
  <r>
    <x v="31"/>
    <s v="conventional_turnover_acls_618"/>
    <x v="658"/>
    <n v="0.61007999999999996"/>
    <n v="1"/>
    <n v="-115"/>
    <n v="690"/>
  </r>
  <r>
    <x v="31"/>
    <s v="conventional_turnover_acls_619"/>
    <x v="659"/>
    <n v="0.61007999999999996"/>
    <n v="1"/>
    <n v="-115"/>
    <n v="690"/>
  </r>
  <r>
    <x v="31"/>
    <s v="conventional_turnover_acls_620"/>
    <x v="660"/>
    <n v="0.61007999999999996"/>
    <n v="1"/>
    <n v="-115"/>
    <n v="690"/>
  </r>
  <r>
    <x v="31"/>
    <s v="conventional_turnover_acls_621"/>
    <x v="661"/>
    <n v="0.61007999999999996"/>
    <n v="1"/>
    <n v="-115"/>
    <n v="690"/>
  </r>
  <r>
    <x v="31"/>
    <s v="conventional_turnover_acls_622"/>
    <x v="662"/>
    <n v="0.61007999999999996"/>
    <n v="1"/>
    <n v="-115"/>
    <n v="690"/>
  </r>
  <r>
    <x v="31"/>
    <s v="conventional_turnover_acls_623"/>
    <x v="663"/>
    <n v="0.61007999999999996"/>
    <n v="1"/>
    <n v="-115"/>
    <n v="690"/>
  </r>
  <r>
    <x v="31"/>
    <s v="conventional_turnover_acls_624"/>
    <x v="664"/>
    <n v="0.61007999999999996"/>
    <n v="1"/>
    <n v="-115"/>
    <n v="690"/>
  </r>
  <r>
    <x v="31"/>
    <s v="conventional_turnover_acls_625"/>
    <x v="665"/>
    <n v="0.61007999999999996"/>
    <n v="1"/>
    <n v="-115"/>
    <n v="690"/>
  </r>
  <r>
    <x v="31"/>
    <s v="conventional_turnover_acls_626"/>
    <x v="666"/>
    <n v="0.61007999999999996"/>
    <n v="1"/>
    <n v="-115"/>
    <n v="690"/>
  </r>
  <r>
    <x v="31"/>
    <s v="conventional_turnover_acls_627"/>
    <x v="667"/>
    <n v="0.61007999999999996"/>
    <n v="1"/>
    <n v="-115"/>
    <n v="690"/>
  </r>
  <r>
    <x v="31"/>
    <s v="conventional_turnover_acls_628"/>
    <x v="668"/>
    <n v="0.61007999999999996"/>
    <n v="1"/>
    <n v="-115"/>
    <n v="690"/>
  </r>
  <r>
    <x v="31"/>
    <s v="conventional_turnover_acls_629"/>
    <x v="669"/>
    <n v="0.61007999999999996"/>
    <n v="1"/>
    <n v="-115"/>
    <n v="690"/>
  </r>
  <r>
    <x v="31"/>
    <s v="conventional_turnover_acls_630"/>
    <x v="670"/>
    <n v="0.61007999999999996"/>
    <n v="1"/>
    <n v="-115"/>
    <n v="690"/>
  </r>
  <r>
    <x v="31"/>
    <s v="conventional_turnover_acls_631"/>
    <x v="671"/>
    <n v="0.61007999999999996"/>
    <n v="1"/>
    <n v="-115"/>
    <n v="690"/>
  </r>
  <r>
    <x v="31"/>
    <s v="conventional_turnover_acls_632"/>
    <x v="672"/>
    <n v="0.61007999999999996"/>
    <n v="1"/>
    <n v="-115"/>
    <n v="690"/>
  </r>
  <r>
    <x v="31"/>
    <s v="conventional_turnover_acls_633"/>
    <x v="673"/>
    <n v="0.61007999999999996"/>
    <n v="1"/>
    <n v="-115"/>
    <n v="690"/>
  </r>
  <r>
    <x v="31"/>
    <s v="conventional_turnover_acls_634"/>
    <x v="674"/>
    <n v="0.61007999999999996"/>
    <n v="1"/>
    <n v="-115"/>
    <n v="690"/>
  </r>
  <r>
    <x v="31"/>
    <s v="conventional_turnover_acls_635"/>
    <x v="675"/>
    <n v="0.61007999999999996"/>
    <n v="1"/>
    <n v="-115"/>
    <n v="690"/>
  </r>
  <r>
    <x v="31"/>
    <s v="conventional_turnover_acls_636"/>
    <x v="676"/>
    <n v="0.61007999999999996"/>
    <n v="1"/>
    <n v="-115"/>
    <n v="690"/>
  </r>
  <r>
    <x v="31"/>
    <s v="conventional_turnover_acls_637"/>
    <x v="677"/>
    <n v="0.61007999999999996"/>
    <n v="1"/>
    <n v="-115"/>
    <n v="690"/>
  </r>
  <r>
    <x v="31"/>
    <s v="conventional_turnover_acls_638"/>
    <x v="678"/>
    <n v="0.61007999999999996"/>
    <n v="1"/>
    <n v="-115"/>
    <n v="690"/>
  </r>
  <r>
    <x v="31"/>
    <s v="conventional_turnover_acls_639"/>
    <x v="679"/>
    <n v="0.61007999999999996"/>
    <n v="1"/>
    <n v="-115"/>
    <n v="690"/>
  </r>
  <r>
    <x v="31"/>
    <s v="conventional_turnover_acls_640"/>
    <x v="680"/>
    <n v="0.61007999999999996"/>
    <n v="1"/>
    <n v="-115"/>
    <n v="690"/>
  </r>
  <r>
    <x v="31"/>
    <s v="conventional_turnover_acls_641"/>
    <x v="681"/>
    <n v="0.61007999999999996"/>
    <n v="1"/>
    <n v="-115"/>
    <n v="690"/>
  </r>
  <r>
    <x v="31"/>
    <s v="conventional_turnover_acls_642"/>
    <x v="682"/>
    <n v="0.61007999999999996"/>
    <n v="1"/>
    <n v="-115"/>
    <n v="690"/>
  </r>
  <r>
    <x v="31"/>
    <s v="conventional_turnover_acls_643"/>
    <x v="683"/>
    <n v="0.61007999999999996"/>
    <n v="1"/>
    <n v="-115"/>
    <n v="690"/>
  </r>
  <r>
    <x v="31"/>
    <s v="conventional_turnover_acls_644"/>
    <x v="684"/>
    <n v="0.61007999999999996"/>
    <n v="1"/>
    <n v="-115"/>
    <n v="690"/>
  </r>
  <r>
    <x v="31"/>
    <s v="conventional_turnover_acls_645"/>
    <x v="685"/>
    <n v="0.61007999999999996"/>
    <n v="1"/>
    <n v="-115"/>
    <n v="690"/>
  </r>
  <r>
    <x v="31"/>
    <s v="conventional_turnover_acls_646"/>
    <x v="686"/>
    <n v="0.61007999999999996"/>
    <n v="1"/>
    <n v="-115"/>
    <n v="690"/>
  </r>
  <r>
    <x v="31"/>
    <s v="conventional_turnover_acls_647"/>
    <x v="687"/>
    <n v="0.61007999999999996"/>
    <n v="1"/>
    <n v="-115"/>
    <n v="690"/>
  </r>
  <r>
    <x v="31"/>
    <s v="conventional_turnover_acls_648"/>
    <x v="688"/>
    <n v="0.61007999999999996"/>
    <n v="1"/>
    <n v="-115"/>
    <n v="690"/>
  </r>
  <r>
    <x v="31"/>
    <s v="conventional_turnover_acls_649"/>
    <x v="689"/>
    <n v="0.61007999999999996"/>
    <n v="1"/>
    <n v="-115"/>
    <n v="690"/>
  </r>
  <r>
    <x v="31"/>
    <s v="conventional_turnover_acls_650"/>
    <x v="690"/>
    <n v="0.61007999999999996"/>
    <n v="1"/>
    <n v="-115"/>
    <n v="690"/>
  </r>
  <r>
    <x v="31"/>
    <s v="conventional_turnover_acls_651"/>
    <x v="691"/>
    <n v="0.61007999999999996"/>
    <n v="1"/>
    <n v="-115"/>
    <n v="690"/>
  </r>
  <r>
    <x v="31"/>
    <s v="conventional_turnover_acls_652"/>
    <x v="692"/>
    <n v="0.61007999999999996"/>
    <n v="1"/>
    <n v="-115"/>
    <n v="690"/>
  </r>
  <r>
    <x v="31"/>
    <s v="conventional_turnover_acls_653"/>
    <x v="693"/>
    <n v="0.61007999999999996"/>
    <n v="1"/>
    <n v="-115"/>
    <n v="690"/>
  </r>
  <r>
    <x v="31"/>
    <s v="conventional_turnover_acls_654"/>
    <x v="694"/>
    <n v="0.61007999999999996"/>
    <n v="1"/>
    <n v="-115"/>
    <n v="690"/>
  </r>
  <r>
    <x v="31"/>
    <s v="conventional_turnover_acls_655"/>
    <x v="695"/>
    <n v="0.61007999999999996"/>
    <n v="1"/>
    <n v="-115"/>
    <n v="690"/>
  </r>
  <r>
    <x v="31"/>
    <s v="conventional_turnover_acls_656"/>
    <x v="696"/>
    <n v="0.61007999999999996"/>
    <n v="1"/>
    <n v="-115"/>
    <n v="690"/>
  </r>
  <r>
    <x v="31"/>
    <s v="conventional_turnover_acls_657"/>
    <x v="697"/>
    <n v="0.61007999999999996"/>
    <n v="1"/>
    <n v="-115"/>
    <n v="690"/>
  </r>
  <r>
    <x v="31"/>
    <s v="conventional_turnover_acls_658"/>
    <x v="698"/>
    <n v="0.61007999999999996"/>
    <n v="1"/>
    <n v="-115"/>
    <n v="690"/>
  </r>
  <r>
    <x v="31"/>
    <s v="conventional_turnover_acls_659"/>
    <x v="699"/>
    <n v="0.61007999999999996"/>
    <n v="1"/>
    <n v="-115"/>
    <n v="690"/>
  </r>
  <r>
    <x v="31"/>
    <s v="conventional_turnover_acls_660"/>
    <x v="700"/>
    <n v="0.61007999999999996"/>
    <n v="1"/>
    <n v="-115"/>
    <n v="690"/>
  </r>
  <r>
    <x v="31"/>
    <s v="conventional_turnover_acls_661"/>
    <x v="701"/>
    <n v="0.61007999999999996"/>
    <n v="1"/>
    <n v="-115"/>
    <n v="690"/>
  </r>
  <r>
    <x v="31"/>
    <s v="conventional_turnover_acls_662"/>
    <x v="702"/>
    <n v="0.61007999999999996"/>
    <n v="1"/>
    <n v="-115"/>
    <n v="690"/>
  </r>
  <r>
    <x v="31"/>
    <s v="conventional_turnover_acls_663"/>
    <x v="703"/>
    <n v="0.61007999999999996"/>
    <n v="1"/>
    <n v="-115"/>
    <n v="690"/>
  </r>
  <r>
    <x v="31"/>
    <s v="conventional_turnover_acls_664"/>
    <x v="704"/>
    <n v="0.61007999999999996"/>
    <n v="1"/>
    <n v="-115"/>
    <n v="690"/>
  </r>
  <r>
    <x v="31"/>
    <s v="conventional_turnover_acls_665"/>
    <x v="705"/>
    <n v="0.61007999999999996"/>
    <n v="1"/>
    <n v="-115"/>
    <n v="690"/>
  </r>
  <r>
    <x v="31"/>
    <s v="conventional_turnover_acls_666"/>
    <x v="706"/>
    <n v="0.61007999999999996"/>
    <n v="1"/>
    <n v="-115"/>
    <n v="690"/>
  </r>
  <r>
    <x v="31"/>
    <s v="conventional_turnover_acls_667"/>
    <x v="707"/>
    <n v="0.61007999999999996"/>
    <n v="1"/>
    <n v="-115"/>
    <n v="690"/>
  </r>
  <r>
    <x v="31"/>
    <s v="conventional_turnover_acls_668"/>
    <x v="708"/>
    <n v="0.61007999999999996"/>
    <n v="1"/>
    <n v="-115"/>
    <n v="690"/>
  </r>
  <r>
    <x v="31"/>
    <s v="conventional_turnover_acls_669"/>
    <x v="709"/>
    <n v="0.61007999999999996"/>
    <n v="1"/>
    <n v="-115"/>
    <n v="690"/>
  </r>
  <r>
    <x v="31"/>
    <s v="conventional_turnover_acls_670"/>
    <x v="710"/>
    <n v="0.61007999999999996"/>
    <n v="1"/>
    <n v="-115"/>
    <n v="690"/>
  </r>
  <r>
    <x v="31"/>
    <s v="conventional_turnover_acls_671"/>
    <x v="711"/>
    <n v="0.61007999999999996"/>
    <n v="1"/>
    <n v="-115"/>
    <n v="690"/>
  </r>
  <r>
    <x v="31"/>
    <s v="conventional_turnover_acls_672"/>
    <x v="712"/>
    <n v="0.61007999999999996"/>
    <n v="1"/>
    <n v="-115"/>
    <n v="690"/>
  </r>
  <r>
    <x v="31"/>
    <s v="conventional_turnover_acls_673"/>
    <x v="713"/>
    <n v="0.61007999999999996"/>
    <n v="1"/>
    <n v="-115"/>
    <n v="690"/>
  </r>
  <r>
    <x v="31"/>
    <s v="conventional_turnover_acls_674"/>
    <x v="714"/>
    <n v="0.61007999999999996"/>
    <n v="1"/>
    <n v="-115"/>
    <n v="690"/>
  </r>
  <r>
    <x v="31"/>
    <s v="conventional_turnover_acls_675"/>
    <x v="715"/>
    <n v="0.61007999999999996"/>
    <n v="1"/>
    <n v="-115"/>
    <n v="690"/>
  </r>
  <r>
    <x v="31"/>
    <s v="conventional_turnover_acls_676"/>
    <x v="716"/>
    <n v="0.61007999999999996"/>
    <n v="1"/>
    <n v="-115"/>
    <n v="690"/>
  </r>
  <r>
    <x v="31"/>
    <s v="conventional_turnover_acls_677"/>
    <x v="717"/>
    <n v="0.61007999999999996"/>
    <n v="1"/>
    <n v="-115"/>
    <n v="690"/>
  </r>
  <r>
    <x v="31"/>
    <s v="conventional_turnover_acls_678"/>
    <x v="718"/>
    <n v="0.61007999999999996"/>
    <n v="1"/>
    <n v="-115"/>
    <n v="690"/>
  </r>
  <r>
    <x v="31"/>
    <s v="conventional_turnover_acls_679"/>
    <x v="719"/>
    <n v="0.61007999999999996"/>
    <n v="1"/>
    <n v="-115"/>
    <n v="690"/>
  </r>
  <r>
    <x v="31"/>
    <s v="conventional_turnover_acls_680"/>
    <x v="720"/>
    <n v="0.61007999999999996"/>
    <n v="1"/>
    <n v="-115"/>
    <n v="690"/>
  </r>
  <r>
    <x v="31"/>
    <s v="conventional_turnover_acls_681"/>
    <x v="721"/>
    <n v="0.61007999999999996"/>
    <n v="1"/>
    <n v="-115"/>
    <n v="690"/>
  </r>
  <r>
    <x v="31"/>
    <s v="conventional_turnover_acls_682"/>
    <x v="722"/>
    <n v="0.61007999999999996"/>
    <n v="1"/>
    <n v="-115"/>
    <n v="690"/>
  </r>
  <r>
    <x v="31"/>
    <s v="conventional_turnover_acls_683"/>
    <x v="723"/>
    <n v="0.61007999999999996"/>
    <n v="1"/>
    <n v="-115"/>
    <n v="690"/>
  </r>
  <r>
    <x v="31"/>
    <s v="conventional_turnover_acls_684"/>
    <x v="724"/>
    <n v="0.61007999999999996"/>
    <n v="1"/>
    <n v="-115"/>
    <n v="690"/>
  </r>
  <r>
    <x v="31"/>
    <s v="conventional_turnover_acls_685"/>
    <x v="725"/>
    <n v="0.61007999999999996"/>
    <n v="1"/>
    <n v="-115"/>
    <n v="690"/>
  </r>
  <r>
    <x v="31"/>
    <s v="conventional_turnover_acls_686"/>
    <x v="726"/>
    <n v="0.61007999999999996"/>
    <n v="1"/>
    <n v="-115"/>
    <n v="690"/>
  </r>
  <r>
    <x v="31"/>
    <s v="conventional_turnover_acls_687"/>
    <x v="727"/>
    <n v="0.61007999999999996"/>
    <n v="1"/>
    <n v="-115"/>
    <n v="690"/>
  </r>
  <r>
    <x v="31"/>
    <s v="conventional_turnover_acls_688"/>
    <x v="728"/>
    <n v="0.61007999999999996"/>
    <n v="1"/>
    <n v="-115"/>
    <n v="690"/>
  </r>
  <r>
    <x v="31"/>
    <s v="conventional_turnover_acls_689"/>
    <x v="729"/>
    <n v="0.61007999999999996"/>
    <n v="1"/>
    <n v="-115"/>
    <n v="690"/>
  </r>
  <r>
    <x v="31"/>
    <s v="conventional_turnover_acls_690"/>
    <x v="730"/>
    <n v="0.61007999999999996"/>
    <n v="1"/>
    <n v="-115"/>
    <n v="690"/>
  </r>
  <r>
    <x v="32"/>
    <s v="conventional_turnover_wacls_-160"/>
    <x v="1111"/>
    <n v="1"/>
    <n v="1"/>
    <n v="-160"/>
    <n v="960"/>
  </r>
  <r>
    <x v="32"/>
    <s v="conventional_turnover_wacls_-159"/>
    <x v="1112"/>
    <n v="1"/>
    <n v="1"/>
    <n v="-160"/>
    <n v="960"/>
  </r>
  <r>
    <x v="32"/>
    <s v="conventional_turnover_wacls_-158"/>
    <x v="1113"/>
    <n v="1"/>
    <n v="1"/>
    <n v="-160"/>
    <n v="960"/>
  </r>
  <r>
    <x v="32"/>
    <s v="conventional_turnover_wacls_-157"/>
    <x v="1114"/>
    <n v="1"/>
    <n v="1"/>
    <n v="-160"/>
    <n v="960"/>
  </r>
  <r>
    <x v="32"/>
    <s v="conventional_turnover_wacls_-156"/>
    <x v="1115"/>
    <n v="1"/>
    <n v="1"/>
    <n v="-160"/>
    <n v="960"/>
  </r>
  <r>
    <x v="32"/>
    <s v="conventional_turnover_wacls_-155"/>
    <x v="1116"/>
    <n v="1"/>
    <n v="1"/>
    <n v="-160"/>
    <n v="960"/>
  </r>
  <r>
    <x v="32"/>
    <s v="conventional_turnover_wacls_-154"/>
    <x v="1117"/>
    <n v="1"/>
    <n v="1"/>
    <n v="-160"/>
    <n v="960"/>
  </r>
  <r>
    <x v="32"/>
    <s v="conventional_turnover_wacls_-153"/>
    <x v="1118"/>
    <n v="1"/>
    <n v="1"/>
    <n v="-160"/>
    <n v="960"/>
  </r>
  <r>
    <x v="32"/>
    <s v="conventional_turnover_wacls_-152"/>
    <x v="1119"/>
    <n v="1"/>
    <n v="1"/>
    <n v="-160"/>
    <n v="960"/>
  </r>
  <r>
    <x v="32"/>
    <s v="conventional_turnover_wacls_-151"/>
    <x v="1120"/>
    <n v="1"/>
    <n v="1"/>
    <n v="-160"/>
    <n v="960"/>
  </r>
  <r>
    <x v="32"/>
    <s v="conventional_turnover_wacls_-150"/>
    <x v="1121"/>
    <n v="1"/>
    <n v="1"/>
    <n v="-160"/>
    <n v="960"/>
  </r>
  <r>
    <x v="32"/>
    <s v="conventional_turnover_wacls_-149"/>
    <x v="1122"/>
    <n v="1"/>
    <n v="1"/>
    <n v="-160"/>
    <n v="960"/>
  </r>
  <r>
    <x v="32"/>
    <s v="conventional_turnover_wacls_-148"/>
    <x v="1123"/>
    <n v="1"/>
    <n v="1"/>
    <n v="-160"/>
    <n v="960"/>
  </r>
  <r>
    <x v="32"/>
    <s v="conventional_turnover_wacls_-147"/>
    <x v="1124"/>
    <n v="1"/>
    <n v="1"/>
    <n v="-160"/>
    <n v="960"/>
  </r>
  <r>
    <x v="32"/>
    <s v="conventional_turnover_wacls_-146"/>
    <x v="1125"/>
    <n v="1"/>
    <n v="1"/>
    <n v="-160"/>
    <n v="960"/>
  </r>
  <r>
    <x v="32"/>
    <s v="conventional_turnover_wacls_-145"/>
    <x v="1126"/>
    <n v="1"/>
    <n v="1"/>
    <n v="-160"/>
    <n v="960"/>
  </r>
  <r>
    <x v="32"/>
    <s v="conventional_turnover_wacls_-144"/>
    <x v="1127"/>
    <n v="1"/>
    <n v="1"/>
    <n v="-160"/>
    <n v="960"/>
  </r>
  <r>
    <x v="32"/>
    <s v="conventional_turnover_wacls_-143"/>
    <x v="1128"/>
    <n v="1"/>
    <n v="1"/>
    <n v="-160"/>
    <n v="960"/>
  </r>
  <r>
    <x v="32"/>
    <s v="conventional_turnover_wacls_-142"/>
    <x v="1129"/>
    <n v="1"/>
    <n v="1"/>
    <n v="-160"/>
    <n v="960"/>
  </r>
  <r>
    <x v="32"/>
    <s v="conventional_turnover_wacls_-141"/>
    <x v="1130"/>
    <n v="1"/>
    <n v="1"/>
    <n v="-160"/>
    <n v="960"/>
  </r>
  <r>
    <x v="32"/>
    <s v="conventional_turnover_wacls_-140"/>
    <x v="1131"/>
    <n v="1"/>
    <n v="1"/>
    <n v="-160"/>
    <n v="960"/>
  </r>
  <r>
    <x v="32"/>
    <s v="conventional_turnover_wacls_-139"/>
    <x v="1132"/>
    <n v="1"/>
    <n v="1"/>
    <n v="-160"/>
    <n v="960"/>
  </r>
  <r>
    <x v="32"/>
    <s v="conventional_turnover_wacls_-138"/>
    <x v="1133"/>
    <n v="1"/>
    <n v="1"/>
    <n v="-160"/>
    <n v="960"/>
  </r>
  <r>
    <x v="32"/>
    <s v="conventional_turnover_wacls_-137"/>
    <x v="1134"/>
    <n v="1"/>
    <n v="1"/>
    <n v="-160"/>
    <n v="960"/>
  </r>
  <r>
    <x v="32"/>
    <s v="conventional_turnover_wacls_-136"/>
    <x v="1135"/>
    <n v="1"/>
    <n v="1"/>
    <n v="-160"/>
    <n v="960"/>
  </r>
  <r>
    <x v="32"/>
    <s v="conventional_turnover_wacls_-135"/>
    <x v="1136"/>
    <n v="1"/>
    <n v="1"/>
    <n v="-160"/>
    <n v="960"/>
  </r>
  <r>
    <x v="32"/>
    <s v="conventional_turnover_wacls_-134"/>
    <x v="1137"/>
    <n v="1"/>
    <n v="1"/>
    <n v="-160"/>
    <n v="960"/>
  </r>
  <r>
    <x v="32"/>
    <s v="conventional_turnover_wacls_-133"/>
    <x v="1138"/>
    <n v="1"/>
    <n v="1"/>
    <n v="-160"/>
    <n v="960"/>
  </r>
  <r>
    <x v="32"/>
    <s v="conventional_turnover_wacls_-132"/>
    <x v="1139"/>
    <n v="1"/>
    <n v="1"/>
    <n v="-160"/>
    <n v="960"/>
  </r>
  <r>
    <x v="32"/>
    <s v="conventional_turnover_wacls_-131"/>
    <x v="1140"/>
    <n v="1"/>
    <n v="1"/>
    <n v="-160"/>
    <n v="960"/>
  </r>
  <r>
    <x v="32"/>
    <s v="conventional_turnover_wacls_-130"/>
    <x v="1141"/>
    <n v="1"/>
    <n v="1"/>
    <n v="-160"/>
    <n v="960"/>
  </r>
  <r>
    <x v="32"/>
    <s v="conventional_turnover_wacls_-129"/>
    <x v="1142"/>
    <n v="1"/>
    <n v="1"/>
    <n v="-160"/>
    <n v="960"/>
  </r>
  <r>
    <x v="32"/>
    <s v="conventional_turnover_wacls_-128"/>
    <x v="1143"/>
    <n v="1"/>
    <n v="1"/>
    <n v="-160"/>
    <n v="960"/>
  </r>
  <r>
    <x v="32"/>
    <s v="conventional_turnover_wacls_-127"/>
    <x v="1144"/>
    <n v="1"/>
    <n v="1"/>
    <n v="-160"/>
    <n v="960"/>
  </r>
  <r>
    <x v="32"/>
    <s v="conventional_turnover_wacls_-126"/>
    <x v="1145"/>
    <n v="1"/>
    <n v="1"/>
    <n v="-160"/>
    <n v="960"/>
  </r>
  <r>
    <x v="32"/>
    <s v="conventional_turnover_wacls_-125"/>
    <x v="1146"/>
    <n v="1"/>
    <n v="1"/>
    <n v="-160"/>
    <n v="960"/>
  </r>
  <r>
    <x v="32"/>
    <s v="conventional_turnover_wacls_-124"/>
    <x v="1147"/>
    <n v="1"/>
    <n v="1"/>
    <n v="-160"/>
    <n v="960"/>
  </r>
  <r>
    <x v="32"/>
    <s v="conventional_turnover_wacls_-123"/>
    <x v="1148"/>
    <n v="1"/>
    <n v="1"/>
    <n v="-160"/>
    <n v="960"/>
  </r>
  <r>
    <x v="32"/>
    <s v="conventional_turnover_wacls_-122"/>
    <x v="1149"/>
    <n v="1"/>
    <n v="1"/>
    <n v="-160"/>
    <n v="960"/>
  </r>
  <r>
    <x v="32"/>
    <s v="conventional_turnover_wacls_-121"/>
    <x v="1150"/>
    <n v="1"/>
    <n v="1"/>
    <n v="-160"/>
    <n v="960"/>
  </r>
  <r>
    <x v="32"/>
    <s v="conventional_turnover_wacls_-120"/>
    <x v="1151"/>
    <n v="1"/>
    <n v="1"/>
    <n v="-160"/>
    <n v="960"/>
  </r>
  <r>
    <x v="32"/>
    <s v="conventional_turnover_wacls_-119"/>
    <x v="1152"/>
    <n v="1"/>
    <n v="1"/>
    <n v="-160"/>
    <n v="960"/>
  </r>
  <r>
    <x v="32"/>
    <s v="conventional_turnover_wacls_-118"/>
    <x v="1153"/>
    <n v="1"/>
    <n v="1"/>
    <n v="-160"/>
    <n v="960"/>
  </r>
  <r>
    <x v="32"/>
    <s v="conventional_turnover_wacls_-117"/>
    <x v="1154"/>
    <n v="1"/>
    <n v="1"/>
    <n v="-160"/>
    <n v="960"/>
  </r>
  <r>
    <x v="32"/>
    <s v="conventional_turnover_wacls_-116"/>
    <x v="1155"/>
    <n v="1"/>
    <n v="1"/>
    <n v="-160"/>
    <n v="960"/>
  </r>
  <r>
    <x v="32"/>
    <s v="conventional_turnover_wacls_-115"/>
    <x v="1156"/>
    <n v="1"/>
    <n v="1"/>
    <n v="-160"/>
    <n v="960"/>
  </r>
  <r>
    <x v="32"/>
    <s v="conventional_turnover_wacls_-114"/>
    <x v="1157"/>
    <n v="1"/>
    <n v="1"/>
    <n v="-160"/>
    <n v="960"/>
  </r>
  <r>
    <x v="32"/>
    <s v="conventional_turnover_wacls_-113"/>
    <x v="1158"/>
    <n v="1"/>
    <n v="1"/>
    <n v="-160"/>
    <n v="960"/>
  </r>
  <r>
    <x v="32"/>
    <s v="conventional_turnover_wacls_-112"/>
    <x v="1159"/>
    <n v="1"/>
    <n v="1"/>
    <n v="-160"/>
    <n v="960"/>
  </r>
  <r>
    <x v="32"/>
    <s v="conventional_turnover_wacls_-111"/>
    <x v="1160"/>
    <n v="1"/>
    <n v="1"/>
    <n v="-160"/>
    <n v="960"/>
  </r>
  <r>
    <x v="32"/>
    <s v="conventional_turnover_wacls_-110"/>
    <x v="1161"/>
    <n v="1"/>
    <n v="1"/>
    <n v="-160"/>
    <n v="960"/>
  </r>
  <r>
    <x v="32"/>
    <s v="conventional_turnover_wacls_-109"/>
    <x v="1162"/>
    <n v="1"/>
    <n v="1"/>
    <n v="-160"/>
    <n v="960"/>
  </r>
  <r>
    <x v="32"/>
    <s v="conventional_turnover_wacls_-108"/>
    <x v="1163"/>
    <n v="1"/>
    <n v="1"/>
    <n v="-160"/>
    <n v="960"/>
  </r>
  <r>
    <x v="32"/>
    <s v="conventional_turnover_wacls_-107"/>
    <x v="1164"/>
    <n v="1"/>
    <n v="1"/>
    <n v="-160"/>
    <n v="960"/>
  </r>
  <r>
    <x v="32"/>
    <s v="conventional_turnover_wacls_-106"/>
    <x v="1165"/>
    <n v="1"/>
    <n v="1"/>
    <n v="-160"/>
    <n v="960"/>
  </r>
  <r>
    <x v="32"/>
    <s v="conventional_turnover_wacls_-105"/>
    <x v="1166"/>
    <n v="1"/>
    <n v="1"/>
    <n v="-160"/>
    <n v="960"/>
  </r>
  <r>
    <x v="32"/>
    <s v="conventional_turnover_wacls_-104"/>
    <x v="1167"/>
    <n v="1"/>
    <n v="1"/>
    <n v="-160"/>
    <n v="960"/>
  </r>
  <r>
    <x v="32"/>
    <s v="conventional_turnover_wacls_-103"/>
    <x v="1168"/>
    <n v="1"/>
    <n v="1"/>
    <n v="-160"/>
    <n v="960"/>
  </r>
  <r>
    <x v="32"/>
    <s v="conventional_turnover_wacls_-102"/>
    <x v="1169"/>
    <n v="1"/>
    <n v="1"/>
    <n v="-160"/>
    <n v="960"/>
  </r>
  <r>
    <x v="32"/>
    <s v="conventional_turnover_wacls_-101"/>
    <x v="1170"/>
    <n v="1"/>
    <n v="1"/>
    <n v="-160"/>
    <n v="960"/>
  </r>
  <r>
    <x v="32"/>
    <s v="conventional_turnover_wacls_-100"/>
    <x v="1171"/>
    <n v="1"/>
    <n v="1"/>
    <n v="-160"/>
    <n v="960"/>
  </r>
  <r>
    <x v="32"/>
    <s v="conventional_turnover_wacls_-99"/>
    <x v="1172"/>
    <n v="1"/>
    <n v="1"/>
    <n v="-160"/>
    <n v="960"/>
  </r>
  <r>
    <x v="32"/>
    <s v="conventional_turnover_wacls_-98"/>
    <x v="1173"/>
    <n v="1"/>
    <n v="1"/>
    <n v="-160"/>
    <n v="960"/>
  </r>
  <r>
    <x v="32"/>
    <s v="conventional_turnover_wacls_-97"/>
    <x v="1174"/>
    <n v="1"/>
    <n v="1"/>
    <n v="-160"/>
    <n v="960"/>
  </r>
  <r>
    <x v="32"/>
    <s v="conventional_turnover_wacls_-96"/>
    <x v="1175"/>
    <n v="1"/>
    <n v="1"/>
    <n v="-160"/>
    <n v="960"/>
  </r>
  <r>
    <x v="32"/>
    <s v="conventional_turnover_wacls_-95"/>
    <x v="1176"/>
    <n v="1"/>
    <n v="1"/>
    <n v="-160"/>
    <n v="960"/>
  </r>
  <r>
    <x v="32"/>
    <s v="conventional_turnover_wacls_-94"/>
    <x v="1177"/>
    <n v="1"/>
    <n v="1"/>
    <n v="-160"/>
    <n v="960"/>
  </r>
  <r>
    <x v="32"/>
    <s v="conventional_turnover_wacls_-93"/>
    <x v="1178"/>
    <n v="1"/>
    <n v="1"/>
    <n v="-160"/>
    <n v="960"/>
  </r>
  <r>
    <x v="32"/>
    <s v="conventional_turnover_wacls_-92"/>
    <x v="1179"/>
    <n v="1"/>
    <n v="1"/>
    <n v="-160"/>
    <n v="960"/>
  </r>
  <r>
    <x v="32"/>
    <s v="conventional_turnover_wacls_-91"/>
    <x v="1180"/>
    <n v="1"/>
    <n v="1"/>
    <n v="-160"/>
    <n v="960"/>
  </r>
  <r>
    <x v="32"/>
    <s v="conventional_turnover_wacls_-90"/>
    <x v="1181"/>
    <n v="1"/>
    <n v="1"/>
    <n v="-160"/>
    <n v="960"/>
  </r>
  <r>
    <x v="32"/>
    <s v="conventional_turnover_wacls_-89"/>
    <x v="1182"/>
    <n v="1"/>
    <n v="1"/>
    <n v="-160"/>
    <n v="960"/>
  </r>
  <r>
    <x v="32"/>
    <s v="conventional_turnover_wacls_-88"/>
    <x v="1183"/>
    <n v="1"/>
    <n v="1"/>
    <n v="-160"/>
    <n v="960"/>
  </r>
  <r>
    <x v="32"/>
    <s v="conventional_turnover_wacls_-87"/>
    <x v="1184"/>
    <n v="1"/>
    <n v="1"/>
    <n v="-160"/>
    <n v="960"/>
  </r>
  <r>
    <x v="32"/>
    <s v="conventional_turnover_wacls_-86"/>
    <x v="1185"/>
    <n v="1"/>
    <n v="1"/>
    <n v="-160"/>
    <n v="960"/>
  </r>
  <r>
    <x v="32"/>
    <s v="conventional_turnover_wacls_-85"/>
    <x v="1186"/>
    <n v="1"/>
    <n v="1"/>
    <n v="-160"/>
    <n v="960"/>
  </r>
  <r>
    <x v="32"/>
    <s v="conventional_turnover_wacls_-84"/>
    <x v="1187"/>
    <n v="1"/>
    <n v="1"/>
    <n v="-160"/>
    <n v="960"/>
  </r>
  <r>
    <x v="32"/>
    <s v="conventional_turnover_wacls_-83"/>
    <x v="1188"/>
    <n v="1"/>
    <n v="1"/>
    <n v="-160"/>
    <n v="960"/>
  </r>
  <r>
    <x v="32"/>
    <s v="conventional_turnover_wacls_-82"/>
    <x v="1189"/>
    <n v="1"/>
    <n v="1"/>
    <n v="-160"/>
    <n v="960"/>
  </r>
  <r>
    <x v="32"/>
    <s v="conventional_turnover_wacls_-81"/>
    <x v="1190"/>
    <n v="1"/>
    <n v="1"/>
    <n v="-160"/>
    <n v="960"/>
  </r>
  <r>
    <x v="32"/>
    <s v="conventional_turnover_wacls_-80"/>
    <x v="1191"/>
    <n v="1"/>
    <n v="1"/>
    <n v="-160"/>
    <n v="960"/>
  </r>
  <r>
    <x v="32"/>
    <s v="conventional_turnover_wacls_-79"/>
    <x v="1192"/>
    <n v="1"/>
    <n v="1"/>
    <n v="-160"/>
    <n v="960"/>
  </r>
  <r>
    <x v="32"/>
    <s v="conventional_turnover_wacls_-78"/>
    <x v="1193"/>
    <n v="1"/>
    <n v="1"/>
    <n v="-160"/>
    <n v="960"/>
  </r>
  <r>
    <x v="32"/>
    <s v="conventional_turnover_wacls_-77"/>
    <x v="1194"/>
    <n v="1"/>
    <n v="1"/>
    <n v="-160"/>
    <n v="960"/>
  </r>
  <r>
    <x v="32"/>
    <s v="conventional_turnover_wacls_-76"/>
    <x v="1195"/>
    <n v="1"/>
    <n v="1"/>
    <n v="-160"/>
    <n v="960"/>
  </r>
  <r>
    <x v="32"/>
    <s v="conventional_turnover_wacls_-75"/>
    <x v="1196"/>
    <n v="1"/>
    <n v="1"/>
    <n v="-160"/>
    <n v="960"/>
  </r>
  <r>
    <x v="32"/>
    <s v="conventional_turnover_wacls_-74"/>
    <x v="1197"/>
    <n v="1"/>
    <n v="1"/>
    <n v="-160"/>
    <n v="960"/>
  </r>
  <r>
    <x v="32"/>
    <s v="conventional_turnover_wacls_-73"/>
    <x v="1198"/>
    <n v="1"/>
    <n v="1"/>
    <n v="-160"/>
    <n v="960"/>
  </r>
  <r>
    <x v="32"/>
    <s v="conventional_turnover_wacls_-72"/>
    <x v="1199"/>
    <n v="1"/>
    <n v="1"/>
    <n v="-160"/>
    <n v="960"/>
  </r>
  <r>
    <x v="32"/>
    <s v="conventional_turnover_wacls_-71"/>
    <x v="1200"/>
    <n v="1"/>
    <n v="1"/>
    <n v="-160"/>
    <n v="960"/>
  </r>
  <r>
    <x v="32"/>
    <s v="conventional_turnover_wacls_-70"/>
    <x v="1201"/>
    <n v="1"/>
    <n v="1"/>
    <n v="-160"/>
    <n v="960"/>
  </r>
  <r>
    <x v="32"/>
    <s v="conventional_turnover_wacls_-69"/>
    <x v="1202"/>
    <n v="1"/>
    <n v="1"/>
    <n v="-160"/>
    <n v="960"/>
  </r>
  <r>
    <x v="32"/>
    <s v="conventional_turnover_wacls_-68"/>
    <x v="1203"/>
    <n v="1"/>
    <n v="1"/>
    <n v="-160"/>
    <n v="960"/>
  </r>
  <r>
    <x v="32"/>
    <s v="conventional_turnover_wacls_-67"/>
    <x v="1204"/>
    <n v="1"/>
    <n v="1"/>
    <n v="-160"/>
    <n v="960"/>
  </r>
  <r>
    <x v="32"/>
    <s v="conventional_turnover_wacls_-66"/>
    <x v="1205"/>
    <n v="1"/>
    <n v="1"/>
    <n v="-160"/>
    <n v="960"/>
  </r>
  <r>
    <x v="32"/>
    <s v="conventional_turnover_wacls_-65"/>
    <x v="1206"/>
    <n v="1"/>
    <n v="1"/>
    <n v="-160"/>
    <n v="960"/>
  </r>
  <r>
    <x v="32"/>
    <s v="conventional_turnover_wacls_-64"/>
    <x v="1207"/>
    <n v="1"/>
    <n v="1"/>
    <n v="-160"/>
    <n v="960"/>
  </r>
  <r>
    <x v="32"/>
    <s v="conventional_turnover_wacls_-63"/>
    <x v="1208"/>
    <n v="1"/>
    <n v="1"/>
    <n v="-160"/>
    <n v="960"/>
  </r>
  <r>
    <x v="32"/>
    <s v="conventional_turnover_wacls_-62"/>
    <x v="1209"/>
    <n v="1"/>
    <n v="1"/>
    <n v="-160"/>
    <n v="960"/>
  </r>
  <r>
    <x v="32"/>
    <s v="conventional_turnover_wacls_-61"/>
    <x v="1210"/>
    <n v="1"/>
    <n v="1"/>
    <n v="-160"/>
    <n v="960"/>
  </r>
  <r>
    <x v="32"/>
    <s v="conventional_turnover_wacls_-60"/>
    <x v="1211"/>
    <n v="1"/>
    <n v="1"/>
    <n v="-160"/>
    <n v="960"/>
  </r>
  <r>
    <x v="32"/>
    <s v="conventional_turnover_wacls_-59"/>
    <x v="1212"/>
    <n v="1"/>
    <n v="1"/>
    <n v="-160"/>
    <n v="960"/>
  </r>
  <r>
    <x v="32"/>
    <s v="conventional_turnover_wacls_-58"/>
    <x v="1213"/>
    <n v="1"/>
    <n v="1"/>
    <n v="-160"/>
    <n v="960"/>
  </r>
  <r>
    <x v="32"/>
    <s v="conventional_turnover_wacls_-57"/>
    <x v="1214"/>
    <n v="1"/>
    <n v="1"/>
    <n v="-160"/>
    <n v="960"/>
  </r>
  <r>
    <x v="32"/>
    <s v="conventional_turnover_wacls_-56"/>
    <x v="1215"/>
    <n v="1"/>
    <n v="1"/>
    <n v="-160"/>
    <n v="960"/>
  </r>
  <r>
    <x v="32"/>
    <s v="conventional_turnover_wacls_-55"/>
    <x v="1216"/>
    <n v="1"/>
    <n v="1"/>
    <n v="-160"/>
    <n v="960"/>
  </r>
  <r>
    <x v="32"/>
    <s v="conventional_turnover_wacls_-54"/>
    <x v="1217"/>
    <n v="1"/>
    <n v="1"/>
    <n v="-160"/>
    <n v="960"/>
  </r>
  <r>
    <x v="32"/>
    <s v="conventional_turnover_wacls_-53"/>
    <x v="1218"/>
    <n v="1"/>
    <n v="1"/>
    <n v="-160"/>
    <n v="960"/>
  </r>
  <r>
    <x v="32"/>
    <s v="conventional_turnover_wacls_-52"/>
    <x v="1219"/>
    <n v="1"/>
    <n v="1"/>
    <n v="-160"/>
    <n v="960"/>
  </r>
  <r>
    <x v="32"/>
    <s v="conventional_turnover_wacls_-51"/>
    <x v="1220"/>
    <n v="1"/>
    <n v="1"/>
    <n v="-160"/>
    <n v="960"/>
  </r>
  <r>
    <x v="32"/>
    <s v="conventional_turnover_wacls_-50"/>
    <x v="1221"/>
    <n v="1"/>
    <n v="1"/>
    <n v="-160"/>
    <n v="960"/>
  </r>
  <r>
    <x v="32"/>
    <s v="conventional_turnover_wacls_-49"/>
    <x v="1222"/>
    <n v="1"/>
    <n v="1"/>
    <n v="-160"/>
    <n v="960"/>
  </r>
  <r>
    <x v="32"/>
    <s v="conventional_turnover_wacls_-48"/>
    <x v="1223"/>
    <n v="1"/>
    <n v="1"/>
    <n v="-160"/>
    <n v="960"/>
  </r>
  <r>
    <x v="32"/>
    <s v="conventional_turnover_wacls_-47"/>
    <x v="1224"/>
    <n v="1"/>
    <n v="1"/>
    <n v="-160"/>
    <n v="960"/>
  </r>
  <r>
    <x v="32"/>
    <s v="conventional_turnover_wacls_-46"/>
    <x v="1225"/>
    <n v="1"/>
    <n v="1"/>
    <n v="-160"/>
    <n v="960"/>
  </r>
  <r>
    <x v="32"/>
    <s v="conventional_turnover_wacls_-45"/>
    <x v="1226"/>
    <n v="1"/>
    <n v="1"/>
    <n v="-160"/>
    <n v="960"/>
  </r>
  <r>
    <x v="32"/>
    <s v="conventional_turnover_wacls_-44"/>
    <x v="1227"/>
    <n v="1"/>
    <n v="1"/>
    <n v="-160"/>
    <n v="960"/>
  </r>
  <r>
    <x v="32"/>
    <s v="conventional_turnover_wacls_-43"/>
    <x v="1228"/>
    <n v="1"/>
    <n v="1"/>
    <n v="-160"/>
    <n v="960"/>
  </r>
  <r>
    <x v="32"/>
    <s v="conventional_turnover_wacls_-42"/>
    <x v="1229"/>
    <n v="1"/>
    <n v="1"/>
    <n v="-160"/>
    <n v="960"/>
  </r>
  <r>
    <x v="32"/>
    <s v="conventional_turnover_wacls_-41"/>
    <x v="1230"/>
    <n v="1"/>
    <n v="1"/>
    <n v="-160"/>
    <n v="960"/>
  </r>
  <r>
    <x v="32"/>
    <s v="conventional_turnover_wacls_-40"/>
    <x v="0"/>
    <n v="1"/>
    <n v="1"/>
    <n v="-160"/>
    <n v="960"/>
  </r>
  <r>
    <x v="32"/>
    <s v="conventional_turnover_wacls_-39"/>
    <x v="1"/>
    <n v="1"/>
    <n v="1"/>
    <n v="-160"/>
    <n v="960"/>
  </r>
  <r>
    <x v="32"/>
    <s v="conventional_turnover_wacls_-38"/>
    <x v="2"/>
    <n v="1"/>
    <n v="1"/>
    <n v="-160"/>
    <n v="960"/>
  </r>
  <r>
    <x v="32"/>
    <s v="conventional_turnover_wacls_-37"/>
    <x v="3"/>
    <n v="1"/>
    <n v="1"/>
    <n v="-160"/>
    <n v="960"/>
  </r>
  <r>
    <x v="32"/>
    <s v="conventional_turnover_wacls_-36"/>
    <x v="4"/>
    <n v="1"/>
    <n v="1"/>
    <n v="-160"/>
    <n v="960"/>
  </r>
  <r>
    <x v="32"/>
    <s v="conventional_turnover_wacls_-35"/>
    <x v="5"/>
    <n v="1"/>
    <n v="1"/>
    <n v="-160"/>
    <n v="960"/>
  </r>
  <r>
    <x v="32"/>
    <s v="conventional_turnover_wacls_-34"/>
    <x v="6"/>
    <n v="1"/>
    <n v="1"/>
    <n v="-160"/>
    <n v="960"/>
  </r>
  <r>
    <x v="32"/>
    <s v="conventional_turnover_wacls_-33"/>
    <x v="7"/>
    <n v="1"/>
    <n v="1"/>
    <n v="-160"/>
    <n v="960"/>
  </r>
  <r>
    <x v="32"/>
    <s v="conventional_turnover_wacls_-32"/>
    <x v="8"/>
    <n v="1"/>
    <n v="1"/>
    <n v="-160"/>
    <n v="960"/>
  </r>
  <r>
    <x v="32"/>
    <s v="conventional_turnover_wacls_-31"/>
    <x v="9"/>
    <n v="1"/>
    <n v="1"/>
    <n v="-160"/>
    <n v="960"/>
  </r>
  <r>
    <x v="32"/>
    <s v="conventional_turnover_wacls_-30"/>
    <x v="10"/>
    <n v="1"/>
    <n v="1"/>
    <n v="-160"/>
    <n v="960"/>
  </r>
  <r>
    <x v="32"/>
    <s v="conventional_turnover_wacls_-29"/>
    <x v="11"/>
    <n v="1"/>
    <n v="1"/>
    <n v="-160"/>
    <n v="960"/>
  </r>
  <r>
    <x v="32"/>
    <s v="conventional_turnover_wacls_-28"/>
    <x v="12"/>
    <n v="1"/>
    <n v="1"/>
    <n v="-160"/>
    <n v="960"/>
  </r>
  <r>
    <x v="32"/>
    <s v="conventional_turnover_wacls_-27"/>
    <x v="13"/>
    <n v="1"/>
    <n v="1"/>
    <n v="-160"/>
    <n v="960"/>
  </r>
  <r>
    <x v="32"/>
    <s v="conventional_turnover_wacls_-26"/>
    <x v="14"/>
    <n v="1"/>
    <n v="1"/>
    <n v="-160"/>
    <n v="960"/>
  </r>
  <r>
    <x v="32"/>
    <s v="conventional_turnover_wacls_-25"/>
    <x v="15"/>
    <n v="1"/>
    <n v="1"/>
    <n v="-160"/>
    <n v="960"/>
  </r>
  <r>
    <x v="32"/>
    <s v="conventional_turnover_wacls_-24"/>
    <x v="16"/>
    <n v="1"/>
    <n v="1"/>
    <n v="-160"/>
    <n v="960"/>
  </r>
  <r>
    <x v="32"/>
    <s v="conventional_turnover_wacls_-23"/>
    <x v="17"/>
    <n v="1"/>
    <n v="1"/>
    <n v="-160"/>
    <n v="960"/>
  </r>
  <r>
    <x v="32"/>
    <s v="conventional_turnover_wacls_-22"/>
    <x v="18"/>
    <n v="1"/>
    <n v="1"/>
    <n v="-160"/>
    <n v="960"/>
  </r>
  <r>
    <x v="32"/>
    <s v="conventional_turnover_wacls_-21"/>
    <x v="19"/>
    <n v="1"/>
    <n v="1"/>
    <n v="-160"/>
    <n v="960"/>
  </r>
  <r>
    <x v="32"/>
    <s v="conventional_turnover_wacls_-20"/>
    <x v="20"/>
    <n v="1"/>
    <n v="1"/>
    <n v="-160"/>
    <n v="960"/>
  </r>
  <r>
    <x v="32"/>
    <s v="conventional_turnover_wacls_-19"/>
    <x v="21"/>
    <n v="1"/>
    <n v="1"/>
    <n v="-160"/>
    <n v="960"/>
  </r>
  <r>
    <x v="32"/>
    <s v="conventional_turnover_wacls_-18"/>
    <x v="22"/>
    <n v="1"/>
    <n v="1"/>
    <n v="-160"/>
    <n v="960"/>
  </r>
  <r>
    <x v="32"/>
    <s v="conventional_turnover_wacls_-17"/>
    <x v="23"/>
    <n v="1"/>
    <n v="1"/>
    <n v="-160"/>
    <n v="960"/>
  </r>
  <r>
    <x v="32"/>
    <s v="conventional_turnover_wacls_-16"/>
    <x v="24"/>
    <n v="1"/>
    <n v="1"/>
    <n v="-160"/>
    <n v="960"/>
  </r>
  <r>
    <x v="32"/>
    <s v="conventional_turnover_wacls_-15"/>
    <x v="25"/>
    <n v="1"/>
    <n v="1"/>
    <n v="-160"/>
    <n v="960"/>
  </r>
  <r>
    <x v="32"/>
    <s v="conventional_turnover_wacls_-14"/>
    <x v="26"/>
    <n v="1"/>
    <n v="1"/>
    <n v="-160"/>
    <n v="960"/>
  </r>
  <r>
    <x v="32"/>
    <s v="conventional_turnover_wacls_-13"/>
    <x v="27"/>
    <n v="1"/>
    <n v="1"/>
    <n v="-160"/>
    <n v="960"/>
  </r>
  <r>
    <x v="32"/>
    <s v="conventional_turnover_wacls_-12"/>
    <x v="28"/>
    <n v="1"/>
    <n v="1"/>
    <n v="-160"/>
    <n v="960"/>
  </r>
  <r>
    <x v="32"/>
    <s v="conventional_turnover_wacls_-11"/>
    <x v="29"/>
    <n v="1"/>
    <n v="1"/>
    <n v="-160"/>
    <n v="960"/>
  </r>
  <r>
    <x v="32"/>
    <s v="conventional_turnover_wacls_-10"/>
    <x v="30"/>
    <n v="1"/>
    <n v="1"/>
    <n v="-160"/>
    <n v="960"/>
  </r>
  <r>
    <x v="32"/>
    <s v="conventional_turnover_wacls_-9"/>
    <x v="31"/>
    <n v="1"/>
    <n v="1"/>
    <n v="-160"/>
    <n v="960"/>
  </r>
  <r>
    <x v="32"/>
    <s v="conventional_turnover_wacls_-8"/>
    <x v="32"/>
    <n v="1"/>
    <n v="1"/>
    <n v="-160"/>
    <n v="960"/>
  </r>
  <r>
    <x v="32"/>
    <s v="conventional_turnover_wacls_-7"/>
    <x v="33"/>
    <n v="1"/>
    <n v="1"/>
    <n v="-160"/>
    <n v="960"/>
  </r>
  <r>
    <x v="32"/>
    <s v="conventional_turnover_wacls_-6"/>
    <x v="34"/>
    <n v="1"/>
    <n v="1"/>
    <n v="-160"/>
    <n v="960"/>
  </r>
  <r>
    <x v="32"/>
    <s v="conventional_turnover_wacls_-5"/>
    <x v="35"/>
    <n v="1"/>
    <n v="1"/>
    <n v="-160"/>
    <n v="960"/>
  </r>
  <r>
    <x v="32"/>
    <s v="conventional_turnover_wacls_-4"/>
    <x v="36"/>
    <n v="1"/>
    <n v="1"/>
    <n v="-160"/>
    <n v="960"/>
  </r>
  <r>
    <x v="32"/>
    <s v="conventional_turnover_wacls_-3"/>
    <x v="37"/>
    <n v="1"/>
    <n v="1"/>
    <n v="-160"/>
    <n v="960"/>
  </r>
  <r>
    <x v="32"/>
    <s v="conventional_turnover_wacls_-2"/>
    <x v="38"/>
    <n v="1"/>
    <n v="1"/>
    <n v="-160"/>
    <n v="960"/>
  </r>
  <r>
    <x v="32"/>
    <s v="conventional_turnover_wacls_-1"/>
    <x v="39"/>
    <n v="1"/>
    <n v="1"/>
    <n v="-160"/>
    <n v="960"/>
  </r>
  <r>
    <x v="32"/>
    <s v="conventional_turnover_wacls_0"/>
    <x v="40"/>
    <n v="1"/>
    <n v="1"/>
    <n v="-160"/>
    <n v="960"/>
  </r>
  <r>
    <x v="32"/>
    <s v="conventional_turnover_wacls_1"/>
    <x v="41"/>
    <n v="1"/>
    <n v="1"/>
    <n v="-160"/>
    <n v="960"/>
  </r>
  <r>
    <x v="32"/>
    <s v="conventional_turnover_wacls_2"/>
    <x v="42"/>
    <n v="1"/>
    <n v="1"/>
    <n v="-160"/>
    <n v="960"/>
  </r>
  <r>
    <x v="32"/>
    <s v="conventional_turnover_wacls_3"/>
    <x v="43"/>
    <n v="1"/>
    <n v="1"/>
    <n v="-160"/>
    <n v="960"/>
  </r>
  <r>
    <x v="32"/>
    <s v="conventional_turnover_wacls_4"/>
    <x v="44"/>
    <n v="1"/>
    <n v="1"/>
    <n v="-160"/>
    <n v="960"/>
  </r>
  <r>
    <x v="32"/>
    <s v="conventional_turnover_wacls_5"/>
    <x v="45"/>
    <n v="1"/>
    <n v="1"/>
    <n v="-160"/>
    <n v="960"/>
  </r>
  <r>
    <x v="32"/>
    <s v="conventional_turnover_wacls_6"/>
    <x v="46"/>
    <n v="1"/>
    <n v="1"/>
    <n v="-160"/>
    <n v="960"/>
  </r>
  <r>
    <x v="32"/>
    <s v="conventional_turnover_wacls_7"/>
    <x v="47"/>
    <n v="1"/>
    <n v="1"/>
    <n v="-160"/>
    <n v="960"/>
  </r>
  <r>
    <x v="32"/>
    <s v="conventional_turnover_wacls_8"/>
    <x v="48"/>
    <n v="1"/>
    <n v="1"/>
    <n v="-160"/>
    <n v="960"/>
  </r>
  <r>
    <x v="32"/>
    <s v="conventional_turnover_wacls_9"/>
    <x v="49"/>
    <n v="1"/>
    <n v="1"/>
    <n v="-160"/>
    <n v="960"/>
  </r>
  <r>
    <x v="32"/>
    <s v="conventional_turnover_wacls_10"/>
    <x v="50"/>
    <n v="1"/>
    <n v="1"/>
    <n v="-160"/>
    <n v="960"/>
  </r>
  <r>
    <x v="32"/>
    <s v="conventional_turnover_wacls_11"/>
    <x v="51"/>
    <n v="1"/>
    <n v="1"/>
    <n v="-160"/>
    <n v="960"/>
  </r>
  <r>
    <x v="32"/>
    <s v="conventional_turnover_wacls_12"/>
    <x v="52"/>
    <n v="1"/>
    <n v="1"/>
    <n v="-160"/>
    <n v="960"/>
  </r>
  <r>
    <x v="32"/>
    <s v="conventional_turnover_wacls_13"/>
    <x v="53"/>
    <n v="1"/>
    <n v="1"/>
    <n v="-160"/>
    <n v="960"/>
  </r>
  <r>
    <x v="32"/>
    <s v="conventional_turnover_wacls_14"/>
    <x v="54"/>
    <n v="1"/>
    <n v="1"/>
    <n v="-160"/>
    <n v="960"/>
  </r>
  <r>
    <x v="32"/>
    <s v="conventional_turnover_wacls_15"/>
    <x v="55"/>
    <n v="1"/>
    <n v="1"/>
    <n v="-160"/>
    <n v="960"/>
  </r>
  <r>
    <x v="32"/>
    <s v="conventional_turnover_wacls_16"/>
    <x v="56"/>
    <n v="1"/>
    <n v="1"/>
    <n v="-160"/>
    <n v="960"/>
  </r>
  <r>
    <x v="32"/>
    <s v="conventional_turnover_wacls_17"/>
    <x v="57"/>
    <n v="1"/>
    <n v="1"/>
    <n v="-160"/>
    <n v="960"/>
  </r>
  <r>
    <x v="32"/>
    <s v="conventional_turnover_wacls_18"/>
    <x v="58"/>
    <n v="1"/>
    <n v="1"/>
    <n v="-160"/>
    <n v="960"/>
  </r>
  <r>
    <x v="32"/>
    <s v="conventional_turnover_wacls_19"/>
    <x v="59"/>
    <n v="1"/>
    <n v="1"/>
    <n v="-160"/>
    <n v="960"/>
  </r>
  <r>
    <x v="32"/>
    <s v="conventional_turnover_wacls_20"/>
    <x v="60"/>
    <n v="1"/>
    <n v="1"/>
    <n v="-160"/>
    <n v="960"/>
  </r>
  <r>
    <x v="32"/>
    <s v="conventional_turnover_wacls_21"/>
    <x v="61"/>
    <n v="1"/>
    <n v="1"/>
    <n v="-160"/>
    <n v="960"/>
  </r>
  <r>
    <x v="32"/>
    <s v="conventional_turnover_wacls_22"/>
    <x v="62"/>
    <n v="1"/>
    <n v="1"/>
    <n v="-160"/>
    <n v="960"/>
  </r>
  <r>
    <x v="32"/>
    <s v="conventional_turnover_wacls_23"/>
    <x v="63"/>
    <n v="1"/>
    <n v="1"/>
    <n v="-160"/>
    <n v="960"/>
  </r>
  <r>
    <x v="32"/>
    <s v="conventional_turnover_wacls_24"/>
    <x v="64"/>
    <n v="1"/>
    <n v="1"/>
    <n v="-160"/>
    <n v="960"/>
  </r>
  <r>
    <x v="32"/>
    <s v="conventional_turnover_wacls_25"/>
    <x v="65"/>
    <n v="1"/>
    <n v="1"/>
    <n v="-160"/>
    <n v="960"/>
  </r>
  <r>
    <x v="32"/>
    <s v="conventional_turnover_wacls_26"/>
    <x v="66"/>
    <n v="1"/>
    <n v="1"/>
    <n v="-160"/>
    <n v="960"/>
  </r>
  <r>
    <x v="32"/>
    <s v="conventional_turnover_wacls_27"/>
    <x v="67"/>
    <n v="1"/>
    <n v="1"/>
    <n v="-160"/>
    <n v="960"/>
  </r>
  <r>
    <x v="32"/>
    <s v="conventional_turnover_wacls_28"/>
    <x v="68"/>
    <n v="1"/>
    <n v="1"/>
    <n v="-160"/>
    <n v="960"/>
  </r>
  <r>
    <x v="32"/>
    <s v="conventional_turnover_wacls_29"/>
    <x v="69"/>
    <n v="1"/>
    <n v="1"/>
    <n v="-160"/>
    <n v="960"/>
  </r>
  <r>
    <x v="32"/>
    <s v="conventional_turnover_wacls_30"/>
    <x v="70"/>
    <n v="1"/>
    <n v="1"/>
    <n v="-160"/>
    <n v="960"/>
  </r>
  <r>
    <x v="32"/>
    <s v="conventional_turnover_wacls_31"/>
    <x v="71"/>
    <n v="1"/>
    <n v="1"/>
    <n v="-160"/>
    <n v="960"/>
  </r>
  <r>
    <x v="32"/>
    <s v="conventional_turnover_wacls_32"/>
    <x v="72"/>
    <n v="1"/>
    <n v="1"/>
    <n v="-160"/>
    <n v="960"/>
  </r>
  <r>
    <x v="32"/>
    <s v="conventional_turnover_wacls_33"/>
    <x v="73"/>
    <n v="1"/>
    <n v="1"/>
    <n v="-160"/>
    <n v="960"/>
  </r>
  <r>
    <x v="32"/>
    <s v="conventional_turnover_wacls_34"/>
    <x v="74"/>
    <n v="1"/>
    <n v="1"/>
    <n v="-160"/>
    <n v="960"/>
  </r>
  <r>
    <x v="32"/>
    <s v="conventional_turnover_wacls_35"/>
    <x v="75"/>
    <n v="1"/>
    <n v="1"/>
    <n v="-160"/>
    <n v="960"/>
  </r>
  <r>
    <x v="32"/>
    <s v="conventional_turnover_wacls_36"/>
    <x v="76"/>
    <n v="1"/>
    <n v="1"/>
    <n v="-160"/>
    <n v="960"/>
  </r>
  <r>
    <x v="32"/>
    <s v="conventional_turnover_wacls_37"/>
    <x v="77"/>
    <n v="1"/>
    <n v="1"/>
    <n v="-160"/>
    <n v="960"/>
  </r>
  <r>
    <x v="32"/>
    <s v="conventional_turnover_wacls_38"/>
    <x v="78"/>
    <n v="1"/>
    <n v="1"/>
    <n v="-160"/>
    <n v="960"/>
  </r>
  <r>
    <x v="32"/>
    <s v="conventional_turnover_wacls_39"/>
    <x v="79"/>
    <n v="1"/>
    <n v="1"/>
    <n v="-160"/>
    <n v="960"/>
  </r>
  <r>
    <x v="32"/>
    <s v="conventional_turnover_wacls_40"/>
    <x v="80"/>
    <n v="1"/>
    <n v="1"/>
    <n v="-160"/>
    <n v="960"/>
  </r>
  <r>
    <x v="32"/>
    <s v="conventional_turnover_wacls_41"/>
    <x v="81"/>
    <n v="1"/>
    <n v="1"/>
    <n v="-160"/>
    <n v="960"/>
  </r>
  <r>
    <x v="32"/>
    <s v="conventional_turnover_wacls_42"/>
    <x v="82"/>
    <n v="1"/>
    <n v="1"/>
    <n v="-160"/>
    <n v="960"/>
  </r>
  <r>
    <x v="32"/>
    <s v="conventional_turnover_wacls_43"/>
    <x v="83"/>
    <n v="1"/>
    <n v="1"/>
    <n v="-160"/>
    <n v="960"/>
  </r>
  <r>
    <x v="32"/>
    <s v="conventional_turnover_wacls_44"/>
    <x v="84"/>
    <n v="1"/>
    <n v="1"/>
    <n v="-160"/>
    <n v="960"/>
  </r>
  <r>
    <x v="32"/>
    <s v="conventional_turnover_wacls_45"/>
    <x v="85"/>
    <n v="1"/>
    <n v="1"/>
    <n v="-160"/>
    <n v="960"/>
  </r>
  <r>
    <x v="32"/>
    <s v="conventional_turnover_wacls_46"/>
    <x v="86"/>
    <n v="1"/>
    <n v="1"/>
    <n v="-160"/>
    <n v="960"/>
  </r>
  <r>
    <x v="32"/>
    <s v="conventional_turnover_wacls_47"/>
    <x v="87"/>
    <n v="1"/>
    <n v="1"/>
    <n v="-160"/>
    <n v="960"/>
  </r>
  <r>
    <x v="32"/>
    <s v="conventional_turnover_wacls_48"/>
    <x v="88"/>
    <n v="1"/>
    <n v="1"/>
    <n v="-160"/>
    <n v="960"/>
  </r>
  <r>
    <x v="32"/>
    <s v="conventional_turnover_wacls_49"/>
    <x v="89"/>
    <n v="1"/>
    <n v="1"/>
    <n v="-160"/>
    <n v="960"/>
  </r>
  <r>
    <x v="32"/>
    <s v="conventional_turnover_wacls_50"/>
    <x v="90"/>
    <n v="1"/>
    <n v="1"/>
    <n v="-160"/>
    <n v="960"/>
  </r>
  <r>
    <x v="32"/>
    <s v="conventional_turnover_wacls_51"/>
    <x v="91"/>
    <n v="1"/>
    <n v="1"/>
    <n v="-160"/>
    <n v="960"/>
  </r>
  <r>
    <x v="32"/>
    <s v="conventional_turnover_wacls_52"/>
    <x v="92"/>
    <n v="1"/>
    <n v="1"/>
    <n v="-160"/>
    <n v="960"/>
  </r>
  <r>
    <x v="32"/>
    <s v="conventional_turnover_wacls_53"/>
    <x v="93"/>
    <n v="1"/>
    <n v="1"/>
    <n v="-160"/>
    <n v="960"/>
  </r>
  <r>
    <x v="32"/>
    <s v="conventional_turnover_wacls_54"/>
    <x v="94"/>
    <n v="1"/>
    <n v="1"/>
    <n v="-160"/>
    <n v="960"/>
  </r>
  <r>
    <x v="32"/>
    <s v="conventional_turnover_wacls_55"/>
    <x v="95"/>
    <n v="1"/>
    <n v="1"/>
    <n v="-160"/>
    <n v="960"/>
  </r>
  <r>
    <x v="32"/>
    <s v="conventional_turnover_wacls_56"/>
    <x v="96"/>
    <n v="1"/>
    <n v="1"/>
    <n v="-160"/>
    <n v="960"/>
  </r>
  <r>
    <x v="32"/>
    <s v="conventional_turnover_wacls_57"/>
    <x v="97"/>
    <n v="1"/>
    <n v="1"/>
    <n v="-160"/>
    <n v="960"/>
  </r>
  <r>
    <x v="32"/>
    <s v="conventional_turnover_wacls_58"/>
    <x v="98"/>
    <n v="1"/>
    <n v="1"/>
    <n v="-160"/>
    <n v="960"/>
  </r>
  <r>
    <x v="32"/>
    <s v="conventional_turnover_wacls_59"/>
    <x v="99"/>
    <n v="1"/>
    <n v="1"/>
    <n v="-160"/>
    <n v="960"/>
  </r>
  <r>
    <x v="32"/>
    <s v="conventional_turnover_wacls_60"/>
    <x v="100"/>
    <n v="1"/>
    <n v="1"/>
    <n v="-160"/>
    <n v="960"/>
  </r>
  <r>
    <x v="32"/>
    <s v="conventional_turnover_wacls_61"/>
    <x v="101"/>
    <n v="1"/>
    <n v="1"/>
    <n v="-160"/>
    <n v="960"/>
  </r>
  <r>
    <x v="32"/>
    <s v="conventional_turnover_wacls_62"/>
    <x v="102"/>
    <n v="1"/>
    <n v="1"/>
    <n v="-160"/>
    <n v="960"/>
  </r>
  <r>
    <x v="32"/>
    <s v="conventional_turnover_wacls_63"/>
    <x v="103"/>
    <n v="1"/>
    <n v="1"/>
    <n v="-160"/>
    <n v="960"/>
  </r>
  <r>
    <x v="32"/>
    <s v="conventional_turnover_wacls_64"/>
    <x v="104"/>
    <n v="1"/>
    <n v="1"/>
    <n v="-160"/>
    <n v="960"/>
  </r>
  <r>
    <x v="32"/>
    <s v="conventional_turnover_wacls_65"/>
    <x v="105"/>
    <n v="1"/>
    <n v="1"/>
    <n v="-160"/>
    <n v="960"/>
  </r>
  <r>
    <x v="32"/>
    <s v="conventional_turnover_wacls_66"/>
    <x v="106"/>
    <n v="1"/>
    <n v="1"/>
    <n v="-160"/>
    <n v="960"/>
  </r>
  <r>
    <x v="32"/>
    <s v="conventional_turnover_wacls_67"/>
    <x v="107"/>
    <n v="1"/>
    <n v="1"/>
    <n v="-160"/>
    <n v="960"/>
  </r>
  <r>
    <x v="32"/>
    <s v="conventional_turnover_wacls_68"/>
    <x v="108"/>
    <n v="1"/>
    <n v="1"/>
    <n v="-160"/>
    <n v="960"/>
  </r>
  <r>
    <x v="32"/>
    <s v="conventional_turnover_wacls_69"/>
    <x v="109"/>
    <n v="1"/>
    <n v="1"/>
    <n v="-160"/>
    <n v="960"/>
  </r>
  <r>
    <x v="32"/>
    <s v="conventional_turnover_wacls_70"/>
    <x v="110"/>
    <n v="1"/>
    <n v="1"/>
    <n v="-160"/>
    <n v="960"/>
  </r>
  <r>
    <x v="32"/>
    <s v="conventional_turnover_wacls_71"/>
    <x v="111"/>
    <n v="1"/>
    <n v="1"/>
    <n v="-160"/>
    <n v="960"/>
  </r>
  <r>
    <x v="32"/>
    <s v="conventional_turnover_wacls_72"/>
    <x v="112"/>
    <n v="1"/>
    <n v="1"/>
    <n v="-160"/>
    <n v="960"/>
  </r>
  <r>
    <x v="32"/>
    <s v="conventional_turnover_wacls_73"/>
    <x v="113"/>
    <n v="1"/>
    <n v="1"/>
    <n v="-160"/>
    <n v="960"/>
  </r>
  <r>
    <x v="32"/>
    <s v="conventional_turnover_wacls_74"/>
    <x v="114"/>
    <n v="1"/>
    <n v="1"/>
    <n v="-160"/>
    <n v="960"/>
  </r>
  <r>
    <x v="32"/>
    <s v="conventional_turnover_wacls_75"/>
    <x v="115"/>
    <n v="1"/>
    <n v="1"/>
    <n v="-160"/>
    <n v="960"/>
  </r>
  <r>
    <x v="32"/>
    <s v="conventional_turnover_wacls_76"/>
    <x v="116"/>
    <n v="1"/>
    <n v="1"/>
    <n v="-160"/>
    <n v="960"/>
  </r>
  <r>
    <x v="32"/>
    <s v="conventional_turnover_wacls_77"/>
    <x v="117"/>
    <n v="1"/>
    <n v="1"/>
    <n v="-160"/>
    <n v="960"/>
  </r>
  <r>
    <x v="32"/>
    <s v="conventional_turnover_wacls_78"/>
    <x v="118"/>
    <n v="1"/>
    <n v="1"/>
    <n v="-160"/>
    <n v="960"/>
  </r>
  <r>
    <x v="32"/>
    <s v="conventional_turnover_wacls_79"/>
    <x v="119"/>
    <n v="1"/>
    <n v="1"/>
    <n v="-160"/>
    <n v="960"/>
  </r>
  <r>
    <x v="32"/>
    <s v="conventional_turnover_wacls_80"/>
    <x v="120"/>
    <n v="1"/>
    <n v="1"/>
    <n v="-160"/>
    <n v="960"/>
  </r>
  <r>
    <x v="32"/>
    <s v="conventional_turnover_wacls_81"/>
    <x v="121"/>
    <n v="1"/>
    <n v="1"/>
    <n v="-160"/>
    <n v="960"/>
  </r>
  <r>
    <x v="32"/>
    <s v="conventional_turnover_wacls_82"/>
    <x v="122"/>
    <n v="1"/>
    <n v="1"/>
    <n v="-160"/>
    <n v="960"/>
  </r>
  <r>
    <x v="32"/>
    <s v="conventional_turnover_wacls_83"/>
    <x v="123"/>
    <n v="1"/>
    <n v="1"/>
    <n v="-160"/>
    <n v="960"/>
  </r>
  <r>
    <x v="32"/>
    <s v="conventional_turnover_wacls_84"/>
    <x v="124"/>
    <n v="1"/>
    <n v="1"/>
    <n v="-160"/>
    <n v="960"/>
  </r>
  <r>
    <x v="32"/>
    <s v="conventional_turnover_wacls_85"/>
    <x v="125"/>
    <n v="1"/>
    <n v="1"/>
    <n v="-160"/>
    <n v="960"/>
  </r>
  <r>
    <x v="32"/>
    <s v="conventional_turnover_wacls_86"/>
    <x v="126"/>
    <n v="1"/>
    <n v="1"/>
    <n v="-160"/>
    <n v="960"/>
  </r>
  <r>
    <x v="32"/>
    <s v="conventional_turnover_wacls_87"/>
    <x v="127"/>
    <n v="1"/>
    <n v="1"/>
    <n v="-160"/>
    <n v="960"/>
  </r>
  <r>
    <x v="32"/>
    <s v="conventional_turnover_wacls_88"/>
    <x v="128"/>
    <n v="1"/>
    <n v="1"/>
    <n v="-160"/>
    <n v="960"/>
  </r>
  <r>
    <x v="32"/>
    <s v="conventional_turnover_wacls_89"/>
    <x v="129"/>
    <n v="1"/>
    <n v="1"/>
    <n v="-160"/>
    <n v="960"/>
  </r>
  <r>
    <x v="32"/>
    <s v="conventional_turnover_wacls_90"/>
    <x v="130"/>
    <n v="1"/>
    <n v="1"/>
    <n v="-160"/>
    <n v="960"/>
  </r>
  <r>
    <x v="32"/>
    <s v="conventional_turnover_wacls_91"/>
    <x v="131"/>
    <n v="1"/>
    <n v="1"/>
    <n v="-160"/>
    <n v="960"/>
  </r>
  <r>
    <x v="32"/>
    <s v="conventional_turnover_wacls_92"/>
    <x v="132"/>
    <n v="1"/>
    <n v="1"/>
    <n v="-160"/>
    <n v="960"/>
  </r>
  <r>
    <x v="32"/>
    <s v="conventional_turnover_wacls_93"/>
    <x v="133"/>
    <n v="1"/>
    <n v="1"/>
    <n v="-160"/>
    <n v="960"/>
  </r>
  <r>
    <x v="32"/>
    <s v="conventional_turnover_wacls_94"/>
    <x v="134"/>
    <n v="1"/>
    <n v="1"/>
    <n v="-160"/>
    <n v="960"/>
  </r>
  <r>
    <x v="32"/>
    <s v="conventional_turnover_wacls_95"/>
    <x v="135"/>
    <n v="1"/>
    <n v="1"/>
    <n v="-160"/>
    <n v="960"/>
  </r>
  <r>
    <x v="32"/>
    <s v="conventional_turnover_wacls_96"/>
    <x v="136"/>
    <n v="1"/>
    <n v="1"/>
    <n v="-160"/>
    <n v="960"/>
  </r>
  <r>
    <x v="32"/>
    <s v="conventional_turnover_wacls_97"/>
    <x v="137"/>
    <n v="1"/>
    <n v="1"/>
    <n v="-160"/>
    <n v="960"/>
  </r>
  <r>
    <x v="32"/>
    <s v="conventional_turnover_wacls_98"/>
    <x v="138"/>
    <n v="1"/>
    <n v="1"/>
    <n v="-160"/>
    <n v="960"/>
  </r>
  <r>
    <x v="32"/>
    <s v="conventional_turnover_wacls_99"/>
    <x v="139"/>
    <n v="1"/>
    <n v="1"/>
    <n v="-160"/>
    <n v="960"/>
  </r>
  <r>
    <x v="32"/>
    <s v="conventional_turnover_wacls_100"/>
    <x v="140"/>
    <n v="1"/>
    <n v="1"/>
    <n v="-160"/>
    <n v="960"/>
  </r>
  <r>
    <x v="32"/>
    <s v="conventional_turnover_wacls_101"/>
    <x v="141"/>
    <n v="1"/>
    <n v="1"/>
    <n v="-160"/>
    <n v="960"/>
  </r>
  <r>
    <x v="32"/>
    <s v="conventional_turnover_wacls_102"/>
    <x v="142"/>
    <n v="1"/>
    <n v="1"/>
    <n v="-160"/>
    <n v="960"/>
  </r>
  <r>
    <x v="32"/>
    <s v="conventional_turnover_wacls_103"/>
    <x v="143"/>
    <n v="1"/>
    <n v="1"/>
    <n v="-160"/>
    <n v="960"/>
  </r>
  <r>
    <x v="32"/>
    <s v="conventional_turnover_wacls_104"/>
    <x v="144"/>
    <n v="1"/>
    <n v="1"/>
    <n v="-160"/>
    <n v="960"/>
  </r>
  <r>
    <x v="32"/>
    <s v="conventional_turnover_wacls_105"/>
    <x v="145"/>
    <n v="1"/>
    <n v="1"/>
    <n v="-160"/>
    <n v="960"/>
  </r>
  <r>
    <x v="32"/>
    <s v="conventional_turnover_wacls_106"/>
    <x v="146"/>
    <n v="1"/>
    <n v="1"/>
    <n v="-160"/>
    <n v="960"/>
  </r>
  <r>
    <x v="32"/>
    <s v="conventional_turnover_wacls_107"/>
    <x v="147"/>
    <n v="1"/>
    <n v="1"/>
    <n v="-160"/>
    <n v="960"/>
  </r>
  <r>
    <x v="32"/>
    <s v="conventional_turnover_wacls_108"/>
    <x v="148"/>
    <n v="1"/>
    <n v="1"/>
    <n v="-160"/>
    <n v="960"/>
  </r>
  <r>
    <x v="32"/>
    <s v="conventional_turnover_wacls_109"/>
    <x v="149"/>
    <n v="1"/>
    <n v="1"/>
    <n v="-160"/>
    <n v="960"/>
  </r>
  <r>
    <x v="32"/>
    <s v="conventional_turnover_wacls_110"/>
    <x v="150"/>
    <n v="1"/>
    <n v="1"/>
    <n v="-160"/>
    <n v="960"/>
  </r>
  <r>
    <x v="32"/>
    <s v="conventional_turnover_wacls_111"/>
    <x v="151"/>
    <n v="1"/>
    <n v="1"/>
    <n v="-160"/>
    <n v="960"/>
  </r>
  <r>
    <x v="32"/>
    <s v="conventional_turnover_wacls_112"/>
    <x v="152"/>
    <n v="1"/>
    <n v="1"/>
    <n v="-160"/>
    <n v="960"/>
  </r>
  <r>
    <x v="32"/>
    <s v="conventional_turnover_wacls_113"/>
    <x v="153"/>
    <n v="1"/>
    <n v="1"/>
    <n v="-160"/>
    <n v="960"/>
  </r>
  <r>
    <x v="32"/>
    <s v="conventional_turnover_wacls_114"/>
    <x v="154"/>
    <n v="1"/>
    <n v="1"/>
    <n v="-160"/>
    <n v="960"/>
  </r>
  <r>
    <x v="32"/>
    <s v="conventional_turnover_wacls_115"/>
    <x v="155"/>
    <n v="1"/>
    <n v="1"/>
    <n v="-160"/>
    <n v="960"/>
  </r>
  <r>
    <x v="32"/>
    <s v="conventional_turnover_wacls_116"/>
    <x v="156"/>
    <n v="1"/>
    <n v="1"/>
    <n v="-160"/>
    <n v="960"/>
  </r>
  <r>
    <x v="32"/>
    <s v="conventional_turnover_wacls_117"/>
    <x v="157"/>
    <n v="1"/>
    <n v="1"/>
    <n v="-160"/>
    <n v="960"/>
  </r>
  <r>
    <x v="32"/>
    <s v="conventional_turnover_wacls_118"/>
    <x v="158"/>
    <n v="1"/>
    <n v="1"/>
    <n v="-160"/>
    <n v="960"/>
  </r>
  <r>
    <x v="32"/>
    <s v="conventional_turnover_wacls_119"/>
    <x v="159"/>
    <n v="1"/>
    <n v="1"/>
    <n v="-160"/>
    <n v="960"/>
  </r>
  <r>
    <x v="32"/>
    <s v="conventional_turnover_wacls_120"/>
    <x v="160"/>
    <n v="1"/>
    <n v="1"/>
    <n v="-160"/>
    <n v="960"/>
  </r>
  <r>
    <x v="32"/>
    <s v="conventional_turnover_wacls_121"/>
    <x v="161"/>
    <n v="1"/>
    <n v="1"/>
    <n v="-160"/>
    <n v="960"/>
  </r>
  <r>
    <x v="32"/>
    <s v="conventional_turnover_wacls_122"/>
    <x v="162"/>
    <n v="1"/>
    <n v="1"/>
    <n v="-160"/>
    <n v="960"/>
  </r>
  <r>
    <x v="32"/>
    <s v="conventional_turnover_wacls_123"/>
    <x v="163"/>
    <n v="1"/>
    <n v="1"/>
    <n v="-160"/>
    <n v="960"/>
  </r>
  <r>
    <x v="32"/>
    <s v="conventional_turnover_wacls_124"/>
    <x v="164"/>
    <n v="1"/>
    <n v="1"/>
    <n v="-160"/>
    <n v="960"/>
  </r>
  <r>
    <x v="32"/>
    <s v="conventional_turnover_wacls_125"/>
    <x v="165"/>
    <n v="1"/>
    <n v="1"/>
    <n v="-160"/>
    <n v="960"/>
  </r>
  <r>
    <x v="32"/>
    <s v="conventional_turnover_wacls_126"/>
    <x v="166"/>
    <n v="1"/>
    <n v="1"/>
    <n v="-160"/>
    <n v="960"/>
  </r>
  <r>
    <x v="32"/>
    <s v="conventional_turnover_wacls_127"/>
    <x v="167"/>
    <n v="1"/>
    <n v="1"/>
    <n v="-160"/>
    <n v="960"/>
  </r>
  <r>
    <x v="32"/>
    <s v="conventional_turnover_wacls_128"/>
    <x v="168"/>
    <n v="1"/>
    <n v="1"/>
    <n v="-160"/>
    <n v="960"/>
  </r>
  <r>
    <x v="32"/>
    <s v="conventional_turnover_wacls_129"/>
    <x v="169"/>
    <n v="1"/>
    <n v="1"/>
    <n v="-160"/>
    <n v="960"/>
  </r>
  <r>
    <x v="32"/>
    <s v="conventional_turnover_wacls_130"/>
    <x v="170"/>
    <n v="1"/>
    <n v="1"/>
    <n v="-160"/>
    <n v="960"/>
  </r>
  <r>
    <x v="32"/>
    <s v="conventional_turnover_wacls_131"/>
    <x v="171"/>
    <n v="1"/>
    <n v="1"/>
    <n v="-160"/>
    <n v="960"/>
  </r>
  <r>
    <x v="32"/>
    <s v="conventional_turnover_wacls_132"/>
    <x v="172"/>
    <n v="1"/>
    <n v="1"/>
    <n v="-160"/>
    <n v="960"/>
  </r>
  <r>
    <x v="32"/>
    <s v="conventional_turnover_wacls_133"/>
    <x v="173"/>
    <n v="1"/>
    <n v="1"/>
    <n v="-160"/>
    <n v="960"/>
  </r>
  <r>
    <x v="32"/>
    <s v="conventional_turnover_wacls_134"/>
    <x v="174"/>
    <n v="1"/>
    <n v="1"/>
    <n v="-160"/>
    <n v="960"/>
  </r>
  <r>
    <x v="32"/>
    <s v="conventional_turnover_wacls_135"/>
    <x v="175"/>
    <n v="1"/>
    <n v="1"/>
    <n v="-160"/>
    <n v="960"/>
  </r>
  <r>
    <x v="32"/>
    <s v="conventional_turnover_wacls_136"/>
    <x v="176"/>
    <n v="1"/>
    <n v="1"/>
    <n v="-160"/>
    <n v="960"/>
  </r>
  <r>
    <x v="32"/>
    <s v="conventional_turnover_wacls_137"/>
    <x v="177"/>
    <n v="1"/>
    <n v="1"/>
    <n v="-160"/>
    <n v="960"/>
  </r>
  <r>
    <x v="32"/>
    <s v="conventional_turnover_wacls_138"/>
    <x v="178"/>
    <n v="1"/>
    <n v="1"/>
    <n v="-160"/>
    <n v="960"/>
  </r>
  <r>
    <x v="32"/>
    <s v="conventional_turnover_wacls_139"/>
    <x v="179"/>
    <n v="1"/>
    <n v="1"/>
    <n v="-160"/>
    <n v="960"/>
  </r>
  <r>
    <x v="32"/>
    <s v="conventional_turnover_wacls_140"/>
    <x v="180"/>
    <n v="1"/>
    <n v="1"/>
    <n v="-160"/>
    <n v="960"/>
  </r>
  <r>
    <x v="32"/>
    <s v="conventional_turnover_wacls_141"/>
    <x v="181"/>
    <n v="1"/>
    <n v="1"/>
    <n v="-160"/>
    <n v="960"/>
  </r>
  <r>
    <x v="32"/>
    <s v="conventional_turnover_wacls_142"/>
    <x v="182"/>
    <n v="1"/>
    <n v="1"/>
    <n v="-160"/>
    <n v="960"/>
  </r>
  <r>
    <x v="32"/>
    <s v="conventional_turnover_wacls_143"/>
    <x v="183"/>
    <n v="1"/>
    <n v="1"/>
    <n v="-160"/>
    <n v="960"/>
  </r>
  <r>
    <x v="32"/>
    <s v="conventional_turnover_wacls_144"/>
    <x v="184"/>
    <n v="1"/>
    <n v="1"/>
    <n v="-160"/>
    <n v="960"/>
  </r>
  <r>
    <x v="32"/>
    <s v="conventional_turnover_wacls_145"/>
    <x v="185"/>
    <n v="1"/>
    <n v="1"/>
    <n v="-160"/>
    <n v="960"/>
  </r>
  <r>
    <x v="32"/>
    <s v="conventional_turnover_wacls_146"/>
    <x v="186"/>
    <n v="1"/>
    <n v="1"/>
    <n v="-160"/>
    <n v="960"/>
  </r>
  <r>
    <x v="32"/>
    <s v="conventional_turnover_wacls_147"/>
    <x v="187"/>
    <n v="1"/>
    <n v="1"/>
    <n v="-160"/>
    <n v="960"/>
  </r>
  <r>
    <x v="32"/>
    <s v="conventional_turnover_wacls_148"/>
    <x v="188"/>
    <n v="1"/>
    <n v="1"/>
    <n v="-160"/>
    <n v="960"/>
  </r>
  <r>
    <x v="32"/>
    <s v="conventional_turnover_wacls_149"/>
    <x v="189"/>
    <n v="1"/>
    <n v="1"/>
    <n v="-160"/>
    <n v="960"/>
  </r>
  <r>
    <x v="32"/>
    <s v="conventional_turnover_wacls_150"/>
    <x v="190"/>
    <n v="1"/>
    <n v="1"/>
    <n v="-160"/>
    <n v="960"/>
  </r>
  <r>
    <x v="32"/>
    <s v="conventional_turnover_wacls_151"/>
    <x v="191"/>
    <n v="1"/>
    <n v="1"/>
    <n v="-160"/>
    <n v="960"/>
  </r>
  <r>
    <x v="32"/>
    <s v="conventional_turnover_wacls_152"/>
    <x v="192"/>
    <n v="1"/>
    <n v="1"/>
    <n v="-160"/>
    <n v="960"/>
  </r>
  <r>
    <x v="32"/>
    <s v="conventional_turnover_wacls_153"/>
    <x v="193"/>
    <n v="1"/>
    <n v="1"/>
    <n v="-160"/>
    <n v="960"/>
  </r>
  <r>
    <x v="32"/>
    <s v="conventional_turnover_wacls_154"/>
    <x v="194"/>
    <n v="1"/>
    <n v="1"/>
    <n v="-160"/>
    <n v="960"/>
  </r>
  <r>
    <x v="32"/>
    <s v="conventional_turnover_wacls_155"/>
    <x v="195"/>
    <n v="1"/>
    <n v="1"/>
    <n v="-160"/>
    <n v="960"/>
  </r>
  <r>
    <x v="32"/>
    <s v="conventional_turnover_wacls_156"/>
    <x v="196"/>
    <n v="1"/>
    <n v="1"/>
    <n v="-160"/>
    <n v="960"/>
  </r>
  <r>
    <x v="32"/>
    <s v="conventional_turnover_wacls_157"/>
    <x v="197"/>
    <n v="1"/>
    <n v="1"/>
    <n v="-160"/>
    <n v="960"/>
  </r>
  <r>
    <x v="32"/>
    <s v="conventional_turnover_wacls_158"/>
    <x v="198"/>
    <n v="1"/>
    <n v="1"/>
    <n v="-160"/>
    <n v="960"/>
  </r>
  <r>
    <x v="32"/>
    <s v="conventional_turnover_wacls_159"/>
    <x v="199"/>
    <n v="1"/>
    <n v="1"/>
    <n v="-160"/>
    <n v="960"/>
  </r>
  <r>
    <x v="32"/>
    <s v="conventional_turnover_wacls_160"/>
    <x v="200"/>
    <n v="1"/>
    <n v="1"/>
    <n v="-160"/>
    <n v="960"/>
  </r>
  <r>
    <x v="32"/>
    <s v="conventional_turnover_wacls_161"/>
    <x v="201"/>
    <n v="1"/>
    <n v="1"/>
    <n v="-160"/>
    <n v="960"/>
  </r>
  <r>
    <x v="32"/>
    <s v="conventional_turnover_wacls_162"/>
    <x v="202"/>
    <n v="1"/>
    <n v="1"/>
    <n v="-160"/>
    <n v="960"/>
  </r>
  <r>
    <x v="32"/>
    <s v="conventional_turnover_wacls_163"/>
    <x v="203"/>
    <n v="1"/>
    <n v="1"/>
    <n v="-160"/>
    <n v="960"/>
  </r>
  <r>
    <x v="32"/>
    <s v="conventional_turnover_wacls_164"/>
    <x v="204"/>
    <n v="1"/>
    <n v="1"/>
    <n v="-160"/>
    <n v="960"/>
  </r>
  <r>
    <x v="32"/>
    <s v="conventional_turnover_wacls_165"/>
    <x v="205"/>
    <n v="1"/>
    <n v="1"/>
    <n v="-160"/>
    <n v="960"/>
  </r>
  <r>
    <x v="32"/>
    <s v="conventional_turnover_wacls_166"/>
    <x v="206"/>
    <n v="1"/>
    <n v="1"/>
    <n v="-160"/>
    <n v="960"/>
  </r>
  <r>
    <x v="32"/>
    <s v="conventional_turnover_wacls_167"/>
    <x v="207"/>
    <n v="1"/>
    <n v="1"/>
    <n v="-160"/>
    <n v="960"/>
  </r>
  <r>
    <x v="32"/>
    <s v="conventional_turnover_wacls_168"/>
    <x v="208"/>
    <n v="1"/>
    <n v="1"/>
    <n v="-160"/>
    <n v="960"/>
  </r>
  <r>
    <x v="32"/>
    <s v="conventional_turnover_wacls_169"/>
    <x v="209"/>
    <n v="1"/>
    <n v="1"/>
    <n v="-160"/>
    <n v="960"/>
  </r>
  <r>
    <x v="32"/>
    <s v="conventional_turnover_wacls_170"/>
    <x v="210"/>
    <n v="1"/>
    <n v="1"/>
    <n v="-160"/>
    <n v="960"/>
  </r>
  <r>
    <x v="32"/>
    <s v="conventional_turnover_wacls_171"/>
    <x v="211"/>
    <n v="1"/>
    <n v="1"/>
    <n v="-160"/>
    <n v="960"/>
  </r>
  <r>
    <x v="32"/>
    <s v="conventional_turnover_wacls_172"/>
    <x v="212"/>
    <n v="1"/>
    <n v="1"/>
    <n v="-160"/>
    <n v="960"/>
  </r>
  <r>
    <x v="32"/>
    <s v="conventional_turnover_wacls_173"/>
    <x v="213"/>
    <n v="1"/>
    <n v="1"/>
    <n v="-160"/>
    <n v="960"/>
  </r>
  <r>
    <x v="32"/>
    <s v="conventional_turnover_wacls_174"/>
    <x v="214"/>
    <n v="1"/>
    <n v="1"/>
    <n v="-160"/>
    <n v="960"/>
  </r>
  <r>
    <x v="32"/>
    <s v="conventional_turnover_wacls_175"/>
    <x v="215"/>
    <n v="1"/>
    <n v="1"/>
    <n v="-160"/>
    <n v="960"/>
  </r>
  <r>
    <x v="32"/>
    <s v="conventional_turnover_wacls_176"/>
    <x v="216"/>
    <n v="1"/>
    <n v="1"/>
    <n v="-160"/>
    <n v="960"/>
  </r>
  <r>
    <x v="32"/>
    <s v="conventional_turnover_wacls_177"/>
    <x v="217"/>
    <n v="1"/>
    <n v="1"/>
    <n v="-160"/>
    <n v="960"/>
  </r>
  <r>
    <x v="32"/>
    <s v="conventional_turnover_wacls_178"/>
    <x v="218"/>
    <n v="1"/>
    <n v="1"/>
    <n v="-160"/>
    <n v="960"/>
  </r>
  <r>
    <x v="32"/>
    <s v="conventional_turnover_wacls_179"/>
    <x v="219"/>
    <n v="1"/>
    <n v="1"/>
    <n v="-160"/>
    <n v="960"/>
  </r>
  <r>
    <x v="32"/>
    <s v="conventional_turnover_wacls_180"/>
    <x v="220"/>
    <n v="1"/>
    <n v="1"/>
    <n v="-160"/>
    <n v="960"/>
  </r>
  <r>
    <x v="32"/>
    <s v="conventional_turnover_wacls_181"/>
    <x v="221"/>
    <n v="1"/>
    <n v="1"/>
    <n v="-160"/>
    <n v="960"/>
  </r>
  <r>
    <x v="32"/>
    <s v="conventional_turnover_wacls_182"/>
    <x v="222"/>
    <n v="1"/>
    <n v="1"/>
    <n v="-160"/>
    <n v="960"/>
  </r>
  <r>
    <x v="32"/>
    <s v="conventional_turnover_wacls_183"/>
    <x v="223"/>
    <n v="1"/>
    <n v="1"/>
    <n v="-160"/>
    <n v="960"/>
  </r>
  <r>
    <x v="32"/>
    <s v="conventional_turnover_wacls_184"/>
    <x v="224"/>
    <n v="1"/>
    <n v="1"/>
    <n v="-160"/>
    <n v="960"/>
  </r>
  <r>
    <x v="32"/>
    <s v="conventional_turnover_wacls_185"/>
    <x v="225"/>
    <n v="1"/>
    <n v="1"/>
    <n v="-160"/>
    <n v="960"/>
  </r>
  <r>
    <x v="32"/>
    <s v="conventional_turnover_wacls_186"/>
    <x v="226"/>
    <n v="1"/>
    <n v="1"/>
    <n v="-160"/>
    <n v="960"/>
  </r>
  <r>
    <x v="32"/>
    <s v="conventional_turnover_wacls_187"/>
    <x v="227"/>
    <n v="1"/>
    <n v="1"/>
    <n v="-160"/>
    <n v="960"/>
  </r>
  <r>
    <x v="32"/>
    <s v="conventional_turnover_wacls_188"/>
    <x v="228"/>
    <n v="1"/>
    <n v="1"/>
    <n v="-160"/>
    <n v="960"/>
  </r>
  <r>
    <x v="32"/>
    <s v="conventional_turnover_wacls_189"/>
    <x v="229"/>
    <n v="1"/>
    <n v="1"/>
    <n v="-160"/>
    <n v="960"/>
  </r>
  <r>
    <x v="32"/>
    <s v="conventional_turnover_wacls_190"/>
    <x v="230"/>
    <n v="1"/>
    <n v="1"/>
    <n v="-160"/>
    <n v="960"/>
  </r>
  <r>
    <x v="32"/>
    <s v="conventional_turnover_wacls_191"/>
    <x v="231"/>
    <n v="1"/>
    <n v="1"/>
    <n v="-160"/>
    <n v="960"/>
  </r>
  <r>
    <x v="32"/>
    <s v="conventional_turnover_wacls_192"/>
    <x v="232"/>
    <n v="1"/>
    <n v="1"/>
    <n v="-160"/>
    <n v="960"/>
  </r>
  <r>
    <x v="32"/>
    <s v="conventional_turnover_wacls_193"/>
    <x v="233"/>
    <n v="1"/>
    <n v="1"/>
    <n v="-160"/>
    <n v="960"/>
  </r>
  <r>
    <x v="32"/>
    <s v="conventional_turnover_wacls_194"/>
    <x v="234"/>
    <n v="1"/>
    <n v="1"/>
    <n v="-160"/>
    <n v="960"/>
  </r>
  <r>
    <x v="32"/>
    <s v="conventional_turnover_wacls_195"/>
    <x v="235"/>
    <n v="1"/>
    <n v="1"/>
    <n v="-160"/>
    <n v="960"/>
  </r>
  <r>
    <x v="32"/>
    <s v="conventional_turnover_wacls_196"/>
    <x v="236"/>
    <n v="1"/>
    <n v="1"/>
    <n v="-160"/>
    <n v="960"/>
  </r>
  <r>
    <x v="32"/>
    <s v="conventional_turnover_wacls_197"/>
    <x v="237"/>
    <n v="1"/>
    <n v="1"/>
    <n v="-160"/>
    <n v="960"/>
  </r>
  <r>
    <x v="32"/>
    <s v="conventional_turnover_wacls_198"/>
    <x v="238"/>
    <n v="1"/>
    <n v="1"/>
    <n v="-160"/>
    <n v="960"/>
  </r>
  <r>
    <x v="32"/>
    <s v="conventional_turnover_wacls_199"/>
    <x v="239"/>
    <n v="1"/>
    <n v="1"/>
    <n v="-160"/>
    <n v="960"/>
  </r>
  <r>
    <x v="32"/>
    <s v="conventional_turnover_wacls_200"/>
    <x v="240"/>
    <n v="1"/>
    <n v="1"/>
    <n v="-160"/>
    <n v="960"/>
  </r>
  <r>
    <x v="32"/>
    <s v="conventional_turnover_wacls_201"/>
    <x v="241"/>
    <n v="1"/>
    <n v="1"/>
    <n v="-160"/>
    <n v="960"/>
  </r>
  <r>
    <x v="32"/>
    <s v="conventional_turnover_wacls_202"/>
    <x v="242"/>
    <n v="1"/>
    <n v="1"/>
    <n v="-160"/>
    <n v="960"/>
  </r>
  <r>
    <x v="32"/>
    <s v="conventional_turnover_wacls_203"/>
    <x v="243"/>
    <n v="1"/>
    <n v="1"/>
    <n v="-160"/>
    <n v="960"/>
  </r>
  <r>
    <x v="32"/>
    <s v="conventional_turnover_wacls_204"/>
    <x v="244"/>
    <n v="1"/>
    <n v="1"/>
    <n v="-160"/>
    <n v="960"/>
  </r>
  <r>
    <x v="32"/>
    <s v="conventional_turnover_wacls_205"/>
    <x v="245"/>
    <n v="1"/>
    <n v="1"/>
    <n v="-160"/>
    <n v="960"/>
  </r>
  <r>
    <x v="32"/>
    <s v="conventional_turnover_wacls_206"/>
    <x v="246"/>
    <n v="1"/>
    <n v="1"/>
    <n v="-160"/>
    <n v="960"/>
  </r>
  <r>
    <x v="32"/>
    <s v="conventional_turnover_wacls_207"/>
    <x v="247"/>
    <n v="1"/>
    <n v="1"/>
    <n v="-160"/>
    <n v="960"/>
  </r>
  <r>
    <x v="32"/>
    <s v="conventional_turnover_wacls_208"/>
    <x v="248"/>
    <n v="1"/>
    <n v="1"/>
    <n v="-160"/>
    <n v="960"/>
  </r>
  <r>
    <x v="32"/>
    <s v="conventional_turnover_wacls_209"/>
    <x v="249"/>
    <n v="1"/>
    <n v="1"/>
    <n v="-160"/>
    <n v="960"/>
  </r>
  <r>
    <x v="32"/>
    <s v="conventional_turnover_wacls_210"/>
    <x v="250"/>
    <n v="1"/>
    <n v="1"/>
    <n v="-160"/>
    <n v="960"/>
  </r>
  <r>
    <x v="32"/>
    <s v="conventional_turnover_wacls_211"/>
    <x v="251"/>
    <n v="1"/>
    <n v="1"/>
    <n v="-160"/>
    <n v="960"/>
  </r>
  <r>
    <x v="32"/>
    <s v="conventional_turnover_wacls_212"/>
    <x v="252"/>
    <n v="1"/>
    <n v="1"/>
    <n v="-160"/>
    <n v="960"/>
  </r>
  <r>
    <x v="32"/>
    <s v="conventional_turnover_wacls_213"/>
    <x v="253"/>
    <n v="1"/>
    <n v="1"/>
    <n v="-160"/>
    <n v="960"/>
  </r>
  <r>
    <x v="32"/>
    <s v="conventional_turnover_wacls_214"/>
    <x v="254"/>
    <n v="1"/>
    <n v="1"/>
    <n v="-160"/>
    <n v="960"/>
  </r>
  <r>
    <x v="32"/>
    <s v="conventional_turnover_wacls_215"/>
    <x v="255"/>
    <n v="1"/>
    <n v="1"/>
    <n v="-160"/>
    <n v="960"/>
  </r>
  <r>
    <x v="32"/>
    <s v="conventional_turnover_wacls_216"/>
    <x v="256"/>
    <n v="1"/>
    <n v="1"/>
    <n v="-160"/>
    <n v="960"/>
  </r>
  <r>
    <x v="32"/>
    <s v="conventional_turnover_wacls_217"/>
    <x v="257"/>
    <n v="1"/>
    <n v="1"/>
    <n v="-160"/>
    <n v="960"/>
  </r>
  <r>
    <x v="32"/>
    <s v="conventional_turnover_wacls_218"/>
    <x v="258"/>
    <n v="1"/>
    <n v="1"/>
    <n v="-160"/>
    <n v="960"/>
  </r>
  <r>
    <x v="32"/>
    <s v="conventional_turnover_wacls_219"/>
    <x v="259"/>
    <n v="1"/>
    <n v="1"/>
    <n v="-160"/>
    <n v="960"/>
  </r>
  <r>
    <x v="32"/>
    <s v="conventional_turnover_wacls_220"/>
    <x v="260"/>
    <n v="1"/>
    <n v="1"/>
    <n v="-160"/>
    <n v="960"/>
  </r>
  <r>
    <x v="32"/>
    <s v="conventional_turnover_wacls_221"/>
    <x v="261"/>
    <n v="1"/>
    <n v="1"/>
    <n v="-160"/>
    <n v="960"/>
  </r>
  <r>
    <x v="32"/>
    <s v="conventional_turnover_wacls_222"/>
    <x v="262"/>
    <n v="1"/>
    <n v="1"/>
    <n v="-160"/>
    <n v="960"/>
  </r>
  <r>
    <x v="32"/>
    <s v="conventional_turnover_wacls_223"/>
    <x v="263"/>
    <n v="1"/>
    <n v="1"/>
    <n v="-160"/>
    <n v="960"/>
  </r>
  <r>
    <x v="32"/>
    <s v="conventional_turnover_wacls_224"/>
    <x v="264"/>
    <n v="1"/>
    <n v="1"/>
    <n v="-160"/>
    <n v="960"/>
  </r>
  <r>
    <x v="32"/>
    <s v="conventional_turnover_wacls_225"/>
    <x v="265"/>
    <n v="1"/>
    <n v="1"/>
    <n v="-160"/>
    <n v="960"/>
  </r>
  <r>
    <x v="32"/>
    <s v="conventional_turnover_wacls_226"/>
    <x v="266"/>
    <n v="1"/>
    <n v="1"/>
    <n v="-160"/>
    <n v="960"/>
  </r>
  <r>
    <x v="32"/>
    <s v="conventional_turnover_wacls_227"/>
    <x v="267"/>
    <n v="1"/>
    <n v="1"/>
    <n v="-160"/>
    <n v="960"/>
  </r>
  <r>
    <x v="32"/>
    <s v="conventional_turnover_wacls_228"/>
    <x v="268"/>
    <n v="1"/>
    <n v="1"/>
    <n v="-160"/>
    <n v="960"/>
  </r>
  <r>
    <x v="32"/>
    <s v="conventional_turnover_wacls_229"/>
    <x v="269"/>
    <n v="1"/>
    <n v="1"/>
    <n v="-160"/>
    <n v="960"/>
  </r>
  <r>
    <x v="32"/>
    <s v="conventional_turnover_wacls_230"/>
    <x v="270"/>
    <n v="1"/>
    <n v="1"/>
    <n v="-160"/>
    <n v="960"/>
  </r>
  <r>
    <x v="32"/>
    <s v="conventional_turnover_wacls_231"/>
    <x v="271"/>
    <n v="1"/>
    <n v="1"/>
    <n v="-160"/>
    <n v="960"/>
  </r>
  <r>
    <x v="32"/>
    <s v="conventional_turnover_wacls_232"/>
    <x v="272"/>
    <n v="1"/>
    <n v="1"/>
    <n v="-160"/>
    <n v="960"/>
  </r>
  <r>
    <x v="32"/>
    <s v="conventional_turnover_wacls_233"/>
    <x v="273"/>
    <n v="1"/>
    <n v="1"/>
    <n v="-160"/>
    <n v="960"/>
  </r>
  <r>
    <x v="32"/>
    <s v="conventional_turnover_wacls_234"/>
    <x v="274"/>
    <n v="1"/>
    <n v="1"/>
    <n v="-160"/>
    <n v="960"/>
  </r>
  <r>
    <x v="32"/>
    <s v="conventional_turnover_wacls_235"/>
    <x v="275"/>
    <n v="1"/>
    <n v="1"/>
    <n v="-160"/>
    <n v="960"/>
  </r>
  <r>
    <x v="32"/>
    <s v="conventional_turnover_wacls_236"/>
    <x v="276"/>
    <n v="1"/>
    <n v="1"/>
    <n v="-160"/>
    <n v="960"/>
  </r>
  <r>
    <x v="32"/>
    <s v="conventional_turnover_wacls_237"/>
    <x v="277"/>
    <n v="1"/>
    <n v="1"/>
    <n v="-160"/>
    <n v="960"/>
  </r>
  <r>
    <x v="32"/>
    <s v="conventional_turnover_wacls_238"/>
    <x v="278"/>
    <n v="1"/>
    <n v="1"/>
    <n v="-160"/>
    <n v="960"/>
  </r>
  <r>
    <x v="32"/>
    <s v="conventional_turnover_wacls_239"/>
    <x v="279"/>
    <n v="1"/>
    <n v="1"/>
    <n v="-160"/>
    <n v="960"/>
  </r>
  <r>
    <x v="32"/>
    <s v="conventional_turnover_wacls_240"/>
    <x v="280"/>
    <n v="1"/>
    <n v="1"/>
    <n v="-160"/>
    <n v="960"/>
  </r>
  <r>
    <x v="32"/>
    <s v="conventional_turnover_wacls_241"/>
    <x v="281"/>
    <n v="1"/>
    <n v="1"/>
    <n v="-160"/>
    <n v="960"/>
  </r>
  <r>
    <x v="32"/>
    <s v="conventional_turnover_wacls_242"/>
    <x v="282"/>
    <n v="1"/>
    <n v="1"/>
    <n v="-160"/>
    <n v="960"/>
  </r>
  <r>
    <x v="32"/>
    <s v="conventional_turnover_wacls_243"/>
    <x v="283"/>
    <n v="1"/>
    <n v="1"/>
    <n v="-160"/>
    <n v="960"/>
  </r>
  <r>
    <x v="32"/>
    <s v="conventional_turnover_wacls_244"/>
    <x v="284"/>
    <n v="1"/>
    <n v="1"/>
    <n v="-160"/>
    <n v="960"/>
  </r>
  <r>
    <x v="32"/>
    <s v="conventional_turnover_wacls_245"/>
    <x v="285"/>
    <n v="1"/>
    <n v="1"/>
    <n v="-160"/>
    <n v="960"/>
  </r>
  <r>
    <x v="32"/>
    <s v="conventional_turnover_wacls_246"/>
    <x v="286"/>
    <n v="1"/>
    <n v="1"/>
    <n v="-160"/>
    <n v="960"/>
  </r>
  <r>
    <x v="32"/>
    <s v="conventional_turnover_wacls_247"/>
    <x v="287"/>
    <n v="1"/>
    <n v="1"/>
    <n v="-160"/>
    <n v="960"/>
  </r>
  <r>
    <x v="32"/>
    <s v="conventional_turnover_wacls_248"/>
    <x v="288"/>
    <n v="1"/>
    <n v="1"/>
    <n v="-160"/>
    <n v="960"/>
  </r>
  <r>
    <x v="32"/>
    <s v="conventional_turnover_wacls_249"/>
    <x v="289"/>
    <n v="1"/>
    <n v="1"/>
    <n v="-160"/>
    <n v="960"/>
  </r>
  <r>
    <x v="32"/>
    <s v="conventional_turnover_wacls_250"/>
    <x v="290"/>
    <n v="1"/>
    <n v="1"/>
    <n v="-160"/>
    <n v="960"/>
  </r>
  <r>
    <x v="32"/>
    <s v="conventional_turnover_wacls_251"/>
    <x v="291"/>
    <n v="1"/>
    <n v="1"/>
    <n v="-160"/>
    <n v="960"/>
  </r>
  <r>
    <x v="32"/>
    <s v="conventional_turnover_wacls_252"/>
    <x v="292"/>
    <n v="1"/>
    <n v="1"/>
    <n v="-160"/>
    <n v="960"/>
  </r>
  <r>
    <x v="32"/>
    <s v="conventional_turnover_wacls_253"/>
    <x v="293"/>
    <n v="1"/>
    <n v="1"/>
    <n v="-160"/>
    <n v="960"/>
  </r>
  <r>
    <x v="32"/>
    <s v="conventional_turnover_wacls_254"/>
    <x v="294"/>
    <n v="1"/>
    <n v="1"/>
    <n v="-160"/>
    <n v="960"/>
  </r>
  <r>
    <x v="32"/>
    <s v="conventional_turnover_wacls_255"/>
    <x v="295"/>
    <n v="1"/>
    <n v="1"/>
    <n v="-160"/>
    <n v="960"/>
  </r>
  <r>
    <x v="32"/>
    <s v="conventional_turnover_wacls_256"/>
    <x v="296"/>
    <n v="1"/>
    <n v="1"/>
    <n v="-160"/>
    <n v="960"/>
  </r>
  <r>
    <x v="32"/>
    <s v="conventional_turnover_wacls_257"/>
    <x v="297"/>
    <n v="1"/>
    <n v="1"/>
    <n v="-160"/>
    <n v="960"/>
  </r>
  <r>
    <x v="32"/>
    <s v="conventional_turnover_wacls_258"/>
    <x v="298"/>
    <n v="1"/>
    <n v="1"/>
    <n v="-160"/>
    <n v="960"/>
  </r>
  <r>
    <x v="32"/>
    <s v="conventional_turnover_wacls_259"/>
    <x v="299"/>
    <n v="1"/>
    <n v="1"/>
    <n v="-160"/>
    <n v="960"/>
  </r>
  <r>
    <x v="32"/>
    <s v="conventional_turnover_wacls_260"/>
    <x v="300"/>
    <n v="1"/>
    <n v="1"/>
    <n v="-160"/>
    <n v="960"/>
  </r>
  <r>
    <x v="32"/>
    <s v="conventional_turnover_wacls_261"/>
    <x v="301"/>
    <n v="1"/>
    <n v="1"/>
    <n v="-160"/>
    <n v="960"/>
  </r>
  <r>
    <x v="32"/>
    <s v="conventional_turnover_wacls_262"/>
    <x v="302"/>
    <n v="1"/>
    <n v="1"/>
    <n v="-160"/>
    <n v="960"/>
  </r>
  <r>
    <x v="32"/>
    <s v="conventional_turnover_wacls_263"/>
    <x v="303"/>
    <n v="1"/>
    <n v="1"/>
    <n v="-160"/>
    <n v="960"/>
  </r>
  <r>
    <x v="32"/>
    <s v="conventional_turnover_wacls_264"/>
    <x v="304"/>
    <n v="1"/>
    <n v="1"/>
    <n v="-160"/>
    <n v="960"/>
  </r>
  <r>
    <x v="32"/>
    <s v="conventional_turnover_wacls_265"/>
    <x v="305"/>
    <n v="1"/>
    <n v="1"/>
    <n v="-160"/>
    <n v="960"/>
  </r>
  <r>
    <x v="32"/>
    <s v="conventional_turnover_wacls_266"/>
    <x v="306"/>
    <n v="1"/>
    <n v="1"/>
    <n v="-160"/>
    <n v="960"/>
  </r>
  <r>
    <x v="32"/>
    <s v="conventional_turnover_wacls_267"/>
    <x v="307"/>
    <n v="1"/>
    <n v="1"/>
    <n v="-160"/>
    <n v="960"/>
  </r>
  <r>
    <x v="32"/>
    <s v="conventional_turnover_wacls_268"/>
    <x v="308"/>
    <n v="1"/>
    <n v="1"/>
    <n v="-160"/>
    <n v="960"/>
  </r>
  <r>
    <x v="32"/>
    <s v="conventional_turnover_wacls_269"/>
    <x v="309"/>
    <n v="1"/>
    <n v="1"/>
    <n v="-160"/>
    <n v="960"/>
  </r>
  <r>
    <x v="32"/>
    <s v="conventional_turnover_wacls_270"/>
    <x v="310"/>
    <n v="1"/>
    <n v="1"/>
    <n v="-160"/>
    <n v="960"/>
  </r>
  <r>
    <x v="32"/>
    <s v="conventional_turnover_wacls_271"/>
    <x v="311"/>
    <n v="1"/>
    <n v="1"/>
    <n v="-160"/>
    <n v="960"/>
  </r>
  <r>
    <x v="32"/>
    <s v="conventional_turnover_wacls_272"/>
    <x v="312"/>
    <n v="1"/>
    <n v="1"/>
    <n v="-160"/>
    <n v="960"/>
  </r>
  <r>
    <x v="32"/>
    <s v="conventional_turnover_wacls_273"/>
    <x v="313"/>
    <n v="1"/>
    <n v="1"/>
    <n v="-160"/>
    <n v="960"/>
  </r>
  <r>
    <x v="32"/>
    <s v="conventional_turnover_wacls_274"/>
    <x v="314"/>
    <n v="1"/>
    <n v="1"/>
    <n v="-160"/>
    <n v="960"/>
  </r>
  <r>
    <x v="32"/>
    <s v="conventional_turnover_wacls_275"/>
    <x v="315"/>
    <n v="1"/>
    <n v="1"/>
    <n v="-160"/>
    <n v="960"/>
  </r>
  <r>
    <x v="32"/>
    <s v="conventional_turnover_wacls_276"/>
    <x v="316"/>
    <n v="1"/>
    <n v="1"/>
    <n v="-160"/>
    <n v="960"/>
  </r>
  <r>
    <x v="32"/>
    <s v="conventional_turnover_wacls_277"/>
    <x v="317"/>
    <n v="1"/>
    <n v="1"/>
    <n v="-160"/>
    <n v="960"/>
  </r>
  <r>
    <x v="32"/>
    <s v="conventional_turnover_wacls_278"/>
    <x v="318"/>
    <n v="1"/>
    <n v="1"/>
    <n v="-160"/>
    <n v="960"/>
  </r>
  <r>
    <x v="32"/>
    <s v="conventional_turnover_wacls_279"/>
    <x v="319"/>
    <n v="1"/>
    <n v="1"/>
    <n v="-160"/>
    <n v="960"/>
  </r>
  <r>
    <x v="32"/>
    <s v="conventional_turnover_wacls_280"/>
    <x v="320"/>
    <n v="1"/>
    <n v="1"/>
    <n v="-160"/>
    <n v="960"/>
  </r>
  <r>
    <x v="32"/>
    <s v="conventional_turnover_wacls_281"/>
    <x v="321"/>
    <n v="1"/>
    <n v="1"/>
    <n v="-160"/>
    <n v="960"/>
  </r>
  <r>
    <x v="32"/>
    <s v="conventional_turnover_wacls_282"/>
    <x v="322"/>
    <n v="1"/>
    <n v="1"/>
    <n v="-160"/>
    <n v="960"/>
  </r>
  <r>
    <x v="32"/>
    <s v="conventional_turnover_wacls_283"/>
    <x v="323"/>
    <n v="1"/>
    <n v="1"/>
    <n v="-160"/>
    <n v="960"/>
  </r>
  <r>
    <x v="32"/>
    <s v="conventional_turnover_wacls_284"/>
    <x v="324"/>
    <n v="1"/>
    <n v="1"/>
    <n v="-160"/>
    <n v="960"/>
  </r>
  <r>
    <x v="32"/>
    <s v="conventional_turnover_wacls_285"/>
    <x v="325"/>
    <n v="1"/>
    <n v="1"/>
    <n v="-160"/>
    <n v="960"/>
  </r>
  <r>
    <x v="32"/>
    <s v="conventional_turnover_wacls_286"/>
    <x v="326"/>
    <n v="1"/>
    <n v="1"/>
    <n v="-160"/>
    <n v="960"/>
  </r>
  <r>
    <x v="32"/>
    <s v="conventional_turnover_wacls_287"/>
    <x v="327"/>
    <n v="1"/>
    <n v="1"/>
    <n v="-160"/>
    <n v="960"/>
  </r>
  <r>
    <x v="32"/>
    <s v="conventional_turnover_wacls_288"/>
    <x v="328"/>
    <n v="1"/>
    <n v="1"/>
    <n v="-160"/>
    <n v="960"/>
  </r>
  <r>
    <x v="32"/>
    <s v="conventional_turnover_wacls_289"/>
    <x v="329"/>
    <n v="1"/>
    <n v="1"/>
    <n v="-160"/>
    <n v="960"/>
  </r>
  <r>
    <x v="32"/>
    <s v="conventional_turnover_wacls_290"/>
    <x v="330"/>
    <n v="1"/>
    <n v="1"/>
    <n v="-160"/>
    <n v="960"/>
  </r>
  <r>
    <x v="32"/>
    <s v="conventional_turnover_wacls_291"/>
    <x v="331"/>
    <n v="1"/>
    <n v="1"/>
    <n v="-160"/>
    <n v="960"/>
  </r>
  <r>
    <x v="32"/>
    <s v="conventional_turnover_wacls_292"/>
    <x v="332"/>
    <n v="1"/>
    <n v="1"/>
    <n v="-160"/>
    <n v="960"/>
  </r>
  <r>
    <x v="32"/>
    <s v="conventional_turnover_wacls_293"/>
    <x v="333"/>
    <n v="1"/>
    <n v="1"/>
    <n v="-160"/>
    <n v="960"/>
  </r>
  <r>
    <x v="32"/>
    <s v="conventional_turnover_wacls_294"/>
    <x v="334"/>
    <n v="1"/>
    <n v="1"/>
    <n v="-160"/>
    <n v="960"/>
  </r>
  <r>
    <x v="32"/>
    <s v="conventional_turnover_wacls_295"/>
    <x v="335"/>
    <n v="1"/>
    <n v="1"/>
    <n v="-160"/>
    <n v="960"/>
  </r>
  <r>
    <x v="32"/>
    <s v="conventional_turnover_wacls_296"/>
    <x v="336"/>
    <n v="1"/>
    <n v="1"/>
    <n v="-160"/>
    <n v="960"/>
  </r>
  <r>
    <x v="32"/>
    <s v="conventional_turnover_wacls_297"/>
    <x v="337"/>
    <n v="1"/>
    <n v="1"/>
    <n v="-160"/>
    <n v="960"/>
  </r>
  <r>
    <x v="32"/>
    <s v="conventional_turnover_wacls_298"/>
    <x v="338"/>
    <n v="1"/>
    <n v="1"/>
    <n v="-160"/>
    <n v="960"/>
  </r>
  <r>
    <x v="32"/>
    <s v="conventional_turnover_wacls_299"/>
    <x v="339"/>
    <n v="1"/>
    <n v="1"/>
    <n v="-160"/>
    <n v="960"/>
  </r>
  <r>
    <x v="32"/>
    <s v="conventional_turnover_wacls_300"/>
    <x v="340"/>
    <n v="1"/>
    <n v="1"/>
    <n v="-160"/>
    <n v="960"/>
  </r>
  <r>
    <x v="32"/>
    <s v="conventional_turnover_wacls_301"/>
    <x v="341"/>
    <n v="1"/>
    <n v="1"/>
    <n v="-160"/>
    <n v="960"/>
  </r>
  <r>
    <x v="32"/>
    <s v="conventional_turnover_wacls_302"/>
    <x v="342"/>
    <n v="1"/>
    <n v="1"/>
    <n v="-160"/>
    <n v="960"/>
  </r>
  <r>
    <x v="32"/>
    <s v="conventional_turnover_wacls_303"/>
    <x v="343"/>
    <n v="1"/>
    <n v="1"/>
    <n v="-160"/>
    <n v="960"/>
  </r>
  <r>
    <x v="32"/>
    <s v="conventional_turnover_wacls_304"/>
    <x v="344"/>
    <n v="1"/>
    <n v="1"/>
    <n v="-160"/>
    <n v="960"/>
  </r>
  <r>
    <x v="32"/>
    <s v="conventional_turnover_wacls_305"/>
    <x v="345"/>
    <n v="1"/>
    <n v="1"/>
    <n v="-160"/>
    <n v="960"/>
  </r>
  <r>
    <x v="32"/>
    <s v="conventional_turnover_wacls_306"/>
    <x v="346"/>
    <n v="1"/>
    <n v="1"/>
    <n v="-160"/>
    <n v="960"/>
  </r>
  <r>
    <x v="32"/>
    <s v="conventional_turnover_wacls_307"/>
    <x v="347"/>
    <n v="1"/>
    <n v="1"/>
    <n v="-160"/>
    <n v="960"/>
  </r>
  <r>
    <x v="32"/>
    <s v="conventional_turnover_wacls_308"/>
    <x v="348"/>
    <n v="1"/>
    <n v="1"/>
    <n v="-160"/>
    <n v="960"/>
  </r>
  <r>
    <x v="32"/>
    <s v="conventional_turnover_wacls_309"/>
    <x v="349"/>
    <n v="1"/>
    <n v="1"/>
    <n v="-160"/>
    <n v="960"/>
  </r>
  <r>
    <x v="32"/>
    <s v="conventional_turnover_wacls_310"/>
    <x v="350"/>
    <n v="1"/>
    <n v="1"/>
    <n v="-160"/>
    <n v="960"/>
  </r>
  <r>
    <x v="32"/>
    <s v="conventional_turnover_wacls_311"/>
    <x v="351"/>
    <n v="1"/>
    <n v="1"/>
    <n v="-160"/>
    <n v="960"/>
  </r>
  <r>
    <x v="32"/>
    <s v="conventional_turnover_wacls_312"/>
    <x v="352"/>
    <n v="1"/>
    <n v="1"/>
    <n v="-160"/>
    <n v="960"/>
  </r>
  <r>
    <x v="32"/>
    <s v="conventional_turnover_wacls_313"/>
    <x v="353"/>
    <n v="1"/>
    <n v="1"/>
    <n v="-160"/>
    <n v="960"/>
  </r>
  <r>
    <x v="32"/>
    <s v="conventional_turnover_wacls_314"/>
    <x v="354"/>
    <n v="1"/>
    <n v="1"/>
    <n v="-160"/>
    <n v="960"/>
  </r>
  <r>
    <x v="32"/>
    <s v="conventional_turnover_wacls_315"/>
    <x v="355"/>
    <n v="1"/>
    <n v="1"/>
    <n v="-160"/>
    <n v="960"/>
  </r>
  <r>
    <x v="32"/>
    <s v="conventional_turnover_wacls_316"/>
    <x v="356"/>
    <n v="1"/>
    <n v="1"/>
    <n v="-160"/>
    <n v="960"/>
  </r>
  <r>
    <x v="32"/>
    <s v="conventional_turnover_wacls_317"/>
    <x v="357"/>
    <n v="1"/>
    <n v="1"/>
    <n v="-160"/>
    <n v="960"/>
  </r>
  <r>
    <x v="32"/>
    <s v="conventional_turnover_wacls_318"/>
    <x v="358"/>
    <n v="1"/>
    <n v="1"/>
    <n v="-160"/>
    <n v="960"/>
  </r>
  <r>
    <x v="32"/>
    <s v="conventional_turnover_wacls_319"/>
    <x v="359"/>
    <n v="1"/>
    <n v="1"/>
    <n v="-160"/>
    <n v="960"/>
  </r>
  <r>
    <x v="32"/>
    <s v="conventional_turnover_wacls_320"/>
    <x v="360"/>
    <n v="1"/>
    <n v="1"/>
    <n v="-160"/>
    <n v="960"/>
  </r>
  <r>
    <x v="32"/>
    <s v="conventional_turnover_wacls_321"/>
    <x v="361"/>
    <n v="1"/>
    <n v="1"/>
    <n v="-160"/>
    <n v="960"/>
  </r>
  <r>
    <x v="32"/>
    <s v="conventional_turnover_wacls_322"/>
    <x v="362"/>
    <n v="1"/>
    <n v="1"/>
    <n v="-160"/>
    <n v="960"/>
  </r>
  <r>
    <x v="32"/>
    <s v="conventional_turnover_wacls_323"/>
    <x v="363"/>
    <n v="1"/>
    <n v="1"/>
    <n v="-160"/>
    <n v="960"/>
  </r>
  <r>
    <x v="32"/>
    <s v="conventional_turnover_wacls_324"/>
    <x v="364"/>
    <n v="1"/>
    <n v="1"/>
    <n v="-160"/>
    <n v="960"/>
  </r>
  <r>
    <x v="32"/>
    <s v="conventional_turnover_wacls_325"/>
    <x v="365"/>
    <n v="1"/>
    <n v="1"/>
    <n v="-160"/>
    <n v="960"/>
  </r>
  <r>
    <x v="32"/>
    <s v="conventional_turnover_wacls_326"/>
    <x v="366"/>
    <n v="1"/>
    <n v="1"/>
    <n v="-160"/>
    <n v="960"/>
  </r>
  <r>
    <x v="32"/>
    <s v="conventional_turnover_wacls_327"/>
    <x v="367"/>
    <n v="1"/>
    <n v="1"/>
    <n v="-160"/>
    <n v="960"/>
  </r>
  <r>
    <x v="32"/>
    <s v="conventional_turnover_wacls_328"/>
    <x v="368"/>
    <n v="1"/>
    <n v="1"/>
    <n v="-160"/>
    <n v="960"/>
  </r>
  <r>
    <x v="32"/>
    <s v="conventional_turnover_wacls_329"/>
    <x v="369"/>
    <n v="1"/>
    <n v="1"/>
    <n v="-160"/>
    <n v="960"/>
  </r>
  <r>
    <x v="32"/>
    <s v="conventional_turnover_wacls_330"/>
    <x v="370"/>
    <n v="1"/>
    <n v="1"/>
    <n v="-160"/>
    <n v="960"/>
  </r>
  <r>
    <x v="32"/>
    <s v="conventional_turnover_wacls_331"/>
    <x v="371"/>
    <n v="1"/>
    <n v="1"/>
    <n v="-160"/>
    <n v="960"/>
  </r>
  <r>
    <x v="32"/>
    <s v="conventional_turnover_wacls_332"/>
    <x v="372"/>
    <n v="1"/>
    <n v="1"/>
    <n v="-160"/>
    <n v="960"/>
  </r>
  <r>
    <x v="32"/>
    <s v="conventional_turnover_wacls_333"/>
    <x v="373"/>
    <n v="1"/>
    <n v="1"/>
    <n v="-160"/>
    <n v="960"/>
  </r>
  <r>
    <x v="32"/>
    <s v="conventional_turnover_wacls_334"/>
    <x v="374"/>
    <n v="1"/>
    <n v="1"/>
    <n v="-160"/>
    <n v="960"/>
  </r>
  <r>
    <x v="32"/>
    <s v="conventional_turnover_wacls_335"/>
    <x v="375"/>
    <n v="1"/>
    <n v="1"/>
    <n v="-160"/>
    <n v="960"/>
  </r>
  <r>
    <x v="32"/>
    <s v="conventional_turnover_wacls_336"/>
    <x v="376"/>
    <n v="1"/>
    <n v="1"/>
    <n v="-160"/>
    <n v="960"/>
  </r>
  <r>
    <x v="32"/>
    <s v="conventional_turnover_wacls_337"/>
    <x v="377"/>
    <n v="1"/>
    <n v="1"/>
    <n v="-160"/>
    <n v="960"/>
  </r>
  <r>
    <x v="32"/>
    <s v="conventional_turnover_wacls_338"/>
    <x v="378"/>
    <n v="1"/>
    <n v="1"/>
    <n v="-160"/>
    <n v="960"/>
  </r>
  <r>
    <x v="32"/>
    <s v="conventional_turnover_wacls_339"/>
    <x v="379"/>
    <n v="1"/>
    <n v="1"/>
    <n v="-160"/>
    <n v="960"/>
  </r>
  <r>
    <x v="32"/>
    <s v="conventional_turnover_wacls_340"/>
    <x v="380"/>
    <n v="1"/>
    <n v="1"/>
    <n v="-160"/>
    <n v="960"/>
  </r>
  <r>
    <x v="32"/>
    <s v="conventional_turnover_wacls_341"/>
    <x v="381"/>
    <n v="1"/>
    <n v="1"/>
    <n v="-160"/>
    <n v="960"/>
  </r>
  <r>
    <x v="32"/>
    <s v="conventional_turnover_wacls_342"/>
    <x v="382"/>
    <n v="1"/>
    <n v="1"/>
    <n v="-160"/>
    <n v="960"/>
  </r>
  <r>
    <x v="32"/>
    <s v="conventional_turnover_wacls_343"/>
    <x v="383"/>
    <n v="1"/>
    <n v="1"/>
    <n v="-160"/>
    <n v="960"/>
  </r>
  <r>
    <x v="32"/>
    <s v="conventional_turnover_wacls_344"/>
    <x v="384"/>
    <n v="1"/>
    <n v="1"/>
    <n v="-160"/>
    <n v="960"/>
  </r>
  <r>
    <x v="32"/>
    <s v="conventional_turnover_wacls_345"/>
    <x v="385"/>
    <n v="1"/>
    <n v="1"/>
    <n v="-160"/>
    <n v="960"/>
  </r>
  <r>
    <x v="32"/>
    <s v="conventional_turnover_wacls_346"/>
    <x v="386"/>
    <n v="1"/>
    <n v="1"/>
    <n v="-160"/>
    <n v="960"/>
  </r>
  <r>
    <x v="32"/>
    <s v="conventional_turnover_wacls_347"/>
    <x v="387"/>
    <n v="1"/>
    <n v="1"/>
    <n v="-160"/>
    <n v="960"/>
  </r>
  <r>
    <x v="32"/>
    <s v="conventional_turnover_wacls_348"/>
    <x v="388"/>
    <n v="1"/>
    <n v="1"/>
    <n v="-160"/>
    <n v="960"/>
  </r>
  <r>
    <x v="32"/>
    <s v="conventional_turnover_wacls_349"/>
    <x v="389"/>
    <n v="1"/>
    <n v="1"/>
    <n v="-160"/>
    <n v="960"/>
  </r>
  <r>
    <x v="32"/>
    <s v="conventional_turnover_wacls_350"/>
    <x v="390"/>
    <n v="1"/>
    <n v="1"/>
    <n v="-160"/>
    <n v="960"/>
  </r>
  <r>
    <x v="32"/>
    <s v="conventional_turnover_wacls_351"/>
    <x v="391"/>
    <n v="1"/>
    <n v="1"/>
    <n v="-160"/>
    <n v="960"/>
  </r>
  <r>
    <x v="32"/>
    <s v="conventional_turnover_wacls_352"/>
    <x v="392"/>
    <n v="1"/>
    <n v="1"/>
    <n v="-160"/>
    <n v="960"/>
  </r>
  <r>
    <x v="32"/>
    <s v="conventional_turnover_wacls_353"/>
    <x v="393"/>
    <n v="1"/>
    <n v="1"/>
    <n v="-160"/>
    <n v="960"/>
  </r>
  <r>
    <x v="32"/>
    <s v="conventional_turnover_wacls_354"/>
    <x v="394"/>
    <n v="1"/>
    <n v="1"/>
    <n v="-160"/>
    <n v="960"/>
  </r>
  <r>
    <x v="32"/>
    <s v="conventional_turnover_wacls_355"/>
    <x v="395"/>
    <n v="1"/>
    <n v="1"/>
    <n v="-160"/>
    <n v="960"/>
  </r>
  <r>
    <x v="32"/>
    <s v="conventional_turnover_wacls_356"/>
    <x v="396"/>
    <n v="1"/>
    <n v="1"/>
    <n v="-160"/>
    <n v="960"/>
  </r>
  <r>
    <x v="32"/>
    <s v="conventional_turnover_wacls_357"/>
    <x v="397"/>
    <n v="1"/>
    <n v="1"/>
    <n v="-160"/>
    <n v="960"/>
  </r>
  <r>
    <x v="32"/>
    <s v="conventional_turnover_wacls_358"/>
    <x v="398"/>
    <n v="1"/>
    <n v="1"/>
    <n v="-160"/>
    <n v="960"/>
  </r>
  <r>
    <x v="32"/>
    <s v="conventional_turnover_wacls_359"/>
    <x v="399"/>
    <n v="1"/>
    <n v="1"/>
    <n v="-160"/>
    <n v="960"/>
  </r>
  <r>
    <x v="32"/>
    <s v="conventional_turnover_wacls_360"/>
    <x v="400"/>
    <n v="1"/>
    <n v="1"/>
    <n v="-160"/>
    <n v="960"/>
  </r>
  <r>
    <x v="32"/>
    <s v="conventional_turnover_wacls_361"/>
    <x v="401"/>
    <n v="1"/>
    <n v="1"/>
    <n v="-160"/>
    <n v="960"/>
  </r>
  <r>
    <x v="32"/>
    <s v="conventional_turnover_wacls_362"/>
    <x v="402"/>
    <n v="1"/>
    <n v="1"/>
    <n v="-160"/>
    <n v="960"/>
  </r>
  <r>
    <x v="32"/>
    <s v="conventional_turnover_wacls_363"/>
    <x v="403"/>
    <n v="1"/>
    <n v="1"/>
    <n v="-160"/>
    <n v="960"/>
  </r>
  <r>
    <x v="32"/>
    <s v="conventional_turnover_wacls_364"/>
    <x v="404"/>
    <n v="1"/>
    <n v="1"/>
    <n v="-160"/>
    <n v="960"/>
  </r>
  <r>
    <x v="32"/>
    <s v="conventional_turnover_wacls_365"/>
    <x v="405"/>
    <n v="1"/>
    <n v="1"/>
    <n v="-160"/>
    <n v="960"/>
  </r>
  <r>
    <x v="32"/>
    <s v="conventional_turnover_wacls_366"/>
    <x v="406"/>
    <n v="1"/>
    <n v="1"/>
    <n v="-160"/>
    <n v="960"/>
  </r>
  <r>
    <x v="32"/>
    <s v="conventional_turnover_wacls_367"/>
    <x v="407"/>
    <n v="1"/>
    <n v="1"/>
    <n v="-160"/>
    <n v="960"/>
  </r>
  <r>
    <x v="32"/>
    <s v="conventional_turnover_wacls_368"/>
    <x v="408"/>
    <n v="1"/>
    <n v="1"/>
    <n v="-160"/>
    <n v="960"/>
  </r>
  <r>
    <x v="32"/>
    <s v="conventional_turnover_wacls_369"/>
    <x v="409"/>
    <n v="1"/>
    <n v="1"/>
    <n v="-160"/>
    <n v="960"/>
  </r>
  <r>
    <x v="32"/>
    <s v="conventional_turnover_wacls_370"/>
    <x v="410"/>
    <n v="1"/>
    <n v="1"/>
    <n v="-160"/>
    <n v="960"/>
  </r>
  <r>
    <x v="32"/>
    <s v="conventional_turnover_wacls_371"/>
    <x v="411"/>
    <n v="1"/>
    <n v="1"/>
    <n v="-160"/>
    <n v="960"/>
  </r>
  <r>
    <x v="32"/>
    <s v="conventional_turnover_wacls_372"/>
    <x v="412"/>
    <n v="1"/>
    <n v="1"/>
    <n v="-160"/>
    <n v="960"/>
  </r>
  <r>
    <x v="32"/>
    <s v="conventional_turnover_wacls_373"/>
    <x v="413"/>
    <n v="1"/>
    <n v="1"/>
    <n v="-160"/>
    <n v="960"/>
  </r>
  <r>
    <x v="32"/>
    <s v="conventional_turnover_wacls_374"/>
    <x v="414"/>
    <n v="1"/>
    <n v="1"/>
    <n v="-160"/>
    <n v="960"/>
  </r>
  <r>
    <x v="32"/>
    <s v="conventional_turnover_wacls_375"/>
    <x v="415"/>
    <n v="1"/>
    <n v="1"/>
    <n v="-160"/>
    <n v="960"/>
  </r>
  <r>
    <x v="32"/>
    <s v="conventional_turnover_wacls_376"/>
    <x v="416"/>
    <n v="1"/>
    <n v="1"/>
    <n v="-160"/>
    <n v="960"/>
  </r>
  <r>
    <x v="32"/>
    <s v="conventional_turnover_wacls_377"/>
    <x v="417"/>
    <n v="1"/>
    <n v="1"/>
    <n v="-160"/>
    <n v="960"/>
  </r>
  <r>
    <x v="32"/>
    <s v="conventional_turnover_wacls_378"/>
    <x v="418"/>
    <n v="1"/>
    <n v="1"/>
    <n v="-160"/>
    <n v="960"/>
  </r>
  <r>
    <x v="32"/>
    <s v="conventional_turnover_wacls_379"/>
    <x v="419"/>
    <n v="1"/>
    <n v="1"/>
    <n v="-160"/>
    <n v="960"/>
  </r>
  <r>
    <x v="32"/>
    <s v="conventional_turnover_wacls_380"/>
    <x v="420"/>
    <n v="1"/>
    <n v="1"/>
    <n v="-160"/>
    <n v="960"/>
  </r>
  <r>
    <x v="32"/>
    <s v="conventional_turnover_wacls_381"/>
    <x v="421"/>
    <n v="1"/>
    <n v="1"/>
    <n v="-160"/>
    <n v="960"/>
  </r>
  <r>
    <x v="32"/>
    <s v="conventional_turnover_wacls_382"/>
    <x v="422"/>
    <n v="1"/>
    <n v="1"/>
    <n v="-160"/>
    <n v="960"/>
  </r>
  <r>
    <x v="32"/>
    <s v="conventional_turnover_wacls_383"/>
    <x v="423"/>
    <n v="1"/>
    <n v="1"/>
    <n v="-160"/>
    <n v="960"/>
  </r>
  <r>
    <x v="32"/>
    <s v="conventional_turnover_wacls_384"/>
    <x v="424"/>
    <n v="1"/>
    <n v="1"/>
    <n v="-160"/>
    <n v="960"/>
  </r>
  <r>
    <x v="32"/>
    <s v="conventional_turnover_wacls_385"/>
    <x v="425"/>
    <n v="1"/>
    <n v="1"/>
    <n v="-160"/>
    <n v="960"/>
  </r>
  <r>
    <x v="32"/>
    <s v="conventional_turnover_wacls_386"/>
    <x v="426"/>
    <n v="1"/>
    <n v="1"/>
    <n v="-160"/>
    <n v="960"/>
  </r>
  <r>
    <x v="32"/>
    <s v="conventional_turnover_wacls_387"/>
    <x v="427"/>
    <n v="1"/>
    <n v="1"/>
    <n v="-160"/>
    <n v="960"/>
  </r>
  <r>
    <x v="32"/>
    <s v="conventional_turnover_wacls_388"/>
    <x v="428"/>
    <n v="1"/>
    <n v="1"/>
    <n v="-160"/>
    <n v="960"/>
  </r>
  <r>
    <x v="32"/>
    <s v="conventional_turnover_wacls_389"/>
    <x v="429"/>
    <n v="1"/>
    <n v="1"/>
    <n v="-160"/>
    <n v="960"/>
  </r>
  <r>
    <x v="32"/>
    <s v="conventional_turnover_wacls_390"/>
    <x v="430"/>
    <n v="1"/>
    <n v="1"/>
    <n v="-160"/>
    <n v="960"/>
  </r>
  <r>
    <x v="32"/>
    <s v="conventional_turnover_wacls_391"/>
    <x v="431"/>
    <n v="1"/>
    <n v="1"/>
    <n v="-160"/>
    <n v="960"/>
  </r>
  <r>
    <x v="32"/>
    <s v="conventional_turnover_wacls_392"/>
    <x v="432"/>
    <n v="1"/>
    <n v="1"/>
    <n v="-160"/>
    <n v="960"/>
  </r>
  <r>
    <x v="32"/>
    <s v="conventional_turnover_wacls_393"/>
    <x v="433"/>
    <n v="1"/>
    <n v="1"/>
    <n v="-160"/>
    <n v="960"/>
  </r>
  <r>
    <x v="32"/>
    <s v="conventional_turnover_wacls_394"/>
    <x v="434"/>
    <n v="1"/>
    <n v="1"/>
    <n v="-160"/>
    <n v="960"/>
  </r>
  <r>
    <x v="32"/>
    <s v="conventional_turnover_wacls_395"/>
    <x v="435"/>
    <n v="1"/>
    <n v="1"/>
    <n v="-160"/>
    <n v="960"/>
  </r>
  <r>
    <x v="32"/>
    <s v="conventional_turnover_wacls_396"/>
    <x v="436"/>
    <n v="1"/>
    <n v="1"/>
    <n v="-160"/>
    <n v="960"/>
  </r>
  <r>
    <x v="32"/>
    <s v="conventional_turnover_wacls_397"/>
    <x v="437"/>
    <n v="1"/>
    <n v="1"/>
    <n v="-160"/>
    <n v="960"/>
  </r>
  <r>
    <x v="32"/>
    <s v="conventional_turnover_wacls_398"/>
    <x v="438"/>
    <n v="1"/>
    <n v="1"/>
    <n v="-160"/>
    <n v="960"/>
  </r>
  <r>
    <x v="32"/>
    <s v="conventional_turnover_wacls_399"/>
    <x v="439"/>
    <n v="1"/>
    <n v="1"/>
    <n v="-160"/>
    <n v="960"/>
  </r>
  <r>
    <x v="32"/>
    <s v="conventional_turnover_wacls_400"/>
    <x v="440"/>
    <n v="1"/>
    <n v="1"/>
    <n v="-160"/>
    <n v="960"/>
  </r>
  <r>
    <x v="32"/>
    <s v="conventional_turnover_wacls_401"/>
    <x v="441"/>
    <n v="1"/>
    <n v="1"/>
    <n v="-160"/>
    <n v="960"/>
  </r>
  <r>
    <x v="32"/>
    <s v="conventional_turnover_wacls_402"/>
    <x v="442"/>
    <n v="1"/>
    <n v="1"/>
    <n v="-160"/>
    <n v="960"/>
  </r>
  <r>
    <x v="32"/>
    <s v="conventional_turnover_wacls_403"/>
    <x v="443"/>
    <n v="1"/>
    <n v="1"/>
    <n v="-160"/>
    <n v="960"/>
  </r>
  <r>
    <x v="32"/>
    <s v="conventional_turnover_wacls_404"/>
    <x v="444"/>
    <n v="1"/>
    <n v="1"/>
    <n v="-160"/>
    <n v="960"/>
  </r>
  <r>
    <x v="32"/>
    <s v="conventional_turnover_wacls_405"/>
    <x v="445"/>
    <n v="1"/>
    <n v="1"/>
    <n v="-160"/>
    <n v="960"/>
  </r>
  <r>
    <x v="32"/>
    <s v="conventional_turnover_wacls_406"/>
    <x v="446"/>
    <n v="1"/>
    <n v="1"/>
    <n v="-160"/>
    <n v="960"/>
  </r>
  <r>
    <x v="32"/>
    <s v="conventional_turnover_wacls_407"/>
    <x v="447"/>
    <n v="1"/>
    <n v="1"/>
    <n v="-160"/>
    <n v="960"/>
  </r>
  <r>
    <x v="32"/>
    <s v="conventional_turnover_wacls_408"/>
    <x v="448"/>
    <n v="1"/>
    <n v="1"/>
    <n v="-160"/>
    <n v="960"/>
  </r>
  <r>
    <x v="32"/>
    <s v="conventional_turnover_wacls_409"/>
    <x v="449"/>
    <n v="1"/>
    <n v="1"/>
    <n v="-160"/>
    <n v="960"/>
  </r>
  <r>
    <x v="32"/>
    <s v="conventional_turnover_wacls_410"/>
    <x v="450"/>
    <n v="1"/>
    <n v="1"/>
    <n v="-160"/>
    <n v="960"/>
  </r>
  <r>
    <x v="32"/>
    <s v="conventional_turnover_wacls_411"/>
    <x v="451"/>
    <n v="1"/>
    <n v="1"/>
    <n v="-160"/>
    <n v="960"/>
  </r>
  <r>
    <x v="32"/>
    <s v="conventional_turnover_wacls_412"/>
    <x v="452"/>
    <n v="1"/>
    <n v="1"/>
    <n v="-160"/>
    <n v="960"/>
  </r>
  <r>
    <x v="32"/>
    <s v="conventional_turnover_wacls_413"/>
    <x v="453"/>
    <n v="1"/>
    <n v="1"/>
    <n v="-160"/>
    <n v="960"/>
  </r>
  <r>
    <x v="32"/>
    <s v="conventional_turnover_wacls_414"/>
    <x v="454"/>
    <n v="1"/>
    <n v="1"/>
    <n v="-160"/>
    <n v="960"/>
  </r>
  <r>
    <x v="32"/>
    <s v="conventional_turnover_wacls_415"/>
    <x v="455"/>
    <n v="1"/>
    <n v="1"/>
    <n v="-160"/>
    <n v="960"/>
  </r>
  <r>
    <x v="32"/>
    <s v="conventional_turnover_wacls_416"/>
    <x v="456"/>
    <n v="1"/>
    <n v="1"/>
    <n v="-160"/>
    <n v="960"/>
  </r>
  <r>
    <x v="32"/>
    <s v="conventional_turnover_wacls_417"/>
    <x v="457"/>
    <n v="1"/>
    <n v="1"/>
    <n v="-160"/>
    <n v="960"/>
  </r>
  <r>
    <x v="32"/>
    <s v="conventional_turnover_wacls_418"/>
    <x v="458"/>
    <n v="1"/>
    <n v="1"/>
    <n v="-160"/>
    <n v="960"/>
  </r>
  <r>
    <x v="32"/>
    <s v="conventional_turnover_wacls_419"/>
    <x v="459"/>
    <n v="1"/>
    <n v="1"/>
    <n v="-160"/>
    <n v="960"/>
  </r>
  <r>
    <x v="32"/>
    <s v="conventional_turnover_wacls_420"/>
    <x v="460"/>
    <n v="1"/>
    <n v="1"/>
    <n v="-160"/>
    <n v="960"/>
  </r>
  <r>
    <x v="32"/>
    <s v="conventional_turnover_wacls_421"/>
    <x v="461"/>
    <n v="1"/>
    <n v="1"/>
    <n v="-160"/>
    <n v="960"/>
  </r>
  <r>
    <x v="32"/>
    <s v="conventional_turnover_wacls_422"/>
    <x v="462"/>
    <n v="1"/>
    <n v="1"/>
    <n v="-160"/>
    <n v="960"/>
  </r>
  <r>
    <x v="32"/>
    <s v="conventional_turnover_wacls_423"/>
    <x v="463"/>
    <n v="1"/>
    <n v="1"/>
    <n v="-160"/>
    <n v="960"/>
  </r>
  <r>
    <x v="32"/>
    <s v="conventional_turnover_wacls_424"/>
    <x v="464"/>
    <n v="1"/>
    <n v="1"/>
    <n v="-160"/>
    <n v="960"/>
  </r>
  <r>
    <x v="32"/>
    <s v="conventional_turnover_wacls_425"/>
    <x v="465"/>
    <n v="1"/>
    <n v="1"/>
    <n v="-160"/>
    <n v="960"/>
  </r>
  <r>
    <x v="32"/>
    <s v="conventional_turnover_wacls_426"/>
    <x v="466"/>
    <n v="1"/>
    <n v="1"/>
    <n v="-160"/>
    <n v="960"/>
  </r>
  <r>
    <x v="32"/>
    <s v="conventional_turnover_wacls_427"/>
    <x v="467"/>
    <n v="1"/>
    <n v="1"/>
    <n v="-160"/>
    <n v="960"/>
  </r>
  <r>
    <x v="32"/>
    <s v="conventional_turnover_wacls_428"/>
    <x v="468"/>
    <n v="1"/>
    <n v="1"/>
    <n v="-160"/>
    <n v="960"/>
  </r>
  <r>
    <x v="32"/>
    <s v="conventional_turnover_wacls_429"/>
    <x v="469"/>
    <n v="1"/>
    <n v="1"/>
    <n v="-160"/>
    <n v="960"/>
  </r>
  <r>
    <x v="32"/>
    <s v="conventional_turnover_wacls_430"/>
    <x v="470"/>
    <n v="1"/>
    <n v="1"/>
    <n v="-160"/>
    <n v="960"/>
  </r>
  <r>
    <x v="32"/>
    <s v="conventional_turnover_wacls_431"/>
    <x v="471"/>
    <n v="1"/>
    <n v="1"/>
    <n v="-160"/>
    <n v="960"/>
  </r>
  <r>
    <x v="32"/>
    <s v="conventional_turnover_wacls_432"/>
    <x v="472"/>
    <n v="1"/>
    <n v="1"/>
    <n v="-160"/>
    <n v="960"/>
  </r>
  <r>
    <x v="32"/>
    <s v="conventional_turnover_wacls_433"/>
    <x v="473"/>
    <n v="1"/>
    <n v="1"/>
    <n v="-160"/>
    <n v="960"/>
  </r>
  <r>
    <x v="32"/>
    <s v="conventional_turnover_wacls_434"/>
    <x v="474"/>
    <n v="1"/>
    <n v="1"/>
    <n v="-160"/>
    <n v="960"/>
  </r>
  <r>
    <x v="32"/>
    <s v="conventional_turnover_wacls_435"/>
    <x v="475"/>
    <n v="1"/>
    <n v="1"/>
    <n v="-160"/>
    <n v="960"/>
  </r>
  <r>
    <x v="32"/>
    <s v="conventional_turnover_wacls_436"/>
    <x v="476"/>
    <n v="1"/>
    <n v="1"/>
    <n v="-160"/>
    <n v="960"/>
  </r>
  <r>
    <x v="32"/>
    <s v="conventional_turnover_wacls_437"/>
    <x v="477"/>
    <n v="1"/>
    <n v="1"/>
    <n v="-160"/>
    <n v="960"/>
  </r>
  <r>
    <x v="32"/>
    <s v="conventional_turnover_wacls_438"/>
    <x v="478"/>
    <n v="1"/>
    <n v="1"/>
    <n v="-160"/>
    <n v="960"/>
  </r>
  <r>
    <x v="32"/>
    <s v="conventional_turnover_wacls_439"/>
    <x v="479"/>
    <n v="1"/>
    <n v="1"/>
    <n v="-160"/>
    <n v="960"/>
  </r>
  <r>
    <x v="32"/>
    <s v="conventional_turnover_wacls_440"/>
    <x v="480"/>
    <n v="1"/>
    <n v="1"/>
    <n v="-160"/>
    <n v="960"/>
  </r>
  <r>
    <x v="32"/>
    <s v="conventional_turnover_wacls_441"/>
    <x v="481"/>
    <n v="1"/>
    <n v="1"/>
    <n v="-160"/>
    <n v="960"/>
  </r>
  <r>
    <x v="32"/>
    <s v="conventional_turnover_wacls_442"/>
    <x v="482"/>
    <n v="1"/>
    <n v="1"/>
    <n v="-160"/>
    <n v="960"/>
  </r>
  <r>
    <x v="32"/>
    <s v="conventional_turnover_wacls_443"/>
    <x v="483"/>
    <n v="1"/>
    <n v="1"/>
    <n v="-160"/>
    <n v="960"/>
  </r>
  <r>
    <x v="32"/>
    <s v="conventional_turnover_wacls_444"/>
    <x v="484"/>
    <n v="1"/>
    <n v="1"/>
    <n v="-160"/>
    <n v="960"/>
  </r>
  <r>
    <x v="32"/>
    <s v="conventional_turnover_wacls_445"/>
    <x v="485"/>
    <n v="1"/>
    <n v="1"/>
    <n v="-160"/>
    <n v="960"/>
  </r>
  <r>
    <x v="32"/>
    <s v="conventional_turnover_wacls_446"/>
    <x v="486"/>
    <n v="1"/>
    <n v="1"/>
    <n v="-160"/>
    <n v="960"/>
  </r>
  <r>
    <x v="32"/>
    <s v="conventional_turnover_wacls_447"/>
    <x v="487"/>
    <n v="1"/>
    <n v="1"/>
    <n v="-160"/>
    <n v="960"/>
  </r>
  <r>
    <x v="32"/>
    <s v="conventional_turnover_wacls_448"/>
    <x v="488"/>
    <n v="1"/>
    <n v="1"/>
    <n v="-160"/>
    <n v="960"/>
  </r>
  <r>
    <x v="32"/>
    <s v="conventional_turnover_wacls_449"/>
    <x v="489"/>
    <n v="1"/>
    <n v="1"/>
    <n v="-160"/>
    <n v="960"/>
  </r>
  <r>
    <x v="32"/>
    <s v="conventional_turnover_wacls_450"/>
    <x v="490"/>
    <n v="1"/>
    <n v="1"/>
    <n v="-160"/>
    <n v="960"/>
  </r>
  <r>
    <x v="32"/>
    <s v="conventional_turnover_wacls_451"/>
    <x v="491"/>
    <n v="1"/>
    <n v="1"/>
    <n v="-160"/>
    <n v="960"/>
  </r>
  <r>
    <x v="32"/>
    <s v="conventional_turnover_wacls_452"/>
    <x v="492"/>
    <n v="1"/>
    <n v="1"/>
    <n v="-160"/>
    <n v="960"/>
  </r>
  <r>
    <x v="32"/>
    <s v="conventional_turnover_wacls_453"/>
    <x v="493"/>
    <n v="1"/>
    <n v="1"/>
    <n v="-160"/>
    <n v="960"/>
  </r>
  <r>
    <x v="32"/>
    <s v="conventional_turnover_wacls_454"/>
    <x v="494"/>
    <n v="1"/>
    <n v="1"/>
    <n v="-160"/>
    <n v="960"/>
  </r>
  <r>
    <x v="32"/>
    <s v="conventional_turnover_wacls_455"/>
    <x v="495"/>
    <n v="1"/>
    <n v="1"/>
    <n v="-160"/>
    <n v="960"/>
  </r>
  <r>
    <x v="32"/>
    <s v="conventional_turnover_wacls_456"/>
    <x v="496"/>
    <n v="1"/>
    <n v="1"/>
    <n v="-160"/>
    <n v="960"/>
  </r>
  <r>
    <x v="32"/>
    <s v="conventional_turnover_wacls_457"/>
    <x v="497"/>
    <n v="1"/>
    <n v="1"/>
    <n v="-160"/>
    <n v="960"/>
  </r>
  <r>
    <x v="32"/>
    <s v="conventional_turnover_wacls_458"/>
    <x v="498"/>
    <n v="1"/>
    <n v="1"/>
    <n v="-160"/>
    <n v="960"/>
  </r>
  <r>
    <x v="32"/>
    <s v="conventional_turnover_wacls_459"/>
    <x v="499"/>
    <n v="1"/>
    <n v="1"/>
    <n v="-160"/>
    <n v="960"/>
  </r>
  <r>
    <x v="32"/>
    <s v="conventional_turnover_wacls_460"/>
    <x v="500"/>
    <n v="1"/>
    <n v="1"/>
    <n v="-160"/>
    <n v="960"/>
  </r>
  <r>
    <x v="32"/>
    <s v="conventional_turnover_wacls_461"/>
    <x v="501"/>
    <n v="1"/>
    <n v="1"/>
    <n v="-160"/>
    <n v="960"/>
  </r>
  <r>
    <x v="32"/>
    <s v="conventional_turnover_wacls_462"/>
    <x v="502"/>
    <n v="1"/>
    <n v="1"/>
    <n v="-160"/>
    <n v="960"/>
  </r>
  <r>
    <x v="32"/>
    <s v="conventional_turnover_wacls_463"/>
    <x v="503"/>
    <n v="1"/>
    <n v="1"/>
    <n v="-160"/>
    <n v="960"/>
  </r>
  <r>
    <x v="32"/>
    <s v="conventional_turnover_wacls_464"/>
    <x v="504"/>
    <n v="1"/>
    <n v="1"/>
    <n v="-160"/>
    <n v="960"/>
  </r>
  <r>
    <x v="32"/>
    <s v="conventional_turnover_wacls_465"/>
    <x v="505"/>
    <n v="1"/>
    <n v="1"/>
    <n v="-160"/>
    <n v="960"/>
  </r>
  <r>
    <x v="32"/>
    <s v="conventional_turnover_wacls_466"/>
    <x v="506"/>
    <n v="1"/>
    <n v="1"/>
    <n v="-160"/>
    <n v="960"/>
  </r>
  <r>
    <x v="32"/>
    <s v="conventional_turnover_wacls_467"/>
    <x v="507"/>
    <n v="1"/>
    <n v="1"/>
    <n v="-160"/>
    <n v="960"/>
  </r>
  <r>
    <x v="32"/>
    <s v="conventional_turnover_wacls_468"/>
    <x v="508"/>
    <n v="1"/>
    <n v="1"/>
    <n v="-160"/>
    <n v="960"/>
  </r>
  <r>
    <x v="32"/>
    <s v="conventional_turnover_wacls_469"/>
    <x v="509"/>
    <n v="1"/>
    <n v="1"/>
    <n v="-160"/>
    <n v="960"/>
  </r>
  <r>
    <x v="32"/>
    <s v="conventional_turnover_wacls_470"/>
    <x v="510"/>
    <n v="1"/>
    <n v="1"/>
    <n v="-160"/>
    <n v="960"/>
  </r>
  <r>
    <x v="32"/>
    <s v="conventional_turnover_wacls_471"/>
    <x v="511"/>
    <n v="1"/>
    <n v="1"/>
    <n v="-160"/>
    <n v="960"/>
  </r>
  <r>
    <x v="32"/>
    <s v="conventional_turnover_wacls_472"/>
    <x v="512"/>
    <n v="1"/>
    <n v="1"/>
    <n v="-160"/>
    <n v="960"/>
  </r>
  <r>
    <x v="32"/>
    <s v="conventional_turnover_wacls_473"/>
    <x v="513"/>
    <n v="1"/>
    <n v="1"/>
    <n v="-160"/>
    <n v="960"/>
  </r>
  <r>
    <x v="32"/>
    <s v="conventional_turnover_wacls_474"/>
    <x v="514"/>
    <n v="1"/>
    <n v="1"/>
    <n v="-160"/>
    <n v="960"/>
  </r>
  <r>
    <x v="32"/>
    <s v="conventional_turnover_wacls_475"/>
    <x v="515"/>
    <n v="1"/>
    <n v="1"/>
    <n v="-160"/>
    <n v="960"/>
  </r>
  <r>
    <x v="32"/>
    <s v="conventional_turnover_wacls_476"/>
    <x v="516"/>
    <n v="1"/>
    <n v="1"/>
    <n v="-160"/>
    <n v="960"/>
  </r>
  <r>
    <x v="32"/>
    <s v="conventional_turnover_wacls_477"/>
    <x v="517"/>
    <n v="1"/>
    <n v="1"/>
    <n v="-160"/>
    <n v="960"/>
  </r>
  <r>
    <x v="32"/>
    <s v="conventional_turnover_wacls_478"/>
    <x v="518"/>
    <n v="1"/>
    <n v="1"/>
    <n v="-160"/>
    <n v="960"/>
  </r>
  <r>
    <x v="32"/>
    <s v="conventional_turnover_wacls_479"/>
    <x v="519"/>
    <n v="1"/>
    <n v="1"/>
    <n v="-160"/>
    <n v="960"/>
  </r>
  <r>
    <x v="32"/>
    <s v="conventional_turnover_wacls_480"/>
    <x v="520"/>
    <n v="1"/>
    <n v="1"/>
    <n v="-160"/>
    <n v="960"/>
  </r>
  <r>
    <x v="32"/>
    <s v="conventional_turnover_wacls_481"/>
    <x v="521"/>
    <n v="1"/>
    <n v="1"/>
    <n v="-160"/>
    <n v="960"/>
  </r>
  <r>
    <x v="32"/>
    <s v="conventional_turnover_wacls_482"/>
    <x v="522"/>
    <n v="1"/>
    <n v="1"/>
    <n v="-160"/>
    <n v="960"/>
  </r>
  <r>
    <x v="32"/>
    <s v="conventional_turnover_wacls_483"/>
    <x v="523"/>
    <n v="1"/>
    <n v="1"/>
    <n v="-160"/>
    <n v="960"/>
  </r>
  <r>
    <x v="32"/>
    <s v="conventional_turnover_wacls_484"/>
    <x v="524"/>
    <n v="1"/>
    <n v="1"/>
    <n v="-160"/>
    <n v="960"/>
  </r>
  <r>
    <x v="32"/>
    <s v="conventional_turnover_wacls_485"/>
    <x v="525"/>
    <n v="1"/>
    <n v="1"/>
    <n v="-160"/>
    <n v="960"/>
  </r>
  <r>
    <x v="32"/>
    <s v="conventional_turnover_wacls_486"/>
    <x v="526"/>
    <n v="1"/>
    <n v="1"/>
    <n v="-160"/>
    <n v="960"/>
  </r>
  <r>
    <x v="32"/>
    <s v="conventional_turnover_wacls_487"/>
    <x v="527"/>
    <n v="1"/>
    <n v="1"/>
    <n v="-160"/>
    <n v="960"/>
  </r>
  <r>
    <x v="32"/>
    <s v="conventional_turnover_wacls_488"/>
    <x v="528"/>
    <n v="1"/>
    <n v="1"/>
    <n v="-160"/>
    <n v="960"/>
  </r>
  <r>
    <x v="32"/>
    <s v="conventional_turnover_wacls_489"/>
    <x v="529"/>
    <n v="1"/>
    <n v="1"/>
    <n v="-160"/>
    <n v="960"/>
  </r>
  <r>
    <x v="32"/>
    <s v="conventional_turnover_wacls_490"/>
    <x v="530"/>
    <n v="1"/>
    <n v="1"/>
    <n v="-160"/>
    <n v="960"/>
  </r>
  <r>
    <x v="32"/>
    <s v="conventional_turnover_wacls_491"/>
    <x v="531"/>
    <n v="1"/>
    <n v="1"/>
    <n v="-160"/>
    <n v="960"/>
  </r>
  <r>
    <x v="32"/>
    <s v="conventional_turnover_wacls_492"/>
    <x v="532"/>
    <n v="1"/>
    <n v="1"/>
    <n v="-160"/>
    <n v="960"/>
  </r>
  <r>
    <x v="32"/>
    <s v="conventional_turnover_wacls_493"/>
    <x v="533"/>
    <n v="1"/>
    <n v="1"/>
    <n v="-160"/>
    <n v="960"/>
  </r>
  <r>
    <x v="32"/>
    <s v="conventional_turnover_wacls_494"/>
    <x v="534"/>
    <n v="1"/>
    <n v="1"/>
    <n v="-160"/>
    <n v="960"/>
  </r>
  <r>
    <x v="32"/>
    <s v="conventional_turnover_wacls_495"/>
    <x v="535"/>
    <n v="1"/>
    <n v="1"/>
    <n v="-160"/>
    <n v="960"/>
  </r>
  <r>
    <x v="32"/>
    <s v="conventional_turnover_wacls_496"/>
    <x v="536"/>
    <n v="1"/>
    <n v="1"/>
    <n v="-160"/>
    <n v="960"/>
  </r>
  <r>
    <x v="32"/>
    <s v="conventional_turnover_wacls_497"/>
    <x v="537"/>
    <n v="1"/>
    <n v="1"/>
    <n v="-160"/>
    <n v="960"/>
  </r>
  <r>
    <x v="32"/>
    <s v="conventional_turnover_wacls_498"/>
    <x v="538"/>
    <n v="1"/>
    <n v="1"/>
    <n v="-160"/>
    <n v="960"/>
  </r>
  <r>
    <x v="32"/>
    <s v="conventional_turnover_wacls_499"/>
    <x v="539"/>
    <n v="1"/>
    <n v="1"/>
    <n v="-160"/>
    <n v="960"/>
  </r>
  <r>
    <x v="32"/>
    <s v="conventional_turnover_wacls_500"/>
    <x v="540"/>
    <n v="1"/>
    <n v="1"/>
    <n v="-160"/>
    <n v="960"/>
  </r>
  <r>
    <x v="32"/>
    <s v="conventional_turnover_wacls_501"/>
    <x v="541"/>
    <n v="1"/>
    <n v="1"/>
    <n v="-160"/>
    <n v="960"/>
  </r>
  <r>
    <x v="32"/>
    <s v="conventional_turnover_wacls_502"/>
    <x v="542"/>
    <n v="1"/>
    <n v="1"/>
    <n v="-160"/>
    <n v="960"/>
  </r>
  <r>
    <x v="32"/>
    <s v="conventional_turnover_wacls_503"/>
    <x v="543"/>
    <n v="1"/>
    <n v="1"/>
    <n v="-160"/>
    <n v="960"/>
  </r>
  <r>
    <x v="32"/>
    <s v="conventional_turnover_wacls_504"/>
    <x v="544"/>
    <n v="1"/>
    <n v="1"/>
    <n v="-160"/>
    <n v="960"/>
  </r>
  <r>
    <x v="32"/>
    <s v="conventional_turnover_wacls_505"/>
    <x v="545"/>
    <n v="1"/>
    <n v="1"/>
    <n v="-160"/>
    <n v="960"/>
  </r>
  <r>
    <x v="32"/>
    <s v="conventional_turnover_wacls_506"/>
    <x v="546"/>
    <n v="1"/>
    <n v="1"/>
    <n v="-160"/>
    <n v="960"/>
  </r>
  <r>
    <x v="32"/>
    <s v="conventional_turnover_wacls_507"/>
    <x v="547"/>
    <n v="1"/>
    <n v="1"/>
    <n v="-160"/>
    <n v="960"/>
  </r>
  <r>
    <x v="32"/>
    <s v="conventional_turnover_wacls_508"/>
    <x v="548"/>
    <n v="1"/>
    <n v="1"/>
    <n v="-160"/>
    <n v="960"/>
  </r>
  <r>
    <x v="32"/>
    <s v="conventional_turnover_wacls_509"/>
    <x v="549"/>
    <n v="1"/>
    <n v="1"/>
    <n v="-160"/>
    <n v="960"/>
  </r>
  <r>
    <x v="32"/>
    <s v="conventional_turnover_wacls_510"/>
    <x v="550"/>
    <n v="1"/>
    <n v="1"/>
    <n v="-160"/>
    <n v="960"/>
  </r>
  <r>
    <x v="32"/>
    <s v="conventional_turnover_wacls_511"/>
    <x v="551"/>
    <n v="1"/>
    <n v="1"/>
    <n v="-160"/>
    <n v="960"/>
  </r>
  <r>
    <x v="32"/>
    <s v="conventional_turnover_wacls_512"/>
    <x v="552"/>
    <n v="1"/>
    <n v="1"/>
    <n v="-160"/>
    <n v="960"/>
  </r>
  <r>
    <x v="32"/>
    <s v="conventional_turnover_wacls_513"/>
    <x v="553"/>
    <n v="1"/>
    <n v="1"/>
    <n v="-160"/>
    <n v="960"/>
  </r>
  <r>
    <x v="32"/>
    <s v="conventional_turnover_wacls_514"/>
    <x v="554"/>
    <n v="1"/>
    <n v="1"/>
    <n v="-160"/>
    <n v="960"/>
  </r>
  <r>
    <x v="32"/>
    <s v="conventional_turnover_wacls_515"/>
    <x v="555"/>
    <n v="1"/>
    <n v="1"/>
    <n v="-160"/>
    <n v="960"/>
  </r>
  <r>
    <x v="32"/>
    <s v="conventional_turnover_wacls_516"/>
    <x v="556"/>
    <n v="1"/>
    <n v="1"/>
    <n v="-160"/>
    <n v="960"/>
  </r>
  <r>
    <x v="32"/>
    <s v="conventional_turnover_wacls_517"/>
    <x v="557"/>
    <n v="1"/>
    <n v="1"/>
    <n v="-160"/>
    <n v="960"/>
  </r>
  <r>
    <x v="32"/>
    <s v="conventional_turnover_wacls_518"/>
    <x v="558"/>
    <n v="1"/>
    <n v="1"/>
    <n v="-160"/>
    <n v="960"/>
  </r>
  <r>
    <x v="32"/>
    <s v="conventional_turnover_wacls_519"/>
    <x v="559"/>
    <n v="1"/>
    <n v="1"/>
    <n v="-160"/>
    <n v="960"/>
  </r>
  <r>
    <x v="32"/>
    <s v="conventional_turnover_wacls_520"/>
    <x v="560"/>
    <n v="1"/>
    <n v="1"/>
    <n v="-160"/>
    <n v="960"/>
  </r>
  <r>
    <x v="32"/>
    <s v="conventional_turnover_wacls_521"/>
    <x v="561"/>
    <n v="1"/>
    <n v="1"/>
    <n v="-160"/>
    <n v="960"/>
  </r>
  <r>
    <x v="32"/>
    <s v="conventional_turnover_wacls_522"/>
    <x v="562"/>
    <n v="1"/>
    <n v="1"/>
    <n v="-160"/>
    <n v="960"/>
  </r>
  <r>
    <x v="32"/>
    <s v="conventional_turnover_wacls_523"/>
    <x v="563"/>
    <n v="1"/>
    <n v="1"/>
    <n v="-160"/>
    <n v="960"/>
  </r>
  <r>
    <x v="32"/>
    <s v="conventional_turnover_wacls_524"/>
    <x v="564"/>
    <n v="1"/>
    <n v="1"/>
    <n v="-160"/>
    <n v="960"/>
  </r>
  <r>
    <x v="32"/>
    <s v="conventional_turnover_wacls_525"/>
    <x v="565"/>
    <n v="1"/>
    <n v="1"/>
    <n v="-160"/>
    <n v="960"/>
  </r>
  <r>
    <x v="32"/>
    <s v="conventional_turnover_wacls_526"/>
    <x v="566"/>
    <n v="1"/>
    <n v="1"/>
    <n v="-160"/>
    <n v="960"/>
  </r>
  <r>
    <x v="32"/>
    <s v="conventional_turnover_wacls_527"/>
    <x v="567"/>
    <n v="1"/>
    <n v="1"/>
    <n v="-160"/>
    <n v="960"/>
  </r>
  <r>
    <x v="32"/>
    <s v="conventional_turnover_wacls_528"/>
    <x v="568"/>
    <n v="1"/>
    <n v="1"/>
    <n v="-160"/>
    <n v="960"/>
  </r>
  <r>
    <x v="32"/>
    <s v="conventional_turnover_wacls_529"/>
    <x v="569"/>
    <n v="1"/>
    <n v="1"/>
    <n v="-160"/>
    <n v="960"/>
  </r>
  <r>
    <x v="32"/>
    <s v="conventional_turnover_wacls_530"/>
    <x v="570"/>
    <n v="1"/>
    <n v="1"/>
    <n v="-160"/>
    <n v="960"/>
  </r>
  <r>
    <x v="32"/>
    <s v="conventional_turnover_wacls_531"/>
    <x v="571"/>
    <n v="1"/>
    <n v="1"/>
    <n v="-160"/>
    <n v="960"/>
  </r>
  <r>
    <x v="32"/>
    <s v="conventional_turnover_wacls_532"/>
    <x v="572"/>
    <n v="1"/>
    <n v="1"/>
    <n v="-160"/>
    <n v="960"/>
  </r>
  <r>
    <x v="32"/>
    <s v="conventional_turnover_wacls_533"/>
    <x v="573"/>
    <n v="1"/>
    <n v="1"/>
    <n v="-160"/>
    <n v="960"/>
  </r>
  <r>
    <x v="32"/>
    <s v="conventional_turnover_wacls_534"/>
    <x v="574"/>
    <n v="1"/>
    <n v="1"/>
    <n v="-160"/>
    <n v="960"/>
  </r>
  <r>
    <x v="32"/>
    <s v="conventional_turnover_wacls_535"/>
    <x v="575"/>
    <n v="1"/>
    <n v="1"/>
    <n v="-160"/>
    <n v="960"/>
  </r>
  <r>
    <x v="32"/>
    <s v="conventional_turnover_wacls_536"/>
    <x v="576"/>
    <n v="1"/>
    <n v="1"/>
    <n v="-160"/>
    <n v="960"/>
  </r>
  <r>
    <x v="32"/>
    <s v="conventional_turnover_wacls_537"/>
    <x v="577"/>
    <n v="1"/>
    <n v="1"/>
    <n v="-160"/>
    <n v="960"/>
  </r>
  <r>
    <x v="32"/>
    <s v="conventional_turnover_wacls_538"/>
    <x v="578"/>
    <n v="1"/>
    <n v="1"/>
    <n v="-160"/>
    <n v="960"/>
  </r>
  <r>
    <x v="32"/>
    <s v="conventional_turnover_wacls_539"/>
    <x v="579"/>
    <n v="1"/>
    <n v="1"/>
    <n v="-160"/>
    <n v="960"/>
  </r>
  <r>
    <x v="32"/>
    <s v="conventional_turnover_wacls_540"/>
    <x v="580"/>
    <n v="1"/>
    <n v="1"/>
    <n v="-160"/>
    <n v="960"/>
  </r>
  <r>
    <x v="32"/>
    <s v="conventional_turnover_wacls_541"/>
    <x v="581"/>
    <n v="1"/>
    <n v="1"/>
    <n v="-160"/>
    <n v="960"/>
  </r>
  <r>
    <x v="32"/>
    <s v="conventional_turnover_wacls_542"/>
    <x v="582"/>
    <n v="1"/>
    <n v="1"/>
    <n v="-160"/>
    <n v="960"/>
  </r>
  <r>
    <x v="32"/>
    <s v="conventional_turnover_wacls_543"/>
    <x v="583"/>
    <n v="1"/>
    <n v="1"/>
    <n v="-160"/>
    <n v="960"/>
  </r>
  <r>
    <x v="32"/>
    <s v="conventional_turnover_wacls_544"/>
    <x v="584"/>
    <n v="1"/>
    <n v="1"/>
    <n v="-160"/>
    <n v="960"/>
  </r>
  <r>
    <x v="32"/>
    <s v="conventional_turnover_wacls_545"/>
    <x v="585"/>
    <n v="1"/>
    <n v="1"/>
    <n v="-160"/>
    <n v="960"/>
  </r>
  <r>
    <x v="32"/>
    <s v="conventional_turnover_wacls_546"/>
    <x v="586"/>
    <n v="1"/>
    <n v="1"/>
    <n v="-160"/>
    <n v="960"/>
  </r>
  <r>
    <x v="32"/>
    <s v="conventional_turnover_wacls_547"/>
    <x v="587"/>
    <n v="1"/>
    <n v="1"/>
    <n v="-160"/>
    <n v="960"/>
  </r>
  <r>
    <x v="32"/>
    <s v="conventional_turnover_wacls_548"/>
    <x v="588"/>
    <n v="1"/>
    <n v="1"/>
    <n v="-160"/>
    <n v="960"/>
  </r>
  <r>
    <x v="32"/>
    <s v="conventional_turnover_wacls_549"/>
    <x v="589"/>
    <n v="1"/>
    <n v="1"/>
    <n v="-160"/>
    <n v="960"/>
  </r>
  <r>
    <x v="32"/>
    <s v="conventional_turnover_wacls_550"/>
    <x v="590"/>
    <n v="1"/>
    <n v="1"/>
    <n v="-160"/>
    <n v="960"/>
  </r>
  <r>
    <x v="32"/>
    <s v="conventional_turnover_wacls_551"/>
    <x v="591"/>
    <n v="1"/>
    <n v="1"/>
    <n v="-160"/>
    <n v="960"/>
  </r>
  <r>
    <x v="32"/>
    <s v="conventional_turnover_wacls_552"/>
    <x v="592"/>
    <n v="1"/>
    <n v="1"/>
    <n v="-160"/>
    <n v="960"/>
  </r>
  <r>
    <x v="32"/>
    <s v="conventional_turnover_wacls_553"/>
    <x v="593"/>
    <n v="1"/>
    <n v="1"/>
    <n v="-160"/>
    <n v="960"/>
  </r>
  <r>
    <x v="32"/>
    <s v="conventional_turnover_wacls_554"/>
    <x v="594"/>
    <n v="1"/>
    <n v="1"/>
    <n v="-160"/>
    <n v="960"/>
  </r>
  <r>
    <x v="32"/>
    <s v="conventional_turnover_wacls_555"/>
    <x v="595"/>
    <n v="1"/>
    <n v="1"/>
    <n v="-160"/>
    <n v="960"/>
  </r>
  <r>
    <x v="32"/>
    <s v="conventional_turnover_wacls_556"/>
    <x v="596"/>
    <n v="1"/>
    <n v="1"/>
    <n v="-160"/>
    <n v="960"/>
  </r>
  <r>
    <x v="32"/>
    <s v="conventional_turnover_wacls_557"/>
    <x v="597"/>
    <n v="1"/>
    <n v="1"/>
    <n v="-160"/>
    <n v="960"/>
  </r>
  <r>
    <x v="32"/>
    <s v="conventional_turnover_wacls_558"/>
    <x v="598"/>
    <n v="1"/>
    <n v="1"/>
    <n v="-160"/>
    <n v="960"/>
  </r>
  <r>
    <x v="32"/>
    <s v="conventional_turnover_wacls_559"/>
    <x v="599"/>
    <n v="1"/>
    <n v="1"/>
    <n v="-160"/>
    <n v="960"/>
  </r>
  <r>
    <x v="32"/>
    <s v="conventional_turnover_wacls_560"/>
    <x v="600"/>
    <n v="1"/>
    <n v="1"/>
    <n v="-160"/>
    <n v="960"/>
  </r>
  <r>
    <x v="32"/>
    <s v="conventional_turnover_wacls_561"/>
    <x v="601"/>
    <n v="1"/>
    <n v="1"/>
    <n v="-160"/>
    <n v="960"/>
  </r>
  <r>
    <x v="32"/>
    <s v="conventional_turnover_wacls_562"/>
    <x v="602"/>
    <n v="1"/>
    <n v="1"/>
    <n v="-160"/>
    <n v="960"/>
  </r>
  <r>
    <x v="32"/>
    <s v="conventional_turnover_wacls_563"/>
    <x v="603"/>
    <n v="1"/>
    <n v="1"/>
    <n v="-160"/>
    <n v="960"/>
  </r>
  <r>
    <x v="32"/>
    <s v="conventional_turnover_wacls_564"/>
    <x v="604"/>
    <n v="1"/>
    <n v="1"/>
    <n v="-160"/>
    <n v="960"/>
  </r>
  <r>
    <x v="32"/>
    <s v="conventional_turnover_wacls_565"/>
    <x v="605"/>
    <n v="1"/>
    <n v="1"/>
    <n v="-160"/>
    <n v="960"/>
  </r>
  <r>
    <x v="32"/>
    <s v="conventional_turnover_wacls_566"/>
    <x v="606"/>
    <n v="1"/>
    <n v="1"/>
    <n v="-160"/>
    <n v="960"/>
  </r>
  <r>
    <x v="32"/>
    <s v="conventional_turnover_wacls_567"/>
    <x v="607"/>
    <n v="1"/>
    <n v="1"/>
    <n v="-160"/>
    <n v="960"/>
  </r>
  <r>
    <x v="32"/>
    <s v="conventional_turnover_wacls_568"/>
    <x v="608"/>
    <n v="1"/>
    <n v="1"/>
    <n v="-160"/>
    <n v="960"/>
  </r>
  <r>
    <x v="32"/>
    <s v="conventional_turnover_wacls_569"/>
    <x v="609"/>
    <n v="1"/>
    <n v="1"/>
    <n v="-160"/>
    <n v="960"/>
  </r>
  <r>
    <x v="32"/>
    <s v="conventional_turnover_wacls_570"/>
    <x v="610"/>
    <n v="1"/>
    <n v="1"/>
    <n v="-160"/>
    <n v="960"/>
  </r>
  <r>
    <x v="32"/>
    <s v="conventional_turnover_wacls_571"/>
    <x v="611"/>
    <n v="1"/>
    <n v="1"/>
    <n v="-160"/>
    <n v="960"/>
  </r>
  <r>
    <x v="32"/>
    <s v="conventional_turnover_wacls_572"/>
    <x v="612"/>
    <n v="1"/>
    <n v="1"/>
    <n v="-160"/>
    <n v="960"/>
  </r>
  <r>
    <x v="32"/>
    <s v="conventional_turnover_wacls_573"/>
    <x v="613"/>
    <n v="1"/>
    <n v="1"/>
    <n v="-160"/>
    <n v="960"/>
  </r>
  <r>
    <x v="32"/>
    <s v="conventional_turnover_wacls_574"/>
    <x v="614"/>
    <n v="1"/>
    <n v="1"/>
    <n v="-160"/>
    <n v="960"/>
  </r>
  <r>
    <x v="32"/>
    <s v="conventional_turnover_wacls_575"/>
    <x v="615"/>
    <n v="1"/>
    <n v="1"/>
    <n v="-160"/>
    <n v="960"/>
  </r>
  <r>
    <x v="32"/>
    <s v="conventional_turnover_wacls_576"/>
    <x v="616"/>
    <n v="1"/>
    <n v="1"/>
    <n v="-160"/>
    <n v="960"/>
  </r>
  <r>
    <x v="32"/>
    <s v="conventional_turnover_wacls_577"/>
    <x v="617"/>
    <n v="1"/>
    <n v="1"/>
    <n v="-160"/>
    <n v="960"/>
  </r>
  <r>
    <x v="32"/>
    <s v="conventional_turnover_wacls_578"/>
    <x v="618"/>
    <n v="1"/>
    <n v="1"/>
    <n v="-160"/>
    <n v="960"/>
  </r>
  <r>
    <x v="32"/>
    <s v="conventional_turnover_wacls_579"/>
    <x v="619"/>
    <n v="1"/>
    <n v="1"/>
    <n v="-160"/>
    <n v="960"/>
  </r>
  <r>
    <x v="32"/>
    <s v="conventional_turnover_wacls_580"/>
    <x v="620"/>
    <n v="1"/>
    <n v="1"/>
    <n v="-160"/>
    <n v="960"/>
  </r>
  <r>
    <x v="32"/>
    <s v="conventional_turnover_wacls_581"/>
    <x v="621"/>
    <n v="1"/>
    <n v="1"/>
    <n v="-160"/>
    <n v="960"/>
  </r>
  <r>
    <x v="32"/>
    <s v="conventional_turnover_wacls_582"/>
    <x v="622"/>
    <n v="1"/>
    <n v="1"/>
    <n v="-160"/>
    <n v="960"/>
  </r>
  <r>
    <x v="32"/>
    <s v="conventional_turnover_wacls_583"/>
    <x v="623"/>
    <n v="1"/>
    <n v="1"/>
    <n v="-160"/>
    <n v="960"/>
  </r>
  <r>
    <x v="32"/>
    <s v="conventional_turnover_wacls_584"/>
    <x v="624"/>
    <n v="1"/>
    <n v="1"/>
    <n v="-160"/>
    <n v="960"/>
  </r>
  <r>
    <x v="32"/>
    <s v="conventional_turnover_wacls_585"/>
    <x v="625"/>
    <n v="1"/>
    <n v="1"/>
    <n v="-160"/>
    <n v="960"/>
  </r>
  <r>
    <x v="32"/>
    <s v="conventional_turnover_wacls_586"/>
    <x v="626"/>
    <n v="1"/>
    <n v="1"/>
    <n v="-160"/>
    <n v="960"/>
  </r>
  <r>
    <x v="32"/>
    <s v="conventional_turnover_wacls_587"/>
    <x v="627"/>
    <n v="1"/>
    <n v="1"/>
    <n v="-160"/>
    <n v="960"/>
  </r>
  <r>
    <x v="32"/>
    <s v="conventional_turnover_wacls_588"/>
    <x v="628"/>
    <n v="1"/>
    <n v="1"/>
    <n v="-160"/>
    <n v="960"/>
  </r>
  <r>
    <x v="32"/>
    <s v="conventional_turnover_wacls_589"/>
    <x v="629"/>
    <n v="1"/>
    <n v="1"/>
    <n v="-160"/>
    <n v="960"/>
  </r>
  <r>
    <x v="32"/>
    <s v="conventional_turnover_wacls_590"/>
    <x v="630"/>
    <n v="1"/>
    <n v="1"/>
    <n v="-160"/>
    <n v="960"/>
  </r>
  <r>
    <x v="32"/>
    <s v="conventional_turnover_wacls_591"/>
    <x v="631"/>
    <n v="1"/>
    <n v="1"/>
    <n v="-160"/>
    <n v="960"/>
  </r>
  <r>
    <x v="32"/>
    <s v="conventional_turnover_wacls_592"/>
    <x v="632"/>
    <n v="1"/>
    <n v="1"/>
    <n v="-160"/>
    <n v="960"/>
  </r>
  <r>
    <x v="32"/>
    <s v="conventional_turnover_wacls_593"/>
    <x v="633"/>
    <n v="1"/>
    <n v="1"/>
    <n v="-160"/>
    <n v="960"/>
  </r>
  <r>
    <x v="32"/>
    <s v="conventional_turnover_wacls_594"/>
    <x v="634"/>
    <n v="1"/>
    <n v="1"/>
    <n v="-160"/>
    <n v="960"/>
  </r>
  <r>
    <x v="32"/>
    <s v="conventional_turnover_wacls_595"/>
    <x v="635"/>
    <n v="1"/>
    <n v="1"/>
    <n v="-160"/>
    <n v="960"/>
  </r>
  <r>
    <x v="32"/>
    <s v="conventional_turnover_wacls_596"/>
    <x v="636"/>
    <n v="1"/>
    <n v="1"/>
    <n v="-160"/>
    <n v="960"/>
  </r>
  <r>
    <x v="32"/>
    <s v="conventional_turnover_wacls_597"/>
    <x v="637"/>
    <n v="1"/>
    <n v="1"/>
    <n v="-160"/>
    <n v="960"/>
  </r>
  <r>
    <x v="32"/>
    <s v="conventional_turnover_wacls_598"/>
    <x v="638"/>
    <n v="1"/>
    <n v="1"/>
    <n v="-160"/>
    <n v="960"/>
  </r>
  <r>
    <x v="32"/>
    <s v="conventional_turnover_wacls_599"/>
    <x v="639"/>
    <n v="1"/>
    <n v="1"/>
    <n v="-160"/>
    <n v="960"/>
  </r>
  <r>
    <x v="32"/>
    <s v="conventional_turnover_wacls_600"/>
    <x v="640"/>
    <n v="1"/>
    <n v="1"/>
    <n v="-160"/>
    <n v="960"/>
  </r>
  <r>
    <x v="32"/>
    <s v="conventional_turnover_wacls_601"/>
    <x v="641"/>
    <n v="1"/>
    <n v="1"/>
    <n v="-160"/>
    <n v="960"/>
  </r>
  <r>
    <x v="32"/>
    <s v="conventional_turnover_wacls_602"/>
    <x v="642"/>
    <n v="1"/>
    <n v="1"/>
    <n v="-160"/>
    <n v="960"/>
  </r>
  <r>
    <x v="32"/>
    <s v="conventional_turnover_wacls_603"/>
    <x v="643"/>
    <n v="1"/>
    <n v="1"/>
    <n v="-160"/>
    <n v="960"/>
  </r>
  <r>
    <x v="32"/>
    <s v="conventional_turnover_wacls_604"/>
    <x v="644"/>
    <n v="1"/>
    <n v="1"/>
    <n v="-160"/>
    <n v="960"/>
  </r>
  <r>
    <x v="32"/>
    <s v="conventional_turnover_wacls_605"/>
    <x v="645"/>
    <n v="1"/>
    <n v="1"/>
    <n v="-160"/>
    <n v="960"/>
  </r>
  <r>
    <x v="32"/>
    <s v="conventional_turnover_wacls_606"/>
    <x v="646"/>
    <n v="1"/>
    <n v="1"/>
    <n v="-160"/>
    <n v="960"/>
  </r>
  <r>
    <x v="32"/>
    <s v="conventional_turnover_wacls_607"/>
    <x v="647"/>
    <n v="1"/>
    <n v="1"/>
    <n v="-160"/>
    <n v="960"/>
  </r>
  <r>
    <x v="32"/>
    <s v="conventional_turnover_wacls_608"/>
    <x v="648"/>
    <n v="1"/>
    <n v="1"/>
    <n v="-160"/>
    <n v="960"/>
  </r>
  <r>
    <x v="32"/>
    <s v="conventional_turnover_wacls_609"/>
    <x v="649"/>
    <n v="1"/>
    <n v="1"/>
    <n v="-160"/>
    <n v="960"/>
  </r>
  <r>
    <x v="32"/>
    <s v="conventional_turnover_wacls_610"/>
    <x v="650"/>
    <n v="1"/>
    <n v="1"/>
    <n v="-160"/>
    <n v="960"/>
  </r>
  <r>
    <x v="32"/>
    <s v="conventional_turnover_wacls_611"/>
    <x v="651"/>
    <n v="1"/>
    <n v="1"/>
    <n v="-160"/>
    <n v="960"/>
  </r>
  <r>
    <x v="32"/>
    <s v="conventional_turnover_wacls_612"/>
    <x v="652"/>
    <n v="1"/>
    <n v="1"/>
    <n v="-160"/>
    <n v="960"/>
  </r>
  <r>
    <x v="32"/>
    <s v="conventional_turnover_wacls_613"/>
    <x v="653"/>
    <n v="1"/>
    <n v="1"/>
    <n v="-160"/>
    <n v="960"/>
  </r>
  <r>
    <x v="32"/>
    <s v="conventional_turnover_wacls_614"/>
    <x v="654"/>
    <n v="1"/>
    <n v="1"/>
    <n v="-160"/>
    <n v="960"/>
  </r>
  <r>
    <x v="32"/>
    <s v="conventional_turnover_wacls_615"/>
    <x v="655"/>
    <n v="1"/>
    <n v="1"/>
    <n v="-160"/>
    <n v="960"/>
  </r>
  <r>
    <x v="32"/>
    <s v="conventional_turnover_wacls_616"/>
    <x v="656"/>
    <n v="1"/>
    <n v="1"/>
    <n v="-160"/>
    <n v="960"/>
  </r>
  <r>
    <x v="32"/>
    <s v="conventional_turnover_wacls_617"/>
    <x v="657"/>
    <n v="1"/>
    <n v="1"/>
    <n v="-160"/>
    <n v="960"/>
  </r>
  <r>
    <x v="32"/>
    <s v="conventional_turnover_wacls_618"/>
    <x v="658"/>
    <n v="1"/>
    <n v="1"/>
    <n v="-160"/>
    <n v="960"/>
  </r>
  <r>
    <x v="32"/>
    <s v="conventional_turnover_wacls_619"/>
    <x v="659"/>
    <n v="1"/>
    <n v="1"/>
    <n v="-160"/>
    <n v="960"/>
  </r>
  <r>
    <x v="32"/>
    <s v="conventional_turnover_wacls_620"/>
    <x v="660"/>
    <n v="1"/>
    <n v="1"/>
    <n v="-160"/>
    <n v="960"/>
  </r>
  <r>
    <x v="32"/>
    <s v="conventional_turnover_wacls_621"/>
    <x v="661"/>
    <n v="1"/>
    <n v="1"/>
    <n v="-160"/>
    <n v="960"/>
  </r>
  <r>
    <x v="32"/>
    <s v="conventional_turnover_wacls_622"/>
    <x v="662"/>
    <n v="1"/>
    <n v="1"/>
    <n v="-160"/>
    <n v="960"/>
  </r>
  <r>
    <x v="32"/>
    <s v="conventional_turnover_wacls_623"/>
    <x v="663"/>
    <n v="1"/>
    <n v="1"/>
    <n v="-160"/>
    <n v="960"/>
  </r>
  <r>
    <x v="32"/>
    <s v="conventional_turnover_wacls_624"/>
    <x v="664"/>
    <n v="1"/>
    <n v="1"/>
    <n v="-160"/>
    <n v="960"/>
  </r>
  <r>
    <x v="32"/>
    <s v="conventional_turnover_wacls_625"/>
    <x v="665"/>
    <n v="1"/>
    <n v="1"/>
    <n v="-160"/>
    <n v="960"/>
  </r>
  <r>
    <x v="32"/>
    <s v="conventional_turnover_wacls_626"/>
    <x v="666"/>
    <n v="1"/>
    <n v="1"/>
    <n v="-160"/>
    <n v="960"/>
  </r>
  <r>
    <x v="32"/>
    <s v="conventional_turnover_wacls_627"/>
    <x v="667"/>
    <n v="1"/>
    <n v="1"/>
    <n v="-160"/>
    <n v="960"/>
  </r>
  <r>
    <x v="32"/>
    <s v="conventional_turnover_wacls_628"/>
    <x v="668"/>
    <n v="1"/>
    <n v="1"/>
    <n v="-160"/>
    <n v="960"/>
  </r>
  <r>
    <x v="32"/>
    <s v="conventional_turnover_wacls_629"/>
    <x v="669"/>
    <n v="1"/>
    <n v="1"/>
    <n v="-160"/>
    <n v="960"/>
  </r>
  <r>
    <x v="32"/>
    <s v="conventional_turnover_wacls_630"/>
    <x v="670"/>
    <n v="1"/>
    <n v="1"/>
    <n v="-160"/>
    <n v="960"/>
  </r>
  <r>
    <x v="32"/>
    <s v="conventional_turnover_wacls_631"/>
    <x v="671"/>
    <n v="1"/>
    <n v="1"/>
    <n v="-160"/>
    <n v="960"/>
  </r>
  <r>
    <x v="32"/>
    <s v="conventional_turnover_wacls_632"/>
    <x v="672"/>
    <n v="1"/>
    <n v="1"/>
    <n v="-160"/>
    <n v="960"/>
  </r>
  <r>
    <x v="32"/>
    <s v="conventional_turnover_wacls_633"/>
    <x v="673"/>
    <n v="1"/>
    <n v="1"/>
    <n v="-160"/>
    <n v="960"/>
  </r>
  <r>
    <x v="32"/>
    <s v="conventional_turnover_wacls_634"/>
    <x v="674"/>
    <n v="1"/>
    <n v="1"/>
    <n v="-160"/>
    <n v="960"/>
  </r>
  <r>
    <x v="32"/>
    <s v="conventional_turnover_wacls_635"/>
    <x v="675"/>
    <n v="1"/>
    <n v="1"/>
    <n v="-160"/>
    <n v="960"/>
  </r>
  <r>
    <x v="32"/>
    <s v="conventional_turnover_wacls_636"/>
    <x v="676"/>
    <n v="1"/>
    <n v="1"/>
    <n v="-160"/>
    <n v="960"/>
  </r>
  <r>
    <x v="32"/>
    <s v="conventional_turnover_wacls_637"/>
    <x v="677"/>
    <n v="1"/>
    <n v="1"/>
    <n v="-160"/>
    <n v="960"/>
  </r>
  <r>
    <x v="32"/>
    <s v="conventional_turnover_wacls_638"/>
    <x v="678"/>
    <n v="1"/>
    <n v="1"/>
    <n v="-160"/>
    <n v="960"/>
  </r>
  <r>
    <x v="32"/>
    <s v="conventional_turnover_wacls_639"/>
    <x v="679"/>
    <n v="1"/>
    <n v="1"/>
    <n v="-160"/>
    <n v="960"/>
  </r>
  <r>
    <x v="32"/>
    <s v="conventional_turnover_wacls_640"/>
    <x v="680"/>
    <n v="1"/>
    <n v="1"/>
    <n v="-160"/>
    <n v="960"/>
  </r>
  <r>
    <x v="32"/>
    <s v="conventional_turnover_wacls_641"/>
    <x v="681"/>
    <n v="1"/>
    <n v="1"/>
    <n v="-160"/>
    <n v="960"/>
  </r>
  <r>
    <x v="32"/>
    <s v="conventional_turnover_wacls_642"/>
    <x v="682"/>
    <n v="1"/>
    <n v="1"/>
    <n v="-160"/>
    <n v="960"/>
  </r>
  <r>
    <x v="32"/>
    <s v="conventional_turnover_wacls_643"/>
    <x v="683"/>
    <n v="1"/>
    <n v="1"/>
    <n v="-160"/>
    <n v="960"/>
  </r>
  <r>
    <x v="32"/>
    <s v="conventional_turnover_wacls_644"/>
    <x v="684"/>
    <n v="1"/>
    <n v="1"/>
    <n v="-160"/>
    <n v="960"/>
  </r>
  <r>
    <x v="32"/>
    <s v="conventional_turnover_wacls_645"/>
    <x v="685"/>
    <n v="1"/>
    <n v="1"/>
    <n v="-160"/>
    <n v="960"/>
  </r>
  <r>
    <x v="32"/>
    <s v="conventional_turnover_wacls_646"/>
    <x v="686"/>
    <n v="1"/>
    <n v="1"/>
    <n v="-160"/>
    <n v="960"/>
  </r>
  <r>
    <x v="32"/>
    <s v="conventional_turnover_wacls_647"/>
    <x v="687"/>
    <n v="1"/>
    <n v="1"/>
    <n v="-160"/>
    <n v="960"/>
  </r>
  <r>
    <x v="32"/>
    <s v="conventional_turnover_wacls_648"/>
    <x v="688"/>
    <n v="1"/>
    <n v="1"/>
    <n v="-160"/>
    <n v="960"/>
  </r>
  <r>
    <x v="32"/>
    <s v="conventional_turnover_wacls_649"/>
    <x v="689"/>
    <n v="1"/>
    <n v="1"/>
    <n v="-160"/>
    <n v="960"/>
  </r>
  <r>
    <x v="32"/>
    <s v="conventional_turnover_wacls_650"/>
    <x v="690"/>
    <n v="1"/>
    <n v="1"/>
    <n v="-160"/>
    <n v="960"/>
  </r>
  <r>
    <x v="32"/>
    <s v="conventional_turnover_wacls_651"/>
    <x v="691"/>
    <n v="1"/>
    <n v="1"/>
    <n v="-160"/>
    <n v="960"/>
  </r>
  <r>
    <x v="32"/>
    <s v="conventional_turnover_wacls_652"/>
    <x v="692"/>
    <n v="1"/>
    <n v="1"/>
    <n v="-160"/>
    <n v="960"/>
  </r>
  <r>
    <x v="32"/>
    <s v="conventional_turnover_wacls_653"/>
    <x v="693"/>
    <n v="1"/>
    <n v="1"/>
    <n v="-160"/>
    <n v="960"/>
  </r>
  <r>
    <x v="32"/>
    <s v="conventional_turnover_wacls_654"/>
    <x v="694"/>
    <n v="1"/>
    <n v="1"/>
    <n v="-160"/>
    <n v="960"/>
  </r>
  <r>
    <x v="32"/>
    <s v="conventional_turnover_wacls_655"/>
    <x v="695"/>
    <n v="1"/>
    <n v="1"/>
    <n v="-160"/>
    <n v="960"/>
  </r>
  <r>
    <x v="32"/>
    <s v="conventional_turnover_wacls_656"/>
    <x v="696"/>
    <n v="1"/>
    <n v="1"/>
    <n v="-160"/>
    <n v="960"/>
  </r>
  <r>
    <x v="32"/>
    <s v="conventional_turnover_wacls_657"/>
    <x v="697"/>
    <n v="1"/>
    <n v="1"/>
    <n v="-160"/>
    <n v="960"/>
  </r>
  <r>
    <x v="32"/>
    <s v="conventional_turnover_wacls_658"/>
    <x v="698"/>
    <n v="1"/>
    <n v="1"/>
    <n v="-160"/>
    <n v="960"/>
  </r>
  <r>
    <x v="32"/>
    <s v="conventional_turnover_wacls_659"/>
    <x v="699"/>
    <n v="1"/>
    <n v="1"/>
    <n v="-160"/>
    <n v="960"/>
  </r>
  <r>
    <x v="32"/>
    <s v="conventional_turnover_wacls_660"/>
    <x v="700"/>
    <n v="1"/>
    <n v="1"/>
    <n v="-160"/>
    <n v="960"/>
  </r>
  <r>
    <x v="32"/>
    <s v="conventional_turnover_wacls_661"/>
    <x v="701"/>
    <n v="1"/>
    <n v="1"/>
    <n v="-160"/>
    <n v="960"/>
  </r>
  <r>
    <x v="32"/>
    <s v="conventional_turnover_wacls_662"/>
    <x v="702"/>
    <n v="1"/>
    <n v="1"/>
    <n v="-160"/>
    <n v="960"/>
  </r>
  <r>
    <x v="32"/>
    <s v="conventional_turnover_wacls_663"/>
    <x v="703"/>
    <n v="1"/>
    <n v="1"/>
    <n v="-160"/>
    <n v="960"/>
  </r>
  <r>
    <x v="32"/>
    <s v="conventional_turnover_wacls_664"/>
    <x v="704"/>
    <n v="1"/>
    <n v="1"/>
    <n v="-160"/>
    <n v="960"/>
  </r>
  <r>
    <x v="32"/>
    <s v="conventional_turnover_wacls_665"/>
    <x v="705"/>
    <n v="1"/>
    <n v="1"/>
    <n v="-160"/>
    <n v="960"/>
  </r>
  <r>
    <x v="32"/>
    <s v="conventional_turnover_wacls_666"/>
    <x v="706"/>
    <n v="1"/>
    <n v="1"/>
    <n v="-160"/>
    <n v="960"/>
  </r>
  <r>
    <x v="32"/>
    <s v="conventional_turnover_wacls_667"/>
    <x v="707"/>
    <n v="1"/>
    <n v="1"/>
    <n v="-160"/>
    <n v="960"/>
  </r>
  <r>
    <x v="32"/>
    <s v="conventional_turnover_wacls_668"/>
    <x v="708"/>
    <n v="1"/>
    <n v="1"/>
    <n v="-160"/>
    <n v="960"/>
  </r>
  <r>
    <x v="32"/>
    <s v="conventional_turnover_wacls_669"/>
    <x v="709"/>
    <n v="1"/>
    <n v="1"/>
    <n v="-160"/>
    <n v="960"/>
  </r>
  <r>
    <x v="32"/>
    <s v="conventional_turnover_wacls_670"/>
    <x v="710"/>
    <n v="1"/>
    <n v="1"/>
    <n v="-160"/>
    <n v="960"/>
  </r>
  <r>
    <x v="32"/>
    <s v="conventional_turnover_wacls_671"/>
    <x v="711"/>
    <n v="1"/>
    <n v="1"/>
    <n v="-160"/>
    <n v="960"/>
  </r>
  <r>
    <x v="32"/>
    <s v="conventional_turnover_wacls_672"/>
    <x v="712"/>
    <n v="1"/>
    <n v="1"/>
    <n v="-160"/>
    <n v="960"/>
  </r>
  <r>
    <x v="32"/>
    <s v="conventional_turnover_wacls_673"/>
    <x v="713"/>
    <n v="1"/>
    <n v="1"/>
    <n v="-160"/>
    <n v="960"/>
  </r>
  <r>
    <x v="32"/>
    <s v="conventional_turnover_wacls_674"/>
    <x v="714"/>
    <n v="1"/>
    <n v="1"/>
    <n v="-160"/>
    <n v="960"/>
  </r>
  <r>
    <x v="32"/>
    <s v="conventional_turnover_wacls_675"/>
    <x v="715"/>
    <n v="1"/>
    <n v="1"/>
    <n v="-160"/>
    <n v="960"/>
  </r>
  <r>
    <x v="32"/>
    <s v="conventional_turnover_wacls_676"/>
    <x v="716"/>
    <n v="1"/>
    <n v="1"/>
    <n v="-160"/>
    <n v="960"/>
  </r>
  <r>
    <x v="32"/>
    <s v="conventional_turnover_wacls_677"/>
    <x v="717"/>
    <n v="1"/>
    <n v="1"/>
    <n v="-160"/>
    <n v="960"/>
  </r>
  <r>
    <x v="32"/>
    <s v="conventional_turnover_wacls_678"/>
    <x v="718"/>
    <n v="1"/>
    <n v="1"/>
    <n v="-160"/>
    <n v="960"/>
  </r>
  <r>
    <x v="32"/>
    <s v="conventional_turnover_wacls_679"/>
    <x v="719"/>
    <n v="1"/>
    <n v="1"/>
    <n v="-160"/>
    <n v="960"/>
  </r>
  <r>
    <x v="32"/>
    <s v="conventional_turnover_wacls_680"/>
    <x v="720"/>
    <n v="1"/>
    <n v="1"/>
    <n v="-160"/>
    <n v="960"/>
  </r>
  <r>
    <x v="32"/>
    <s v="conventional_turnover_wacls_681"/>
    <x v="721"/>
    <n v="1"/>
    <n v="1"/>
    <n v="-160"/>
    <n v="960"/>
  </r>
  <r>
    <x v="32"/>
    <s v="conventional_turnover_wacls_682"/>
    <x v="722"/>
    <n v="1"/>
    <n v="1"/>
    <n v="-160"/>
    <n v="960"/>
  </r>
  <r>
    <x v="32"/>
    <s v="conventional_turnover_wacls_683"/>
    <x v="723"/>
    <n v="1"/>
    <n v="1"/>
    <n v="-160"/>
    <n v="960"/>
  </r>
  <r>
    <x v="32"/>
    <s v="conventional_turnover_wacls_684"/>
    <x v="724"/>
    <n v="1"/>
    <n v="1"/>
    <n v="-160"/>
    <n v="960"/>
  </r>
  <r>
    <x v="32"/>
    <s v="conventional_turnover_wacls_685"/>
    <x v="725"/>
    <n v="1"/>
    <n v="1"/>
    <n v="-160"/>
    <n v="960"/>
  </r>
  <r>
    <x v="32"/>
    <s v="conventional_turnover_wacls_686"/>
    <x v="726"/>
    <n v="1"/>
    <n v="1"/>
    <n v="-160"/>
    <n v="960"/>
  </r>
  <r>
    <x v="32"/>
    <s v="conventional_turnover_wacls_687"/>
    <x v="727"/>
    <n v="1"/>
    <n v="1"/>
    <n v="-160"/>
    <n v="960"/>
  </r>
  <r>
    <x v="32"/>
    <s v="conventional_turnover_wacls_688"/>
    <x v="728"/>
    <n v="1"/>
    <n v="1"/>
    <n v="-160"/>
    <n v="960"/>
  </r>
  <r>
    <x v="32"/>
    <s v="conventional_turnover_wacls_689"/>
    <x v="729"/>
    <n v="1"/>
    <n v="1"/>
    <n v="-160"/>
    <n v="960"/>
  </r>
  <r>
    <x v="32"/>
    <s v="conventional_turnover_wacls_690"/>
    <x v="730"/>
    <n v="1"/>
    <n v="1"/>
    <n v="-160"/>
    <n v="960"/>
  </r>
  <r>
    <x v="32"/>
    <s v="conventional_turnover_wacls_691"/>
    <x v="731"/>
    <n v="1"/>
    <n v="1"/>
    <n v="-160"/>
    <n v="960"/>
  </r>
  <r>
    <x v="32"/>
    <s v="conventional_turnover_wacls_692"/>
    <x v="732"/>
    <n v="1"/>
    <n v="1"/>
    <n v="-160"/>
    <n v="960"/>
  </r>
  <r>
    <x v="32"/>
    <s v="conventional_turnover_wacls_693"/>
    <x v="733"/>
    <n v="1"/>
    <n v="1"/>
    <n v="-160"/>
    <n v="960"/>
  </r>
  <r>
    <x v="32"/>
    <s v="conventional_turnover_wacls_694"/>
    <x v="734"/>
    <n v="1"/>
    <n v="1"/>
    <n v="-160"/>
    <n v="960"/>
  </r>
  <r>
    <x v="32"/>
    <s v="conventional_turnover_wacls_695"/>
    <x v="735"/>
    <n v="1"/>
    <n v="1"/>
    <n v="-160"/>
    <n v="960"/>
  </r>
  <r>
    <x v="32"/>
    <s v="conventional_turnover_wacls_696"/>
    <x v="736"/>
    <n v="1"/>
    <n v="1"/>
    <n v="-160"/>
    <n v="960"/>
  </r>
  <r>
    <x v="32"/>
    <s v="conventional_turnover_wacls_697"/>
    <x v="737"/>
    <n v="1"/>
    <n v="1"/>
    <n v="-160"/>
    <n v="960"/>
  </r>
  <r>
    <x v="32"/>
    <s v="conventional_turnover_wacls_698"/>
    <x v="738"/>
    <n v="1"/>
    <n v="1"/>
    <n v="-160"/>
    <n v="960"/>
  </r>
  <r>
    <x v="32"/>
    <s v="conventional_turnover_wacls_699"/>
    <x v="739"/>
    <n v="1"/>
    <n v="1"/>
    <n v="-160"/>
    <n v="960"/>
  </r>
  <r>
    <x v="32"/>
    <s v="conventional_turnover_wacls_700"/>
    <x v="740"/>
    <n v="1"/>
    <n v="1"/>
    <n v="-160"/>
    <n v="960"/>
  </r>
  <r>
    <x v="32"/>
    <s v="conventional_turnover_wacls_701"/>
    <x v="741"/>
    <n v="1"/>
    <n v="1"/>
    <n v="-160"/>
    <n v="960"/>
  </r>
  <r>
    <x v="32"/>
    <s v="conventional_turnover_wacls_702"/>
    <x v="742"/>
    <n v="1"/>
    <n v="1"/>
    <n v="-160"/>
    <n v="960"/>
  </r>
  <r>
    <x v="32"/>
    <s v="conventional_turnover_wacls_703"/>
    <x v="743"/>
    <n v="1"/>
    <n v="1"/>
    <n v="-160"/>
    <n v="960"/>
  </r>
  <r>
    <x v="32"/>
    <s v="conventional_turnover_wacls_704"/>
    <x v="744"/>
    <n v="1"/>
    <n v="1"/>
    <n v="-160"/>
    <n v="960"/>
  </r>
  <r>
    <x v="32"/>
    <s v="conventional_turnover_wacls_705"/>
    <x v="745"/>
    <n v="1"/>
    <n v="1"/>
    <n v="-160"/>
    <n v="960"/>
  </r>
  <r>
    <x v="32"/>
    <s v="conventional_turnover_wacls_706"/>
    <x v="746"/>
    <n v="1"/>
    <n v="1"/>
    <n v="-160"/>
    <n v="960"/>
  </r>
  <r>
    <x v="32"/>
    <s v="conventional_turnover_wacls_707"/>
    <x v="747"/>
    <n v="1"/>
    <n v="1"/>
    <n v="-160"/>
    <n v="960"/>
  </r>
  <r>
    <x v="32"/>
    <s v="conventional_turnover_wacls_708"/>
    <x v="748"/>
    <n v="1"/>
    <n v="1"/>
    <n v="-160"/>
    <n v="960"/>
  </r>
  <r>
    <x v="32"/>
    <s v="conventional_turnover_wacls_709"/>
    <x v="749"/>
    <n v="1"/>
    <n v="1"/>
    <n v="-160"/>
    <n v="960"/>
  </r>
  <r>
    <x v="32"/>
    <s v="conventional_turnover_wacls_710"/>
    <x v="750"/>
    <n v="1"/>
    <n v="1"/>
    <n v="-160"/>
    <n v="960"/>
  </r>
  <r>
    <x v="32"/>
    <s v="conventional_turnover_wacls_711"/>
    <x v="751"/>
    <n v="1"/>
    <n v="1"/>
    <n v="-160"/>
    <n v="960"/>
  </r>
  <r>
    <x v="32"/>
    <s v="conventional_turnover_wacls_712"/>
    <x v="752"/>
    <n v="1"/>
    <n v="1"/>
    <n v="-160"/>
    <n v="960"/>
  </r>
  <r>
    <x v="32"/>
    <s v="conventional_turnover_wacls_713"/>
    <x v="753"/>
    <n v="1"/>
    <n v="1"/>
    <n v="-160"/>
    <n v="960"/>
  </r>
  <r>
    <x v="32"/>
    <s v="conventional_turnover_wacls_714"/>
    <x v="754"/>
    <n v="1"/>
    <n v="1"/>
    <n v="-160"/>
    <n v="960"/>
  </r>
  <r>
    <x v="32"/>
    <s v="conventional_turnover_wacls_715"/>
    <x v="755"/>
    <n v="1"/>
    <n v="1"/>
    <n v="-160"/>
    <n v="960"/>
  </r>
  <r>
    <x v="32"/>
    <s v="conventional_turnover_wacls_716"/>
    <x v="756"/>
    <n v="1"/>
    <n v="1"/>
    <n v="-160"/>
    <n v="960"/>
  </r>
  <r>
    <x v="32"/>
    <s v="conventional_turnover_wacls_717"/>
    <x v="757"/>
    <n v="1"/>
    <n v="1"/>
    <n v="-160"/>
    <n v="960"/>
  </r>
  <r>
    <x v="32"/>
    <s v="conventional_turnover_wacls_718"/>
    <x v="758"/>
    <n v="1"/>
    <n v="1"/>
    <n v="-160"/>
    <n v="960"/>
  </r>
  <r>
    <x v="32"/>
    <s v="conventional_turnover_wacls_719"/>
    <x v="759"/>
    <n v="1"/>
    <n v="1"/>
    <n v="-160"/>
    <n v="960"/>
  </r>
  <r>
    <x v="32"/>
    <s v="conventional_turnover_wacls_720"/>
    <x v="760"/>
    <n v="1"/>
    <n v="1"/>
    <n v="-160"/>
    <n v="960"/>
  </r>
  <r>
    <x v="32"/>
    <s v="conventional_turnover_wacls_721"/>
    <x v="761"/>
    <n v="1"/>
    <n v="1"/>
    <n v="-160"/>
    <n v="960"/>
  </r>
  <r>
    <x v="32"/>
    <s v="conventional_turnover_wacls_722"/>
    <x v="762"/>
    <n v="1"/>
    <n v="1"/>
    <n v="-160"/>
    <n v="960"/>
  </r>
  <r>
    <x v="32"/>
    <s v="conventional_turnover_wacls_723"/>
    <x v="763"/>
    <n v="1"/>
    <n v="1"/>
    <n v="-160"/>
    <n v="960"/>
  </r>
  <r>
    <x v="32"/>
    <s v="conventional_turnover_wacls_724"/>
    <x v="764"/>
    <n v="1"/>
    <n v="1"/>
    <n v="-160"/>
    <n v="960"/>
  </r>
  <r>
    <x v="32"/>
    <s v="conventional_turnover_wacls_725"/>
    <x v="765"/>
    <n v="1"/>
    <n v="1"/>
    <n v="-160"/>
    <n v="960"/>
  </r>
  <r>
    <x v="32"/>
    <s v="conventional_turnover_wacls_726"/>
    <x v="766"/>
    <n v="1"/>
    <n v="1"/>
    <n v="-160"/>
    <n v="960"/>
  </r>
  <r>
    <x v="32"/>
    <s v="conventional_turnover_wacls_727"/>
    <x v="767"/>
    <n v="1"/>
    <n v="1"/>
    <n v="-160"/>
    <n v="960"/>
  </r>
  <r>
    <x v="32"/>
    <s v="conventional_turnover_wacls_728"/>
    <x v="768"/>
    <n v="1"/>
    <n v="1"/>
    <n v="-160"/>
    <n v="960"/>
  </r>
  <r>
    <x v="32"/>
    <s v="conventional_turnover_wacls_729"/>
    <x v="769"/>
    <n v="1"/>
    <n v="1"/>
    <n v="-160"/>
    <n v="960"/>
  </r>
  <r>
    <x v="32"/>
    <s v="conventional_turnover_wacls_730"/>
    <x v="770"/>
    <n v="1"/>
    <n v="1"/>
    <n v="-160"/>
    <n v="960"/>
  </r>
  <r>
    <x v="32"/>
    <s v="conventional_turnover_wacls_731"/>
    <x v="771"/>
    <n v="1"/>
    <n v="1"/>
    <n v="-160"/>
    <n v="960"/>
  </r>
  <r>
    <x v="32"/>
    <s v="conventional_turnover_wacls_732"/>
    <x v="772"/>
    <n v="1"/>
    <n v="1"/>
    <n v="-160"/>
    <n v="960"/>
  </r>
  <r>
    <x v="32"/>
    <s v="conventional_turnover_wacls_733"/>
    <x v="773"/>
    <n v="1"/>
    <n v="1"/>
    <n v="-160"/>
    <n v="960"/>
  </r>
  <r>
    <x v="32"/>
    <s v="conventional_turnover_wacls_734"/>
    <x v="774"/>
    <n v="1"/>
    <n v="1"/>
    <n v="-160"/>
    <n v="960"/>
  </r>
  <r>
    <x v="32"/>
    <s v="conventional_turnover_wacls_735"/>
    <x v="775"/>
    <n v="1"/>
    <n v="1"/>
    <n v="-160"/>
    <n v="960"/>
  </r>
  <r>
    <x v="32"/>
    <s v="conventional_turnover_wacls_736"/>
    <x v="776"/>
    <n v="1"/>
    <n v="1"/>
    <n v="-160"/>
    <n v="960"/>
  </r>
  <r>
    <x v="32"/>
    <s v="conventional_turnover_wacls_737"/>
    <x v="777"/>
    <n v="1"/>
    <n v="1"/>
    <n v="-160"/>
    <n v="960"/>
  </r>
  <r>
    <x v="32"/>
    <s v="conventional_turnover_wacls_738"/>
    <x v="778"/>
    <n v="1"/>
    <n v="1"/>
    <n v="-160"/>
    <n v="960"/>
  </r>
  <r>
    <x v="32"/>
    <s v="conventional_turnover_wacls_739"/>
    <x v="779"/>
    <n v="1"/>
    <n v="1"/>
    <n v="-160"/>
    <n v="960"/>
  </r>
  <r>
    <x v="32"/>
    <s v="conventional_turnover_wacls_740"/>
    <x v="780"/>
    <n v="1"/>
    <n v="1"/>
    <n v="-160"/>
    <n v="960"/>
  </r>
  <r>
    <x v="32"/>
    <s v="conventional_turnover_wacls_741"/>
    <x v="781"/>
    <n v="1"/>
    <n v="1"/>
    <n v="-160"/>
    <n v="960"/>
  </r>
  <r>
    <x v="32"/>
    <s v="conventional_turnover_wacls_742"/>
    <x v="782"/>
    <n v="1"/>
    <n v="1"/>
    <n v="-160"/>
    <n v="960"/>
  </r>
  <r>
    <x v="32"/>
    <s v="conventional_turnover_wacls_743"/>
    <x v="783"/>
    <n v="1"/>
    <n v="1"/>
    <n v="-160"/>
    <n v="960"/>
  </r>
  <r>
    <x v="32"/>
    <s v="conventional_turnover_wacls_744"/>
    <x v="784"/>
    <n v="1"/>
    <n v="1"/>
    <n v="-160"/>
    <n v="960"/>
  </r>
  <r>
    <x v="32"/>
    <s v="conventional_turnover_wacls_745"/>
    <x v="785"/>
    <n v="1"/>
    <n v="1"/>
    <n v="-160"/>
    <n v="960"/>
  </r>
  <r>
    <x v="32"/>
    <s v="conventional_turnover_wacls_746"/>
    <x v="786"/>
    <n v="1"/>
    <n v="1"/>
    <n v="-160"/>
    <n v="960"/>
  </r>
  <r>
    <x v="32"/>
    <s v="conventional_turnover_wacls_747"/>
    <x v="787"/>
    <n v="1"/>
    <n v="1"/>
    <n v="-160"/>
    <n v="960"/>
  </r>
  <r>
    <x v="32"/>
    <s v="conventional_turnover_wacls_748"/>
    <x v="788"/>
    <n v="1"/>
    <n v="1"/>
    <n v="-160"/>
    <n v="960"/>
  </r>
  <r>
    <x v="32"/>
    <s v="conventional_turnover_wacls_749"/>
    <x v="789"/>
    <n v="1"/>
    <n v="1"/>
    <n v="-160"/>
    <n v="960"/>
  </r>
  <r>
    <x v="32"/>
    <s v="conventional_turnover_wacls_750"/>
    <x v="790"/>
    <n v="1"/>
    <n v="1"/>
    <n v="-160"/>
    <n v="960"/>
  </r>
  <r>
    <x v="32"/>
    <s v="conventional_turnover_wacls_751"/>
    <x v="791"/>
    <n v="1"/>
    <n v="1"/>
    <n v="-160"/>
    <n v="960"/>
  </r>
  <r>
    <x v="32"/>
    <s v="conventional_turnover_wacls_752"/>
    <x v="792"/>
    <n v="1"/>
    <n v="1"/>
    <n v="-160"/>
    <n v="960"/>
  </r>
  <r>
    <x v="32"/>
    <s v="conventional_turnover_wacls_753"/>
    <x v="793"/>
    <n v="1"/>
    <n v="1"/>
    <n v="-160"/>
    <n v="960"/>
  </r>
  <r>
    <x v="32"/>
    <s v="conventional_turnover_wacls_754"/>
    <x v="794"/>
    <n v="1"/>
    <n v="1"/>
    <n v="-160"/>
    <n v="960"/>
  </r>
  <r>
    <x v="32"/>
    <s v="conventional_turnover_wacls_755"/>
    <x v="795"/>
    <n v="1"/>
    <n v="1"/>
    <n v="-160"/>
    <n v="960"/>
  </r>
  <r>
    <x v="32"/>
    <s v="conventional_turnover_wacls_756"/>
    <x v="796"/>
    <n v="1"/>
    <n v="1"/>
    <n v="-160"/>
    <n v="960"/>
  </r>
  <r>
    <x v="32"/>
    <s v="conventional_turnover_wacls_757"/>
    <x v="797"/>
    <n v="1"/>
    <n v="1"/>
    <n v="-160"/>
    <n v="960"/>
  </r>
  <r>
    <x v="32"/>
    <s v="conventional_turnover_wacls_758"/>
    <x v="798"/>
    <n v="1"/>
    <n v="1"/>
    <n v="-160"/>
    <n v="960"/>
  </r>
  <r>
    <x v="32"/>
    <s v="conventional_turnover_wacls_759"/>
    <x v="799"/>
    <n v="1"/>
    <n v="1"/>
    <n v="-160"/>
    <n v="960"/>
  </r>
  <r>
    <x v="32"/>
    <s v="conventional_turnover_wacls_760"/>
    <x v="800"/>
    <n v="1"/>
    <n v="1"/>
    <n v="-160"/>
    <n v="960"/>
  </r>
  <r>
    <x v="32"/>
    <s v="conventional_turnover_wacls_761"/>
    <x v="801"/>
    <n v="1"/>
    <n v="1"/>
    <n v="-160"/>
    <n v="960"/>
  </r>
  <r>
    <x v="32"/>
    <s v="conventional_turnover_wacls_762"/>
    <x v="802"/>
    <n v="1"/>
    <n v="1"/>
    <n v="-160"/>
    <n v="960"/>
  </r>
  <r>
    <x v="32"/>
    <s v="conventional_turnover_wacls_763"/>
    <x v="803"/>
    <n v="1"/>
    <n v="1"/>
    <n v="-160"/>
    <n v="960"/>
  </r>
  <r>
    <x v="32"/>
    <s v="conventional_turnover_wacls_764"/>
    <x v="804"/>
    <n v="1"/>
    <n v="1"/>
    <n v="-160"/>
    <n v="960"/>
  </r>
  <r>
    <x v="32"/>
    <s v="conventional_turnover_wacls_765"/>
    <x v="805"/>
    <n v="1"/>
    <n v="1"/>
    <n v="-160"/>
    <n v="960"/>
  </r>
  <r>
    <x v="32"/>
    <s v="conventional_turnover_wacls_766"/>
    <x v="806"/>
    <n v="1"/>
    <n v="1"/>
    <n v="-160"/>
    <n v="960"/>
  </r>
  <r>
    <x v="32"/>
    <s v="conventional_turnover_wacls_767"/>
    <x v="807"/>
    <n v="1"/>
    <n v="1"/>
    <n v="-160"/>
    <n v="960"/>
  </r>
  <r>
    <x v="32"/>
    <s v="conventional_turnover_wacls_768"/>
    <x v="808"/>
    <n v="1"/>
    <n v="1"/>
    <n v="-160"/>
    <n v="960"/>
  </r>
  <r>
    <x v="32"/>
    <s v="conventional_turnover_wacls_769"/>
    <x v="809"/>
    <n v="1"/>
    <n v="1"/>
    <n v="-160"/>
    <n v="960"/>
  </r>
  <r>
    <x v="32"/>
    <s v="conventional_turnover_wacls_770"/>
    <x v="810"/>
    <n v="1"/>
    <n v="1"/>
    <n v="-160"/>
    <n v="960"/>
  </r>
  <r>
    <x v="32"/>
    <s v="conventional_turnover_wacls_771"/>
    <x v="811"/>
    <n v="1"/>
    <n v="1"/>
    <n v="-160"/>
    <n v="960"/>
  </r>
  <r>
    <x v="32"/>
    <s v="conventional_turnover_wacls_772"/>
    <x v="812"/>
    <n v="1"/>
    <n v="1"/>
    <n v="-160"/>
    <n v="960"/>
  </r>
  <r>
    <x v="32"/>
    <s v="conventional_turnover_wacls_773"/>
    <x v="813"/>
    <n v="1"/>
    <n v="1"/>
    <n v="-160"/>
    <n v="960"/>
  </r>
  <r>
    <x v="32"/>
    <s v="conventional_turnover_wacls_774"/>
    <x v="814"/>
    <n v="1"/>
    <n v="1"/>
    <n v="-160"/>
    <n v="960"/>
  </r>
  <r>
    <x v="32"/>
    <s v="conventional_turnover_wacls_775"/>
    <x v="815"/>
    <n v="1"/>
    <n v="1"/>
    <n v="-160"/>
    <n v="960"/>
  </r>
  <r>
    <x v="32"/>
    <s v="conventional_turnover_wacls_776"/>
    <x v="816"/>
    <n v="1"/>
    <n v="1"/>
    <n v="-160"/>
    <n v="960"/>
  </r>
  <r>
    <x v="32"/>
    <s v="conventional_turnover_wacls_777"/>
    <x v="817"/>
    <n v="1"/>
    <n v="1"/>
    <n v="-160"/>
    <n v="960"/>
  </r>
  <r>
    <x v="32"/>
    <s v="conventional_turnover_wacls_778"/>
    <x v="818"/>
    <n v="1"/>
    <n v="1"/>
    <n v="-160"/>
    <n v="960"/>
  </r>
  <r>
    <x v="32"/>
    <s v="conventional_turnover_wacls_779"/>
    <x v="819"/>
    <n v="1"/>
    <n v="1"/>
    <n v="-160"/>
    <n v="960"/>
  </r>
  <r>
    <x v="32"/>
    <s v="conventional_turnover_wacls_780"/>
    <x v="820"/>
    <n v="1"/>
    <n v="1"/>
    <n v="-160"/>
    <n v="960"/>
  </r>
  <r>
    <x v="32"/>
    <s v="conventional_turnover_wacls_781"/>
    <x v="821"/>
    <n v="1"/>
    <n v="1"/>
    <n v="-160"/>
    <n v="960"/>
  </r>
  <r>
    <x v="32"/>
    <s v="conventional_turnover_wacls_782"/>
    <x v="822"/>
    <n v="1"/>
    <n v="1"/>
    <n v="-160"/>
    <n v="960"/>
  </r>
  <r>
    <x v="32"/>
    <s v="conventional_turnover_wacls_783"/>
    <x v="823"/>
    <n v="1"/>
    <n v="1"/>
    <n v="-160"/>
    <n v="960"/>
  </r>
  <r>
    <x v="32"/>
    <s v="conventional_turnover_wacls_784"/>
    <x v="824"/>
    <n v="1"/>
    <n v="1"/>
    <n v="-160"/>
    <n v="960"/>
  </r>
  <r>
    <x v="32"/>
    <s v="conventional_turnover_wacls_785"/>
    <x v="825"/>
    <n v="1"/>
    <n v="1"/>
    <n v="-160"/>
    <n v="960"/>
  </r>
  <r>
    <x v="32"/>
    <s v="conventional_turnover_wacls_786"/>
    <x v="826"/>
    <n v="1"/>
    <n v="1"/>
    <n v="-160"/>
    <n v="960"/>
  </r>
  <r>
    <x v="32"/>
    <s v="conventional_turnover_wacls_787"/>
    <x v="827"/>
    <n v="1"/>
    <n v="1"/>
    <n v="-160"/>
    <n v="960"/>
  </r>
  <r>
    <x v="32"/>
    <s v="conventional_turnover_wacls_788"/>
    <x v="828"/>
    <n v="1"/>
    <n v="1"/>
    <n v="-160"/>
    <n v="960"/>
  </r>
  <r>
    <x v="32"/>
    <s v="conventional_turnover_wacls_789"/>
    <x v="829"/>
    <n v="1"/>
    <n v="1"/>
    <n v="-160"/>
    <n v="960"/>
  </r>
  <r>
    <x v="32"/>
    <s v="conventional_turnover_wacls_790"/>
    <x v="830"/>
    <n v="1"/>
    <n v="1"/>
    <n v="-160"/>
    <n v="960"/>
  </r>
  <r>
    <x v="32"/>
    <s v="conventional_turnover_wacls_791"/>
    <x v="831"/>
    <n v="1"/>
    <n v="1"/>
    <n v="-160"/>
    <n v="960"/>
  </r>
  <r>
    <x v="32"/>
    <s v="conventional_turnover_wacls_792"/>
    <x v="832"/>
    <n v="1"/>
    <n v="1"/>
    <n v="-160"/>
    <n v="960"/>
  </r>
  <r>
    <x v="32"/>
    <s v="conventional_turnover_wacls_793"/>
    <x v="833"/>
    <n v="1"/>
    <n v="1"/>
    <n v="-160"/>
    <n v="960"/>
  </r>
  <r>
    <x v="32"/>
    <s v="conventional_turnover_wacls_794"/>
    <x v="834"/>
    <n v="1"/>
    <n v="1"/>
    <n v="-160"/>
    <n v="960"/>
  </r>
  <r>
    <x v="32"/>
    <s v="conventional_turnover_wacls_795"/>
    <x v="835"/>
    <n v="1"/>
    <n v="1"/>
    <n v="-160"/>
    <n v="960"/>
  </r>
  <r>
    <x v="32"/>
    <s v="conventional_turnover_wacls_796"/>
    <x v="836"/>
    <n v="1"/>
    <n v="1"/>
    <n v="-160"/>
    <n v="960"/>
  </r>
  <r>
    <x v="32"/>
    <s v="conventional_turnover_wacls_797"/>
    <x v="837"/>
    <n v="1"/>
    <n v="1"/>
    <n v="-160"/>
    <n v="960"/>
  </r>
  <r>
    <x v="32"/>
    <s v="conventional_turnover_wacls_798"/>
    <x v="838"/>
    <n v="1"/>
    <n v="1"/>
    <n v="-160"/>
    <n v="960"/>
  </r>
  <r>
    <x v="32"/>
    <s v="conventional_turnover_wacls_799"/>
    <x v="839"/>
    <n v="1"/>
    <n v="1"/>
    <n v="-160"/>
    <n v="960"/>
  </r>
  <r>
    <x v="32"/>
    <s v="conventional_turnover_wacls_800"/>
    <x v="840"/>
    <n v="1"/>
    <n v="1"/>
    <n v="-160"/>
    <n v="960"/>
  </r>
  <r>
    <x v="32"/>
    <s v="conventional_turnover_wacls_801"/>
    <x v="841"/>
    <n v="1"/>
    <n v="1"/>
    <n v="-160"/>
    <n v="960"/>
  </r>
  <r>
    <x v="32"/>
    <s v="conventional_turnover_wacls_802"/>
    <x v="842"/>
    <n v="1"/>
    <n v="1"/>
    <n v="-160"/>
    <n v="960"/>
  </r>
  <r>
    <x v="32"/>
    <s v="conventional_turnover_wacls_803"/>
    <x v="843"/>
    <n v="1"/>
    <n v="1"/>
    <n v="-160"/>
    <n v="960"/>
  </r>
  <r>
    <x v="32"/>
    <s v="conventional_turnover_wacls_804"/>
    <x v="844"/>
    <n v="1"/>
    <n v="1"/>
    <n v="-160"/>
    <n v="960"/>
  </r>
  <r>
    <x v="32"/>
    <s v="conventional_turnover_wacls_805"/>
    <x v="845"/>
    <n v="1"/>
    <n v="1"/>
    <n v="-160"/>
    <n v="960"/>
  </r>
  <r>
    <x v="32"/>
    <s v="conventional_turnover_wacls_806"/>
    <x v="846"/>
    <n v="1"/>
    <n v="1"/>
    <n v="-160"/>
    <n v="960"/>
  </r>
  <r>
    <x v="32"/>
    <s v="conventional_turnover_wacls_807"/>
    <x v="847"/>
    <n v="1"/>
    <n v="1"/>
    <n v="-160"/>
    <n v="960"/>
  </r>
  <r>
    <x v="32"/>
    <s v="conventional_turnover_wacls_808"/>
    <x v="848"/>
    <n v="1"/>
    <n v="1"/>
    <n v="-160"/>
    <n v="960"/>
  </r>
  <r>
    <x v="32"/>
    <s v="conventional_turnover_wacls_809"/>
    <x v="849"/>
    <n v="1"/>
    <n v="1"/>
    <n v="-160"/>
    <n v="960"/>
  </r>
  <r>
    <x v="32"/>
    <s v="conventional_turnover_wacls_810"/>
    <x v="850"/>
    <n v="1"/>
    <n v="1"/>
    <n v="-160"/>
    <n v="960"/>
  </r>
  <r>
    <x v="32"/>
    <s v="conventional_turnover_wacls_811"/>
    <x v="851"/>
    <n v="1"/>
    <n v="1"/>
    <n v="-160"/>
    <n v="960"/>
  </r>
  <r>
    <x v="32"/>
    <s v="conventional_turnover_wacls_812"/>
    <x v="852"/>
    <n v="1"/>
    <n v="1"/>
    <n v="-160"/>
    <n v="960"/>
  </r>
  <r>
    <x v="32"/>
    <s v="conventional_turnover_wacls_813"/>
    <x v="853"/>
    <n v="1"/>
    <n v="1"/>
    <n v="-160"/>
    <n v="960"/>
  </r>
  <r>
    <x v="32"/>
    <s v="conventional_turnover_wacls_814"/>
    <x v="854"/>
    <n v="1"/>
    <n v="1"/>
    <n v="-160"/>
    <n v="960"/>
  </r>
  <r>
    <x v="32"/>
    <s v="conventional_turnover_wacls_815"/>
    <x v="855"/>
    <n v="1"/>
    <n v="1"/>
    <n v="-160"/>
    <n v="960"/>
  </r>
  <r>
    <x v="32"/>
    <s v="conventional_turnover_wacls_816"/>
    <x v="856"/>
    <n v="1"/>
    <n v="1"/>
    <n v="-160"/>
    <n v="960"/>
  </r>
  <r>
    <x v="32"/>
    <s v="conventional_turnover_wacls_817"/>
    <x v="857"/>
    <n v="1"/>
    <n v="1"/>
    <n v="-160"/>
    <n v="960"/>
  </r>
  <r>
    <x v="32"/>
    <s v="conventional_turnover_wacls_818"/>
    <x v="858"/>
    <n v="1"/>
    <n v="1"/>
    <n v="-160"/>
    <n v="960"/>
  </r>
  <r>
    <x v="32"/>
    <s v="conventional_turnover_wacls_819"/>
    <x v="859"/>
    <n v="1"/>
    <n v="1"/>
    <n v="-160"/>
    <n v="960"/>
  </r>
  <r>
    <x v="32"/>
    <s v="conventional_turnover_wacls_820"/>
    <x v="860"/>
    <n v="1"/>
    <n v="1"/>
    <n v="-160"/>
    <n v="960"/>
  </r>
  <r>
    <x v="32"/>
    <s v="conventional_turnover_wacls_821"/>
    <x v="861"/>
    <n v="1"/>
    <n v="1"/>
    <n v="-160"/>
    <n v="960"/>
  </r>
  <r>
    <x v="32"/>
    <s v="conventional_turnover_wacls_822"/>
    <x v="862"/>
    <n v="1"/>
    <n v="1"/>
    <n v="-160"/>
    <n v="960"/>
  </r>
  <r>
    <x v="32"/>
    <s v="conventional_turnover_wacls_823"/>
    <x v="863"/>
    <n v="1"/>
    <n v="1"/>
    <n v="-160"/>
    <n v="960"/>
  </r>
  <r>
    <x v="32"/>
    <s v="conventional_turnover_wacls_824"/>
    <x v="864"/>
    <n v="1"/>
    <n v="1"/>
    <n v="-160"/>
    <n v="960"/>
  </r>
  <r>
    <x v="32"/>
    <s v="conventional_turnover_wacls_825"/>
    <x v="865"/>
    <n v="1"/>
    <n v="1"/>
    <n v="-160"/>
    <n v="960"/>
  </r>
  <r>
    <x v="32"/>
    <s v="conventional_turnover_wacls_826"/>
    <x v="866"/>
    <n v="1"/>
    <n v="1"/>
    <n v="-160"/>
    <n v="960"/>
  </r>
  <r>
    <x v="32"/>
    <s v="conventional_turnover_wacls_827"/>
    <x v="867"/>
    <n v="1"/>
    <n v="1"/>
    <n v="-160"/>
    <n v="960"/>
  </r>
  <r>
    <x v="32"/>
    <s v="conventional_turnover_wacls_828"/>
    <x v="868"/>
    <n v="1"/>
    <n v="1"/>
    <n v="-160"/>
    <n v="960"/>
  </r>
  <r>
    <x v="32"/>
    <s v="conventional_turnover_wacls_829"/>
    <x v="869"/>
    <n v="1"/>
    <n v="1"/>
    <n v="-160"/>
    <n v="960"/>
  </r>
  <r>
    <x v="32"/>
    <s v="conventional_turnover_wacls_830"/>
    <x v="870"/>
    <n v="1"/>
    <n v="1"/>
    <n v="-160"/>
    <n v="960"/>
  </r>
  <r>
    <x v="32"/>
    <s v="conventional_turnover_wacls_831"/>
    <x v="871"/>
    <n v="1"/>
    <n v="1"/>
    <n v="-160"/>
    <n v="960"/>
  </r>
  <r>
    <x v="32"/>
    <s v="conventional_turnover_wacls_832"/>
    <x v="872"/>
    <n v="1"/>
    <n v="1"/>
    <n v="-160"/>
    <n v="960"/>
  </r>
  <r>
    <x v="32"/>
    <s v="conventional_turnover_wacls_833"/>
    <x v="873"/>
    <n v="1"/>
    <n v="1"/>
    <n v="-160"/>
    <n v="960"/>
  </r>
  <r>
    <x v="32"/>
    <s v="conventional_turnover_wacls_834"/>
    <x v="874"/>
    <n v="1"/>
    <n v="1"/>
    <n v="-160"/>
    <n v="960"/>
  </r>
  <r>
    <x v="32"/>
    <s v="conventional_turnover_wacls_835"/>
    <x v="875"/>
    <n v="1"/>
    <n v="1"/>
    <n v="-160"/>
    <n v="960"/>
  </r>
  <r>
    <x v="32"/>
    <s v="conventional_turnover_wacls_836"/>
    <x v="876"/>
    <n v="1"/>
    <n v="1"/>
    <n v="-160"/>
    <n v="960"/>
  </r>
  <r>
    <x v="32"/>
    <s v="conventional_turnover_wacls_837"/>
    <x v="877"/>
    <n v="1"/>
    <n v="1"/>
    <n v="-160"/>
    <n v="960"/>
  </r>
  <r>
    <x v="32"/>
    <s v="conventional_turnover_wacls_838"/>
    <x v="878"/>
    <n v="1"/>
    <n v="1"/>
    <n v="-160"/>
    <n v="960"/>
  </r>
  <r>
    <x v="32"/>
    <s v="conventional_turnover_wacls_839"/>
    <x v="879"/>
    <n v="1"/>
    <n v="1"/>
    <n v="-160"/>
    <n v="960"/>
  </r>
  <r>
    <x v="32"/>
    <s v="conventional_turnover_wacls_840"/>
    <x v="880"/>
    <n v="1"/>
    <n v="1"/>
    <n v="-160"/>
    <n v="960"/>
  </r>
  <r>
    <x v="32"/>
    <s v="conventional_turnover_wacls_841"/>
    <x v="881"/>
    <n v="1"/>
    <n v="1"/>
    <n v="-160"/>
    <n v="960"/>
  </r>
  <r>
    <x v="32"/>
    <s v="conventional_turnover_wacls_842"/>
    <x v="882"/>
    <n v="1"/>
    <n v="1"/>
    <n v="-160"/>
    <n v="960"/>
  </r>
  <r>
    <x v="32"/>
    <s v="conventional_turnover_wacls_843"/>
    <x v="883"/>
    <n v="1"/>
    <n v="1"/>
    <n v="-160"/>
    <n v="960"/>
  </r>
  <r>
    <x v="32"/>
    <s v="conventional_turnover_wacls_844"/>
    <x v="884"/>
    <n v="1"/>
    <n v="1"/>
    <n v="-160"/>
    <n v="960"/>
  </r>
  <r>
    <x v="32"/>
    <s v="conventional_turnover_wacls_845"/>
    <x v="885"/>
    <n v="1"/>
    <n v="1"/>
    <n v="-160"/>
    <n v="960"/>
  </r>
  <r>
    <x v="32"/>
    <s v="conventional_turnover_wacls_846"/>
    <x v="886"/>
    <n v="1"/>
    <n v="1"/>
    <n v="-160"/>
    <n v="960"/>
  </r>
  <r>
    <x v="32"/>
    <s v="conventional_turnover_wacls_847"/>
    <x v="887"/>
    <n v="1"/>
    <n v="1"/>
    <n v="-160"/>
    <n v="960"/>
  </r>
  <r>
    <x v="32"/>
    <s v="conventional_turnover_wacls_848"/>
    <x v="888"/>
    <n v="1"/>
    <n v="1"/>
    <n v="-160"/>
    <n v="960"/>
  </r>
  <r>
    <x v="32"/>
    <s v="conventional_turnover_wacls_849"/>
    <x v="889"/>
    <n v="1"/>
    <n v="1"/>
    <n v="-160"/>
    <n v="960"/>
  </r>
  <r>
    <x v="32"/>
    <s v="conventional_turnover_wacls_850"/>
    <x v="890"/>
    <n v="1"/>
    <n v="1"/>
    <n v="-160"/>
    <n v="960"/>
  </r>
  <r>
    <x v="32"/>
    <s v="conventional_turnover_wacls_851"/>
    <x v="891"/>
    <n v="1"/>
    <n v="1"/>
    <n v="-160"/>
    <n v="960"/>
  </r>
  <r>
    <x v="32"/>
    <s v="conventional_turnover_wacls_852"/>
    <x v="892"/>
    <n v="1"/>
    <n v="1"/>
    <n v="-160"/>
    <n v="960"/>
  </r>
  <r>
    <x v="32"/>
    <s v="conventional_turnover_wacls_853"/>
    <x v="893"/>
    <n v="1"/>
    <n v="1"/>
    <n v="-160"/>
    <n v="960"/>
  </r>
  <r>
    <x v="32"/>
    <s v="conventional_turnover_wacls_854"/>
    <x v="894"/>
    <n v="1"/>
    <n v="1"/>
    <n v="-160"/>
    <n v="960"/>
  </r>
  <r>
    <x v="32"/>
    <s v="conventional_turnover_wacls_855"/>
    <x v="895"/>
    <n v="1"/>
    <n v="1"/>
    <n v="-160"/>
    <n v="960"/>
  </r>
  <r>
    <x v="32"/>
    <s v="conventional_turnover_wacls_856"/>
    <x v="896"/>
    <n v="1"/>
    <n v="1"/>
    <n v="-160"/>
    <n v="960"/>
  </r>
  <r>
    <x v="32"/>
    <s v="conventional_turnover_wacls_857"/>
    <x v="897"/>
    <n v="1"/>
    <n v="1"/>
    <n v="-160"/>
    <n v="960"/>
  </r>
  <r>
    <x v="32"/>
    <s v="conventional_turnover_wacls_858"/>
    <x v="898"/>
    <n v="1"/>
    <n v="1"/>
    <n v="-160"/>
    <n v="960"/>
  </r>
  <r>
    <x v="32"/>
    <s v="conventional_turnover_wacls_859"/>
    <x v="899"/>
    <n v="1"/>
    <n v="1"/>
    <n v="-160"/>
    <n v="960"/>
  </r>
  <r>
    <x v="32"/>
    <s v="conventional_turnover_wacls_860"/>
    <x v="900"/>
    <n v="1"/>
    <n v="1"/>
    <n v="-160"/>
    <n v="960"/>
  </r>
  <r>
    <x v="32"/>
    <s v="conventional_turnover_wacls_861"/>
    <x v="901"/>
    <n v="1"/>
    <n v="1"/>
    <n v="-160"/>
    <n v="960"/>
  </r>
  <r>
    <x v="32"/>
    <s v="conventional_turnover_wacls_862"/>
    <x v="902"/>
    <n v="1"/>
    <n v="1"/>
    <n v="-160"/>
    <n v="960"/>
  </r>
  <r>
    <x v="32"/>
    <s v="conventional_turnover_wacls_863"/>
    <x v="903"/>
    <n v="1"/>
    <n v="1"/>
    <n v="-160"/>
    <n v="960"/>
  </r>
  <r>
    <x v="32"/>
    <s v="conventional_turnover_wacls_864"/>
    <x v="904"/>
    <n v="1"/>
    <n v="1"/>
    <n v="-160"/>
    <n v="960"/>
  </r>
  <r>
    <x v="32"/>
    <s v="conventional_turnover_wacls_865"/>
    <x v="905"/>
    <n v="1"/>
    <n v="1"/>
    <n v="-160"/>
    <n v="960"/>
  </r>
  <r>
    <x v="32"/>
    <s v="conventional_turnover_wacls_866"/>
    <x v="906"/>
    <n v="1"/>
    <n v="1"/>
    <n v="-160"/>
    <n v="960"/>
  </r>
  <r>
    <x v="32"/>
    <s v="conventional_turnover_wacls_867"/>
    <x v="907"/>
    <n v="1"/>
    <n v="1"/>
    <n v="-160"/>
    <n v="960"/>
  </r>
  <r>
    <x v="32"/>
    <s v="conventional_turnover_wacls_868"/>
    <x v="908"/>
    <n v="1"/>
    <n v="1"/>
    <n v="-160"/>
    <n v="960"/>
  </r>
  <r>
    <x v="32"/>
    <s v="conventional_turnover_wacls_869"/>
    <x v="909"/>
    <n v="1"/>
    <n v="1"/>
    <n v="-160"/>
    <n v="960"/>
  </r>
  <r>
    <x v="32"/>
    <s v="conventional_turnover_wacls_870"/>
    <x v="910"/>
    <n v="1"/>
    <n v="1"/>
    <n v="-160"/>
    <n v="960"/>
  </r>
  <r>
    <x v="32"/>
    <s v="conventional_turnover_wacls_871"/>
    <x v="911"/>
    <n v="1"/>
    <n v="1"/>
    <n v="-160"/>
    <n v="960"/>
  </r>
  <r>
    <x v="32"/>
    <s v="conventional_turnover_wacls_872"/>
    <x v="912"/>
    <n v="1"/>
    <n v="1"/>
    <n v="-160"/>
    <n v="960"/>
  </r>
  <r>
    <x v="32"/>
    <s v="conventional_turnover_wacls_873"/>
    <x v="913"/>
    <n v="1"/>
    <n v="1"/>
    <n v="-160"/>
    <n v="960"/>
  </r>
  <r>
    <x v="32"/>
    <s v="conventional_turnover_wacls_874"/>
    <x v="914"/>
    <n v="1"/>
    <n v="1"/>
    <n v="-160"/>
    <n v="960"/>
  </r>
  <r>
    <x v="32"/>
    <s v="conventional_turnover_wacls_875"/>
    <x v="915"/>
    <n v="1"/>
    <n v="1"/>
    <n v="-160"/>
    <n v="960"/>
  </r>
  <r>
    <x v="32"/>
    <s v="conventional_turnover_wacls_876"/>
    <x v="916"/>
    <n v="1"/>
    <n v="1"/>
    <n v="-160"/>
    <n v="960"/>
  </r>
  <r>
    <x v="32"/>
    <s v="conventional_turnover_wacls_877"/>
    <x v="917"/>
    <n v="1"/>
    <n v="1"/>
    <n v="-160"/>
    <n v="960"/>
  </r>
  <r>
    <x v="32"/>
    <s v="conventional_turnover_wacls_878"/>
    <x v="918"/>
    <n v="1"/>
    <n v="1"/>
    <n v="-160"/>
    <n v="960"/>
  </r>
  <r>
    <x v="32"/>
    <s v="conventional_turnover_wacls_879"/>
    <x v="919"/>
    <n v="1"/>
    <n v="1"/>
    <n v="-160"/>
    <n v="960"/>
  </r>
  <r>
    <x v="32"/>
    <s v="conventional_turnover_wacls_880"/>
    <x v="920"/>
    <n v="1"/>
    <n v="1"/>
    <n v="-160"/>
    <n v="960"/>
  </r>
  <r>
    <x v="32"/>
    <s v="conventional_turnover_wacls_881"/>
    <x v="921"/>
    <n v="1"/>
    <n v="1"/>
    <n v="-160"/>
    <n v="960"/>
  </r>
  <r>
    <x v="32"/>
    <s v="conventional_turnover_wacls_882"/>
    <x v="922"/>
    <n v="1"/>
    <n v="1"/>
    <n v="-160"/>
    <n v="960"/>
  </r>
  <r>
    <x v="32"/>
    <s v="conventional_turnover_wacls_883"/>
    <x v="923"/>
    <n v="1"/>
    <n v="1"/>
    <n v="-160"/>
    <n v="960"/>
  </r>
  <r>
    <x v="32"/>
    <s v="conventional_turnover_wacls_884"/>
    <x v="924"/>
    <n v="1"/>
    <n v="1"/>
    <n v="-160"/>
    <n v="960"/>
  </r>
  <r>
    <x v="32"/>
    <s v="conventional_turnover_wacls_885"/>
    <x v="925"/>
    <n v="1"/>
    <n v="1"/>
    <n v="-160"/>
    <n v="960"/>
  </r>
  <r>
    <x v="32"/>
    <s v="conventional_turnover_wacls_886"/>
    <x v="926"/>
    <n v="1"/>
    <n v="1"/>
    <n v="-160"/>
    <n v="960"/>
  </r>
  <r>
    <x v="32"/>
    <s v="conventional_turnover_wacls_887"/>
    <x v="927"/>
    <n v="1"/>
    <n v="1"/>
    <n v="-160"/>
    <n v="960"/>
  </r>
  <r>
    <x v="32"/>
    <s v="conventional_turnover_wacls_888"/>
    <x v="928"/>
    <n v="1"/>
    <n v="1"/>
    <n v="-160"/>
    <n v="960"/>
  </r>
  <r>
    <x v="32"/>
    <s v="conventional_turnover_wacls_889"/>
    <x v="929"/>
    <n v="1"/>
    <n v="1"/>
    <n v="-160"/>
    <n v="960"/>
  </r>
  <r>
    <x v="32"/>
    <s v="conventional_turnover_wacls_890"/>
    <x v="930"/>
    <n v="1"/>
    <n v="1"/>
    <n v="-160"/>
    <n v="960"/>
  </r>
  <r>
    <x v="32"/>
    <s v="conventional_turnover_wacls_891"/>
    <x v="931"/>
    <n v="1"/>
    <n v="1"/>
    <n v="-160"/>
    <n v="960"/>
  </r>
  <r>
    <x v="32"/>
    <s v="conventional_turnover_wacls_892"/>
    <x v="932"/>
    <n v="1"/>
    <n v="1"/>
    <n v="-160"/>
    <n v="960"/>
  </r>
  <r>
    <x v="32"/>
    <s v="conventional_turnover_wacls_893"/>
    <x v="933"/>
    <n v="1"/>
    <n v="1"/>
    <n v="-160"/>
    <n v="960"/>
  </r>
  <r>
    <x v="32"/>
    <s v="conventional_turnover_wacls_894"/>
    <x v="934"/>
    <n v="1"/>
    <n v="1"/>
    <n v="-160"/>
    <n v="960"/>
  </r>
  <r>
    <x v="32"/>
    <s v="conventional_turnover_wacls_895"/>
    <x v="935"/>
    <n v="1"/>
    <n v="1"/>
    <n v="-160"/>
    <n v="960"/>
  </r>
  <r>
    <x v="32"/>
    <s v="conventional_turnover_wacls_896"/>
    <x v="936"/>
    <n v="1"/>
    <n v="1"/>
    <n v="-160"/>
    <n v="960"/>
  </r>
  <r>
    <x v="32"/>
    <s v="conventional_turnover_wacls_897"/>
    <x v="937"/>
    <n v="1"/>
    <n v="1"/>
    <n v="-160"/>
    <n v="960"/>
  </r>
  <r>
    <x v="32"/>
    <s v="conventional_turnover_wacls_898"/>
    <x v="938"/>
    <n v="1"/>
    <n v="1"/>
    <n v="-160"/>
    <n v="960"/>
  </r>
  <r>
    <x v="32"/>
    <s v="conventional_turnover_wacls_899"/>
    <x v="939"/>
    <n v="1"/>
    <n v="1"/>
    <n v="-160"/>
    <n v="960"/>
  </r>
  <r>
    <x v="32"/>
    <s v="conventional_turnover_wacls_900"/>
    <x v="940"/>
    <n v="1"/>
    <n v="1"/>
    <n v="-160"/>
    <n v="960"/>
  </r>
  <r>
    <x v="32"/>
    <s v="conventional_turnover_wacls_901"/>
    <x v="941"/>
    <n v="1"/>
    <n v="1"/>
    <n v="-160"/>
    <n v="960"/>
  </r>
  <r>
    <x v="32"/>
    <s v="conventional_turnover_wacls_902"/>
    <x v="942"/>
    <n v="1"/>
    <n v="1"/>
    <n v="-160"/>
    <n v="960"/>
  </r>
  <r>
    <x v="32"/>
    <s v="conventional_turnover_wacls_903"/>
    <x v="943"/>
    <n v="1"/>
    <n v="1"/>
    <n v="-160"/>
    <n v="960"/>
  </r>
  <r>
    <x v="32"/>
    <s v="conventional_turnover_wacls_904"/>
    <x v="944"/>
    <n v="1"/>
    <n v="1"/>
    <n v="-160"/>
    <n v="960"/>
  </r>
  <r>
    <x v="32"/>
    <s v="conventional_turnover_wacls_905"/>
    <x v="945"/>
    <n v="1"/>
    <n v="1"/>
    <n v="-160"/>
    <n v="960"/>
  </r>
  <r>
    <x v="32"/>
    <s v="conventional_turnover_wacls_906"/>
    <x v="946"/>
    <n v="1"/>
    <n v="1"/>
    <n v="-160"/>
    <n v="960"/>
  </r>
  <r>
    <x v="32"/>
    <s v="conventional_turnover_wacls_907"/>
    <x v="947"/>
    <n v="1"/>
    <n v="1"/>
    <n v="-160"/>
    <n v="960"/>
  </r>
  <r>
    <x v="32"/>
    <s v="conventional_turnover_wacls_908"/>
    <x v="948"/>
    <n v="1"/>
    <n v="1"/>
    <n v="-160"/>
    <n v="960"/>
  </r>
  <r>
    <x v="32"/>
    <s v="conventional_turnover_wacls_909"/>
    <x v="949"/>
    <n v="1"/>
    <n v="1"/>
    <n v="-160"/>
    <n v="960"/>
  </r>
  <r>
    <x v="32"/>
    <s v="conventional_turnover_wacls_910"/>
    <x v="950"/>
    <n v="1"/>
    <n v="1"/>
    <n v="-160"/>
    <n v="960"/>
  </r>
  <r>
    <x v="32"/>
    <s v="conventional_turnover_wacls_911"/>
    <x v="951"/>
    <n v="1"/>
    <n v="1"/>
    <n v="-160"/>
    <n v="960"/>
  </r>
  <r>
    <x v="32"/>
    <s v="conventional_turnover_wacls_912"/>
    <x v="952"/>
    <n v="1"/>
    <n v="1"/>
    <n v="-160"/>
    <n v="960"/>
  </r>
  <r>
    <x v="32"/>
    <s v="conventional_turnover_wacls_913"/>
    <x v="953"/>
    <n v="1"/>
    <n v="1"/>
    <n v="-160"/>
    <n v="960"/>
  </r>
  <r>
    <x v="32"/>
    <s v="conventional_turnover_wacls_914"/>
    <x v="954"/>
    <n v="1"/>
    <n v="1"/>
    <n v="-160"/>
    <n v="960"/>
  </r>
  <r>
    <x v="32"/>
    <s v="conventional_turnover_wacls_915"/>
    <x v="955"/>
    <n v="1"/>
    <n v="1"/>
    <n v="-160"/>
    <n v="960"/>
  </r>
  <r>
    <x v="32"/>
    <s v="conventional_turnover_wacls_916"/>
    <x v="956"/>
    <n v="1"/>
    <n v="1"/>
    <n v="-160"/>
    <n v="960"/>
  </r>
  <r>
    <x v="32"/>
    <s v="conventional_turnover_wacls_917"/>
    <x v="957"/>
    <n v="1"/>
    <n v="1"/>
    <n v="-160"/>
    <n v="960"/>
  </r>
  <r>
    <x v="32"/>
    <s v="conventional_turnover_wacls_918"/>
    <x v="958"/>
    <n v="1"/>
    <n v="1"/>
    <n v="-160"/>
    <n v="960"/>
  </r>
  <r>
    <x v="32"/>
    <s v="conventional_turnover_wacls_919"/>
    <x v="959"/>
    <n v="1"/>
    <n v="1"/>
    <n v="-160"/>
    <n v="960"/>
  </r>
  <r>
    <x v="32"/>
    <s v="conventional_turnover_wacls_920"/>
    <x v="960"/>
    <n v="1"/>
    <n v="1"/>
    <n v="-160"/>
    <n v="960"/>
  </r>
  <r>
    <x v="32"/>
    <s v="conventional_turnover_wacls_921"/>
    <x v="961"/>
    <n v="1"/>
    <n v="1"/>
    <n v="-160"/>
    <n v="960"/>
  </r>
  <r>
    <x v="32"/>
    <s v="conventional_turnover_wacls_922"/>
    <x v="962"/>
    <n v="1"/>
    <n v="1"/>
    <n v="-160"/>
    <n v="960"/>
  </r>
  <r>
    <x v="32"/>
    <s v="conventional_turnover_wacls_923"/>
    <x v="963"/>
    <n v="1"/>
    <n v="1"/>
    <n v="-160"/>
    <n v="960"/>
  </r>
  <r>
    <x v="32"/>
    <s v="conventional_turnover_wacls_924"/>
    <x v="964"/>
    <n v="1"/>
    <n v="1"/>
    <n v="-160"/>
    <n v="960"/>
  </r>
  <r>
    <x v="32"/>
    <s v="conventional_turnover_wacls_925"/>
    <x v="965"/>
    <n v="1"/>
    <n v="1"/>
    <n v="-160"/>
    <n v="960"/>
  </r>
  <r>
    <x v="32"/>
    <s v="conventional_turnover_wacls_926"/>
    <x v="966"/>
    <n v="1"/>
    <n v="1"/>
    <n v="-160"/>
    <n v="960"/>
  </r>
  <r>
    <x v="32"/>
    <s v="conventional_turnover_wacls_927"/>
    <x v="967"/>
    <n v="1"/>
    <n v="1"/>
    <n v="-160"/>
    <n v="960"/>
  </r>
  <r>
    <x v="32"/>
    <s v="conventional_turnover_wacls_928"/>
    <x v="968"/>
    <n v="1"/>
    <n v="1"/>
    <n v="-160"/>
    <n v="960"/>
  </r>
  <r>
    <x v="32"/>
    <s v="conventional_turnover_wacls_929"/>
    <x v="969"/>
    <n v="1"/>
    <n v="1"/>
    <n v="-160"/>
    <n v="960"/>
  </r>
  <r>
    <x v="32"/>
    <s v="conventional_turnover_wacls_930"/>
    <x v="970"/>
    <n v="1"/>
    <n v="1"/>
    <n v="-160"/>
    <n v="960"/>
  </r>
  <r>
    <x v="32"/>
    <s v="conventional_turnover_wacls_931"/>
    <x v="971"/>
    <n v="1"/>
    <n v="1"/>
    <n v="-160"/>
    <n v="960"/>
  </r>
  <r>
    <x v="32"/>
    <s v="conventional_turnover_wacls_932"/>
    <x v="972"/>
    <n v="1"/>
    <n v="1"/>
    <n v="-160"/>
    <n v="960"/>
  </r>
  <r>
    <x v="32"/>
    <s v="conventional_turnover_wacls_933"/>
    <x v="973"/>
    <n v="1"/>
    <n v="1"/>
    <n v="-160"/>
    <n v="960"/>
  </r>
  <r>
    <x v="32"/>
    <s v="conventional_turnover_wacls_934"/>
    <x v="974"/>
    <n v="1"/>
    <n v="1"/>
    <n v="-160"/>
    <n v="960"/>
  </r>
  <r>
    <x v="32"/>
    <s v="conventional_turnover_wacls_935"/>
    <x v="975"/>
    <n v="1"/>
    <n v="1"/>
    <n v="-160"/>
    <n v="960"/>
  </r>
  <r>
    <x v="32"/>
    <s v="conventional_turnover_wacls_936"/>
    <x v="976"/>
    <n v="1"/>
    <n v="1"/>
    <n v="-160"/>
    <n v="960"/>
  </r>
  <r>
    <x v="32"/>
    <s v="conventional_turnover_wacls_937"/>
    <x v="977"/>
    <n v="1"/>
    <n v="1"/>
    <n v="-160"/>
    <n v="960"/>
  </r>
  <r>
    <x v="32"/>
    <s v="conventional_turnover_wacls_938"/>
    <x v="978"/>
    <n v="1"/>
    <n v="1"/>
    <n v="-160"/>
    <n v="960"/>
  </r>
  <r>
    <x v="32"/>
    <s v="conventional_turnover_wacls_939"/>
    <x v="979"/>
    <n v="1"/>
    <n v="1"/>
    <n v="-160"/>
    <n v="960"/>
  </r>
  <r>
    <x v="32"/>
    <s v="conventional_turnover_wacls_940"/>
    <x v="980"/>
    <n v="1"/>
    <n v="1"/>
    <n v="-160"/>
    <n v="960"/>
  </r>
  <r>
    <x v="32"/>
    <s v="conventional_turnover_wacls_941"/>
    <x v="1879"/>
    <n v="1"/>
    <n v="1"/>
    <n v="-160"/>
    <n v="960"/>
  </r>
  <r>
    <x v="32"/>
    <s v="conventional_turnover_wacls_942"/>
    <x v="1880"/>
    <n v="1"/>
    <n v="1"/>
    <n v="-160"/>
    <n v="960"/>
  </r>
  <r>
    <x v="32"/>
    <s v="conventional_turnover_wacls_943"/>
    <x v="1881"/>
    <n v="1"/>
    <n v="1"/>
    <n v="-160"/>
    <n v="960"/>
  </r>
  <r>
    <x v="32"/>
    <s v="conventional_turnover_wacls_944"/>
    <x v="1882"/>
    <n v="1"/>
    <n v="1"/>
    <n v="-160"/>
    <n v="960"/>
  </r>
  <r>
    <x v="32"/>
    <s v="conventional_turnover_wacls_945"/>
    <x v="1883"/>
    <n v="1"/>
    <n v="1"/>
    <n v="-160"/>
    <n v="960"/>
  </r>
  <r>
    <x v="32"/>
    <s v="conventional_turnover_wacls_946"/>
    <x v="1884"/>
    <n v="1"/>
    <n v="1"/>
    <n v="-160"/>
    <n v="960"/>
  </r>
  <r>
    <x v="32"/>
    <s v="conventional_turnover_wacls_947"/>
    <x v="1885"/>
    <n v="1"/>
    <n v="1"/>
    <n v="-160"/>
    <n v="960"/>
  </r>
  <r>
    <x v="32"/>
    <s v="conventional_turnover_wacls_948"/>
    <x v="1886"/>
    <n v="1"/>
    <n v="1"/>
    <n v="-160"/>
    <n v="960"/>
  </r>
  <r>
    <x v="32"/>
    <s v="conventional_turnover_wacls_949"/>
    <x v="1887"/>
    <n v="1"/>
    <n v="1"/>
    <n v="-160"/>
    <n v="960"/>
  </r>
  <r>
    <x v="32"/>
    <s v="conventional_turnover_wacls_950"/>
    <x v="1888"/>
    <n v="1"/>
    <n v="1"/>
    <n v="-160"/>
    <n v="960"/>
  </r>
  <r>
    <x v="32"/>
    <s v="conventional_turnover_wacls_951"/>
    <x v="1889"/>
    <n v="1"/>
    <n v="1"/>
    <n v="-160"/>
    <n v="960"/>
  </r>
  <r>
    <x v="32"/>
    <s v="conventional_turnover_wacls_952"/>
    <x v="1890"/>
    <n v="1"/>
    <n v="1"/>
    <n v="-160"/>
    <n v="960"/>
  </r>
  <r>
    <x v="32"/>
    <s v="conventional_turnover_wacls_953"/>
    <x v="1891"/>
    <n v="1"/>
    <n v="1"/>
    <n v="-160"/>
    <n v="960"/>
  </r>
  <r>
    <x v="32"/>
    <s v="conventional_turnover_wacls_954"/>
    <x v="1892"/>
    <n v="1"/>
    <n v="1"/>
    <n v="-160"/>
    <n v="960"/>
  </r>
  <r>
    <x v="32"/>
    <s v="conventional_turnover_wacls_955"/>
    <x v="1893"/>
    <n v="1"/>
    <n v="1"/>
    <n v="-160"/>
    <n v="960"/>
  </r>
  <r>
    <x v="32"/>
    <s v="conventional_turnover_wacls_956"/>
    <x v="1894"/>
    <n v="1"/>
    <n v="1"/>
    <n v="-160"/>
    <n v="960"/>
  </r>
  <r>
    <x v="32"/>
    <s v="conventional_turnover_wacls_957"/>
    <x v="1895"/>
    <n v="1"/>
    <n v="1"/>
    <n v="-160"/>
    <n v="960"/>
  </r>
  <r>
    <x v="32"/>
    <s v="conventional_turnover_wacls_958"/>
    <x v="1896"/>
    <n v="1"/>
    <n v="1"/>
    <n v="-160"/>
    <n v="960"/>
  </r>
  <r>
    <x v="32"/>
    <s v="conventional_turnover_wacls_959"/>
    <x v="1897"/>
    <n v="1"/>
    <n v="1"/>
    <n v="-160"/>
    <n v="960"/>
  </r>
  <r>
    <x v="32"/>
    <s v="conventional_turnover_wacls_960"/>
    <x v="1898"/>
    <n v="1"/>
    <n v="1"/>
    <n v="-160"/>
    <n v="960"/>
  </r>
  <r>
    <x v="33"/>
    <s v="conventional_turnover_fico_560"/>
    <x v="600"/>
    <n v="1.02"/>
    <n v="1"/>
    <n v="560"/>
    <n v="840"/>
  </r>
  <r>
    <x v="33"/>
    <s v="conventional_turnover_fico_561"/>
    <x v="601"/>
    <n v="1.02"/>
    <n v="1"/>
    <n v="560"/>
    <n v="840"/>
  </r>
  <r>
    <x v="33"/>
    <s v="conventional_turnover_fico_562"/>
    <x v="602"/>
    <n v="1.02"/>
    <n v="1"/>
    <n v="560"/>
    <n v="840"/>
  </r>
  <r>
    <x v="33"/>
    <s v="conventional_turnover_fico_563"/>
    <x v="603"/>
    <n v="1.02"/>
    <n v="1"/>
    <n v="560"/>
    <n v="840"/>
  </r>
  <r>
    <x v="33"/>
    <s v="conventional_turnover_fico_564"/>
    <x v="604"/>
    <n v="1.02"/>
    <n v="1"/>
    <n v="560"/>
    <n v="840"/>
  </r>
  <r>
    <x v="33"/>
    <s v="conventional_turnover_fico_565"/>
    <x v="605"/>
    <n v="1.02"/>
    <n v="1"/>
    <n v="560"/>
    <n v="840"/>
  </r>
  <r>
    <x v="33"/>
    <s v="conventional_turnover_fico_566"/>
    <x v="606"/>
    <n v="1.02"/>
    <n v="1"/>
    <n v="560"/>
    <n v="840"/>
  </r>
  <r>
    <x v="33"/>
    <s v="conventional_turnover_fico_567"/>
    <x v="607"/>
    <n v="1.02"/>
    <n v="1"/>
    <n v="560"/>
    <n v="840"/>
  </r>
  <r>
    <x v="33"/>
    <s v="conventional_turnover_fico_568"/>
    <x v="608"/>
    <n v="1.02"/>
    <n v="1"/>
    <n v="560"/>
    <n v="840"/>
  </r>
  <r>
    <x v="33"/>
    <s v="conventional_turnover_fico_569"/>
    <x v="609"/>
    <n v="1.02"/>
    <n v="1"/>
    <n v="560"/>
    <n v="840"/>
  </r>
  <r>
    <x v="33"/>
    <s v="conventional_turnover_fico_570"/>
    <x v="610"/>
    <n v="1.02"/>
    <n v="1"/>
    <n v="560"/>
    <n v="840"/>
  </r>
  <r>
    <x v="33"/>
    <s v="conventional_turnover_fico_571"/>
    <x v="611"/>
    <n v="1.02"/>
    <n v="1"/>
    <n v="560"/>
    <n v="840"/>
  </r>
  <r>
    <x v="33"/>
    <s v="conventional_turnover_fico_572"/>
    <x v="612"/>
    <n v="1.02"/>
    <n v="1"/>
    <n v="560"/>
    <n v="840"/>
  </r>
  <r>
    <x v="33"/>
    <s v="conventional_turnover_fico_573"/>
    <x v="613"/>
    <n v="1.02"/>
    <n v="1"/>
    <n v="560"/>
    <n v="840"/>
  </r>
  <r>
    <x v="33"/>
    <s v="conventional_turnover_fico_574"/>
    <x v="614"/>
    <n v="1.02"/>
    <n v="1"/>
    <n v="560"/>
    <n v="840"/>
  </r>
  <r>
    <x v="33"/>
    <s v="conventional_turnover_fico_575"/>
    <x v="615"/>
    <n v="1.02"/>
    <n v="1"/>
    <n v="560"/>
    <n v="840"/>
  </r>
  <r>
    <x v="33"/>
    <s v="conventional_turnover_fico_576"/>
    <x v="616"/>
    <n v="1.02"/>
    <n v="1"/>
    <n v="560"/>
    <n v="840"/>
  </r>
  <r>
    <x v="33"/>
    <s v="conventional_turnover_fico_577"/>
    <x v="617"/>
    <n v="1.02"/>
    <n v="1"/>
    <n v="560"/>
    <n v="840"/>
  </r>
  <r>
    <x v="33"/>
    <s v="conventional_turnover_fico_578"/>
    <x v="618"/>
    <n v="1.02"/>
    <n v="1"/>
    <n v="560"/>
    <n v="840"/>
  </r>
  <r>
    <x v="33"/>
    <s v="conventional_turnover_fico_579"/>
    <x v="619"/>
    <n v="1.02"/>
    <n v="1"/>
    <n v="560"/>
    <n v="840"/>
  </r>
  <r>
    <x v="33"/>
    <s v="conventional_turnover_fico_580"/>
    <x v="620"/>
    <n v="1.02"/>
    <n v="1"/>
    <n v="560"/>
    <n v="840"/>
  </r>
  <r>
    <x v="33"/>
    <s v="conventional_turnover_fico_581"/>
    <x v="621"/>
    <n v="1.02"/>
    <n v="1"/>
    <n v="560"/>
    <n v="840"/>
  </r>
  <r>
    <x v="33"/>
    <s v="conventional_turnover_fico_582"/>
    <x v="622"/>
    <n v="1.02"/>
    <n v="1"/>
    <n v="560"/>
    <n v="840"/>
  </r>
  <r>
    <x v="33"/>
    <s v="conventional_turnover_fico_583"/>
    <x v="623"/>
    <n v="1.02"/>
    <n v="1"/>
    <n v="560"/>
    <n v="840"/>
  </r>
  <r>
    <x v="33"/>
    <s v="conventional_turnover_fico_584"/>
    <x v="624"/>
    <n v="1.02"/>
    <n v="1"/>
    <n v="560"/>
    <n v="840"/>
  </r>
  <r>
    <x v="33"/>
    <s v="conventional_turnover_fico_585"/>
    <x v="625"/>
    <n v="1.02"/>
    <n v="1"/>
    <n v="560"/>
    <n v="840"/>
  </r>
  <r>
    <x v="33"/>
    <s v="conventional_turnover_fico_586"/>
    <x v="626"/>
    <n v="1.02"/>
    <n v="1"/>
    <n v="560"/>
    <n v="840"/>
  </r>
  <r>
    <x v="33"/>
    <s v="conventional_turnover_fico_587"/>
    <x v="627"/>
    <n v="1.02"/>
    <n v="1"/>
    <n v="560"/>
    <n v="840"/>
  </r>
  <r>
    <x v="33"/>
    <s v="conventional_turnover_fico_588"/>
    <x v="628"/>
    <n v="1.02"/>
    <n v="1"/>
    <n v="560"/>
    <n v="840"/>
  </r>
  <r>
    <x v="33"/>
    <s v="conventional_turnover_fico_589"/>
    <x v="629"/>
    <n v="1.02"/>
    <n v="1"/>
    <n v="560"/>
    <n v="840"/>
  </r>
  <r>
    <x v="33"/>
    <s v="conventional_turnover_fico_590"/>
    <x v="630"/>
    <n v="1.02"/>
    <n v="1"/>
    <n v="560"/>
    <n v="840"/>
  </r>
  <r>
    <x v="33"/>
    <s v="conventional_turnover_fico_591"/>
    <x v="631"/>
    <n v="1.02"/>
    <n v="1"/>
    <n v="560"/>
    <n v="840"/>
  </r>
  <r>
    <x v="33"/>
    <s v="conventional_turnover_fico_592"/>
    <x v="632"/>
    <n v="1.02"/>
    <n v="1"/>
    <n v="560"/>
    <n v="840"/>
  </r>
  <r>
    <x v="33"/>
    <s v="conventional_turnover_fico_593"/>
    <x v="633"/>
    <n v="1.02"/>
    <n v="1"/>
    <n v="560"/>
    <n v="840"/>
  </r>
  <r>
    <x v="33"/>
    <s v="conventional_turnover_fico_594"/>
    <x v="634"/>
    <n v="1.02"/>
    <n v="1"/>
    <n v="560"/>
    <n v="840"/>
  </r>
  <r>
    <x v="33"/>
    <s v="conventional_turnover_fico_595"/>
    <x v="635"/>
    <n v="1.02"/>
    <n v="1"/>
    <n v="560"/>
    <n v="840"/>
  </r>
  <r>
    <x v="33"/>
    <s v="conventional_turnover_fico_596"/>
    <x v="636"/>
    <n v="1.02"/>
    <n v="1"/>
    <n v="560"/>
    <n v="840"/>
  </r>
  <r>
    <x v="33"/>
    <s v="conventional_turnover_fico_597"/>
    <x v="637"/>
    <n v="1.02"/>
    <n v="1"/>
    <n v="560"/>
    <n v="840"/>
  </r>
  <r>
    <x v="33"/>
    <s v="conventional_turnover_fico_598"/>
    <x v="638"/>
    <n v="1.02"/>
    <n v="1"/>
    <n v="560"/>
    <n v="840"/>
  </r>
  <r>
    <x v="33"/>
    <s v="conventional_turnover_fico_599"/>
    <x v="639"/>
    <n v="1.02"/>
    <n v="1"/>
    <n v="560"/>
    <n v="840"/>
  </r>
  <r>
    <x v="33"/>
    <s v="conventional_turnover_fico_600"/>
    <x v="640"/>
    <n v="1.02"/>
    <n v="1"/>
    <n v="560"/>
    <n v="840"/>
  </r>
  <r>
    <x v="33"/>
    <s v="conventional_turnover_fico_601"/>
    <x v="641"/>
    <n v="1.02"/>
    <n v="1"/>
    <n v="560"/>
    <n v="840"/>
  </r>
  <r>
    <x v="33"/>
    <s v="conventional_turnover_fico_602"/>
    <x v="642"/>
    <n v="1.02"/>
    <n v="1"/>
    <n v="560"/>
    <n v="840"/>
  </r>
  <r>
    <x v="33"/>
    <s v="conventional_turnover_fico_603"/>
    <x v="643"/>
    <n v="1.02"/>
    <n v="1"/>
    <n v="560"/>
    <n v="840"/>
  </r>
  <r>
    <x v="33"/>
    <s v="conventional_turnover_fico_604"/>
    <x v="644"/>
    <n v="1.02"/>
    <n v="1"/>
    <n v="560"/>
    <n v="840"/>
  </r>
  <r>
    <x v="33"/>
    <s v="conventional_turnover_fico_605"/>
    <x v="645"/>
    <n v="1.02"/>
    <n v="1"/>
    <n v="560"/>
    <n v="840"/>
  </r>
  <r>
    <x v="33"/>
    <s v="conventional_turnover_fico_606"/>
    <x v="646"/>
    <n v="1.02"/>
    <n v="1"/>
    <n v="560"/>
    <n v="840"/>
  </r>
  <r>
    <x v="33"/>
    <s v="conventional_turnover_fico_607"/>
    <x v="647"/>
    <n v="1.02"/>
    <n v="1"/>
    <n v="560"/>
    <n v="840"/>
  </r>
  <r>
    <x v="33"/>
    <s v="conventional_turnover_fico_608"/>
    <x v="648"/>
    <n v="1.02"/>
    <n v="1"/>
    <n v="560"/>
    <n v="840"/>
  </r>
  <r>
    <x v="33"/>
    <s v="conventional_turnover_fico_609"/>
    <x v="649"/>
    <n v="1.02"/>
    <n v="1"/>
    <n v="560"/>
    <n v="840"/>
  </r>
  <r>
    <x v="33"/>
    <s v="conventional_turnover_fico_610"/>
    <x v="650"/>
    <n v="1.02"/>
    <n v="1"/>
    <n v="560"/>
    <n v="840"/>
  </r>
  <r>
    <x v="33"/>
    <s v="conventional_turnover_fico_611"/>
    <x v="651"/>
    <n v="1.02"/>
    <n v="1"/>
    <n v="560"/>
    <n v="840"/>
  </r>
  <r>
    <x v="33"/>
    <s v="conventional_turnover_fico_612"/>
    <x v="652"/>
    <n v="1.02"/>
    <n v="1"/>
    <n v="560"/>
    <n v="840"/>
  </r>
  <r>
    <x v="33"/>
    <s v="conventional_turnover_fico_613"/>
    <x v="653"/>
    <n v="1.02"/>
    <n v="1"/>
    <n v="560"/>
    <n v="840"/>
  </r>
  <r>
    <x v="33"/>
    <s v="conventional_turnover_fico_614"/>
    <x v="654"/>
    <n v="1.02"/>
    <n v="1"/>
    <n v="560"/>
    <n v="840"/>
  </r>
  <r>
    <x v="33"/>
    <s v="conventional_turnover_fico_615"/>
    <x v="655"/>
    <n v="1.02"/>
    <n v="1"/>
    <n v="560"/>
    <n v="840"/>
  </r>
  <r>
    <x v="33"/>
    <s v="conventional_turnover_fico_616"/>
    <x v="656"/>
    <n v="1.02"/>
    <n v="1"/>
    <n v="560"/>
    <n v="840"/>
  </r>
  <r>
    <x v="33"/>
    <s v="conventional_turnover_fico_617"/>
    <x v="657"/>
    <n v="1.02"/>
    <n v="1"/>
    <n v="560"/>
    <n v="840"/>
  </r>
  <r>
    <x v="33"/>
    <s v="conventional_turnover_fico_618"/>
    <x v="658"/>
    <n v="1.02"/>
    <n v="1"/>
    <n v="560"/>
    <n v="840"/>
  </r>
  <r>
    <x v="33"/>
    <s v="conventional_turnover_fico_619"/>
    <x v="659"/>
    <n v="1.02"/>
    <n v="1"/>
    <n v="560"/>
    <n v="840"/>
  </r>
  <r>
    <x v="33"/>
    <s v="conventional_turnover_fico_620"/>
    <x v="660"/>
    <n v="1.02"/>
    <n v="1"/>
    <n v="560"/>
    <n v="840"/>
  </r>
  <r>
    <x v="33"/>
    <s v="conventional_turnover_fico_621"/>
    <x v="661"/>
    <n v="1.02"/>
    <n v="1"/>
    <n v="560"/>
    <n v="840"/>
  </r>
  <r>
    <x v="33"/>
    <s v="conventional_turnover_fico_622"/>
    <x v="662"/>
    <n v="1.02"/>
    <n v="1"/>
    <n v="560"/>
    <n v="840"/>
  </r>
  <r>
    <x v="33"/>
    <s v="conventional_turnover_fico_623"/>
    <x v="663"/>
    <n v="1.02"/>
    <n v="1"/>
    <n v="560"/>
    <n v="840"/>
  </r>
  <r>
    <x v="33"/>
    <s v="conventional_turnover_fico_624"/>
    <x v="664"/>
    <n v="1.02"/>
    <n v="1"/>
    <n v="560"/>
    <n v="840"/>
  </r>
  <r>
    <x v="33"/>
    <s v="conventional_turnover_fico_625"/>
    <x v="665"/>
    <n v="1.02"/>
    <n v="1"/>
    <n v="560"/>
    <n v="840"/>
  </r>
  <r>
    <x v="33"/>
    <s v="conventional_turnover_fico_626"/>
    <x v="666"/>
    <n v="1.02"/>
    <n v="1"/>
    <n v="560"/>
    <n v="840"/>
  </r>
  <r>
    <x v="33"/>
    <s v="conventional_turnover_fico_627"/>
    <x v="667"/>
    <n v="1.02"/>
    <n v="1"/>
    <n v="560"/>
    <n v="840"/>
  </r>
  <r>
    <x v="33"/>
    <s v="conventional_turnover_fico_628"/>
    <x v="668"/>
    <n v="1.02"/>
    <n v="1"/>
    <n v="560"/>
    <n v="840"/>
  </r>
  <r>
    <x v="33"/>
    <s v="conventional_turnover_fico_629"/>
    <x v="669"/>
    <n v="1.02"/>
    <n v="1"/>
    <n v="560"/>
    <n v="840"/>
  </r>
  <r>
    <x v="33"/>
    <s v="conventional_turnover_fico_630"/>
    <x v="670"/>
    <n v="1.02"/>
    <n v="1"/>
    <n v="560"/>
    <n v="840"/>
  </r>
  <r>
    <x v="33"/>
    <s v="conventional_turnover_fico_631"/>
    <x v="671"/>
    <n v="1.02"/>
    <n v="1"/>
    <n v="560"/>
    <n v="840"/>
  </r>
  <r>
    <x v="33"/>
    <s v="conventional_turnover_fico_632"/>
    <x v="672"/>
    <n v="1.02"/>
    <n v="1"/>
    <n v="560"/>
    <n v="840"/>
  </r>
  <r>
    <x v="33"/>
    <s v="conventional_turnover_fico_633"/>
    <x v="673"/>
    <n v="1.02"/>
    <n v="1"/>
    <n v="560"/>
    <n v="840"/>
  </r>
  <r>
    <x v="33"/>
    <s v="conventional_turnover_fico_634"/>
    <x v="674"/>
    <n v="1.02"/>
    <n v="1"/>
    <n v="560"/>
    <n v="840"/>
  </r>
  <r>
    <x v="33"/>
    <s v="conventional_turnover_fico_635"/>
    <x v="675"/>
    <n v="1.02"/>
    <n v="1"/>
    <n v="560"/>
    <n v="840"/>
  </r>
  <r>
    <x v="33"/>
    <s v="conventional_turnover_fico_636"/>
    <x v="676"/>
    <n v="1.02"/>
    <n v="1"/>
    <n v="560"/>
    <n v="840"/>
  </r>
  <r>
    <x v="33"/>
    <s v="conventional_turnover_fico_637"/>
    <x v="677"/>
    <n v="1.02"/>
    <n v="1"/>
    <n v="560"/>
    <n v="840"/>
  </r>
  <r>
    <x v="33"/>
    <s v="conventional_turnover_fico_638"/>
    <x v="678"/>
    <n v="1.02"/>
    <n v="1"/>
    <n v="560"/>
    <n v="840"/>
  </r>
  <r>
    <x v="33"/>
    <s v="conventional_turnover_fico_639"/>
    <x v="679"/>
    <n v="1.02"/>
    <n v="1"/>
    <n v="560"/>
    <n v="840"/>
  </r>
  <r>
    <x v="33"/>
    <s v="conventional_turnover_fico_640"/>
    <x v="680"/>
    <n v="1.02"/>
    <n v="1"/>
    <n v="560"/>
    <n v="840"/>
  </r>
  <r>
    <x v="33"/>
    <s v="conventional_turnover_fico_641"/>
    <x v="681"/>
    <n v="1.02"/>
    <n v="1"/>
    <n v="560"/>
    <n v="840"/>
  </r>
  <r>
    <x v="33"/>
    <s v="conventional_turnover_fico_642"/>
    <x v="682"/>
    <n v="1.02"/>
    <n v="1"/>
    <n v="560"/>
    <n v="840"/>
  </r>
  <r>
    <x v="33"/>
    <s v="conventional_turnover_fico_643"/>
    <x v="683"/>
    <n v="1.02"/>
    <n v="1"/>
    <n v="560"/>
    <n v="840"/>
  </r>
  <r>
    <x v="33"/>
    <s v="conventional_turnover_fico_644"/>
    <x v="684"/>
    <n v="1.02"/>
    <n v="1"/>
    <n v="560"/>
    <n v="840"/>
  </r>
  <r>
    <x v="33"/>
    <s v="conventional_turnover_fico_645"/>
    <x v="685"/>
    <n v="1.02"/>
    <n v="1"/>
    <n v="560"/>
    <n v="840"/>
  </r>
  <r>
    <x v="33"/>
    <s v="conventional_turnover_fico_646"/>
    <x v="686"/>
    <n v="1.02"/>
    <n v="1"/>
    <n v="560"/>
    <n v="840"/>
  </r>
  <r>
    <x v="33"/>
    <s v="conventional_turnover_fico_647"/>
    <x v="687"/>
    <n v="1.02"/>
    <n v="1"/>
    <n v="560"/>
    <n v="840"/>
  </r>
  <r>
    <x v="33"/>
    <s v="conventional_turnover_fico_648"/>
    <x v="688"/>
    <n v="1.02"/>
    <n v="1"/>
    <n v="560"/>
    <n v="840"/>
  </r>
  <r>
    <x v="33"/>
    <s v="conventional_turnover_fico_649"/>
    <x v="689"/>
    <n v="1.02"/>
    <n v="1"/>
    <n v="560"/>
    <n v="840"/>
  </r>
  <r>
    <x v="33"/>
    <s v="conventional_turnover_fico_650"/>
    <x v="690"/>
    <n v="1.02"/>
    <n v="1"/>
    <n v="560"/>
    <n v="840"/>
  </r>
  <r>
    <x v="33"/>
    <s v="conventional_turnover_fico_651"/>
    <x v="691"/>
    <n v="1.02"/>
    <n v="1"/>
    <n v="560"/>
    <n v="840"/>
  </r>
  <r>
    <x v="33"/>
    <s v="conventional_turnover_fico_652"/>
    <x v="692"/>
    <n v="1.02"/>
    <n v="1"/>
    <n v="560"/>
    <n v="840"/>
  </r>
  <r>
    <x v="33"/>
    <s v="conventional_turnover_fico_653"/>
    <x v="693"/>
    <n v="1.02"/>
    <n v="1"/>
    <n v="560"/>
    <n v="840"/>
  </r>
  <r>
    <x v="33"/>
    <s v="conventional_turnover_fico_654"/>
    <x v="694"/>
    <n v="1.02"/>
    <n v="1"/>
    <n v="560"/>
    <n v="840"/>
  </r>
  <r>
    <x v="33"/>
    <s v="conventional_turnover_fico_655"/>
    <x v="695"/>
    <n v="1.02"/>
    <n v="1"/>
    <n v="560"/>
    <n v="840"/>
  </r>
  <r>
    <x v="33"/>
    <s v="conventional_turnover_fico_656"/>
    <x v="696"/>
    <n v="1.02"/>
    <n v="1"/>
    <n v="560"/>
    <n v="840"/>
  </r>
  <r>
    <x v="33"/>
    <s v="conventional_turnover_fico_657"/>
    <x v="697"/>
    <n v="1.02"/>
    <n v="1"/>
    <n v="560"/>
    <n v="840"/>
  </r>
  <r>
    <x v="33"/>
    <s v="conventional_turnover_fico_658"/>
    <x v="698"/>
    <n v="1.02"/>
    <n v="1"/>
    <n v="560"/>
    <n v="840"/>
  </r>
  <r>
    <x v="33"/>
    <s v="conventional_turnover_fico_659"/>
    <x v="699"/>
    <n v="1.02"/>
    <n v="1"/>
    <n v="560"/>
    <n v="840"/>
  </r>
  <r>
    <x v="33"/>
    <s v="conventional_turnover_fico_660"/>
    <x v="700"/>
    <n v="1.02"/>
    <n v="1"/>
    <n v="560"/>
    <n v="840"/>
  </r>
  <r>
    <x v="33"/>
    <s v="conventional_turnover_fico_661"/>
    <x v="701"/>
    <n v="1.02"/>
    <n v="1"/>
    <n v="560"/>
    <n v="840"/>
  </r>
  <r>
    <x v="33"/>
    <s v="conventional_turnover_fico_662"/>
    <x v="702"/>
    <n v="1.02"/>
    <n v="1"/>
    <n v="560"/>
    <n v="840"/>
  </r>
  <r>
    <x v="33"/>
    <s v="conventional_turnover_fico_663"/>
    <x v="703"/>
    <n v="1.02"/>
    <n v="1"/>
    <n v="560"/>
    <n v="840"/>
  </r>
  <r>
    <x v="33"/>
    <s v="conventional_turnover_fico_664"/>
    <x v="704"/>
    <n v="1.02"/>
    <n v="1"/>
    <n v="560"/>
    <n v="840"/>
  </r>
  <r>
    <x v="33"/>
    <s v="conventional_turnover_fico_665"/>
    <x v="705"/>
    <n v="1.02"/>
    <n v="1"/>
    <n v="560"/>
    <n v="840"/>
  </r>
  <r>
    <x v="33"/>
    <s v="conventional_turnover_fico_666"/>
    <x v="706"/>
    <n v="1.02"/>
    <n v="1"/>
    <n v="560"/>
    <n v="840"/>
  </r>
  <r>
    <x v="33"/>
    <s v="conventional_turnover_fico_667"/>
    <x v="707"/>
    <n v="1.02"/>
    <n v="1"/>
    <n v="560"/>
    <n v="840"/>
  </r>
  <r>
    <x v="33"/>
    <s v="conventional_turnover_fico_668"/>
    <x v="708"/>
    <n v="1.02"/>
    <n v="1"/>
    <n v="560"/>
    <n v="840"/>
  </r>
  <r>
    <x v="33"/>
    <s v="conventional_turnover_fico_669"/>
    <x v="709"/>
    <n v="1.02"/>
    <n v="1"/>
    <n v="560"/>
    <n v="840"/>
  </r>
  <r>
    <x v="33"/>
    <s v="conventional_turnover_fico_670"/>
    <x v="710"/>
    <n v="1.02"/>
    <n v="1"/>
    <n v="560"/>
    <n v="840"/>
  </r>
  <r>
    <x v="33"/>
    <s v="conventional_turnover_fico_671"/>
    <x v="711"/>
    <n v="1.02"/>
    <n v="1"/>
    <n v="560"/>
    <n v="840"/>
  </r>
  <r>
    <x v="33"/>
    <s v="conventional_turnover_fico_672"/>
    <x v="712"/>
    <n v="1.02"/>
    <n v="1"/>
    <n v="560"/>
    <n v="840"/>
  </r>
  <r>
    <x v="33"/>
    <s v="conventional_turnover_fico_673"/>
    <x v="713"/>
    <n v="1.02"/>
    <n v="1"/>
    <n v="560"/>
    <n v="840"/>
  </r>
  <r>
    <x v="33"/>
    <s v="conventional_turnover_fico_674"/>
    <x v="714"/>
    <n v="1.02"/>
    <n v="1"/>
    <n v="560"/>
    <n v="840"/>
  </r>
  <r>
    <x v="33"/>
    <s v="conventional_turnover_fico_675"/>
    <x v="715"/>
    <n v="1.02"/>
    <n v="1"/>
    <n v="560"/>
    <n v="840"/>
  </r>
  <r>
    <x v="33"/>
    <s v="conventional_turnover_fico_676"/>
    <x v="716"/>
    <n v="1.02"/>
    <n v="1"/>
    <n v="560"/>
    <n v="840"/>
  </r>
  <r>
    <x v="33"/>
    <s v="conventional_turnover_fico_677"/>
    <x v="717"/>
    <n v="1.02"/>
    <n v="1"/>
    <n v="560"/>
    <n v="840"/>
  </r>
  <r>
    <x v="33"/>
    <s v="conventional_turnover_fico_678"/>
    <x v="718"/>
    <n v="1.02"/>
    <n v="1"/>
    <n v="560"/>
    <n v="840"/>
  </r>
  <r>
    <x v="33"/>
    <s v="conventional_turnover_fico_679"/>
    <x v="719"/>
    <n v="1.02"/>
    <n v="1"/>
    <n v="560"/>
    <n v="840"/>
  </r>
  <r>
    <x v="33"/>
    <s v="conventional_turnover_fico_680"/>
    <x v="720"/>
    <n v="1.02"/>
    <n v="1"/>
    <n v="560"/>
    <n v="840"/>
  </r>
  <r>
    <x v="33"/>
    <s v="conventional_turnover_fico_681"/>
    <x v="721"/>
    <n v="1.0198050000000001"/>
    <n v="1"/>
    <n v="560"/>
    <n v="840"/>
  </r>
  <r>
    <x v="33"/>
    <s v="conventional_turnover_fico_682"/>
    <x v="722"/>
    <n v="1.0192399999999999"/>
    <n v="1"/>
    <n v="560"/>
    <n v="840"/>
  </r>
  <r>
    <x v="33"/>
    <s v="conventional_turnover_fico_683"/>
    <x v="723"/>
    <n v="1.018335"/>
    <n v="1"/>
    <n v="560"/>
    <n v="840"/>
  </r>
  <r>
    <x v="33"/>
    <s v="conventional_turnover_fico_684"/>
    <x v="724"/>
    <n v="1.01712"/>
    <n v="1"/>
    <n v="560"/>
    <n v="840"/>
  </r>
  <r>
    <x v="33"/>
    <s v="conventional_turnover_fico_685"/>
    <x v="725"/>
    <n v="1.015625"/>
    <n v="1"/>
    <n v="560"/>
    <n v="840"/>
  </r>
  <r>
    <x v="33"/>
    <s v="conventional_turnover_fico_686"/>
    <x v="726"/>
    <n v="1.0138799999999999"/>
    <n v="1"/>
    <n v="560"/>
    <n v="840"/>
  </r>
  <r>
    <x v="33"/>
    <s v="conventional_turnover_fico_687"/>
    <x v="727"/>
    <n v="1.0119149999999999"/>
    <n v="1"/>
    <n v="560"/>
    <n v="840"/>
  </r>
  <r>
    <x v="33"/>
    <s v="conventional_turnover_fico_688"/>
    <x v="728"/>
    <n v="1.00976"/>
    <n v="1"/>
    <n v="560"/>
    <n v="840"/>
  </r>
  <r>
    <x v="33"/>
    <s v="conventional_turnover_fico_689"/>
    <x v="729"/>
    <n v="1.0074449999999999"/>
    <n v="1"/>
    <n v="560"/>
    <n v="840"/>
  </r>
  <r>
    <x v="33"/>
    <s v="conventional_turnover_fico_690"/>
    <x v="730"/>
    <n v="1.0049999999999999"/>
    <n v="1"/>
    <n v="560"/>
    <n v="840"/>
  </r>
  <r>
    <x v="33"/>
    <s v="conventional_turnover_fico_691"/>
    <x v="731"/>
    <n v="1.0024550000000001"/>
    <n v="1"/>
    <n v="560"/>
    <n v="840"/>
  </r>
  <r>
    <x v="33"/>
    <s v="conventional_turnover_fico_692"/>
    <x v="732"/>
    <n v="0.99983999999999995"/>
    <n v="1"/>
    <n v="560"/>
    <n v="840"/>
  </r>
  <r>
    <x v="33"/>
    <s v="conventional_turnover_fico_693"/>
    <x v="733"/>
    <n v="0.99718499999999999"/>
    <n v="1"/>
    <n v="560"/>
    <n v="840"/>
  </r>
  <r>
    <x v="33"/>
    <s v="conventional_turnover_fico_694"/>
    <x v="734"/>
    <n v="0.99451999999999996"/>
    <n v="1"/>
    <n v="560"/>
    <n v="840"/>
  </r>
  <r>
    <x v="33"/>
    <s v="conventional_turnover_fico_695"/>
    <x v="735"/>
    <n v="0.99187499999999995"/>
    <n v="1"/>
    <n v="560"/>
    <n v="840"/>
  </r>
  <r>
    <x v="33"/>
    <s v="conventional_turnover_fico_696"/>
    <x v="736"/>
    <n v="0.98928000000000005"/>
    <n v="1"/>
    <n v="560"/>
    <n v="840"/>
  </r>
  <r>
    <x v="33"/>
    <s v="conventional_turnover_fico_697"/>
    <x v="737"/>
    <n v="0.986765"/>
    <n v="1"/>
    <n v="560"/>
    <n v="840"/>
  </r>
  <r>
    <x v="33"/>
    <s v="conventional_turnover_fico_698"/>
    <x v="738"/>
    <n v="0.98436000000000001"/>
    <n v="1"/>
    <n v="560"/>
    <n v="840"/>
  </r>
  <r>
    <x v="33"/>
    <s v="conventional_turnover_fico_699"/>
    <x v="739"/>
    <n v="0.98209500000000005"/>
    <n v="1"/>
    <n v="560"/>
    <n v="840"/>
  </r>
  <r>
    <x v="33"/>
    <s v="conventional_turnover_fico_700"/>
    <x v="740"/>
    <n v="0.98"/>
    <n v="1"/>
    <n v="560"/>
    <n v="840"/>
  </r>
  <r>
    <x v="33"/>
    <s v="conventional_turnover_fico_701"/>
    <x v="741"/>
    <n v="0.9779878125"/>
    <n v="1"/>
    <n v="560"/>
    <n v="840"/>
  </r>
  <r>
    <x v="33"/>
    <s v="conventional_turnover_fico_702"/>
    <x v="742"/>
    <n v="0.9759525"/>
    <n v="1"/>
    <n v="560"/>
    <n v="840"/>
  </r>
  <r>
    <x v="33"/>
    <s v="conventional_turnover_fico_703"/>
    <x v="743"/>
    <n v="0.97389593750000003"/>
    <n v="1"/>
    <n v="560"/>
    <n v="840"/>
  </r>
  <r>
    <x v="33"/>
    <s v="conventional_turnover_fico_704"/>
    <x v="744"/>
    <n v="0.97182000000000002"/>
    <n v="1"/>
    <n v="560"/>
    <n v="840"/>
  </r>
  <r>
    <x v="33"/>
    <s v="conventional_turnover_fico_705"/>
    <x v="745"/>
    <n v="0.9697265625"/>
    <n v="1"/>
    <n v="560"/>
    <n v="840"/>
  </r>
  <r>
    <x v="33"/>
    <s v="conventional_turnover_fico_706"/>
    <x v="746"/>
    <n v="0.96761750000000002"/>
    <n v="1"/>
    <n v="560"/>
    <n v="840"/>
  </r>
  <r>
    <x v="33"/>
    <s v="conventional_turnover_fico_707"/>
    <x v="747"/>
    <n v="0.9654946875"/>
    <n v="1"/>
    <n v="560"/>
    <n v="840"/>
  </r>
  <r>
    <x v="33"/>
    <s v="conventional_turnover_fico_708"/>
    <x v="748"/>
    <n v="0.96335999999999999"/>
    <n v="1"/>
    <n v="560"/>
    <n v="840"/>
  </r>
  <r>
    <x v="33"/>
    <s v="conventional_turnover_fico_709"/>
    <x v="749"/>
    <n v="0.96121531250000003"/>
    <n v="1"/>
    <n v="560"/>
    <n v="840"/>
  </r>
  <r>
    <x v="33"/>
    <s v="conventional_turnover_fico_710"/>
    <x v="750"/>
    <n v="0.95906250000000004"/>
    <n v="1"/>
    <n v="560"/>
    <n v="840"/>
  </r>
  <r>
    <x v="33"/>
    <s v="conventional_turnover_fico_711"/>
    <x v="751"/>
    <n v="0.95690343749999995"/>
    <n v="1"/>
    <n v="560"/>
    <n v="840"/>
  </r>
  <r>
    <x v="33"/>
    <s v="conventional_turnover_fico_712"/>
    <x v="752"/>
    <n v="0.95474000000000003"/>
    <n v="1"/>
    <n v="560"/>
    <n v="840"/>
  </r>
  <r>
    <x v="33"/>
    <s v="conventional_turnover_fico_713"/>
    <x v="753"/>
    <n v="0.95257406249999999"/>
    <n v="1"/>
    <n v="560"/>
    <n v="840"/>
  </r>
  <r>
    <x v="33"/>
    <s v="conventional_turnover_fico_714"/>
    <x v="754"/>
    <n v="0.95040749999999996"/>
    <n v="1"/>
    <n v="560"/>
    <n v="840"/>
  </r>
  <r>
    <x v="33"/>
    <s v="conventional_turnover_fico_715"/>
    <x v="755"/>
    <n v="0.9482421875"/>
    <n v="1"/>
    <n v="560"/>
    <n v="840"/>
  </r>
  <r>
    <x v="33"/>
    <s v="conventional_turnover_fico_716"/>
    <x v="756"/>
    <n v="0.94608000000000003"/>
    <n v="1"/>
    <n v="560"/>
    <n v="840"/>
  </r>
  <r>
    <x v="33"/>
    <s v="conventional_turnover_fico_717"/>
    <x v="757"/>
    <n v="0.94392281249999999"/>
    <n v="1"/>
    <n v="560"/>
    <n v="840"/>
  </r>
  <r>
    <x v="33"/>
    <s v="conventional_turnover_fico_718"/>
    <x v="758"/>
    <n v="0.94177250000000001"/>
    <n v="1"/>
    <n v="560"/>
    <n v="840"/>
  </r>
  <r>
    <x v="33"/>
    <s v="conventional_turnover_fico_719"/>
    <x v="759"/>
    <n v="0.93963093750000004"/>
    <n v="1"/>
    <n v="560"/>
    <n v="840"/>
  </r>
  <r>
    <x v="33"/>
    <s v="conventional_turnover_fico_720"/>
    <x v="760"/>
    <n v="0.9375"/>
    <n v="1"/>
    <n v="560"/>
    <n v="840"/>
  </r>
  <r>
    <x v="33"/>
    <s v="conventional_turnover_fico_721"/>
    <x v="761"/>
    <n v="0.93538156250000004"/>
    <n v="1"/>
    <n v="560"/>
    <n v="840"/>
  </r>
  <r>
    <x v="33"/>
    <s v="conventional_turnover_fico_722"/>
    <x v="762"/>
    <n v="0.93327749999999998"/>
    <n v="1"/>
    <n v="560"/>
    <n v="840"/>
  </r>
  <r>
    <x v="33"/>
    <s v="conventional_turnover_fico_723"/>
    <x v="763"/>
    <n v="0.93118968749999997"/>
    <n v="1"/>
    <n v="560"/>
    <n v="840"/>
  </r>
  <r>
    <x v="33"/>
    <s v="conventional_turnover_fico_724"/>
    <x v="764"/>
    <n v="0.92911999999999995"/>
    <n v="1"/>
    <n v="560"/>
    <n v="840"/>
  </r>
  <r>
    <x v="33"/>
    <s v="conventional_turnover_fico_725"/>
    <x v="765"/>
    <n v="0.92707031250000005"/>
    <n v="1"/>
    <n v="560"/>
    <n v="840"/>
  </r>
  <r>
    <x v="33"/>
    <s v="conventional_turnover_fico_726"/>
    <x v="766"/>
    <n v="0.92504249999999999"/>
    <n v="1"/>
    <n v="560"/>
    <n v="840"/>
  </r>
  <r>
    <x v="33"/>
    <s v="conventional_turnover_fico_727"/>
    <x v="767"/>
    <n v="0.92303843750000003"/>
    <n v="1"/>
    <n v="560"/>
    <n v="840"/>
  </r>
  <r>
    <x v="33"/>
    <s v="conventional_turnover_fico_728"/>
    <x v="768"/>
    <n v="0.92105999999999999"/>
    <n v="1"/>
    <n v="560"/>
    <n v="840"/>
  </r>
  <r>
    <x v="33"/>
    <s v="conventional_turnover_fico_729"/>
    <x v="769"/>
    <n v="0.91910906250000002"/>
    <n v="1"/>
    <n v="560"/>
    <n v="840"/>
  </r>
  <r>
    <x v="33"/>
    <s v="conventional_turnover_fico_730"/>
    <x v="770"/>
    <n v="0.91718750000000004"/>
    <n v="1"/>
    <n v="560"/>
    <n v="840"/>
  </r>
  <r>
    <x v="33"/>
    <s v="conventional_turnover_fico_731"/>
    <x v="771"/>
    <n v="0.9152971875"/>
    <n v="1"/>
    <n v="560"/>
    <n v="840"/>
  </r>
  <r>
    <x v="33"/>
    <s v="conventional_turnover_fico_732"/>
    <x v="772"/>
    <n v="0.91344000000000003"/>
    <n v="1"/>
    <n v="560"/>
    <n v="840"/>
  </r>
  <r>
    <x v="33"/>
    <s v="conventional_turnover_fico_733"/>
    <x v="773"/>
    <n v="0.91161781249999996"/>
    <n v="1"/>
    <n v="560"/>
    <n v="840"/>
  </r>
  <r>
    <x v="33"/>
    <s v="conventional_turnover_fico_734"/>
    <x v="774"/>
    <n v="0.90983250000000004"/>
    <n v="1"/>
    <n v="560"/>
    <n v="840"/>
  </r>
  <r>
    <x v="33"/>
    <s v="conventional_turnover_fico_735"/>
    <x v="775"/>
    <n v="0.9080859375"/>
    <n v="1"/>
    <n v="560"/>
    <n v="840"/>
  </r>
  <r>
    <x v="33"/>
    <s v="conventional_turnover_fico_736"/>
    <x v="776"/>
    <n v="0.90637999999999996"/>
    <n v="1"/>
    <n v="560"/>
    <n v="840"/>
  </r>
  <r>
    <x v="33"/>
    <s v="conventional_turnover_fico_737"/>
    <x v="777"/>
    <n v="0.90471656249999999"/>
    <n v="1"/>
    <n v="560"/>
    <n v="840"/>
  </r>
  <r>
    <x v="33"/>
    <s v="conventional_turnover_fico_738"/>
    <x v="778"/>
    <n v="0.9030975"/>
    <n v="1"/>
    <n v="560"/>
    <n v="840"/>
  </r>
  <r>
    <x v="33"/>
    <s v="conventional_turnover_fico_739"/>
    <x v="779"/>
    <n v="0.90152468750000003"/>
    <n v="1"/>
    <n v="560"/>
    <n v="840"/>
  </r>
  <r>
    <x v="33"/>
    <s v="conventional_turnover_fico_740"/>
    <x v="780"/>
    <n v="0.9"/>
    <n v="1"/>
    <n v="560"/>
    <n v="840"/>
  </r>
  <r>
    <x v="33"/>
    <s v="conventional_turnover_fico_741"/>
    <x v="781"/>
    <n v="0.8985725"/>
    <n v="1"/>
    <n v="560"/>
    <n v="840"/>
  </r>
  <r>
    <x v="33"/>
    <s v="conventional_turnover_fico_742"/>
    <x v="782"/>
    <n v="0.89727999999999997"/>
    <n v="1"/>
    <n v="560"/>
    <n v="840"/>
  </r>
  <r>
    <x v="33"/>
    <s v="conventional_turnover_fico_743"/>
    <x v="783"/>
    <n v="0.89610749999999995"/>
    <n v="1"/>
    <n v="560"/>
    <n v="840"/>
  </r>
  <r>
    <x v="33"/>
    <s v="conventional_turnover_fico_744"/>
    <x v="784"/>
    <n v="0.89503999999999995"/>
    <n v="1"/>
    <n v="560"/>
    <n v="840"/>
  </r>
  <r>
    <x v="33"/>
    <s v="conventional_turnover_fico_745"/>
    <x v="785"/>
    <n v="0.89406249999999998"/>
    <n v="1"/>
    <n v="560"/>
    <n v="840"/>
  </r>
  <r>
    <x v="33"/>
    <s v="conventional_turnover_fico_746"/>
    <x v="786"/>
    <n v="0.89315999999999995"/>
    <n v="1"/>
    <n v="560"/>
    <n v="840"/>
  </r>
  <r>
    <x v="33"/>
    <s v="conventional_turnover_fico_747"/>
    <x v="787"/>
    <n v="0.89231749999999999"/>
    <n v="1"/>
    <n v="560"/>
    <n v="840"/>
  </r>
  <r>
    <x v="33"/>
    <s v="conventional_turnover_fico_748"/>
    <x v="788"/>
    <n v="0.89151999999999998"/>
    <n v="1"/>
    <n v="560"/>
    <n v="840"/>
  </r>
  <r>
    <x v="33"/>
    <s v="conventional_turnover_fico_749"/>
    <x v="789"/>
    <n v="0.89075249999999995"/>
    <n v="1"/>
    <n v="560"/>
    <n v="840"/>
  </r>
  <r>
    <x v="33"/>
    <s v="conventional_turnover_fico_750"/>
    <x v="790"/>
    <n v="0.89"/>
    <n v="1"/>
    <n v="560"/>
    <n v="840"/>
  </r>
  <r>
    <x v="33"/>
    <s v="conventional_turnover_fico_751"/>
    <x v="791"/>
    <n v="0.88924749999999997"/>
    <n v="1"/>
    <n v="560"/>
    <n v="840"/>
  </r>
  <r>
    <x v="33"/>
    <s v="conventional_turnover_fico_752"/>
    <x v="792"/>
    <n v="0.88848000000000005"/>
    <n v="1"/>
    <n v="560"/>
    <n v="840"/>
  </r>
  <r>
    <x v="33"/>
    <s v="conventional_turnover_fico_753"/>
    <x v="793"/>
    <n v="0.88768250000000004"/>
    <n v="1"/>
    <n v="560"/>
    <n v="840"/>
  </r>
  <r>
    <x v="33"/>
    <s v="conventional_turnover_fico_754"/>
    <x v="794"/>
    <n v="0.88683999999999996"/>
    <n v="1"/>
    <n v="560"/>
    <n v="840"/>
  </r>
  <r>
    <x v="33"/>
    <s v="conventional_turnover_fico_755"/>
    <x v="795"/>
    <n v="0.88593750000000004"/>
    <n v="1"/>
    <n v="560"/>
    <n v="840"/>
  </r>
  <r>
    <x v="33"/>
    <s v="conventional_turnover_fico_756"/>
    <x v="796"/>
    <n v="0.88495999999999997"/>
    <n v="1"/>
    <n v="560"/>
    <n v="840"/>
  </r>
  <r>
    <x v="33"/>
    <s v="conventional_turnover_fico_757"/>
    <x v="797"/>
    <n v="0.88389249999999997"/>
    <n v="1"/>
    <n v="560"/>
    <n v="840"/>
  </r>
  <r>
    <x v="33"/>
    <s v="conventional_turnover_fico_758"/>
    <x v="798"/>
    <n v="0.88271999999999995"/>
    <n v="1"/>
    <n v="560"/>
    <n v="840"/>
  </r>
  <r>
    <x v="33"/>
    <s v="conventional_turnover_fico_759"/>
    <x v="799"/>
    <n v="0.88142750000000003"/>
    <n v="1"/>
    <n v="560"/>
    <n v="840"/>
  </r>
  <r>
    <x v="33"/>
    <s v="conventional_turnover_fico_760"/>
    <x v="800"/>
    <n v="0.88"/>
    <n v="1"/>
    <n v="560"/>
    <n v="840"/>
  </r>
  <r>
    <x v="33"/>
    <s v="conventional_turnover_fico_761"/>
    <x v="801"/>
    <n v="0.87847531249999999"/>
    <n v="1"/>
    <n v="560"/>
    <n v="840"/>
  </r>
  <r>
    <x v="33"/>
    <s v="conventional_turnover_fico_762"/>
    <x v="802"/>
    <n v="0.87690250000000003"/>
    <n v="1"/>
    <n v="560"/>
    <n v="840"/>
  </r>
  <r>
    <x v="33"/>
    <s v="conventional_turnover_fico_763"/>
    <x v="803"/>
    <n v="0.87528343750000004"/>
    <n v="1"/>
    <n v="560"/>
    <n v="840"/>
  </r>
  <r>
    <x v="33"/>
    <s v="conventional_turnover_fico_764"/>
    <x v="804"/>
    <n v="0.87361999999999995"/>
    <n v="1"/>
    <n v="560"/>
    <n v="840"/>
  </r>
  <r>
    <x v="33"/>
    <s v="conventional_turnover_fico_765"/>
    <x v="805"/>
    <n v="0.87191406250000003"/>
    <n v="1"/>
    <n v="560"/>
    <n v="840"/>
  </r>
  <r>
    <x v="33"/>
    <s v="conventional_turnover_fico_766"/>
    <x v="806"/>
    <n v="0.87016749999999998"/>
    <n v="1"/>
    <n v="560"/>
    <n v="840"/>
  </r>
  <r>
    <x v="33"/>
    <s v="conventional_turnover_fico_767"/>
    <x v="807"/>
    <n v="0.86838218749999996"/>
    <n v="1"/>
    <n v="560"/>
    <n v="840"/>
  </r>
  <r>
    <x v="33"/>
    <s v="conventional_turnover_fico_768"/>
    <x v="808"/>
    <n v="0.86656"/>
    <n v="1"/>
    <n v="560"/>
    <n v="840"/>
  </r>
  <r>
    <x v="33"/>
    <s v="conventional_turnover_fico_769"/>
    <x v="809"/>
    <n v="0.86470281250000003"/>
    <n v="1"/>
    <n v="560"/>
    <n v="840"/>
  </r>
  <r>
    <x v="33"/>
    <s v="conventional_turnover_fico_770"/>
    <x v="810"/>
    <n v="0.86281249999999998"/>
    <n v="1"/>
    <n v="560"/>
    <n v="840"/>
  </r>
  <r>
    <x v="33"/>
    <s v="conventional_turnover_fico_771"/>
    <x v="811"/>
    <n v="0.86089093750000001"/>
    <n v="1"/>
    <n v="560"/>
    <n v="840"/>
  </r>
  <r>
    <x v="33"/>
    <s v="conventional_turnover_fico_772"/>
    <x v="812"/>
    <n v="0.85894000000000004"/>
    <n v="1"/>
    <n v="560"/>
    <n v="840"/>
  </r>
  <r>
    <x v="33"/>
    <s v="conventional_turnover_fico_773"/>
    <x v="813"/>
    <n v="0.8569615625"/>
    <n v="1"/>
    <n v="560"/>
    <n v="840"/>
  </r>
  <r>
    <x v="33"/>
    <s v="conventional_turnover_fico_774"/>
    <x v="814"/>
    <n v="0.85495750000000004"/>
    <n v="1"/>
    <n v="560"/>
    <n v="840"/>
  </r>
  <r>
    <x v="33"/>
    <s v="conventional_turnover_fico_775"/>
    <x v="815"/>
    <n v="0.85292968749999998"/>
    <n v="1"/>
    <n v="560"/>
    <n v="840"/>
  </r>
  <r>
    <x v="33"/>
    <s v="conventional_turnover_fico_776"/>
    <x v="816"/>
    <n v="0.85087999999999997"/>
    <n v="1"/>
    <n v="560"/>
    <n v="840"/>
  </r>
  <r>
    <x v="33"/>
    <s v="conventional_turnover_fico_777"/>
    <x v="817"/>
    <n v="0.84881031250000005"/>
    <n v="1"/>
    <n v="560"/>
    <n v="840"/>
  </r>
  <r>
    <x v="33"/>
    <s v="conventional_turnover_fico_778"/>
    <x v="818"/>
    <n v="0.84672250000000004"/>
    <n v="1"/>
    <n v="560"/>
    <n v="840"/>
  </r>
  <r>
    <x v="33"/>
    <s v="conventional_turnover_fico_779"/>
    <x v="819"/>
    <n v="0.84461843749999999"/>
    <n v="1"/>
    <n v="560"/>
    <n v="840"/>
  </r>
  <r>
    <x v="33"/>
    <s v="conventional_turnover_fico_780"/>
    <x v="820"/>
    <n v="0.84250000000000003"/>
    <n v="1"/>
    <n v="560"/>
    <n v="840"/>
  </r>
  <r>
    <x v="33"/>
    <s v="conventional_turnover_fico_781"/>
    <x v="821"/>
    <n v="0.84036906249999999"/>
    <n v="1"/>
    <n v="560"/>
    <n v="840"/>
  </r>
  <r>
    <x v="33"/>
    <s v="conventional_turnover_fico_782"/>
    <x v="822"/>
    <n v="0.83822750000000001"/>
    <n v="1"/>
    <n v="560"/>
    <n v="840"/>
  </r>
  <r>
    <x v="33"/>
    <s v="conventional_turnover_fico_783"/>
    <x v="823"/>
    <n v="0.83607718750000004"/>
    <n v="1"/>
    <n v="560"/>
    <n v="840"/>
  </r>
  <r>
    <x v="33"/>
    <s v="conventional_turnover_fico_784"/>
    <x v="824"/>
    <n v="0.83391999999999999"/>
    <n v="1"/>
    <n v="560"/>
    <n v="840"/>
  </r>
  <r>
    <x v="33"/>
    <s v="conventional_turnover_fico_785"/>
    <x v="825"/>
    <n v="0.83175781250000003"/>
    <n v="1"/>
    <n v="560"/>
    <n v="840"/>
  </r>
  <r>
    <x v="33"/>
    <s v="conventional_turnover_fico_786"/>
    <x v="826"/>
    <n v="0.82959249999999995"/>
    <n v="1"/>
    <n v="560"/>
    <n v="840"/>
  </r>
  <r>
    <x v="33"/>
    <s v="conventional_turnover_fico_787"/>
    <x v="827"/>
    <n v="0.82742593750000004"/>
    <n v="1"/>
    <n v="560"/>
    <n v="840"/>
  </r>
  <r>
    <x v="33"/>
    <s v="conventional_turnover_fico_788"/>
    <x v="828"/>
    <n v="0.82525999999999999"/>
    <n v="1"/>
    <n v="560"/>
    <n v="840"/>
  </r>
  <r>
    <x v="33"/>
    <s v="conventional_turnover_fico_789"/>
    <x v="829"/>
    <n v="0.82309656249999996"/>
    <n v="1"/>
    <n v="560"/>
    <n v="840"/>
  </r>
  <r>
    <x v="33"/>
    <s v="conventional_turnover_fico_790"/>
    <x v="830"/>
    <n v="0.82093749999999999"/>
    <n v="1"/>
    <n v="560"/>
    <n v="840"/>
  </r>
  <r>
    <x v="33"/>
    <s v="conventional_turnover_fico_791"/>
    <x v="831"/>
    <n v="0.8187846875"/>
    <n v="1"/>
    <n v="560"/>
    <n v="840"/>
  </r>
  <r>
    <x v="33"/>
    <s v="conventional_turnover_fico_792"/>
    <x v="832"/>
    <n v="0.81664000000000003"/>
    <n v="1"/>
    <n v="560"/>
    <n v="840"/>
  </r>
  <r>
    <x v="33"/>
    <s v="conventional_turnover_fico_793"/>
    <x v="833"/>
    <n v="0.81450531250000002"/>
    <n v="1"/>
    <n v="560"/>
    <n v="840"/>
  </r>
  <r>
    <x v="33"/>
    <s v="conventional_turnover_fico_794"/>
    <x v="834"/>
    <n v="0.81238250000000001"/>
    <n v="1"/>
    <n v="560"/>
    <n v="840"/>
  </r>
  <r>
    <x v="33"/>
    <s v="conventional_turnover_fico_795"/>
    <x v="835"/>
    <n v="0.81027343750000003"/>
    <n v="1"/>
    <n v="560"/>
    <n v="840"/>
  </r>
  <r>
    <x v="33"/>
    <s v="conventional_turnover_fico_796"/>
    <x v="836"/>
    <n v="0.80818000000000001"/>
    <n v="1"/>
    <n v="560"/>
    <n v="840"/>
  </r>
  <r>
    <x v="33"/>
    <s v="conventional_turnover_fico_797"/>
    <x v="837"/>
    <n v="0.8061040625"/>
    <n v="1"/>
    <n v="560"/>
    <n v="840"/>
  </r>
  <r>
    <x v="33"/>
    <s v="conventional_turnover_fico_798"/>
    <x v="838"/>
    <n v="0.80404750000000003"/>
    <n v="1"/>
    <n v="560"/>
    <n v="840"/>
  </r>
  <r>
    <x v="33"/>
    <s v="conventional_turnover_fico_799"/>
    <x v="839"/>
    <n v="0.80201218750000003"/>
    <n v="1"/>
    <n v="560"/>
    <n v="840"/>
  </r>
  <r>
    <x v="33"/>
    <s v="conventional_turnover_fico_800"/>
    <x v="840"/>
    <n v="0.8"/>
    <n v="1"/>
    <n v="560"/>
    <n v="840"/>
  </r>
  <r>
    <x v="33"/>
    <s v="conventional_turnover_fico_801"/>
    <x v="841"/>
    <n v="0.79800000000000004"/>
    <n v="1"/>
    <n v="560"/>
    <n v="840"/>
  </r>
  <r>
    <x v="33"/>
    <s v="conventional_turnover_fico_802"/>
    <x v="842"/>
    <n v="0.79600000000000004"/>
    <n v="1"/>
    <n v="560"/>
    <n v="840"/>
  </r>
  <r>
    <x v="33"/>
    <s v="conventional_turnover_fico_803"/>
    <x v="843"/>
    <n v="0.79400000000000004"/>
    <n v="1"/>
    <n v="560"/>
    <n v="840"/>
  </r>
  <r>
    <x v="33"/>
    <s v="conventional_turnover_fico_804"/>
    <x v="844"/>
    <n v="0.79200000000000004"/>
    <n v="1"/>
    <n v="560"/>
    <n v="840"/>
  </r>
  <r>
    <x v="33"/>
    <s v="conventional_turnover_fico_805"/>
    <x v="845"/>
    <n v="0.79"/>
    <n v="1"/>
    <n v="560"/>
    <n v="840"/>
  </r>
  <r>
    <x v="33"/>
    <s v="conventional_turnover_fico_806"/>
    <x v="846"/>
    <n v="0.78800000000000003"/>
    <n v="1"/>
    <n v="560"/>
    <n v="840"/>
  </r>
  <r>
    <x v="33"/>
    <s v="conventional_turnover_fico_807"/>
    <x v="847"/>
    <n v="0.78600000000000003"/>
    <n v="1"/>
    <n v="560"/>
    <n v="840"/>
  </r>
  <r>
    <x v="33"/>
    <s v="conventional_turnover_fico_808"/>
    <x v="848"/>
    <n v="0.78400000000000003"/>
    <n v="1"/>
    <n v="560"/>
    <n v="840"/>
  </r>
  <r>
    <x v="33"/>
    <s v="conventional_turnover_fico_809"/>
    <x v="849"/>
    <n v="0.78200000000000003"/>
    <n v="1"/>
    <n v="560"/>
    <n v="840"/>
  </r>
  <r>
    <x v="33"/>
    <s v="conventional_turnover_fico_810"/>
    <x v="850"/>
    <n v="0.78"/>
    <n v="1"/>
    <n v="560"/>
    <n v="840"/>
  </r>
  <r>
    <x v="33"/>
    <s v="conventional_turnover_fico_811"/>
    <x v="851"/>
    <n v="0.77800000000000002"/>
    <n v="1"/>
    <n v="560"/>
    <n v="840"/>
  </r>
  <r>
    <x v="33"/>
    <s v="conventional_turnover_fico_812"/>
    <x v="852"/>
    <n v="0.77600000000000002"/>
    <n v="1"/>
    <n v="560"/>
    <n v="840"/>
  </r>
  <r>
    <x v="33"/>
    <s v="conventional_turnover_fico_813"/>
    <x v="853"/>
    <n v="0.77400000000000002"/>
    <n v="1"/>
    <n v="560"/>
    <n v="840"/>
  </r>
  <r>
    <x v="33"/>
    <s v="conventional_turnover_fico_814"/>
    <x v="854"/>
    <n v="0.77200000000000002"/>
    <n v="1"/>
    <n v="560"/>
    <n v="840"/>
  </r>
  <r>
    <x v="33"/>
    <s v="conventional_turnover_fico_815"/>
    <x v="855"/>
    <n v="0.77"/>
    <n v="1"/>
    <n v="560"/>
    <n v="840"/>
  </r>
  <r>
    <x v="33"/>
    <s v="conventional_turnover_fico_816"/>
    <x v="856"/>
    <n v="0.76800000000000002"/>
    <n v="1"/>
    <n v="560"/>
    <n v="840"/>
  </r>
  <r>
    <x v="33"/>
    <s v="conventional_turnover_fico_817"/>
    <x v="857"/>
    <n v="0.76600000000000001"/>
    <n v="1"/>
    <n v="560"/>
    <n v="840"/>
  </r>
  <r>
    <x v="33"/>
    <s v="conventional_turnover_fico_818"/>
    <x v="858"/>
    <n v="0.76400000000000001"/>
    <n v="1"/>
    <n v="560"/>
    <n v="840"/>
  </r>
  <r>
    <x v="33"/>
    <s v="conventional_turnover_fico_819"/>
    <x v="859"/>
    <n v="0.76200000000000001"/>
    <n v="1"/>
    <n v="560"/>
    <n v="840"/>
  </r>
  <r>
    <x v="33"/>
    <s v="conventional_turnover_fico_820"/>
    <x v="860"/>
    <n v="0.76"/>
    <n v="1"/>
    <n v="560"/>
    <n v="840"/>
  </r>
  <r>
    <x v="33"/>
    <s v="conventional_turnover_fico_821"/>
    <x v="861"/>
    <n v="0.75800000000000001"/>
    <n v="1"/>
    <n v="560"/>
    <n v="840"/>
  </r>
  <r>
    <x v="33"/>
    <s v="conventional_turnover_fico_822"/>
    <x v="862"/>
    <n v="0.75600000000000001"/>
    <n v="1"/>
    <n v="560"/>
    <n v="840"/>
  </r>
  <r>
    <x v="33"/>
    <s v="conventional_turnover_fico_823"/>
    <x v="863"/>
    <n v="0.754"/>
    <n v="1"/>
    <n v="560"/>
    <n v="840"/>
  </r>
  <r>
    <x v="33"/>
    <s v="conventional_turnover_fico_824"/>
    <x v="864"/>
    <n v="0.752"/>
    <n v="1"/>
    <n v="560"/>
    <n v="840"/>
  </r>
  <r>
    <x v="33"/>
    <s v="conventional_turnover_fico_825"/>
    <x v="865"/>
    <n v="0.75"/>
    <n v="1"/>
    <n v="560"/>
    <n v="840"/>
  </r>
  <r>
    <x v="33"/>
    <s v="conventional_turnover_fico_826"/>
    <x v="866"/>
    <n v="0.748"/>
    <n v="1"/>
    <n v="560"/>
    <n v="840"/>
  </r>
  <r>
    <x v="33"/>
    <s v="conventional_turnover_fico_827"/>
    <x v="867"/>
    <n v="0.746"/>
    <n v="1"/>
    <n v="560"/>
    <n v="840"/>
  </r>
  <r>
    <x v="33"/>
    <s v="conventional_turnover_fico_828"/>
    <x v="868"/>
    <n v="0.74399999999999999"/>
    <n v="1"/>
    <n v="560"/>
    <n v="840"/>
  </r>
  <r>
    <x v="33"/>
    <s v="conventional_turnover_fico_829"/>
    <x v="869"/>
    <n v="0.74199999999999999"/>
    <n v="1"/>
    <n v="560"/>
    <n v="840"/>
  </r>
  <r>
    <x v="33"/>
    <s v="conventional_turnover_fico_830"/>
    <x v="870"/>
    <n v="0.74"/>
    <n v="1"/>
    <n v="560"/>
    <n v="840"/>
  </r>
  <r>
    <x v="33"/>
    <s v="conventional_turnover_fico_831"/>
    <x v="871"/>
    <n v="0.73799999999999999"/>
    <n v="1"/>
    <n v="560"/>
    <n v="840"/>
  </r>
  <r>
    <x v="33"/>
    <s v="conventional_turnover_fico_832"/>
    <x v="872"/>
    <n v="0.73599999999999999"/>
    <n v="1"/>
    <n v="560"/>
    <n v="840"/>
  </r>
  <r>
    <x v="33"/>
    <s v="conventional_turnover_fico_833"/>
    <x v="873"/>
    <n v="0.73399999999999999"/>
    <n v="1"/>
    <n v="560"/>
    <n v="840"/>
  </r>
  <r>
    <x v="33"/>
    <s v="conventional_turnover_fico_834"/>
    <x v="874"/>
    <n v="0.73199999999999998"/>
    <n v="1"/>
    <n v="560"/>
    <n v="840"/>
  </r>
  <r>
    <x v="33"/>
    <s v="conventional_turnover_fico_835"/>
    <x v="875"/>
    <n v="0.73"/>
    <n v="1"/>
    <n v="560"/>
    <n v="840"/>
  </r>
  <r>
    <x v="33"/>
    <s v="conventional_turnover_fico_836"/>
    <x v="876"/>
    <n v="0.72799999999999998"/>
    <n v="1"/>
    <n v="560"/>
    <n v="840"/>
  </r>
  <r>
    <x v="33"/>
    <s v="conventional_turnover_fico_837"/>
    <x v="877"/>
    <n v="0.72599999999999998"/>
    <n v="1"/>
    <n v="560"/>
    <n v="840"/>
  </r>
  <r>
    <x v="33"/>
    <s v="conventional_turnover_fico_838"/>
    <x v="878"/>
    <n v="0.72399999999999998"/>
    <n v="1"/>
    <n v="560"/>
    <n v="840"/>
  </r>
  <r>
    <x v="33"/>
    <s v="conventional_turnover_fico_839"/>
    <x v="879"/>
    <n v="0.72199999999999998"/>
    <n v="1"/>
    <n v="560"/>
    <n v="840"/>
  </r>
  <r>
    <x v="33"/>
    <s v="conventional_turnover_fico_840"/>
    <x v="880"/>
    <n v="0.72"/>
    <n v="1"/>
    <n v="560"/>
    <n v="840"/>
  </r>
  <r>
    <x v="34"/>
    <s v="conventional_turnover_sato_-140"/>
    <x v="1131"/>
    <n v="1"/>
    <n v="1"/>
    <n v="-140"/>
    <n v="140"/>
  </r>
  <r>
    <x v="34"/>
    <s v="conventional_turnover_sato_-139"/>
    <x v="1132"/>
    <n v="1"/>
    <n v="1"/>
    <n v="-140"/>
    <n v="140"/>
  </r>
  <r>
    <x v="34"/>
    <s v="conventional_turnover_sato_-138"/>
    <x v="1133"/>
    <n v="1"/>
    <n v="1"/>
    <n v="-140"/>
    <n v="140"/>
  </r>
  <r>
    <x v="34"/>
    <s v="conventional_turnover_sato_-137"/>
    <x v="1134"/>
    <n v="1"/>
    <n v="1"/>
    <n v="-140"/>
    <n v="140"/>
  </r>
  <r>
    <x v="34"/>
    <s v="conventional_turnover_sato_-136"/>
    <x v="1135"/>
    <n v="1"/>
    <n v="1"/>
    <n v="-140"/>
    <n v="140"/>
  </r>
  <r>
    <x v="34"/>
    <s v="conventional_turnover_sato_-135"/>
    <x v="1136"/>
    <n v="1"/>
    <n v="1"/>
    <n v="-140"/>
    <n v="140"/>
  </r>
  <r>
    <x v="34"/>
    <s v="conventional_turnover_sato_-134"/>
    <x v="1137"/>
    <n v="1"/>
    <n v="1"/>
    <n v="-140"/>
    <n v="140"/>
  </r>
  <r>
    <x v="34"/>
    <s v="conventional_turnover_sato_-133"/>
    <x v="1138"/>
    <n v="1"/>
    <n v="1"/>
    <n v="-140"/>
    <n v="140"/>
  </r>
  <r>
    <x v="34"/>
    <s v="conventional_turnover_sato_-132"/>
    <x v="1139"/>
    <n v="1"/>
    <n v="1"/>
    <n v="-140"/>
    <n v="140"/>
  </r>
  <r>
    <x v="34"/>
    <s v="conventional_turnover_sato_-131"/>
    <x v="1140"/>
    <n v="1"/>
    <n v="1"/>
    <n v="-140"/>
    <n v="140"/>
  </r>
  <r>
    <x v="34"/>
    <s v="conventional_turnover_sato_-130"/>
    <x v="1141"/>
    <n v="1"/>
    <n v="1"/>
    <n v="-140"/>
    <n v="140"/>
  </r>
  <r>
    <x v="34"/>
    <s v="conventional_turnover_sato_-129"/>
    <x v="1142"/>
    <n v="1"/>
    <n v="1"/>
    <n v="-140"/>
    <n v="140"/>
  </r>
  <r>
    <x v="34"/>
    <s v="conventional_turnover_sato_-128"/>
    <x v="1143"/>
    <n v="1"/>
    <n v="1"/>
    <n v="-140"/>
    <n v="140"/>
  </r>
  <r>
    <x v="34"/>
    <s v="conventional_turnover_sato_-127"/>
    <x v="1144"/>
    <n v="1"/>
    <n v="1"/>
    <n v="-140"/>
    <n v="140"/>
  </r>
  <r>
    <x v="34"/>
    <s v="conventional_turnover_sato_-126"/>
    <x v="1145"/>
    <n v="1"/>
    <n v="1"/>
    <n v="-140"/>
    <n v="140"/>
  </r>
  <r>
    <x v="34"/>
    <s v="conventional_turnover_sato_-125"/>
    <x v="1146"/>
    <n v="1"/>
    <n v="1"/>
    <n v="-140"/>
    <n v="140"/>
  </r>
  <r>
    <x v="34"/>
    <s v="conventional_turnover_sato_-124"/>
    <x v="1147"/>
    <n v="1"/>
    <n v="1"/>
    <n v="-140"/>
    <n v="140"/>
  </r>
  <r>
    <x v="34"/>
    <s v="conventional_turnover_sato_-123"/>
    <x v="1148"/>
    <n v="1"/>
    <n v="1"/>
    <n v="-140"/>
    <n v="140"/>
  </r>
  <r>
    <x v="34"/>
    <s v="conventional_turnover_sato_-122"/>
    <x v="1149"/>
    <n v="1"/>
    <n v="1"/>
    <n v="-140"/>
    <n v="140"/>
  </r>
  <r>
    <x v="34"/>
    <s v="conventional_turnover_sato_-121"/>
    <x v="1150"/>
    <n v="1"/>
    <n v="1"/>
    <n v="-140"/>
    <n v="140"/>
  </r>
  <r>
    <x v="34"/>
    <s v="conventional_turnover_sato_-120"/>
    <x v="1151"/>
    <n v="1"/>
    <n v="1"/>
    <n v="-140"/>
    <n v="140"/>
  </r>
  <r>
    <x v="34"/>
    <s v="conventional_turnover_sato_-119"/>
    <x v="1152"/>
    <n v="1"/>
    <n v="1"/>
    <n v="-140"/>
    <n v="140"/>
  </r>
  <r>
    <x v="34"/>
    <s v="conventional_turnover_sato_-118"/>
    <x v="1153"/>
    <n v="1"/>
    <n v="1"/>
    <n v="-140"/>
    <n v="140"/>
  </r>
  <r>
    <x v="34"/>
    <s v="conventional_turnover_sato_-117"/>
    <x v="1154"/>
    <n v="1"/>
    <n v="1"/>
    <n v="-140"/>
    <n v="140"/>
  </r>
  <r>
    <x v="34"/>
    <s v="conventional_turnover_sato_-116"/>
    <x v="1155"/>
    <n v="1"/>
    <n v="1"/>
    <n v="-140"/>
    <n v="140"/>
  </r>
  <r>
    <x v="34"/>
    <s v="conventional_turnover_sato_-115"/>
    <x v="1156"/>
    <n v="1"/>
    <n v="1"/>
    <n v="-140"/>
    <n v="140"/>
  </r>
  <r>
    <x v="34"/>
    <s v="conventional_turnover_sato_-114"/>
    <x v="1157"/>
    <n v="1"/>
    <n v="1"/>
    <n v="-140"/>
    <n v="140"/>
  </r>
  <r>
    <x v="34"/>
    <s v="conventional_turnover_sato_-113"/>
    <x v="1158"/>
    <n v="1"/>
    <n v="1"/>
    <n v="-140"/>
    <n v="140"/>
  </r>
  <r>
    <x v="34"/>
    <s v="conventional_turnover_sato_-112"/>
    <x v="1159"/>
    <n v="1"/>
    <n v="1"/>
    <n v="-140"/>
    <n v="140"/>
  </r>
  <r>
    <x v="34"/>
    <s v="conventional_turnover_sato_-111"/>
    <x v="1160"/>
    <n v="1"/>
    <n v="1"/>
    <n v="-140"/>
    <n v="140"/>
  </r>
  <r>
    <x v="34"/>
    <s v="conventional_turnover_sato_-110"/>
    <x v="1161"/>
    <n v="1"/>
    <n v="1"/>
    <n v="-140"/>
    <n v="140"/>
  </r>
  <r>
    <x v="34"/>
    <s v="conventional_turnover_sato_-109"/>
    <x v="1162"/>
    <n v="1"/>
    <n v="1"/>
    <n v="-140"/>
    <n v="140"/>
  </r>
  <r>
    <x v="34"/>
    <s v="conventional_turnover_sato_-108"/>
    <x v="1163"/>
    <n v="1"/>
    <n v="1"/>
    <n v="-140"/>
    <n v="140"/>
  </r>
  <r>
    <x v="34"/>
    <s v="conventional_turnover_sato_-107"/>
    <x v="1164"/>
    <n v="1"/>
    <n v="1"/>
    <n v="-140"/>
    <n v="140"/>
  </r>
  <r>
    <x v="34"/>
    <s v="conventional_turnover_sato_-106"/>
    <x v="1165"/>
    <n v="1"/>
    <n v="1"/>
    <n v="-140"/>
    <n v="140"/>
  </r>
  <r>
    <x v="34"/>
    <s v="conventional_turnover_sato_-105"/>
    <x v="1166"/>
    <n v="1"/>
    <n v="1"/>
    <n v="-140"/>
    <n v="140"/>
  </r>
  <r>
    <x v="34"/>
    <s v="conventional_turnover_sato_-104"/>
    <x v="1167"/>
    <n v="1"/>
    <n v="1"/>
    <n v="-140"/>
    <n v="140"/>
  </r>
  <r>
    <x v="34"/>
    <s v="conventional_turnover_sato_-103"/>
    <x v="1168"/>
    <n v="1"/>
    <n v="1"/>
    <n v="-140"/>
    <n v="140"/>
  </r>
  <r>
    <x v="34"/>
    <s v="conventional_turnover_sato_-102"/>
    <x v="1169"/>
    <n v="1"/>
    <n v="1"/>
    <n v="-140"/>
    <n v="140"/>
  </r>
  <r>
    <x v="34"/>
    <s v="conventional_turnover_sato_-101"/>
    <x v="1170"/>
    <n v="1"/>
    <n v="1"/>
    <n v="-140"/>
    <n v="140"/>
  </r>
  <r>
    <x v="34"/>
    <s v="conventional_turnover_sato_-100"/>
    <x v="1171"/>
    <n v="1"/>
    <n v="1"/>
    <n v="-140"/>
    <n v="140"/>
  </r>
  <r>
    <x v="34"/>
    <s v="conventional_turnover_sato_-99"/>
    <x v="1172"/>
    <n v="1"/>
    <n v="1"/>
    <n v="-140"/>
    <n v="140"/>
  </r>
  <r>
    <x v="34"/>
    <s v="conventional_turnover_sato_-98"/>
    <x v="1173"/>
    <n v="1"/>
    <n v="1"/>
    <n v="-140"/>
    <n v="140"/>
  </r>
  <r>
    <x v="34"/>
    <s v="conventional_turnover_sato_-97"/>
    <x v="1174"/>
    <n v="1"/>
    <n v="1"/>
    <n v="-140"/>
    <n v="140"/>
  </r>
  <r>
    <x v="34"/>
    <s v="conventional_turnover_sato_-96"/>
    <x v="1175"/>
    <n v="1"/>
    <n v="1"/>
    <n v="-140"/>
    <n v="140"/>
  </r>
  <r>
    <x v="34"/>
    <s v="conventional_turnover_sato_-95"/>
    <x v="1176"/>
    <n v="1"/>
    <n v="1"/>
    <n v="-140"/>
    <n v="140"/>
  </r>
  <r>
    <x v="34"/>
    <s v="conventional_turnover_sato_-94"/>
    <x v="1177"/>
    <n v="1"/>
    <n v="1"/>
    <n v="-140"/>
    <n v="140"/>
  </r>
  <r>
    <x v="34"/>
    <s v="conventional_turnover_sato_-93"/>
    <x v="1178"/>
    <n v="1"/>
    <n v="1"/>
    <n v="-140"/>
    <n v="140"/>
  </r>
  <r>
    <x v="34"/>
    <s v="conventional_turnover_sato_-92"/>
    <x v="1179"/>
    <n v="1"/>
    <n v="1"/>
    <n v="-140"/>
    <n v="140"/>
  </r>
  <r>
    <x v="34"/>
    <s v="conventional_turnover_sato_-91"/>
    <x v="1180"/>
    <n v="1"/>
    <n v="1"/>
    <n v="-140"/>
    <n v="140"/>
  </r>
  <r>
    <x v="34"/>
    <s v="conventional_turnover_sato_-90"/>
    <x v="1181"/>
    <n v="1"/>
    <n v="1"/>
    <n v="-140"/>
    <n v="140"/>
  </r>
  <r>
    <x v="34"/>
    <s v="conventional_turnover_sato_-89"/>
    <x v="1182"/>
    <n v="1"/>
    <n v="1"/>
    <n v="-140"/>
    <n v="140"/>
  </r>
  <r>
    <x v="34"/>
    <s v="conventional_turnover_sato_-88"/>
    <x v="1183"/>
    <n v="1"/>
    <n v="1"/>
    <n v="-140"/>
    <n v="140"/>
  </r>
  <r>
    <x v="34"/>
    <s v="conventional_turnover_sato_-87"/>
    <x v="1184"/>
    <n v="1"/>
    <n v="1"/>
    <n v="-140"/>
    <n v="140"/>
  </r>
  <r>
    <x v="34"/>
    <s v="conventional_turnover_sato_-86"/>
    <x v="1185"/>
    <n v="1"/>
    <n v="1"/>
    <n v="-140"/>
    <n v="140"/>
  </r>
  <r>
    <x v="34"/>
    <s v="conventional_turnover_sato_-85"/>
    <x v="1186"/>
    <n v="1"/>
    <n v="1"/>
    <n v="-140"/>
    <n v="140"/>
  </r>
  <r>
    <x v="34"/>
    <s v="conventional_turnover_sato_-84"/>
    <x v="1187"/>
    <n v="1"/>
    <n v="1"/>
    <n v="-140"/>
    <n v="140"/>
  </r>
  <r>
    <x v="34"/>
    <s v="conventional_turnover_sato_-83"/>
    <x v="1188"/>
    <n v="1"/>
    <n v="1"/>
    <n v="-140"/>
    <n v="140"/>
  </r>
  <r>
    <x v="34"/>
    <s v="conventional_turnover_sato_-82"/>
    <x v="1189"/>
    <n v="1"/>
    <n v="1"/>
    <n v="-140"/>
    <n v="140"/>
  </r>
  <r>
    <x v="34"/>
    <s v="conventional_turnover_sato_-81"/>
    <x v="1190"/>
    <n v="1"/>
    <n v="1"/>
    <n v="-140"/>
    <n v="140"/>
  </r>
  <r>
    <x v="34"/>
    <s v="conventional_turnover_sato_-80"/>
    <x v="1191"/>
    <n v="1"/>
    <n v="1"/>
    <n v="-140"/>
    <n v="140"/>
  </r>
  <r>
    <x v="34"/>
    <s v="conventional_turnover_sato_-79"/>
    <x v="1192"/>
    <n v="1"/>
    <n v="1"/>
    <n v="-140"/>
    <n v="140"/>
  </r>
  <r>
    <x v="34"/>
    <s v="conventional_turnover_sato_-78"/>
    <x v="1193"/>
    <n v="1"/>
    <n v="1"/>
    <n v="-140"/>
    <n v="140"/>
  </r>
  <r>
    <x v="34"/>
    <s v="conventional_turnover_sato_-77"/>
    <x v="1194"/>
    <n v="1"/>
    <n v="1"/>
    <n v="-140"/>
    <n v="140"/>
  </r>
  <r>
    <x v="34"/>
    <s v="conventional_turnover_sato_-76"/>
    <x v="1195"/>
    <n v="1"/>
    <n v="1"/>
    <n v="-140"/>
    <n v="140"/>
  </r>
  <r>
    <x v="34"/>
    <s v="conventional_turnover_sato_-75"/>
    <x v="1196"/>
    <n v="1"/>
    <n v="1"/>
    <n v="-140"/>
    <n v="140"/>
  </r>
  <r>
    <x v="34"/>
    <s v="conventional_turnover_sato_-74"/>
    <x v="1197"/>
    <n v="1"/>
    <n v="1"/>
    <n v="-140"/>
    <n v="140"/>
  </r>
  <r>
    <x v="34"/>
    <s v="conventional_turnover_sato_-73"/>
    <x v="1198"/>
    <n v="1"/>
    <n v="1"/>
    <n v="-140"/>
    <n v="140"/>
  </r>
  <r>
    <x v="34"/>
    <s v="conventional_turnover_sato_-72"/>
    <x v="1199"/>
    <n v="1"/>
    <n v="1"/>
    <n v="-140"/>
    <n v="140"/>
  </r>
  <r>
    <x v="34"/>
    <s v="conventional_turnover_sato_-71"/>
    <x v="1200"/>
    <n v="1"/>
    <n v="1"/>
    <n v="-140"/>
    <n v="140"/>
  </r>
  <r>
    <x v="34"/>
    <s v="conventional_turnover_sato_-70"/>
    <x v="1201"/>
    <n v="1"/>
    <n v="1"/>
    <n v="-140"/>
    <n v="140"/>
  </r>
  <r>
    <x v="34"/>
    <s v="conventional_turnover_sato_-69"/>
    <x v="1202"/>
    <n v="1"/>
    <n v="1"/>
    <n v="-140"/>
    <n v="140"/>
  </r>
  <r>
    <x v="34"/>
    <s v="conventional_turnover_sato_-68"/>
    <x v="1203"/>
    <n v="1"/>
    <n v="1"/>
    <n v="-140"/>
    <n v="140"/>
  </r>
  <r>
    <x v="34"/>
    <s v="conventional_turnover_sato_-67"/>
    <x v="1204"/>
    <n v="1"/>
    <n v="1"/>
    <n v="-140"/>
    <n v="140"/>
  </r>
  <r>
    <x v="34"/>
    <s v="conventional_turnover_sato_-66"/>
    <x v="1205"/>
    <n v="1"/>
    <n v="1"/>
    <n v="-140"/>
    <n v="140"/>
  </r>
  <r>
    <x v="34"/>
    <s v="conventional_turnover_sato_-65"/>
    <x v="1206"/>
    <n v="1"/>
    <n v="1"/>
    <n v="-140"/>
    <n v="140"/>
  </r>
  <r>
    <x v="34"/>
    <s v="conventional_turnover_sato_-64"/>
    <x v="1207"/>
    <n v="1"/>
    <n v="1"/>
    <n v="-140"/>
    <n v="140"/>
  </r>
  <r>
    <x v="34"/>
    <s v="conventional_turnover_sato_-63"/>
    <x v="1208"/>
    <n v="1"/>
    <n v="1"/>
    <n v="-140"/>
    <n v="140"/>
  </r>
  <r>
    <x v="34"/>
    <s v="conventional_turnover_sato_-62"/>
    <x v="1209"/>
    <n v="1"/>
    <n v="1"/>
    <n v="-140"/>
    <n v="140"/>
  </r>
  <r>
    <x v="34"/>
    <s v="conventional_turnover_sato_-61"/>
    <x v="1210"/>
    <n v="1"/>
    <n v="1"/>
    <n v="-140"/>
    <n v="140"/>
  </r>
  <r>
    <x v="34"/>
    <s v="conventional_turnover_sato_-60"/>
    <x v="1211"/>
    <n v="1"/>
    <n v="1"/>
    <n v="-140"/>
    <n v="140"/>
  </r>
  <r>
    <x v="34"/>
    <s v="conventional_turnover_sato_-59"/>
    <x v="1212"/>
    <n v="1"/>
    <n v="1"/>
    <n v="-140"/>
    <n v="140"/>
  </r>
  <r>
    <x v="34"/>
    <s v="conventional_turnover_sato_-58"/>
    <x v="1213"/>
    <n v="1"/>
    <n v="1"/>
    <n v="-140"/>
    <n v="140"/>
  </r>
  <r>
    <x v="34"/>
    <s v="conventional_turnover_sato_-57"/>
    <x v="1214"/>
    <n v="1"/>
    <n v="1"/>
    <n v="-140"/>
    <n v="140"/>
  </r>
  <r>
    <x v="34"/>
    <s v="conventional_turnover_sato_-56"/>
    <x v="1215"/>
    <n v="1"/>
    <n v="1"/>
    <n v="-140"/>
    <n v="140"/>
  </r>
  <r>
    <x v="34"/>
    <s v="conventional_turnover_sato_-55"/>
    <x v="1216"/>
    <n v="1"/>
    <n v="1"/>
    <n v="-140"/>
    <n v="140"/>
  </r>
  <r>
    <x v="34"/>
    <s v="conventional_turnover_sato_-54"/>
    <x v="1217"/>
    <n v="1"/>
    <n v="1"/>
    <n v="-140"/>
    <n v="140"/>
  </r>
  <r>
    <x v="34"/>
    <s v="conventional_turnover_sato_-53"/>
    <x v="1218"/>
    <n v="1"/>
    <n v="1"/>
    <n v="-140"/>
    <n v="140"/>
  </r>
  <r>
    <x v="34"/>
    <s v="conventional_turnover_sato_-52"/>
    <x v="1219"/>
    <n v="1"/>
    <n v="1"/>
    <n v="-140"/>
    <n v="140"/>
  </r>
  <r>
    <x v="34"/>
    <s v="conventional_turnover_sato_-51"/>
    <x v="1220"/>
    <n v="1"/>
    <n v="1"/>
    <n v="-140"/>
    <n v="140"/>
  </r>
  <r>
    <x v="34"/>
    <s v="conventional_turnover_sato_-50"/>
    <x v="1221"/>
    <n v="1"/>
    <n v="1"/>
    <n v="-140"/>
    <n v="140"/>
  </r>
  <r>
    <x v="34"/>
    <s v="conventional_turnover_sato_-49"/>
    <x v="1222"/>
    <n v="1"/>
    <n v="1"/>
    <n v="-140"/>
    <n v="140"/>
  </r>
  <r>
    <x v="34"/>
    <s v="conventional_turnover_sato_-48"/>
    <x v="1223"/>
    <n v="1"/>
    <n v="1"/>
    <n v="-140"/>
    <n v="140"/>
  </r>
  <r>
    <x v="34"/>
    <s v="conventional_turnover_sato_-47"/>
    <x v="1224"/>
    <n v="1"/>
    <n v="1"/>
    <n v="-140"/>
    <n v="140"/>
  </r>
  <r>
    <x v="34"/>
    <s v="conventional_turnover_sato_-46"/>
    <x v="1225"/>
    <n v="1"/>
    <n v="1"/>
    <n v="-140"/>
    <n v="140"/>
  </r>
  <r>
    <x v="34"/>
    <s v="conventional_turnover_sato_-45"/>
    <x v="1226"/>
    <n v="1"/>
    <n v="1"/>
    <n v="-140"/>
    <n v="140"/>
  </r>
  <r>
    <x v="34"/>
    <s v="conventional_turnover_sato_-44"/>
    <x v="1227"/>
    <n v="1"/>
    <n v="1"/>
    <n v="-140"/>
    <n v="140"/>
  </r>
  <r>
    <x v="34"/>
    <s v="conventional_turnover_sato_-43"/>
    <x v="1228"/>
    <n v="1"/>
    <n v="1"/>
    <n v="-140"/>
    <n v="140"/>
  </r>
  <r>
    <x v="34"/>
    <s v="conventional_turnover_sato_-42"/>
    <x v="1229"/>
    <n v="1"/>
    <n v="1"/>
    <n v="-140"/>
    <n v="140"/>
  </r>
  <r>
    <x v="34"/>
    <s v="conventional_turnover_sato_-41"/>
    <x v="1230"/>
    <n v="1"/>
    <n v="1"/>
    <n v="-140"/>
    <n v="140"/>
  </r>
  <r>
    <x v="34"/>
    <s v="conventional_turnover_sato_-40"/>
    <x v="0"/>
    <n v="1"/>
    <n v="1"/>
    <n v="-140"/>
    <n v="140"/>
  </r>
  <r>
    <x v="34"/>
    <s v="conventional_turnover_sato_-39"/>
    <x v="1"/>
    <n v="1"/>
    <n v="1"/>
    <n v="-140"/>
    <n v="140"/>
  </r>
  <r>
    <x v="34"/>
    <s v="conventional_turnover_sato_-38"/>
    <x v="2"/>
    <n v="1"/>
    <n v="1"/>
    <n v="-140"/>
    <n v="140"/>
  </r>
  <r>
    <x v="34"/>
    <s v="conventional_turnover_sato_-37"/>
    <x v="3"/>
    <n v="1"/>
    <n v="1"/>
    <n v="-140"/>
    <n v="140"/>
  </r>
  <r>
    <x v="34"/>
    <s v="conventional_turnover_sato_-36"/>
    <x v="4"/>
    <n v="1"/>
    <n v="1"/>
    <n v="-140"/>
    <n v="140"/>
  </r>
  <r>
    <x v="34"/>
    <s v="conventional_turnover_sato_-35"/>
    <x v="5"/>
    <n v="1"/>
    <n v="1"/>
    <n v="-140"/>
    <n v="140"/>
  </r>
  <r>
    <x v="34"/>
    <s v="conventional_turnover_sato_-34"/>
    <x v="6"/>
    <n v="1"/>
    <n v="1"/>
    <n v="-140"/>
    <n v="140"/>
  </r>
  <r>
    <x v="34"/>
    <s v="conventional_turnover_sato_-33"/>
    <x v="7"/>
    <n v="1"/>
    <n v="1"/>
    <n v="-140"/>
    <n v="140"/>
  </r>
  <r>
    <x v="34"/>
    <s v="conventional_turnover_sato_-32"/>
    <x v="8"/>
    <n v="1"/>
    <n v="1"/>
    <n v="-140"/>
    <n v="140"/>
  </r>
  <r>
    <x v="34"/>
    <s v="conventional_turnover_sato_-31"/>
    <x v="9"/>
    <n v="1"/>
    <n v="1"/>
    <n v="-140"/>
    <n v="140"/>
  </r>
  <r>
    <x v="34"/>
    <s v="conventional_turnover_sato_-30"/>
    <x v="10"/>
    <n v="1"/>
    <n v="1"/>
    <n v="-140"/>
    <n v="140"/>
  </r>
  <r>
    <x v="34"/>
    <s v="conventional_turnover_sato_-29"/>
    <x v="11"/>
    <n v="1"/>
    <n v="1"/>
    <n v="-140"/>
    <n v="140"/>
  </r>
  <r>
    <x v="34"/>
    <s v="conventional_turnover_sato_-28"/>
    <x v="12"/>
    <n v="1"/>
    <n v="1"/>
    <n v="-140"/>
    <n v="140"/>
  </r>
  <r>
    <x v="34"/>
    <s v="conventional_turnover_sato_-27"/>
    <x v="13"/>
    <n v="1"/>
    <n v="1"/>
    <n v="-140"/>
    <n v="140"/>
  </r>
  <r>
    <x v="34"/>
    <s v="conventional_turnover_sato_-26"/>
    <x v="14"/>
    <n v="1"/>
    <n v="1"/>
    <n v="-140"/>
    <n v="140"/>
  </r>
  <r>
    <x v="34"/>
    <s v="conventional_turnover_sato_-25"/>
    <x v="15"/>
    <n v="1"/>
    <n v="1"/>
    <n v="-140"/>
    <n v="140"/>
  </r>
  <r>
    <x v="34"/>
    <s v="conventional_turnover_sato_-24"/>
    <x v="16"/>
    <n v="1"/>
    <n v="1"/>
    <n v="-140"/>
    <n v="140"/>
  </r>
  <r>
    <x v="34"/>
    <s v="conventional_turnover_sato_-23"/>
    <x v="17"/>
    <n v="1"/>
    <n v="1"/>
    <n v="-140"/>
    <n v="140"/>
  </r>
  <r>
    <x v="34"/>
    <s v="conventional_turnover_sato_-22"/>
    <x v="18"/>
    <n v="1"/>
    <n v="1"/>
    <n v="-140"/>
    <n v="140"/>
  </r>
  <r>
    <x v="34"/>
    <s v="conventional_turnover_sato_-21"/>
    <x v="19"/>
    <n v="1"/>
    <n v="1"/>
    <n v="-140"/>
    <n v="140"/>
  </r>
  <r>
    <x v="34"/>
    <s v="conventional_turnover_sato_-20"/>
    <x v="20"/>
    <n v="1"/>
    <n v="1"/>
    <n v="-140"/>
    <n v="140"/>
  </r>
  <r>
    <x v="34"/>
    <s v="conventional_turnover_sato_-19"/>
    <x v="21"/>
    <n v="1"/>
    <n v="1"/>
    <n v="-140"/>
    <n v="140"/>
  </r>
  <r>
    <x v="34"/>
    <s v="conventional_turnover_sato_-18"/>
    <x v="22"/>
    <n v="1"/>
    <n v="1"/>
    <n v="-140"/>
    <n v="140"/>
  </r>
  <r>
    <x v="34"/>
    <s v="conventional_turnover_sato_-17"/>
    <x v="23"/>
    <n v="1"/>
    <n v="1"/>
    <n v="-140"/>
    <n v="140"/>
  </r>
  <r>
    <x v="34"/>
    <s v="conventional_turnover_sato_-16"/>
    <x v="24"/>
    <n v="1"/>
    <n v="1"/>
    <n v="-140"/>
    <n v="140"/>
  </r>
  <r>
    <x v="34"/>
    <s v="conventional_turnover_sato_-15"/>
    <x v="25"/>
    <n v="1"/>
    <n v="1"/>
    <n v="-140"/>
    <n v="140"/>
  </r>
  <r>
    <x v="34"/>
    <s v="conventional_turnover_sato_-14"/>
    <x v="26"/>
    <n v="1"/>
    <n v="1"/>
    <n v="-140"/>
    <n v="140"/>
  </r>
  <r>
    <x v="34"/>
    <s v="conventional_turnover_sato_-13"/>
    <x v="27"/>
    <n v="1"/>
    <n v="1"/>
    <n v="-140"/>
    <n v="140"/>
  </r>
  <r>
    <x v="34"/>
    <s v="conventional_turnover_sato_-12"/>
    <x v="28"/>
    <n v="1"/>
    <n v="1"/>
    <n v="-140"/>
    <n v="140"/>
  </r>
  <r>
    <x v="34"/>
    <s v="conventional_turnover_sato_-11"/>
    <x v="29"/>
    <n v="1"/>
    <n v="1"/>
    <n v="-140"/>
    <n v="140"/>
  </r>
  <r>
    <x v="34"/>
    <s v="conventional_turnover_sato_-10"/>
    <x v="30"/>
    <n v="1"/>
    <n v="1"/>
    <n v="-140"/>
    <n v="140"/>
  </r>
  <r>
    <x v="34"/>
    <s v="conventional_turnover_sato_-9"/>
    <x v="31"/>
    <n v="1"/>
    <n v="1"/>
    <n v="-140"/>
    <n v="140"/>
  </r>
  <r>
    <x v="34"/>
    <s v="conventional_turnover_sato_-8"/>
    <x v="32"/>
    <n v="1"/>
    <n v="1"/>
    <n v="-140"/>
    <n v="140"/>
  </r>
  <r>
    <x v="34"/>
    <s v="conventional_turnover_sato_-7"/>
    <x v="33"/>
    <n v="1"/>
    <n v="1"/>
    <n v="-140"/>
    <n v="140"/>
  </r>
  <r>
    <x v="34"/>
    <s v="conventional_turnover_sato_-6"/>
    <x v="34"/>
    <n v="1"/>
    <n v="1"/>
    <n v="-140"/>
    <n v="140"/>
  </r>
  <r>
    <x v="34"/>
    <s v="conventional_turnover_sato_-5"/>
    <x v="35"/>
    <n v="1"/>
    <n v="1"/>
    <n v="-140"/>
    <n v="140"/>
  </r>
  <r>
    <x v="34"/>
    <s v="conventional_turnover_sato_-4"/>
    <x v="36"/>
    <n v="1"/>
    <n v="1"/>
    <n v="-140"/>
    <n v="140"/>
  </r>
  <r>
    <x v="34"/>
    <s v="conventional_turnover_sato_-3"/>
    <x v="37"/>
    <n v="1"/>
    <n v="1"/>
    <n v="-140"/>
    <n v="140"/>
  </r>
  <r>
    <x v="34"/>
    <s v="conventional_turnover_sato_-2"/>
    <x v="38"/>
    <n v="1"/>
    <n v="1"/>
    <n v="-140"/>
    <n v="140"/>
  </r>
  <r>
    <x v="34"/>
    <s v="conventional_turnover_sato_-1"/>
    <x v="39"/>
    <n v="1"/>
    <n v="1"/>
    <n v="-140"/>
    <n v="140"/>
  </r>
  <r>
    <x v="34"/>
    <s v="conventional_turnover_sato_0"/>
    <x v="40"/>
    <n v="1"/>
    <n v="1"/>
    <n v="-140"/>
    <n v="140"/>
  </r>
  <r>
    <x v="34"/>
    <s v="conventional_turnover_sato_1"/>
    <x v="41"/>
    <n v="1"/>
    <n v="1"/>
    <n v="-140"/>
    <n v="140"/>
  </r>
  <r>
    <x v="34"/>
    <s v="conventional_turnover_sato_2"/>
    <x v="42"/>
    <n v="1"/>
    <n v="1"/>
    <n v="-140"/>
    <n v="140"/>
  </r>
  <r>
    <x v="34"/>
    <s v="conventional_turnover_sato_3"/>
    <x v="43"/>
    <n v="1"/>
    <n v="1"/>
    <n v="-140"/>
    <n v="140"/>
  </r>
  <r>
    <x v="34"/>
    <s v="conventional_turnover_sato_4"/>
    <x v="44"/>
    <n v="1"/>
    <n v="1"/>
    <n v="-140"/>
    <n v="140"/>
  </r>
  <r>
    <x v="34"/>
    <s v="conventional_turnover_sato_5"/>
    <x v="45"/>
    <n v="1"/>
    <n v="1"/>
    <n v="-140"/>
    <n v="140"/>
  </r>
  <r>
    <x v="34"/>
    <s v="conventional_turnover_sato_6"/>
    <x v="46"/>
    <n v="1"/>
    <n v="1"/>
    <n v="-140"/>
    <n v="140"/>
  </r>
  <r>
    <x v="34"/>
    <s v="conventional_turnover_sato_7"/>
    <x v="47"/>
    <n v="1"/>
    <n v="1"/>
    <n v="-140"/>
    <n v="140"/>
  </r>
  <r>
    <x v="34"/>
    <s v="conventional_turnover_sato_8"/>
    <x v="48"/>
    <n v="1"/>
    <n v="1"/>
    <n v="-140"/>
    <n v="140"/>
  </r>
  <r>
    <x v="34"/>
    <s v="conventional_turnover_sato_9"/>
    <x v="49"/>
    <n v="1"/>
    <n v="1"/>
    <n v="-140"/>
    <n v="140"/>
  </r>
  <r>
    <x v="34"/>
    <s v="conventional_turnover_sato_10"/>
    <x v="50"/>
    <n v="1"/>
    <n v="1"/>
    <n v="-140"/>
    <n v="140"/>
  </r>
  <r>
    <x v="34"/>
    <s v="conventional_turnover_sato_11"/>
    <x v="51"/>
    <n v="1"/>
    <n v="1"/>
    <n v="-140"/>
    <n v="140"/>
  </r>
  <r>
    <x v="34"/>
    <s v="conventional_turnover_sato_12"/>
    <x v="52"/>
    <n v="1"/>
    <n v="1"/>
    <n v="-140"/>
    <n v="140"/>
  </r>
  <r>
    <x v="34"/>
    <s v="conventional_turnover_sato_13"/>
    <x v="53"/>
    <n v="1"/>
    <n v="1"/>
    <n v="-140"/>
    <n v="140"/>
  </r>
  <r>
    <x v="34"/>
    <s v="conventional_turnover_sato_14"/>
    <x v="54"/>
    <n v="1"/>
    <n v="1"/>
    <n v="-140"/>
    <n v="140"/>
  </r>
  <r>
    <x v="34"/>
    <s v="conventional_turnover_sato_15"/>
    <x v="55"/>
    <n v="1"/>
    <n v="1"/>
    <n v="-140"/>
    <n v="140"/>
  </r>
  <r>
    <x v="34"/>
    <s v="conventional_turnover_sato_16"/>
    <x v="56"/>
    <n v="1"/>
    <n v="1"/>
    <n v="-140"/>
    <n v="140"/>
  </r>
  <r>
    <x v="34"/>
    <s v="conventional_turnover_sato_17"/>
    <x v="57"/>
    <n v="1"/>
    <n v="1"/>
    <n v="-140"/>
    <n v="140"/>
  </r>
  <r>
    <x v="34"/>
    <s v="conventional_turnover_sato_18"/>
    <x v="58"/>
    <n v="1"/>
    <n v="1"/>
    <n v="-140"/>
    <n v="140"/>
  </r>
  <r>
    <x v="34"/>
    <s v="conventional_turnover_sato_19"/>
    <x v="59"/>
    <n v="1"/>
    <n v="1"/>
    <n v="-140"/>
    <n v="140"/>
  </r>
  <r>
    <x v="34"/>
    <s v="conventional_turnover_sato_20"/>
    <x v="60"/>
    <n v="1"/>
    <n v="1"/>
    <n v="-140"/>
    <n v="140"/>
  </r>
  <r>
    <x v="34"/>
    <s v="conventional_turnover_sato_21"/>
    <x v="61"/>
    <n v="1"/>
    <n v="1"/>
    <n v="-140"/>
    <n v="140"/>
  </r>
  <r>
    <x v="34"/>
    <s v="conventional_turnover_sato_22"/>
    <x v="62"/>
    <n v="1"/>
    <n v="1"/>
    <n v="-140"/>
    <n v="140"/>
  </r>
  <r>
    <x v="34"/>
    <s v="conventional_turnover_sato_23"/>
    <x v="63"/>
    <n v="1"/>
    <n v="1"/>
    <n v="-140"/>
    <n v="140"/>
  </r>
  <r>
    <x v="34"/>
    <s v="conventional_turnover_sato_24"/>
    <x v="64"/>
    <n v="1"/>
    <n v="1"/>
    <n v="-140"/>
    <n v="140"/>
  </r>
  <r>
    <x v="34"/>
    <s v="conventional_turnover_sato_25"/>
    <x v="65"/>
    <n v="1"/>
    <n v="1"/>
    <n v="-140"/>
    <n v="140"/>
  </r>
  <r>
    <x v="34"/>
    <s v="conventional_turnover_sato_26"/>
    <x v="66"/>
    <n v="1"/>
    <n v="1"/>
    <n v="-140"/>
    <n v="140"/>
  </r>
  <r>
    <x v="34"/>
    <s v="conventional_turnover_sato_27"/>
    <x v="67"/>
    <n v="1"/>
    <n v="1"/>
    <n v="-140"/>
    <n v="140"/>
  </r>
  <r>
    <x v="34"/>
    <s v="conventional_turnover_sato_28"/>
    <x v="68"/>
    <n v="1"/>
    <n v="1"/>
    <n v="-140"/>
    <n v="140"/>
  </r>
  <r>
    <x v="34"/>
    <s v="conventional_turnover_sato_29"/>
    <x v="69"/>
    <n v="1"/>
    <n v="1"/>
    <n v="-140"/>
    <n v="140"/>
  </r>
  <r>
    <x v="34"/>
    <s v="conventional_turnover_sato_30"/>
    <x v="70"/>
    <n v="1"/>
    <n v="1"/>
    <n v="-140"/>
    <n v="140"/>
  </r>
  <r>
    <x v="34"/>
    <s v="conventional_turnover_sato_31"/>
    <x v="71"/>
    <n v="1"/>
    <n v="1"/>
    <n v="-140"/>
    <n v="140"/>
  </r>
  <r>
    <x v="34"/>
    <s v="conventional_turnover_sato_32"/>
    <x v="72"/>
    <n v="1"/>
    <n v="1"/>
    <n v="-140"/>
    <n v="140"/>
  </r>
  <r>
    <x v="34"/>
    <s v="conventional_turnover_sato_33"/>
    <x v="73"/>
    <n v="1"/>
    <n v="1"/>
    <n v="-140"/>
    <n v="140"/>
  </r>
  <r>
    <x v="34"/>
    <s v="conventional_turnover_sato_34"/>
    <x v="74"/>
    <n v="1"/>
    <n v="1"/>
    <n v="-140"/>
    <n v="140"/>
  </r>
  <r>
    <x v="34"/>
    <s v="conventional_turnover_sato_35"/>
    <x v="75"/>
    <n v="1"/>
    <n v="1"/>
    <n v="-140"/>
    <n v="140"/>
  </r>
  <r>
    <x v="34"/>
    <s v="conventional_turnover_sato_36"/>
    <x v="76"/>
    <n v="1"/>
    <n v="1"/>
    <n v="-140"/>
    <n v="140"/>
  </r>
  <r>
    <x v="34"/>
    <s v="conventional_turnover_sato_37"/>
    <x v="77"/>
    <n v="1"/>
    <n v="1"/>
    <n v="-140"/>
    <n v="140"/>
  </r>
  <r>
    <x v="34"/>
    <s v="conventional_turnover_sato_38"/>
    <x v="78"/>
    <n v="1"/>
    <n v="1"/>
    <n v="-140"/>
    <n v="140"/>
  </r>
  <r>
    <x v="34"/>
    <s v="conventional_turnover_sato_39"/>
    <x v="79"/>
    <n v="1"/>
    <n v="1"/>
    <n v="-140"/>
    <n v="140"/>
  </r>
  <r>
    <x v="34"/>
    <s v="conventional_turnover_sato_40"/>
    <x v="80"/>
    <n v="1"/>
    <n v="1"/>
    <n v="-140"/>
    <n v="140"/>
  </r>
  <r>
    <x v="34"/>
    <s v="conventional_turnover_sato_41"/>
    <x v="81"/>
    <n v="1"/>
    <n v="1"/>
    <n v="-140"/>
    <n v="140"/>
  </r>
  <r>
    <x v="34"/>
    <s v="conventional_turnover_sato_42"/>
    <x v="82"/>
    <n v="1"/>
    <n v="1"/>
    <n v="-140"/>
    <n v="140"/>
  </r>
  <r>
    <x v="34"/>
    <s v="conventional_turnover_sato_43"/>
    <x v="83"/>
    <n v="1"/>
    <n v="1"/>
    <n v="-140"/>
    <n v="140"/>
  </r>
  <r>
    <x v="34"/>
    <s v="conventional_turnover_sato_44"/>
    <x v="84"/>
    <n v="1"/>
    <n v="1"/>
    <n v="-140"/>
    <n v="140"/>
  </r>
  <r>
    <x v="34"/>
    <s v="conventional_turnover_sato_45"/>
    <x v="85"/>
    <n v="1"/>
    <n v="1"/>
    <n v="-140"/>
    <n v="140"/>
  </r>
  <r>
    <x v="34"/>
    <s v="conventional_turnover_sato_46"/>
    <x v="86"/>
    <n v="1"/>
    <n v="1"/>
    <n v="-140"/>
    <n v="140"/>
  </r>
  <r>
    <x v="34"/>
    <s v="conventional_turnover_sato_47"/>
    <x v="87"/>
    <n v="1"/>
    <n v="1"/>
    <n v="-140"/>
    <n v="140"/>
  </r>
  <r>
    <x v="34"/>
    <s v="conventional_turnover_sato_48"/>
    <x v="88"/>
    <n v="1"/>
    <n v="1"/>
    <n v="-140"/>
    <n v="140"/>
  </r>
  <r>
    <x v="34"/>
    <s v="conventional_turnover_sato_49"/>
    <x v="89"/>
    <n v="1"/>
    <n v="1"/>
    <n v="-140"/>
    <n v="140"/>
  </r>
  <r>
    <x v="34"/>
    <s v="conventional_turnover_sato_50"/>
    <x v="90"/>
    <n v="1"/>
    <n v="1"/>
    <n v="-140"/>
    <n v="140"/>
  </r>
  <r>
    <x v="34"/>
    <s v="conventional_turnover_sato_51"/>
    <x v="91"/>
    <n v="1"/>
    <n v="1"/>
    <n v="-140"/>
    <n v="140"/>
  </r>
  <r>
    <x v="34"/>
    <s v="conventional_turnover_sato_52"/>
    <x v="92"/>
    <n v="1"/>
    <n v="1"/>
    <n v="-140"/>
    <n v="140"/>
  </r>
  <r>
    <x v="34"/>
    <s v="conventional_turnover_sato_53"/>
    <x v="93"/>
    <n v="1"/>
    <n v="1"/>
    <n v="-140"/>
    <n v="140"/>
  </r>
  <r>
    <x v="34"/>
    <s v="conventional_turnover_sato_54"/>
    <x v="94"/>
    <n v="1"/>
    <n v="1"/>
    <n v="-140"/>
    <n v="140"/>
  </r>
  <r>
    <x v="34"/>
    <s v="conventional_turnover_sato_55"/>
    <x v="95"/>
    <n v="1"/>
    <n v="1"/>
    <n v="-140"/>
    <n v="140"/>
  </r>
  <r>
    <x v="34"/>
    <s v="conventional_turnover_sato_56"/>
    <x v="96"/>
    <n v="1"/>
    <n v="1"/>
    <n v="-140"/>
    <n v="140"/>
  </r>
  <r>
    <x v="34"/>
    <s v="conventional_turnover_sato_57"/>
    <x v="97"/>
    <n v="1"/>
    <n v="1"/>
    <n v="-140"/>
    <n v="140"/>
  </r>
  <r>
    <x v="34"/>
    <s v="conventional_turnover_sato_58"/>
    <x v="98"/>
    <n v="1"/>
    <n v="1"/>
    <n v="-140"/>
    <n v="140"/>
  </r>
  <r>
    <x v="34"/>
    <s v="conventional_turnover_sato_59"/>
    <x v="99"/>
    <n v="1"/>
    <n v="1"/>
    <n v="-140"/>
    <n v="140"/>
  </r>
  <r>
    <x v="34"/>
    <s v="conventional_turnover_sato_60"/>
    <x v="100"/>
    <n v="1"/>
    <n v="1"/>
    <n v="-140"/>
    <n v="140"/>
  </r>
  <r>
    <x v="34"/>
    <s v="conventional_turnover_sato_61"/>
    <x v="101"/>
    <n v="1"/>
    <n v="1"/>
    <n v="-140"/>
    <n v="140"/>
  </r>
  <r>
    <x v="34"/>
    <s v="conventional_turnover_sato_62"/>
    <x v="102"/>
    <n v="1"/>
    <n v="1"/>
    <n v="-140"/>
    <n v="140"/>
  </r>
  <r>
    <x v="34"/>
    <s v="conventional_turnover_sato_63"/>
    <x v="103"/>
    <n v="1"/>
    <n v="1"/>
    <n v="-140"/>
    <n v="140"/>
  </r>
  <r>
    <x v="34"/>
    <s v="conventional_turnover_sato_64"/>
    <x v="104"/>
    <n v="1"/>
    <n v="1"/>
    <n v="-140"/>
    <n v="140"/>
  </r>
  <r>
    <x v="34"/>
    <s v="conventional_turnover_sato_65"/>
    <x v="105"/>
    <n v="1"/>
    <n v="1"/>
    <n v="-140"/>
    <n v="140"/>
  </r>
  <r>
    <x v="34"/>
    <s v="conventional_turnover_sato_66"/>
    <x v="106"/>
    <n v="1"/>
    <n v="1"/>
    <n v="-140"/>
    <n v="140"/>
  </r>
  <r>
    <x v="34"/>
    <s v="conventional_turnover_sato_67"/>
    <x v="107"/>
    <n v="1"/>
    <n v="1"/>
    <n v="-140"/>
    <n v="140"/>
  </r>
  <r>
    <x v="34"/>
    <s v="conventional_turnover_sato_68"/>
    <x v="108"/>
    <n v="1"/>
    <n v="1"/>
    <n v="-140"/>
    <n v="140"/>
  </r>
  <r>
    <x v="34"/>
    <s v="conventional_turnover_sato_69"/>
    <x v="109"/>
    <n v="1"/>
    <n v="1"/>
    <n v="-140"/>
    <n v="140"/>
  </r>
  <r>
    <x v="34"/>
    <s v="conventional_turnover_sato_70"/>
    <x v="110"/>
    <n v="1"/>
    <n v="1"/>
    <n v="-140"/>
    <n v="140"/>
  </r>
  <r>
    <x v="34"/>
    <s v="conventional_turnover_sato_71"/>
    <x v="111"/>
    <n v="1"/>
    <n v="1"/>
    <n v="-140"/>
    <n v="140"/>
  </r>
  <r>
    <x v="34"/>
    <s v="conventional_turnover_sato_72"/>
    <x v="112"/>
    <n v="1"/>
    <n v="1"/>
    <n v="-140"/>
    <n v="140"/>
  </r>
  <r>
    <x v="34"/>
    <s v="conventional_turnover_sato_73"/>
    <x v="113"/>
    <n v="1"/>
    <n v="1"/>
    <n v="-140"/>
    <n v="140"/>
  </r>
  <r>
    <x v="34"/>
    <s v="conventional_turnover_sato_74"/>
    <x v="114"/>
    <n v="1"/>
    <n v="1"/>
    <n v="-140"/>
    <n v="140"/>
  </r>
  <r>
    <x v="34"/>
    <s v="conventional_turnover_sato_75"/>
    <x v="115"/>
    <n v="1"/>
    <n v="1"/>
    <n v="-140"/>
    <n v="140"/>
  </r>
  <r>
    <x v="34"/>
    <s v="conventional_turnover_sato_76"/>
    <x v="116"/>
    <n v="1"/>
    <n v="1"/>
    <n v="-140"/>
    <n v="140"/>
  </r>
  <r>
    <x v="34"/>
    <s v="conventional_turnover_sato_77"/>
    <x v="117"/>
    <n v="1"/>
    <n v="1"/>
    <n v="-140"/>
    <n v="140"/>
  </r>
  <r>
    <x v="34"/>
    <s v="conventional_turnover_sato_78"/>
    <x v="118"/>
    <n v="1"/>
    <n v="1"/>
    <n v="-140"/>
    <n v="140"/>
  </r>
  <r>
    <x v="34"/>
    <s v="conventional_turnover_sato_79"/>
    <x v="119"/>
    <n v="1"/>
    <n v="1"/>
    <n v="-140"/>
    <n v="140"/>
  </r>
  <r>
    <x v="34"/>
    <s v="conventional_turnover_sato_80"/>
    <x v="120"/>
    <n v="1"/>
    <n v="1"/>
    <n v="-140"/>
    <n v="140"/>
  </r>
  <r>
    <x v="34"/>
    <s v="conventional_turnover_sato_81"/>
    <x v="121"/>
    <n v="1"/>
    <n v="1"/>
    <n v="-140"/>
    <n v="140"/>
  </r>
  <r>
    <x v="34"/>
    <s v="conventional_turnover_sato_82"/>
    <x v="122"/>
    <n v="1"/>
    <n v="1"/>
    <n v="-140"/>
    <n v="140"/>
  </r>
  <r>
    <x v="34"/>
    <s v="conventional_turnover_sato_83"/>
    <x v="123"/>
    <n v="1"/>
    <n v="1"/>
    <n v="-140"/>
    <n v="140"/>
  </r>
  <r>
    <x v="34"/>
    <s v="conventional_turnover_sato_84"/>
    <x v="124"/>
    <n v="1"/>
    <n v="1"/>
    <n v="-140"/>
    <n v="140"/>
  </r>
  <r>
    <x v="34"/>
    <s v="conventional_turnover_sato_85"/>
    <x v="125"/>
    <n v="1"/>
    <n v="1"/>
    <n v="-140"/>
    <n v="140"/>
  </r>
  <r>
    <x v="34"/>
    <s v="conventional_turnover_sato_86"/>
    <x v="126"/>
    <n v="1"/>
    <n v="1"/>
    <n v="-140"/>
    <n v="140"/>
  </r>
  <r>
    <x v="34"/>
    <s v="conventional_turnover_sato_87"/>
    <x v="127"/>
    <n v="1"/>
    <n v="1"/>
    <n v="-140"/>
    <n v="140"/>
  </r>
  <r>
    <x v="34"/>
    <s v="conventional_turnover_sato_88"/>
    <x v="128"/>
    <n v="1"/>
    <n v="1"/>
    <n v="-140"/>
    <n v="140"/>
  </r>
  <r>
    <x v="34"/>
    <s v="conventional_turnover_sato_89"/>
    <x v="129"/>
    <n v="1"/>
    <n v="1"/>
    <n v="-140"/>
    <n v="140"/>
  </r>
  <r>
    <x v="34"/>
    <s v="conventional_turnover_sato_90"/>
    <x v="130"/>
    <n v="1"/>
    <n v="1"/>
    <n v="-140"/>
    <n v="140"/>
  </r>
  <r>
    <x v="34"/>
    <s v="conventional_turnover_sato_91"/>
    <x v="131"/>
    <n v="1"/>
    <n v="1"/>
    <n v="-140"/>
    <n v="140"/>
  </r>
  <r>
    <x v="34"/>
    <s v="conventional_turnover_sato_92"/>
    <x v="132"/>
    <n v="1"/>
    <n v="1"/>
    <n v="-140"/>
    <n v="140"/>
  </r>
  <r>
    <x v="34"/>
    <s v="conventional_turnover_sato_93"/>
    <x v="133"/>
    <n v="1"/>
    <n v="1"/>
    <n v="-140"/>
    <n v="140"/>
  </r>
  <r>
    <x v="34"/>
    <s v="conventional_turnover_sato_94"/>
    <x v="134"/>
    <n v="1"/>
    <n v="1"/>
    <n v="-140"/>
    <n v="140"/>
  </r>
  <r>
    <x v="34"/>
    <s v="conventional_turnover_sato_95"/>
    <x v="135"/>
    <n v="1"/>
    <n v="1"/>
    <n v="-140"/>
    <n v="140"/>
  </r>
  <r>
    <x v="34"/>
    <s v="conventional_turnover_sato_96"/>
    <x v="136"/>
    <n v="1"/>
    <n v="1"/>
    <n v="-140"/>
    <n v="140"/>
  </r>
  <r>
    <x v="34"/>
    <s v="conventional_turnover_sato_97"/>
    <x v="137"/>
    <n v="1"/>
    <n v="1"/>
    <n v="-140"/>
    <n v="140"/>
  </r>
  <r>
    <x v="34"/>
    <s v="conventional_turnover_sato_98"/>
    <x v="138"/>
    <n v="1"/>
    <n v="1"/>
    <n v="-140"/>
    <n v="140"/>
  </r>
  <r>
    <x v="34"/>
    <s v="conventional_turnover_sato_99"/>
    <x v="139"/>
    <n v="1"/>
    <n v="1"/>
    <n v="-140"/>
    <n v="140"/>
  </r>
  <r>
    <x v="34"/>
    <s v="conventional_turnover_sato_100"/>
    <x v="140"/>
    <n v="1"/>
    <n v="1"/>
    <n v="-140"/>
    <n v="140"/>
  </r>
  <r>
    <x v="34"/>
    <s v="conventional_turnover_sato_101"/>
    <x v="141"/>
    <n v="1"/>
    <n v="1"/>
    <n v="-140"/>
    <n v="140"/>
  </r>
  <r>
    <x v="34"/>
    <s v="conventional_turnover_sato_102"/>
    <x v="142"/>
    <n v="1"/>
    <n v="1"/>
    <n v="-140"/>
    <n v="140"/>
  </r>
  <r>
    <x v="34"/>
    <s v="conventional_turnover_sato_103"/>
    <x v="143"/>
    <n v="1"/>
    <n v="1"/>
    <n v="-140"/>
    <n v="140"/>
  </r>
  <r>
    <x v="34"/>
    <s v="conventional_turnover_sato_104"/>
    <x v="144"/>
    <n v="1"/>
    <n v="1"/>
    <n v="-140"/>
    <n v="140"/>
  </r>
  <r>
    <x v="34"/>
    <s v="conventional_turnover_sato_105"/>
    <x v="145"/>
    <n v="1"/>
    <n v="1"/>
    <n v="-140"/>
    <n v="140"/>
  </r>
  <r>
    <x v="34"/>
    <s v="conventional_turnover_sato_106"/>
    <x v="146"/>
    <n v="1"/>
    <n v="1"/>
    <n v="-140"/>
    <n v="140"/>
  </r>
  <r>
    <x v="34"/>
    <s v="conventional_turnover_sato_107"/>
    <x v="147"/>
    <n v="1"/>
    <n v="1"/>
    <n v="-140"/>
    <n v="140"/>
  </r>
  <r>
    <x v="34"/>
    <s v="conventional_turnover_sato_108"/>
    <x v="148"/>
    <n v="1"/>
    <n v="1"/>
    <n v="-140"/>
    <n v="140"/>
  </r>
  <r>
    <x v="34"/>
    <s v="conventional_turnover_sato_109"/>
    <x v="149"/>
    <n v="1"/>
    <n v="1"/>
    <n v="-140"/>
    <n v="140"/>
  </r>
  <r>
    <x v="34"/>
    <s v="conventional_turnover_sato_110"/>
    <x v="150"/>
    <n v="1"/>
    <n v="1"/>
    <n v="-140"/>
    <n v="140"/>
  </r>
  <r>
    <x v="34"/>
    <s v="conventional_turnover_sato_111"/>
    <x v="151"/>
    <n v="1"/>
    <n v="1"/>
    <n v="-140"/>
    <n v="140"/>
  </r>
  <r>
    <x v="34"/>
    <s v="conventional_turnover_sato_112"/>
    <x v="152"/>
    <n v="1"/>
    <n v="1"/>
    <n v="-140"/>
    <n v="140"/>
  </r>
  <r>
    <x v="34"/>
    <s v="conventional_turnover_sato_113"/>
    <x v="153"/>
    <n v="1"/>
    <n v="1"/>
    <n v="-140"/>
    <n v="140"/>
  </r>
  <r>
    <x v="34"/>
    <s v="conventional_turnover_sato_114"/>
    <x v="154"/>
    <n v="1"/>
    <n v="1"/>
    <n v="-140"/>
    <n v="140"/>
  </r>
  <r>
    <x v="34"/>
    <s v="conventional_turnover_sato_115"/>
    <x v="155"/>
    <n v="1"/>
    <n v="1"/>
    <n v="-140"/>
    <n v="140"/>
  </r>
  <r>
    <x v="34"/>
    <s v="conventional_turnover_sato_116"/>
    <x v="156"/>
    <n v="1"/>
    <n v="1"/>
    <n v="-140"/>
    <n v="140"/>
  </r>
  <r>
    <x v="34"/>
    <s v="conventional_turnover_sato_117"/>
    <x v="157"/>
    <n v="1"/>
    <n v="1"/>
    <n v="-140"/>
    <n v="140"/>
  </r>
  <r>
    <x v="34"/>
    <s v="conventional_turnover_sato_118"/>
    <x v="158"/>
    <n v="1"/>
    <n v="1"/>
    <n v="-140"/>
    <n v="140"/>
  </r>
  <r>
    <x v="34"/>
    <s v="conventional_turnover_sato_119"/>
    <x v="159"/>
    <n v="1"/>
    <n v="1"/>
    <n v="-140"/>
    <n v="140"/>
  </r>
  <r>
    <x v="34"/>
    <s v="conventional_turnover_sato_120"/>
    <x v="160"/>
    <n v="1"/>
    <n v="1"/>
    <n v="-140"/>
    <n v="140"/>
  </r>
  <r>
    <x v="34"/>
    <s v="conventional_turnover_sato_121"/>
    <x v="161"/>
    <n v="1"/>
    <n v="1"/>
    <n v="-140"/>
    <n v="140"/>
  </r>
  <r>
    <x v="34"/>
    <s v="conventional_turnover_sato_122"/>
    <x v="162"/>
    <n v="1"/>
    <n v="1"/>
    <n v="-140"/>
    <n v="140"/>
  </r>
  <r>
    <x v="34"/>
    <s v="conventional_turnover_sato_123"/>
    <x v="163"/>
    <n v="1"/>
    <n v="1"/>
    <n v="-140"/>
    <n v="140"/>
  </r>
  <r>
    <x v="34"/>
    <s v="conventional_turnover_sato_124"/>
    <x v="164"/>
    <n v="1"/>
    <n v="1"/>
    <n v="-140"/>
    <n v="140"/>
  </r>
  <r>
    <x v="34"/>
    <s v="conventional_turnover_sato_125"/>
    <x v="165"/>
    <n v="1"/>
    <n v="1"/>
    <n v="-140"/>
    <n v="140"/>
  </r>
  <r>
    <x v="34"/>
    <s v="conventional_turnover_sato_126"/>
    <x v="166"/>
    <n v="1"/>
    <n v="1"/>
    <n v="-140"/>
    <n v="140"/>
  </r>
  <r>
    <x v="34"/>
    <s v="conventional_turnover_sato_127"/>
    <x v="167"/>
    <n v="1"/>
    <n v="1"/>
    <n v="-140"/>
    <n v="140"/>
  </r>
  <r>
    <x v="34"/>
    <s v="conventional_turnover_sato_128"/>
    <x v="168"/>
    <n v="1"/>
    <n v="1"/>
    <n v="-140"/>
    <n v="140"/>
  </r>
  <r>
    <x v="34"/>
    <s v="conventional_turnover_sato_129"/>
    <x v="169"/>
    <n v="1"/>
    <n v="1"/>
    <n v="-140"/>
    <n v="140"/>
  </r>
  <r>
    <x v="34"/>
    <s v="conventional_turnover_sato_130"/>
    <x v="170"/>
    <n v="1"/>
    <n v="1"/>
    <n v="-140"/>
    <n v="140"/>
  </r>
  <r>
    <x v="34"/>
    <s v="conventional_turnover_sato_131"/>
    <x v="171"/>
    <n v="1"/>
    <n v="1"/>
    <n v="-140"/>
    <n v="140"/>
  </r>
  <r>
    <x v="34"/>
    <s v="conventional_turnover_sato_132"/>
    <x v="172"/>
    <n v="1"/>
    <n v="1"/>
    <n v="-140"/>
    <n v="140"/>
  </r>
  <r>
    <x v="34"/>
    <s v="conventional_turnover_sato_133"/>
    <x v="173"/>
    <n v="1"/>
    <n v="1"/>
    <n v="-140"/>
    <n v="140"/>
  </r>
  <r>
    <x v="34"/>
    <s v="conventional_turnover_sato_134"/>
    <x v="174"/>
    <n v="1"/>
    <n v="1"/>
    <n v="-140"/>
    <n v="140"/>
  </r>
  <r>
    <x v="34"/>
    <s v="conventional_turnover_sato_135"/>
    <x v="175"/>
    <n v="1"/>
    <n v="1"/>
    <n v="-140"/>
    <n v="140"/>
  </r>
  <r>
    <x v="34"/>
    <s v="conventional_turnover_sato_136"/>
    <x v="176"/>
    <n v="1"/>
    <n v="1"/>
    <n v="-140"/>
    <n v="140"/>
  </r>
  <r>
    <x v="34"/>
    <s v="conventional_turnover_sato_137"/>
    <x v="177"/>
    <n v="1"/>
    <n v="1"/>
    <n v="-140"/>
    <n v="140"/>
  </r>
  <r>
    <x v="34"/>
    <s v="conventional_turnover_sato_138"/>
    <x v="178"/>
    <n v="1"/>
    <n v="1"/>
    <n v="-140"/>
    <n v="140"/>
  </r>
  <r>
    <x v="34"/>
    <s v="conventional_turnover_sato_139"/>
    <x v="179"/>
    <n v="1"/>
    <n v="1"/>
    <n v="-140"/>
    <n v="140"/>
  </r>
  <r>
    <x v="34"/>
    <s v="conventional_turnover_sato_140"/>
    <x v="180"/>
    <n v="1"/>
    <n v="1"/>
    <n v="-140"/>
    <n v="140"/>
  </r>
  <r>
    <x v="35"/>
    <s v="conventional_turnover_pct_HARPed_-20"/>
    <x v="20"/>
    <n v="1"/>
    <n v="1"/>
    <n v="-20"/>
    <n v="120"/>
  </r>
  <r>
    <x v="35"/>
    <s v="conventional_turnover_pct_HARPed_-19"/>
    <x v="21"/>
    <n v="1"/>
    <n v="1"/>
    <n v="-20"/>
    <n v="120"/>
  </r>
  <r>
    <x v="35"/>
    <s v="conventional_turnover_pct_HARPed_-18"/>
    <x v="22"/>
    <n v="1"/>
    <n v="1"/>
    <n v="-20"/>
    <n v="120"/>
  </r>
  <r>
    <x v="35"/>
    <s v="conventional_turnover_pct_HARPed_-17"/>
    <x v="23"/>
    <n v="1"/>
    <n v="1"/>
    <n v="-20"/>
    <n v="120"/>
  </r>
  <r>
    <x v="35"/>
    <s v="conventional_turnover_pct_HARPed_-16"/>
    <x v="24"/>
    <n v="1"/>
    <n v="1"/>
    <n v="-20"/>
    <n v="120"/>
  </r>
  <r>
    <x v="35"/>
    <s v="conventional_turnover_pct_HARPed_-15"/>
    <x v="25"/>
    <n v="1"/>
    <n v="1"/>
    <n v="-20"/>
    <n v="120"/>
  </r>
  <r>
    <x v="35"/>
    <s v="conventional_turnover_pct_HARPed_-14"/>
    <x v="26"/>
    <n v="1"/>
    <n v="1"/>
    <n v="-20"/>
    <n v="120"/>
  </r>
  <r>
    <x v="35"/>
    <s v="conventional_turnover_pct_HARPed_-13"/>
    <x v="27"/>
    <n v="1"/>
    <n v="1"/>
    <n v="-20"/>
    <n v="120"/>
  </r>
  <r>
    <x v="35"/>
    <s v="conventional_turnover_pct_HARPed_-12"/>
    <x v="28"/>
    <n v="1"/>
    <n v="1"/>
    <n v="-20"/>
    <n v="120"/>
  </r>
  <r>
    <x v="35"/>
    <s v="conventional_turnover_pct_HARPed_-11"/>
    <x v="29"/>
    <n v="1"/>
    <n v="1"/>
    <n v="-20"/>
    <n v="120"/>
  </r>
  <r>
    <x v="35"/>
    <s v="conventional_turnover_pct_HARPed_-10"/>
    <x v="30"/>
    <n v="1"/>
    <n v="1"/>
    <n v="-20"/>
    <n v="120"/>
  </r>
  <r>
    <x v="35"/>
    <s v="conventional_turnover_pct_HARPed_-9"/>
    <x v="31"/>
    <n v="1"/>
    <n v="1"/>
    <n v="-20"/>
    <n v="120"/>
  </r>
  <r>
    <x v="35"/>
    <s v="conventional_turnover_pct_HARPed_-8"/>
    <x v="32"/>
    <n v="1"/>
    <n v="1"/>
    <n v="-20"/>
    <n v="120"/>
  </r>
  <r>
    <x v="35"/>
    <s v="conventional_turnover_pct_HARPed_-7"/>
    <x v="33"/>
    <n v="1"/>
    <n v="1"/>
    <n v="-20"/>
    <n v="120"/>
  </r>
  <r>
    <x v="35"/>
    <s v="conventional_turnover_pct_HARPed_-6"/>
    <x v="34"/>
    <n v="1"/>
    <n v="1"/>
    <n v="-20"/>
    <n v="120"/>
  </r>
  <r>
    <x v="35"/>
    <s v="conventional_turnover_pct_HARPed_-5"/>
    <x v="35"/>
    <n v="1"/>
    <n v="1"/>
    <n v="-20"/>
    <n v="120"/>
  </r>
  <r>
    <x v="35"/>
    <s v="conventional_turnover_pct_HARPed_-4"/>
    <x v="36"/>
    <n v="1"/>
    <n v="1"/>
    <n v="-20"/>
    <n v="120"/>
  </r>
  <r>
    <x v="35"/>
    <s v="conventional_turnover_pct_HARPed_-3"/>
    <x v="37"/>
    <n v="1"/>
    <n v="1"/>
    <n v="-20"/>
    <n v="120"/>
  </r>
  <r>
    <x v="35"/>
    <s v="conventional_turnover_pct_HARPed_-2"/>
    <x v="38"/>
    <n v="1"/>
    <n v="1"/>
    <n v="-20"/>
    <n v="120"/>
  </r>
  <r>
    <x v="35"/>
    <s v="conventional_turnover_pct_HARPed_-1"/>
    <x v="39"/>
    <n v="1"/>
    <n v="1"/>
    <n v="-20"/>
    <n v="120"/>
  </r>
  <r>
    <x v="35"/>
    <s v="conventional_turnover_pct_HARPed_0"/>
    <x v="40"/>
    <n v="1"/>
    <n v="1"/>
    <n v="-20"/>
    <n v="120"/>
  </r>
  <r>
    <x v="35"/>
    <s v="conventional_turnover_pct_HARPed_1"/>
    <x v="41"/>
    <n v="1"/>
    <n v="1"/>
    <n v="-20"/>
    <n v="120"/>
  </r>
  <r>
    <x v="35"/>
    <s v="conventional_turnover_pct_HARPed_2"/>
    <x v="42"/>
    <n v="1"/>
    <n v="1"/>
    <n v="-20"/>
    <n v="120"/>
  </r>
  <r>
    <x v="35"/>
    <s v="conventional_turnover_pct_HARPed_3"/>
    <x v="43"/>
    <n v="1"/>
    <n v="1"/>
    <n v="-20"/>
    <n v="120"/>
  </r>
  <r>
    <x v="35"/>
    <s v="conventional_turnover_pct_HARPed_4"/>
    <x v="44"/>
    <n v="1"/>
    <n v="1"/>
    <n v="-20"/>
    <n v="120"/>
  </r>
  <r>
    <x v="35"/>
    <s v="conventional_turnover_pct_HARPed_5"/>
    <x v="45"/>
    <n v="1"/>
    <n v="1"/>
    <n v="-20"/>
    <n v="120"/>
  </r>
  <r>
    <x v="35"/>
    <s v="conventional_turnover_pct_HARPed_6"/>
    <x v="46"/>
    <n v="1"/>
    <n v="1"/>
    <n v="-20"/>
    <n v="120"/>
  </r>
  <r>
    <x v="35"/>
    <s v="conventional_turnover_pct_HARPed_7"/>
    <x v="47"/>
    <n v="1"/>
    <n v="1"/>
    <n v="-20"/>
    <n v="120"/>
  </r>
  <r>
    <x v="35"/>
    <s v="conventional_turnover_pct_HARPed_8"/>
    <x v="48"/>
    <n v="1"/>
    <n v="1"/>
    <n v="-20"/>
    <n v="120"/>
  </r>
  <r>
    <x v="35"/>
    <s v="conventional_turnover_pct_HARPed_9"/>
    <x v="49"/>
    <n v="1"/>
    <n v="1"/>
    <n v="-20"/>
    <n v="120"/>
  </r>
  <r>
    <x v="35"/>
    <s v="conventional_turnover_pct_HARPed_10"/>
    <x v="50"/>
    <n v="1"/>
    <n v="1"/>
    <n v="-20"/>
    <n v="120"/>
  </r>
  <r>
    <x v="35"/>
    <s v="conventional_turnover_pct_HARPed_11"/>
    <x v="51"/>
    <n v="1"/>
    <n v="1"/>
    <n v="-20"/>
    <n v="120"/>
  </r>
  <r>
    <x v="35"/>
    <s v="conventional_turnover_pct_HARPed_12"/>
    <x v="52"/>
    <n v="1"/>
    <n v="1"/>
    <n v="-20"/>
    <n v="120"/>
  </r>
  <r>
    <x v="35"/>
    <s v="conventional_turnover_pct_HARPed_13"/>
    <x v="53"/>
    <n v="1"/>
    <n v="1"/>
    <n v="-20"/>
    <n v="120"/>
  </r>
  <r>
    <x v="35"/>
    <s v="conventional_turnover_pct_HARPed_14"/>
    <x v="54"/>
    <n v="1"/>
    <n v="1"/>
    <n v="-20"/>
    <n v="120"/>
  </r>
  <r>
    <x v="35"/>
    <s v="conventional_turnover_pct_HARPed_15"/>
    <x v="55"/>
    <n v="1"/>
    <n v="1"/>
    <n v="-20"/>
    <n v="120"/>
  </r>
  <r>
    <x v="35"/>
    <s v="conventional_turnover_pct_HARPed_16"/>
    <x v="56"/>
    <n v="1"/>
    <n v="1"/>
    <n v="-20"/>
    <n v="120"/>
  </r>
  <r>
    <x v="35"/>
    <s v="conventional_turnover_pct_HARPed_17"/>
    <x v="57"/>
    <n v="1"/>
    <n v="1"/>
    <n v="-20"/>
    <n v="120"/>
  </r>
  <r>
    <x v="35"/>
    <s v="conventional_turnover_pct_HARPed_18"/>
    <x v="58"/>
    <n v="1"/>
    <n v="1"/>
    <n v="-20"/>
    <n v="120"/>
  </r>
  <r>
    <x v="35"/>
    <s v="conventional_turnover_pct_HARPed_19"/>
    <x v="59"/>
    <n v="1"/>
    <n v="1"/>
    <n v="-20"/>
    <n v="120"/>
  </r>
  <r>
    <x v="35"/>
    <s v="conventional_turnover_pct_HARPed_20"/>
    <x v="60"/>
    <n v="1"/>
    <n v="1"/>
    <n v="-20"/>
    <n v="120"/>
  </r>
  <r>
    <x v="35"/>
    <s v="conventional_turnover_pct_HARPed_21"/>
    <x v="61"/>
    <n v="1"/>
    <n v="1"/>
    <n v="-20"/>
    <n v="120"/>
  </r>
  <r>
    <x v="35"/>
    <s v="conventional_turnover_pct_HARPed_22"/>
    <x v="62"/>
    <n v="1"/>
    <n v="1"/>
    <n v="-20"/>
    <n v="120"/>
  </r>
  <r>
    <x v="35"/>
    <s v="conventional_turnover_pct_HARPed_23"/>
    <x v="63"/>
    <n v="1"/>
    <n v="1"/>
    <n v="-20"/>
    <n v="120"/>
  </r>
  <r>
    <x v="35"/>
    <s v="conventional_turnover_pct_HARPed_24"/>
    <x v="64"/>
    <n v="1"/>
    <n v="1"/>
    <n v="-20"/>
    <n v="120"/>
  </r>
  <r>
    <x v="35"/>
    <s v="conventional_turnover_pct_HARPed_25"/>
    <x v="65"/>
    <n v="1"/>
    <n v="1"/>
    <n v="-20"/>
    <n v="120"/>
  </r>
  <r>
    <x v="35"/>
    <s v="conventional_turnover_pct_HARPed_26"/>
    <x v="66"/>
    <n v="1"/>
    <n v="1"/>
    <n v="-20"/>
    <n v="120"/>
  </r>
  <r>
    <x v="35"/>
    <s v="conventional_turnover_pct_HARPed_27"/>
    <x v="67"/>
    <n v="1"/>
    <n v="1"/>
    <n v="-20"/>
    <n v="120"/>
  </r>
  <r>
    <x v="35"/>
    <s v="conventional_turnover_pct_HARPed_28"/>
    <x v="68"/>
    <n v="1"/>
    <n v="1"/>
    <n v="-20"/>
    <n v="120"/>
  </r>
  <r>
    <x v="35"/>
    <s v="conventional_turnover_pct_HARPed_29"/>
    <x v="69"/>
    <n v="1"/>
    <n v="1"/>
    <n v="-20"/>
    <n v="120"/>
  </r>
  <r>
    <x v="35"/>
    <s v="conventional_turnover_pct_HARPed_30"/>
    <x v="70"/>
    <n v="1"/>
    <n v="1"/>
    <n v="-20"/>
    <n v="120"/>
  </r>
  <r>
    <x v="35"/>
    <s v="conventional_turnover_pct_HARPed_31"/>
    <x v="71"/>
    <n v="1"/>
    <n v="1"/>
    <n v="-20"/>
    <n v="120"/>
  </r>
  <r>
    <x v="35"/>
    <s v="conventional_turnover_pct_HARPed_32"/>
    <x v="72"/>
    <n v="1"/>
    <n v="1"/>
    <n v="-20"/>
    <n v="120"/>
  </r>
  <r>
    <x v="35"/>
    <s v="conventional_turnover_pct_HARPed_33"/>
    <x v="73"/>
    <n v="1"/>
    <n v="1"/>
    <n v="-20"/>
    <n v="120"/>
  </r>
  <r>
    <x v="35"/>
    <s v="conventional_turnover_pct_HARPed_34"/>
    <x v="74"/>
    <n v="1"/>
    <n v="1"/>
    <n v="-20"/>
    <n v="120"/>
  </r>
  <r>
    <x v="35"/>
    <s v="conventional_turnover_pct_HARPed_35"/>
    <x v="75"/>
    <n v="1"/>
    <n v="1"/>
    <n v="-20"/>
    <n v="120"/>
  </r>
  <r>
    <x v="35"/>
    <s v="conventional_turnover_pct_HARPed_36"/>
    <x v="76"/>
    <n v="1"/>
    <n v="1"/>
    <n v="-20"/>
    <n v="120"/>
  </r>
  <r>
    <x v="35"/>
    <s v="conventional_turnover_pct_HARPed_37"/>
    <x v="77"/>
    <n v="1"/>
    <n v="1"/>
    <n v="-20"/>
    <n v="120"/>
  </r>
  <r>
    <x v="35"/>
    <s v="conventional_turnover_pct_HARPed_38"/>
    <x v="78"/>
    <n v="1"/>
    <n v="1"/>
    <n v="-20"/>
    <n v="120"/>
  </r>
  <r>
    <x v="35"/>
    <s v="conventional_turnover_pct_HARPed_39"/>
    <x v="79"/>
    <n v="1"/>
    <n v="1"/>
    <n v="-20"/>
    <n v="120"/>
  </r>
  <r>
    <x v="35"/>
    <s v="conventional_turnover_pct_HARPed_40"/>
    <x v="80"/>
    <n v="1"/>
    <n v="1"/>
    <n v="-20"/>
    <n v="120"/>
  </r>
  <r>
    <x v="35"/>
    <s v="conventional_turnover_pct_HARPed_41"/>
    <x v="81"/>
    <n v="1"/>
    <n v="1"/>
    <n v="-20"/>
    <n v="120"/>
  </r>
  <r>
    <x v="35"/>
    <s v="conventional_turnover_pct_HARPed_42"/>
    <x v="82"/>
    <n v="1"/>
    <n v="1"/>
    <n v="-20"/>
    <n v="120"/>
  </r>
  <r>
    <x v="35"/>
    <s v="conventional_turnover_pct_HARPed_43"/>
    <x v="83"/>
    <n v="1"/>
    <n v="1"/>
    <n v="-20"/>
    <n v="120"/>
  </r>
  <r>
    <x v="35"/>
    <s v="conventional_turnover_pct_HARPed_44"/>
    <x v="84"/>
    <n v="1"/>
    <n v="1"/>
    <n v="-20"/>
    <n v="120"/>
  </r>
  <r>
    <x v="35"/>
    <s v="conventional_turnover_pct_HARPed_45"/>
    <x v="85"/>
    <n v="1"/>
    <n v="1"/>
    <n v="-20"/>
    <n v="120"/>
  </r>
  <r>
    <x v="35"/>
    <s v="conventional_turnover_pct_HARPed_46"/>
    <x v="86"/>
    <n v="1"/>
    <n v="1"/>
    <n v="-20"/>
    <n v="120"/>
  </r>
  <r>
    <x v="35"/>
    <s v="conventional_turnover_pct_HARPed_47"/>
    <x v="87"/>
    <n v="1"/>
    <n v="1"/>
    <n v="-20"/>
    <n v="120"/>
  </r>
  <r>
    <x v="35"/>
    <s v="conventional_turnover_pct_HARPed_48"/>
    <x v="88"/>
    <n v="1"/>
    <n v="1"/>
    <n v="-20"/>
    <n v="120"/>
  </r>
  <r>
    <x v="35"/>
    <s v="conventional_turnover_pct_HARPed_49"/>
    <x v="89"/>
    <n v="1"/>
    <n v="1"/>
    <n v="-20"/>
    <n v="120"/>
  </r>
  <r>
    <x v="35"/>
    <s v="conventional_turnover_pct_HARPed_50"/>
    <x v="90"/>
    <n v="1"/>
    <n v="1"/>
    <n v="-20"/>
    <n v="120"/>
  </r>
  <r>
    <x v="35"/>
    <s v="conventional_turnover_pct_HARPed_51"/>
    <x v="91"/>
    <n v="1"/>
    <n v="1"/>
    <n v="-20"/>
    <n v="120"/>
  </r>
  <r>
    <x v="35"/>
    <s v="conventional_turnover_pct_HARPed_52"/>
    <x v="92"/>
    <n v="1"/>
    <n v="1"/>
    <n v="-20"/>
    <n v="120"/>
  </r>
  <r>
    <x v="35"/>
    <s v="conventional_turnover_pct_HARPed_53"/>
    <x v="93"/>
    <n v="1"/>
    <n v="1"/>
    <n v="-20"/>
    <n v="120"/>
  </r>
  <r>
    <x v="35"/>
    <s v="conventional_turnover_pct_HARPed_54"/>
    <x v="94"/>
    <n v="1"/>
    <n v="1"/>
    <n v="-20"/>
    <n v="120"/>
  </r>
  <r>
    <x v="35"/>
    <s v="conventional_turnover_pct_HARPed_55"/>
    <x v="95"/>
    <n v="1"/>
    <n v="1"/>
    <n v="-20"/>
    <n v="120"/>
  </r>
  <r>
    <x v="35"/>
    <s v="conventional_turnover_pct_HARPed_56"/>
    <x v="96"/>
    <n v="1"/>
    <n v="1"/>
    <n v="-20"/>
    <n v="120"/>
  </r>
  <r>
    <x v="35"/>
    <s v="conventional_turnover_pct_HARPed_57"/>
    <x v="97"/>
    <n v="1"/>
    <n v="1"/>
    <n v="-20"/>
    <n v="120"/>
  </r>
  <r>
    <x v="35"/>
    <s v="conventional_turnover_pct_HARPed_58"/>
    <x v="98"/>
    <n v="1"/>
    <n v="1"/>
    <n v="-20"/>
    <n v="120"/>
  </r>
  <r>
    <x v="35"/>
    <s v="conventional_turnover_pct_HARPed_59"/>
    <x v="99"/>
    <n v="1"/>
    <n v="1"/>
    <n v="-20"/>
    <n v="120"/>
  </r>
  <r>
    <x v="35"/>
    <s v="conventional_turnover_pct_HARPed_60"/>
    <x v="100"/>
    <n v="1"/>
    <n v="1"/>
    <n v="-20"/>
    <n v="120"/>
  </r>
  <r>
    <x v="35"/>
    <s v="conventional_turnover_pct_HARPed_61"/>
    <x v="101"/>
    <n v="1"/>
    <n v="1"/>
    <n v="-20"/>
    <n v="120"/>
  </r>
  <r>
    <x v="35"/>
    <s v="conventional_turnover_pct_HARPed_62"/>
    <x v="102"/>
    <n v="1"/>
    <n v="1"/>
    <n v="-20"/>
    <n v="120"/>
  </r>
  <r>
    <x v="35"/>
    <s v="conventional_turnover_pct_HARPed_63"/>
    <x v="103"/>
    <n v="1"/>
    <n v="1"/>
    <n v="-20"/>
    <n v="120"/>
  </r>
  <r>
    <x v="35"/>
    <s v="conventional_turnover_pct_HARPed_64"/>
    <x v="104"/>
    <n v="1"/>
    <n v="1"/>
    <n v="-20"/>
    <n v="120"/>
  </r>
  <r>
    <x v="35"/>
    <s v="conventional_turnover_pct_HARPed_65"/>
    <x v="105"/>
    <n v="1"/>
    <n v="1"/>
    <n v="-20"/>
    <n v="120"/>
  </r>
  <r>
    <x v="35"/>
    <s v="conventional_turnover_pct_HARPed_66"/>
    <x v="106"/>
    <n v="1"/>
    <n v="1"/>
    <n v="-20"/>
    <n v="120"/>
  </r>
  <r>
    <x v="35"/>
    <s v="conventional_turnover_pct_HARPed_67"/>
    <x v="107"/>
    <n v="1"/>
    <n v="1"/>
    <n v="-20"/>
    <n v="120"/>
  </r>
  <r>
    <x v="35"/>
    <s v="conventional_turnover_pct_HARPed_68"/>
    <x v="108"/>
    <n v="1"/>
    <n v="1"/>
    <n v="-20"/>
    <n v="120"/>
  </r>
  <r>
    <x v="35"/>
    <s v="conventional_turnover_pct_HARPed_69"/>
    <x v="109"/>
    <n v="1"/>
    <n v="1"/>
    <n v="-20"/>
    <n v="120"/>
  </r>
  <r>
    <x v="35"/>
    <s v="conventional_turnover_pct_HARPed_70"/>
    <x v="110"/>
    <n v="1"/>
    <n v="1"/>
    <n v="-20"/>
    <n v="120"/>
  </r>
  <r>
    <x v="35"/>
    <s v="conventional_turnover_pct_HARPed_71"/>
    <x v="111"/>
    <n v="1"/>
    <n v="1"/>
    <n v="-20"/>
    <n v="120"/>
  </r>
  <r>
    <x v="35"/>
    <s v="conventional_turnover_pct_HARPed_72"/>
    <x v="112"/>
    <n v="1"/>
    <n v="1"/>
    <n v="-20"/>
    <n v="120"/>
  </r>
  <r>
    <x v="35"/>
    <s v="conventional_turnover_pct_HARPed_73"/>
    <x v="113"/>
    <n v="1"/>
    <n v="1"/>
    <n v="-20"/>
    <n v="120"/>
  </r>
  <r>
    <x v="35"/>
    <s v="conventional_turnover_pct_HARPed_74"/>
    <x v="114"/>
    <n v="1"/>
    <n v="1"/>
    <n v="-20"/>
    <n v="120"/>
  </r>
  <r>
    <x v="35"/>
    <s v="conventional_turnover_pct_HARPed_75"/>
    <x v="115"/>
    <n v="1"/>
    <n v="1"/>
    <n v="-20"/>
    <n v="120"/>
  </r>
  <r>
    <x v="35"/>
    <s v="conventional_turnover_pct_HARPed_76"/>
    <x v="116"/>
    <n v="1"/>
    <n v="1"/>
    <n v="-20"/>
    <n v="120"/>
  </r>
  <r>
    <x v="35"/>
    <s v="conventional_turnover_pct_HARPed_77"/>
    <x v="117"/>
    <n v="1"/>
    <n v="1"/>
    <n v="-20"/>
    <n v="120"/>
  </r>
  <r>
    <x v="35"/>
    <s v="conventional_turnover_pct_HARPed_78"/>
    <x v="118"/>
    <n v="1"/>
    <n v="1"/>
    <n v="-20"/>
    <n v="120"/>
  </r>
  <r>
    <x v="35"/>
    <s v="conventional_turnover_pct_HARPed_79"/>
    <x v="119"/>
    <n v="1"/>
    <n v="1"/>
    <n v="-20"/>
    <n v="120"/>
  </r>
  <r>
    <x v="35"/>
    <s v="conventional_turnover_pct_HARPed_80"/>
    <x v="120"/>
    <n v="1"/>
    <n v="1"/>
    <n v="-20"/>
    <n v="120"/>
  </r>
  <r>
    <x v="35"/>
    <s v="conventional_turnover_pct_HARPed_81"/>
    <x v="121"/>
    <n v="1"/>
    <n v="1"/>
    <n v="-20"/>
    <n v="120"/>
  </r>
  <r>
    <x v="35"/>
    <s v="conventional_turnover_pct_HARPed_82"/>
    <x v="122"/>
    <n v="1"/>
    <n v="1"/>
    <n v="-20"/>
    <n v="120"/>
  </r>
  <r>
    <x v="35"/>
    <s v="conventional_turnover_pct_HARPed_83"/>
    <x v="123"/>
    <n v="1"/>
    <n v="1"/>
    <n v="-20"/>
    <n v="120"/>
  </r>
  <r>
    <x v="35"/>
    <s v="conventional_turnover_pct_HARPed_84"/>
    <x v="124"/>
    <n v="1"/>
    <n v="1"/>
    <n v="-20"/>
    <n v="120"/>
  </r>
  <r>
    <x v="35"/>
    <s v="conventional_turnover_pct_HARPed_85"/>
    <x v="125"/>
    <n v="1"/>
    <n v="1"/>
    <n v="-20"/>
    <n v="120"/>
  </r>
  <r>
    <x v="35"/>
    <s v="conventional_turnover_pct_HARPed_86"/>
    <x v="126"/>
    <n v="1"/>
    <n v="1"/>
    <n v="-20"/>
    <n v="120"/>
  </r>
  <r>
    <x v="35"/>
    <s v="conventional_turnover_pct_HARPed_87"/>
    <x v="127"/>
    <n v="1"/>
    <n v="1"/>
    <n v="-20"/>
    <n v="120"/>
  </r>
  <r>
    <x v="35"/>
    <s v="conventional_turnover_pct_HARPed_88"/>
    <x v="128"/>
    <n v="1"/>
    <n v="1"/>
    <n v="-20"/>
    <n v="120"/>
  </r>
  <r>
    <x v="35"/>
    <s v="conventional_turnover_pct_HARPed_89"/>
    <x v="129"/>
    <n v="1"/>
    <n v="1"/>
    <n v="-20"/>
    <n v="120"/>
  </r>
  <r>
    <x v="35"/>
    <s v="conventional_turnover_pct_HARPed_90"/>
    <x v="130"/>
    <n v="1"/>
    <n v="1"/>
    <n v="-20"/>
    <n v="120"/>
  </r>
  <r>
    <x v="35"/>
    <s v="conventional_turnover_pct_HARPed_91"/>
    <x v="131"/>
    <n v="1"/>
    <n v="1"/>
    <n v="-20"/>
    <n v="120"/>
  </r>
  <r>
    <x v="35"/>
    <s v="conventional_turnover_pct_HARPed_92"/>
    <x v="132"/>
    <n v="1"/>
    <n v="1"/>
    <n v="-20"/>
    <n v="120"/>
  </r>
  <r>
    <x v="35"/>
    <s v="conventional_turnover_pct_HARPed_93"/>
    <x v="133"/>
    <n v="1"/>
    <n v="1"/>
    <n v="-20"/>
    <n v="120"/>
  </r>
  <r>
    <x v="35"/>
    <s v="conventional_turnover_pct_HARPed_94"/>
    <x v="134"/>
    <n v="1"/>
    <n v="1"/>
    <n v="-20"/>
    <n v="120"/>
  </r>
  <r>
    <x v="35"/>
    <s v="conventional_turnover_pct_HARPed_95"/>
    <x v="135"/>
    <n v="1"/>
    <n v="1"/>
    <n v="-20"/>
    <n v="120"/>
  </r>
  <r>
    <x v="35"/>
    <s v="conventional_turnover_pct_HARPed_96"/>
    <x v="136"/>
    <n v="1"/>
    <n v="1"/>
    <n v="-20"/>
    <n v="120"/>
  </r>
  <r>
    <x v="35"/>
    <s v="conventional_turnover_pct_HARPed_97"/>
    <x v="137"/>
    <n v="1"/>
    <n v="1"/>
    <n v="-20"/>
    <n v="120"/>
  </r>
  <r>
    <x v="35"/>
    <s v="conventional_turnover_pct_HARPed_98"/>
    <x v="138"/>
    <n v="1"/>
    <n v="1"/>
    <n v="-20"/>
    <n v="120"/>
  </r>
  <r>
    <x v="35"/>
    <s v="conventional_turnover_pct_HARPed_99"/>
    <x v="139"/>
    <n v="1"/>
    <n v="1"/>
    <n v="-20"/>
    <n v="120"/>
  </r>
  <r>
    <x v="35"/>
    <s v="conventional_turnover_pct_HARPed_100"/>
    <x v="140"/>
    <n v="1"/>
    <n v="1"/>
    <n v="-20"/>
    <n v="120"/>
  </r>
  <r>
    <x v="35"/>
    <s v="conventional_turnover_pct_HARPed_101"/>
    <x v="141"/>
    <n v="1"/>
    <n v="1"/>
    <n v="-20"/>
    <n v="120"/>
  </r>
  <r>
    <x v="35"/>
    <s v="conventional_turnover_pct_HARPed_102"/>
    <x v="142"/>
    <n v="1"/>
    <n v="1"/>
    <n v="-20"/>
    <n v="120"/>
  </r>
  <r>
    <x v="35"/>
    <s v="conventional_turnover_pct_HARPed_103"/>
    <x v="143"/>
    <n v="1"/>
    <n v="1"/>
    <n v="-20"/>
    <n v="120"/>
  </r>
  <r>
    <x v="35"/>
    <s v="conventional_turnover_pct_HARPed_104"/>
    <x v="144"/>
    <n v="1"/>
    <n v="1"/>
    <n v="-20"/>
    <n v="120"/>
  </r>
  <r>
    <x v="35"/>
    <s v="conventional_turnover_pct_HARPed_105"/>
    <x v="145"/>
    <n v="1"/>
    <n v="1"/>
    <n v="-20"/>
    <n v="120"/>
  </r>
  <r>
    <x v="35"/>
    <s v="conventional_turnover_pct_HARPed_106"/>
    <x v="146"/>
    <n v="1"/>
    <n v="1"/>
    <n v="-20"/>
    <n v="120"/>
  </r>
  <r>
    <x v="35"/>
    <s v="conventional_turnover_pct_HARPed_107"/>
    <x v="147"/>
    <n v="1"/>
    <n v="1"/>
    <n v="-20"/>
    <n v="120"/>
  </r>
  <r>
    <x v="35"/>
    <s v="conventional_turnover_pct_HARPed_108"/>
    <x v="148"/>
    <n v="1"/>
    <n v="1"/>
    <n v="-20"/>
    <n v="120"/>
  </r>
  <r>
    <x v="35"/>
    <s v="conventional_turnover_pct_HARPed_109"/>
    <x v="149"/>
    <n v="1"/>
    <n v="1"/>
    <n v="-20"/>
    <n v="120"/>
  </r>
  <r>
    <x v="35"/>
    <s v="conventional_turnover_pct_HARPed_110"/>
    <x v="150"/>
    <n v="1"/>
    <n v="1"/>
    <n v="-20"/>
    <n v="120"/>
  </r>
  <r>
    <x v="35"/>
    <s v="conventional_turnover_pct_HARPed_111"/>
    <x v="151"/>
    <n v="1"/>
    <n v="1"/>
    <n v="-20"/>
    <n v="120"/>
  </r>
  <r>
    <x v="35"/>
    <s v="conventional_turnover_pct_HARPed_112"/>
    <x v="152"/>
    <n v="1"/>
    <n v="1"/>
    <n v="-20"/>
    <n v="120"/>
  </r>
  <r>
    <x v="35"/>
    <s v="conventional_turnover_pct_HARPed_113"/>
    <x v="153"/>
    <n v="1"/>
    <n v="1"/>
    <n v="-20"/>
    <n v="120"/>
  </r>
  <r>
    <x v="35"/>
    <s v="conventional_turnover_pct_HARPed_114"/>
    <x v="154"/>
    <n v="1"/>
    <n v="1"/>
    <n v="-20"/>
    <n v="120"/>
  </r>
  <r>
    <x v="35"/>
    <s v="conventional_turnover_pct_HARPed_115"/>
    <x v="155"/>
    <n v="1"/>
    <n v="1"/>
    <n v="-20"/>
    <n v="120"/>
  </r>
  <r>
    <x v="35"/>
    <s v="conventional_turnover_pct_HARPed_116"/>
    <x v="156"/>
    <n v="1"/>
    <n v="1"/>
    <n v="-20"/>
    <n v="120"/>
  </r>
  <r>
    <x v="35"/>
    <s v="conventional_turnover_pct_HARPed_117"/>
    <x v="157"/>
    <n v="1"/>
    <n v="1"/>
    <n v="-20"/>
    <n v="120"/>
  </r>
  <r>
    <x v="35"/>
    <s v="conventional_turnover_pct_HARPed_118"/>
    <x v="158"/>
    <n v="1"/>
    <n v="1"/>
    <n v="-20"/>
    <n v="120"/>
  </r>
  <r>
    <x v="35"/>
    <s v="conventional_turnover_pct_HARPed_119"/>
    <x v="159"/>
    <n v="1"/>
    <n v="1"/>
    <n v="-20"/>
    <n v="120"/>
  </r>
  <r>
    <x v="35"/>
    <s v="conventional_turnover_pct_HARPed_120"/>
    <x v="160"/>
    <n v="1"/>
    <n v="1"/>
    <n v="-20"/>
    <n v="120"/>
  </r>
  <r>
    <x v="36"/>
    <s v="conventional_turnover_HARP_eligible_-20"/>
    <x v="20"/>
    <n v="1"/>
    <n v="1"/>
    <n v="-20"/>
    <n v="120"/>
  </r>
  <r>
    <x v="36"/>
    <s v="conventional_turnover_HARP_eligible_-19"/>
    <x v="21"/>
    <n v="1"/>
    <n v="1"/>
    <n v="-20"/>
    <n v="120"/>
  </r>
  <r>
    <x v="36"/>
    <s v="conventional_turnover_HARP_eligible_-18"/>
    <x v="22"/>
    <n v="1"/>
    <n v="1"/>
    <n v="-20"/>
    <n v="120"/>
  </r>
  <r>
    <x v="36"/>
    <s v="conventional_turnover_HARP_eligible_-17"/>
    <x v="23"/>
    <n v="1"/>
    <n v="1"/>
    <n v="-20"/>
    <n v="120"/>
  </r>
  <r>
    <x v="36"/>
    <s v="conventional_turnover_HARP_eligible_-16"/>
    <x v="24"/>
    <n v="1"/>
    <n v="1"/>
    <n v="-20"/>
    <n v="120"/>
  </r>
  <r>
    <x v="36"/>
    <s v="conventional_turnover_HARP_eligible_-15"/>
    <x v="25"/>
    <n v="1"/>
    <n v="1"/>
    <n v="-20"/>
    <n v="120"/>
  </r>
  <r>
    <x v="36"/>
    <s v="conventional_turnover_HARP_eligible_-14"/>
    <x v="26"/>
    <n v="1"/>
    <n v="1"/>
    <n v="-20"/>
    <n v="120"/>
  </r>
  <r>
    <x v="36"/>
    <s v="conventional_turnover_HARP_eligible_-13"/>
    <x v="27"/>
    <n v="1"/>
    <n v="1"/>
    <n v="-20"/>
    <n v="120"/>
  </r>
  <r>
    <x v="36"/>
    <s v="conventional_turnover_HARP_eligible_-12"/>
    <x v="28"/>
    <n v="1"/>
    <n v="1"/>
    <n v="-20"/>
    <n v="120"/>
  </r>
  <r>
    <x v="36"/>
    <s v="conventional_turnover_HARP_eligible_-11"/>
    <x v="29"/>
    <n v="1"/>
    <n v="1"/>
    <n v="-20"/>
    <n v="120"/>
  </r>
  <r>
    <x v="36"/>
    <s v="conventional_turnover_HARP_eligible_-10"/>
    <x v="30"/>
    <n v="1"/>
    <n v="1"/>
    <n v="-20"/>
    <n v="120"/>
  </r>
  <r>
    <x v="36"/>
    <s v="conventional_turnover_HARP_eligible_-9"/>
    <x v="31"/>
    <n v="1"/>
    <n v="1"/>
    <n v="-20"/>
    <n v="120"/>
  </r>
  <r>
    <x v="36"/>
    <s v="conventional_turnover_HARP_eligible_-8"/>
    <x v="32"/>
    <n v="1"/>
    <n v="1"/>
    <n v="-20"/>
    <n v="120"/>
  </r>
  <r>
    <x v="36"/>
    <s v="conventional_turnover_HARP_eligible_-7"/>
    <x v="33"/>
    <n v="1"/>
    <n v="1"/>
    <n v="-20"/>
    <n v="120"/>
  </r>
  <r>
    <x v="36"/>
    <s v="conventional_turnover_HARP_eligible_-6"/>
    <x v="34"/>
    <n v="1"/>
    <n v="1"/>
    <n v="-20"/>
    <n v="120"/>
  </r>
  <r>
    <x v="36"/>
    <s v="conventional_turnover_HARP_eligible_-5"/>
    <x v="35"/>
    <n v="1"/>
    <n v="1"/>
    <n v="-20"/>
    <n v="120"/>
  </r>
  <r>
    <x v="36"/>
    <s v="conventional_turnover_HARP_eligible_-4"/>
    <x v="36"/>
    <n v="1"/>
    <n v="1"/>
    <n v="-20"/>
    <n v="120"/>
  </r>
  <r>
    <x v="36"/>
    <s v="conventional_turnover_HARP_eligible_-3"/>
    <x v="37"/>
    <n v="1"/>
    <n v="1"/>
    <n v="-20"/>
    <n v="120"/>
  </r>
  <r>
    <x v="36"/>
    <s v="conventional_turnover_HARP_eligible_-2"/>
    <x v="38"/>
    <n v="1"/>
    <n v="1"/>
    <n v="-20"/>
    <n v="120"/>
  </r>
  <r>
    <x v="36"/>
    <s v="conventional_turnover_HARP_eligible_-1"/>
    <x v="39"/>
    <n v="1"/>
    <n v="1"/>
    <n v="-20"/>
    <n v="120"/>
  </r>
  <r>
    <x v="36"/>
    <s v="conventional_turnover_HARP_eligible_0"/>
    <x v="40"/>
    <n v="1"/>
    <n v="1"/>
    <n v="-20"/>
    <n v="120"/>
  </r>
  <r>
    <x v="36"/>
    <s v="conventional_turnover_HARP_eligible_1"/>
    <x v="41"/>
    <n v="1"/>
    <n v="1"/>
    <n v="-20"/>
    <n v="120"/>
  </r>
  <r>
    <x v="36"/>
    <s v="conventional_turnover_HARP_eligible_2"/>
    <x v="42"/>
    <n v="1"/>
    <n v="1"/>
    <n v="-20"/>
    <n v="120"/>
  </r>
  <r>
    <x v="36"/>
    <s v="conventional_turnover_HARP_eligible_3"/>
    <x v="43"/>
    <n v="1"/>
    <n v="1"/>
    <n v="-20"/>
    <n v="120"/>
  </r>
  <r>
    <x v="36"/>
    <s v="conventional_turnover_HARP_eligible_4"/>
    <x v="44"/>
    <n v="1"/>
    <n v="1"/>
    <n v="-20"/>
    <n v="120"/>
  </r>
  <r>
    <x v="36"/>
    <s v="conventional_turnover_HARP_eligible_5"/>
    <x v="45"/>
    <n v="1"/>
    <n v="1"/>
    <n v="-20"/>
    <n v="120"/>
  </r>
  <r>
    <x v="36"/>
    <s v="conventional_turnover_HARP_eligible_6"/>
    <x v="46"/>
    <n v="1"/>
    <n v="1"/>
    <n v="-20"/>
    <n v="120"/>
  </r>
  <r>
    <x v="36"/>
    <s v="conventional_turnover_HARP_eligible_7"/>
    <x v="47"/>
    <n v="1"/>
    <n v="1"/>
    <n v="-20"/>
    <n v="120"/>
  </r>
  <r>
    <x v="36"/>
    <s v="conventional_turnover_HARP_eligible_8"/>
    <x v="48"/>
    <n v="1"/>
    <n v="1"/>
    <n v="-20"/>
    <n v="120"/>
  </r>
  <r>
    <x v="36"/>
    <s v="conventional_turnover_HARP_eligible_9"/>
    <x v="49"/>
    <n v="1"/>
    <n v="1"/>
    <n v="-20"/>
    <n v="120"/>
  </r>
  <r>
    <x v="36"/>
    <s v="conventional_turnover_HARP_eligible_10"/>
    <x v="50"/>
    <n v="1"/>
    <n v="1"/>
    <n v="-20"/>
    <n v="120"/>
  </r>
  <r>
    <x v="36"/>
    <s v="conventional_turnover_HARP_eligible_11"/>
    <x v="51"/>
    <n v="1"/>
    <n v="1"/>
    <n v="-20"/>
    <n v="120"/>
  </r>
  <r>
    <x v="36"/>
    <s v="conventional_turnover_HARP_eligible_12"/>
    <x v="52"/>
    <n v="1"/>
    <n v="1"/>
    <n v="-20"/>
    <n v="120"/>
  </r>
  <r>
    <x v="36"/>
    <s v="conventional_turnover_HARP_eligible_13"/>
    <x v="53"/>
    <n v="1"/>
    <n v="1"/>
    <n v="-20"/>
    <n v="120"/>
  </r>
  <r>
    <x v="36"/>
    <s v="conventional_turnover_HARP_eligible_14"/>
    <x v="54"/>
    <n v="1"/>
    <n v="1"/>
    <n v="-20"/>
    <n v="120"/>
  </r>
  <r>
    <x v="36"/>
    <s v="conventional_turnover_HARP_eligible_15"/>
    <x v="55"/>
    <n v="1"/>
    <n v="1"/>
    <n v="-20"/>
    <n v="120"/>
  </r>
  <r>
    <x v="36"/>
    <s v="conventional_turnover_HARP_eligible_16"/>
    <x v="56"/>
    <n v="1"/>
    <n v="1"/>
    <n v="-20"/>
    <n v="120"/>
  </r>
  <r>
    <x v="36"/>
    <s v="conventional_turnover_HARP_eligible_17"/>
    <x v="57"/>
    <n v="1"/>
    <n v="1"/>
    <n v="-20"/>
    <n v="120"/>
  </r>
  <r>
    <x v="36"/>
    <s v="conventional_turnover_HARP_eligible_18"/>
    <x v="58"/>
    <n v="1"/>
    <n v="1"/>
    <n v="-20"/>
    <n v="120"/>
  </r>
  <r>
    <x v="36"/>
    <s v="conventional_turnover_HARP_eligible_19"/>
    <x v="59"/>
    <n v="1"/>
    <n v="1"/>
    <n v="-20"/>
    <n v="120"/>
  </r>
  <r>
    <x v="36"/>
    <s v="conventional_turnover_HARP_eligible_20"/>
    <x v="60"/>
    <n v="1"/>
    <n v="1"/>
    <n v="-20"/>
    <n v="120"/>
  </r>
  <r>
    <x v="36"/>
    <s v="conventional_turnover_HARP_eligible_21"/>
    <x v="61"/>
    <n v="1"/>
    <n v="1"/>
    <n v="-20"/>
    <n v="120"/>
  </r>
  <r>
    <x v="36"/>
    <s v="conventional_turnover_HARP_eligible_22"/>
    <x v="62"/>
    <n v="1"/>
    <n v="1"/>
    <n v="-20"/>
    <n v="120"/>
  </r>
  <r>
    <x v="36"/>
    <s v="conventional_turnover_HARP_eligible_23"/>
    <x v="63"/>
    <n v="1"/>
    <n v="1"/>
    <n v="-20"/>
    <n v="120"/>
  </r>
  <r>
    <x v="36"/>
    <s v="conventional_turnover_HARP_eligible_24"/>
    <x v="64"/>
    <n v="1"/>
    <n v="1"/>
    <n v="-20"/>
    <n v="120"/>
  </r>
  <r>
    <x v="36"/>
    <s v="conventional_turnover_HARP_eligible_25"/>
    <x v="65"/>
    <n v="1"/>
    <n v="1"/>
    <n v="-20"/>
    <n v="120"/>
  </r>
  <r>
    <x v="36"/>
    <s v="conventional_turnover_HARP_eligible_26"/>
    <x v="66"/>
    <n v="1"/>
    <n v="1"/>
    <n v="-20"/>
    <n v="120"/>
  </r>
  <r>
    <x v="36"/>
    <s v="conventional_turnover_HARP_eligible_27"/>
    <x v="67"/>
    <n v="1"/>
    <n v="1"/>
    <n v="-20"/>
    <n v="120"/>
  </r>
  <r>
    <x v="36"/>
    <s v="conventional_turnover_HARP_eligible_28"/>
    <x v="68"/>
    <n v="1"/>
    <n v="1"/>
    <n v="-20"/>
    <n v="120"/>
  </r>
  <r>
    <x v="36"/>
    <s v="conventional_turnover_HARP_eligible_29"/>
    <x v="69"/>
    <n v="1"/>
    <n v="1"/>
    <n v="-20"/>
    <n v="120"/>
  </r>
  <r>
    <x v="36"/>
    <s v="conventional_turnover_HARP_eligible_30"/>
    <x v="70"/>
    <n v="1"/>
    <n v="1"/>
    <n v="-20"/>
    <n v="120"/>
  </r>
  <r>
    <x v="36"/>
    <s v="conventional_turnover_HARP_eligible_31"/>
    <x v="71"/>
    <n v="1"/>
    <n v="1"/>
    <n v="-20"/>
    <n v="120"/>
  </r>
  <r>
    <x v="36"/>
    <s v="conventional_turnover_HARP_eligible_32"/>
    <x v="72"/>
    <n v="1"/>
    <n v="1"/>
    <n v="-20"/>
    <n v="120"/>
  </r>
  <r>
    <x v="36"/>
    <s v="conventional_turnover_HARP_eligible_33"/>
    <x v="73"/>
    <n v="1"/>
    <n v="1"/>
    <n v="-20"/>
    <n v="120"/>
  </r>
  <r>
    <x v="36"/>
    <s v="conventional_turnover_HARP_eligible_34"/>
    <x v="74"/>
    <n v="1"/>
    <n v="1"/>
    <n v="-20"/>
    <n v="120"/>
  </r>
  <r>
    <x v="36"/>
    <s v="conventional_turnover_HARP_eligible_35"/>
    <x v="75"/>
    <n v="1"/>
    <n v="1"/>
    <n v="-20"/>
    <n v="120"/>
  </r>
  <r>
    <x v="36"/>
    <s v="conventional_turnover_HARP_eligible_36"/>
    <x v="76"/>
    <n v="1"/>
    <n v="1"/>
    <n v="-20"/>
    <n v="120"/>
  </r>
  <r>
    <x v="36"/>
    <s v="conventional_turnover_HARP_eligible_37"/>
    <x v="77"/>
    <n v="1"/>
    <n v="1"/>
    <n v="-20"/>
    <n v="120"/>
  </r>
  <r>
    <x v="36"/>
    <s v="conventional_turnover_HARP_eligible_38"/>
    <x v="78"/>
    <n v="1"/>
    <n v="1"/>
    <n v="-20"/>
    <n v="120"/>
  </r>
  <r>
    <x v="36"/>
    <s v="conventional_turnover_HARP_eligible_39"/>
    <x v="79"/>
    <n v="1"/>
    <n v="1"/>
    <n v="-20"/>
    <n v="120"/>
  </r>
  <r>
    <x v="36"/>
    <s v="conventional_turnover_HARP_eligible_40"/>
    <x v="80"/>
    <n v="1"/>
    <n v="1"/>
    <n v="-20"/>
    <n v="120"/>
  </r>
  <r>
    <x v="36"/>
    <s v="conventional_turnover_HARP_eligible_41"/>
    <x v="81"/>
    <n v="1"/>
    <n v="1"/>
    <n v="-20"/>
    <n v="120"/>
  </r>
  <r>
    <x v="36"/>
    <s v="conventional_turnover_HARP_eligible_42"/>
    <x v="82"/>
    <n v="1"/>
    <n v="1"/>
    <n v="-20"/>
    <n v="120"/>
  </r>
  <r>
    <x v="36"/>
    <s v="conventional_turnover_HARP_eligible_43"/>
    <x v="83"/>
    <n v="1"/>
    <n v="1"/>
    <n v="-20"/>
    <n v="120"/>
  </r>
  <r>
    <x v="36"/>
    <s v="conventional_turnover_HARP_eligible_44"/>
    <x v="84"/>
    <n v="1"/>
    <n v="1"/>
    <n v="-20"/>
    <n v="120"/>
  </r>
  <r>
    <x v="36"/>
    <s v="conventional_turnover_HARP_eligible_45"/>
    <x v="85"/>
    <n v="1"/>
    <n v="1"/>
    <n v="-20"/>
    <n v="120"/>
  </r>
  <r>
    <x v="36"/>
    <s v="conventional_turnover_HARP_eligible_46"/>
    <x v="86"/>
    <n v="1"/>
    <n v="1"/>
    <n v="-20"/>
    <n v="120"/>
  </r>
  <r>
    <x v="36"/>
    <s v="conventional_turnover_HARP_eligible_47"/>
    <x v="87"/>
    <n v="1"/>
    <n v="1"/>
    <n v="-20"/>
    <n v="120"/>
  </r>
  <r>
    <x v="36"/>
    <s v="conventional_turnover_HARP_eligible_48"/>
    <x v="88"/>
    <n v="1"/>
    <n v="1"/>
    <n v="-20"/>
    <n v="120"/>
  </r>
  <r>
    <x v="36"/>
    <s v="conventional_turnover_HARP_eligible_49"/>
    <x v="89"/>
    <n v="1"/>
    <n v="1"/>
    <n v="-20"/>
    <n v="120"/>
  </r>
  <r>
    <x v="36"/>
    <s v="conventional_turnover_HARP_eligible_50"/>
    <x v="90"/>
    <n v="1"/>
    <n v="1"/>
    <n v="-20"/>
    <n v="120"/>
  </r>
  <r>
    <x v="36"/>
    <s v="conventional_turnover_HARP_eligible_51"/>
    <x v="91"/>
    <n v="1"/>
    <n v="1"/>
    <n v="-20"/>
    <n v="120"/>
  </r>
  <r>
    <x v="36"/>
    <s v="conventional_turnover_HARP_eligible_52"/>
    <x v="92"/>
    <n v="1"/>
    <n v="1"/>
    <n v="-20"/>
    <n v="120"/>
  </r>
  <r>
    <x v="36"/>
    <s v="conventional_turnover_HARP_eligible_53"/>
    <x v="93"/>
    <n v="1"/>
    <n v="1"/>
    <n v="-20"/>
    <n v="120"/>
  </r>
  <r>
    <x v="36"/>
    <s v="conventional_turnover_HARP_eligible_54"/>
    <x v="94"/>
    <n v="1"/>
    <n v="1"/>
    <n v="-20"/>
    <n v="120"/>
  </r>
  <r>
    <x v="36"/>
    <s v="conventional_turnover_HARP_eligible_55"/>
    <x v="95"/>
    <n v="1"/>
    <n v="1"/>
    <n v="-20"/>
    <n v="120"/>
  </r>
  <r>
    <x v="36"/>
    <s v="conventional_turnover_HARP_eligible_56"/>
    <x v="96"/>
    <n v="1"/>
    <n v="1"/>
    <n v="-20"/>
    <n v="120"/>
  </r>
  <r>
    <x v="36"/>
    <s v="conventional_turnover_HARP_eligible_57"/>
    <x v="97"/>
    <n v="1"/>
    <n v="1"/>
    <n v="-20"/>
    <n v="120"/>
  </r>
  <r>
    <x v="36"/>
    <s v="conventional_turnover_HARP_eligible_58"/>
    <x v="98"/>
    <n v="1"/>
    <n v="1"/>
    <n v="-20"/>
    <n v="120"/>
  </r>
  <r>
    <x v="36"/>
    <s v="conventional_turnover_HARP_eligible_59"/>
    <x v="99"/>
    <n v="1"/>
    <n v="1"/>
    <n v="-20"/>
    <n v="120"/>
  </r>
  <r>
    <x v="36"/>
    <s v="conventional_turnover_HARP_eligible_60"/>
    <x v="100"/>
    <n v="1"/>
    <n v="1"/>
    <n v="-20"/>
    <n v="120"/>
  </r>
  <r>
    <x v="36"/>
    <s v="conventional_turnover_HARP_eligible_61"/>
    <x v="101"/>
    <n v="1"/>
    <n v="1"/>
    <n v="-20"/>
    <n v="120"/>
  </r>
  <r>
    <x v="36"/>
    <s v="conventional_turnover_HARP_eligible_62"/>
    <x v="102"/>
    <n v="1"/>
    <n v="1"/>
    <n v="-20"/>
    <n v="120"/>
  </r>
  <r>
    <x v="36"/>
    <s v="conventional_turnover_HARP_eligible_63"/>
    <x v="103"/>
    <n v="1"/>
    <n v="1"/>
    <n v="-20"/>
    <n v="120"/>
  </r>
  <r>
    <x v="36"/>
    <s v="conventional_turnover_HARP_eligible_64"/>
    <x v="104"/>
    <n v="1"/>
    <n v="1"/>
    <n v="-20"/>
    <n v="120"/>
  </r>
  <r>
    <x v="36"/>
    <s v="conventional_turnover_HARP_eligible_65"/>
    <x v="105"/>
    <n v="1"/>
    <n v="1"/>
    <n v="-20"/>
    <n v="120"/>
  </r>
  <r>
    <x v="36"/>
    <s v="conventional_turnover_HARP_eligible_66"/>
    <x v="106"/>
    <n v="1"/>
    <n v="1"/>
    <n v="-20"/>
    <n v="120"/>
  </r>
  <r>
    <x v="36"/>
    <s v="conventional_turnover_HARP_eligible_67"/>
    <x v="107"/>
    <n v="1"/>
    <n v="1"/>
    <n v="-20"/>
    <n v="120"/>
  </r>
  <r>
    <x v="36"/>
    <s v="conventional_turnover_HARP_eligible_68"/>
    <x v="108"/>
    <n v="1"/>
    <n v="1"/>
    <n v="-20"/>
    <n v="120"/>
  </r>
  <r>
    <x v="36"/>
    <s v="conventional_turnover_HARP_eligible_69"/>
    <x v="109"/>
    <n v="1"/>
    <n v="1"/>
    <n v="-20"/>
    <n v="120"/>
  </r>
  <r>
    <x v="36"/>
    <s v="conventional_turnover_HARP_eligible_70"/>
    <x v="110"/>
    <n v="1"/>
    <n v="1"/>
    <n v="-20"/>
    <n v="120"/>
  </r>
  <r>
    <x v="36"/>
    <s v="conventional_turnover_HARP_eligible_71"/>
    <x v="111"/>
    <n v="1"/>
    <n v="1"/>
    <n v="-20"/>
    <n v="120"/>
  </r>
  <r>
    <x v="36"/>
    <s v="conventional_turnover_HARP_eligible_72"/>
    <x v="112"/>
    <n v="1"/>
    <n v="1"/>
    <n v="-20"/>
    <n v="120"/>
  </r>
  <r>
    <x v="36"/>
    <s v="conventional_turnover_HARP_eligible_73"/>
    <x v="113"/>
    <n v="1"/>
    <n v="1"/>
    <n v="-20"/>
    <n v="120"/>
  </r>
  <r>
    <x v="36"/>
    <s v="conventional_turnover_HARP_eligible_74"/>
    <x v="114"/>
    <n v="1"/>
    <n v="1"/>
    <n v="-20"/>
    <n v="120"/>
  </r>
  <r>
    <x v="36"/>
    <s v="conventional_turnover_HARP_eligible_75"/>
    <x v="115"/>
    <n v="1"/>
    <n v="1"/>
    <n v="-20"/>
    <n v="120"/>
  </r>
  <r>
    <x v="36"/>
    <s v="conventional_turnover_HARP_eligible_76"/>
    <x v="116"/>
    <n v="1"/>
    <n v="1"/>
    <n v="-20"/>
    <n v="120"/>
  </r>
  <r>
    <x v="36"/>
    <s v="conventional_turnover_HARP_eligible_77"/>
    <x v="117"/>
    <n v="1"/>
    <n v="1"/>
    <n v="-20"/>
    <n v="120"/>
  </r>
  <r>
    <x v="36"/>
    <s v="conventional_turnover_HARP_eligible_78"/>
    <x v="118"/>
    <n v="1"/>
    <n v="1"/>
    <n v="-20"/>
    <n v="120"/>
  </r>
  <r>
    <x v="36"/>
    <s v="conventional_turnover_HARP_eligible_79"/>
    <x v="119"/>
    <n v="1"/>
    <n v="1"/>
    <n v="-20"/>
    <n v="120"/>
  </r>
  <r>
    <x v="36"/>
    <s v="conventional_turnover_HARP_eligible_80"/>
    <x v="120"/>
    <n v="1"/>
    <n v="1"/>
    <n v="-20"/>
    <n v="120"/>
  </r>
  <r>
    <x v="36"/>
    <s v="conventional_turnover_HARP_eligible_81"/>
    <x v="121"/>
    <n v="1"/>
    <n v="1"/>
    <n v="-20"/>
    <n v="120"/>
  </r>
  <r>
    <x v="36"/>
    <s v="conventional_turnover_HARP_eligible_82"/>
    <x v="122"/>
    <n v="1"/>
    <n v="1"/>
    <n v="-20"/>
    <n v="120"/>
  </r>
  <r>
    <x v="36"/>
    <s v="conventional_turnover_HARP_eligible_83"/>
    <x v="123"/>
    <n v="1"/>
    <n v="1"/>
    <n v="-20"/>
    <n v="120"/>
  </r>
  <r>
    <x v="36"/>
    <s v="conventional_turnover_HARP_eligible_84"/>
    <x v="124"/>
    <n v="1"/>
    <n v="1"/>
    <n v="-20"/>
    <n v="120"/>
  </r>
  <r>
    <x v="36"/>
    <s v="conventional_turnover_HARP_eligible_85"/>
    <x v="125"/>
    <n v="1"/>
    <n v="1"/>
    <n v="-20"/>
    <n v="120"/>
  </r>
  <r>
    <x v="36"/>
    <s v="conventional_turnover_HARP_eligible_86"/>
    <x v="126"/>
    <n v="1"/>
    <n v="1"/>
    <n v="-20"/>
    <n v="120"/>
  </r>
  <r>
    <x v="36"/>
    <s v="conventional_turnover_HARP_eligible_87"/>
    <x v="127"/>
    <n v="1"/>
    <n v="1"/>
    <n v="-20"/>
    <n v="120"/>
  </r>
  <r>
    <x v="36"/>
    <s v="conventional_turnover_HARP_eligible_88"/>
    <x v="128"/>
    <n v="1"/>
    <n v="1"/>
    <n v="-20"/>
    <n v="120"/>
  </r>
  <r>
    <x v="36"/>
    <s v="conventional_turnover_HARP_eligible_89"/>
    <x v="129"/>
    <n v="1"/>
    <n v="1"/>
    <n v="-20"/>
    <n v="120"/>
  </r>
  <r>
    <x v="36"/>
    <s v="conventional_turnover_HARP_eligible_90"/>
    <x v="130"/>
    <n v="1"/>
    <n v="1"/>
    <n v="-20"/>
    <n v="120"/>
  </r>
  <r>
    <x v="36"/>
    <s v="conventional_turnover_HARP_eligible_91"/>
    <x v="131"/>
    <n v="1"/>
    <n v="1"/>
    <n v="-20"/>
    <n v="120"/>
  </r>
  <r>
    <x v="36"/>
    <s v="conventional_turnover_HARP_eligible_92"/>
    <x v="132"/>
    <n v="1"/>
    <n v="1"/>
    <n v="-20"/>
    <n v="120"/>
  </r>
  <r>
    <x v="36"/>
    <s v="conventional_turnover_HARP_eligible_93"/>
    <x v="133"/>
    <n v="1"/>
    <n v="1"/>
    <n v="-20"/>
    <n v="120"/>
  </r>
  <r>
    <x v="36"/>
    <s v="conventional_turnover_HARP_eligible_94"/>
    <x v="134"/>
    <n v="1"/>
    <n v="1"/>
    <n v="-20"/>
    <n v="120"/>
  </r>
  <r>
    <x v="36"/>
    <s v="conventional_turnover_HARP_eligible_95"/>
    <x v="135"/>
    <n v="1"/>
    <n v="1"/>
    <n v="-20"/>
    <n v="120"/>
  </r>
  <r>
    <x v="36"/>
    <s v="conventional_turnover_HARP_eligible_96"/>
    <x v="136"/>
    <n v="1"/>
    <n v="1"/>
    <n v="-20"/>
    <n v="120"/>
  </r>
  <r>
    <x v="36"/>
    <s v="conventional_turnover_HARP_eligible_97"/>
    <x v="137"/>
    <n v="1"/>
    <n v="1"/>
    <n v="-20"/>
    <n v="120"/>
  </r>
  <r>
    <x v="36"/>
    <s v="conventional_turnover_HARP_eligible_98"/>
    <x v="138"/>
    <n v="1"/>
    <n v="1"/>
    <n v="-20"/>
    <n v="120"/>
  </r>
  <r>
    <x v="36"/>
    <s v="conventional_turnover_HARP_eligible_99"/>
    <x v="139"/>
    <n v="1"/>
    <n v="1"/>
    <n v="-20"/>
    <n v="120"/>
  </r>
  <r>
    <x v="36"/>
    <s v="conventional_turnover_HARP_eligible_100"/>
    <x v="140"/>
    <n v="1"/>
    <n v="1"/>
    <n v="-20"/>
    <n v="120"/>
  </r>
  <r>
    <x v="36"/>
    <s v="conventional_turnover_HARP_eligible_101"/>
    <x v="141"/>
    <n v="1"/>
    <n v="1"/>
    <n v="-20"/>
    <n v="120"/>
  </r>
  <r>
    <x v="36"/>
    <s v="conventional_turnover_HARP_eligible_102"/>
    <x v="142"/>
    <n v="1"/>
    <n v="1"/>
    <n v="-20"/>
    <n v="120"/>
  </r>
  <r>
    <x v="36"/>
    <s v="conventional_turnover_HARP_eligible_103"/>
    <x v="143"/>
    <n v="1"/>
    <n v="1"/>
    <n v="-20"/>
    <n v="120"/>
  </r>
  <r>
    <x v="36"/>
    <s v="conventional_turnover_HARP_eligible_104"/>
    <x v="144"/>
    <n v="1"/>
    <n v="1"/>
    <n v="-20"/>
    <n v="120"/>
  </r>
  <r>
    <x v="36"/>
    <s v="conventional_turnover_HARP_eligible_105"/>
    <x v="145"/>
    <n v="1"/>
    <n v="1"/>
    <n v="-20"/>
    <n v="120"/>
  </r>
  <r>
    <x v="36"/>
    <s v="conventional_turnover_HARP_eligible_106"/>
    <x v="146"/>
    <n v="1"/>
    <n v="1"/>
    <n v="-20"/>
    <n v="120"/>
  </r>
  <r>
    <x v="36"/>
    <s v="conventional_turnover_HARP_eligible_107"/>
    <x v="147"/>
    <n v="1"/>
    <n v="1"/>
    <n v="-20"/>
    <n v="120"/>
  </r>
  <r>
    <x v="36"/>
    <s v="conventional_turnover_HARP_eligible_108"/>
    <x v="148"/>
    <n v="1"/>
    <n v="1"/>
    <n v="-20"/>
    <n v="120"/>
  </r>
  <r>
    <x v="36"/>
    <s v="conventional_turnover_HARP_eligible_109"/>
    <x v="149"/>
    <n v="1"/>
    <n v="1"/>
    <n v="-20"/>
    <n v="120"/>
  </r>
  <r>
    <x v="36"/>
    <s v="conventional_turnover_HARP_eligible_110"/>
    <x v="150"/>
    <n v="1"/>
    <n v="1"/>
    <n v="-20"/>
    <n v="120"/>
  </r>
  <r>
    <x v="36"/>
    <s v="conventional_turnover_HARP_eligible_111"/>
    <x v="151"/>
    <n v="1"/>
    <n v="1"/>
    <n v="-20"/>
    <n v="120"/>
  </r>
  <r>
    <x v="36"/>
    <s v="conventional_turnover_HARP_eligible_112"/>
    <x v="152"/>
    <n v="1"/>
    <n v="1"/>
    <n v="-20"/>
    <n v="120"/>
  </r>
  <r>
    <x v="36"/>
    <s v="conventional_turnover_HARP_eligible_113"/>
    <x v="153"/>
    <n v="1"/>
    <n v="1"/>
    <n v="-20"/>
    <n v="120"/>
  </r>
  <r>
    <x v="36"/>
    <s v="conventional_turnover_HARP_eligible_114"/>
    <x v="154"/>
    <n v="1"/>
    <n v="1"/>
    <n v="-20"/>
    <n v="120"/>
  </r>
  <r>
    <x v="36"/>
    <s v="conventional_turnover_HARP_eligible_115"/>
    <x v="155"/>
    <n v="1"/>
    <n v="1"/>
    <n v="-20"/>
    <n v="120"/>
  </r>
  <r>
    <x v="36"/>
    <s v="conventional_turnover_HARP_eligible_116"/>
    <x v="156"/>
    <n v="1"/>
    <n v="1"/>
    <n v="-20"/>
    <n v="120"/>
  </r>
  <r>
    <x v="36"/>
    <s v="conventional_turnover_HARP_eligible_117"/>
    <x v="157"/>
    <n v="1"/>
    <n v="1"/>
    <n v="-20"/>
    <n v="120"/>
  </r>
  <r>
    <x v="36"/>
    <s v="conventional_turnover_HARP_eligible_118"/>
    <x v="158"/>
    <n v="1"/>
    <n v="1"/>
    <n v="-20"/>
    <n v="120"/>
  </r>
  <r>
    <x v="36"/>
    <s v="conventional_turnover_HARP_eligible_119"/>
    <x v="159"/>
    <n v="1"/>
    <n v="1"/>
    <n v="-20"/>
    <n v="120"/>
  </r>
  <r>
    <x v="36"/>
    <s v="conventional_turnover_HARP_eligible_120"/>
    <x v="160"/>
    <n v="1"/>
    <n v="1"/>
    <n v="-20"/>
    <n v="120"/>
  </r>
  <r>
    <x v="37"/>
    <s v="conventional_turnover_pct_purchase_-20"/>
    <x v="20"/>
    <n v="1"/>
    <n v="1"/>
    <n v="-20"/>
    <n v="120"/>
  </r>
  <r>
    <x v="37"/>
    <s v="conventional_turnover_pct_purchase_-19"/>
    <x v="21"/>
    <n v="1"/>
    <n v="1"/>
    <n v="-20"/>
    <n v="120"/>
  </r>
  <r>
    <x v="37"/>
    <s v="conventional_turnover_pct_purchase_-18"/>
    <x v="22"/>
    <n v="1"/>
    <n v="1"/>
    <n v="-20"/>
    <n v="120"/>
  </r>
  <r>
    <x v="37"/>
    <s v="conventional_turnover_pct_purchase_-17"/>
    <x v="23"/>
    <n v="1"/>
    <n v="1"/>
    <n v="-20"/>
    <n v="120"/>
  </r>
  <r>
    <x v="37"/>
    <s v="conventional_turnover_pct_purchase_-16"/>
    <x v="24"/>
    <n v="1"/>
    <n v="1"/>
    <n v="-20"/>
    <n v="120"/>
  </r>
  <r>
    <x v="37"/>
    <s v="conventional_turnover_pct_purchase_-15"/>
    <x v="25"/>
    <n v="1"/>
    <n v="1"/>
    <n v="-20"/>
    <n v="120"/>
  </r>
  <r>
    <x v="37"/>
    <s v="conventional_turnover_pct_purchase_-14"/>
    <x v="26"/>
    <n v="1"/>
    <n v="1"/>
    <n v="-20"/>
    <n v="120"/>
  </r>
  <r>
    <x v="37"/>
    <s v="conventional_turnover_pct_purchase_-13"/>
    <x v="27"/>
    <n v="1"/>
    <n v="1"/>
    <n v="-20"/>
    <n v="120"/>
  </r>
  <r>
    <x v="37"/>
    <s v="conventional_turnover_pct_purchase_-12"/>
    <x v="28"/>
    <n v="1"/>
    <n v="1"/>
    <n v="-20"/>
    <n v="120"/>
  </r>
  <r>
    <x v="37"/>
    <s v="conventional_turnover_pct_purchase_-11"/>
    <x v="29"/>
    <n v="1"/>
    <n v="1"/>
    <n v="-20"/>
    <n v="120"/>
  </r>
  <r>
    <x v="37"/>
    <s v="conventional_turnover_pct_purchase_-10"/>
    <x v="30"/>
    <n v="1"/>
    <n v="1"/>
    <n v="-20"/>
    <n v="120"/>
  </r>
  <r>
    <x v="37"/>
    <s v="conventional_turnover_pct_purchase_-9"/>
    <x v="31"/>
    <n v="1"/>
    <n v="1"/>
    <n v="-20"/>
    <n v="120"/>
  </r>
  <r>
    <x v="37"/>
    <s v="conventional_turnover_pct_purchase_-8"/>
    <x v="32"/>
    <n v="1"/>
    <n v="1"/>
    <n v="-20"/>
    <n v="120"/>
  </r>
  <r>
    <x v="37"/>
    <s v="conventional_turnover_pct_purchase_-7"/>
    <x v="33"/>
    <n v="1"/>
    <n v="1"/>
    <n v="-20"/>
    <n v="120"/>
  </r>
  <r>
    <x v="37"/>
    <s v="conventional_turnover_pct_purchase_-6"/>
    <x v="34"/>
    <n v="1"/>
    <n v="1"/>
    <n v="-20"/>
    <n v="120"/>
  </r>
  <r>
    <x v="37"/>
    <s v="conventional_turnover_pct_purchase_-5"/>
    <x v="35"/>
    <n v="1"/>
    <n v="1"/>
    <n v="-20"/>
    <n v="120"/>
  </r>
  <r>
    <x v="37"/>
    <s v="conventional_turnover_pct_purchase_-4"/>
    <x v="36"/>
    <n v="1"/>
    <n v="1"/>
    <n v="-20"/>
    <n v="120"/>
  </r>
  <r>
    <x v="37"/>
    <s v="conventional_turnover_pct_purchase_-3"/>
    <x v="37"/>
    <n v="1"/>
    <n v="1"/>
    <n v="-20"/>
    <n v="120"/>
  </r>
  <r>
    <x v="37"/>
    <s v="conventional_turnover_pct_purchase_-2"/>
    <x v="38"/>
    <n v="1"/>
    <n v="1"/>
    <n v="-20"/>
    <n v="120"/>
  </r>
  <r>
    <x v="37"/>
    <s v="conventional_turnover_pct_purchase_-1"/>
    <x v="39"/>
    <n v="1"/>
    <n v="1"/>
    <n v="-20"/>
    <n v="120"/>
  </r>
  <r>
    <x v="37"/>
    <s v="conventional_turnover_pct_purchase_0"/>
    <x v="40"/>
    <n v="1"/>
    <n v="1"/>
    <n v="-20"/>
    <n v="120"/>
  </r>
  <r>
    <x v="37"/>
    <s v="conventional_turnover_pct_purchase_1"/>
    <x v="41"/>
    <n v="1"/>
    <n v="1"/>
    <n v="-20"/>
    <n v="120"/>
  </r>
  <r>
    <x v="37"/>
    <s v="conventional_turnover_pct_purchase_2"/>
    <x v="42"/>
    <n v="1"/>
    <n v="1"/>
    <n v="-20"/>
    <n v="120"/>
  </r>
  <r>
    <x v="37"/>
    <s v="conventional_turnover_pct_purchase_3"/>
    <x v="43"/>
    <n v="1"/>
    <n v="1"/>
    <n v="-20"/>
    <n v="120"/>
  </r>
  <r>
    <x v="37"/>
    <s v="conventional_turnover_pct_purchase_4"/>
    <x v="44"/>
    <n v="1"/>
    <n v="1"/>
    <n v="-20"/>
    <n v="120"/>
  </r>
  <r>
    <x v="37"/>
    <s v="conventional_turnover_pct_purchase_5"/>
    <x v="45"/>
    <n v="1"/>
    <n v="1"/>
    <n v="-20"/>
    <n v="120"/>
  </r>
  <r>
    <x v="37"/>
    <s v="conventional_turnover_pct_purchase_6"/>
    <x v="46"/>
    <n v="1"/>
    <n v="1"/>
    <n v="-20"/>
    <n v="120"/>
  </r>
  <r>
    <x v="37"/>
    <s v="conventional_turnover_pct_purchase_7"/>
    <x v="47"/>
    <n v="1"/>
    <n v="1"/>
    <n v="-20"/>
    <n v="120"/>
  </r>
  <r>
    <x v="37"/>
    <s v="conventional_turnover_pct_purchase_8"/>
    <x v="48"/>
    <n v="1"/>
    <n v="1"/>
    <n v="-20"/>
    <n v="120"/>
  </r>
  <r>
    <x v="37"/>
    <s v="conventional_turnover_pct_purchase_9"/>
    <x v="49"/>
    <n v="1"/>
    <n v="1"/>
    <n v="-20"/>
    <n v="120"/>
  </r>
  <r>
    <x v="37"/>
    <s v="conventional_turnover_pct_purchase_10"/>
    <x v="50"/>
    <n v="1"/>
    <n v="1"/>
    <n v="-20"/>
    <n v="120"/>
  </r>
  <r>
    <x v="37"/>
    <s v="conventional_turnover_pct_purchase_11"/>
    <x v="51"/>
    <n v="1"/>
    <n v="1"/>
    <n v="-20"/>
    <n v="120"/>
  </r>
  <r>
    <x v="37"/>
    <s v="conventional_turnover_pct_purchase_12"/>
    <x v="52"/>
    <n v="1"/>
    <n v="1"/>
    <n v="-20"/>
    <n v="120"/>
  </r>
  <r>
    <x v="37"/>
    <s v="conventional_turnover_pct_purchase_13"/>
    <x v="53"/>
    <n v="1"/>
    <n v="1"/>
    <n v="-20"/>
    <n v="120"/>
  </r>
  <r>
    <x v="37"/>
    <s v="conventional_turnover_pct_purchase_14"/>
    <x v="54"/>
    <n v="1"/>
    <n v="1"/>
    <n v="-20"/>
    <n v="120"/>
  </r>
  <r>
    <x v="37"/>
    <s v="conventional_turnover_pct_purchase_15"/>
    <x v="55"/>
    <n v="1"/>
    <n v="1"/>
    <n v="-20"/>
    <n v="120"/>
  </r>
  <r>
    <x v="37"/>
    <s v="conventional_turnover_pct_purchase_16"/>
    <x v="56"/>
    <n v="1"/>
    <n v="1"/>
    <n v="-20"/>
    <n v="120"/>
  </r>
  <r>
    <x v="37"/>
    <s v="conventional_turnover_pct_purchase_17"/>
    <x v="57"/>
    <n v="1"/>
    <n v="1"/>
    <n v="-20"/>
    <n v="120"/>
  </r>
  <r>
    <x v="37"/>
    <s v="conventional_turnover_pct_purchase_18"/>
    <x v="58"/>
    <n v="1"/>
    <n v="1"/>
    <n v="-20"/>
    <n v="120"/>
  </r>
  <r>
    <x v="37"/>
    <s v="conventional_turnover_pct_purchase_19"/>
    <x v="59"/>
    <n v="1"/>
    <n v="1"/>
    <n v="-20"/>
    <n v="120"/>
  </r>
  <r>
    <x v="37"/>
    <s v="conventional_turnover_pct_purchase_20"/>
    <x v="60"/>
    <n v="1"/>
    <n v="1"/>
    <n v="-20"/>
    <n v="120"/>
  </r>
  <r>
    <x v="37"/>
    <s v="conventional_turnover_pct_purchase_21"/>
    <x v="61"/>
    <n v="1"/>
    <n v="1"/>
    <n v="-20"/>
    <n v="120"/>
  </r>
  <r>
    <x v="37"/>
    <s v="conventional_turnover_pct_purchase_22"/>
    <x v="62"/>
    <n v="1"/>
    <n v="1"/>
    <n v="-20"/>
    <n v="120"/>
  </r>
  <r>
    <x v="37"/>
    <s v="conventional_turnover_pct_purchase_23"/>
    <x v="63"/>
    <n v="1"/>
    <n v="1"/>
    <n v="-20"/>
    <n v="120"/>
  </r>
  <r>
    <x v="37"/>
    <s v="conventional_turnover_pct_purchase_24"/>
    <x v="64"/>
    <n v="1"/>
    <n v="1"/>
    <n v="-20"/>
    <n v="120"/>
  </r>
  <r>
    <x v="37"/>
    <s v="conventional_turnover_pct_purchase_25"/>
    <x v="65"/>
    <n v="1"/>
    <n v="1"/>
    <n v="-20"/>
    <n v="120"/>
  </r>
  <r>
    <x v="37"/>
    <s v="conventional_turnover_pct_purchase_26"/>
    <x v="66"/>
    <n v="1"/>
    <n v="1"/>
    <n v="-20"/>
    <n v="120"/>
  </r>
  <r>
    <x v="37"/>
    <s v="conventional_turnover_pct_purchase_27"/>
    <x v="67"/>
    <n v="1"/>
    <n v="1"/>
    <n v="-20"/>
    <n v="120"/>
  </r>
  <r>
    <x v="37"/>
    <s v="conventional_turnover_pct_purchase_28"/>
    <x v="68"/>
    <n v="1"/>
    <n v="1"/>
    <n v="-20"/>
    <n v="120"/>
  </r>
  <r>
    <x v="37"/>
    <s v="conventional_turnover_pct_purchase_29"/>
    <x v="69"/>
    <n v="1"/>
    <n v="1"/>
    <n v="-20"/>
    <n v="120"/>
  </r>
  <r>
    <x v="37"/>
    <s v="conventional_turnover_pct_purchase_30"/>
    <x v="70"/>
    <n v="1"/>
    <n v="1"/>
    <n v="-20"/>
    <n v="120"/>
  </r>
  <r>
    <x v="37"/>
    <s v="conventional_turnover_pct_purchase_31"/>
    <x v="71"/>
    <n v="1"/>
    <n v="1"/>
    <n v="-20"/>
    <n v="120"/>
  </r>
  <r>
    <x v="37"/>
    <s v="conventional_turnover_pct_purchase_32"/>
    <x v="72"/>
    <n v="1"/>
    <n v="1"/>
    <n v="-20"/>
    <n v="120"/>
  </r>
  <r>
    <x v="37"/>
    <s v="conventional_turnover_pct_purchase_33"/>
    <x v="73"/>
    <n v="1"/>
    <n v="1"/>
    <n v="-20"/>
    <n v="120"/>
  </r>
  <r>
    <x v="37"/>
    <s v="conventional_turnover_pct_purchase_34"/>
    <x v="74"/>
    <n v="1"/>
    <n v="1"/>
    <n v="-20"/>
    <n v="120"/>
  </r>
  <r>
    <x v="37"/>
    <s v="conventional_turnover_pct_purchase_35"/>
    <x v="75"/>
    <n v="1"/>
    <n v="1"/>
    <n v="-20"/>
    <n v="120"/>
  </r>
  <r>
    <x v="37"/>
    <s v="conventional_turnover_pct_purchase_36"/>
    <x v="76"/>
    <n v="1"/>
    <n v="1"/>
    <n v="-20"/>
    <n v="120"/>
  </r>
  <r>
    <x v="37"/>
    <s v="conventional_turnover_pct_purchase_37"/>
    <x v="77"/>
    <n v="1"/>
    <n v="1"/>
    <n v="-20"/>
    <n v="120"/>
  </r>
  <r>
    <x v="37"/>
    <s v="conventional_turnover_pct_purchase_38"/>
    <x v="78"/>
    <n v="1"/>
    <n v="1"/>
    <n v="-20"/>
    <n v="120"/>
  </r>
  <r>
    <x v="37"/>
    <s v="conventional_turnover_pct_purchase_39"/>
    <x v="79"/>
    <n v="1"/>
    <n v="1"/>
    <n v="-20"/>
    <n v="120"/>
  </r>
  <r>
    <x v="37"/>
    <s v="conventional_turnover_pct_purchase_40"/>
    <x v="80"/>
    <n v="1"/>
    <n v="1"/>
    <n v="-20"/>
    <n v="120"/>
  </r>
  <r>
    <x v="37"/>
    <s v="conventional_turnover_pct_purchase_41"/>
    <x v="81"/>
    <n v="1"/>
    <n v="1"/>
    <n v="-20"/>
    <n v="120"/>
  </r>
  <r>
    <x v="37"/>
    <s v="conventional_turnover_pct_purchase_42"/>
    <x v="82"/>
    <n v="1"/>
    <n v="1"/>
    <n v="-20"/>
    <n v="120"/>
  </r>
  <r>
    <x v="37"/>
    <s v="conventional_turnover_pct_purchase_43"/>
    <x v="83"/>
    <n v="1"/>
    <n v="1"/>
    <n v="-20"/>
    <n v="120"/>
  </r>
  <r>
    <x v="37"/>
    <s v="conventional_turnover_pct_purchase_44"/>
    <x v="84"/>
    <n v="1"/>
    <n v="1"/>
    <n v="-20"/>
    <n v="120"/>
  </r>
  <r>
    <x v="37"/>
    <s v="conventional_turnover_pct_purchase_45"/>
    <x v="85"/>
    <n v="1"/>
    <n v="1"/>
    <n v="-20"/>
    <n v="120"/>
  </r>
  <r>
    <x v="37"/>
    <s v="conventional_turnover_pct_purchase_46"/>
    <x v="86"/>
    <n v="1"/>
    <n v="1"/>
    <n v="-20"/>
    <n v="120"/>
  </r>
  <r>
    <x v="37"/>
    <s v="conventional_turnover_pct_purchase_47"/>
    <x v="87"/>
    <n v="1"/>
    <n v="1"/>
    <n v="-20"/>
    <n v="120"/>
  </r>
  <r>
    <x v="37"/>
    <s v="conventional_turnover_pct_purchase_48"/>
    <x v="88"/>
    <n v="1"/>
    <n v="1"/>
    <n v="-20"/>
    <n v="120"/>
  </r>
  <r>
    <x v="37"/>
    <s v="conventional_turnover_pct_purchase_49"/>
    <x v="89"/>
    <n v="1"/>
    <n v="1"/>
    <n v="-20"/>
    <n v="120"/>
  </r>
  <r>
    <x v="37"/>
    <s v="conventional_turnover_pct_purchase_50"/>
    <x v="90"/>
    <n v="1"/>
    <n v="1"/>
    <n v="-20"/>
    <n v="120"/>
  </r>
  <r>
    <x v="37"/>
    <s v="conventional_turnover_pct_purchase_51"/>
    <x v="91"/>
    <n v="1"/>
    <n v="1"/>
    <n v="-20"/>
    <n v="120"/>
  </r>
  <r>
    <x v="37"/>
    <s v="conventional_turnover_pct_purchase_52"/>
    <x v="92"/>
    <n v="1"/>
    <n v="1"/>
    <n v="-20"/>
    <n v="120"/>
  </r>
  <r>
    <x v="37"/>
    <s v="conventional_turnover_pct_purchase_53"/>
    <x v="93"/>
    <n v="1"/>
    <n v="1"/>
    <n v="-20"/>
    <n v="120"/>
  </r>
  <r>
    <x v="37"/>
    <s v="conventional_turnover_pct_purchase_54"/>
    <x v="94"/>
    <n v="1"/>
    <n v="1"/>
    <n v="-20"/>
    <n v="120"/>
  </r>
  <r>
    <x v="37"/>
    <s v="conventional_turnover_pct_purchase_55"/>
    <x v="95"/>
    <n v="1"/>
    <n v="1"/>
    <n v="-20"/>
    <n v="120"/>
  </r>
  <r>
    <x v="37"/>
    <s v="conventional_turnover_pct_purchase_56"/>
    <x v="96"/>
    <n v="1"/>
    <n v="1"/>
    <n v="-20"/>
    <n v="120"/>
  </r>
  <r>
    <x v="37"/>
    <s v="conventional_turnover_pct_purchase_57"/>
    <x v="97"/>
    <n v="1"/>
    <n v="1"/>
    <n v="-20"/>
    <n v="120"/>
  </r>
  <r>
    <x v="37"/>
    <s v="conventional_turnover_pct_purchase_58"/>
    <x v="98"/>
    <n v="1"/>
    <n v="1"/>
    <n v="-20"/>
    <n v="120"/>
  </r>
  <r>
    <x v="37"/>
    <s v="conventional_turnover_pct_purchase_59"/>
    <x v="99"/>
    <n v="1"/>
    <n v="1"/>
    <n v="-20"/>
    <n v="120"/>
  </r>
  <r>
    <x v="37"/>
    <s v="conventional_turnover_pct_purchase_60"/>
    <x v="100"/>
    <n v="1"/>
    <n v="1"/>
    <n v="-20"/>
    <n v="120"/>
  </r>
  <r>
    <x v="37"/>
    <s v="conventional_turnover_pct_purchase_61"/>
    <x v="101"/>
    <n v="1"/>
    <n v="1"/>
    <n v="-20"/>
    <n v="120"/>
  </r>
  <r>
    <x v="37"/>
    <s v="conventional_turnover_pct_purchase_62"/>
    <x v="102"/>
    <n v="1"/>
    <n v="1"/>
    <n v="-20"/>
    <n v="120"/>
  </r>
  <r>
    <x v="37"/>
    <s v="conventional_turnover_pct_purchase_63"/>
    <x v="103"/>
    <n v="1"/>
    <n v="1"/>
    <n v="-20"/>
    <n v="120"/>
  </r>
  <r>
    <x v="37"/>
    <s v="conventional_turnover_pct_purchase_64"/>
    <x v="104"/>
    <n v="1"/>
    <n v="1"/>
    <n v="-20"/>
    <n v="120"/>
  </r>
  <r>
    <x v="37"/>
    <s v="conventional_turnover_pct_purchase_65"/>
    <x v="105"/>
    <n v="1"/>
    <n v="1"/>
    <n v="-20"/>
    <n v="120"/>
  </r>
  <r>
    <x v="37"/>
    <s v="conventional_turnover_pct_purchase_66"/>
    <x v="106"/>
    <n v="1"/>
    <n v="1"/>
    <n v="-20"/>
    <n v="120"/>
  </r>
  <r>
    <x v="37"/>
    <s v="conventional_turnover_pct_purchase_67"/>
    <x v="107"/>
    <n v="1"/>
    <n v="1"/>
    <n v="-20"/>
    <n v="120"/>
  </r>
  <r>
    <x v="37"/>
    <s v="conventional_turnover_pct_purchase_68"/>
    <x v="108"/>
    <n v="1"/>
    <n v="1"/>
    <n v="-20"/>
    <n v="120"/>
  </r>
  <r>
    <x v="37"/>
    <s v="conventional_turnover_pct_purchase_69"/>
    <x v="109"/>
    <n v="1"/>
    <n v="1"/>
    <n v="-20"/>
    <n v="120"/>
  </r>
  <r>
    <x v="37"/>
    <s v="conventional_turnover_pct_purchase_70"/>
    <x v="110"/>
    <n v="1"/>
    <n v="1"/>
    <n v="-20"/>
    <n v="120"/>
  </r>
  <r>
    <x v="37"/>
    <s v="conventional_turnover_pct_purchase_71"/>
    <x v="111"/>
    <n v="1"/>
    <n v="1"/>
    <n v="-20"/>
    <n v="120"/>
  </r>
  <r>
    <x v="37"/>
    <s v="conventional_turnover_pct_purchase_72"/>
    <x v="112"/>
    <n v="1"/>
    <n v="1"/>
    <n v="-20"/>
    <n v="120"/>
  </r>
  <r>
    <x v="37"/>
    <s v="conventional_turnover_pct_purchase_73"/>
    <x v="113"/>
    <n v="1"/>
    <n v="1"/>
    <n v="-20"/>
    <n v="120"/>
  </r>
  <r>
    <x v="37"/>
    <s v="conventional_turnover_pct_purchase_74"/>
    <x v="114"/>
    <n v="1"/>
    <n v="1"/>
    <n v="-20"/>
    <n v="120"/>
  </r>
  <r>
    <x v="37"/>
    <s v="conventional_turnover_pct_purchase_75"/>
    <x v="115"/>
    <n v="1"/>
    <n v="1"/>
    <n v="-20"/>
    <n v="120"/>
  </r>
  <r>
    <x v="37"/>
    <s v="conventional_turnover_pct_purchase_76"/>
    <x v="116"/>
    <n v="1"/>
    <n v="1"/>
    <n v="-20"/>
    <n v="120"/>
  </r>
  <r>
    <x v="37"/>
    <s v="conventional_turnover_pct_purchase_77"/>
    <x v="117"/>
    <n v="1"/>
    <n v="1"/>
    <n v="-20"/>
    <n v="120"/>
  </r>
  <r>
    <x v="37"/>
    <s v="conventional_turnover_pct_purchase_78"/>
    <x v="118"/>
    <n v="1"/>
    <n v="1"/>
    <n v="-20"/>
    <n v="120"/>
  </r>
  <r>
    <x v="37"/>
    <s v="conventional_turnover_pct_purchase_79"/>
    <x v="119"/>
    <n v="1"/>
    <n v="1"/>
    <n v="-20"/>
    <n v="120"/>
  </r>
  <r>
    <x v="37"/>
    <s v="conventional_turnover_pct_purchase_80"/>
    <x v="120"/>
    <n v="1"/>
    <n v="1"/>
    <n v="-20"/>
    <n v="120"/>
  </r>
  <r>
    <x v="37"/>
    <s v="conventional_turnover_pct_purchase_81"/>
    <x v="121"/>
    <n v="1"/>
    <n v="1"/>
    <n v="-20"/>
    <n v="120"/>
  </r>
  <r>
    <x v="37"/>
    <s v="conventional_turnover_pct_purchase_82"/>
    <x v="122"/>
    <n v="1"/>
    <n v="1"/>
    <n v="-20"/>
    <n v="120"/>
  </r>
  <r>
    <x v="37"/>
    <s v="conventional_turnover_pct_purchase_83"/>
    <x v="123"/>
    <n v="1"/>
    <n v="1"/>
    <n v="-20"/>
    <n v="120"/>
  </r>
  <r>
    <x v="37"/>
    <s v="conventional_turnover_pct_purchase_84"/>
    <x v="124"/>
    <n v="1"/>
    <n v="1"/>
    <n v="-20"/>
    <n v="120"/>
  </r>
  <r>
    <x v="37"/>
    <s v="conventional_turnover_pct_purchase_85"/>
    <x v="125"/>
    <n v="1"/>
    <n v="1"/>
    <n v="-20"/>
    <n v="120"/>
  </r>
  <r>
    <x v="37"/>
    <s v="conventional_turnover_pct_purchase_86"/>
    <x v="126"/>
    <n v="1"/>
    <n v="1"/>
    <n v="-20"/>
    <n v="120"/>
  </r>
  <r>
    <x v="37"/>
    <s v="conventional_turnover_pct_purchase_87"/>
    <x v="127"/>
    <n v="1"/>
    <n v="1"/>
    <n v="-20"/>
    <n v="120"/>
  </r>
  <r>
    <x v="37"/>
    <s v="conventional_turnover_pct_purchase_88"/>
    <x v="128"/>
    <n v="1"/>
    <n v="1"/>
    <n v="-20"/>
    <n v="120"/>
  </r>
  <r>
    <x v="37"/>
    <s v="conventional_turnover_pct_purchase_89"/>
    <x v="129"/>
    <n v="1"/>
    <n v="1"/>
    <n v="-20"/>
    <n v="120"/>
  </r>
  <r>
    <x v="37"/>
    <s v="conventional_turnover_pct_purchase_90"/>
    <x v="130"/>
    <n v="1"/>
    <n v="1"/>
    <n v="-20"/>
    <n v="120"/>
  </r>
  <r>
    <x v="37"/>
    <s v="conventional_turnover_pct_purchase_91"/>
    <x v="131"/>
    <n v="1"/>
    <n v="1"/>
    <n v="-20"/>
    <n v="120"/>
  </r>
  <r>
    <x v="37"/>
    <s v="conventional_turnover_pct_purchase_92"/>
    <x v="132"/>
    <n v="1"/>
    <n v="1"/>
    <n v="-20"/>
    <n v="120"/>
  </r>
  <r>
    <x v="37"/>
    <s v="conventional_turnover_pct_purchase_93"/>
    <x v="133"/>
    <n v="1"/>
    <n v="1"/>
    <n v="-20"/>
    <n v="120"/>
  </r>
  <r>
    <x v="37"/>
    <s v="conventional_turnover_pct_purchase_94"/>
    <x v="134"/>
    <n v="1"/>
    <n v="1"/>
    <n v="-20"/>
    <n v="120"/>
  </r>
  <r>
    <x v="37"/>
    <s v="conventional_turnover_pct_purchase_95"/>
    <x v="135"/>
    <n v="1"/>
    <n v="1"/>
    <n v="-20"/>
    <n v="120"/>
  </r>
  <r>
    <x v="37"/>
    <s v="conventional_turnover_pct_purchase_96"/>
    <x v="136"/>
    <n v="1"/>
    <n v="1"/>
    <n v="-20"/>
    <n v="120"/>
  </r>
  <r>
    <x v="37"/>
    <s v="conventional_turnover_pct_purchase_97"/>
    <x v="137"/>
    <n v="1"/>
    <n v="1"/>
    <n v="-20"/>
    <n v="120"/>
  </r>
  <r>
    <x v="37"/>
    <s v="conventional_turnover_pct_purchase_98"/>
    <x v="138"/>
    <n v="1"/>
    <n v="1"/>
    <n v="-20"/>
    <n v="120"/>
  </r>
  <r>
    <x v="37"/>
    <s v="conventional_turnover_pct_purchase_99"/>
    <x v="139"/>
    <n v="1"/>
    <n v="1"/>
    <n v="-20"/>
    <n v="120"/>
  </r>
  <r>
    <x v="37"/>
    <s v="conventional_turnover_pct_purchase_100"/>
    <x v="140"/>
    <n v="1"/>
    <n v="1"/>
    <n v="-20"/>
    <n v="120"/>
  </r>
  <r>
    <x v="37"/>
    <s v="conventional_turnover_pct_purchase_101"/>
    <x v="141"/>
    <n v="1"/>
    <n v="1"/>
    <n v="-20"/>
    <n v="120"/>
  </r>
  <r>
    <x v="37"/>
    <s v="conventional_turnover_pct_purchase_102"/>
    <x v="142"/>
    <n v="1"/>
    <n v="1"/>
    <n v="-20"/>
    <n v="120"/>
  </r>
  <r>
    <x v="37"/>
    <s v="conventional_turnover_pct_purchase_103"/>
    <x v="143"/>
    <n v="1"/>
    <n v="1"/>
    <n v="-20"/>
    <n v="120"/>
  </r>
  <r>
    <x v="37"/>
    <s v="conventional_turnover_pct_purchase_104"/>
    <x v="144"/>
    <n v="1"/>
    <n v="1"/>
    <n v="-20"/>
    <n v="120"/>
  </r>
  <r>
    <x v="37"/>
    <s v="conventional_turnover_pct_purchase_105"/>
    <x v="145"/>
    <n v="1"/>
    <n v="1"/>
    <n v="-20"/>
    <n v="120"/>
  </r>
  <r>
    <x v="37"/>
    <s v="conventional_turnover_pct_purchase_106"/>
    <x v="146"/>
    <n v="1"/>
    <n v="1"/>
    <n v="-20"/>
    <n v="120"/>
  </r>
  <r>
    <x v="37"/>
    <s v="conventional_turnover_pct_purchase_107"/>
    <x v="147"/>
    <n v="1"/>
    <n v="1"/>
    <n v="-20"/>
    <n v="120"/>
  </r>
  <r>
    <x v="37"/>
    <s v="conventional_turnover_pct_purchase_108"/>
    <x v="148"/>
    <n v="1"/>
    <n v="1"/>
    <n v="-20"/>
    <n v="120"/>
  </r>
  <r>
    <x v="37"/>
    <s v="conventional_turnover_pct_purchase_109"/>
    <x v="149"/>
    <n v="1"/>
    <n v="1"/>
    <n v="-20"/>
    <n v="120"/>
  </r>
  <r>
    <x v="37"/>
    <s v="conventional_turnover_pct_purchase_110"/>
    <x v="150"/>
    <n v="1"/>
    <n v="1"/>
    <n v="-20"/>
    <n v="120"/>
  </r>
  <r>
    <x v="37"/>
    <s v="conventional_turnover_pct_purchase_111"/>
    <x v="151"/>
    <n v="1"/>
    <n v="1"/>
    <n v="-20"/>
    <n v="120"/>
  </r>
  <r>
    <x v="37"/>
    <s v="conventional_turnover_pct_purchase_112"/>
    <x v="152"/>
    <n v="1"/>
    <n v="1"/>
    <n v="-20"/>
    <n v="120"/>
  </r>
  <r>
    <x v="37"/>
    <s v="conventional_turnover_pct_purchase_113"/>
    <x v="153"/>
    <n v="1"/>
    <n v="1"/>
    <n v="-20"/>
    <n v="120"/>
  </r>
  <r>
    <x v="37"/>
    <s v="conventional_turnover_pct_purchase_114"/>
    <x v="154"/>
    <n v="1"/>
    <n v="1"/>
    <n v="-20"/>
    <n v="120"/>
  </r>
  <r>
    <x v="37"/>
    <s v="conventional_turnover_pct_purchase_115"/>
    <x v="155"/>
    <n v="1"/>
    <n v="1"/>
    <n v="-20"/>
    <n v="120"/>
  </r>
  <r>
    <x v="37"/>
    <s v="conventional_turnover_pct_purchase_116"/>
    <x v="156"/>
    <n v="1"/>
    <n v="1"/>
    <n v="-20"/>
    <n v="120"/>
  </r>
  <r>
    <x v="37"/>
    <s v="conventional_turnover_pct_purchase_117"/>
    <x v="157"/>
    <n v="1"/>
    <n v="1"/>
    <n v="-20"/>
    <n v="120"/>
  </r>
  <r>
    <x v="37"/>
    <s v="conventional_turnover_pct_purchase_118"/>
    <x v="158"/>
    <n v="1"/>
    <n v="1"/>
    <n v="-20"/>
    <n v="120"/>
  </r>
  <r>
    <x v="37"/>
    <s v="conventional_turnover_pct_purchase_119"/>
    <x v="159"/>
    <n v="1"/>
    <n v="1"/>
    <n v="-20"/>
    <n v="120"/>
  </r>
  <r>
    <x v="37"/>
    <s v="conventional_turnover_pct_purchase_120"/>
    <x v="160"/>
    <n v="1"/>
    <n v="1"/>
    <n v="-20"/>
    <n v="120"/>
  </r>
  <r>
    <x v="38"/>
    <s v="conventional_turnover_pct_REFI_-20"/>
    <x v="20"/>
    <n v="1"/>
    <n v="1"/>
    <n v="-20"/>
    <n v="120"/>
  </r>
  <r>
    <x v="38"/>
    <s v="conventional_turnover_pct_REFI_-19"/>
    <x v="21"/>
    <n v="1"/>
    <n v="1"/>
    <n v="-20"/>
    <n v="120"/>
  </r>
  <r>
    <x v="38"/>
    <s v="conventional_turnover_pct_REFI_-18"/>
    <x v="22"/>
    <n v="1"/>
    <n v="1"/>
    <n v="-20"/>
    <n v="120"/>
  </r>
  <r>
    <x v="38"/>
    <s v="conventional_turnover_pct_REFI_-17"/>
    <x v="23"/>
    <n v="1"/>
    <n v="1"/>
    <n v="-20"/>
    <n v="120"/>
  </r>
  <r>
    <x v="38"/>
    <s v="conventional_turnover_pct_REFI_-16"/>
    <x v="24"/>
    <n v="1"/>
    <n v="1"/>
    <n v="-20"/>
    <n v="120"/>
  </r>
  <r>
    <x v="38"/>
    <s v="conventional_turnover_pct_REFI_-15"/>
    <x v="25"/>
    <n v="1"/>
    <n v="1"/>
    <n v="-20"/>
    <n v="120"/>
  </r>
  <r>
    <x v="38"/>
    <s v="conventional_turnover_pct_REFI_-14"/>
    <x v="26"/>
    <n v="1"/>
    <n v="1"/>
    <n v="-20"/>
    <n v="120"/>
  </r>
  <r>
    <x v="38"/>
    <s v="conventional_turnover_pct_REFI_-13"/>
    <x v="27"/>
    <n v="1"/>
    <n v="1"/>
    <n v="-20"/>
    <n v="120"/>
  </r>
  <r>
    <x v="38"/>
    <s v="conventional_turnover_pct_REFI_-12"/>
    <x v="28"/>
    <n v="1"/>
    <n v="1"/>
    <n v="-20"/>
    <n v="120"/>
  </r>
  <r>
    <x v="38"/>
    <s v="conventional_turnover_pct_REFI_-11"/>
    <x v="29"/>
    <n v="1"/>
    <n v="1"/>
    <n v="-20"/>
    <n v="120"/>
  </r>
  <r>
    <x v="38"/>
    <s v="conventional_turnover_pct_REFI_-10"/>
    <x v="30"/>
    <n v="1"/>
    <n v="1"/>
    <n v="-20"/>
    <n v="120"/>
  </r>
  <r>
    <x v="38"/>
    <s v="conventional_turnover_pct_REFI_-9"/>
    <x v="31"/>
    <n v="1"/>
    <n v="1"/>
    <n v="-20"/>
    <n v="120"/>
  </r>
  <r>
    <x v="38"/>
    <s v="conventional_turnover_pct_REFI_-8"/>
    <x v="32"/>
    <n v="1"/>
    <n v="1"/>
    <n v="-20"/>
    <n v="120"/>
  </r>
  <r>
    <x v="38"/>
    <s v="conventional_turnover_pct_REFI_-7"/>
    <x v="33"/>
    <n v="1"/>
    <n v="1"/>
    <n v="-20"/>
    <n v="120"/>
  </r>
  <r>
    <x v="38"/>
    <s v="conventional_turnover_pct_REFI_-6"/>
    <x v="34"/>
    <n v="1"/>
    <n v="1"/>
    <n v="-20"/>
    <n v="120"/>
  </r>
  <r>
    <x v="38"/>
    <s v="conventional_turnover_pct_REFI_-5"/>
    <x v="35"/>
    <n v="1"/>
    <n v="1"/>
    <n v="-20"/>
    <n v="120"/>
  </r>
  <r>
    <x v="38"/>
    <s v="conventional_turnover_pct_REFI_-4"/>
    <x v="36"/>
    <n v="1"/>
    <n v="1"/>
    <n v="-20"/>
    <n v="120"/>
  </r>
  <r>
    <x v="38"/>
    <s v="conventional_turnover_pct_REFI_-3"/>
    <x v="37"/>
    <n v="1"/>
    <n v="1"/>
    <n v="-20"/>
    <n v="120"/>
  </r>
  <r>
    <x v="38"/>
    <s v="conventional_turnover_pct_REFI_-2"/>
    <x v="38"/>
    <n v="1"/>
    <n v="1"/>
    <n v="-20"/>
    <n v="120"/>
  </r>
  <r>
    <x v="38"/>
    <s v="conventional_turnover_pct_REFI_-1"/>
    <x v="39"/>
    <n v="1"/>
    <n v="1"/>
    <n v="-20"/>
    <n v="120"/>
  </r>
  <r>
    <x v="38"/>
    <s v="conventional_turnover_pct_REFI_0"/>
    <x v="40"/>
    <n v="1"/>
    <n v="1"/>
    <n v="-20"/>
    <n v="120"/>
  </r>
  <r>
    <x v="38"/>
    <s v="conventional_turnover_pct_REFI_1"/>
    <x v="41"/>
    <n v="1"/>
    <n v="1"/>
    <n v="-20"/>
    <n v="120"/>
  </r>
  <r>
    <x v="38"/>
    <s v="conventional_turnover_pct_REFI_2"/>
    <x v="42"/>
    <n v="1"/>
    <n v="1"/>
    <n v="-20"/>
    <n v="120"/>
  </r>
  <r>
    <x v="38"/>
    <s v="conventional_turnover_pct_REFI_3"/>
    <x v="43"/>
    <n v="1"/>
    <n v="1"/>
    <n v="-20"/>
    <n v="120"/>
  </r>
  <r>
    <x v="38"/>
    <s v="conventional_turnover_pct_REFI_4"/>
    <x v="44"/>
    <n v="1"/>
    <n v="1"/>
    <n v="-20"/>
    <n v="120"/>
  </r>
  <r>
    <x v="38"/>
    <s v="conventional_turnover_pct_REFI_5"/>
    <x v="45"/>
    <n v="1"/>
    <n v="1"/>
    <n v="-20"/>
    <n v="120"/>
  </r>
  <r>
    <x v="38"/>
    <s v="conventional_turnover_pct_REFI_6"/>
    <x v="46"/>
    <n v="1"/>
    <n v="1"/>
    <n v="-20"/>
    <n v="120"/>
  </r>
  <r>
    <x v="38"/>
    <s v="conventional_turnover_pct_REFI_7"/>
    <x v="47"/>
    <n v="1"/>
    <n v="1"/>
    <n v="-20"/>
    <n v="120"/>
  </r>
  <r>
    <x v="38"/>
    <s v="conventional_turnover_pct_REFI_8"/>
    <x v="48"/>
    <n v="1"/>
    <n v="1"/>
    <n v="-20"/>
    <n v="120"/>
  </r>
  <r>
    <x v="38"/>
    <s v="conventional_turnover_pct_REFI_9"/>
    <x v="49"/>
    <n v="1"/>
    <n v="1"/>
    <n v="-20"/>
    <n v="120"/>
  </r>
  <r>
    <x v="38"/>
    <s v="conventional_turnover_pct_REFI_10"/>
    <x v="50"/>
    <n v="1"/>
    <n v="1"/>
    <n v="-20"/>
    <n v="120"/>
  </r>
  <r>
    <x v="38"/>
    <s v="conventional_turnover_pct_REFI_11"/>
    <x v="51"/>
    <n v="1"/>
    <n v="1"/>
    <n v="-20"/>
    <n v="120"/>
  </r>
  <r>
    <x v="38"/>
    <s v="conventional_turnover_pct_REFI_12"/>
    <x v="52"/>
    <n v="1"/>
    <n v="1"/>
    <n v="-20"/>
    <n v="120"/>
  </r>
  <r>
    <x v="38"/>
    <s v="conventional_turnover_pct_REFI_13"/>
    <x v="53"/>
    <n v="1"/>
    <n v="1"/>
    <n v="-20"/>
    <n v="120"/>
  </r>
  <r>
    <x v="38"/>
    <s v="conventional_turnover_pct_REFI_14"/>
    <x v="54"/>
    <n v="1"/>
    <n v="1"/>
    <n v="-20"/>
    <n v="120"/>
  </r>
  <r>
    <x v="38"/>
    <s v="conventional_turnover_pct_REFI_15"/>
    <x v="55"/>
    <n v="1"/>
    <n v="1"/>
    <n v="-20"/>
    <n v="120"/>
  </r>
  <r>
    <x v="38"/>
    <s v="conventional_turnover_pct_REFI_16"/>
    <x v="56"/>
    <n v="1"/>
    <n v="1"/>
    <n v="-20"/>
    <n v="120"/>
  </r>
  <r>
    <x v="38"/>
    <s v="conventional_turnover_pct_REFI_17"/>
    <x v="57"/>
    <n v="1"/>
    <n v="1"/>
    <n v="-20"/>
    <n v="120"/>
  </r>
  <r>
    <x v="38"/>
    <s v="conventional_turnover_pct_REFI_18"/>
    <x v="58"/>
    <n v="1"/>
    <n v="1"/>
    <n v="-20"/>
    <n v="120"/>
  </r>
  <r>
    <x v="38"/>
    <s v="conventional_turnover_pct_REFI_19"/>
    <x v="59"/>
    <n v="1"/>
    <n v="1"/>
    <n v="-20"/>
    <n v="120"/>
  </r>
  <r>
    <x v="38"/>
    <s v="conventional_turnover_pct_REFI_20"/>
    <x v="60"/>
    <n v="1"/>
    <n v="1"/>
    <n v="-20"/>
    <n v="120"/>
  </r>
  <r>
    <x v="38"/>
    <s v="conventional_turnover_pct_REFI_21"/>
    <x v="61"/>
    <n v="1"/>
    <n v="1"/>
    <n v="-20"/>
    <n v="120"/>
  </r>
  <r>
    <x v="38"/>
    <s v="conventional_turnover_pct_REFI_22"/>
    <x v="62"/>
    <n v="1"/>
    <n v="1"/>
    <n v="-20"/>
    <n v="120"/>
  </r>
  <r>
    <x v="38"/>
    <s v="conventional_turnover_pct_REFI_23"/>
    <x v="63"/>
    <n v="1"/>
    <n v="1"/>
    <n v="-20"/>
    <n v="120"/>
  </r>
  <r>
    <x v="38"/>
    <s v="conventional_turnover_pct_REFI_24"/>
    <x v="64"/>
    <n v="1"/>
    <n v="1"/>
    <n v="-20"/>
    <n v="120"/>
  </r>
  <r>
    <x v="38"/>
    <s v="conventional_turnover_pct_REFI_25"/>
    <x v="65"/>
    <n v="1"/>
    <n v="1"/>
    <n v="-20"/>
    <n v="120"/>
  </r>
  <r>
    <x v="38"/>
    <s v="conventional_turnover_pct_REFI_26"/>
    <x v="66"/>
    <n v="1"/>
    <n v="1"/>
    <n v="-20"/>
    <n v="120"/>
  </r>
  <r>
    <x v="38"/>
    <s v="conventional_turnover_pct_REFI_27"/>
    <x v="67"/>
    <n v="1"/>
    <n v="1"/>
    <n v="-20"/>
    <n v="120"/>
  </r>
  <r>
    <x v="38"/>
    <s v="conventional_turnover_pct_REFI_28"/>
    <x v="68"/>
    <n v="1"/>
    <n v="1"/>
    <n v="-20"/>
    <n v="120"/>
  </r>
  <r>
    <x v="38"/>
    <s v="conventional_turnover_pct_REFI_29"/>
    <x v="69"/>
    <n v="1"/>
    <n v="1"/>
    <n v="-20"/>
    <n v="120"/>
  </r>
  <r>
    <x v="38"/>
    <s v="conventional_turnover_pct_REFI_30"/>
    <x v="70"/>
    <n v="1"/>
    <n v="1"/>
    <n v="-20"/>
    <n v="120"/>
  </r>
  <r>
    <x v="38"/>
    <s v="conventional_turnover_pct_REFI_31"/>
    <x v="71"/>
    <n v="1"/>
    <n v="1"/>
    <n v="-20"/>
    <n v="120"/>
  </r>
  <r>
    <x v="38"/>
    <s v="conventional_turnover_pct_REFI_32"/>
    <x v="72"/>
    <n v="1"/>
    <n v="1"/>
    <n v="-20"/>
    <n v="120"/>
  </r>
  <r>
    <x v="38"/>
    <s v="conventional_turnover_pct_REFI_33"/>
    <x v="73"/>
    <n v="1"/>
    <n v="1"/>
    <n v="-20"/>
    <n v="120"/>
  </r>
  <r>
    <x v="38"/>
    <s v="conventional_turnover_pct_REFI_34"/>
    <x v="74"/>
    <n v="1"/>
    <n v="1"/>
    <n v="-20"/>
    <n v="120"/>
  </r>
  <r>
    <x v="38"/>
    <s v="conventional_turnover_pct_REFI_35"/>
    <x v="75"/>
    <n v="1"/>
    <n v="1"/>
    <n v="-20"/>
    <n v="120"/>
  </r>
  <r>
    <x v="38"/>
    <s v="conventional_turnover_pct_REFI_36"/>
    <x v="76"/>
    <n v="1"/>
    <n v="1"/>
    <n v="-20"/>
    <n v="120"/>
  </r>
  <r>
    <x v="38"/>
    <s v="conventional_turnover_pct_REFI_37"/>
    <x v="77"/>
    <n v="1"/>
    <n v="1"/>
    <n v="-20"/>
    <n v="120"/>
  </r>
  <r>
    <x v="38"/>
    <s v="conventional_turnover_pct_REFI_38"/>
    <x v="78"/>
    <n v="1"/>
    <n v="1"/>
    <n v="-20"/>
    <n v="120"/>
  </r>
  <r>
    <x v="38"/>
    <s v="conventional_turnover_pct_REFI_39"/>
    <x v="79"/>
    <n v="1"/>
    <n v="1"/>
    <n v="-20"/>
    <n v="120"/>
  </r>
  <r>
    <x v="38"/>
    <s v="conventional_turnover_pct_REFI_40"/>
    <x v="80"/>
    <n v="1"/>
    <n v="1"/>
    <n v="-20"/>
    <n v="120"/>
  </r>
  <r>
    <x v="38"/>
    <s v="conventional_turnover_pct_REFI_41"/>
    <x v="81"/>
    <n v="1"/>
    <n v="1"/>
    <n v="-20"/>
    <n v="120"/>
  </r>
  <r>
    <x v="38"/>
    <s v="conventional_turnover_pct_REFI_42"/>
    <x v="82"/>
    <n v="1"/>
    <n v="1"/>
    <n v="-20"/>
    <n v="120"/>
  </r>
  <r>
    <x v="38"/>
    <s v="conventional_turnover_pct_REFI_43"/>
    <x v="83"/>
    <n v="1"/>
    <n v="1"/>
    <n v="-20"/>
    <n v="120"/>
  </r>
  <r>
    <x v="38"/>
    <s v="conventional_turnover_pct_REFI_44"/>
    <x v="84"/>
    <n v="1"/>
    <n v="1"/>
    <n v="-20"/>
    <n v="120"/>
  </r>
  <r>
    <x v="38"/>
    <s v="conventional_turnover_pct_REFI_45"/>
    <x v="85"/>
    <n v="1"/>
    <n v="1"/>
    <n v="-20"/>
    <n v="120"/>
  </r>
  <r>
    <x v="38"/>
    <s v="conventional_turnover_pct_REFI_46"/>
    <x v="86"/>
    <n v="1"/>
    <n v="1"/>
    <n v="-20"/>
    <n v="120"/>
  </r>
  <r>
    <x v="38"/>
    <s v="conventional_turnover_pct_REFI_47"/>
    <x v="87"/>
    <n v="1"/>
    <n v="1"/>
    <n v="-20"/>
    <n v="120"/>
  </r>
  <r>
    <x v="38"/>
    <s v="conventional_turnover_pct_REFI_48"/>
    <x v="88"/>
    <n v="1"/>
    <n v="1"/>
    <n v="-20"/>
    <n v="120"/>
  </r>
  <r>
    <x v="38"/>
    <s v="conventional_turnover_pct_REFI_49"/>
    <x v="89"/>
    <n v="1"/>
    <n v="1"/>
    <n v="-20"/>
    <n v="120"/>
  </r>
  <r>
    <x v="38"/>
    <s v="conventional_turnover_pct_REFI_50"/>
    <x v="90"/>
    <n v="1"/>
    <n v="1"/>
    <n v="-20"/>
    <n v="120"/>
  </r>
  <r>
    <x v="38"/>
    <s v="conventional_turnover_pct_REFI_51"/>
    <x v="91"/>
    <n v="1"/>
    <n v="1"/>
    <n v="-20"/>
    <n v="120"/>
  </r>
  <r>
    <x v="38"/>
    <s v="conventional_turnover_pct_REFI_52"/>
    <x v="92"/>
    <n v="1"/>
    <n v="1"/>
    <n v="-20"/>
    <n v="120"/>
  </r>
  <r>
    <x v="38"/>
    <s v="conventional_turnover_pct_REFI_53"/>
    <x v="93"/>
    <n v="1"/>
    <n v="1"/>
    <n v="-20"/>
    <n v="120"/>
  </r>
  <r>
    <x v="38"/>
    <s v="conventional_turnover_pct_REFI_54"/>
    <x v="94"/>
    <n v="1"/>
    <n v="1"/>
    <n v="-20"/>
    <n v="120"/>
  </r>
  <r>
    <x v="38"/>
    <s v="conventional_turnover_pct_REFI_55"/>
    <x v="95"/>
    <n v="1"/>
    <n v="1"/>
    <n v="-20"/>
    <n v="120"/>
  </r>
  <r>
    <x v="38"/>
    <s v="conventional_turnover_pct_REFI_56"/>
    <x v="96"/>
    <n v="1"/>
    <n v="1"/>
    <n v="-20"/>
    <n v="120"/>
  </r>
  <r>
    <x v="38"/>
    <s v="conventional_turnover_pct_REFI_57"/>
    <x v="97"/>
    <n v="1"/>
    <n v="1"/>
    <n v="-20"/>
    <n v="120"/>
  </r>
  <r>
    <x v="38"/>
    <s v="conventional_turnover_pct_REFI_58"/>
    <x v="98"/>
    <n v="1"/>
    <n v="1"/>
    <n v="-20"/>
    <n v="120"/>
  </r>
  <r>
    <x v="38"/>
    <s v="conventional_turnover_pct_REFI_59"/>
    <x v="99"/>
    <n v="1"/>
    <n v="1"/>
    <n v="-20"/>
    <n v="120"/>
  </r>
  <r>
    <x v="38"/>
    <s v="conventional_turnover_pct_REFI_60"/>
    <x v="100"/>
    <n v="1"/>
    <n v="1"/>
    <n v="-20"/>
    <n v="120"/>
  </r>
  <r>
    <x v="38"/>
    <s v="conventional_turnover_pct_REFI_61"/>
    <x v="101"/>
    <n v="1"/>
    <n v="1"/>
    <n v="-20"/>
    <n v="120"/>
  </r>
  <r>
    <x v="38"/>
    <s v="conventional_turnover_pct_REFI_62"/>
    <x v="102"/>
    <n v="1"/>
    <n v="1"/>
    <n v="-20"/>
    <n v="120"/>
  </r>
  <r>
    <x v="38"/>
    <s v="conventional_turnover_pct_REFI_63"/>
    <x v="103"/>
    <n v="1"/>
    <n v="1"/>
    <n v="-20"/>
    <n v="120"/>
  </r>
  <r>
    <x v="38"/>
    <s v="conventional_turnover_pct_REFI_64"/>
    <x v="104"/>
    <n v="1"/>
    <n v="1"/>
    <n v="-20"/>
    <n v="120"/>
  </r>
  <r>
    <x v="38"/>
    <s v="conventional_turnover_pct_REFI_65"/>
    <x v="105"/>
    <n v="1"/>
    <n v="1"/>
    <n v="-20"/>
    <n v="120"/>
  </r>
  <r>
    <x v="38"/>
    <s v="conventional_turnover_pct_REFI_66"/>
    <x v="106"/>
    <n v="1"/>
    <n v="1"/>
    <n v="-20"/>
    <n v="120"/>
  </r>
  <r>
    <x v="38"/>
    <s v="conventional_turnover_pct_REFI_67"/>
    <x v="107"/>
    <n v="1"/>
    <n v="1"/>
    <n v="-20"/>
    <n v="120"/>
  </r>
  <r>
    <x v="38"/>
    <s v="conventional_turnover_pct_REFI_68"/>
    <x v="108"/>
    <n v="1"/>
    <n v="1"/>
    <n v="-20"/>
    <n v="120"/>
  </r>
  <r>
    <x v="38"/>
    <s v="conventional_turnover_pct_REFI_69"/>
    <x v="109"/>
    <n v="1"/>
    <n v="1"/>
    <n v="-20"/>
    <n v="120"/>
  </r>
  <r>
    <x v="38"/>
    <s v="conventional_turnover_pct_REFI_70"/>
    <x v="110"/>
    <n v="1"/>
    <n v="1"/>
    <n v="-20"/>
    <n v="120"/>
  </r>
  <r>
    <x v="38"/>
    <s v="conventional_turnover_pct_REFI_71"/>
    <x v="111"/>
    <n v="1"/>
    <n v="1"/>
    <n v="-20"/>
    <n v="120"/>
  </r>
  <r>
    <x v="38"/>
    <s v="conventional_turnover_pct_REFI_72"/>
    <x v="112"/>
    <n v="1"/>
    <n v="1"/>
    <n v="-20"/>
    <n v="120"/>
  </r>
  <r>
    <x v="38"/>
    <s v="conventional_turnover_pct_REFI_73"/>
    <x v="113"/>
    <n v="1"/>
    <n v="1"/>
    <n v="-20"/>
    <n v="120"/>
  </r>
  <r>
    <x v="38"/>
    <s v="conventional_turnover_pct_REFI_74"/>
    <x v="114"/>
    <n v="1"/>
    <n v="1"/>
    <n v="-20"/>
    <n v="120"/>
  </r>
  <r>
    <x v="38"/>
    <s v="conventional_turnover_pct_REFI_75"/>
    <x v="115"/>
    <n v="1"/>
    <n v="1"/>
    <n v="-20"/>
    <n v="120"/>
  </r>
  <r>
    <x v="38"/>
    <s v="conventional_turnover_pct_REFI_76"/>
    <x v="116"/>
    <n v="1"/>
    <n v="1"/>
    <n v="-20"/>
    <n v="120"/>
  </r>
  <r>
    <x v="38"/>
    <s v="conventional_turnover_pct_REFI_77"/>
    <x v="117"/>
    <n v="1"/>
    <n v="1"/>
    <n v="-20"/>
    <n v="120"/>
  </r>
  <r>
    <x v="38"/>
    <s v="conventional_turnover_pct_REFI_78"/>
    <x v="118"/>
    <n v="1"/>
    <n v="1"/>
    <n v="-20"/>
    <n v="120"/>
  </r>
  <r>
    <x v="38"/>
    <s v="conventional_turnover_pct_REFI_79"/>
    <x v="119"/>
    <n v="1"/>
    <n v="1"/>
    <n v="-20"/>
    <n v="120"/>
  </r>
  <r>
    <x v="38"/>
    <s v="conventional_turnover_pct_REFI_80"/>
    <x v="120"/>
    <n v="1"/>
    <n v="1"/>
    <n v="-20"/>
    <n v="120"/>
  </r>
  <r>
    <x v="38"/>
    <s v="conventional_turnover_pct_REFI_81"/>
    <x v="121"/>
    <n v="1"/>
    <n v="1"/>
    <n v="-20"/>
    <n v="120"/>
  </r>
  <r>
    <x v="38"/>
    <s v="conventional_turnover_pct_REFI_82"/>
    <x v="122"/>
    <n v="1"/>
    <n v="1"/>
    <n v="-20"/>
    <n v="120"/>
  </r>
  <r>
    <x v="38"/>
    <s v="conventional_turnover_pct_REFI_83"/>
    <x v="123"/>
    <n v="1"/>
    <n v="1"/>
    <n v="-20"/>
    <n v="120"/>
  </r>
  <r>
    <x v="38"/>
    <s v="conventional_turnover_pct_REFI_84"/>
    <x v="124"/>
    <n v="1"/>
    <n v="1"/>
    <n v="-20"/>
    <n v="120"/>
  </r>
  <r>
    <x v="38"/>
    <s v="conventional_turnover_pct_REFI_85"/>
    <x v="125"/>
    <n v="1"/>
    <n v="1"/>
    <n v="-20"/>
    <n v="120"/>
  </r>
  <r>
    <x v="38"/>
    <s v="conventional_turnover_pct_REFI_86"/>
    <x v="126"/>
    <n v="1"/>
    <n v="1"/>
    <n v="-20"/>
    <n v="120"/>
  </r>
  <r>
    <x v="38"/>
    <s v="conventional_turnover_pct_REFI_87"/>
    <x v="127"/>
    <n v="1"/>
    <n v="1"/>
    <n v="-20"/>
    <n v="120"/>
  </r>
  <r>
    <x v="38"/>
    <s v="conventional_turnover_pct_REFI_88"/>
    <x v="128"/>
    <n v="1"/>
    <n v="1"/>
    <n v="-20"/>
    <n v="120"/>
  </r>
  <r>
    <x v="38"/>
    <s v="conventional_turnover_pct_REFI_89"/>
    <x v="129"/>
    <n v="1"/>
    <n v="1"/>
    <n v="-20"/>
    <n v="120"/>
  </r>
  <r>
    <x v="38"/>
    <s v="conventional_turnover_pct_REFI_90"/>
    <x v="130"/>
    <n v="1"/>
    <n v="1"/>
    <n v="-20"/>
    <n v="120"/>
  </r>
  <r>
    <x v="38"/>
    <s v="conventional_turnover_pct_REFI_91"/>
    <x v="131"/>
    <n v="1"/>
    <n v="1"/>
    <n v="-20"/>
    <n v="120"/>
  </r>
  <r>
    <x v="38"/>
    <s v="conventional_turnover_pct_REFI_92"/>
    <x v="132"/>
    <n v="1"/>
    <n v="1"/>
    <n v="-20"/>
    <n v="120"/>
  </r>
  <r>
    <x v="38"/>
    <s v="conventional_turnover_pct_REFI_93"/>
    <x v="133"/>
    <n v="1"/>
    <n v="1"/>
    <n v="-20"/>
    <n v="120"/>
  </r>
  <r>
    <x v="38"/>
    <s v="conventional_turnover_pct_REFI_94"/>
    <x v="134"/>
    <n v="1"/>
    <n v="1"/>
    <n v="-20"/>
    <n v="120"/>
  </r>
  <r>
    <x v="38"/>
    <s v="conventional_turnover_pct_REFI_95"/>
    <x v="135"/>
    <n v="1"/>
    <n v="1"/>
    <n v="-20"/>
    <n v="120"/>
  </r>
  <r>
    <x v="38"/>
    <s v="conventional_turnover_pct_REFI_96"/>
    <x v="136"/>
    <n v="1"/>
    <n v="1"/>
    <n v="-20"/>
    <n v="120"/>
  </r>
  <r>
    <x v="38"/>
    <s v="conventional_turnover_pct_REFI_97"/>
    <x v="137"/>
    <n v="1"/>
    <n v="1"/>
    <n v="-20"/>
    <n v="120"/>
  </r>
  <r>
    <x v="38"/>
    <s v="conventional_turnover_pct_REFI_98"/>
    <x v="138"/>
    <n v="1"/>
    <n v="1"/>
    <n v="-20"/>
    <n v="120"/>
  </r>
  <r>
    <x v="38"/>
    <s v="conventional_turnover_pct_REFI_99"/>
    <x v="139"/>
    <n v="1"/>
    <n v="1"/>
    <n v="-20"/>
    <n v="120"/>
  </r>
  <r>
    <x v="38"/>
    <s v="conventional_turnover_pct_REFI_100"/>
    <x v="140"/>
    <n v="1"/>
    <n v="1"/>
    <n v="-20"/>
    <n v="120"/>
  </r>
  <r>
    <x v="38"/>
    <s v="conventional_turnover_pct_REFI_101"/>
    <x v="141"/>
    <n v="1"/>
    <n v="1"/>
    <n v="-20"/>
    <n v="120"/>
  </r>
  <r>
    <x v="38"/>
    <s v="conventional_turnover_pct_REFI_102"/>
    <x v="142"/>
    <n v="1"/>
    <n v="1"/>
    <n v="-20"/>
    <n v="120"/>
  </r>
  <r>
    <x v="38"/>
    <s v="conventional_turnover_pct_REFI_103"/>
    <x v="143"/>
    <n v="1"/>
    <n v="1"/>
    <n v="-20"/>
    <n v="120"/>
  </r>
  <r>
    <x v="38"/>
    <s v="conventional_turnover_pct_REFI_104"/>
    <x v="144"/>
    <n v="1"/>
    <n v="1"/>
    <n v="-20"/>
    <n v="120"/>
  </r>
  <r>
    <x v="38"/>
    <s v="conventional_turnover_pct_REFI_105"/>
    <x v="145"/>
    <n v="1"/>
    <n v="1"/>
    <n v="-20"/>
    <n v="120"/>
  </r>
  <r>
    <x v="38"/>
    <s v="conventional_turnover_pct_REFI_106"/>
    <x v="146"/>
    <n v="1"/>
    <n v="1"/>
    <n v="-20"/>
    <n v="120"/>
  </r>
  <r>
    <x v="38"/>
    <s v="conventional_turnover_pct_REFI_107"/>
    <x v="147"/>
    <n v="1"/>
    <n v="1"/>
    <n v="-20"/>
    <n v="120"/>
  </r>
  <r>
    <x v="38"/>
    <s v="conventional_turnover_pct_REFI_108"/>
    <x v="148"/>
    <n v="1"/>
    <n v="1"/>
    <n v="-20"/>
    <n v="120"/>
  </r>
  <r>
    <x v="38"/>
    <s v="conventional_turnover_pct_REFI_109"/>
    <x v="149"/>
    <n v="1"/>
    <n v="1"/>
    <n v="-20"/>
    <n v="120"/>
  </r>
  <r>
    <x v="38"/>
    <s v="conventional_turnover_pct_REFI_110"/>
    <x v="150"/>
    <n v="1"/>
    <n v="1"/>
    <n v="-20"/>
    <n v="120"/>
  </r>
  <r>
    <x v="38"/>
    <s v="conventional_turnover_pct_REFI_111"/>
    <x v="151"/>
    <n v="1"/>
    <n v="1"/>
    <n v="-20"/>
    <n v="120"/>
  </r>
  <r>
    <x v="38"/>
    <s v="conventional_turnover_pct_REFI_112"/>
    <x v="152"/>
    <n v="1"/>
    <n v="1"/>
    <n v="-20"/>
    <n v="120"/>
  </r>
  <r>
    <x v="38"/>
    <s v="conventional_turnover_pct_REFI_113"/>
    <x v="153"/>
    <n v="1"/>
    <n v="1"/>
    <n v="-20"/>
    <n v="120"/>
  </r>
  <r>
    <x v="38"/>
    <s v="conventional_turnover_pct_REFI_114"/>
    <x v="154"/>
    <n v="1"/>
    <n v="1"/>
    <n v="-20"/>
    <n v="120"/>
  </r>
  <r>
    <x v="38"/>
    <s v="conventional_turnover_pct_REFI_115"/>
    <x v="155"/>
    <n v="1"/>
    <n v="1"/>
    <n v="-20"/>
    <n v="120"/>
  </r>
  <r>
    <x v="38"/>
    <s v="conventional_turnover_pct_REFI_116"/>
    <x v="156"/>
    <n v="1"/>
    <n v="1"/>
    <n v="-20"/>
    <n v="120"/>
  </r>
  <r>
    <x v="38"/>
    <s v="conventional_turnover_pct_REFI_117"/>
    <x v="157"/>
    <n v="1"/>
    <n v="1"/>
    <n v="-20"/>
    <n v="120"/>
  </r>
  <r>
    <x v="38"/>
    <s v="conventional_turnover_pct_REFI_118"/>
    <x v="158"/>
    <n v="1"/>
    <n v="1"/>
    <n v="-20"/>
    <n v="120"/>
  </r>
  <r>
    <x v="38"/>
    <s v="conventional_turnover_pct_REFI_119"/>
    <x v="159"/>
    <n v="1"/>
    <n v="1"/>
    <n v="-20"/>
    <n v="120"/>
  </r>
  <r>
    <x v="38"/>
    <s v="conventional_turnover_pct_REFI_120"/>
    <x v="160"/>
    <n v="1"/>
    <n v="1"/>
    <n v="-20"/>
    <n v="120"/>
  </r>
  <r>
    <x v="39"/>
    <s v="conventional_turnover_pct_inv_-20"/>
    <x v="20"/>
    <n v="0.96399999999999997"/>
    <n v="1"/>
    <n v="-20"/>
    <n v="120"/>
  </r>
  <r>
    <x v="39"/>
    <s v="conventional_turnover_pct_inv_-19"/>
    <x v="21"/>
    <n v="0.96579999999999999"/>
    <n v="1"/>
    <n v="-20"/>
    <n v="120"/>
  </r>
  <r>
    <x v="39"/>
    <s v="conventional_turnover_pct_inv_-18"/>
    <x v="22"/>
    <n v="0.96760000000000002"/>
    <n v="1"/>
    <n v="-20"/>
    <n v="120"/>
  </r>
  <r>
    <x v="39"/>
    <s v="conventional_turnover_pct_inv_-17"/>
    <x v="23"/>
    <n v="0.96940000000000004"/>
    <n v="1"/>
    <n v="-20"/>
    <n v="120"/>
  </r>
  <r>
    <x v="39"/>
    <s v="conventional_turnover_pct_inv_-16"/>
    <x v="24"/>
    <n v="0.97119999999999995"/>
    <n v="1"/>
    <n v="-20"/>
    <n v="120"/>
  </r>
  <r>
    <x v="39"/>
    <s v="conventional_turnover_pct_inv_-15"/>
    <x v="25"/>
    <n v="0.97299999999999998"/>
    <n v="1"/>
    <n v="-20"/>
    <n v="120"/>
  </r>
  <r>
    <x v="39"/>
    <s v="conventional_turnover_pct_inv_-14"/>
    <x v="26"/>
    <n v="0.9748"/>
    <n v="1"/>
    <n v="-20"/>
    <n v="120"/>
  </r>
  <r>
    <x v="39"/>
    <s v="conventional_turnover_pct_inv_-13"/>
    <x v="27"/>
    <n v="0.97660000000000002"/>
    <n v="1"/>
    <n v="-20"/>
    <n v="120"/>
  </r>
  <r>
    <x v="39"/>
    <s v="conventional_turnover_pct_inv_-12"/>
    <x v="28"/>
    <n v="0.97840000000000005"/>
    <n v="1"/>
    <n v="-20"/>
    <n v="120"/>
  </r>
  <r>
    <x v="39"/>
    <s v="conventional_turnover_pct_inv_-11"/>
    <x v="29"/>
    <n v="0.98019999999999996"/>
    <n v="1"/>
    <n v="-20"/>
    <n v="120"/>
  </r>
  <r>
    <x v="39"/>
    <s v="conventional_turnover_pct_inv_-10"/>
    <x v="30"/>
    <n v="0.98199999999999998"/>
    <n v="1"/>
    <n v="-20"/>
    <n v="120"/>
  </r>
  <r>
    <x v="39"/>
    <s v="conventional_turnover_pct_inv_-9"/>
    <x v="31"/>
    <n v="0.98380000000000001"/>
    <n v="1"/>
    <n v="-20"/>
    <n v="120"/>
  </r>
  <r>
    <x v="39"/>
    <s v="conventional_turnover_pct_inv_-8"/>
    <x v="32"/>
    <n v="0.98560000000000003"/>
    <n v="1"/>
    <n v="-20"/>
    <n v="120"/>
  </r>
  <r>
    <x v="39"/>
    <s v="conventional_turnover_pct_inv_-7"/>
    <x v="33"/>
    <n v="0.98740000000000006"/>
    <n v="1"/>
    <n v="-20"/>
    <n v="120"/>
  </r>
  <r>
    <x v="39"/>
    <s v="conventional_turnover_pct_inv_-6"/>
    <x v="34"/>
    <n v="0.98919999999999997"/>
    <n v="1"/>
    <n v="-20"/>
    <n v="120"/>
  </r>
  <r>
    <x v="39"/>
    <s v="conventional_turnover_pct_inv_-5"/>
    <x v="35"/>
    <n v="0.99099999999999999"/>
    <n v="1"/>
    <n v="-20"/>
    <n v="120"/>
  </r>
  <r>
    <x v="39"/>
    <s v="conventional_turnover_pct_inv_-4"/>
    <x v="36"/>
    <n v="0.99280000000000002"/>
    <n v="1"/>
    <n v="-20"/>
    <n v="120"/>
  </r>
  <r>
    <x v="39"/>
    <s v="conventional_turnover_pct_inv_-3"/>
    <x v="37"/>
    <n v="0.99460000000000004"/>
    <n v="1"/>
    <n v="-20"/>
    <n v="120"/>
  </r>
  <r>
    <x v="39"/>
    <s v="conventional_turnover_pct_inv_-2"/>
    <x v="38"/>
    <n v="0.99639999999999995"/>
    <n v="1"/>
    <n v="-20"/>
    <n v="120"/>
  </r>
  <r>
    <x v="39"/>
    <s v="conventional_turnover_pct_inv_-1"/>
    <x v="39"/>
    <n v="0.99819999999999998"/>
    <n v="1"/>
    <n v="-20"/>
    <n v="120"/>
  </r>
  <r>
    <x v="39"/>
    <s v="conventional_turnover_pct_inv_0"/>
    <x v="40"/>
    <n v="1"/>
    <n v="1"/>
    <n v="-20"/>
    <n v="120"/>
  </r>
  <r>
    <x v="39"/>
    <s v="conventional_turnover_pct_inv_1"/>
    <x v="41"/>
    <n v="1.0018"/>
    <n v="1"/>
    <n v="-20"/>
    <n v="120"/>
  </r>
  <r>
    <x v="39"/>
    <s v="conventional_turnover_pct_inv_2"/>
    <x v="42"/>
    <n v="1.0036"/>
    <n v="1"/>
    <n v="-20"/>
    <n v="120"/>
  </r>
  <r>
    <x v="39"/>
    <s v="conventional_turnover_pct_inv_3"/>
    <x v="43"/>
    <n v="1.0054000000000001"/>
    <n v="1"/>
    <n v="-20"/>
    <n v="120"/>
  </r>
  <r>
    <x v="39"/>
    <s v="conventional_turnover_pct_inv_4"/>
    <x v="44"/>
    <n v="1.0072000000000001"/>
    <n v="1"/>
    <n v="-20"/>
    <n v="120"/>
  </r>
  <r>
    <x v="39"/>
    <s v="conventional_turnover_pct_inv_5"/>
    <x v="45"/>
    <n v="1.0089999999999999"/>
    <n v="1"/>
    <n v="-20"/>
    <n v="120"/>
  </r>
  <r>
    <x v="39"/>
    <s v="conventional_turnover_pct_inv_6"/>
    <x v="46"/>
    <n v="1.0107999999999999"/>
    <n v="1"/>
    <n v="-20"/>
    <n v="120"/>
  </r>
  <r>
    <x v="39"/>
    <s v="conventional_turnover_pct_inv_7"/>
    <x v="47"/>
    <n v="1.0125999999999999"/>
    <n v="1"/>
    <n v="-20"/>
    <n v="120"/>
  </r>
  <r>
    <x v="39"/>
    <s v="conventional_turnover_pct_inv_8"/>
    <x v="48"/>
    <n v="1.0144"/>
    <n v="1"/>
    <n v="-20"/>
    <n v="120"/>
  </r>
  <r>
    <x v="39"/>
    <s v="conventional_turnover_pct_inv_9"/>
    <x v="49"/>
    <n v="1.0162"/>
    <n v="1"/>
    <n v="-20"/>
    <n v="120"/>
  </r>
  <r>
    <x v="39"/>
    <s v="conventional_turnover_pct_inv_10"/>
    <x v="50"/>
    <n v="1.018"/>
    <n v="1"/>
    <n v="-20"/>
    <n v="120"/>
  </r>
  <r>
    <x v="39"/>
    <s v="conventional_turnover_pct_inv_11"/>
    <x v="51"/>
    <n v="1.0198"/>
    <n v="1"/>
    <n v="-20"/>
    <n v="120"/>
  </r>
  <r>
    <x v="39"/>
    <s v="conventional_turnover_pct_inv_12"/>
    <x v="52"/>
    <n v="1.0216000000000001"/>
    <n v="1"/>
    <n v="-20"/>
    <n v="120"/>
  </r>
  <r>
    <x v="39"/>
    <s v="conventional_turnover_pct_inv_13"/>
    <x v="53"/>
    <n v="1.0234000000000001"/>
    <n v="1"/>
    <n v="-20"/>
    <n v="120"/>
  </r>
  <r>
    <x v="39"/>
    <s v="conventional_turnover_pct_inv_14"/>
    <x v="54"/>
    <n v="1.0251999999999999"/>
    <n v="1"/>
    <n v="-20"/>
    <n v="120"/>
  </r>
  <r>
    <x v="39"/>
    <s v="conventional_turnover_pct_inv_15"/>
    <x v="55"/>
    <n v="1.0269999999999999"/>
    <n v="1"/>
    <n v="-20"/>
    <n v="120"/>
  </r>
  <r>
    <x v="39"/>
    <s v="conventional_turnover_pct_inv_16"/>
    <x v="56"/>
    <n v="1.0287999999999999"/>
    <n v="1"/>
    <n v="-20"/>
    <n v="120"/>
  </r>
  <r>
    <x v="39"/>
    <s v="conventional_turnover_pct_inv_17"/>
    <x v="57"/>
    <n v="1.0306"/>
    <n v="1"/>
    <n v="-20"/>
    <n v="120"/>
  </r>
  <r>
    <x v="39"/>
    <s v="conventional_turnover_pct_inv_18"/>
    <x v="58"/>
    <n v="1.0324"/>
    <n v="1"/>
    <n v="-20"/>
    <n v="120"/>
  </r>
  <r>
    <x v="39"/>
    <s v="conventional_turnover_pct_inv_19"/>
    <x v="59"/>
    <n v="1.0342"/>
    <n v="1"/>
    <n v="-20"/>
    <n v="120"/>
  </r>
  <r>
    <x v="39"/>
    <s v="conventional_turnover_pct_inv_20"/>
    <x v="60"/>
    <n v="1.036"/>
    <n v="1"/>
    <n v="-20"/>
    <n v="120"/>
  </r>
  <r>
    <x v="39"/>
    <s v="conventional_turnover_pct_inv_21"/>
    <x v="61"/>
    <n v="1.0378000000000001"/>
    <n v="1"/>
    <n v="-20"/>
    <n v="120"/>
  </r>
  <r>
    <x v="39"/>
    <s v="conventional_turnover_pct_inv_22"/>
    <x v="62"/>
    <n v="1.0396000000000001"/>
    <n v="1"/>
    <n v="-20"/>
    <n v="120"/>
  </r>
  <r>
    <x v="39"/>
    <s v="conventional_turnover_pct_inv_23"/>
    <x v="63"/>
    <n v="1.0414000000000001"/>
    <n v="1"/>
    <n v="-20"/>
    <n v="120"/>
  </r>
  <r>
    <x v="39"/>
    <s v="conventional_turnover_pct_inv_24"/>
    <x v="64"/>
    <n v="1.0431999999999999"/>
    <n v="1"/>
    <n v="-20"/>
    <n v="120"/>
  </r>
  <r>
    <x v="39"/>
    <s v="conventional_turnover_pct_inv_25"/>
    <x v="65"/>
    <n v="1.0449999999999999"/>
    <n v="1"/>
    <n v="-20"/>
    <n v="120"/>
  </r>
  <r>
    <x v="39"/>
    <s v="conventional_turnover_pct_inv_26"/>
    <x v="66"/>
    <n v="1.0468"/>
    <n v="1"/>
    <n v="-20"/>
    <n v="120"/>
  </r>
  <r>
    <x v="39"/>
    <s v="conventional_turnover_pct_inv_27"/>
    <x v="67"/>
    <n v="1.0486"/>
    <n v="1"/>
    <n v="-20"/>
    <n v="120"/>
  </r>
  <r>
    <x v="39"/>
    <s v="conventional_turnover_pct_inv_28"/>
    <x v="68"/>
    <n v="1.0504"/>
    <n v="1"/>
    <n v="-20"/>
    <n v="120"/>
  </r>
  <r>
    <x v="39"/>
    <s v="conventional_turnover_pct_inv_29"/>
    <x v="69"/>
    <n v="1.0522"/>
    <n v="1"/>
    <n v="-20"/>
    <n v="120"/>
  </r>
  <r>
    <x v="39"/>
    <s v="conventional_turnover_pct_inv_30"/>
    <x v="70"/>
    <n v="1.054"/>
    <n v="1"/>
    <n v="-20"/>
    <n v="120"/>
  </r>
  <r>
    <x v="39"/>
    <s v="conventional_turnover_pct_inv_31"/>
    <x v="71"/>
    <n v="1.0558000000000001"/>
    <n v="1"/>
    <n v="-20"/>
    <n v="120"/>
  </r>
  <r>
    <x v="39"/>
    <s v="conventional_turnover_pct_inv_32"/>
    <x v="72"/>
    <n v="1.0576000000000001"/>
    <n v="1"/>
    <n v="-20"/>
    <n v="120"/>
  </r>
  <r>
    <x v="39"/>
    <s v="conventional_turnover_pct_inv_33"/>
    <x v="73"/>
    <n v="1.0593999999999999"/>
    <n v="1"/>
    <n v="-20"/>
    <n v="120"/>
  </r>
  <r>
    <x v="39"/>
    <s v="conventional_turnover_pct_inv_34"/>
    <x v="74"/>
    <n v="1.0611999999999999"/>
    <n v="1"/>
    <n v="-20"/>
    <n v="120"/>
  </r>
  <r>
    <x v="39"/>
    <s v="conventional_turnover_pct_inv_35"/>
    <x v="75"/>
    <n v="1.0629999999999999"/>
    <n v="1"/>
    <n v="-20"/>
    <n v="120"/>
  </r>
  <r>
    <x v="39"/>
    <s v="conventional_turnover_pct_inv_36"/>
    <x v="76"/>
    <n v="1.0648"/>
    <n v="1"/>
    <n v="-20"/>
    <n v="120"/>
  </r>
  <r>
    <x v="39"/>
    <s v="conventional_turnover_pct_inv_37"/>
    <x v="77"/>
    <n v="1.0666"/>
    <n v="1"/>
    <n v="-20"/>
    <n v="120"/>
  </r>
  <r>
    <x v="39"/>
    <s v="conventional_turnover_pct_inv_38"/>
    <x v="78"/>
    <n v="1.0684"/>
    <n v="1"/>
    <n v="-20"/>
    <n v="120"/>
  </r>
  <r>
    <x v="39"/>
    <s v="conventional_turnover_pct_inv_39"/>
    <x v="79"/>
    <n v="1.0702"/>
    <n v="1"/>
    <n v="-20"/>
    <n v="120"/>
  </r>
  <r>
    <x v="39"/>
    <s v="conventional_turnover_pct_inv_40"/>
    <x v="80"/>
    <n v="1.0720000000000001"/>
    <n v="1"/>
    <n v="-20"/>
    <n v="120"/>
  </r>
  <r>
    <x v="39"/>
    <s v="conventional_turnover_pct_inv_41"/>
    <x v="81"/>
    <n v="1.0738000000000001"/>
    <n v="1"/>
    <n v="-20"/>
    <n v="120"/>
  </r>
  <r>
    <x v="39"/>
    <s v="conventional_turnover_pct_inv_42"/>
    <x v="82"/>
    <n v="1.0755999999999999"/>
    <n v="1"/>
    <n v="-20"/>
    <n v="120"/>
  </r>
  <r>
    <x v="39"/>
    <s v="conventional_turnover_pct_inv_43"/>
    <x v="83"/>
    <n v="1.0773999999999999"/>
    <n v="1"/>
    <n v="-20"/>
    <n v="120"/>
  </r>
  <r>
    <x v="39"/>
    <s v="conventional_turnover_pct_inv_44"/>
    <x v="84"/>
    <n v="1.0791999999999999"/>
    <n v="1"/>
    <n v="-20"/>
    <n v="120"/>
  </r>
  <r>
    <x v="39"/>
    <s v="conventional_turnover_pct_inv_45"/>
    <x v="85"/>
    <n v="1.081"/>
    <n v="1"/>
    <n v="-20"/>
    <n v="120"/>
  </r>
  <r>
    <x v="39"/>
    <s v="conventional_turnover_pct_inv_46"/>
    <x v="86"/>
    <n v="1.0828"/>
    <n v="1"/>
    <n v="-20"/>
    <n v="120"/>
  </r>
  <r>
    <x v="39"/>
    <s v="conventional_turnover_pct_inv_47"/>
    <x v="87"/>
    <n v="1.0846"/>
    <n v="1"/>
    <n v="-20"/>
    <n v="120"/>
  </r>
  <r>
    <x v="39"/>
    <s v="conventional_turnover_pct_inv_48"/>
    <x v="88"/>
    <n v="1.0864"/>
    <n v="1"/>
    <n v="-20"/>
    <n v="120"/>
  </r>
  <r>
    <x v="39"/>
    <s v="conventional_turnover_pct_inv_49"/>
    <x v="89"/>
    <n v="1.0882000000000001"/>
    <n v="1"/>
    <n v="-20"/>
    <n v="120"/>
  </r>
  <r>
    <x v="39"/>
    <s v="conventional_turnover_pct_inv_50"/>
    <x v="90"/>
    <n v="1.0900000000000001"/>
    <n v="1"/>
    <n v="-20"/>
    <n v="120"/>
  </r>
  <r>
    <x v="39"/>
    <s v="conventional_turnover_pct_inv_51"/>
    <x v="91"/>
    <n v="1.0918000000000001"/>
    <n v="1"/>
    <n v="-20"/>
    <n v="120"/>
  </r>
  <r>
    <x v="39"/>
    <s v="conventional_turnover_pct_inv_52"/>
    <x v="92"/>
    <n v="1.0935999999999999"/>
    <n v="1"/>
    <n v="-20"/>
    <n v="120"/>
  </r>
  <r>
    <x v="39"/>
    <s v="conventional_turnover_pct_inv_53"/>
    <x v="93"/>
    <n v="1.0953999999999999"/>
    <n v="1"/>
    <n v="-20"/>
    <n v="120"/>
  </r>
  <r>
    <x v="39"/>
    <s v="conventional_turnover_pct_inv_54"/>
    <x v="94"/>
    <n v="1.0972"/>
    <n v="1"/>
    <n v="-20"/>
    <n v="120"/>
  </r>
  <r>
    <x v="39"/>
    <s v="conventional_turnover_pct_inv_55"/>
    <x v="95"/>
    <n v="1.099"/>
    <n v="1"/>
    <n v="-20"/>
    <n v="120"/>
  </r>
  <r>
    <x v="39"/>
    <s v="conventional_turnover_pct_inv_56"/>
    <x v="96"/>
    <n v="1.1008"/>
    <n v="1"/>
    <n v="-20"/>
    <n v="120"/>
  </r>
  <r>
    <x v="39"/>
    <s v="conventional_turnover_pct_inv_57"/>
    <x v="97"/>
    <n v="1.1026"/>
    <n v="1"/>
    <n v="-20"/>
    <n v="120"/>
  </r>
  <r>
    <x v="39"/>
    <s v="conventional_turnover_pct_inv_58"/>
    <x v="98"/>
    <n v="1.1044"/>
    <n v="1"/>
    <n v="-20"/>
    <n v="120"/>
  </r>
  <r>
    <x v="39"/>
    <s v="conventional_turnover_pct_inv_59"/>
    <x v="99"/>
    <n v="1.1062000000000001"/>
    <n v="1"/>
    <n v="-20"/>
    <n v="120"/>
  </r>
  <r>
    <x v="39"/>
    <s v="conventional_turnover_pct_inv_60"/>
    <x v="100"/>
    <n v="1.1080000000000001"/>
    <n v="1"/>
    <n v="-20"/>
    <n v="120"/>
  </r>
  <r>
    <x v="39"/>
    <s v="conventional_turnover_pct_inv_61"/>
    <x v="101"/>
    <n v="1.1097999999999999"/>
    <n v="1"/>
    <n v="-20"/>
    <n v="120"/>
  </r>
  <r>
    <x v="39"/>
    <s v="conventional_turnover_pct_inv_62"/>
    <x v="102"/>
    <n v="1.1115999999999999"/>
    <n v="1"/>
    <n v="-20"/>
    <n v="120"/>
  </r>
  <r>
    <x v="39"/>
    <s v="conventional_turnover_pct_inv_63"/>
    <x v="103"/>
    <n v="1.1133999999999999"/>
    <n v="1"/>
    <n v="-20"/>
    <n v="120"/>
  </r>
  <r>
    <x v="39"/>
    <s v="conventional_turnover_pct_inv_64"/>
    <x v="104"/>
    <n v="1.1152"/>
    <n v="1"/>
    <n v="-20"/>
    <n v="120"/>
  </r>
  <r>
    <x v="39"/>
    <s v="conventional_turnover_pct_inv_65"/>
    <x v="105"/>
    <n v="1.117"/>
    <n v="1"/>
    <n v="-20"/>
    <n v="120"/>
  </r>
  <r>
    <x v="39"/>
    <s v="conventional_turnover_pct_inv_66"/>
    <x v="106"/>
    <n v="1.1188"/>
    <n v="1"/>
    <n v="-20"/>
    <n v="120"/>
  </r>
  <r>
    <x v="39"/>
    <s v="conventional_turnover_pct_inv_67"/>
    <x v="107"/>
    <n v="1.1206"/>
    <n v="1"/>
    <n v="-20"/>
    <n v="120"/>
  </r>
  <r>
    <x v="39"/>
    <s v="conventional_turnover_pct_inv_68"/>
    <x v="108"/>
    <n v="1.1224000000000001"/>
    <n v="1"/>
    <n v="-20"/>
    <n v="120"/>
  </r>
  <r>
    <x v="39"/>
    <s v="conventional_turnover_pct_inv_69"/>
    <x v="109"/>
    <n v="1.1242000000000001"/>
    <n v="1"/>
    <n v="-20"/>
    <n v="120"/>
  </r>
  <r>
    <x v="39"/>
    <s v="conventional_turnover_pct_inv_70"/>
    <x v="110"/>
    <n v="1.1259999999999999"/>
    <n v="1"/>
    <n v="-20"/>
    <n v="120"/>
  </r>
  <r>
    <x v="39"/>
    <s v="conventional_turnover_pct_inv_71"/>
    <x v="111"/>
    <n v="1.1277999999999999"/>
    <n v="1"/>
    <n v="-20"/>
    <n v="120"/>
  </r>
  <r>
    <x v="39"/>
    <s v="conventional_turnover_pct_inv_72"/>
    <x v="112"/>
    <n v="1.1295999999999999"/>
    <n v="1"/>
    <n v="-20"/>
    <n v="120"/>
  </r>
  <r>
    <x v="39"/>
    <s v="conventional_turnover_pct_inv_73"/>
    <x v="113"/>
    <n v="1.1314"/>
    <n v="1"/>
    <n v="-20"/>
    <n v="120"/>
  </r>
  <r>
    <x v="39"/>
    <s v="conventional_turnover_pct_inv_74"/>
    <x v="114"/>
    <n v="1.1332"/>
    <n v="1"/>
    <n v="-20"/>
    <n v="120"/>
  </r>
  <r>
    <x v="39"/>
    <s v="conventional_turnover_pct_inv_75"/>
    <x v="115"/>
    <n v="1.135"/>
    <n v="1"/>
    <n v="-20"/>
    <n v="120"/>
  </r>
  <r>
    <x v="39"/>
    <s v="conventional_turnover_pct_inv_76"/>
    <x v="116"/>
    <n v="1.1368"/>
    <n v="1"/>
    <n v="-20"/>
    <n v="120"/>
  </r>
  <r>
    <x v="39"/>
    <s v="conventional_turnover_pct_inv_77"/>
    <x v="117"/>
    <n v="1.1386000000000001"/>
    <n v="1"/>
    <n v="-20"/>
    <n v="120"/>
  </r>
  <r>
    <x v="39"/>
    <s v="conventional_turnover_pct_inv_78"/>
    <x v="118"/>
    <n v="1.1404000000000001"/>
    <n v="1"/>
    <n v="-20"/>
    <n v="120"/>
  </r>
  <r>
    <x v="39"/>
    <s v="conventional_turnover_pct_inv_79"/>
    <x v="119"/>
    <n v="1.1422000000000001"/>
    <n v="1"/>
    <n v="-20"/>
    <n v="120"/>
  </r>
  <r>
    <x v="39"/>
    <s v="conventional_turnover_pct_inv_80"/>
    <x v="120"/>
    <n v="1.1439999999999999"/>
    <n v="1"/>
    <n v="-20"/>
    <n v="120"/>
  </r>
  <r>
    <x v="39"/>
    <s v="conventional_turnover_pct_inv_81"/>
    <x v="121"/>
    <n v="1.1457999999999999"/>
    <n v="1"/>
    <n v="-20"/>
    <n v="120"/>
  </r>
  <r>
    <x v="39"/>
    <s v="conventional_turnover_pct_inv_82"/>
    <x v="122"/>
    <n v="1.1476"/>
    <n v="1"/>
    <n v="-20"/>
    <n v="120"/>
  </r>
  <r>
    <x v="39"/>
    <s v="conventional_turnover_pct_inv_83"/>
    <x v="123"/>
    <n v="1.1494"/>
    <n v="1"/>
    <n v="-20"/>
    <n v="120"/>
  </r>
  <r>
    <x v="39"/>
    <s v="conventional_turnover_pct_inv_84"/>
    <x v="124"/>
    <n v="1.1512"/>
    <n v="1"/>
    <n v="-20"/>
    <n v="120"/>
  </r>
  <r>
    <x v="39"/>
    <s v="conventional_turnover_pct_inv_85"/>
    <x v="125"/>
    <n v="1.153"/>
    <n v="1"/>
    <n v="-20"/>
    <n v="120"/>
  </r>
  <r>
    <x v="39"/>
    <s v="conventional_turnover_pct_inv_86"/>
    <x v="126"/>
    <n v="1.1548"/>
    <n v="1"/>
    <n v="-20"/>
    <n v="120"/>
  </r>
  <r>
    <x v="39"/>
    <s v="conventional_turnover_pct_inv_87"/>
    <x v="127"/>
    <n v="1.1566000000000001"/>
    <n v="1"/>
    <n v="-20"/>
    <n v="120"/>
  </r>
  <r>
    <x v="39"/>
    <s v="conventional_turnover_pct_inv_88"/>
    <x v="128"/>
    <n v="1.1584000000000001"/>
    <n v="1"/>
    <n v="-20"/>
    <n v="120"/>
  </r>
  <r>
    <x v="39"/>
    <s v="conventional_turnover_pct_inv_89"/>
    <x v="129"/>
    <n v="1.1601999999999999"/>
    <n v="1"/>
    <n v="-20"/>
    <n v="120"/>
  </r>
  <r>
    <x v="39"/>
    <s v="conventional_turnover_pct_inv_90"/>
    <x v="130"/>
    <n v="1.1619999999999999"/>
    <n v="1"/>
    <n v="-20"/>
    <n v="120"/>
  </r>
  <r>
    <x v="39"/>
    <s v="conventional_turnover_pct_inv_91"/>
    <x v="131"/>
    <n v="1.1637999999999999"/>
    <n v="1"/>
    <n v="-20"/>
    <n v="120"/>
  </r>
  <r>
    <x v="39"/>
    <s v="conventional_turnover_pct_inv_92"/>
    <x v="132"/>
    <n v="1.1656"/>
    <n v="1"/>
    <n v="-20"/>
    <n v="120"/>
  </r>
  <r>
    <x v="39"/>
    <s v="conventional_turnover_pct_inv_93"/>
    <x v="133"/>
    <n v="1.1674"/>
    <n v="1"/>
    <n v="-20"/>
    <n v="120"/>
  </r>
  <r>
    <x v="39"/>
    <s v="conventional_turnover_pct_inv_94"/>
    <x v="134"/>
    <n v="1.1692"/>
    <n v="1"/>
    <n v="-20"/>
    <n v="120"/>
  </r>
  <r>
    <x v="39"/>
    <s v="conventional_turnover_pct_inv_95"/>
    <x v="135"/>
    <n v="1.171"/>
    <n v="1"/>
    <n v="-20"/>
    <n v="120"/>
  </r>
  <r>
    <x v="39"/>
    <s v="conventional_turnover_pct_inv_96"/>
    <x v="136"/>
    <n v="1.1728000000000001"/>
    <n v="1"/>
    <n v="-20"/>
    <n v="120"/>
  </r>
  <r>
    <x v="39"/>
    <s v="conventional_turnover_pct_inv_97"/>
    <x v="137"/>
    <n v="1.1746000000000001"/>
    <n v="1"/>
    <n v="-20"/>
    <n v="120"/>
  </r>
  <r>
    <x v="39"/>
    <s v="conventional_turnover_pct_inv_98"/>
    <x v="138"/>
    <n v="1.1763999999999999"/>
    <n v="1"/>
    <n v="-20"/>
    <n v="120"/>
  </r>
  <r>
    <x v="39"/>
    <s v="conventional_turnover_pct_inv_99"/>
    <x v="139"/>
    <n v="1.1781999999999999"/>
    <n v="1"/>
    <n v="-20"/>
    <n v="120"/>
  </r>
  <r>
    <x v="39"/>
    <s v="conventional_turnover_pct_inv_100"/>
    <x v="140"/>
    <n v="1.18"/>
    <n v="1"/>
    <n v="-20"/>
    <n v="120"/>
  </r>
  <r>
    <x v="39"/>
    <s v="conventional_turnover_pct_inv_101"/>
    <x v="141"/>
    <n v="1.1818"/>
    <n v="1"/>
    <n v="-20"/>
    <n v="120"/>
  </r>
  <r>
    <x v="39"/>
    <s v="conventional_turnover_pct_inv_102"/>
    <x v="142"/>
    <n v="1.1836"/>
    <n v="1"/>
    <n v="-20"/>
    <n v="120"/>
  </r>
  <r>
    <x v="39"/>
    <s v="conventional_turnover_pct_inv_103"/>
    <x v="143"/>
    <n v="1.1854"/>
    <n v="1"/>
    <n v="-20"/>
    <n v="120"/>
  </r>
  <r>
    <x v="39"/>
    <s v="conventional_turnover_pct_inv_104"/>
    <x v="144"/>
    <n v="1.1872"/>
    <n v="1"/>
    <n v="-20"/>
    <n v="120"/>
  </r>
  <r>
    <x v="39"/>
    <s v="conventional_turnover_pct_inv_105"/>
    <x v="145"/>
    <n v="1.1890000000000001"/>
    <n v="1"/>
    <n v="-20"/>
    <n v="120"/>
  </r>
  <r>
    <x v="39"/>
    <s v="conventional_turnover_pct_inv_106"/>
    <x v="146"/>
    <n v="1.1908000000000001"/>
    <n v="1"/>
    <n v="-20"/>
    <n v="120"/>
  </r>
  <r>
    <x v="39"/>
    <s v="conventional_turnover_pct_inv_107"/>
    <x v="147"/>
    <n v="1.1926000000000001"/>
    <n v="1"/>
    <n v="-20"/>
    <n v="120"/>
  </r>
  <r>
    <x v="39"/>
    <s v="conventional_turnover_pct_inv_108"/>
    <x v="148"/>
    <n v="1.1943999999999999"/>
    <n v="1"/>
    <n v="-20"/>
    <n v="120"/>
  </r>
  <r>
    <x v="39"/>
    <s v="conventional_turnover_pct_inv_109"/>
    <x v="149"/>
    <n v="1.1961999999999999"/>
    <n v="1"/>
    <n v="-20"/>
    <n v="120"/>
  </r>
  <r>
    <x v="39"/>
    <s v="conventional_turnover_pct_inv_110"/>
    <x v="150"/>
    <n v="1.198"/>
    <n v="1"/>
    <n v="-20"/>
    <n v="120"/>
  </r>
  <r>
    <x v="39"/>
    <s v="conventional_turnover_pct_inv_111"/>
    <x v="151"/>
    <n v="1.1998"/>
    <n v="1"/>
    <n v="-20"/>
    <n v="120"/>
  </r>
  <r>
    <x v="39"/>
    <s v="conventional_turnover_pct_inv_112"/>
    <x v="152"/>
    <n v="1.2016"/>
    <n v="1"/>
    <n v="-20"/>
    <n v="120"/>
  </r>
  <r>
    <x v="39"/>
    <s v="conventional_turnover_pct_inv_113"/>
    <x v="153"/>
    <n v="1.2034"/>
    <n v="1"/>
    <n v="-20"/>
    <n v="120"/>
  </r>
  <r>
    <x v="39"/>
    <s v="conventional_turnover_pct_inv_114"/>
    <x v="154"/>
    <n v="1.2052"/>
    <n v="1"/>
    <n v="-20"/>
    <n v="120"/>
  </r>
  <r>
    <x v="39"/>
    <s v="conventional_turnover_pct_inv_115"/>
    <x v="155"/>
    <n v="1.2070000000000001"/>
    <n v="1"/>
    <n v="-20"/>
    <n v="120"/>
  </r>
  <r>
    <x v="39"/>
    <s v="conventional_turnover_pct_inv_116"/>
    <x v="156"/>
    <n v="1.2088000000000001"/>
    <n v="1"/>
    <n v="-20"/>
    <n v="120"/>
  </r>
  <r>
    <x v="39"/>
    <s v="conventional_turnover_pct_inv_117"/>
    <x v="157"/>
    <n v="1.2105999999999999"/>
    <n v="1"/>
    <n v="-20"/>
    <n v="120"/>
  </r>
  <r>
    <x v="39"/>
    <s v="conventional_turnover_pct_inv_118"/>
    <x v="158"/>
    <n v="1.2123999999999999"/>
    <n v="1"/>
    <n v="-20"/>
    <n v="120"/>
  </r>
  <r>
    <x v="39"/>
    <s v="conventional_turnover_pct_inv_119"/>
    <x v="159"/>
    <n v="1.2141999999999999"/>
    <n v="1"/>
    <n v="-20"/>
    <n v="120"/>
  </r>
  <r>
    <x v="39"/>
    <s v="conventional_turnover_pct_inv_120"/>
    <x v="160"/>
    <n v="1.216"/>
    <n v="1"/>
    <n v="-20"/>
    <n v="120"/>
  </r>
  <r>
    <x v="40"/>
    <s v="conventional_turnover_pct_second_lien_-20"/>
    <x v="20"/>
    <n v="0.93615999999999999"/>
    <n v="1"/>
    <n v="-20"/>
    <n v="120"/>
  </r>
  <r>
    <x v="40"/>
    <s v="conventional_turnover_pct_second_lien_-19"/>
    <x v="21"/>
    <n v="0.93785200000000002"/>
    <n v="1"/>
    <n v="-20"/>
    <n v="120"/>
  </r>
  <r>
    <x v="40"/>
    <s v="conventional_turnover_pct_second_lien_-18"/>
    <x v="22"/>
    <n v="0.93954400000000005"/>
    <n v="1"/>
    <n v="-20"/>
    <n v="120"/>
  </r>
  <r>
    <x v="40"/>
    <s v="conventional_turnover_pct_second_lien_-17"/>
    <x v="23"/>
    <n v="0.94123599999999996"/>
    <n v="1"/>
    <n v="-20"/>
    <n v="120"/>
  </r>
  <r>
    <x v="40"/>
    <s v="conventional_turnover_pct_second_lien_-16"/>
    <x v="24"/>
    <n v="0.94292799999999999"/>
    <n v="1"/>
    <n v="-20"/>
    <n v="120"/>
  </r>
  <r>
    <x v="40"/>
    <s v="conventional_turnover_pct_second_lien_-15"/>
    <x v="25"/>
    <n v="0.94462000000000002"/>
    <n v="1"/>
    <n v="-20"/>
    <n v="120"/>
  </r>
  <r>
    <x v="40"/>
    <s v="conventional_turnover_pct_second_lien_-14"/>
    <x v="26"/>
    <n v="0.94631200000000004"/>
    <n v="1"/>
    <n v="-20"/>
    <n v="120"/>
  </r>
  <r>
    <x v="40"/>
    <s v="conventional_turnover_pct_second_lien_-13"/>
    <x v="27"/>
    <n v="0.94800399999999996"/>
    <n v="1"/>
    <n v="-20"/>
    <n v="120"/>
  </r>
  <r>
    <x v="40"/>
    <s v="conventional_turnover_pct_second_lien_-12"/>
    <x v="28"/>
    <n v="0.94969599999999998"/>
    <n v="1"/>
    <n v="-20"/>
    <n v="120"/>
  </r>
  <r>
    <x v="40"/>
    <s v="conventional_turnover_pct_second_lien_-11"/>
    <x v="29"/>
    <n v="0.95138800000000001"/>
    <n v="1"/>
    <n v="-20"/>
    <n v="120"/>
  </r>
  <r>
    <x v="40"/>
    <s v="conventional_turnover_pct_second_lien_-10"/>
    <x v="30"/>
    <n v="0.95308000000000004"/>
    <n v="1"/>
    <n v="-20"/>
    <n v="120"/>
  </r>
  <r>
    <x v="40"/>
    <s v="conventional_turnover_pct_second_lien_-9"/>
    <x v="31"/>
    <n v="0.95477199999999995"/>
    <n v="1"/>
    <n v="-20"/>
    <n v="120"/>
  </r>
  <r>
    <x v="40"/>
    <s v="conventional_turnover_pct_second_lien_-8"/>
    <x v="32"/>
    <n v="0.95646399999999998"/>
    <n v="1"/>
    <n v="-20"/>
    <n v="120"/>
  </r>
  <r>
    <x v="40"/>
    <s v="conventional_turnover_pct_second_lien_-7"/>
    <x v="33"/>
    <n v="0.95815600000000001"/>
    <n v="1"/>
    <n v="-20"/>
    <n v="120"/>
  </r>
  <r>
    <x v="40"/>
    <s v="conventional_turnover_pct_second_lien_-6"/>
    <x v="34"/>
    <n v="0.95984800000000003"/>
    <n v="1"/>
    <n v="-20"/>
    <n v="120"/>
  </r>
  <r>
    <x v="40"/>
    <s v="conventional_turnover_pct_second_lien_-5"/>
    <x v="35"/>
    <n v="0.96153999999999995"/>
    <n v="1"/>
    <n v="-20"/>
    <n v="120"/>
  </r>
  <r>
    <x v="40"/>
    <s v="conventional_turnover_pct_second_lien_-4"/>
    <x v="36"/>
    <n v="0.96323199999999998"/>
    <n v="1"/>
    <n v="-20"/>
    <n v="120"/>
  </r>
  <r>
    <x v="40"/>
    <s v="conventional_turnover_pct_second_lien_-3"/>
    <x v="37"/>
    <n v="0.964924"/>
    <n v="1"/>
    <n v="-20"/>
    <n v="120"/>
  </r>
  <r>
    <x v="40"/>
    <s v="conventional_turnover_pct_second_lien_-2"/>
    <x v="38"/>
    <n v="0.96661600000000003"/>
    <n v="1"/>
    <n v="-20"/>
    <n v="120"/>
  </r>
  <r>
    <x v="40"/>
    <s v="conventional_turnover_pct_second_lien_-1"/>
    <x v="39"/>
    <n v="0.96830799999999995"/>
    <n v="1"/>
    <n v="-20"/>
    <n v="120"/>
  </r>
  <r>
    <x v="40"/>
    <s v="conventional_turnover_pct_second_lien_0"/>
    <x v="40"/>
    <n v="0.97"/>
    <n v="1"/>
    <n v="-20"/>
    <n v="120"/>
  </r>
  <r>
    <x v="40"/>
    <s v="conventional_turnover_pct_second_lien_1"/>
    <x v="41"/>
    <n v="0.971692"/>
    <n v="1"/>
    <n v="-20"/>
    <n v="120"/>
  </r>
  <r>
    <x v="40"/>
    <s v="conventional_turnover_pct_second_lien_2"/>
    <x v="42"/>
    <n v="0.97338400000000003"/>
    <n v="1"/>
    <n v="-20"/>
    <n v="120"/>
  </r>
  <r>
    <x v="40"/>
    <s v="conventional_turnover_pct_second_lien_3"/>
    <x v="43"/>
    <n v="0.97507600000000005"/>
    <n v="1"/>
    <n v="-20"/>
    <n v="120"/>
  </r>
  <r>
    <x v="40"/>
    <s v="conventional_turnover_pct_second_lien_4"/>
    <x v="44"/>
    <n v="0.97676799999999997"/>
    <n v="1"/>
    <n v="-20"/>
    <n v="120"/>
  </r>
  <r>
    <x v="40"/>
    <s v="conventional_turnover_pct_second_lien_5"/>
    <x v="45"/>
    <n v="0.97846"/>
    <n v="1"/>
    <n v="-20"/>
    <n v="120"/>
  </r>
  <r>
    <x v="40"/>
    <s v="conventional_turnover_pct_second_lien_6"/>
    <x v="46"/>
    <n v="0.98015200000000002"/>
    <n v="1"/>
    <n v="-20"/>
    <n v="120"/>
  </r>
  <r>
    <x v="40"/>
    <s v="conventional_turnover_pct_second_lien_7"/>
    <x v="47"/>
    <n v="0.98184400000000005"/>
    <n v="1"/>
    <n v="-20"/>
    <n v="120"/>
  </r>
  <r>
    <x v="40"/>
    <s v="conventional_turnover_pct_second_lien_8"/>
    <x v="48"/>
    <n v="0.98353599999999997"/>
    <n v="1"/>
    <n v="-20"/>
    <n v="120"/>
  </r>
  <r>
    <x v="40"/>
    <s v="conventional_turnover_pct_second_lien_9"/>
    <x v="49"/>
    <n v="0.98522799999999999"/>
    <n v="1"/>
    <n v="-20"/>
    <n v="120"/>
  </r>
  <r>
    <x v="40"/>
    <s v="conventional_turnover_pct_second_lien_10"/>
    <x v="50"/>
    <n v="0.98692000000000002"/>
    <n v="1"/>
    <n v="-20"/>
    <n v="120"/>
  </r>
  <r>
    <x v="40"/>
    <s v="conventional_turnover_pct_second_lien_11"/>
    <x v="51"/>
    <n v="0.98861200000000005"/>
    <n v="1"/>
    <n v="-20"/>
    <n v="120"/>
  </r>
  <r>
    <x v="40"/>
    <s v="conventional_turnover_pct_second_lien_12"/>
    <x v="52"/>
    <n v="0.99030399999999996"/>
    <n v="1"/>
    <n v="-20"/>
    <n v="120"/>
  </r>
  <r>
    <x v="40"/>
    <s v="conventional_turnover_pct_second_lien_13"/>
    <x v="53"/>
    <n v="0.99199599999999999"/>
    <n v="1"/>
    <n v="-20"/>
    <n v="120"/>
  </r>
  <r>
    <x v="40"/>
    <s v="conventional_turnover_pct_second_lien_14"/>
    <x v="54"/>
    <n v="0.99368800000000002"/>
    <n v="1"/>
    <n v="-20"/>
    <n v="120"/>
  </r>
  <r>
    <x v="40"/>
    <s v="conventional_turnover_pct_second_lien_15"/>
    <x v="55"/>
    <n v="0.99538000000000004"/>
    <n v="1"/>
    <n v="-20"/>
    <n v="120"/>
  </r>
  <r>
    <x v="40"/>
    <s v="conventional_turnover_pct_second_lien_16"/>
    <x v="56"/>
    <n v="0.99707199999999996"/>
    <n v="1"/>
    <n v="-20"/>
    <n v="120"/>
  </r>
  <r>
    <x v="40"/>
    <s v="conventional_turnover_pct_second_lien_17"/>
    <x v="57"/>
    <n v="0.99876399999999999"/>
    <n v="1"/>
    <n v="-20"/>
    <n v="120"/>
  </r>
  <r>
    <x v="40"/>
    <s v="conventional_turnover_pct_second_lien_18"/>
    <x v="58"/>
    <n v="1.000456"/>
    <n v="1"/>
    <n v="-20"/>
    <n v="120"/>
  </r>
  <r>
    <x v="40"/>
    <s v="conventional_turnover_pct_second_lien_19"/>
    <x v="59"/>
    <n v="1.002148"/>
    <n v="1"/>
    <n v="-20"/>
    <n v="120"/>
  </r>
  <r>
    <x v="40"/>
    <s v="conventional_turnover_pct_second_lien_20"/>
    <x v="60"/>
    <n v="1.0038400000000001"/>
    <n v="1"/>
    <n v="-20"/>
    <n v="120"/>
  </r>
  <r>
    <x v="40"/>
    <s v="conventional_turnover_pct_second_lien_21"/>
    <x v="61"/>
    <n v="1.0055320000000001"/>
    <n v="1"/>
    <n v="-20"/>
    <n v="120"/>
  </r>
  <r>
    <x v="40"/>
    <s v="conventional_turnover_pct_second_lien_22"/>
    <x v="62"/>
    <n v="1.0072239999999999"/>
    <n v="1"/>
    <n v="-20"/>
    <n v="120"/>
  </r>
  <r>
    <x v="40"/>
    <s v="conventional_turnover_pct_second_lien_23"/>
    <x v="63"/>
    <n v="1.0089159999999999"/>
    <n v="1"/>
    <n v="-20"/>
    <n v="120"/>
  </r>
  <r>
    <x v="40"/>
    <s v="conventional_turnover_pct_second_lien_24"/>
    <x v="64"/>
    <n v="1.010608"/>
    <n v="1"/>
    <n v="-20"/>
    <n v="120"/>
  </r>
  <r>
    <x v="40"/>
    <s v="conventional_turnover_pct_second_lien_25"/>
    <x v="65"/>
    <n v="1.0123"/>
    <n v="1"/>
    <n v="-20"/>
    <n v="120"/>
  </r>
  <r>
    <x v="40"/>
    <s v="conventional_turnover_pct_second_lien_26"/>
    <x v="66"/>
    <n v="1.013992"/>
    <n v="1"/>
    <n v="-20"/>
    <n v="120"/>
  </r>
  <r>
    <x v="40"/>
    <s v="conventional_turnover_pct_second_lien_27"/>
    <x v="67"/>
    <n v="1.015684"/>
    <n v="1"/>
    <n v="-20"/>
    <n v="120"/>
  </r>
  <r>
    <x v="40"/>
    <s v="conventional_turnover_pct_second_lien_28"/>
    <x v="68"/>
    <n v="1.0173760000000001"/>
    <n v="1"/>
    <n v="-20"/>
    <n v="120"/>
  </r>
  <r>
    <x v="40"/>
    <s v="conventional_turnover_pct_second_lien_29"/>
    <x v="69"/>
    <n v="1.0190680000000001"/>
    <n v="1"/>
    <n v="-20"/>
    <n v="120"/>
  </r>
  <r>
    <x v="40"/>
    <s v="conventional_turnover_pct_second_lien_30"/>
    <x v="70"/>
    <n v="1.0207599999999999"/>
    <n v="1"/>
    <n v="-20"/>
    <n v="120"/>
  </r>
  <r>
    <x v="40"/>
    <s v="conventional_turnover_pct_second_lien_31"/>
    <x v="71"/>
    <n v="1.0224519999999999"/>
    <n v="1"/>
    <n v="-20"/>
    <n v="120"/>
  </r>
  <r>
    <x v="40"/>
    <s v="conventional_turnover_pct_second_lien_32"/>
    <x v="72"/>
    <n v="1.0241439999999999"/>
    <n v="1"/>
    <n v="-20"/>
    <n v="120"/>
  </r>
  <r>
    <x v="40"/>
    <s v="conventional_turnover_pct_second_lien_33"/>
    <x v="73"/>
    <n v="1.025836"/>
    <n v="1"/>
    <n v="-20"/>
    <n v="120"/>
  </r>
  <r>
    <x v="40"/>
    <s v="conventional_turnover_pct_second_lien_34"/>
    <x v="74"/>
    <n v="1.027528"/>
    <n v="1"/>
    <n v="-20"/>
    <n v="120"/>
  </r>
  <r>
    <x v="40"/>
    <s v="conventional_turnover_pct_second_lien_35"/>
    <x v="75"/>
    <n v="1.02922"/>
    <n v="1"/>
    <n v="-20"/>
    <n v="120"/>
  </r>
  <r>
    <x v="40"/>
    <s v="conventional_turnover_pct_second_lien_36"/>
    <x v="76"/>
    <n v="1.0309120000000001"/>
    <n v="1"/>
    <n v="-20"/>
    <n v="120"/>
  </r>
  <r>
    <x v="40"/>
    <s v="conventional_turnover_pct_second_lien_37"/>
    <x v="77"/>
    <n v="1.0326040000000001"/>
    <n v="1"/>
    <n v="-20"/>
    <n v="120"/>
  </r>
  <r>
    <x v="40"/>
    <s v="conventional_turnover_pct_second_lien_38"/>
    <x v="78"/>
    <n v="1.0342960000000001"/>
    <n v="1"/>
    <n v="-20"/>
    <n v="120"/>
  </r>
  <r>
    <x v="40"/>
    <s v="conventional_turnover_pct_second_lien_39"/>
    <x v="79"/>
    <n v="1.0359879999999999"/>
    <n v="1"/>
    <n v="-20"/>
    <n v="120"/>
  </r>
  <r>
    <x v="40"/>
    <s v="conventional_turnover_pct_second_lien_40"/>
    <x v="80"/>
    <n v="1.0376799999999999"/>
    <n v="1"/>
    <n v="-20"/>
    <n v="120"/>
  </r>
  <r>
    <x v="40"/>
    <s v="conventional_turnover_pct_second_lien_41"/>
    <x v="81"/>
    <n v="1.039372"/>
    <n v="1"/>
    <n v="-20"/>
    <n v="120"/>
  </r>
  <r>
    <x v="40"/>
    <s v="conventional_turnover_pct_second_lien_42"/>
    <x v="82"/>
    <n v="1.041064"/>
    <n v="1"/>
    <n v="-20"/>
    <n v="120"/>
  </r>
  <r>
    <x v="40"/>
    <s v="conventional_turnover_pct_second_lien_43"/>
    <x v="83"/>
    <n v="1.042756"/>
    <n v="1"/>
    <n v="-20"/>
    <n v="120"/>
  </r>
  <r>
    <x v="40"/>
    <s v="conventional_turnover_pct_second_lien_44"/>
    <x v="84"/>
    <n v="1.044448"/>
    <n v="1"/>
    <n v="-20"/>
    <n v="120"/>
  </r>
  <r>
    <x v="40"/>
    <s v="conventional_turnover_pct_second_lien_45"/>
    <x v="85"/>
    <n v="1.0461400000000001"/>
    <n v="1"/>
    <n v="-20"/>
    <n v="120"/>
  </r>
  <r>
    <x v="40"/>
    <s v="conventional_turnover_pct_second_lien_46"/>
    <x v="86"/>
    <n v="1.0478320000000001"/>
    <n v="1"/>
    <n v="-20"/>
    <n v="120"/>
  </r>
  <r>
    <x v="40"/>
    <s v="conventional_turnover_pct_second_lien_47"/>
    <x v="87"/>
    <n v="1.0495239999999999"/>
    <n v="1"/>
    <n v="-20"/>
    <n v="120"/>
  </r>
  <r>
    <x v="40"/>
    <s v="conventional_turnover_pct_second_lien_48"/>
    <x v="88"/>
    <n v="1.0512159999999999"/>
    <n v="1"/>
    <n v="-20"/>
    <n v="120"/>
  </r>
  <r>
    <x v="40"/>
    <s v="conventional_turnover_pct_second_lien_49"/>
    <x v="89"/>
    <n v="1.052908"/>
    <n v="1"/>
    <n v="-20"/>
    <n v="120"/>
  </r>
  <r>
    <x v="40"/>
    <s v="conventional_turnover_pct_second_lien_50"/>
    <x v="90"/>
    <n v="1.0546"/>
    <n v="1"/>
    <n v="-20"/>
    <n v="120"/>
  </r>
  <r>
    <x v="40"/>
    <s v="conventional_turnover_pct_second_lien_51"/>
    <x v="91"/>
    <n v="1.056292"/>
    <n v="1"/>
    <n v="-20"/>
    <n v="120"/>
  </r>
  <r>
    <x v="40"/>
    <s v="conventional_turnover_pct_second_lien_52"/>
    <x v="92"/>
    <n v="1.057984"/>
    <n v="1"/>
    <n v="-20"/>
    <n v="120"/>
  </r>
  <r>
    <x v="40"/>
    <s v="conventional_turnover_pct_second_lien_53"/>
    <x v="93"/>
    <n v="1.0596760000000001"/>
    <n v="1"/>
    <n v="-20"/>
    <n v="120"/>
  </r>
  <r>
    <x v="40"/>
    <s v="conventional_turnover_pct_second_lien_54"/>
    <x v="94"/>
    <n v="1.0613680000000001"/>
    <n v="1"/>
    <n v="-20"/>
    <n v="120"/>
  </r>
  <r>
    <x v="40"/>
    <s v="conventional_turnover_pct_second_lien_55"/>
    <x v="95"/>
    <n v="1.0630599999999999"/>
    <n v="1"/>
    <n v="-20"/>
    <n v="120"/>
  </r>
  <r>
    <x v="40"/>
    <s v="conventional_turnover_pct_second_lien_56"/>
    <x v="96"/>
    <n v="1.0647519999999999"/>
    <n v="1"/>
    <n v="-20"/>
    <n v="120"/>
  </r>
  <r>
    <x v="40"/>
    <s v="conventional_turnover_pct_second_lien_57"/>
    <x v="97"/>
    <n v="1.0664439999999999"/>
    <n v="1"/>
    <n v="-20"/>
    <n v="120"/>
  </r>
  <r>
    <x v="40"/>
    <s v="conventional_turnover_pct_second_lien_58"/>
    <x v="98"/>
    <n v="1.068136"/>
    <n v="1"/>
    <n v="-20"/>
    <n v="120"/>
  </r>
  <r>
    <x v="40"/>
    <s v="conventional_turnover_pct_second_lien_59"/>
    <x v="99"/>
    <n v="1.069828"/>
    <n v="1"/>
    <n v="-20"/>
    <n v="120"/>
  </r>
  <r>
    <x v="40"/>
    <s v="conventional_turnover_pct_second_lien_60"/>
    <x v="100"/>
    <n v="1.07152"/>
    <n v="1"/>
    <n v="-20"/>
    <n v="120"/>
  </r>
  <r>
    <x v="40"/>
    <s v="conventional_turnover_pct_second_lien_61"/>
    <x v="101"/>
    <n v="1.0732120000000001"/>
    <n v="1"/>
    <n v="-20"/>
    <n v="120"/>
  </r>
  <r>
    <x v="40"/>
    <s v="conventional_turnover_pct_second_lien_62"/>
    <x v="102"/>
    <n v="1.0749040000000001"/>
    <n v="1"/>
    <n v="-20"/>
    <n v="120"/>
  </r>
  <r>
    <x v="40"/>
    <s v="conventional_turnover_pct_second_lien_63"/>
    <x v="103"/>
    <n v="1.0765960000000001"/>
    <n v="1"/>
    <n v="-20"/>
    <n v="120"/>
  </r>
  <r>
    <x v="40"/>
    <s v="conventional_turnover_pct_second_lien_64"/>
    <x v="104"/>
    <n v="1.0782879999999999"/>
    <n v="1"/>
    <n v="-20"/>
    <n v="120"/>
  </r>
  <r>
    <x v="40"/>
    <s v="conventional_turnover_pct_second_lien_65"/>
    <x v="105"/>
    <n v="1.0799799999999999"/>
    <n v="1"/>
    <n v="-20"/>
    <n v="120"/>
  </r>
  <r>
    <x v="40"/>
    <s v="conventional_turnover_pct_second_lien_66"/>
    <x v="106"/>
    <n v="1.081672"/>
    <n v="1"/>
    <n v="-20"/>
    <n v="120"/>
  </r>
  <r>
    <x v="40"/>
    <s v="conventional_turnover_pct_second_lien_67"/>
    <x v="107"/>
    <n v="1.083364"/>
    <n v="1"/>
    <n v="-20"/>
    <n v="120"/>
  </r>
  <r>
    <x v="40"/>
    <s v="conventional_turnover_pct_second_lien_68"/>
    <x v="108"/>
    <n v="1.085056"/>
    <n v="1"/>
    <n v="-20"/>
    <n v="120"/>
  </r>
  <r>
    <x v="40"/>
    <s v="conventional_turnover_pct_second_lien_69"/>
    <x v="109"/>
    <n v="1.086748"/>
    <n v="1"/>
    <n v="-20"/>
    <n v="120"/>
  </r>
  <r>
    <x v="40"/>
    <s v="conventional_turnover_pct_second_lien_70"/>
    <x v="110"/>
    <n v="1.0884400000000001"/>
    <n v="1"/>
    <n v="-20"/>
    <n v="120"/>
  </r>
  <r>
    <x v="40"/>
    <s v="conventional_turnover_pct_second_lien_71"/>
    <x v="111"/>
    <n v="1.0901320000000001"/>
    <n v="1"/>
    <n v="-20"/>
    <n v="120"/>
  </r>
  <r>
    <x v="40"/>
    <s v="conventional_turnover_pct_second_lien_72"/>
    <x v="112"/>
    <n v="1.0918239999999999"/>
    <n v="1"/>
    <n v="-20"/>
    <n v="120"/>
  </r>
  <r>
    <x v="40"/>
    <s v="conventional_turnover_pct_second_lien_73"/>
    <x v="113"/>
    <n v="1.0935159999999999"/>
    <n v="1"/>
    <n v="-20"/>
    <n v="120"/>
  </r>
  <r>
    <x v="40"/>
    <s v="conventional_turnover_pct_second_lien_74"/>
    <x v="114"/>
    <n v="1.095208"/>
    <n v="1"/>
    <n v="-20"/>
    <n v="120"/>
  </r>
  <r>
    <x v="40"/>
    <s v="conventional_turnover_pct_second_lien_75"/>
    <x v="115"/>
    <n v="1.0969"/>
    <n v="1"/>
    <n v="-20"/>
    <n v="120"/>
  </r>
  <r>
    <x v="40"/>
    <s v="conventional_turnover_pct_second_lien_76"/>
    <x v="116"/>
    <n v="1.098592"/>
    <n v="1"/>
    <n v="-20"/>
    <n v="120"/>
  </r>
  <r>
    <x v="40"/>
    <s v="conventional_turnover_pct_second_lien_77"/>
    <x v="117"/>
    <n v="1.100284"/>
    <n v="1"/>
    <n v="-20"/>
    <n v="120"/>
  </r>
  <r>
    <x v="40"/>
    <s v="conventional_turnover_pct_second_lien_78"/>
    <x v="118"/>
    <n v="1.1019760000000001"/>
    <n v="1"/>
    <n v="-20"/>
    <n v="120"/>
  </r>
  <r>
    <x v="40"/>
    <s v="conventional_turnover_pct_second_lien_79"/>
    <x v="119"/>
    <n v="1.1036680000000001"/>
    <n v="1"/>
    <n v="-20"/>
    <n v="120"/>
  </r>
  <r>
    <x v="40"/>
    <s v="conventional_turnover_pct_second_lien_80"/>
    <x v="120"/>
    <n v="1.1053599999999999"/>
    <n v="1"/>
    <n v="-20"/>
    <n v="120"/>
  </r>
  <r>
    <x v="40"/>
    <s v="conventional_turnover_pct_second_lien_81"/>
    <x v="121"/>
    <n v="1.1070519999999999"/>
    <n v="1"/>
    <n v="-20"/>
    <n v="120"/>
  </r>
  <r>
    <x v="40"/>
    <s v="conventional_turnover_pct_second_lien_82"/>
    <x v="122"/>
    <n v="1.108744"/>
    <n v="1"/>
    <n v="-20"/>
    <n v="120"/>
  </r>
  <r>
    <x v="40"/>
    <s v="conventional_turnover_pct_second_lien_83"/>
    <x v="123"/>
    <n v="1.110436"/>
    <n v="1"/>
    <n v="-20"/>
    <n v="120"/>
  </r>
  <r>
    <x v="40"/>
    <s v="conventional_turnover_pct_second_lien_84"/>
    <x v="124"/>
    <n v="1.112128"/>
    <n v="1"/>
    <n v="-20"/>
    <n v="120"/>
  </r>
  <r>
    <x v="40"/>
    <s v="conventional_turnover_pct_second_lien_85"/>
    <x v="125"/>
    <n v="1.11382"/>
    <n v="1"/>
    <n v="-20"/>
    <n v="120"/>
  </r>
  <r>
    <x v="40"/>
    <s v="conventional_turnover_pct_second_lien_86"/>
    <x v="126"/>
    <n v="1.1155120000000001"/>
    <n v="1"/>
    <n v="-20"/>
    <n v="120"/>
  </r>
  <r>
    <x v="40"/>
    <s v="conventional_turnover_pct_second_lien_87"/>
    <x v="127"/>
    <n v="1.1172040000000001"/>
    <n v="1"/>
    <n v="-20"/>
    <n v="120"/>
  </r>
  <r>
    <x v="40"/>
    <s v="conventional_turnover_pct_second_lien_88"/>
    <x v="128"/>
    <n v="1.1188959999999999"/>
    <n v="1"/>
    <n v="-20"/>
    <n v="120"/>
  </r>
  <r>
    <x v="40"/>
    <s v="conventional_turnover_pct_second_lien_89"/>
    <x v="129"/>
    <n v="1.1205879999999999"/>
    <n v="1"/>
    <n v="-20"/>
    <n v="120"/>
  </r>
  <r>
    <x v="40"/>
    <s v="conventional_turnover_pct_second_lien_90"/>
    <x v="130"/>
    <n v="1.1222799999999999"/>
    <n v="1"/>
    <n v="-20"/>
    <n v="120"/>
  </r>
  <r>
    <x v="40"/>
    <s v="conventional_turnover_pct_second_lien_91"/>
    <x v="131"/>
    <n v="1.123972"/>
    <n v="1"/>
    <n v="-20"/>
    <n v="120"/>
  </r>
  <r>
    <x v="40"/>
    <s v="conventional_turnover_pct_second_lien_92"/>
    <x v="132"/>
    <n v="1.125664"/>
    <n v="1"/>
    <n v="-20"/>
    <n v="120"/>
  </r>
  <r>
    <x v="40"/>
    <s v="conventional_turnover_pct_second_lien_93"/>
    <x v="133"/>
    <n v="1.127356"/>
    <n v="1"/>
    <n v="-20"/>
    <n v="120"/>
  </r>
  <r>
    <x v="40"/>
    <s v="conventional_turnover_pct_second_lien_94"/>
    <x v="134"/>
    <n v="1.1290480000000001"/>
    <n v="1"/>
    <n v="-20"/>
    <n v="120"/>
  </r>
  <r>
    <x v="40"/>
    <s v="conventional_turnover_pct_second_lien_95"/>
    <x v="135"/>
    <n v="1.1307400000000001"/>
    <n v="1"/>
    <n v="-20"/>
    <n v="120"/>
  </r>
  <r>
    <x v="40"/>
    <s v="conventional_turnover_pct_second_lien_96"/>
    <x v="136"/>
    <n v="1.1324320000000001"/>
    <n v="1"/>
    <n v="-20"/>
    <n v="120"/>
  </r>
  <r>
    <x v="40"/>
    <s v="conventional_turnover_pct_second_lien_97"/>
    <x v="137"/>
    <n v="1.1341239999999999"/>
    <n v="1"/>
    <n v="-20"/>
    <n v="120"/>
  </r>
  <r>
    <x v="40"/>
    <s v="conventional_turnover_pct_second_lien_98"/>
    <x v="138"/>
    <n v="1.1358159999999999"/>
    <n v="1"/>
    <n v="-20"/>
    <n v="120"/>
  </r>
  <r>
    <x v="40"/>
    <s v="conventional_turnover_pct_second_lien_99"/>
    <x v="139"/>
    <n v="1.137508"/>
    <n v="1"/>
    <n v="-20"/>
    <n v="120"/>
  </r>
  <r>
    <x v="40"/>
    <s v="conventional_turnover_pct_second_lien_100"/>
    <x v="140"/>
    <n v="1.1392"/>
    <n v="1"/>
    <n v="-20"/>
    <n v="120"/>
  </r>
  <r>
    <x v="40"/>
    <s v="conventional_turnover_pct_second_lien_101"/>
    <x v="141"/>
    <n v="1.140892"/>
    <n v="1"/>
    <n v="-20"/>
    <n v="120"/>
  </r>
  <r>
    <x v="40"/>
    <s v="conventional_turnover_pct_second_lien_102"/>
    <x v="142"/>
    <n v="1.142584"/>
    <n v="1"/>
    <n v="-20"/>
    <n v="120"/>
  </r>
  <r>
    <x v="40"/>
    <s v="conventional_turnover_pct_second_lien_103"/>
    <x v="143"/>
    <n v="1.1442760000000001"/>
    <n v="1"/>
    <n v="-20"/>
    <n v="120"/>
  </r>
  <r>
    <x v="40"/>
    <s v="conventional_turnover_pct_second_lien_104"/>
    <x v="144"/>
    <n v="1.1459680000000001"/>
    <n v="1"/>
    <n v="-20"/>
    <n v="120"/>
  </r>
  <r>
    <x v="40"/>
    <s v="conventional_turnover_pct_second_lien_105"/>
    <x v="145"/>
    <n v="1.1476599999999999"/>
    <n v="1"/>
    <n v="-20"/>
    <n v="120"/>
  </r>
  <r>
    <x v="40"/>
    <s v="conventional_turnover_pct_second_lien_106"/>
    <x v="146"/>
    <n v="1.1493519999999999"/>
    <n v="1"/>
    <n v="-20"/>
    <n v="120"/>
  </r>
  <r>
    <x v="40"/>
    <s v="conventional_turnover_pct_second_lien_107"/>
    <x v="147"/>
    <n v="1.151044"/>
    <n v="1"/>
    <n v="-20"/>
    <n v="120"/>
  </r>
  <r>
    <x v="40"/>
    <s v="conventional_turnover_pct_second_lien_108"/>
    <x v="148"/>
    <n v="1.152736"/>
    <n v="1"/>
    <n v="-20"/>
    <n v="120"/>
  </r>
  <r>
    <x v="40"/>
    <s v="conventional_turnover_pct_second_lien_109"/>
    <x v="149"/>
    <n v="1.154428"/>
    <n v="1"/>
    <n v="-20"/>
    <n v="120"/>
  </r>
  <r>
    <x v="40"/>
    <s v="conventional_turnover_pct_second_lien_110"/>
    <x v="150"/>
    <n v="1.15612"/>
    <n v="1"/>
    <n v="-20"/>
    <n v="120"/>
  </r>
  <r>
    <x v="40"/>
    <s v="conventional_turnover_pct_second_lien_111"/>
    <x v="151"/>
    <n v="1.1578120000000001"/>
    <n v="1"/>
    <n v="-20"/>
    <n v="120"/>
  </r>
  <r>
    <x v="40"/>
    <s v="conventional_turnover_pct_second_lien_112"/>
    <x v="152"/>
    <n v="1.1595040000000001"/>
    <n v="1"/>
    <n v="-20"/>
    <n v="120"/>
  </r>
  <r>
    <x v="40"/>
    <s v="conventional_turnover_pct_second_lien_113"/>
    <x v="153"/>
    <n v="1.1611959999999999"/>
    <n v="1"/>
    <n v="-20"/>
    <n v="120"/>
  </r>
  <r>
    <x v="40"/>
    <s v="conventional_turnover_pct_second_lien_114"/>
    <x v="154"/>
    <n v="1.1628879999999999"/>
    <n v="1"/>
    <n v="-20"/>
    <n v="120"/>
  </r>
  <r>
    <x v="40"/>
    <s v="conventional_turnover_pct_second_lien_115"/>
    <x v="155"/>
    <n v="1.1645799999999999"/>
    <n v="1"/>
    <n v="-20"/>
    <n v="120"/>
  </r>
  <r>
    <x v="40"/>
    <s v="conventional_turnover_pct_second_lien_116"/>
    <x v="156"/>
    <n v="1.166272"/>
    <n v="1"/>
    <n v="-20"/>
    <n v="120"/>
  </r>
  <r>
    <x v="40"/>
    <s v="conventional_turnover_pct_second_lien_117"/>
    <x v="157"/>
    <n v="1.167964"/>
    <n v="1"/>
    <n v="-20"/>
    <n v="120"/>
  </r>
  <r>
    <x v="40"/>
    <s v="conventional_turnover_pct_second_lien_118"/>
    <x v="158"/>
    <n v="1.169656"/>
    <n v="1"/>
    <n v="-20"/>
    <n v="120"/>
  </r>
  <r>
    <x v="40"/>
    <s v="conventional_turnover_pct_second_lien_119"/>
    <x v="159"/>
    <n v="1.1713480000000001"/>
    <n v="1"/>
    <n v="-20"/>
    <n v="120"/>
  </r>
  <r>
    <x v="40"/>
    <s v="conventional_turnover_pct_second_lien_120"/>
    <x v="160"/>
    <n v="1.1730400000000001"/>
    <n v="1"/>
    <n v="-20"/>
    <n v="120"/>
  </r>
  <r>
    <x v="41"/>
    <s v="conventional_turnover_purch_oltv_51"/>
    <x v="91"/>
    <n v="1.131"/>
    <n v="1"/>
    <n v="51"/>
    <n v="114"/>
  </r>
  <r>
    <x v="41"/>
    <s v="conventional_turnover_purch_oltv_52"/>
    <x v="92"/>
    <n v="1.131"/>
    <n v="1"/>
    <n v="51"/>
    <n v="114"/>
  </r>
  <r>
    <x v="41"/>
    <s v="conventional_turnover_purch_oltv_53"/>
    <x v="93"/>
    <n v="1.131"/>
    <n v="1"/>
    <n v="51"/>
    <n v="114"/>
  </r>
  <r>
    <x v="41"/>
    <s v="conventional_turnover_purch_oltv_54"/>
    <x v="94"/>
    <n v="1.131"/>
    <n v="1"/>
    <n v="51"/>
    <n v="114"/>
  </r>
  <r>
    <x v="41"/>
    <s v="conventional_turnover_purch_oltv_55"/>
    <x v="95"/>
    <n v="1.131"/>
    <n v="1"/>
    <n v="51"/>
    <n v="114"/>
  </r>
  <r>
    <x v="41"/>
    <s v="conventional_turnover_purch_oltv_56"/>
    <x v="96"/>
    <n v="1.131"/>
    <n v="1"/>
    <n v="51"/>
    <n v="114"/>
  </r>
  <r>
    <x v="41"/>
    <s v="conventional_turnover_purch_oltv_57"/>
    <x v="97"/>
    <n v="1.131"/>
    <n v="1"/>
    <n v="51"/>
    <n v="114"/>
  </r>
  <r>
    <x v="41"/>
    <s v="conventional_turnover_purch_oltv_58"/>
    <x v="98"/>
    <n v="1.131"/>
    <n v="1"/>
    <n v="51"/>
    <n v="114"/>
  </r>
  <r>
    <x v="41"/>
    <s v="conventional_turnover_purch_oltv_59"/>
    <x v="99"/>
    <n v="1.131"/>
    <n v="1"/>
    <n v="51"/>
    <n v="114"/>
  </r>
  <r>
    <x v="41"/>
    <s v="conventional_turnover_purch_oltv_60"/>
    <x v="100"/>
    <n v="1.131"/>
    <n v="1"/>
    <n v="51"/>
    <n v="114"/>
  </r>
  <r>
    <x v="41"/>
    <s v="conventional_turnover_purch_oltv_61"/>
    <x v="101"/>
    <n v="1.131"/>
    <n v="1"/>
    <n v="51"/>
    <n v="114"/>
  </r>
  <r>
    <x v="41"/>
    <s v="conventional_turnover_purch_oltv_62"/>
    <x v="102"/>
    <n v="1.131"/>
    <n v="1"/>
    <n v="51"/>
    <n v="114"/>
  </r>
  <r>
    <x v="41"/>
    <s v="conventional_turnover_purch_oltv_63"/>
    <x v="103"/>
    <n v="1.131"/>
    <n v="1"/>
    <n v="51"/>
    <n v="114"/>
  </r>
  <r>
    <x v="41"/>
    <s v="conventional_turnover_purch_oltv_64"/>
    <x v="104"/>
    <n v="1.131"/>
    <n v="1"/>
    <n v="51"/>
    <n v="114"/>
  </r>
  <r>
    <x v="41"/>
    <s v="conventional_turnover_purch_oltv_65"/>
    <x v="105"/>
    <n v="1.131"/>
    <n v="1"/>
    <n v="51"/>
    <n v="114"/>
  </r>
  <r>
    <x v="41"/>
    <s v="conventional_turnover_purch_oltv_66"/>
    <x v="106"/>
    <n v="1.131"/>
    <n v="1"/>
    <n v="51"/>
    <n v="114"/>
  </r>
  <r>
    <x v="41"/>
    <s v="conventional_turnover_purch_oltv_67"/>
    <x v="107"/>
    <n v="1.131"/>
    <n v="1"/>
    <n v="51"/>
    <n v="114"/>
  </r>
  <r>
    <x v="41"/>
    <s v="conventional_turnover_purch_oltv_68"/>
    <x v="108"/>
    <n v="1.131"/>
    <n v="1"/>
    <n v="51"/>
    <n v="114"/>
  </r>
  <r>
    <x v="41"/>
    <s v="conventional_turnover_purch_oltv_69"/>
    <x v="109"/>
    <n v="1.131"/>
    <n v="1"/>
    <n v="51"/>
    <n v="114"/>
  </r>
  <r>
    <x v="41"/>
    <s v="conventional_turnover_purch_oltv_70"/>
    <x v="110"/>
    <n v="1.131"/>
    <n v="1"/>
    <n v="51"/>
    <n v="114"/>
  </r>
  <r>
    <x v="41"/>
    <s v="conventional_turnover_purch_oltv_71"/>
    <x v="111"/>
    <n v="1.131"/>
    <n v="1"/>
    <n v="51"/>
    <n v="114"/>
  </r>
  <r>
    <x v="41"/>
    <s v="conventional_turnover_purch_oltv_72"/>
    <x v="112"/>
    <n v="1.131"/>
    <n v="1"/>
    <n v="51"/>
    <n v="114"/>
  </r>
  <r>
    <x v="41"/>
    <s v="conventional_turnover_purch_oltv_73"/>
    <x v="113"/>
    <n v="1.131"/>
    <n v="1"/>
    <n v="51"/>
    <n v="114"/>
  </r>
  <r>
    <x v="41"/>
    <s v="conventional_turnover_purch_oltv_74"/>
    <x v="114"/>
    <n v="1.131"/>
    <n v="1"/>
    <n v="51"/>
    <n v="114"/>
  </r>
  <r>
    <x v="41"/>
    <s v="conventional_turnover_purch_oltv_75"/>
    <x v="115"/>
    <n v="1.131"/>
    <n v="1"/>
    <n v="51"/>
    <n v="114"/>
  </r>
  <r>
    <x v="41"/>
    <s v="conventional_turnover_purch_oltv_76"/>
    <x v="116"/>
    <n v="1.131"/>
    <n v="1"/>
    <n v="51"/>
    <n v="114"/>
  </r>
  <r>
    <x v="41"/>
    <s v="conventional_turnover_purch_oltv_77"/>
    <x v="117"/>
    <n v="1.131"/>
    <n v="1"/>
    <n v="51"/>
    <n v="114"/>
  </r>
  <r>
    <x v="41"/>
    <s v="conventional_turnover_purch_oltv_78"/>
    <x v="118"/>
    <n v="1.131"/>
    <n v="1"/>
    <n v="51"/>
    <n v="114"/>
  </r>
  <r>
    <x v="41"/>
    <s v="conventional_turnover_purch_oltv_79"/>
    <x v="119"/>
    <n v="1.131"/>
    <n v="1"/>
    <n v="51"/>
    <n v="114"/>
  </r>
  <r>
    <x v="41"/>
    <s v="conventional_turnover_purch_oltv_80"/>
    <x v="120"/>
    <n v="1.131"/>
    <n v="1"/>
    <n v="51"/>
    <n v="114"/>
  </r>
  <r>
    <x v="41"/>
    <s v="conventional_turnover_purch_oltv_81"/>
    <x v="121"/>
    <n v="1.131"/>
    <n v="1"/>
    <n v="51"/>
    <n v="114"/>
  </r>
  <r>
    <x v="41"/>
    <s v="conventional_turnover_purch_oltv_82"/>
    <x v="122"/>
    <n v="1.131"/>
    <n v="1"/>
    <n v="51"/>
    <n v="114"/>
  </r>
  <r>
    <x v="41"/>
    <s v="conventional_turnover_purch_oltv_83"/>
    <x v="123"/>
    <n v="1.131"/>
    <n v="1"/>
    <n v="51"/>
    <n v="114"/>
  </r>
  <r>
    <x v="41"/>
    <s v="conventional_turnover_purch_oltv_84"/>
    <x v="124"/>
    <n v="1.131"/>
    <n v="1"/>
    <n v="51"/>
    <n v="114"/>
  </r>
  <r>
    <x v="41"/>
    <s v="conventional_turnover_purch_oltv_85"/>
    <x v="125"/>
    <n v="1.131"/>
    <n v="1"/>
    <n v="51"/>
    <n v="114"/>
  </r>
  <r>
    <x v="41"/>
    <s v="conventional_turnover_purch_oltv_86"/>
    <x v="126"/>
    <n v="1.131"/>
    <n v="1"/>
    <n v="51"/>
    <n v="114"/>
  </r>
  <r>
    <x v="41"/>
    <s v="conventional_turnover_purch_oltv_87"/>
    <x v="127"/>
    <n v="1.131"/>
    <n v="1"/>
    <n v="51"/>
    <n v="114"/>
  </r>
  <r>
    <x v="41"/>
    <s v="conventional_turnover_purch_oltv_88"/>
    <x v="128"/>
    <n v="1.131"/>
    <n v="1"/>
    <n v="51"/>
    <n v="114"/>
  </r>
  <r>
    <x v="41"/>
    <s v="conventional_turnover_purch_oltv_89"/>
    <x v="129"/>
    <n v="1.131"/>
    <n v="1"/>
    <n v="51"/>
    <n v="114"/>
  </r>
  <r>
    <x v="41"/>
    <s v="conventional_turnover_purch_oltv_90"/>
    <x v="130"/>
    <n v="1.131"/>
    <n v="1"/>
    <n v="51"/>
    <n v="114"/>
  </r>
  <r>
    <x v="41"/>
    <s v="conventional_turnover_purch_oltv_91"/>
    <x v="131"/>
    <n v="1.131"/>
    <n v="1"/>
    <n v="51"/>
    <n v="114"/>
  </r>
  <r>
    <x v="41"/>
    <s v="conventional_turnover_purch_oltv_92"/>
    <x v="132"/>
    <n v="1.131"/>
    <n v="1"/>
    <n v="51"/>
    <n v="114"/>
  </r>
  <r>
    <x v="41"/>
    <s v="conventional_turnover_purch_oltv_93"/>
    <x v="133"/>
    <n v="1.131"/>
    <n v="1"/>
    <n v="51"/>
    <n v="114"/>
  </r>
  <r>
    <x v="41"/>
    <s v="conventional_turnover_purch_oltv_94"/>
    <x v="134"/>
    <n v="1.131"/>
    <n v="1"/>
    <n v="51"/>
    <n v="114"/>
  </r>
  <r>
    <x v="41"/>
    <s v="conventional_turnover_purch_oltv_95"/>
    <x v="135"/>
    <n v="1.131"/>
    <n v="1"/>
    <n v="51"/>
    <n v="114"/>
  </r>
  <r>
    <x v="41"/>
    <s v="conventional_turnover_purch_oltv_96"/>
    <x v="136"/>
    <n v="1.131"/>
    <n v="1"/>
    <n v="51"/>
    <n v="114"/>
  </r>
  <r>
    <x v="41"/>
    <s v="conventional_turnover_purch_oltv_97"/>
    <x v="137"/>
    <n v="1.131"/>
    <n v="1"/>
    <n v="51"/>
    <n v="114"/>
  </r>
  <r>
    <x v="41"/>
    <s v="conventional_turnover_purch_oltv_98"/>
    <x v="138"/>
    <n v="1.131"/>
    <n v="1"/>
    <n v="51"/>
    <n v="114"/>
  </r>
  <r>
    <x v="41"/>
    <s v="conventional_turnover_purch_oltv_99"/>
    <x v="139"/>
    <n v="1.131"/>
    <n v="1"/>
    <n v="51"/>
    <n v="114"/>
  </r>
  <r>
    <x v="41"/>
    <s v="conventional_turnover_purch_oltv_100"/>
    <x v="140"/>
    <n v="1.131"/>
    <n v="1"/>
    <n v="51"/>
    <n v="114"/>
  </r>
  <r>
    <x v="41"/>
    <s v="conventional_turnover_purch_oltv_101"/>
    <x v="141"/>
    <n v="1.131"/>
    <n v="1"/>
    <n v="51"/>
    <n v="114"/>
  </r>
  <r>
    <x v="41"/>
    <s v="conventional_turnover_purch_oltv_102"/>
    <x v="142"/>
    <n v="1.131"/>
    <n v="1"/>
    <n v="51"/>
    <n v="114"/>
  </r>
  <r>
    <x v="41"/>
    <s v="conventional_turnover_purch_oltv_103"/>
    <x v="143"/>
    <n v="1.131"/>
    <n v="1"/>
    <n v="51"/>
    <n v="114"/>
  </r>
  <r>
    <x v="41"/>
    <s v="conventional_turnover_purch_oltv_104"/>
    <x v="144"/>
    <n v="1.131"/>
    <n v="1"/>
    <n v="51"/>
    <n v="114"/>
  </r>
  <r>
    <x v="41"/>
    <s v="conventional_turnover_purch_oltv_105"/>
    <x v="145"/>
    <n v="1.131"/>
    <n v="1"/>
    <n v="51"/>
    <n v="114"/>
  </r>
  <r>
    <x v="41"/>
    <s v="conventional_turnover_purch_oltv_106"/>
    <x v="146"/>
    <n v="1.131"/>
    <n v="1"/>
    <n v="51"/>
    <n v="114"/>
  </r>
  <r>
    <x v="41"/>
    <s v="conventional_turnover_purch_oltv_107"/>
    <x v="147"/>
    <n v="1.131"/>
    <n v="1"/>
    <n v="51"/>
    <n v="114"/>
  </r>
  <r>
    <x v="41"/>
    <s v="conventional_turnover_purch_oltv_108"/>
    <x v="148"/>
    <n v="1.131"/>
    <n v="1"/>
    <n v="51"/>
    <n v="114"/>
  </r>
  <r>
    <x v="41"/>
    <s v="conventional_turnover_purch_oltv_109"/>
    <x v="149"/>
    <n v="1.131"/>
    <n v="1"/>
    <n v="51"/>
    <n v="114"/>
  </r>
  <r>
    <x v="41"/>
    <s v="conventional_turnover_purch_oltv_110"/>
    <x v="150"/>
    <n v="1.131"/>
    <n v="1"/>
    <n v="51"/>
    <n v="114"/>
  </r>
  <r>
    <x v="41"/>
    <s v="conventional_turnover_purch_oltv_111"/>
    <x v="151"/>
    <n v="1.131"/>
    <n v="1"/>
    <n v="51"/>
    <n v="114"/>
  </r>
  <r>
    <x v="41"/>
    <s v="conventional_turnover_purch_oltv_112"/>
    <x v="152"/>
    <n v="1.131"/>
    <n v="1"/>
    <n v="51"/>
    <n v="114"/>
  </r>
  <r>
    <x v="41"/>
    <s v="conventional_turnover_purch_oltv_113"/>
    <x v="153"/>
    <n v="1.131"/>
    <n v="1"/>
    <n v="51"/>
    <n v="114"/>
  </r>
  <r>
    <x v="41"/>
    <s v="conventional_turnover_purch_oltv_114"/>
    <x v="154"/>
    <n v="1.131"/>
    <n v="1"/>
    <n v="51"/>
    <n v="114"/>
  </r>
  <r>
    <x v="42"/>
    <s v="conventional_turnover_refi_HARP_oltv_44"/>
    <x v="84"/>
    <n v="1"/>
    <n v="1"/>
    <n v="44"/>
    <n v="156"/>
  </r>
  <r>
    <x v="42"/>
    <s v="conventional_turnover_refi_HARP_oltv_45"/>
    <x v="85"/>
    <n v="1"/>
    <n v="1"/>
    <n v="44"/>
    <n v="156"/>
  </r>
  <r>
    <x v="42"/>
    <s v="conventional_turnover_refi_HARP_oltv_46"/>
    <x v="86"/>
    <n v="1"/>
    <n v="1"/>
    <n v="44"/>
    <n v="156"/>
  </r>
  <r>
    <x v="42"/>
    <s v="conventional_turnover_refi_HARP_oltv_47"/>
    <x v="87"/>
    <n v="1"/>
    <n v="1"/>
    <n v="44"/>
    <n v="156"/>
  </r>
  <r>
    <x v="42"/>
    <s v="conventional_turnover_refi_HARP_oltv_48"/>
    <x v="88"/>
    <n v="1"/>
    <n v="1"/>
    <n v="44"/>
    <n v="156"/>
  </r>
  <r>
    <x v="42"/>
    <s v="conventional_turnover_refi_HARP_oltv_49"/>
    <x v="89"/>
    <n v="1"/>
    <n v="1"/>
    <n v="44"/>
    <n v="156"/>
  </r>
  <r>
    <x v="42"/>
    <s v="conventional_turnover_refi_HARP_oltv_50"/>
    <x v="90"/>
    <n v="1"/>
    <n v="1"/>
    <n v="44"/>
    <n v="156"/>
  </r>
  <r>
    <x v="42"/>
    <s v="conventional_turnover_refi_HARP_oltv_51"/>
    <x v="91"/>
    <n v="1"/>
    <n v="1"/>
    <n v="44"/>
    <n v="156"/>
  </r>
  <r>
    <x v="42"/>
    <s v="conventional_turnover_refi_HARP_oltv_52"/>
    <x v="92"/>
    <n v="1"/>
    <n v="1"/>
    <n v="44"/>
    <n v="156"/>
  </r>
  <r>
    <x v="42"/>
    <s v="conventional_turnover_refi_HARP_oltv_53"/>
    <x v="93"/>
    <n v="1"/>
    <n v="1"/>
    <n v="44"/>
    <n v="156"/>
  </r>
  <r>
    <x v="42"/>
    <s v="conventional_turnover_refi_HARP_oltv_54"/>
    <x v="94"/>
    <n v="1"/>
    <n v="1"/>
    <n v="44"/>
    <n v="156"/>
  </r>
  <r>
    <x v="42"/>
    <s v="conventional_turnover_refi_HARP_oltv_55"/>
    <x v="95"/>
    <n v="1"/>
    <n v="1"/>
    <n v="44"/>
    <n v="156"/>
  </r>
  <r>
    <x v="42"/>
    <s v="conventional_turnover_refi_HARP_oltv_56"/>
    <x v="96"/>
    <n v="1"/>
    <n v="1"/>
    <n v="44"/>
    <n v="156"/>
  </r>
  <r>
    <x v="42"/>
    <s v="conventional_turnover_refi_HARP_oltv_57"/>
    <x v="97"/>
    <n v="1"/>
    <n v="1"/>
    <n v="44"/>
    <n v="156"/>
  </r>
  <r>
    <x v="42"/>
    <s v="conventional_turnover_refi_HARP_oltv_58"/>
    <x v="98"/>
    <n v="1"/>
    <n v="1"/>
    <n v="44"/>
    <n v="156"/>
  </r>
  <r>
    <x v="42"/>
    <s v="conventional_turnover_refi_HARP_oltv_59"/>
    <x v="99"/>
    <n v="1"/>
    <n v="1"/>
    <n v="44"/>
    <n v="156"/>
  </r>
  <r>
    <x v="42"/>
    <s v="conventional_turnover_refi_HARP_oltv_60"/>
    <x v="100"/>
    <n v="1"/>
    <n v="1"/>
    <n v="44"/>
    <n v="156"/>
  </r>
  <r>
    <x v="42"/>
    <s v="conventional_turnover_refi_HARP_oltv_61"/>
    <x v="101"/>
    <n v="1"/>
    <n v="1"/>
    <n v="44"/>
    <n v="156"/>
  </r>
  <r>
    <x v="42"/>
    <s v="conventional_turnover_refi_HARP_oltv_62"/>
    <x v="102"/>
    <n v="1"/>
    <n v="1"/>
    <n v="44"/>
    <n v="156"/>
  </r>
  <r>
    <x v="42"/>
    <s v="conventional_turnover_refi_HARP_oltv_63"/>
    <x v="103"/>
    <n v="1"/>
    <n v="1"/>
    <n v="44"/>
    <n v="156"/>
  </r>
  <r>
    <x v="42"/>
    <s v="conventional_turnover_refi_HARP_oltv_64"/>
    <x v="104"/>
    <n v="1"/>
    <n v="1"/>
    <n v="44"/>
    <n v="156"/>
  </r>
  <r>
    <x v="42"/>
    <s v="conventional_turnover_refi_HARP_oltv_65"/>
    <x v="105"/>
    <n v="1"/>
    <n v="1"/>
    <n v="44"/>
    <n v="156"/>
  </r>
  <r>
    <x v="42"/>
    <s v="conventional_turnover_refi_HARP_oltv_66"/>
    <x v="106"/>
    <n v="1"/>
    <n v="1"/>
    <n v="44"/>
    <n v="156"/>
  </r>
  <r>
    <x v="42"/>
    <s v="conventional_turnover_refi_HARP_oltv_67"/>
    <x v="107"/>
    <n v="1"/>
    <n v="1"/>
    <n v="44"/>
    <n v="156"/>
  </r>
  <r>
    <x v="42"/>
    <s v="conventional_turnover_refi_HARP_oltv_68"/>
    <x v="108"/>
    <n v="1"/>
    <n v="1"/>
    <n v="44"/>
    <n v="156"/>
  </r>
  <r>
    <x v="42"/>
    <s v="conventional_turnover_refi_HARP_oltv_69"/>
    <x v="109"/>
    <n v="1"/>
    <n v="1"/>
    <n v="44"/>
    <n v="156"/>
  </r>
  <r>
    <x v="42"/>
    <s v="conventional_turnover_refi_HARP_oltv_70"/>
    <x v="110"/>
    <n v="1"/>
    <n v="1"/>
    <n v="44"/>
    <n v="156"/>
  </r>
  <r>
    <x v="42"/>
    <s v="conventional_turnover_refi_HARP_oltv_71"/>
    <x v="111"/>
    <n v="1"/>
    <n v="1"/>
    <n v="44"/>
    <n v="156"/>
  </r>
  <r>
    <x v="42"/>
    <s v="conventional_turnover_refi_HARP_oltv_72"/>
    <x v="112"/>
    <n v="1"/>
    <n v="1"/>
    <n v="44"/>
    <n v="156"/>
  </r>
  <r>
    <x v="42"/>
    <s v="conventional_turnover_refi_HARP_oltv_73"/>
    <x v="113"/>
    <n v="1"/>
    <n v="1"/>
    <n v="44"/>
    <n v="156"/>
  </r>
  <r>
    <x v="42"/>
    <s v="conventional_turnover_refi_HARP_oltv_74"/>
    <x v="114"/>
    <n v="1"/>
    <n v="1"/>
    <n v="44"/>
    <n v="156"/>
  </r>
  <r>
    <x v="42"/>
    <s v="conventional_turnover_refi_HARP_oltv_75"/>
    <x v="115"/>
    <n v="1"/>
    <n v="1"/>
    <n v="44"/>
    <n v="156"/>
  </r>
  <r>
    <x v="42"/>
    <s v="conventional_turnover_refi_HARP_oltv_76"/>
    <x v="116"/>
    <n v="1.00308"/>
    <n v="1"/>
    <n v="44"/>
    <n v="156"/>
  </r>
  <r>
    <x v="42"/>
    <s v="conventional_turnover_refi_HARP_oltv_77"/>
    <x v="117"/>
    <n v="1.0114399999999999"/>
    <n v="1"/>
    <n v="44"/>
    <n v="156"/>
  </r>
  <r>
    <x v="42"/>
    <s v="conventional_turnover_refi_HARP_oltv_78"/>
    <x v="118"/>
    <n v="1.02376"/>
    <n v="1"/>
    <n v="44"/>
    <n v="156"/>
  </r>
  <r>
    <x v="42"/>
    <s v="conventional_turnover_refi_HARP_oltv_79"/>
    <x v="119"/>
    <n v="1.0387200000000001"/>
    <n v="1"/>
    <n v="44"/>
    <n v="156"/>
  </r>
  <r>
    <x v="42"/>
    <s v="conventional_turnover_refi_HARP_oltv_80"/>
    <x v="120"/>
    <n v="1.0549999999999999"/>
    <n v="1"/>
    <n v="44"/>
    <n v="156"/>
  </r>
  <r>
    <x v="42"/>
    <s v="conventional_turnover_refi_HARP_oltv_81"/>
    <x v="121"/>
    <n v="1.07128"/>
    <n v="1"/>
    <n v="44"/>
    <n v="156"/>
  </r>
  <r>
    <x v="42"/>
    <s v="conventional_turnover_refi_HARP_oltv_82"/>
    <x v="122"/>
    <n v="1.0862400000000001"/>
    <n v="1"/>
    <n v="44"/>
    <n v="156"/>
  </r>
  <r>
    <x v="42"/>
    <s v="conventional_turnover_refi_HARP_oltv_83"/>
    <x v="123"/>
    <n v="1.09856"/>
    <n v="1"/>
    <n v="44"/>
    <n v="156"/>
  </r>
  <r>
    <x v="42"/>
    <s v="conventional_turnover_refi_HARP_oltv_84"/>
    <x v="124"/>
    <n v="1.1069199999999999"/>
    <n v="1"/>
    <n v="44"/>
    <n v="156"/>
  </r>
  <r>
    <x v="42"/>
    <s v="conventional_turnover_refi_HARP_oltv_85"/>
    <x v="125"/>
    <n v="1.1100000000000001"/>
    <n v="1"/>
    <n v="44"/>
    <n v="156"/>
  </r>
  <r>
    <x v="42"/>
    <s v="conventional_turnover_refi_HARP_oltv_86"/>
    <x v="126"/>
    <n v="1.1100000000000001"/>
    <n v="1"/>
    <n v="44"/>
    <n v="156"/>
  </r>
  <r>
    <x v="42"/>
    <s v="conventional_turnover_refi_HARP_oltv_87"/>
    <x v="127"/>
    <n v="1.1100000000000001"/>
    <n v="1"/>
    <n v="44"/>
    <n v="156"/>
  </r>
  <r>
    <x v="42"/>
    <s v="conventional_turnover_refi_HARP_oltv_88"/>
    <x v="128"/>
    <n v="1.1100000000000001"/>
    <n v="1"/>
    <n v="44"/>
    <n v="156"/>
  </r>
  <r>
    <x v="42"/>
    <s v="conventional_turnover_refi_HARP_oltv_89"/>
    <x v="129"/>
    <n v="1.1100000000000001"/>
    <n v="1"/>
    <n v="44"/>
    <n v="156"/>
  </r>
  <r>
    <x v="42"/>
    <s v="conventional_turnover_refi_HARP_oltv_90"/>
    <x v="130"/>
    <n v="1.1100000000000001"/>
    <n v="1"/>
    <n v="44"/>
    <n v="156"/>
  </r>
  <r>
    <x v="42"/>
    <s v="conventional_turnover_refi_HARP_oltv_91"/>
    <x v="131"/>
    <n v="1.1100000000000001"/>
    <n v="1"/>
    <n v="44"/>
    <n v="156"/>
  </r>
  <r>
    <x v="42"/>
    <s v="conventional_turnover_refi_HARP_oltv_92"/>
    <x v="132"/>
    <n v="1.1100000000000001"/>
    <n v="1"/>
    <n v="44"/>
    <n v="156"/>
  </r>
  <r>
    <x v="42"/>
    <s v="conventional_turnover_refi_HARP_oltv_93"/>
    <x v="133"/>
    <n v="1.1100000000000001"/>
    <n v="1"/>
    <n v="44"/>
    <n v="156"/>
  </r>
  <r>
    <x v="42"/>
    <s v="conventional_turnover_refi_HARP_oltv_94"/>
    <x v="134"/>
    <n v="1.1100000000000001"/>
    <n v="1"/>
    <n v="44"/>
    <n v="156"/>
  </r>
  <r>
    <x v="42"/>
    <s v="conventional_turnover_refi_HARP_oltv_95"/>
    <x v="135"/>
    <n v="1.1100000000000001"/>
    <n v="1"/>
    <n v="44"/>
    <n v="156"/>
  </r>
  <r>
    <x v="42"/>
    <s v="conventional_turnover_refi_HARP_oltv_96"/>
    <x v="136"/>
    <n v="1.1100000000000001"/>
    <n v="1"/>
    <n v="44"/>
    <n v="156"/>
  </r>
  <r>
    <x v="42"/>
    <s v="conventional_turnover_refi_HARP_oltv_97"/>
    <x v="137"/>
    <n v="1.1100000000000001"/>
    <n v="1"/>
    <n v="44"/>
    <n v="156"/>
  </r>
  <r>
    <x v="42"/>
    <s v="conventional_turnover_refi_HARP_oltv_98"/>
    <x v="138"/>
    <n v="1.1100000000000001"/>
    <n v="1"/>
    <n v="44"/>
    <n v="156"/>
  </r>
  <r>
    <x v="42"/>
    <s v="conventional_turnover_refi_HARP_oltv_99"/>
    <x v="139"/>
    <n v="1.1100000000000001"/>
    <n v="1"/>
    <n v="44"/>
    <n v="156"/>
  </r>
  <r>
    <x v="42"/>
    <s v="conventional_turnover_refi_HARP_oltv_100"/>
    <x v="140"/>
    <n v="1.1100000000000001"/>
    <n v="1"/>
    <n v="44"/>
    <n v="156"/>
  </r>
  <r>
    <x v="42"/>
    <s v="conventional_turnover_refi_HARP_oltv_101"/>
    <x v="141"/>
    <n v="1.11392"/>
    <n v="1"/>
    <n v="44"/>
    <n v="156"/>
  </r>
  <r>
    <x v="42"/>
    <s v="conventional_turnover_refi_HARP_oltv_102"/>
    <x v="142"/>
    <n v="1.12456"/>
    <n v="1"/>
    <n v="44"/>
    <n v="156"/>
  </r>
  <r>
    <x v="42"/>
    <s v="conventional_turnover_refi_HARP_oltv_103"/>
    <x v="143"/>
    <n v="1.1402399999999999"/>
    <n v="1"/>
    <n v="44"/>
    <n v="156"/>
  </r>
  <r>
    <x v="42"/>
    <s v="conventional_turnover_refi_HARP_oltv_104"/>
    <x v="144"/>
    <n v="1.1592800000000001"/>
    <n v="1"/>
    <n v="44"/>
    <n v="156"/>
  </r>
  <r>
    <x v="42"/>
    <s v="conventional_turnover_refi_HARP_oltv_105"/>
    <x v="145"/>
    <n v="1.18"/>
    <n v="1"/>
    <n v="44"/>
    <n v="156"/>
  </r>
  <r>
    <x v="42"/>
    <s v="conventional_turnover_refi_HARP_oltv_106"/>
    <x v="146"/>
    <n v="1.20072"/>
    <n v="1"/>
    <n v="44"/>
    <n v="156"/>
  </r>
  <r>
    <x v="42"/>
    <s v="conventional_turnover_refi_HARP_oltv_107"/>
    <x v="147"/>
    <n v="1.21976"/>
    <n v="1"/>
    <n v="44"/>
    <n v="156"/>
  </r>
  <r>
    <x v="42"/>
    <s v="conventional_turnover_refi_HARP_oltv_108"/>
    <x v="148"/>
    <n v="1.2354400000000001"/>
    <n v="1"/>
    <n v="44"/>
    <n v="156"/>
  </r>
  <r>
    <x v="42"/>
    <s v="conventional_turnover_refi_HARP_oltv_109"/>
    <x v="149"/>
    <n v="1.2460800000000001"/>
    <n v="1"/>
    <n v="44"/>
    <n v="156"/>
  </r>
  <r>
    <x v="42"/>
    <s v="conventional_turnover_refi_HARP_oltv_110"/>
    <x v="150"/>
    <n v="1.25"/>
    <n v="1"/>
    <n v="44"/>
    <n v="156"/>
  </r>
  <r>
    <x v="42"/>
    <s v="conventional_turnover_refi_HARP_oltv_111"/>
    <x v="151"/>
    <n v="1.25"/>
    <n v="1"/>
    <n v="44"/>
    <n v="156"/>
  </r>
  <r>
    <x v="42"/>
    <s v="conventional_turnover_refi_HARP_oltv_112"/>
    <x v="152"/>
    <n v="1.25"/>
    <n v="1"/>
    <n v="44"/>
    <n v="156"/>
  </r>
  <r>
    <x v="42"/>
    <s v="conventional_turnover_refi_HARP_oltv_113"/>
    <x v="153"/>
    <n v="1.25"/>
    <n v="1"/>
    <n v="44"/>
    <n v="156"/>
  </r>
  <r>
    <x v="42"/>
    <s v="conventional_turnover_refi_HARP_oltv_114"/>
    <x v="154"/>
    <n v="1.25"/>
    <n v="1"/>
    <n v="44"/>
    <n v="156"/>
  </r>
  <r>
    <x v="42"/>
    <s v="conventional_turnover_refi_HARP_oltv_115"/>
    <x v="155"/>
    <n v="1.25"/>
    <n v="1"/>
    <n v="44"/>
    <n v="156"/>
  </r>
  <r>
    <x v="42"/>
    <s v="conventional_turnover_refi_HARP_oltv_116"/>
    <x v="156"/>
    <n v="1.25"/>
    <n v="1"/>
    <n v="44"/>
    <n v="156"/>
  </r>
  <r>
    <x v="42"/>
    <s v="conventional_turnover_refi_HARP_oltv_117"/>
    <x v="157"/>
    <n v="1.25"/>
    <n v="1"/>
    <n v="44"/>
    <n v="156"/>
  </r>
  <r>
    <x v="42"/>
    <s v="conventional_turnover_refi_HARP_oltv_118"/>
    <x v="158"/>
    <n v="1.25"/>
    <n v="1"/>
    <n v="44"/>
    <n v="156"/>
  </r>
  <r>
    <x v="42"/>
    <s v="conventional_turnover_refi_HARP_oltv_119"/>
    <x v="159"/>
    <n v="1.25"/>
    <n v="1"/>
    <n v="44"/>
    <n v="156"/>
  </r>
  <r>
    <x v="42"/>
    <s v="conventional_turnover_refi_HARP_oltv_120"/>
    <x v="160"/>
    <n v="1.25"/>
    <n v="1"/>
    <n v="44"/>
    <n v="156"/>
  </r>
  <r>
    <x v="42"/>
    <s v="conventional_turnover_refi_HARP_oltv_121"/>
    <x v="161"/>
    <n v="1.2542"/>
    <n v="1"/>
    <n v="44"/>
    <n v="156"/>
  </r>
  <r>
    <x v="42"/>
    <s v="conventional_turnover_refi_HARP_oltv_122"/>
    <x v="162"/>
    <n v="1.2656000000000001"/>
    <n v="1"/>
    <n v="44"/>
    <n v="156"/>
  </r>
  <r>
    <x v="42"/>
    <s v="conventional_turnover_refi_HARP_oltv_123"/>
    <x v="163"/>
    <n v="1.2824"/>
    <n v="1"/>
    <n v="44"/>
    <n v="156"/>
  </r>
  <r>
    <x v="42"/>
    <s v="conventional_turnover_refi_HARP_oltv_124"/>
    <x v="164"/>
    <n v="1.3028"/>
    <n v="1"/>
    <n v="44"/>
    <n v="156"/>
  </r>
  <r>
    <x v="42"/>
    <s v="conventional_turnover_refi_HARP_oltv_125"/>
    <x v="165"/>
    <n v="1.325"/>
    <n v="1"/>
    <n v="44"/>
    <n v="156"/>
  </r>
  <r>
    <x v="42"/>
    <s v="conventional_turnover_refi_HARP_oltv_126"/>
    <x v="166"/>
    <n v="1.3472"/>
    <n v="1"/>
    <n v="44"/>
    <n v="156"/>
  </r>
  <r>
    <x v="42"/>
    <s v="conventional_turnover_refi_HARP_oltv_127"/>
    <x v="167"/>
    <n v="1.3675999999999999"/>
    <n v="1"/>
    <n v="44"/>
    <n v="156"/>
  </r>
  <r>
    <x v="42"/>
    <s v="conventional_turnover_refi_HARP_oltv_128"/>
    <x v="168"/>
    <n v="1.3844000000000001"/>
    <n v="1"/>
    <n v="44"/>
    <n v="156"/>
  </r>
  <r>
    <x v="42"/>
    <s v="conventional_turnover_refi_HARP_oltv_129"/>
    <x v="169"/>
    <n v="1.3957999999999999"/>
    <n v="1"/>
    <n v="44"/>
    <n v="156"/>
  </r>
  <r>
    <x v="42"/>
    <s v="conventional_turnover_refi_HARP_oltv_130"/>
    <x v="170"/>
    <n v="1.4"/>
    <n v="1"/>
    <n v="44"/>
    <n v="156"/>
  </r>
  <r>
    <x v="42"/>
    <s v="conventional_turnover_refi_HARP_oltv_131"/>
    <x v="171"/>
    <n v="1.4"/>
    <n v="1"/>
    <n v="44"/>
    <n v="156"/>
  </r>
  <r>
    <x v="42"/>
    <s v="conventional_turnover_refi_HARP_oltv_132"/>
    <x v="172"/>
    <n v="1.4"/>
    <n v="1"/>
    <n v="44"/>
    <n v="156"/>
  </r>
  <r>
    <x v="42"/>
    <s v="conventional_turnover_refi_HARP_oltv_133"/>
    <x v="173"/>
    <n v="1.4"/>
    <n v="1"/>
    <n v="44"/>
    <n v="156"/>
  </r>
  <r>
    <x v="42"/>
    <s v="conventional_turnover_refi_HARP_oltv_134"/>
    <x v="174"/>
    <n v="1.4"/>
    <n v="1"/>
    <n v="44"/>
    <n v="156"/>
  </r>
  <r>
    <x v="42"/>
    <s v="conventional_turnover_refi_HARP_oltv_135"/>
    <x v="175"/>
    <n v="1.4"/>
    <n v="1"/>
    <n v="44"/>
    <n v="156"/>
  </r>
  <r>
    <x v="42"/>
    <s v="conventional_turnover_refi_HARP_oltv_136"/>
    <x v="176"/>
    <n v="1.4"/>
    <n v="1"/>
    <n v="44"/>
    <n v="156"/>
  </r>
  <r>
    <x v="42"/>
    <s v="conventional_turnover_refi_HARP_oltv_137"/>
    <x v="177"/>
    <n v="1.4"/>
    <n v="1"/>
    <n v="44"/>
    <n v="156"/>
  </r>
  <r>
    <x v="42"/>
    <s v="conventional_turnover_refi_HARP_oltv_138"/>
    <x v="178"/>
    <n v="1.4"/>
    <n v="1"/>
    <n v="44"/>
    <n v="156"/>
  </r>
  <r>
    <x v="42"/>
    <s v="conventional_turnover_refi_HARP_oltv_139"/>
    <x v="179"/>
    <n v="1.4"/>
    <n v="1"/>
    <n v="44"/>
    <n v="156"/>
  </r>
  <r>
    <x v="42"/>
    <s v="conventional_turnover_refi_HARP_oltv_140"/>
    <x v="180"/>
    <n v="1.4"/>
    <n v="1"/>
    <n v="44"/>
    <n v="156"/>
  </r>
  <r>
    <x v="42"/>
    <s v="conventional_turnover_refi_HARP_oltv_141"/>
    <x v="181"/>
    <n v="1.4"/>
    <n v="1"/>
    <n v="44"/>
    <n v="156"/>
  </r>
  <r>
    <x v="42"/>
    <s v="conventional_turnover_refi_HARP_oltv_142"/>
    <x v="182"/>
    <n v="1.4"/>
    <n v="1"/>
    <n v="44"/>
    <n v="156"/>
  </r>
  <r>
    <x v="42"/>
    <s v="conventional_turnover_refi_HARP_oltv_143"/>
    <x v="183"/>
    <n v="1.4"/>
    <n v="1"/>
    <n v="44"/>
    <n v="156"/>
  </r>
  <r>
    <x v="42"/>
    <s v="conventional_turnover_refi_HARP_oltv_144"/>
    <x v="184"/>
    <n v="1.4"/>
    <n v="1"/>
    <n v="44"/>
    <n v="156"/>
  </r>
  <r>
    <x v="42"/>
    <s v="conventional_turnover_refi_HARP_oltv_145"/>
    <x v="185"/>
    <n v="1.4"/>
    <n v="1"/>
    <n v="44"/>
    <n v="156"/>
  </r>
  <r>
    <x v="42"/>
    <s v="conventional_turnover_refi_HARP_oltv_146"/>
    <x v="186"/>
    <n v="1.4"/>
    <n v="1"/>
    <n v="44"/>
    <n v="156"/>
  </r>
  <r>
    <x v="42"/>
    <s v="conventional_turnover_refi_HARP_oltv_147"/>
    <x v="187"/>
    <n v="1.4"/>
    <n v="1"/>
    <n v="44"/>
    <n v="156"/>
  </r>
  <r>
    <x v="42"/>
    <s v="conventional_turnover_refi_HARP_oltv_148"/>
    <x v="188"/>
    <n v="1.4"/>
    <n v="1"/>
    <n v="44"/>
    <n v="156"/>
  </r>
  <r>
    <x v="42"/>
    <s v="conventional_turnover_refi_HARP_oltv_149"/>
    <x v="189"/>
    <n v="1.4"/>
    <n v="1"/>
    <n v="44"/>
    <n v="156"/>
  </r>
  <r>
    <x v="42"/>
    <s v="conventional_turnover_refi_HARP_oltv_150"/>
    <x v="190"/>
    <n v="1.4"/>
    <n v="1"/>
    <n v="44"/>
    <n v="156"/>
  </r>
  <r>
    <x v="42"/>
    <s v="conventional_turnover_refi_HARP_oltv_151"/>
    <x v="191"/>
    <n v="1.4"/>
    <n v="1"/>
    <n v="44"/>
    <n v="156"/>
  </r>
  <r>
    <x v="42"/>
    <s v="conventional_turnover_refi_HARP_oltv_152"/>
    <x v="192"/>
    <n v="1.4"/>
    <n v="1"/>
    <n v="44"/>
    <n v="156"/>
  </r>
  <r>
    <x v="42"/>
    <s v="conventional_turnover_refi_HARP_oltv_153"/>
    <x v="193"/>
    <n v="1.4"/>
    <n v="1"/>
    <n v="44"/>
    <n v="156"/>
  </r>
  <r>
    <x v="42"/>
    <s v="conventional_turnover_refi_HARP_oltv_154"/>
    <x v="194"/>
    <n v="1.4"/>
    <n v="1"/>
    <n v="44"/>
    <n v="156"/>
  </r>
  <r>
    <x v="42"/>
    <s v="conventional_turnover_refi_HARP_oltv_155"/>
    <x v="195"/>
    <n v="1.4"/>
    <n v="1"/>
    <n v="44"/>
    <n v="156"/>
  </r>
  <r>
    <x v="42"/>
    <s v="conventional_turnover_refi_HARP_oltv_156"/>
    <x v="196"/>
    <n v="1.4"/>
    <n v="1"/>
    <n v="44"/>
    <n v="156"/>
  </r>
  <r>
    <x v="43"/>
    <s v="conventional_turnover_refi_NonHARP_oltv_51"/>
    <x v="91"/>
    <n v="0.97"/>
    <n v="1"/>
    <n v="51"/>
    <n v="114"/>
  </r>
  <r>
    <x v="43"/>
    <s v="conventional_turnover_refi_NonHARP_oltv_52"/>
    <x v="92"/>
    <n v="0.97"/>
    <n v="1"/>
    <n v="51"/>
    <n v="114"/>
  </r>
  <r>
    <x v="43"/>
    <s v="conventional_turnover_refi_NonHARP_oltv_53"/>
    <x v="93"/>
    <n v="0.97"/>
    <n v="1"/>
    <n v="51"/>
    <n v="114"/>
  </r>
  <r>
    <x v="43"/>
    <s v="conventional_turnover_refi_NonHARP_oltv_54"/>
    <x v="94"/>
    <n v="0.97"/>
    <n v="1"/>
    <n v="51"/>
    <n v="114"/>
  </r>
  <r>
    <x v="43"/>
    <s v="conventional_turnover_refi_NonHARP_oltv_55"/>
    <x v="95"/>
    <n v="0.97"/>
    <n v="1"/>
    <n v="51"/>
    <n v="114"/>
  </r>
  <r>
    <x v="43"/>
    <s v="conventional_turnover_refi_NonHARP_oltv_56"/>
    <x v="96"/>
    <n v="0.97"/>
    <n v="1"/>
    <n v="51"/>
    <n v="114"/>
  </r>
  <r>
    <x v="43"/>
    <s v="conventional_turnover_refi_NonHARP_oltv_57"/>
    <x v="97"/>
    <n v="0.97"/>
    <n v="1"/>
    <n v="51"/>
    <n v="114"/>
  </r>
  <r>
    <x v="43"/>
    <s v="conventional_turnover_refi_NonHARP_oltv_58"/>
    <x v="98"/>
    <n v="0.97"/>
    <n v="1"/>
    <n v="51"/>
    <n v="114"/>
  </r>
  <r>
    <x v="43"/>
    <s v="conventional_turnover_refi_NonHARP_oltv_59"/>
    <x v="99"/>
    <n v="0.97"/>
    <n v="1"/>
    <n v="51"/>
    <n v="114"/>
  </r>
  <r>
    <x v="43"/>
    <s v="conventional_turnover_refi_NonHARP_oltv_60"/>
    <x v="100"/>
    <n v="0.97"/>
    <n v="1"/>
    <n v="51"/>
    <n v="114"/>
  </r>
  <r>
    <x v="43"/>
    <s v="conventional_turnover_refi_NonHARP_oltv_61"/>
    <x v="101"/>
    <n v="0.97"/>
    <n v="1"/>
    <n v="51"/>
    <n v="114"/>
  </r>
  <r>
    <x v="43"/>
    <s v="conventional_turnover_refi_NonHARP_oltv_62"/>
    <x v="102"/>
    <n v="0.97"/>
    <n v="1"/>
    <n v="51"/>
    <n v="114"/>
  </r>
  <r>
    <x v="43"/>
    <s v="conventional_turnover_refi_NonHARP_oltv_63"/>
    <x v="103"/>
    <n v="0.97"/>
    <n v="1"/>
    <n v="51"/>
    <n v="114"/>
  </r>
  <r>
    <x v="43"/>
    <s v="conventional_turnover_refi_NonHARP_oltv_64"/>
    <x v="104"/>
    <n v="0.97"/>
    <n v="1"/>
    <n v="51"/>
    <n v="114"/>
  </r>
  <r>
    <x v="43"/>
    <s v="conventional_turnover_refi_NonHARP_oltv_65"/>
    <x v="105"/>
    <n v="0.97"/>
    <n v="1"/>
    <n v="51"/>
    <n v="114"/>
  </r>
  <r>
    <x v="43"/>
    <s v="conventional_turnover_refi_NonHARP_oltv_66"/>
    <x v="106"/>
    <n v="0.97"/>
    <n v="1"/>
    <n v="51"/>
    <n v="114"/>
  </r>
  <r>
    <x v="43"/>
    <s v="conventional_turnover_refi_NonHARP_oltv_67"/>
    <x v="107"/>
    <n v="0.97"/>
    <n v="1"/>
    <n v="51"/>
    <n v="114"/>
  </r>
  <r>
    <x v="43"/>
    <s v="conventional_turnover_refi_NonHARP_oltv_68"/>
    <x v="108"/>
    <n v="0.97"/>
    <n v="1"/>
    <n v="51"/>
    <n v="114"/>
  </r>
  <r>
    <x v="43"/>
    <s v="conventional_turnover_refi_NonHARP_oltv_69"/>
    <x v="109"/>
    <n v="0.97"/>
    <n v="1"/>
    <n v="51"/>
    <n v="114"/>
  </r>
  <r>
    <x v="43"/>
    <s v="conventional_turnover_refi_NonHARP_oltv_70"/>
    <x v="110"/>
    <n v="0.97"/>
    <n v="1"/>
    <n v="51"/>
    <n v="114"/>
  </r>
  <r>
    <x v="43"/>
    <s v="conventional_turnover_refi_NonHARP_oltv_71"/>
    <x v="111"/>
    <n v="0.97"/>
    <n v="1"/>
    <n v="51"/>
    <n v="114"/>
  </r>
  <r>
    <x v="43"/>
    <s v="conventional_turnover_refi_NonHARP_oltv_72"/>
    <x v="112"/>
    <n v="0.97"/>
    <n v="1"/>
    <n v="51"/>
    <n v="114"/>
  </r>
  <r>
    <x v="43"/>
    <s v="conventional_turnover_refi_NonHARP_oltv_73"/>
    <x v="113"/>
    <n v="0.97"/>
    <n v="1"/>
    <n v="51"/>
    <n v="114"/>
  </r>
  <r>
    <x v="43"/>
    <s v="conventional_turnover_refi_NonHARP_oltv_74"/>
    <x v="114"/>
    <n v="0.97"/>
    <n v="1"/>
    <n v="51"/>
    <n v="114"/>
  </r>
  <r>
    <x v="43"/>
    <s v="conventional_turnover_refi_NonHARP_oltv_75"/>
    <x v="115"/>
    <n v="0.97"/>
    <n v="1"/>
    <n v="51"/>
    <n v="114"/>
  </r>
  <r>
    <x v="43"/>
    <s v="conventional_turnover_refi_NonHARP_oltv_76"/>
    <x v="116"/>
    <n v="0.97"/>
    <n v="1"/>
    <n v="51"/>
    <n v="114"/>
  </r>
  <r>
    <x v="43"/>
    <s v="conventional_turnover_refi_NonHARP_oltv_77"/>
    <x v="117"/>
    <n v="0.97"/>
    <n v="1"/>
    <n v="51"/>
    <n v="114"/>
  </r>
  <r>
    <x v="43"/>
    <s v="conventional_turnover_refi_NonHARP_oltv_78"/>
    <x v="118"/>
    <n v="0.97"/>
    <n v="1"/>
    <n v="51"/>
    <n v="114"/>
  </r>
  <r>
    <x v="43"/>
    <s v="conventional_turnover_refi_NonHARP_oltv_79"/>
    <x v="119"/>
    <n v="0.97"/>
    <n v="1"/>
    <n v="51"/>
    <n v="114"/>
  </r>
  <r>
    <x v="43"/>
    <s v="conventional_turnover_refi_NonHARP_oltv_80"/>
    <x v="120"/>
    <n v="0.97"/>
    <n v="1"/>
    <n v="51"/>
    <n v="114"/>
  </r>
  <r>
    <x v="43"/>
    <s v="conventional_turnover_refi_NonHARP_oltv_81"/>
    <x v="121"/>
    <n v="0.97"/>
    <n v="1"/>
    <n v="51"/>
    <n v="114"/>
  </r>
  <r>
    <x v="43"/>
    <s v="conventional_turnover_refi_NonHARP_oltv_82"/>
    <x v="122"/>
    <n v="0.97"/>
    <n v="1"/>
    <n v="51"/>
    <n v="114"/>
  </r>
  <r>
    <x v="43"/>
    <s v="conventional_turnover_refi_NonHARP_oltv_83"/>
    <x v="123"/>
    <n v="0.97"/>
    <n v="1"/>
    <n v="51"/>
    <n v="114"/>
  </r>
  <r>
    <x v="43"/>
    <s v="conventional_turnover_refi_NonHARP_oltv_84"/>
    <x v="124"/>
    <n v="0.97"/>
    <n v="1"/>
    <n v="51"/>
    <n v="114"/>
  </r>
  <r>
    <x v="43"/>
    <s v="conventional_turnover_refi_NonHARP_oltv_85"/>
    <x v="125"/>
    <n v="0.97"/>
    <n v="1"/>
    <n v="51"/>
    <n v="114"/>
  </r>
  <r>
    <x v="43"/>
    <s v="conventional_turnover_refi_NonHARP_oltv_86"/>
    <x v="126"/>
    <n v="0.97"/>
    <n v="1"/>
    <n v="51"/>
    <n v="114"/>
  </r>
  <r>
    <x v="43"/>
    <s v="conventional_turnover_refi_NonHARP_oltv_87"/>
    <x v="127"/>
    <n v="0.97"/>
    <n v="1"/>
    <n v="51"/>
    <n v="114"/>
  </r>
  <r>
    <x v="43"/>
    <s v="conventional_turnover_refi_NonHARP_oltv_88"/>
    <x v="128"/>
    <n v="0.97"/>
    <n v="1"/>
    <n v="51"/>
    <n v="114"/>
  </r>
  <r>
    <x v="43"/>
    <s v="conventional_turnover_refi_NonHARP_oltv_89"/>
    <x v="129"/>
    <n v="0.97"/>
    <n v="1"/>
    <n v="51"/>
    <n v="114"/>
  </r>
  <r>
    <x v="43"/>
    <s v="conventional_turnover_refi_NonHARP_oltv_90"/>
    <x v="130"/>
    <n v="0.97"/>
    <n v="1"/>
    <n v="51"/>
    <n v="114"/>
  </r>
  <r>
    <x v="43"/>
    <s v="conventional_turnover_refi_NonHARP_oltv_91"/>
    <x v="131"/>
    <n v="0.97"/>
    <n v="1"/>
    <n v="51"/>
    <n v="114"/>
  </r>
  <r>
    <x v="43"/>
    <s v="conventional_turnover_refi_NonHARP_oltv_92"/>
    <x v="132"/>
    <n v="0.97"/>
    <n v="1"/>
    <n v="51"/>
    <n v="114"/>
  </r>
  <r>
    <x v="43"/>
    <s v="conventional_turnover_refi_NonHARP_oltv_93"/>
    <x v="133"/>
    <n v="0.97"/>
    <n v="1"/>
    <n v="51"/>
    <n v="114"/>
  </r>
  <r>
    <x v="43"/>
    <s v="conventional_turnover_refi_NonHARP_oltv_94"/>
    <x v="134"/>
    <n v="0.97"/>
    <n v="1"/>
    <n v="51"/>
    <n v="114"/>
  </r>
  <r>
    <x v="43"/>
    <s v="conventional_turnover_refi_NonHARP_oltv_95"/>
    <x v="135"/>
    <n v="0.97"/>
    <n v="1"/>
    <n v="51"/>
    <n v="114"/>
  </r>
  <r>
    <x v="43"/>
    <s v="conventional_turnover_refi_NonHARP_oltv_96"/>
    <x v="136"/>
    <n v="0.97"/>
    <n v="1"/>
    <n v="51"/>
    <n v="114"/>
  </r>
  <r>
    <x v="43"/>
    <s v="conventional_turnover_refi_NonHARP_oltv_97"/>
    <x v="137"/>
    <n v="0.97"/>
    <n v="1"/>
    <n v="51"/>
    <n v="114"/>
  </r>
  <r>
    <x v="43"/>
    <s v="conventional_turnover_refi_NonHARP_oltv_98"/>
    <x v="138"/>
    <n v="0.97"/>
    <n v="1"/>
    <n v="51"/>
    <n v="114"/>
  </r>
  <r>
    <x v="43"/>
    <s v="conventional_turnover_refi_NonHARP_oltv_99"/>
    <x v="139"/>
    <n v="0.97"/>
    <n v="1"/>
    <n v="51"/>
    <n v="114"/>
  </r>
  <r>
    <x v="43"/>
    <s v="conventional_turnover_refi_NonHARP_oltv_100"/>
    <x v="140"/>
    <n v="0.97"/>
    <n v="1"/>
    <n v="51"/>
    <n v="114"/>
  </r>
  <r>
    <x v="43"/>
    <s v="conventional_turnover_refi_NonHARP_oltv_101"/>
    <x v="141"/>
    <n v="0.97"/>
    <n v="1"/>
    <n v="51"/>
    <n v="114"/>
  </r>
  <r>
    <x v="43"/>
    <s v="conventional_turnover_refi_NonHARP_oltv_102"/>
    <x v="142"/>
    <n v="0.97"/>
    <n v="1"/>
    <n v="51"/>
    <n v="114"/>
  </r>
  <r>
    <x v="43"/>
    <s v="conventional_turnover_refi_NonHARP_oltv_103"/>
    <x v="143"/>
    <n v="0.97"/>
    <n v="1"/>
    <n v="51"/>
    <n v="114"/>
  </r>
  <r>
    <x v="43"/>
    <s v="conventional_turnover_refi_NonHARP_oltv_104"/>
    <x v="144"/>
    <n v="0.97"/>
    <n v="1"/>
    <n v="51"/>
    <n v="114"/>
  </r>
  <r>
    <x v="43"/>
    <s v="conventional_turnover_refi_NonHARP_oltv_105"/>
    <x v="145"/>
    <n v="0.97"/>
    <n v="1"/>
    <n v="51"/>
    <n v="114"/>
  </r>
  <r>
    <x v="43"/>
    <s v="conventional_turnover_refi_NonHARP_oltv_106"/>
    <x v="146"/>
    <n v="0.97"/>
    <n v="1"/>
    <n v="51"/>
    <n v="114"/>
  </r>
  <r>
    <x v="43"/>
    <s v="conventional_turnover_refi_NonHARP_oltv_107"/>
    <x v="147"/>
    <n v="0.97"/>
    <n v="1"/>
    <n v="51"/>
    <n v="114"/>
  </r>
  <r>
    <x v="43"/>
    <s v="conventional_turnover_refi_NonHARP_oltv_108"/>
    <x v="148"/>
    <n v="0.97"/>
    <n v="1"/>
    <n v="51"/>
    <n v="114"/>
  </r>
  <r>
    <x v="43"/>
    <s v="conventional_turnover_refi_NonHARP_oltv_109"/>
    <x v="149"/>
    <n v="0.97"/>
    <n v="1"/>
    <n v="51"/>
    <n v="114"/>
  </r>
  <r>
    <x v="43"/>
    <s v="conventional_turnover_refi_NonHARP_oltv_110"/>
    <x v="150"/>
    <n v="0.97"/>
    <n v="1"/>
    <n v="51"/>
    <n v="114"/>
  </r>
  <r>
    <x v="43"/>
    <s v="conventional_turnover_refi_NonHARP_oltv_111"/>
    <x v="151"/>
    <n v="0.97"/>
    <n v="1"/>
    <n v="51"/>
    <n v="114"/>
  </r>
  <r>
    <x v="43"/>
    <s v="conventional_turnover_refi_NonHARP_oltv_112"/>
    <x v="152"/>
    <n v="0.97"/>
    <n v="1"/>
    <n v="51"/>
    <n v="114"/>
  </r>
  <r>
    <x v="43"/>
    <s v="conventional_turnover_refi_NonHARP_oltv_113"/>
    <x v="153"/>
    <n v="0.97"/>
    <n v="1"/>
    <n v="51"/>
    <n v="114"/>
  </r>
  <r>
    <x v="43"/>
    <s v="conventional_turnover_refi_NonHARP_oltv_114"/>
    <x v="154"/>
    <n v="0.97"/>
    <n v="1"/>
    <n v="51"/>
    <n v="114"/>
  </r>
  <r>
    <x v="44"/>
    <s v="conventional_turnover_fico_acls_interact_1_acls_8"/>
    <x v="48"/>
    <n v="0.65500000000000003"/>
    <n v="1"/>
    <n v="8"/>
    <n v="232"/>
  </r>
  <r>
    <x v="44"/>
    <s v="conventional_turnover_fico_acls_interact_1_acls_9"/>
    <x v="49"/>
    <n v="0.65500000000000003"/>
    <n v="1"/>
    <n v="8"/>
    <n v="232"/>
  </r>
  <r>
    <x v="44"/>
    <s v="conventional_turnover_fico_acls_interact_1_acls_10"/>
    <x v="50"/>
    <n v="0.65500000000000003"/>
    <n v="1"/>
    <n v="8"/>
    <n v="232"/>
  </r>
  <r>
    <x v="44"/>
    <s v="conventional_turnover_fico_acls_interact_1_acls_11"/>
    <x v="51"/>
    <n v="0.65500000000000003"/>
    <n v="1"/>
    <n v="8"/>
    <n v="232"/>
  </r>
  <r>
    <x v="44"/>
    <s v="conventional_turnover_fico_acls_interact_1_acls_12"/>
    <x v="52"/>
    <n v="0.65500000000000003"/>
    <n v="1"/>
    <n v="8"/>
    <n v="232"/>
  </r>
  <r>
    <x v="44"/>
    <s v="conventional_turnover_fico_acls_interact_1_acls_13"/>
    <x v="53"/>
    <n v="0.65500000000000003"/>
    <n v="1"/>
    <n v="8"/>
    <n v="232"/>
  </r>
  <r>
    <x v="44"/>
    <s v="conventional_turnover_fico_acls_interact_1_acls_14"/>
    <x v="54"/>
    <n v="0.65500000000000003"/>
    <n v="1"/>
    <n v="8"/>
    <n v="232"/>
  </r>
  <r>
    <x v="44"/>
    <s v="conventional_turnover_fico_acls_interact_1_acls_15"/>
    <x v="55"/>
    <n v="0.65500000000000003"/>
    <n v="1"/>
    <n v="8"/>
    <n v="232"/>
  </r>
  <r>
    <x v="44"/>
    <s v="conventional_turnover_fico_acls_interact_1_acls_16"/>
    <x v="56"/>
    <n v="0.65500000000000003"/>
    <n v="1"/>
    <n v="8"/>
    <n v="232"/>
  </r>
  <r>
    <x v="44"/>
    <s v="conventional_turnover_fico_acls_interact_1_acls_17"/>
    <x v="57"/>
    <n v="0.65500000000000003"/>
    <n v="1"/>
    <n v="8"/>
    <n v="232"/>
  </r>
  <r>
    <x v="44"/>
    <s v="conventional_turnover_fico_acls_interact_1_acls_18"/>
    <x v="58"/>
    <n v="0.65500000000000003"/>
    <n v="1"/>
    <n v="8"/>
    <n v="232"/>
  </r>
  <r>
    <x v="44"/>
    <s v="conventional_turnover_fico_acls_interact_1_acls_19"/>
    <x v="59"/>
    <n v="0.65500000000000003"/>
    <n v="1"/>
    <n v="8"/>
    <n v="232"/>
  </r>
  <r>
    <x v="44"/>
    <s v="conventional_turnover_fico_acls_interact_1_acls_20"/>
    <x v="60"/>
    <n v="0.65500000000000003"/>
    <n v="1"/>
    <n v="8"/>
    <n v="232"/>
  </r>
  <r>
    <x v="44"/>
    <s v="conventional_turnover_fico_acls_interact_1_acls_21"/>
    <x v="61"/>
    <n v="0.65500000000000003"/>
    <n v="1"/>
    <n v="8"/>
    <n v="232"/>
  </r>
  <r>
    <x v="44"/>
    <s v="conventional_turnover_fico_acls_interact_1_acls_22"/>
    <x v="62"/>
    <n v="0.65500000000000003"/>
    <n v="1"/>
    <n v="8"/>
    <n v="232"/>
  </r>
  <r>
    <x v="44"/>
    <s v="conventional_turnover_fico_acls_interact_1_acls_23"/>
    <x v="63"/>
    <n v="0.65500000000000003"/>
    <n v="1"/>
    <n v="8"/>
    <n v="232"/>
  </r>
  <r>
    <x v="44"/>
    <s v="conventional_turnover_fico_acls_interact_1_acls_24"/>
    <x v="64"/>
    <n v="0.65500000000000003"/>
    <n v="1"/>
    <n v="8"/>
    <n v="232"/>
  </r>
  <r>
    <x v="44"/>
    <s v="conventional_turnover_fico_acls_interact_1_acls_25"/>
    <x v="65"/>
    <n v="0.65500000000000003"/>
    <n v="1"/>
    <n v="8"/>
    <n v="232"/>
  </r>
  <r>
    <x v="44"/>
    <s v="conventional_turnover_fico_acls_interact_1_acls_26"/>
    <x v="66"/>
    <n v="0.65500000000000003"/>
    <n v="1"/>
    <n v="8"/>
    <n v="232"/>
  </r>
  <r>
    <x v="44"/>
    <s v="conventional_turnover_fico_acls_interact_1_acls_27"/>
    <x v="67"/>
    <n v="0.65500000000000003"/>
    <n v="1"/>
    <n v="8"/>
    <n v="232"/>
  </r>
  <r>
    <x v="44"/>
    <s v="conventional_turnover_fico_acls_interact_1_acls_28"/>
    <x v="68"/>
    <n v="0.65500000000000003"/>
    <n v="1"/>
    <n v="8"/>
    <n v="232"/>
  </r>
  <r>
    <x v="44"/>
    <s v="conventional_turnover_fico_acls_interact_1_acls_29"/>
    <x v="69"/>
    <n v="0.65500000000000003"/>
    <n v="1"/>
    <n v="8"/>
    <n v="232"/>
  </r>
  <r>
    <x v="44"/>
    <s v="conventional_turnover_fico_acls_interact_1_acls_30"/>
    <x v="70"/>
    <n v="0.65500000000000003"/>
    <n v="1"/>
    <n v="8"/>
    <n v="232"/>
  </r>
  <r>
    <x v="44"/>
    <s v="conventional_turnover_fico_acls_interact_1_acls_31"/>
    <x v="71"/>
    <n v="0.65500000000000003"/>
    <n v="1"/>
    <n v="8"/>
    <n v="232"/>
  </r>
  <r>
    <x v="44"/>
    <s v="conventional_turnover_fico_acls_interact_1_acls_32"/>
    <x v="72"/>
    <n v="0.65500000000000003"/>
    <n v="1"/>
    <n v="8"/>
    <n v="232"/>
  </r>
  <r>
    <x v="44"/>
    <s v="conventional_turnover_fico_acls_interact_1_acls_33"/>
    <x v="73"/>
    <n v="0.65500000000000003"/>
    <n v="1"/>
    <n v="8"/>
    <n v="232"/>
  </r>
  <r>
    <x v="44"/>
    <s v="conventional_turnover_fico_acls_interact_1_acls_34"/>
    <x v="74"/>
    <n v="0.65500000000000003"/>
    <n v="1"/>
    <n v="8"/>
    <n v="232"/>
  </r>
  <r>
    <x v="44"/>
    <s v="conventional_turnover_fico_acls_interact_1_acls_35"/>
    <x v="75"/>
    <n v="0.65500000000000003"/>
    <n v="1"/>
    <n v="8"/>
    <n v="232"/>
  </r>
  <r>
    <x v="44"/>
    <s v="conventional_turnover_fico_acls_interact_1_acls_36"/>
    <x v="76"/>
    <n v="0.65500000000000003"/>
    <n v="1"/>
    <n v="8"/>
    <n v="232"/>
  </r>
  <r>
    <x v="44"/>
    <s v="conventional_turnover_fico_acls_interact_1_acls_37"/>
    <x v="77"/>
    <n v="0.65500000000000003"/>
    <n v="1"/>
    <n v="8"/>
    <n v="232"/>
  </r>
  <r>
    <x v="44"/>
    <s v="conventional_turnover_fico_acls_interact_1_acls_38"/>
    <x v="78"/>
    <n v="0.65500000000000003"/>
    <n v="1"/>
    <n v="8"/>
    <n v="232"/>
  </r>
  <r>
    <x v="44"/>
    <s v="conventional_turnover_fico_acls_interact_1_acls_39"/>
    <x v="79"/>
    <n v="0.65500000000000003"/>
    <n v="1"/>
    <n v="8"/>
    <n v="232"/>
  </r>
  <r>
    <x v="44"/>
    <s v="conventional_turnover_fico_acls_interact_1_acls_40"/>
    <x v="80"/>
    <n v="0.65500000000000003"/>
    <n v="1"/>
    <n v="8"/>
    <n v="232"/>
  </r>
  <r>
    <x v="44"/>
    <s v="conventional_turnover_fico_acls_interact_1_acls_41"/>
    <x v="81"/>
    <n v="0.65500000000000003"/>
    <n v="1"/>
    <n v="8"/>
    <n v="232"/>
  </r>
  <r>
    <x v="44"/>
    <s v="conventional_turnover_fico_acls_interact_1_acls_42"/>
    <x v="82"/>
    <n v="0.65500000000000003"/>
    <n v="1"/>
    <n v="8"/>
    <n v="232"/>
  </r>
  <r>
    <x v="44"/>
    <s v="conventional_turnover_fico_acls_interact_1_acls_43"/>
    <x v="83"/>
    <n v="0.65500000000000003"/>
    <n v="1"/>
    <n v="8"/>
    <n v="232"/>
  </r>
  <r>
    <x v="44"/>
    <s v="conventional_turnover_fico_acls_interact_1_acls_44"/>
    <x v="84"/>
    <n v="0.65500000000000003"/>
    <n v="1"/>
    <n v="8"/>
    <n v="232"/>
  </r>
  <r>
    <x v="44"/>
    <s v="conventional_turnover_fico_acls_interact_1_acls_45"/>
    <x v="85"/>
    <n v="0.65500000000000003"/>
    <n v="1"/>
    <n v="8"/>
    <n v="232"/>
  </r>
  <r>
    <x v="44"/>
    <s v="conventional_turnover_fico_acls_interact_1_acls_46"/>
    <x v="86"/>
    <n v="0.65500000000000003"/>
    <n v="1"/>
    <n v="8"/>
    <n v="232"/>
  </r>
  <r>
    <x v="44"/>
    <s v="conventional_turnover_fico_acls_interact_1_acls_47"/>
    <x v="87"/>
    <n v="0.65500000000000003"/>
    <n v="1"/>
    <n v="8"/>
    <n v="232"/>
  </r>
  <r>
    <x v="44"/>
    <s v="conventional_turnover_fico_acls_interact_1_acls_48"/>
    <x v="88"/>
    <n v="0.65500000000000003"/>
    <n v="1"/>
    <n v="8"/>
    <n v="232"/>
  </r>
  <r>
    <x v="44"/>
    <s v="conventional_turnover_fico_acls_interact_1_acls_49"/>
    <x v="89"/>
    <n v="0.65500000000000003"/>
    <n v="1"/>
    <n v="8"/>
    <n v="232"/>
  </r>
  <r>
    <x v="44"/>
    <s v="conventional_turnover_fico_acls_interact_1_acls_50"/>
    <x v="90"/>
    <n v="0.65500000000000003"/>
    <n v="1"/>
    <n v="8"/>
    <n v="232"/>
  </r>
  <r>
    <x v="44"/>
    <s v="conventional_turnover_fico_acls_interact_1_acls_51"/>
    <x v="91"/>
    <n v="0.65550020136363596"/>
    <n v="1"/>
    <n v="8"/>
    <n v="232"/>
  </r>
  <r>
    <x v="44"/>
    <s v="conventional_turnover_fico_acls_interact_1_acls_52"/>
    <x v="92"/>
    <n v="0.65689773818181796"/>
    <n v="1"/>
    <n v="8"/>
    <n v="232"/>
  </r>
  <r>
    <x v="44"/>
    <s v="conventional_turnover_fico_acls_interact_1_acls_53"/>
    <x v="93"/>
    <n v="0.65903800954545499"/>
    <n v="1"/>
    <n v="8"/>
    <n v="232"/>
  </r>
  <r>
    <x v="44"/>
    <s v="conventional_turnover_fico_acls_interact_1_acls_54"/>
    <x v="94"/>
    <n v="0.66176641454545504"/>
    <n v="1"/>
    <n v="8"/>
    <n v="232"/>
  </r>
  <r>
    <x v="44"/>
    <s v="conventional_turnover_fico_acls_interact_1_acls_55"/>
    <x v="95"/>
    <n v="0.66492835227272695"/>
    <n v="1"/>
    <n v="8"/>
    <n v="232"/>
  </r>
  <r>
    <x v="44"/>
    <s v="conventional_turnover_fico_acls_interact_1_acls_56"/>
    <x v="96"/>
    <n v="0.66836922181818204"/>
    <n v="1"/>
    <n v="8"/>
    <n v="232"/>
  </r>
  <r>
    <x v="44"/>
    <s v="conventional_turnover_fico_acls_interact_1_acls_57"/>
    <x v="97"/>
    <n v="0.67193442227272704"/>
    <n v="1"/>
    <n v="8"/>
    <n v="232"/>
  </r>
  <r>
    <x v="44"/>
    <s v="conventional_turnover_fico_acls_interact_1_acls_58"/>
    <x v="98"/>
    <n v="0.67546935272727304"/>
    <n v="1"/>
    <n v="8"/>
    <n v="232"/>
  </r>
  <r>
    <x v="44"/>
    <s v="conventional_turnover_fico_acls_interact_1_acls_59"/>
    <x v="99"/>
    <n v="0.67881941227272702"/>
    <n v="1"/>
    <n v="8"/>
    <n v="232"/>
  </r>
  <r>
    <x v="44"/>
    <s v="conventional_turnover_fico_acls_interact_1_acls_60"/>
    <x v="100"/>
    <n v="0.68183000000000005"/>
    <n v="1"/>
    <n v="8"/>
    <n v="232"/>
  </r>
  <r>
    <x v="44"/>
    <s v="conventional_turnover_fico_acls_interact_1_acls_61"/>
    <x v="101"/>
    <n v="0.68462070432757305"/>
    <n v="1"/>
    <n v="8"/>
    <n v="232"/>
  </r>
  <r>
    <x v="44"/>
    <s v="conventional_turnover_fico_acls_interact_1_acls_62"/>
    <x v="102"/>
    <n v="0.687414555281743"/>
    <n v="1"/>
    <n v="8"/>
    <n v="232"/>
  </r>
  <r>
    <x v="44"/>
    <s v="conventional_turnover_fico_acls_interact_1_acls_63"/>
    <x v="103"/>
    <n v="0.69021211436513896"/>
    <n v="1"/>
    <n v="8"/>
    <n v="232"/>
  </r>
  <r>
    <x v="44"/>
    <s v="conventional_turnover_fico_acls_interact_1_acls_64"/>
    <x v="104"/>
    <n v="0.69301394308039099"/>
    <n v="1"/>
    <n v="8"/>
    <n v="232"/>
  </r>
  <r>
    <x v="44"/>
    <s v="conventional_turnover_fico_acls_interact_1_acls_65"/>
    <x v="105"/>
    <n v="0.69582060293012804"/>
    <n v="1"/>
    <n v="8"/>
    <n v="232"/>
  </r>
  <r>
    <x v="44"/>
    <s v="conventional_turnover_fico_acls_interact_1_acls_66"/>
    <x v="106"/>
    <n v="0.69863265541698005"/>
    <n v="1"/>
    <n v="8"/>
    <n v="232"/>
  </r>
  <r>
    <x v="44"/>
    <s v="conventional_turnover_fico_acls_interact_1_acls_67"/>
    <x v="107"/>
    <n v="0.70145066204357598"/>
    <n v="1"/>
    <n v="8"/>
    <n v="232"/>
  </r>
  <r>
    <x v="44"/>
    <s v="conventional_turnover_fico_acls_interact_1_acls_68"/>
    <x v="108"/>
    <n v="0.70427518431254699"/>
    <n v="1"/>
    <n v="8"/>
    <n v="232"/>
  </r>
  <r>
    <x v="44"/>
    <s v="conventional_turnover_fico_acls_interact_1_acls_69"/>
    <x v="109"/>
    <n v="0.70710678372652103"/>
    <n v="1"/>
    <n v="8"/>
    <n v="232"/>
  </r>
  <r>
    <x v="44"/>
    <s v="conventional_turnover_fico_acls_interact_1_acls_70"/>
    <x v="110"/>
    <n v="0.70994602178812904"/>
    <n v="1"/>
    <n v="8"/>
    <n v="232"/>
  </r>
  <r>
    <x v="44"/>
    <s v="conventional_turnover_fico_acls_interact_1_acls_71"/>
    <x v="111"/>
    <n v="0.71279345999999999"/>
    <n v="1"/>
    <n v="8"/>
    <n v="232"/>
  </r>
  <r>
    <x v="44"/>
    <s v="conventional_turnover_fico_acls_interact_1_acls_72"/>
    <x v="112"/>
    <n v="0.71564965986476303"/>
    <n v="1"/>
    <n v="8"/>
    <n v="232"/>
  </r>
  <r>
    <x v="44"/>
    <s v="conventional_turnover_fico_acls_interact_1_acls_73"/>
    <x v="113"/>
    <n v="0.71851518288504901"/>
    <n v="1"/>
    <n v="8"/>
    <n v="232"/>
  </r>
  <r>
    <x v="44"/>
    <s v="conventional_turnover_fico_acls_interact_1_acls_74"/>
    <x v="114"/>
    <n v="0.72139059056348598"/>
    <n v="1"/>
    <n v="8"/>
    <n v="232"/>
  </r>
  <r>
    <x v="44"/>
    <s v="conventional_turnover_fico_acls_interact_1_acls_75"/>
    <x v="115"/>
    <n v="0.724276444402705"/>
    <n v="1"/>
    <n v="8"/>
    <n v="232"/>
  </r>
  <r>
    <x v="44"/>
    <s v="conventional_turnover_fico_acls_interact_1_acls_76"/>
    <x v="116"/>
    <n v="0.72717330590533402"/>
    <n v="1"/>
    <n v="8"/>
    <n v="232"/>
  </r>
  <r>
    <x v="44"/>
    <s v="conventional_turnover_fico_acls_interact_1_acls_77"/>
    <x v="117"/>
    <n v="0.73008173657400499"/>
    <n v="1"/>
    <n v="8"/>
    <n v="232"/>
  </r>
  <r>
    <x v="44"/>
    <s v="conventional_turnover_fico_acls_interact_1_acls_78"/>
    <x v="118"/>
    <n v="0.73300229791134497"/>
    <n v="1"/>
    <n v="8"/>
    <n v="232"/>
  </r>
  <r>
    <x v="44"/>
    <s v="conventional_turnover_fico_acls_interact_1_acls_79"/>
    <x v="119"/>
    <n v="0.73593555141998501"/>
    <n v="1"/>
    <n v="8"/>
    <n v="232"/>
  </r>
  <r>
    <x v="44"/>
    <s v="conventional_turnover_fico_acls_interact_1_acls_80"/>
    <x v="120"/>
    <n v="0.73888205860255496"/>
    <n v="1"/>
    <n v="8"/>
    <n v="232"/>
  </r>
  <r>
    <x v="44"/>
    <s v="conventional_turnover_fico_acls_interact_1_acls_81"/>
    <x v="121"/>
    <n v="0.74184238096168298"/>
    <n v="1"/>
    <n v="8"/>
    <n v="232"/>
  </r>
  <r>
    <x v="44"/>
    <s v="conventional_turnover_fico_acls_interact_1_acls_82"/>
    <x v="122"/>
    <n v="0.74481708000000002"/>
    <n v="1"/>
    <n v="8"/>
    <n v="232"/>
  </r>
  <r>
    <x v="44"/>
    <s v="conventional_turnover_fico_acls_interact_1_acls_83"/>
    <x v="123"/>
    <n v="0.74780671722013503"/>
    <n v="1"/>
    <n v="8"/>
    <n v="232"/>
  </r>
  <r>
    <x v="44"/>
    <s v="conventional_turnover_fico_acls_interact_1_acls_84"/>
    <x v="124"/>
    <n v="0.75081185412471796"/>
    <n v="1"/>
    <n v="8"/>
    <n v="232"/>
  </r>
  <r>
    <x v="44"/>
    <s v="conventional_turnover_fico_acls_interact_1_acls_85"/>
    <x v="125"/>
    <n v="0.75383305221637897"/>
    <n v="1"/>
    <n v="8"/>
    <n v="232"/>
  </r>
  <r>
    <x v="44"/>
    <s v="conventional_turnover_fico_acls_interact_1_acls_86"/>
    <x v="126"/>
    <n v="0.75687087299774602"/>
    <n v="1"/>
    <n v="8"/>
    <n v="232"/>
  </r>
  <r>
    <x v="44"/>
    <s v="conventional_turnover_fico_acls_interact_1_acls_87"/>
    <x v="127"/>
    <n v="0.75992587797144995"/>
    <n v="1"/>
    <n v="8"/>
    <n v="232"/>
  </r>
  <r>
    <x v="44"/>
    <s v="conventional_turnover_fico_acls_interact_1_acls_88"/>
    <x v="128"/>
    <n v="0.76299751579692998"/>
    <n v="1"/>
    <n v="8"/>
    <n v="232"/>
  </r>
  <r>
    <x v="44"/>
    <s v="conventional_turnover_fico_acls_interact_1_acls_89"/>
    <x v="129"/>
    <n v="0.76607961293978799"/>
    <n v="1"/>
    <n v="8"/>
    <n v="232"/>
  </r>
  <r>
    <x v="44"/>
    <s v="conventional_turnover_fico_acls_interact_1_acls_90"/>
    <x v="130"/>
    <n v="0.76917146989374297"/>
    <n v="1"/>
    <n v="8"/>
    <n v="232"/>
  </r>
  <r>
    <x v="44"/>
    <s v="conventional_turnover_fico_acls_interact_1_acls_91"/>
    <x v="131"/>
    <n v="0.77227349355371899"/>
    <n v="1"/>
    <n v="8"/>
    <n v="232"/>
  </r>
  <r>
    <x v="44"/>
    <s v="conventional_turnover_fico_acls_interact_1_acls_92"/>
    <x v="132"/>
    <n v="0.77538609081464005"/>
    <n v="1"/>
    <n v="8"/>
    <n v="232"/>
  </r>
  <r>
    <x v="44"/>
    <s v="conventional_turnover_fico_acls_interact_1_acls_93"/>
    <x v="133"/>
    <n v="0.778509668571429"/>
    <n v="1"/>
    <n v="8"/>
    <n v="232"/>
  </r>
  <r>
    <x v="44"/>
    <s v="conventional_turnover_fico_acls_interact_1_acls_94"/>
    <x v="134"/>
    <n v="0.78164463371900805"/>
    <n v="1"/>
    <n v="8"/>
    <n v="232"/>
  </r>
  <r>
    <x v="44"/>
    <s v="conventional_turnover_fico_acls_interact_1_acls_95"/>
    <x v="135"/>
    <n v="0.78479139315230195"/>
    <n v="1"/>
    <n v="8"/>
    <n v="232"/>
  </r>
  <r>
    <x v="44"/>
    <s v="conventional_turnover_fico_acls_interact_1_acls_96"/>
    <x v="136"/>
    <n v="0.78795035376623401"/>
    <n v="1"/>
    <n v="8"/>
    <n v="232"/>
  </r>
  <r>
    <x v="44"/>
    <s v="conventional_turnover_fico_acls_interact_1_acls_97"/>
    <x v="137"/>
    <n v="0.79112192245572599"/>
    <n v="1"/>
    <n v="8"/>
    <n v="232"/>
  </r>
  <r>
    <x v="44"/>
    <s v="conventional_turnover_fico_acls_interact_1_acls_98"/>
    <x v="138"/>
    <n v="0.79430650611570297"/>
    <n v="1"/>
    <n v="8"/>
    <n v="232"/>
  </r>
  <r>
    <x v="44"/>
    <s v="conventional_turnover_fico_acls_interact_1_acls_99"/>
    <x v="139"/>
    <n v="0.79750451164108604"/>
    <n v="1"/>
    <n v="8"/>
    <n v="232"/>
  </r>
  <r>
    <x v="44"/>
    <s v="conventional_turnover_fico_acls_interact_1_acls_100"/>
    <x v="140"/>
    <n v="0.80071634592680097"/>
    <n v="1"/>
    <n v="8"/>
    <n v="232"/>
  </r>
  <r>
    <x v="44"/>
    <s v="conventional_turnover_fico_acls_interact_1_acls_101"/>
    <x v="141"/>
    <n v="0.80394241586776904"/>
    <n v="1"/>
    <n v="8"/>
    <n v="232"/>
  </r>
  <r>
    <x v="44"/>
    <s v="conventional_turnover_fico_acls_interact_1_acls_102"/>
    <x v="142"/>
    <n v="0.80718312835891404"/>
    <n v="1"/>
    <n v="8"/>
    <n v="232"/>
  </r>
  <r>
    <x v="44"/>
    <s v="conventional_turnover_fico_acls_interact_1_acls_103"/>
    <x v="143"/>
    <n v="0.81043889029515903"/>
    <n v="1"/>
    <n v="8"/>
    <n v="232"/>
  </r>
  <r>
    <x v="44"/>
    <s v="conventional_turnover_fico_acls_interact_1_acls_104"/>
    <x v="144"/>
    <n v="0.813710108571429"/>
    <n v="1"/>
    <n v="8"/>
    <n v="232"/>
  </r>
  <r>
    <x v="44"/>
    <s v="conventional_turnover_fico_acls_interact_1_acls_105"/>
    <x v="145"/>
    <n v="0.81699719008264504"/>
    <n v="1"/>
    <n v="8"/>
    <n v="232"/>
  </r>
  <r>
    <x v="44"/>
    <s v="conventional_turnover_fico_acls_interact_1_acls_106"/>
    <x v="146"/>
    <n v="0.82030054172373101"/>
    <n v="1"/>
    <n v="8"/>
    <n v="232"/>
  </r>
  <r>
    <x v="44"/>
    <s v="conventional_turnover_fico_acls_interact_1_acls_107"/>
    <x v="147"/>
    <n v="0.82362057038961001"/>
    <n v="1"/>
    <n v="8"/>
    <n v="232"/>
  </r>
  <r>
    <x v="44"/>
    <s v="conventional_turnover_fico_acls_interact_1_acls_108"/>
    <x v="148"/>
    <n v="0.826957682975207"/>
    <n v="1"/>
    <n v="8"/>
    <n v="232"/>
  </r>
  <r>
    <x v="44"/>
    <s v="conventional_turnover_fico_acls_interact_1_acls_109"/>
    <x v="149"/>
    <n v="0.83031228637544297"/>
    <n v="1"/>
    <n v="8"/>
    <n v="232"/>
  </r>
  <r>
    <x v="44"/>
    <s v="conventional_turnover_fico_acls_interact_1_acls_110"/>
    <x v="150"/>
    <n v="0.833684787485242"/>
    <n v="1"/>
    <n v="8"/>
    <n v="232"/>
  </r>
  <r>
    <x v="44"/>
    <s v="conventional_turnover_fico_acls_interact_1_acls_111"/>
    <x v="151"/>
    <n v="0.83707559319952796"/>
    <n v="1"/>
    <n v="8"/>
    <n v="232"/>
  </r>
  <r>
    <x v="44"/>
    <s v="conventional_turnover_fico_acls_interact_1_acls_112"/>
    <x v="152"/>
    <n v="0.84048511041322305"/>
    <n v="1"/>
    <n v="8"/>
    <n v="232"/>
  </r>
  <r>
    <x v="44"/>
    <s v="conventional_turnover_fico_acls_interact_1_acls_113"/>
    <x v="153"/>
    <n v="0.84391374602125202"/>
    <n v="1"/>
    <n v="8"/>
    <n v="232"/>
  </r>
  <r>
    <x v="44"/>
    <s v="conventional_turnover_fico_acls_interact_1_acls_114"/>
    <x v="154"/>
    <n v="0.84736190691853597"/>
    <n v="1"/>
    <n v="8"/>
    <n v="232"/>
  </r>
  <r>
    <x v="44"/>
    <s v="conventional_turnover_fico_acls_interact_1_acls_115"/>
    <x v="155"/>
    <n v="0.85082999999999998"/>
    <n v="1"/>
    <n v="8"/>
    <n v="232"/>
  </r>
  <r>
    <x v="44"/>
    <s v="conventional_turnover_fico_acls_interact_1_acls_116"/>
    <x v="156"/>
    <n v="0.85436170541849998"/>
    <n v="1"/>
    <n v="8"/>
    <n v="232"/>
  </r>
  <r>
    <x v="44"/>
    <s v="conventional_turnover_fico_acls_interact_1_acls_117"/>
    <x v="157"/>
    <n v="0.85799490434985404"/>
    <n v="1"/>
    <n v="8"/>
    <n v="232"/>
  </r>
  <r>
    <x v="44"/>
    <s v="conventional_turnover_fico_acls_interact_1_acls_118"/>
    <x v="158"/>
    <n v="0.86172130522343005"/>
    <n v="1"/>
    <n v="8"/>
    <n v="232"/>
  </r>
  <r>
    <x v="44"/>
    <s v="conventional_turnover_fico_acls_interact_1_acls_119"/>
    <x v="159"/>
    <n v="0.86553261646859203"/>
    <n v="1"/>
    <n v="8"/>
    <n v="232"/>
  </r>
  <r>
    <x v="44"/>
    <s v="conventional_turnover_fico_acls_interact_1_acls_120"/>
    <x v="160"/>
    <n v="0.86942054651471001"/>
    <n v="1"/>
    <n v="8"/>
    <n v="232"/>
  </r>
  <r>
    <x v="44"/>
    <s v="conventional_turnover_fico_acls_interact_1_acls_121"/>
    <x v="161"/>
    <n v="0.87337680379114702"/>
    <n v="1"/>
    <n v="8"/>
    <n v="232"/>
  </r>
  <r>
    <x v="44"/>
    <s v="conventional_turnover_fico_acls_interact_1_acls_122"/>
    <x v="162"/>
    <n v="0.87739309672727295"/>
    <n v="1"/>
    <n v="8"/>
    <n v="232"/>
  </r>
  <r>
    <x v="44"/>
    <s v="conventional_turnover_fico_acls_interact_1_acls_123"/>
    <x v="163"/>
    <n v="0.88146113375245205"/>
    <n v="1"/>
    <n v="8"/>
    <n v="232"/>
  </r>
  <r>
    <x v="44"/>
    <s v="conventional_turnover_fico_acls_interact_1_acls_124"/>
    <x v="164"/>
    <n v="0.88557262329605102"/>
    <n v="1"/>
    <n v="8"/>
    <n v="232"/>
  </r>
  <r>
    <x v="44"/>
    <s v="conventional_turnover_fico_acls_interact_1_acls_125"/>
    <x v="165"/>
    <n v="0.88971927378743698"/>
    <n v="1"/>
    <n v="8"/>
    <n v="232"/>
  </r>
  <r>
    <x v="44"/>
    <s v="conventional_turnover_fico_acls_interact_1_acls_126"/>
    <x v="166"/>
    <n v="0.89389279365597696"/>
    <n v="1"/>
    <n v="8"/>
    <n v="232"/>
  </r>
  <r>
    <x v="44"/>
    <s v="conventional_turnover_fico_acls_interact_1_acls_127"/>
    <x v="167"/>
    <n v="0.89808489133103597"/>
    <n v="1"/>
    <n v="8"/>
    <n v="232"/>
  </r>
  <r>
    <x v="44"/>
    <s v="conventional_turnover_fico_acls_interact_1_acls_128"/>
    <x v="168"/>
    <n v="0.90228727524198205"/>
    <n v="1"/>
    <n v="8"/>
    <n v="232"/>
  </r>
  <r>
    <x v="44"/>
    <s v="conventional_turnover_fico_acls_interact_1_acls_129"/>
    <x v="169"/>
    <n v="0.90649165381818197"/>
    <n v="1"/>
    <n v="8"/>
    <n v="232"/>
  </r>
  <r>
    <x v="44"/>
    <s v="conventional_turnover_fico_acls_interact_1_acls_130"/>
    <x v="170"/>
    <n v="0.91068973548900101"/>
    <n v="1"/>
    <n v="8"/>
    <n v="232"/>
  </r>
  <r>
    <x v="44"/>
    <s v="conventional_turnover_fico_acls_interact_1_acls_131"/>
    <x v="171"/>
    <n v="0.91487322868380605"/>
    <n v="1"/>
    <n v="8"/>
    <n v="232"/>
  </r>
  <r>
    <x v="44"/>
    <s v="conventional_turnover_fico_acls_interact_1_acls_132"/>
    <x v="172"/>
    <n v="0.91903384183196402"/>
    <n v="1"/>
    <n v="8"/>
    <n v="232"/>
  </r>
  <r>
    <x v="44"/>
    <s v="conventional_turnover_fico_acls_interact_1_acls_133"/>
    <x v="173"/>
    <n v="0.92316328336284104"/>
    <n v="1"/>
    <n v="8"/>
    <n v="232"/>
  </r>
  <r>
    <x v="44"/>
    <s v="conventional_turnover_fico_acls_interact_1_acls_134"/>
    <x v="174"/>
    <n v="0.92725326170580402"/>
    <n v="1"/>
    <n v="8"/>
    <n v="232"/>
  </r>
  <r>
    <x v="44"/>
    <s v="conventional_turnover_fico_acls_interact_1_acls_135"/>
    <x v="175"/>
    <n v="0.93129548529021999"/>
    <n v="1"/>
    <n v="8"/>
    <n v="232"/>
  </r>
  <r>
    <x v="44"/>
    <s v="conventional_turnover_fico_acls_interact_1_acls_136"/>
    <x v="176"/>
    <n v="0.93528166254545497"/>
    <n v="1"/>
    <n v="8"/>
    <n v="232"/>
  </r>
  <r>
    <x v="44"/>
    <s v="conventional_turnover_fico_acls_interact_1_acls_137"/>
    <x v="177"/>
    <n v="0.93920350190087498"/>
    <n v="1"/>
    <n v="8"/>
    <n v="232"/>
  </r>
  <r>
    <x v="44"/>
    <s v="conventional_turnover_fico_acls_interact_1_acls_138"/>
    <x v="178"/>
    <n v="0.94305271178584704"/>
    <n v="1"/>
    <n v="8"/>
    <n v="232"/>
  </r>
  <r>
    <x v="44"/>
    <s v="conventional_turnover_fico_acls_interact_1_acls_139"/>
    <x v="179"/>
    <n v="0.94682100062973795"/>
    <n v="1"/>
    <n v="8"/>
    <n v="232"/>
  </r>
  <r>
    <x v="44"/>
    <s v="conventional_turnover_fico_acls_interact_1_acls_140"/>
    <x v="180"/>
    <n v="0.95050007686191396"/>
    <n v="1"/>
    <n v="8"/>
    <n v="232"/>
  </r>
  <r>
    <x v="44"/>
    <s v="conventional_turnover_fico_acls_interact_1_acls_141"/>
    <x v="181"/>
    <n v="0.95408164891174096"/>
    <n v="1"/>
    <n v="8"/>
    <n v="232"/>
  </r>
  <r>
    <x v="44"/>
    <s v="conventional_turnover_fico_acls_interact_1_acls_142"/>
    <x v="182"/>
    <n v="0.957557425208587"/>
    <n v="1"/>
    <n v="8"/>
    <n v="232"/>
  </r>
  <r>
    <x v="44"/>
    <s v="conventional_turnover_fico_acls_interact_1_acls_143"/>
    <x v="183"/>
    <n v="0.96091911418181797"/>
    <n v="1"/>
    <n v="8"/>
    <n v="232"/>
  </r>
  <r>
    <x v="44"/>
    <s v="conventional_turnover_fico_acls_interact_1_acls_144"/>
    <x v="184"/>
    <n v="0.96415842426080001"/>
    <n v="1"/>
    <n v="8"/>
    <n v="232"/>
  </r>
  <r>
    <x v="44"/>
    <s v="conventional_turnover_fico_acls_interact_1_acls_145"/>
    <x v="185"/>
    <n v="0.96726706387490102"/>
    <n v="1"/>
    <n v="8"/>
    <n v="232"/>
  </r>
  <r>
    <x v="44"/>
    <s v="conventional_turnover_fico_acls_interact_1_acls_146"/>
    <x v="186"/>
    <n v="0.97023674145348504"/>
    <n v="1"/>
    <n v="8"/>
    <n v="232"/>
  </r>
  <r>
    <x v="44"/>
    <s v="conventional_turnover_fico_acls_interact_1_acls_147"/>
    <x v="187"/>
    <n v="0.97305916542592097"/>
    <n v="1"/>
    <n v="8"/>
    <n v="232"/>
  </r>
  <r>
    <x v="44"/>
    <s v="conventional_turnover_fico_acls_interact_1_acls_148"/>
    <x v="188"/>
    <n v="0.97572604422157405"/>
    <n v="1"/>
    <n v="8"/>
    <n v="232"/>
  </r>
  <r>
    <x v="44"/>
    <s v="conventional_turnover_fico_acls_interact_1_acls_149"/>
    <x v="189"/>
    <n v="0.97822908626981198"/>
    <n v="1"/>
    <n v="8"/>
    <n v="232"/>
  </r>
  <r>
    <x v="44"/>
    <s v="conventional_turnover_fico_acls_interact_1_acls_150"/>
    <x v="190"/>
    <n v="0.98055999999999999"/>
    <n v="1"/>
    <n v="8"/>
    <n v="232"/>
  </r>
  <r>
    <x v="44"/>
    <s v="conventional_turnover_fico_acls_interact_1_acls_151"/>
    <x v="191"/>
    <n v="0.98271712987428606"/>
    <n v="1"/>
    <n v="8"/>
    <n v="232"/>
  </r>
  <r>
    <x v="44"/>
    <s v="conventional_turnover_fico_acls_interact_1_acls_152"/>
    <x v="192"/>
    <n v="0.98470874413714304"/>
    <n v="1"/>
    <n v="8"/>
    <n v="232"/>
  </r>
  <r>
    <x v="44"/>
    <s v="conventional_turnover_fico_acls_interact_1_acls_153"/>
    <x v="193"/>
    <n v="0.98654143689142804"/>
    <n v="1"/>
    <n v="8"/>
    <n v="232"/>
  </r>
  <r>
    <x v="44"/>
    <s v="conventional_turnover_fico_acls_interact_1_acls_154"/>
    <x v="194"/>
    <n v="0.98822180224"/>
    <n v="1"/>
    <n v="8"/>
    <n v="232"/>
  </r>
  <r>
    <x v="44"/>
    <s v="conventional_turnover_fico_acls_interact_1_acls_155"/>
    <x v="195"/>
    <n v="0.98975643428571403"/>
    <n v="1"/>
    <n v="8"/>
    <n v="232"/>
  </r>
  <r>
    <x v="44"/>
    <s v="conventional_turnover_fico_acls_interact_1_acls_156"/>
    <x v="196"/>
    <n v="0.99115192713142897"/>
    <n v="1"/>
    <n v="8"/>
    <n v="232"/>
  </r>
  <r>
    <x v="44"/>
    <s v="conventional_turnover_fico_acls_interact_1_acls_157"/>
    <x v="197"/>
    <n v="0.99241487488000002"/>
    <n v="1"/>
    <n v="8"/>
    <n v="232"/>
  </r>
  <r>
    <x v="44"/>
    <s v="conventional_turnover_fico_acls_interact_1_acls_158"/>
    <x v="198"/>
    <n v="0.99355187163428604"/>
    <n v="1"/>
    <n v="8"/>
    <n v="232"/>
  </r>
  <r>
    <x v="44"/>
    <s v="conventional_turnover_fico_acls_interact_1_acls_159"/>
    <x v="199"/>
    <n v="0.99456951149714301"/>
    <n v="1"/>
    <n v="8"/>
    <n v="232"/>
  </r>
  <r>
    <x v="44"/>
    <s v="conventional_turnover_fico_acls_interact_1_acls_160"/>
    <x v="200"/>
    <n v="0.995474388571429"/>
    <n v="1"/>
    <n v="8"/>
    <n v="232"/>
  </r>
  <r>
    <x v="44"/>
    <s v="conventional_turnover_fico_acls_interact_1_acls_161"/>
    <x v="201"/>
    <n v="0.99627309695999999"/>
    <n v="1"/>
    <n v="8"/>
    <n v="232"/>
  </r>
  <r>
    <x v="44"/>
    <s v="conventional_turnover_fico_acls_interact_1_acls_162"/>
    <x v="202"/>
    <n v="0.99697223076571395"/>
    <n v="1"/>
    <n v="8"/>
    <n v="232"/>
  </r>
  <r>
    <x v="44"/>
    <s v="conventional_turnover_fico_acls_interact_1_acls_163"/>
    <x v="203"/>
    <n v="0.99757838409142896"/>
    <n v="1"/>
    <n v="8"/>
    <n v="232"/>
  </r>
  <r>
    <x v="44"/>
    <s v="conventional_turnover_fico_acls_interact_1_acls_164"/>
    <x v="204"/>
    <n v="0.99809815103999999"/>
    <n v="1"/>
    <n v="8"/>
    <n v="232"/>
  </r>
  <r>
    <x v="44"/>
    <s v="conventional_turnover_fico_acls_interact_1_acls_165"/>
    <x v="205"/>
    <n v="0.99853812571428602"/>
    <n v="1"/>
    <n v="8"/>
    <n v="232"/>
  </r>
  <r>
    <x v="44"/>
    <s v="conventional_turnover_fico_acls_interact_1_acls_166"/>
    <x v="206"/>
    <n v="0.99890490221714301"/>
    <n v="1"/>
    <n v="8"/>
    <n v="232"/>
  </r>
  <r>
    <x v="44"/>
    <s v="conventional_turnover_fico_acls_interact_1_acls_167"/>
    <x v="207"/>
    <n v="0.99920507465142905"/>
    <n v="1"/>
    <n v="8"/>
    <n v="232"/>
  </r>
  <r>
    <x v="44"/>
    <s v="conventional_turnover_fico_acls_interact_1_acls_168"/>
    <x v="208"/>
    <n v="0.99944523712"/>
    <n v="1"/>
    <n v="8"/>
    <n v="232"/>
  </r>
  <r>
    <x v="44"/>
    <s v="conventional_turnover_fico_acls_interact_1_acls_169"/>
    <x v="209"/>
    <n v="0.99963198372571405"/>
    <n v="1"/>
    <n v="8"/>
    <n v="232"/>
  </r>
  <r>
    <x v="44"/>
    <s v="conventional_turnover_fico_acls_interact_1_acls_170"/>
    <x v="210"/>
    <n v="0.99977190857142895"/>
    <n v="1"/>
    <n v="8"/>
    <n v="232"/>
  </r>
  <r>
    <x v="44"/>
    <s v="conventional_turnover_fico_acls_interact_1_acls_171"/>
    <x v="211"/>
    <n v="0.99987160576"/>
    <n v="1"/>
    <n v="8"/>
    <n v="232"/>
  </r>
  <r>
    <x v="44"/>
    <s v="conventional_turnover_fico_acls_interact_1_acls_172"/>
    <x v="212"/>
    <n v="0.99993766939428597"/>
    <n v="1"/>
    <n v="8"/>
    <n v="232"/>
  </r>
  <r>
    <x v="44"/>
    <s v="conventional_turnover_fico_acls_interact_1_acls_173"/>
    <x v="213"/>
    <n v="0.99997669357714303"/>
    <n v="1"/>
    <n v="8"/>
    <n v="232"/>
  </r>
  <r>
    <x v="44"/>
    <s v="conventional_turnover_fico_acls_interact_1_acls_174"/>
    <x v="214"/>
    <n v="0.99999527241142905"/>
    <n v="1"/>
    <n v="8"/>
    <n v="232"/>
  </r>
  <r>
    <x v="44"/>
    <s v="conventional_turnover_fico_acls_interact_1_acls_175"/>
    <x v="215"/>
    <n v="1"/>
    <n v="1"/>
    <n v="8"/>
    <n v="232"/>
  </r>
  <r>
    <x v="44"/>
    <s v="conventional_turnover_fico_acls_interact_1_acls_176"/>
    <x v="216"/>
    <n v="1"/>
    <n v="1"/>
    <n v="8"/>
    <n v="232"/>
  </r>
  <r>
    <x v="44"/>
    <s v="conventional_turnover_fico_acls_interact_1_acls_177"/>
    <x v="217"/>
    <n v="1"/>
    <n v="1"/>
    <n v="8"/>
    <n v="232"/>
  </r>
  <r>
    <x v="44"/>
    <s v="conventional_turnover_fico_acls_interact_1_acls_178"/>
    <x v="218"/>
    <n v="1"/>
    <n v="1"/>
    <n v="8"/>
    <n v="232"/>
  </r>
  <r>
    <x v="44"/>
    <s v="conventional_turnover_fico_acls_interact_1_acls_179"/>
    <x v="219"/>
    <n v="1"/>
    <n v="1"/>
    <n v="8"/>
    <n v="232"/>
  </r>
  <r>
    <x v="44"/>
    <s v="conventional_turnover_fico_acls_interact_1_acls_180"/>
    <x v="220"/>
    <n v="1"/>
    <n v="1"/>
    <n v="8"/>
    <n v="232"/>
  </r>
  <r>
    <x v="44"/>
    <s v="conventional_turnover_fico_acls_interact_1_acls_181"/>
    <x v="221"/>
    <n v="1"/>
    <n v="1"/>
    <n v="8"/>
    <n v="232"/>
  </r>
  <r>
    <x v="44"/>
    <s v="conventional_turnover_fico_acls_interact_1_acls_182"/>
    <x v="222"/>
    <n v="1"/>
    <n v="1"/>
    <n v="8"/>
    <n v="232"/>
  </r>
  <r>
    <x v="44"/>
    <s v="conventional_turnover_fico_acls_interact_1_acls_183"/>
    <x v="223"/>
    <n v="1"/>
    <n v="1"/>
    <n v="8"/>
    <n v="232"/>
  </r>
  <r>
    <x v="44"/>
    <s v="conventional_turnover_fico_acls_interact_1_acls_184"/>
    <x v="224"/>
    <n v="1"/>
    <n v="1"/>
    <n v="8"/>
    <n v="232"/>
  </r>
  <r>
    <x v="44"/>
    <s v="conventional_turnover_fico_acls_interact_1_acls_185"/>
    <x v="225"/>
    <n v="1"/>
    <n v="1"/>
    <n v="8"/>
    <n v="232"/>
  </r>
  <r>
    <x v="44"/>
    <s v="conventional_turnover_fico_acls_interact_1_acls_186"/>
    <x v="226"/>
    <n v="1"/>
    <n v="1"/>
    <n v="8"/>
    <n v="232"/>
  </r>
  <r>
    <x v="44"/>
    <s v="conventional_turnover_fico_acls_interact_1_acls_187"/>
    <x v="227"/>
    <n v="1"/>
    <n v="1"/>
    <n v="8"/>
    <n v="232"/>
  </r>
  <r>
    <x v="44"/>
    <s v="conventional_turnover_fico_acls_interact_1_acls_188"/>
    <x v="228"/>
    <n v="1"/>
    <n v="1"/>
    <n v="8"/>
    <n v="232"/>
  </r>
  <r>
    <x v="44"/>
    <s v="conventional_turnover_fico_acls_interact_1_acls_189"/>
    <x v="229"/>
    <n v="1"/>
    <n v="1"/>
    <n v="8"/>
    <n v="232"/>
  </r>
  <r>
    <x v="44"/>
    <s v="conventional_turnover_fico_acls_interact_1_acls_190"/>
    <x v="230"/>
    <n v="1"/>
    <n v="1"/>
    <n v="8"/>
    <n v="232"/>
  </r>
  <r>
    <x v="44"/>
    <s v="conventional_turnover_fico_acls_interact_1_acls_191"/>
    <x v="231"/>
    <n v="1"/>
    <n v="1"/>
    <n v="8"/>
    <n v="232"/>
  </r>
  <r>
    <x v="44"/>
    <s v="conventional_turnover_fico_acls_interact_1_acls_192"/>
    <x v="232"/>
    <n v="1"/>
    <n v="1"/>
    <n v="8"/>
    <n v="232"/>
  </r>
  <r>
    <x v="44"/>
    <s v="conventional_turnover_fico_acls_interact_1_acls_193"/>
    <x v="233"/>
    <n v="1"/>
    <n v="1"/>
    <n v="8"/>
    <n v="232"/>
  </r>
  <r>
    <x v="44"/>
    <s v="conventional_turnover_fico_acls_interact_1_acls_194"/>
    <x v="234"/>
    <n v="1"/>
    <n v="1"/>
    <n v="8"/>
    <n v="232"/>
  </r>
  <r>
    <x v="44"/>
    <s v="conventional_turnover_fico_acls_interact_1_acls_195"/>
    <x v="235"/>
    <n v="1"/>
    <n v="1"/>
    <n v="8"/>
    <n v="232"/>
  </r>
  <r>
    <x v="44"/>
    <s v="conventional_turnover_fico_acls_interact_1_acls_196"/>
    <x v="236"/>
    <n v="1"/>
    <n v="1"/>
    <n v="8"/>
    <n v="232"/>
  </r>
  <r>
    <x v="44"/>
    <s v="conventional_turnover_fico_acls_interact_1_acls_197"/>
    <x v="237"/>
    <n v="1"/>
    <n v="1"/>
    <n v="8"/>
    <n v="232"/>
  </r>
  <r>
    <x v="44"/>
    <s v="conventional_turnover_fico_acls_interact_1_acls_198"/>
    <x v="238"/>
    <n v="1"/>
    <n v="1"/>
    <n v="8"/>
    <n v="232"/>
  </r>
  <r>
    <x v="44"/>
    <s v="conventional_turnover_fico_acls_interact_1_acls_199"/>
    <x v="239"/>
    <n v="1"/>
    <n v="1"/>
    <n v="8"/>
    <n v="232"/>
  </r>
  <r>
    <x v="44"/>
    <s v="conventional_turnover_fico_acls_interact_1_acls_200"/>
    <x v="240"/>
    <n v="1"/>
    <n v="1"/>
    <n v="8"/>
    <n v="232"/>
  </r>
  <r>
    <x v="44"/>
    <s v="conventional_turnover_fico_acls_interact_1_acls_201"/>
    <x v="241"/>
    <n v="1"/>
    <n v="1"/>
    <n v="8"/>
    <n v="232"/>
  </r>
  <r>
    <x v="44"/>
    <s v="conventional_turnover_fico_acls_interact_1_acls_202"/>
    <x v="242"/>
    <n v="1"/>
    <n v="1"/>
    <n v="8"/>
    <n v="232"/>
  </r>
  <r>
    <x v="44"/>
    <s v="conventional_turnover_fico_acls_interact_1_acls_203"/>
    <x v="243"/>
    <n v="1"/>
    <n v="1"/>
    <n v="8"/>
    <n v="232"/>
  </r>
  <r>
    <x v="44"/>
    <s v="conventional_turnover_fico_acls_interact_1_acls_204"/>
    <x v="244"/>
    <n v="1"/>
    <n v="1"/>
    <n v="8"/>
    <n v="232"/>
  </r>
  <r>
    <x v="44"/>
    <s v="conventional_turnover_fico_acls_interact_1_acls_205"/>
    <x v="245"/>
    <n v="1"/>
    <n v="1"/>
    <n v="8"/>
    <n v="232"/>
  </r>
  <r>
    <x v="44"/>
    <s v="conventional_turnover_fico_acls_interact_1_acls_206"/>
    <x v="246"/>
    <n v="1"/>
    <n v="1"/>
    <n v="8"/>
    <n v="232"/>
  </r>
  <r>
    <x v="44"/>
    <s v="conventional_turnover_fico_acls_interact_1_acls_207"/>
    <x v="247"/>
    <n v="1"/>
    <n v="1"/>
    <n v="8"/>
    <n v="232"/>
  </r>
  <r>
    <x v="44"/>
    <s v="conventional_turnover_fico_acls_interact_1_acls_208"/>
    <x v="248"/>
    <n v="1"/>
    <n v="1"/>
    <n v="8"/>
    <n v="232"/>
  </r>
  <r>
    <x v="44"/>
    <s v="conventional_turnover_fico_acls_interact_1_acls_209"/>
    <x v="249"/>
    <n v="1"/>
    <n v="1"/>
    <n v="8"/>
    <n v="232"/>
  </r>
  <r>
    <x v="44"/>
    <s v="conventional_turnover_fico_acls_interact_1_acls_210"/>
    <x v="250"/>
    <n v="1"/>
    <n v="1"/>
    <n v="8"/>
    <n v="232"/>
  </r>
  <r>
    <x v="44"/>
    <s v="conventional_turnover_fico_acls_interact_1_acls_211"/>
    <x v="251"/>
    <n v="1"/>
    <n v="1"/>
    <n v="8"/>
    <n v="232"/>
  </r>
  <r>
    <x v="44"/>
    <s v="conventional_turnover_fico_acls_interact_1_acls_212"/>
    <x v="252"/>
    <n v="1"/>
    <n v="1"/>
    <n v="8"/>
    <n v="232"/>
  </r>
  <r>
    <x v="44"/>
    <s v="conventional_turnover_fico_acls_interact_1_acls_213"/>
    <x v="253"/>
    <n v="1"/>
    <n v="1"/>
    <n v="8"/>
    <n v="232"/>
  </r>
  <r>
    <x v="44"/>
    <s v="conventional_turnover_fico_acls_interact_1_acls_214"/>
    <x v="254"/>
    <n v="1"/>
    <n v="1"/>
    <n v="8"/>
    <n v="232"/>
  </r>
  <r>
    <x v="44"/>
    <s v="conventional_turnover_fico_acls_interact_1_acls_215"/>
    <x v="255"/>
    <n v="1"/>
    <n v="1"/>
    <n v="8"/>
    <n v="232"/>
  </r>
  <r>
    <x v="44"/>
    <s v="conventional_turnover_fico_acls_interact_1_acls_216"/>
    <x v="256"/>
    <n v="1"/>
    <n v="1"/>
    <n v="8"/>
    <n v="232"/>
  </r>
  <r>
    <x v="44"/>
    <s v="conventional_turnover_fico_acls_interact_1_acls_217"/>
    <x v="257"/>
    <n v="1"/>
    <n v="1"/>
    <n v="8"/>
    <n v="232"/>
  </r>
  <r>
    <x v="44"/>
    <s v="conventional_turnover_fico_acls_interact_1_acls_218"/>
    <x v="258"/>
    <n v="1"/>
    <n v="1"/>
    <n v="8"/>
    <n v="232"/>
  </r>
  <r>
    <x v="44"/>
    <s v="conventional_turnover_fico_acls_interact_1_acls_219"/>
    <x v="259"/>
    <n v="1"/>
    <n v="1"/>
    <n v="8"/>
    <n v="232"/>
  </r>
  <r>
    <x v="44"/>
    <s v="conventional_turnover_fico_acls_interact_1_acls_220"/>
    <x v="260"/>
    <n v="1"/>
    <n v="1"/>
    <n v="8"/>
    <n v="232"/>
  </r>
  <r>
    <x v="44"/>
    <s v="conventional_turnover_fico_acls_interact_1_acls_221"/>
    <x v="261"/>
    <n v="1"/>
    <n v="1"/>
    <n v="8"/>
    <n v="232"/>
  </r>
  <r>
    <x v="44"/>
    <s v="conventional_turnover_fico_acls_interact_1_acls_222"/>
    <x v="262"/>
    <n v="1"/>
    <n v="1"/>
    <n v="8"/>
    <n v="232"/>
  </r>
  <r>
    <x v="44"/>
    <s v="conventional_turnover_fico_acls_interact_1_acls_223"/>
    <x v="263"/>
    <n v="1"/>
    <n v="1"/>
    <n v="8"/>
    <n v="232"/>
  </r>
  <r>
    <x v="44"/>
    <s v="conventional_turnover_fico_acls_interact_1_acls_224"/>
    <x v="264"/>
    <n v="1"/>
    <n v="1"/>
    <n v="8"/>
    <n v="232"/>
  </r>
  <r>
    <x v="44"/>
    <s v="conventional_turnover_fico_acls_interact_1_acls_225"/>
    <x v="265"/>
    <n v="1"/>
    <n v="1"/>
    <n v="8"/>
    <n v="232"/>
  </r>
  <r>
    <x v="44"/>
    <s v="conventional_turnover_fico_acls_interact_1_acls_226"/>
    <x v="266"/>
    <n v="1"/>
    <n v="1"/>
    <n v="8"/>
    <n v="232"/>
  </r>
  <r>
    <x v="44"/>
    <s v="conventional_turnover_fico_acls_interact_1_acls_227"/>
    <x v="267"/>
    <n v="1"/>
    <n v="1"/>
    <n v="8"/>
    <n v="232"/>
  </r>
  <r>
    <x v="44"/>
    <s v="conventional_turnover_fico_acls_interact_1_acls_228"/>
    <x v="268"/>
    <n v="1"/>
    <n v="1"/>
    <n v="8"/>
    <n v="232"/>
  </r>
  <r>
    <x v="44"/>
    <s v="conventional_turnover_fico_acls_interact_1_acls_229"/>
    <x v="269"/>
    <n v="1"/>
    <n v="1"/>
    <n v="8"/>
    <n v="232"/>
  </r>
  <r>
    <x v="44"/>
    <s v="conventional_turnover_fico_acls_interact_1_acls_230"/>
    <x v="270"/>
    <n v="1"/>
    <n v="1"/>
    <n v="8"/>
    <n v="232"/>
  </r>
  <r>
    <x v="44"/>
    <s v="conventional_turnover_fico_acls_interact_1_acls_231"/>
    <x v="271"/>
    <n v="1"/>
    <n v="1"/>
    <n v="8"/>
    <n v="232"/>
  </r>
  <r>
    <x v="44"/>
    <s v="conventional_turnover_fico_acls_interact_1_acls_232"/>
    <x v="272"/>
    <n v="1"/>
    <n v="1"/>
    <n v="8"/>
    <n v="232"/>
  </r>
  <r>
    <x v="45"/>
    <s v="conventional_turnover_fico_acls_interact_2_fico_556"/>
    <x v="596"/>
    <n v="1"/>
    <n v="1"/>
    <n v="556"/>
    <n v="864"/>
  </r>
  <r>
    <x v="45"/>
    <s v="conventional_turnover_fico_acls_interact_2_fico_557"/>
    <x v="597"/>
    <n v="1"/>
    <n v="1"/>
    <n v="556"/>
    <n v="864"/>
  </r>
  <r>
    <x v="45"/>
    <s v="conventional_turnover_fico_acls_interact_2_fico_558"/>
    <x v="598"/>
    <n v="1"/>
    <n v="1"/>
    <n v="556"/>
    <n v="864"/>
  </r>
  <r>
    <x v="45"/>
    <s v="conventional_turnover_fico_acls_interact_2_fico_559"/>
    <x v="599"/>
    <n v="1"/>
    <n v="1"/>
    <n v="556"/>
    <n v="864"/>
  </r>
  <r>
    <x v="45"/>
    <s v="conventional_turnover_fico_acls_interact_2_fico_560"/>
    <x v="600"/>
    <n v="1"/>
    <n v="1"/>
    <n v="556"/>
    <n v="864"/>
  </r>
  <r>
    <x v="45"/>
    <s v="conventional_turnover_fico_acls_interact_2_fico_561"/>
    <x v="601"/>
    <n v="1"/>
    <n v="1"/>
    <n v="556"/>
    <n v="864"/>
  </r>
  <r>
    <x v="45"/>
    <s v="conventional_turnover_fico_acls_interact_2_fico_562"/>
    <x v="602"/>
    <n v="1"/>
    <n v="1"/>
    <n v="556"/>
    <n v="864"/>
  </r>
  <r>
    <x v="45"/>
    <s v="conventional_turnover_fico_acls_interact_2_fico_563"/>
    <x v="603"/>
    <n v="1"/>
    <n v="1"/>
    <n v="556"/>
    <n v="864"/>
  </r>
  <r>
    <x v="45"/>
    <s v="conventional_turnover_fico_acls_interact_2_fico_564"/>
    <x v="604"/>
    <n v="1"/>
    <n v="1"/>
    <n v="556"/>
    <n v="864"/>
  </r>
  <r>
    <x v="45"/>
    <s v="conventional_turnover_fico_acls_interact_2_fico_565"/>
    <x v="605"/>
    <n v="1"/>
    <n v="1"/>
    <n v="556"/>
    <n v="864"/>
  </r>
  <r>
    <x v="45"/>
    <s v="conventional_turnover_fico_acls_interact_2_fico_566"/>
    <x v="606"/>
    <n v="1"/>
    <n v="1"/>
    <n v="556"/>
    <n v="864"/>
  </r>
  <r>
    <x v="45"/>
    <s v="conventional_turnover_fico_acls_interact_2_fico_567"/>
    <x v="607"/>
    <n v="1"/>
    <n v="1"/>
    <n v="556"/>
    <n v="864"/>
  </r>
  <r>
    <x v="45"/>
    <s v="conventional_turnover_fico_acls_interact_2_fico_568"/>
    <x v="608"/>
    <n v="1"/>
    <n v="1"/>
    <n v="556"/>
    <n v="864"/>
  </r>
  <r>
    <x v="45"/>
    <s v="conventional_turnover_fico_acls_interact_2_fico_569"/>
    <x v="609"/>
    <n v="1"/>
    <n v="1"/>
    <n v="556"/>
    <n v="864"/>
  </r>
  <r>
    <x v="45"/>
    <s v="conventional_turnover_fico_acls_interact_2_fico_570"/>
    <x v="610"/>
    <n v="1"/>
    <n v="1"/>
    <n v="556"/>
    <n v="864"/>
  </r>
  <r>
    <x v="45"/>
    <s v="conventional_turnover_fico_acls_interact_2_fico_571"/>
    <x v="611"/>
    <n v="1"/>
    <n v="1"/>
    <n v="556"/>
    <n v="864"/>
  </r>
  <r>
    <x v="45"/>
    <s v="conventional_turnover_fico_acls_interact_2_fico_572"/>
    <x v="612"/>
    <n v="1"/>
    <n v="1"/>
    <n v="556"/>
    <n v="864"/>
  </r>
  <r>
    <x v="45"/>
    <s v="conventional_turnover_fico_acls_interact_2_fico_573"/>
    <x v="613"/>
    <n v="1"/>
    <n v="1"/>
    <n v="556"/>
    <n v="864"/>
  </r>
  <r>
    <x v="45"/>
    <s v="conventional_turnover_fico_acls_interact_2_fico_574"/>
    <x v="614"/>
    <n v="1"/>
    <n v="1"/>
    <n v="556"/>
    <n v="864"/>
  </r>
  <r>
    <x v="45"/>
    <s v="conventional_turnover_fico_acls_interact_2_fico_575"/>
    <x v="615"/>
    <n v="1"/>
    <n v="1"/>
    <n v="556"/>
    <n v="864"/>
  </r>
  <r>
    <x v="45"/>
    <s v="conventional_turnover_fico_acls_interact_2_fico_576"/>
    <x v="616"/>
    <n v="1"/>
    <n v="1"/>
    <n v="556"/>
    <n v="864"/>
  </r>
  <r>
    <x v="45"/>
    <s v="conventional_turnover_fico_acls_interact_2_fico_577"/>
    <x v="617"/>
    <n v="1"/>
    <n v="1"/>
    <n v="556"/>
    <n v="864"/>
  </r>
  <r>
    <x v="45"/>
    <s v="conventional_turnover_fico_acls_interact_2_fico_578"/>
    <x v="618"/>
    <n v="1"/>
    <n v="1"/>
    <n v="556"/>
    <n v="864"/>
  </r>
  <r>
    <x v="45"/>
    <s v="conventional_turnover_fico_acls_interact_2_fico_579"/>
    <x v="619"/>
    <n v="1"/>
    <n v="1"/>
    <n v="556"/>
    <n v="864"/>
  </r>
  <r>
    <x v="45"/>
    <s v="conventional_turnover_fico_acls_interact_2_fico_580"/>
    <x v="620"/>
    <n v="1"/>
    <n v="1"/>
    <n v="556"/>
    <n v="864"/>
  </r>
  <r>
    <x v="45"/>
    <s v="conventional_turnover_fico_acls_interact_2_fico_581"/>
    <x v="621"/>
    <n v="1"/>
    <n v="1"/>
    <n v="556"/>
    <n v="864"/>
  </r>
  <r>
    <x v="45"/>
    <s v="conventional_turnover_fico_acls_interact_2_fico_582"/>
    <x v="622"/>
    <n v="1"/>
    <n v="1"/>
    <n v="556"/>
    <n v="864"/>
  </r>
  <r>
    <x v="45"/>
    <s v="conventional_turnover_fico_acls_interact_2_fico_583"/>
    <x v="623"/>
    <n v="1"/>
    <n v="1"/>
    <n v="556"/>
    <n v="864"/>
  </r>
  <r>
    <x v="45"/>
    <s v="conventional_turnover_fico_acls_interact_2_fico_584"/>
    <x v="624"/>
    <n v="1"/>
    <n v="1"/>
    <n v="556"/>
    <n v="864"/>
  </r>
  <r>
    <x v="45"/>
    <s v="conventional_turnover_fico_acls_interact_2_fico_585"/>
    <x v="625"/>
    <n v="1"/>
    <n v="1"/>
    <n v="556"/>
    <n v="864"/>
  </r>
  <r>
    <x v="45"/>
    <s v="conventional_turnover_fico_acls_interact_2_fico_586"/>
    <x v="626"/>
    <n v="1"/>
    <n v="1"/>
    <n v="556"/>
    <n v="864"/>
  </r>
  <r>
    <x v="45"/>
    <s v="conventional_turnover_fico_acls_interact_2_fico_587"/>
    <x v="627"/>
    <n v="1"/>
    <n v="1"/>
    <n v="556"/>
    <n v="864"/>
  </r>
  <r>
    <x v="45"/>
    <s v="conventional_turnover_fico_acls_interact_2_fico_588"/>
    <x v="628"/>
    <n v="1"/>
    <n v="1"/>
    <n v="556"/>
    <n v="864"/>
  </r>
  <r>
    <x v="45"/>
    <s v="conventional_turnover_fico_acls_interact_2_fico_589"/>
    <x v="629"/>
    <n v="1"/>
    <n v="1"/>
    <n v="556"/>
    <n v="864"/>
  </r>
  <r>
    <x v="45"/>
    <s v="conventional_turnover_fico_acls_interact_2_fico_590"/>
    <x v="630"/>
    <n v="1"/>
    <n v="1"/>
    <n v="556"/>
    <n v="864"/>
  </r>
  <r>
    <x v="45"/>
    <s v="conventional_turnover_fico_acls_interact_2_fico_591"/>
    <x v="631"/>
    <n v="1"/>
    <n v="1"/>
    <n v="556"/>
    <n v="864"/>
  </r>
  <r>
    <x v="45"/>
    <s v="conventional_turnover_fico_acls_interact_2_fico_592"/>
    <x v="632"/>
    <n v="1"/>
    <n v="1"/>
    <n v="556"/>
    <n v="864"/>
  </r>
  <r>
    <x v="45"/>
    <s v="conventional_turnover_fico_acls_interact_2_fico_593"/>
    <x v="633"/>
    <n v="1"/>
    <n v="1"/>
    <n v="556"/>
    <n v="864"/>
  </r>
  <r>
    <x v="45"/>
    <s v="conventional_turnover_fico_acls_interact_2_fico_594"/>
    <x v="634"/>
    <n v="1"/>
    <n v="1"/>
    <n v="556"/>
    <n v="864"/>
  </r>
  <r>
    <x v="45"/>
    <s v="conventional_turnover_fico_acls_interact_2_fico_595"/>
    <x v="635"/>
    <n v="1"/>
    <n v="1"/>
    <n v="556"/>
    <n v="864"/>
  </r>
  <r>
    <x v="45"/>
    <s v="conventional_turnover_fico_acls_interact_2_fico_596"/>
    <x v="636"/>
    <n v="1"/>
    <n v="1"/>
    <n v="556"/>
    <n v="864"/>
  </r>
  <r>
    <x v="45"/>
    <s v="conventional_turnover_fico_acls_interact_2_fico_597"/>
    <x v="637"/>
    <n v="1"/>
    <n v="1"/>
    <n v="556"/>
    <n v="864"/>
  </r>
  <r>
    <x v="45"/>
    <s v="conventional_turnover_fico_acls_interact_2_fico_598"/>
    <x v="638"/>
    <n v="1"/>
    <n v="1"/>
    <n v="556"/>
    <n v="864"/>
  </r>
  <r>
    <x v="45"/>
    <s v="conventional_turnover_fico_acls_interact_2_fico_599"/>
    <x v="639"/>
    <n v="1"/>
    <n v="1"/>
    <n v="556"/>
    <n v="864"/>
  </r>
  <r>
    <x v="45"/>
    <s v="conventional_turnover_fico_acls_interact_2_fico_600"/>
    <x v="640"/>
    <n v="1"/>
    <n v="1"/>
    <n v="556"/>
    <n v="864"/>
  </r>
  <r>
    <x v="45"/>
    <s v="conventional_turnover_fico_acls_interact_2_fico_601"/>
    <x v="641"/>
    <n v="1"/>
    <n v="1"/>
    <n v="556"/>
    <n v="864"/>
  </r>
  <r>
    <x v="45"/>
    <s v="conventional_turnover_fico_acls_interact_2_fico_602"/>
    <x v="642"/>
    <n v="1"/>
    <n v="1"/>
    <n v="556"/>
    <n v="864"/>
  </r>
  <r>
    <x v="45"/>
    <s v="conventional_turnover_fico_acls_interact_2_fico_603"/>
    <x v="643"/>
    <n v="1"/>
    <n v="1"/>
    <n v="556"/>
    <n v="864"/>
  </r>
  <r>
    <x v="45"/>
    <s v="conventional_turnover_fico_acls_interact_2_fico_604"/>
    <x v="644"/>
    <n v="1"/>
    <n v="1"/>
    <n v="556"/>
    <n v="864"/>
  </r>
  <r>
    <x v="45"/>
    <s v="conventional_turnover_fico_acls_interact_2_fico_605"/>
    <x v="645"/>
    <n v="1"/>
    <n v="1"/>
    <n v="556"/>
    <n v="864"/>
  </r>
  <r>
    <x v="45"/>
    <s v="conventional_turnover_fico_acls_interact_2_fico_606"/>
    <x v="646"/>
    <n v="1"/>
    <n v="1"/>
    <n v="556"/>
    <n v="864"/>
  </r>
  <r>
    <x v="45"/>
    <s v="conventional_turnover_fico_acls_interact_2_fico_607"/>
    <x v="647"/>
    <n v="1"/>
    <n v="1"/>
    <n v="556"/>
    <n v="864"/>
  </r>
  <r>
    <x v="45"/>
    <s v="conventional_turnover_fico_acls_interact_2_fico_608"/>
    <x v="648"/>
    <n v="1"/>
    <n v="1"/>
    <n v="556"/>
    <n v="864"/>
  </r>
  <r>
    <x v="45"/>
    <s v="conventional_turnover_fico_acls_interact_2_fico_609"/>
    <x v="649"/>
    <n v="1"/>
    <n v="1"/>
    <n v="556"/>
    <n v="864"/>
  </r>
  <r>
    <x v="45"/>
    <s v="conventional_turnover_fico_acls_interact_2_fico_610"/>
    <x v="650"/>
    <n v="1"/>
    <n v="1"/>
    <n v="556"/>
    <n v="864"/>
  </r>
  <r>
    <x v="45"/>
    <s v="conventional_turnover_fico_acls_interact_2_fico_611"/>
    <x v="651"/>
    <n v="1"/>
    <n v="1"/>
    <n v="556"/>
    <n v="864"/>
  </r>
  <r>
    <x v="45"/>
    <s v="conventional_turnover_fico_acls_interact_2_fico_612"/>
    <x v="652"/>
    <n v="1"/>
    <n v="1"/>
    <n v="556"/>
    <n v="864"/>
  </r>
  <r>
    <x v="45"/>
    <s v="conventional_turnover_fico_acls_interact_2_fico_613"/>
    <x v="653"/>
    <n v="1"/>
    <n v="1"/>
    <n v="556"/>
    <n v="864"/>
  </r>
  <r>
    <x v="45"/>
    <s v="conventional_turnover_fico_acls_interact_2_fico_614"/>
    <x v="654"/>
    <n v="1"/>
    <n v="1"/>
    <n v="556"/>
    <n v="864"/>
  </r>
  <r>
    <x v="45"/>
    <s v="conventional_turnover_fico_acls_interact_2_fico_615"/>
    <x v="655"/>
    <n v="1"/>
    <n v="1"/>
    <n v="556"/>
    <n v="864"/>
  </r>
  <r>
    <x v="45"/>
    <s v="conventional_turnover_fico_acls_interact_2_fico_616"/>
    <x v="656"/>
    <n v="1"/>
    <n v="1"/>
    <n v="556"/>
    <n v="864"/>
  </r>
  <r>
    <x v="45"/>
    <s v="conventional_turnover_fico_acls_interact_2_fico_617"/>
    <x v="657"/>
    <n v="1"/>
    <n v="1"/>
    <n v="556"/>
    <n v="864"/>
  </r>
  <r>
    <x v="45"/>
    <s v="conventional_turnover_fico_acls_interact_2_fico_618"/>
    <x v="658"/>
    <n v="1"/>
    <n v="1"/>
    <n v="556"/>
    <n v="864"/>
  </r>
  <r>
    <x v="45"/>
    <s v="conventional_turnover_fico_acls_interact_2_fico_619"/>
    <x v="659"/>
    <n v="1"/>
    <n v="1"/>
    <n v="556"/>
    <n v="864"/>
  </r>
  <r>
    <x v="45"/>
    <s v="conventional_turnover_fico_acls_interact_2_fico_620"/>
    <x v="660"/>
    <n v="1"/>
    <n v="1"/>
    <n v="556"/>
    <n v="864"/>
  </r>
  <r>
    <x v="45"/>
    <s v="conventional_turnover_fico_acls_interact_2_fico_621"/>
    <x v="661"/>
    <n v="0.99983186125000001"/>
    <n v="1"/>
    <n v="556"/>
    <n v="864"/>
  </r>
  <r>
    <x v="45"/>
    <s v="conventional_turnover_fico_acls_interact_2_fico_622"/>
    <x v="662"/>
    <n v="0.99933879000000003"/>
    <n v="1"/>
    <n v="556"/>
    <n v="864"/>
  </r>
  <r>
    <x v="45"/>
    <s v="conventional_turnover_fico_acls_interact_2_fico_623"/>
    <x v="663"/>
    <n v="0.99853780375000001"/>
    <n v="1"/>
    <n v="556"/>
    <n v="864"/>
  </r>
  <r>
    <x v="45"/>
    <s v="conventional_turnover_fico_acls_interact_2_fico_624"/>
    <x v="664"/>
    <n v="0.99744591999999999"/>
    <n v="1"/>
    <n v="556"/>
    <n v="864"/>
  </r>
  <r>
    <x v="45"/>
    <s v="conventional_turnover_fico_acls_interact_2_fico_625"/>
    <x v="665"/>
    <n v="0.99608015625000002"/>
    <n v="1"/>
    <n v="556"/>
    <n v="864"/>
  </r>
  <r>
    <x v="45"/>
    <s v="conventional_turnover_fico_acls_interact_2_fico_626"/>
    <x v="666"/>
    <n v="0.99445753000000003"/>
    <n v="1"/>
    <n v="556"/>
    <n v="864"/>
  </r>
  <r>
    <x v="45"/>
    <s v="conventional_turnover_fico_acls_interact_2_fico_627"/>
    <x v="667"/>
    <n v="0.99259505874999998"/>
    <n v="1"/>
    <n v="556"/>
    <n v="864"/>
  </r>
  <r>
    <x v="45"/>
    <s v="conventional_turnover_fico_acls_interact_2_fico_628"/>
    <x v="668"/>
    <n v="0.99050976000000002"/>
    <n v="1"/>
    <n v="556"/>
    <n v="864"/>
  </r>
  <r>
    <x v="45"/>
    <s v="conventional_turnover_fico_acls_interact_2_fico_629"/>
    <x v="669"/>
    <n v="0.98821865124999997"/>
    <n v="1"/>
    <n v="556"/>
    <n v="864"/>
  </r>
  <r>
    <x v="45"/>
    <s v="conventional_turnover_fico_acls_interact_2_fico_630"/>
    <x v="670"/>
    <n v="0.98573875"/>
    <n v="1"/>
    <n v="556"/>
    <n v="864"/>
  </r>
  <r>
    <x v="45"/>
    <s v="conventional_turnover_fico_acls_interact_2_fico_631"/>
    <x v="671"/>
    <n v="0.98308707375000004"/>
    <n v="1"/>
    <n v="556"/>
    <n v="864"/>
  </r>
  <r>
    <x v="45"/>
    <s v="conventional_turnover_fico_acls_interact_2_fico_632"/>
    <x v="672"/>
    <n v="0.98028064000000004"/>
    <n v="1"/>
    <n v="556"/>
    <n v="864"/>
  </r>
  <r>
    <x v="45"/>
    <s v="conventional_turnover_fico_acls_interact_2_fico_633"/>
    <x v="673"/>
    <n v="0.97733646625000004"/>
    <n v="1"/>
    <n v="556"/>
    <n v="864"/>
  </r>
  <r>
    <x v="45"/>
    <s v="conventional_turnover_fico_acls_interact_2_fico_634"/>
    <x v="674"/>
    <n v="0.97427156999999998"/>
    <n v="1"/>
    <n v="556"/>
    <n v="864"/>
  </r>
  <r>
    <x v="45"/>
    <s v="conventional_turnover_fico_acls_interact_2_fico_635"/>
    <x v="675"/>
    <n v="0.97110296875000002"/>
    <n v="1"/>
    <n v="556"/>
    <n v="864"/>
  </r>
  <r>
    <x v="45"/>
    <s v="conventional_turnover_fico_acls_interact_2_fico_636"/>
    <x v="676"/>
    <n v="0.96784767999999999"/>
    <n v="1"/>
    <n v="556"/>
    <n v="864"/>
  </r>
  <r>
    <x v="45"/>
    <s v="conventional_turnover_fico_acls_interact_2_fico_637"/>
    <x v="677"/>
    <n v="0.96452272125000005"/>
    <n v="1"/>
    <n v="556"/>
    <n v="864"/>
  </r>
  <r>
    <x v="45"/>
    <s v="conventional_turnover_fico_acls_interact_2_fico_638"/>
    <x v="678"/>
    <n v="0.96114511000000002"/>
    <n v="1"/>
    <n v="556"/>
    <n v="864"/>
  </r>
  <r>
    <x v="45"/>
    <s v="conventional_turnover_fico_acls_interact_2_fico_639"/>
    <x v="679"/>
    <n v="0.95773186374999997"/>
    <n v="1"/>
    <n v="556"/>
    <n v="864"/>
  </r>
  <r>
    <x v="45"/>
    <s v="conventional_turnover_fico_acls_interact_2_fico_640"/>
    <x v="680"/>
    <n v="0.95430000000000004"/>
    <n v="1"/>
    <n v="556"/>
    <n v="864"/>
  </r>
  <r>
    <x v="45"/>
    <s v="conventional_turnover_fico_acls_interact_2_fico_641"/>
    <x v="681"/>
    <n v="0.95083059437499995"/>
    <n v="1"/>
    <n v="556"/>
    <n v="864"/>
  </r>
  <r>
    <x v="45"/>
    <s v="conventional_turnover_fico_acls_interact_2_fico_642"/>
    <x v="682"/>
    <n v="0.947288405"/>
    <n v="1"/>
    <n v="556"/>
    <n v="864"/>
  </r>
  <r>
    <x v="45"/>
    <s v="conventional_turnover_fico_acls_interact_2_fico_643"/>
    <x v="683"/>
    <n v="0.943665973125"/>
    <n v="1"/>
    <n v="556"/>
    <n v="864"/>
  </r>
  <r>
    <x v="45"/>
    <s v="conventional_turnover_fico_acls_interact_2_fico_644"/>
    <x v="684"/>
    <n v="0.93995583999999999"/>
    <n v="1"/>
    <n v="556"/>
    <n v="864"/>
  </r>
  <r>
    <x v="45"/>
    <s v="conventional_turnover_fico_acls_interact_2_fico_645"/>
    <x v="685"/>
    <n v="0.93615054687499999"/>
    <n v="1"/>
    <n v="556"/>
    <n v="864"/>
  </r>
  <r>
    <x v="45"/>
    <s v="conventional_turnover_fico_acls_interact_2_fico_646"/>
    <x v="686"/>
    <n v="0.93224263500000004"/>
    <n v="1"/>
    <n v="556"/>
    <n v="864"/>
  </r>
  <r>
    <x v="45"/>
    <s v="conventional_turnover_fico_acls_interact_2_fico_647"/>
    <x v="687"/>
    <n v="0.92822464562499996"/>
    <n v="1"/>
    <n v="556"/>
    <n v="864"/>
  </r>
  <r>
    <x v="45"/>
    <s v="conventional_turnover_fico_acls_interact_2_fico_648"/>
    <x v="688"/>
    <n v="0.92408911999999999"/>
    <n v="1"/>
    <n v="556"/>
    <n v="864"/>
  </r>
  <r>
    <x v="45"/>
    <s v="conventional_turnover_fico_acls_interact_2_fico_649"/>
    <x v="689"/>
    <n v="0.91982859937499994"/>
    <n v="1"/>
    <n v="556"/>
    <n v="864"/>
  </r>
  <r>
    <x v="45"/>
    <s v="conventional_turnover_fico_acls_interact_2_fico_650"/>
    <x v="690"/>
    <n v="0.91543562499999998"/>
    <n v="1"/>
    <n v="556"/>
    <n v="864"/>
  </r>
  <r>
    <x v="45"/>
    <s v="conventional_turnover_fico_acls_interact_2_fico_651"/>
    <x v="691"/>
    <n v="0.910902738125"/>
    <n v="1"/>
    <n v="556"/>
    <n v="864"/>
  </r>
  <r>
    <x v="45"/>
    <s v="conventional_turnover_fico_acls_interact_2_fico_652"/>
    <x v="692"/>
    <n v="0.90622248000000005"/>
    <n v="1"/>
    <n v="556"/>
    <n v="864"/>
  </r>
  <r>
    <x v="45"/>
    <s v="conventional_turnover_fico_acls_interact_2_fico_653"/>
    <x v="693"/>
    <n v="0.90138739187500005"/>
    <n v="1"/>
    <n v="556"/>
    <n v="864"/>
  </r>
  <r>
    <x v="45"/>
    <s v="conventional_turnover_fico_acls_interact_2_fico_654"/>
    <x v="694"/>
    <n v="0.89639001500000004"/>
    <n v="1"/>
    <n v="556"/>
    <n v="864"/>
  </r>
  <r>
    <x v="45"/>
    <s v="conventional_turnover_fico_acls_interact_2_fico_655"/>
    <x v="695"/>
    <n v="0.89122289062500004"/>
    <n v="1"/>
    <n v="556"/>
    <n v="864"/>
  </r>
  <r>
    <x v="45"/>
    <s v="conventional_turnover_fico_acls_interact_2_fico_656"/>
    <x v="696"/>
    <n v="0.88587855999999998"/>
    <n v="1"/>
    <n v="556"/>
    <n v="864"/>
  </r>
  <r>
    <x v="45"/>
    <s v="conventional_turnover_fico_acls_interact_2_fico_657"/>
    <x v="697"/>
    <n v="0.880349564375"/>
    <n v="1"/>
    <n v="556"/>
    <n v="864"/>
  </r>
  <r>
    <x v="45"/>
    <s v="conventional_turnover_fico_acls_interact_2_fico_658"/>
    <x v="698"/>
    <n v="0.87462844500000003"/>
    <n v="1"/>
    <n v="556"/>
    <n v="864"/>
  </r>
  <r>
    <x v="45"/>
    <s v="conventional_turnover_fico_acls_interact_2_fico_659"/>
    <x v="699"/>
    <n v="0.86870774312499999"/>
    <n v="1"/>
    <n v="556"/>
    <n v="864"/>
  </r>
  <r>
    <x v="45"/>
    <s v="conventional_turnover_fico_acls_interact_2_fico_660"/>
    <x v="700"/>
    <n v="0.86258000000000001"/>
    <n v="1"/>
    <n v="556"/>
    <n v="864"/>
  </r>
  <r>
    <x v="45"/>
    <s v="conventional_turnover_fico_acls_interact_2_fico_661"/>
    <x v="701"/>
    <n v="0.8562480925"/>
    <n v="1"/>
    <n v="556"/>
    <n v="864"/>
  </r>
  <r>
    <x v="45"/>
    <s v="conventional_turnover_fico_acls_interact_2_fico_662"/>
    <x v="702"/>
    <n v="0.84972318999999996"/>
    <n v="1"/>
    <n v="556"/>
    <n v="864"/>
  </r>
  <r>
    <x v="45"/>
    <s v="conventional_turnover_fico_acls_interact_2_fico_663"/>
    <x v="703"/>
    <n v="0.84301027250000005"/>
    <n v="1"/>
    <n v="556"/>
    <n v="864"/>
  </r>
  <r>
    <x v="45"/>
    <s v="conventional_turnover_fico_acls_interact_2_fico_664"/>
    <x v="704"/>
    <n v="0.83611431999999997"/>
    <n v="1"/>
    <n v="556"/>
    <n v="864"/>
  </r>
  <r>
    <x v="45"/>
    <s v="conventional_turnover_fico_acls_interact_2_fico_665"/>
    <x v="705"/>
    <n v="0.82904031249999999"/>
    <n v="1"/>
    <n v="556"/>
    <n v="864"/>
  </r>
  <r>
    <x v="45"/>
    <s v="conventional_turnover_fico_acls_interact_2_fico_666"/>
    <x v="706"/>
    <n v="0.82179323000000004"/>
    <n v="1"/>
    <n v="556"/>
    <n v="864"/>
  </r>
  <r>
    <x v="45"/>
    <s v="conventional_turnover_fico_acls_interact_2_fico_667"/>
    <x v="707"/>
    <n v="0.81437805249999995"/>
    <n v="1"/>
    <n v="556"/>
    <n v="864"/>
  </r>
  <r>
    <x v="45"/>
    <s v="conventional_turnover_fico_acls_interact_2_fico_668"/>
    <x v="708"/>
    <n v="0.80679975999999998"/>
    <n v="1"/>
    <n v="556"/>
    <n v="864"/>
  </r>
  <r>
    <x v="45"/>
    <s v="conventional_turnover_fico_acls_interact_2_fico_669"/>
    <x v="709"/>
    <n v="0.79906333249999995"/>
    <n v="1"/>
    <n v="556"/>
    <n v="864"/>
  </r>
  <r>
    <x v="45"/>
    <s v="conventional_turnover_fico_acls_interact_2_fico_670"/>
    <x v="710"/>
    <n v="0.79117375000000001"/>
    <n v="1"/>
    <n v="556"/>
    <n v="864"/>
  </r>
  <r>
    <x v="45"/>
    <s v="conventional_turnover_fico_acls_interact_2_fico_671"/>
    <x v="711"/>
    <n v="0.78313599249999999"/>
    <n v="1"/>
    <n v="556"/>
    <n v="864"/>
  </r>
  <r>
    <x v="45"/>
    <s v="conventional_turnover_fico_acls_interact_2_fico_672"/>
    <x v="712"/>
    <n v="0.77495504000000004"/>
    <n v="1"/>
    <n v="556"/>
    <n v="864"/>
  </r>
  <r>
    <x v="45"/>
    <s v="conventional_turnover_fico_acls_interact_2_fico_673"/>
    <x v="713"/>
    <n v="0.76663587249999998"/>
    <n v="1"/>
    <n v="556"/>
    <n v="864"/>
  </r>
  <r>
    <x v="45"/>
    <s v="conventional_turnover_fico_acls_interact_2_fico_674"/>
    <x v="714"/>
    <n v="0.75818346999999997"/>
    <n v="1"/>
    <n v="556"/>
    <n v="864"/>
  </r>
  <r>
    <x v="45"/>
    <s v="conventional_turnover_fico_acls_interact_2_fico_675"/>
    <x v="715"/>
    <n v="0.74960281250000005"/>
    <n v="1"/>
    <n v="556"/>
    <n v="864"/>
  </r>
  <r>
    <x v="45"/>
    <s v="conventional_turnover_fico_acls_interact_2_fico_676"/>
    <x v="716"/>
    <n v="0.74089888000000004"/>
    <n v="1"/>
    <n v="556"/>
    <n v="864"/>
  </r>
  <r>
    <x v="45"/>
    <s v="conventional_turnover_fico_acls_interact_2_fico_677"/>
    <x v="717"/>
    <n v="0.73207665249999998"/>
    <n v="1"/>
    <n v="556"/>
    <n v="864"/>
  </r>
  <r>
    <x v="45"/>
    <s v="conventional_turnover_fico_acls_interact_2_fico_678"/>
    <x v="718"/>
    <n v="0.72314111000000003"/>
    <n v="1"/>
    <n v="556"/>
    <n v="864"/>
  </r>
  <r>
    <x v="45"/>
    <s v="conventional_turnover_fico_acls_interact_2_fico_679"/>
    <x v="719"/>
    <n v="0.71409723250000001"/>
    <n v="1"/>
    <n v="556"/>
    <n v="864"/>
  </r>
  <r>
    <x v="45"/>
    <s v="conventional_turnover_fico_acls_interact_2_fico_680"/>
    <x v="720"/>
    <n v="0.70494999999999997"/>
    <n v="1"/>
    <n v="556"/>
    <n v="864"/>
  </r>
  <r>
    <x v="45"/>
    <s v="conventional_turnover_fico_acls_interact_2_fico_681"/>
    <x v="721"/>
    <n v="0.69561534437500006"/>
    <n v="1"/>
    <n v="556"/>
    <n v="864"/>
  </r>
  <r>
    <x v="45"/>
    <s v="conventional_turnover_fico_acls_interact_2_fico_682"/>
    <x v="722"/>
    <n v="0.68602095500000004"/>
    <n v="1"/>
    <n v="556"/>
    <n v="864"/>
  </r>
  <r>
    <x v="45"/>
    <s v="conventional_turnover_fico_acls_interact_2_fico_683"/>
    <x v="723"/>
    <n v="0.67618944812500004"/>
    <n v="1"/>
    <n v="556"/>
    <n v="864"/>
  </r>
  <r>
    <x v="45"/>
    <s v="conventional_turnover_fico_acls_interact_2_fico_684"/>
    <x v="724"/>
    <n v="0.66614344000000003"/>
    <n v="1"/>
    <n v="556"/>
    <n v="864"/>
  </r>
  <r>
    <x v="45"/>
    <s v="conventional_turnover_fico_acls_interact_2_fico_685"/>
    <x v="725"/>
    <n v="0.65590554687500002"/>
    <n v="1"/>
    <n v="556"/>
    <n v="864"/>
  </r>
  <r>
    <x v="45"/>
    <s v="conventional_turnover_fico_acls_interact_2_fico_686"/>
    <x v="726"/>
    <n v="0.64549838500000001"/>
    <n v="1"/>
    <n v="556"/>
    <n v="864"/>
  </r>
  <r>
    <x v="45"/>
    <s v="conventional_turnover_fico_acls_interact_2_fico_687"/>
    <x v="727"/>
    <n v="0.63494457062499998"/>
    <n v="1"/>
    <n v="556"/>
    <n v="864"/>
  </r>
  <r>
    <x v="45"/>
    <s v="conventional_turnover_fico_acls_interact_2_fico_688"/>
    <x v="728"/>
    <n v="0.62426672000000005"/>
    <n v="1"/>
    <n v="556"/>
    <n v="864"/>
  </r>
  <r>
    <x v="45"/>
    <s v="conventional_turnover_fico_acls_interact_2_fico_689"/>
    <x v="729"/>
    <n v="0.61348744937499999"/>
    <n v="1"/>
    <n v="556"/>
    <n v="864"/>
  </r>
  <r>
    <x v="45"/>
    <s v="conventional_turnover_fico_acls_interact_2_fico_690"/>
    <x v="730"/>
    <n v="0.60262937500000002"/>
    <n v="1"/>
    <n v="556"/>
    <n v="864"/>
  </r>
  <r>
    <x v="45"/>
    <s v="conventional_turnover_fico_acls_interact_2_fico_691"/>
    <x v="731"/>
    <n v="0.59171511312500003"/>
    <n v="1"/>
    <n v="556"/>
    <n v="864"/>
  </r>
  <r>
    <x v="45"/>
    <s v="conventional_turnover_fico_acls_interact_2_fico_692"/>
    <x v="732"/>
    <n v="0.58076728"/>
    <n v="1"/>
    <n v="556"/>
    <n v="864"/>
  </r>
  <r>
    <x v="45"/>
    <s v="conventional_turnover_fico_acls_interact_2_fico_693"/>
    <x v="733"/>
    <n v="0.56980849187500004"/>
    <n v="1"/>
    <n v="556"/>
    <n v="864"/>
  </r>
  <r>
    <x v="45"/>
    <s v="conventional_turnover_fico_acls_interact_2_fico_694"/>
    <x v="734"/>
    <n v="0.55886136500000005"/>
    <n v="1"/>
    <n v="556"/>
    <n v="864"/>
  </r>
  <r>
    <x v="45"/>
    <s v="conventional_turnover_fico_acls_interact_2_fico_695"/>
    <x v="735"/>
    <n v="0.54794851562500002"/>
    <n v="1"/>
    <n v="556"/>
    <n v="864"/>
  </r>
  <r>
    <x v="45"/>
    <s v="conventional_turnover_fico_acls_interact_2_fico_696"/>
    <x v="736"/>
    <n v="0.53709256000000005"/>
    <n v="1"/>
    <n v="556"/>
    <n v="864"/>
  </r>
  <r>
    <x v="45"/>
    <s v="conventional_turnover_fico_acls_interact_2_fico_697"/>
    <x v="737"/>
    <n v="0.52631611437500003"/>
    <n v="1"/>
    <n v="556"/>
    <n v="864"/>
  </r>
  <r>
    <x v="45"/>
    <s v="conventional_turnover_fico_acls_interact_2_fico_698"/>
    <x v="738"/>
    <n v="0.51564179499999996"/>
    <n v="1"/>
    <n v="556"/>
    <n v="864"/>
  </r>
  <r>
    <x v="45"/>
    <s v="conventional_turnover_fico_acls_interact_2_fico_699"/>
    <x v="739"/>
    <n v="0.50509221812500005"/>
    <n v="1"/>
    <n v="556"/>
    <n v="864"/>
  </r>
  <r>
    <x v="45"/>
    <s v="conventional_turnover_fico_acls_interact_2_fico_700"/>
    <x v="740"/>
    <n v="0.49469000000000002"/>
    <n v="1"/>
    <n v="556"/>
    <n v="864"/>
  </r>
  <r>
    <x v="45"/>
    <s v="conventional_turnover_fico_acls_interact_2_fico_701"/>
    <x v="741"/>
    <n v="0.484316268125"/>
    <n v="1"/>
    <n v="556"/>
    <n v="864"/>
  </r>
  <r>
    <x v="45"/>
    <s v="conventional_turnover_fico_acls_interact_2_fico_702"/>
    <x v="742"/>
    <n v="0.47385019499999997"/>
    <n v="1"/>
    <n v="556"/>
    <n v="864"/>
  </r>
  <r>
    <x v="45"/>
    <s v="conventional_turnover_fico_acls_interact_2_fico_703"/>
    <x v="743"/>
    <n v="0.46331146437499998"/>
    <n v="1"/>
    <n v="556"/>
    <n v="864"/>
  </r>
  <r>
    <x v="45"/>
    <s v="conventional_turnover_fico_acls_interact_2_fico_704"/>
    <x v="744"/>
    <n v="0.45271976000000003"/>
    <n v="1"/>
    <n v="556"/>
    <n v="864"/>
  </r>
  <r>
    <x v="45"/>
    <s v="conventional_turnover_fico_acls_interact_2_fico_705"/>
    <x v="745"/>
    <n v="0.442094765625"/>
    <n v="1"/>
    <n v="556"/>
    <n v="864"/>
  </r>
  <r>
    <x v="45"/>
    <s v="conventional_turnover_fico_acls_interact_2_fico_706"/>
    <x v="746"/>
    <n v="0.431456165"/>
    <n v="1"/>
    <n v="556"/>
    <n v="864"/>
  </r>
  <r>
    <x v="45"/>
    <s v="conventional_turnover_fico_acls_interact_2_fico_707"/>
    <x v="747"/>
    <n v="0.42082364187499999"/>
    <n v="1"/>
    <n v="556"/>
    <n v="864"/>
  </r>
  <r>
    <x v="45"/>
    <s v="conventional_turnover_fico_acls_interact_2_fico_708"/>
    <x v="748"/>
    <n v="0.41021688000000001"/>
    <n v="1"/>
    <n v="556"/>
    <n v="864"/>
  </r>
  <r>
    <x v="45"/>
    <s v="conventional_turnover_fico_acls_interact_2_fico_709"/>
    <x v="749"/>
    <n v="0.399655563125"/>
    <n v="1"/>
    <n v="556"/>
    <n v="864"/>
  </r>
  <r>
    <x v="45"/>
    <s v="conventional_turnover_fico_acls_interact_2_fico_710"/>
    <x v="750"/>
    <n v="0.38915937499999997"/>
    <n v="1"/>
    <n v="556"/>
    <n v="864"/>
  </r>
  <r>
    <x v="45"/>
    <s v="conventional_turnover_fico_acls_interact_2_fico_711"/>
    <x v="751"/>
    <n v="0.37874799937499998"/>
    <n v="1"/>
    <n v="556"/>
    <n v="864"/>
  </r>
  <r>
    <x v="45"/>
    <s v="conventional_turnover_fico_acls_interact_2_fico_712"/>
    <x v="752"/>
    <n v="0.36844112000000001"/>
    <n v="1"/>
    <n v="556"/>
    <n v="864"/>
  </r>
  <r>
    <x v="45"/>
    <s v="conventional_turnover_fico_acls_interact_2_fico_713"/>
    <x v="753"/>
    <n v="0.35825842062500002"/>
    <n v="1"/>
    <n v="556"/>
    <n v="864"/>
  </r>
  <r>
    <x v="45"/>
    <s v="conventional_turnover_fico_acls_interact_2_fico_714"/>
    <x v="754"/>
    <n v="0.348219585"/>
    <n v="1"/>
    <n v="556"/>
    <n v="864"/>
  </r>
  <r>
    <x v="45"/>
    <s v="conventional_turnover_fico_acls_interact_2_fico_715"/>
    <x v="755"/>
    <n v="0.33834429687500001"/>
    <n v="1"/>
    <n v="556"/>
    <n v="864"/>
  </r>
  <r>
    <x v="45"/>
    <s v="conventional_turnover_fico_acls_interact_2_fico_716"/>
    <x v="756"/>
    <n v="0.32865223999999998"/>
    <n v="1"/>
    <n v="556"/>
    <n v="864"/>
  </r>
  <r>
    <x v="45"/>
    <s v="conventional_turnover_fico_acls_interact_2_fico_717"/>
    <x v="757"/>
    <n v="0.31916309812499999"/>
    <n v="1"/>
    <n v="556"/>
    <n v="864"/>
  </r>
  <r>
    <x v="45"/>
    <s v="conventional_turnover_fico_acls_interact_2_fico_718"/>
    <x v="758"/>
    <n v="0.30989655500000002"/>
    <n v="1"/>
    <n v="556"/>
    <n v="864"/>
  </r>
  <r>
    <x v="45"/>
    <s v="conventional_turnover_fico_acls_interact_2_fico_719"/>
    <x v="759"/>
    <n v="0.30087229437500002"/>
    <n v="1"/>
    <n v="556"/>
    <n v="864"/>
  </r>
  <r>
    <x v="45"/>
    <s v="conventional_turnover_fico_acls_interact_2_fico_720"/>
    <x v="760"/>
    <n v="0.29210999999999998"/>
    <n v="1"/>
    <n v="556"/>
    <n v="864"/>
  </r>
  <r>
    <x v="45"/>
    <s v="conventional_turnover_fico_acls_interact_2_fico_721"/>
    <x v="761"/>
    <n v="0.28355711374999998"/>
    <n v="1"/>
    <n v="556"/>
    <n v="864"/>
  </r>
  <r>
    <x v="45"/>
    <s v="conventional_turnover_fico_acls_interact_2_fico_722"/>
    <x v="762"/>
    <n v="0.27514865999999999"/>
    <n v="1"/>
    <n v="556"/>
    <n v="864"/>
  </r>
  <r>
    <x v="45"/>
    <s v="conventional_turnover_fico_acls_interact_2_fico_723"/>
    <x v="763"/>
    <n v="0.26688569625000003"/>
    <n v="1"/>
    <n v="556"/>
    <n v="864"/>
  </r>
  <r>
    <x v="45"/>
    <s v="conventional_turnover_fico_acls_interact_2_fico_724"/>
    <x v="764"/>
    <n v="0.25876927999999999"/>
    <n v="1"/>
    <n v="556"/>
    <n v="864"/>
  </r>
  <r>
    <x v="45"/>
    <s v="conventional_turnover_fico_acls_interact_2_fico_725"/>
    <x v="765"/>
    <n v="0.25080046875000001"/>
    <n v="1"/>
    <n v="556"/>
    <n v="864"/>
  </r>
  <r>
    <x v="45"/>
    <s v="conventional_turnover_fico_acls_interact_2_fico_726"/>
    <x v="766"/>
    <n v="0.24298032"/>
    <n v="1"/>
    <n v="556"/>
    <n v="864"/>
  </r>
  <r>
    <x v="45"/>
    <s v="conventional_turnover_fico_acls_interact_2_fico_727"/>
    <x v="767"/>
    <n v="0.23530989124999999"/>
    <n v="1"/>
    <n v="556"/>
    <n v="864"/>
  </r>
  <r>
    <x v="45"/>
    <s v="conventional_turnover_fico_acls_interact_2_fico_728"/>
    <x v="768"/>
    <n v="0.22779024"/>
    <n v="1"/>
    <n v="556"/>
    <n v="864"/>
  </r>
  <r>
    <x v="45"/>
    <s v="conventional_turnover_fico_acls_interact_2_fico_729"/>
    <x v="769"/>
    <n v="0.22042242375000001"/>
    <n v="1"/>
    <n v="556"/>
    <n v="864"/>
  </r>
  <r>
    <x v="45"/>
    <s v="conventional_turnover_fico_acls_interact_2_fico_730"/>
    <x v="770"/>
    <n v="0.21320749999999999"/>
    <n v="1"/>
    <n v="556"/>
    <n v="864"/>
  </r>
  <r>
    <x v="45"/>
    <s v="conventional_turnover_fico_acls_interact_2_fico_731"/>
    <x v="771"/>
    <n v="0.20614652624999999"/>
    <n v="1"/>
    <n v="556"/>
    <n v="864"/>
  </r>
  <r>
    <x v="45"/>
    <s v="conventional_turnover_fico_acls_interact_2_fico_732"/>
    <x v="772"/>
    <n v="0.19924056000000001"/>
    <n v="1"/>
    <n v="556"/>
    <n v="864"/>
  </r>
  <r>
    <x v="45"/>
    <s v="conventional_turnover_fico_acls_interact_2_fico_733"/>
    <x v="773"/>
    <n v="0.19249065874999999"/>
    <n v="1"/>
    <n v="556"/>
    <n v="864"/>
  </r>
  <r>
    <x v="45"/>
    <s v="conventional_turnover_fico_acls_interact_2_fico_734"/>
    <x v="774"/>
    <n v="0.18589787999999999"/>
    <n v="1"/>
    <n v="556"/>
    <n v="864"/>
  </r>
  <r>
    <x v="45"/>
    <s v="conventional_turnover_fico_acls_interact_2_fico_735"/>
    <x v="775"/>
    <n v="0.17946328125"/>
    <n v="1"/>
    <n v="556"/>
    <n v="864"/>
  </r>
  <r>
    <x v="45"/>
    <s v="conventional_turnover_fico_acls_interact_2_fico_736"/>
    <x v="776"/>
    <n v="0.17318792"/>
    <n v="1"/>
    <n v="556"/>
    <n v="864"/>
  </r>
  <r>
    <x v="45"/>
    <s v="conventional_turnover_fico_acls_interact_2_fico_737"/>
    <x v="777"/>
    <n v="0.16707285375"/>
    <n v="1"/>
    <n v="556"/>
    <n v="864"/>
  </r>
  <r>
    <x v="45"/>
    <s v="conventional_turnover_fico_acls_interact_2_fico_738"/>
    <x v="778"/>
    <n v="0.16111913999999999"/>
    <n v="1"/>
    <n v="556"/>
    <n v="864"/>
  </r>
  <r>
    <x v="45"/>
    <s v="conventional_turnover_fico_acls_interact_2_fico_739"/>
    <x v="779"/>
    <n v="0.15532783624999999"/>
    <n v="1"/>
    <n v="556"/>
    <n v="864"/>
  </r>
  <r>
    <x v="45"/>
    <s v="conventional_turnover_fico_acls_interact_2_fico_740"/>
    <x v="780"/>
    <n v="0.1497"/>
    <n v="1"/>
    <n v="556"/>
    <n v="864"/>
  </r>
  <r>
    <x v="45"/>
    <s v="conventional_turnover_fico_acls_interact_2_fico_741"/>
    <x v="781"/>
    <n v="0.14425940937500001"/>
    <n v="1"/>
    <n v="556"/>
    <n v="864"/>
  </r>
  <r>
    <x v="45"/>
    <s v="conventional_turnover_fico_acls_interact_2_fico_742"/>
    <x v="782"/>
    <n v="0.13902357500000001"/>
    <n v="1"/>
    <n v="556"/>
    <n v="864"/>
  </r>
  <r>
    <x v="45"/>
    <s v="conventional_turnover_fico_acls_interact_2_fico_743"/>
    <x v="783"/>
    <n v="0.13398415312500001"/>
    <n v="1"/>
    <n v="556"/>
    <n v="864"/>
  </r>
  <r>
    <x v="45"/>
    <s v="conventional_turnover_fico_acls_interact_2_fico_744"/>
    <x v="784"/>
    <n v="0.12913279999999999"/>
    <n v="1"/>
    <n v="556"/>
    <n v="864"/>
  </r>
  <r>
    <x v="45"/>
    <s v="conventional_turnover_fico_acls_interact_2_fico_745"/>
    <x v="785"/>
    <n v="0.124461171875"/>
    <n v="1"/>
    <n v="556"/>
    <n v="864"/>
  </r>
  <r>
    <x v="45"/>
    <s v="conventional_turnover_fico_acls_interact_2_fico_746"/>
    <x v="786"/>
    <n v="0.119960925"/>
    <n v="1"/>
    <n v="556"/>
    <n v="864"/>
  </r>
  <r>
    <x v="45"/>
    <s v="conventional_turnover_fico_acls_interact_2_fico_747"/>
    <x v="787"/>
    <n v="0.115623715625"/>
    <n v="1"/>
    <n v="556"/>
    <n v="864"/>
  </r>
  <r>
    <x v="45"/>
    <s v="conventional_turnover_fico_acls_interact_2_fico_748"/>
    <x v="788"/>
    <n v="0.1114412"/>
    <n v="1"/>
    <n v="556"/>
    <n v="864"/>
  </r>
  <r>
    <x v="45"/>
    <s v="conventional_turnover_fico_acls_interact_2_fico_749"/>
    <x v="789"/>
    <n v="0.107405034375"/>
    <n v="1"/>
    <n v="556"/>
    <n v="864"/>
  </r>
  <r>
    <x v="45"/>
    <s v="conventional_turnover_fico_acls_interact_2_fico_750"/>
    <x v="790"/>
    <n v="0.103506875"/>
    <n v="1"/>
    <n v="556"/>
    <n v="864"/>
  </r>
  <r>
    <x v="45"/>
    <s v="conventional_turnover_fico_acls_interact_2_fico_751"/>
    <x v="791"/>
    <n v="9.9738378124999999E-2"/>
    <n v="1"/>
    <n v="556"/>
    <n v="864"/>
  </r>
  <r>
    <x v="45"/>
    <s v="conventional_turnover_fico_acls_interact_2_fico_752"/>
    <x v="792"/>
    <n v="9.6091200000000002E-2"/>
    <n v="1"/>
    <n v="556"/>
    <n v="864"/>
  </r>
  <r>
    <x v="45"/>
    <s v="conventional_turnover_fico_acls_interact_2_fico_753"/>
    <x v="793"/>
    <n v="9.2556996875000005E-2"/>
    <n v="1"/>
    <n v="556"/>
    <n v="864"/>
  </r>
  <r>
    <x v="45"/>
    <s v="conventional_turnover_fico_acls_interact_2_fico_754"/>
    <x v="794"/>
    <n v="8.9127424999999996E-2"/>
    <n v="1"/>
    <n v="556"/>
    <n v="864"/>
  </r>
  <r>
    <x v="45"/>
    <s v="conventional_turnover_fico_acls_interact_2_fico_755"/>
    <x v="795"/>
    <n v="8.5794140625000001E-2"/>
    <n v="1"/>
    <n v="556"/>
    <n v="864"/>
  </r>
  <r>
    <x v="45"/>
    <s v="conventional_turnover_fico_acls_interact_2_fico_756"/>
    <x v="796"/>
    <n v="8.2548800000000006E-2"/>
    <n v="1"/>
    <n v="556"/>
    <n v="864"/>
  </r>
  <r>
    <x v="45"/>
    <s v="conventional_turnover_fico_acls_interact_2_fico_757"/>
    <x v="797"/>
    <n v="7.9383059374999995E-2"/>
    <n v="1"/>
    <n v="556"/>
    <n v="864"/>
  </r>
  <r>
    <x v="45"/>
    <s v="conventional_turnover_fico_acls_interact_2_fico_758"/>
    <x v="798"/>
    <n v="7.6288574999999997E-2"/>
    <n v="1"/>
    <n v="556"/>
    <n v="864"/>
  </r>
  <r>
    <x v="45"/>
    <s v="conventional_turnover_fico_acls_interact_2_fico_759"/>
    <x v="799"/>
    <n v="7.3257003124999998E-2"/>
    <n v="1"/>
    <n v="556"/>
    <n v="864"/>
  </r>
  <r>
    <x v="45"/>
    <s v="conventional_turnover_fico_acls_interact_2_fico_760"/>
    <x v="800"/>
    <n v="7.0279999999999995E-2"/>
    <n v="1"/>
    <n v="556"/>
    <n v="864"/>
  </r>
  <r>
    <x v="45"/>
    <s v="conventional_turnover_fico_acls_interact_2_fico_761"/>
    <x v="801"/>
    <n v="6.7418396249999998E-2"/>
    <n v="1"/>
    <n v="556"/>
    <n v="864"/>
  </r>
  <r>
    <x v="45"/>
    <s v="conventional_turnover_fico_acls_interact_2_fico_762"/>
    <x v="802"/>
    <n v="6.4730170000000004E-2"/>
    <n v="1"/>
    <n v="556"/>
    <n v="864"/>
  </r>
  <r>
    <x v="45"/>
    <s v="conventional_turnover_fico_acls_interact_2_fico_763"/>
    <x v="803"/>
    <n v="6.220269875E-2"/>
    <n v="1"/>
    <n v="556"/>
    <n v="864"/>
  </r>
  <r>
    <x v="45"/>
    <s v="conventional_turnover_fico_acls_interact_2_fico_764"/>
    <x v="804"/>
    <n v="5.9823359999999999E-2"/>
    <n v="1"/>
    <n v="556"/>
    <n v="864"/>
  </r>
  <r>
    <x v="45"/>
    <s v="conventional_turnover_fico_acls_interact_2_fico_765"/>
    <x v="805"/>
    <n v="5.7579531250000003E-2"/>
    <n v="1"/>
    <n v="556"/>
    <n v="864"/>
  </r>
  <r>
    <x v="45"/>
    <s v="conventional_turnover_fico_acls_interact_2_fico_766"/>
    <x v="806"/>
    <n v="5.5458590000000002E-2"/>
    <n v="1"/>
    <n v="556"/>
    <n v="864"/>
  </r>
  <r>
    <x v="45"/>
    <s v="conventional_turnover_fico_acls_interact_2_fico_767"/>
    <x v="807"/>
    <n v="5.3447913749999999E-2"/>
    <n v="1"/>
    <n v="556"/>
    <n v="864"/>
  </r>
  <r>
    <x v="45"/>
    <s v="conventional_turnover_fico_acls_interact_2_fico_768"/>
    <x v="808"/>
    <n v="5.1534879999999998E-2"/>
    <n v="1"/>
    <n v="556"/>
    <n v="864"/>
  </r>
  <r>
    <x v="45"/>
    <s v="conventional_turnover_fico_acls_interact_2_fico_769"/>
    <x v="809"/>
    <n v="4.9706866250000002E-2"/>
    <n v="1"/>
    <n v="556"/>
    <n v="864"/>
  </r>
  <r>
    <x v="45"/>
    <s v="conventional_turnover_fico_acls_interact_2_fico_770"/>
    <x v="810"/>
    <n v="4.7951250000000001E-2"/>
    <n v="1"/>
    <n v="556"/>
    <n v="864"/>
  </r>
  <r>
    <x v="45"/>
    <s v="conventional_turnover_fico_acls_interact_2_fico_771"/>
    <x v="811"/>
    <n v="4.6255408749999997E-2"/>
    <n v="1"/>
    <n v="556"/>
    <n v="864"/>
  </r>
  <r>
    <x v="45"/>
    <s v="conventional_turnover_fico_acls_interact_2_fico_772"/>
    <x v="812"/>
    <n v="4.4606720000000002E-2"/>
    <n v="1"/>
    <n v="556"/>
    <n v="864"/>
  </r>
  <r>
    <x v="45"/>
    <s v="conventional_turnover_fico_acls_interact_2_fico_773"/>
    <x v="813"/>
    <n v="4.2992561249999998E-2"/>
    <n v="1"/>
    <n v="556"/>
    <n v="864"/>
  </r>
  <r>
    <x v="45"/>
    <s v="conventional_turnover_fico_acls_interact_2_fico_774"/>
    <x v="814"/>
    <n v="4.1400310000000003E-2"/>
    <n v="1"/>
    <n v="556"/>
    <n v="864"/>
  </r>
  <r>
    <x v="45"/>
    <s v="conventional_turnover_fico_acls_interact_2_fico_775"/>
    <x v="815"/>
    <n v="3.9817343749999998E-2"/>
    <n v="1"/>
    <n v="556"/>
    <n v="864"/>
  </r>
  <r>
    <x v="45"/>
    <s v="conventional_turnover_fico_acls_interact_2_fico_776"/>
    <x v="816"/>
    <n v="3.8231040000000001E-2"/>
    <n v="1"/>
    <n v="556"/>
    <n v="864"/>
  </r>
  <r>
    <x v="45"/>
    <s v="conventional_turnover_fico_acls_interact_2_fico_777"/>
    <x v="817"/>
    <n v="3.6628776250000002E-2"/>
    <n v="1"/>
    <n v="556"/>
    <n v="864"/>
  </r>
  <r>
    <x v="45"/>
    <s v="conventional_turnover_fico_acls_interact_2_fico_778"/>
    <x v="818"/>
    <n v="3.4997929999999997E-2"/>
    <n v="1"/>
    <n v="556"/>
    <n v="864"/>
  </r>
  <r>
    <x v="45"/>
    <s v="conventional_turnover_fico_acls_interact_2_fico_779"/>
    <x v="819"/>
    <n v="3.3325878750000003E-2"/>
    <n v="1"/>
    <n v="556"/>
    <n v="864"/>
  </r>
  <r>
    <x v="45"/>
    <s v="conventional_turnover_fico_acls_interact_2_fico_780"/>
    <x v="820"/>
    <n v="3.1600000000000003E-2"/>
    <n v="1"/>
    <n v="556"/>
    <n v="864"/>
  </r>
  <r>
    <x v="45"/>
    <s v="conventional_turnover_fico_acls_interact_2_fico_781"/>
    <x v="821"/>
    <n v="2.9785207500000001E-2"/>
    <n v="1"/>
    <n v="556"/>
    <n v="864"/>
  </r>
  <r>
    <x v="45"/>
    <s v="conventional_turnover_fico_acls_interact_2_fico_782"/>
    <x v="822"/>
    <n v="2.7868859999999999E-2"/>
    <n v="1"/>
    <n v="556"/>
    <n v="864"/>
  </r>
  <r>
    <x v="45"/>
    <s v="conventional_turnover_fico_acls_interact_2_fico_783"/>
    <x v="823"/>
    <n v="2.5872002500000001E-2"/>
    <n v="1"/>
    <n v="556"/>
    <n v="864"/>
  </r>
  <r>
    <x v="45"/>
    <s v="conventional_turnover_fico_acls_interact_2_fico_784"/>
    <x v="824"/>
    <n v="2.3815679999999999E-2"/>
    <n v="1"/>
    <n v="556"/>
    <n v="864"/>
  </r>
  <r>
    <x v="45"/>
    <s v="conventional_turnover_fico_acls_interact_2_fico_785"/>
    <x v="825"/>
    <n v="2.1720937499999999E-2"/>
    <n v="1"/>
    <n v="556"/>
    <n v="864"/>
  </r>
  <r>
    <x v="45"/>
    <s v="conventional_turnover_fico_acls_interact_2_fico_786"/>
    <x v="826"/>
    <n v="1.9608819999999999E-2"/>
    <n v="1"/>
    <n v="556"/>
    <n v="864"/>
  </r>
  <r>
    <x v="45"/>
    <s v="conventional_turnover_fico_acls_interact_2_fico_787"/>
    <x v="827"/>
    <n v="1.75003725E-2"/>
    <n v="1"/>
    <n v="556"/>
    <n v="864"/>
  </r>
  <r>
    <x v="45"/>
    <s v="conventional_turnover_fico_acls_interact_2_fico_788"/>
    <x v="828"/>
    <n v="1.5416640000000001E-2"/>
    <n v="1"/>
    <n v="556"/>
    <n v="864"/>
  </r>
  <r>
    <x v="45"/>
    <s v="conventional_turnover_fico_acls_interact_2_fico_789"/>
    <x v="829"/>
    <n v="1.33786675E-2"/>
    <n v="1"/>
    <n v="556"/>
    <n v="864"/>
  </r>
  <r>
    <x v="45"/>
    <s v="conventional_turnover_fico_acls_interact_2_fico_790"/>
    <x v="830"/>
    <n v="1.1407499999999999E-2"/>
    <n v="1"/>
    <n v="556"/>
    <n v="864"/>
  </r>
  <r>
    <x v="45"/>
    <s v="conventional_turnover_fico_acls_interact_2_fico_791"/>
    <x v="831"/>
    <n v="9.5241825000000006E-3"/>
    <n v="1"/>
    <n v="556"/>
    <n v="864"/>
  </r>
  <r>
    <x v="45"/>
    <s v="conventional_turnover_fico_acls_interact_2_fico_792"/>
    <x v="832"/>
    <n v="7.7497599999999996E-3"/>
    <n v="1"/>
    <n v="556"/>
    <n v="864"/>
  </r>
  <r>
    <x v="45"/>
    <s v="conventional_turnover_fico_acls_interact_2_fico_793"/>
    <x v="833"/>
    <n v="6.1052774999999998E-3"/>
    <n v="1"/>
    <n v="556"/>
    <n v="864"/>
  </r>
  <r>
    <x v="45"/>
    <s v="conventional_turnover_fico_acls_interact_2_fico_794"/>
    <x v="834"/>
    <n v="4.6117800000000002E-3"/>
    <n v="1"/>
    <n v="556"/>
    <n v="864"/>
  </r>
  <r>
    <x v="45"/>
    <s v="conventional_turnover_fico_acls_interact_2_fico_795"/>
    <x v="835"/>
    <n v="3.2903124999999998E-3"/>
    <n v="1"/>
    <n v="556"/>
    <n v="864"/>
  </r>
  <r>
    <x v="45"/>
    <s v="conventional_turnover_fico_acls_interact_2_fico_796"/>
    <x v="836"/>
    <n v="2.1619199999999999E-3"/>
    <n v="1"/>
    <n v="556"/>
    <n v="864"/>
  </r>
  <r>
    <x v="45"/>
    <s v="conventional_turnover_fico_acls_interact_2_fico_797"/>
    <x v="837"/>
    <n v="1.2476474999999999E-3"/>
    <n v="1"/>
    <n v="556"/>
    <n v="864"/>
  </r>
  <r>
    <x v="45"/>
    <s v="conventional_turnover_fico_acls_interact_2_fico_798"/>
    <x v="838"/>
    <n v="5.6854000000000095E-4"/>
    <n v="1"/>
    <n v="556"/>
    <n v="864"/>
  </r>
  <r>
    <x v="45"/>
    <s v="conventional_turnover_fico_acls_interact_2_fico_799"/>
    <x v="839"/>
    <n v="1.45642499999999E-4"/>
    <n v="1"/>
    <n v="556"/>
    <n v="864"/>
  </r>
  <r>
    <x v="45"/>
    <s v="conventional_turnover_fico_acls_interact_2_fico_800"/>
    <x v="840"/>
    <n v="0"/>
    <n v="1"/>
    <n v="556"/>
    <n v="864"/>
  </r>
  <r>
    <x v="45"/>
    <s v="conventional_turnover_fico_acls_interact_2_fico_801"/>
    <x v="841"/>
    <n v="0"/>
    <n v="1"/>
    <n v="556"/>
    <n v="864"/>
  </r>
  <r>
    <x v="45"/>
    <s v="conventional_turnover_fico_acls_interact_2_fico_802"/>
    <x v="842"/>
    <n v="0"/>
    <n v="1"/>
    <n v="556"/>
    <n v="864"/>
  </r>
  <r>
    <x v="45"/>
    <s v="conventional_turnover_fico_acls_interact_2_fico_803"/>
    <x v="843"/>
    <n v="0"/>
    <n v="1"/>
    <n v="556"/>
    <n v="864"/>
  </r>
  <r>
    <x v="45"/>
    <s v="conventional_turnover_fico_acls_interact_2_fico_804"/>
    <x v="844"/>
    <n v="0"/>
    <n v="1"/>
    <n v="556"/>
    <n v="864"/>
  </r>
  <r>
    <x v="45"/>
    <s v="conventional_turnover_fico_acls_interact_2_fico_805"/>
    <x v="845"/>
    <n v="0"/>
    <n v="1"/>
    <n v="556"/>
    <n v="864"/>
  </r>
  <r>
    <x v="45"/>
    <s v="conventional_turnover_fico_acls_interact_2_fico_806"/>
    <x v="846"/>
    <n v="0"/>
    <n v="1"/>
    <n v="556"/>
    <n v="864"/>
  </r>
  <r>
    <x v="45"/>
    <s v="conventional_turnover_fico_acls_interact_2_fico_807"/>
    <x v="847"/>
    <n v="0"/>
    <n v="1"/>
    <n v="556"/>
    <n v="864"/>
  </r>
  <r>
    <x v="45"/>
    <s v="conventional_turnover_fico_acls_interact_2_fico_808"/>
    <x v="848"/>
    <n v="0"/>
    <n v="1"/>
    <n v="556"/>
    <n v="864"/>
  </r>
  <r>
    <x v="45"/>
    <s v="conventional_turnover_fico_acls_interact_2_fico_809"/>
    <x v="849"/>
    <n v="0"/>
    <n v="1"/>
    <n v="556"/>
    <n v="864"/>
  </r>
  <r>
    <x v="45"/>
    <s v="conventional_turnover_fico_acls_interact_2_fico_810"/>
    <x v="850"/>
    <n v="0"/>
    <n v="1"/>
    <n v="556"/>
    <n v="864"/>
  </r>
  <r>
    <x v="45"/>
    <s v="conventional_turnover_fico_acls_interact_2_fico_811"/>
    <x v="851"/>
    <n v="0"/>
    <n v="1"/>
    <n v="556"/>
    <n v="864"/>
  </r>
  <r>
    <x v="45"/>
    <s v="conventional_turnover_fico_acls_interact_2_fico_812"/>
    <x v="852"/>
    <n v="0"/>
    <n v="1"/>
    <n v="556"/>
    <n v="864"/>
  </r>
  <r>
    <x v="45"/>
    <s v="conventional_turnover_fico_acls_interact_2_fico_813"/>
    <x v="853"/>
    <n v="0"/>
    <n v="1"/>
    <n v="556"/>
    <n v="864"/>
  </r>
  <r>
    <x v="45"/>
    <s v="conventional_turnover_fico_acls_interact_2_fico_814"/>
    <x v="854"/>
    <n v="0"/>
    <n v="1"/>
    <n v="556"/>
    <n v="864"/>
  </r>
  <r>
    <x v="45"/>
    <s v="conventional_turnover_fico_acls_interact_2_fico_815"/>
    <x v="855"/>
    <n v="0"/>
    <n v="1"/>
    <n v="556"/>
    <n v="864"/>
  </r>
  <r>
    <x v="45"/>
    <s v="conventional_turnover_fico_acls_interact_2_fico_816"/>
    <x v="856"/>
    <n v="0"/>
    <n v="1"/>
    <n v="556"/>
    <n v="864"/>
  </r>
  <r>
    <x v="45"/>
    <s v="conventional_turnover_fico_acls_interact_2_fico_817"/>
    <x v="857"/>
    <n v="0"/>
    <n v="1"/>
    <n v="556"/>
    <n v="864"/>
  </r>
  <r>
    <x v="45"/>
    <s v="conventional_turnover_fico_acls_interact_2_fico_818"/>
    <x v="858"/>
    <n v="0"/>
    <n v="1"/>
    <n v="556"/>
    <n v="864"/>
  </r>
  <r>
    <x v="45"/>
    <s v="conventional_turnover_fico_acls_interact_2_fico_819"/>
    <x v="859"/>
    <n v="0"/>
    <n v="1"/>
    <n v="556"/>
    <n v="864"/>
  </r>
  <r>
    <x v="45"/>
    <s v="conventional_turnover_fico_acls_interact_2_fico_820"/>
    <x v="860"/>
    <n v="0"/>
    <n v="1"/>
    <n v="556"/>
    <n v="864"/>
  </r>
  <r>
    <x v="45"/>
    <s v="conventional_turnover_fico_acls_interact_2_fico_821"/>
    <x v="861"/>
    <n v="0"/>
    <n v="1"/>
    <n v="556"/>
    <n v="864"/>
  </r>
  <r>
    <x v="45"/>
    <s v="conventional_turnover_fico_acls_interact_2_fico_822"/>
    <x v="862"/>
    <n v="0"/>
    <n v="1"/>
    <n v="556"/>
    <n v="864"/>
  </r>
  <r>
    <x v="45"/>
    <s v="conventional_turnover_fico_acls_interact_2_fico_823"/>
    <x v="863"/>
    <n v="0"/>
    <n v="1"/>
    <n v="556"/>
    <n v="864"/>
  </r>
  <r>
    <x v="45"/>
    <s v="conventional_turnover_fico_acls_interact_2_fico_824"/>
    <x v="864"/>
    <n v="0"/>
    <n v="1"/>
    <n v="556"/>
    <n v="864"/>
  </r>
  <r>
    <x v="45"/>
    <s v="conventional_turnover_fico_acls_interact_2_fico_825"/>
    <x v="865"/>
    <n v="0"/>
    <n v="1"/>
    <n v="556"/>
    <n v="864"/>
  </r>
  <r>
    <x v="45"/>
    <s v="conventional_turnover_fico_acls_interact_2_fico_826"/>
    <x v="866"/>
    <n v="0"/>
    <n v="1"/>
    <n v="556"/>
    <n v="864"/>
  </r>
  <r>
    <x v="45"/>
    <s v="conventional_turnover_fico_acls_interact_2_fico_827"/>
    <x v="867"/>
    <n v="0"/>
    <n v="1"/>
    <n v="556"/>
    <n v="864"/>
  </r>
  <r>
    <x v="45"/>
    <s v="conventional_turnover_fico_acls_interact_2_fico_828"/>
    <x v="868"/>
    <n v="0"/>
    <n v="1"/>
    <n v="556"/>
    <n v="864"/>
  </r>
  <r>
    <x v="45"/>
    <s v="conventional_turnover_fico_acls_interact_2_fico_829"/>
    <x v="869"/>
    <n v="0"/>
    <n v="1"/>
    <n v="556"/>
    <n v="864"/>
  </r>
  <r>
    <x v="45"/>
    <s v="conventional_turnover_fico_acls_interact_2_fico_830"/>
    <x v="870"/>
    <n v="0"/>
    <n v="1"/>
    <n v="556"/>
    <n v="864"/>
  </r>
  <r>
    <x v="45"/>
    <s v="conventional_turnover_fico_acls_interact_2_fico_831"/>
    <x v="871"/>
    <n v="0"/>
    <n v="1"/>
    <n v="556"/>
    <n v="864"/>
  </r>
  <r>
    <x v="45"/>
    <s v="conventional_turnover_fico_acls_interact_2_fico_832"/>
    <x v="872"/>
    <n v="0"/>
    <n v="1"/>
    <n v="556"/>
    <n v="864"/>
  </r>
  <r>
    <x v="45"/>
    <s v="conventional_turnover_fico_acls_interact_2_fico_833"/>
    <x v="873"/>
    <n v="0"/>
    <n v="1"/>
    <n v="556"/>
    <n v="864"/>
  </r>
  <r>
    <x v="45"/>
    <s v="conventional_turnover_fico_acls_interact_2_fico_834"/>
    <x v="874"/>
    <n v="0"/>
    <n v="1"/>
    <n v="556"/>
    <n v="864"/>
  </r>
  <r>
    <x v="45"/>
    <s v="conventional_turnover_fico_acls_interact_2_fico_835"/>
    <x v="875"/>
    <n v="0"/>
    <n v="1"/>
    <n v="556"/>
    <n v="864"/>
  </r>
  <r>
    <x v="45"/>
    <s v="conventional_turnover_fico_acls_interact_2_fico_836"/>
    <x v="876"/>
    <n v="0"/>
    <n v="1"/>
    <n v="556"/>
    <n v="864"/>
  </r>
  <r>
    <x v="45"/>
    <s v="conventional_turnover_fico_acls_interact_2_fico_837"/>
    <x v="877"/>
    <n v="0"/>
    <n v="1"/>
    <n v="556"/>
    <n v="864"/>
  </r>
  <r>
    <x v="45"/>
    <s v="conventional_turnover_fico_acls_interact_2_fico_838"/>
    <x v="878"/>
    <n v="0"/>
    <n v="1"/>
    <n v="556"/>
    <n v="864"/>
  </r>
  <r>
    <x v="45"/>
    <s v="conventional_turnover_fico_acls_interact_2_fico_839"/>
    <x v="879"/>
    <n v="0"/>
    <n v="1"/>
    <n v="556"/>
    <n v="864"/>
  </r>
  <r>
    <x v="45"/>
    <s v="conventional_turnover_fico_acls_interact_2_fico_840"/>
    <x v="880"/>
    <n v="0"/>
    <n v="1"/>
    <n v="556"/>
    <n v="864"/>
  </r>
  <r>
    <x v="45"/>
    <s v="conventional_turnover_fico_acls_interact_2_fico_841"/>
    <x v="881"/>
    <n v="0"/>
    <n v="1"/>
    <n v="556"/>
    <n v="864"/>
  </r>
  <r>
    <x v="45"/>
    <s v="conventional_turnover_fico_acls_interact_2_fico_842"/>
    <x v="882"/>
    <n v="0"/>
    <n v="1"/>
    <n v="556"/>
    <n v="864"/>
  </r>
  <r>
    <x v="45"/>
    <s v="conventional_turnover_fico_acls_interact_2_fico_843"/>
    <x v="883"/>
    <n v="0"/>
    <n v="1"/>
    <n v="556"/>
    <n v="864"/>
  </r>
  <r>
    <x v="45"/>
    <s v="conventional_turnover_fico_acls_interact_2_fico_844"/>
    <x v="884"/>
    <n v="0"/>
    <n v="1"/>
    <n v="556"/>
    <n v="864"/>
  </r>
  <r>
    <x v="45"/>
    <s v="conventional_turnover_fico_acls_interact_2_fico_845"/>
    <x v="885"/>
    <n v="0"/>
    <n v="1"/>
    <n v="556"/>
    <n v="864"/>
  </r>
  <r>
    <x v="45"/>
    <s v="conventional_turnover_fico_acls_interact_2_fico_846"/>
    <x v="886"/>
    <n v="0"/>
    <n v="1"/>
    <n v="556"/>
    <n v="864"/>
  </r>
  <r>
    <x v="45"/>
    <s v="conventional_turnover_fico_acls_interact_2_fico_847"/>
    <x v="887"/>
    <n v="0"/>
    <n v="1"/>
    <n v="556"/>
    <n v="864"/>
  </r>
  <r>
    <x v="45"/>
    <s v="conventional_turnover_fico_acls_interact_2_fico_848"/>
    <x v="888"/>
    <n v="0"/>
    <n v="1"/>
    <n v="556"/>
    <n v="864"/>
  </r>
  <r>
    <x v="45"/>
    <s v="conventional_turnover_fico_acls_interact_2_fico_849"/>
    <x v="889"/>
    <n v="0"/>
    <n v="1"/>
    <n v="556"/>
    <n v="864"/>
  </r>
  <r>
    <x v="45"/>
    <s v="conventional_turnover_fico_acls_interact_2_fico_850"/>
    <x v="890"/>
    <n v="0"/>
    <n v="1"/>
    <n v="556"/>
    <n v="864"/>
  </r>
  <r>
    <x v="45"/>
    <s v="conventional_turnover_fico_acls_interact_2_fico_851"/>
    <x v="891"/>
    <n v="0"/>
    <n v="1"/>
    <n v="556"/>
    <n v="864"/>
  </r>
  <r>
    <x v="45"/>
    <s v="conventional_turnover_fico_acls_interact_2_fico_852"/>
    <x v="892"/>
    <n v="0"/>
    <n v="1"/>
    <n v="556"/>
    <n v="864"/>
  </r>
  <r>
    <x v="45"/>
    <s v="conventional_turnover_fico_acls_interact_2_fico_853"/>
    <x v="893"/>
    <n v="0"/>
    <n v="1"/>
    <n v="556"/>
    <n v="864"/>
  </r>
  <r>
    <x v="45"/>
    <s v="conventional_turnover_fico_acls_interact_2_fico_854"/>
    <x v="894"/>
    <n v="0"/>
    <n v="1"/>
    <n v="556"/>
    <n v="864"/>
  </r>
  <r>
    <x v="45"/>
    <s v="conventional_turnover_fico_acls_interact_2_fico_855"/>
    <x v="895"/>
    <n v="0"/>
    <n v="1"/>
    <n v="556"/>
    <n v="864"/>
  </r>
  <r>
    <x v="45"/>
    <s v="conventional_turnover_fico_acls_interact_2_fico_856"/>
    <x v="896"/>
    <n v="0"/>
    <n v="1"/>
    <n v="556"/>
    <n v="864"/>
  </r>
  <r>
    <x v="45"/>
    <s v="conventional_turnover_fico_acls_interact_2_fico_857"/>
    <x v="897"/>
    <n v="0"/>
    <n v="1"/>
    <n v="556"/>
    <n v="864"/>
  </r>
  <r>
    <x v="45"/>
    <s v="conventional_turnover_fico_acls_interact_2_fico_858"/>
    <x v="898"/>
    <n v="0"/>
    <n v="1"/>
    <n v="556"/>
    <n v="864"/>
  </r>
  <r>
    <x v="45"/>
    <s v="conventional_turnover_fico_acls_interact_2_fico_859"/>
    <x v="899"/>
    <n v="0"/>
    <n v="1"/>
    <n v="556"/>
    <n v="864"/>
  </r>
  <r>
    <x v="45"/>
    <s v="conventional_turnover_fico_acls_interact_2_fico_860"/>
    <x v="900"/>
    <n v="0"/>
    <n v="1"/>
    <n v="556"/>
    <n v="864"/>
  </r>
  <r>
    <x v="45"/>
    <s v="conventional_turnover_fico_acls_interact_2_fico_861"/>
    <x v="901"/>
    <n v="0"/>
    <n v="1"/>
    <n v="556"/>
    <n v="864"/>
  </r>
  <r>
    <x v="45"/>
    <s v="conventional_turnover_fico_acls_interact_2_fico_862"/>
    <x v="902"/>
    <n v="0"/>
    <n v="1"/>
    <n v="556"/>
    <n v="864"/>
  </r>
  <r>
    <x v="45"/>
    <s v="conventional_turnover_fico_acls_interact_2_fico_863"/>
    <x v="903"/>
    <n v="0"/>
    <n v="1"/>
    <n v="556"/>
    <n v="864"/>
  </r>
  <r>
    <x v="45"/>
    <s v="conventional_turnover_fico_acls_interact_2_fico_864"/>
    <x v="904"/>
    <n v="0"/>
    <n v="1"/>
    <n v="556"/>
    <n v="864"/>
  </r>
  <r>
    <x v="46"/>
    <s v="conventional_default_current_cai_-40"/>
    <x v="0"/>
    <n v="3.274"/>
    <n v="1"/>
    <n v="-40"/>
    <n v="940"/>
  </r>
  <r>
    <x v="46"/>
    <s v="conventional_default_current_cai_-39"/>
    <x v="1"/>
    <n v="3.2624"/>
    <n v="1"/>
    <n v="-40"/>
    <n v="940"/>
  </r>
  <r>
    <x v="46"/>
    <s v="conventional_default_current_cai_-38"/>
    <x v="2"/>
    <n v="3.2507999999999999"/>
    <n v="1"/>
    <n v="-40"/>
    <n v="940"/>
  </r>
  <r>
    <x v="46"/>
    <s v="conventional_default_current_cai_-37"/>
    <x v="3"/>
    <n v="3.2391999999999999"/>
    <n v="1"/>
    <n v="-40"/>
    <n v="940"/>
  </r>
  <r>
    <x v="46"/>
    <s v="conventional_default_current_cai_-36"/>
    <x v="4"/>
    <n v="3.2275999999999998"/>
    <n v="1"/>
    <n v="-40"/>
    <n v="940"/>
  </r>
  <r>
    <x v="46"/>
    <s v="conventional_default_current_cai_-35"/>
    <x v="5"/>
    <n v="3.2160000000000002"/>
    <n v="1"/>
    <n v="-40"/>
    <n v="940"/>
  </r>
  <r>
    <x v="46"/>
    <s v="conventional_default_current_cai_-34"/>
    <x v="6"/>
    <n v="3.2044000000000001"/>
    <n v="1"/>
    <n v="-40"/>
    <n v="940"/>
  </r>
  <r>
    <x v="46"/>
    <s v="conventional_default_current_cai_-33"/>
    <x v="7"/>
    <n v="3.1928000000000001"/>
    <n v="1"/>
    <n v="-40"/>
    <n v="940"/>
  </r>
  <r>
    <x v="46"/>
    <s v="conventional_default_current_cai_-32"/>
    <x v="8"/>
    <n v="3.1812"/>
    <n v="1"/>
    <n v="-40"/>
    <n v="940"/>
  </r>
  <r>
    <x v="46"/>
    <s v="conventional_default_current_cai_-31"/>
    <x v="9"/>
    <n v="3.1696"/>
    <n v="1"/>
    <n v="-40"/>
    <n v="940"/>
  </r>
  <r>
    <x v="46"/>
    <s v="conventional_default_current_cai_-30"/>
    <x v="10"/>
    <n v="3.1579999999999999"/>
    <n v="1"/>
    <n v="-40"/>
    <n v="940"/>
  </r>
  <r>
    <x v="46"/>
    <s v="conventional_default_current_cai_-29"/>
    <x v="11"/>
    <n v="3.1463999999999999"/>
    <n v="1"/>
    <n v="-40"/>
    <n v="940"/>
  </r>
  <r>
    <x v="46"/>
    <s v="conventional_default_current_cai_-28"/>
    <x v="12"/>
    <n v="3.1347999999999998"/>
    <n v="1"/>
    <n v="-40"/>
    <n v="940"/>
  </r>
  <r>
    <x v="46"/>
    <s v="conventional_default_current_cai_-27"/>
    <x v="13"/>
    <n v="3.1232000000000002"/>
    <n v="1"/>
    <n v="-40"/>
    <n v="940"/>
  </r>
  <r>
    <x v="46"/>
    <s v="conventional_default_current_cai_-26"/>
    <x v="14"/>
    <n v="3.1116000000000001"/>
    <n v="1"/>
    <n v="-40"/>
    <n v="940"/>
  </r>
  <r>
    <x v="46"/>
    <s v="conventional_default_current_cai_-25"/>
    <x v="15"/>
    <n v="3.1"/>
    <n v="1"/>
    <n v="-40"/>
    <n v="940"/>
  </r>
  <r>
    <x v="46"/>
    <s v="conventional_default_current_cai_-24"/>
    <x v="16"/>
    <n v="3.0884"/>
    <n v="1"/>
    <n v="-40"/>
    <n v="940"/>
  </r>
  <r>
    <x v="46"/>
    <s v="conventional_default_current_cai_-23"/>
    <x v="17"/>
    <n v="3.0768"/>
    <n v="1"/>
    <n v="-40"/>
    <n v="940"/>
  </r>
  <r>
    <x v="46"/>
    <s v="conventional_default_current_cai_-22"/>
    <x v="18"/>
    <n v="3.0651999999999999"/>
    <n v="1"/>
    <n v="-40"/>
    <n v="940"/>
  </r>
  <r>
    <x v="46"/>
    <s v="conventional_default_current_cai_-21"/>
    <x v="19"/>
    <n v="3.0535999999999999"/>
    <n v="1"/>
    <n v="-40"/>
    <n v="940"/>
  </r>
  <r>
    <x v="46"/>
    <s v="conventional_default_current_cai_-20"/>
    <x v="20"/>
    <n v="3.0419999999999998"/>
    <n v="1"/>
    <n v="-40"/>
    <n v="940"/>
  </r>
  <r>
    <x v="46"/>
    <s v="conventional_default_current_cai_-19"/>
    <x v="21"/>
    <n v="3.0304000000000002"/>
    <n v="1"/>
    <n v="-40"/>
    <n v="940"/>
  </r>
  <r>
    <x v="46"/>
    <s v="conventional_default_current_cai_-18"/>
    <x v="22"/>
    <n v="3.0188000000000001"/>
    <n v="1"/>
    <n v="-40"/>
    <n v="940"/>
  </r>
  <r>
    <x v="46"/>
    <s v="conventional_default_current_cai_-17"/>
    <x v="23"/>
    <n v="3.0072000000000001"/>
    <n v="1"/>
    <n v="-40"/>
    <n v="940"/>
  </r>
  <r>
    <x v="46"/>
    <s v="conventional_default_current_cai_-16"/>
    <x v="24"/>
    <n v="2.9956"/>
    <n v="1"/>
    <n v="-40"/>
    <n v="940"/>
  </r>
  <r>
    <x v="46"/>
    <s v="conventional_default_current_cai_-15"/>
    <x v="25"/>
    <n v="2.984"/>
    <n v="1"/>
    <n v="-40"/>
    <n v="940"/>
  </r>
  <r>
    <x v="46"/>
    <s v="conventional_default_current_cai_-14"/>
    <x v="26"/>
    <n v="2.9723999999999999"/>
    <n v="1"/>
    <n v="-40"/>
    <n v="940"/>
  </r>
  <r>
    <x v="46"/>
    <s v="conventional_default_current_cai_-13"/>
    <x v="27"/>
    <n v="2.9607999999999999"/>
    <n v="1"/>
    <n v="-40"/>
    <n v="940"/>
  </r>
  <r>
    <x v="46"/>
    <s v="conventional_default_current_cai_-12"/>
    <x v="28"/>
    <n v="2.9491999999999998"/>
    <n v="1"/>
    <n v="-40"/>
    <n v="940"/>
  </r>
  <r>
    <x v="46"/>
    <s v="conventional_default_current_cai_-11"/>
    <x v="29"/>
    <n v="2.9376000000000002"/>
    <n v="1"/>
    <n v="-40"/>
    <n v="940"/>
  </r>
  <r>
    <x v="46"/>
    <s v="conventional_default_current_cai_-10"/>
    <x v="30"/>
    <n v="2.9260000000000002"/>
    <n v="1"/>
    <n v="-40"/>
    <n v="940"/>
  </r>
  <r>
    <x v="46"/>
    <s v="conventional_default_current_cai_-9"/>
    <x v="31"/>
    <n v="2.9144000000000001"/>
    <n v="1"/>
    <n v="-40"/>
    <n v="940"/>
  </r>
  <r>
    <x v="46"/>
    <s v="conventional_default_current_cai_-8"/>
    <x v="32"/>
    <n v="2.9028"/>
    <n v="1"/>
    <n v="-40"/>
    <n v="940"/>
  </r>
  <r>
    <x v="46"/>
    <s v="conventional_default_current_cai_-7"/>
    <x v="33"/>
    <n v="2.8912"/>
    <n v="1"/>
    <n v="-40"/>
    <n v="940"/>
  </r>
  <r>
    <x v="46"/>
    <s v="conventional_default_current_cai_-6"/>
    <x v="34"/>
    <n v="2.8795999999999999"/>
    <n v="1"/>
    <n v="-40"/>
    <n v="940"/>
  </r>
  <r>
    <x v="46"/>
    <s v="conventional_default_current_cai_-5"/>
    <x v="35"/>
    <n v="2.8679999999999999"/>
    <n v="1"/>
    <n v="-40"/>
    <n v="940"/>
  </r>
  <r>
    <x v="46"/>
    <s v="conventional_default_current_cai_-4"/>
    <x v="36"/>
    <n v="2.8563999999999998"/>
    <n v="1"/>
    <n v="-40"/>
    <n v="940"/>
  </r>
  <r>
    <x v="46"/>
    <s v="conventional_default_current_cai_-3"/>
    <x v="37"/>
    <n v="2.8448000000000002"/>
    <n v="1"/>
    <n v="-40"/>
    <n v="940"/>
  </r>
  <r>
    <x v="46"/>
    <s v="conventional_default_current_cai_-2"/>
    <x v="38"/>
    <n v="2.8332000000000002"/>
    <n v="1"/>
    <n v="-40"/>
    <n v="940"/>
  </r>
  <r>
    <x v="46"/>
    <s v="conventional_default_current_cai_-1"/>
    <x v="39"/>
    <n v="2.8216000000000001"/>
    <n v="1"/>
    <n v="-40"/>
    <n v="940"/>
  </r>
  <r>
    <x v="46"/>
    <s v="conventional_default_current_cai_0"/>
    <x v="40"/>
    <n v="2.81"/>
    <n v="1"/>
    <n v="-40"/>
    <n v="940"/>
  </r>
  <r>
    <x v="46"/>
    <s v="conventional_default_current_cai_1"/>
    <x v="41"/>
    <n v="2.7984"/>
    <n v="1"/>
    <n v="-40"/>
    <n v="940"/>
  </r>
  <r>
    <x v="46"/>
    <s v="conventional_default_current_cai_2"/>
    <x v="42"/>
    <n v="2.7867999999999999"/>
    <n v="1"/>
    <n v="-40"/>
    <n v="940"/>
  </r>
  <r>
    <x v="46"/>
    <s v="conventional_default_current_cai_3"/>
    <x v="43"/>
    <n v="2.7751999999999999"/>
    <n v="1"/>
    <n v="-40"/>
    <n v="940"/>
  </r>
  <r>
    <x v="46"/>
    <s v="conventional_default_current_cai_4"/>
    <x v="44"/>
    <n v="2.7635999999999998"/>
    <n v="1"/>
    <n v="-40"/>
    <n v="940"/>
  </r>
  <r>
    <x v="46"/>
    <s v="conventional_default_current_cai_5"/>
    <x v="45"/>
    <n v="2.7519999999999998"/>
    <n v="1"/>
    <n v="-40"/>
    <n v="940"/>
  </r>
  <r>
    <x v="46"/>
    <s v="conventional_default_current_cai_6"/>
    <x v="46"/>
    <n v="2.7404000000000002"/>
    <n v="1"/>
    <n v="-40"/>
    <n v="940"/>
  </r>
  <r>
    <x v="46"/>
    <s v="conventional_default_current_cai_7"/>
    <x v="47"/>
    <n v="2.7288000000000001"/>
    <n v="1"/>
    <n v="-40"/>
    <n v="940"/>
  </r>
  <r>
    <x v="46"/>
    <s v="conventional_default_current_cai_8"/>
    <x v="48"/>
    <n v="2.7172000000000001"/>
    <n v="1"/>
    <n v="-40"/>
    <n v="940"/>
  </r>
  <r>
    <x v="46"/>
    <s v="conventional_default_current_cai_9"/>
    <x v="49"/>
    <n v="2.7056"/>
    <n v="1"/>
    <n v="-40"/>
    <n v="940"/>
  </r>
  <r>
    <x v="46"/>
    <s v="conventional_default_current_cai_10"/>
    <x v="50"/>
    <n v="2.694"/>
    <n v="1"/>
    <n v="-40"/>
    <n v="940"/>
  </r>
  <r>
    <x v="46"/>
    <s v="conventional_default_current_cai_11"/>
    <x v="51"/>
    <n v="2.6823999999999999"/>
    <n v="1"/>
    <n v="-40"/>
    <n v="940"/>
  </r>
  <r>
    <x v="46"/>
    <s v="conventional_default_current_cai_12"/>
    <x v="52"/>
    <n v="2.6707999999999998"/>
    <n v="1"/>
    <n v="-40"/>
    <n v="940"/>
  </r>
  <r>
    <x v="46"/>
    <s v="conventional_default_current_cai_13"/>
    <x v="53"/>
    <n v="2.6591999999999998"/>
    <n v="1"/>
    <n v="-40"/>
    <n v="940"/>
  </r>
  <r>
    <x v="46"/>
    <s v="conventional_default_current_cai_14"/>
    <x v="54"/>
    <n v="2.6476000000000002"/>
    <n v="1"/>
    <n v="-40"/>
    <n v="940"/>
  </r>
  <r>
    <x v="46"/>
    <s v="conventional_default_current_cai_15"/>
    <x v="55"/>
    <n v="2.6360000000000001"/>
    <n v="1"/>
    <n v="-40"/>
    <n v="940"/>
  </r>
  <r>
    <x v="46"/>
    <s v="conventional_default_current_cai_16"/>
    <x v="56"/>
    <n v="2.6244000000000001"/>
    <n v="1"/>
    <n v="-40"/>
    <n v="940"/>
  </r>
  <r>
    <x v="46"/>
    <s v="conventional_default_current_cai_17"/>
    <x v="57"/>
    <n v="2.6128"/>
    <n v="1"/>
    <n v="-40"/>
    <n v="940"/>
  </r>
  <r>
    <x v="46"/>
    <s v="conventional_default_current_cai_18"/>
    <x v="58"/>
    <n v="2.6012"/>
    <n v="1"/>
    <n v="-40"/>
    <n v="940"/>
  </r>
  <r>
    <x v="46"/>
    <s v="conventional_default_current_cai_19"/>
    <x v="59"/>
    <n v="2.5895999999999999"/>
    <n v="1"/>
    <n v="-40"/>
    <n v="940"/>
  </r>
  <r>
    <x v="46"/>
    <s v="conventional_default_current_cai_20"/>
    <x v="60"/>
    <n v="2.5779999999999998"/>
    <n v="1"/>
    <n v="-40"/>
    <n v="940"/>
  </r>
  <r>
    <x v="46"/>
    <s v="conventional_default_current_cai_21"/>
    <x v="61"/>
    <n v="2.5663999999999998"/>
    <n v="1"/>
    <n v="-40"/>
    <n v="940"/>
  </r>
  <r>
    <x v="46"/>
    <s v="conventional_default_current_cai_22"/>
    <x v="62"/>
    <n v="2.5548000000000002"/>
    <n v="1"/>
    <n v="-40"/>
    <n v="940"/>
  </r>
  <r>
    <x v="46"/>
    <s v="conventional_default_current_cai_23"/>
    <x v="63"/>
    <n v="2.5432000000000001"/>
    <n v="1"/>
    <n v="-40"/>
    <n v="940"/>
  </r>
  <r>
    <x v="46"/>
    <s v="conventional_default_current_cai_24"/>
    <x v="64"/>
    <n v="2.5316000000000001"/>
    <n v="1"/>
    <n v="-40"/>
    <n v="940"/>
  </r>
  <r>
    <x v="46"/>
    <s v="conventional_default_current_cai_25"/>
    <x v="65"/>
    <n v="2.52"/>
    <n v="1"/>
    <n v="-40"/>
    <n v="940"/>
  </r>
  <r>
    <x v="46"/>
    <s v="conventional_default_current_cai_26"/>
    <x v="66"/>
    <n v="2.5084"/>
    <n v="1"/>
    <n v="-40"/>
    <n v="940"/>
  </r>
  <r>
    <x v="46"/>
    <s v="conventional_default_current_cai_27"/>
    <x v="67"/>
    <n v="2.4967999999999999"/>
    <n v="1"/>
    <n v="-40"/>
    <n v="940"/>
  </r>
  <r>
    <x v="46"/>
    <s v="conventional_default_current_cai_28"/>
    <x v="68"/>
    <n v="2.4851999999999999"/>
    <n v="1"/>
    <n v="-40"/>
    <n v="940"/>
  </r>
  <r>
    <x v="46"/>
    <s v="conventional_default_current_cai_29"/>
    <x v="69"/>
    <n v="2.4735999999999998"/>
    <n v="1"/>
    <n v="-40"/>
    <n v="940"/>
  </r>
  <r>
    <x v="46"/>
    <s v="conventional_default_current_cai_30"/>
    <x v="70"/>
    <n v="2.4620000000000002"/>
    <n v="1"/>
    <n v="-40"/>
    <n v="940"/>
  </r>
  <r>
    <x v="46"/>
    <s v="conventional_default_current_cai_31"/>
    <x v="71"/>
    <n v="2.4504000000000001"/>
    <n v="1"/>
    <n v="-40"/>
    <n v="940"/>
  </r>
  <r>
    <x v="46"/>
    <s v="conventional_default_current_cai_32"/>
    <x v="72"/>
    <n v="2.4388000000000001"/>
    <n v="1"/>
    <n v="-40"/>
    <n v="940"/>
  </r>
  <r>
    <x v="46"/>
    <s v="conventional_default_current_cai_33"/>
    <x v="73"/>
    <n v="2.4272"/>
    <n v="1"/>
    <n v="-40"/>
    <n v="940"/>
  </r>
  <r>
    <x v="46"/>
    <s v="conventional_default_current_cai_34"/>
    <x v="74"/>
    <n v="2.4156"/>
    <n v="1"/>
    <n v="-40"/>
    <n v="940"/>
  </r>
  <r>
    <x v="46"/>
    <s v="conventional_default_current_cai_35"/>
    <x v="75"/>
    <n v="2.4039999999999999"/>
    <n v="1"/>
    <n v="-40"/>
    <n v="940"/>
  </r>
  <r>
    <x v="46"/>
    <s v="conventional_default_current_cai_36"/>
    <x v="76"/>
    <n v="2.3923999999999999"/>
    <n v="1"/>
    <n v="-40"/>
    <n v="940"/>
  </r>
  <r>
    <x v="46"/>
    <s v="conventional_default_current_cai_37"/>
    <x v="77"/>
    <n v="2.3807999999999998"/>
    <n v="1"/>
    <n v="-40"/>
    <n v="940"/>
  </r>
  <r>
    <x v="46"/>
    <s v="conventional_default_current_cai_38"/>
    <x v="78"/>
    <n v="2.3692000000000002"/>
    <n v="1"/>
    <n v="-40"/>
    <n v="940"/>
  </r>
  <r>
    <x v="46"/>
    <s v="conventional_default_current_cai_39"/>
    <x v="79"/>
    <n v="2.3576000000000001"/>
    <n v="1"/>
    <n v="-40"/>
    <n v="940"/>
  </r>
  <r>
    <x v="46"/>
    <s v="conventional_default_current_cai_40"/>
    <x v="80"/>
    <n v="2.3460000000000001"/>
    <n v="1"/>
    <n v="-40"/>
    <n v="940"/>
  </r>
  <r>
    <x v="46"/>
    <s v="conventional_default_current_cai_41"/>
    <x v="81"/>
    <n v="2.3344"/>
    <n v="1"/>
    <n v="-40"/>
    <n v="940"/>
  </r>
  <r>
    <x v="46"/>
    <s v="conventional_default_current_cai_42"/>
    <x v="82"/>
    <n v="2.3228"/>
    <n v="1"/>
    <n v="-40"/>
    <n v="940"/>
  </r>
  <r>
    <x v="46"/>
    <s v="conventional_default_current_cai_43"/>
    <x v="83"/>
    <n v="2.3111999999999999"/>
    <n v="1"/>
    <n v="-40"/>
    <n v="940"/>
  </r>
  <r>
    <x v="46"/>
    <s v="conventional_default_current_cai_44"/>
    <x v="84"/>
    <n v="2.2995999999999999"/>
    <n v="1"/>
    <n v="-40"/>
    <n v="940"/>
  </r>
  <r>
    <x v="46"/>
    <s v="conventional_default_current_cai_45"/>
    <x v="85"/>
    <n v="2.2879999999999998"/>
    <n v="1"/>
    <n v="-40"/>
    <n v="940"/>
  </r>
  <r>
    <x v="46"/>
    <s v="conventional_default_current_cai_46"/>
    <x v="86"/>
    <n v="2.2764000000000002"/>
    <n v="1"/>
    <n v="-40"/>
    <n v="940"/>
  </r>
  <r>
    <x v="46"/>
    <s v="conventional_default_current_cai_47"/>
    <x v="87"/>
    <n v="2.2648000000000001"/>
    <n v="1"/>
    <n v="-40"/>
    <n v="940"/>
  </r>
  <r>
    <x v="46"/>
    <s v="conventional_default_current_cai_48"/>
    <x v="88"/>
    <n v="2.2532000000000001"/>
    <n v="1"/>
    <n v="-40"/>
    <n v="940"/>
  </r>
  <r>
    <x v="46"/>
    <s v="conventional_default_current_cai_49"/>
    <x v="89"/>
    <n v="2.2416"/>
    <n v="1"/>
    <n v="-40"/>
    <n v="940"/>
  </r>
  <r>
    <x v="46"/>
    <s v="conventional_default_current_cai_50"/>
    <x v="90"/>
    <n v="2.23"/>
    <n v="1"/>
    <n v="-40"/>
    <n v="940"/>
  </r>
  <r>
    <x v="46"/>
    <s v="conventional_default_current_cai_51"/>
    <x v="91"/>
    <n v="2.2183999999999999"/>
    <n v="1"/>
    <n v="-40"/>
    <n v="940"/>
  </r>
  <r>
    <x v="46"/>
    <s v="conventional_default_current_cai_52"/>
    <x v="92"/>
    <n v="2.2067999999999999"/>
    <n v="1"/>
    <n v="-40"/>
    <n v="940"/>
  </r>
  <r>
    <x v="46"/>
    <s v="conventional_default_current_cai_53"/>
    <x v="93"/>
    <n v="2.1951999999999998"/>
    <n v="1"/>
    <n v="-40"/>
    <n v="940"/>
  </r>
  <r>
    <x v="46"/>
    <s v="conventional_default_current_cai_54"/>
    <x v="94"/>
    <n v="2.1836000000000002"/>
    <n v="1"/>
    <n v="-40"/>
    <n v="940"/>
  </r>
  <r>
    <x v="46"/>
    <s v="conventional_default_current_cai_55"/>
    <x v="95"/>
    <n v="2.1720000000000002"/>
    <n v="1"/>
    <n v="-40"/>
    <n v="940"/>
  </r>
  <r>
    <x v="46"/>
    <s v="conventional_default_current_cai_56"/>
    <x v="96"/>
    <n v="2.1604000000000001"/>
    <n v="1"/>
    <n v="-40"/>
    <n v="940"/>
  </r>
  <r>
    <x v="46"/>
    <s v="conventional_default_current_cai_57"/>
    <x v="97"/>
    <n v="2.1488"/>
    <n v="1"/>
    <n v="-40"/>
    <n v="940"/>
  </r>
  <r>
    <x v="46"/>
    <s v="conventional_default_current_cai_58"/>
    <x v="98"/>
    <n v="2.1372"/>
    <n v="1"/>
    <n v="-40"/>
    <n v="940"/>
  </r>
  <r>
    <x v="46"/>
    <s v="conventional_default_current_cai_59"/>
    <x v="99"/>
    <n v="2.1255999999999999"/>
    <n v="1"/>
    <n v="-40"/>
    <n v="940"/>
  </r>
  <r>
    <x v="46"/>
    <s v="conventional_default_current_cai_60"/>
    <x v="100"/>
    <n v="2.1139999999999999"/>
    <n v="1"/>
    <n v="-40"/>
    <n v="940"/>
  </r>
  <r>
    <x v="46"/>
    <s v="conventional_default_current_cai_61"/>
    <x v="101"/>
    <n v="2.1023999999999998"/>
    <n v="1"/>
    <n v="-40"/>
    <n v="940"/>
  </r>
  <r>
    <x v="46"/>
    <s v="conventional_default_current_cai_62"/>
    <x v="102"/>
    <n v="2.0908000000000002"/>
    <n v="1"/>
    <n v="-40"/>
    <n v="940"/>
  </r>
  <r>
    <x v="46"/>
    <s v="conventional_default_current_cai_63"/>
    <x v="103"/>
    <n v="2.0792000000000002"/>
    <n v="1"/>
    <n v="-40"/>
    <n v="940"/>
  </r>
  <r>
    <x v="46"/>
    <s v="conventional_default_current_cai_64"/>
    <x v="104"/>
    <n v="2.0676000000000001"/>
    <n v="1"/>
    <n v="-40"/>
    <n v="940"/>
  </r>
  <r>
    <x v="46"/>
    <s v="conventional_default_current_cai_65"/>
    <x v="105"/>
    <n v="2.056"/>
    <n v="1"/>
    <n v="-40"/>
    <n v="940"/>
  </r>
  <r>
    <x v="46"/>
    <s v="conventional_default_current_cai_66"/>
    <x v="106"/>
    <n v="2.0444"/>
    <n v="1"/>
    <n v="-40"/>
    <n v="940"/>
  </r>
  <r>
    <x v="46"/>
    <s v="conventional_default_current_cai_67"/>
    <x v="107"/>
    <n v="2.0327999999999999"/>
    <n v="1"/>
    <n v="-40"/>
    <n v="940"/>
  </r>
  <r>
    <x v="46"/>
    <s v="conventional_default_current_cai_68"/>
    <x v="108"/>
    <n v="2.0211999999999999"/>
    <n v="1"/>
    <n v="-40"/>
    <n v="940"/>
  </r>
  <r>
    <x v="46"/>
    <s v="conventional_default_current_cai_69"/>
    <x v="109"/>
    <n v="2.0095999999999998"/>
    <n v="1"/>
    <n v="-40"/>
    <n v="940"/>
  </r>
  <r>
    <x v="46"/>
    <s v="conventional_default_current_cai_70"/>
    <x v="110"/>
    <n v="1.998"/>
    <n v="1"/>
    <n v="-40"/>
    <n v="940"/>
  </r>
  <r>
    <x v="46"/>
    <s v="conventional_default_current_cai_71"/>
    <x v="111"/>
    <n v="1.9863999999999999"/>
    <n v="1"/>
    <n v="-40"/>
    <n v="940"/>
  </r>
  <r>
    <x v="46"/>
    <s v="conventional_default_current_cai_72"/>
    <x v="112"/>
    <n v="1.9748000000000001"/>
    <n v="1"/>
    <n v="-40"/>
    <n v="940"/>
  </r>
  <r>
    <x v="46"/>
    <s v="conventional_default_current_cai_73"/>
    <x v="113"/>
    <n v="1.9632000000000001"/>
    <n v="1"/>
    <n v="-40"/>
    <n v="940"/>
  </r>
  <r>
    <x v="46"/>
    <s v="conventional_default_current_cai_74"/>
    <x v="114"/>
    <n v="1.9516"/>
    <n v="1"/>
    <n v="-40"/>
    <n v="940"/>
  </r>
  <r>
    <x v="46"/>
    <s v="conventional_default_current_cai_75"/>
    <x v="115"/>
    <n v="1.94"/>
    <n v="1"/>
    <n v="-40"/>
    <n v="940"/>
  </r>
  <r>
    <x v="46"/>
    <s v="conventional_default_current_cai_76"/>
    <x v="116"/>
    <n v="1.9283999999999999"/>
    <n v="1"/>
    <n v="-40"/>
    <n v="940"/>
  </r>
  <r>
    <x v="46"/>
    <s v="conventional_default_current_cai_77"/>
    <x v="117"/>
    <n v="1.9168000000000001"/>
    <n v="1"/>
    <n v="-40"/>
    <n v="940"/>
  </r>
  <r>
    <x v="46"/>
    <s v="conventional_default_current_cai_78"/>
    <x v="118"/>
    <n v="1.9052"/>
    <n v="1"/>
    <n v="-40"/>
    <n v="940"/>
  </r>
  <r>
    <x v="46"/>
    <s v="conventional_default_current_cai_79"/>
    <x v="119"/>
    <n v="1.8935999999999999"/>
    <n v="1"/>
    <n v="-40"/>
    <n v="940"/>
  </r>
  <r>
    <x v="46"/>
    <s v="conventional_default_current_cai_80"/>
    <x v="120"/>
    <n v="1.8819999999999999"/>
    <n v="1"/>
    <n v="-40"/>
    <n v="940"/>
  </r>
  <r>
    <x v="46"/>
    <s v="conventional_default_current_cai_81"/>
    <x v="121"/>
    <n v="1.8704000000000001"/>
    <n v="1"/>
    <n v="-40"/>
    <n v="940"/>
  </r>
  <r>
    <x v="46"/>
    <s v="conventional_default_current_cai_82"/>
    <x v="122"/>
    <n v="1.8588"/>
    <n v="1"/>
    <n v="-40"/>
    <n v="940"/>
  </r>
  <r>
    <x v="46"/>
    <s v="conventional_default_current_cai_83"/>
    <x v="123"/>
    <n v="1.8472"/>
    <n v="1"/>
    <n v="-40"/>
    <n v="940"/>
  </r>
  <r>
    <x v="46"/>
    <s v="conventional_default_current_cai_84"/>
    <x v="124"/>
    <n v="1.8355999999999999"/>
    <n v="1"/>
    <n v="-40"/>
    <n v="940"/>
  </r>
  <r>
    <x v="46"/>
    <s v="conventional_default_current_cai_85"/>
    <x v="125"/>
    <n v="1.8240000000000001"/>
    <n v="1"/>
    <n v="-40"/>
    <n v="940"/>
  </r>
  <r>
    <x v="46"/>
    <s v="conventional_default_current_cai_86"/>
    <x v="126"/>
    <n v="1.8124"/>
    <n v="1"/>
    <n v="-40"/>
    <n v="940"/>
  </r>
  <r>
    <x v="46"/>
    <s v="conventional_default_current_cai_87"/>
    <x v="127"/>
    <n v="1.8008"/>
    <n v="1"/>
    <n v="-40"/>
    <n v="940"/>
  </r>
  <r>
    <x v="46"/>
    <s v="conventional_default_current_cai_88"/>
    <x v="128"/>
    <n v="1.7891999999999999"/>
    <n v="1"/>
    <n v="-40"/>
    <n v="940"/>
  </r>
  <r>
    <x v="46"/>
    <s v="conventional_default_current_cai_89"/>
    <x v="129"/>
    <n v="1.7776000000000001"/>
    <n v="1"/>
    <n v="-40"/>
    <n v="940"/>
  </r>
  <r>
    <x v="46"/>
    <s v="conventional_default_current_cai_90"/>
    <x v="130"/>
    <n v="1.766"/>
    <n v="1"/>
    <n v="-40"/>
    <n v="940"/>
  </r>
  <r>
    <x v="46"/>
    <s v="conventional_default_current_cai_91"/>
    <x v="131"/>
    <n v="1.7544"/>
    <n v="1"/>
    <n v="-40"/>
    <n v="940"/>
  </r>
  <r>
    <x v="46"/>
    <s v="conventional_default_current_cai_92"/>
    <x v="132"/>
    <n v="1.7427999999999999"/>
    <n v="1"/>
    <n v="-40"/>
    <n v="940"/>
  </r>
  <r>
    <x v="46"/>
    <s v="conventional_default_current_cai_93"/>
    <x v="133"/>
    <n v="1.7312000000000001"/>
    <n v="1"/>
    <n v="-40"/>
    <n v="940"/>
  </r>
  <r>
    <x v="46"/>
    <s v="conventional_default_current_cai_94"/>
    <x v="134"/>
    <n v="1.7196"/>
    <n v="1"/>
    <n v="-40"/>
    <n v="940"/>
  </r>
  <r>
    <x v="46"/>
    <s v="conventional_default_current_cai_95"/>
    <x v="135"/>
    <n v="1.708"/>
    <n v="1"/>
    <n v="-40"/>
    <n v="940"/>
  </r>
  <r>
    <x v="46"/>
    <s v="conventional_default_current_cai_96"/>
    <x v="136"/>
    <n v="1.6963999999999999"/>
    <n v="1"/>
    <n v="-40"/>
    <n v="940"/>
  </r>
  <r>
    <x v="46"/>
    <s v="conventional_default_current_cai_97"/>
    <x v="137"/>
    <n v="1.6848000000000001"/>
    <n v="1"/>
    <n v="-40"/>
    <n v="940"/>
  </r>
  <r>
    <x v="46"/>
    <s v="conventional_default_current_cai_98"/>
    <x v="138"/>
    <n v="1.6732"/>
    <n v="1"/>
    <n v="-40"/>
    <n v="940"/>
  </r>
  <r>
    <x v="46"/>
    <s v="conventional_default_current_cai_99"/>
    <x v="139"/>
    <n v="1.6616"/>
    <n v="1"/>
    <n v="-40"/>
    <n v="940"/>
  </r>
  <r>
    <x v="46"/>
    <s v="conventional_default_current_cai_100"/>
    <x v="140"/>
    <n v="1.65"/>
    <n v="1"/>
    <n v="-40"/>
    <n v="940"/>
  </r>
  <r>
    <x v="46"/>
    <s v="conventional_default_current_cai_101"/>
    <x v="141"/>
    <n v="1.6381726400000001"/>
    <n v="1"/>
    <n v="-40"/>
    <n v="940"/>
  </r>
  <r>
    <x v="46"/>
    <s v="conventional_default_current_cai_102"/>
    <x v="142"/>
    <n v="1.62590912"/>
    <n v="1"/>
    <n v="-40"/>
    <n v="940"/>
  </r>
  <r>
    <x v="46"/>
    <s v="conventional_default_current_cai_103"/>
    <x v="143"/>
    <n v="1.6132372800000001"/>
    <n v="1"/>
    <n v="-40"/>
    <n v="940"/>
  </r>
  <r>
    <x v="46"/>
    <s v="conventional_default_current_cai_104"/>
    <x v="144"/>
    <n v="1.60018496"/>
    <n v="1"/>
    <n v="-40"/>
    <n v="940"/>
  </r>
  <r>
    <x v="46"/>
    <s v="conventional_default_current_cai_105"/>
    <x v="145"/>
    <n v="1.5867800000000001"/>
    <n v="1"/>
    <n v="-40"/>
    <n v="940"/>
  </r>
  <r>
    <x v="46"/>
    <s v="conventional_default_current_cai_106"/>
    <x v="146"/>
    <n v="1.5730502399999999"/>
    <n v="1"/>
    <n v="-40"/>
    <n v="940"/>
  </r>
  <r>
    <x v="46"/>
    <s v="conventional_default_current_cai_107"/>
    <x v="147"/>
    <n v="1.55902352"/>
    <n v="1"/>
    <n v="-40"/>
    <n v="940"/>
  </r>
  <r>
    <x v="46"/>
    <s v="conventional_default_current_cai_108"/>
    <x v="148"/>
    <n v="1.54472768"/>
    <n v="1"/>
    <n v="-40"/>
    <n v="940"/>
  </r>
  <r>
    <x v="46"/>
    <s v="conventional_default_current_cai_109"/>
    <x v="149"/>
    <n v="1.5301905600000001"/>
    <n v="1"/>
    <n v="-40"/>
    <n v="940"/>
  </r>
  <r>
    <x v="46"/>
    <s v="conventional_default_current_cai_110"/>
    <x v="150"/>
    <n v="1.5154399999999999"/>
    <n v="1"/>
    <n v="-40"/>
    <n v="940"/>
  </r>
  <r>
    <x v="46"/>
    <s v="conventional_default_current_cai_111"/>
    <x v="151"/>
    <n v="1.5005038399999999"/>
    <n v="1"/>
    <n v="-40"/>
    <n v="940"/>
  </r>
  <r>
    <x v="46"/>
    <s v="conventional_default_current_cai_112"/>
    <x v="152"/>
    <n v="1.4854099199999999"/>
    <n v="1"/>
    <n v="-40"/>
    <n v="940"/>
  </r>
  <r>
    <x v="46"/>
    <s v="conventional_default_current_cai_113"/>
    <x v="153"/>
    <n v="1.47018608"/>
    <n v="1"/>
    <n v="-40"/>
    <n v="940"/>
  </r>
  <r>
    <x v="46"/>
    <s v="conventional_default_current_cai_114"/>
    <x v="154"/>
    <n v="1.45486016"/>
    <n v="1"/>
    <n v="-40"/>
    <n v="940"/>
  </r>
  <r>
    <x v="46"/>
    <s v="conventional_default_current_cai_115"/>
    <x v="155"/>
    <n v="1.43946"/>
    <n v="1"/>
    <n v="-40"/>
    <n v="940"/>
  </r>
  <r>
    <x v="46"/>
    <s v="conventional_default_current_cai_116"/>
    <x v="156"/>
    <n v="1.42401344"/>
    <n v="1"/>
    <n v="-40"/>
    <n v="940"/>
  </r>
  <r>
    <x v="46"/>
    <s v="conventional_default_current_cai_117"/>
    <x v="157"/>
    <n v="1.40854832"/>
    <n v="1"/>
    <n v="-40"/>
    <n v="940"/>
  </r>
  <r>
    <x v="46"/>
    <s v="conventional_default_current_cai_118"/>
    <x v="158"/>
    <n v="1.39309248"/>
    <n v="1"/>
    <n v="-40"/>
    <n v="940"/>
  </r>
  <r>
    <x v="46"/>
    <s v="conventional_default_current_cai_119"/>
    <x v="159"/>
    <n v="1.37767376"/>
    <n v="1"/>
    <n v="-40"/>
    <n v="940"/>
  </r>
  <r>
    <x v="46"/>
    <s v="conventional_default_current_cai_120"/>
    <x v="160"/>
    <n v="1.36232"/>
    <n v="1"/>
    <n v="-40"/>
    <n v="940"/>
  </r>
  <r>
    <x v="46"/>
    <s v="conventional_default_current_cai_121"/>
    <x v="161"/>
    <n v="1.34705904"/>
    <n v="1"/>
    <n v="-40"/>
    <n v="940"/>
  </r>
  <r>
    <x v="46"/>
    <s v="conventional_default_current_cai_122"/>
    <x v="162"/>
    <n v="1.33191872"/>
    <n v="1"/>
    <n v="-40"/>
    <n v="940"/>
  </r>
  <r>
    <x v="46"/>
    <s v="conventional_default_current_cai_123"/>
    <x v="163"/>
    <n v="1.31692688"/>
    <n v="1"/>
    <n v="-40"/>
    <n v="940"/>
  </r>
  <r>
    <x v="46"/>
    <s v="conventional_default_current_cai_124"/>
    <x v="164"/>
    <n v="1.3021113600000001"/>
    <n v="1"/>
    <n v="-40"/>
    <n v="940"/>
  </r>
  <r>
    <x v="46"/>
    <s v="conventional_default_current_cai_125"/>
    <x v="165"/>
    <n v="1.2875000000000001"/>
    <n v="1"/>
    <n v="-40"/>
    <n v="940"/>
  </r>
  <r>
    <x v="46"/>
    <s v="conventional_default_current_cai_126"/>
    <x v="166"/>
    <n v="1.2731206399999999"/>
    <n v="1"/>
    <n v="-40"/>
    <n v="940"/>
  </r>
  <r>
    <x v="46"/>
    <s v="conventional_default_current_cai_127"/>
    <x v="167"/>
    <n v="1.25900112"/>
    <n v="1"/>
    <n v="-40"/>
    <n v="940"/>
  </r>
  <r>
    <x v="46"/>
    <s v="conventional_default_current_cai_128"/>
    <x v="168"/>
    <n v="1.24516928"/>
    <n v="1"/>
    <n v="-40"/>
    <n v="940"/>
  </r>
  <r>
    <x v="46"/>
    <s v="conventional_default_current_cai_129"/>
    <x v="169"/>
    <n v="1.2316529599999999"/>
    <n v="1"/>
    <n v="-40"/>
    <n v="940"/>
  </r>
  <r>
    <x v="46"/>
    <s v="conventional_default_current_cai_130"/>
    <x v="170"/>
    <n v="1.21848"/>
    <n v="1"/>
    <n v="-40"/>
    <n v="940"/>
  </r>
  <r>
    <x v="46"/>
    <s v="conventional_default_current_cai_131"/>
    <x v="171"/>
    <n v="1.2056782399999999"/>
    <n v="1"/>
    <n v="-40"/>
    <n v="940"/>
  </r>
  <r>
    <x v="46"/>
    <s v="conventional_default_current_cai_132"/>
    <x v="172"/>
    <n v="1.19327552"/>
    <n v="1"/>
    <n v="-40"/>
    <n v="940"/>
  </r>
  <r>
    <x v="46"/>
    <s v="conventional_default_current_cai_133"/>
    <x v="173"/>
    <n v="1.18129968"/>
    <n v="1"/>
    <n v="-40"/>
    <n v="940"/>
  </r>
  <r>
    <x v="46"/>
    <s v="conventional_default_current_cai_134"/>
    <x v="174"/>
    <n v="1.1697785599999999"/>
    <n v="1"/>
    <n v="-40"/>
    <n v="940"/>
  </r>
  <r>
    <x v="46"/>
    <s v="conventional_default_current_cai_135"/>
    <x v="175"/>
    <n v="1.1587400000000001"/>
    <n v="1"/>
    <n v="-40"/>
    <n v="940"/>
  </r>
  <r>
    <x v="46"/>
    <s v="conventional_default_current_cai_136"/>
    <x v="176"/>
    <n v="1.1482118400000001"/>
    <n v="1"/>
    <n v="-40"/>
    <n v="940"/>
  </r>
  <r>
    <x v="46"/>
    <s v="conventional_default_current_cai_137"/>
    <x v="177"/>
    <n v="1.1382219200000001"/>
    <n v="1"/>
    <n v="-40"/>
    <n v="940"/>
  </r>
  <r>
    <x v="46"/>
    <s v="conventional_default_current_cai_138"/>
    <x v="178"/>
    <n v="1.1287980799999999"/>
    <n v="1"/>
    <n v="-40"/>
    <n v="940"/>
  </r>
  <r>
    <x v="46"/>
    <s v="conventional_default_current_cai_139"/>
    <x v="179"/>
    <n v="1.11996816"/>
    <n v="1"/>
    <n v="-40"/>
    <n v="940"/>
  </r>
  <r>
    <x v="46"/>
    <s v="conventional_default_current_cai_140"/>
    <x v="180"/>
    <n v="1.1117600000000001"/>
    <n v="1"/>
    <n v="-40"/>
    <n v="940"/>
  </r>
  <r>
    <x v="46"/>
    <s v="conventional_default_current_cai_141"/>
    <x v="181"/>
    <n v="1.10420144"/>
    <n v="1"/>
    <n v="-40"/>
    <n v="940"/>
  </r>
  <r>
    <x v="46"/>
    <s v="conventional_default_current_cai_142"/>
    <x v="182"/>
    <n v="1.0973203199999999"/>
    <n v="1"/>
    <n v="-40"/>
    <n v="940"/>
  </r>
  <r>
    <x v="46"/>
    <s v="conventional_default_current_cai_143"/>
    <x v="183"/>
    <n v="1.0911444800000001"/>
    <n v="1"/>
    <n v="-40"/>
    <n v="940"/>
  </r>
  <r>
    <x v="46"/>
    <s v="conventional_default_current_cai_144"/>
    <x v="184"/>
    <n v="1.0857017600000001"/>
    <n v="1"/>
    <n v="-40"/>
    <n v="940"/>
  </r>
  <r>
    <x v="46"/>
    <s v="conventional_default_current_cai_145"/>
    <x v="185"/>
    <n v="1.0810200000000001"/>
    <n v="1"/>
    <n v="-40"/>
    <n v="940"/>
  </r>
  <r>
    <x v="46"/>
    <s v="conventional_default_current_cai_146"/>
    <x v="186"/>
    <n v="1.0771270399999999"/>
    <n v="1"/>
    <n v="-40"/>
    <n v="940"/>
  </r>
  <r>
    <x v="46"/>
    <s v="conventional_default_current_cai_147"/>
    <x v="187"/>
    <n v="1.07405072"/>
    <n v="1"/>
    <n v="-40"/>
    <n v="940"/>
  </r>
  <r>
    <x v="46"/>
    <s v="conventional_default_current_cai_148"/>
    <x v="188"/>
    <n v="1.0718188799999999"/>
    <n v="1"/>
    <n v="-40"/>
    <n v="940"/>
  </r>
  <r>
    <x v="46"/>
    <s v="conventional_default_current_cai_149"/>
    <x v="189"/>
    <n v="1.0704593600000001"/>
    <n v="1"/>
    <n v="-40"/>
    <n v="940"/>
  </r>
  <r>
    <x v="46"/>
    <s v="conventional_default_current_cai_150"/>
    <x v="190"/>
    <n v="1.07"/>
    <n v="1"/>
    <n v="-40"/>
    <n v="940"/>
  </r>
  <r>
    <x v="46"/>
    <s v="conventional_default_current_cai_151"/>
    <x v="191"/>
    <n v="1.07"/>
    <n v="1"/>
    <n v="-40"/>
    <n v="940"/>
  </r>
  <r>
    <x v="46"/>
    <s v="conventional_default_current_cai_152"/>
    <x v="192"/>
    <n v="1.07"/>
    <n v="1"/>
    <n v="-40"/>
    <n v="940"/>
  </r>
  <r>
    <x v="46"/>
    <s v="conventional_default_current_cai_153"/>
    <x v="193"/>
    <n v="1.07"/>
    <n v="1"/>
    <n v="-40"/>
    <n v="940"/>
  </r>
  <r>
    <x v="46"/>
    <s v="conventional_default_current_cai_154"/>
    <x v="194"/>
    <n v="1.07"/>
    <n v="1"/>
    <n v="-40"/>
    <n v="940"/>
  </r>
  <r>
    <x v="46"/>
    <s v="conventional_default_current_cai_155"/>
    <x v="195"/>
    <n v="1.07"/>
    <n v="1"/>
    <n v="-40"/>
    <n v="940"/>
  </r>
  <r>
    <x v="46"/>
    <s v="conventional_default_current_cai_156"/>
    <x v="196"/>
    <n v="1.07"/>
    <n v="1"/>
    <n v="-40"/>
    <n v="940"/>
  </r>
  <r>
    <x v="46"/>
    <s v="conventional_default_current_cai_157"/>
    <x v="197"/>
    <n v="1.07"/>
    <n v="1"/>
    <n v="-40"/>
    <n v="940"/>
  </r>
  <r>
    <x v="46"/>
    <s v="conventional_default_current_cai_158"/>
    <x v="198"/>
    <n v="1.07"/>
    <n v="1"/>
    <n v="-40"/>
    <n v="940"/>
  </r>
  <r>
    <x v="46"/>
    <s v="conventional_default_current_cai_159"/>
    <x v="199"/>
    <n v="1.07"/>
    <n v="1"/>
    <n v="-40"/>
    <n v="940"/>
  </r>
  <r>
    <x v="46"/>
    <s v="conventional_default_current_cai_160"/>
    <x v="200"/>
    <n v="1.07"/>
    <n v="1"/>
    <n v="-40"/>
    <n v="940"/>
  </r>
  <r>
    <x v="46"/>
    <s v="conventional_default_current_cai_161"/>
    <x v="201"/>
    <n v="1.07"/>
    <n v="1"/>
    <n v="-40"/>
    <n v="940"/>
  </r>
  <r>
    <x v="46"/>
    <s v="conventional_default_current_cai_162"/>
    <x v="202"/>
    <n v="1.07"/>
    <n v="1"/>
    <n v="-40"/>
    <n v="940"/>
  </r>
  <r>
    <x v="46"/>
    <s v="conventional_default_current_cai_163"/>
    <x v="203"/>
    <n v="1.07"/>
    <n v="1"/>
    <n v="-40"/>
    <n v="940"/>
  </r>
  <r>
    <x v="46"/>
    <s v="conventional_default_current_cai_164"/>
    <x v="204"/>
    <n v="1.07"/>
    <n v="1"/>
    <n v="-40"/>
    <n v="940"/>
  </r>
  <r>
    <x v="46"/>
    <s v="conventional_default_current_cai_165"/>
    <x v="205"/>
    <n v="1.07"/>
    <n v="1"/>
    <n v="-40"/>
    <n v="940"/>
  </r>
  <r>
    <x v="46"/>
    <s v="conventional_default_current_cai_166"/>
    <x v="206"/>
    <n v="1.07"/>
    <n v="1"/>
    <n v="-40"/>
    <n v="940"/>
  </r>
  <r>
    <x v="46"/>
    <s v="conventional_default_current_cai_167"/>
    <x v="207"/>
    <n v="1.07"/>
    <n v="1"/>
    <n v="-40"/>
    <n v="940"/>
  </r>
  <r>
    <x v="46"/>
    <s v="conventional_default_current_cai_168"/>
    <x v="208"/>
    <n v="1.07"/>
    <n v="1"/>
    <n v="-40"/>
    <n v="940"/>
  </r>
  <r>
    <x v="46"/>
    <s v="conventional_default_current_cai_169"/>
    <x v="209"/>
    <n v="1.07"/>
    <n v="1"/>
    <n v="-40"/>
    <n v="940"/>
  </r>
  <r>
    <x v="46"/>
    <s v="conventional_default_current_cai_170"/>
    <x v="210"/>
    <n v="1.07"/>
    <n v="1"/>
    <n v="-40"/>
    <n v="940"/>
  </r>
  <r>
    <x v="46"/>
    <s v="conventional_default_current_cai_171"/>
    <x v="211"/>
    <n v="1.07"/>
    <n v="1"/>
    <n v="-40"/>
    <n v="940"/>
  </r>
  <r>
    <x v="46"/>
    <s v="conventional_default_current_cai_172"/>
    <x v="212"/>
    <n v="1.07"/>
    <n v="1"/>
    <n v="-40"/>
    <n v="940"/>
  </r>
  <r>
    <x v="46"/>
    <s v="conventional_default_current_cai_173"/>
    <x v="213"/>
    <n v="1.07"/>
    <n v="1"/>
    <n v="-40"/>
    <n v="940"/>
  </r>
  <r>
    <x v="46"/>
    <s v="conventional_default_current_cai_174"/>
    <x v="214"/>
    <n v="1.07"/>
    <n v="1"/>
    <n v="-40"/>
    <n v="940"/>
  </r>
  <r>
    <x v="46"/>
    <s v="conventional_default_current_cai_175"/>
    <x v="215"/>
    <n v="1.07"/>
    <n v="1"/>
    <n v="-40"/>
    <n v="940"/>
  </r>
  <r>
    <x v="46"/>
    <s v="conventional_default_current_cai_176"/>
    <x v="216"/>
    <n v="1.07"/>
    <n v="1"/>
    <n v="-40"/>
    <n v="940"/>
  </r>
  <r>
    <x v="46"/>
    <s v="conventional_default_current_cai_177"/>
    <x v="217"/>
    <n v="1.07"/>
    <n v="1"/>
    <n v="-40"/>
    <n v="940"/>
  </r>
  <r>
    <x v="46"/>
    <s v="conventional_default_current_cai_178"/>
    <x v="218"/>
    <n v="1.07"/>
    <n v="1"/>
    <n v="-40"/>
    <n v="940"/>
  </r>
  <r>
    <x v="46"/>
    <s v="conventional_default_current_cai_179"/>
    <x v="219"/>
    <n v="1.07"/>
    <n v="1"/>
    <n v="-40"/>
    <n v="940"/>
  </r>
  <r>
    <x v="46"/>
    <s v="conventional_default_current_cai_180"/>
    <x v="220"/>
    <n v="1.07"/>
    <n v="1"/>
    <n v="-40"/>
    <n v="940"/>
  </r>
  <r>
    <x v="46"/>
    <s v="conventional_default_current_cai_181"/>
    <x v="221"/>
    <n v="1.07"/>
    <n v="1"/>
    <n v="-40"/>
    <n v="940"/>
  </r>
  <r>
    <x v="46"/>
    <s v="conventional_default_current_cai_182"/>
    <x v="222"/>
    <n v="1.07"/>
    <n v="1"/>
    <n v="-40"/>
    <n v="940"/>
  </r>
  <r>
    <x v="46"/>
    <s v="conventional_default_current_cai_183"/>
    <x v="223"/>
    <n v="1.07"/>
    <n v="1"/>
    <n v="-40"/>
    <n v="940"/>
  </r>
  <r>
    <x v="46"/>
    <s v="conventional_default_current_cai_184"/>
    <x v="224"/>
    <n v="1.07"/>
    <n v="1"/>
    <n v="-40"/>
    <n v="940"/>
  </r>
  <r>
    <x v="46"/>
    <s v="conventional_default_current_cai_185"/>
    <x v="225"/>
    <n v="1.07"/>
    <n v="1"/>
    <n v="-40"/>
    <n v="940"/>
  </r>
  <r>
    <x v="46"/>
    <s v="conventional_default_current_cai_186"/>
    <x v="226"/>
    <n v="1.07"/>
    <n v="1"/>
    <n v="-40"/>
    <n v="940"/>
  </r>
  <r>
    <x v="46"/>
    <s v="conventional_default_current_cai_187"/>
    <x v="227"/>
    <n v="1.07"/>
    <n v="1"/>
    <n v="-40"/>
    <n v="940"/>
  </r>
  <r>
    <x v="46"/>
    <s v="conventional_default_current_cai_188"/>
    <x v="228"/>
    <n v="1.07"/>
    <n v="1"/>
    <n v="-40"/>
    <n v="940"/>
  </r>
  <r>
    <x v="46"/>
    <s v="conventional_default_current_cai_189"/>
    <x v="229"/>
    <n v="1.07"/>
    <n v="1"/>
    <n v="-40"/>
    <n v="940"/>
  </r>
  <r>
    <x v="46"/>
    <s v="conventional_default_current_cai_190"/>
    <x v="230"/>
    <n v="1.07"/>
    <n v="1"/>
    <n v="-40"/>
    <n v="940"/>
  </r>
  <r>
    <x v="46"/>
    <s v="conventional_default_current_cai_191"/>
    <x v="231"/>
    <n v="1.07"/>
    <n v="1"/>
    <n v="-40"/>
    <n v="940"/>
  </r>
  <r>
    <x v="46"/>
    <s v="conventional_default_current_cai_192"/>
    <x v="232"/>
    <n v="1.07"/>
    <n v="1"/>
    <n v="-40"/>
    <n v="940"/>
  </r>
  <r>
    <x v="46"/>
    <s v="conventional_default_current_cai_193"/>
    <x v="233"/>
    <n v="1.07"/>
    <n v="1"/>
    <n v="-40"/>
    <n v="940"/>
  </r>
  <r>
    <x v="46"/>
    <s v="conventional_default_current_cai_194"/>
    <x v="234"/>
    <n v="1.07"/>
    <n v="1"/>
    <n v="-40"/>
    <n v="940"/>
  </r>
  <r>
    <x v="46"/>
    <s v="conventional_default_current_cai_195"/>
    <x v="235"/>
    <n v="1.07"/>
    <n v="1"/>
    <n v="-40"/>
    <n v="940"/>
  </r>
  <r>
    <x v="46"/>
    <s v="conventional_default_current_cai_196"/>
    <x v="236"/>
    <n v="1.07"/>
    <n v="1"/>
    <n v="-40"/>
    <n v="940"/>
  </r>
  <r>
    <x v="46"/>
    <s v="conventional_default_current_cai_197"/>
    <x v="237"/>
    <n v="1.07"/>
    <n v="1"/>
    <n v="-40"/>
    <n v="940"/>
  </r>
  <r>
    <x v="46"/>
    <s v="conventional_default_current_cai_198"/>
    <x v="238"/>
    <n v="1.07"/>
    <n v="1"/>
    <n v="-40"/>
    <n v="940"/>
  </r>
  <r>
    <x v="46"/>
    <s v="conventional_default_current_cai_199"/>
    <x v="239"/>
    <n v="1.07"/>
    <n v="1"/>
    <n v="-40"/>
    <n v="940"/>
  </r>
  <r>
    <x v="46"/>
    <s v="conventional_default_current_cai_200"/>
    <x v="240"/>
    <n v="1.07"/>
    <n v="1"/>
    <n v="-40"/>
    <n v="940"/>
  </r>
  <r>
    <x v="46"/>
    <s v="conventional_default_current_cai_201"/>
    <x v="241"/>
    <n v="1.07"/>
    <n v="1"/>
    <n v="-40"/>
    <n v="940"/>
  </r>
  <r>
    <x v="46"/>
    <s v="conventional_default_current_cai_202"/>
    <x v="242"/>
    <n v="1.07"/>
    <n v="1"/>
    <n v="-40"/>
    <n v="940"/>
  </r>
  <r>
    <x v="46"/>
    <s v="conventional_default_current_cai_203"/>
    <x v="243"/>
    <n v="1.07"/>
    <n v="1"/>
    <n v="-40"/>
    <n v="940"/>
  </r>
  <r>
    <x v="46"/>
    <s v="conventional_default_current_cai_204"/>
    <x v="244"/>
    <n v="1.07"/>
    <n v="1"/>
    <n v="-40"/>
    <n v="940"/>
  </r>
  <r>
    <x v="46"/>
    <s v="conventional_default_current_cai_205"/>
    <x v="245"/>
    <n v="1.07"/>
    <n v="1"/>
    <n v="-40"/>
    <n v="940"/>
  </r>
  <r>
    <x v="46"/>
    <s v="conventional_default_current_cai_206"/>
    <x v="246"/>
    <n v="1.07"/>
    <n v="1"/>
    <n v="-40"/>
    <n v="940"/>
  </r>
  <r>
    <x v="46"/>
    <s v="conventional_default_current_cai_207"/>
    <x v="247"/>
    <n v="1.07"/>
    <n v="1"/>
    <n v="-40"/>
    <n v="940"/>
  </r>
  <r>
    <x v="46"/>
    <s v="conventional_default_current_cai_208"/>
    <x v="248"/>
    <n v="1.07"/>
    <n v="1"/>
    <n v="-40"/>
    <n v="940"/>
  </r>
  <r>
    <x v="46"/>
    <s v="conventional_default_current_cai_209"/>
    <x v="249"/>
    <n v="1.07"/>
    <n v="1"/>
    <n v="-40"/>
    <n v="940"/>
  </r>
  <r>
    <x v="46"/>
    <s v="conventional_default_current_cai_210"/>
    <x v="250"/>
    <n v="1.07"/>
    <n v="1"/>
    <n v="-40"/>
    <n v="940"/>
  </r>
  <r>
    <x v="46"/>
    <s v="conventional_default_current_cai_211"/>
    <x v="251"/>
    <n v="1.07"/>
    <n v="1"/>
    <n v="-40"/>
    <n v="940"/>
  </r>
  <r>
    <x v="46"/>
    <s v="conventional_default_current_cai_212"/>
    <x v="252"/>
    <n v="1.07"/>
    <n v="1"/>
    <n v="-40"/>
    <n v="940"/>
  </r>
  <r>
    <x v="46"/>
    <s v="conventional_default_current_cai_213"/>
    <x v="253"/>
    <n v="1.07"/>
    <n v="1"/>
    <n v="-40"/>
    <n v="940"/>
  </r>
  <r>
    <x v="46"/>
    <s v="conventional_default_current_cai_214"/>
    <x v="254"/>
    <n v="1.07"/>
    <n v="1"/>
    <n v="-40"/>
    <n v="940"/>
  </r>
  <r>
    <x v="46"/>
    <s v="conventional_default_current_cai_215"/>
    <x v="255"/>
    <n v="1.07"/>
    <n v="1"/>
    <n v="-40"/>
    <n v="940"/>
  </r>
  <r>
    <x v="46"/>
    <s v="conventional_default_current_cai_216"/>
    <x v="256"/>
    <n v="1.07"/>
    <n v="1"/>
    <n v="-40"/>
    <n v="940"/>
  </r>
  <r>
    <x v="46"/>
    <s v="conventional_default_current_cai_217"/>
    <x v="257"/>
    <n v="1.07"/>
    <n v="1"/>
    <n v="-40"/>
    <n v="940"/>
  </r>
  <r>
    <x v="46"/>
    <s v="conventional_default_current_cai_218"/>
    <x v="258"/>
    <n v="1.07"/>
    <n v="1"/>
    <n v="-40"/>
    <n v="940"/>
  </r>
  <r>
    <x v="46"/>
    <s v="conventional_default_current_cai_219"/>
    <x v="259"/>
    <n v="1.07"/>
    <n v="1"/>
    <n v="-40"/>
    <n v="940"/>
  </r>
  <r>
    <x v="46"/>
    <s v="conventional_default_current_cai_220"/>
    <x v="260"/>
    <n v="1.07"/>
    <n v="1"/>
    <n v="-40"/>
    <n v="940"/>
  </r>
  <r>
    <x v="46"/>
    <s v="conventional_default_current_cai_221"/>
    <x v="261"/>
    <n v="1.07"/>
    <n v="1"/>
    <n v="-40"/>
    <n v="940"/>
  </r>
  <r>
    <x v="46"/>
    <s v="conventional_default_current_cai_222"/>
    <x v="262"/>
    <n v="1.07"/>
    <n v="1"/>
    <n v="-40"/>
    <n v="940"/>
  </r>
  <r>
    <x v="46"/>
    <s v="conventional_default_current_cai_223"/>
    <x v="263"/>
    <n v="1.07"/>
    <n v="1"/>
    <n v="-40"/>
    <n v="940"/>
  </r>
  <r>
    <x v="46"/>
    <s v="conventional_default_current_cai_224"/>
    <x v="264"/>
    <n v="1.07"/>
    <n v="1"/>
    <n v="-40"/>
    <n v="940"/>
  </r>
  <r>
    <x v="46"/>
    <s v="conventional_default_current_cai_225"/>
    <x v="265"/>
    <n v="1.07"/>
    <n v="1"/>
    <n v="-40"/>
    <n v="940"/>
  </r>
  <r>
    <x v="46"/>
    <s v="conventional_default_current_cai_226"/>
    <x v="266"/>
    <n v="1.07"/>
    <n v="1"/>
    <n v="-40"/>
    <n v="940"/>
  </r>
  <r>
    <x v="46"/>
    <s v="conventional_default_current_cai_227"/>
    <x v="267"/>
    <n v="1.07"/>
    <n v="1"/>
    <n v="-40"/>
    <n v="940"/>
  </r>
  <r>
    <x v="46"/>
    <s v="conventional_default_current_cai_228"/>
    <x v="268"/>
    <n v="1.07"/>
    <n v="1"/>
    <n v="-40"/>
    <n v="940"/>
  </r>
  <r>
    <x v="46"/>
    <s v="conventional_default_current_cai_229"/>
    <x v="269"/>
    <n v="1.07"/>
    <n v="1"/>
    <n v="-40"/>
    <n v="940"/>
  </r>
  <r>
    <x v="46"/>
    <s v="conventional_default_current_cai_230"/>
    <x v="270"/>
    <n v="1.07"/>
    <n v="1"/>
    <n v="-40"/>
    <n v="940"/>
  </r>
  <r>
    <x v="46"/>
    <s v="conventional_default_current_cai_231"/>
    <x v="271"/>
    <n v="1.07"/>
    <n v="1"/>
    <n v="-40"/>
    <n v="940"/>
  </r>
  <r>
    <x v="46"/>
    <s v="conventional_default_current_cai_232"/>
    <x v="272"/>
    <n v="1.07"/>
    <n v="1"/>
    <n v="-40"/>
    <n v="940"/>
  </r>
  <r>
    <x v="46"/>
    <s v="conventional_default_current_cai_233"/>
    <x v="273"/>
    <n v="1.07"/>
    <n v="1"/>
    <n v="-40"/>
    <n v="940"/>
  </r>
  <r>
    <x v="46"/>
    <s v="conventional_default_current_cai_234"/>
    <x v="274"/>
    <n v="1.07"/>
    <n v="1"/>
    <n v="-40"/>
    <n v="940"/>
  </r>
  <r>
    <x v="46"/>
    <s v="conventional_default_current_cai_235"/>
    <x v="275"/>
    <n v="1.07"/>
    <n v="1"/>
    <n v="-40"/>
    <n v="940"/>
  </r>
  <r>
    <x v="46"/>
    <s v="conventional_default_current_cai_236"/>
    <x v="276"/>
    <n v="1.07"/>
    <n v="1"/>
    <n v="-40"/>
    <n v="940"/>
  </r>
  <r>
    <x v="46"/>
    <s v="conventional_default_current_cai_237"/>
    <x v="277"/>
    <n v="1.07"/>
    <n v="1"/>
    <n v="-40"/>
    <n v="940"/>
  </r>
  <r>
    <x v="46"/>
    <s v="conventional_default_current_cai_238"/>
    <x v="278"/>
    <n v="1.07"/>
    <n v="1"/>
    <n v="-40"/>
    <n v="940"/>
  </r>
  <r>
    <x v="46"/>
    <s v="conventional_default_current_cai_239"/>
    <x v="279"/>
    <n v="1.07"/>
    <n v="1"/>
    <n v="-40"/>
    <n v="940"/>
  </r>
  <r>
    <x v="46"/>
    <s v="conventional_default_current_cai_240"/>
    <x v="280"/>
    <n v="1.07"/>
    <n v="1"/>
    <n v="-40"/>
    <n v="940"/>
  </r>
  <r>
    <x v="46"/>
    <s v="conventional_default_current_cai_241"/>
    <x v="281"/>
    <n v="1.07"/>
    <n v="1"/>
    <n v="-40"/>
    <n v="940"/>
  </r>
  <r>
    <x v="46"/>
    <s v="conventional_default_current_cai_242"/>
    <x v="282"/>
    <n v="1.07"/>
    <n v="1"/>
    <n v="-40"/>
    <n v="940"/>
  </r>
  <r>
    <x v="46"/>
    <s v="conventional_default_current_cai_243"/>
    <x v="283"/>
    <n v="1.07"/>
    <n v="1"/>
    <n v="-40"/>
    <n v="940"/>
  </r>
  <r>
    <x v="46"/>
    <s v="conventional_default_current_cai_244"/>
    <x v="284"/>
    <n v="1.07"/>
    <n v="1"/>
    <n v="-40"/>
    <n v="940"/>
  </r>
  <r>
    <x v="46"/>
    <s v="conventional_default_current_cai_245"/>
    <x v="285"/>
    <n v="1.07"/>
    <n v="1"/>
    <n v="-40"/>
    <n v="940"/>
  </r>
  <r>
    <x v="46"/>
    <s v="conventional_default_current_cai_246"/>
    <x v="286"/>
    <n v="1.07"/>
    <n v="1"/>
    <n v="-40"/>
    <n v="940"/>
  </r>
  <r>
    <x v="46"/>
    <s v="conventional_default_current_cai_247"/>
    <x v="287"/>
    <n v="1.07"/>
    <n v="1"/>
    <n v="-40"/>
    <n v="940"/>
  </r>
  <r>
    <x v="46"/>
    <s v="conventional_default_current_cai_248"/>
    <x v="288"/>
    <n v="1.07"/>
    <n v="1"/>
    <n v="-40"/>
    <n v="940"/>
  </r>
  <r>
    <x v="46"/>
    <s v="conventional_default_current_cai_249"/>
    <x v="289"/>
    <n v="1.07"/>
    <n v="1"/>
    <n v="-40"/>
    <n v="940"/>
  </r>
  <r>
    <x v="46"/>
    <s v="conventional_default_current_cai_250"/>
    <x v="290"/>
    <n v="1.07"/>
    <n v="1"/>
    <n v="-40"/>
    <n v="940"/>
  </r>
  <r>
    <x v="46"/>
    <s v="conventional_default_current_cai_251"/>
    <x v="291"/>
    <n v="1.07"/>
    <n v="1"/>
    <n v="-40"/>
    <n v="940"/>
  </r>
  <r>
    <x v="46"/>
    <s v="conventional_default_current_cai_252"/>
    <x v="292"/>
    <n v="1.07"/>
    <n v="1"/>
    <n v="-40"/>
    <n v="940"/>
  </r>
  <r>
    <x v="46"/>
    <s v="conventional_default_current_cai_253"/>
    <x v="293"/>
    <n v="1.07"/>
    <n v="1"/>
    <n v="-40"/>
    <n v="940"/>
  </r>
  <r>
    <x v="46"/>
    <s v="conventional_default_current_cai_254"/>
    <x v="294"/>
    <n v="1.07"/>
    <n v="1"/>
    <n v="-40"/>
    <n v="940"/>
  </r>
  <r>
    <x v="46"/>
    <s v="conventional_default_current_cai_255"/>
    <x v="295"/>
    <n v="1.07"/>
    <n v="1"/>
    <n v="-40"/>
    <n v="940"/>
  </r>
  <r>
    <x v="46"/>
    <s v="conventional_default_current_cai_256"/>
    <x v="296"/>
    <n v="1.07"/>
    <n v="1"/>
    <n v="-40"/>
    <n v="940"/>
  </r>
  <r>
    <x v="46"/>
    <s v="conventional_default_current_cai_257"/>
    <x v="297"/>
    <n v="1.07"/>
    <n v="1"/>
    <n v="-40"/>
    <n v="940"/>
  </r>
  <r>
    <x v="46"/>
    <s v="conventional_default_current_cai_258"/>
    <x v="298"/>
    <n v="1.07"/>
    <n v="1"/>
    <n v="-40"/>
    <n v="940"/>
  </r>
  <r>
    <x v="46"/>
    <s v="conventional_default_current_cai_259"/>
    <x v="299"/>
    <n v="1.07"/>
    <n v="1"/>
    <n v="-40"/>
    <n v="940"/>
  </r>
  <r>
    <x v="46"/>
    <s v="conventional_default_current_cai_260"/>
    <x v="300"/>
    <n v="1.07"/>
    <n v="1"/>
    <n v="-40"/>
    <n v="940"/>
  </r>
  <r>
    <x v="46"/>
    <s v="conventional_default_current_cai_261"/>
    <x v="301"/>
    <n v="1.07"/>
    <n v="1"/>
    <n v="-40"/>
    <n v="940"/>
  </r>
  <r>
    <x v="46"/>
    <s v="conventional_default_current_cai_262"/>
    <x v="302"/>
    <n v="1.07"/>
    <n v="1"/>
    <n v="-40"/>
    <n v="940"/>
  </r>
  <r>
    <x v="46"/>
    <s v="conventional_default_current_cai_263"/>
    <x v="303"/>
    <n v="1.07"/>
    <n v="1"/>
    <n v="-40"/>
    <n v="940"/>
  </r>
  <r>
    <x v="46"/>
    <s v="conventional_default_current_cai_264"/>
    <x v="304"/>
    <n v="1.07"/>
    <n v="1"/>
    <n v="-40"/>
    <n v="940"/>
  </r>
  <r>
    <x v="46"/>
    <s v="conventional_default_current_cai_265"/>
    <x v="305"/>
    <n v="1.07"/>
    <n v="1"/>
    <n v="-40"/>
    <n v="940"/>
  </r>
  <r>
    <x v="46"/>
    <s v="conventional_default_current_cai_266"/>
    <x v="306"/>
    <n v="1.07"/>
    <n v="1"/>
    <n v="-40"/>
    <n v="940"/>
  </r>
  <r>
    <x v="46"/>
    <s v="conventional_default_current_cai_267"/>
    <x v="307"/>
    <n v="1.07"/>
    <n v="1"/>
    <n v="-40"/>
    <n v="940"/>
  </r>
  <r>
    <x v="46"/>
    <s v="conventional_default_current_cai_268"/>
    <x v="308"/>
    <n v="1.07"/>
    <n v="1"/>
    <n v="-40"/>
    <n v="940"/>
  </r>
  <r>
    <x v="46"/>
    <s v="conventional_default_current_cai_269"/>
    <x v="309"/>
    <n v="1.07"/>
    <n v="1"/>
    <n v="-40"/>
    <n v="940"/>
  </r>
  <r>
    <x v="46"/>
    <s v="conventional_default_current_cai_270"/>
    <x v="310"/>
    <n v="1.07"/>
    <n v="1"/>
    <n v="-40"/>
    <n v="940"/>
  </r>
  <r>
    <x v="46"/>
    <s v="conventional_default_current_cai_271"/>
    <x v="311"/>
    <n v="1.07"/>
    <n v="1"/>
    <n v="-40"/>
    <n v="940"/>
  </r>
  <r>
    <x v="46"/>
    <s v="conventional_default_current_cai_272"/>
    <x v="312"/>
    <n v="1.07"/>
    <n v="1"/>
    <n v="-40"/>
    <n v="940"/>
  </r>
  <r>
    <x v="46"/>
    <s v="conventional_default_current_cai_273"/>
    <x v="313"/>
    <n v="1.07"/>
    <n v="1"/>
    <n v="-40"/>
    <n v="940"/>
  </r>
  <r>
    <x v="46"/>
    <s v="conventional_default_current_cai_274"/>
    <x v="314"/>
    <n v="1.07"/>
    <n v="1"/>
    <n v="-40"/>
    <n v="940"/>
  </r>
  <r>
    <x v="46"/>
    <s v="conventional_default_current_cai_275"/>
    <x v="315"/>
    <n v="1.07"/>
    <n v="1"/>
    <n v="-40"/>
    <n v="940"/>
  </r>
  <r>
    <x v="46"/>
    <s v="conventional_default_current_cai_276"/>
    <x v="316"/>
    <n v="1.07"/>
    <n v="1"/>
    <n v="-40"/>
    <n v="940"/>
  </r>
  <r>
    <x v="46"/>
    <s v="conventional_default_current_cai_277"/>
    <x v="317"/>
    <n v="1.07"/>
    <n v="1"/>
    <n v="-40"/>
    <n v="940"/>
  </r>
  <r>
    <x v="46"/>
    <s v="conventional_default_current_cai_278"/>
    <x v="318"/>
    <n v="1.07"/>
    <n v="1"/>
    <n v="-40"/>
    <n v="940"/>
  </r>
  <r>
    <x v="46"/>
    <s v="conventional_default_current_cai_279"/>
    <x v="319"/>
    <n v="1.07"/>
    <n v="1"/>
    <n v="-40"/>
    <n v="940"/>
  </r>
  <r>
    <x v="46"/>
    <s v="conventional_default_current_cai_280"/>
    <x v="320"/>
    <n v="1.07"/>
    <n v="1"/>
    <n v="-40"/>
    <n v="940"/>
  </r>
  <r>
    <x v="46"/>
    <s v="conventional_default_current_cai_281"/>
    <x v="321"/>
    <n v="1.07"/>
    <n v="1"/>
    <n v="-40"/>
    <n v="940"/>
  </r>
  <r>
    <x v="46"/>
    <s v="conventional_default_current_cai_282"/>
    <x v="322"/>
    <n v="1.07"/>
    <n v="1"/>
    <n v="-40"/>
    <n v="940"/>
  </r>
  <r>
    <x v="46"/>
    <s v="conventional_default_current_cai_283"/>
    <x v="323"/>
    <n v="1.07"/>
    <n v="1"/>
    <n v="-40"/>
    <n v="940"/>
  </r>
  <r>
    <x v="46"/>
    <s v="conventional_default_current_cai_284"/>
    <x v="324"/>
    <n v="1.07"/>
    <n v="1"/>
    <n v="-40"/>
    <n v="940"/>
  </r>
  <r>
    <x v="46"/>
    <s v="conventional_default_current_cai_285"/>
    <x v="325"/>
    <n v="1.07"/>
    <n v="1"/>
    <n v="-40"/>
    <n v="940"/>
  </r>
  <r>
    <x v="46"/>
    <s v="conventional_default_current_cai_286"/>
    <x v="326"/>
    <n v="1.07"/>
    <n v="1"/>
    <n v="-40"/>
    <n v="940"/>
  </r>
  <r>
    <x v="46"/>
    <s v="conventional_default_current_cai_287"/>
    <x v="327"/>
    <n v="1.07"/>
    <n v="1"/>
    <n v="-40"/>
    <n v="940"/>
  </r>
  <r>
    <x v="46"/>
    <s v="conventional_default_current_cai_288"/>
    <x v="328"/>
    <n v="1.07"/>
    <n v="1"/>
    <n v="-40"/>
    <n v="940"/>
  </r>
  <r>
    <x v="46"/>
    <s v="conventional_default_current_cai_289"/>
    <x v="329"/>
    <n v="1.07"/>
    <n v="1"/>
    <n v="-40"/>
    <n v="940"/>
  </r>
  <r>
    <x v="46"/>
    <s v="conventional_default_current_cai_290"/>
    <x v="330"/>
    <n v="1.07"/>
    <n v="1"/>
    <n v="-40"/>
    <n v="940"/>
  </r>
  <r>
    <x v="46"/>
    <s v="conventional_default_current_cai_291"/>
    <x v="331"/>
    <n v="1.07"/>
    <n v="1"/>
    <n v="-40"/>
    <n v="940"/>
  </r>
  <r>
    <x v="46"/>
    <s v="conventional_default_current_cai_292"/>
    <x v="332"/>
    <n v="1.07"/>
    <n v="1"/>
    <n v="-40"/>
    <n v="940"/>
  </r>
  <r>
    <x v="46"/>
    <s v="conventional_default_current_cai_293"/>
    <x v="333"/>
    <n v="1.07"/>
    <n v="1"/>
    <n v="-40"/>
    <n v="940"/>
  </r>
  <r>
    <x v="46"/>
    <s v="conventional_default_current_cai_294"/>
    <x v="334"/>
    <n v="1.07"/>
    <n v="1"/>
    <n v="-40"/>
    <n v="940"/>
  </r>
  <r>
    <x v="46"/>
    <s v="conventional_default_current_cai_295"/>
    <x v="335"/>
    <n v="1.07"/>
    <n v="1"/>
    <n v="-40"/>
    <n v="940"/>
  </r>
  <r>
    <x v="46"/>
    <s v="conventional_default_current_cai_296"/>
    <x v="336"/>
    <n v="1.07"/>
    <n v="1"/>
    <n v="-40"/>
    <n v="940"/>
  </r>
  <r>
    <x v="46"/>
    <s v="conventional_default_current_cai_297"/>
    <x v="337"/>
    <n v="1.07"/>
    <n v="1"/>
    <n v="-40"/>
    <n v="940"/>
  </r>
  <r>
    <x v="46"/>
    <s v="conventional_default_current_cai_298"/>
    <x v="338"/>
    <n v="1.07"/>
    <n v="1"/>
    <n v="-40"/>
    <n v="940"/>
  </r>
  <r>
    <x v="46"/>
    <s v="conventional_default_current_cai_299"/>
    <x v="339"/>
    <n v="1.07"/>
    <n v="1"/>
    <n v="-40"/>
    <n v="940"/>
  </r>
  <r>
    <x v="46"/>
    <s v="conventional_default_current_cai_300"/>
    <x v="340"/>
    <n v="1.07"/>
    <n v="1"/>
    <n v="-40"/>
    <n v="940"/>
  </r>
  <r>
    <x v="46"/>
    <s v="conventional_default_current_cai_301"/>
    <x v="341"/>
    <n v="1.07"/>
    <n v="1"/>
    <n v="-40"/>
    <n v="940"/>
  </r>
  <r>
    <x v="46"/>
    <s v="conventional_default_current_cai_302"/>
    <x v="342"/>
    <n v="1.07"/>
    <n v="1"/>
    <n v="-40"/>
    <n v="940"/>
  </r>
  <r>
    <x v="46"/>
    <s v="conventional_default_current_cai_303"/>
    <x v="343"/>
    <n v="1.07"/>
    <n v="1"/>
    <n v="-40"/>
    <n v="940"/>
  </r>
  <r>
    <x v="46"/>
    <s v="conventional_default_current_cai_304"/>
    <x v="344"/>
    <n v="1.07"/>
    <n v="1"/>
    <n v="-40"/>
    <n v="940"/>
  </r>
  <r>
    <x v="46"/>
    <s v="conventional_default_current_cai_305"/>
    <x v="345"/>
    <n v="1.07"/>
    <n v="1"/>
    <n v="-40"/>
    <n v="940"/>
  </r>
  <r>
    <x v="46"/>
    <s v="conventional_default_current_cai_306"/>
    <x v="346"/>
    <n v="1.07"/>
    <n v="1"/>
    <n v="-40"/>
    <n v="940"/>
  </r>
  <r>
    <x v="46"/>
    <s v="conventional_default_current_cai_307"/>
    <x v="347"/>
    <n v="1.07"/>
    <n v="1"/>
    <n v="-40"/>
    <n v="940"/>
  </r>
  <r>
    <x v="46"/>
    <s v="conventional_default_current_cai_308"/>
    <x v="348"/>
    <n v="1.07"/>
    <n v="1"/>
    <n v="-40"/>
    <n v="940"/>
  </r>
  <r>
    <x v="46"/>
    <s v="conventional_default_current_cai_309"/>
    <x v="349"/>
    <n v="1.07"/>
    <n v="1"/>
    <n v="-40"/>
    <n v="940"/>
  </r>
  <r>
    <x v="46"/>
    <s v="conventional_default_current_cai_310"/>
    <x v="350"/>
    <n v="1.07"/>
    <n v="1"/>
    <n v="-40"/>
    <n v="940"/>
  </r>
  <r>
    <x v="46"/>
    <s v="conventional_default_current_cai_311"/>
    <x v="351"/>
    <n v="1.07"/>
    <n v="1"/>
    <n v="-40"/>
    <n v="940"/>
  </r>
  <r>
    <x v="46"/>
    <s v="conventional_default_current_cai_312"/>
    <x v="352"/>
    <n v="1.07"/>
    <n v="1"/>
    <n v="-40"/>
    <n v="940"/>
  </r>
  <r>
    <x v="46"/>
    <s v="conventional_default_current_cai_313"/>
    <x v="353"/>
    <n v="1.07"/>
    <n v="1"/>
    <n v="-40"/>
    <n v="940"/>
  </r>
  <r>
    <x v="46"/>
    <s v="conventional_default_current_cai_314"/>
    <x v="354"/>
    <n v="1.07"/>
    <n v="1"/>
    <n v="-40"/>
    <n v="940"/>
  </r>
  <r>
    <x v="46"/>
    <s v="conventional_default_current_cai_315"/>
    <x v="355"/>
    <n v="1.07"/>
    <n v="1"/>
    <n v="-40"/>
    <n v="940"/>
  </r>
  <r>
    <x v="46"/>
    <s v="conventional_default_current_cai_316"/>
    <x v="356"/>
    <n v="1.07"/>
    <n v="1"/>
    <n v="-40"/>
    <n v="940"/>
  </r>
  <r>
    <x v="46"/>
    <s v="conventional_default_current_cai_317"/>
    <x v="357"/>
    <n v="1.07"/>
    <n v="1"/>
    <n v="-40"/>
    <n v="940"/>
  </r>
  <r>
    <x v="46"/>
    <s v="conventional_default_current_cai_318"/>
    <x v="358"/>
    <n v="1.07"/>
    <n v="1"/>
    <n v="-40"/>
    <n v="940"/>
  </r>
  <r>
    <x v="46"/>
    <s v="conventional_default_current_cai_319"/>
    <x v="359"/>
    <n v="1.07"/>
    <n v="1"/>
    <n v="-40"/>
    <n v="940"/>
  </r>
  <r>
    <x v="46"/>
    <s v="conventional_default_current_cai_320"/>
    <x v="360"/>
    <n v="1.07"/>
    <n v="1"/>
    <n v="-40"/>
    <n v="940"/>
  </r>
  <r>
    <x v="46"/>
    <s v="conventional_default_current_cai_321"/>
    <x v="361"/>
    <n v="1.07"/>
    <n v="1"/>
    <n v="-40"/>
    <n v="940"/>
  </r>
  <r>
    <x v="46"/>
    <s v="conventional_default_current_cai_322"/>
    <x v="362"/>
    <n v="1.07"/>
    <n v="1"/>
    <n v="-40"/>
    <n v="940"/>
  </r>
  <r>
    <x v="46"/>
    <s v="conventional_default_current_cai_323"/>
    <x v="363"/>
    <n v="1.07"/>
    <n v="1"/>
    <n v="-40"/>
    <n v="940"/>
  </r>
  <r>
    <x v="46"/>
    <s v="conventional_default_current_cai_324"/>
    <x v="364"/>
    <n v="1.07"/>
    <n v="1"/>
    <n v="-40"/>
    <n v="940"/>
  </r>
  <r>
    <x v="46"/>
    <s v="conventional_default_current_cai_325"/>
    <x v="365"/>
    <n v="1.07"/>
    <n v="1"/>
    <n v="-40"/>
    <n v="940"/>
  </r>
  <r>
    <x v="46"/>
    <s v="conventional_default_current_cai_326"/>
    <x v="366"/>
    <n v="1.07"/>
    <n v="1"/>
    <n v="-40"/>
    <n v="940"/>
  </r>
  <r>
    <x v="46"/>
    <s v="conventional_default_current_cai_327"/>
    <x v="367"/>
    <n v="1.07"/>
    <n v="1"/>
    <n v="-40"/>
    <n v="940"/>
  </r>
  <r>
    <x v="46"/>
    <s v="conventional_default_current_cai_328"/>
    <x v="368"/>
    <n v="1.07"/>
    <n v="1"/>
    <n v="-40"/>
    <n v="940"/>
  </r>
  <r>
    <x v="46"/>
    <s v="conventional_default_current_cai_329"/>
    <x v="369"/>
    <n v="1.07"/>
    <n v="1"/>
    <n v="-40"/>
    <n v="940"/>
  </r>
  <r>
    <x v="46"/>
    <s v="conventional_default_current_cai_330"/>
    <x v="370"/>
    <n v="1.07"/>
    <n v="1"/>
    <n v="-40"/>
    <n v="940"/>
  </r>
  <r>
    <x v="46"/>
    <s v="conventional_default_current_cai_331"/>
    <x v="371"/>
    <n v="1.07"/>
    <n v="1"/>
    <n v="-40"/>
    <n v="940"/>
  </r>
  <r>
    <x v="46"/>
    <s v="conventional_default_current_cai_332"/>
    <x v="372"/>
    <n v="1.07"/>
    <n v="1"/>
    <n v="-40"/>
    <n v="940"/>
  </r>
  <r>
    <x v="46"/>
    <s v="conventional_default_current_cai_333"/>
    <x v="373"/>
    <n v="1.07"/>
    <n v="1"/>
    <n v="-40"/>
    <n v="940"/>
  </r>
  <r>
    <x v="46"/>
    <s v="conventional_default_current_cai_334"/>
    <x v="374"/>
    <n v="1.07"/>
    <n v="1"/>
    <n v="-40"/>
    <n v="940"/>
  </r>
  <r>
    <x v="46"/>
    <s v="conventional_default_current_cai_335"/>
    <x v="375"/>
    <n v="1.07"/>
    <n v="1"/>
    <n v="-40"/>
    <n v="940"/>
  </r>
  <r>
    <x v="46"/>
    <s v="conventional_default_current_cai_336"/>
    <x v="376"/>
    <n v="1.07"/>
    <n v="1"/>
    <n v="-40"/>
    <n v="940"/>
  </r>
  <r>
    <x v="46"/>
    <s v="conventional_default_current_cai_337"/>
    <x v="377"/>
    <n v="1.07"/>
    <n v="1"/>
    <n v="-40"/>
    <n v="940"/>
  </r>
  <r>
    <x v="46"/>
    <s v="conventional_default_current_cai_338"/>
    <x v="378"/>
    <n v="1.07"/>
    <n v="1"/>
    <n v="-40"/>
    <n v="940"/>
  </r>
  <r>
    <x v="46"/>
    <s v="conventional_default_current_cai_339"/>
    <x v="379"/>
    <n v="1.07"/>
    <n v="1"/>
    <n v="-40"/>
    <n v="940"/>
  </r>
  <r>
    <x v="46"/>
    <s v="conventional_default_current_cai_340"/>
    <x v="380"/>
    <n v="1.07"/>
    <n v="1"/>
    <n v="-40"/>
    <n v="940"/>
  </r>
  <r>
    <x v="46"/>
    <s v="conventional_default_current_cai_341"/>
    <x v="381"/>
    <n v="1.07"/>
    <n v="1"/>
    <n v="-40"/>
    <n v="940"/>
  </r>
  <r>
    <x v="46"/>
    <s v="conventional_default_current_cai_342"/>
    <x v="382"/>
    <n v="1.07"/>
    <n v="1"/>
    <n v="-40"/>
    <n v="940"/>
  </r>
  <r>
    <x v="46"/>
    <s v="conventional_default_current_cai_343"/>
    <x v="383"/>
    <n v="1.07"/>
    <n v="1"/>
    <n v="-40"/>
    <n v="940"/>
  </r>
  <r>
    <x v="46"/>
    <s v="conventional_default_current_cai_344"/>
    <x v="384"/>
    <n v="1.07"/>
    <n v="1"/>
    <n v="-40"/>
    <n v="940"/>
  </r>
  <r>
    <x v="46"/>
    <s v="conventional_default_current_cai_345"/>
    <x v="385"/>
    <n v="1.07"/>
    <n v="1"/>
    <n v="-40"/>
    <n v="940"/>
  </r>
  <r>
    <x v="46"/>
    <s v="conventional_default_current_cai_346"/>
    <x v="386"/>
    <n v="1.07"/>
    <n v="1"/>
    <n v="-40"/>
    <n v="940"/>
  </r>
  <r>
    <x v="46"/>
    <s v="conventional_default_current_cai_347"/>
    <x v="387"/>
    <n v="1.07"/>
    <n v="1"/>
    <n v="-40"/>
    <n v="940"/>
  </r>
  <r>
    <x v="46"/>
    <s v="conventional_default_current_cai_348"/>
    <x v="388"/>
    <n v="1.07"/>
    <n v="1"/>
    <n v="-40"/>
    <n v="940"/>
  </r>
  <r>
    <x v="46"/>
    <s v="conventional_default_current_cai_349"/>
    <x v="389"/>
    <n v="1.07"/>
    <n v="1"/>
    <n v="-40"/>
    <n v="940"/>
  </r>
  <r>
    <x v="46"/>
    <s v="conventional_default_current_cai_350"/>
    <x v="390"/>
    <n v="1.07"/>
    <n v="1"/>
    <n v="-40"/>
    <n v="940"/>
  </r>
  <r>
    <x v="46"/>
    <s v="conventional_default_current_cai_351"/>
    <x v="391"/>
    <n v="1.07"/>
    <n v="1"/>
    <n v="-40"/>
    <n v="940"/>
  </r>
  <r>
    <x v="46"/>
    <s v="conventional_default_current_cai_352"/>
    <x v="392"/>
    <n v="1.07"/>
    <n v="1"/>
    <n v="-40"/>
    <n v="940"/>
  </r>
  <r>
    <x v="46"/>
    <s v="conventional_default_current_cai_353"/>
    <x v="393"/>
    <n v="1.07"/>
    <n v="1"/>
    <n v="-40"/>
    <n v="940"/>
  </r>
  <r>
    <x v="46"/>
    <s v="conventional_default_current_cai_354"/>
    <x v="394"/>
    <n v="1.07"/>
    <n v="1"/>
    <n v="-40"/>
    <n v="940"/>
  </r>
  <r>
    <x v="46"/>
    <s v="conventional_default_current_cai_355"/>
    <x v="395"/>
    <n v="1.07"/>
    <n v="1"/>
    <n v="-40"/>
    <n v="940"/>
  </r>
  <r>
    <x v="46"/>
    <s v="conventional_default_current_cai_356"/>
    <x v="396"/>
    <n v="1.07"/>
    <n v="1"/>
    <n v="-40"/>
    <n v="940"/>
  </r>
  <r>
    <x v="46"/>
    <s v="conventional_default_current_cai_357"/>
    <x v="397"/>
    <n v="1.07"/>
    <n v="1"/>
    <n v="-40"/>
    <n v="940"/>
  </r>
  <r>
    <x v="46"/>
    <s v="conventional_default_current_cai_358"/>
    <x v="398"/>
    <n v="1.07"/>
    <n v="1"/>
    <n v="-40"/>
    <n v="940"/>
  </r>
  <r>
    <x v="46"/>
    <s v="conventional_default_current_cai_359"/>
    <x v="399"/>
    <n v="1.07"/>
    <n v="1"/>
    <n v="-40"/>
    <n v="940"/>
  </r>
  <r>
    <x v="46"/>
    <s v="conventional_default_current_cai_360"/>
    <x v="400"/>
    <n v="1.07"/>
    <n v="1"/>
    <n v="-40"/>
    <n v="940"/>
  </r>
  <r>
    <x v="46"/>
    <s v="conventional_default_current_cai_361"/>
    <x v="401"/>
    <n v="1.07"/>
    <n v="1"/>
    <n v="-40"/>
    <n v="940"/>
  </r>
  <r>
    <x v="46"/>
    <s v="conventional_default_current_cai_362"/>
    <x v="402"/>
    <n v="1.07"/>
    <n v="1"/>
    <n v="-40"/>
    <n v="940"/>
  </r>
  <r>
    <x v="46"/>
    <s v="conventional_default_current_cai_363"/>
    <x v="403"/>
    <n v="1.07"/>
    <n v="1"/>
    <n v="-40"/>
    <n v="940"/>
  </r>
  <r>
    <x v="46"/>
    <s v="conventional_default_current_cai_364"/>
    <x v="404"/>
    <n v="1.07"/>
    <n v="1"/>
    <n v="-40"/>
    <n v="940"/>
  </r>
  <r>
    <x v="46"/>
    <s v="conventional_default_current_cai_365"/>
    <x v="405"/>
    <n v="1.07"/>
    <n v="1"/>
    <n v="-40"/>
    <n v="940"/>
  </r>
  <r>
    <x v="46"/>
    <s v="conventional_default_current_cai_366"/>
    <x v="406"/>
    <n v="1.07"/>
    <n v="1"/>
    <n v="-40"/>
    <n v="940"/>
  </r>
  <r>
    <x v="46"/>
    <s v="conventional_default_current_cai_367"/>
    <x v="407"/>
    <n v="1.07"/>
    <n v="1"/>
    <n v="-40"/>
    <n v="940"/>
  </r>
  <r>
    <x v="46"/>
    <s v="conventional_default_current_cai_368"/>
    <x v="408"/>
    <n v="1.07"/>
    <n v="1"/>
    <n v="-40"/>
    <n v="940"/>
  </r>
  <r>
    <x v="46"/>
    <s v="conventional_default_current_cai_369"/>
    <x v="409"/>
    <n v="1.07"/>
    <n v="1"/>
    <n v="-40"/>
    <n v="940"/>
  </r>
  <r>
    <x v="46"/>
    <s v="conventional_default_current_cai_370"/>
    <x v="410"/>
    <n v="1.07"/>
    <n v="1"/>
    <n v="-40"/>
    <n v="940"/>
  </r>
  <r>
    <x v="46"/>
    <s v="conventional_default_current_cai_371"/>
    <x v="411"/>
    <n v="1.07"/>
    <n v="1"/>
    <n v="-40"/>
    <n v="940"/>
  </r>
  <r>
    <x v="46"/>
    <s v="conventional_default_current_cai_372"/>
    <x v="412"/>
    <n v="1.07"/>
    <n v="1"/>
    <n v="-40"/>
    <n v="940"/>
  </r>
  <r>
    <x v="46"/>
    <s v="conventional_default_current_cai_373"/>
    <x v="413"/>
    <n v="1.07"/>
    <n v="1"/>
    <n v="-40"/>
    <n v="940"/>
  </r>
  <r>
    <x v="46"/>
    <s v="conventional_default_current_cai_374"/>
    <x v="414"/>
    <n v="1.07"/>
    <n v="1"/>
    <n v="-40"/>
    <n v="940"/>
  </r>
  <r>
    <x v="46"/>
    <s v="conventional_default_current_cai_375"/>
    <x v="415"/>
    <n v="1.07"/>
    <n v="1"/>
    <n v="-40"/>
    <n v="940"/>
  </r>
  <r>
    <x v="46"/>
    <s v="conventional_default_current_cai_376"/>
    <x v="416"/>
    <n v="1.07"/>
    <n v="1"/>
    <n v="-40"/>
    <n v="940"/>
  </r>
  <r>
    <x v="46"/>
    <s v="conventional_default_current_cai_377"/>
    <x v="417"/>
    <n v="1.07"/>
    <n v="1"/>
    <n v="-40"/>
    <n v="940"/>
  </r>
  <r>
    <x v="46"/>
    <s v="conventional_default_current_cai_378"/>
    <x v="418"/>
    <n v="1.07"/>
    <n v="1"/>
    <n v="-40"/>
    <n v="940"/>
  </r>
  <r>
    <x v="46"/>
    <s v="conventional_default_current_cai_379"/>
    <x v="419"/>
    <n v="1.07"/>
    <n v="1"/>
    <n v="-40"/>
    <n v="940"/>
  </r>
  <r>
    <x v="46"/>
    <s v="conventional_default_current_cai_380"/>
    <x v="420"/>
    <n v="1.07"/>
    <n v="1"/>
    <n v="-40"/>
    <n v="940"/>
  </r>
  <r>
    <x v="46"/>
    <s v="conventional_default_current_cai_381"/>
    <x v="421"/>
    <n v="1.07"/>
    <n v="1"/>
    <n v="-40"/>
    <n v="940"/>
  </r>
  <r>
    <x v="46"/>
    <s v="conventional_default_current_cai_382"/>
    <x v="422"/>
    <n v="1.07"/>
    <n v="1"/>
    <n v="-40"/>
    <n v="940"/>
  </r>
  <r>
    <x v="46"/>
    <s v="conventional_default_current_cai_383"/>
    <x v="423"/>
    <n v="1.07"/>
    <n v="1"/>
    <n v="-40"/>
    <n v="940"/>
  </r>
  <r>
    <x v="46"/>
    <s v="conventional_default_current_cai_384"/>
    <x v="424"/>
    <n v="1.07"/>
    <n v="1"/>
    <n v="-40"/>
    <n v="940"/>
  </r>
  <r>
    <x v="46"/>
    <s v="conventional_default_current_cai_385"/>
    <x v="425"/>
    <n v="1.07"/>
    <n v="1"/>
    <n v="-40"/>
    <n v="940"/>
  </r>
  <r>
    <x v="46"/>
    <s v="conventional_default_current_cai_386"/>
    <x v="426"/>
    <n v="1.07"/>
    <n v="1"/>
    <n v="-40"/>
    <n v="940"/>
  </r>
  <r>
    <x v="46"/>
    <s v="conventional_default_current_cai_387"/>
    <x v="427"/>
    <n v="1.07"/>
    <n v="1"/>
    <n v="-40"/>
    <n v="940"/>
  </r>
  <r>
    <x v="46"/>
    <s v="conventional_default_current_cai_388"/>
    <x v="428"/>
    <n v="1.07"/>
    <n v="1"/>
    <n v="-40"/>
    <n v="940"/>
  </r>
  <r>
    <x v="46"/>
    <s v="conventional_default_current_cai_389"/>
    <x v="429"/>
    <n v="1.07"/>
    <n v="1"/>
    <n v="-40"/>
    <n v="940"/>
  </r>
  <r>
    <x v="46"/>
    <s v="conventional_default_current_cai_390"/>
    <x v="430"/>
    <n v="1.07"/>
    <n v="1"/>
    <n v="-40"/>
    <n v="940"/>
  </r>
  <r>
    <x v="46"/>
    <s v="conventional_default_current_cai_391"/>
    <x v="431"/>
    <n v="1.07"/>
    <n v="1"/>
    <n v="-40"/>
    <n v="940"/>
  </r>
  <r>
    <x v="46"/>
    <s v="conventional_default_current_cai_392"/>
    <x v="432"/>
    <n v="1.07"/>
    <n v="1"/>
    <n v="-40"/>
    <n v="940"/>
  </r>
  <r>
    <x v="46"/>
    <s v="conventional_default_current_cai_393"/>
    <x v="433"/>
    <n v="1.07"/>
    <n v="1"/>
    <n v="-40"/>
    <n v="940"/>
  </r>
  <r>
    <x v="46"/>
    <s v="conventional_default_current_cai_394"/>
    <x v="434"/>
    <n v="1.07"/>
    <n v="1"/>
    <n v="-40"/>
    <n v="940"/>
  </r>
  <r>
    <x v="46"/>
    <s v="conventional_default_current_cai_395"/>
    <x v="435"/>
    <n v="1.07"/>
    <n v="1"/>
    <n v="-40"/>
    <n v="940"/>
  </r>
  <r>
    <x v="46"/>
    <s v="conventional_default_current_cai_396"/>
    <x v="436"/>
    <n v="1.07"/>
    <n v="1"/>
    <n v="-40"/>
    <n v="940"/>
  </r>
  <r>
    <x v="46"/>
    <s v="conventional_default_current_cai_397"/>
    <x v="437"/>
    <n v="1.07"/>
    <n v="1"/>
    <n v="-40"/>
    <n v="940"/>
  </r>
  <r>
    <x v="46"/>
    <s v="conventional_default_current_cai_398"/>
    <x v="438"/>
    <n v="1.07"/>
    <n v="1"/>
    <n v="-40"/>
    <n v="940"/>
  </r>
  <r>
    <x v="46"/>
    <s v="conventional_default_current_cai_399"/>
    <x v="439"/>
    <n v="1.07"/>
    <n v="1"/>
    <n v="-40"/>
    <n v="940"/>
  </r>
  <r>
    <x v="46"/>
    <s v="conventional_default_current_cai_400"/>
    <x v="440"/>
    <n v="1.07"/>
    <n v="1"/>
    <n v="-40"/>
    <n v="940"/>
  </r>
  <r>
    <x v="46"/>
    <s v="conventional_default_current_cai_401"/>
    <x v="441"/>
    <n v="1.07"/>
    <n v="1"/>
    <n v="-40"/>
    <n v="940"/>
  </r>
  <r>
    <x v="46"/>
    <s v="conventional_default_current_cai_402"/>
    <x v="442"/>
    <n v="1.07"/>
    <n v="1"/>
    <n v="-40"/>
    <n v="940"/>
  </r>
  <r>
    <x v="46"/>
    <s v="conventional_default_current_cai_403"/>
    <x v="443"/>
    <n v="1.07"/>
    <n v="1"/>
    <n v="-40"/>
    <n v="940"/>
  </r>
  <r>
    <x v="46"/>
    <s v="conventional_default_current_cai_404"/>
    <x v="444"/>
    <n v="1.07"/>
    <n v="1"/>
    <n v="-40"/>
    <n v="940"/>
  </r>
  <r>
    <x v="46"/>
    <s v="conventional_default_current_cai_405"/>
    <x v="445"/>
    <n v="1.07"/>
    <n v="1"/>
    <n v="-40"/>
    <n v="940"/>
  </r>
  <r>
    <x v="46"/>
    <s v="conventional_default_current_cai_406"/>
    <x v="446"/>
    <n v="1.07"/>
    <n v="1"/>
    <n v="-40"/>
    <n v="940"/>
  </r>
  <r>
    <x v="46"/>
    <s v="conventional_default_current_cai_407"/>
    <x v="447"/>
    <n v="1.07"/>
    <n v="1"/>
    <n v="-40"/>
    <n v="940"/>
  </r>
  <r>
    <x v="46"/>
    <s v="conventional_default_current_cai_408"/>
    <x v="448"/>
    <n v="1.07"/>
    <n v="1"/>
    <n v="-40"/>
    <n v="940"/>
  </r>
  <r>
    <x v="46"/>
    <s v="conventional_default_current_cai_409"/>
    <x v="449"/>
    <n v="1.07"/>
    <n v="1"/>
    <n v="-40"/>
    <n v="940"/>
  </r>
  <r>
    <x v="46"/>
    <s v="conventional_default_current_cai_410"/>
    <x v="450"/>
    <n v="1.07"/>
    <n v="1"/>
    <n v="-40"/>
    <n v="940"/>
  </r>
  <r>
    <x v="46"/>
    <s v="conventional_default_current_cai_411"/>
    <x v="451"/>
    <n v="1.07"/>
    <n v="1"/>
    <n v="-40"/>
    <n v="940"/>
  </r>
  <r>
    <x v="46"/>
    <s v="conventional_default_current_cai_412"/>
    <x v="452"/>
    <n v="1.07"/>
    <n v="1"/>
    <n v="-40"/>
    <n v="940"/>
  </r>
  <r>
    <x v="46"/>
    <s v="conventional_default_current_cai_413"/>
    <x v="453"/>
    <n v="1.07"/>
    <n v="1"/>
    <n v="-40"/>
    <n v="940"/>
  </r>
  <r>
    <x v="46"/>
    <s v="conventional_default_current_cai_414"/>
    <x v="454"/>
    <n v="1.07"/>
    <n v="1"/>
    <n v="-40"/>
    <n v="940"/>
  </r>
  <r>
    <x v="46"/>
    <s v="conventional_default_current_cai_415"/>
    <x v="455"/>
    <n v="1.07"/>
    <n v="1"/>
    <n v="-40"/>
    <n v="940"/>
  </r>
  <r>
    <x v="46"/>
    <s v="conventional_default_current_cai_416"/>
    <x v="456"/>
    <n v="1.07"/>
    <n v="1"/>
    <n v="-40"/>
    <n v="940"/>
  </r>
  <r>
    <x v="46"/>
    <s v="conventional_default_current_cai_417"/>
    <x v="457"/>
    <n v="1.07"/>
    <n v="1"/>
    <n v="-40"/>
    <n v="940"/>
  </r>
  <r>
    <x v="46"/>
    <s v="conventional_default_current_cai_418"/>
    <x v="458"/>
    <n v="1.07"/>
    <n v="1"/>
    <n v="-40"/>
    <n v="940"/>
  </r>
  <r>
    <x v="46"/>
    <s v="conventional_default_current_cai_419"/>
    <x v="459"/>
    <n v="1.07"/>
    <n v="1"/>
    <n v="-40"/>
    <n v="940"/>
  </r>
  <r>
    <x v="46"/>
    <s v="conventional_default_current_cai_420"/>
    <x v="460"/>
    <n v="1.07"/>
    <n v="1"/>
    <n v="-40"/>
    <n v="940"/>
  </r>
  <r>
    <x v="46"/>
    <s v="conventional_default_current_cai_421"/>
    <x v="461"/>
    <n v="1.07"/>
    <n v="1"/>
    <n v="-40"/>
    <n v="940"/>
  </r>
  <r>
    <x v="46"/>
    <s v="conventional_default_current_cai_422"/>
    <x v="462"/>
    <n v="1.07"/>
    <n v="1"/>
    <n v="-40"/>
    <n v="940"/>
  </r>
  <r>
    <x v="46"/>
    <s v="conventional_default_current_cai_423"/>
    <x v="463"/>
    <n v="1.07"/>
    <n v="1"/>
    <n v="-40"/>
    <n v="940"/>
  </r>
  <r>
    <x v="46"/>
    <s v="conventional_default_current_cai_424"/>
    <x v="464"/>
    <n v="1.07"/>
    <n v="1"/>
    <n v="-40"/>
    <n v="940"/>
  </r>
  <r>
    <x v="46"/>
    <s v="conventional_default_current_cai_425"/>
    <x v="465"/>
    <n v="1.07"/>
    <n v="1"/>
    <n v="-40"/>
    <n v="940"/>
  </r>
  <r>
    <x v="46"/>
    <s v="conventional_default_current_cai_426"/>
    <x v="466"/>
    <n v="1.07"/>
    <n v="1"/>
    <n v="-40"/>
    <n v="940"/>
  </r>
  <r>
    <x v="46"/>
    <s v="conventional_default_current_cai_427"/>
    <x v="467"/>
    <n v="1.07"/>
    <n v="1"/>
    <n v="-40"/>
    <n v="940"/>
  </r>
  <r>
    <x v="46"/>
    <s v="conventional_default_current_cai_428"/>
    <x v="468"/>
    <n v="1.07"/>
    <n v="1"/>
    <n v="-40"/>
    <n v="940"/>
  </r>
  <r>
    <x v="46"/>
    <s v="conventional_default_current_cai_429"/>
    <x v="469"/>
    <n v="1.07"/>
    <n v="1"/>
    <n v="-40"/>
    <n v="940"/>
  </r>
  <r>
    <x v="46"/>
    <s v="conventional_default_current_cai_430"/>
    <x v="470"/>
    <n v="1.07"/>
    <n v="1"/>
    <n v="-40"/>
    <n v="940"/>
  </r>
  <r>
    <x v="46"/>
    <s v="conventional_default_current_cai_431"/>
    <x v="471"/>
    <n v="1.07"/>
    <n v="1"/>
    <n v="-40"/>
    <n v="940"/>
  </r>
  <r>
    <x v="46"/>
    <s v="conventional_default_current_cai_432"/>
    <x v="472"/>
    <n v="1.07"/>
    <n v="1"/>
    <n v="-40"/>
    <n v="940"/>
  </r>
  <r>
    <x v="46"/>
    <s v="conventional_default_current_cai_433"/>
    <x v="473"/>
    <n v="1.07"/>
    <n v="1"/>
    <n v="-40"/>
    <n v="940"/>
  </r>
  <r>
    <x v="46"/>
    <s v="conventional_default_current_cai_434"/>
    <x v="474"/>
    <n v="1.07"/>
    <n v="1"/>
    <n v="-40"/>
    <n v="940"/>
  </r>
  <r>
    <x v="46"/>
    <s v="conventional_default_current_cai_435"/>
    <x v="475"/>
    <n v="1.07"/>
    <n v="1"/>
    <n v="-40"/>
    <n v="940"/>
  </r>
  <r>
    <x v="46"/>
    <s v="conventional_default_current_cai_436"/>
    <x v="476"/>
    <n v="1.07"/>
    <n v="1"/>
    <n v="-40"/>
    <n v="940"/>
  </r>
  <r>
    <x v="46"/>
    <s v="conventional_default_current_cai_437"/>
    <x v="477"/>
    <n v="1.07"/>
    <n v="1"/>
    <n v="-40"/>
    <n v="940"/>
  </r>
  <r>
    <x v="46"/>
    <s v="conventional_default_current_cai_438"/>
    <x v="478"/>
    <n v="1.07"/>
    <n v="1"/>
    <n v="-40"/>
    <n v="940"/>
  </r>
  <r>
    <x v="46"/>
    <s v="conventional_default_current_cai_439"/>
    <x v="479"/>
    <n v="1.07"/>
    <n v="1"/>
    <n v="-40"/>
    <n v="940"/>
  </r>
  <r>
    <x v="46"/>
    <s v="conventional_default_current_cai_440"/>
    <x v="480"/>
    <n v="1.07"/>
    <n v="1"/>
    <n v="-40"/>
    <n v="940"/>
  </r>
  <r>
    <x v="46"/>
    <s v="conventional_default_current_cai_441"/>
    <x v="481"/>
    <n v="1.07"/>
    <n v="1"/>
    <n v="-40"/>
    <n v="940"/>
  </r>
  <r>
    <x v="46"/>
    <s v="conventional_default_current_cai_442"/>
    <x v="482"/>
    <n v="1.07"/>
    <n v="1"/>
    <n v="-40"/>
    <n v="940"/>
  </r>
  <r>
    <x v="46"/>
    <s v="conventional_default_current_cai_443"/>
    <x v="483"/>
    <n v="1.07"/>
    <n v="1"/>
    <n v="-40"/>
    <n v="940"/>
  </r>
  <r>
    <x v="46"/>
    <s v="conventional_default_current_cai_444"/>
    <x v="484"/>
    <n v="1.07"/>
    <n v="1"/>
    <n v="-40"/>
    <n v="940"/>
  </r>
  <r>
    <x v="46"/>
    <s v="conventional_default_current_cai_445"/>
    <x v="485"/>
    <n v="1.07"/>
    <n v="1"/>
    <n v="-40"/>
    <n v="940"/>
  </r>
  <r>
    <x v="46"/>
    <s v="conventional_default_current_cai_446"/>
    <x v="486"/>
    <n v="1.07"/>
    <n v="1"/>
    <n v="-40"/>
    <n v="940"/>
  </r>
  <r>
    <x v="46"/>
    <s v="conventional_default_current_cai_447"/>
    <x v="487"/>
    <n v="1.07"/>
    <n v="1"/>
    <n v="-40"/>
    <n v="940"/>
  </r>
  <r>
    <x v="46"/>
    <s v="conventional_default_current_cai_448"/>
    <x v="488"/>
    <n v="1.07"/>
    <n v="1"/>
    <n v="-40"/>
    <n v="940"/>
  </r>
  <r>
    <x v="46"/>
    <s v="conventional_default_current_cai_449"/>
    <x v="489"/>
    <n v="1.07"/>
    <n v="1"/>
    <n v="-40"/>
    <n v="940"/>
  </r>
  <r>
    <x v="46"/>
    <s v="conventional_default_current_cai_450"/>
    <x v="490"/>
    <n v="1.07"/>
    <n v="1"/>
    <n v="-40"/>
    <n v="940"/>
  </r>
  <r>
    <x v="46"/>
    <s v="conventional_default_current_cai_451"/>
    <x v="491"/>
    <n v="1.07"/>
    <n v="1"/>
    <n v="-40"/>
    <n v="940"/>
  </r>
  <r>
    <x v="46"/>
    <s v="conventional_default_current_cai_452"/>
    <x v="492"/>
    <n v="1.07"/>
    <n v="1"/>
    <n v="-40"/>
    <n v="940"/>
  </r>
  <r>
    <x v="46"/>
    <s v="conventional_default_current_cai_453"/>
    <x v="493"/>
    <n v="1.07"/>
    <n v="1"/>
    <n v="-40"/>
    <n v="940"/>
  </r>
  <r>
    <x v="46"/>
    <s v="conventional_default_current_cai_454"/>
    <x v="494"/>
    <n v="1.07"/>
    <n v="1"/>
    <n v="-40"/>
    <n v="940"/>
  </r>
  <r>
    <x v="46"/>
    <s v="conventional_default_current_cai_455"/>
    <x v="495"/>
    <n v="1.07"/>
    <n v="1"/>
    <n v="-40"/>
    <n v="940"/>
  </r>
  <r>
    <x v="46"/>
    <s v="conventional_default_current_cai_456"/>
    <x v="496"/>
    <n v="1.07"/>
    <n v="1"/>
    <n v="-40"/>
    <n v="940"/>
  </r>
  <r>
    <x v="46"/>
    <s v="conventional_default_current_cai_457"/>
    <x v="497"/>
    <n v="1.07"/>
    <n v="1"/>
    <n v="-40"/>
    <n v="940"/>
  </r>
  <r>
    <x v="46"/>
    <s v="conventional_default_current_cai_458"/>
    <x v="498"/>
    <n v="1.07"/>
    <n v="1"/>
    <n v="-40"/>
    <n v="940"/>
  </r>
  <r>
    <x v="46"/>
    <s v="conventional_default_current_cai_459"/>
    <x v="499"/>
    <n v="1.07"/>
    <n v="1"/>
    <n v="-40"/>
    <n v="940"/>
  </r>
  <r>
    <x v="46"/>
    <s v="conventional_default_current_cai_460"/>
    <x v="500"/>
    <n v="1.07"/>
    <n v="1"/>
    <n v="-40"/>
    <n v="940"/>
  </r>
  <r>
    <x v="46"/>
    <s v="conventional_default_current_cai_461"/>
    <x v="501"/>
    <n v="1.07"/>
    <n v="1"/>
    <n v="-40"/>
    <n v="940"/>
  </r>
  <r>
    <x v="46"/>
    <s v="conventional_default_current_cai_462"/>
    <x v="502"/>
    <n v="1.07"/>
    <n v="1"/>
    <n v="-40"/>
    <n v="940"/>
  </r>
  <r>
    <x v="46"/>
    <s v="conventional_default_current_cai_463"/>
    <x v="503"/>
    <n v="1.07"/>
    <n v="1"/>
    <n v="-40"/>
    <n v="940"/>
  </r>
  <r>
    <x v="46"/>
    <s v="conventional_default_current_cai_464"/>
    <x v="504"/>
    <n v="1.07"/>
    <n v="1"/>
    <n v="-40"/>
    <n v="940"/>
  </r>
  <r>
    <x v="46"/>
    <s v="conventional_default_current_cai_465"/>
    <x v="505"/>
    <n v="1.07"/>
    <n v="1"/>
    <n v="-40"/>
    <n v="940"/>
  </r>
  <r>
    <x v="46"/>
    <s v="conventional_default_current_cai_466"/>
    <x v="506"/>
    <n v="1.07"/>
    <n v="1"/>
    <n v="-40"/>
    <n v="940"/>
  </r>
  <r>
    <x v="46"/>
    <s v="conventional_default_current_cai_467"/>
    <x v="507"/>
    <n v="1.07"/>
    <n v="1"/>
    <n v="-40"/>
    <n v="940"/>
  </r>
  <r>
    <x v="46"/>
    <s v="conventional_default_current_cai_468"/>
    <x v="508"/>
    <n v="1.07"/>
    <n v="1"/>
    <n v="-40"/>
    <n v="940"/>
  </r>
  <r>
    <x v="46"/>
    <s v="conventional_default_current_cai_469"/>
    <x v="509"/>
    <n v="1.07"/>
    <n v="1"/>
    <n v="-40"/>
    <n v="940"/>
  </r>
  <r>
    <x v="46"/>
    <s v="conventional_default_current_cai_470"/>
    <x v="510"/>
    <n v="1.07"/>
    <n v="1"/>
    <n v="-40"/>
    <n v="940"/>
  </r>
  <r>
    <x v="46"/>
    <s v="conventional_default_current_cai_471"/>
    <x v="511"/>
    <n v="1.07"/>
    <n v="1"/>
    <n v="-40"/>
    <n v="940"/>
  </r>
  <r>
    <x v="46"/>
    <s v="conventional_default_current_cai_472"/>
    <x v="512"/>
    <n v="1.07"/>
    <n v="1"/>
    <n v="-40"/>
    <n v="940"/>
  </r>
  <r>
    <x v="46"/>
    <s v="conventional_default_current_cai_473"/>
    <x v="513"/>
    <n v="1.07"/>
    <n v="1"/>
    <n v="-40"/>
    <n v="940"/>
  </r>
  <r>
    <x v="46"/>
    <s v="conventional_default_current_cai_474"/>
    <x v="514"/>
    <n v="1.07"/>
    <n v="1"/>
    <n v="-40"/>
    <n v="940"/>
  </r>
  <r>
    <x v="46"/>
    <s v="conventional_default_current_cai_475"/>
    <x v="515"/>
    <n v="1.07"/>
    <n v="1"/>
    <n v="-40"/>
    <n v="940"/>
  </r>
  <r>
    <x v="46"/>
    <s v="conventional_default_current_cai_476"/>
    <x v="516"/>
    <n v="1.07"/>
    <n v="1"/>
    <n v="-40"/>
    <n v="940"/>
  </r>
  <r>
    <x v="46"/>
    <s v="conventional_default_current_cai_477"/>
    <x v="517"/>
    <n v="1.07"/>
    <n v="1"/>
    <n v="-40"/>
    <n v="940"/>
  </r>
  <r>
    <x v="46"/>
    <s v="conventional_default_current_cai_478"/>
    <x v="518"/>
    <n v="1.07"/>
    <n v="1"/>
    <n v="-40"/>
    <n v="940"/>
  </r>
  <r>
    <x v="46"/>
    <s v="conventional_default_current_cai_479"/>
    <x v="519"/>
    <n v="1.07"/>
    <n v="1"/>
    <n v="-40"/>
    <n v="940"/>
  </r>
  <r>
    <x v="46"/>
    <s v="conventional_default_current_cai_480"/>
    <x v="520"/>
    <n v="1.07"/>
    <n v="1"/>
    <n v="-40"/>
    <n v="940"/>
  </r>
  <r>
    <x v="46"/>
    <s v="conventional_default_current_cai_481"/>
    <x v="521"/>
    <n v="1.07"/>
    <n v="1"/>
    <n v="-40"/>
    <n v="940"/>
  </r>
  <r>
    <x v="46"/>
    <s v="conventional_default_current_cai_482"/>
    <x v="522"/>
    <n v="1.07"/>
    <n v="1"/>
    <n v="-40"/>
    <n v="940"/>
  </r>
  <r>
    <x v="46"/>
    <s v="conventional_default_current_cai_483"/>
    <x v="523"/>
    <n v="1.07"/>
    <n v="1"/>
    <n v="-40"/>
    <n v="940"/>
  </r>
  <r>
    <x v="46"/>
    <s v="conventional_default_current_cai_484"/>
    <x v="524"/>
    <n v="1.07"/>
    <n v="1"/>
    <n v="-40"/>
    <n v="940"/>
  </r>
  <r>
    <x v="46"/>
    <s v="conventional_default_current_cai_485"/>
    <x v="525"/>
    <n v="1.07"/>
    <n v="1"/>
    <n v="-40"/>
    <n v="940"/>
  </r>
  <r>
    <x v="46"/>
    <s v="conventional_default_current_cai_486"/>
    <x v="526"/>
    <n v="1.07"/>
    <n v="1"/>
    <n v="-40"/>
    <n v="940"/>
  </r>
  <r>
    <x v="46"/>
    <s v="conventional_default_current_cai_487"/>
    <x v="527"/>
    <n v="1.07"/>
    <n v="1"/>
    <n v="-40"/>
    <n v="940"/>
  </r>
  <r>
    <x v="46"/>
    <s v="conventional_default_current_cai_488"/>
    <x v="528"/>
    <n v="1.07"/>
    <n v="1"/>
    <n v="-40"/>
    <n v="940"/>
  </r>
  <r>
    <x v="46"/>
    <s v="conventional_default_current_cai_489"/>
    <x v="529"/>
    <n v="1.07"/>
    <n v="1"/>
    <n v="-40"/>
    <n v="940"/>
  </r>
  <r>
    <x v="46"/>
    <s v="conventional_default_current_cai_490"/>
    <x v="530"/>
    <n v="1.07"/>
    <n v="1"/>
    <n v="-40"/>
    <n v="940"/>
  </r>
  <r>
    <x v="46"/>
    <s v="conventional_default_current_cai_491"/>
    <x v="531"/>
    <n v="1.07"/>
    <n v="1"/>
    <n v="-40"/>
    <n v="940"/>
  </r>
  <r>
    <x v="46"/>
    <s v="conventional_default_current_cai_492"/>
    <x v="532"/>
    <n v="1.07"/>
    <n v="1"/>
    <n v="-40"/>
    <n v="940"/>
  </r>
  <r>
    <x v="46"/>
    <s v="conventional_default_current_cai_493"/>
    <x v="533"/>
    <n v="1.07"/>
    <n v="1"/>
    <n v="-40"/>
    <n v="940"/>
  </r>
  <r>
    <x v="46"/>
    <s v="conventional_default_current_cai_494"/>
    <x v="534"/>
    <n v="1.07"/>
    <n v="1"/>
    <n v="-40"/>
    <n v="940"/>
  </r>
  <r>
    <x v="46"/>
    <s v="conventional_default_current_cai_495"/>
    <x v="535"/>
    <n v="1.07"/>
    <n v="1"/>
    <n v="-40"/>
    <n v="940"/>
  </r>
  <r>
    <x v="46"/>
    <s v="conventional_default_current_cai_496"/>
    <x v="536"/>
    <n v="1.07"/>
    <n v="1"/>
    <n v="-40"/>
    <n v="940"/>
  </r>
  <r>
    <x v="46"/>
    <s v="conventional_default_current_cai_497"/>
    <x v="537"/>
    <n v="1.07"/>
    <n v="1"/>
    <n v="-40"/>
    <n v="940"/>
  </r>
  <r>
    <x v="46"/>
    <s v="conventional_default_current_cai_498"/>
    <x v="538"/>
    <n v="1.07"/>
    <n v="1"/>
    <n v="-40"/>
    <n v="940"/>
  </r>
  <r>
    <x v="46"/>
    <s v="conventional_default_current_cai_499"/>
    <x v="539"/>
    <n v="1.07"/>
    <n v="1"/>
    <n v="-40"/>
    <n v="940"/>
  </r>
  <r>
    <x v="46"/>
    <s v="conventional_default_current_cai_500"/>
    <x v="540"/>
    <n v="1.07"/>
    <n v="1"/>
    <n v="-40"/>
    <n v="940"/>
  </r>
  <r>
    <x v="46"/>
    <s v="conventional_default_current_cai_501"/>
    <x v="541"/>
    <n v="1.07"/>
    <n v="1"/>
    <n v="-40"/>
    <n v="940"/>
  </r>
  <r>
    <x v="46"/>
    <s v="conventional_default_current_cai_502"/>
    <x v="542"/>
    <n v="1.07"/>
    <n v="1"/>
    <n v="-40"/>
    <n v="940"/>
  </r>
  <r>
    <x v="46"/>
    <s v="conventional_default_current_cai_503"/>
    <x v="543"/>
    <n v="1.07"/>
    <n v="1"/>
    <n v="-40"/>
    <n v="940"/>
  </r>
  <r>
    <x v="46"/>
    <s v="conventional_default_current_cai_504"/>
    <x v="544"/>
    <n v="1.07"/>
    <n v="1"/>
    <n v="-40"/>
    <n v="940"/>
  </r>
  <r>
    <x v="46"/>
    <s v="conventional_default_current_cai_505"/>
    <x v="545"/>
    <n v="1.07"/>
    <n v="1"/>
    <n v="-40"/>
    <n v="940"/>
  </r>
  <r>
    <x v="46"/>
    <s v="conventional_default_current_cai_506"/>
    <x v="546"/>
    <n v="1.07"/>
    <n v="1"/>
    <n v="-40"/>
    <n v="940"/>
  </r>
  <r>
    <x v="46"/>
    <s v="conventional_default_current_cai_507"/>
    <x v="547"/>
    <n v="1.07"/>
    <n v="1"/>
    <n v="-40"/>
    <n v="940"/>
  </r>
  <r>
    <x v="46"/>
    <s v="conventional_default_current_cai_508"/>
    <x v="548"/>
    <n v="1.07"/>
    <n v="1"/>
    <n v="-40"/>
    <n v="940"/>
  </r>
  <r>
    <x v="46"/>
    <s v="conventional_default_current_cai_509"/>
    <x v="549"/>
    <n v="1.07"/>
    <n v="1"/>
    <n v="-40"/>
    <n v="940"/>
  </r>
  <r>
    <x v="46"/>
    <s v="conventional_default_current_cai_510"/>
    <x v="550"/>
    <n v="1.07"/>
    <n v="1"/>
    <n v="-40"/>
    <n v="940"/>
  </r>
  <r>
    <x v="46"/>
    <s v="conventional_default_current_cai_511"/>
    <x v="551"/>
    <n v="1.07"/>
    <n v="1"/>
    <n v="-40"/>
    <n v="940"/>
  </r>
  <r>
    <x v="46"/>
    <s v="conventional_default_current_cai_512"/>
    <x v="552"/>
    <n v="1.07"/>
    <n v="1"/>
    <n v="-40"/>
    <n v="940"/>
  </r>
  <r>
    <x v="46"/>
    <s v="conventional_default_current_cai_513"/>
    <x v="553"/>
    <n v="1.07"/>
    <n v="1"/>
    <n v="-40"/>
    <n v="940"/>
  </r>
  <r>
    <x v="46"/>
    <s v="conventional_default_current_cai_514"/>
    <x v="554"/>
    <n v="1.07"/>
    <n v="1"/>
    <n v="-40"/>
    <n v="940"/>
  </r>
  <r>
    <x v="46"/>
    <s v="conventional_default_current_cai_515"/>
    <x v="555"/>
    <n v="1.07"/>
    <n v="1"/>
    <n v="-40"/>
    <n v="940"/>
  </r>
  <r>
    <x v="46"/>
    <s v="conventional_default_current_cai_516"/>
    <x v="556"/>
    <n v="1.07"/>
    <n v="1"/>
    <n v="-40"/>
    <n v="940"/>
  </r>
  <r>
    <x v="46"/>
    <s v="conventional_default_current_cai_517"/>
    <x v="557"/>
    <n v="1.07"/>
    <n v="1"/>
    <n v="-40"/>
    <n v="940"/>
  </r>
  <r>
    <x v="46"/>
    <s v="conventional_default_current_cai_518"/>
    <x v="558"/>
    <n v="1.07"/>
    <n v="1"/>
    <n v="-40"/>
    <n v="940"/>
  </r>
  <r>
    <x v="46"/>
    <s v="conventional_default_current_cai_519"/>
    <x v="559"/>
    <n v="1.07"/>
    <n v="1"/>
    <n v="-40"/>
    <n v="940"/>
  </r>
  <r>
    <x v="46"/>
    <s v="conventional_default_current_cai_520"/>
    <x v="560"/>
    <n v="1.07"/>
    <n v="1"/>
    <n v="-40"/>
    <n v="940"/>
  </r>
  <r>
    <x v="46"/>
    <s v="conventional_default_current_cai_521"/>
    <x v="561"/>
    <n v="1.07"/>
    <n v="1"/>
    <n v="-40"/>
    <n v="940"/>
  </r>
  <r>
    <x v="46"/>
    <s v="conventional_default_current_cai_522"/>
    <x v="562"/>
    <n v="1.07"/>
    <n v="1"/>
    <n v="-40"/>
    <n v="940"/>
  </r>
  <r>
    <x v="46"/>
    <s v="conventional_default_current_cai_523"/>
    <x v="563"/>
    <n v="1.07"/>
    <n v="1"/>
    <n v="-40"/>
    <n v="940"/>
  </r>
  <r>
    <x v="46"/>
    <s v="conventional_default_current_cai_524"/>
    <x v="564"/>
    <n v="1.07"/>
    <n v="1"/>
    <n v="-40"/>
    <n v="940"/>
  </r>
  <r>
    <x v="46"/>
    <s v="conventional_default_current_cai_525"/>
    <x v="565"/>
    <n v="1.07"/>
    <n v="1"/>
    <n v="-40"/>
    <n v="940"/>
  </r>
  <r>
    <x v="46"/>
    <s v="conventional_default_current_cai_526"/>
    <x v="566"/>
    <n v="1.07"/>
    <n v="1"/>
    <n v="-40"/>
    <n v="940"/>
  </r>
  <r>
    <x v="46"/>
    <s v="conventional_default_current_cai_527"/>
    <x v="567"/>
    <n v="1.07"/>
    <n v="1"/>
    <n v="-40"/>
    <n v="940"/>
  </r>
  <r>
    <x v="46"/>
    <s v="conventional_default_current_cai_528"/>
    <x v="568"/>
    <n v="1.07"/>
    <n v="1"/>
    <n v="-40"/>
    <n v="940"/>
  </r>
  <r>
    <x v="46"/>
    <s v="conventional_default_current_cai_529"/>
    <x v="569"/>
    <n v="1.07"/>
    <n v="1"/>
    <n v="-40"/>
    <n v="940"/>
  </r>
  <r>
    <x v="46"/>
    <s v="conventional_default_current_cai_530"/>
    <x v="570"/>
    <n v="1.07"/>
    <n v="1"/>
    <n v="-40"/>
    <n v="940"/>
  </r>
  <r>
    <x v="46"/>
    <s v="conventional_default_current_cai_531"/>
    <x v="571"/>
    <n v="1.07"/>
    <n v="1"/>
    <n v="-40"/>
    <n v="940"/>
  </r>
  <r>
    <x v="46"/>
    <s v="conventional_default_current_cai_532"/>
    <x v="572"/>
    <n v="1.07"/>
    <n v="1"/>
    <n v="-40"/>
    <n v="940"/>
  </r>
  <r>
    <x v="46"/>
    <s v="conventional_default_current_cai_533"/>
    <x v="573"/>
    <n v="1.07"/>
    <n v="1"/>
    <n v="-40"/>
    <n v="940"/>
  </r>
  <r>
    <x v="46"/>
    <s v="conventional_default_current_cai_534"/>
    <x v="574"/>
    <n v="1.07"/>
    <n v="1"/>
    <n v="-40"/>
    <n v="940"/>
  </r>
  <r>
    <x v="46"/>
    <s v="conventional_default_current_cai_535"/>
    <x v="575"/>
    <n v="1.07"/>
    <n v="1"/>
    <n v="-40"/>
    <n v="940"/>
  </r>
  <r>
    <x v="46"/>
    <s v="conventional_default_current_cai_536"/>
    <x v="576"/>
    <n v="1.07"/>
    <n v="1"/>
    <n v="-40"/>
    <n v="940"/>
  </r>
  <r>
    <x v="46"/>
    <s v="conventional_default_current_cai_537"/>
    <x v="577"/>
    <n v="1.07"/>
    <n v="1"/>
    <n v="-40"/>
    <n v="940"/>
  </r>
  <r>
    <x v="46"/>
    <s v="conventional_default_current_cai_538"/>
    <x v="578"/>
    <n v="1.07"/>
    <n v="1"/>
    <n v="-40"/>
    <n v="940"/>
  </r>
  <r>
    <x v="46"/>
    <s v="conventional_default_current_cai_539"/>
    <x v="579"/>
    <n v="1.07"/>
    <n v="1"/>
    <n v="-40"/>
    <n v="940"/>
  </r>
  <r>
    <x v="46"/>
    <s v="conventional_default_current_cai_540"/>
    <x v="580"/>
    <n v="1.07"/>
    <n v="1"/>
    <n v="-40"/>
    <n v="940"/>
  </r>
  <r>
    <x v="46"/>
    <s v="conventional_default_current_cai_541"/>
    <x v="581"/>
    <n v="1.07"/>
    <n v="1"/>
    <n v="-40"/>
    <n v="940"/>
  </r>
  <r>
    <x v="46"/>
    <s v="conventional_default_current_cai_542"/>
    <x v="582"/>
    <n v="1.07"/>
    <n v="1"/>
    <n v="-40"/>
    <n v="940"/>
  </r>
  <r>
    <x v="46"/>
    <s v="conventional_default_current_cai_543"/>
    <x v="583"/>
    <n v="1.07"/>
    <n v="1"/>
    <n v="-40"/>
    <n v="940"/>
  </r>
  <r>
    <x v="46"/>
    <s v="conventional_default_current_cai_544"/>
    <x v="584"/>
    <n v="1.07"/>
    <n v="1"/>
    <n v="-40"/>
    <n v="940"/>
  </r>
  <r>
    <x v="46"/>
    <s v="conventional_default_current_cai_545"/>
    <x v="585"/>
    <n v="1.07"/>
    <n v="1"/>
    <n v="-40"/>
    <n v="940"/>
  </r>
  <r>
    <x v="46"/>
    <s v="conventional_default_current_cai_546"/>
    <x v="586"/>
    <n v="1.07"/>
    <n v="1"/>
    <n v="-40"/>
    <n v="940"/>
  </r>
  <r>
    <x v="46"/>
    <s v="conventional_default_current_cai_547"/>
    <x v="587"/>
    <n v="1.07"/>
    <n v="1"/>
    <n v="-40"/>
    <n v="940"/>
  </r>
  <r>
    <x v="46"/>
    <s v="conventional_default_current_cai_548"/>
    <x v="588"/>
    <n v="1.07"/>
    <n v="1"/>
    <n v="-40"/>
    <n v="940"/>
  </r>
  <r>
    <x v="46"/>
    <s v="conventional_default_current_cai_549"/>
    <x v="589"/>
    <n v="1.07"/>
    <n v="1"/>
    <n v="-40"/>
    <n v="940"/>
  </r>
  <r>
    <x v="46"/>
    <s v="conventional_default_current_cai_550"/>
    <x v="590"/>
    <n v="1.07"/>
    <n v="1"/>
    <n v="-40"/>
    <n v="940"/>
  </r>
  <r>
    <x v="46"/>
    <s v="conventional_default_current_cai_551"/>
    <x v="591"/>
    <n v="1.07"/>
    <n v="1"/>
    <n v="-40"/>
    <n v="940"/>
  </r>
  <r>
    <x v="46"/>
    <s v="conventional_default_current_cai_552"/>
    <x v="592"/>
    <n v="1.07"/>
    <n v="1"/>
    <n v="-40"/>
    <n v="940"/>
  </r>
  <r>
    <x v="46"/>
    <s v="conventional_default_current_cai_553"/>
    <x v="593"/>
    <n v="1.07"/>
    <n v="1"/>
    <n v="-40"/>
    <n v="940"/>
  </r>
  <r>
    <x v="46"/>
    <s v="conventional_default_current_cai_554"/>
    <x v="594"/>
    <n v="1.07"/>
    <n v="1"/>
    <n v="-40"/>
    <n v="940"/>
  </r>
  <r>
    <x v="46"/>
    <s v="conventional_default_current_cai_555"/>
    <x v="595"/>
    <n v="1.07"/>
    <n v="1"/>
    <n v="-40"/>
    <n v="940"/>
  </r>
  <r>
    <x v="46"/>
    <s v="conventional_default_current_cai_556"/>
    <x v="596"/>
    <n v="1.07"/>
    <n v="1"/>
    <n v="-40"/>
    <n v="940"/>
  </r>
  <r>
    <x v="46"/>
    <s v="conventional_default_current_cai_557"/>
    <x v="597"/>
    <n v="1.07"/>
    <n v="1"/>
    <n v="-40"/>
    <n v="940"/>
  </r>
  <r>
    <x v="46"/>
    <s v="conventional_default_current_cai_558"/>
    <x v="598"/>
    <n v="1.07"/>
    <n v="1"/>
    <n v="-40"/>
    <n v="940"/>
  </r>
  <r>
    <x v="46"/>
    <s v="conventional_default_current_cai_559"/>
    <x v="599"/>
    <n v="1.07"/>
    <n v="1"/>
    <n v="-40"/>
    <n v="940"/>
  </r>
  <r>
    <x v="46"/>
    <s v="conventional_default_current_cai_560"/>
    <x v="600"/>
    <n v="1.07"/>
    <n v="1"/>
    <n v="-40"/>
    <n v="940"/>
  </r>
  <r>
    <x v="46"/>
    <s v="conventional_default_current_cai_561"/>
    <x v="601"/>
    <n v="1.07"/>
    <n v="1"/>
    <n v="-40"/>
    <n v="940"/>
  </r>
  <r>
    <x v="46"/>
    <s v="conventional_default_current_cai_562"/>
    <x v="602"/>
    <n v="1.07"/>
    <n v="1"/>
    <n v="-40"/>
    <n v="940"/>
  </r>
  <r>
    <x v="46"/>
    <s v="conventional_default_current_cai_563"/>
    <x v="603"/>
    <n v="1.07"/>
    <n v="1"/>
    <n v="-40"/>
    <n v="940"/>
  </r>
  <r>
    <x v="46"/>
    <s v="conventional_default_current_cai_564"/>
    <x v="604"/>
    <n v="1.07"/>
    <n v="1"/>
    <n v="-40"/>
    <n v="940"/>
  </r>
  <r>
    <x v="46"/>
    <s v="conventional_default_current_cai_565"/>
    <x v="605"/>
    <n v="1.07"/>
    <n v="1"/>
    <n v="-40"/>
    <n v="940"/>
  </r>
  <r>
    <x v="46"/>
    <s v="conventional_default_current_cai_566"/>
    <x v="606"/>
    <n v="1.07"/>
    <n v="1"/>
    <n v="-40"/>
    <n v="940"/>
  </r>
  <r>
    <x v="46"/>
    <s v="conventional_default_current_cai_567"/>
    <x v="607"/>
    <n v="1.07"/>
    <n v="1"/>
    <n v="-40"/>
    <n v="940"/>
  </r>
  <r>
    <x v="46"/>
    <s v="conventional_default_current_cai_568"/>
    <x v="608"/>
    <n v="1.07"/>
    <n v="1"/>
    <n v="-40"/>
    <n v="940"/>
  </r>
  <r>
    <x v="46"/>
    <s v="conventional_default_current_cai_569"/>
    <x v="609"/>
    <n v="1.07"/>
    <n v="1"/>
    <n v="-40"/>
    <n v="940"/>
  </r>
  <r>
    <x v="46"/>
    <s v="conventional_default_current_cai_570"/>
    <x v="610"/>
    <n v="1.07"/>
    <n v="1"/>
    <n v="-40"/>
    <n v="940"/>
  </r>
  <r>
    <x v="46"/>
    <s v="conventional_default_current_cai_571"/>
    <x v="611"/>
    <n v="1.07"/>
    <n v="1"/>
    <n v="-40"/>
    <n v="940"/>
  </r>
  <r>
    <x v="46"/>
    <s v="conventional_default_current_cai_572"/>
    <x v="612"/>
    <n v="1.07"/>
    <n v="1"/>
    <n v="-40"/>
    <n v="940"/>
  </r>
  <r>
    <x v="46"/>
    <s v="conventional_default_current_cai_573"/>
    <x v="613"/>
    <n v="1.07"/>
    <n v="1"/>
    <n v="-40"/>
    <n v="940"/>
  </r>
  <r>
    <x v="46"/>
    <s v="conventional_default_current_cai_574"/>
    <x v="614"/>
    <n v="1.07"/>
    <n v="1"/>
    <n v="-40"/>
    <n v="940"/>
  </r>
  <r>
    <x v="46"/>
    <s v="conventional_default_current_cai_575"/>
    <x v="615"/>
    <n v="1.07"/>
    <n v="1"/>
    <n v="-40"/>
    <n v="940"/>
  </r>
  <r>
    <x v="46"/>
    <s v="conventional_default_current_cai_576"/>
    <x v="616"/>
    <n v="1.07"/>
    <n v="1"/>
    <n v="-40"/>
    <n v="940"/>
  </r>
  <r>
    <x v="46"/>
    <s v="conventional_default_current_cai_577"/>
    <x v="617"/>
    <n v="1.07"/>
    <n v="1"/>
    <n v="-40"/>
    <n v="940"/>
  </r>
  <r>
    <x v="46"/>
    <s v="conventional_default_current_cai_578"/>
    <x v="618"/>
    <n v="1.07"/>
    <n v="1"/>
    <n v="-40"/>
    <n v="940"/>
  </r>
  <r>
    <x v="46"/>
    <s v="conventional_default_current_cai_579"/>
    <x v="619"/>
    <n v="1.07"/>
    <n v="1"/>
    <n v="-40"/>
    <n v="940"/>
  </r>
  <r>
    <x v="46"/>
    <s v="conventional_default_current_cai_580"/>
    <x v="620"/>
    <n v="1.07"/>
    <n v="1"/>
    <n v="-40"/>
    <n v="940"/>
  </r>
  <r>
    <x v="46"/>
    <s v="conventional_default_current_cai_581"/>
    <x v="621"/>
    <n v="1.07"/>
    <n v="1"/>
    <n v="-40"/>
    <n v="940"/>
  </r>
  <r>
    <x v="46"/>
    <s v="conventional_default_current_cai_582"/>
    <x v="622"/>
    <n v="1.07"/>
    <n v="1"/>
    <n v="-40"/>
    <n v="940"/>
  </r>
  <r>
    <x v="46"/>
    <s v="conventional_default_current_cai_583"/>
    <x v="623"/>
    <n v="1.07"/>
    <n v="1"/>
    <n v="-40"/>
    <n v="940"/>
  </r>
  <r>
    <x v="46"/>
    <s v="conventional_default_current_cai_584"/>
    <x v="624"/>
    <n v="1.07"/>
    <n v="1"/>
    <n v="-40"/>
    <n v="940"/>
  </r>
  <r>
    <x v="46"/>
    <s v="conventional_default_current_cai_585"/>
    <x v="625"/>
    <n v="1.07"/>
    <n v="1"/>
    <n v="-40"/>
    <n v="940"/>
  </r>
  <r>
    <x v="46"/>
    <s v="conventional_default_current_cai_586"/>
    <x v="626"/>
    <n v="1.07"/>
    <n v="1"/>
    <n v="-40"/>
    <n v="940"/>
  </r>
  <r>
    <x v="46"/>
    <s v="conventional_default_current_cai_587"/>
    <x v="627"/>
    <n v="1.07"/>
    <n v="1"/>
    <n v="-40"/>
    <n v="940"/>
  </r>
  <r>
    <x v="46"/>
    <s v="conventional_default_current_cai_588"/>
    <x v="628"/>
    <n v="1.07"/>
    <n v="1"/>
    <n v="-40"/>
    <n v="940"/>
  </r>
  <r>
    <x v="46"/>
    <s v="conventional_default_current_cai_589"/>
    <x v="629"/>
    <n v="1.07"/>
    <n v="1"/>
    <n v="-40"/>
    <n v="940"/>
  </r>
  <r>
    <x v="46"/>
    <s v="conventional_default_current_cai_590"/>
    <x v="630"/>
    <n v="1.07"/>
    <n v="1"/>
    <n v="-40"/>
    <n v="940"/>
  </r>
  <r>
    <x v="46"/>
    <s v="conventional_default_current_cai_591"/>
    <x v="631"/>
    <n v="1.07"/>
    <n v="1"/>
    <n v="-40"/>
    <n v="940"/>
  </r>
  <r>
    <x v="46"/>
    <s v="conventional_default_current_cai_592"/>
    <x v="632"/>
    <n v="1.07"/>
    <n v="1"/>
    <n v="-40"/>
    <n v="940"/>
  </r>
  <r>
    <x v="46"/>
    <s v="conventional_default_current_cai_593"/>
    <x v="633"/>
    <n v="1.07"/>
    <n v="1"/>
    <n v="-40"/>
    <n v="940"/>
  </r>
  <r>
    <x v="46"/>
    <s v="conventional_default_current_cai_594"/>
    <x v="634"/>
    <n v="1.07"/>
    <n v="1"/>
    <n v="-40"/>
    <n v="940"/>
  </r>
  <r>
    <x v="46"/>
    <s v="conventional_default_current_cai_595"/>
    <x v="635"/>
    <n v="1.07"/>
    <n v="1"/>
    <n v="-40"/>
    <n v="940"/>
  </r>
  <r>
    <x v="46"/>
    <s v="conventional_default_current_cai_596"/>
    <x v="636"/>
    <n v="1.07"/>
    <n v="1"/>
    <n v="-40"/>
    <n v="940"/>
  </r>
  <r>
    <x v="46"/>
    <s v="conventional_default_current_cai_597"/>
    <x v="637"/>
    <n v="1.07"/>
    <n v="1"/>
    <n v="-40"/>
    <n v="940"/>
  </r>
  <r>
    <x v="46"/>
    <s v="conventional_default_current_cai_598"/>
    <x v="638"/>
    <n v="1.07"/>
    <n v="1"/>
    <n v="-40"/>
    <n v="940"/>
  </r>
  <r>
    <x v="46"/>
    <s v="conventional_default_current_cai_599"/>
    <x v="639"/>
    <n v="1.07"/>
    <n v="1"/>
    <n v="-40"/>
    <n v="940"/>
  </r>
  <r>
    <x v="46"/>
    <s v="conventional_default_current_cai_600"/>
    <x v="640"/>
    <n v="1.07"/>
    <n v="1"/>
    <n v="-40"/>
    <n v="940"/>
  </r>
  <r>
    <x v="46"/>
    <s v="conventional_default_current_cai_601"/>
    <x v="641"/>
    <n v="1.07"/>
    <n v="1"/>
    <n v="-40"/>
    <n v="940"/>
  </r>
  <r>
    <x v="46"/>
    <s v="conventional_default_current_cai_602"/>
    <x v="642"/>
    <n v="1.07"/>
    <n v="1"/>
    <n v="-40"/>
    <n v="940"/>
  </r>
  <r>
    <x v="46"/>
    <s v="conventional_default_current_cai_603"/>
    <x v="643"/>
    <n v="1.07"/>
    <n v="1"/>
    <n v="-40"/>
    <n v="940"/>
  </r>
  <r>
    <x v="46"/>
    <s v="conventional_default_current_cai_604"/>
    <x v="644"/>
    <n v="1.07"/>
    <n v="1"/>
    <n v="-40"/>
    <n v="940"/>
  </r>
  <r>
    <x v="46"/>
    <s v="conventional_default_current_cai_605"/>
    <x v="645"/>
    <n v="1.07"/>
    <n v="1"/>
    <n v="-40"/>
    <n v="940"/>
  </r>
  <r>
    <x v="46"/>
    <s v="conventional_default_current_cai_606"/>
    <x v="646"/>
    <n v="1.07"/>
    <n v="1"/>
    <n v="-40"/>
    <n v="940"/>
  </r>
  <r>
    <x v="46"/>
    <s v="conventional_default_current_cai_607"/>
    <x v="647"/>
    <n v="1.07"/>
    <n v="1"/>
    <n v="-40"/>
    <n v="940"/>
  </r>
  <r>
    <x v="46"/>
    <s v="conventional_default_current_cai_608"/>
    <x v="648"/>
    <n v="1.07"/>
    <n v="1"/>
    <n v="-40"/>
    <n v="940"/>
  </r>
  <r>
    <x v="46"/>
    <s v="conventional_default_current_cai_609"/>
    <x v="649"/>
    <n v="1.07"/>
    <n v="1"/>
    <n v="-40"/>
    <n v="940"/>
  </r>
  <r>
    <x v="46"/>
    <s v="conventional_default_current_cai_610"/>
    <x v="650"/>
    <n v="1.07"/>
    <n v="1"/>
    <n v="-40"/>
    <n v="940"/>
  </r>
  <r>
    <x v="46"/>
    <s v="conventional_default_current_cai_611"/>
    <x v="651"/>
    <n v="1.07"/>
    <n v="1"/>
    <n v="-40"/>
    <n v="940"/>
  </r>
  <r>
    <x v="46"/>
    <s v="conventional_default_current_cai_612"/>
    <x v="652"/>
    <n v="1.07"/>
    <n v="1"/>
    <n v="-40"/>
    <n v="940"/>
  </r>
  <r>
    <x v="46"/>
    <s v="conventional_default_current_cai_613"/>
    <x v="653"/>
    <n v="1.07"/>
    <n v="1"/>
    <n v="-40"/>
    <n v="940"/>
  </r>
  <r>
    <x v="46"/>
    <s v="conventional_default_current_cai_614"/>
    <x v="654"/>
    <n v="1.07"/>
    <n v="1"/>
    <n v="-40"/>
    <n v="940"/>
  </r>
  <r>
    <x v="46"/>
    <s v="conventional_default_current_cai_615"/>
    <x v="655"/>
    <n v="1.07"/>
    <n v="1"/>
    <n v="-40"/>
    <n v="940"/>
  </r>
  <r>
    <x v="46"/>
    <s v="conventional_default_current_cai_616"/>
    <x v="656"/>
    <n v="1.07"/>
    <n v="1"/>
    <n v="-40"/>
    <n v="940"/>
  </r>
  <r>
    <x v="46"/>
    <s v="conventional_default_current_cai_617"/>
    <x v="657"/>
    <n v="1.07"/>
    <n v="1"/>
    <n v="-40"/>
    <n v="940"/>
  </r>
  <r>
    <x v="46"/>
    <s v="conventional_default_current_cai_618"/>
    <x v="658"/>
    <n v="1.07"/>
    <n v="1"/>
    <n v="-40"/>
    <n v="940"/>
  </r>
  <r>
    <x v="46"/>
    <s v="conventional_default_current_cai_619"/>
    <x v="659"/>
    <n v="1.07"/>
    <n v="1"/>
    <n v="-40"/>
    <n v="940"/>
  </r>
  <r>
    <x v="46"/>
    <s v="conventional_default_current_cai_620"/>
    <x v="660"/>
    <n v="1.07"/>
    <n v="1"/>
    <n v="-40"/>
    <n v="940"/>
  </r>
  <r>
    <x v="46"/>
    <s v="conventional_default_current_cai_621"/>
    <x v="661"/>
    <n v="1.07"/>
    <n v="1"/>
    <n v="-40"/>
    <n v="940"/>
  </r>
  <r>
    <x v="46"/>
    <s v="conventional_default_current_cai_622"/>
    <x v="662"/>
    <n v="1.07"/>
    <n v="1"/>
    <n v="-40"/>
    <n v="940"/>
  </r>
  <r>
    <x v="46"/>
    <s v="conventional_default_current_cai_623"/>
    <x v="663"/>
    <n v="1.07"/>
    <n v="1"/>
    <n v="-40"/>
    <n v="940"/>
  </r>
  <r>
    <x v="46"/>
    <s v="conventional_default_current_cai_624"/>
    <x v="664"/>
    <n v="1.07"/>
    <n v="1"/>
    <n v="-40"/>
    <n v="940"/>
  </r>
  <r>
    <x v="46"/>
    <s v="conventional_default_current_cai_625"/>
    <x v="665"/>
    <n v="1.07"/>
    <n v="1"/>
    <n v="-40"/>
    <n v="940"/>
  </r>
  <r>
    <x v="46"/>
    <s v="conventional_default_current_cai_626"/>
    <x v="666"/>
    <n v="1.07"/>
    <n v="1"/>
    <n v="-40"/>
    <n v="940"/>
  </r>
  <r>
    <x v="46"/>
    <s v="conventional_default_current_cai_627"/>
    <x v="667"/>
    <n v="1.07"/>
    <n v="1"/>
    <n v="-40"/>
    <n v="940"/>
  </r>
  <r>
    <x v="46"/>
    <s v="conventional_default_current_cai_628"/>
    <x v="668"/>
    <n v="1.07"/>
    <n v="1"/>
    <n v="-40"/>
    <n v="940"/>
  </r>
  <r>
    <x v="46"/>
    <s v="conventional_default_current_cai_629"/>
    <x v="669"/>
    <n v="1.07"/>
    <n v="1"/>
    <n v="-40"/>
    <n v="940"/>
  </r>
  <r>
    <x v="46"/>
    <s v="conventional_default_current_cai_630"/>
    <x v="670"/>
    <n v="1.07"/>
    <n v="1"/>
    <n v="-40"/>
    <n v="940"/>
  </r>
  <r>
    <x v="46"/>
    <s v="conventional_default_current_cai_631"/>
    <x v="671"/>
    <n v="1.07"/>
    <n v="1"/>
    <n v="-40"/>
    <n v="940"/>
  </r>
  <r>
    <x v="46"/>
    <s v="conventional_default_current_cai_632"/>
    <x v="672"/>
    <n v="1.07"/>
    <n v="1"/>
    <n v="-40"/>
    <n v="940"/>
  </r>
  <r>
    <x v="46"/>
    <s v="conventional_default_current_cai_633"/>
    <x v="673"/>
    <n v="1.07"/>
    <n v="1"/>
    <n v="-40"/>
    <n v="940"/>
  </r>
  <r>
    <x v="46"/>
    <s v="conventional_default_current_cai_634"/>
    <x v="674"/>
    <n v="1.07"/>
    <n v="1"/>
    <n v="-40"/>
    <n v="940"/>
  </r>
  <r>
    <x v="46"/>
    <s v="conventional_default_current_cai_635"/>
    <x v="675"/>
    <n v="1.07"/>
    <n v="1"/>
    <n v="-40"/>
    <n v="940"/>
  </r>
  <r>
    <x v="46"/>
    <s v="conventional_default_current_cai_636"/>
    <x v="676"/>
    <n v="1.07"/>
    <n v="1"/>
    <n v="-40"/>
    <n v="940"/>
  </r>
  <r>
    <x v="46"/>
    <s v="conventional_default_current_cai_637"/>
    <x v="677"/>
    <n v="1.07"/>
    <n v="1"/>
    <n v="-40"/>
    <n v="940"/>
  </r>
  <r>
    <x v="46"/>
    <s v="conventional_default_current_cai_638"/>
    <x v="678"/>
    <n v="1.07"/>
    <n v="1"/>
    <n v="-40"/>
    <n v="940"/>
  </r>
  <r>
    <x v="46"/>
    <s v="conventional_default_current_cai_639"/>
    <x v="679"/>
    <n v="1.07"/>
    <n v="1"/>
    <n v="-40"/>
    <n v="940"/>
  </r>
  <r>
    <x v="46"/>
    <s v="conventional_default_current_cai_640"/>
    <x v="680"/>
    <n v="1.07"/>
    <n v="1"/>
    <n v="-40"/>
    <n v="940"/>
  </r>
  <r>
    <x v="46"/>
    <s v="conventional_default_current_cai_641"/>
    <x v="681"/>
    <n v="1.07"/>
    <n v="1"/>
    <n v="-40"/>
    <n v="940"/>
  </r>
  <r>
    <x v="46"/>
    <s v="conventional_default_current_cai_642"/>
    <x v="682"/>
    <n v="1.07"/>
    <n v="1"/>
    <n v="-40"/>
    <n v="940"/>
  </r>
  <r>
    <x v="46"/>
    <s v="conventional_default_current_cai_643"/>
    <x v="683"/>
    <n v="1.07"/>
    <n v="1"/>
    <n v="-40"/>
    <n v="940"/>
  </r>
  <r>
    <x v="46"/>
    <s v="conventional_default_current_cai_644"/>
    <x v="684"/>
    <n v="1.07"/>
    <n v="1"/>
    <n v="-40"/>
    <n v="940"/>
  </r>
  <r>
    <x v="46"/>
    <s v="conventional_default_current_cai_645"/>
    <x v="685"/>
    <n v="1.07"/>
    <n v="1"/>
    <n v="-40"/>
    <n v="940"/>
  </r>
  <r>
    <x v="46"/>
    <s v="conventional_default_current_cai_646"/>
    <x v="686"/>
    <n v="1.07"/>
    <n v="1"/>
    <n v="-40"/>
    <n v="940"/>
  </r>
  <r>
    <x v="46"/>
    <s v="conventional_default_current_cai_647"/>
    <x v="687"/>
    <n v="1.07"/>
    <n v="1"/>
    <n v="-40"/>
    <n v="940"/>
  </r>
  <r>
    <x v="46"/>
    <s v="conventional_default_current_cai_648"/>
    <x v="688"/>
    <n v="1.07"/>
    <n v="1"/>
    <n v="-40"/>
    <n v="940"/>
  </r>
  <r>
    <x v="46"/>
    <s v="conventional_default_current_cai_649"/>
    <x v="689"/>
    <n v="1.07"/>
    <n v="1"/>
    <n v="-40"/>
    <n v="940"/>
  </r>
  <r>
    <x v="46"/>
    <s v="conventional_default_current_cai_650"/>
    <x v="690"/>
    <n v="1.07"/>
    <n v="1"/>
    <n v="-40"/>
    <n v="940"/>
  </r>
  <r>
    <x v="46"/>
    <s v="conventional_default_current_cai_651"/>
    <x v="691"/>
    <n v="1.07"/>
    <n v="1"/>
    <n v="-40"/>
    <n v="940"/>
  </r>
  <r>
    <x v="46"/>
    <s v="conventional_default_current_cai_652"/>
    <x v="692"/>
    <n v="1.07"/>
    <n v="1"/>
    <n v="-40"/>
    <n v="940"/>
  </r>
  <r>
    <x v="46"/>
    <s v="conventional_default_current_cai_653"/>
    <x v="693"/>
    <n v="1.07"/>
    <n v="1"/>
    <n v="-40"/>
    <n v="940"/>
  </r>
  <r>
    <x v="46"/>
    <s v="conventional_default_current_cai_654"/>
    <x v="694"/>
    <n v="1.07"/>
    <n v="1"/>
    <n v="-40"/>
    <n v="940"/>
  </r>
  <r>
    <x v="46"/>
    <s v="conventional_default_current_cai_655"/>
    <x v="695"/>
    <n v="1.07"/>
    <n v="1"/>
    <n v="-40"/>
    <n v="940"/>
  </r>
  <r>
    <x v="46"/>
    <s v="conventional_default_current_cai_656"/>
    <x v="696"/>
    <n v="1.07"/>
    <n v="1"/>
    <n v="-40"/>
    <n v="940"/>
  </r>
  <r>
    <x v="46"/>
    <s v="conventional_default_current_cai_657"/>
    <x v="697"/>
    <n v="1.07"/>
    <n v="1"/>
    <n v="-40"/>
    <n v="940"/>
  </r>
  <r>
    <x v="46"/>
    <s v="conventional_default_current_cai_658"/>
    <x v="698"/>
    <n v="1.07"/>
    <n v="1"/>
    <n v="-40"/>
    <n v="940"/>
  </r>
  <r>
    <x v="46"/>
    <s v="conventional_default_current_cai_659"/>
    <x v="699"/>
    <n v="1.07"/>
    <n v="1"/>
    <n v="-40"/>
    <n v="940"/>
  </r>
  <r>
    <x v="46"/>
    <s v="conventional_default_current_cai_660"/>
    <x v="700"/>
    <n v="1.07"/>
    <n v="1"/>
    <n v="-40"/>
    <n v="940"/>
  </r>
  <r>
    <x v="46"/>
    <s v="conventional_default_current_cai_661"/>
    <x v="701"/>
    <n v="1.07"/>
    <n v="1"/>
    <n v="-40"/>
    <n v="940"/>
  </r>
  <r>
    <x v="46"/>
    <s v="conventional_default_current_cai_662"/>
    <x v="702"/>
    <n v="1.07"/>
    <n v="1"/>
    <n v="-40"/>
    <n v="940"/>
  </r>
  <r>
    <x v="46"/>
    <s v="conventional_default_current_cai_663"/>
    <x v="703"/>
    <n v="1.07"/>
    <n v="1"/>
    <n v="-40"/>
    <n v="940"/>
  </r>
  <r>
    <x v="46"/>
    <s v="conventional_default_current_cai_664"/>
    <x v="704"/>
    <n v="1.07"/>
    <n v="1"/>
    <n v="-40"/>
    <n v="940"/>
  </r>
  <r>
    <x v="46"/>
    <s v="conventional_default_current_cai_665"/>
    <x v="705"/>
    <n v="1.07"/>
    <n v="1"/>
    <n v="-40"/>
    <n v="940"/>
  </r>
  <r>
    <x v="46"/>
    <s v="conventional_default_current_cai_666"/>
    <x v="706"/>
    <n v="1.07"/>
    <n v="1"/>
    <n v="-40"/>
    <n v="940"/>
  </r>
  <r>
    <x v="46"/>
    <s v="conventional_default_current_cai_667"/>
    <x v="707"/>
    <n v="1.07"/>
    <n v="1"/>
    <n v="-40"/>
    <n v="940"/>
  </r>
  <r>
    <x v="46"/>
    <s v="conventional_default_current_cai_668"/>
    <x v="708"/>
    <n v="1.07"/>
    <n v="1"/>
    <n v="-40"/>
    <n v="940"/>
  </r>
  <r>
    <x v="46"/>
    <s v="conventional_default_current_cai_669"/>
    <x v="709"/>
    <n v="1.07"/>
    <n v="1"/>
    <n v="-40"/>
    <n v="940"/>
  </r>
  <r>
    <x v="46"/>
    <s v="conventional_default_current_cai_670"/>
    <x v="710"/>
    <n v="1.07"/>
    <n v="1"/>
    <n v="-40"/>
    <n v="940"/>
  </r>
  <r>
    <x v="46"/>
    <s v="conventional_default_current_cai_671"/>
    <x v="711"/>
    <n v="1.07"/>
    <n v="1"/>
    <n v="-40"/>
    <n v="940"/>
  </r>
  <r>
    <x v="46"/>
    <s v="conventional_default_current_cai_672"/>
    <x v="712"/>
    <n v="1.07"/>
    <n v="1"/>
    <n v="-40"/>
    <n v="940"/>
  </r>
  <r>
    <x v="46"/>
    <s v="conventional_default_current_cai_673"/>
    <x v="713"/>
    <n v="1.07"/>
    <n v="1"/>
    <n v="-40"/>
    <n v="940"/>
  </r>
  <r>
    <x v="46"/>
    <s v="conventional_default_current_cai_674"/>
    <x v="714"/>
    <n v="1.07"/>
    <n v="1"/>
    <n v="-40"/>
    <n v="940"/>
  </r>
  <r>
    <x v="46"/>
    <s v="conventional_default_current_cai_675"/>
    <x v="715"/>
    <n v="1.07"/>
    <n v="1"/>
    <n v="-40"/>
    <n v="940"/>
  </r>
  <r>
    <x v="46"/>
    <s v="conventional_default_current_cai_676"/>
    <x v="716"/>
    <n v="1.07"/>
    <n v="1"/>
    <n v="-40"/>
    <n v="940"/>
  </r>
  <r>
    <x v="46"/>
    <s v="conventional_default_current_cai_677"/>
    <x v="717"/>
    <n v="1.07"/>
    <n v="1"/>
    <n v="-40"/>
    <n v="940"/>
  </r>
  <r>
    <x v="46"/>
    <s v="conventional_default_current_cai_678"/>
    <x v="718"/>
    <n v="1.07"/>
    <n v="1"/>
    <n v="-40"/>
    <n v="940"/>
  </r>
  <r>
    <x v="46"/>
    <s v="conventional_default_current_cai_679"/>
    <x v="719"/>
    <n v="1.07"/>
    <n v="1"/>
    <n v="-40"/>
    <n v="940"/>
  </r>
  <r>
    <x v="46"/>
    <s v="conventional_default_current_cai_680"/>
    <x v="720"/>
    <n v="1.07"/>
    <n v="1"/>
    <n v="-40"/>
    <n v="940"/>
  </r>
  <r>
    <x v="46"/>
    <s v="conventional_default_current_cai_681"/>
    <x v="721"/>
    <n v="1.07"/>
    <n v="1"/>
    <n v="-40"/>
    <n v="940"/>
  </r>
  <r>
    <x v="46"/>
    <s v="conventional_default_current_cai_682"/>
    <x v="722"/>
    <n v="1.07"/>
    <n v="1"/>
    <n v="-40"/>
    <n v="940"/>
  </r>
  <r>
    <x v="46"/>
    <s v="conventional_default_current_cai_683"/>
    <x v="723"/>
    <n v="1.07"/>
    <n v="1"/>
    <n v="-40"/>
    <n v="940"/>
  </r>
  <r>
    <x v="46"/>
    <s v="conventional_default_current_cai_684"/>
    <x v="724"/>
    <n v="1.07"/>
    <n v="1"/>
    <n v="-40"/>
    <n v="940"/>
  </r>
  <r>
    <x v="46"/>
    <s v="conventional_default_current_cai_685"/>
    <x v="725"/>
    <n v="1.07"/>
    <n v="1"/>
    <n v="-40"/>
    <n v="940"/>
  </r>
  <r>
    <x v="46"/>
    <s v="conventional_default_current_cai_686"/>
    <x v="726"/>
    <n v="1.07"/>
    <n v="1"/>
    <n v="-40"/>
    <n v="940"/>
  </r>
  <r>
    <x v="46"/>
    <s v="conventional_default_current_cai_687"/>
    <x v="727"/>
    <n v="1.07"/>
    <n v="1"/>
    <n v="-40"/>
    <n v="940"/>
  </r>
  <r>
    <x v="46"/>
    <s v="conventional_default_current_cai_688"/>
    <x v="728"/>
    <n v="1.07"/>
    <n v="1"/>
    <n v="-40"/>
    <n v="940"/>
  </r>
  <r>
    <x v="46"/>
    <s v="conventional_default_current_cai_689"/>
    <x v="729"/>
    <n v="1.07"/>
    <n v="1"/>
    <n v="-40"/>
    <n v="940"/>
  </r>
  <r>
    <x v="46"/>
    <s v="conventional_default_current_cai_690"/>
    <x v="730"/>
    <n v="1.07"/>
    <n v="1"/>
    <n v="-40"/>
    <n v="940"/>
  </r>
  <r>
    <x v="46"/>
    <s v="conventional_default_current_cai_691"/>
    <x v="731"/>
    <n v="1.07"/>
    <n v="1"/>
    <n v="-40"/>
    <n v="940"/>
  </r>
  <r>
    <x v="46"/>
    <s v="conventional_default_current_cai_692"/>
    <x v="732"/>
    <n v="1.07"/>
    <n v="1"/>
    <n v="-40"/>
    <n v="940"/>
  </r>
  <r>
    <x v="46"/>
    <s v="conventional_default_current_cai_693"/>
    <x v="733"/>
    <n v="1.07"/>
    <n v="1"/>
    <n v="-40"/>
    <n v="940"/>
  </r>
  <r>
    <x v="46"/>
    <s v="conventional_default_current_cai_694"/>
    <x v="734"/>
    <n v="1.07"/>
    <n v="1"/>
    <n v="-40"/>
    <n v="940"/>
  </r>
  <r>
    <x v="46"/>
    <s v="conventional_default_current_cai_695"/>
    <x v="735"/>
    <n v="1.07"/>
    <n v="1"/>
    <n v="-40"/>
    <n v="940"/>
  </r>
  <r>
    <x v="46"/>
    <s v="conventional_default_current_cai_696"/>
    <x v="736"/>
    <n v="1.07"/>
    <n v="1"/>
    <n v="-40"/>
    <n v="940"/>
  </r>
  <r>
    <x v="46"/>
    <s v="conventional_default_current_cai_697"/>
    <x v="737"/>
    <n v="1.07"/>
    <n v="1"/>
    <n v="-40"/>
    <n v="940"/>
  </r>
  <r>
    <x v="46"/>
    <s v="conventional_default_current_cai_698"/>
    <x v="738"/>
    <n v="1.07"/>
    <n v="1"/>
    <n v="-40"/>
    <n v="940"/>
  </r>
  <r>
    <x v="46"/>
    <s v="conventional_default_current_cai_699"/>
    <x v="739"/>
    <n v="1.07"/>
    <n v="1"/>
    <n v="-40"/>
    <n v="940"/>
  </r>
  <r>
    <x v="46"/>
    <s v="conventional_default_current_cai_700"/>
    <x v="740"/>
    <n v="1.07"/>
    <n v="1"/>
    <n v="-40"/>
    <n v="940"/>
  </r>
  <r>
    <x v="46"/>
    <s v="conventional_default_current_cai_701"/>
    <x v="741"/>
    <n v="1.07"/>
    <n v="1"/>
    <n v="-40"/>
    <n v="940"/>
  </r>
  <r>
    <x v="46"/>
    <s v="conventional_default_current_cai_702"/>
    <x v="742"/>
    <n v="1.07"/>
    <n v="1"/>
    <n v="-40"/>
    <n v="940"/>
  </r>
  <r>
    <x v="46"/>
    <s v="conventional_default_current_cai_703"/>
    <x v="743"/>
    <n v="1.07"/>
    <n v="1"/>
    <n v="-40"/>
    <n v="940"/>
  </r>
  <r>
    <x v="46"/>
    <s v="conventional_default_current_cai_704"/>
    <x v="744"/>
    <n v="1.07"/>
    <n v="1"/>
    <n v="-40"/>
    <n v="940"/>
  </r>
  <r>
    <x v="46"/>
    <s v="conventional_default_current_cai_705"/>
    <x v="745"/>
    <n v="1.07"/>
    <n v="1"/>
    <n v="-40"/>
    <n v="940"/>
  </r>
  <r>
    <x v="46"/>
    <s v="conventional_default_current_cai_706"/>
    <x v="746"/>
    <n v="1.07"/>
    <n v="1"/>
    <n v="-40"/>
    <n v="940"/>
  </r>
  <r>
    <x v="46"/>
    <s v="conventional_default_current_cai_707"/>
    <x v="747"/>
    <n v="1.07"/>
    <n v="1"/>
    <n v="-40"/>
    <n v="940"/>
  </r>
  <r>
    <x v="46"/>
    <s v="conventional_default_current_cai_708"/>
    <x v="748"/>
    <n v="1.07"/>
    <n v="1"/>
    <n v="-40"/>
    <n v="940"/>
  </r>
  <r>
    <x v="46"/>
    <s v="conventional_default_current_cai_709"/>
    <x v="749"/>
    <n v="1.07"/>
    <n v="1"/>
    <n v="-40"/>
    <n v="940"/>
  </r>
  <r>
    <x v="46"/>
    <s v="conventional_default_current_cai_710"/>
    <x v="750"/>
    <n v="1.07"/>
    <n v="1"/>
    <n v="-40"/>
    <n v="940"/>
  </r>
  <r>
    <x v="46"/>
    <s v="conventional_default_current_cai_711"/>
    <x v="751"/>
    <n v="1.07"/>
    <n v="1"/>
    <n v="-40"/>
    <n v="940"/>
  </r>
  <r>
    <x v="46"/>
    <s v="conventional_default_current_cai_712"/>
    <x v="752"/>
    <n v="1.07"/>
    <n v="1"/>
    <n v="-40"/>
    <n v="940"/>
  </r>
  <r>
    <x v="46"/>
    <s v="conventional_default_current_cai_713"/>
    <x v="753"/>
    <n v="1.07"/>
    <n v="1"/>
    <n v="-40"/>
    <n v="940"/>
  </r>
  <r>
    <x v="46"/>
    <s v="conventional_default_current_cai_714"/>
    <x v="754"/>
    <n v="1.07"/>
    <n v="1"/>
    <n v="-40"/>
    <n v="940"/>
  </r>
  <r>
    <x v="46"/>
    <s v="conventional_default_current_cai_715"/>
    <x v="755"/>
    <n v="1.07"/>
    <n v="1"/>
    <n v="-40"/>
    <n v="940"/>
  </r>
  <r>
    <x v="46"/>
    <s v="conventional_default_current_cai_716"/>
    <x v="756"/>
    <n v="1.07"/>
    <n v="1"/>
    <n v="-40"/>
    <n v="940"/>
  </r>
  <r>
    <x v="46"/>
    <s v="conventional_default_current_cai_717"/>
    <x v="757"/>
    <n v="1.07"/>
    <n v="1"/>
    <n v="-40"/>
    <n v="940"/>
  </r>
  <r>
    <x v="46"/>
    <s v="conventional_default_current_cai_718"/>
    <x v="758"/>
    <n v="1.07"/>
    <n v="1"/>
    <n v="-40"/>
    <n v="940"/>
  </r>
  <r>
    <x v="46"/>
    <s v="conventional_default_current_cai_719"/>
    <x v="759"/>
    <n v="1.07"/>
    <n v="1"/>
    <n v="-40"/>
    <n v="940"/>
  </r>
  <r>
    <x v="46"/>
    <s v="conventional_default_current_cai_720"/>
    <x v="760"/>
    <n v="1.07"/>
    <n v="1"/>
    <n v="-40"/>
    <n v="940"/>
  </r>
  <r>
    <x v="46"/>
    <s v="conventional_default_current_cai_721"/>
    <x v="761"/>
    <n v="1.07"/>
    <n v="1"/>
    <n v="-40"/>
    <n v="940"/>
  </r>
  <r>
    <x v="46"/>
    <s v="conventional_default_current_cai_722"/>
    <x v="762"/>
    <n v="1.07"/>
    <n v="1"/>
    <n v="-40"/>
    <n v="940"/>
  </r>
  <r>
    <x v="46"/>
    <s v="conventional_default_current_cai_723"/>
    <x v="763"/>
    <n v="1.07"/>
    <n v="1"/>
    <n v="-40"/>
    <n v="940"/>
  </r>
  <r>
    <x v="46"/>
    <s v="conventional_default_current_cai_724"/>
    <x v="764"/>
    <n v="1.07"/>
    <n v="1"/>
    <n v="-40"/>
    <n v="940"/>
  </r>
  <r>
    <x v="46"/>
    <s v="conventional_default_current_cai_725"/>
    <x v="765"/>
    <n v="1.07"/>
    <n v="1"/>
    <n v="-40"/>
    <n v="940"/>
  </r>
  <r>
    <x v="46"/>
    <s v="conventional_default_current_cai_726"/>
    <x v="766"/>
    <n v="1.07"/>
    <n v="1"/>
    <n v="-40"/>
    <n v="940"/>
  </r>
  <r>
    <x v="46"/>
    <s v="conventional_default_current_cai_727"/>
    <x v="767"/>
    <n v="1.07"/>
    <n v="1"/>
    <n v="-40"/>
    <n v="940"/>
  </r>
  <r>
    <x v="46"/>
    <s v="conventional_default_current_cai_728"/>
    <x v="768"/>
    <n v="1.07"/>
    <n v="1"/>
    <n v="-40"/>
    <n v="940"/>
  </r>
  <r>
    <x v="46"/>
    <s v="conventional_default_current_cai_729"/>
    <x v="769"/>
    <n v="1.07"/>
    <n v="1"/>
    <n v="-40"/>
    <n v="940"/>
  </r>
  <r>
    <x v="46"/>
    <s v="conventional_default_current_cai_730"/>
    <x v="770"/>
    <n v="1.07"/>
    <n v="1"/>
    <n v="-40"/>
    <n v="940"/>
  </r>
  <r>
    <x v="46"/>
    <s v="conventional_default_current_cai_731"/>
    <x v="771"/>
    <n v="1.07"/>
    <n v="1"/>
    <n v="-40"/>
    <n v="940"/>
  </r>
  <r>
    <x v="46"/>
    <s v="conventional_default_current_cai_732"/>
    <x v="772"/>
    <n v="1.07"/>
    <n v="1"/>
    <n v="-40"/>
    <n v="940"/>
  </r>
  <r>
    <x v="46"/>
    <s v="conventional_default_current_cai_733"/>
    <x v="773"/>
    <n v="1.07"/>
    <n v="1"/>
    <n v="-40"/>
    <n v="940"/>
  </r>
  <r>
    <x v="46"/>
    <s v="conventional_default_current_cai_734"/>
    <x v="774"/>
    <n v="1.07"/>
    <n v="1"/>
    <n v="-40"/>
    <n v="940"/>
  </r>
  <r>
    <x v="46"/>
    <s v="conventional_default_current_cai_735"/>
    <x v="775"/>
    <n v="1.07"/>
    <n v="1"/>
    <n v="-40"/>
    <n v="940"/>
  </r>
  <r>
    <x v="46"/>
    <s v="conventional_default_current_cai_736"/>
    <x v="776"/>
    <n v="1.07"/>
    <n v="1"/>
    <n v="-40"/>
    <n v="940"/>
  </r>
  <r>
    <x v="46"/>
    <s v="conventional_default_current_cai_737"/>
    <x v="777"/>
    <n v="1.07"/>
    <n v="1"/>
    <n v="-40"/>
    <n v="940"/>
  </r>
  <r>
    <x v="46"/>
    <s v="conventional_default_current_cai_738"/>
    <x v="778"/>
    <n v="1.07"/>
    <n v="1"/>
    <n v="-40"/>
    <n v="940"/>
  </r>
  <r>
    <x v="46"/>
    <s v="conventional_default_current_cai_739"/>
    <x v="779"/>
    <n v="1.07"/>
    <n v="1"/>
    <n v="-40"/>
    <n v="940"/>
  </r>
  <r>
    <x v="46"/>
    <s v="conventional_default_current_cai_740"/>
    <x v="780"/>
    <n v="1.07"/>
    <n v="1"/>
    <n v="-40"/>
    <n v="940"/>
  </r>
  <r>
    <x v="46"/>
    <s v="conventional_default_current_cai_741"/>
    <x v="781"/>
    <n v="1.07"/>
    <n v="1"/>
    <n v="-40"/>
    <n v="940"/>
  </r>
  <r>
    <x v="46"/>
    <s v="conventional_default_current_cai_742"/>
    <x v="782"/>
    <n v="1.07"/>
    <n v="1"/>
    <n v="-40"/>
    <n v="940"/>
  </r>
  <r>
    <x v="46"/>
    <s v="conventional_default_current_cai_743"/>
    <x v="783"/>
    <n v="1.07"/>
    <n v="1"/>
    <n v="-40"/>
    <n v="940"/>
  </r>
  <r>
    <x v="46"/>
    <s v="conventional_default_current_cai_744"/>
    <x v="784"/>
    <n v="1.07"/>
    <n v="1"/>
    <n v="-40"/>
    <n v="940"/>
  </r>
  <r>
    <x v="46"/>
    <s v="conventional_default_current_cai_745"/>
    <x v="785"/>
    <n v="1.07"/>
    <n v="1"/>
    <n v="-40"/>
    <n v="940"/>
  </r>
  <r>
    <x v="46"/>
    <s v="conventional_default_current_cai_746"/>
    <x v="786"/>
    <n v="1.07"/>
    <n v="1"/>
    <n v="-40"/>
    <n v="940"/>
  </r>
  <r>
    <x v="46"/>
    <s v="conventional_default_current_cai_747"/>
    <x v="787"/>
    <n v="1.07"/>
    <n v="1"/>
    <n v="-40"/>
    <n v="940"/>
  </r>
  <r>
    <x v="46"/>
    <s v="conventional_default_current_cai_748"/>
    <x v="788"/>
    <n v="1.07"/>
    <n v="1"/>
    <n v="-40"/>
    <n v="940"/>
  </r>
  <r>
    <x v="46"/>
    <s v="conventional_default_current_cai_749"/>
    <x v="789"/>
    <n v="1.07"/>
    <n v="1"/>
    <n v="-40"/>
    <n v="940"/>
  </r>
  <r>
    <x v="46"/>
    <s v="conventional_default_current_cai_750"/>
    <x v="790"/>
    <n v="1.07"/>
    <n v="1"/>
    <n v="-40"/>
    <n v="940"/>
  </r>
  <r>
    <x v="46"/>
    <s v="conventional_default_current_cai_751"/>
    <x v="791"/>
    <n v="1.07"/>
    <n v="1"/>
    <n v="-40"/>
    <n v="940"/>
  </r>
  <r>
    <x v="46"/>
    <s v="conventional_default_current_cai_752"/>
    <x v="792"/>
    <n v="1.07"/>
    <n v="1"/>
    <n v="-40"/>
    <n v="940"/>
  </r>
  <r>
    <x v="46"/>
    <s v="conventional_default_current_cai_753"/>
    <x v="793"/>
    <n v="1.07"/>
    <n v="1"/>
    <n v="-40"/>
    <n v="940"/>
  </r>
  <r>
    <x v="46"/>
    <s v="conventional_default_current_cai_754"/>
    <x v="794"/>
    <n v="1.07"/>
    <n v="1"/>
    <n v="-40"/>
    <n v="940"/>
  </r>
  <r>
    <x v="46"/>
    <s v="conventional_default_current_cai_755"/>
    <x v="795"/>
    <n v="1.07"/>
    <n v="1"/>
    <n v="-40"/>
    <n v="940"/>
  </r>
  <r>
    <x v="46"/>
    <s v="conventional_default_current_cai_756"/>
    <x v="796"/>
    <n v="1.07"/>
    <n v="1"/>
    <n v="-40"/>
    <n v="940"/>
  </r>
  <r>
    <x v="46"/>
    <s v="conventional_default_current_cai_757"/>
    <x v="797"/>
    <n v="1.07"/>
    <n v="1"/>
    <n v="-40"/>
    <n v="940"/>
  </r>
  <r>
    <x v="46"/>
    <s v="conventional_default_current_cai_758"/>
    <x v="798"/>
    <n v="1.07"/>
    <n v="1"/>
    <n v="-40"/>
    <n v="940"/>
  </r>
  <r>
    <x v="46"/>
    <s v="conventional_default_current_cai_759"/>
    <x v="799"/>
    <n v="1.07"/>
    <n v="1"/>
    <n v="-40"/>
    <n v="940"/>
  </r>
  <r>
    <x v="46"/>
    <s v="conventional_default_current_cai_760"/>
    <x v="800"/>
    <n v="1.07"/>
    <n v="1"/>
    <n v="-40"/>
    <n v="940"/>
  </r>
  <r>
    <x v="46"/>
    <s v="conventional_default_current_cai_761"/>
    <x v="801"/>
    <n v="1.07"/>
    <n v="1"/>
    <n v="-40"/>
    <n v="940"/>
  </r>
  <r>
    <x v="46"/>
    <s v="conventional_default_current_cai_762"/>
    <x v="802"/>
    <n v="1.07"/>
    <n v="1"/>
    <n v="-40"/>
    <n v="940"/>
  </r>
  <r>
    <x v="46"/>
    <s v="conventional_default_current_cai_763"/>
    <x v="803"/>
    <n v="1.07"/>
    <n v="1"/>
    <n v="-40"/>
    <n v="940"/>
  </r>
  <r>
    <x v="46"/>
    <s v="conventional_default_current_cai_764"/>
    <x v="804"/>
    <n v="1.07"/>
    <n v="1"/>
    <n v="-40"/>
    <n v="940"/>
  </r>
  <r>
    <x v="46"/>
    <s v="conventional_default_current_cai_765"/>
    <x v="805"/>
    <n v="1.07"/>
    <n v="1"/>
    <n v="-40"/>
    <n v="940"/>
  </r>
  <r>
    <x v="46"/>
    <s v="conventional_default_current_cai_766"/>
    <x v="806"/>
    <n v="1.07"/>
    <n v="1"/>
    <n v="-40"/>
    <n v="940"/>
  </r>
  <r>
    <x v="46"/>
    <s v="conventional_default_current_cai_767"/>
    <x v="807"/>
    <n v="1.07"/>
    <n v="1"/>
    <n v="-40"/>
    <n v="940"/>
  </r>
  <r>
    <x v="46"/>
    <s v="conventional_default_current_cai_768"/>
    <x v="808"/>
    <n v="1.07"/>
    <n v="1"/>
    <n v="-40"/>
    <n v="940"/>
  </r>
  <r>
    <x v="46"/>
    <s v="conventional_default_current_cai_769"/>
    <x v="809"/>
    <n v="1.07"/>
    <n v="1"/>
    <n v="-40"/>
    <n v="940"/>
  </r>
  <r>
    <x v="46"/>
    <s v="conventional_default_current_cai_770"/>
    <x v="810"/>
    <n v="1.07"/>
    <n v="1"/>
    <n v="-40"/>
    <n v="940"/>
  </r>
  <r>
    <x v="46"/>
    <s v="conventional_default_current_cai_771"/>
    <x v="811"/>
    <n v="1.07"/>
    <n v="1"/>
    <n v="-40"/>
    <n v="940"/>
  </r>
  <r>
    <x v="46"/>
    <s v="conventional_default_current_cai_772"/>
    <x v="812"/>
    <n v="1.07"/>
    <n v="1"/>
    <n v="-40"/>
    <n v="940"/>
  </r>
  <r>
    <x v="46"/>
    <s v="conventional_default_current_cai_773"/>
    <x v="813"/>
    <n v="1.07"/>
    <n v="1"/>
    <n v="-40"/>
    <n v="940"/>
  </r>
  <r>
    <x v="46"/>
    <s v="conventional_default_current_cai_774"/>
    <x v="814"/>
    <n v="1.07"/>
    <n v="1"/>
    <n v="-40"/>
    <n v="940"/>
  </r>
  <r>
    <x v="46"/>
    <s v="conventional_default_current_cai_775"/>
    <x v="815"/>
    <n v="1.07"/>
    <n v="1"/>
    <n v="-40"/>
    <n v="940"/>
  </r>
  <r>
    <x v="46"/>
    <s v="conventional_default_current_cai_776"/>
    <x v="816"/>
    <n v="1.07"/>
    <n v="1"/>
    <n v="-40"/>
    <n v="940"/>
  </r>
  <r>
    <x v="46"/>
    <s v="conventional_default_current_cai_777"/>
    <x v="817"/>
    <n v="1.07"/>
    <n v="1"/>
    <n v="-40"/>
    <n v="940"/>
  </r>
  <r>
    <x v="46"/>
    <s v="conventional_default_current_cai_778"/>
    <x v="818"/>
    <n v="1.07"/>
    <n v="1"/>
    <n v="-40"/>
    <n v="940"/>
  </r>
  <r>
    <x v="46"/>
    <s v="conventional_default_current_cai_779"/>
    <x v="819"/>
    <n v="1.07"/>
    <n v="1"/>
    <n v="-40"/>
    <n v="940"/>
  </r>
  <r>
    <x v="46"/>
    <s v="conventional_default_current_cai_780"/>
    <x v="820"/>
    <n v="1.07"/>
    <n v="1"/>
    <n v="-40"/>
    <n v="940"/>
  </r>
  <r>
    <x v="46"/>
    <s v="conventional_default_current_cai_781"/>
    <x v="821"/>
    <n v="1.07"/>
    <n v="1"/>
    <n v="-40"/>
    <n v="940"/>
  </r>
  <r>
    <x v="46"/>
    <s v="conventional_default_current_cai_782"/>
    <x v="822"/>
    <n v="1.07"/>
    <n v="1"/>
    <n v="-40"/>
    <n v="940"/>
  </r>
  <r>
    <x v="46"/>
    <s v="conventional_default_current_cai_783"/>
    <x v="823"/>
    <n v="1.07"/>
    <n v="1"/>
    <n v="-40"/>
    <n v="940"/>
  </r>
  <r>
    <x v="46"/>
    <s v="conventional_default_current_cai_784"/>
    <x v="824"/>
    <n v="1.07"/>
    <n v="1"/>
    <n v="-40"/>
    <n v="940"/>
  </r>
  <r>
    <x v="46"/>
    <s v="conventional_default_current_cai_785"/>
    <x v="825"/>
    <n v="1.07"/>
    <n v="1"/>
    <n v="-40"/>
    <n v="940"/>
  </r>
  <r>
    <x v="46"/>
    <s v="conventional_default_current_cai_786"/>
    <x v="826"/>
    <n v="1.07"/>
    <n v="1"/>
    <n v="-40"/>
    <n v="940"/>
  </r>
  <r>
    <x v="46"/>
    <s v="conventional_default_current_cai_787"/>
    <x v="827"/>
    <n v="1.07"/>
    <n v="1"/>
    <n v="-40"/>
    <n v="940"/>
  </r>
  <r>
    <x v="46"/>
    <s v="conventional_default_current_cai_788"/>
    <x v="828"/>
    <n v="1.07"/>
    <n v="1"/>
    <n v="-40"/>
    <n v="940"/>
  </r>
  <r>
    <x v="46"/>
    <s v="conventional_default_current_cai_789"/>
    <x v="829"/>
    <n v="1.07"/>
    <n v="1"/>
    <n v="-40"/>
    <n v="940"/>
  </r>
  <r>
    <x v="46"/>
    <s v="conventional_default_current_cai_790"/>
    <x v="830"/>
    <n v="1.07"/>
    <n v="1"/>
    <n v="-40"/>
    <n v="940"/>
  </r>
  <r>
    <x v="46"/>
    <s v="conventional_default_current_cai_791"/>
    <x v="831"/>
    <n v="1.07"/>
    <n v="1"/>
    <n v="-40"/>
    <n v="940"/>
  </r>
  <r>
    <x v="46"/>
    <s v="conventional_default_current_cai_792"/>
    <x v="832"/>
    <n v="1.07"/>
    <n v="1"/>
    <n v="-40"/>
    <n v="940"/>
  </r>
  <r>
    <x v="46"/>
    <s v="conventional_default_current_cai_793"/>
    <x v="833"/>
    <n v="1.07"/>
    <n v="1"/>
    <n v="-40"/>
    <n v="940"/>
  </r>
  <r>
    <x v="46"/>
    <s v="conventional_default_current_cai_794"/>
    <x v="834"/>
    <n v="1.07"/>
    <n v="1"/>
    <n v="-40"/>
    <n v="940"/>
  </r>
  <r>
    <x v="46"/>
    <s v="conventional_default_current_cai_795"/>
    <x v="835"/>
    <n v="1.07"/>
    <n v="1"/>
    <n v="-40"/>
    <n v="940"/>
  </r>
  <r>
    <x v="46"/>
    <s v="conventional_default_current_cai_796"/>
    <x v="836"/>
    <n v="1.07"/>
    <n v="1"/>
    <n v="-40"/>
    <n v="940"/>
  </r>
  <r>
    <x v="46"/>
    <s v="conventional_default_current_cai_797"/>
    <x v="837"/>
    <n v="1.07"/>
    <n v="1"/>
    <n v="-40"/>
    <n v="940"/>
  </r>
  <r>
    <x v="46"/>
    <s v="conventional_default_current_cai_798"/>
    <x v="838"/>
    <n v="1.07"/>
    <n v="1"/>
    <n v="-40"/>
    <n v="940"/>
  </r>
  <r>
    <x v="46"/>
    <s v="conventional_default_current_cai_799"/>
    <x v="839"/>
    <n v="1.07"/>
    <n v="1"/>
    <n v="-40"/>
    <n v="940"/>
  </r>
  <r>
    <x v="46"/>
    <s v="conventional_default_current_cai_800"/>
    <x v="840"/>
    <n v="1.07"/>
    <n v="1"/>
    <n v="-40"/>
    <n v="940"/>
  </r>
  <r>
    <x v="46"/>
    <s v="conventional_default_current_cai_801"/>
    <x v="841"/>
    <n v="1.07"/>
    <n v="1"/>
    <n v="-40"/>
    <n v="940"/>
  </r>
  <r>
    <x v="46"/>
    <s v="conventional_default_current_cai_802"/>
    <x v="842"/>
    <n v="1.07"/>
    <n v="1"/>
    <n v="-40"/>
    <n v="940"/>
  </r>
  <r>
    <x v="46"/>
    <s v="conventional_default_current_cai_803"/>
    <x v="843"/>
    <n v="1.07"/>
    <n v="1"/>
    <n v="-40"/>
    <n v="940"/>
  </r>
  <r>
    <x v="46"/>
    <s v="conventional_default_current_cai_804"/>
    <x v="844"/>
    <n v="1.07"/>
    <n v="1"/>
    <n v="-40"/>
    <n v="940"/>
  </r>
  <r>
    <x v="46"/>
    <s v="conventional_default_current_cai_805"/>
    <x v="845"/>
    <n v="1.07"/>
    <n v="1"/>
    <n v="-40"/>
    <n v="940"/>
  </r>
  <r>
    <x v="46"/>
    <s v="conventional_default_current_cai_806"/>
    <x v="846"/>
    <n v="1.07"/>
    <n v="1"/>
    <n v="-40"/>
    <n v="940"/>
  </r>
  <r>
    <x v="46"/>
    <s v="conventional_default_current_cai_807"/>
    <x v="847"/>
    <n v="1.07"/>
    <n v="1"/>
    <n v="-40"/>
    <n v="940"/>
  </r>
  <r>
    <x v="46"/>
    <s v="conventional_default_current_cai_808"/>
    <x v="848"/>
    <n v="1.07"/>
    <n v="1"/>
    <n v="-40"/>
    <n v="940"/>
  </r>
  <r>
    <x v="46"/>
    <s v="conventional_default_current_cai_809"/>
    <x v="849"/>
    <n v="1.07"/>
    <n v="1"/>
    <n v="-40"/>
    <n v="940"/>
  </r>
  <r>
    <x v="46"/>
    <s v="conventional_default_current_cai_810"/>
    <x v="850"/>
    <n v="1.07"/>
    <n v="1"/>
    <n v="-40"/>
    <n v="940"/>
  </r>
  <r>
    <x v="46"/>
    <s v="conventional_default_current_cai_811"/>
    <x v="851"/>
    <n v="1.07"/>
    <n v="1"/>
    <n v="-40"/>
    <n v="940"/>
  </r>
  <r>
    <x v="46"/>
    <s v="conventional_default_current_cai_812"/>
    <x v="852"/>
    <n v="1.07"/>
    <n v="1"/>
    <n v="-40"/>
    <n v="940"/>
  </r>
  <r>
    <x v="46"/>
    <s v="conventional_default_current_cai_813"/>
    <x v="853"/>
    <n v="1.07"/>
    <n v="1"/>
    <n v="-40"/>
    <n v="940"/>
  </r>
  <r>
    <x v="46"/>
    <s v="conventional_default_current_cai_814"/>
    <x v="854"/>
    <n v="1.07"/>
    <n v="1"/>
    <n v="-40"/>
    <n v="940"/>
  </r>
  <r>
    <x v="46"/>
    <s v="conventional_default_current_cai_815"/>
    <x v="855"/>
    <n v="1.07"/>
    <n v="1"/>
    <n v="-40"/>
    <n v="940"/>
  </r>
  <r>
    <x v="46"/>
    <s v="conventional_default_current_cai_816"/>
    <x v="856"/>
    <n v="1.07"/>
    <n v="1"/>
    <n v="-40"/>
    <n v="940"/>
  </r>
  <r>
    <x v="46"/>
    <s v="conventional_default_current_cai_817"/>
    <x v="857"/>
    <n v="1.07"/>
    <n v="1"/>
    <n v="-40"/>
    <n v="940"/>
  </r>
  <r>
    <x v="46"/>
    <s v="conventional_default_current_cai_818"/>
    <x v="858"/>
    <n v="1.07"/>
    <n v="1"/>
    <n v="-40"/>
    <n v="940"/>
  </r>
  <r>
    <x v="46"/>
    <s v="conventional_default_current_cai_819"/>
    <x v="859"/>
    <n v="1.07"/>
    <n v="1"/>
    <n v="-40"/>
    <n v="940"/>
  </r>
  <r>
    <x v="46"/>
    <s v="conventional_default_current_cai_820"/>
    <x v="860"/>
    <n v="1.07"/>
    <n v="1"/>
    <n v="-40"/>
    <n v="940"/>
  </r>
  <r>
    <x v="46"/>
    <s v="conventional_default_current_cai_821"/>
    <x v="861"/>
    <n v="1.07"/>
    <n v="1"/>
    <n v="-40"/>
    <n v="940"/>
  </r>
  <r>
    <x v="46"/>
    <s v="conventional_default_current_cai_822"/>
    <x v="862"/>
    <n v="1.07"/>
    <n v="1"/>
    <n v="-40"/>
    <n v="940"/>
  </r>
  <r>
    <x v="46"/>
    <s v="conventional_default_current_cai_823"/>
    <x v="863"/>
    <n v="1.07"/>
    <n v="1"/>
    <n v="-40"/>
    <n v="940"/>
  </r>
  <r>
    <x v="46"/>
    <s v="conventional_default_current_cai_824"/>
    <x v="864"/>
    <n v="1.07"/>
    <n v="1"/>
    <n v="-40"/>
    <n v="940"/>
  </r>
  <r>
    <x v="46"/>
    <s v="conventional_default_current_cai_825"/>
    <x v="865"/>
    <n v="1.07"/>
    <n v="1"/>
    <n v="-40"/>
    <n v="940"/>
  </r>
  <r>
    <x v="46"/>
    <s v="conventional_default_current_cai_826"/>
    <x v="866"/>
    <n v="1.07"/>
    <n v="1"/>
    <n v="-40"/>
    <n v="940"/>
  </r>
  <r>
    <x v="46"/>
    <s v="conventional_default_current_cai_827"/>
    <x v="867"/>
    <n v="1.07"/>
    <n v="1"/>
    <n v="-40"/>
    <n v="940"/>
  </r>
  <r>
    <x v="46"/>
    <s v="conventional_default_current_cai_828"/>
    <x v="868"/>
    <n v="1.07"/>
    <n v="1"/>
    <n v="-40"/>
    <n v="940"/>
  </r>
  <r>
    <x v="46"/>
    <s v="conventional_default_current_cai_829"/>
    <x v="869"/>
    <n v="1.07"/>
    <n v="1"/>
    <n v="-40"/>
    <n v="940"/>
  </r>
  <r>
    <x v="46"/>
    <s v="conventional_default_current_cai_830"/>
    <x v="870"/>
    <n v="1.07"/>
    <n v="1"/>
    <n v="-40"/>
    <n v="940"/>
  </r>
  <r>
    <x v="46"/>
    <s v="conventional_default_current_cai_831"/>
    <x v="871"/>
    <n v="1.07"/>
    <n v="1"/>
    <n v="-40"/>
    <n v="940"/>
  </r>
  <r>
    <x v="46"/>
    <s v="conventional_default_current_cai_832"/>
    <x v="872"/>
    <n v="1.07"/>
    <n v="1"/>
    <n v="-40"/>
    <n v="940"/>
  </r>
  <r>
    <x v="46"/>
    <s v="conventional_default_current_cai_833"/>
    <x v="873"/>
    <n v="1.07"/>
    <n v="1"/>
    <n v="-40"/>
    <n v="940"/>
  </r>
  <r>
    <x v="46"/>
    <s v="conventional_default_current_cai_834"/>
    <x v="874"/>
    <n v="1.07"/>
    <n v="1"/>
    <n v="-40"/>
    <n v="940"/>
  </r>
  <r>
    <x v="46"/>
    <s v="conventional_default_current_cai_835"/>
    <x v="875"/>
    <n v="1.07"/>
    <n v="1"/>
    <n v="-40"/>
    <n v="940"/>
  </r>
  <r>
    <x v="46"/>
    <s v="conventional_default_current_cai_836"/>
    <x v="876"/>
    <n v="1.07"/>
    <n v="1"/>
    <n v="-40"/>
    <n v="940"/>
  </r>
  <r>
    <x v="46"/>
    <s v="conventional_default_current_cai_837"/>
    <x v="877"/>
    <n v="1.07"/>
    <n v="1"/>
    <n v="-40"/>
    <n v="940"/>
  </r>
  <r>
    <x v="46"/>
    <s v="conventional_default_current_cai_838"/>
    <x v="878"/>
    <n v="1.07"/>
    <n v="1"/>
    <n v="-40"/>
    <n v="940"/>
  </r>
  <r>
    <x v="46"/>
    <s v="conventional_default_current_cai_839"/>
    <x v="879"/>
    <n v="1.07"/>
    <n v="1"/>
    <n v="-40"/>
    <n v="940"/>
  </r>
  <r>
    <x v="46"/>
    <s v="conventional_default_current_cai_840"/>
    <x v="880"/>
    <n v="1.07"/>
    <n v="1"/>
    <n v="-40"/>
    <n v="940"/>
  </r>
  <r>
    <x v="46"/>
    <s v="conventional_default_current_cai_841"/>
    <x v="881"/>
    <n v="1.07"/>
    <n v="1"/>
    <n v="-40"/>
    <n v="940"/>
  </r>
  <r>
    <x v="46"/>
    <s v="conventional_default_current_cai_842"/>
    <x v="882"/>
    <n v="1.07"/>
    <n v="1"/>
    <n v="-40"/>
    <n v="940"/>
  </r>
  <r>
    <x v="46"/>
    <s v="conventional_default_current_cai_843"/>
    <x v="883"/>
    <n v="1.07"/>
    <n v="1"/>
    <n v="-40"/>
    <n v="940"/>
  </r>
  <r>
    <x v="46"/>
    <s v="conventional_default_current_cai_844"/>
    <x v="884"/>
    <n v="1.07"/>
    <n v="1"/>
    <n v="-40"/>
    <n v="940"/>
  </r>
  <r>
    <x v="46"/>
    <s v="conventional_default_current_cai_845"/>
    <x v="885"/>
    <n v="1.07"/>
    <n v="1"/>
    <n v="-40"/>
    <n v="940"/>
  </r>
  <r>
    <x v="46"/>
    <s v="conventional_default_current_cai_846"/>
    <x v="886"/>
    <n v="1.07"/>
    <n v="1"/>
    <n v="-40"/>
    <n v="940"/>
  </r>
  <r>
    <x v="46"/>
    <s v="conventional_default_current_cai_847"/>
    <x v="887"/>
    <n v="1.07"/>
    <n v="1"/>
    <n v="-40"/>
    <n v="940"/>
  </r>
  <r>
    <x v="46"/>
    <s v="conventional_default_current_cai_848"/>
    <x v="888"/>
    <n v="1.07"/>
    <n v="1"/>
    <n v="-40"/>
    <n v="940"/>
  </r>
  <r>
    <x v="46"/>
    <s v="conventional_default_current_cai_849"/>
    <x v="889"/>
    <n v="1.07"/>
    <n v="1"/>
    <n v="-40"/>
    <n v="940"/>
  </r>
  <r>
    <x v="46"/>
    <s v="conventional_default_current_cai_850"/>
    <x v="890"/>
    <n v="1.07"/>
    <n v="1"/>
    <n v="-40"/>
    <n v="940"/>
  </r>
  <r>
    <x v="46"/>
    <s v="conventional_default_current_cai_851"/>
    <x v="891"/>
    <n v="1.07"/>
    <n v="1"/>
    <n v="-40"/>
    <n v="940"/>
  </r>
  <r>
    <x v="46"/>
    <s v="conventional_default_current_cai_852"/>
    <x v="892"/>
    <n v="1.07"/>
    <n v="1"/>
    <n v="-40"/>
    <n v="940"/>
  </r>
  <r>
    <x v="46"/>
    <s v="conventional_default_current_cai_853"/>
    <x v="893"/>
    <n v="1.07"/>
    <n v="1"/>
    <n v="-40"/>
    <n v="940"/>
  </r>
  <r>
    <x v="46"/>
    <s v="conventional_default_current_cai_854"/>
    <x v="894"/>
    <n v="1.07"/>
    <n v="1"/>
    <n v="-40"/>
    <n v="940"/>
  </r>
  <r>
    <x v="46"/>
    <s v="conventional_default_current_cai_855"/>
    <x v="895"/>
    <n v="1.07"/>
    <n v="1"/>
    <n v="-40"/>
    <n v="940"/>
  </r>
  <r>
    <x v="46"/>
    <s v="conventional_default_current_cai_856"/>
    <x v="896"/>
    <n v="1.07"/>
    <n v="1"/>
    <n v="-40"/>
    <n v="940"/>
  </r>
  <r>
    <x v="46"/>
    <s v="conventional_default_current_cai_857"/>
    <x v="897"/>
    <n v="1.07"/>
    <n v="1"/>
    <n v="-40"/>
    <n v="940"/>
  </r>
  <r>
    <x v="46"/>
    <s v="conventional_default_current_cai_858"/>
    <x v="898"/>
    <n v="1.07"/>
    <n v="1"/>
    <n v="-40"/>
    <n v="940"/>
  </r>
  <r>
    <x v="46"/>
    <s v="conventional_default_current_cai_859"/>
    <x v="899"/>
    <n v="1.07"/>
    <n v="1"/>
    <n v="-40"/>
    <n v="940"/>
  </r>
  <r>
    <x v="46"/>
    <s v="conventional_default_current_cai_860"/>
    <x v="900"/>
    <n v="1.07"/>
    <n v="1"/>
    <n v="-40"/>
    <n v="940"/>
  </r>
  <r>
    <x v="46"/>
    <s v="conventional_default_current_cai_861"/>
    <x v="901"/>
    <n v="1.07"/>
    <n v="1"/>
    <n v="-40"/>
    <n v="940"/>
  </r>
  <r>
    <x v="46"/>
    <s v="conventional_default_current_cai_862"/>
    <x v="902"/>
    <n v="1.07"/>
    <n v="1"/>
    <n v="-40"/>
    <n v="940"/>
  </r>
  <r>
    <x v="46"/>
    <s v="conventional_default_current_cai_863"/>
    <x v="903"/>
    <n v="1.07"/>
    <n v="1"/>
    <n v="-40"/>
    <n v="940"/>
  </r>
  <r>
    <x v="46"/>
    <s v="conventional_default_current_cai_864"/>
    <x v="904"/>
    <n v="1.07"/>
    <n v="1"/>
    <n v="-40"/>
    <n v="940"/>
  </r>
  <r>
    <x v="46"/>
    <s v="conventional_default_current_cai_865"/>
    <x v="905"/>
    <n v="1.07"/>
    <n v="1"/>
    <n v="-40"/>
    <n v="940"/>
  </r>
  <r>
    <x v="46"/>
    <s v="conventional_default_current_cai_866"/>
    <x v="906"/>
    <n v="1.07"/>
    <n v="1"/>
    <n v="-40"/>
    <n v="940"/>
  </r>
  <r>
    <x v="46"/>
    <s v="conventional_default_current_cai_867"/>
    <x v="907"/>
    <n v="1.07"/>
    <n v="1"/>
    <n v="-40"/>
    <n v="940"/>
  </r>
  <r>
    <x v="46"/>
    <s v="conventional_default_current_cai_868"/>
    <x v="908"/>
    <n v="1.07"/>
    <n v="1"/>
    <n v="-40"/>
    <n v="940"/>
  </r>
  <r>
    <x v="46"/>
    <s v="conventional_default_current_cai_869"/>
    <x v="909"/>
    <n v="1.07"/>
    <n v="1"/>
    <n v="-40"/>
    <n v="940"/>
  </r>
  <r>
    <x v="46"/>
    <s v="conventional_default_current_cai_870"/>
    <x v="910"/>
    <n v="1.07"/>
    <n v="1"/>
    <n v="-40"/>
    <n v="940"/>
  </r>
  <r>
    <x v="46"/>
    <s v="conventional_default_current_cai_871"/>
    <x v="911"/>
    <n v="1.07"/>
    <n v="1"/>
    <n v="-40"/>
    <n v="940"/>
  </r>
  <r>
    <x v="46"/>
    <s v="conventional_default_current_cai_872"/>
    <x v="912"/>
    <n v="1.07"/>
    <n v="1"/>
    <n v="-40"/>
    <n v="940"/>
  </r>
  <r>
    <x v="46"/>
    <s v="conventional_default_current_cai_873"/>
    <x v="913"/>
    <n v="1.07"/>
    <n v="1"/>
    <n v="-40"/>
    <n v="940"/>
  </r>
  <r>
    <x v="46"/>
    <s v="conventional_default_current_cai_874"/>
    <x v="914"/>
    <n v="1.07"/>
    <n v="1"/>
    <n v="-40"/>
    <n v="940"/>
  </r>
  <r>
    <x v="46"/>
    <s v="conventional_default_current_cai_875"/>
    <x v="915"/>
    <n v="1.07"/>
    <n v="1"/>
    <n v="-40"/>
    <n v="940"/>
  </r>
  <r>
    <x v="46"/>
    <s v="conventional_default_current_cai_876"/>
    <x v="916"/>
    <n v="1.07"/>
    <n v="1"/>
    <n v="-40"/>
    <n v="940"/>
  </r>
  <r>
    <x v="46"/>
    <s v="conventional_default_current_cai_877"/>
    <x v="917"/>
    <n v="1.07"/>
    <n v="1"/>
    <n v="-40"/>
    <n v="940"/>
  </r>
  <r>
    <x v="46"/>
    <s v="conventional_default_current_cai_878"/>
    <x v="918"/>
    <n v="1.07"/>
    <n v="1"/>
    <n v="-40"/>
    <n v="940"/>
  </r>
  <r>
    <x v="46"/>
    <s v="conventional_default_current_cai_879"/>
    <x v="919"/>
    <n v="1.07"/>
    <n v="1"/>
    <n v="-40"/>
    <n v="940"/>
  </r>
  <r>
    <x v="46"/>
    <s v="conventional_default_current_cai_880"/>
    <x v="920"/>
    <n v="1.07"/>
    <n v="1"/>
    <n v="-40"/>
    <n v="940"/>
  </r>
  <r>
    <x v="46"/>
    <s v="conventional_default_current_cai_881"/>
    <x v="921"/>
    <n v="1.07"/>
    <n v="1"/>
    <n v="-40"/>
    <n v="940"/>
  </r>
  <r>
    <x v="46"/>
    <s v="conventional_default_current_cai_882"/>
    <x v="922"/>
    <n v="1.07"/>
    <n v="1"/>
    <n v="-40"/>
    <n v="940"/>
  </r>
  <r>
    <x v="46"/>
    <s v="conventional_default_current_cai_883"/>
    <x v="923"/>
    <n v="1.07"/>
    <n v="1"/>
    <n v="-40"/>
    <n v="940"/>
  </r>
  <r>
    <x v="46"/>
    <s v="conventional_default_current_cai_884"/>
    <x v="924"/>
    <n v="1.07"/>
    <n v="1"/>
    <n v="-40"/>
    <n v="940"/>
  </r>
  <r>
    <x v="46"/>
    <s v="conventional_default_current_cai_885"/>
    <x v="925"/>
    <n v="1.07"/>
    <n v="1"/>
    <n v="-40"/>
    <n v="940"/>
  </r>
  <r>
    <x v="46"/>
    <s v="conventional_default_current_cai_886"/>
    <x v="926"/>
    <n v="1.07"/>
    <n v="1"/>
    <n v="-40"/>
    <n v="940"/>
  </r>
  <r>
    <x v="46"/>
    <s v="conventional_default_current_cai_887"/>
    <x v="927"/>
    <n v="1.07"/>
    <n v="1"/>
    <n v="-40"/>
    <n v="940"/>
  </r>
  <r>
    <x v="46"/>
    <s v="conventional_default_current_cai_888"/>
    <x v="928"/>
    <n v="1.07"/>
    <n v="1"/>
    <n v="-40"/>
    <n v="940"/>
  </r>
  <r>
    <x v="46"/>
    <s v="conventional_default_current_cai_889"/>
    <x v="929"/>
    <n v="1.07"/>
    <n v="1"/>
    <n v="-40"/>
    <n v="940"/>
  </r>
  <r>
    <x v="46"/>
    <s v="conventional_default_current_cai_890"/>
    <x v="930"/>
    <n v="1.07"/>
    <n v="1"/>
    <n v="-40"/>
    <n v="940"/>
  </r>
  <r>
    <x v="46"/>
    <s v="conventional_default_current_cai_891"/>
    <x v="931"/>
    <n v="1.07"/>
    <n v="1"/>
    <n v="-40"/>
    <n v="940"/>
  </r>
  <r>
    <x v="46"/>
    <s v="conventional_default_current_cai_892"/>
    <x v="932"/>
    <n v="1.07"/>
    <n v="1"/>
    <n v="-40"/>
    <n v="940"/>
  </r>
  <r>
    <x v="46"/>
    <s v="conventional_default_current_cai_893"/>
    <x v="933"/>
    <n v="1.07"/>
    <n v="1"/>
    <n v="-40"/>
    <n v="940"/>
  </r>
  <r>
    <x v="46"/>
    <s v="conventional_default_current_cai_894"/>
    <x v="934"/>
    <n v="1.07"/>
    <n v="1"/>
    <n v="-40"/>
    <n v="940"/>
  </r>
  <r>
    <x v="46"/>
    <s v="conventional_default_current_cai_895"/>
    <x v="935"/>
    <n v="1.07"/>
    <n v="1"/>
    <n v="-40"/>
    <n v="940"/>
  </r>
  <r>
    <x v="46"/>
    <s v="conventional_default_current_cai_896"/>
    <x v="936"/>
    <n v="1.07"/>
    <n v="1"/>
    <n v="-40"/>
    <n v="940"/>
  </r>
  <r>
    <x v="46"/>
    <s v="conventional_default_current_cai_897"/>
    <x v="937"/>
    <n v="1.07"/>
    <n v="1"/>
    <n v="-40"/>
    <n v="940"/>
  </r>
  <r>
    <x v="46"/>
    <s v="conventional_default_current_cai_898"/>
    <x v="938"/>
    <n v="1.07"/>
    <n v="1"/>
    <n v="-40"/>
    <n v="940"/>
  </r>
  <r>
    <x v="46"/>
    <s v="conventional_default_current_cai_899"/>
    <x v="939"/>
    <n v="1.07"/>
    <n v="1"/>
    <n v="-40"/>
    <n v="940"/>
  </r>
  <r>
    <x v="46"/>
    <s v="conventional_default_current_cai_900"/>
    <x v="940"/>
    <n v="1.07"/>
    <n v="1"/>
    <n v="-40"/>
    <n v="940"/>
  </r>
  <r>
    <x v="46"/>
    <s v="conventional_default_current_cai_901"/>
    <x v="941"/>
    <n v="1.07"/>
    <n v="1"/>
    <n v="-40"/>
    <n v="940"/>
  </r>
  <r>
    <x v="46"/>
    <s v="conventional_default_current_cai_902"/>
    <x v="942"/>
    <n v="1.07"/>
    <n v="1"/>
    <n v="-40"/>
    <n v="940"/>
  </r>
  <r>
    <x v="46"/>
    <s v="conventional_default_current_cai_903"/>
    <x v="943"/>
    <n v="1.07"/>
    <n v="1"/>
    <n v="-40"/>
    <n v="940"/>
  </r>
  <r>
    <x v="46"/>
    <s v="conventional_default_current_cai_904"/>
    <x v="944"/>
    <n v="1.07"/>
    <n v="1"/>
    <n v="-40"/>
    <n v="940"/>
  </r>
  <r>
    <x v="46"/>
    <s v="conventional_default_current_cai_905"/>
    <x v="945"/>
    <n v="1.07"/>
    <n v="1"/>
    <n v="-40"/>
    <n v="940"/>
  </r>
  <r>
    <x v="46"/>
    <s v="conventional_default_current_cai_906"/>
    <x v="946"/>
    <n v="1.07"/>
    <n v="1"/>
    <n v="-40"/>
    <n v="940"/>
  </r>
  <r>
    <x v="46"/>
    <s v="conventional_default_current_cai_907"/>
    <x v="947"/>
    <n v="1.07"/>
    <n v="1"/>
    <n v="-40"/>
    <n v="940"/>
  </r>
  <r>
    <x v="46"/>
    <s v="conventional_default_current_cai_908"/>
    <x v="948"/>
    <n v="1.07"/>
    <n v="1"/>
    <n v="-40"/>
    <n v="940"/>
  </r>
  <r>
    <x v="46"/>
    <s v="conventional_default_current_cai_909"/>
    <x v="949"/>
    <n v="1.07"/>
    <n v="1"/>
    <n v="-40"/>
    <n v="940"/>
  </r>
  <r>
    <x v="46"/>
    <s v="conventional_default_current_cai_910"/>
    <x v="950"/>
    <n v="1.07"/>
    <n v="1"/>
    <n v="-40"/>
    <n v="940"/>
  </r>
  <r>
    <x v="46"/>
    <s v="conventional_default_current_cai_911"/>
    <x v="951"/>
    <n v="1.07"/>
    <n v="1"/>
    <n v="-40"/>
    <n v="940"/>
  </r>
  <r>
    <x v="46"/>
    <s v="conventional_default_current_cai_912"/>
    <x v="952"/>
    <n v="1.07"/>
    <n v="1"/>
    <n v="-40"/>
    <n v="940"/>
  </r>
  <r>
    <x v="46"/>
    <s v="conventional_default_current_cai_913"/>
    <x v="953"/>
    <n v="1.07"/>
    <n v="1"/>
    <n v="-40"/>
    <n v="940"/>
  </r>
  <r>
    <x v="46"/>
    <s v="conventional_default_current_cai_914"/>
    <x v="954"/>
    <n v="1.07"/>
    <n v="1"/>
    <n v="-40"/>
    <n v="940"/>
  </r>
  <r>
    <x v="46"/>
    <s v="conventional_default_current_cai_915"/>
    <x v="955"/>
    <n v="1.07"/>
    <n v="1"/>
    <n v="-40"/>
    <n v="940"/>
  </r>
  <r>
    <x v="46"/>
    <s v="conventional_default_current_cai_916"/>
    <x v="956"/>
    <n v="1.07"/>
    <n v="1"/>
    <n v="-40"/>
    <n v="940"/>
  </r>
  <r>
    <x v="46"/>
    <s v="conventional_default_current_cai_917"/>
    <x v="957"/>
    <n v="1.07"/>
    <n v="1"/>
    <n v="-40"/>
    <n v="940"/>
  </r>
  <r>
    <x v="46"/>
    <s v="conventional_default_current_cai_918"/>
    <x v="958"/>
    <n v="1.07"/>
    <n v="1"/>
    <n v="-40"/>
    <n v="940"/>
  </r>
  <r>
    <x v="46"/>
    <s v="conventional_default_current_cai_919"/>
    <x v="959"/>
    <n v="1.07"/>
    <n v="1"/>
    <n v="-40"/>
    <n v="940"/>
  </r>
  <r>
    <x v="46"/>
    <s v="conventional_default_current_cai_920"/>
    <x v="960"/>
    <n v="1.07"/>
    <n v="1"/>
    <n v="-40"/>
    <n v="940"/>
  </r>
  <r>
    <x v="46"/>
    <s v="conventional_default_current_cai_921"/>
    <x v="961"/>
    <n v="1.07"/>
    <n v="1"/>
    <n v="-40"/>
    <n v="940"/>
  </r>
  <r>
    <x v="46"/>
    <s v="conventional_default_current_cai_922"/>
    <x v="962"/>
    <n v="1.07"/>
    <n v="1"/>
    <n v="-40"/>
    <n v="940"/>
  </r>
  <r>
    <x v="46"/>
    <s v="conventional_default_current_cai_923"/>
    <x v="963"/>
    <n v="1.07"/>
    <n v="1"/>
    <n v="-40"/>
    <n v="940"/>
  </r>
  <r>
    <x v="46"/>
    <s v="conventional_default_current_cai_924"/>
    <x v="964"/>
    <n v="1.07"/>
    <n v="1"/>
    <n v="-40"/>
    <n v="940"/>
  </r>
  <r>
    <x v="46"/>
    <s v="conventional_default_current_cai_925"/>
    <x v="965"/>
    <n v="1.07"/>
    <n v="1"/>
    <n v="-40"/>
    <n v="940"/>
  </r>
  <r>
    <x v="46"/>
    <s v="conventional_default_current_cai_926"/>
    <x v="966"/>
    <n v="1.07"/>
    <n v="1"/>
    <n v="-40"/>
    <n v="940"/>
  </r>
  <r>
    <x v="46"/>
    <s v="conventional_default_current_cai_927"/>
    <x v="967"/>
    <n v="1.07"/>
    <n v="1"/>
    <n v="-40"/>
    <n v="940"/>
  </r>
  <r>
    <x v="46"/>
    <s v="conventional_default_current_cai_928"/>
    <x v="968"/>
    <n v="1.07"/>
    <n v="1"/>
    <n v="-40"/>
    <n v="940"/>
  </r>
  <r>
    <x v="46"/>
    <s v="conventional_default_current_cai_929"/>
    <x v="969"/>
    <n v="1.07"/>
    <n v="1"/>
    <n v="-40"/>
    <n v="940"/>
  </r>
  <r>
    <x v="46"/>
    <s v="conventional_default_current_cai_930"/>
    <x v="970"/>
    <n v="1.07"/>
    <n v="1"/>
    <n v="-40"/>
    <n v="940"/>
  </r>
  <r>
    <x v="46"/>
    <s v="conventional_default_current_cai_931"/>
    <x v="971"/>
    <n v="1.07"/>
    <n v="1"/>
    <n v="-40"/>
    <n v="940"/>
  </r>
  <r>
    <x v="46"/>
    <s v="conventional_default_current_cai_932"/>
    <x v="972"/>
    <n v="1.07"/>
    <n v="1"/>
    <n v="-40"/>
    <n v="940"/>
  </r>
  <r>
    <x v="46"/>
    <s v="conventional_default_current_cai_933"/>
    <x v="973"/>
    <n v="1.07"/>
    <n v="1"/>
    <n v="-40"/>
    <n v="940"/>
  </r>
  <r>
    <x v="46"/>
    <s v="conventional_default_current_cai_934"/>
    <x v="974"/>
    <n v="1.07"/>
    <n v="1"/>
    <n v="-40"/>
    <n v="940"/>
  </r>
  <r>
    <x v="46"/>
    <s v="conventional_default_current_cai_935"/>
    <x v="975"/>
    <n v="1.07"/>
    <n v="1"/>
    <n v="-40"/>
    <n v="940"/>
  </r>
  <r>
    <x v="46"/>
    <s v="conventional_default_current_cai_936"/>
    <x v="976"/>
    <n v="1.07"/>
    <n v="1"/>
    <n v="-40"/>
    <n v="940"/>
  </r>
  <r>
    <x v="46"/>
    <s v="conventional_default_current_cai_937"/>
    <x v="977"/>
    <n v="1.07"/>
    <n v="1"/>
    <n v="-40"/>
    <n v="940"/>
  </r>
  <r>
    <x v="46"/>
    <s v="conventional_default_current_cai_938"/>
    <x v="978"/>
    <n v="1.07"/>
    <n v="1"/>
    <n v="-40"/>
    <n v="940"/>
  </r>
  <r>
    <x v="46"/>
    <s v="conventional_default_current_cai_939"/>
    <x v="979"/>
    <n v="1.07"/>
    <n v="1"/>
    <n v="-40"/>
    <n v="940"/>
  </r>
  <r>
    <x v="46"/>
    <s v="conventional_default_current_cai_940"/>
    <x v="980"/>
    <n v="1.07"/>
    <n v="1"/>
    <n v="-40"/>
    <n v="940"/>
  </r>
  <r>
    <x v="47"/>
    <s v="conventional_default_current_wala_-66"/>
    <x v="1205"/>
    <n v="-0.7"/>
    <n v="1"/>
    <n v="-66"/>
    <n v="396"/>
  </r>
  <r>
    <x v="47"/>
    <s v="conventional_default_current_wala_-65"/>
    <x v="1206"/>
    <n v="-0.68833333333333302"/>
    <n v="1"/>
    <n v="-66"/>
    <n v="396"/>
  </r>
  <r>
    <x v="47"/>
    <s v="conventional_default_current_wala_-64"/>
    <x v="1207"/>
    <n v="-0.67666666666666697"/>
    <n v="1"/>
    <n v="-66"/>
    <n v="396"/>
  </r>
  <r>
    <x v="47"/>
    <s v="conventional_default_current_wala_-63"/>
    <x v="1208"/>
    <n v="-0.66500000000000004"/>
    <n v="1"/>
    <n v="-66"/>
    <n v="396"/>
  </r>
  <r>
    <x v="47"/>
    <s v="conventional_default_current_wala_-62"/>
    <x v="1209"/>
    <n v="-0.65333333333333299"/>
    <n v="1"/>
    <n v="-66"/>
    <n v="396"/>
  </r>
  <r>
    <x v="47"/>
    <s v="conventional_default_current_wala_-61"/>
    <x v="1210"/>
    <n v="-0.64166666666666705"/>
    <n v="1"/>
    <n v="-66"/>
    <n v="396"/>
  </r>
  <r>
    <x v="47"/>
    <s v="conventional_default_current_wala_-60"/>
    <x v="1211"/>
    <n v="-0.63"/>
    <n v="1"/>
    <n v="-66"/>
    <n v="396"/>
  </r>
  <r>
    <x v="47"/>
    <s v="conventional_default_current_wala_-59"/>
    <x v="1212"/>
    <n v="-0.61833333333333296"/>
    <n v="1"/>
    <n v="-66"/>
    <n v="396"/>
  </r>
  <r>
    <x v="47"/>
    <s v="conventional_default_current_wala_-58"/>
    <x v="1213"/>
    <n v="-0.60666666666666702"/>
    <n v="1"/>
    <n v="-66"/>
    <n v="396"/>
  </r>
  <r>
    <x v="47"/>
    <s v="conventional_default_current_wala_-57"/>
    <x v="1214"/>
    <n v="-0.59499999999999997"/>
    <n v="1"/>
    <n v="-66"/>
    <n v="396"/>
  </r>
  <r>
    <x v="47"/>
    <s v="conventional_default_current_wala_-56"/>
    <x v="1215"/>
    <n v="-0.58333333333333304"/>
    <n v="1"/>
    <n v="-66"/>
    <n v="396"/>
  </r>
  <r>
    <x v="47"/>
    <s v="conventional_default_current_wala_-55"/>
    <x v="1216"/>
    <n v="-0.57166666666666699"/>
    <n v="1"/>
    <n v="-66"/>
    <n v="396"/>
  </r>
  <r>
    <x v="47"/>
    <s v="conventional_default_current_wala_-54"/>
    <x v="1217"/>
    <n v="-0.56000000000000005"/>
    <n v="1"/>
    <n v="-66"/>
    <n v="396"/>
  </r>
  <r>
    <x v="47"/>
    <s v="conventional_default_current_wala_-53"/>
    <x v="1218"/>
    <n v="-0.54833333333333301"/>
    <n v="1"/>
    <n v="-66"/>
    <n v="396"/>
  </r>
  <r>
    <x v="47"/>
    <s v="conventional_default_current_wala_-52"/>
    <x v="1219"/>
    <n v="-0.53666666666666696"/>
    <n v="1"/>
    <n v="-66"/>
    <n v="396"/>
  </r>
  <r>
    <x v="47"/>
    <s v="conventional_default_current_wala_-51"/>
    <x v="1220"/>
    <n v="-0.52500000000000002"/>
    <n v="1"/>
    <n v="-66"/>
    <n v="396"/>
  </r>
  <r>
    <x v="47"/>
    <s v="conventional_default_current_wala_-50"/>
    <x v="1221"/>
    <n v="-0.51333333333333298"/>
    <n v="1"/>
    <n v="-66"/>
    <n v="396"/>
  </r>
  <r>
    <x v="47"/>
    <s v="conventional_default_current_wala_-49"/>
    <x v="1222"/>
    <n v="-0.50166666666666704"/>
    <n v="1"/>
    <n v="-66"/>
    <n v="396"/>
  </r>
  <r>
    <x v="47"/>
    <s v="conventional_default_current_wala_-48"/>
    <x v="1223"/>
    <n v="-0.49"/>
    <n v="1"/>
    <n v="-66"/>
    <n v="396"/>
  </r>
  <r>
    <x v="47"/>
    <s v="conventional_default_current_wala_-47"/>
    <x v="1224"/>
    <n v="-0.478333333333333"/>
    <n v="1"/>
    <n v="-66"/>
    <n v="396"/>
  </r>
  <r>
    <x v="47"/>
    <s v="conventional_default_current_wala_-46"/>
    <x v="1225"/>
    <n v="-0.46666666666666701"/>
    <n v="1"/>
    <n v="-66"/>
    <n v="396"/>
  </r>
  <r>
    <x v="47"/>
    <s v="conventional_default_current_wala_-45"/>
    <x v="1226"/>
    <n v="-0.45500000000000002"/>
    <n v="1"/>
    <n v="-66"/>
    <n v="396"/>
  </r>
  <r>
    <x v="47"/>
    <s v="conventional_default_current_wala_-44"/>
    <x v="1227"/>
    <n v="-0.44333333333333302"/>
    <n v="1"/>
    <n v="-66"/>
    <n v="396"/>
  </r>
  <r>
    <x v="47"/>
    <s v="conventional_default_current_wala_-43"/>
    <x v="1228"/>
    <n v="-0.43166666666666698"/>
    <n v="1"/>
    <n v="-66"/>
    <n v="396"/>
  </r>
  <r>
    <x v="47"/>
    <s v="conventional_default_current_wala_-42"/>
    <x v="1229"/>
    <n v="-0.42"/>
    <n v="1"/>
    <n v="-66"/>
    <n v="396"/>
  </r>
  <r>
    <x v="47"/>
    <s v="conventional_default_current_wala_-41"/>
    <x v="1230"/>
    <n v="-0.40833333333333299"/>
    <n v="1"/>
    <n v="-66"/>
    <n v="396"/>
  </r>
  <r>
    <x v="47"/>
    <s v="conventional_default_current_wala_-40"/>
    <x v="0"/>
    <n v="-0.396666666666667"/>
    <n v="1"/>
    <n v="-66"/>
    <n v="396"/>
  </r>
  <r>
    <x v="47"/>
    <s v="conventional_default_current_wala_-39"/>
    <x v="1"/>
    <n v="-0.38500000000000001"/>
    <n v="1"/>
    <n v="-66"/>
    <n v="396"/>
  </r>
  <r>
    <x v="47"/>
    <s v="conventional_default_current_wala_-38"/>
    <x v="2"/>
    <n v="-0.37333333333333302"/>
    <n v="1"/>
    <n v="-66"/>
    <n v="396"/>
  </r>
  <r>
    <x v="47"/>
    <s v="conventional_default_current_wala_-37"/>
    <x v="3"/>
    <n v="-0.36166666666666702"/>
    <n v="1"/>
    <n v="-66"/>
    <n v="396"/>
  </r>
  <r>
    <x v="47"/>
    <s v="conventional_default_current_wala_-36"/>
    <x v="4"/>
    <n v="-0.35"/>
    <n v="1"/>
    <n v="-66"/>
    <n v="396"/>
  </r>
  <r>
    <x v="47"/>
    <s v="conventional_default_current_wala_-35"/>
    <x v="5"/>
    <n v="-0.33833333333333299"/>
    <n v="1"/>
    <n v="-66"/>
    <n v="396"/>
  </r>
  <r>
    <x v="47"/>
    <s v="conventional_default_current_wala_-34"/>
    <x v="6"/>
    <n v="-0.32666666666666699"/>
    <n v="1"/>
    <n v="-66"/>
    <n v="396"/>
  </r>
  <r>
    <x v="47"/>
    <s v="conventional_default_current_wala_-33"/>
    <x v="7"/>
    <n v="-0.315"/>
    <n v="1"/>
    <n v="-66"/>
    <n v="396"/>
  </r>
  <r>
    <x v="47"/>
    <s v="conventional_default_current_wala_-32"/>
    <x v="8"/>
    <n v="-0.30333333333333301"/>
    <n v="1"/>
    <n v="-66"/>
    <n v="396"/>
  </r>
  <r>
    <x v="47"/>
    <s v="conventional_default_current_wala_-31"/>
    <x v="9"/>
    <n v="-0.29166666666666702"/>
    <n v="1"/>
    <n v="-66"/>
    <n v="396"/>
  </r>
  <r>
    <x v="47"/>
    <s v="conventional_default_current_wala_-30"/>
    <x v="10"/>
    <n v="-0.28000000000000003"/>
    <n v="1"/>
    <n v="-66"/>
    <n v="396"/>
  </r>
  <r>
    <x v="47"/>
    <s v="conventional_default_current_wala_-29"/>
    <x v="11"/>
    <n v="-0.26833333333333298"/>
    <n v="1"/>
    <n v="-66"/>
    <n v="396"/>
  </r>
  <r>
    <x v="47"/>
    <s v="conventional_default_current_wala_-28"/>
    <x v="12"/>
    <n v="-0.25666666666666699"/>
    <n v="1"/>
    <n v="-66"/>
    <n v="396"/>
  </r>
  <r>
    <x v="47"/>
    <s v="conventional_default_current_wala_-27"/>
    <x v="13"/>
    <n v="-0.245"/>
    <n v="1"/>
    <n v="-66"/>
    <n v="396"/>
  </r>
  <r>
    <x v="47"/>
    <s v="conventional_default_current_wala_-26"/>
    <x v="14"/>
    <n v="-0.233333333333333"/>
    <n v="1"/>
    <n v="-66"/>
    <n v="396"/>
  </r>
  <r>
    <x v="47"/>
    <s v="conventional_default_current_wala_-25"/>
    <x v="15"/>
    <n v="-0.22166666666666701"/>
    <n v="1"/>
    <n v="-66"/>
    <n v="396"/>
  </r>
  <r>
    <x v="47"/>
    <s v="conventional_default_current_wala_-24"/>
    <x v="16"/>
    <n v="-0.21"/>
    <n v="1"/>
    <n v="-66"/>
    <n v="396"/>
  </r>
  <r>
    <x v="47"/>
    <s v="conventional_default_current_wala_-23"/>
    <x v="17"/>
    <n v="-0.198333333333333"/>
    <n v="1"/>
    <n v="-66"/>
    <n v="396"/>
  </r>
  <r>
    <x v="47"/>
    <s v="conventional_default_current_wala_-22"/>
    <x v="18"/>
    <n v="-0.18666666666666701"/>
    <n v="1"/>
    <n v="-66"/>
    <n v="396"/>
  </r>
  <r>
    <x v="47"/>
    <s v="conventional_default_current_wala_-21"/>
    <x v="19"/>
    <n v="-0.17499999999999999"/>
    <n v="1"/>
    <n v="-66"/>
    <n v="396"/>
  </r>
  <r>
    <x v="47"/>
    <s v="conventional_default_current_wala_-20"/>
    <x v="20"/>
    <n v="-0.163333333333333"/>
    <n v="1"/>
    <n v="-66"/>
    <n v="396"/>
  </r>
  <r>
    <x v="47"/>
    <s v="conventional_default_current_wala_-19"/>
    <x v="21"/>
    <n v="-0.151666666666667"/>
    <n v="1"/>
    <n v="-66"/>
    <n v="396"/>
  </r>
  <r>
    <x v="47"/>
    <s v="conventional_default_current_wala_-18"/>
    <x v="22"/>
    <n v="-0.14000000000000001"/>
    <n v="1"/>
    <n v="-66"/>
    <n v="396"/>
  </r>
  <r>
    <x v="47"/>
    <s v="conventional_default_current_wala_-17"/>
    <x v="23"/>
    <n v="-0.12833333333333299"/>
    <n v="1"/>
    <n v="-66"/>
    <n v="396"/>
  </r>
  <r>
    <x v="47"/>
    <s v="conventional_default_current_wala_-16"/>
    <x v="24"/>
    <n v="-0.116666666666667"/>
    <n v="1"/>
    <n v="-66"/>
    <n v="396"/>
  </r>
  <r>
    <x v="47"/>
    <s v="conventional_default_current_wala_-15"/>
    <x v="25"/>
    <n v="-0.105"/>
    <n v="1"/>
    <n v="-66"/>
    <n v="396"/>
  </r>
  <r>
    <x v="47"/>
    <s v="conventional_default_current_wala_-14"/>
    <x v="26"/>
    <n v="-9.3333333333333296E-2"/>
    <n v="1"/>
    <n v="-66"/>
    <n v="396"/>
  </r>
  <r>
    <x v="47"/>
    <s v="conventional_default_current_wala_-13"/>
    <x v="27"/>
    <n v="-8.1666666666666707E-2"/>
    <n v="1"/>
    <n v="-66"/>
    <n v="396"/>
  </r>
  <r>
    <x v="47"/>
    <s v="conventional_default_current_wala_-12"/>
    <x v="28"/>
    <n v="-7.0000000000000007E-2"/>
    <n v="1"/>
    <n v="-66"/>
    <n v="396"/>
  </r>
  <r>
    <x v="47"/>
    <s v="conventional_default_current_wala_-11"/>
    <x v="29"/>
    <n v="-5.83333333333333E-2"/>
    <n v="1"/>
    <n v="-66"/>
    <n v="396"/>
  </r>
  <r>
    <x v="47"/>
    <s v="conventional_default_current_wala_-10"/>
    <x v="30"/>
    <n v="-4.6666666666666697E-2"/>
    <n v="1"/>
    <n v="-66"/>
    <n v="396"/>
  </r>
  <r>
    <x v="47"/>
    <s v="conventional_default_current_wala_-9"/>
    <x v="31"/>
    <n v="-3.5000000000000003E-2"/>
    <n v="1"/>
    <n v="-66"/>
    <n v="396"/>
  </r>
  <r>
    <x v="47"/>
    <s v="conventional_default_current_wala_-8"/>
    <x v="32"/>
    <n v="-2.33333333333333E-2"/>
    <n v="1"/>
    <n v="-66"/>
    <n v="396"/>
  </r>
  <r>
    <x v="47"/>
    <s v="conventional_default_current_wala_-7"/>
    <x v="33"/>
    <n v="-1.16666666666667E-2"/>
    <n v="1"/>
    <n v="-66"/>
    <n v="396"/>
  </r>
  <r>
    <x v="47"/>
    <s v="conventional_default_current_wala_-6"/>
    <x v="34"/>
    <n v="0"/>
    <n v="1"/>
    <n v="-66"/>
    <n v="396"/>
  </r>
  <r>
    <x v="47"/>
    <s v="conventional_default_current_wala_-5"/>
    <x v="35"/>
    <n v="1.16666666666667E-2"/>
    <n v="1"/>
    <n v="-66"/>
    <n v="396"/>
  </r>
  <r>
    <x v="47"/>
    <s v="conventional_default_current_wala_-4"/>
    <x v="36"/>
    <n v="2.33333333333333E-2"/>
    <n v="1"/>
    <n v="-66"/>
    <n v="396"/>
  </r>
  <r>
    <x v="47"/>
    <s v="conventional_default_current_wala_-3"/>
    <x v="37"/>
    <n v="3.5000000000000003E-2"/>
    <n v="1"/>
    <n v="-66"/>
    <n v="396"/>
  </r>
  <r>
    <x v="47"/>
    <s v="conventional_default_current_wala_-2"/>
    <x v="38"/>
    <n v="4.6666666666666697E-2"/>
    <n v="1"/>
    <n v="-66"/>
    <n v="396"/>
  </r>
  <r>
    <x v="47"/>
    <s v="conventional_default_current_wala_-1"/>
    <x v="39"/>
    <n v="5.83333333333333E-2"/>
    <n v="1"/>
    <n v="-66"/>
    <n v="396"/>
  </r>
  <r>
    <x v="47"/>
    <s v="conventional_default_current_wala_0"/>
    <x v="40"/>
    <n v="7.0000000000000007E-2"/>
    <n v="1"/>
    <n v="-66"/>
    <n v="396"/>
  </r>
  <r>
    <x v="47"/>
    <s v="conventional_default_current_wala_1"/>
    <x v="41"/>
    <n v="8.1550925925925902E-2"/>
    <n v="1"/>
    <n v="-66"/>
    <n v="396"/>
  </r>
  <r>
    <x v="47"/>
    <s v="conventional_default_current_wala_2"/>
    <x v="42"/>
    <n v="9.2962962962962997E-2"/>
    <n v="1"/>
    <n v="-66"/>
    <n v="396"/>
  </r>
  <r>
    <x v="47"/>
    <s v="conventional_default_current_wala_3"/>
    <x v="43"/>
    <n v="0.104375"/>
    <n v="1"/>
    <n v="-66"/>
    <n v="396"/>
  </r>
  <r>
    <x v="47"/>
    <s v="conventional_default_current_wala_4"/>
    <x v="44"/>
    <n v="0.115925925925926"/>
    <n v="1"/>
    <n v="-66"/>
    <n v="396"/>
  </r>
  <r>
    <x v="47"/>
    <s v="conventional_default_current_wala_5"/>
    <x v="45"/>
    <n v="0.12775462962963"/>
    <n v="1"/>
    <n v="-66"/>
    <n v="396"/>
  </r>
  <r>
    <x v="47"/>
    <s v="conventional_default_current_wala_6"/>
    <x v="46"/>
    <n v="0.14000000000000001"/>
    <n v="1"/>
    <n v="-66"/>
    <n v="396"/>
  </r>
  <r>
    <x v="47"/>
    <s v="conventional_default_current_wala_7"/>
    <x v="47"/>
    <n v="0.15287037037036999"/>
    <n v="1"/>
    <n v="-66"/>
    <n v="396"/>
  </r>
  <r>
    <x v="47"/>
    <s v="conventional_default_current_wala_8"/>
    <x v="48"/>
    <n v="0.166296296296296"/>
    <n v="1"/>
    <n v="-66"/>
    <n v="396"/>
  </r>
  <r>
    <x v="47"/>
    <s v="conventional_default_current_wala_9"/>
    <x v="49"/>
    <n v="0.18"/>
    <n v="1"/>
    <n v="-66"/>
    <n v="396"/>
  </r>
  <r>
    <x v="47"/>
    <s v="conventional_default_current_wala_10"/>
    <x v="50"/>
    <n v="0.19370370370370399"/>
    <n v="1"/>
    <n v="-66"/>
    <n v="396"/>
  </r>
  <r>
    <x v="47"/>
    <s v="conventional_default_current_wala_11"/>
    <x v="51"/>
    <n v="0.20712962962963"/>
    <n v="1"/>
    <n v="-66"/>
    <n v="396"/>
  </r>
  <r>
    <x v="47"/>
    <s v="conventional_default_current_wala_12"/>
    <x v="52"/>
    <n v="0.22"/>
    <n v="1"/>
    <n v="-66"/>
    <n v="396"/>
  </r>
  <r>
    <x v="47"/>
    <s v="conventional_default_current_wala_13"/>
    <x v="53"/>
    <n v="0.23212962962962999"/>
    <n v="1"/>
    <n v="-66"/>
    <n v="396"/>
  </r>
  <r>
    <x v="47"/>
    <s v="conventional_default_current_wala_14"/>
    <x v="54"/>
    <n v="0.24370370370370401"/>
    <n v="1"/>
    <n v="-66"/>
    <n v="396"/>
  </r>
  <r>
    <x v="47"/>
    <s v="conventional_default_current_wala_15"/>
    <x v="55"/>
    <n v="0.255"/>
    <n v="1"/>
    <n v="-66"/>
    <n v="396"/>
  </r>
  <r>
    <x v="47"/>
    <s v="conventional_default_current_wala_16"/>
    <x v="56"/>
    <n v="0.26629629629629598"/>
    <n v="1"/>
    <n v="-66"/>
    <n v="396"/>
  </r>
  <r>
    <x v="47"/>
    <s v="conventional_default_current_wala_17"/>
    <x v="57"/>
    <n v="0.27787037037036999"/>
    <n v="1"/>
    <n v="-66"/>
    <n v="396"/>
  </r>
  <r>
    <x v="47"/>
    <s v="conventional_default_current_wala_18"/>
    <x v="58"/>
    <n v="0.28999999999999998"/>
    <n v="1"/>
    <n v="-66"/>
    <n v="396"/>
  </r>
  <r>
    <x v="47"/>
    <s v="conventional_default_current_wala_19"/>
    <x v="59"/>
    <n v="0.30275462962963001"/>
    <n v="1"/>
    <n v="-66"/>
    <n v="396"/>
  </r>
  <r>
    <x v="47"/>
    <s v="conventional_default_current_wala_20"/>
    <x v="60"/>
    <n v="0.315925925925926"/>
    <n v="1"/>
    <n v="-66"/>
    <n v="396"/>
  </r>
  <r>
    <x v="47"/>
    <s v="conventional_default_current_wala_21"/>
    <x v="61"/>
    <n v="0.32937499999999997"/>
    <n v="1"/>
    <n v="-66"/>
    <n v="396"/>
  </r>
  <r>
    <x v="47"/>
    <s v="conventional_default_current_wala_22"/>
    <x v="62"/>
    <n v="0.34296296296296302"/>
    <n v="1"/>
    <n v="-66"/>
    <n v="396"/>
  </r>
  <r>
    <x v="47"/>
    <s v="conventional_default_current_wala_23"/>
    <x v="63"/>
    <n v="0.35655092592592602"/>
    <n v="1"/>
    <n v="-66"/>
    <n v="396"/>
  </r>
  <r>
    <x v="47"/>
    <s v="conventional_default_current_wala_24"/>
    <x v="64"/>
    <n v="0.37"/>
    <n v="1"/>
    <n v="-66"/>
    <n v="396"/>
  </r>
  <r>
    <x v="47"/>
    <s v="conventional_default_current_wala_25"/>
    <x v="65"/>
    <n v="0.38331741898148097"/>
    <n v="1"/>
    <n v="-66"/>
    <n v="396"/>
  </r>
  <r>
    <x v="47"/>
    <s v="conventional_default_current_wala_26"/>
    <x v="66"/>
    <n v="0.39660879629629597"/>
    <n v="1"/>
    <n v="-66"/>
    <n v="396"/>
  </r>
  <r>
    <x v="47"/>
    <s v="conventional_default_current_wala_27"/>
    <x v="67"/>
    <n v="0.40988281250000003"/>
    <n v="1"/>
    <n v="-66"/>
    <n v="396"/>
  </r>
  <r>
    <x v="47"/>
    <s v="conventional_default_current_wala_28"/>
    <x v="68"/>
    <n v="0.423148148148148"/>
    <n v="1"/>
    <n v="-66"/>
    <n v="396"/>
  </r>
  <r>
    <x v="47"/>
    <s v="conventional_default_current_wala_29"/>
    <x v="69"/>
    <n v="0.43641348379629602"/>
    <n v="1"/>
    <n v="-66"/>
    <n v="396"/>
  </r>
  <r>
    <x v="47"/>
    <s v="conventional_default_current_wala_30"/>
    <x v="70"/>
    <n v="0.44968750000000002"/>
    <n v="1"/>
    <n v="-66"/>
    <n v="396"/>
  </r>
  <r>
    <x v="47"/>
    <s v="conventional_default_current_wala_31"/>
    <x v="71"/>
    <n v="0.46297887731481502"/>
    <n v="1"/>
    <n v="-66"/>
    <n v="396"/>
  </r>
  <r>
    <x v="47"/>
    <s v="conventional_default_current_wala_32"/>
    <x v="72"/>
    <n v="0.476296296296296"/>
    <n v="1"/>
    <n v="-66"/>
    <n v="396"/>
  </r>
  <r>
    <x v="47"/>
    <s v="conventional_default_current_wala_33"/>
    <x v="73"/>
    <n v="0.48964843749999998"/>
    <n v="1"/>
    <n v="-66"/>
    <n v="396"/>
  </r>
  <r>
    <x v="47"/>
    <s v="conventional_default_current_wala_34"/>
    <x v="74"/>
    <n v="0.50304398148148199"/>
    <n v="1"/>
    <n v="-66"/>
    <n v="396"/>
  </r>
  <r>
    <x v="47"/>
    <s v="conventional_default_current_wala_35"/>
    <x v="75"/>
    <n v="0.51649160879629596"/>
    <n v="1"/>
    <n v="-66"/>
    <n v="396"/>
  </r>
  <r>
    <x v="47"/>
    <s v="conventional_default_current_wala_36"/>
    <x v="76"/>
    <n v="0.53"/>
    <n v="1"/>
    <n v="-66"/>
    <n v="396"/>
  </r>
  <r>
    <x v="47"/>
    <s v="conventional_default_current_wala_37"/>
    <x v="77"/>
    <n v="0.54366348379629603"/>
    <n v="1"/>
    <n v="-66"/>
    <n v="396"/>
  </r>
  <r>
    <x v="47"/>
    <s v="conventional_default_current_wala_38"/>
    <x v="78"/>
    <n v="0.55755092592592603"/>
    <n v="1"/>
    <n v="-66"/>
    <n v="396"/>
  </r>
  <r>
    <x v="47"/>
    <s v="conventional_default_current_wala_39"/>
    <x v="79"/>
    <n v="0.57163281249999998"/>
    <n v="1"/>
    <n v="-66"/>
    <n v="396"/>
  </r>
  <r>
    <x v="47"/>
    <s v="conventional_default_current_wala_40"/>
    <x v="80"/>
    <n v="0.58587962962963003"/>
    <n v="1"/>
    <n v="-66"/>
    <n v="396"/>
  </r>
  <r>
    <x v="47"/>
    <s v="conventional_default_current_wala_41"/>
    <x v="81"/>
    <n v="0.60026186342592602"/>
    <n v="1"/>
    <n v="-66"/>
    <n v="396"/>
  </r>
  <r>
    <x v="47"/>
    <s v="conventional_default_current_wala_42"/>
    <x v="82"/>
    <n v="0.61475000000000002"/>
    <n v="1"/>
    <n v="-66"/>
    <n v="396"/>
  </r>
  <r>
    <x v="47"/>
    <s v="conventional_default_current_wala_43"/>
    <x v="83"/>
    <n v="0.62931452546296296"/>
    <n v="1"/>
    <n v="-66"/>
    <n v="396"/>
  </r>
  <r>
    <x v="47"/>
    <s v="conventional_default_current_wala_44"/>
    <x v="84"/>
    <n v="0.64392592592592601"/>
    <n v="1"/>
    <n v="-66"/>
    <n v="396"/>
  </r>
  <r>
    <x v="47"/>
    <s v="conventional_default_current_wala_45"/>
    <x v="85"/>
    <n v="0.65855468750000001"/>
    <n v="1"/>
    <n v="-66"/>
    <n v="396"/>
  </r>
  <r>
    <x v="47"/>
    <s v="conventional_default_current_wala_46"/>
    <x v="86"/>
    <n v="0.67317129629629602"/>
    <n v="1"/>
    <n v="-66"/>
    <n v="396"/>
  </r>
  <r>
    <x v="47"/>
    <s v="conventional_default_current_wala_47"/>
    <x v="87"/>
    <n v="0.68774623842592597"/>
    <n v="1"/>
    <n v="-66"/>
    <n v="396"/>
  </r>
  <r>
    <x v="47"/>
    <s v="conventional_default_current_wala_48"/>
    <x v="88"/>
    <n v="0.70225000000000004"/>
    <n v="1"/>
    <n v="-66"/>
    <n v="396"/>
  </r>
  <r>
    <x v="47"/>
    <s v="conventional_default_current_wala_49"/>
    <x v="89"/>
    <n v="0.71665306712962995"/>
    <n v="1"/>
    <n v="-66"/>
    <n v="396"/>
  </r>
  <r>
    <x v="47"/>
    <s v="conventional_default_current_wala_50"/>
    <x v="90"/>
    <n v="0.73092592592592598"/>
    <n v="1"/>
    <n v="-66"/>
    <n v="396"/>
  </r>
  <r>
    <x v="47"/>
    <s v="conventional_default_current_wala_51"/>
    <x v="91"/>
    <n v="0.74503906249999996"/>
    <n v="1"/>
    <n v="-66"/>
    <n v="396"/>
  </r>
  <r>
    <x v="47"/>
    <s v="conventional_default_current_wala_52"/>
    <x v="92"/>
    <n v="0.75896296296296295"/>
    <n v="1"/>
    <n v="-66"/>
    <n v="396"/>
  </r>
  <r>
    <x v="47"/>
    <s v="conventional_default_current_wala_53"/>
    <x v="93"/>
    <n v="0.77266811342592601"/>
    <n v="1"/>
    <n v="-66"/>
    <n v="396"/>
  </r>
  <r>
    <x v="47"/>
    <s v="conventional_default_current_wala_54"/>
    <x v="94"/>
    <n v="0.78612499999999996"/>
    <n v="1"/>
    <n v="-66"/>
    <n v="396"/>
  </r>
  <r>
    <x v="47"/>
    <s v="conventional_default_current_wala_55"/>
    <x v="95"/>
    <n v="0.79930410879629599"/>
    <n v="1"/>
    <n v="-66"/>
    <n v="396"/>
  </r>
  <r>
    <x v="47"/>
    <s v="conventional_default_current_wala_56"/>
    <x v="96"/>
    <n v="0.81217592592592602"/>
    <n v="1"/>
    <n v="-66"/>
    <n v="396"/>
  </r>
  <r>
    <x v="47"/>
    <s v="conventional_default_current_wala_57"/>
    <x v="97"/>
    <n v="0.82471093750000002"/>
    <n v="1"/>
    <n v="-66"/>
    <n v="396"/>
  </r>
  <r>
    <x v="47"/>
    <s v="conventional_default_current_wala_58"/>
    <x v="98"/>
    <n v="0.83687962962963003"/>
    <n v="1"/>
    <n v="-66"/>
    <n v="396"/>
  </r>
  <r>
    <x v="47"/>
    <s v="conventional_default_current_wala_59"/>
    <x v="99"/>
    <n v="0.848652488425926"/>
    <n v="1"/>
    <n v="-66"/>
    <n v="396"/>
  </r>
  <r>
    <x v="47"/>
    <s v="conventional_default_current_wala_60"/>
    <x v="100"/>
    <n v="0.86"/>
    <n v="1"/>
    <n v="-66"/>
    <n v="396"/>
  </r>
  <r>
    <x v="47"/>
    <s v="conventional_default_current_wala_61"/>
    <x v="101"/>
    <n v="0.87112460793100399"/>
    <n v="1"/>
    <n v="-66"/>
    <n v="396"/>
  </r>
  <r>
    <x v="47"/>
    <s v="conventional_default_current_wala_62"/>
    <x v="102"/>
    <n v="0.88224549220326998"/>
    <n v="1"/>
    <n v="-66"/>
    <n v="396"/>
  </r>
  <r>
    <x v="47"/>
    <s v="conventional_default_current_wala_63"/>
    <x v="103"/>
    <n v="0.89335824353567805"/>
    <n v="1"/>
    <n v="-66"/>
    <n v="396"/>
  </r>
  <r>
    <x v="47"/>
    <s v="conventional_default_current_wala_64"/>
    <x v="104"/>
    <n v="0.90445845264711"/>
    <n v="1"/>
    <n v="-66"/>
    <n v="396"/>
  </r>
  <r>
    <x v="47"/>
    <s v="conventional_default_current_wala_65"/>
    <x v="105"/>
    <n v="0.91554171025644604"/>
    <n v="1"/>
    <n v="-66"/>
    <n v="396"/>
  </r>
  <r>
    <x v="47"/>
    <s v="conventional_default_current_wala_66"/>
    <x v="106"/>
    <n v="0.92660360708256895"/>
    <n v="1"/>
    <n v="-66"/>
    <n v="396"/>
  </r>
  <r>
    <x v="47"/>
    <s v="conventional_default_current_wala_67"/>
    <x v="107"/>
    <n v="0.93763973384435795"/>
    <n v="1"/>
    <n v="-66"/>
    <n v="396"/>
  </r>
  <r>
    <x v="47"/>
    <s v="conventional_default_current_wala_68"/>
    <x v="108"/>
    <n v="0.94864568126069404"/>
    <n v="1"/>
    <n v="-66"/>
    <n v="396"/>
  </r>
  <r>
    <x v="47"/>
    <s v="conventional_default_current_wala_69"/>
    <x v="109"/>
    <n v="0.959617040050459"/>
    <n v="1"/>
    <n v="-66"/>
    <n v="396"/>
  </r>
  <r>
    <x v="47"/>
    <s v="conventional_default_current_wala_70"/>
    <x v="110"/>
    <n v="0.97054940093253295"/>
    <n v="1"/>
    <n v="-66"/>
    <n v="396"/>
  </r>
  <r>
    <x v="47"/>
    <s v="conventional_default_current_wala_71"/>
    <x v="111"/>
    <n v="0.98143835462579798"/>
    <n v="1"/>
    <n v="-66"/>
    <n v="396"/>
  </r>
  <r>
    <x v="47"/>
    <s v="conventional_default_current_wala_72"/>
    <x v="112"/>
    <n v="0.992279491849134"/>
    <n v="1"/>
    <n v="-66"/>
    <n v="396"/>
  </r>
  <r>
    <x v="47"/>
    <s v="conventional_default_current_wala_73"/>
    <x v="113"/>
    <n v="1.0030684033214201"/>
    <n v="1"/>
    <n v="-66"/>
    <n v="396"/>
  </r>
  <r>
    <x v="47"/>
    <s v="conventional_default_current_wala_74"/>
    <x v="114"/>
    <n v="1.01380067976154"/>
    <n v="1"/>
    <n v="-66"/>
    <n v="396"/>
  </r>
  <r>
    <x v="47"/>
    <s v="conventional_default_current_wala_75"/>
    <x v="115"/>
    <n v="1.02447191188838"/>
    <n v="1"/>
    <n v="-66"/>
    <n v="396"/>
  </r>
  <r>
    <x v="47"/>
    <s v="conventional_default_current_wala_76"/>
    <x v="116"/>
    <n v="1.0350776904208101"/>
    <n v="1"/>
    <n v="-66"/>
    <n v="396"/>
  </r>
  <r>
    <x v="47"/>
    <s v="conventional_default_current_wala_77"/>
    <x v="117"/>
    <n v="1.0456136060777199"/>
    <n v="1"/>
    <n v="-66"/>
    <n v="396"/>
  </r>
  <r>
    <x v="47"/>
    <s v="conventional_default_current_wala_78"/>
    <x v="118"/>
    <n v="1.0560752495779799"/>
    <n v="1"/>
    <n v="-66"/>
    <n v="396"/>
  </r>
  <r>
    <x v="47"/>
    <s v="conventional_default_current_wala_79"/>
    <x v="119"/>
    <n v="1.0664582116404899"/>
    <n v="1"/>
    <n v="-66"/>
    <n v="396"/>
  </r>
  <r>
    <x v="47"/>
    <s v="conventional_default_current_wala_80"/>
    <x v="120"/>
    <n v="1.0767580829841099"/>
    <n v="1"/>
    <n v="-66"/>
    <n v="396"/>
  </r>
  <r>
    <x v="47"/>
    <s v="conventional_default_current_wala_81"/>
    <x v="121"/>
    <n v="1.0869704543277301"/>
    <n v="1"/>
    <n v="-66"/>
    <n v="396"/>
  </r>
  <r>
    <x v="47"/>
    <s v="conventional_default_current_wala_82"/>
    <x v="122"/>
    <n v="1.09709091639023"/>
    <n v="1"/>
    <n v="-66"/>
    <n v="396"/>
  </r>
  <r>
    <x v="47"/>
    <s v="conventional_default_current_wala_83"/>
    <x v="123"/>
    <n v="1.1071150598905"/>
    <n v="1"/>
    <n v="-66"/>
    <n v="396"/>
  </r>
  <r>
    <x v="47"/>
    <s v="conventional_default_current_wala_84"/>
    <x v="124"/>
    <n v="1.1170384755474001"/>
    <n v="1"/>
    <n v="-66"/>
    <n v="396"/>
  </r>
  <r>
    <x v="47"/>
    <s v="conventional_default_current_wala_85"/>
    <x v="125"/>
    <n v="1.12685675407983"/>
    <n v="1"/>
    <n v="-66"/>
    <n v="396"/>
  </r>
  <r>
    <x v="47"/>
    <s v="conventional_default_current_wala_86"/>
    <x v="126"/>
    <n v="1.1365654862066701"/>
    <n v="1"/>
    <n v="-66"/>
    <n v="396"/>
  </r>
  <r>
    <x v="47"/>
    <s v="conventional_default_current_wala_87"/>
    <x v="127"/>
    <n v="1.1461602626467899"/>
    <n v="1"/>
    <n v="-66"/>
    <n v="396"/>
  </r>
  <r>
    <x v="47"/>
    <s v="conventional_default_current_wala_88"/>
    <x v="128"/>
    <n v="1.15563667411908"/>
    <n v="1"/>
    <n v="-66"/>
    <n v="396"/>
  </r>
  <r>
    <x v="47"/>
    <s v="conventional_default_current_wala_89"/>
    <x v="129"/>
    <n v="1.16499031134242"/>
    <n v="1"/>
    <n v="-66"/>
    <n v="396"/>
  </r>
  <r>
    <x v="47"/>
    <s v="conventional_default_current_wala_90"/>
    <x v="130"/>
    <n v="1.1742167650356801"/>
    <n v="1"/>
    <n v="-66"/>
    <n v="396"/>
  </r>
  <r>
    <x v="47"/>
    <s v="conventional_default_current_wala_91"/>
    <x v="131"/>
    <n v="1.1833116259177501"/>
    <n v="1"/>
    <n v="-66"/>
    <n v="396"/>
  </r>
  <r>
    <x v="47"/>
    <s v="conventional_default_current_wala_92"/>
    <x v="132"/>
    <n v="1.1922704847075201"/>
    <n v="1"/>
    <n v="-66"/>
    <n v="396"/>
  </r>
  <r>
    <x v="47"/>
    <s v="conventional_default_current_wala_93"/>
    <x v="133"/>
    <n v="1.20108893212386"/>
    <n v="1"/>
    <n v="-66"/>
    <n v="396"/>
  </r>
  <r>
    <x v="47"/>
    <s v="conventional_default_current_wala_94"/>
    <x v="134"/>
    <n v="1.20976255888565"/>
    <n v="1"/>
    <n v="-66"/>
    <n v="396"/>
  </r>
  <r>
    <x v="47"/>
    <s v="conventional_default_current_wala_95"/>
    <x v="135"/>
    <n v="1.2182869557117699"/>
    <n v="1"/>
    <n v="-66"/>
    <n v="396"/>
  </r>
  <r>
    <x v="47"/>
    <s v="conventional_default_current_wala_96"/>
    <x v="136"/>
    <n v="1.2266577133211001"/>
    <n v="1"/>
    <n v="-66"/>
    <n v="396"/>
  </r>
  <r>
    <x v="47"/>
    <s v="conventional_default_current_wala_97"/>
    <x v="137"/>
    <n v="1.23487042243254"/>
    <n v="1"/>
    <n v="-66"/>
    <n v="396"/>
  </r>
  <r>
    <x v="47"/>
    <s v="conventional_default_current_wala_98"/>
    <x v="138"/>
    <n v="1.2429206737649401"/>
    <n v="1"/>
    <n v="-66"/>
    <n v="396"/>
  </r>
  <r>
    <x v="47"/>
    <s v="conventional_default_current_wala_99"/>
    <x v="139"/>
    <n v="1.25080405803721"/>
    <n v="1"/>
    <n v="-66"/>
    <n v="396"/>
  </r>
  <r>
    <x v="47"/>
    <s v="conventional_default_current_wala_100"/>
    <x v="140"/>
    <n v="1.25851616596821"/>
    <n v="1"/>
    <n v="-66"/>
    <n v="396"/>
  </r>
  <r>
    <x v="47"/>
    <s v="conventional_default_current_wala_101"/>
    <x v="141"/>
    <n v="1.2660525882768401"/>
    <n v="1"/>
    <n v="-66"/>
    <n v="396"/>
  </r>
  <r>
    <x v="47"/>
    <s v="conventional_default_current_wala_102"/>
    <x v="142"/>
    <n v="1.2734089156819599"/>
    <n v="1"/>
    <n v="-66"/>
    <n v="396"/>
  </r>
  <r>
    <x v="47"/>
    <s v="conventional_default_current_wala_103"/>
    <x v="143"/>
    <n v="1.2805807389024599"/>
    <n v="1"/>
    <n v="-66"/>
    <n v="396"/>
  </r>
  <r>
    <x v="47"/>
    <s v="conventional_default_current_wala_104"/>
    <x v="144"/>
    <n v="1.2875636486572299"/>
    <n v="1"/>
    <n v="-66"/>
    <n v="396"/>
  </r>
  <r>
    <x v="47"/>
    <s v="conventional_default_current_wala_105"/>
    <x v="145"/>
    <n v="1.2943532356651399"/>
    <n v="1"/>
    <n v="-66"/>
    <n v="396"/>
  </r>
  <r>
    <x v="47"/>
    <s v="conventional_default_current_wala_106"/>
    <x v="146"/>
    <n v="1.3009450906450699"/>
    <n v="1"/>
    <n v="-66"/>
    <n v="396"/>
  </r>
  <r>
    <x v="47"/>
    <s v="conventional_default_current_wala_107"/>
    <x v="147"/>
    <n v="1.3073348043159101"/>
    <n v="1"/>
    <n v="-66"/>
    <n v="396"/>
  </r>
  <r>
    <x v="47"/>
    <s v="conventional_default_current_wala_108"/>
    <x v="148"/>
    <n v="1.31351796739654"/>
    <n v="1"/>
    <n v="-66"/>
    <n v="396"/>
  </r>
  <r>
    <x v="47"/>
    <s v="conventional_default_current_wala_109"/>
    <x v="149"/>
    <n v="1.31949017060583"/>
    <n v="1"/>
    <n v="-66"/>
    <n v="396"/>
  </r>
  <r>
    <x v="47"/>
    <s v="conventional_default_current_wala_110"/>
    <x v="150"/>
    <n v="1.3252470046626701"/>
    <n v="1"/>
    <n v="-66"/>
    <n v="396"/>
  </r>
  <r>
    <x v="47"/>
    <s v="conventional_default_current_wala_111"/>
    <x v="151"/>
    <n v="1.33078406028594"/>
    <n v="1"/>
    <n v="-66"/>
    <n v="396"/>
  </r>
  <r>
    <x v="47"/>
    <s v="conventional_default_current_wala_112"/>
    <x v="152"/>
    <n v="1.3360969281945101"/>
    <n v="1"/>
    <n v="-66"/>
    <n v="396"/>
  </r>
  <r>
    <x v="47"/>
    <s v="conventional_default_current_wala_113"/>
    <x v="153"/>
    <n v="1.34118119910728"/>
    <n v="1"/>
    <n v="-66"/>
    <n v="396"/>
  </r>
  <r>
    <x v="47"/>
    <s v="conventional_default_current_wala_114"/>
    <x v="154"/>
    <n v="1.34603246374312"/>
    <n v="1"/>
    <n v="-66"/>
    <n v="396"/>
  </r>
  <r>
    <x v="47"/>
    <s v="conventional_default_current_wala_115"/>
    <x v="155"/>
    <n v="1.3506463128209101"/>
    <n v="1"/>
    <n v="-66"/>
    <n v="396"/>
  </r>
  <r>
    <x v="47"/>
    <s v="conventional_default_current_wala_116"/>
    <x v="156"/>
    <n v="1.3550183370595399"/>
    <n v="1"/>
    <n v="-66"/>
    <n v="396"/>
  </r>
  <r>
    <x v="47"/>
    <s v="conventional_default_current_wala_117"/>
    <x v="157"/>
    <n v="1.3591441271778799"/>
    <n v="1"/>
    <n v="-66"/>
    <n v="396"/>
  </r>
  <r>
    <x v="47"/>
    <s v="conventional_default_current_wala_118"/>
    <x v="158"/>
    <n v="1.3630192738948199"/>
    <n v="1"/>
    <n v="-66"/>
    <n v="396"/>
  </r>
  <r>
    <x v="47"/>
    <s v="conventional_default_current_wala_119"/>
    <x v="159"/>
    <n v="1.3666393679292299"/>
    <n v="1"/>
    <n v="-66"/>
    <n v="396"/>
  </r>
  <r>
    <x v="47"/>
    <s v="conventional_default_current_wala_120"/>
    <x v="160"/>
    <n v="1.37"/>
    <n v="1"/>
    <n v="-66"/>
    <n v="396"/>
  </r>
  <r>
    <x v="47"/>
    <s v="conventional_default_current_wala_121"/>
    <x v="161"/>
    <n v="1.3732027646095299"/>
    <n v="1"/>
    <n v="-66"/>
    <n v="396"/>
  </r>
  <r>
    <x v="47"/>
    <s v="conventional_default_current_wala_122"/>
    <x v="162"/>
    <n v="1.37635249099339"/>
    <n v="1"/>
    <n v="-66"/>
    <n v="396"/>
  </r>
  <r>
    <x v="47"/>
    <s v="conventional_default_current_wala_123"/>
    <x v="163"/>
    <n v="1.37944962197018"/>
    <n v="1"/>
    <n v="-66"/>
    <n v="396"/>
  </r>
  <r>
    <x v="47"/>
    <s v="conventional_default_current_wala_124"/>
    <x v="164"/>
    <n v="1.3824946003585099"/>
    <n v="1"/>
    <n v="-66"/>
    <n v="396"/>
  </r>
  <r>
    <x v="47"/>
    <s v="conventional_default_current_wala_125"/>
    <x v="165"/>
    <n v="1.385487868977"/>
    <n v="1"/>
    <n v="-66"/>
    <n v="396"/>
  </r>
  <r>
    <x v="47"/>
    <s v="conventional_default_current_wala_126"/>
    <x v="166"/>
    <n v="1.3884298706442399"/>
    <n v="1"/>
    <n v="-66"/>
    <n v="396"/>
  </r>
  <r>
    <x v="47"/>
    <s v="conventional_default_current_wala_127"/>
    <x v="167"/>
    <n v="1.3913210481788501"/>
    <n v="1"/>
    <n v="-66"/>
    <n v="396"/>
  </r>
  <r>
    <x v="47"/>
    <s v="conventional_default_current_wala_128"/>
    <x v="168"/>
    <n v="1.3941618443994399"/>
    <n v="1"/>
    <n v="-66"/>
    <n v="396"/>
  </r>
  <r>
    <x v="47"/>
    <s v="conventional_default_current_wala_129"/>
    <x v="169"/>
    <n v="1.39695270212462"/>
    <n v="1"/>
    <n v="-66"/>
    <n v="396"/>
  </r>
  <r>
    <x v="47"/>
    <s v="conventional_default_current_wala_130"/>
    <x v="170"/>
    <n v="1.39969406417299"/>
    <n v="1"/>
    <n v="-66"/>
    <n v="396"/>
  </r>
  <r>
    <x v="47"/>
    <s v="conventional_default_current_wala_131"/>
    <x v="171"/>
    <n v="1.4023863733631701"/>
    <n v="1"/>
    <n v="-66"/>
    <n v="396"/>
  </r>
  <r>
    <x v="47"/>
    <s v="conventional_default_current_wala_132"/>
    <x v="172"/>
    <n v="1.4050300725137601"/>
    <n v="1"/>
    <n v="-66"/>
    <n v="396"/>
  </r>
  <r>
    <x v="47"/>
    <s v="conventional_default_current_wala_133"/>
    <x v="173"/>
    <n v="1.4076256044433699"/>
    <n v="1"/>
    <n v="-66"/>
    <n v="396"/>
  </r>
  <r>
    <x v="47"/>
    <s v="conventional_default_current_wala_134"/>
    <x v="174"/>
    <n v="1.41017341197062"/>
    <n v="1"/>
    <n v="-66"/>
    <n v="396"/>
  </r>
  <r>
    <x v="47"/>
    <s v="conventional_default_current_wala_135"/>
    <x v="175"/>
    <n v="1.41267393791411"/>
    <n v="1"/>
    <n v="-66"/>
    <n v="396"/>
  </r>
  <r>
    <x v="47"/>
    <s v="conventional_default_current_wala_136"/>
    <x v="176"/>
    <n v="1.41512762509246"/>
    <n v="1"/>
    <n v="-66"/>
    <n v="396"/>
  </r>
  <r>
    <x v="47"/>
    <s v="conventional_default_current_wala_137"/>
    <x v="177"/>
    <n v="1.4175349163242601"/>
    <n v="1"/>
    <n v="-66"/>
    <n v="396"/>
  </r>
  <r>
    <x v="47"/>
    <s v="conventional_default_current_wala_138"/>
    <x v="178"/>
    <n v="1.4198962544281299"/>
    <n v="1"/>
    <n v="-66"/>
    <n v="396"/>
  </r>
  <r>
    <x v="47"/>
    <s v="conventional_default_current_wala_139"/>
    <x v="179"/>
    <n v="1.42221208222268"/>
    <n v="1"/>
    <n v="-66"/>
    <n v="396"/>
  </r>
  <r>
    <x v="47"/>
    <s v="conventional_default_current_wala_140"/>
    <x v="180"/>
    <n v="1.4244828425265199"/>
    <n v="1"/>
    <n v="-66"/>
    <n v="396"/>
  </r>
  <r>
    <x v="47"/>
    <s v="conventional_default_current_wala_141"/>
    <x v="181"/>
    <n v="1.42670897815825"/>
    <n v="1"/>
    <n v="-66"/>
    <n v="396"/>
  </r>
  <r>
    <x v="47"/>
    <s v="conventional_default_current_wala_142"/>
    <x v="182"/>
    <n v="1.42889093193649"/>
    <n v="1"/>
    <n v="-66"/>
    <n v="396"/>
  </r>
  <r>
    <x v="47"/>
    <s v="conventional_default_current_wala_143"/>
    <x v="183"/>
    <n v="1.4310291466798499"/>
    <n v="1"/>
    <n v="-66"/>
    <n v="396"/>
  </r>
  <r>
    <x v="47"/>
    <s v="conventional_default_current_wala_144"/>
    <x v="184"/>
    <n v="1.4331240652069299"/>
    <n v="1"/>
    <n v="-66"/>
    <n v="396"/>
  </r>
  <r>
    <x v="47"/>
    <s v="conventional_default_current_wala_145"/>
    <x v="185"/>
    <n v="1.43517613033634"/>
    <n v="1"/>
    <n v="-66"/>
    <n v="396"/>
  </r>
  <r>
    <x v="47"/>
    <s v="conventional_default_current_wala_146"/>
    <x v="186"/>
    <n v="1.43718578488669"/>
    <n v="1"/>
    <n v="-66"/>
    <n v="396"/>
  </r>
  <r>
    <x v="47"/>
    <s v="conventional_default_current_wala_147"/>
    <x v="187"/>
    <n v="1.4391534716765999"/>
    <n v="1"/>
    <n v="-66"/>
    <n v="396"/>
  </r>
  <r>
    <x v="47"/>
    <s v="conventional_default_current_wala_148"/>
    <x v="188"/>
    <n v="1.4410796335246701"/>
    <n v="1"/>
    <n v="-66"/>
    <n v="396"/>
  </r>
  <r>
    <x v="47"/>
    <s v="conventional_default_current_wala_149"/>
    <x v="189"/>
    <n v="1.4429647132495"/>
    <n v="1"/>
    <n v="-66"/>
    <n v="396"/>
  </r>
  <r>
    <x v="47"/>
    <s v="conventional_default_current_wala_150"/>
    <x v="190"/>
    <n v="1.4448091536697201"/>
    <n v="1"/>
    <n v="-66"/>
    <n v="396"/>
  </r>
  <r>
    <x v="47"/>
    <s v="conventional_default_current_wala_151"/>
    <x v="191"/>
    <n v="1.4466133976039199"/>
    <n v="1"/>
    <n v="-66"/>
    <n v="396"/>
  </r>
  <r>
    <x v="47"/>
    <s v="conventional_default_current_wala_152"/>
    <x v="192"/>
    <n v="1.4483778878707201"/>
    <n v="1"/>
    <n v="-66"/>
    <n v="396"/>
  </r>
  <r>
    <x v="47"/>
    <s v="conventional_default_current_wala_153"/>
    <x v="193"/>
    <n v="1.4501030672887301"/>
    <n v="1"/>
    <n v="-66"/>
    <n v="396"/>
  </r>
  <r>
    <x v="47"/>
    <s v="conventional_default_current_wala_154"/>
    <x v="194"/>
    <n v="1.4517893786765499"/>
    <n v="1"/>
    <n v="-66"/>
    <n v="396"/>
  </r>
  <r>
    <x v="47"/>
    <s v="conventional_default_current_wala_155"/>
    <x v="195"/>
    <n v="1.4534372648528"/>
    <n v="1"/>
    <n v="-66"/>
    <n v="396"/>
  </r>
  <r>
    <x v="47"/>
    <s v="conventional_default_current_wala_156"/>
    <x v="196"/>
    <n v="1.45504716863608"/>
    <n v="1"/>
    <n v="-66"/>
    <n v="396"/>
  </r>
  <r>
    <x v="47"/>
    <s v="conventional_default_current_wala_157"/>
    <x v="197"/>
    <n v="1.456619532845"/>
    <n v="1"/>
    <n v="-66"/>
    <n v="396"/>
  </r>
  <r>
    <x v="47"/>
    <s v="conventional_default_current_wala_158"/>
    <x v="198"/>
    <n v="1.4581548002981799"/>
    <n v="1"/>
    <n v="-66"/>
    <n v="396"/>
  </r>
  <r>
    <x v="47"/>
    <s v="conventional_default_current_wala_159"/>
    <x v="199"/>
    <n v="1.4596534138142101"/>
    <n v="1"/>
    <n v="-66"/>
    <n v="396"/>
  </r>
  <r>
    <x v="47"/>
    <s v="conventional_default_current_wala_160"/>
    <x v="200"/>
    <n v="1.4611158162117199"/>
    <n v="1"/>
    <n v="-66"/>
    <n v="396"/>
  </r>
  <r>
    <x v="47"/>
    <s v="conventional_default_current_wala_161"/>
    <x v="201"/>
    <n v="1.4625424503093101"/>
    <n v="1"/>
    <n v="-66"/>
    <n v="396"/>
  </r>
  <r>
    <x v="47"/>
    <s v="conventional_default_current_wala_162"/>
    <x v="202"/>
    <n v="1.4639337589255801"/>
    <n v="1"/>
    <n v="-66"/>
    <n v="396"/>
  </r>
  <r>
    <x v="47"/>
    <s v="conventional_default_current_wala_163"/>
    <x v="203"/>
    <n v="1.46529018487915"/>
    <n v="1"/>
    <n v="-66"/>
    <n v="396"/>
  </r>
  <r>
    <x v="47"/>
    <s v="conventional_default_current_wala_164"/>
    <x v="204"/>
    <n v="1.4666121709886299"/>
    <n v="1"/>
    <n v="-66"/>
    <n v="396"/>
  </r>
  <r>
    <x v="47"/>
    <s v="conventional_default_current_wala_165"/>
    <x v="205"/>
    <n v="1.46790016007262"/>
    <n v="1"/>
    <n v="-66"/>
    <n v="396"/>
  </r>
  <r>
    <x v="47"/>
    <s v="conventional_default_current_wala_166"/>
    <x v="206"/>
    <n v="1.46915459494974"/>
    <n v="1"/>
    <n v="-66"/>
    <n v="396"/>
  </r>
  <r>
    <x v="47"/>
    <s v="conventional_default_current_wala_167"/>
    <x v="207"/>
    <n v="1.4703759184386"/>
    <n v="1"/>
    <n v="-66"/>
    <n v="396"/>
  </r>
  <r>
    <x v="47"/>
    <s v="conventional_default_current_wala_168"/>
    <x v="208"/>
    <n v="1.47156457335779"/>
    <n v="1"/>
    <n v="-66"/>
    <n v="396"/>
  </r>
  <r>
    <x v="47"/>
    <s v="conventional_default_current_wala_169"/>
    <x v="209"/>
    <n v="1.4727210025259401"/>
    <n v="1"/>
    <n v="-66"/>
    <n v="396"/>
  </r>
  <r>
    <x v="47"/>
    <s v="conventional_default_current_wala_170"/>
    <x v="210"/>
    <n v="1.47384564876165"/>
    <n v="1"/>
    <n v="-66"/>
    <n v="396"/>
  </r>
  <r>
    <x v="47"/>
    <s v="conventional_default_current_wala_171"/>
    <x v="211"/>
    <n v="1.4749389548835301"/>
    <n v="1"/>
    <n v="-66"/>
    <n v="396"/>
  </r>
  <r>
    <x v="47"/>
    <s v="conventional_default_current_wala_172"/>
    <x v="212"/>
    <n v="1.4760013637101901"/>
    <n v="1"/>
    <n v="-66"/>
    <n v="396"/>
  </r>
  <r>
    <x v="47"/>
    <s v="conventional_default_current_wala_173"/>
    <x v="213"/>
    <n v="1.47703331806024"/>
    <n v="1"/>
    <n v="-66"/>
    <n v="396"/>
  </r>
  <r>
    <x v="47"/>
    <s v="conventional_default_current_wala_174"/>
    <x v="214"/>
    <n v="1.47803526075229"/>
    <n v="1"/>
    <n v="-66"/>
    <n v="396"/>
  </r>
  <r>
    <x v="47"/>
    <s v="conventional_default_current_wala_175"/>
    <x v="215"/>
    <n v="1.4790076346049399"/>
    <n v="1"/>
    <n v="-66"/>
    <n v="396"/>
  </r>
  <r>
    <x v="47"/>
    <s v="conventional_default_current_wala_176"/>
    <x v="216"/>
    <n v="1.4799508824368099"/>
    <n v="1"/>
    <n v="-66"/>
    <n v="396"/>
  </r>
  <r>
    <x v="47"/>
    <s v="conventional_default_current_wala_177"/>
    <x v="217"/>
    <n v="1.4808654470665099"/>
    <n v="1"/>
    <n v="-66"/>
    <n v="396"/>
  </r>
  <r>
    <x v="47"/>
    <s v="conventional_default_current_wala_178"/>
    <x v="218"/>
    <n v="1.48175177131264"/>
    <n v="1"/>
    <n v="-66"/>
    <n v="396"/>
  </r>
  <r>
    <x v="47"/>
    <s v="conventional_default_current_wala_179"/>
    <x v="219"/>
    <n v="1.4826102979938101"/>
    <n v="1"/>
    <n v="-66"/>
    <n v="396"/>
  </r>
  <r>
    <x v="47"/>
    <s v="conventional_default_current_wala_180"/>
    <x v="220"/>
    <n v="1.48344146992864"/>
    <n v="1"/>
    <n v="-66"/>
    <n v="396"/>
  </r>
  <r>
    <x v="47"/>
    <s v="conventional_default_current_wala_181"/>
    <x v="221"/>
    <n v="1.4842457299357299"/>
    <n v="1"/>
    <n v="-66"/>
    <n v="396"/>
  </r>
  <r>
    <x v="47"/>
    <s v="conventional_default_current_wala_182"/>
    <x v="222"/>
    <n v="1.4850235208336899"/>
    <n v="1"/>
    <n v="-66"/>
    <n v="396"/>
  </r>
  <r>
    <x v="47"/>
    <s v="conventional_default_current_wala_183"/>
    <x v="223"/>
    <n v="1.4857752854411299"/>
    <n v="1"/>
    <n v="-66"/>
    <n v="396"/>
  </r>
  <r>
    <x v="47"/>
    <s v="conventional_default_current_wala_184"/>
    <x v="224"/>
    <n v="1.48650146657666"/>
    <n v="1"/>
    <n v="-66"/>
    <n v="396"/>
  </r>
  <r>
    <x v="47"/>
    <s v="conventional_default_current_wala_185"/>
    <x v="225"/>
    <n v="1.4872025070588799"/>
    <n v="1"/>
    <n v="-66"/>
    <n v="396"/>
  </r>
  <r>
    <x v="47"/>
    <s v="conventional_default_current_wala_186"/>
    <x v="226"/>
    <n v="1.4878788497064199"/>
    <n v="1"/>
    <n v="-66"/>
    <n v="396"/>
  </r>
  <r>
    <x v="47"/>
    <s v="conventional_default_current_wala_187"/>
    <x v="227"/>
    <n v="1.4885309373378699"/>
    <n v="1"/>
    <n v="-66"/>
    <n v="396"/>
  </r>
  <r>
    <x v="47"/>
    <s v="conventional_default_current_wala_188"/>
    <x v="228"/>
    <n v="1.48915921277185"/>
    <n v="1"/>
    <n v="-66"/>
    <n v="396"/>
  </r>
  <r>
    <x v="47"/>
    <s v="conventional_default_current_wala_189"/>
    <x v="229"/>
    <n v="1.4897641188269599"/>
    <n v="1"/>
    <n v="-66"/>
    <n v="396"/>
  </r>
  <r>
    <x v="47"/>
    <s v="conventional_default_current_wala_190"/>
    <x v="230"/>
    <n v="1.49034609832181"/>
    <n v="1"/>
    <n v="-66"/>
    <n v="396"/>
  </r>
  <r>
    <x v="47"/>
    <s v="conventional_default_current_wala_191"/>
    <x v="231"/>
    <n v="1.49090559407502"/>
    <n v="1"/>
    <n v="-66"/>
    <n v="396"/>
  </r>
  <r>
    <x v="47"/>
    <s v="conventional_default_current_wala_192"/>
    <x v="232"/>
    <n v="1.49144304890519"/>
    <n v="1"/>
    <n v="-66"/>
    <n v="396"/>
  </r>
  <r>
    <x v="47"/>
    <s v="conventional_default_current_wala_193"/>
    <x v="233"/>
    <n v="1.4919589056309399"/>
    <n v="1"/>
    <n v="-66"/>
    <n v="396"/>
  </r>
  <r>
    <x v="47"/>
    <s v="conventional_default_current_wala_194"/>
    <x v="234"/>
    <n v="1.4924536070708601"/>
    <n v="1"/>
    <n v="-66"/>
    <n v="396"/>
  </r>
  <r>
    <x v="47"/>
    <s v="conventional_default_current_wala_195"/>
    <x v="235"/>
    <n v="1.4929275960435699"/>
    <n v="1"/>
    <n v="-66"/>
    <n v="396"/>
  </r>
  <r>
    <x v="47"/>
    <s v="conventional_default_current_wala_196"/>
    <x v="236"/>
    <n v="1.49338131536769"/>
    <n v="1"/>
    <n v="-66"/>
    <n v="396"/>
  </r>
  <r>
    <x v="47"/>
    <s v="conventional_default_current_wala_197"/>
    <x v="237"/>
    <n v="1.4938152078618101"/>
    <n v="1"/>
    <n v="-66"/>
    <n v="396"/>
  </r>
  <r>
    <x v="47"/>
    <s v="conventional_default_current_wala_198"/>
    <x v="238"/>
    <n v="1.4942297163445399"/>
    <n v="1"/>
    <n v="-66"/>
    <n v="396"/>
  </r>
  <r>
    <x v="47"/>
    <s v="conventional_default_current_wala_199"/>
    <x v="239"/>
    <n v="1.49462528363451"/>
    <n v="1"/>
    <n v="-66"/>
    <n v="396"/>
  </r>
  <r>
    <x v="47"/>
    <s v="conventional_default_current_wala_200"/>
    <x v="240"/>
    <n v="1.4950023525503"/>
    <n v="1"/>
    <n v="-66"/>
    <n v="396"/>
  </r>
  <r>
    <x v="47"/>
    <s v="conventional_default_current_wala_201"/>
    <x v="241"/>
    <n v="1.49536136591055"/>
    <n v="1"/>
    <n v="-66"/>
    <n v="396"/>
  </r>
  <r>
    <x v="47"/>
    <s v="conventional_default_current_wala_202"/>
    <x v="242"/>
    <n v="1.49570276653384"/>
    <n v="1"/>
    <n v="-66"/>
    <n v="396"/>
  </r>
  <r>
    <x v="47"/>
    <s v="conventional_default_current_wala_203"/>
    <x v="243"/>
    <n v="1.4960269972388001"/>
    <n v="1"/>
    <n v="-66"/>
    <n v="396"/>
  </r>
  <r>
    <x v="47"/>
    <s v="conventional_default_current_wala_204"/>
    <x v="244"/>
    <n v="1.4963345008440301"/>
    <n v="1"/>
    <n v="-66"/>
    <n v="396"/>
  </r>
  <r>
    <x v="47"/>
    <s v="conventional_default_current_wala_205"/>
    <x v="245"/>
    <n v="1.4966257201681501"/>
    <n v="1"/>
    <n v="-66"/>
    <n v="396"/>
  </r>
  <r>
    <x v="47"/>
    <s v="conventional_default_current_wala_206"/>
    <x v="246"/>
    <n v="1.4969010980297499"/>
    <n v="1"/>
    <n v="-66"/>
    <n v="396"/>
  </r>
  <r>
    <x v="47"/>
    <s v="conventional_default_current_wala_207"/>
    <x v="247"/>
    <n v="1.49716107724745"/>
    <n v="1"/>
    <n v="-66"/>
    <n v="396"/>
  </r>
  <r>
    <x v="47"/>
    <s v="conventional_default_current_wala_208"/>
    <x v="248"/>
    <n v="1.49740610063986"/>
    <n v="1"/>
    <n v="-66"/>
    <n v="396"/>
  </r>
  <r>
    <x v="47"/>
    <s v="conventional_default_current_wala_209"/>
    <x v="249"/>
    <n v="1.4976366110255901"/>
    <n v="1"/>
    <n v="-66"/>
    <n v="396"/>
  </r>
  <r>
    <x v="47"/>
    <s v="conventional_default_current_wala_210"/>
    <x v="250"/>
    <n v="1.49785305122324"/>
    <n v="1"/>
    <n v="-66"/>
    <n v="396"/>
  </r>
  <r>
    <x v="47"/>
    <s v="conventional_default_current_wala_211"/>
    <x v="251"/>
    <n v="1.4980558640514301"/>
    <n v="1"/>
    <n v="-66"/>
    <n v="396"/>
  </r>
  <r>
    <x v="47"/>
    <s v="conventional_default_current_wala_212"/>
    <x v="252"/>
    <n v="1.49824549232876"/>
    <n v="1"/>
    <n v="-66"/>
    <n v="396"/>
  </r>
  <r>
    <x v="47"/>
    <s v="conventional_default_current_wala_213"/>
    <x v="253"/>
    <n v="1.49842237887385"/>
    <n v="1"/>
    <n v="-66"/>
    <n v="396"/>
  </r>
  <r>
    <x v="47"/>
    <s v="conventional_default_current_wala_214"/>
    <x v="254"/>
    <n v="1.4985869665053"/>
    <n v="1"/>
    <n v="-66"/>
    <n v="396"/>
  </r>
  <r>
    <x v="47"/>
    <s v="conventional_default_current_wala_215"/>
    <x v="255"/>
    <n v="1.49873969804173"/>
    <n v="1"/>
    <n v="-66"/>
    <n v="396"/>
  </r>
  <r>
    <x v="47"/>
    <s v="conventional_default_current_wala_216"/>
    <x v="256"/>
    <n v="1.4988810163017301"/>
    <n v="1"/>
    <n v="-66"/>
    <n v="396"/>
  </r>
  <r>
    <x v="47"/>
    <s v="conventional_default_current_wala_217"/>
    <x v="257"/>
    <n v="1.49901136410393"/>
    <n v="1"/>
    <n v="-66"/>
    <n v="396"/>
  </r>
  <r>
    <x v="47"/>
    <s v="conventional_default_current_wala_218"/>
    <x v="258"/>
    <n v="1.4991311842669199"/>
    <n v="1"/>
    <n v="-66"/>
    <n v="396"/>
  </r>
  <r>
    <x v="47"/>
    <s v="conventional_default_current_wala_219"/>
    <x v="259"/>
    <n v="1.4992409196093299"/>
    <n v="1"/>
    <n v="-66"/>
    <n v="396"/>
  </r>
  <r>
    <x v="47"/>
    <s v="conventional_default_current_wala_220"/>
    <x v="260"/>
    <n v="1.49934101294975"/>
    <n v="1"/>
    <n v="-66"/>
    <n v="396"/>
  </r>
  <r>
    <x v="47"/>
    <s v="conventional_default_current_wala_221"/>
    <x v="261"/>
    <n v="1.4994319071068001"/>
    <n v="1"/>
    <n v="-66"/>
    <n v="396"/>
  </r>
  <r>
    <x v="47"/>
    <s v="conventional_default_current_wala_222"/>
    <x v="262"/>
    <n v="1.49951404489908"/>
    <n v="1"/>
    <n v="-66"/>
    <n v="396"/>
  </r>
  <r>
    <x v="47"/>
    <s v="conventional_default_current_wala_223"/>
    <x v="263"/>
    <n v="1.49958786914521"/>
    <n v="1"/>
    <n v="-66"/>
    <n v="396"/>
  </r>
  <r>
    <x v="47"/>
    <s v="conventional_default_current_wala_224"/>
    <x v="264"/>
    <n v="1.4996538226638001"/>
    <n v="1"/>
    <n v="-66"/>
    <n v="396"/>
  </r>
  <r>
    <x v="47"/>
    <s v="conventional_default_current_wala_225"/>
    <x v="265"/>
    <n v="1.49971234827344"/>
    <n v="1"/>
    <n v="-66"/>
    <n v="396"/>
  </r>
  <r>
    <x v="47"/>
    <s v="conventional_default_current_wala_226"/>
    <x v="266"/>
    <n v="1.49976388879277"/>
    <n v="1"/>
    <n v="-66"/>
    <n v="396"/>
  </r>
  <r>
    <x v="47"/>
    <s v="conventional_default_current_wala_227"/>
    <x v="267"/>
    <n v="1.4998088870403701"/>
    <n v="1"/>
    <n v="-66"/>
    <n v="396"/>
  </r>
  <r>
    <x v="47"/>
    <s v="conventional_default_current_wala_228"/>
    <x v="268"/>
    <n v="1.49984778583486"/>
    <n v="1"/>
    <n v="-66"/>
    <n v="396"/>
  </r>
  <r>
    <x v="47"/>
    <s v="conventional_default_current_wala_229"/>
    <x v="269"/>
    <n v="1.49988102799486"/>
    <n v="1"/>
    <n v="-66"/>
    <n v="396"/>
  </r>
  <r>
    <x v="47"/>
    <s v="conventional_default_current_wala_230"/>
    <x v="270"/>
    <n v="1.4999090563389601"/>
    <n v="1"/>
    <n v="-66"/>
    <n v="396"/>
  </r>
  <r>
    <x v="47"/>
    <s v="conventional_default_current_wala_231"/>
    <x v="271"/>
    <n v="1.4999323136857801"/>
    <n v="1"/>
    <n v="-66"/>
    <n v="396"/>
  </r>
  <r>
    <x v="47"/>
    <s v="conventional_default_current_wala_232"/>
    <x v="272"/>
    <n v="1.4999512428539299"/>
    <n v="1"/>
    <n v="-66"/>
    <n v="396"/>
  </r>
  <r>
    <x v="47"/>
    <s v="conventional_default_current_wala_233"/>
    <x v="273"/>
    <n v="1.49996628666201"/>
    <n v="1"/>
    <n v="-66"/>
    <n v="396"/>
  </r>
  <r>
    <x v="47"/>
    <s v="conventional_default_current_wala_234"/>
    <x v="274"/>
    <n v="1.4999778879286401"/>
    <n v="1"/>
    <n v="-66"/>
    <n v="396"/>
  </r>
  <r>
    <x v="47"/>
    <s v="conventional_default_current_wala_235"/>
    <x v="275"/>
    <n v="1.49998648947243"/>
    <n v="1"/>
    <n v="-66"/>
    <n v="396"/>
  </r>
  <r>
    <x v="47"/>
    <s v="conventional_default_current_wala_236"/>
    <x v="276"/>
    <n v="1.49999253411198"/>
    <n v="1"/>
    <n v="-66"/>
    <n v="396"/>
  </r>
  <r>
    <x v="47"/>
    <s v="conventional_default_current_wala_237"/>
    <x v="277"/>
    <n v="1.4999964646659001"/>
    <n v="1"/>
    <n v="-66"/>
    <n v="396"/>
  </r>
  <r>
    <x v="47"/>
    <s v="conventional_default_current_wala_238"/>
    <x v="278"/>
    <n v="1.4999987239528101"/>
    <n v="1"/>
    <n v="-66"/>
    <n v="396"/>
  </r>
  <r>
    <x v="47"/>
    <s v="conventional_default_current_wala_239"/>
    <x v="279"/>
    <n v="1.4999997547913"/>
    <n v="1"/>
    <n v="-66"/>
    <n v="396"/>
  </r>
  <r>
    <x v="47"/>
    <s v="conventional_default_current_wala_240"/>
    <x v="280"/>
    <n v="1.5"/>
    <n v="1"/>
    <n v="-66"/>
    <n v="396"/>
  </r>
  <r>
    <x v="47"/>
    <s v="conventional_default_current_wala_241"/>
    <x v="281"/>
    <n v="1.5"/>
    <n v="1"/>
    <n v="-66"/>
    <n v="396"/>
  </r>
  <r>
    <x v="47"/>
    <s v="conventional_default_current_wala_242"/>
    <x v="282"/>
    <n v="1.5"/>
    <n v="1"/>
    <n v="-66"/>
    <n v="396"/>
  </r>
  <r>
    <x v="47"/>
    <s v="conventional_default_current_wala_243"/>
    <x v="283"/>
    <n v="1.5"/>
    <n v="1"/>
    <n v="-66"/>
    <n v="396"/>
  </r>
  <r>
    <x v="47"/>
    <s v="conventional_default_current_wala_244"/>
    <x v="284"/>
    <n v="1.5"/>
    <n v="1"/>
    <n v="-66"/>
    <n v="396"/>
  </r>
  <r>
    <x v="47"/>
    <s v="conventional_default_current_wala_245"/>
    <x v="285"/>
    <n v="1.5"/>
    <n v="1"/>
    <n v="-66"/>
    <n v="396"/>
  </r>
  <r>
    <x v="47"/>
    <s v="conventional_default_current_wala_246"/>
    <x v="286"/>
    <n v="1.5"/>
    <n v="1"/>
    <n v="-66"/>
    <n v="396"/>
  </r>
  <r>
    <x v="47"/>
    <s v="conventional_default_current_wala_247"/>
    <x v="287"/>
    <n v="1.5"/>
    <n v="1"/>
    <n v="-66"/>
    <n v="396"/>
  </r>
  <r>
    <x v="47"/>
    <s v="conventional_default_current_wala_248"/>
    <x v="288"/>
    <n v="1.5"/>
    <n v="1"/>
    <n v="-66"/>
    <n v="396"/>
  </r>
  <r>
    <x v="47"/>
    <s v="conventional_default_current_wala_249"/>
    <x v="289"/>
    <n v="1.5"/>
    <n v="1"/>
    <n v="-66"/>
    <n v="396"/>
  </r>
  <r>
    <x v="47"/>
    <s v="conventional_default_current_wala_250"/>
    <x v="290"/>
    <n v="1.5"/>
    <n v="1"/>
    <n v="-66"/>
    <n v="396"/>
  </r>
  <r>
    <x v="47"/>
    <s v="conventional_default_current_wala_251"/>
    <x v="291"/>
    <n v="1.5"/>
    <n v="1"/>
    <n v="-66"/>
    <n v="396"/>
  </r>
  <r>
    <x v="47"/>
    <s v="conventional_default_current_wala_252"/>
    <x v="292"/>
    <n v="1.5"/>
    <n v="1"/>
    <n v="-66"/>
    <n v="396"/>
  </r>
  <r>
    <x v="47"/>
    <s v="conventional_default_current_wala_253"/>
    <x v="293"/>
    <n v="1.5"/>
    <n v="1"/>
    <n v="-66"/>
    <n v="396"/>
  </r>
  <r>
    <x v="47"/>
    <s v="conventional_default_current_wala_254"/>
    <x v="294"/>
    <n v="1.5"/>
    <n v="1"/>
    <n v="-66"/>
    <n v="396"/>
  </r>
  <r>
    <x v="47"/>
    <s v="conventional_default_current_wala_255"/>
    <x v="295"/>
    <n v="1.5"/>
    <n v="1"/>
    <n v="-66"/>
    <n v="396"/>
  </r>
  <r>
    <x v="47"/>
    <s v="conventional_default_current_wala_256"/>
    <x v="296"/>
    <n v="1.5"/>
    <n v="1"/>
    <n v="-66"/>
    <n v="396"/>
  </r>
  <r>
    <x v="47"/>
    <s v="conventional_default_current_wala_257"/>
    <x v="297"/>
    <n v="1.5"/>
    <n v="1"/>
    <n v="-66"/>
    <n v="396"/>
  </r>
  <r>
    <x v="47"/>
    <s v="conventional_default_current_wala_258"/>
    <x v="298"/>
    <n v="1.5"/>
    <n v="1"/>
    <n v="-66"/>
    <n v="396"/>
  </r>
  <r>
    <x v="47"/>
    <s v="conventional_default_current_wala_259"/>
    <x v="299"/>
    <n v="1.5"/>
    <n v="1"/>
    <n v="-66"/>
    <n v="396"/>
  </r>
  <r>
    <x v="47"/>
    <s v="conventional_default_current_wala_260"/>
    <x v="300"/>
    <n v="1.5"/>
    <n v="1"/>
    <n v="-66"/>
    <n v="396"/>
  </r>
  <r>
    <x v="47"/>
    <s v="conventional_default_current_wala_261"/>
    <x v="301"/>
    <n v="1.5"/>
    <n v="1"/>
    <n v="-66"/>
    <n v="396"/>
  </r>
  <r>
    <x v="47"/>
    <s v="conventional_default_current_wala_262"/>
    <x v="302"/>
    <n v="1.5"/>
    <n v="1"/>
    <n v="-66"/>
    <n v="396"/>
  </r>
  <r>
    <x v="47"/>
    <s v="conventional_default_current_wala_263"/>
    <x v="303"/>
    <n v="1.5"/>
    <n v="1"/>
    <n v="-66"/>
    <n v="396"/>
  </r>
  <r>
    <x v="47"/>
    <s v="conventional_default_current_wala_264"/>
    <x v="304"/>
    <n v="1.5"/>
    <n v="1"/>
    <n v="-66"/>
    <n v="396"/>
  </r>
  <r>
    <x v="47"/>
    <s v="conventional_default_current_wala_265"/>
    <x v="305"/>
    <n v="1.5"/>
    <n v="1"/>
    <n v="-66"/>
    <n v="396"/>
  </r>
  <r>
    <x v="47"/>
    <s v="conventional_default_current_wala_266"/>
    <x v="306"/>
    <n v="1.5"/>
    <n v="1"/>
    <n v="-66"/>
    <n v="396"/>
  </r>
  <r>
    <x v="47"/>
    <s v="conventional_default_current_wala_267"/>
    <x v="307"/>
    <n v="1.5"/>
    <n v="1"/>
    <n v="-66"/>
    <n v="396"/>
  </r>
  <r>
    <x v="47"/>
    <s v="conventional_default_current_wala_268"/>
    <x v="308"/>
    <n v="1.5"/>
    <n v="1"/>
    <n v="-66"/>
    <n v="396"/>
  </r>
  <r>
    <x v="47"/>
    <s v="conventional_default_current_wala_269"/>
    <x v="309"/>
    <n v="1.5"/>
    <n v="1"/>
    <n v="-66"/>
    <n v="396"/>
  </r>
  <r>
    <x v="47"/>
    <s v="conventional_default_current_wala_270"/>
    <x v="310"/>
    <n v="1.5"/>
    <n v="1"/>
    <n v="-66"/>
    <n v="396"/>
  </r>
  <r>
    <x v="47"/>
    <s v="conventional_default_current_wala_271"/>
    <x v="311"/>
    <n v="1.5"/>
    <n v="1"/>
    <n v="-66"/>
    <n v="396"/>
  </r>
  <r>
    <x v="47"/>
    <s v="conventional_default_current_wala_272"/>
    <x v="312"/>
    <n v="1.5"/>
    <n v="1"/>
    <n v="-66"/>
    <n v="396"/>
  </r>
  <r>
    <x v="47"/>
    <s v="conventional_default_current_wala_273"/>
    <x v="313"/>
    <n v="1.5"/>
    <n v="1"/>
    <n v="-66"/>
    <n v="396"/>
  </r>
  <r>
    <x v="47"/>
    <s v="conventional_default_current_wala_274"/>
    <x v="314"/>
    <n v="1.5"/>
    <n v="1"/>
    <n v="-66"/>
    <n v="396"/>
  </r>
  <r>
    <x v="47"/>
    <s v="conventional_default_current_wala_275"/>
    <x v="315"/>
    <n v="1.5"/>
    <n v="1"/>
    <n v="-66"/>
    <n v="396"/>
  </r>
  <r>
    <x v="47"/>
    <s v="conventional_default_current_wala_276"/>
    <x v="316"/>
    <n v="1.5"/>
    <n v="1"/>
    <n v="-66"/>
    <n v="396"/>
  </r>
  <r>
    <x v="47"/>
    <s v="conventional_default_current_wala_277"/>
    <x v="317"/>
    <n v="1.5"/>
    <n v="1"/>
    <n v="-66"/>
    <n v="396"/>
  </r>
  <r>
    <x v="47"/>
    <s v="conventional_default_current_wala_278"/>
    <x v="318"/>
    <n v="1.5"/>
    <n v="1"/>
    <n v="-66"/>
    <n v="396"/>
  </r>
  <r>
    <x v="47"/>
    <s v="conventional_default_current_wala_279"/>
    <x v="319"/>
    <n v="1.5"/>
    <n v="1"/>
    <n v="-66"/>
    <n v="396"/>
  </r>
  <r>
    <x v="47"/>
    <s v="conventional_default_current_wala_280"/>
    <x v="320"/>
    <n v="1.5"/>
    <n v="1"/>
    <n v="-66"/>
    <n v="396"/>
  </r>
  <r>
    <x v="47"/>
    <s v="conventional_default_current_wala_281"/>
    <x v="321"/>
    <n v="1.5"/>
    <n v="1"/>
    <n v="-66"/>
    <n v="396"/>
  </r>
  <r>
    <x v="47"/>
    <s v="conventional_default_current_wala_282"/>
    <x v="322"/>
    <n v="1.5"/>
    <n v="1"/>
    <n v="-66"/>
    <n v="396"/>
  </r>
  <r>
    <x v="47"/>
    <s v="conventional_default_current_wala_283"/>
    <x v="323"/>
    <n v="1.5"/>
    <n v="1"/>
    <n v="-66"/>
    <n v="396"/>
  </r>
  <r>
    <x v="47"/>
    <s v="conventional_default_current_wala_284"/>
    <x v="324"/>
    <n v="1.5"/>
    <n v="1"/>
    <n v="-66"/>
    <n v="396"/>
  </r>
  <r>
    <x v="47"/>
    <s v="conventional_default_current_wala_285"/>
    <x v="325"/>
    <n v="1.5"/>
    <n v="1"/>
    <n v="-66"/>
    <n v="396"/>
  </r>
  <r>
    <x v="47"/>
    <s v="conventional_default_current_wala_286"/>
    <x v="326"/>
    <n v="1.5"/>
    <n v="1"/>
    <n v="-66"/>
    <n v="396"/>
  </r>
  <r>
    <x v="47"/>
    <s v="conventional_default_current_wala_287"/>
    <x v="327"/>
    <n v="1.5"/>
    <n v="1"/>
    <n v="-66"/>
    <n v="396"/>
  </r>
  <r>
    <x v="47"/>
    <s v="conventional_default_current_wala_288"/>
    <x v="328"/>
    <n v="1.5"/>
    <n v="1"/>
    <n v="-66"/>
    <n v="396"/>
  </r>
  <r>
    <x v="47"/>
    <s v="conventional_default_current_wala_289"/>
    <x v="329"/>
    <n v="1.5"/>
    <n v="1"/>
    <n v="-66"/>
    <n v="396"/>
  </r>
  <r>
    <x v="47"/>
    <s v="conventional_default_current_wala_290"/>
    <x v="330"/>
    <n v="1.5"/>
    <n v="1"/>
    <n v="-66"/>
    <n v="396"/>
  </r>
  <r>
    <x v="47"/>
    <s v="conventional_default_current_wala_291"/>
    <x v="331"/>
    <n v="1.5"/>
    <n v="1"/>
    <n v="-66"/>
    <n v="396"/>
  </r>
  <r>
    <x v="47"/>
    <s v="conventional_default_current_wala_292"/>
    <x v="332"/>
    <n v="1.5"/>
    <n v="1"/>
    <n v="-66"/>
    <n v="396"/>
  </r>
  <r>
    <x v="47"/>
    <s v="conventional_default_current_wala_293"/>
    <x v="333"/>
    <n v="1.5"/>
    <n v="1"/>
    <n v="-66"/>
    <n v="396"/>
  </r>
  <r>
    <x v="47"/>
    <s v="conventional_default_current_wala_294"/>
    <x v="334"/>
    <n v="1.5"/>
    <n v="1"/>
    <n v="-66"/>
    <n v="396"/>
  </r>
  <r>
    <x v="47"/>
    <s v="conventional_default_current_wala_295"/>
    <x v="335"/>
    <n v="1.5"/>
    <n v="1"/>
    <n v="-66"/>
    <n v="396"/>
  </r>
  <r>
    <x v="47"/>
    <s v="conventional_default_current_wala_296"/>
    <x v="336"/>
    <n v="1.5"/>
    <n v="1"/>
    <n v="-66"/>
    <n v="396"/>
  </r>
  <r>
    <x v="47"/>
    <s v="conventional_default_current_wala_297"/>
    <x v="337"/>
    <n v="1.5"/>
    <n v="1"/>
    <n v="-66"/>
    <n v="396"/>
  </r>
  <r>
    <x v="47"/>
    <s v="conventional_default_current_wala_298"/>
    <x v="338"/>
    <n v="1.5"/>
    <n v="1"/>
    <n v="-66"/>
    <n v="396"/>
  </r>
  <r>
    <x v="47"/>
    <s v="conventional_default_current_wala_299"/>
    <x v="339"/>
    <n v="1.5"/>
    <n v="1"/>
    <n v="-66"/>
    <n v="396"/>
  </r>
  <r>
    <x v="47"/>
    <s v="conventional_default_current_wala_300"/>
    <x v="340"/>
    <n v="1.5"/>
    <n v="1"/>
    <n v="-66"/>
    <n v="396"/>
  </r>
  <r>
    <x v="47"/>
    <s v="conventional_default_current_wala_301"/>
    <x v="341"/>
    <n v="1.5"/>
    <n v="1"/>
    <n v="-66"/>
    <n v="396"/>
  </r>
  <r>
    <x v="47"/>
    <s v="conventional_default_current_wala_302"/>
    <x v="342"/>
    <n v="1.5"/>
    <n v="1"/>
    <n v="-66"/>
    <n v="396"/>
  </r>
  <r>
    <x v="47"/>
    <s v="conventional_default_current_wala_303"/>
    <x v="343"/>
    <n v="1.5"/>
    <n v="1"/>
    <n v="-66"/>
    <n v="396"/>
  </r>
  <r>
    <x v="47"/>
    <s v="conventional_default_current_wala_304"/>
    <x v="344"/>
    <n v="1.5"/>
    <n v="1"/>
    <n v="-66"/>
    <n v="396"/>
  </r>
  <r>
    <x v="47"/>
    <s v="conventional_default_current_wala_305"/>
    <x v="345"/>
    <n v="1.5"/>
    <n v="1"/>
    <n v="-66"/>
    <n v="396"/>
  </r>
  <r>
    <x v="47"/>
    <s v="conventional_default_current_wala_306"/>
    <x v="346"/>
    <n v="1.5"/>
    <n v="1"/>
    <n v="-66"/>
    <n v="396"/>
  </r>
  <r>
    <x v="47"/>
    <s v="conventional_default_current_wala_307"/>
    <x v="347"/>
    <n v="1.5"/>
    <n v="1"/>
    <n v="-66"/>
    <n v="396"/>
  </r>
  <r>
    <x v="47"/>
    <s v="conventional_default_current_wala_308"/>
    <x v="348"/>
    <n v="1.5"/>
    <n v="1"/>
    <n v="-66"/>
    <n v="396"/>
  </r>
  <r>
    <x v="47"/>
    <s v="conventional_default_current_wala_309"/>
    <x v="349"/>
    <n v="1.5"/>
    <n v="1"/>
    <n v="-66"/>
    <n v="396"/>
  </r>
  <r>
    <x v="47"/>
    <s v="conventional_default_current_wala_310"/>
    <x v="350"/>
    <n v="1.5"/>
    <n v="1"/>
    <n v="-66"/>
    <n v="396"/>
  </r>
  <r>
    <x v="47"/>
    <s v="conventional_default_current_wala_311"/>
    <x v="351"/>
    <n v="1.5"/>
    <n v="1"/>
    <n v="-66"/>
    <n v="396"/>
  </r>
  <r>
    <x v="47"/>
    <s v="conventional_default_current_wala_312"/>
    <x v="352"/>
    <n v="1.5"/>
    <n v="1"/>
    <n v="-66"/>
    <n v="396"/>
  </r>
  <r>
    <x v="47"/>
    <s v="conventional_default_current_wala_313"/>
    <x v="353"/>
    <n v="1.5"/>
    <n v="1"/>
    <n v="-66"/>
    <n v="396"/>
  </r>
  <r>
    <x v="47"/>
    <s v="conventional_default_current_wala_314"/>
    <x v="354"/>
    <n v="1.5"/>
    <n v="1"/>
    <n v="-66"/>
    <n v="396"/>
  </r>
  <r>
    <x v="47"/>
    <s v="conventional_default_current_wala_315"/>
    <x v="355"/>
    <n v="1.5"/>
    <n v="1"/>
    <n v="-66"/>
    <n v="396"/>
  </r>
  <r>
    <x v="47"/>
    <s v="conventional_default_current_wala_316"/>
    <x v="356"/>
    <n v="1.5"/>
    <n v="1"/>
    <n v="-66"/>
    <n v="396"/>
  </r>
  <r>
    <x v="47"/>
    <s v="conventional_default_current_wala_317"/>
    <x v="357"/>
    <n v="1.5"/>
    <n v="1"/>
    <n v="-66"/>
    <n v="396"/>
  </r>
  <r>
    <x v="47"/>
    <s v="conventional_default_current_wala_318"/>
    <x v="358"/>
    <n v="1.5"/>
    <n v="1"/>
    <n v="-66"/>
    <n v="396"/>
  </r>
  <r>
    <x v="47"/>
    <s v="conventional_default_current_wala_319"/>
    <x v="359"/>
    <n v="1.5"/>
    <n v="1"/>
    <n v="-66"/>
    <n v="396"/>
  </r>
  <r>
    <x v="47"/>
    <s v="conventional_default_current_wala_320"/>
    <x v="360"/>
    <n v="1.5"/>
    <n v="1"/>
    <n v="-66"/>
    <n v="396"/>
  </r>
  <r>
    <x v="47"/>
    <s v="conventional_default_current_wala_321"/>
    <x v="361"/>
    <n v="1.5"/>
    <n v="1"/>
    <n v="-66"/>
    <n v="396"/>
  </r>
  <r>
    <x v="47"/>
    <s v="conventional_default_current_wala_322"/>
    <x v="362"/>
    <n v="1.5"/>
    <n v="1"/>
    <n v="-66"/>
    <n v="396"/>
  </r>
  <r>
    <x v="47"/>
    <s v="conventional_default_current_wala_323"/>
    <x v="363"/>
    <n v="1.5"/>
    <n v="1"/>
    <n v="-66"/>
    <n v="396"/>
  </r>
  <r>
    <x v="47"/>
    <s v="conventional_default_current_wala_324"/>
    <x v="364"/>
    <n v="1.5"/>
    <n v="1"/>
    <n v="-66"/>
    <n v="396"/>
  </r>
  <r>
    <x v="47"/>
    <s v="conventional_default_current_wala_325"/>
    <x v="365"/>
    <n v="1.5"/>
    <n v="1"/>
    <n v="-66"/>
    <n v="396"/>
  </r>
  <r>
    <x v="47"/>
    <s v="conventional_default_current_wala_326"/>
    <x v="366"/>
    <n v="1.5"/>
    <n v="1"/>
    <n v="-66"/>
    <n v="396"/>
  </r>
  <r>
    <x v="47"/>
    <s v="conventional_default_current_wala_327"/>
    <x v="367"/>
    <n v="1.5"/>
    <n v="1"/>
    <n v="-66"/>
    <n v="396"/>
  </r>
  <r>
    <x v="47"/>
    <s v="conventional_default_current_wala_328"/>
    <x v="368"/>
    <n v="1.5"/>
    <n v="1"/>
    <n v="-66"/>
    <n v="396"/>
  </r>
  <r>
    <x v="47"/>
    <s v="conventional_default_current_wala_329"/>
    <x v="369"/>
    <n v="1.5"/>
    <n v="1"/>
    <n v="-66"/>
    <n v="396"/>
  </r>
  <r>
    <x v="47"/>
    <s v="conventional_default_current_wala_330"/>
    <x v="370"/>
    <n v="1.5"/>
    <n v="1"/>
    <n v="-66"/>
    <n v="396"/>
  </r>
  <r>
    <x v="47"/>
    <s v="conventional_default_current_wala_331"/>
    <x v="371"/>
    <n v="1.5"/>
    <n v="1"/>
    <n v="-66"/>
    <n v="396"/>
  </r>
  <r>
    <x v="47"/>
    <s v="conventional_default_current_wala_332"/>
    <x v="372"/>
    <n v="1.5"/>
    <n v="1"/>
    <n v="-66"/>
    <n v="396"/>
  </r>
  <r>
    <x v="47"/>
    <s v="conventional_default_current_wala_333"/>
    <x v="373"/>
    <n v="1.5"/>
    <n v="1"/>
    <n v="-66"/>
    <n v="396"/>
  </r>
  <r>
    <x v="47"/>
    <s v="conventional_default_current_wala_334"/>
    <x v="374"/>
    <n v="1.5"/>
    <n v="1"/>
    <n v="-66"/>
    <n v="396"/>
  </r>
  <r>
    <x v="47"/>
    <s v="conventional_default_current_wala_335"/>
    <x v="375"/>
    <n v="1.5"/>
    <n v="1"/>
    <n v="-66"/>
    <n v="396"/>
  </r>
  <r>
    <x v="47"/>
    <s v="conventional_default_current_wala_336"/>
    <x v="376"/>
    <n v="1.5"/>
    <n v="1"/>
    <n v="-66"/>
    <n v="396"/>
  </r>
  <r>
    <x v="47"/>
    <s v="conventional_default_current_wala_337"/>
    <x v="377"/>
    <n v="1.5"/>
    <n v="1"/>
    <n v="-66"/>
    <n v="396"/>
  </r>
  <r>
    <x v="47"/>
    <s v="conventional_default_current_wala_338"/>
    <x v="378"/>
    <n v="1.5"/>
    <n v="1"/>
    <n v="-66"/>
    <n v="396"/>
  </r>
  <r>
    <x v="47"/>
    <s v="conventional_default_current_wala_339"/>
    <x v="379"/>
    <n v="1.5"/>
    <n v="1"/>
    <n v="-66"/>
    <n v="396"/>
  </r>
  <r>
    <x v="47"/>
    <s v="conventional_default_current_wala_340"/>
    <x v="380"/>
    <n v="1.5"/>
    <n v="1"/>
    <n v="-66"/>
    <n v="396"/>
  </r>
  <r>
    <x v="47"/>
    <s v="conventional_default_current_wala_341"/>
    <x v="381"/>
    <n v="1.5"/>
    <n v="1"/>
    <n v="-66"/>
    <n v="396"/>
  </r>
  <r>
    <x v="47"/>
    <s v="conventional_default_current_wala_342"/>
    <x v="382"/>
    <n v="1.5"/>
    <n v="1"/>
    <n v="-66"/>
    <n v="396"/>
  </r>
  <r>
    <x v="47"/>
    <s v="conventional_default_current_wala_343"/>
    <x v="383"/>
    <n v="1.5"/>
    <n v="1"/>
    <n v="-66"/>
    <n v="396"/>
  </r>
  <r>
    <x v="47"/>
    <s v="conventional_default_current_wala_344"/>
    <x v="384"/>
    <n v="1.5"/>
    <n v="1"/>
    <n v="-66"/>
    <n v="396"/>
  </r>
  <r>
    <x v="47"/>
    <s v="conventional_default_current_wala_345"/>
    <x v="385"/>
    <n v="1.5"/>
    <n v="1"/>
    <n v="-66"/>
    <n v="396"/>
  </r>
  <r>
    <x v="47"/>
    <s v="conventional_default_current_wala_346"/>
    <x v="386"/>
    <n v="1.5"/>
    <n v="1"/>
    <n v="-66"/>
    <n v="396"/>
  </r>
  <r>
    <x v="47"/>
    <s v="conventional_default_current_wala_347"/>
    <x v="387"/>
    <n v="1.5"/>
    <n v="1"/>
    <n v="-66"/>
    <n v="396"/>
  </r>
  <r>
    <x v="47"/>
    <s v="conventional_default_current_wala_348"/>
    <x v="388"/>
    <n v="1.5"/>
    <n v="1"/>
    <n v="-66"/>
    <n v="396"/>
  </r>
  <r>
    <x v="47"/>
    <s v="conventional_default_current_wala_349"/>
    <x v="389"/>
    <n v="1.5"/>
    <n v="1"/>
    <n v="-66"/>
    <n v="396"/>
  </r>
  <r>
    <x v="47"/>
    <s v="conventional_default_current_wala_350"/>
    <x v="390"/>
    <n v="1.5"/>
    <n v="1"/>
    <n v="-66"/>
    <n v="396"/>
  </r>
  <r>
    <x v="47"/>
    <s v="conventional_default_current_wala_351"/>
    <x v="391"/>
    <n v="1.5"/>
    <n v="1"/>
    <n v="-66"/>
    <n v="396"/>
  </r>
  <r>
    <x v="47"/>
    <s v="conventional_default_current_wala_352"/>
    <x v="392"/>
    <n v="1.5"/>
    <n v="1"/>
    <n v="-66"/>
    <n v="396"/>
  </r>
  <r>
    <x v="47"/>
    <s v="conventional_default_current_wala_353"/>
    <x v="393"/>
    <n v="1.5"/>
    <n v="1"/>
    <n v="-66"/>
    <n v="396"/>
  </r>
  <r>
    <x v="47"/>
    <s v="conventional_default_current_wala_354"/>
    <x v="394"/>
    <n v="1.5"/>
    <n v="1"/>
    <n v="-66"/>
    <n v="396"/>
  </r>
  <r>
    <x v="47"/>
    <s v="conventional_default_current_wala_355"/>
    <x v="395"/>
    <n v="1.5"/>
    <n v="1"/>
    <n v="-66"/>
    <n v="396"/>
  </r>
  <r>
    <x v="47"/>
    <s v="conventional_default_current_wala_356"/>
    <x v="396"/>
    <n v="1.5"/>
    <n v="1"/>
    <n v="-66"/>
    <n v="396"/>
  </r>
  <r>
    <x v="47"/>
    <s v="conventional_default_current_wala_357"/>
    <x v="397"/>
    <n v="1.5"/>
    <n v="1"/>
    <n v="-66"/>
    <n v="396"/>
  </r>
  <r>
    <x v="47"/>
    <s v="conventional_default_current_wala_358"/>
    <x v="398"/>
    <n v="1.5"/>
    <n v="1"/>
    <n v="-66"/>
    <n v="396"/>
  </r>
  <r>
    <x v="47"/>
    <s v="conventional_default_current_wala_359"/>
    <x v="399"/>
    <n v="1.5"/>
    <n v="1"/>
    <n v="-66"/>
    <n v="396"/>
  </r>
  <r>
    <x v="47"/>
    <s v="conventional_default_current_wala_360"/>
    <x v="400"/>
    <n v="1.5"/>
    <n v="1"/>
    <n v="-66"/>
    <n v="396"/>
  </r>
  <r>
    <x v="47"/>
    <s v="conventional_default_current_wala_361"/>
    <x v="401"/>
    <n v="1.5"/>
    <n v="1"/>
    <n v="-66"/>
    <n v="396"/>
  </r>
  <r>
    <x v="47"/>
    <s v="conventional_default_current_wala_362"/>
    <x v="402"/>
    <n v="1.5"/>
    <n v="1"/>
    <n v="-66"/>
    <n v="396"/>
  </r>
  <r>
    <x v="47"/>
    <s v="conventional_default_current_wala_363"/>
    <x v="403"/>
    <n v="1.5"/>
    <n v="1"/>
    <n v="-66"/>
    <n v="396"/>
  </r>
  <r>
    <x v="47"/>
    <s v="conventional_default_current_wala_364"/>
    <x v="404"/>
    <n v="1.5"/>
    <n v="1"/>
    <n v="-66"/>
    <n v="396"/>
  </r>
  <r>
    <x v="47"/>
    <s v="conventional_default_current_wala_365"/>
    <x v="405"/>
    <n v="1.5"/>
    <n v="1"/>
    <n v="-66"/>
    <n v="396"/>
  </r>
  <r>
    <x v="47"/>
    <s v="conventional_default_current_wala_366"/>
    <x v="406"/>
    <n v="1.5"/>
    <n v="1"/>
    <n v="-66"/>
    <n v="396"/>
  </r>
  <r>
    <x v="47"/>
    <s v="conventional_default_current_wala_367"/>
    <x v="407"/>
    <n v="1.5"/>
    <n v="1"/>
    <n v="-66"/>
    <n v="396"/>
  </r>
  <r>
    <x v="47"/>
    <s v="conventional_default_current_wala_368"/>
    <x v="408"/>
    <n v="1.5"/>
    <n v="1"/>
    <n v="-66"/>
    <n v="396"/>
  </r>
  <r>
    <x v="47"/>
    <s v="conventional_default_current_wala_369"/>
    <x v="409"/>
    <n v="1.5"/>
    <n v="1"/>
    <n v="-66"/>
    <n v="396"/>
  </r>
  <r>
    <x v="47"/>
    <s v="conventional_default_current_wala_370"/>
    <x v="410"/>
    <n v="1.5"/>
    <n v="1"/>
    <n v="-66"/>
    <n v="396"/>
  </r>
  <r>
    <x v="47"/>
    <s v="conventional_default_current_wala_371"/>
    <x v="411"/>
    <n v="1.5"/>
    <n v="1"/>
    <n v="-66"/>
    <n v="396"/>
  </r>
  <r>
    <x v="47"/>
    <s v="conventional_default_current_wala_372"/>
    <x v="412"/>
    <n v="1.5"/>
    <n v="1"/>
    <n v="-66"/>
    <n v="396"/>
  </r>
  <r>
    <x v="47"/>
    <s v="conventional_default_current_wala_373"/>
    <x v="413"/>
    <n v="1.5"/>
    <n v="1"/>
    <n v="-66"/>
    <n v="396"/>
  </r>
  <r>
    <x v="47"/>
    <s v="conventional_default_current_wala_374"/>
    <x v="414"/>
    <n v="1.5"/>
    <n v="1"/>
    <n v="-66"/>
    <n v="396"/>
  </r>
  <r>
    <x v="47"/>
    <s v="conventional_default_current_wala_375"/>
    <x v="415"/>
    <n v="1.5"/>
    <n v="1"/>
    <n v="-66"/>
    <n v="396"/>
  </r>
  <r>
    <x v="47"/>
    <s v="conventional_default_current_wala_376"/>
    <x v="416"/>
    <n v="1.5"/>
    <n v="1"/>
    <n v="-66"/>
    <n v="396"/>
  </r>
  <r>
    <x v="47"/>
    <s v="conventional_default_current_wala_377"/>
    <x v="417"/>
    <n v="1.5"/>
    <n v="1"/>
    <n v="-66"/>
    <n v="396"/>
  </r>
  <r>
    <x v="47"/>
    <s v="conventional_default_current_wala_378"/>
    <x v="418"/>
    <n v="1.5"/>
    <n v="1"/>
    <n v="-66"/>
    <n v="396"/>
  </r>
  <r>
    <x v="47"/>
    <s v="conventional_default_current_wala_379"/>
    <x v="419"/>
    <n v="1.5"/>
    <n v="1"/>
    <n v="-66"/>
    <n v="396"/>
  </r>
  <r>
    <x v="47"/>
    <s v="conventional_default_current_wala_380"/>
    <x v="420"/>
    <n v="1.5"/>
    <n v="1"/>
    <n v="-66"/>
    <n v="396"/>
  </r>
  <r>
    <x v="47"/>
    <s v="conventional_default_current_wala_381"/>
    <x v="421"/>
    <n v="1.5"/>
    <n v="1"/>
    <n v="-66"/>
    <n v="396"/>
  </r>
  <r>
    <x v="47"/>
    <s v="conventional_default_current_wala_382"/>
    <x v="422"/>
    <n v="1.5"/>
    <n v="1"/>
    <n v="-66"/>
    <n v="396"/>
  </r>
  <r>
    <x v="47"/>
    <s v="conventional_default_current_wala_383"/>
    <x v="423"/>
    <n v="1.5"/>
    <n v="1"/>
    <n v="-66"/>
    <n v="396"/>
  </r>
  <r>
    <x v="47"/>
    <s v="conventional_default_current_wala_384"/>
    <x v="424"/>
    <n v="1.5"/>
    <n v="1"/>
    <n v="-66"/>
    <n v="396"/>
  </r>
  <r>
    <x v="47"/>
    <s v="conventional_default_current_wala_385"/>
    <x v="425"/>
    <n v="1.5"/>
    <n v="1"/>
    <n v="-66"/>
    <n v="396"/>
  </r>
  <r>
    <x v="47"/>
    <s v="conventional_default_current_wala_386"/>
    <x v="426"/>
    <n v="1.5"/>
    <n v="1"/>
    <n v="-66"/>
    <n v="396"/>
  </r>
  <r>
    <x v="47"/>
    <s v="conventional_default_current_wala_387"/>
    <x v="427"/>
    <n v="1.5"/>
    <n v="1"/>
    <n v="-66"/>
    <n v="396"/>
  </r>
  <r>
    <x v="47"/>
    <s v="conventional_default_current_wala_388"/>
    <x v="428"/>
    <n v="1.5"/>
    <n v="1"/>
    <n v="-66"/>
    <n v="396"/>
  </r>
  <r>
    <x v="47"/>
    <s v="conventional_default_current_wala_389"/>
    <x v="429"/>
    <n v="1.5"/>
    <n v="1"/>
    <n v="-66"/>
    <n v="396"/>
  </r>
  <r>
    <x v="47"/>
    <s v="conventional_default_current_wala_390"/>
    <x v="430"/>
    <n v="1.5"/>
    <n v="1"/>
    <n v="-66"/>
    <n v="396"/>
  </r>
  <r>
    <x v="47"/>
    <s v="conventional_default_current_wala_391"/>
    <x v="431"/>
    <n v="1.5"/>
    <n v="1"/>
    <n v="-66"/>
    <n v="396"/>
  </r>
  <r>
    <x v="47"/>
    <s v="conventional_default_current_wala_392"/>
    <x v="432"/>
    <n v="1.5"/>
    <n v="1"/>
    <n v="-66"/>
    <n v="396"/>
  </r>
  <r>
    <x v="47"/>
    <s v="conventional_default_current_wala_393"/>
    <x v="433"/>
    <n v="1.5"/>
    <n v="1"/>
    <n v="-66"/>
    <n v="396"/>
  </r>
  <r>
    <x v="47"/>
    <s v="conventional_default_current_wala_394"/>
    <x v="434"/>
    <n v="1.5"/>
    <n v="1"/>
    <n v="-66"/>
    <n v="396"/>
  </r>
  <r>
    <x v="47"/>
    <s v="conventional_default_current_wala_395"/>
    <x v="435"/>
    <n v="1.5"/>
    <n v="1"/>
    <n v="-66"/>
    <n v="396"/>
  </r>
  <r>
    <x v="47"/>
    <s v="conventional_default_current_wala_396"/>
    <x v="436"/>
    <n v="1.5"/>
    <n v="1"/>
    <n v="-66"/>
    <n v="396"/>
  </r>
  <r>
    <x v="48"/>
    <s v="conventional_default_current_monthsSince_-24"/>
    <x v="16"/>
    <n v="-3.15"/>
    <n v="1"/>
    <n v="-24"/>
    <n v="144"/>
  </r>
  <r>
    <x v="48"/>
    <s v="conventional_default_current_monthsSince_-23"/>
    <x v="17"/>
    <n v="-3.0150000000000001"/>
    <n v="1"/>
    <n v="-24"/>
    <n v="144"/>
  </r>
  <r>
    <x v="48"/>
    <s v="conventional_default_current_monthsSince_-22"/>
    <x v="18"/>
    <n v="-2.88"/>
    <n v="1"/>
    <n v="-24"/>
    <n v="144"/>
  </r>
  <r>
    <x v="48"/>
    <s v="conventional_default_current_monthsSince_-21"/>
    <x v="19"/>
    <n v="-2.7450000000000001"/>
    <n v="1"/>
    <n v="-24"/>
    <n v="144"/>
  </r>
  <r>
    <x v="48"/>
    <s v="conventional_default_current_monthsSince_-20"/>
    <x v="20"/>
    <n v="-2.61"/>
    <n v="1"/>
    <n v="-24"/>
    <n v="144"/>
  </r>
  <r>
    <x v="48"/>
    <s v="conventional_default_current_monthsSince_-19"/>
    <x v="21"/>
    <n v="-2.4750000000000001"/>
    <n v="1"/>
    <n v="-24"/>
    <n v="144"/>
  </r>
  <r>
    <x v="48"/>
    <s v="conventional_default_current_monthsSince_-18"/>
    <x v="22"/>
    <n v="-2.34"/>
    <n v="1"/>
    <n v="-24"/>
    <n v="144"/>
  </r>
  <r>
    <x v="48"/>
    <s v="conventional_default_current_monthsSince_-17"/>
    <x v="23"/>
    <n v="-2.2050000000000001"/>
    <n v="1"/>
    <n v="-24"/>
    <n v="144"/>
  </r>
  <r>
    <x v="48"/>
    <s v="conventional_default_current_monthsSince_-16"/>
    <x v="24"/>
    <n v="-2.0699999999999998"/>
    <n v="1"/>
    <n v="-24"/>
    <n v="144"/>
  </r>
  <r>
    <x v="48"/>
    <s v="conventional_default_current_monthsSince_-15"/>
    <x v="25"/>
    <n v="-1.9350000000000001"/>
    <n v="1"/>
    <n v="-24"/>
    <n v="144"/>
  </r>
  <r>
    <x v="48"/>
    <s v="conventional_default_current_monthsSince_-14"/>
    <x v="26"/>
    <n v="-1.8"/>
    <n v="1"/>
    <n v="-24"/>
    <n v="144"/>
  </r>
  <r>
    <x v="48"/>
    <s v="conventional_default_current_monthsSince_-13"/>
    <x v="27"/>
    <n v="-1.665"/>
    <n v="1"/>
    <n v="-24"/>
    <n v="144"/>
  </r>
  <r>
    <x v="48"/>
    <s v="conventional_default_current_monthsSince_-12"/>
    <x v="28"/>
    <n v="-1.53"/>
    <n v="1"/>
    <n v="-24"/>
    <n v="144"/>
  </r>
  <r>
    <x v="48"/>
    <s v="conventional_default_current_monthsSince_-11"/>
    <x v="29"/>
    <n v="-1.395"/>
    <n v="1"/>
    <n v="-24"/>
    <n v="144"/>
  </r>
  <r>
    <x v="48"/>
    <s v="conventional_default_current_monthsSince_-10"/>
    <x v="30"/>
    <n v="-1.26"/>
    <n v="1"/>
    <n v="-24"/>
    <n v="144"/>
  </r>
  <r>
    <x v="48"/>
    <s v="conventional_default_current_monthsSince_-9"/>
    <x v="31"/>
    <n v="-1.125"/>
    <n v="1"/>
    <n v="-24"/>
    <n v="144"/>
  </r>
  <r>
    <x v="48"/>
    <s v="conventional_default_current_monthsSince_-8"/>
    <x v="32"/>
    <n v="-0.99"/>
    <n v="1"/>
    <n v="-24"/>
    <n v="144"/>
  </r>
  <r>
    <x v="48"/>
    <s v="conventional_default_current_monthsSince_-7"/>
    <x v="33"/>
    <n v="-0.85499999999999998"/>
    <n v="1"/>
    <n v="-24"/>
    <n v="144"/>
  </r>
  <r>
    <x v="48"/>
    <s v="conventional_default_current_monthsSince_-6"/>
    <x v="34"/>
    <n v="-0.72"/>
    <n v="1"/>
    <n v="-24"/>
    <n v="144"/>
  </r>
  <r>
    <x v="48"/>
    <s v="conventional_default_current_monthsSince_-5"/>
    <x v="35"/>
    <n v="-0.58499999999999996"/>
    <n v="1"/>
    <n v="-24"/>
    <n v="144"/>
  </r>
  <r>
    <x v="48"/>
    <s v="conventional_default_current_monthsSince_-4"/>
    <x v="36"/>
    <n v="-0.45"/>
    <n v="1"/>
    <n v="-24"/>
    <n v="144"/>
  </r>
  <r>
    <x v="48"/>
    <s v="conventional_default_current_monthsSince_-3"/>
    <x v="37"/>
    <n v="-0.315"/>
    <n v="1"/>
    <n v="-24"/>
    <n v="144"/>
  </r>
  <r>
    <x v="48"/>
    <s v="conventional_default_current_monthsSince_-2"/>
    <x v="38"/>
    <n v="-0.18"/>
    <n v="1"/>
    <n v="-24"/>
    <n v="144"/>
  </r>
  <r>
    <x v="48"/>
    <s v="conventional_default_current_monthsSince_-1"/>
    <x v="39"/>
    <n v="-4.4999999999999998E-2"/>
    <n v="1"/>
    <n v="-24"/>
    <n v="144"/>
  </r>
  <r>
    <x v="48"/>
    <s v="conventional_default_current_monthsSince_0"/>
    <x v="40"/>
    <n v="0.09"/>
    <n v="1"/>
    <n v="-24"/>
    <n v="144"/>
  </r>
  <r>
    <x v="48"/>
    <s v="conventional_default_current_monthsSince_1"/>
    <x v="41"/>
    <n v="0.23159722222222201"/>
    <n v="1"/>
    <n v="-24"/>
    <n v="144"/>
  </r>
  <r>
    <x v="48"/>
    <s v="conventional_default_current_monthsSince_2"/>
    <x v="42"/>
    <n v="0.38111111111111101"/>
    <n v="1"/>
    <n v="-24"/>
    <n v="144"/>
  </r>
  <r>
    <x v="48"/>
    <s v="conventional_default_current_monthsSince_3"/>
    <x v="43"/>
    <n v="0.53062500000000001"/>
    <n v="1"/>
    <n v="-24"/>
    <n v="144"/>
  </r>
  <r>
    <x v="48"/>
    <s v="conventional_default_current_monthsSince_4"/>
    <x v="44"/>
    <n v="0.67222222222222205"/>
    <n v="1"/>
    <n v="-24"/>
    <n v="144"/>
  </r>
  <r>
    <x v="48"/>
    <s v="conventional_default_current_monthsSince_5"/>
    <x v="45"/>
    <n v="0.79798611111111095"/>
    <n v="1"/>
    <n v="-24"/>
    <n v="144"/>
  </r>
  <r>
    <x v="48"/>
    <s v="conventional_default_current_monthsSince_6"/>
    <x v="46"/>
    <n v="0.9"/>
    <n v="1"/>
    <n v="-24"/>
    <n v="144"/>
  </r>
  <r>
    <x v="48"/>
    <s v="conventional_default_current_monthsSince_7"/>
    <x v="47"/>
    <n v="0.97495370370370404"/>
    <n v="1"/>
    <n v="-24"/>
    <n v="144"/>
  </r>
  <r>
    <x v="48"/>
    <s v="conventional_default_current_monthsSince_8"/>
    <x v="48"/>
    <n v="1.0285185185185199"/>
    <n v="1"/>
    <n v="-24"/>
    <n v="144"/>
  </r>
  <r>
    <x v="48"/>
    <s v="conventional_default_current_monthsSince_9"/>
    <x v="49"/>
    <n v="1.0662499999999999"/>
    <n v="1"/>
    <n v="-24"/>
    <n v="144"/>
  </r>
  <r>
    <x v="48"/>
    <s v="conventional_default_current_monthsSince_10"/>
    <x v="50"/>
    <n v="1.0937037037037001"/>
    <n v="1"/>
    <n v="-24"/>
    <n v="144"/>
  </r>
  <r>
    <x v="48"/>
    <s v="conventional_default_current_monthsSince_11"/>
    <x v="51"/>
    <n v="1.1164351851851899"/>
    <n v="1"/>
    <n v="-24"/>
    <n v="144"/>
  </r>
  <r>
    <x v="48"/>
    <s v="conventional_default_current_monthsSince_12"/>
    <x v="52"/>
    <n v="1.1399999999999999"/>
    <n v="1"/>
    <n v="-24"/>
    <n v="144"/>
  </r>
  <r>
    <x v="48"/>
    <s v="conventional_default_current_monthsSince_13"/>
    <x v="53"/>
    <n v="1.16244244987018"/>
    <n v="1"/>
    <n v="-24"/>
    <n v="144"/>
  </r>
  <r>
    <x v="48"/>
    <s v="conventional_default_current_monthsSince_14"/>
    <x v="54"/>
    <n v="1.1789269506957001"/>
    <n v="1"/>
    <n v="-24"/>
    <n v="144"/>
  </r>
  <r>
    <x v="48"/>
    <s v="conventional_default_current_monthsSince_15"/>
    <x v="55"/>
    <n v="1.1906892292989999"/>
    <n v="1"/>
    <n v="-24"/>
    <n v="144"/>
  </r>
  <r>
    <x v="48"/>
    <s v="conventional_default_current_monthsSince_16"/>
    <x v="56"/>
    <n v="1.19896501250251"/>
    <n v="1"/>
    <n v="-24"/>
    <n v="144"/>
  </r>
  <r>
    <x v="48"/>
    <s v="conventional_default_current_monthsSince_17"/>
    <x v="57"/>
    <n v="1.2049900271287"/>
    <n v="1"/>
    <n v="-24"/>
    <n v="144"/>
  </r>
  <r>
    <x v="48"/>
    <s v="conventional_default_current_monthsSince_18"/>
    <x v="58"/>
    <n v="1.21"/>
    <n v="1"/>
    <n v="-24"/>
    <n v="144"/>
  </r>
  <r>
    <x v="48"/>
    <s v="conventional_default_current_monthsSince_19"/>
    <x v="59"/>
    <n v="1.21402551324048"/>
    <n v="1"/>
    <n v="-24"/>
    <n v="144"/>
  </r>
  <r>
    <x v="48"/>
    <s v="conventional_default_current_monthsSince_20"/>
    <x v="60"/>
    <n v="1.2165513833455199"/>
    <n v="1"/>
    <n v="-24"/>
    <n v="144"/>
  </r>
  <r>
    <x v="48"/>
    <s v="conventional_default_current_monthsSince_21"/>
    <x v="61"/>
    <n v="1.2179946886945701"/>
    <n v="1"/>
    <n v="-24"/>
    <n v="144"/>
  </r>
  <r>
    <x v="48"/>
    <s v="conventional_default_current_monthsSince_22"/>
    <x v="62"/>
    <n v="1.2187725076670399"/>
    <n v="1"/>
    <n v="-24"/>
    <n v="144"/>
  </r>
  <r>
    <x v="48"/>
    <s v="conventional_default_current_monthsSince_23"/>
    <x v="63"/>
    <n v="1.2193019186423699"/>
    <n v="1"/>
    <n v="-24"/>
    <n v="144"/>
  </r>
  <r>
    <x v="48"/>
    <s v="conventional_default_current_monthsSince_24"/>
    <x v="64"/>
    <n v="1.22"/>
    <n v="1"/>
    <n v="-24"/>
    <n v="144"/>
  </r>
  <r>
    <x v="48"/>
    <s v="conventional_default_current_monthsSince_25"/>
    <x v="65"/>
    <n v="1.2209710270627701"/>
    <n v="1"/>
    <n v="-24"/>
    <n v="144"/>
  </r>
  <r>
    <x v="48"/>
    <s v="conventional_default_current_monthsSince_26"/>
    <x v="66"/>
    <n v="1.22202052223414"/>
    <n v="1"/>
    <n v="-24"/>
    <n v="144"/>
  </r>
  <r>
    <x v="48"/>
    <s v="conventional_default_current_monthsSince_27"/>
    <x v="67"/>
    <n v="1.22311743451449"/>
    <n v="1"/>
    <n v="-24"/>
    <n v="144"/>
  </r>
  <r>
    <x v="48"/>
    <s v="conventional_default_current_monthsSince_28"/>
    <x v="68"/>
    <n v="1.2242307129041501"/>
    <n v="1"/>
    <n v="-24"/>
    <n v="144"/>
  </r>
  <r>
    <x v="48"/>
    <s v="conventional_default_current_monthsSince_29"/>
    <x v="69"/>
    <n v="1.22532930640349"/>
    <n v="1"/>
    <n v="-24"/>
    <n v="144"/>
  </r>
  <r>
    <x v="48"/>
    <s v="conventional_default_current_monthsSince_30"/>
    <x v="70"/>
    <n v="1.22638216401288"/>
    <n v="1"/>
    <n v="-24"/>
    <n v="144"/>
  </r>
  <r>
    <x v="48"/>
    <s v="conventional_default_current_monthsSince_31"/>
    <x v="71"/>
    <n v="1.2273582347326499"/>
    <n v="1"/>
    <n v="-24"/>
    <n v="144"/>
  </r>
  <r>
    <x v="48"/>
    <s v="conventional_default_current_monthsSince_32"/>
    <x v="72"/>
    <n v="1.22822646756319"/>
    <n v="1"/>
    <n v="-24"/>
    <n v="144"/>
  </r>
  <r>
    <x v="48"/>
    <s v="conventional_default_current_monthsSince_33"/>
    <x v="73"/>
    <n v="1.22895581150483"/>
    <n v="1"/>
    <n v="-24"/>
    <n v="144"/>
  </r>
  <r>
    <x v="48"/>
    <s v="conventional_default_current_monthsSince_34"/>
    <x v="74"/>
    <n v="1.2295152155579401"/>
    <n v="1"/>
    <n v="-24"/>
    <n v="144"/>
  </r>
  <r>
    <x v="48"/>
    <s v="conventional_default_current_monthsSince_35"/>
    <x v="75"/>
    <n v="1.22987362872288"/>
    <n v="1"/>
    <n v="-24"/>
    <n v="144"/>
  </r>
  <r>
    <x v="48"/>
    <s v="conventional_default_current_monthsSince_36"/>
    <x v="76"/>
    <n v="1.23"/>
    <n v="1"/>
    <n v="-24"/>
    <n v="144"/>
  </r>
  <r>
    <x v="48"/>
    <s v="conventional_default_current_monthsSince_37"/>
    <x v="77"/>
    <n v="1.23"/>
    <n v="1"/>
    <n v="-24"/>
    <n v="144"/>
  </r>
  <r>
    <x v="48"/>
    <s v="conventional_default_current_monthsSince_38"/>
    <x v="78"/>
    <n v="1.23"/>
    <n v="1"/>
    <n v="-24"/>
    <n v="144"/>
  </r>
  <r>
    <x v="48"/>
    <s v="conventional_default_current_monthsSince_39"/>
    <x v="79"/>
    <n v="1.23"/>
    <n v="1"/>
    <n v="-24"/>
    <n v="144"/>
  </r>
  <r>
    <x v="48"/>
    <s v="conventional_default_current_monthsSince_40"/>
    <x v="80"/>
    <n v="1.23"/>
    <n v="1"/>
    <n v="-24"/>
    <n v="144"/>
  </r>
  <r>
    <x v="48"/>
    <s v="conventional_default_current_monthsSince_41"/>
    <x v="81"/>
    <n v="1.23"/>
    <n v="1"/>
    <n v="-24"/>
    <n v="144"/>
  </r>
  <r>
    <x v="48"/>
    <s v="conventional_default_current_monthsSince_42"/>
    <x v="82"/>
    <n v="1.23"/>
    <n v="1"/>
    <n v="-24"/>
    <n v="144"/>
  </r>
  <r>
    <x v="48"/>
    <s v="conventional_default_current_monthsSince_43"/>
    <x v="83"/>
    <n v="1.23"/>
    <n v="1"/>
    <n v="-24"/>
    <n v="144"/>
  </r>
  <r>
    <x v="48"/>
    <s v="conventional_default_current_monthsSince_44"/>
    <x v="84"/>
    <n v="1.23"/>
    <n v="1"/>
    <n v="-24"/>
    <n v="144"/>
  </r>
  <r>
    <x v="48"/>
    <s v="conventional_default_current_monthsSince_45"/>
    <x v="85"/>
    <n v="1.23"/>
    <n v="1"/>
    <n v="-24"/>
    <n v="144"/>
  </r>
  <r>
    <x v="48"/>
    <s v="conventional_default_current_monthsSince_46"/>
    <x v="86"/>
    <n v="1.23"/>
    <n v="1"/>
    <n v="-24"/>
    <n v="144"/>
  </r>
  <r>
    <x v="48"/>
    <s v="conventional_default_current_monthsSince_47"/>
    <x v="87"/>
    <n v="1.23"/>
    <n v="1"/>
    <n v="-24"/>
    <n v="144"/>
  </r>
  <r>
    <x v="48"/>
    <s v="conventional_default_current_monthsSince_48"/>
    <x v="88"/>
    <n v="1.23"/>
    <n v="1"/>
    <n v="-24"/>
    <n v="144"/>
  </r>
  <r>
    <x v="48"/>
    <s v="conventional_default_current_monthsSince_49"/>
    <x v="89"/>
    <n v="1.23"/>
    <n v="1"/>
    <n v="-24"/>
    <n v="144"/>
  </r>
  <r>
    <x v="48"/>
    <s v="conventional_default_current_monthsSince_50"/>
    <x v="90"/>
    <n v="1.23"/>
    <n v="1"/>
    <n v="-24"/>
    <n v="144"/>
  </r>
  <r>
    <x v="48"/>
    <s v="conventional_default_current_monthsSince_51"/>
    <x v="91"/>
    <n v="1.23"/>
    <n v="1"/>
    <n v="-24"/>
    <n v="144"/>
  </r>
  <r>
    <x v="48"/>
    <s v="conventional_default_current_monthsSince_52"/>
    <x v="92"/>
    <n v="1.23"/>
    <n v="1"/>
    <n v="-24"/>
    <n v="144"/>
  </r>
  <r>
    <x v="48"/>
    <s v="conventional_default_current_monthsSince_53"/>
    <x v="93"/>
    <n v="1.23"/>
    <n v="1"/>
    <n v="-24"/>
    <n v="144"/>
  </r>
  <r>
    <x v="48"/>
    <s v="conventional_default_current_monthsSince_54"/>
    <x v="94"/>
    <n v="1.23"/>
    <n v="1"/>
    <n v="-24"/>
    <n v="144"/>
  </r>
  <r>
    <x v="48"/>
    <s v="conventional_default_current_monthsSince_55"/>
    <x v="95"/>
    <n v="1.23"/>
    <n v="1"/>
    <n v="-24"/>
    <n v="144"/>
  </r>
  <r>
    <x v="48"/>
    <s v="conventional_default_current_monthsSince_56"/>
    <x v="96"/>
    <n v="1.23"/>
    <n v="1"/>
    <n v="-24"/>
    <n v="144"/>
  </r>
  <r>
    <x v="48"/>
    <s v="conventional_default_current_monthsSince_57"/>
    <x v="97"/>
    <n v="1.23"/>
    <n v="1"/>
    <n v="-24"/>
    <n v="144"/>
  </r>
  <r>
    <x v="48"/>
    <s v="conventional_default_current_monthsSince_58"/>
    <x v="98"/>
    <n v="1.23"/>
    <n v="1"/>
    <n v="-24"/>
    <n v="144"/>
  </r>
  <r>
    <x v="48"/>
    <s v="conventional_default_current_monthsSince_59"/>
    <x v="99"/>
    <n v="1.23"/>
    <n v="1"/>
    <n v="-24"/>
    <n v="144"/>
  </r>
  <r>
    <x v="48"/>
    <s v="conventional_default_current_monthsSince_60"/>
    <x v="100"/>
    <n v="1.23"/>
    <n v="1"/>
    <n v="-24"/>
    <n v="144"/>
  </r>
  <r>
    <x v="48"/>
    <s v="conventional_default_current_monthsSince_61"/>
    <x v="101"/>
    <n v="1.23"/>
    <n v="1"/>
    <n v="-24"/>
    <n v="144"/>
  </r>
  <r>
    <x v="48"/>
    <s v="conventional_default_current_monthsSince_62"/>
    <x v="102"/>
    <n v="1.23"/>
    <n v="1"/>
    <n v="-24"/>
    <n v="144"/>
  </r>
  <r>
    <x v="48"/>
    <s v="conventional_default_current_monthsSince_63"/>
    <x v="103"/>
    <n v="1.23"/>
    <n v="1"/>
    <n v="-24"/>
    <n v="144"/>
  </r>
  <r>
    <x v="48"/>
    <s v="conventional_default_current_monthsSince_64"/>
    <x v="104"/>
    <n v="1.23"/>
    <n v="1"/>
    <n v="-24"/>
    <n v="144"/>
  </r>
  <r>
    <x v="48"/>
    <s v="conventional_default_current_monthsSince_65"/>
    <x v="105"/>
    <n v="1.23"/>
    <n v="1"/>
    <n v="-24"/>
    <n v="144"/>
  </r>
  <r>
    <x v="48"/>
    <s v="conventional_default_current_monthsSince_66"/>
    <x v="106"/>
    <n v="1.23"/>
    <n v="1"/>
    <n v="-24"/>
    <n v="144"/>
  </r>
  <r>
    <x v="48"/>
    <s v="conventional_default_current_monthsSince_67"/>
    <x v="107"/>
    <n v="1.23"/>
    <n v="1"/>
    <n v="-24"/>
    <n v="144"/>
  </r>
  <r>
    <x v="48"/>
    <s v="conventional_default_current_monthsSince_68"/>
    <x v="108"/>
    <n v="1.23"/>
    <n v="1"/>
    <n v="-24"/>
    <n v="144"/>
  </r>
  <r>
    <x v="48"/>
    <s v="conventional_default_current_monthsSince_69"/>
    <x v="109"/>
    <n v="1.23"/>
    <n v="1"/>
    <n v="-24"/>
    <n v="144"/>
  </r>
  <r>
    <x v="48"/>
    <s v="conventional_default_current_monthsSince_70"/>
    <x v="110"/>
    <n v="1.23"/>
    <n v="1"/>
    <n v="-24"/>
    <n v="144"/>
  </r>
  <r>
    <x v="48"/>
    <s v="conventional_default_current_monthsSince_71"/>
    <x v="111"/>
    <n v="1.23"/>
    <n v="1"/>
    <n v="-24"/>
    <n v="144"/>
  </r>
  <r>
    <x v="48"/>
    <s v="conventional_default_current_monthsSince_72"/>
    <x v="112"/>
    <n v="1.23"/>
    <n v="1"/>
    <n v="-24"/>
    <n v="144"/>
  </r>
  <r>
    <x v="48"/>
    <s v="conventional_default_current_monthsSince_73"/>
    <x v="113"/>
    <n v="1.23"/>
    <n v="1"/>
    <n v="-24"/>
    <n v="144"/>
  </r>
  <r>
    <x v="48"/>
    <s v="conventional_default_current_monthsSince_74"/>
    <x v="114"/>
    <n v="1.23"/>
    <n v="1"/>
    <n v="-24"/>
    <n v="144"/>
  </r>
  <r>
    <x v="48"/>
    <s v="conventional_default_current_monthsSince_75"/>
    <x v="115"/>
    <n v="1.23"/>
    <n v="1"/>
    <n v="-24"/>
    <n v="144"/>
  </r>
  <r>
    <x v="48"/>
    <s v="conventional_default_current_monthsSince_76"/>
    <x v="116"/>
    <n v="1.23"/>
    <n v="1"/>
    <n v="-24"/>
    <n v="144"/>
  </r>
  <r>
    <x v="48"/>
    <s v="conventional_default_current_monthsSince_77"/>
    <x v="117"/>
    <n v="1.23"/>
    <n v="1"/>
    <n v="-24"/>
    <n v="144"/>
  </r>
  <r>
    <x v="48"/>
    <s v="conventional_default_current_monthsSince_78"/>
    <x v="118"/>
    <n v="1.23"/>
    <n v="1"/>
    <n v="-24"/>
    <n v="144"/>
  </r>
  <r>
    <x v="48"/>
    <s v="conventional_default_current_monthsSince_79"/>
    <x v="119"/>
    <n v="1.23"/>
    <n v="1"/>
    <n v="-24"/>
    <n v="144"/>
  </r>
  <r>
    <x v="48"/>
    <s v="conventional_default_current_monthsSince_80"/>
    <x v="120"/>
    <n v="1.23"/>
    <n v="1"/>
    <n v="-24"/>
    <n v="144"/>
  </r>
  <r>
    <x v="48"/>
    <s v="conventional_default_current_monthsSince_81"/>
    <x v="121"/>
    <n v="1.23"/>
    <n v="1"/>
    <n v="-24"/>
    <n v="144"/>
  </r>
  <r>
    <x v="48"/>
    <s v="conventional_default_current_monthsSince_82"/>
    <x v="122"/>
    <n v="1.23"/>
    <n v="1"/>
    <n v="-24"/>
    <n v="144"/>
  </r>
  <r>
    <x v="48"/>
    <s v="conventional_default_current_monthsSince_83"/>
    <x v="123"/>
    <n v="1.23"/>
    <n v="1"/>
    <n v="-24"/>
    <n v="144"/>
  </r>
  <r>
    <x v="48"/>
    <s v="conventional_default_current_monthsSince_84"/>
    <x v="124"/>
    <n v="1.23"/>
    <n v="1"/>
    <n v="-24"/>
    <n v="144"/>
  </r>
  <r>
    <x v="48"/>
    <s v="conventional_default_current_monthsSince_85"/>
    <x v="125"/>
    <n v="1.23"/>
    <n v="1"/>
    <n v="-24"/>
    <n v="144"/>
  </r>
  <r>
    <x v="48"/>
    <s v="conventional_default_current_monthsSince_86"/>
    <x v="126"/>
    <n v="1.23"/>
    <n v="1"/>
    <n v="-24"/>
    <n v="144"/>
  </r>
  <r>
    <x v="48"/>
    <s v="conventional_default_current_monthsSince_87"/>
    <x v="127"/>
    <n v="1.23"/>
    <n v="1"/>
    <n v="-24"/>
    <n v="144"/>
  </r>
  <r>
    <x v="48"/>
    <s v="conventional_default_current_monthsSince_88"/>
    <x v="128"/>
    <n v="1.23"/>
    <n v="1"/>
    <n v="-24"/>
    <n v="144"/>
  </r>
  <r>
    <x v="48"/>
    <s v="conventional_default_current_monthsSince_89"/>
    <x v="129"/>
    <n v="1.23"/>
    <n v="1"/>
    <n v="-24"/>
    <n v="144"/>
  </r>
  <r>
    <x v="48"/>
    <s v="conventional_default_current_monthsSince_90"/>
    <x v="130"/>
    <n v="1.23"/>
    <n v="1"/>
    <n v="-24"/>
    <n v="144"/>
  </r>
  <r>
    <x v="48"/>
    <s v="conventional_default_current_monthsSince_91"/>
    <x v="131"/>
    <n v="1.23"/>
    <n v="1"/>
    <n v="-24"/>
    <n v="144"/>
  </r>
  <r>
    <x v="48"/>
    <s v="conventional_default_current_monthsSince_92"/>
    <x v="132"/>
    <n v="1.23"/>
    <n v="1"/>
    <n v="-24"/>
    <n v="144"/>
  </r>
  <r>
    <x v="48"/>
    <s v="conventional_default_current_monthsSince_93"/>
    <x v="133"/>
    <n v="1.23"/>
    <n v="1"/>
    <n v="-24"/>
    <n v="144"/>
  </r>
  <r>
    <x v="48"/>
    <s v="conventional_default_current_monthsSince_94"/>
    <x v="134"/>
    <n v="1.23"/>
    <n v="1"/>
    <n v="-24"/>
    <n v="144"/>
  </r>
  <r>
    <x v="48"/>
    <s v="conventional_default_current_monthsSince_95"/>
    <x v="135"/>
    <n v="1.23"/>
    <n v="1"/>
    <n v="-24"/>
    <n v="144"/>
  </r>
  <r>
    <x v="48"/>
    <s v="conventional_default_current_monthsSince_96"/>
    <x v="136"/>
    <n v="1.23"/>
    <n v="1"/>
    <n v="-24"/>
    <n v="144"/>
  </r>
  <r>
    <x v="48"/>
    <s v="conventional_default_current_monthsSince_97"/>
    <x v="137"/>
    <n v="1.23"/>
    <n v="1"/>
    <n v="-24"/>
    <n v="144"/>
  </r>
  <r>
    <x v="48"/>
    <s v="conventional_default_current_monthsSince_98"/>
    <x v="138"/>
    <n v="1.23"/>
    <n v="1"/>
    <n v="-24"/>
    <n v="144"/>
  </r>
  <r>
    <x v="48"/>
    <s v="conventional_default_current_monthsSince_99"/>
    <x v="139"/>
    <n v="1.23"/>
    <n v="1"/>
    <n v="-24"/>
    <n v="144"/>
  </r>
  <r>
    <x v="48"/>
    <s v="conventional_default_current_monthsSince_100"/>
    <x v="140"/>
    <n v="1.23"/>
    <n v="1"/>
    <n v="-24"/>
    <n v="144"/>
  </r>
  <r>
    <x v="48"/>
    <s v="conventional_default_current_monthsSince_101"/>
    <x v="141"/>
    <n v="1.23"/>
    <n v="1"/>
    <n v="-24"/>
    <n v="144"/>
  </r>
  <r>
    <x v="48"/>
    <s v="conventional_default_current_monthsSince_102"/>
    <x v="142"/>
    <n v="1.23"/>
    <n v="1"/>
    <n v="-24"/>
    <n v="144"/>
  </r>
  <r>
    <x v="48"/>
    <s v="conventional_default_current_monthsSince_103"/>
    <x v="143"/>
    <n v="1.23"/>
    <n v="1"/>
    <n v="-24"/>
    <n v="144"/>
  </r>
  <r>
    <x v="48"/>
    <s v="conventional_default_current_monthsSince_104"/>
    <x v="144"/>
    <n v="1.23"/>
    <n v="1"/>
    <n v="-24"/>
    <n v="144"/>
  </r>
  <r>
    <x v="48"/>
    <s v="conventional_default_current_monthsSince_105"/>
    <x v="145"/>
    <n v="1.23"/>
    <n v="1"/>
    <n v="-24"/>
    <n v="144"/>
  </r>
  <r>
    <x v="48"/>
    <s v="conventional_default_current_monthsSince_106"/>
    <x v="146"/>
    <n v="1.23"/>
    <n v="1"/>
    <n v="-24"/>
    <n v="144"/>
  </r>
  <r>
    <x v="48"/>
    <s v="conventional_default_current_monthsSince_107"/>
    <x v="147"/>
    <n v="1.23"/>
    <n v="1"/>
    <n v="-24"/>
    <n v="144"/>
  </r>
  <r>
    <x v="48"/>
    <s v="conventional_default_current_monthsSince_108"/>
    <x v="148"/>
    <n v="1.23"/>
    <n v="1"/>
    <n v="-24"/>
    <n v="144"/>
  </r>
  <r>
    <x v="48"/>
    <s v="conventional_default_current_monthsSince_109"/>
    <x v="149"/>
    <n v="1.23"/>
    <n v="1"/>
    <n v="-24"/>
    <n v="144"/>
  </r>
  <r>
    <x v="48"/>
    <s v="conventional_default_current_monthsSince_110"/>
    <x v="150"/>
    <n v="1.23"/>
    <n v="1"/>
    <n v="-24"/>
    <n v="144"/>
  </r>
  <r>
    <x v="48"/>
    <s v="conventional_default_current_monthsSince_111"/>
    <x v="151"/>
    <n v="1.23"/>
    <n v="1"/>
    <n v="-24"/>
    <n v="144"/>
  </r>
  <r>
    <x v="48"/>
    <s v="conventional_default_current_monthsSince_112"/>
    <x v="152"/>
    <n v="1.23"/>
    <n v="1"/>
    <n v="-24"/>
    <n v="144"/>
  </r>
  <r>
    <x v="48"/>
    <s v="conventional_default_current_monthsSince_113"/>
    <x v="153"/>
    <n v="1.23"/>
    <n v="1"/>
    <n v="-24"/>
    <n v="144"/>
  </r>
  <r>
    <x v="48"/>
    <s v="conventional_default_current_monthsSince_114"/>
    <x v="154"/>
    <n v="1.23"/>
    <n v="1"/>
    <n v="-24"/>
    <n v="144"/>
  </r>
  <r>
    <x v="48"/>
    <s v="conventional_default_current_monthsSince_115"/>
    <x v="155"/>
    <n v="1.23"/>
    <n v="1"/>
    <n v="-24"/>
    <n v="144"/>
  </r>
  <r>
    <x v="48"/>
    <s v="conventional_default_current_monthsSince_116"/>
    <x v="156"/>
    <n v="1.23"/>
    <n v="1"/>
    <n v="-24"/>
    <n v="144"/>
  </r>
  <r>
    <x v="48"/>
    <s v="conventional_default_current_monthsSince_117"/>
    <x v="157"/>
    <n v="1.23"/>
    <n v="1"/>
    <n v="-24"/>
    <n v="144"/>
  </r>
  <r>
    <x v="48"/>
    <s v="conventional_default_current_monthsSince_118"/>
    <x v="158"/>
    <n v="1.23"/>
    <n v="1"/>
    <n v="-24"/>
    <n v="144"/>
  </r>
  <r>
    <x v="48"/>
    <s v="conventional_default_current_monthsSince_119"/>
    <x v="159"/>
    <n v="1.23"/>
    <n v="1"/>
    <n v="-24"/>
    <n v="144"/>
  </r>
  <r>
    <x v="48"/>
    <s v="conventional_default_current_monthsSince_120"/>
    <x v="160"/>
    <n v="1.23"/>
    <n v="1"/>
    <n v="-24"/>
    <n v="144"/>
  </r>
  <r>
    <x v="48"/>
    <s v="conventional_default_current_monthsSince_121"/>
    <x v="161"/>
    <n v="1.23"/>
    <n v="1"/>
    <n v="-24"/>
    <n v="144"/>
  </r>
  <r>
    <x v="48"/>
    <s v="conventional_default_current_monthsSince_122"/>
    <x v="162"/>
    <n v="1.23"/>
    <n v="1"/>
    <n v="-24"/>
    <n v="144"/>
  </r>
  <r>
    <x v="48"/>
    <s v="conventional_default_current_monthsSince_123"/>
    <x v="163"/>
    <n v="1.23"/>
    <n v="1"/>
    <n v="-24"/>
    <n v="144"/>
  </r>
  <r>
    <x v="48"/>
    <s v="conventional_default_current_monthsSince_124"/>
    <x v="164"/>
    <n v="1.23"/>
    <n v="1"/>
    <n v="-24"/>
    <n v="144"/>
  </r>
  <r>
    <x v="48"/>
    <s v="conventional_default_current_monthsSince_125"/>
    <x v="165"/>
    <n v="1.23"/>
    <n v="1"/>
    <n v="-24"/>
    <n v="144"/>
  </r>
  <r>
    <x v="48"/>
    <s v="conventional_default_current_monthsSince_126"/>
    <x v="166"/>
    <n v="1.23"/>
    <n v="1"/>
    <n v="-24"/>
    <n v="144"/>
  </r>
  <r>
    <x v="48"/>
    <s v="conventional_default_current_monthsSince_127"/>
    <x v="167"/>
    <n v="1.23"/>
    <n v="1"/>
    <n v="-24"/>
    <n v="144"/>
  </r>
  <r>
    <x v="48"/>
    <s v="conventional_default_current_monthsSince_128"/>
    <x v="168"/>
    <n v="1.23"/>
    <n v="1"/>
    <n v="-24"/>
    <n v="144"/>
  </r>
  <r>
    <x v="48"/>
    <s v="conventional_default_current_monthsSince_129"/>
    <x v="169"/>
    <n v="1.23"/>
    <n v="1"/>
    <n v="-24"/>
    <n v="144"/>
  </r>
  <r>
    <x v="48"/>
    <s v="conventional_default_current_monthsSince_130"/>
    <x v="170"/>
    <n v="1.23"/>
    <n v="1"/>
    <n v="-24"/>
    <n v="144"/>
  </r>
  <r>
    <x v="48"/>
    <s v="conventional_default_current_monthsSince_131"/>
    <x v="171"/>
    <n v="1.23"/>
    <n v="1"/>
    <n v="-24"/>
    <n v="144"/>
  </r>
  <r>
    <x v="48"/>
    <s v="conventional_default_current_monthsSince_132"/>
    <x v="172"/>
    <n v="1.23"/>
    <n v="1"/>
    <n v="-24"/>
    <n v="144"/>
  </r>
  <r>
    <x v="48"/>
    <s v="conventional_default_current_monthsSince_133"/>
    <x v="173"/>
    <n v="1.23"/>
    <n v="1"/>
    <n v="-24"/>
    <n v="144"/>
  </r>
  <r>
    <x v="48"/>
    <s v="conventional_default_current_monthsSince_134"/>
    <x v="174"/>
    <n v="1.23"/>
    <n v="1"/>
    <n v="-24"/>
    <n v="144"/>
  </r>
  <r>
    <x v="48"/>
    <s v="conventional_default_current_monthsSince_135"/>
    <x v="175"/>
    <n v="1.23"/>
    <n v="1"/>
    <n v="-24"/>
    <n v="144"/>
  </r>
  <r>
    <x v="48"/>
    <s v="conventional_default_current_monthsSince_136"/>
    <x v="176"/>
    <n v="1.23"/>
    <n v="1"/>
    <n v="-24"/>
    <n v="144"/>
  </r>
  <r>
    <x v="48"/>
    <s v="conventional_default_current_monthsSince_137"/>
    <x v="177"/>
    <n v="1.23"/>
    <n v="1"/>
    <n v="-24"/>
    <n v="144"/>
  </r>
  <r>
    <x v="48"/>
    <s v="conventional_default_current_monthsSince_138"/>
    <x v="178"/>
    <n v="1.23"/>
    <n v="1"/>
    <n v="-24"/>
    <n v="144"/>
  </r>
  <r>
    <x v="48"/>
    <s v="conventional_default_current_monthsSince_139"/>
    <x v="179"/>
    <n v="1.23"/>
    <n v="1"/>
    <n v="-24"/>
    <n v="144"/>
  </r>
  <r>
    <x v="48"/>
    <s v="conventional_default_current_monthsSince_140"/>
    <x v="180"/>
    <n v="1.23"/>
    <n v="1"/>
    <n v="-24"/>
    <n v="144"/>
  </r>
  <r>
    <x v="48"/>
    <s v="conventional_default_current_monthsSince_141"/>
    <x v="181"/>
    <n v="1.23"/>
    <n v="1"/>
    <n v="-24"/>
    <n v="144"/>
  </r>
  <r>
    <x v="48"/>
    <s v="conventional_default_current_monthsSince_142"/>
    <x v="182"/>
    <n v="1.23"/>
    <n v="1"/>
    <n v="-24"/>
    <n v="144"/>
  </r>
  <r>
    <x v="48"/>
    <s v="conventional_default_current_monthsSince_143"/>
    <x v="183"/>
    <n v="1.23"/>
    <n v="1"/>
    <n v="-24"/>
    <n v="144"/>
  </r>
  <r>
    <x v="48"/>
    <s v="conventional_default_current_monthsSince_144"/>
    <x v="184"/>
    <n v="1.23"/>
    <n v="1"/>
    <n v="-24"/>
    <n v="144"/>
  </r>
  <r>
    <x v="49"/>
    <s v="conventional_default_current_cltv_-36"/>
    <x v="4"/>
    <n v="-3.4000000000000002E-2"/>
    <n v="1"/>
    <n v="-36"/>
    <n v="216"/>
  </r>
  <r>
    <x v="49"/>
    <s v="conventional_default_current_cltv_-35"/>
    <x v="5"/>
    <n v="-0.03"/>
    <n v="1"/>
    <n v="-36"/>
    <n v="216"/>
  </r>
  <r>
    <x v="49"/>
    <s v="conventional_default_current_cltv_-34"/>
    <x v="6"/>
    <n v="-2.5999999999999999E-2"/>
    <n v="1"/>
    <n v="-36"/>
    <n v="216"/>
  </r>
  <r>
    <x v="49"/>
    <s v="conventional_default_current_cltv_-33"/>
    <x v="7"/>
    <n v="-2.1999999999999999E-2"/>
    <n v="1"/>
    <n v="-36"/>
    <n v="216"/>
  </r>
  <r>
    <x v="49"/>
    <s v="conventional_default_current_cltv_-32"/>
    <x v="8"/>
    <n v="-1.7999999999999999E-2"/>
    <n v="1"/>
    <n v="-36"/>
    <n v="216"/>
  </r>
  <r>
    <x v="49"/>
    <s v="conventional_default_current_cltv_-31"/>
    <x v="9"/>
    <n v="-1.4E-2"/>
    <n v="1"/>
    <n v="-36"/>
    <n v="216"/>
  </r>
  <r>
    <x v="49"/>
    <s v="conventional_default_current_cltv_-30"/>
    <x v="10"/>
    <n v="-0.01"/>
    <n v="1"/>
    <n v="-36"/>
    <n v="216"/>
  </r>
  <r>
    <x v="49"/>
    <s v="conventional_default_current_cltv_-29"/>
    <x v="11"/>
    <n v="-6.0000000000000097E-3"/>
    <n v="1"/>
    <n v="-36"/>
    <n v="216"/>
  </r>
  <r>
    <x v="49"/>
    <s v="conventional_default_current_cltv_-28"/>
    <x v="12"/>
    <n v="-2E-3"/>
    <n v="1"/>
    <n v="-36"/>
    <n v="216"/>
  </r>
  <r>
    <x v="49"/>
    <s v="conventional_default_current_cltv_-27"/>
    <x v="13"/>
    <n v="2E-3"/>
    <n v="1"/>
    <n v="-36"/>
    <n v="216"/>
  </r>
  <r>
    <x v="49"/>
    <s v="conventional_default_current_cltv_-26"/>
    <x v="14"/>
    <n v="5.9999999999999897E-3"/>
    <n v="1"/>
    <n v="-36"/>
    <n v="216"/>
  </r>
  <r>
    <x v="49"/>
    <s v="conventional_default_current_cltv_-25"/>
    <x v="15"/>
    <n v="0.01"/>
    <n v="1"/>
    <n v="-36"/>
    <n v="216"/>
  </r>
  <r>
    <x v="49"/>
    <s v="conventional_default_current_cltv_-24"/>
    <x v="16"/>
    <n v="1.4E-2"/>
    <n v="1"/>
    <n v="-36"/>
    <n v="216"/>
  </r>
  <r>
    <x v="49"/>
    <s v="conventional_default_current_cltv_-23"/>
    <x v="17"/>
    <n v="1.7999999999999999E-2"/>
    <n v="1"/>
    <n v="-36"/>
    <n v="216"/>
  </r>
  <r>
    <x v="49"/>
    <s v="conventional_default_current_cltv_-22"/>
    <x v="18"/>
    <n v="2.1999999999999999E-2"/>
    <n v="1"/>
    <n v="-36"/>
    <n v="216"/>
  </r>
  <r>
    <x v="49"/>
    <s v="conventional_default_current_cltv_-21"/>
    <x v="19"/>
    <n v="2.5999999999999999E-2"/>
    <n v="1"/>
    <n v="-36"/>
    <n v="216"/>
  </r>
  <r>
    <x v="49"/>
    <s v="conventional_default_current_cltv_-20"/>
    <x v="20"/>
    <n v="0.03"/>
    <n v="1"/>
    <n v="-36"/>
    <n v="216"/>
  </r>
  <r>
    <x v="49"/>
    <s v="conventional_default_current_cltv_-19"/>
    <x v="21"/>
    <n v="3.4000000000000002E-2"/>
    <n v="1"/>
    <n v="-36"/>
    <n v="216"/>
  </r>
  <r>
    <x v="49"/>
    <s v="conventional_default_current_cltv_-18"/>
    <x v="22"/>
    <n v="3.7999999999999999E-2"/>
    <n v="1"/>
    <n v="-36"/>
    <n v="216"/>
  </r>
  <r>
    <x v="49"/>
    <s v="conventional_default_current_cltv_-17"/>
    <x v="23"/>
    <n v="4.2000000000000003E-2"/>
    <n v="1"/>
    <n v="-36"/>
    <n v="216"/>
  </r>
  <r>
    <x v="49"/>
    <s v="conventional_default_current_cltv_-16"/>
    <x v="24"/>
    <n v="4.5999999999999999E-2"/>
    <n v="1"/>
    <n v="-36"/>
    <n v="216"/>
  </r>
  <r>
    <x v="49"/>
    <s v="conventional_default_current_cltv_-15"/>
    <x v="25"/>
    <n v="0.05"/>
    <n v="1"/>
    <n v="-36"/>
    <n v="216"/>
  </r>
  <r>
    <x v="49"/>
    <s v="conventional_default_current_cltv_-14"/>
    <x v="26"/>
    <n v="5.3999999999999999E-2"/>
    <n v="1"/>
    <n v="-36"/>
    <n v="216"/>
  </r>
  <r>
    <x v="49"/>
    <s v="conventional_default_current_cltv_-13"/>
    <x v="27"/>
    <n v="5.8000000000000003E-2"/>
    <n v="1"/>
    <n v="-36"/>
    <n v="216"/>
  </r>
  <r>
    <x v="49"/>
    <s v="conventional_default_current_cltv_-12"/>
    <x v="28"/>
    <n v="6.2E-2"/>
    <n v="1"/>
    <n v="-36"/>
    <n v="216"/>
  </r>
  <r>
    <x v="49"/>
    <s v="conventional_default_current_cltv_-11"/>
    <x v="29"/>
    <n v="6.6000000000000003E-2"/>
    <n v="1"/>
    <n v="-36"/>
    <n v="216"/>
  </r>
  <r>
    <x v="49"/>
    <s v="conventional_default_current_cltv_-10"/>
    <x v="30"/>
    <n v="7.0000000000000007E-2"/>
    <n v="1"/>
    <n v="-36"/>
    <n v="216"/>
  </r>
  <r>
    <x v="49"/>
    <s v="conventional_default_current_cltv_-9"/>
    <x v="31"/>
    <n v="7.3999999999999996E-2"/>
    <n v="1"/>
    <n v="-36"/>
    <n v="216"/>
  </r>
  <r>
    <x v="49"/>
    <s v="conventional_default_current_cltv_-8"/>
    <x v="32"/>
    <n v="7.8E-2"/>
    <n v="1"/>
    <n v="-36"/>
    <n v="216"/>
  </r>
  <r>
    <x v="49"/>
    <s v="conventional_default_current_cltv_-7"/>
    <x v="33"/>
    <n v="8.2000000000000003E-2"/>
    <n v="1"/>
    <n v="-36"/>
    <n v="216"/>
  </r>
  <r>
    <x v="49"/>
    <s v="conventional_default_current_cltv_-6"/>
    <x v="34"/>
    <n v="8.5999999999999993E-2"/>
    <n v="1"/>
    <n v="-36"/>
    <n v="216"/>
  </r>
  <r>
    <x v="49"/>
    <s v="conventional_default_current_cltv_-5"/>
    <x v="35"/>
    <n v="0.09"/>
    <n v="1"/>
    <n v="-36"/>
    <n v="216"/>
  </r>
  <r>
    <x v="49"/>
    <s v="conventional_default_current_cltv_-4"/>
    <x v="36"/>
    <n v="9.4E-2"/>
    <n v="1"/>
    <n v="-36"/>
    <n v="216"/>
  </r>
  <r>
    <x v="49"/>
    <s v="conventional_default_current_cltv_-3"/>
    <x v="37"/>
    <n v="9.8000000000000004E-2"/>
    <n v="1"/>
    <n v="-36"/>
    <n v="216"/>
  </r>
  <r>
    <x v="49"/>
    <s v="conventional_default_current_cltv_-2"/>
    <x v="38"/>
    <n v="0.10199999999999999"/>
    <n v="1"/>
    <n v="-36"/>
    <n v="216"/>
  </r>
  <r>
    <x v="49"/>
    <s v="conventional_default_current_cltv_-1"/>
    <x v="39"/>
    <n v="0.106"/>
    <n v="1"/>
    <n v="-36"/>
    <n v="216"/>
  </r>
  <r>
    <x v="49"/>
    <s v="conventional_default_current_cltv_0"/>
    <x v="40"/>
    <n v="0.11"/>
    <n v="1"/>
    <n v="-36"/>
    <n v="216"/>
  </r>
  <r>
    <x v="49"/>
    <s v="conventional_default_current_cltv_1"/>
    <x v="41"/>
    <n v="0.113916875"/>
    <n v="1"/>
    <n v="-36"/>
    <n v="216"/>
  </r>
  <r>
    <x v="49"/>
    <s v="conventional_default_current_cltv_2"/>
    <x v="42"/>
    <n v="0.117685"/>
    <n v="1"/>
    <n v="-36"/>
    <n v="216"/>
  </r>
  <r>
    <x v="49"/>
    <s v="conventional_default_current_cltv_3"/>
    <x v="43"/>
    <n v="0.121330625"/>
    <n v="1"/>
    <n v="-36"/>
    <n v="216"/>
  </r>
  <r>
    <x v="49"/>
    <s v="conventional_default_current_cltv_4"/>
    <x v="44"/>
    <n v="0.12488"/>
    <n v="1"/>
    <n v="-36"/>
    <n v="216"/>
  </r>
  <r>
    <x v="49"/>
    <s v="conventional_default_current_cltv_5"/>
    <x v="45"/>
    <n v="0.128359375"/>
    <n v="1"/>
    <n v="-36"/>
    <n v="216"/>
  </r>
  <r>
    <x v="49"/>
    <s v="conventional_default_current_cltv_6"/>
    <x v="46"/>
    <n v="0.131795"/>
    <n v="1"/>
    <n v="-36"/>
    <n v="216"/>
  </r>
  <r>
    <x v="49"/>
    <s v="conventional_default_current_cltv_7"/>
    <x v="47"/>
    <n v="0.13521312499999999"/>
    <n v="1"/>
    <n v="-36"/>
    <n v="216"/>
  </r>
  <r>
    <x v="49"/>
    <s v="conventional_default_current_cltv_8"/>
    <x v="48"/>
    <n v="0.13864000000000001"/>
    <n v="1"/>
    <n v="-36"/>
    <n v="216"/>
  </r>
  <r>
    <x v="49"/>
    <s v="conventional_default_current_cltv_9"/>
    <x v="49"/>
    <n v="0.14210187499999999"/>
    <n v="1"/>
    <n v="-36"/>
    <n v="216"/>
  </r>
  <r>
    <x v="49"/>
    <s v="conventional_default_current_cltv_10"/>
    <x v="50"/>
    <n v="0.145625"/>
    <n v="1"/>
    <n v="-36"/>
    <n v="216"/>
  </r>
  <r>
    <x v="49"/>
    <s v="conventional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entional_default_current_cltv_14"/>
    <x v="54"/>
    <n v="0.160855"/>
    <n v="1"/>
    <n v="-36"/>
    <n v="216"/>
  </r>
  <r>
    <x v="49"/>
    <s v="conventional_default_current_cltv_15"/>
    <x v="55"/>
    <n v="0.16507812499999999"/>
    <n v="1"/>
    <n v="-36"/>
    <n v="216"/>
  </r>
  <r>
    <x v="49"/>
    <s v="conventional_default_current_cltv_16"/>
    <x v="56"/>
    <n v="0.16952"/>
    <n v="1"/>
    <n v="-36"/>
    <n v="216"/>
  </r>
  <r>
    <x v="49"/>
    <s v="conventional_default_current_cltv_17"/>
    <x v="57"/>
    <n v="0.17420687500000001"/>
    <n v="1"/>
    <n v="-36"/>
    <n v="216"/>
  </r>
  <r>
    <x v="49"/>
    <s v="conventional_default_current_cltv_18"/>
    <x v="58"/>
    <n v="0.17916499999999999"/>
    <n v="1"/>
    <n v="-36"/>
    <n v="216"/>
  </r>
  <r>
    <x v="49"/>
    <s v="conventional_default_current_cltv_19"/>
    <x v="59"/>
    <n v="0.184420625"/>
    <n v="1"/>
    <n v="-36"/>
    <n v="216"/>
  </r>
  <r>
    <x v="49"/>
    <s v="conventional_default_current_cltv_20"/>
    <x v="60"/>
    <n v="0.19"/>
    <n v="1"/>
    <n v="-36"/>
    <n v="216"/>
  </r>
  <r>
    <x v="49"/>
    <s v="conventional_default_current_cltv_21"/>
    <x v="61"/>
    <n v="0.19573062499999999"/>
    <n v="1"/>
    <n v="-36"/>
    <n v="216"/>
  </r>
  <r>
    <x v="49"/>
    <s v="conventional_default_current_cltv_22"/>
    <x v="62"/>
    <n v="0.20144500000000001"/>
    <n v="1"/>
    <n v="-36"/>
    <n v="216"/>
  </r>
  <r>
    <x v="49"/>
    <s v="conventional_default_current_cltv_23"/>
    <x v="63"/>
    <n v="0.20717687500000001"/>
    <n v="1"/>
    <n v="-36"/>
    <n v="216"/>
  </r>
  <r>
    <x v="49"/>
    <s v="conventional_default_current_cltv_24"/>
    <x v="64"/>
    <n v="0.21296000000000001"/>
    <n v="1"/>
    <n v="-36"/>
    <n v="216"/>
  </r>
  <r>
    <x v="49"/>
    <s v="conventional_default_current_cltv_25"/>
    <x v="65"/>
    <n v="0.21882812500000001"/>
    <n v="1"/>
    <n v="-36"/>
    <n v="216"/>
  </r>
  <r>
    <x v="49"/>
    <s v="conventional_default_current_cltv_26"/>
    <x v="66"/>
    <n v="0.22481499999999999"/>
    <n v="1"/>
    <n v="-36"/>
    <n v="216"/>
  </r>
  <r>
    <x v="49"/>
    <s v="conventional_default_current_cltv_27"/>
    <x v="67"/>
    <n v="0.23095437499999999"/>
    <n v="1"/>
    <n v="-36"/>
    <n v="216"/>
  </r>
  <r>
    <x v="49"/>
    <s v="conventional_default_current_cltv_28"/>
    <x v="68"/>
    <n v="0.23727999999999999"/>
    <n v="1"/>
    <n v="-36"/>
    <n v="216"/>
  </r>
  <r>
    <x v="49"/>
    <s v="conventional_default_current_cltv_29"/>
    <x v="69"/>
    <n v="0.24382562499999999"/>
    <n v="1"/>
    <n v="-36"/>
    <n v="216"/>
  </r>
  <r>
    <x v="49"/>
    <s v="conventional_default_current_cltv_30"/>
    <x v="70"/>
    <n v="0.25062499999999999"/>
    <n v="1"/>
    <n v="-36"/>
    <n v="216"/>
  </r>
  <r>
    <x v="49"/>
    <s v="conventional_default_current_cltv_31"/>
    <x v="71"/>
    <n v="0.25771187499999998"/>
    <n v="1"/>
    <n v="-36"/>
    <n v="216"/>
  </r>
  <r>
    <x v="49"/>
    <s v="conventional_default_current_cltv_32"/>
    <x v="72"/>
    <n v="0.26512000000000002"/>
    <n v="1"/>
    <n v="-36"/>
    <n v="216"/>
  </r>
  <r>
    <x v="49"/>
    <s v="conventional_default_current_cltv_33"/>
    <x v="73"/>
    <n v="0.272883125"/>
    <n v="1"/>
    <n v="-36"/>
    <n v="216"/>
  </r>
  <r>
    <x v="49"/>
    <s v="conventional_default_current_cltv_34"/>
    <x v="74"/>
    <n v="0.28103499999999998"/>
    <n v="1"/>
    <n v="-36"/>
    <n v="216"/>
  </r>
  <r>
    <x v="49"/>
    <s v="conventional_default_current_cltv_35"/>
    <x v="75"/>
    <n v="0.289609375"/>
    <n v="1"/>
    <n v="-36"/>
    <n v="216"/>
  </r>
  <r>
    <x v="49"/>
    <s v="conventional_default_current_cltv_36"/>
    <x v="76"/>
    <n v="0.29864000000000002"/>
    <n v="1"/>
    <n v="-36"/>
    <n v="216"/>
  </r>
  <r>
    <x v="49"/>
    <s v="conventional_default_current_cltv_37"/>
    <x v="77"/>
    <n v="0.30816062500000002"/>
    <n v="1"/>
    <n v="-36"/>
    <n v="216"/>
  </r>
  <r>
    <x v="49"/>
    <s v="conventional_default_current_cltv_38"/>
    <x v="78"/>
    <n v="0.31820500000000002"/>
    <n v="1"/>
    <n v="-36"/>
    <n v="216"/>
  </r>
  <r>
    <x v="49"/>
    <s v="conventional_default_current_cltv_39"/>
    <x v="79"/>
    <n v="0.328806875"/>
    <n v="1"/>
    <n v="-36"/>
    <n v="216"/>
  </r>
  <r>
    <x v="49"/>
    <s v="conventional_default_current_cltv_40"/>
    <x v="80"/>
    <n v="0.34"/>
    <n v="1"/>
    <n v="-36"/>
    <n v="216"/>
  </r>
  <r>
    <x v="49"/>
    <s v="conventional_default_current_cltv_41"/>
    <x v="81"/>
    <n v="0.35158125000000001"/>
    <n v="1"/>
    <n v="-36"/>
    <n v="216"/>
  </r>
  <r>
    <x v="49"/>
    <s v="conventional_default_current_cltv_42"/>
    <x v="82"/>
    <n v="0.36335000000000001"/>
    <n v="1"/>
    <n v="-36"/>
    <n v="216"/>
  </r>
  <r>
    <x v="49"/>
    <s v="conventional_default_current_cltv_43"/>
    <x v="83"/>
    <n v="0.37534374999999998"/>
    <n v="1"/>
    <n v="-36"/>
    <n v="216"/>
  </r>
  <r>
    <x v="49"/>
    <s v="conventional_default_current_cltv_44"/>
    <x v="84"/>
    <n v="0.3876"/>
    <n v="1"/>
    <n v="-36"/>
    <n v="216"/>
  </r>
  <r>
    <x v="49"/>
    <s v="conventional_default_current_cltv_45"/>
    <x v="85"/>
    <n v="0.40015624999999999"/>
    <n v="1"/>
    <n v="-36"/>
    <n v="216"/>
  </r>
  <r>
    <x v="49"/>
    <s v="conventional_default_current_cltv_46"/>
    <x v="86"/>
    <n v="0.41304999999999997"/>
    <n v="1"/>
    <n v="-36"/>
    <n v="216"/>
  </r>
  <r>
    <x v="49"/>
    <s v="conventional_default_current_cltv_47"/>
    <x v="87"/>
    <n v="0.42631875000000002"/>
    <n v="1"/>
    <n v="-36"/>
    <n v="216"/>
  </r>
  <r>
    <x v="49"/>
    <s v="conventional_default_current_cltv_48"/>
    <x v="88"/>
    <n v="0.44"/>
    <n v="1"/>
    <n v="-36"/>
    <n v="216"/>
  </r>
  <r>
    <x v="49"/>
    <s v="conventional_default_current_cltv_49"/>
    <x v="89"/>
    <n v="0.45413124999999999"/>
    <n v="1"/>
    <n v="-36"/>
    <n v="216"/>
  </r>
  <r>
    <x v="49"/>
    <s v="conventional_default_current_cltv_50"/>
    <x v="90"/>
    <n v="0.46875"/>
    <n v="1"/>
    <n v="-36"/>
    <n v="216"/>
  </r>
  <r>
    <x v="49"/>
    <s v="conventional_default_current_cltv_51"/>
    <x v="91"/>
    <n v="0.48389375000000001"/>
    <n v="1"/>
    <n v="-36"/>
    <n v="216"/>
  </r>
  <r>
    <x v="49"/>
    <s v="conventional_default_current_cltv_52"/>
    <x v="92"/>
    <n v="0.49959999999999999"/>
    <n v="1"/>
    <n v="-36"/>
    <n v="216"/>
  </r>
  <r>
    <x v="49"/>
    <s v="conventional_default_current_cltv_53"/>
    <x v="93"/>
    <n v="0.51590625000000001"/>
    <n v="1"/>
    <n v="-36"/>
    <n v="216"/>
  </r>
  <r>
    <x v="49"/>
    <s v="conventional_default_current_cltv_54"/>
    <x v="94"/>
    <n v="0.53285000000000005"/>
    <n v="1"/>
    <n v="-36"/>
    <n v="216"/>
  </r>
  <r>
    <x v="49"/>
    <s v="conventional_default_current_cltv_55"/>
    <x v="95"/>
    <n v="0.55046874999999995"/>
    <n v="1"/>
    <n v="-36"/>
    <n v="216"/>
  </r>
  <r>
    <x v="49"/>
    <s v="conventional_default_current_cltv_56"/>
    <x v="96"/>
    <n v="0.56879999999999997"/>
    <n v="1"/>
    <n v="-36"/>
    <n v="216"/>
  </r>
  <r>
    <x v="49"/>
    <s v="conventional_default_current_cltv_57"/>
    <x v="97"/>
    <n v="0.58788125000000002"/>
    <n v="1"/>
    <n v="-36"/>
    <n v="216"/>
  </r>
  <r>
    <x v="49"/>
    <s v="conventional_default_current_cltv_58"/>
    <x v="98"/>
    <n v="0.60775000000000001"/>
    <n v="1"/>
    <n v="-36"/>
    <n v="216"/>
  </r>
  <r>
    <x v="49"/>
    <s v="conventional_default_current_cltv_59"/>
    <x v="99"/>
    <n v="0.62844374999999997"/>
    <n v="1"/>
    <n v="-36"/>
    <n v="216"/>
  </r>
  <r>
    <x v="49"/>
    <s v="conventional_default_current_cltv_60"/>
    <x v="100"/>
    <n v="0.65"/>
    <n v="1"/>
    <n v="-36"/>
    <n v="216"/>
  </r>
  <r>
    <x v="49"/>
    <s v="conventional_default_current_cltv_61"/>
    <x v="101"/>
    <n v="0.67209937500000005"/>
    <n v="1"/>
    <n v="-36"/>
    <n v="216"/>
  </r>
  <r>
    <x v="49"/>
    <s v="conventional_default_current_cltv_62"/>
    <x v="102"/>
    <n v="0.69444499999999998"/>
    <n v="1"/>
    <n v="-36"/>
    <n v="216"/>
  </r>
  <r>
    <x v="49"/>
    <s v="conventional_default_current_cltv_63"/>
    <x v="103"/>
    <n v="0.71710812499999999"/>
    <n v="1"/>
    <n v="-36"/>
    <n v="216"/>
  </r>
  <r>
    <x v="49"/>
    <s v="conventional_default_current_cltv_64"/>
    <x v="104"/>
    <n v="0.74016000000000004"/>
    <n v="1"/>
    <n v="-36"/>
    <n v="216"/>
  </r>
  <r>
    <x v="49"/>
    <s v="conventional_default_current_cltv_65"/>
    <x v="105"/>
    <n v="0.763671875"/>
    <n v="1"/>
    <n v="-36"/>
    <n v="216"/>
  </r>
  <r>
    <x v="49"/>
    <s v="conventional_default_current_cltv_66"/>
    <x v="106"/>
    <n v="0.78771500000000005"/>
    <n v="1"/>
    <n v="-36"/>
    <n v="216"/>
  </r>
  <r>
    <x v="49"/>
    <s v="conventional_default_current_cltv_67"/>
    <x v="107"/>
    <n v="0.81236062499999995"/>
    <n v="1"/>
    <n v="-36"/>
    <n v="216"/>
  </r>
  <r>
    <x v="49"/>
    <s v="conventional_default_current_cltv_68"/>
    <x v="108"/>
    <n v="0.83767999999999998"/>
    <n v="1"/>
    <n v="-36"/>
    <n v="216"/>
  </r>
  <r>
    <x v="49"/>
    <s v="conventional_default_current_cltv_69"/>
    <x v="109"/>
    <n v="0.86374437500000001"/>
    <n v="1"/>
    <n v="-36"/>
    <n v="216"/>
  </r>
  <r>
    <x v="49"/>
    <s v="conventional_default_current_cltv_70"/>
    <x v="110"/>
    <n v="0.890625"/>
    <n v="1"/>
    <n v="-36"/>
    <n v="216"/>
  </r>
  <r>
    <x v="49"/>
    <s v="conventional_default_current_cltv_71"/>
    <x v="111"/>
    <n v="0.91839312500000003"/>
    <n v="1"/>
    <n v="-36"/>
    <n v="216"/>
  </r>
  <r>
    <x v="49"/>
    <s v="conventional_default_current_cltv_72"/>
    <x v="112"/>
    <n v="0.94711999999999996"/>
    <n v="1"/>
    <n v="-36"/>
    <n v="216"/>
  </r>
  <r>
    <x v="49"/>
    <s v="conventional_default_current_cltv_73"/>
    <x v="113"/>
    <n v="0.97687687499999998"/>
    <n v="1"/>
    <n v="-36"/>
    <n v="216"/>
  </r>
  <r>
    <x v="49"/>
    <s v="conventional_default_current_cltv_74"/>
    <x v="114"/>
    <n v="1.007735"/>
    <n v="1"/>
    <n v="-36"/>
    <n v="216"/>
  </r>
  <r>
    <x v="49"/>
    <s v="conventional_default_current_cltv_75"/>
    <x v="115"/>
    <n v="1.039765625"/>
    <n v="1"/>
    <n v="-36"/>
    <n v="216"/>
  </r>
  <r>
    <x v="49"/>
    <s v="conventional_default_current_cltv_76"/>
    <x v="116"/>
    <n v="1.07304"/>
    <n v="1"/>
    <n v="-36"/>
    <n v="216"/>
  </r>
  <r>
    <x v="49"/>
    <s v="conventional_default_current_cltv_77"/>
    <x v="117"/>
    <n v="1.1076293749999999"/>
    <n v="1"/>
    <n v="-36"/>
    <n v="216"/>
  </r>
  <r>
    <x v="49"/>
    <s v="conventional_default_current_cltv_78"/>
    <x v="118"/>
    <n v="1.143605"/>
    <n v="1"/>
    <n v="-36"/>
    <n v="216"/>
  </r>
  <r>
    <x v="49"/>
    <s v="conventional_default_current_cltv_79"/>
    <x v="119"/>
    <n v="1.1810381249999999"/>
    <n v="1"/>
    <n v="-36"/>
    <n v="216"/>
  </r>
  <r>
    <x v="49"/>
    <s v="conventional_default_current_cltv_80"/>
    <x v="120"/>
    <n v="1.22"/>
    <n v="1"/>
    <n v="-36"/>
    <n v="216"/>
  </r>
  <r>
    <x v="49"/>
    <s v="conventional_default_current_cltv_81"/>
    <x v="121"/>
    <n v="1.2602175"/>
    <n v="1"/>
    <n v="-36"/>
    <n v="216"/>
  </r>
  <r>
    <x v="49"/>
    <s v="conventional_default_current_cltv_82"/>
    <x v="122"/>
    <n v="1.30139"/>
    <n v="1"/>
    <n v="-36"/>
    <n v="216"/>
  </r>
  <r>
    <x v="49"/>
    <s v="conventional_default_current_cltv_83"/>
    <x v="123"/>
    <n v="1.3435474999999999"/>
    <n v="1"/>
    <n v="-36"/>
    <n v="216"/>
  </r>
  <r>
    <x v="49"/>
    <s v="conventional_default_current_cltv_84"/>
    <x v="124"/>
    <n v="1.38672"/>
    <n v="1"/>
    <n v="-36"/>
    <n v="216"/>
  </r>
  <r>
    <x v="49"/>
    <s v="conventional_default_current_cltv_85"/>
    <x v="125"/>
    <n v="1.4309375"/>
    <n v="1"/>
    <n v="-36"/>
    <n v="216"/>
  </r>
  <r>
    <x v="49"/>
    <s v="conventional_default_current_cltv_86"/>
    <x v="126"/>
    <n v="1.4762299999999999"/>
    <n v="1"/>
    <n v="-36"/>
    <n v="216"/>
  </r>
  <r>
    <x v="49"/>
    <s v="conventional_default_current_cltv_87"/>
    <x v="127"/>
    <n v="1.5226275"/>
    <n v="1"/>
    <n v="-36"/>
    <n v="216"/>
  </r>
  <r>
    <x v="49"/>
    <s v="conventional_default_current_cltv_88"/>
    <x v="128"/>
    <n v="1.57016"/>
    <n v="1"/>
    <n v="-36"/>
    <n v="216"/>
  </r>
  <r>
    <x v="49"/>
    <s v="conventional_default_current_cltv_89"/>
    <x v="129"/>
    <n v="1.6188575000000001"/>
    <n v="1"/>
    <n v="-36"/>
    <n v="216"/>
  </r>
  <r>
    <x v="49"/>
    <s v="conventional_default_current_cltv_90"/>
    <x v="130"/>
    <n v="1.66875"/>
    <n v="1"/>
    <n v="-36"/>
    <n v="216"/>
  </r>
  <r>
    <x v="49"/>
    <s v="conventional_default_current_cltv_91"/>
    <x v="131"/>
    <n v="1.7198675000000001"/>
    <n v="1"/>
    <n v="-36"/>
    <n v="216"/>
  </r>
  <r>
    <x v="49"/>
    <s v="conventional_default_current_cltv_92"/>
    <x v="132"/>
    <n v="1.77224"/>
    <n v="1"/>
    <n v="-36"/>
    <n v="216"/>
  </r>
  <r>
    <x v="49"/>
    <s v="conventional_default_current_cltv_93"/>
    <x v="133"/>
    <n v="1.8258975"/>
    <n v="1"/>
    <n v="-36"/>
    <n v="216"/>
  </r>
  <r>
    <x v="49"/>
    <s v="conventional_default_current_cltv_94"/>
    <x v="134"/>
    <n v="1.88087"/>
    <n v="1"/>
    <n v="-36"/>
    <n v="216"/>
  </r>
  <r>
    <x v="49"/>
    <s v="conventional_default_current_cltv_95"/>
    <x v="135"/>
    <n v="1.9371875000000001"/>
    <n v="1"/>
    <n v="-36"/>
    <n v="216"/>
  </r>
  <r>
    <x v="49"/>
    <s v="conventional_default_current_cltv_96"/>
    <x v="136"/>
    <n v="1.99488"/>
    <n v="1"/>
    <n v="-36"/>
    <n v="216"/>
  </r>
  <r>
    <x v="49"/>
    <s v="conventional_default_current_cltv_97"/>
    <x v="137"/>
    <n v="2.0539774999999998"/>
    <n v="1"/>
    <n v="-36"/>
    <n v="216"/>
  </r>
  <r>
    <x v="49"/>
    <s v="conventional_default_current_cltv_98"/>
    <x v="138"/>
    <n v="2.1145100000000001"/>
    <n v="1"/>
    <n v="-36"/>
    <n v="216"/>
  </r>
  <r>
    <x v="49"/>
    <s v="conventional_default_current_cltv_99"/>
    <x v="139"/>
    <n v="2.1765075"/>
    <n v="1"/>
    <n v="-36"/>
    <n v="216"/>
  </r>
  <r>
    <x v="49"/>
    <s v="conventional_default_current_cltv_100"/>
    <x v="140"/>
    <n v="2.2400000000000002"/>
    <n v="1"/>
    <n v="-36"/>
    <n v="216"/>
  </r>
  <r>
    <x v="49"/>
    <s v="conventional_default_current_cltv_101"/>
    <x v="141"/>
    <n v="2.3051974999999998"/>
    <n v="1"/>
    <n v="-36"/>
    <n v="216"/>
  </r>
  <r>
    <x v="49"/>
    <s v="conventional_default_current_cltv_102"/>
    <x v="142"/>
    <n v="2.3722300000000001"/>
    <n v="1"/>
    <n v="-36"/>
    <n v="216"/>
  </r>
  <r>
    <x v="49"/>
    <s v="conventional_default_current_cltv_103"/>
    <x v="143"/>
    <n v="2.4410075"/>
    <n v="1"/>
    <n v="-36"/>
    <n v="216"/>
  </r>
  <r>
    <x v="49"/>
    <s v="conventional_default_current_cltv_104"/>
    <x v="144"/>
    <n v="2.5114399999999999"/>
    <n v="1"/>
    <n v="-36"/>
    <n v="216"/>
  </r>
  <r>
    <x v="49"/>
    <s v="conventional_default_current_cltv_105"/>
    <x v="145"/>
    <n v="2.5834375000000001"/>
    <n v="1"/>
    <n v="-36"/>
    <n v="216"/>
  </r>
  <r>
    <x v="49"/>
    <s v="conventional_default_current_cltv_106"/>
    <x v="146"/>
    <n v="2.6569099999999999"/>
    <n v="1"/>
    <n v="-36"/>
    <n v="216"/>
  </r>
  <r>
    <x v="49"/>
    <s v="conventional_default_current_cltv_107"/>
    <x v="147"/>
    <n v="2.7317675000000001"/>
    <n v="1"/>
    <n v="-36"/>
    <n v="216"/>
  </r>
  <r>
    <x v="49"/>
    <s v="conventional_default_current_cltv_108"/>
    <x v="148"/>
    <n v="2.8079200000000002"/>
    <n v="1"/>
    <n v="-36"/>
    <n v="216"/>
  </r>
  <r>
    <x v="49"/>
    <s v="conventional_default_current_cltv_109"/>
    <x v="149"/>
    <n v="2.8852774999999999"/>
    <n v="1"/>
    <n v="-36"/>
    <n v="216"/>
  </r>
  <r>
    <x v="49"/>
    <s v="conventional_default_current_cltv_110"/>
    <x v="150"/>
    <n v="2.9637500000000001"/>
    <n v="1"/>
    <n v="-36"/>
    <n v="216"/>
  </r>
  <r>
    <x v="49"/>
    <s v="conventional_default_current_cltv_111"/>
    <x v="151"/>
    <n v="3.0432475000000001"/>
    <n v="1"/>
    <n v="-36"/>
    <n v="216"/>
  </r>
  <r>
    <x v="49"/>
    <s v="conventional_default_current_cltv_112"/>
    <x v="152"/>
    <n v="3.1236799999999998"/>
    <n v="1"/>
    <n v="-36"/>
    <n v="216"/>
  </r>
  <r>
    <x v="49"/>
    <s v="conventional_default_current_cltv_113"/>
    <x v="153"/>
    <n v="3.2049574999999999"/>
    <n v="1"/>
    <n v="-36"/>
    <n v="216"/>
  </r>
  <r>
    <x v="49"/>
    <s v="conventional_default_current_cltv_114"/>
    <x v="154"/>
    <n v="3.2869899999999999"/>
    <n v="1"/>
    <n v="-36"/>
    <n v="216"/>
  </r>
  <r>
    <x v="49"/>
    <s v="conventional_default_current_cltv_115"/>
    <x v="155"/>
    <n v="3.3696874999999999"/>
    <n v="1"/>
    <n v="-36"/>
    <n v="216"/>
  </r>
  <r>
    <x v="49"/>
    <s v="conventional_default_current_cltv_116"/>
    <x v="156"/>
    <n v="3.45296"/>
    <n v="1"/>
    <n v="-36"/>
    <n v="216"/>
  </r>
  <r>
    <x v="49"/>
    <s v="conventional_default_current_cltv_117"/>
    <x v="157"/>
    <n v="3.5367175"/>
    <n v="1"/>
    <n v="-36"/>
    <n v="216"/>
  </r>
  <r>
    <x v="49"/>
    <s v="conventional_default_current_cltv_118"/>
    <x v="158"/>
    <n v="3.62087"/>
    <n v="1"/>
    <n v="-36"/>
    <n v="216"/>
  </r>
  <r>
    <x v="49"/>
    <s v="conventional_default_current_cltv_119"/>
    <x v="159"/>
    <n v="3.7053275000000001"/>
    <n v="1"/>
    <n v="-36"/>
    <n v="216"/>
  </r>
  <r>
    <x v="49"/>
    <s v="conventional_default_current_cltv_120"/>
    <x v="160"/>
    <n v="3.79"/>
    <n v="1"/>
    <n v="-36"/>
    <n v="216"/>
  </r>
  <r>
    <x v="49"/>
    <s v="conventional_default_current_cltv_121"/>
    <x v="161"/>
    <n v="3.8757418750000001"/>
    <n v="1"/>
    <n v="-36"/>
    <n v="216"/>
  </r>
  <r>
    <x v="49"/>
    <s v="conventional_default_current_cltv_122"/>
    <x v="162"/>
    <n v="3.9633349999999998"/>
    <n v="1"/>
    <n v="-36"/>
    <n v="216"/>
  </r>
  <r>
    <x v="49"/>
    <s v="conventional_default_current_cltv_123"/>
    <x v="163"/>
    <n v="4.052580625"/>
    <n v="1"/>
    <n v="-36"/>
    <n v="216"/>
  </r>
  <r>
    <x v="49"/>
    <s v="conventional_default_current_cltv_124"/>
    <x v="164"/>
    <n v="4.1432799999999999"/>
    <n v="1"/>
    <n v="-36"/>
    <n v="216"/>
  </r>
  <r>
    <x v="49"/>
    <s v="conventional_default_current_cltv_125"/>
    <x v="165"/>
    <n v="4.2352343750000001"/>
    <n v="1"/>
    <n v="-36"/>
    <n v="216"/>
  </r>
  <r>
    <x v="49"/>
    <s v="conventional_default_current_cltv_126"/>
    <x v="166"/>
    <n v="4.3282449999999999"/>
    <n v="1"/>
    <n v="-36"/>
    <n v="216"/>
  </r>
  <r>
    <x v="49"/>
    <s v="conventional_default_current_cltv_127"/>
    <x v="167"/>
    <n v="4.4221131250000001"/>
    <n v="1"/>
    <n v="-36"/>
    <n v="216"/>
  </r>
  <r>
    <x v="49"/>
    <s v="conventional_default_current_cltv_128"/>
    <x v="168"/>
    <n v="4.5166399999999998"/>
    <n v="1"/>
    <n v="-36"/>
    <n v="216"/>
  </r>
  <r>
    <x v="49"/>
    <s v="conventional_default_current_cltv_129"/>
    <x v="169"/>
    <n v="4.6116268749999998"/>
    <n v="1"/>
    <n v="-36"/>
    <n v="216"/>
  </r>
  <r>
    <x v="49"/>
    <s v="conventional_default_current_cltv_130"/>
    <x v="170"/>
    <n v="4.7068750000000001"/>
    <n v="1"/>
    <n v="-36"/>
    <n v="216"/>
  </r>
  <r>
    <x v="49"/>
    <s v="conventional_default_current_cltv_131"/>
    <x v="171"/>
    <n v="4.8021856249999999"/>
    <n v="1"/>
    <n v="-36"/>
    <n v="216"/>
  </r>
  <r>
    <x v="49"/>
    <s v="conventional_default_current_cltv_132"/>
    <x v="172"/>
    <n v="4.8973599999999999"/>
    <n v="1"/>
    <n v="-36"/>
    <n v="216"/>
  </r>
  <r>
    <x v="49"/>
    <s v="conventional_default_current_cltv_133"/>
    <x v="173"/>
    <n v="4.9921993750000002"/>
    <n v="1"/>
    <n v="-36"/>
    <n v="216"/>
  </r>
  <r>
    <x v="49"/>
    <s v="conventional_default_current_cltv_134"/>
    <x v="174"/>
    <n v="5.0865049999999998"/>
    <n v="1"/>
    <n v="-36"/>
    <n v="216"/>
  </r>
  <r>
    <x v="49"/>
    <s v="conventional_default_current_cltv_135"/>
    <x v="175"/>
    <n v="5.1800781249999996"/>
    <n v="1"/>
    <n v="-36"/>
    <n v="216"/>
  </r>
  <r>
    <x v="49"/>
    <s v="conventional_default_current_cltv_136"/>
    <x v="176"/>
    <n v="5.2727199999999996"/>
    <n v="1"/>
    <n v="-36"/>
    <n v="216"/>
  </r>
  <r>
    <x v="49"/>
    <s v="conventional_default_current_cltv_137"/>
    <x v="177"/>
    <n v="5.3642318749999998"/>
    <n v="1"/>
    <n v="-36"/>
    <n v="216"/>
  </r>
  <r>
    <x v="49"/>
    <s v="conventional_default_current_cltv_138"/>
    <x v="178"/>
    <n v="5.454415"/>
    <n v="1"/>
    <n v="-36"/>
    <n v="216"/>
  </r>
  <r>
    <x v="49"/>
    <s v="conventional_default_current_cltv_139"/>
    <x v="179"/>
    <n v="5.5430706250000004"/>
    <n v="1"/>
    <n v="-36"/>
    <n v="216"/>
  </r>
  <r>
    <x v="49"/>
    <s v="conventional_default_current_cltv_140"/>
    <x v="180"/>
    <n v="5.63"/>
    <n v="1"/>
    <n v="-36"/>
    <n v="216"/>
  </r>
  <r>
    <x v="49"/>
    <s v="conventional_default_current_cltv_141"/>
    <x v="181"/>
    <n v="5.7161156249999996"/>
    <n v="1"/>
    <n v="-36"/>
    <n v="216"/>
  </r>
  <r>
    <x v="49"/>
    <s v="conventional_default_current_cltv_142"/>
    <x v="182"/>
    <n v="5.8023749999999996"/>
    <n v="1"/>
    <n v="-36"/>
    <n v="216"/>
  </r>
  <r>
    <x v="49"/>
    <s v="conventional_default_current_cltv_143"/>
    <x v="183"/>
    <n v="5.8886468750000001"/>
    <n v="1"/>
    <n v="-36"/>
    <n v="216"/>
  </r>
  <r>
    <x v="49"/>
    <s v="conventional_default_current_cltv_144"/>
    <x v="184"/>
    <n v="5.9748000000000001"/>
    <n v="1"/>
    <n v="-36"/>
    <n v="216"/>
  </r>
  <r>
    <x v="49"/>
    <s v="conventional_default_current_cltv_145"/>
    <x v="185"/>
    <n v="6.0607031249999999"/>
    <n v="1"/>
    <n v="-36"/>
    <n v="216"/>
  </r>
  <r>
    <x v="49"/>
    <s v="conventional_default_current_cltv_146"/>
    <x v="186"/>
    <n v="6.1462250000000003"/>
    <n v="1"/>
    <n v="-36"/>
    <n v="216"/>
  </r>
  <r>
    <x v="49"/>
    <s v="conventional_default_current_cltv_147"/>
    <x v="187"/>
    <n v="6.2312343749999997"/>
    <n v="1"/>
    <n v="-36"/>
    <n v="216"/>
  </r>
  <r>
    <x v="49"/>
    <s v="conventional_default_current_cltv_148"/>
    <x v="188"/>
    <n v="6.3155999999999999"/>
    <n v="1"/>
    <n v="-36"/>
    <n v="216"/>
  </r>
  <r>
    <x v="49"/>
    <s v="conventional_default_current_cltv_149"/>
    <x v="189"/>
    <n v="6.3991906250000001"/>
    <n v="1"/>
    <n v="-36"/>
    <n v="216"/>
  </r>
  <r>
    <x v="49"/>
    <s v="conventional_default_current_cltv_150"/>
    <x v="190"/>
    <n v="6.4818749999999996"/>
    <n v="1"/>
    <n v="-36"/>
    <n v="216"/>
  </r>
  <r>
    <x v="49"/>
    <s v="conventional_default_current_cltv_151"/>
    <x v="191"/>
    <n v="6.5635218750000002"/>
    <n v="1"/>
    <n v="-36"/>
    <n v="216"/>
  </r>
  <r>
    <x v="49"/>
    <s v="conventional_default_current_cltv_152"/>
    <x v="192"/>
    <n v="6.6440000000000001"/>
    <n v="1"/>
    <n v="-36"/>
    <n v="216"/>
  </r>
  <r>
    <x v="49"/>
    <s v="conventional_default_current_cltv_153"/>
    <x v="193"/>
    <n v="6.7231781249999996"/>
    <n v="1"/>
    <n v="-36"/>
    <n v="216"/>
  </r>
  <r>
    <x v="49"/>
    <s v="conventional_default_current_cltv_154"/>
    <x v="194"/>
    <n v="6.8009250000000003"/>
    <n v="1"/>
    <n v="-36"/>
    <n v="216"/>
  </r>
  <r>
    <x v="49"/>
    <s v="conventional_default_current_cltv_155"/>
    <x v="195"/>
    <n v="6.8771093749999999"/>
    <n v="1"/>
    <n v="-36"/>
    <n v="216"/>
  </r>
  <r>
    <x v="49"/>
    <s v="conventional_default_current_cltv_156"/>
    <x v="196"/>
    <n v="6.9516"/>
    <n v="1"/>
    <n v="-36"/>
    <n v="216"/>
  </r>
  <r>
    <x v="49"/>
    <s v="conventional_default_current_cltv_157"/>
    <x v="197"/>
    <n v="7.024265625"/>
    <n v="1"/>
    <n v="-36"/>
    <n v="216"/>
  </r>
  <r>
    <x v="49"/>
    <s v="conventional_default_current_cltv_158"/>
    <x v="198"/>
    <n v="7.0949749999999998"/>
    <n v="1"/>
    <n v="-36"/>
    <n v="216"/>
  </r>
  <r>
    <x v="49"/>
    <s v="conventional_default_current_cltv_159"/>
    <x v="199"/>
    <n v="7.1635968749999996"/>
    <n v="1"/>
    <n v="-36"/>
    <n v="216"/>
  </r>
  <r>
    <x v="49"/>
    <s v="conventional_default_current_cltv_160"/>
    <x v="200"/>
    <n v="7.23"/>
    <n v="1"/>
    <n v="-36"/>
    <n v="216"/>
  </r>
  <r>
    <x v="49"/>
    <s v="conventional_default_current_cltv_161"/>
    <x v="201"/>
    <n v="7.2938118750000003"/>
    <n v="1"/>
    <n v="-36"/>
    <n v="216"/>
  </r>
  <r>
    <x v="49"/>
    <s v="conventional_default_current_cltv_162"/>
    <x v="202"/>
    <n v="7.354895"/>
    <n v="1"/>
    <n v="-36"/>
    <n v="216"/>
  </r>
  <r>
    <x v="49"/>
    <s v="conventional_default_current_cltv_163"/>
    <x v="203"/>
    <n v="7.4134706250000004"/>
    <n v="1"/>
    <n v="-36"/>
    <n v="216"/>
  </r>
  <r>
    <x v="49"/>
    <s v="conventional_default_current_cltv_164"/>
    <x v="204"/>
    <n v="7.46976"/>
    <n v="1"/>
    <n v="-36"/>
    <n v="216"/>
  </r>
  <r>
    <x v="49"/>
    <s v="conventional_default_current_cltv_165"/>
    <x v="205"/>
    <n v="7.5239843750000004"/>
    <n v="1"/>
    <n v="-36"/>
    <n v="216"/>
  </r>
  <r>
    <x v="49"/>
    <s v="conventional_default_current_cltv_166"/>
    <x v="206"/>
    <n v="7.576365"/>
    <n v="1"/>
    <n v="-36"/>
    <n v="216"/>
  </r>
  <r>
    <x v="49"/>
    <s v="conventional_default_current_cltv_167"/>
    <x v="207"/>
    <n v="7.6271231249999998"/>
    <n v="1"/>
    <n v="-36"/>
    <n v="216"/>
  </r>
  <r>
    <x v="49"/>
    <s v="conventional_default_current_cltv_168"/>
    <x v="208"/>
    <n v="7.6764799999999997"/>
    <n v="1"/>
    <n v="-36"/>
    <n v="216"/>
  </r>
  <r>
    <x v="49"/>
    <s v="conventional_default_current_cltv_169"/>
    <x v="209"/>
    <n v="7.724656875"/>
    <n v="1"/>
    <n v="-36"/>
    <n v="216"/>
  </r>
  <r>
    <x v="49"/>
    <s v="conventional_default_current_cltv_170"/>
    <x v="210"/>
    <n v="7.7718749999999996"/>
    <n v="1"/>
    <n v="-36"/>
    <n v="216"/>
  </r>
  <r>
    <x v="49"/>
    <s v="conventional_default_current_cltv_171"/>
    <x v="211"/>
    <n v="7.8183556249999997"/>
    <n v="1"/>
    <n v="-36"/>
    <n v="216"/>
  </r>
  <r>
    <x v="49"/>
    <s v="conventional_default_current_cltv_172"/>
    <x v="212"/>
    <n v="7.8643200000000002"/>
    <n v="1"/>
    <n v="-36"/>
    <n v="216"/>
  </r>
  <r>
    <x v="49"/>
    <s v="conventional_default_current_cltv_173"/>
    <x v="213"/>
    <n v="7.9099893750000003"/>
    <n v="1"/>
    <n v="-36"/>
    <n v="216"/>
  </r>
  <r>
    <x v="49"/>
    <s v="conventional_default_current_cltv_174"/>
    <x v="214"/>
    <n v="7.9555850000000001"/>
    <n v="1"/>
    <n v="-36"/>
    <n v="216"/>
  </r>
  <r>
    <x v="49"/>
    <s v="conventional_default_current_cltv_175"/>
    <x v="215"/>
    <n v="8.0013281250000006"/>
    <n v="1"/>
    <n v="-36"/>
    <n v="216"/>
  </r>
  <r>
    <x v="49"/>
    <s v="conventional_default_current_cltv_176"/>
    <x v="216"/>
    <n v="8.0474399999999999"/>
    <n v="1"/>
    <n v="-36"/>
    <n v="216"/>
  </r>
  <r>
    <x v="49"/>
    <s v="conventional_default_current_cltv_177"/>
    <x v="217"/>
    <n v="8.094141875"/>
    <n v="1"/>
    <n v="-36"/>
    <n v="216"/>
  </r>
  <r>
    <x v="49"/>
    <s v="conventional_default_current_cltv_178"/>
    <x v="218"/>
    <n v="8.1416550000000001"/>
    <n v="1"/>
    <n v="-36"/>
    <n v="216"/>
  </r>
  <r>
    <x v="49"/>
    <s v="conventional_default_current_cltv_179"/>
    <x v="219"/>
    <n v="8.1902006249999992"/>
    <n v="1"/>
    <n v="-36"/>
    <n v="216"/>
  </r>
  <r>
    <x v="49"/>
    <s v="conventional_default_current_cltv_180"/>
    <x v="220"/>
    <n v="8.24"/>
    <n v="1"/>
    <n v="-36"/>
    <n v="216"/>
  </r>
  <r>
    <x v="49"/>
    <s v="conventional_default_current_cltv_181"/>
    <x v="221"/>
    <n v="8.2904999999999998"/>
    <n v="1"/>
    <n v="-36"/>
    <n v="216"/>
  </r>
  <r>
    <x v="49"/>
    <s v="conventional_default_current_cltv_182"/>
    <x v="222"/>
    <n v="8.3409999999999993"/>
    <n v="1"/>
    <n v="-36"/>
    <n v="216"/>
  </r>
  <r>
    <x v="49"/>
    <s v="conventional_default_current_cltv_183"/>
    <x v="223"/>
    <n v="8.3915000000000006"/>
    <n v="1"/>
    <n v="-36"/>
    <n v="216"/>
  </r>
  <r>
    <x v="49"/>
    <s v="conventional_default_current_cltv_184"/>
    <x v="224"/>
    <n v="8.4420000000000002"/>
    <n v="1"/>
    <n v="-36"/>
    <n v="216"/>
  </r>
  <r>
    <x v="49"/>
    <s v="conventional_default_current_cltv_185"/>
    <x v="225"/>
    <n v="8.4924999999999997"/>
    <n v="1"/>
    <n v="-36"/>
    <n v="216"/>
  </r>
  <r>
    <x v="49"/>
    <s v="conventional_default_current_cltv_186"/>
    <x v="226"/>
    <n v="8.5429999999999993"/>
    <n v="1"/>
    <n v="-36"/>
    <n v="216"/>
  </r>
  <r>
    <x v="49"/>
    <s v="conventional_default_current_cltv_187"/>
    <x v="227"/>
    <n v="8.5935000000000006"/>
    <n v="1"/>
    <n v="-36"/>
    <n v="216"/>
  </r>
  <r>
    <x v="49"/>
    <s v="conventional_default_current_cltv_188"/>
    <x v="228"/>
    <n v="8.6440000000000001"/>
    <n v="1"/>
    <n v="-36"/>
    <n v="216"/>
  </r>
  <r>
    <x v="49"/>
    <s v="conventional_default_current_cltv_189"/>
    <x v="229"/>
    <n v="8.6944999999999997"/>
    <n v="1"/>
    <n v="-36"/>
    <n v="216"/>
  </r>
  <r>
    <x v="49"/>
    <s v="conventional_default_current_cltv_190"/>
    <x v="230"/>
    <n v="8.7449999999999992"/>
    <n v="1"/>
    <n v="-36"/>
    <n v="216"/>
  </r>
  <r>
    <x v="49"/>
    <s v="conventional_default_current_cltv_191"/>
    <x v="231"/>
    <n v="8.7955000000000005"/>
    <n v="1"/>
    <n v="-36"/>
    <n v="216"/>
  </r>
  <r>
    <x v="49"/>
    <s v="conventional_default_current_cltv_192"/>
    <x v="232"/>
    <n v="8.8460000000000001"/>
    <n v="1"/>
    <n v="-36"/>
    <n v="216"/>
  </r>
  <r>
    <x v="49"/>
    <s v="conventional_default_current_cltv_193"/>
    <x v="233"/>
    <n v="8.8964999999999996"/>
    <n v="1"/>
    <n v="-36"/>
    <n v="216"/>
  </r>
  <r>
    <x v="49"/>
    <s v="conventional_default_current_cltv_194"/>
    <x v="234"/>
    <n v="8.9469999999999992"/>
    <n v="1"/>
    <n v="-36"/>
    <n v="216"/>
  </r>
  <r>
    <x v="49"/>
    <s v="conventional_default_current_cltv_195"/>
    <x v="235"/>
    <n v="8.9975000000000005"/>
    <n v="1"/>
    <n v="-36"/>
    <n v="216"/>
  </r>
  <r>
    <x v="49"/>
    <s v="conventional_default_current_cltv_196"/>
    <x v="236"/>
    <n v="9.048"/>
    <n v="1"/>
    <n v="-36"/>
    <n v="216"/>
  </r>
  <r>
    <x v="49"/>
    <s v="conventional_default_current_cltv_197"/>
    <x v="237"/>
    <n v="9.0984999999999996"/>
    <n v="1"/>
    <n v="-36"/>
    <n v="216"/>
  </r>
  <r>
    <x v="49"/>
    <s v="conventional_default_current_cltv_198"/>
    <x v="238"/>
    <n v="9.1489999999999991"/>
    <n v="1"/>
    <n v="-36"/>
    <n v="216"/>
  </r>
  <r>
    <x v="49"/>
    <s v="conventional_default_current_cltv_199"/>
    <x v="239"/>
    <n v="9.1995000000000005"/>
    <n v="1"/>
    <n v="-36"/>
    <n v="216"/>
  </r>
  <r>
    <x v="49"/>
    <s v="conventional_default_current_cltv_200"/>
    <x v="240"/>
    <n v="9.25"/>
    <n v="1"/>
    <n v="-36"/>
    <n v="216"/>
  </r>
  <r>
    <x v="49"/>
    <s v="conventional_default_current_cltv_201"/>
    <x v="241"/>
    <n v="9.3004999999999995"/>
    <n v="1"/>
    <n v="-36"/>
    <n v="216"/>
  </r>
  <r>
    <x v="49"/>
    <s v="conventional_default_current_cltv_202"/>
    <x v="242"/>
    <n v="9.3510000000000009"/>
    <n v="1"/>
    <n v="-36"/>
    <n v="216"/>
  </r>
  <r>
    <x v="49"/>
    <s v="conventional_default_current_cltv_203"/>
    <x v="243"/>
    <n v="9.4015000000000004"/>
    <n v="1"/>
    <n v="-36"/>
    <n v="216"/>
  </r>
  <r>
    <x v="49"/>
    <s v="conventional_default_current_cltv_204"/>
    <x v="244"/>
    <n v="9.452"/>
    <n v="1"/>
    <n v="-36"/>
    <n v="216"/>
  </r>
  <r>
    <x v="49"/>
    <s v="conventional_default_current_cltv_205"/>
    <x v="245"/>
    <n v="9.5024999999999995"/>
    <n v="1"/>
    <n v="-36"/>
    <n v="216"/>
  </r>
  <r>
    <x v="49"/>
    <s v="conventional_default_current_cltv_206"/>
    <x v="246"/>
    <n v="9.5530000000000008"/>
    <n v="1"/>
    <n v="-36"/>
    <n v="216"/>
  </r>
  <r>
    <x v="49"/>
    <s v="conventional_default_current_cltv_207"/>
    <x v="247"/>
    <n v="9.6035000000000004"/>
    <n v="1"/>
    <n v="-36"/>
    <n v="216"/>
  </r>
  <r>
    <x v="49"/>
    <s v="conventional_default_current_cltv_208"/>
    <x v="248"/>
    <n v="9.6539999999999999"/>
    <n v="1"/>
    <n v="-36"/>
    <n v="216"/>
  </r>
  <r>
    <x v="49"/>
    <s v="conventional_default_current_cltv_209"/>
    <x v="249"/>
    <n v="9.7044999999999995"/>
    <n v="1"/>
    <n v="-36"/>
    <n v="216"/>
  </r>
  <r>
    <x v="49"/>
    <s v="conventional_default_current_cltv_210"/>
    <x v="250"/>
    <n v="9.7550000000000008"/>
    <n v="1"/>
    <n v="-36"/>
    <n v="216"/>
  </r>
  <r>
    <x v="49"/>
    <s v="conventional_default_current_cltv_211"/>
    <x v="251"/>
    <n v="9.8055000000000003"/>
    <n v="1"/>
    <n v="-36"/>
    <n v="216"/>
  </r>
  <r>
    <x v="49"/>
    <s v="conventional_default_current_cltv_212"/>
    <x v="252"/>
    <n v="9.8559999999999999"/>
    <n v="1"/>
    <n v="-36"/>
    <n v="216"/>
  </r>
  <r>
    <x v="49"/>
    <s v="conventional_default_current_cltv_213"/>
    <x v="253"/>
    <n v="9.9064999999999994"/>
    <n v="1"/>
    <n v="-36"/>
    <n v="216"/>
  </r>
  <r>
    <x v="49"/>
    <s v="conventional_default_current_cltv_214"/>
    <x v="254"/>
    <n v="9.9570000000000007"/>
    <n v="1"/>
    <n v="-36"/>
    <n v="216"/>
  </r>
  <r>
    <x v="49"/>
    <s v="conventional_default_current_cltv_215"/>
    <x v="255"/>
    <n v="10.0075"/>
    <n v="1"/>
    <n v="-36"/>
    <n v="216"/>
  </r>
  <r>
    <x v="49"/>
    <s v="conventional_default_current_cltv_216"/>
    <x v="256"/>
    <n v="10.058"/>
    <n v="1"/>
    <n v="-36"/>
    <n v="216"/>
  </r>
  <r>
    <x v="50"/>
    <s v="conventional_default_current_fico_490"/>
    <x v="530"/>
    <n v="4.2519999999999998"/>
    <n v="1"/>
    <n v="490"/>
    <n v="910"/>
  </r>
  <r>
    <x v="50"/>
    <s v="conventional_default_current_fico_491"/>
    <x v="531"/>
    <n v="4.2468000000000004"/>
    <n v="1"/>
    <n v="490"/>
    <n v="910"/>
  </r>
  <r>
    <x v="50"/>
    <s v="conventional_default_current_fico_492"/>
    <x v="532"/>
    <n v="4.2416"/>
    <n v="1"/>
    <n v="490"/>
    <n v="910"/>
  </r>
  <r>
    <x v="50"/>
    <s v="conventional_default_current_fico_493"/>
    <x v="533"/>
    <n v="4.2363999999999997"/>
    <n v="1"/>
    <n v="490"/>
    <n v="910"/>
  </r>
  <r>
    <x v="50"/>
    <s v="conventional_default_current_fico_494"/>
    <x v="534"/>
    <n v="4.2312000000000003"/>
    <n v="1"/>
    <n v="490"/>
    <n v="910"/>
  </r>
  <r>
    <x v="50"/>
    <s v="conventional_default_current_fico_495"/>
    <x v="535"/>
    <n v="4.226"/>
    <n v="1"/>
    <n v="490"/>
    <n v="910"/>
  </r>
  <r>
    <x v="50"/>
    <s v="conventional_default_current_fico_496"/>
    <x v="536"/>
    <n v="4.2207999999999997"/>
    <n v="1"/>
    <n v="490"/>
    <n v="910"/>
  </r>
  <r>
    <x v="50"/>
    <s v="conventional_default_current_fico_497"/>
    <x v="537"/>
    <n v="4.2156000000000002"/>
    <n v="1"/>
    <n v="490"/>
    <n v="910"/>
  </r>
  <r>
    <x v="50"/>
    <s v="conventional_default_current_fico_498"/>
    <x v="538"/>
    <n v="4.2103999999999999"/>
    <n v="1"/>
    <n v="490"/>
    <n v="910"/>
  </r>
  <r>
    <x v="50"/>
    <s v="conventional_default_current_fico_499"/>
    <x v="539"/>
    <n v="4.2051999999999996"/>
    <n v="1"/>
    <n v="490"/>
    <n v="910"/>
  </r>
  <r>
    <x v="50"/>
    <s v="conventional_default_current_fico_500"/>
    <x v="540"/>
    <n v="4.2"/>
    <n v="1"/>
    <n v="490"/>
    <n v="910"/>
  </r>
  <r>
    <x v="50"/>
    <s v="conventional_default_current_fico_501"/>
    <x v="541"/>
    <n v="4.1947999999999999"/>
    <n v="1"/>
    <n v="490"/>
    <n v="910"/>
  </r>
  <r>
    <x v="50"/>
    <s v="conventional_default_current_fico_502"/>
    <x v="542"/>
    <n v="4.1896000000000004"/>
    <n v="1"/>
    <n v="490"/>
    <n v="910"/>
  </r>
  <r>
    <x v="50"/>
    <s v="conventional_default_current_fico_503"/>
    <x v="543"/>
    <n v="4.1844000000000001"/>
    <n v="1"/>
    <n v="490"/>
    <n v="910"/>
  </r>
  <r>
    <x v="50"/>
    <s v="conventional_default_current_fico_504"/>
    <x v="544"/>
    <n v="4.1791999999999998"/>
    <n v="1"/>
    <n v="490"/>
    <n v="910"/>
  </r>
  <r>
    <x v="50"/>
    <s v="conventional_default_current_fico_505"/>
    <x v="545"/>
    <n v="4.1740000000000004"/>
    <n v="1"/>
    <n v="490"/>
    <n v="910"/>
  </r>
  <r>
    <x v="50"/>
    <s v="conventional_default_current_fico_506"/>
    <x v="546"/>
    <n v="4.1688000000000001"/>
    <n v="1"/>
    <n v="490"/>
    <n v="910"/>
  </r>
  <r>
    <x v="50"/>
    <s v="conventional_default_current_fico_507"/>
    <x v="547"/>
    <n v="4.1635999999999997"/>
    <n v="1"/>
    <n v="490"/>
    <n v="910"/>
  </r>
  <r>
    <x v="50"/>
    <s v="conventional_default_current_fico_508"/>
    <x v="548"/>
    <n v="4.1584000000000003"/>
    <n v="1"/>
    <n v="490"/>
    <n v="910"/>
  </r>
  <r>
    <x v="50"/>
    <s v="conventional_default_current_fico_509"/>
    <x v="549"/>
    <n v="4.1532"/>
    <n v="1"/>
    <n v="490"/>
    <n v="910"/>
  </r>
  <r>
    <x v="50"/>
    <s v="conventional_default_current_fico_510"/>
    <x v="550"/>
    <n v="4.1479999999999997"/>
    <n v="1"/>
    <n v="490"/>
    <n v="910"/>
  </r>
  <r>
    <x v="50"/>
    <s v="conventional_default_current_fico_511"/>
    <x v="551"/>
    <n v="4.1428000000000003"/>
    <n v="1"/>
    <n v="490"/>
    <n v="910"/>
  </r>
  <r>
    <x v="50"/>
    <s v="conventional_default_current_fico_512"/>
    <x v="552"/>
    <n v="4.1375999999999999"/>
    <n v="1"/>
    <n v="490"/>
    <n v="910"/>
  </r>
  <r>
    <x v="50"/>
    <s v="conventional_default_current_fico_513"/>
    <x v="553"/>
    <n v="4.1323999999999996"/>
    <n v="1"/>
    <n v="490"/>
    <n v="910"/>
  </r>
  <r>
    <x v="50"/>
    <s v="conventional_default_current_fico_514"/>
    <x v="554"/>
    <n v="4.1272000000000002"/>
    <n v="1"/>
    <n v="490"/>
    <n v="910"/>
  </r>
  <r>
    <x v="50"/>
    <s v="conventional_default_current_fico_515"/>
    <x v="555"/>
    <n v="4.1219999999999999"/>
    <n v="1"/>
    <n v="490"/>
    <n v="910"/>
  </r>
  <r>
    <x v="50"/>
    <s v="conventional_default_current_fico_516"/>
    <x v="556"/>
    <n v="4.1167999999999996"/>
    <n v="1"/>
    <n v="490"/>
    <n v="910"/>
  </r>
  <r>
    <x v="50"/>
    <s v="conventional_default_current_fico_517"/>
    <x v="557"/>
    <n v="4.1116000000000001"/>
    <n v="1"/>
    <n v="490"/>
    <n v="910"/>
  </r>
  <r>
    <x v="50"/>
    <s v="conventional_default_current_fico_518"/>
    <x v="558"/>
    <n v="4.1063999999999998"/>
    <n v="1"/>
    <n v="490"/>
    <n v="910"/>
  </r>
  <r>
    <x v="50"/>
    <s v="conventional_default_current_fico_519"/>
    <x v="559"/>
    <n v="4.1012000000000004"/>
    <n v="1"/>
    <n v="490"/>
    <n v="910"/>
  </r>
  <r>
    <x v="50"/>
    <s v="conventional_default_current_fico_520"/>
    <x v="560"/>
    <n v="4.0960000000000001"/>
    <n v="1"/>
    <n v="490"/>
    <n v="910"/>
  </r>
  <r>
    <x v="50"/>
    <s v="conventional_default_current_fico_521"/>
    <x v="561"/>
    <n v="4.0907999999999998"/>
    <n v="1"/>
    <n v="490"/>
    <n v="910"/>
  </r>
  <r>
    <x v="50"/>
    <s v="conventional_default_current_fico_522"/>
    <x v="562"/>
    <n v="4.0856000000000003"/>
    <n v="1"/>
    <n v="490"/>
    <n v="910"/>
  </r>
  <r>
    <x v="50"/>
    <s v="conventional_default_current_fico_523"/>
    <x v="563"/>
    <n v="4.0804"/>
    <n v="1"/>
    <n v="490"/>
    <n v="910"/>
  </r>
  <r>
    <x v="50"/>
    <s v="conventional_default_current_fico_524"/>
    <x v="564"/>
    <n v="4.0751999999999997"/>
    <n v="1"/>
    <n v="490"/>
    <n v="910"/>
  </r>
  <r>
    <x v="50"/>
    <s v="conventional_default_current_fico_525"/>
    <x v="565"/>
    <n v="4.07"/>
    <n v="1"/>
    <n v="490"/>
    <n v="910"/>
  </r>
  <r>
    <x v="50"/>
    <s v="conventional_default_current_fico_526"/>
    <x v="566"/>
    <n v="4.0648"/>
    <n v="1"/>
    <n v="490"/>
    <n v="910"/>
  </r>
  <r>
    <x v="50"/>
    <s v="conventional_default_current_fico_527"/>
    <x v="567"/>
    <n v="4.0595999999999997"/>
    <n v="1"/>
    <n v="490"/>
    <n v="910"/>
  </r>
  <r>
    <x v="50"/>
    <s v="conventional_default_current_fico_528"/>
    <x v="568"/>
    <n v="4.0544000000000002"/>
    <n v="1"/>
    <n v="490"/>
    <n v="910"/>
  </r>
  <r>
    <x v="50"/>
    <s v="conventional_default_current_fico_529"/>
    <x v="569"/>
    <n v="4.0491999999999999"/>
    <n v="1"/>
    <n v="490"/>
    <n v="910"/>
  </r>
  <r>
    <x v="50"/>
    <s v="conventional_default_current_fico_530"/>
    <x v="570"/>
    <n v="4.0439999999999996"/>
    <n v="1"/>
    <n v="490"/>
    <n v="910"/>
  </r>
  <r>
    <x v="50"/>
    <s v="conventional_default_current_fico_531"/>
    <x v="571"/>
    <n v="4.0388000000000002"/>
    <n v="1"/>
    <n v="490"/>
    <n v="910"/>
  </r>
  <r>
    <x v="50"/>
    <s v="conventional_default_current_fico_532"/>
    <x v="572"/>
    <n v="4.0335999999999999"/>
    <n v="1"/>
    <n v="490"/>
    <n v="910"/>
  </r>
  <r>
    <x v="50"/>
    <s v="conventional_default_current_fico_533"/>
    <x v="573"/>
    <n v="4.0284000000000004"/>
    <n v="1"/>
    <n v="490"/>
    <n v="910"/>
  </r>
  <r>
    <x v="50"/>
    <s v="conventional_default_current_fico_534"/>
    <x v="574"/>
    <n v="4.0232000000000001"/>
    <n v="1"/>
    <n v="490"/>
    <n v="910"/>
  </r>
  <r>
    <x v="50"/>
    <s v="conventional_default_current_fico_535"/>
    <x v="575"/>
    <n v="4.0179999999999998"/>
    <n v="1"/>
    <n v="490"/>
    <n v="910"/>
  </r>
  <r>
    <x v="50"/>
    <s v="conventional_default_current_fico_536"/>
    <x v="576"/>
    <n v="4.0128000000000004"/>
    <n v="1"/>
    <n v="490"/>
    <n v="910"/>
  </r>
  <r>
    <x v="50"/>
    <s v="conventional_default_current_fico_537"/>
    <x v="577"/>
    <n v="4.0076000000000001"/>
    <n v="1"/>
    <n v="490"/>
    <n v="910"/>
  </r>
  <r>
    <x v="50"/>
    <s v="conventional_default_current_fico_538"/>
    <x v="578"/>
    <n v="4.0023999999999997"/>
    <n v="1"/>
    <n v="490"/>
    <n v="910"/>
  </r>
  <r>
    <x v="50"/>
    <s v="conventional_default_current_fico_539"/>
    <x v="579"/>
    <n v="3.9971999999999999"/>
    <n v="1"/>
    <n v="490"/>
    <n v="910"/>
  </r>
  <r>
    <x v="50"/>
    <s v="conventional_default_current_fico_540"/>
    <x v="580"/>
    <n v="3.992"/>
    <n v="1"/>
    <n v="490"/>
    <n v="910"/>
  </r>
  <r>
    <x v="50"/>
    <s v="conventional_default_current_fico_541"/>
    <x v="581"/>
    <n v="3.9868000000000001"/>
    <n v="1"/>
    <n v="490"/>
    <n v="910"/>
  </r>
  <r>
    <x v="50"/>
    <s v="conventional_default_current_fico_542"/>
    <x v="582"/>
    <n v="3.9815999999999998"/>
    <n v="1"/>
    <n v="490"/>
    <n v="910"/>
  </r>
  <r>
    <x v="50"/>
    <s v="conventional_default_current_fico_543"/>
    <x v="583"/>
    <n v="3.9763999999999999"/>
    <n v="1"/>
    <n v="490"/>
    <n v="910"/>
  </r>
  <r>
    <x v="50"/>
    <s v="conventional_default_current_fico_544"/>
    <x v="584"/>
    <n v="3.9712000000000001"/>
    <n v="1"/>
    <n v="490"/>
    <n v="910"/>
  </r>
  <r>
    <x v="50"/>
    <s v="conventional_default_current_fico_545"/>
    <x v="585"/>
    <n v="3.9660000000000002"/>
    <n v="1"/>
    <n v="490"/>
    <n v="910"/>
  </r>
  <r>
    <x v="50"/>
    <s v="conventional_default_current_fico_546"/>
    <x v="586"/>
    <n v="3.9607999999999999"/>
    <n v="1"/>
    <n v="490"/>
    <n v="910"/>
  </r>
  <r>
    <x v="50"/>
    <s v="conventional_default_current_fico_547"/>
    <x v="587"/>
    <n v="3.9556"/>
    <n v="1"/>
    <n v="490"/>
    <n v="910"/>
  </r>
  <r>
    <x v="50"/>
    <s v="conventional_default_current_fico_548"/>
    <x v="588"/>
    <n v="3.9504000000000001"/>
    <n v="1"/>
    <n v="490"/>
    <n v="910"/>
  </r>
  <r>
    <x v="50"/>
    <s v="conventional_default_current_fico_549"/>
    <x v="589"/>
    <n v="3.9451999999999998"/>
    <n v="1"/>
    <n v="490"/>
    <n v="910"/>
  </r>
  <r>
    <x v="50"/>
    <s v="conventional_default_current_fico_550"/>
    <x v="590"/>
    <n v="3.94"/>
    <n v="1"/>
    <n v="490"/>
    <n v="910"/>
  </r>
  <r>
    <x v="50"/>
    <s v="conventional_default_current_fico_551"/>
    <x v="591"/>
    <n v="3.9348489999999998"/>
    <n v="1"/>
    <n v="490"/>
    <n v="910"/>
  </r>
  <r>
    <x v="50"/>
    <s v="conventional_default_current_fico_552"/>
    <x v="592"/>
    <n v="3.929792"/>
    <n v="1"/>
    <n v="490"/>
    <n v="910"/>
  </r>
  <r>
    <x v="50"/>
    <s v="conventional_default_current_fico_553"/>
    <x v="593"/>
    <n v="3.924823"/>
    <n v="1"/>
    <n v="490"/>
    <n v="910"/>
  </r>
  <r>
    <x v="50"/>
    <s v="conventional_default_current_fico_554"/>
    <x v="594"/>
    <n v="3.9199359999999999"/>
    <n v="1"/>
    <n v="490"/>
    <n v="910"/>
  </r>
  <r>
    <x v="50"/>
    <s v="conventional_default_current_fico_555"/>
    <x v="595"/>
    <n v="3.9151250000000002"/>
    <n v="1"/>
    <n v="490"/>
    <n v="910"/>
  </r>
  <r>
    <x v="50"/>
    <s v="conventional_default_current_fico_556"/>
    <x v="596"/>
    <n v="3.9103840000000001"/>
    <n v="1"/>
    <n v="490"/>
    <n v="910"/>
  </r>
  <r>
    <x v="50"/>
    <s v="conventional_default_current_fico_557"/>
    <x v="597"/>
    <n v="3.905707"/>
    <n v="1"/>
    <n v="490"/>
    <n v="910"/>
  </r>
  <r>
    <x v="50"/>
    <s v="conventional_default_current_fico_558"/>
    <x v="598"/>
    <n v="3.9010880000000001"/>
    <n v="1"/>
    <n v="490"/>
    <n v="910"/>
  </r>
  <r>
    <x v="50"/>
    <s v="conventional_default_current_fico_559"/>
    <x v="599"/>
    <n v="3.8965209999999999"/>
    <n v="1"/>
    <n v="490"/>
    <n v="910"/>
  </r>
  <r>
    <x v="50"/>
    <s v="conventional_default_current_fico_560"/>
    <x v="600"/>
    <n v="3.8919999999999999"/>
    <n v="1"/>
    <n v="490"/>
    <n v="910"/>
  </r>
  <r>
    <x v="50"/>
    <s v="conventional_default_current_fico_561"/>
    <x v="601"/>
    <n v="3.8875190000000002"/>
    <n v="1"/>
    <n v="490"/>
    <n v="910"/>
  </r>
  <r>
    <x v="50"/>
    <s v="conventional_default_current_fico_562"/>
    <x v="602"/>
    <n v="3.8830719999999999"/>
    <n v="1"/>
    <n v="490"/>
    <n v="910"/>
  </r>
  <r>
    <x v="50"/>
    <s v="conventional_default_current_fico_563"/>
    <x v="603"/>
    <n v="3.8786529999999999"/>
    <n v="1"/>
    <n v="490"/>
    <n v="910"/>
  </r>
  <r>
    <x v="50"/>
    <s v="conventional_default_current_fico_564"/>
    <x v="604"/>
    <n v="3.8742559999999999"/>
    <n v="1"/>
    <n v="490"/>
    <n v="910"/>
  </r>
  <r>
    <x v="50"/>
    <s v="conventional_default_current_fico_565"/>
    <x v="605"/>
    <n v="3.869875"/>
    <n v="1"/>
    <n v="490"/>
    <n v="910"/>
  </r>
  <r>
    <x v="50"/>
    <s v="conventional_default_current_fico_566"/>
    <x v="606"/>
    <n v="3.8655040000000001"/>
    <n v="1"/>
    <n v="490"/>
    <n v="910"/>
  </r>
  <r>
    <x v="50"/>
    <s v="conventional_default_current_fico_567"/>
    <x v="607"/>
    <n v="3.8611369999999998"/>
    <n v="1"/>
    <n v="490"/>
    <n v="910"/>
  </r>
  <r>
    <x v="50"/>
    <s v="conventional_default_current_fico_568"/>
    <x v="608"/>
    <n v="3.8567680000000002"/>
    <n v="1"/>
    <n v="490"/>
    <n v="910"/>
  </r>
  <r>
    <x v="50"/>
    <s v="conventional_default_current_fico_569"/>
    <x v="609"/>
    <n v="3.8523909999999999"/>
    <n v="1"/>
    <n v="490"/>
    <n v="910"/>
  </r>
  <r>
    <x v="50"/>
    <s v="conventional_default_current_fico_570"/>
    <x v="610"/>
    <n v="3.8479999999999999"/>
    <n v="1"/>
    <n v="490"/>
    <n v="910"/>
  </r>
  <r>
    <x v="50"/>
    <s v="conventional_default_current_fico_571"/>
    <x v="611"/>
    <n v="3.8435890000000001"/>
    <n v="1"/>
    <n v="490"/>
    <n v="910"/>
  </r>
  <r>
    <x v="50"/>
    <s v="conventional_default_current_fico_572"/>
    <x v="612"/>
    <n v="3.8391519999999999"/>
    <n v="1"/>
    <n v="490"/>
    <n v="910"/>
  </r>
  <r>
    <x v="50"/>
    <s v="conventional_default_current_fico_573"/>
    <x v="613"/>
    <n v="3.8346830000000001"/>
    <n v="1"/>
    <n v="490"/>
    <n v="910"/>
  </r>
  <r>
    <x v="50"/>
    <s v="conventional_default_current_fico_574"/>
    <x v="614"/>
    <n v="3.8301759999999998"/>
    <n v="1"/>
    <n v="490"/>
    <n v="910"/>
  </r>
  <r>
    <x v="50"/>
    <s v="conventional_default_current_fico_575"/>
    <x v="615"/>
    <n v="3.8256250000000001"/>
    <n v="1"/>
    <n v="490"/>
    <n v="910"/>
  </r>
  <r>
    <x v="50"/>
    <s v="conventional_default_current_fico_576"/>
    <x v="616"/>
    <n v="3.821024"/>
    <n v="1"/>
    <n v="490"/>
    <n v="910"/>
  </r>
  <r>
    <x v="50"/>
    <s v="conventional_default_current_fico_577"/>
    <x v="617"/>
    <n v="3.8163670000000001"/>
    <n v="1"/>
    <n v="490"/>
    <n v="910"/>
  </r>
  <r>
    <x v="50"/>
    <s v="conventional_default_current_fico_578"/>
    <x v="618"/>
    <n v="3.8116479999999999"/>
    <n v="1"/>
    <n v="490"/>
    <n v="910"/>
  </r>
  <r>
    <x v="50"/>
    <s v="conventional_default_current_fico_579"/>
    <x v="619"/>
    <n v="3.8068610000000001"/>
    <n v="1"/>
    <n v="490"/>
    <n v="910"/>
  </r>
  <r>
    <x v="50"/>
    <s v="conventional_default_current_fico_580"/>
    <x v="620"/>
    <n v="3.802"/>
    <n v="1"/>
    <n v="490"/>
    <n v="910"/>
  </r>
  <r>
    <x v="50"/>
    <s v="conventional_default_current_fico_581"/>
    <x v="621"/>
    <n v="3.797059"/>
    <n v="1"/>
    <n v="490"/>
    <n v="910"/>
  </r>
  <r>
    <x v="50"/>
    <s v="conventional_default_current_fico_582"/>
    <x v="622"/>
    <n v="3.7920319999999998"/>
    <n v="1"/>
    <n v="490"/>
    <n v="910"/>
  </r>
  <r>
    <x v="50"/>
    <s v="conventional_default_current_fico_583"/>
    <x v="623"/>
    <n v="3.7869130000000002"/>
    <n v="1"/>
    <n v="490"/>
    <n v="910"/>
  </r>
  <r>
    <x v="50"/>
    <s v="conventional_default_current_fico_584"/>
    <x v="624"/>
    <n v="3.7816960000000002"/>
    <n v="1"/>
    <n v="490"/>
    <n v="910"/>
  </r>
  <r>
    <x v="50"/>
    <s v="conventional_default_current_fico_585"/>
    <x v="625"/>
    <n v="3.7763749999999998"/>
    <n v="1"/>
    <n v="490"/>
    <n v="910"/>
  </r>
  <r>
    <x v="50"/>
    <s v="conventional_default_current_fico_586"/>
    <x v="626"/>
    <n v="3.7709440000000001"/>
    <n v="1"/>
    <n v="490"/>
    <n v="910"/>
  </r>
  <r>
    <x v="50"/>
    <s v="conventional_default_current_fico_587"/>
    <x v="627"/>
    <n v="3.7653970000000001"/>
    <n v="1"/>
    <n v="490"/>
    <n v="910"/>
  </r>
  <r>
    <x v="50"/>
    <s v="conventional_default_current_fico_588"/>
    <x v="628"/>
    <n v="3.759728"/>
    <n v="1"/>
    <n v="490"/>
    <n v="910"/>
  </r>
  <r>
    <x v="50"/>
    <s v="conventional_default_current_fico_589"/>
    <x v="629"/>
    <n v="3.7539310000000001"/>
    <n v="1"/>
    <n v="490"/>
    <n v="910"/>
  </r>
  <r>
    <x v="50"/>
    <s v="conventional_default_current_fico_590"/>
    <x v="630"/>
    <n v="3.7480000000000002"/>
    <n v="1"/>
    <n v="490"/>
    <n v="910"/>
  </r>
  <r>
    <x v="50"/>
    <s v="conventional_default_current_fico_591"/>
    <x v="631"/>
    <n v="3.7419289999999998"/>
    <n v="1"/>
    <n v="490"/>
    <n v="910"/>
  </r>
  <r>
    <x v="50"/>
    <s v="conventional_default_current_fico_592"/>
    <x v="632"/>
    <n v="3.7357119999999999"/>
    <n v="1"/>
    <n v="490"/>
    <n v="910"/>
  </r>
  <r>
    <x v="50"/>
    <s v="conventional_default_current_fico_593"/>
    <x v="633"/>
    <n v="3.7293430000000001"/>
    <n v="1"/>
    <n v="490"/>
    <n v="910"/>
  </r>
  <r>
    <x v="50"/>
    <s v="conventional_default_current_fico_594"/>
    <x v="634"/>
    <n v="3.7228159999999999"/>
    <n v="1"/>
    <n v="490"/>
    <n v="910"/>
  </r>
  <r>
    <x v="50"/>
    <s v="conventional_default_current_fico_595"/>
    <x v="635"/>
    <n v="3.7161249999999999"/>
    <n v="1"/>
    <n v="490"/>
    <n v="910"/>
  </r>
  <r>
    <x v="50"/>
    <s v="conventional_default_current_fico_596"/>
    <x v="636"/>
    <n v="3.7092640000000001"/>
    <n v="1"/>
    <n v="490"/>
    <n v="910"/>
  </r>
  <r>
    <x v="50"/>
    <s v="conventional_default_current_fico_597"/>
    <x v="637"/>
    <n v="3.7022270000000002"/>
    <n v="1"/>
    <n v="490"/>
    <n v="910"/>
  </r>
  <r>
    <x v="50"/>
    <s v="conventional_default_current_fico_598"/>
    <x v="638"/>
    <n v="3.6950080000000001"/>
    <n v="1"/>
    <n v="490"/>
    <n v="910"/>
  </r>
  <r>
    <x v="50"/>
    <s v="conventional_default_current_fico_599"/>
    <x v="639"/>
    <n v="3.6876009999999999"/>
    <n v="1"/>
    <n v="490"/>
    <n v="910"/>
  </r>
  <r>
    <x v="50"/>
    <s v="conventional_default_current_fico_600"/>
    <x v="640"/>
    <n v="3.68"/>
    <n v="1"/>
    <n v="490"/>
    <n v="910"/>
  </r>
  <r>
    <x v="50"/>
    <s v="conventional_default_current_fico_601"/>
    <x v="641"/>
    <n v="3.6722793999999999"/>
    <n v="1"/>
    <n v="490"/>
    <n v="910"/>
  </r>
  <r>
    <x v="50"/>
    <s v="conventional_default_current_fico_602"/>
    <x v="642"/>
    <n v="3.6645151999999999"/>
    <n v="1"/>
    <n v="490"/>
    <n v="910"/>
  </r>
  <r>
    <x v="50"/>
    <s v="conventional_default_current_fico_603"/>
    <x v="643"/>
    <n v="3.6567037999999998"/>
    <n v="1"/>
    <n v="490"/>
    <n v="910"/>
  </r>
  <r>
    <x v="50"/>
    <s v="conventional_default_current_fico_604"/>
    <x v="644"/>
    <n v="3.6488415999999999"/>
    <n v="1"/>
    <n v="490"/>
    <n v="910"/>
  </r>
  <r>
    <x v="50"/>
    <s v="conventional_default_current_fico_605"/>
    <x v="645"/>
    <n v="3.6409250000000002"/>
    <n v="1"/>
    <n v="490"/>
    <n v="910"/>
  </r>
  <r>
    <x v="50"/>
    <s v="conventional_default_current_fico_606"/>
    <x v="646"/>
    <n v="3.6329503999999999"/>
    <n v="1"/>
    <n v="490"/>
    <n v="910"/>
  </r>
  <r>
    <x v="50"/>
    <s v="conventional_default_current_fico_607"/>
    <x v="647"/>
    <n v="3.6249142000000001"/>
    <n v="1"/>
    <n v="490"/>
    <n v="910"/>
  </r>
  <r>
    <x v="50"/>
    <s v="conventional_default_current_fico_608"/>
    <x v="648"/>
    <n v="3.6168127999999999"/>
    <n v="1"/>
    <n v="490"/>
    <n v="910"/>
  </r>
  <r>
    <x v="50"/>
    <s v="conventional_default_current_fico_609"/>
    <x v="649"/>
    <n v="3.6086426"/>
    <n v="1"/>
    <n v="490"/>
    <n v="910"/>
  </r>
  <r>
    <x v="50"/>
    <s v="conventional_default_current_fico_610"/>
    <x v="650"/>
    <n v="3.6004"/>
    <n v="1"/>
    <n v="490"/>
    <n v="910"/>
  </r>
  <r>
    <x v="50"/>
    <s v="conventional_default_current_fico_611"/>
    <x v="651"/>
    <n v="3.5920814000000001"/>
    <n v="1"/>
    <n v="490"/>
    <n v="910"/>
  </r>
  <r>
    <x v="50"/>
    <s v="conventional_default_current_fico_612"/>
    <x v="652"/>
    <n v="3.5836831999999998"/>
    <n v="1"/>
    <n v="490"/>
    <n v="910"/>
  </r>
  <r>
    <x v="50"/>
    <s v="conventional_default_current_fico_613"/>
    <x v="653"/>
    <n v="3.5752017999999999"/>
    <n v="1"/>
    <n v="490"/>
    <n v="910"/>
  </r>
  <r>
    <x v="50"/>
    <s v="conventional_default_current_fico_614"/>
    <x v="654"/>
    <n v="3.5666335999999998"/>
    <n v="1"/>
    <n v="490"/>
    <n v="910"/>
  </r>
  <r>
    <x v="50"/>
    <s v="conventional_default_current_fico_615"/>
    <x v="655"/>
    <n v="3.5579749999999999"/>
    <n v="1"/>
    <n v="490"/>
    <n v="910"/>
  </r>
  <r>
    <x v="50"/>
    <s v="conventional_default_current_fico_616"/>
    <x v="656"/>
    <n v="3.5492224000000001"/>
    <n v="1"/>
    <n v="490"/>
    <n v="910"/>
  </r>
  <r>
    <x v="50"/>
    <s v="conventional_default_current_fico_617"/>
    <x v="657"/>
    <n v="3.5403722000000002"/>
    <n v="1"/>
    <n v="490"/>
    <n v="910"/>
  </r>
  <r>
    <x v="50"/>
    <s v="conventional_default_current_fico_618"/>
    <x v="658"/>
    <n v="3.5314207999999998"/>
    <n v="1"/>
    <n v="490"/>
    <n v="910"/>
  </r>
  <r>
    <x v="50"/>
    <s v="conventional_default_current_fico_619"/>
    <x v="659"/>
    <n v="3.5223646"/>
    <n v="1"/>
    <n v="490"/>
    <n v="910"/>
  </r>
  <r>
    <x v="50"/>
    <s v="conventional_default_current_fico_620"/>
    <x v="660"/>
    <n v="3.5131999999999999"/>
    <n v="1"/>
    <n v="490"/>
    <n v="910"/>
  </r>
  <r>
    <x v="50"/>
    <s v="conventional_default_current_fico_621"/>
    <x v="661"/>
    <n v="3.5039234000000001"/>
    <n v="1"/>
    <n v="490"/>
    <n v="910"/>
  </r>
  <r>
    <x v="50"/>
    <s v="conventional_default_current_fico_622"/>
    <x v="662"/>
    <n v="3.4945311999999999"/>
    <n v="1"/>
    <n v="490"/>
    <n v="910"/>
  </r>
  <r>
    <x v="50"/>
    <s v="conventional_default_current_fico_623"/>
    <x v="663"/>
    <n v="3.4850197999999999"/>
    <n v="1"/>
    <n v="490"/>
    <n v="910"/>
  </r>
  <r>
    <x v="50"/>
    <s v="conventional_default_current_fico_624"/>
    <x v="664"/>
    <n v="3.4753856000000001"/>
    <n v="1"/>
    <n v="490"/>
    <n v="910"/>
  </r>
  <r>
    <x v="50"/>
    <s v="conventional_default_current_fico_625"/>
    <x v="665"/>
    <n v="3.4656250000000002"/>
    <n v="1"/>
    <n v="490"/>
    <n v="910"/>
  </r>
  <r>
    <x v="50"/>
    <s v="conventional_default_current_fico_626"/>
    <x v="666"/>
    <n v="3.4557343999999999"/>
    <n v="1"/>
    <n v="490"/>
    <n v="910"/>
  </r>
  <r>
    <x v="50"/>
    <s v="conventional_default_current_fico_627"/>
    <x v="667"/>
    <n v="3.4457102000000002"/>
    <n v="1"/>
    <n v="490"/>
    <n v="910"/>
  </r>
  <r>
    <x v="50"/>
    <s v="conventional_default_current_fico_628"/>
    <x v="668"/>
    <n v="3.4355487999999998"/>
    <n v="1"/>
    <n v="490"/>
    <n v="910"/>
  </r>
  <r>
    <x v="50"/>
    <s v="conventional_default_current_fico_629"/>
    <x v="669"/>
    <n v="3.4252465999999999"/>
    <n v="1"/>
    <n v="490"/>
    <n v="910"/>
  </r>
  <r>
    <x v="50"/>
    <s v="conventional_default_current_fico_630"/>
    <x v="670"/>
    <n v="3.4148000000000001"/>
    <n v="1"/>
    <n v="490"/>
    <n v="910"/>
  </r>
  <r>
    <x v="50"/>
    <s v="conventional_default_current_fico_631"/>
    <x v="671"/>
    <n v="3.4042053999999999"/>
    <n v="1"/>
    <n v="490"/>
    <n v="910"/>
  </r>
  <r>
    <x v="50"/>
    <s v="conventional_default_current_fico_632"/>
    <x v="672"/>
    <n v="3.3934592000000001"/>
    <n v="1"/>
    <n v="490"/>
    <n v="910"/>
  </r>
  <r>
    <x v="50"/>
    <s v="conventional_default_current_fico_633"/>
    <x v="673"/>
    <n v="3.3825577999999998"/>
    <n v="1"/>
    <n v="490"/>
    <n v="910"/>
  </r>
  <r>
    <x v="50"/>
    <s v="conventional_default_current_fico_634"/>
    <x v="674"/>
    <n v="3.3714976000000001"/>
    <n v="1"/>
    <n v="490"/>
    <n v="910"/>
  </r>
  <r>
    <x v="50"/>
    <s v="conventional_default_current_fico_635"/>
    <x v="675"/>
    <n v="3.3602750000000001"/>
    <n v="1"/>
    <n v="490"/>
    <n v="910"/>
  </r>
  <r>
    <x v="50"/>
    <s v="conventional_default_current_fico_636"/>
    <x v="676"/>
    <n v="3.3488864"/>
    <n v="1"/>
    <n v="490"/>
    <n v="910"/>
  </r>
  <r>
    <x v="50"/>
    <s v="conventional_default_current_fico_637"/>
    <x v="677"/>
    <n v="3.3373282"/>
    <n v="1"/>
    <n v="490"/>
    <n v="910"/>
  </r>
  <r>
    <x v="50"/>
    <s v="conventional_default_current_fico_638"/>
    <x v="678"/>
    <n v="3.3255968"/>
    <n v="1"/>
    <n v="490"/>
    <n v="910"/>
  </r>
  <r>
    <x v="50"/>
    <s v="conventional_default_current_fico_639"/>
    <x v="679"/>
    <n v="3.3136885999999999"/>
    <n v="1"/>
    <n v="490"/>
    <n v="910"/>
  </r>
  <r>
    <x v="50"/>
    <s v="conventional_default_current_fico_640"/>
    <x v="680"/>
    <n v="3.3016000000000001"/>
    <n v="1"/>
    <n v="490"/>
    <n v="910"/>
  </r>
  <r>
    <x v="50"/>
    <s v="conventional_default_current_fico_641"/>
    <x v="681"/>
    <n v="3.2893273999999999"/>
    <n v="1"/>
    <n v="490"/>
    <n v="910"/>
  </r>
  <r>
    <x v="50"/>
    <s v="conventional_default_current_fico_642"/>
    <x v="682"/>
    <n v="3.2768671999999999"/>
    <n v="1"/>
    <n v="490"/>
    <n v="910"/>
  </r>
  <r>
    <x v="50"/>
    <s v="conventional_default_current_fico_643"/>
    <x v="683"/>
    <n v="3.2642158000000001"/>
    <n v="1"/>
    <n v="490"/>
    <n v="910"/>
  </r>
  <r>
    <x v="50"/>
    <s v="conventional_default_current_fico_644"/>
    <x v="684"/>
    <n v="3.2513695999999999"/>
    <n v="1"/>
    <n v="490"/>
    <n v="910"/>
  </r>
  <r>
    <x v="50"/>
    <s v="conventional_default_current_fico_645"/>
    <x v="685"/>
    <n v="3.2383250000000001"/>
    <n v="1"/>
    <n v="490"/>
    <n v="910"/>
  </r>
  <r>
    <x v="50"/>
    <s v="conventional_default_current_fico_646"/>
    <x v="686"/>
    <n v="3.2250784000000001"/>
    <n v="1"/>
    <n v="490"/>
    <n v="910"/>
  </r>
  <r>
    <x v="50"/>
    <s v="conventional_default_current_fico_647"/>
    <x v="687"/>
    <n v="3.2116262"/>
    <n v="1"/>
    <n v="490"/>
    <n v="910"/>
  </r>
  <r>
    <x v="50"/>
    <s v="conventional_default_current_fico_648"/>
    <x v="688"/>
    <n v="3.1979647999999998"/>
    <n v="1"/>
    <n v="490"/>
    <n v="910"/>
  </r>
  <r>
    <x v="50"/>
    <s v="conventional_default_current_fico_649"/>
    <x v="689"/>
    <n v="3.1840906000000002"/>
    <n v="1"/>
    <n v="490"/>
    <n v="910"/>
  </r>
  <r>
    <x v="50"/>
    <s v="conventional_default_current_fico_650"/>
    <x v="690"/>
    <n v="3.17"/>
    <n v="1"/>
    <n v="490"/>
    <n v="910"/>
  </r>
  <r>
    <x v="50"/>
    <s v="conventional_default_current_fico_651"/>
    <x v="691"/>
    <n v="3.15568472"/>
    <n v="1"/>
    <n v="490"/>
    <n v="910"/>
  </r>
  <r>
    <x v="50"/>
    <s v="conventional_default_current_fico_652"/>
    <x v="692"/>
    <n v="3.14114176"/>
    <n v="1"/>
    <n v="490"/>
    <n v="910"/>
  </r>
  <r>
    <x v="50"/>
    <s v="conventional_default_current_fico_653"/>
    <x v="693"/>
    <n v="3.1263754399999999"/>
    <n v="1"/>
    <n v="490"/>
    <n v="910"/>
  </r>
  <r>
    <x v="50"/>
    <s v="conventional_default_current_fico_654"/>
    <x v="694"/>
    <n v="3.1113900800000001"/>
    <n v="1"/>
    <n v="490"/>
    <n v="910"/>
  </r>
  <r>
    <x v="50"/>
    <s v="conventional_default_current_fico_655"/>
    <x v="695"/>
    <n v="3.09619"/>
    <n v="1"/>
    <n v="490"/>
    <n v="910"/>
  </r>
  <r>
    <x v="50"/>
    <s v="conventional_default_current_fico_656"/>
    <x v="696"/>
    <n v="3.0807795200000001"/>
    <n v="1"/>
    <n v="490"/>
    <n v="910"/>
  </r>
  <r>
    <x v="50"/>
    <s v="conventional_default_current_fico_657"/>
    <x v="697"/>
    <n v="3.0651629599999999"/>
    <n v="1"/>
    <n v="490"/>
    <n v="910"/>
  </r>
  <r>
    <x v="50"/>
    <s v="conventional_default_current_fico_658"/>
    <x v="698"/>
    <n v="3.0493446400000002"/>
    <n v="1"/>
    <n v="490"/>
    <n v="910"/>
  </r>
  <r>
    <x v="50"/>
    <s v="conventional_default_current_fico_659"/>
    <x v="699"/>
    <n v="3.03332888"/>
    <n v="1"/>
    <n v="490"/>
    <n v="910"/>
  </r>
  <r>
    <x v="50"/>
    <s v="conventional_default_current_fico_660"/>
    <x v="700"/>
    <n v="3.0171199999999998"/>
    <n v="1"/>
    <n v="490"/>
    <n v="910"/>
  </r>
  <r>
    <x v="50"/>
    <s v="conventional_default_current_fico_661"/>
    <x v="701"/>
    <n v="3.0007223199999999"/>
    <n v="1"/>
    <n v="490"/>
    <n v="910"/>
  </r>
  <r>
    <x v="50"/>
    <s v="conventional_default_current_fico_662"/>
    <x v="702"/>
    <n v="2.9841401599999999"/>
    <n v="1"/>
    <n v="490"/>
    <n v="910"/>
  </r>
  <r>
    <x v="50"/>
    <s v="conventional_default_current_fico_663"/>
    <x v="703"/>
    <n v="2.9673778400000002"/>
    <n v="1"/>
    <n v="490"/>
    <n v="910"/>
  </r>
  <r>
    <x v="50"/>
    <s v="conventional_default_current_fico_664"/>
    <x v="704"/>
    <n v="2.9504396800000001"/>
    <n v="1"/>
    <n v="490"/>
    <n v="910"/>
  </r>
  <r>
    <x v="50"/>
    <s v="conventional_default_current_fico_665"/>
    <x v="705"/>
    <n v="2.9333300000000002"/>
    <n v="1"/>
    <n v="490"/>
    <n v="910"/>
  </r>
  <r>
    <x v="50"/>
    <s v="conventional_default_current_fico_666"/>
    <x v="706"/>
    <n v="2.9160531199999999"/>
    <n v="1"/>
    <n v="490"/>
    <n v="910"/>
  </r>
  <r>
    <x v="50"/>
    <s v="conventional_default_current_fico_667"/>
    <x v="707"/>
    <n v="2.8986133600000001"/>
    <n v="1"/>
    <n v="490"/>
    <n v="910"/>
  </r>
  <r>
    <x v="50"/>
    <s v="conventional_default_current_fico_668"/>
    <x v="708"/>
    <n v="2.8810150399999999"/>
    <n v="1"/>
    <n v="490"/>
    <n v="910"/>
  </r>
  <r>
    <x v="50"/>
    <s v="conventional_default_current_fico_669"/>
    <x v="709"/>
    <n v="2.8632624799999999"/>
    <n v="1"/>
    <n v="490"/>
    <n v="910"/>
  </r>
  <r>
    <x v="50"/>
    <s v="conventional_default_current_fico_670"/>
    <x v="710"/>
    <n v="2.8453599999999999"/>
    <n v="1"/>
    <n v="490"/>
    <n v="910"/>
  </r>
  <r>
    <x v="50"/>
    <s v="conventional_default_current_fico_671"/>
    <x v="711"/>
    <n v="2.8273119200000001"/>
    <n v="1"/>
    <n v="490"/>
    <n v="910"/>
  </r>
  <r>
    <x v="50"/>
    <s v="conventional_default_current_fico_672"/>
    <x v="712"/>
    <n v="2.80912256"/>
    <n v="1"/>
    <n v="490"/>
    <n v="910"/>
  </r>
  <r>
    <x v="50"/>
    <s v="conventional_default_current_fico_673"/>
    <x v="713"/>
    <n v="2.7907962400000002"/>
    <n v="1"/>
    <n v="490"/>
    <n v="910"/>
  </r>
  <r>
    <x v="50"/>
    <s v="conventional_default_current_fico_674"/>
    <x v="714"/>
    <n v="2.7723372799999999"/>
    <n v="1"/>
    <n v="490"/>
    <n v="910"/>
  </r>
  <r>
    <x v="50"/>
    <s v="conventional_default_current_fico_675"/>
    <x v="715"/>
    <n v="2.7537500000000001"/>
    <n v="1"/>
    <n v="490"/>
    <n v="910"/>
  </r>
  <r>
    <x v="50"/>
    <s v="conventional_default_current_fico_676"/>
    <x v="716"/>
    <n v="2.7350387199999999"/>
    <n v="1"/>
    <n v="490"/>
    <n v="910"/>
  </r>
  <r>
    <x v="50"/>
    <s v="conventional_default_current_fico_677"/>
    <x v="717"/>
    <n v="2.7162077600000001"/>
    <n v="1"/>
    <n v="490"/>
    <n v="910"/>
  </r>
  <r>
    <x v="50"/>
    <s v="conventional_default_current_fico_678"/>
    <x v="718"/>
    <n v="2.6972614400000001"/>
    <n v="1"/>
    <n v="490"/>
    <n v="910"/>
  </r>
  <r>
    <x v="50"/>
    <s v="conventional_default_current_fico_679"/>
    <x v="719"/>
    <n v="2.67820408"/>
    <n v="1"/>
    <n v="490"/>
    <n v="910"/>
  </r>
  <r>
    <x v="50"/>
    <s v="conventional_default_current_fico_680"/>
    <x v="720"/>
    <n v="2.6590400000000001"/>
    <n v="1"/>
    <n v="490"/>
    <n v="910"/>
  </r>
  <r>
    <x v="50"/>
    <s v="conventional_default_current_fico_681"/>
    <x v="721"/>
    <n v="2.6397735199999999"/>
    <n v="1"/>
    <n v="490"/>
    <n v="910"/>
  </r>
  <r>
    <x v="50"/>
    <s v="conventional_default_current_fico_682"/>
    <x v="722"/>
    <n v="2.6204089599999998"/>
    <n v="1"/>
    <n v="490"/>
    <n v="910"/>
  </r>
  <r>
    <x v="50"/>
    <s v="conventional_default_current_fico_683"/>
    <x v="723"/>
    <n v="2.6009506400000002"/>
    <n v="1"/>
    <n v="490"/>
    <n v="910"/>
  </r>
  <r>
    <x v="50"/>
    <s v="conventional_default_current_fico_684"/>
    <x v="724"/>
    <n v="2.5814028800000002"/>
    <n v="1"/>
    <n v="490"/>
    <n v="910"/>
  </r>
  <r>
    <x v="50"/>
    <s v="conventional_default_current_fico_685"/>
    <x v="725"/>
    <n v="2.5617700000000001"/>
    <n v="1"/>
    <n v="490"/>
    <n v="910"/>
  </r>
  <r>
    <x v="50"/>
    <s v="conventional_default_current_fico_686"/>
    <x v="726"/>
    <n v="2.5420563199999999"/>
    <n v="1"/>
    <n v="490"/>
    <n v="910"/>
  </r>
  <r>
    <x v="50"/>
    <s v="conventional_default_current_fico_687"/>
    <x v="727"/>
    <n v="2.52226616"/>
    <n v="1"/>
    <n v="490"/>
    <n v="910"/>
  </r>
  <r>
    <x v="50"/>
    <s v="conventional_default_current_fico_688"/>
    <x v="728"/>
    <n v="2.5024038399999999"/>
    <n v="1"/>
    <n v="490"/>
    <n v="910"/>
  </r>
  <r>
    <x v="50"/>
    <s v="conventional_default_current_fico_689"/>
    <x v="729"/>
    <n v="2.48247368"/>
    <n v="1"/>
    <n v="490"/>
    <n v="910"/>
  </r>
  <r>
    <x v="50"/>
    <s v="conventional_default_current_fico_690"/>
    <x v="730"/>
    <n v="2.4624799999999998"/>
    <n v="1"/>
    <n v="490"/>
    <n v="910"/>
  </r>
  <r>
    <x v="50"/>
    <s v="conventional_default_current_fico_691"/>
    <x v="731"/>
    <n v="2.4424271200000001"/>
    <n v="1"/>
    <n v="490"/>
    <n v="910"/>
  </r>
  <r>
    <x v="50"/>
    <s v="conventional_default_current_fico_692"/>
    <x v="732"/>
    <n v="2.4223193599999999"/>
    <n v="1"/>
    <n v="490"/>
    <n v="910"/>
  </r>
  <r>
    <x v="50"/>
    <s v="conventional_default_current_fico_693"/>
    <x v="733"/>
    <n v="2.4021610400000002"/>
    <n v="1"/>
    <n v="490"/>
    <n v="910"/>
  </r>
  <r>
    <x v="50"/>
    <s v="conventional_default_current_fico_694"/>
    <x v="734"/>
    <n v="2.3819564799999999"/>
    <n v="1"/>
    <n v="490"/>
    <n v="910"/>
  </r>
  <r>
    <x v="50"/>
    <s v="conventional_default_current_fico_695"/>
    <x v="735"/>
    <n v="2.36171"/>
    <n v="1"/>
    <n v="490"/>
    <n v="910"/>
  </r>
  <r>
    <x v="50"/>
    <s v="conventional_default_current_fico_696"/>
    <x v="736"/>
    <n v="2.3414259199999998"/>
    <n v="1"/>
    <n v="490"/>
    <n v="910"/>
  </r>
  <r>
    <x v="50"/>
    <s v="conventional_default_current_fico_697"/>
    <x v="737"/>
    <n v="2.3211085599999999"/>
    <n v="1"/>
    <n v="490"/>
    <n v="910"/>
  </r>
  <r>
    <x v="50"/>
    <s v="conventional_default_current_fico_698"/>
    <x v="738"/>
    <n v="2.3007622400000001"/>
    <n v="1"/>
    <n v="490"/>
    <n v="910"/>
  </r>
  <r>
    <x v="50"/>
    <s v="conventional_default_current_fico_699"/>
    <x v="739"/>
    <n v="2.2803912799999999"/>
    <n v="1"/>
    <n v="490"/>
    <n v="910"/>
  </r>
  <r>
    <x v="50"/>
    <s v="conventional_default_current_fico_700"/>
    <x v="740"/>
    <n v="2.2599999999999998"/>
    <n v="1"/>
    <n v="490"/>
    <n v="910"/>
  </r>
  <r>
    <x v="50"/>
    <s v="conventional_default_current_fico_701"/>
    <x v="741"/>
    <n v="2.2394325199999998"/>
    <n v="1"/>
    <n v="490"/>
    <n v="910"/>
  </r>
  <r>
    <x v="50"/>
    <s v="conventional_default_current_fico_702"/>
    <x v="742"/>
    <n v="2.2185401599999999"/>
    <n v="1"/>
    <n v="490"/>
    <n v="910"/>
  </r>
  <r>
    <x v="50"/>
    <s v="conventional_default_current_fico_703"/>
    <x v="743"/>
    <n v="2.19733804"/>
    <n v="1"/>
    <n v="490"/>
    <n v="910"/>
  </r>
  <r>
    <x v="50"/>
    <s v="conventional_default_current_fico_704"/>
    <x v="744"/>
    <n v="2.1758412800000002"/>
    <n v="1"/>
    <n v="490"/>
    <n v="910"/>
  </r>
  <r>
    <x v="50"/>
    <s v="conventional_default_current_fico_705"/>
    <x v="745"/>
    <n v="2.1540650000000001"/>
    <n v="1"/>
    <n v="490"/>
    <n v="910"/>
  </r>
  <r>
    <x v="50"/>
    <s v="conventional_default_current_fico_706"/>
    <x v="746"/>
    <n v="2.1320243200000002"/>
    <n v="1"/>
    <n v="490"/>
    <n v="910"/>
  </r>
  <r>
    <x v="50"/>
    <s v="conventional_default_current_fico_707"/>
    <x v="747"/>
    <n v="2.10973436"/>
    <n v="1"/>
    <n v="490"/>
    <n v="910"/>
  </r>
  <r>
    <x v="50"/>
    <s v="conventional_default_current_fico_708"/>
    <x v="748"/>
    <n v="2.0872102400000001"/>
    <n v="1"/>
    <n v="490"/>
    <n v="910"/>
  </r>
  <r>
    <x v="50"/>
    <s v="conventional_default_current_fico_709"/>
    <x v="749"/>
    <n v="2.06446708"/>
    <n v="1"/>
    <n v="490"/>
    <n v="910"/>
  </r>
  <r>
    <x v="50"/>
    <s v="conventional_default_current_fico_710"/>
    <x v="750"/>
    <n v="2.0415199999999998"/>
    <n v="1"/>
    <n v="490"/>
    <n v="910"/>
  </r>
  <r>
    <x v="50"/>
    <s v="conventional_default_current_fico_711"/>
    <x v="751"/>
    <n v="2.0183841199999999"/>
    <n v="1"/>
    <n v="490"/>
    <n v="910"/>
  </r>
  <r>
    <x v="50"/>
    <s v="conventional_default_current_fico_712"/>
    <x v="752"/>
    <n v="1.9950745599999999"/>
    <n v="1"/>
    <n v="490"/>
    <n v="910"/>
  </r>
  <r>
    <x v="50"/>
    <s v="conventional_default_current_fico_713"/>
    <x v="753"/>
    <n v="1.97160644"/>
    <n v="1"/>
    <n v="490"/>
    <n v="910"/>
  </r>
  <r>
    <x v="50"/>
    <s v="conventional_default_current_fico_714"/>
    <x v="754"/>
    <n v="1.94799488"/>
    <n v="1"/>
    <n v="490"/>
    <n v="910"/>
  </r>
  <r>
    <x v="50"/>
    <s v="conventional_default_current_fico_715"/>
    <x v="755"/>
    <n v="1.924255"/>
    <n v="1"/>
    <n v="490"/>
    <n v="910"/>
  </r>
  <r>
    <x v="50"/>
    <s v="conventional_default_current_fico_716"/>
    <x v="756"/>
    <n v="1.90040192"/>
    <n v="1"/>
    <n v="490"/>
    <n v="910"/>
  </r>
  <r>
    <x v="50"/>
    <s v="conventional_default_current_fico_717"/>
    <x v="757"/>
    <n v="1.87645076"/>
    <n v="1"/>
    <n v="490"/>
    <n v="910"/>
  </r>
  <r>
    <x v="50"/>
    <s v="conventional_default_current_fico_718"/>
    <x v="758"/>
    <n v="1.8524166399999999"/>
    <n v="1"/>
    <n v="490"/>
    <n v="910"/>
  </r>
  <r>
    <x v="50"/>
    <s v="conventional_default_current_fico_719"/>
    <x v="759"/>
    <n v="1.8283146800000001"/>
    <n v="1"/>
    <n v="490"/>
    <n v="910"/>
  </r>
  <r>
    <x v="50"/>
    <s v="conventional_default_current_fico_720"/>
    <x v="760"/>
    <n v="1.80416"/>
    <n v="1"/>
    <n v="490"/>
    <n v="910"/>
  </r>
  <r>
    <x v="50"/>
    <s v="conventional_default_current_fico_721"/>
    <x v="761"/>
    <n v="1.7799677199999999"/>
    <n v="1"/>
    <n v="490"/>
    <n v="910"/>
  </r>
  <r>
    <x v="50"/>
    <s v="conventional_default_current_fico_722"/>
    <x v="762"/>
    <n v="1.7557529599999999"/>
    <n v="1"/>
    <n v="490"/>
    <n v="910"/>
  </r>
  <r>
    <x v="50"/>
    <s v="conventional_default_current_fico_723"/>
    <x v="763"/>
    <n v="1.73153084"/>
    <n v="1"/>
    <n v="490"/>
    <n v="910"/>
  </r>
  <r>
    <x v="50"/>
    <s v="conventional_default_current_fico_724"/>
    <x v="764"/>
    <n v="1.70731648"/>
    <n v="1"/>
    <n v="490"/>
    <n v="910"/>
  </r>
  <r>
    <x v="50"/>
    <s v="conventional_default_current_fico_725"/>
    <x v="765"/>
    <n v="1.683125"/>
    <n v="1"/>
    <n v="490"/>
    <n v="910"/>
  </r>
  <r>
    <x v="50"/>
    <s v="conventional_default_current_fico_726"/>
    <x v="766"/>
    <n v="1.6589715199999999"/>
    <n v="1"/>
    <n v="490"/>
    <n v="910"/>
  </r>
  <r>
    <x v="50"/>
    <s v="conventional_default_current_fico_727"/>
    <x v="767"/>
    <n v="1.6348711600000001"/>
    <n v="1"/>
    <n v="490"/>
    <n v="910"/>
  </r>
  <r>
    <x v="50"/>
    <s v="conventional_default_current_fico_728"/>
    <x v="768"/>
    <n v="1.6108390400000001"/>
    <n v="1"/>
    <n v="490"/>
    <n v="910"/>
  </r>
  <r>
    <x v="50"/>
    <s v="conventional_default_current_fico_729"/>
    <x v="769"/>
    <n v="1.58689028"/>
    <n v="1"/>
    <n v="490"/>
    <n v="910"/>
  </r>
  <r>
    <x v="50"/>
    <s v="conventional_default_current_fico_730"/>
    <x v="770"/>
    <n v="1.56304"/>
    <n v="1"/>
    <n v="490"/>
    <n v="910"/>
  </r>
  <r>
    <x v="50"/>
    <s v="conventional_default_current_fico_731"/>
    <x v="771"/>
    <n v="1.5393033199999999"/>
    <n v="1"/>
    <n v="490"/>
    <n v="910"/>
  </r>
  <r>
    <x v="50"/>
    <s v="conventional_default_current_fico_732"/>
    <x v="772"/>
    <n v="1.51569536"/>
    <n v="1"/>
    <n v="490"/>
    <n v="910"/>
  </r>
  <r>
    <x v="50"/>
    <s v="conventional_default_current_fico_733"/>
    <x v="773"/>
    <n v="1.49223124"/>
    <n v="1"/>
    <n v="490"/>
    <n v="910"/>
  </r>
  <r>
    <x v="50"/>
    <s v="conventional_default_current_fico_734"/>
    <x v="774"/>
    <n v="1.4689260799999999"/>
    <n v="1"/>
    <n v="490"/>
    <n v="910"/>
  </r>
  <r>
    <x v="50"/>
    <s v="conventional_default_current_fico_735"/>
    <x v="775"/>
    <n v="1.4457949999999999"/>
    <n v="1"/>
    <n v="490"/>
    <n v="910"/>
  </r>
  <r>
    <x v="50"/>
    <s v="conventional_default_current_fico_736"/>
    <x v="776"/>
    <n v="1.4228531200000001"/>
    <n v="1"/>
    <n v="490"/>
    <n v="910"/>
  </r>
  <r>
    <x v="50"/>
    <s v="conventional_default_current_fico_737"/>
    <x v="777"/>
    <n v="1.4001155599999999"/>
    <n v="1"/>
    <n v="490"/>
    <n v="910"/>
  </r>
  <r>
    <x v="50"/>
    <s v="conventional_default_current_fico_738"/>
    <x v="778"/>
    <n v="1.37759744"/>
    <n v="1"/>
    <n v="490"/>
    <n v="910"/>
  </r>
  <r>
    <x v="50"/>
    <s v="conventional_default_current_fico_739"/>
    <x v="779"/>
    <n v="1.35531388"/>
    <n v="1"/>
    <n v="490"/>
    <n v="910"/>
  </r>
  <r>
    <x v="50"/>
    <s v="conventional_default_current_fico_740"/>
    <x v="780"/>
    <n v="1.33328"/>
    <n v="1"/>
    <n v="490"/>
    <n v="910"/>
  </r>
  <r>
    <x v="50"/>
    <s v="conventional_default_current_fico_741"/>
    <x v="781"/>
    <n v="1.3115109199999999"/>
    <n v="1"/>
    <n v="490"/>
    <n v="910"/>
  </r>
  <r>
    <x v="50"/>
    <s v="conventional_default_current_fico_742"/>
    <x v="782"/>
    <n v="1.2900217599999999"/>
    <n v="1"/>
    <n v="490"/>
    <n v="910"/>
  </r>
  <r>
    <x v="50"/>
    <s v="conventional_default_current_fico_743"/>
    <x v="783"/>
    <n v="1.26882764"/>
    <n v="1"/>
    <n v="490"/>
    <n v="910"/>
  </r>
  <r>
    <x v="50"/>
    <s v="conventional_default_current_fico_744"/>
    <x v="784"/>
    <n v="1.2479436800000001"/>
    <n v="1"/>
    <n v="490"/>
    <n v="910"/>
  </r>
  <r>
    <x v="50"/>
    <s v="conventional_default_current_fico_745"/>
    <x v="785"/>
    <n v="1.2273849999999999"/>
    <n v="1"/>
    <n v="490"/>
    <n v="910"/>
  </r>
  <r>
    <x v="50"/>
    <s v="conventional_default_current_fico_746"/>
    <x v="786"/>
    <n v="1.20716672"/>
    <n v="1"/>
    <n v="490"/>
    <n v="910"/>
  </r>
  <r>
    <x v="50"/>
    <s v="conventional_default_current_fico_747"/>
    <x v="787"/>
    <n v="1.1873039599999999"/>
    <n v="1"/>
    <n v="490"/>
    <n v="910"/>
  </r>
  <r>
    <x v="50"/>
    <s v="conventional_default_current_fico_748"/>
    <x v="788"/>
    <n v="1.1678118399999999"/>
    <n v="1"/>
    <n v="490"/>
    <n v="910"/>
  </r>
  <r>
    <x v="50"/>
    <s v="conventional_default_current_fico_749"/>
    <x v="789"/>
    <n v="1.1487054800000001"/>
    <n v="1"/>
    <n v="490"/>
    <n v="910"/>
  </r>
  <r>
    <x v="50"/>
    <s v="conventional_default_current_fico_750"/>
    <x v="790"/>
    <n v="1.1299999999999999"/>
    <n v="1"/>
    <n v="490"/>
    <n v="910"/>
  </r>
  <r>
    <x v="50"/>
    <s v="conventional_default_current_fico_751"/>
    <x v="791"/>
    <n v="1.11157024"/>
    <n v="1"/>
    <n v="490"/>
    <n v="910"/>
  </r>
  <r>
    <x v="50"/>
    <s v="conventional_default_current_fico_752"/>
    <x v="792"/>
    <n v="1.0932819199999999"/>
    <n v="1"/>
    <n v="490"/>
    <n v="910"/>
  </r>
  <r>
    <x v="50"/>
    <s v="conventional_default_current_fico_753"/>
    <x v="793"/>
    <n v="1.0751364800000001"/>
    <n v="1"/>
    <n v="490"/>
    <n v="910"/>
  </r>
  <r>
    <x v="50"/>
    <s v="conventional_default_current_fico_754"/>
    <x v="794"/>
    <n v="1.05713536"/>
    <n v="1"/>
    <n v="490"/>
    <n v="910"/>
  </r>
  <r>
    <x v="50"/>
    <s v="conventional_default_current_fico_755"/>
    <x v="795"/>
    <n v="1.03928"/>
    <n v="1"/>
    <n v="490"/>
    <n v="910"/>
  </r>
  <r>
    <x v="50"/>
    <s v="conventional_default_current_fico_756"/>
    <x v="796"/>
    <n v="1.02157184"/>
    <n v="1"/>
    <n v="490"/>
    <n v="910"/>
  </r>
  <r>
    <x v="50"/>
    <s v="conventional_default_current_fico_757"/>
    <x v="797"/>
    <n v="1.00401232"/>
    <n v="1"/>
    <n v="490"/>
    <n v="910"/>
  </r>
  <r>
    <x v="50"/>
    <s v="conventional_default_current_fico_758"/>
    <x v="798"/>
    <n v="0.98660287999999996"/>
    <n v="1"/>
    <n v="490"/>
    <n v="910"/>
  </r>
  <r>
    <x v="50"/>
    <s v="conventional_default_current_fico_759"/>
    <x v="799"/>
    <n v="0.96934496000000003"/>
    <n v="1"/>
    <n v="490"/>
    <n v="910"/>
  </r>
  <r>
    <x v="50"/>
    <s v="conventional_default_current_fico_760"/>
    <x v="800"/>
    <n v="0.95223999999999998"/>
    <n v="1"/>
    <n v="490"/>
    <n v="910"/>
  </r>
  <r>
    <x v="50"/>
    <s v="conventional_default_current_fico_761"/>
    <x v="801"/>
    <n v="0.93528944000000003"/>
    <n v="1"/>
    <n v="490"/>
    <n v="910"/>
  </r>
  <r>
    <x v="50"/>
    <s v="conventional_default_current_fico_762"/>
    <x v="802"/>
    <n v="0.91849471999999999"/>
    <n v="1"/>
    <n v="490"/>
    <n v="910"/>
  </r>
  <r>
    <x v="50"/>
    <s v="conventional_default_current_fico_763"/>
    <x v="803"/>
    <n v="0.90185727999999998"/>
    <n v="1"/>
    <n v="490"/>
    <n v="910"/>
  </r>
  <r>
    <x v="50"/>
    <s v="conventional_default_current_fico_764"/>
    <x v="804"/>
    <n v="0.88537856000000004"/>
    <n v="1"/>
    <n v="490"/>
    <n v="910"/>
  </r>
  <r>
    <x v="50"/>
    <s v="conventional_default_current_fico_765"/>
    <x v="805"/>
    <n v="0.86906000000000005"/>
    <n v="1"/>
    <n v="490"/>
    <n v="910"/>
  </r>
  <r>
    <x v="50"/>
    <s v="conventional_default_current_fico_766"/>
    <x v="806"/>
    <n v="0.85290303999999995"/>
    <n v="1"/>
    <n v="490"/>
    <n v="910"/>
  </r>
  <r>
    <x v="50"/>
    <s v="conventional_default_current_fico_767"/>
    <x v="807"/>
    <n v="0.83690911999999995"/>
    <n v="1"/>
    <n v="490"/>
    <n v="910"/>
  </r>
  <r>
    <x v="50"/>
    <s v="conventional_default_current_fico_768"/>
    <x v="808"/>
    <n v="0.82107967999999998"/>
    <n v="1"/>
    <n v="490"/>
    <n v="910"/>
  </r>
  <r>
    <x v="50"/>
    <s v="conventional_default_current_fico_769"/>
    <x v="809"/>
    <n v="0.80541616000000005"/>
    <n v="1"/>
    <n v="490"/>
    <n v="910"/>
  </r>
  <r>
    <x v="50"/>
    <s v="conventional_default_current_fico_770"/>
    <x v="810"/>
    <n v="0.78991999999999996"/>
    <n v="1"/>
    <n v="490"/>
    <n v="910"/>
  </r>
  <r>
    <x v="50"/>
    <s v="conventional_default_current_fico_771"/>
    <x v="811"/>
    <n v="0.77459264000000005"/>
    <n v="1"/>
    <n v="490"/>
    <n v="910"/>
  </r>
  <r>
    <x v="50"/>
    <s v="conventional_default_current_fico_772"/>
    <x v="812"/>
    <n v="0.75943552000000003"/>
    <n v="1"/>
    <n v="490"/>
    <n v="910"/>
  </r>
  <r>
    <x v="50"/>
    <s v="conventional_default_current_fico_773"/>
    <x v="813"/>
    <n v="0.74445008000000001"/>
    <n v="1"/>
    <n v="490"/>
    <n v="910"/>
  </r>
  <r>
    <x v="50"/>
    <s v="conventional_default_current_fico_774"/>
    <x v="814"/>
    <n v="0.72963776000000002"/>
    <n v="1"/>
    <n v="490"/>
    <n v="910"/>
  </r>
  <r>
    <x v="50"/>
    <s v="conventional_default_current_fico_775"/>
    <x v="815"/>
    <n v="0.71499999999999997"/>
    <n v="1"/>
    <n v="490"/>
    <n v="910"/>
  </r>
  <r>
    <x v="50"/>
    <s v="conventional_default_current_fico_776"/>
    <x v="816"/>
    <n v="0.70053823999999998"/>
    <n v="1"/>
    <n v="490"/>
    <n v="910"/>
  </r>
  <r>
    <x v="50"/>
    <s v="conventional_default_current_fico_777"/>
    <x v="817"/>
    <n v="0.68625391999999996"/>
    <n v="1"/>
    <n v="490"/>
    <n v="910"/>
  </r>
  <r>
    <x v="50"/>
    <s v="conventional_default_current_fico_778"/>
    <x v="818"/>
    <n v="0.67214848000000005"/>
    <n v="1"/>
    <n v="490"/>
    <n v="910"/>
  </r>
  <r>
    <x v="50"/>
    <s v="conventional_default_current_fico_779"/>
    <x v="819"/>
    <n v="0.65822336000000004"/>
    <n v="1"/>
    <n v="490"/>
    <n v="910"/>
  </r>
  <r>
    <x v="50"/>
    <s v="conventional_default_current_fico_780"/>
    <x v="820"/>
    <n v="0.64448000000000005"/>
    <n v="1"/>
    <n v="490"/>
    <n v="910"/>
  </r>
  <r>
    <x v="50"/>
    <s v="conventional_default_current_fico_781"/>
    <x v="821"/>
    <n v="0.63091984000000001"/>
    <n v="1"/>
    <n v="490"/>
    <n v="910"/>
  </r>
  <r>
    <x v="50"/>
    <s v="conventional_default_current_fico_782"/>
    <x v="822"/>
    <n v="0.61754432000000004"/>
    <n v="1"/>
    <n v="490"/>
    <n v="910"/>
  </r>
  <r>
    <x v="50"/>
    <s v="conventional_default_current_fico_783"/>
    <x v="823"/>
    <n v="0.60435488000000004"/>
    <n v="1"/>
    <n v="490"/>
    <n v="910"/>
  </r>
  <r>
    <x v="50"/>
    <s v="conventional_default_current_fico_784"/>
    <x v="824"/>
    <n v="0.59135296000000004"/>
    <n v="1"/>
    <n v="490"/>
    <n v="910"/>
  </r>
  <r>
    <x v="50"/>
    <s v="conventional_default_current_fico_785"/>
    <x v="825"/>
    <n v="0.57854000000000005"/>
    <n v="1"/>
    <n v="490"/>
    <n v="910"/>
  </r>
  <r>
    <x v="50"/>
    <s v="conventional_default_current_fico_786"/>
    <x v="826"/>
    <n v="0.56591743999999999"/>
    <n v="1"/>
    <n v="490"/>
    <n v="910"/>
  </r>
  <r>
    <x v="50"/>
    <s v="conventional_default_current_fico_787"/>
    <x v="827"/>
    <n v="0.55348671999999999"/>
    <n v="1"/>
    <n v="490"/>
    <n v="910"/>
  </r>
  <r>
    <x v="50"/>
    <s v="conventional_default_current_fico_788"/>
    <x v="828"/>
    <n v="0.54124928000000005"/>
    <n v="1"/>
    <n v="490"/>
    <n v="910"/>
  </r>
  <r>
    <x v="50"/>
    <s v="conventional_default_current_fico_789"/>
    <x v="829"/>
    <n v="0.52920655999999999"/>
    <n v="1"/>
    <n v="490"/>
    <n v="910"/>
  </r>
  <r>
    <x v="50"/>
    <s v="conventional_default_current_fico_790"/>
    <x v="830"/>
    <n v="0.51736000000000004"/>
    <n v="1"/>
    <n v="490"/>
    <n v="910"/>
  </r>
  <r>
    <x v="50"/>
    <s v="conventional_default_current_fico_791"/>
    <x v="831"/>
    <n v="0.50571104"/>
    <n v="1"/>
    <n v="490"/>
    <n v="910"/>
  </r>
  <r>
    <x v="50"/>
    <s v="conventional_default_current_fico_792"/>
    <x v="832"/>
    <n v="0.49426112"/>
    <n v="1"/>
    <n v="490"/>
    <n v="910"/>
  </r>
  <r>
    <x v="50"/>
    <s v="conventional_default_current_fico_793"/>
    <x v="833"/>
    <n v="0.48301168"/>
    <n v="1"/>
    <n v="490"/>
    <n v="910"/>
  </r>
  <r>
    <x v="50"/>
    <s v="conventional_default_current_fico_794"/>
    <x v="834"/>
    <n v="0.47196416000000002"/>
    <n v="1"/>
    <n v="490"/>
    <n v="910"/>
  </r>
  <r>
    <x v="50"/>
    <s v="conventional_default_current_fico_795"/>
    <x v="835"/>
    <n v="0.46111999999999997"/>
    <n v="1"/>
    <n v="490"/>
    <n v="910"/>
  </r>
  <r>
    <x v="50"/>
    <s v="conventional_default_current_fico_796"/>
    <x v="836"/>
    <n v="0.45048063999999999"/>
    <n v="1"/>
    <n v="490"/>
    <n v="910"/>
  </r>
  <r>
    <x v="50"/>
    <s v="conventional_default_current_fico_797"/>
    <x v="837"/>
    <n v="0.44004752000000003"/>
    <n v="1"/>
    <n v="490"/>
    <n v="910"/>
  </r>
  <r>
    <x v="50"/>
    <s v="conventional_default_current_fico_798"/>
    <x v="838"/>
    <n v="0.42982208"/>
    <n v="1"/>
    <n v="490"/>
    <n v="910"/>
  </r>
  <r>
    <x v="50"/>
    <s v="conventional_default_current_fico_799"/>
    <x v="839"/>
    <n v="0.41980575999999997"/>
    <n v="1"/>
    <n v="490"/>
    <n v="910"/>
  </r>
  <r>
    <x v="50"/>
    <s v="conventional_default_current_fico_800"/>
    <x v="840"/>
    <n v="0.41"/>
    <n v="1"/>
    <n v="490"/>
    <n v="910"/>
  </r>
  <r>
    <x v="50"/>
    <s v="conventional_default_current_fico_801"/>
    <x v="841"/>
    <n v="0.40048612"/>
    <n v="1"/>
    <n v="490"/>
    <n v="910"/>
  </r>
  <r>
    <x v="50"/>
    <s v="conventional_default_current_fico_802"/>
    <x v="842"/>
    <n v="0.39133696000000001"/>
    <n v="1"/>
    <n v="490"/>
    <n v="910"/>
  </r>
  <r>
    <x v="50"/>
    <s v="conventional_default_current_fico_803"/>
    <x v="843"/>
    <n v="0.38254124"/>
    <n v="1"/>
    <n v="490"/>
    <n v="910"/>
  </r>
  <r>
    <x v="50"/>
    <s v="conventional_default_current_fico_804"/>
    <x v="844"/>
    <n v="0.37408767999999998"/>
    <n v="1"/>
    <n v="490"/>
    <n v="910"/>
  </r>
  <r>
    <x v="50"/>
    <s v="conventional_default_current_fico_805"/>
    <x v="845"/>
    <n v="0.36596499999999998"/>
    <n v="1"/>
    <n v="490"/>
    <n v="910"/>
  </r>
  <r>
    <x v="50"/>
    <s v="conventional_default_current_fico_806"/>
    <x v="846"/>
    <n v="0.35816192000000002"/>
    <n v="1"/>
    <n v="490"/>
    <n v="910"/>
  </r>
  <r>
    <x v="50"/>
    <s v="conventional_default_current_fico_807"/>
    <x v="847"/>
    <n v="0.35066715999999998"/>
    <n v="1"/>
    <n v="490"/>
    <n v="910"/>
  </r>
  <r>
    <x v="50"/>
    <s v="conventional_default_current_fico_808"/>
    <x v="848"/>
    <n v="0.34346944000000001"/>
    <n v="1"/>
    <n v="490"/>
    <n v="910"/>
  </r>
  <r>
    <x v="50"/>
    <s v="conventional_default_current_fico_809"/>
    <x v="849"/>
    <n v="0.33655748000000002"/>
    <n v="1"/>
    <n v="490"/>
    <n v="910"/>
  </r>
  <r>
    <x v="50"/>
    <s v="conventional_default_current_fico_810"/>
    <x v="850"/>
    <n v="0.32991999999999999"/>
    <n v="1"/>
    <n v="490"/>
    <n v="910"/>
  </r>
  <r>
    <x v="50"/>
    <s v="conventional_default_current_fico_811"/>
    <x v="851"/>
    <n v="0.32354571999999998"/>
    <n v="1"/>
    <n v="490"/>
    <n v="910"/>
  </r>
  <r>
    <x v="50"/>
    <s v="conventional_default_current_fico_812"/>
    <x v="852"/>
    <n v="0.31742335999999999"/>
    <n v="1"/>
    <n v="490"/>
    <n v="910"/>
  </r>
  <r>
    <x v="50"/>
    <s v="conventional_default_current_fico_813"/>
    <x v="853"/>
    <n v="0.31154164000000001"/>
    <n v="1"/>
    <n v="490"/>
    <n v="910"/>
  </r>
  <r>
    <x v="50"/>
    <s v="conventional_default_current_fico_814"/>
    <x v="854"/>
    <n v="0.30588927999999999"/>
    <n v="1"/>
    <n v="490"/>
    <n v="910"/>
  </r>
  <r>
    <x v="50"/>
    <s v="conventional_default_current_fico_815"/>
    <x v="855"/>
    <n v="0.30045500000000003"/>
    <n v="1"/>
    <n v="490"/>
    <n v="910"/>
  </r>
  <r>
    <x v="50"/>
    <s v="conventional_default_current_fico_816"/>
    <x v="856"/>
    <n v="0.29522752000000002"/>
    <n v="1"/>
    <n v="490"/>
    <n v="910"/>
  </r>
  <r>
    <x v="50"/>
    <s v="conventional_default_current_fico_817"/>
    <x v="857"/>
    <n v="0.29019556000000002"/>
    <n v="1"/>
    <n v="490"/>
    <n v="910"/>
  </r>
  <r>
    <x v="50"/>
    <s v="conventional_default_current_fico_818"/>
    <x v="858"/>
    <n v="0.28534784000000002"/>
    <n v="1"/>
    <n v="490"/>
    <n v="910"/>
  </r>
  <r>
    <x v="50"/>
    <s v="conventional_default_current_fico_819"/>
    <x v="859"/>
    <n v="0.28067308000000002"/>
    <n v="1"/>
    <n v="490"/>
    <n v="910"/>
  </r>
  <r>
    <x v="50"/>
    <s v="conventional_default_current_fico_820"/>
    <x v="860"/>
    <n v="0.27616000000000002"/>
    <n v="1"/>
    <n v="490"/>
    <n v="910"/>
  </r>
  <r>
    <x v="50"/>
    <s v="conventional_default_current_fico_821"/>
    <x v="861"/>
    <n v="0.27179732000000001"/>
    <n v="1"/>
    <n v="490"/>
    <n v="910"/>
  </r>
  <r>
    <x v="50"/>
    <s v="conventional_default_current_fico_822"/>
    <x v="862"/>
    <n v="0.26757375999999999"/>
    <n v="1"/>
    <n v="490"/>
    <n v="910"/>
  </r>
  <r>
    <x v="50"/>
    <s v="conventional_default_current_fico_823"/>
    <x v="863"/>
    <n v="0.26347804000000002"/>
    <n v="1"/>
    <n v="490"/>
    <n v="910"/>
  </r>
  <r>
    <x v="50"/>
    <s v="conventional_default_current_fico_824"/>
    <x v="864"/>
    <n v="0.25949887999999999"/>
    <n v="1"/>
    <n v="490"/>
    <n v="910"/>
  </r>
  <r>
    <x v="50"/>
    <s v="conventional_default_current_fico_825"/>
    <x v="865"/>
    <n v="0.25562499999999999"/>
    <n v="1"/>
    <n v="490"/>
    <n v="910"/>
  </r>
  <r>
    <x v="50"/>
    <s v="conventional_default_current_fico_826"/>
    <x v="866"/>
    <n v="0.25184511999999998"/>
    <n v="1"/>
    <n v="490"/>
    <n v="910"/>
  </r>
  <r>
    <x v="50"/>
    <s v="conventional_default_current_fico_827"/>
    <x v="867"/>
    <n v="0.24814796"/>
    <n v="1"/>
    <n v="490"/>
    <n v="910"/>
  </r>
  <r>
    <x v="50"/>
    <s v="conventional_default_current_fico_828"/>
    <x v="868"/>
    <n v="0.24452224"/>
    <n v="1"/>
    <n v="490"/>
    <n v="910"/>
  </r>
  <r>
    <x v="50"/>
    <s v="conventional_default_current_fico_829"/>
    <x v="869"/>
    <n v="0.24095668000000001"/>
    <n v="1"/>
    <n v="490"/>
    <n v="910"/>
  </r>
  <r>
    <x v="50"/>
    <s v="conventional_default_current_fico_830"/>
    <x v="870"/>
    <n v="0.23744000000000001"/>
    <n v="1"/>
    <n v="490"/>
    <n v="910"/>
  </r>
  <r>
    <x v="50"/>
    <s v="conventional_default_current_fico_831"/>
    <x v="871"/>
    <n v="0.23396091999999999"/>
    <n v="1"/>
    <n v="490"/>
    <n v="910"/>
  </r>
  <r>
    <x v="50"/>
    <s v="conventional_default_current_fico_832"/>
    <x v="872"/>
    <n v="0.23050815999999999"/>
    <n v="1"/>
    <n v="490"/>
    <n v="910"/>
  </r>
  <r>
    <x v="50"/>
    <s v="conventional_default_current_fico_833"/>
    <x v="873"/>
    <n v="0.22707044000000001"/>
    <n v="1"/>
    <n v="490"/>
    <n v="910"/>
  </r>
  <r>
    <x v="50"/>
    <s v="conventional_default_current_fico_834"/>
    <x v="874"/>
    <n v="0.22363648"/>
    <n v="1"/>
    <n v="490"/>
    <n v="910"/>
  </r>
  <r>
    <x v="50"/>
    <s v="conventional_default_current_fico_835"/>
    <x v="875"/>
    <n v="0.220195"/>
    <n v="1"/>
    <n v="490"/>
    <n v="910"/>
  </r>
  <r>
    <x v="50"/>
    <s v="conventional_default_current_fico_836"/>
    <x v="876"/>
    <n v="0.21673471999999999"/>
    <n v="1"/>
    <n v="490"/>
    <n v="910"/>
  </r>
  <r>
    <x v="50"/>
    <s v="conventional_default_current_fico_837"/>
    <x v="877"/>
    <n v="0.21324435999999999"/>
    <n v="1"/>
    <n v="490"/>
    <n v="910"/>
  </r>
  <r>
    <x v="50"/>
    <s v="conventional_default_current_fico_838"/>
    <x v="878"/>
    <n v="0.20971264000000001"/>
    <n v="1"/>
    <n v="490"/>
    <n v="910"/>
  </r>
  <r>
    <x v="50"/>
    <s v="conventional_default_current_fico_839"/>
    <x v="879"/>
    <n v="0.20612828"/>
    <n v="1"/>
    <n v="490"/>
    <n v="910"/>
  </r>
  <r>
    <x v="50"/>
    <s v="conventional_default_current_fico_840"/>
    <x v="880"/>
    <n v="0.20247999999999999"/>
    <n v="1"/>
    <n v="490"/>
    <n v="910"/>
  </r>
  <r>
    <x v="50"/>
    <s v="conventional_default_current_fico_841"/>
    <x v="881"/>
    <n v="0.19875651999999999"/>
    <n v="1"/>
    <n v="490"/>
    <n v="910"/>
  </r>
  <r>
    <x v="50"/>
    <s v="conventional_default_current_fico_842"/>
    <x v="882"/>
    <n v="0.19494655999999999"/>
    <n v="1"/>
    <n v="490"/>
    <n v="910"/>
  </r>
  <r>
    <x v="50"/>
    <s v="conventional_default_current_fico_843"/>
    <x v="883"/>
    <n v="0.19103883999999999"/>
    <n v="1"/>
    <n v="490"/>
    <n v="910"/>
  </r>
  <r>
    <x v="50"/>
    <s v="conventional_default_current_fico_844"/>
    <x v="884"/>
    <n v="0.18702208000000001"/>
    <n v="1"/>
    <n v="490"/>
    <n v="910"/>
  </r>
  <r>
    <x v="50"/>
    <s v="conventional_default_current_fico_845"/>
    <x v="885"/>
    <n v="0.18288499999999999"/>
    <n v="1"/>
    <n v="490"/>
    <n v="910"/>
  </r>
  <r>
    <x v="50"/>
    <s v="conventional_default_current_fico_846"/>
    <x v="886"/>
    <n v="0.17861632"/>
    <n v="1"/>
    <n v="490"/>
    <n v="910"/>
  </r>
  <r>
    <x v="50"/>
    <s v="conventional_default_current_fico_847"/>
    <x v="887"/>
    <n v="0.17420475999999999"/>
    <n v="1"/>
    <n v="490"/>
    <n v="910"/>
  </r>
  <r>
    <x v="50"/>
    <s v="conventional_default_current_fico_848"/>
    <x v="888"/>
    <n v="0.16963903999999999"/>
    <n v="1"/>
    <n v="490"/>
    <n v="910"/>
  </r>
  <r>
    <x v="50"/>
    <s v="conventional_default_current_fico_849"/>
    <x v="889"/>
    <n v="0.16490788000000001"/>
    <n v="1"/>
    <n v="490"/>
    <n v="910"/>
  </r>
  <r>
    <x v="50"/>
    <s v="conventional_default_current_fico_850"/>
    <x v="890"/>
    <n v="0.16"/>
    <n v="1"/>
    <n v="490"/>
    <n v="910"/>
  </r>
  <r>
    <x v="50"/>
    <s v="conventional_default_current_fico_851"/>
    <x v="891"/>
    <n v="0.155"/>
    <n v="1"/>
    <n v="490"/>
    <n v="910"/>
  </r>
  <r>
    <x v="50"/>
    <s v="conventional_default_current_fico_852"/>
    <x v="892"/>
    <n v="0.15"/>
    <n v="1"/>
    <n v="490"/>
    <n v="910"/>
  </r>
  <r>
    <x v="50"/>
    <s v="conventional_default_current_fico_853"/>
    <x v="893"/>
    <n v="0.14499999999999999"/>
    <n v="1"/>
    <n v="490"/>
    <n v="910"/>
  </r>
  <r>
    <x v="50"/>
    <s v="conventional_default_current_fico_854"/>
    <x v="894"/>
    <n v="0.14000000000000001"/>
    <n v="1"/>
    <n v="490"/>
    <n v="910"/>
  </r>
  <r>
    <x v="50"/>
    <s v="conventional_default_current_fico_855"/>
    <x v="895"/>
    <n v="0.13500000000000001"/>
    <n v="1"/>
    <n v="490"/>
    <n v="910"/>
  </r>
  <r>
    <x v="50"/>
    <s v="conventional_default_current_fico_856"/>
    <x v="896"/>
    <n v="0.13"/>
    <n v="1"/>
    <n v="490"/>
    <n v="910"/>
  </r>
  <r>
    <x v="50"/>
    <s v="conventional_default_current_fico_857"/>
    <x v="897"/>
    <n v="0.125"/>
    <n v="1"/>
    <n v="490"/>
    <n v="910"/>
  </r>
  <r>
    <x v="50"/>
    <s v="conventional_default_current_fico_858"/>
    <x v="898"/>
    <n v="0.12"/>
    <n v="1"/>
    <n v="490"/>
    <n v="910"/>
  </r>
  <r>
    <x v="50"/>
    <s v="conventional_default_current_fico_859"/>
    <x v="899"/>
    <n v="0.115"/>
    <n v="1"/>
    <n v="490"/>
    <n v="910"/>
  </r>
  <r>
    <x v="50"/>
    <s v="conventional_default_current_fico_860"/>
    <x v="900"/>
    <n v="0.11"/>
    <n v="1"/>
    <n v="490"/>
    <n v="910"/>
  </r>
  <r>
    <x v="50"/>
    <s v="conventional_default_current_fico_861"/>
    <x v="901"/>
    <n v="0.105"/>
    <n v="1"/>
    <n v="490"/>
    <n v="910"/>
  </r>
  <r>
    <x v="50"/>
    <s v="conventional_default_current_fico_862"/>
    <x v="902"/>
    <n v="0.1"/>
    <n v="1"/>
    <n v="490"/>
    <n v="910"/>
  </r>
  <r>
    <x v="50"/>
    <s v="conventional_default_current_fico_863"/>
    <x v="903"/>
    <n v="9.5000000000000001E-2"/>
    <n v="1"/>
    <n v="490"/>
    <n v="910"/>
  </r>
  <r>
    <x v="50"/>
    <s v="conventional_default_current_fico_864"/>
    <x v="904"/>
    <n v="0.09"/>
    <n v="1"/>
    <n v="490"/>
    <n v="910"/>
  </r>
  <r>
    <x v="50"/>
    <s v="conventional_default_current_fico_865"/>
    <x v="905"/>
    <n v="8.5000000000000006E-2"/>
    <n v="1"/>
    <n v="490"/>
    <n v="910"/>
  </r>
  <r>
    <x v="50"/>
    <s v="conventional_default_current_fico_866"/>
    <x v="906"/>
    <n v="0.08"/>
    <n v="1"/>
    <n v="490"/>
    <n v="910"/>
  </r>
  <r>
    <x v="50"/>
    <s v="conventional_default_current_fico_867"/>
    <x v="907"/>
    <n v="7.4999999999999997E-2"/>
    <n v="1"/>
    <n v="490"/>
    <n v="910"/>
  </r>
  <r>
    <x v="50"/>
    <s v="conventional_default_current_fico_868"/>
    <x v="908"/>
    <n v="7.0000000000000007E-2"/>
    <n v="1"/>
    <n v="490"/>
    <n v="910"/>
  </r>
  <r>
    <x v="50"/>
    <s v="conventional_default_current_fico_869"/>
    <x v="909"/>
    <n v="6.5000000000000002E-2"/>
    <n v="1"/>
    <n v="490"/>
    <n v="910"/>
  </r>
  <r>
    <x v="50"/>
    <s v="conventional_default_current_fico_870"/>
    <x v="910"/>
    <n v="0.06"/>
    <n v="1"/>
    <n v="490"/>
    <n v="910"/>
  </r>
  <r>
    <x v="50"/>
    <s v="conventional_default_current_fico_871"/>
    <x v="911"/>
    <n v="5.5E-2"/>
    <n v="1"/>
    <n v="490"/>
    <n v="910"/>
  </r>
  <r>
    <x v="50"/>
    <s v="conventional_default_current_fico_872"/>
    <x v="912"/>
    <n v="0.05"/>
    <n v="1"/>
    <n v="490"/>
    <n v="910"/>
  </r>
  <r>
    <x v="50"/>
    <s v="conventional_default_current_fico_873"/>
    <x v="913"/>
    <n v="4.4999999999999998E-2"/>
    <n v="1"/>
    <n v="490"/>
    <n v="910"/>
  </r>
  <r>
    <x v="50"/>
    <s v="conventional_default_current_fico_874"/>
    <x v="914"/>
    <n v="0.04"/>
    <n v="1"/>
    <n v="490"/>
    <n v="910"/>
  </r>
  <r>
    <x v="50"/>
    <s v="conventional_default_current_fico_875"/>
    <x v="915"/>
    <n v="3.5000000000000003E-2"/>
    <n v="1"/>
    <n v="490"/>
    <n v="910"/>
  </r>
  <r>
    <x v="50"/>
    <s v="conventional_default_current_fico_876"/>
    <x v="916"/>
    <n v="0.03"/>
    <n v="1"/>
    <n v="490"/>
    <n v="910"/>
  </r>
  <r>
    <x v="50"/>
    <s v="conventional_default_current_fico_877"/>
    <x v="917"/>
    <n v="2.5000000000000001E-2"/>
    <n v="1"/>
    <n v="490"/>
    <n v="910"/>
  </r>
  <r>
    <x v="50"/>
    <s v="conventional_default_current_fico_878"/>
    <x v="918"/>
    <n v="0.02"/>
    <n v="1"/>
    <n v="490"/>
    <n v="910"/>
  </r>
  <r>
    <x v="50"/>
    <s v="conventional_default_current_fico_879"/>
    <x v="919"/>
    <n v="1.4999999999999999E-2"/>
    <n v="1"/>
    <n v="490"/>
    <n v="910"/>
  </r>
  <r>
    <x v="50"/>
    <s v="conventional_default_current_fico_880"/>
    <x v="920"/>
    <n v="0.01"/>
    <n v="1"/>
    <n v="490"/>
    <n v="910"/>
  </r>
  <r>
    <x v="50"/>
    <s v="conventional_default_current_fico_881"/>
    <x v="921"/>
    <n v="5.0000000000000296E-3"/>
    <n v="1"/>
    <n v="490"/>
    <n v="910"/>
  </r>
  <r>
    <x v="50"/>
    <s v="conventional_default_current_fico_882"/>
    <x v="922"/>
    <n v="2.7755575615628901E-17"/>
    <n v="1"/>
    <n v="490"/>
    <n v="910"/>
  </r>
  <r>
    <x v="50"/>
    <s v="conventional_default_current_fico_883"/>
    <x v="923"/>
    <n v="-4.9999999999999802E-3"/>
    <n v="1"/>
    <n v="490"/>
    <n v="910"/>
  </r>
  <r>
    <x v="50"/>
    <s v="conventional_default_current_fico_884"/>
    <x v="924"/>
    <n v="-9.9999999999999794E-3"/>
    <n v="1"/>
    <n v="490"/>
    <n v="910"/>
  </r>
  <r>
    <x v="50"/>
    <s v="conventional_default_current_fico_885"/>
    <x v="925"/>
    <n v="-1.4999999999999999E-2"/>
    <n v="1"/>
    <n v="490"/>
    <n v="910"/>
  </r>
  <r>
    <x v="50"/>
    <s v="conventional_default_current_fico_886"/>
    <x v="926"/>
    <n v="-0.02"/>
    <n v="1"/>
    <n v="490"/>
    <n v="910"/>
  </r>
  <r>
    <x v="50"/>
    <s v="conventional_default_current_fico_887"/>
    <x v="927"/>
    <n v="-2.5000000000000001E-2"/>
    <n v="1"/>
    <n v="490"/>
    <n v="910"/>
  </r>
  <r>
    <x v="50"/>
    <s v="conventional_default_current_fico_888"/>
    <x v="928"/>
    <n v="-0.03"/>
    <n v="1"/>
    <n v="490"/>
    <n v="910"/>
  </r>
  <r>
    <x v="50"/>
    <s v="conventional_default_current_fico_889"/>
    <x v="929"/>
    <n v="-3.5000000000000003E-2"/>
    <n v="1"/>
    <n v="490"/>
    <n v="910"/>
  </r>
  <r>
    <x v="50"/>
    <s v="conventional_default_current_fico_890"/>
    <x v="930"/>
    <n v="-0.04"/>
    <n v="1"/>
    <n v="490"/>
    <n v="910"/>
  </r>
  <r>
    <x v="50"/>
    <s v="conventional_default_current_fico_891"/>
    <x v="931"/>
    <n v="-4.4999999999999998E-2"/>
    <n v="1"/>
    <n v="490"/>
    <n v="910"/>
  </r>
  <r>
    <x v="50"/>
    <s v="conventional_default_current_fico_892"/>
    <x v="932"/>
    <n v="-0.05"/>
    <n v="1"/>
    <n v="490"/>
    <n v="910"/>
  </r>
  <r>
    <x v="50"/>
    <s v="conventional_default_current_fico_893"/>
    <x v="933"/>
    <n v="-5.5E-2"/>
    <n v="1"/>
    <n v="490"/>
    <n v="910"/>
  </r>
  <r>
    <x v="50"/>
    <s v="conventional_default_current_fico_894"/>
    <x v="934"/>
    <n v="-0.06"/>
    <n v="1"/>
    <n v="490"/>
    <n v="910"/>
  </r>
  <r>
    <x v="50"/>
    <s v="conventional_default_current_fico_895"/>
    <x v="935"/>
    <n v="-6.5000000000000002E-2"/>
    <n v="1"/>
    <n v="490"/>
    <n v="910"/>
  </r>
  <r>
    <x v="50"/>
    <s v="conventional_default_current_fico_896"/>
    <x v="936"/>
    <n v="-7.0000000000000007E-2"/>
    <n v="1"/>
    <n v="490"/>
    <n v="910"/>
  </r>
  <r>
    <x v="50"/>
    <s v="conventional_default_current_fico_897"/>
    <x v="937"/>
    <n v="-7.4999999999999997E-2"/>
    <n v="1"/>
    <n v="490"/>
    <n v="910"/>
  </r>
  <r>
    <x v="50"/>
    <s v="conventional_default_current_fico_898"/>
    <x v="938"/>
    <n v="-0.08"/>
    <n v="1"/>
    <n v="490"/>
    <n v="910"/>
  </r>
  <r>
    <x v="50"/>
    <s v="conventional_default_current_fico_899"/>
    <x v="939"/>
    <n v="-8.5000000000000006E-2"/>
    <n v="1"/>
    <n v="490"/>
    <n v="910"/>
  </r>
  <r>
    <x v="50"/>
    <s v="conventional_default_current_fico_900"/>
    <x v="940"/>
    <n v="-0.09"/>
    <n v="1"/>
    <n v="490"/>
    <n v="910"/>
  </r>
  <r>
    <x v="50"/>
    <s v="conventional_default_current_fico_901"/>
    <x v="941"/>
    <n v="-9.4999999999999904E-2"/>
    <n v="1"/>
    <n v="490"/>
    <n v="910"/>
  </r>
  <r>
    <x v="50"/>
    <s v="conventional_default_current_fico_902"/>
    <x v="942"/>
    <n v="-0.1"/>
    <n v="1"/>
    <n v="490"/>
    <n v="910"/>
  </r>
  <r>
    <x v="50"/>
    <s v="conventional_default_current_fico_903"/>
    <x v="943"/>
    <n v="-0.105"/>
    <n v="1"/>
    <n v="490"/>
    <n v="910"/>
  </r>
  <r>
    <x v="50"/>
    <s v="conventional_default_current_fico_904"/>
    <x v="944"/>
    <n v="-0.11"/>
    <n v="1"/>
    <n v="490"/>
    <n v="910"/>
  </r>
  <r>
    <x v="50"/>
    <s v="conventional_default_current_fico_905"/>
    <x v="945"/>
    <n v="-0.115"/>
    <n v="1"/>
    <n v="490"/>
    <n v="910"/>
  </r>
  <r>
    <x v="50"/>
    <s v="conventional_default_current_fico_906"/>
    <x v="946"/>
    <n v="-0.12"/>
    <n v="1"/>
    <n v="490"/>
    <n v="910"/>
  </r>
  <r>
    <x v="50"/>
    <s v="conventional_default_current_fico_907"/>
    <x v="947"/>
    <n v="-0.125"/>
    <n v="1"/>
    <n v="490"/>
    <n v="910"/>
  </r>
  <r>
    <x v="50"/>
    <s v="conventional_default_current_fico_908"/>
    <x v="948"/>
    <n v="-0.13"/>
    <n v="1"/>
    <n v="490"/>
    <n v="910"/>
  </r>
  <r>
    <x v="50"/>
    <s v="conventional_default_current_fico_909"/>
    <x v="949"/>
    <n v="-0.13500000000000001"/>
    <n v="1"/>
    <n v="490"/>
    <n v="910"/>
  </r>
  <r>
    <x v="50"/>
    <s v="conventional_default_current_fico_910"/>
    <x v="950"/>
    <n v="-0.14000000000000001"/>
    <n v="1"/>
    <n v="490"/>
    <n v="910"/>
  </r>
  <r>
    <x v="51"/>
    <s v="conventional_default_dq_cai_-40"/>
    <x v="0"/>
    <n v="5.6319999999999997"/>
    <n v="1"/>
    <n v="-40"/>
    <n v="940"/>
  </r>
  <r>
    <x v="51"/>
    <s v="conventional_default_dq_cai_-39"/>
    <x v="1"/>
    <n v="5.6101999999999999"/>
    <n v="1"/>
    <n v="-40"/>
    <n v="940"/>
  </r>
  <r>
    <x v="51"/>
    <s v="conventional_default_dq_cai_-38"/>
    <x v="2"/>
    <n v="5.5884"/>
    <n v="1"/>
    <n v="-40"/>
    <n v="940"/>
  </r>
  <r>
    <x v="51"/>
    <s v="conventional_default_dq_cai_-37"/>
    <x v="3"/>
    <n v="5.5666000000000002"/>
    <n v="1"/>
    <n v="-40"/>
    <n v="940"/>
  </r>
  <r>
    <x v="51"/>
    <s v="conventional_default_dq_cai_-36"/>
    <x v="4"/>
    <n v="5.5448000000000004"/>
    <n v="1"/>
    <n v="-40"/>
    <n v="940"/>
  </r>
  <r>
    <x v="51"/>
    <s v="conventional_default_dq_cai_-35"/>
    <x v="5"/>
    <n v="5.5229999999999997"/>
    <n v="1"/>
    <n v="-40"/>
    <n v="940"/>
  </r>
  <r>
    <x v="51"/>
    <s v="conventional_default_dq_cai_-34"/>
    <x v="6"/>
    <n v="5.5011999999999999"/>
    <n v="1"/>
    <n v="-40"/>
    <n v="940"/>
  </r>
  <r>
    <x v="51"/>
    <s v="conventional_default_dq_cai_-33"/>
    <x v="7"/>
    <n v="5.4794"/>
    <n v="1"/>
    <n v="-40"/>
    <n v="940"/>
  </r>
  <r>
    <x v="51"/>
    <s v="conventional_default_dq_cai_-32"/>
    <x v="8"/>
    <n v="5.4576000000000002"/>
    <n v="1"/>
    <n v="-40"/>
    <n v="940"/>
  </r>
  <r>
    <x v="51"/>
    <s v="conventional_default_dq_cai_-31"/>
    <x v="9"/>
    <n v="5.4358000000000004"/>
    <n v="1"/>
    <n v="-40"/>
    <n v="940"/>
  </r>
  <r>
    <x v="51"/>
    <s v="conventional_default_dq_cai_-30"/>
    <x v="10"/>
    <n v="5.4139999999999997"/>
    <n v="1"/>
    <n v="-40"/>
    <n v="940"/>
  </r>
  <r>
    <x v="51"/>
    <s v="conventional_default_dq_cai_-29"/>
    <x v="11"/>
    <n v="5.3921999999999999"/>
    <n v="1"/>
    <n v="-40"/>
    <n v="940"/>
  </r>
  <r>
    <x v="51"/>
    <s v="conventional_default_dq_cai_-28"/>
    <x v="12"/>
    <n v="5.3704000000000001"/>
    <n v="1"/>
    <n v="-40"/>
    <n v="940"/>
  </r>
  <r>
    <x v="51"/>
    <s v="conventional_default_dq_cai_-27"/>
    <x v="13"/>
    <n v="5.3486000000000002"/>
    <n v="1"/>
    <n v="-40"/>
    <n v="940"/>
  </r>
  <r>
    <x v="51"/>
    <s v="conventional_default_dq_cai_-26"/>
    <x v="14"/>
    <n v="5.3268000000000004"/>
    <n v="1"/>
    <n v="-40"/>
    <n v="940"/>
  </r>
  <r>
    <x v="51"/>
    <s v="conventional_default_dq_cai_-25"/>
    <x v="15"/>
    <n v="5.3049999999999997"/>
    <n v="1"/>
    <n v="-40"/>
    <n v="940"/>
  </r>
  <r>
    <x v="51"/>
    <s v="conventional_default_dq_cai_-24"/>
    <x v="16"/>
    <n v="5.2831999999999999"/>
    <n v="1"/>
    <n v="-40"/>
    <n v="940"/>
  </r>
  <r>
    <x v="51"/>
    <s v="conventional_default_dq_cai_-23"/>
    <x v="17"/>
    <n v="5.2614000000000001"/>
    <n v="1"/>
    <n v="-40"/>
    <n v="940"/>
  </r>
  <r>
    <x v="51"/>
    <s v="conventional_default_dq_cai_-22"/>
    <x v="18"/>
    <n v="5.2396000000000003"/>
    <n v="1"/>
    <n v="-40"/>
    <n v="940"/>
  </r>
  <r>
    <x v="51"/>
    <s v="conventional_default_dq_cai_-21"/>
    <x v="19"/>
    <n v="5.2178000000000004"/>
    <n v="1"/>
    <n v="-40"/>
    <n v="940"/>
  </r>
  <r>
    <x v="51"/>
    <s v="conventional_default_dq_cai_-20"/>
    <x v="20"/>
    <n v="5.1959999999999997"/>
    <n v="1"/>
    <n v="-40"/>
    <n v="940"/>
  </r>
  <r>
    <x v="51"/>
    <s v="conventional_default_dq_cai_-19"/>
    <x v="21"/>
    <n v="5.1741999999999999"/>
    <n v="1"/>
    <n v="-40"/>
    <n v="940"/>
  </r>
  <r>
    <x v="51"/>
    <s v="conventional_default_dq_cai_-18"/>
    <x v="22"/>
    <n v="5.1524000000000001"/>
    <n v="1"/>
    <n v="-40"/>
    <n v="940"/>
  </r>
  <r>
    <x v="51"/>
    <s v="conventional_default_dq_cai_-17"/>
    <x v="23"/>
    <n v="5.1306000000000003"/>
    <n v="1"/>
    <n v="-40"/>
    <n v="940"/>
  </r>
  <r>
    <x v="51"/>
    <s v="conventional_default_dq_cai_-16"/>
    <x v="24"/>
    <n v="5.1087999999999996"/>
    <n v="1"/>
    <n v="-40"/>
    <n v="940"/>
  </r>
  <r>
    <x v="51"/>
    <s v="conventional_default_dq_cai_-15"/>
    <x v="25"/>
    <n v="5.0869999999999997"/>
    <n v="1"/>
    <n v="-40"/>
    <n v="940"/>
  </r>
  <r>
    <x v="51"/>
    <s v="conventional_default_dq_cai_-14"/>
    <x v="26"/>
    <n v="5.0651999999999999"/>
    <n v="1"/>
    <n v="-40"/>
    <n v="940"/>
  </r>
  <r>
    <x v="51"/>
    <s v="conventional_default_dq_cai_-13"/>
    <x v="27"/>
    <n v="5.0434000000000001"/>
    <n v="1"/>
    <n v="-40"/>
    <n v="940"/>
  </r>
  <r>
    <x v="51"/>
    <s v="conventional_default_dq_cai_-12"/>
    <x v="28"/>
    <n v="5.0216000000000003"/>
    <n v="1"/>
    <n v="-40"/>
    <n v="940"/>
  </r>
  <r>
    <x v="51"/>
    <s v="conventional_default_dq_cai_-11"/>
    <x v="29"/>
    <n v="4.9997999999999996"/>
    <n v="1"/>
    <n v="-40"/>
    <n v="940"/>
  </r>
  <r>
    <x v="51"/>
    <s v="conventional_default_dq_cai_-10"/>
    <x v="30"/>
    <n v="4.9779999999999998"/>
    <n v="1"/>
    <n v="-40"/>
    <n v="940"/>
  </r>
  <r>
    <x v="51"/>
    <s v="conventional_default_dq_cai_-9"/>
    <x v="31"/>
    <n v="4.9561999999999999"/>
    <n v="1"/>
    <n v="-40"/>
    <n v="940"/>
  </r>
  <r>
    <x v="51"/>
    <s v="conventional_default_dq_cai_-8"/>
    <x v="32"/>
    <n v="4.9344000000000001"/>
    <n v="1"/>
    <n v="-40"/>
    <n v="940"/>
  </r>
  <r>
    <x v="51"/>
    <s v="conventional_default_dq_cai_-7"/>
    <x v="33"/>
    <n v="4.9126000000000003"/>
    <n v="1"/>
    <n v="-40"/>
    <n v="940"/>
  </r>
  <r>
    <x v="51"/>
    <s v="conventional_default_dq_cai_-6"/>
    <x v="34"/>
    <n v="4.8907999999999996"/>
    <n v="1"/>
    <n v="-40"/>
    <n v="940"/>
  </r>
  <r>
    <x v="51"/>
    <s v="conventional_default_dq_cai_-5"/>
    <x v="35"/>
    <n v="4.8689999999999998"/>
    <n v="1"/>
    <n v="-40"/>
    <n v="940"/>
  </r>
  <r>
    <x v="51"/>
    <s v="conventional_default_dq_cai_-4"/>
    <x v="36"/>
    <n v="4.8472"/>
    <n v="1"/>
    <n v="-40"/>
    <n v="940"/>
  </r>
  <r>
    <x v="51"/>
    <s v="conventional_default_dq_cai_-3"/>
    <x v="37"/>
    <n v="4.8254000000000001"/>
    <n v="1"/>
    <n v="-40"/>
    <n v="940"/>
  </r>
  <r>
    <x v="51"/>
    <s v="conventional_default_dq_cai_-2"/>
    <x v="38"/>
    <n v="4.8036000000000003"/>
    <n v="1"/>
    <n v="-40"/>
    <n v="940"/>
  </r>
  <r>
    <x v="51"/>
    <s v="conventional_default_dq_cai_-1"/>
    <x v="39"/>
    <n v="4.7817999999999996"/>
    <n v="1"/>
    <n v="-40"/>
    <n v="940"/>
  </r>
  <r>
    <x v="51"/>
    <s v="conventional_default_dq_cai_0"/>
    <x v="40"/>
    <n v="4.76"/>
    <n v="1"/>
    <n v="-40"/>
    <n v="940"/>
  </r>
  <r>
    <x v="51"/>
    <s v="conventional_default_dq_cai_1"/>
    <x v="41"/>
    <n v="4.7382"/>
    <n v="1"/>
    <n v="-40"/>
    <n v="940"/>
  </r>
  <r>
    <x v="51"/>
    <s v="conventional_default_dq_cai_2"/>
    <x v="42"/>
    <n v="4.7164000000000001"/>
    <n v="1"/>
    <n v="-40"/>
    <n v="940"/>
  </r>
  <r>
    <x v="51"/>
    <s v="conventional_default_dq_cai_3"/>
    <x v="43"/>
    <n v="4.6946000000000003"/>
    <n v="1"/>
    <n v="-40"/>
    <n v="940"/>
  </r>
  <r>
    <x v="51"/>
    <s v="conventional_default_dq_cai_4"/>
    <x v="44"/>
    <n v="4.6727999999999996"/>
    <n v="1"/>
    <n v="-40"/>
    <n v="940"/>
  </r>
  <r>
    <x v="51"/>
    <s v="conventional_default_dq_cai_5"/>
    <x v="45"/>
    <n v="4.6509999999999998"/>
    <n v="1"/>
    <n v="-40"/>
    <n v="940"/>
  </r>
  <r>
    <x v="51"/>
    <s v="conventional_default_dq_cai_6"/>
    <x v="46"/>
    <n v="4.6292"/>
    <n v="1"/>
    <n v="-40"/>
    <n v="940"/>
  </r>
  <r>
    <x v="51"/>
    <s v="conventional_default_dq_cai_7"/>
    <x v="47"/>
    <n v="4.6074000000000002"/>
    <n v="1"/>
    <n v="-40"/>
    <n v="940"/>
  </r>
  <r>
    <x v="51"/>
    <s v="conventional_default_dq_cai_8"/>
    <x v="48"/>
    <n v="4.5856000000000003"/>
    <n v="1"/>
    <n v="-40"/>
    <n v="940"/>
  </r>
  <r>
    <x v="51"/>
    <s v="conventional_default_dq_cai_9"/>
    <x v="49"/>
    <n v="4.5637999999999996"/>
    <n v="1"/>
    <n v="-40"/>
    <n v="940"/>
  </r>
  <r>
    <x v="51"/>
    <s v="conventional_default_dq_cai_10"/>
    <x v="50"/>
    <n v="4.5419999999999998"/>
    <n v="1"/>
    <n v="-40"/>
    <n v="940"/>
  </r>
  <r>
    <x v="51"/>
    <s v="conventional_default_dq_cai_11"/>
    <x v="51"/>
    <n v="4.5202"/>
    <n v="1"/>
    <n v="-40"/>
    <n v="940"/>
  </r>
  <r>
    <x v="51"/>
    <s v="conventional_default_dq_cai_12"/>
    <x v="52"/>
    <n v="4.4984000000000002"/>
    <n v="1"/>
    <n v="-40"/>
    <n v="940"/>
  </r>
  <r>
    <x v="51"/>
    <s v="conventional_default_dq_cai_13"/>
    <x v="53"/>
    <n v="4.4766000000000004"/>
    <n v="1"/>
    <n v="-40"/>
    <n v="940"/>
  </r>
  <r>
    <x v="51"/>
    <s v="conventional_default_dq_cai_14"/>
    <x v="54"/>
    <n v="4.4547999999999996"/>
    <n v="1"/>
    <n v="-40"/>
    <n v="940"/>
  </r>
  <r>
    <x v="51"/>
    <s v="conventional_default_dq_cai_15"/>
    <x v="55"/>
    <n v="4.4329999999999998"/>
    <n v="1"/>
    <n v="-40"/>
    <n v="940"/>
  </r>
  <r>
    <x v="51"/>
    <s v="conventional_default_dq_cai_16"/>
    <x v="56"/>
    <n v="4.4112"/>
    <n v="1"/>
    <n v="-40"/>
    <n v="940"/>
  </r>
  <r>
    <x v="51"/>
    <s v="conventional_default_dq_cai_17"/>
    <x v="57"/>
    <n v="4.3894000000000002"/>
    <n v="1"/>
    <n v="-40"/>
    <n v="940"/>
  </r>
  <r>
    <x v="51"/>
    <s v="conventional_default_dq_cai_18"/>
    <x v="58"/>
    <n v="4.3676000000000004"/>
    <n v="1"/>
    <n v="-40"/>
    <n v="940"/>
  </r>
  <r>
    <x v="51"/>
    <s v="conventional_default_dq_cai_19"/>
    <x v="59"/>
    <n v="4.3457999999999997"/>
    <n v="1"/>
    <n v="-40"/>
    <n v="940"/>
  </r>
  <r>
    <x v="51"/>
    <s v="conventional_default_dq_cai_20"/>
    <x v="60"/>
    <n v="4.3239999999999998"/>
    <n v="1"/>
    <n v="-40"/>
    <n v="940"/>
  </r>
  <r>
    <x v="51"/>
    <s v="conventional_default_dq_cai_21"/>
    <x v="61"/>
    <n v="4.3022"/>
    <n v="1"/>
    <n v="-40"/>
    <n v="940"/>
  </r>
  <r>
    <x v="51"/>
    <s v="conventional_default_dq_cai_22"/>
    <x v="62"/>
    <n v="4.2804000000000002"/>
    <n v="1"/>
    <n v="-40"/>
    <n v="940"/>
  </r>
  <r>
    <x v="51"/>
    <s v="conventional_default_dq_cai_23"/>
    <x v="63"/>
    <n v="4.2586000000000004"/>
    <n v="1"/>
    <n v="-40"/>
    <n v="940"/>
  </r>
  <r>
    <x v="51"/>
    <s v="conventional_default_dq_cai_24"/>
    <x v="64"/>
    <n v="4.2367999999999997"/>
    <n v="1"/>
    <n v="-40"/>
    <n v="940"/>
  </r>
  <r>
    <x v="51"/>
    <s v="conventional_default_dq_cai_25"/>
    <x v="65"/>
    <n v="4.2149999999999999"/>
    <n v="1"/>
    <n v="-40"/>
    <n v="940"/>
  </r>
  <r>
    <x v="51"/>
    <s v="conventional_default_dq_cai_26"/>
    <x v="66"/>
    <n v="4.1932"/>
    <n v="1"/>
    <n v="-40"/>
    <n v="940"/>
  </r>
  <r>
    <x v="51"/>
    <s v="conventional_default_dq_cai_27"/>
    <x v="67"/>
    <n v="4.1714000000000002"/>
    <n v="1"/>
    <n v="-40"/>
    <n v="940"/>
  </r>
  <r>
    <x v="51"/>
    <s v="conventional_default_dq_cai_28"/>
    <x v="68"/>
    <n v="4.1496000000000004"/>
    <n v="1"/>
    <n v="-40"/>
    <n v="940"/>
  </r>
  <r>
    <x v="51"/>
    <s v="conventional_default_dq_cai_29"/>
    <x v="69"/>
    <n v="4.1277999999999997"/>
    <n v="1"/>
    <n v="-40"/>
    <n v="940"/>
  </r>
  <r>
    <x v="51"/>
    <s v="conventional_default_dq_cai_30"/>
    <x v="70"/>
    <n v="4.1059999999999999"/>
    <n v="1"/>
    <n v="-40"/>
    <n v="940"/>
  </r>
  <r>
    <x v="51"/>
    <s v="conventional_default_dq_cai_31"/>
    <x v="71"/>
    <n v="4.0842000000000001"/>
    <n v="1"/>
    <n v="-40"/>
    <n v="940"/>
  </r>
  <r>
    <x v="51"/>
    <s v="conventional_default_dq_cai_32"/>
    <x v="72"/>
    <n v="4.0624000000000002"/>
    <n v="1"/>
    <n v="-40"/>
    <n v="940"/>
  </r>
  <r>
    <x v="51"/>
    <s v="conventional_default_dq_cai_33"/>
    <x v="73"/>
    <n v="4.0406000000000004"/>
    <n v="1"/>
    <n v="-40"/>
    <n v="940"/>
  </r>
  <r>
    <x v="51"/>
    <s v="conventional_default_dq_cai_34"/>
    <x v="74"/>
    <n v="4.0187999999999997"/>
    <n v="1"/>
    <n v="-40"/>
    <n v="940"/>
  </r>
  <r>
    <x v="51"/>
    <s v="conventional_default_dq_cai_35"/>
    <x v="75"/>
    <n v="3.9969999999999999"/>
    <n v="1"/>
    <n v="-40"/>
    <n v="940"/>
  </r>
  <r>
    <x v="51"/>
    <s v="conventional_default_dq_cai_36"/>
    <x v="76"/>
    <n v="3.9752000000000001"/>
    <n v="1"/>
    <n v="-40"/>
    <n v="940"/>
  </r>
  <r>
    <x v="51"/>
    <s v="conventional_default_dq_cai_37"/>
    <x v="77"/>
    <n v="3.9533999999999998"/>
    <n v="1"/>
    <n v="-40"/>
    <n v="940"/>
  </r>
  <r>
    <x v="51"/>
    <s v="conventional_default_dq_cai_38"/>
    <x v="78"/>
    <n v="3.9316"/>
    <n v="1"/>
    <n v="-40"/>
    <n v="940"/>
  </r>
  <r>
    <x v="51"/>
    <s v="conventional_default_dq_cai_39"/>
    <x v="79"/>
    <n v="3.9098000000000002"/>
    <n v="1"/>
    <n v="-40"/>
    <n v="940"/>
  </r>
  <r>
    <x v="51"/>
    <s v="conventional_default_dq_cai_40"/>
    <x v="80"/>
    <n v="3.8879999999999999"/>
    <n v="1"/>
    <n v="-40"/>
    <n v="940"/>
  </r>
  <r>
    <x v="51"/>
    <s v="conventional_default_dq_cai_41"/>
    <x v="81"/>
    <n v="3.8662000000000001"/>
    <n v="1"/>
    <n v="-40"/>
    <n v="940"/>
  </r>
  <r>
    <x v="51"/>
    <s v="conventional_default_dq_cai_42"/>
    <x v="82"/>
    <n v="3.8443999999999998"/>
    <n v="1"/>
    <n v="-40"/>
    <n v="940"/>
  </r>
  <r>
    <x v="51"/>
    <s v="conventional_default_dq_cai_43"/>
    <x v="83"/>
    <n v="3.8226"/>
    <n v="1"/>
    <n v="-40"/>
    <n v="940"/>
  </r>
  <r>
    <x v="51"/>
    <s v="conventional_default_dq_cai_44"/>
    <x v="84"/>
    <n v="3.8008000000000002"/>
    <n v="1"/>
    <n v="-40"/>
    <n v="940"/>
  </r>
  <r>
    <x v="51"/>
    <s v="conventional_default_dq_cai_45"/>
    <x v="85"/>
    <n v="3.7789999999999999"/>
    <n v="1"/>
    <n v="-40"/>
    <n v="940"/>
  </r>
  <r>
    <x v="51"/>
    <s v="conventional_default_dq_cai_46"/>
    <x v="86"/>
    <n v="3.7572000000000001"/>
    <n v="1"/>
    <n v="-40"/>
    <n v="940"/>
  </r>
  <r>
    <x v="51"/>
    <s v="conventional_default_dq_cai_47"/>
    <x v="87"/>
    <n v="3.7353999999999998"/>
    <n v="1"/>
    <n v="-40"/>
    <n v="940"/>
  </r>
  <r>
    <x v="51"/>
    <s v="conventional_default_dq_cai_48"/>
    <x v="88"/>
    <n v="3.7136"/>
    <n v="1"/>
    <n v="-40"/>
    <n v="940"/>
  </r>
  <r>
    <x v="51"/>
    <s v="conventional_default_dq_cai_49"/>
    <x v="89"/>
    <n v="3.6918000000000002"/>
    <n v="1"/>
    <n v="-40"/>
    <n v="940"/>
  </r>
  <r>
    <x v="51"/>
    <s v="conventional_default_dq_cai_50"/>
    <x v="90"/>
    <n v="3.67"/>
    <n v="1"/>
    <n v="-40"/>
    <n v="940"/>
  </r>
  <r>
    <x v="51"/>
    <s v="conventional_default_dq_cai_51"/>
    <x v="91"/>
    <n v="3.6482000000000001"/>
    <n v="1"/>
    <n v="-40"/>
    <n v="940"/>
  </r>
  <r>
    <x v="51"/>
    <s v="conventional_default_dq_cai_52"/>
    <x v="92"/>
    <n v="3.6263999999999998"/>
    <n v="1"/>
    <n v="-40"/>
    <n v="940"/>
  </r>
  <r>
    <x v="51"/>
    <s v="conventional_default_dq_cai_53"/>
    <x v="93"/>
    <n v="3.6046"/>
    <n v="1"/>
    <n v="-40"/>
    <n v="940"/>
  </r>
  <r>
    <x v="51"/>
    <s v="conventional_default_dq_cai_54"/>
    <x v="94"/>
    <n v="3.5828000000000002"/>
    <n v="1"/>
    <n v="-40"/>
    <n v="940"/>
  </r>
  <r>
    <x v="51"/>
    <s v="conventional_default_dq_cai_55"/>
    <x v="95"/>
    <n v="3.5609999999999999"/>
    <n v="1"/>
    <n v="-40"/>
    <n v="940"/>
  </r>
  <r>
    <x v="51"/>
    <s v="conventional_default_dq_cai_56"/>
    <x v="96"/>
    <n v="3.5392000000000001"/>
    <n v="1"/>
    <n v="-40"/>
    <n v="940"/>
  </r>
  <r>
    <x v="51"/>
    <s v="conventional_default_dq_cai_57"/>
    <x v="97"/>
    <n v="3.5173999999999999"/>
    <n v="1"/>
    <n v="-40"/>
    <n v="940"/>
  </r>
  <r>
    <x v="51"/>
    <s v="conventional_default_dq_cai_58"/>
    <x v="98"/>
    <n v="3.4956"/>
    <n v="1"/>
    <n v="-40"/>
    <n v="940"/>
  </r>
  <r>
    <x v="51"/>
    <s v="conventional_default_dq_cai_59"/>
    <x v="99"/>
    <n v="3.4738000000000002"/>
    <n v="1"/>
    <n v="-40"/>
    <n v="940"/>
  </r>
  <r>
    <x v="51"/>
    <s v="conventional_default_dq_cai_60"/>
    <x v="100"/>
    <n v="3.452"/>
    <n v="1"/>
    <n v="-40"/>
    <n v="940"/>
  </r>
  <r>
    <x v="51"/>
    <s v="conventional_default_dq_cai_61"/>
    <x v="101"/>
    <n v="3.4302000000000001"/>
    <n v="1"/>
    <n v="-40"/>
    <n v="940"/>
  </r>
  <r>
    <x v="51"/>
    <s v="conventional_default_dq_cai_62"/>
    <x v="102"/>
    <n v="3.4083999999999999"/>
    <n v="1"/>
    <n v="-40"/>
    <n v="940"/>
  </r>
  <r>
    <x v="51"/>
    <s v="conventional_default_dq_cai_63"/>
    <x v="103"/>
    <n v="3.3866000000000001"/>
    <n v="1"/>
    <n v="-40"/>
    <n v="940"/>
  </r>
  <r>
    <x v="51"/>
    <s v="conventional_default_dq_cai_64"/>
    <x v="104"/>
    <n v="3.3647999999999998"/>
    <n v="1"/>
    <n v="-40"/>
    <n v="940"/>
  </r>
  <r>
    <x v="51"/>
    <s v="conventional_default_dq_cai_65"/>
    <x v="105"/>
    <n v="3.343"/>
    <n v="1"/>
    <n v="-40"/>
    <n v="940"/>
  </r>
  <r>
    <x v="51"/>
    <s v="conventional_default_dq_cai_66"/>
    <x v="106"/>
    <n v="3.3212000000000002"/>
    <n v="1"/>
    <n v="-40"/>
    <n v="940"/>
  </r>
  <r>
    <x v="51"/>
    <s v="conventional_default_dq_cai_67"/>
    <x v="107"/>
    <n v="3.2993999999999999"/>
    <n v="1"/>
    <n v="-40"/>
    <n v="940"/>
  </r>
  <r>
    <x v="51"/>
    <s v="conventional_default_dq_cai_68"/>
    <x v="108"/>
    <n v="3.2776000000000001"/>
    <n v="1"/>
    <n v="-40"/>
    <n v="940"/>
  </r>
  <r>
    <x v="51"/>
    <s v="conventional_default_dq_cai_69"/>
    <x v="109"/>
    <n v="3.2557999999999998"/>
    <n v="1"/>
    <n v="-40"/>
    <n v="940"/>
  </r>
  <r>
    <x v="51"/>
    <s v="conventional_default_dq_cai_70"/>
    <x v="110"/>
    <n v="3.234"/>
    <n v="1"/>
    <n v="-40"/>
    <n v="940"/>
  </r>
  <r>
    <x v="51"/>
    <s v="conventional_default_dq_cai_71"/>
    <x v="111"/>
    <n v="3.2122000000000002"/>
    <n v="1"/>
    <n v="-40"/>
    <n v="940"/>
  </r>
  <r>
    <x v="51"/>
    <s v="conventional_default_dq_cai_72"/>
    <x v="112"/>
    <n v="3.1903999999999999"/>
    <n v="1"/>
    <n v="-40"/>
    <n v="940"/>
  </r>
  <r>
    <x v="51"/>
    <s v="conventional_default_dq_cai_73"/>
    <x v="113"/>
    <n v="3.1686000000000001"/>
    <n v="1"/>
    <n v="-40"/>
    <n v="940"/>
  </r>
  <r>
    <x v="51"/>
    <s v="conventional_default_dq_cai_74"/>
    <x v="114"/>
    <n v="3.1467999999999998"/>
    <n v="1"/>
    <n v="-40"/>
    <n v="940"/>
  </r>
  <r>
    <x v="51"/>
    <s v="conventional_default_dq_cai_75"/>
    <x v="115"/>
    <n v="3.125"/>
    <n v="1"/>
    <n v="-40"/>
    <n v="940"/>
  </r>
  <r>
    <x v="51"/>
    <s v="conventional_default_dq_cai_76"/>
    <x v="116"/>
    <n v="3.1032000000000002"/>
    <n v="1"/>
    <n v="-40"/>
    <n v="940"/>
  </r>
  <r>
    <x v="51"/>
    <s v="conventional_default_dq_cai_77"/>
    <x v="117"/>
    <n v="3.0813999999999999"/>
    <n v="1"/>
    <n v="-40"/>
    <n v="940"/>
  </r>
  <r>
    <x v="51"/>
    <s v="conventional_default_dq_cai_78"/>
    <x v="118"/>
    <n v="3.0596000000000001"/>
    <n v="1"/>
    <n v="-40"/>
    <n v="940"/>
  </r>
  <r>
    <x v="51"/>
    <s v="conventional_default_dq_cai_79"/>
    <x v="119"/>
    <n v="3.0377999999999998"/>
    <n v="1"/>
    <n v="-40"/>
    <n v="940"/>
  </r>
  <r>
    <x v="51"/>
    <s v="conventional_default_dq_cai_80"/>
    <x v="120"/>
    <n v="3.016"/>
    <n v="1"/>
    <n v="-40"/>
    <n v="940"/>
  </r>
  <r>
    <x v="51"/>
    <s v="conventional_default_dq_cai_81"/>
    <x v="121"/>
    <n v="2.9942000000000002"/>
    <n v="1"/>
    <n v="-40"/>
    <n v="940"/>
  </r>
  <r>
    <x v="51"/>
    <s v="conventional_default_dq_cai_82"/>
    <x v="122"/>
    <n v="2.9723999999999999"/>
    <n v="1"/>
    <n v="-40"/>
    <n v="940"/>
  </r>
  <r>
    <x v="51"/>
    <s v="conventional_default_dq_cai_83"/>
    <x v="123"/>
    <n v="2.9506000000000001"/>
    <n v="1"/>
    <n v="-40"/>
    <n v="940"/>
  </r>
  <r>
    <x v="51"/>
    <s v="conventional_default_dq_cai_84"/>
    <x v="124"/>
    <n v="2.9287999999999998"/>
    <n v="1"/>
    <n v="-40"/>
    <n v="940"/>
  </r>
  <r>
    <x v="51"/>
    <s v="conventional_default_dq_cai_85"/>
    <x v="125"/>
    <n v="2.907"/>
    <n v="1"/>
    <n v="-40"/>
    <n v="940"/>
  </r>
  <r>
    <x v="51"/>
    <s v="conventional_default_dq_cai_86"/>
    <x v="126"/>
    <n v="2.8852000000000002"/>
    <n v="1"/>
    <n v="-40"/>
    <n v="940"/>
  </r>
  <r>
    <x v="51"/>
    <s v="conventional_default_dq_cai_87"/>
    <x v="127"/>
    <n v="2.8633999999999999"/>
    <n v="1"/>
    <n v="-40"/>
    <n v="940"/>
  </r>
  <r>
    <x v="51"/>
    <s v="conventional_default_dq_cai_88"/>
    <x v="128"/>
    <n v="2.8416000000000001"/>
    <n v="1"/>
    <n v="-40"/>
    <n v="940"/>
  </r>
  <r>
    <x v="51"/>
    <s v="conventional_default_dq_cai_89"/>
    <x v="129"/>
    <n v="2.8197999999999999"/>
    <n v="1"/>
    <n v="-40"/>
    <n v="940"/>
  </r>
  <r>
    <x v="51"/>
    <s v="conventional_default_dq_cai_90"/>
    <x v="130"/>
    <n v="2.798"/>
    <n v="1"/>
    <n v="-40"/>
    <n v="940"/>
  </r>
  <r>
    <x v="51"/>
    <s v="conventional_default_dq_cai_91"/>
    <x v="131"/>
    <n v="2.7761999999999998"/>
    <n v="1"/>
    <n v="-40"/>
    <n v="940"/>
  </r>
  <r>
    <x v="51"/>
    <s v="conventional_default_dq_cai_92"/>
    <x v="132"/>
    <n v="2.7544"/>
    <n v="1"/>
    <n v="-40"/>
    <n v="940"/>
  </r>
  <r>
    <x v="51"/>
    <s v="conventional_default_dq_cai_93"/>
    <x v="133"/>
    <n v="2.7326000000000001"/>
    <n v="1"/>
    <n v="-40"/>
    <n v="940"/>
  </r>
  <r>
    <x v="51"/>
    <s v="conventional_default_dq_cai_94"/>
    <x v="134"/>
    <n v="2.7107999999999999"/>
    <n v="1"/>
    <n v="-40"/>
    <n v="940"/>
  </r>
  <r>
    <x v="51"/>
    <s v="conventional_default_dq_cai_95"/>
    <x v="135"/>
    <n v="2.6890000000000001"/>
    <n v="1"/>
    <n v="-40"/>
    <n v="940"/>
  </r>
  <r>
    <x v="51"/>
    <s v="conventional_default_dq_cai_96"/>
    <x v="136"/>
    <n v="2.6671999999999998"/>
    <n v="1"/>
    <n v="-40"/>
    <n v="940"/>
  </r>
  <r>
    <x v="51"/>
    <s v="conventional_default_dq_cai_97"/>
    <x v="137"/>
    <n v="2.6454"/>
    <n v="1"/>
    <n v="-40"/>
    <n v="940"/>
  </r>
  <r>
    <x v="51"/>
    <s v="conventional_default_dq_cai_98"/>
    <x v="138"/>
    <n v="2.6236000000000002"/>
    <n v="1"/>
    <n v="-40"/>
    <n v="940"/>
  </r>
  <r>
    <x v="51"/>
    <s v="conventional_default_dq_cai_99"/>
    <x v="139"/>
    <n v="2.6017999999999999"/>
    <n v="1"/>
    <n v="-40"/>
    <n v="940"/>
  </r>
  <r>
    <x v="51"/>
    <s v="conventional_default_dq_cai_100"/>
    <x v="140"/>
    <n v="2.58"/>
    <n v="1"/>
    <n v="-40"/>
    <n v="940"/>
  </r>
  <r>
    <x v="51"/>
    <s v="conventional_default_dq_cai_101"/>
    <x v="141"/>
    <n v="2.55777272"/>
    <n v="1"/>
    <n v="-40"/>
    <n v="940"/>
  </r>
  <r>
    <x v="51"/>
    <s v="conventional_default_dq_cai_102"/>
    <x v="142"/>
    <n v="2.5347257600000002"/>
    <n v="1"/>
    <n v="-40"/>
    <n v="940"/>
  </r>
  <r>
    <x v="51"/>
    <s v="conventional_default_dq_cai_103"/>
    <x v="143"/>
    <n v="2.5109114400000001"/>
    <n v="1"/>
    <n v="-40"/>
    <n v="940"/>
  </r>
  <r>
    <x v="51"/>
    <s v="conventional_default_dq_cai_104"/>
    <x v="144"/>
    <n v="2.4863820799999998"/>
    <n v="1"/>
    <n v="-40"/>
    <n v="940"/>
  </r>
  <r>
    <x v="51"/>
    <s v="conventional_default_dq_cai_105"/>
    <x v="145"/>
    <n v="2.4611900000000002"/>
    <n v="1"/>
    <n v="-40"/>
    <n v="940"/>
  </r>
  <r>
    <x v="51"/>
    <s v="conventional_default_dq_cai_106"/>
    <x v="146"/>
    <n v="2.4353875199999999"/>
    <n v="1"/>
    <n v="-40"/>
    <n v="940"/>
  </r>
  <r>
    <x v="51"/>
    <s v="conventional_default_dq_cai_107"/>
    <x v="147"/>
    <n v="2.4090269599999998"/>
    <n v="1"/>
    <n v="-40"/>
    <n v="940"/>
  </r>
  <r>
    <x v="51"/>
    <s v="conventional_default_dq_cai_108"/>
    <x v="148"/>
    <n v="2.3821606399999999"/>
    <n v="1"/>
    <n v="-40"/>
    <n v="940"/>
  </r>
  <r>
    <x v="51"/>
    <s v="conventional_default_dq_cai_109"/>
    <x v="149"/>
    <n v="2.3548408799999998"/>
    <n v="1"/>
    <n v="-40"/>
    <n v="940"/>
  </r>
  <r>
    <x v="51"/>
    <s v="conventional_default_dq_cai_110"/>
    <x v="150"/>
    <n v="2.3271199999999999"/>
    <n v="1"/>
    <n v="-40"/>
    <n v="940"/>
  </r>
  <r>
    <x v="51"/>
    <s v="conventional_default_dq_cai_111"/>
    <x v="151"/>
    <n v="2.2990503200000001"/>
    <n v="1"/>
    <n v="-40"/>
    <n v="940"/>
  </r>
  <r>
    <x v="51"/>
    <s v="conventional_default_dq_cai_112"/>
    <x v="152"/>
    <n v="2.2706841600000001"/>
    <n v="1"/>
    <n v="-40"/>
    <n v="940"/>
  </r>
  <r>
    <x v="51"/>
    <s v="conventional_default_dq_cai_113"/>
    <x v="153"/>
    <n v="2.2420738400000002"/>
    <n v="1"/>
    <n v="-40"/>
    <n v="940"/>
  </r>
  <r>
    <x v="51"/>
    <s v="conventional_default_dq_cai_114"/>
    <x v="154"/>
    <n v="2.2132716800000001"/>
    <n v="1"/>
    <n v="-40"/>
    <n v="940"/>
  </r>
  <r>
    <x v="51"/>
    <s v="conventional_default_dq_cai_115"/>
    <x v="155"/>
    <n v="2.1843300000000001"/>
    <n v="1"/>
    <n v="-40"/>
    <n v="940"/>
  </r>
  <r>
    <x v="51"/>
    <s v="conventional_default_dq_cai_116"/>
    <x v="156"/>
    <n v="2.1553011199999998"/>
    <n v="1"/>
    <n v="-40"/>
    <n v="940"/>
  </r>
  <r>
    <x v="51"/>
    <s v="conventional_default_dq_cai_117"/>
    <x v="157"/>
    <n v="2.1262373600000002"/>
    <n v="1"/>
    <n v="-40"/>
    <n v="940"/>
  </r>
  <r>
    <x v="51"/>
    <s v="conventional_default_dq_cai_118"/>
    <x v="158"/>
    <n v="2.0971910399999998"/>
    <n v="1"/>
    <n v="-40"/>
    <n v="940"/>
  </r>
  <r>
    <x v="51"/>
    <s v="conventional_default_dq_cai_119"/>
    <x v="159"/>
    <n v="2.06821448"/>
    <n v="1"/>
    <n v="-40"/>
    <n v="940"/>
  </r>
  <r>
    <x v="51"/>
    <s v="conventional_default_dq_cai_120"/>
    <x v="160"/>
    <n v="2.0393599999999998"/>
    <n v="1"/>
    <n v="-40"/>
    <n v="940"/>
  </r>
  <r>
    <x v="51"/>
    <s v="conventional_default_dq_cai_121"/>
    <x v="161"/>
    <n v="2.0106799199999998"/>
    <n v="1"/>
    <n v="-40"/>
    <n v="940"/>
  </r>
  <r>
    <x v="51"/>
    <s v="conventional_default_dq_cai_122"/>
    <x v="162"/>
    <n v="1.98222656"/>
    <n v="1"/>
    <n v="-40"/>
    <n v="940"/>
  </r>
  <r>
    <x v="51"/>
    <s v="conventional_default_dq_cai_123"/>
    <x v="163"/>
    <n v="1.95405224"/>
    <n v="1"/>
    <n v="-40"/>
    <n v="940"/>
  </r>
  <r>
    <x v="51"/>
    <s v="conventional_default_dq_cai_124"/>
    <x v="164"/>
    <n v="1.9262092799999999"/>
    <n v="1"/>
    <n v="-40"/>
    <n v="940"/>
  </r>
  <r>
    <x v="51"/>
    <s v="conventional_default_dq_cai_125"/>
    <x v="165"/>
    <n v="1.8987499999999999"/>
    <n v="1"/>
    <n v="-40"/>
    <n v="940"/>
  </r>
  <r>
    <x v="51"/>
    <s v="conventional_default_dq_cai_126"/>
    <x v="166"/>
    <n v="1.8717267200000001"/>
    <n v="1"/>
    <n v="-40"/>
    <n v="940"/>
  </r>
  <r>
    <x v="51"/>
    <s v="conventional_default_dq_cai_127"/>
    <x v="167"/>
    <n v="1.8451917600000001"/>
    <n v="1"/>
    <n v="-40"/>
    <n v="940"/>
  </r>
  <r>
    <x v="51"/>
    <s v="conventional_default_dq_cai_128"/>
    <x v="168"/>
    <n v="1.8191974399999999"/>
    <n v="1"/>
    <n v="-40"/>
    <n v="940"/>
  </r>
  <r>
    <x v="51"/>
    <s v="conventional_default_dq_cai_129"/>
    <x v="169"/>
    <n v="1.7937960799999999"/>
    <n v="1"/>
    <n v="-40"/>
    <n v="940"/>
  </r>
  <r>
    <x v="51"/>
    <s v="conventional_default_dq_cai_130"/>
    <x v="170"/>
    <n v="1.7690399999999999"/>
    <n v="1"/>
    <n v="-40"/>
    <n v="940"/>
  </r>
  <r>
    <x v="51"/>
    <s v="conventional_default_dq_cai_131"/>
    <x v="171"/>
    <n v="1.7449815200000001"/>
    <n v="1"/>
    <n v="-40"/>
    <n v="940"/>
  </r>
  <r>
    <x v="51"/>
    <s v="conventional_default_dq_cai_132"/>
    <x v="172"/>
    <n v="1.72167296"/>
    <n v="1"/>
    <n v="-40"/>
    <n v="940"/>
  </r>
  <r>
    <x v="51"/>
    <s v="conventional_default_dq_cai_133"/>
    <x v="173"/>
    <n v="1.6991666400000001"/>
    <n v="1"/>
    <n v="-40"/>
    <n v="940"/>
  </r>
  <r>
    <x v="51"/>
    <s v="conventional_default_dq_cai_134"/>
    <x v="174"/>
    <n v="1.6775148799999999"/>
    <n v="1"/>
    <n v="-40"/>
    <n v="940"/>
  </r>
  <r>
    <x v="51"/>
    <s v="conventional_default_dq_cai_135"/>
    <x v="175"/>
    <n v="1.6567700000000001"/>
    <n v="1"/>
    <n v="-40"/>
    <n v="940"/>
  </r>
  <r>
    <x v="51"/>
    <s v="conventional_default_dq_cai_136"/>
    <x v="176"/>
    <n v="1.63698432"/>
    <n v="1"/>
    <n v="-40"/>
    <n v="940"/>
  </r>
  <r>
    <x v="51"/>
    <s v="conventional_default_dq_cai_137"/>
    <x v="177"/>
    <n v="1.6182101600000001"/>
    <n v="1"/>
    <n v="-40"/>
    <n v="940"/>
  </r>
  <r>
    <x v="51"/>
    <s v="conventional_default_dq_cai_138"/>
    <x v="178"/>
    <n v="1.6004998399999999"/>
    <n v="1"/>
    <n v="-40"/>
    <n v="940"/>
  </r>
  <r>
    <x v="51"/>
    <s v="conventional_default_dq_cai_139"/>
    <x v="179"/>
    <n v="1.58390568"/>
    <n v="1"/>
    <n v="-40"/>
    <n v="940"/>
  </r>
  <r>
    <x v="51"/>
    <s v="conventional_default_dq_cai_140"/>
    <x v="180"/>
    <n v="1.5684800000000001"/>
    <n v="1"/>
    <n v="-40"/>
    <n v="940"/>
  </r>
  <r>
    <x v="51"/>
    <s v="conventional_default_dq_cai_141"/>
    <x v="181"/>
    <n v="1.55427512"/>
    <n v="1"/>
    <n v="-40"/>
    <n v="940"/>
  </r>
  <r>
    <x v="51"/>
    <s v="conventional_default_dq_cai_142"/>
    <x v="182"/>
    <n v="1.5413433599999999"/>
    <n v="1"/>
    <n v="-40"/>
    <n v="940"/>
  </r>
  <r>
    <x v="51"/>
    <s v="conventional_default_dq_cai_143"/>
    <x v="183"/>
    <n v="1.5297370400000001"/>
    <n v="1"/>
    <n v="-40"/>
    <n v="940"/>
  </r>
  <r>
    <x v="51"/>
    <s v="conventional_default_dq_cai_144"/>
    <x v="184"/>
    <n v="1.5195084800000001"/>
    <n v="1"/>
    <n v="-40"/>
    <n v="940"/>
  </r>
  <r>
    <x v="51"/>
    <s v="conventional_default_dq_cai_145"/>
    <x v="185"/>
    <n v="1.51071"/>
    <n v="1"/>
    <n v="-40"/>
    <n v="940"/>
  </r>
  <r>
    <x v="51"/>
    <s v="conventional_default_dq_cai_146"/>
    <x v="186"/>
    <n v="1.5033939199999999"/>
    <n v="1"/>
    <n v="-40"/>
    <n v="940"/>
  </r>
  <r>
    <x v="51"/>
    <s v="conventional_default_dq_cai_147"/>
    <x v="187"/>
    <n v="1.4976125600000001"/>
    <n v="1"/>
    <n v="-40"/>
    <n v="940"/>
  </r>
  <r>
    <x v="51"/>
    <s v="conventional_default_dq_cai_148"/>
    <x v="188"/>
    <n v="1.49341824"/>
    <n v="1"/>
    <n v="-40"/>
    <n v="940"/>
  </r>
  <r>
    <x v="51"/>
    <s v="conventional_default_dq_cai_149"/>
    <x v="189"/>
    <n v="1.4908632799999999"/>
    <n v="1"/>
    <n v="-40"/>
    <n v="940"/>
  </r>
  <r>
    <x v="51"/>
    <s v="conventional_default_dq_cai_150"/>
    <x v="190"/>
    <n v="1.49"/>
    <n v="1"/>
    <n v="-40"/>
    <n v="940"/>
  </r>
  <r>
    <x v="51"/>
    <s v="conventional_default_dq_cai_151"/>
    <x v="191"/>
    <n v="1.49"/>
    <n v="1"/>
    <n v="-40"/>
    <n v="940"/>
  </r>
  <r>
    <x v="51"/>
    <s v="conventional_default_dq_cai_152"/>
    <x v="192"/>
    <n v="1.49"/>
    <n v="1"/>
    <n v="-40"/>
    <n v="940"/>
  </r>
  <r>
    <x v="51"/>
    <s v="conventional_default_dq_cai_153"/>
    <x v="193"/>
    <n v="1.49"/>
    <n v="1"/>
    <n v="-40"/>
    <n v="940"/>
  </r>
  <r>
    <x v="51"/>
    <s v="conventional_default_dq_cai_154"/>
    <x v="194"/>
    <n v="1.49"/>
    <n v="1"/>
    <n v="-40"/>
    <n v="940"/>
  </r>
  <r>
    <x v="51"/>
    <s v="conventional_default_dq_cai_155"/>
    <x v="195"/>
    <n v="1.49"/>
    <n v="1"/>
    <n v="-40"/>
    <n v="940"/>
  </r>
  <r>
    <x v="51"/>
    <s v="conventional_default_dq_cai_156"/>
    <x v="196"/>
    <n v="1.49"/>
    <n v="1"/>
    <n v="-40"/>
    <n v="940"/>
  </r>
  <r>
    <x v="51"/>
    <s v="conventional_default_dq_cai_157"/>
    <x v="197"/>
    <n v="1.49"/>
    <n v="1"/>
    <n v="-40"/>
    <n v="940"/>
  </r>
  <r>
    <x v="51"/>
    <s v="conventional_default_dq_cai_158"/>
    <x v="198"/>
    <n v="1.49"/>
    <n v="1"/>
    <n v="-40"/>
    <n v="940"/>
  </r>
  <r>
    <x v="51"/>
    <s v="conventional_default_dq_cai_159"/>
    <x v="199"/>
    <n v="1.49"/>
    <n v="1"/>
    <n v="-40"/>
    <n v="940"/>
  </r>
  <r>
    <x v="51"/>
    <s v="conventional_default_dq_cai_160"/>
    <x v="200"/>
    <n v="1.49"/>
    <n v="1"/>
    <n v="-40"/>
    <n v="940"/>
  </r>
  <r>
    <x v="51"/>
    <s v="conventional_default_dq_cai_161"/>
    <x v="201"/>
    <n v="1.49"/>
    <n v="1"/>
    <n v="-40"/>
    <n v="940"/>
  </r>
  <r>
    <x v="51"/>
    <s v="conventional_default_dq_cai_162"/>
    <x v="202"/>
    <n v="1.49"/>
    <n v="1"/>
    <n v="-40"/>
    <n v="940"/>
  </r>
  <r>
    <x v="51"/>
    <s v="conventional_default_dq_cai_163"/>
    <x v="203"/>
    <n v="1.49"/>
    <n v="1"/>
    <n v="-40"/>
    <n v="940"/>
  </r>
  <r>
    <x v="51"/>
    <s v="conventional_default_dq_cai_164"/>
    <x v="204"/>
    <n v="1.49"/>
    <n v="1"/>
    <n v="-40"/>
    <n v="940"/>
  </r>
  <r>
    <x v="51"/>
    <s v="conventional_default_dq_cai_165"/>
    <x v="205"/>
    <n v="1.49"/>
    <n v="1"/>
    <n v="-40"/>
    <n v="940"/>
  </r>
  <r>
    <x v="51"/>
    <s v="conventional_default_dq_cai_166"/>
    <x v="206"/>
    <n v="1.49"/>
    <n v="1"/>
    <n v="-40"/>
    <n v="940"/>
  </r>
  <r>
    <x v="51"/>
    <s v="conventional_default_dq_cai_167"/>
    <x v="207"/>
    <n v="1.49"/>
    <n v="1"/>
    <n v="-40"/>
    <n v="940"/>
  </r>
  <r>
    <x v="51"/>
    <s v="conventional_default_dq_cai_168"/>
    <x v="208"/>
    <n v="1.49"/>
    <n v="1"/>
    <n v="-40"/>
    <n v="940"/>
  </r>
  <r>
    <x v="51"/>
    <s v="conventional_default_dq_cai_169"/>
    <x v="209"/>
    <n v="1.49"/>
    <n v="1"/>
    <n v="-40"/>
    <n v="940"/>
  </r>
  <r>
    <x v="51"/>
    <s v="conventional_default_dq_cai_170"/>
    <x v="210"/>
    <n v="1.49"/>
    <n v="1"/>
    <n v="-40"/>
    <n v="940"/>
  </r>
  <r>
    <x v="51"/>
    <s v="conventional_default_dq_cai_171"/>
    <x v="211"/>
    <n v="1.49"/>
    <n v="1"/>
    <n v="-40"/>
    <n v="940"/>
  </r>
  <r>
    <x v="51"/>
    <s v="conventional_default_dq_cai_172"/>
    <x v="212"/>
    <n v="1.49"/>
    <n v="1"/>
    <n v="-40"/>
    <n v="940"/>
  </r>
  <r>
    <x v="51"/>
    <s v="conventional_default_dq_cai_173"/>
    <x v="213"/>
    <n v="1.49"/>
    <n v="1"/>
    <n v="-40"/>
    <n v="940"/>
  </r>
  <r>
    <x v="51"/>
    <s v="conventional_default_dq_cai_174"/>
    <x v="214"/>
    <n v="1.49"/>
    <n v="1"/>
    <n v="-40"/>
    <n v="940"/>
  </r>
  <r>
    <x v="51"/>
    <s v="conventional_default_dq_cai_175"/>
    <x v="215"/>
    <n v="1.49"/>
    <n v="1"/>
    <n v="-40"/>
    <n v="940"/>
  </r>
  <r>
    <x v="51"/>
    <s v="conventional_default_dq_cai_176"/>
    <x v="216"/>
    <n v="1.49"/>
    <n v="1"/>
    <n v="-40"/>
    <n v="940"/>
  </r>
  <r>
    <x v="51"/>
    <s v="conventional_default_dq_cai_177"/>
    <x v="217"/>
    <n v="1.49"/>
    <n v="1"/>
    <n v="-40"/>
    <n v="940"/>
  </r>
  <r>
    <x v="51"/>
    <s v="conventional_default_dq_cai_178"/>
    <x v="218"/>
    <n v="1.49"/>
    <n v="1"/>
    <n v="-40"/>
    <n v="940"/>
  </r>
  <r>
    <x v="51"/>
    <s v="conventional_default_dq_cai_179"/>
    <x v="219"/>
    <n v="1.49"/>
    <n v="1"/>
    <n v="-40"/>
    <n v="940"/>
  </r>
  <r>
    <x v="51"/>
    <s v="conventional_default_dq_cai_180"/>
    <x v="220"/>
    <n v="1.49"/>
    <n v="1"/>
    <n v="-40"/>
    <n v="940"/>
  </r>
  <r>
    <x v="51"/>
    <s v="conventional_default_dq_cai_181"/>
    <x v="221"/>
    <n v="1.49"/>
    <n v="1"/>
    <n v="-40"/>
    <n v="940"/>
  </r>
  <r>
    <x v="51"/>
    <s v="conventional_default_dq_cai_182"/>
    <x v="222"/>
    <n v="1.49"/>
    <n v="1"/>
    <n v="-40"/>
    <n v="940"/>
  </r>
  <r>
    <x v="51"/>
    <s v="conventional_default_dq_cai_183"/>
    <x v="223"/>
    <n v="1.49"/>
    <n v="1"/>
    <n v="-40"/>
    <n v="940"/>
  </r>
  <r>
    <x v="51"/>
    <s v="conventional_default_dq_cai_184"/>
    <x v="224"/>
    <n v="1.49"/>
    <n v="1"/>
    <n v="-40"/>
    <n v="940"/>
  </r>
  <r>
    <x v="51"/>
    <s v="conventional_default_dq_cai_185"/>
    <x v="225"/>
    <n v="1.49"/>
    <n v="1"/>
    <n v="-40"/>
    <n v="940"/>
  </r>
  <r>
    <x v="51"/>
    <s v="conventional_default_dq_cai_186"/>
    <x v="226"/>
    <n v="1.49"/>
    <n v="1"/>
    <n v="-40"/>
    <n v="940"/>
  </r>
  <r>
    <x v="51"/>
    <s v="conventional_default_dq_cai_187"/>
    <x v="227"/>
    <n v="1.49"/>
    <n v="1"/>
    <n v="-40"/>
    <n v="940"/>
  </r>
  <r>
    <x v="51"/>
    <s v="conventional_default_dq_cai_188"/>
    <x v="228"/>
    <n v="1.49"/>
    <n v="1"/>
    <n v="-40"/>
    <n v="940"/>
  </r>
  <r>
    <x v="51"/>
    <s v="conventional_default_dq_cai_189"/>
    <x v="229"/>
    <n v="1.49"/>
    <n v="1"/>
    <n v="-40"/>
    <n v="940"/>
  </r>
  <r>
    <x v="51"/>
    <s v="conventional_default_dq_cai_190"/>
    <x v="230"/>
    <n v="1.49"/>
    <n v="1"/>
    <n v="-40"/>
    <n v="940"/>
  </r>
  <r>
    <x v="51"/>
    <s v="conventional_default_dq_cai_191"/>
    <x v="231"/>
    <n v="1.49"/>
    <n v="1"/>
    <n v="-40"/>
    <n v="940"/>
  </r>
  <r>
    <x v="51"/>
    <s v="conventional_default_dq_cai_192"/>
    <x v="232"/>
    <n v="1.49"/>
    <n v="1"/>
    <n v="-40"/>
    <n v="940"/>
  </r>
  <r>
    <x v="51"/>
    <s v="conventional_default_dq_cai_193"/>
    <x v="233"/>
    <n v="1.49"/>
    <n v="1"/>
    <n v="-40"/>
    <n v="940"/>
  </r>
  <r>
    <x v="51"/>
    <s v="conventional_default_dq_cai_194"/>
    <x v="234"/>
    <n v="1.49"/>
    <n v="1"/>
    <n v="-40"/>
    <n v="940"/>
  </r>
  <r>
    <x v="51"/>
    <s v="conventional_default_dq_cai_195"/>
    <x v="235"/>
    <n v="1.49"/>
    <n v="1"/>
    <n v="-40"/>
    <n v="940"/>
  </r>
  <r>
    <x v="51"/>
    <s v="conventional_default_dq_cai_196"/>
    <x v="236"/>
    <n v="1.49"/>
    <n v="1"/>
    <n v="-40"/>
    <n v="940"/>
  </r>
  <r>
    <x v="51"/>
    <s v="conventional_default_dq_cai_197"/>
    <x v="237"/>
    <n v="1.49"/>
    <n v="1"/>
    <n v="-40"/>
    <n v="940"/>
  </r>
  <r>
    <x v="51"/>
    <s v="conventional_default_dq_cai_198"/>
    <x v="238"/>
    <n v="1.49"/>
    <n v="1"/>
    <n v="-40"/>
    <n v="940"/>
  </r>
  <r>
    <x v="51"/>
    <s v="conventional_default_dq_cai_199"/>
    <x v="239"/>
    <n v="1.49"/>
    <n v="1"/>
    <n v="-40"/>
    <n v="940"/>
  </r>
  <r>
    <x v="51"/>
    <s v="conventional_default_dq_cai_200"/>
    <x v="240"/>
    <n v="1.49"/>
    <n v="1"/>
    <n v="-40"/>
    <n v="940"/>
  </r>
  <r>
    <x v="51"/>
    <s v="conventional_default_dq_cai_201"/>
    <x v="241"/>
    <n v="1.49"/>
    <n v="1"/>
    <n v="-40"/>
    <n v="940"/>
  </r>
  <r>
    <x v="51"/>
    <s v="conventional_default_dq_cai_202"/>
    <x v="242"/>
    <n v="1.49"/>
    <n v="1"/>
    <n v="-40"/>
    <n v="940"/>
  </r>
  <r>
    <x v="51"/>
    <s v="conventional_default_dq_cai_203"/>
    <x v="243"/>
    <n v="1.49"/>
    <n v="1"/>
    <n v="-40"/>
    <n v="940"/>
  </r>
  <r>
    <x v="51"/>
    <s v="conventional_default_dq_cai_204"/>
    <x v="244"/>
    <n v="1.49"/>
    <n v="1"/>
    <n v="-40"/>
    <n v="940"/>
  </r>
  <r>
    <x v="51"/>
    <s v="conventional_default_dq_cai_205"/>
    <x v="245"/>
    <n v="1.49"/>
    <n v="1"/>
    <n v="-40"/>
    <n v="940"/>
  </r>
  <r>
    <x v="51"/>
    <s v="conventional_default_dq_cai_206"/>
    <x v="246"/>
    <n v="1.49"/>
    <n v="1"/>
    <n v="-40"/>
    <n v="940"/>
  </r>
  <r>
    <x v="51"/>
    <s v="conventional_default_dq_cai_207"/>
    <x v="247"/>
    <n v="1.49"/>
    <n v="1"/>
    <n v="-40"/>
    <n v="940"/>
  </r>
  <r>
    <x v="51"/>
    <s v="conventional_default_dq_cai_208"/>
    <x v="248"/>
    <n v="1.49"/>
    <n v="1"/>
    <n v="-40"/>
    <n v="940"/>
  </r>
  <r>
    <x v="51"/>
    <s v="conventional_default_dq_cai_209"/>
    <x v="249"/>
    <n v="1.49"/>
    <n v="1"/>
    <n v="-40"/>
    <n v="940"/>
  </r>
  <r>
    <x v="51"/>
    <s v="conventional_default_dq_cai_210"/>
    <x v="250"/>
    <n v="1.49"/>
    <n v="1"/>
    <n v="-40"/>
    <n v="940"/>
  </r>
  <r>
    <x v="51"/>
    <s v="conventional_default_dq_cai_211"/>
    <x v="251"/>
    <n v="1.49"/>
    <n v="1"/>
    <n v="-40"/>
    <n v="940"/>
  </r>
  <r>
    <x v="51"/>
    <s v="conventional_default_dq_cai_212"/>
    <x v="252"/>
    <n v="1.49"/>
    <n v="1"/>
    <n v="-40"/>
    <n v="940"/>
  </r>
  <r>
    <x v="51"/>
    <s v="conventional_default_dq_cai_213"/>
    <x v="253"/>
    <n v="1.49"/>
    <n v="1"/>
    <n v="-40"/>
    <n v="940"/>
  </r>
  <r>
    <x v="51"/>
    <s v="conventional_default_dq_cai_214"/>
    <x v="254"/>
    <n v="1.49"/>
    <n v="1"/>
    <n v="-40"/>
    <n v="940"/>
  </r>
  <r>
    <x v="51"/>
    <s v="conventional_default_dq_cai_215"/>
    <x v="255"/>
    <n v="1.49"/>
    <n v="1"/>
    <n v="-40"/>
    <n v="940"/>
  </r>
  <r>
    <x v="51"/>
    <s v="conventional_default_dq_cai_216"/>
    <x v="256"/>
    <n v="1.49"/>
    <n v="1"/>
    <n v="-40"/>
    <n v="940"/>
  </r>
  <r>
    <x v="51"/>
    <s v="conventional_default_dq_cai_217"/>
    <x v="257"/>
    <n v="1.49"/>
    <n v="1"/>
    <n v="-40"/>
    <n v="940"/>
  </r>
  <r>
    <x v="51"/>
    <s v="conventional_default_dq_cai_218"/>
    <x v="258"/>
    <n v="1.49"/>
    <n v="1"/>
    <n v="-40"/>
    <n v="940"/>
  </r>
  <r>
    <x v="51"/>
    <s v="conventional_default_dq_cai_219"/>
    <x v="259"/>
    <n v="1.49"/>
    <n v="1"/>
    <n v="-40"/>
    <n v="940"/>
  </r>
  <r>
    <x v="51"/>
    <s v="conventional_default_dq_cai_220"/>
    <x v="260"/>
    <n v="1.49"/>
    <n v="1"/>
    <n v="-40"/>
    <n v="940"/>
  </r>
  <r>
    <x v="51"/>
    <s v="conventional_default_dq_cai_221"/>
    <x v="261"/>
    <n v="1.49"/>
    <n v="1"/>
    <n v="-40"/>
    <n v="940"/>
  </r>
  <r>
    <x v="51"/>
    <s v="conventional_default_dq_cai_222"/>
    <x v="262"/>
    <n v="1.49"/>
    <n v="1"/>
    <n v="-40"/>
    <n v="940"/>
  </r>
  <r>
    <x v="51"/>
    <s v="conventional_default_dq_cai_223"/>
    <x v="263"/>
    <n v="1.49"/>
    <n v="1"/>
    <n v="-40"/>
    <n v="940"/>
  </r>
  <r>
    <x v="51"/>
    <s v="conventional_default_dq_cai_224"/>
    <x v="264"/>
    <n v="1.49"/>
    <n v="1"/>
    <n v="-40"/>
    <n v="940"/>
  </r>
  <r>
    <x v="51"/>
    <s v="conventional_default_dq_cai_225"/>
    <x v="265"/>
    <n v="1.49"/>
    <n v="1"/>
    <n v="-40"/>
    <n v="940"/>
  </r>
  <r>
    <x v="51"/>
    <s v="conventional_default_dq_cai_226"/>
    <x v="266"/>
    <n v="1.49"/>
    <n v="1"/>
    <n v="-40"/>
    <n v="940"/>
  </r>
  <r>
    <x v="51"/>
    <s v="conventional_default_dq_cai_227"/>
    <x v="267"/>
    <n v="1.49"/>
    <n v="1"/>
    <n v="-40"/>
    <n v="940"/>
  </r>
  <r>
    <x v="51"/>
    <s v="conventional_default_dq_cai_228"/>
    <x v="268"/>
    <n v="1.49"/>
    <n v="1"/>
    <n v="-40"/>
    <n v="940"/>
  </r>
  <r>
    <x v="51"/>
    <s v="conventional_default_dq_cai_229"/>
    <x v="269"/>
    <n v="1.49"/>
    <n v="1"/>
    <n v="-40"/>
    <n v="940"/>
  </r>
  <r>
    <x v="51"/>
    <s v="conventional_default_dq_cai_230"/>
    <x v="270"/>
    <n v="1.49"/>
    <n v="1"/>
    <n v="-40"/>
    <n v="940"/>
  </r>
  <r>
    <x v="51"/>
    <s v="conventional_default_dq_cai_231"/>
    <x v="271"/>
    <n v="1.49"/>
    <n v="1"/>
    <n v="-40"/>
    <n v="940"/>
  </r>
  <r>
    <x v="51"/>
    <s v="conventional_default_dq_cai_232"/>
    <x v="272"/>
    <n v="1.49"/>
    <n v="1"/>
    <n v="-40"/>
    <n v="940"/>
  </r>
  <r>
    <x v="51"/>
    <s v="conventional_default_dq_cai_233"/>
    <x v="273"/>
    <n v="1.49"/>
    <n v="1"/>
    <n v="-40"/>
    <n v="940"/>
  </r>
  <r>
    <x v="51"/>
    <s v="conventional_default_dq_cai_234"/>
    <x v="274"/>
    <n v="1.49"/>
    <n v="1"/>
    <n v="-40"/>
    <n v="940"/>
  </r>
  <r>
    <x v="51"/>
    <s v="conventional_default_dq_cai_235"/>
    <x v="275"/>
    <n v="1.49"/>
    <n v="1"/>
    <n v="-40"/>
    <n v="940"/>
  </r>
  <r>
    <x v="51"/>
    <s v="conventional_default_dq_cai_236"/>
    <x v="276"/>
    <n v="1.49"/>
    <n v="1"/>
    <n v="-40"/>
    <n v="940"/>
  </r>
  <r>
    <x v="51"/>
    <s v="conventional_default_dq_cai_237"/>
    <x v="277"/>
    <n v="1.49"/>
    <n v="1"/>
    <n v="-40"/>
    <n v="940"/>
  </r>
  <r>
    <x v="51"/>
    <s v="conventional_default_dq_cai_238"/>
    <x v="278"/>
    <n v="1.49"/>
    <n v="1"/>
    <n v="-40"/>
    <n v="940"/>
  </r>
  <r>
    <x v="51"/>
    <s v="conventional_default_dq_cai_239"/>
    <x v="279"/>
    <n v="1.49"/>
    <n v="1"/>
    <n v="-40"/>
    <n v="940"/>
  </r>
  <r>
    <x v="51"/>
    <s v="conventional_default_dq_cai_240"/>
    <x v="280"/>
    <n v="1.49"/>
    <n v="1"/>
    <n v="-40"/>
    <n v="940"/>
  </r>
  <r>
    <x v="51"/>
    <s v="conventional_default_dq_cai_241"/>
    <x v="281"/>
    <n v="1.49"/>
    <n v="1"/>
    <n v="-40"/>
    <n v="940"/>
  </r>
  <r>
    <x v="51"/>
    <s v="conventional_default_dq_cai_242"/>
    <x v="282"/>
    <n v="1.49"/>
    <n v="1"/>
    <n v="-40"/>
    <n v="940"/>
  </r>
  <r>
    <x v="51"/>
    <s v="conventional_default_dq_cai_243"/>
    <x v="283"/>
    <n v="1.49"/>
    <n v="1"/>
    <n v="-40"/>
    <n v="940"/>
  </r>
  <r>
    <x v="51"/>
    <s v="conventional_default_dq_cai_244"/>
    <x v="284"/>
    <n v="1.49"/>
    <n v="1"/>
    <n v="-40"/>
    <n v="940"/>
  </r>
  <r>
    <x v="51"/>
    <s v="conventional_default_dq_cai_245"/>
    <x v="285"/>
    <n v="1.49"/>
    <n v="1"/>
    <n v="-40"/>
    <n v="940"/>
  </r>
  <r>
    <x v="51"/>
    <s v="conventional_default_dq_cai_246"/>
    <x v="286"/>
    <n v="1.49"/>
    <n v="1"/>
    <n v="-40"/>
    <n v="940"/>
  </r>
  <r>
    <x v="51"/>
    <s v="conventional_default_dq_cai_247"/>
    <x v="287"/>
    <n v="1.49"/>
    <n v="1"/>
    <n v="-40"/>
    <n v="940"/>
  </r>
  <r>
    <x v="51"/>
    <s v="conventional_default_dq_cai_248"/>
    <x v="288"/>
    <n v="1.49"/>
    <n v="1"/>
    <n v="-40"/>
    <n v="940"/>
  </r>
  <r>
    <x v="51"/>
    <s v="conventional_default_dq_cai_249"/>
    <x v="289"/>
    <n v="1.49"/>
    <n v="1"/>
    <n v="-40"/>
    <n v="940"/>
  </r>
  <r>
    <x v="51"/>
    <s v="conventional_default_dq_cai_250"/>
    <x v="290"/>
    <n v="1.49"/>
    <n v="1"/>
    <n v="-40"/>
    <n v="940"/>
  </r>
  <r>
    <x v="51"/>
    <s v="conventional_default_dq_cai_251"/>
    <x v="291"/>
    <n v="1.49"/>
    <n v="1"/>
    <n v="-40"/>
    <n v="940"/>
  </r>
  <r>
    <x v="51"/>
    <s v="conventional_default_dq_cai_252"/>
    <x v="292"/>
    <n v="1.49"/>
    <n v="1"/>
    <n v="-40"/>
    <n v="940"/>
  </r>
  <r>
    <x v="51"/>
    <s v="conventional_default_dq_cai_253"/>
    <x v="293"/>
    <n v="1.49"/>
    <n v="1"/>
    <n v="-40"/>
    <n v="940"/>
  </r>
  <r>
    <x v="51"/>
    <s v="conventional_default_dq_cai_254"/>
    <x v="294"/>
    <n v="1.49"/>
    <n v="1"/>
    <n v="-40"/>
    <n v="940"/>
  </r>
  <r>
    <x v="51"/>
    <s v="conventional_default_dq_cai_255"/>
    <x v="295"/>
    <n v="1.49"/>
    <n v="1"/>
    <n v="-40"/>
    <n v="940"/>
  </r>
  <r>
    <x v="51"/>
    <s v="conventional_default_dq_cai_256"/>
    <x v="296"/>
    <n v="1.49"/>
    <n v="1"/>
    <n v="-40"/>
    <n v="940"/>
  </r>
  <r>
    <x v="51"/>
    <s v="conventional_default_dq_cai_257"/>
    <x v="297"/>
    <n v="1.49"/>
    <n v="1"/>
    <n v="-40"/>
    <n v="940"/>
  </r>
  <r>
    <x v="51"/>
    <s v="conventional_default_dq_cai_258"/>
    <x v="298"/>
    <n v="1.49"/>
    <n v="1"/>
    <n v="-40"/>
    <n v="940"/>
  </r>
  <r>
    <x v="51"/>
    <s v="conventional_default_dq_cai_259"/>
    <x v="299"/>
    <n v="1.49"/>
    <n v="1"/>
    <n v="-40"/>
    <n v="940"/>
  </r>
  <r>
    <x v="51"/>
    <s v="conventional_default_dq_cai_260"/>
    <x v="300"/>
    <n v="1.49"/>
    <n v="1"/>
    <n v="-40"/>
    <n v="940"/>
  </r>
  <r>
    <x v="51"/>
    <s v="conventional_default_dq_cai_261"/>
    <x v="301"/>
    <n v="1.49"/>
    <n v="1"/>
    <n v="-40"/>
    <n v="940"/>
  </r>
  <r>
    <x v="51"/>
    <s v="conventional_default_dq_cai_262"/>
    <x v="302"/>
    <n v="1.49"/>
    <n v="1"/>
    <n v="-40"/>
    <n v="940"/>
  </r>
  <r>
    <x v="51"/>
    <s v="conventional_default_dq_cai_263"/>
    <x v="303"/>
    <n v="1.49"/>
    <n v="1"/>
    <n v="-40"/>
    <n v="940"/>
  </r>
  <r>
    <x v="51"/>
    <s v="conventional_default_dq_cai_264"/>
    <x v="304"/>
    <n v="1.49"/>
    <n v="1"/>
    <n v="-40"/>
    <n v="940"/>
  </r>
  <r>
    <x v="51"/>
    <s v="conventional_default_dq_cai_265"/>
    <x v="305"/>
    <n v="1.49"/>
    <n v="1"/>
    <n v="-40"/>
    <n v="940"/>
  </r>
  <r>
    <x v="51"/>
    <s v="conventional_default_dq_cai_266"/>
    <x v="306"/>
    <n v="1.49"/>
    <n v="1"/>
    <n v="-40"/>
    <n v="940"/>
  </r>
  <r>
    <x v="51"/>
    <s v="conventional_default_dq_cai_267"/>
    <x v="307"/>
    <n v="1.49"/>
    <n v="1"/>
    <n v="-40"/>
    <n v="940"/>
  </r>
  <r>
    <x v="51"/>
    <s v="conventional_default_dq_cai_268"/>
    <x v="308"/>
    <n v="1.49"/>
    <n v="1"/>
    <n v="-40"/>
    <n v="940"/>
  </r>
  <r>
    <x v="51"/>
    <s v="conventional_default_dq_cai_269"/>
    <x v="309"/>
    <n v="1.49"/>
    <n v="1"/>
    <n v="-40"/>
    <n v="940"/>
  </r>
  <r>
    <x v="51"/>
    <s v="conventional_default_dq_cai_270"/>
    <x v="310"/>
    <n v="1.49"/>
    <n v="1"/>
    <n v="-40"/>
    <n v="940"/>
  </r>
  <r>
    <x v="51"/>
    <s v="conventional_default_dq_cai_271"/>
    <x v="311"/>
    <n v="1.49"/>
    <n v="1"/>
    <n v="-40"/>
    <n v="940"/>
  </r>
  <r>
    <x v="51"/>
    <s v="conventional_default_dq_cai_272"/>
    <x v="312"/>
    <n v="1.49"/>
    <n v="1"/>
    <n v="-40"/>
    <n v="940"/>
  </r>
  <r>
    <x v="51"/>
    <s v="conventional_default_dq_cai_273"/>
    <x v="313"/>
    <n v="1.49"/>
    <n v="1"/>
    <n v="-40"/>
    <n v="940"/>
  </r>
  <r>
    <x v="51"/>
    <s v="conventional_default_dq_cai_274"/>
    <x v="314"/>
    <n v="1.49"/>
    <n v="1"/>
    <n v="-40"/>
    <n v="940"/>
  </r>
  <r>
    <x v="51"/>
    <s v="conventional_default_dq_cai_275"/>
    <x v="315"/>
    <n v="1.49"/>
    <n v="1"/>
    <n v="-40"/>
    <n v="940"/>
  </r>
  <r>
    <x v="51"/>
    <s v="conventional_default_dq_cai_276"/>
    <x v="316"/>
    <n v="1.49"/>
    <n v="1"/>
    <n v="-40"/>
    <n v="940"/>
  </r>
  <r>
    <x v="51"/>
    <s v="conventional_default_dq_cai_277"/>
    <x v="317"/>
    <n v="1.49"/>
    <n v="1"/>
    <n v="-40"/>
    <n v="940"/>
  </r>
  <r>
    <x v="51"/>
    <s v="conventional_default_dq_cai_278"/>
    <x v="318"/>
    <n v="1.49"/>
    <n v="1"/>
    <n v="-40"/>
    <n v="940"/>
  </r>
  <r>
    <x v="51"/>
    <s v="conventional_default_dq_cai_279"/>
    <x v="319"/>
    <n v="1.49"/>
    <n v="1"/>
    <n v="-40"/>
    <n v="940"/>
  </r>
  <r>
    <x v="51"/>
    <s v="conventional_default_dq_cai_280"/>
    <x v="320"/>
    <n v="1.49"/>
    <n v="1"/>
    <n v="-40"/>
    <n v="940"/>
  </r>
  <r>
    <x v="51"/>
    <s v="conventional_default_dq_cai_281"/>
    <x v="321"/>
    <n v="1.49"/>
    <n v="1"/>
    <n v="-40"/>
    <n v="940"/>
  </r>
  <r>
    <x v="51"/>
    <s v="conventional_default_dq_cai_282"/>
    <x v="322"/>
    <n v="1.49"/>
    <n v="1"/>
    <n v="-40"/>
    <n v="940"/>
  </r>
  <r>
    <x v="51"/>
    <s v="conventional_default_dq_cai_283"/>
    <x v="323"/>
    <n v="1.49"/>
    <n v="1"/>
    <n v="-40"/>
    <n v="940"/>
  </r>
  <r>
    <x v="51"/>
    <s v="conventional_default_dq_cai_284"/>
    <x v="324"/>
    <n v="1.49"/>
    <n v="1"/>
    <n v="-40"/>
    <n v="940"/>
  </r>
  <r>
    <x v="51"/>
    <s v="conventional_default_dq_cai_285"/>
    <x v="325"/>
    <n v="1.49"/>
    <n v="1"/>
    <n v="-40"/>
    <n v="940"/>
  </r>
  <r>
    <x v="51"/>
    <s v="conventional_default_dq_cai_286"/>
    <x v="326"/>
    <n v="1.49"/>
    <n v="1"/>
    <n v="-40"/>
    <n v="940"/>
  </r>
  <r>
    <x v="51"/>
    <s v="conventional_default_dq_cai_287"/>
    <x v="327"/>
    <n v="1.49"/>
    <n v="1"/>
    <n v="-40"/>
    <n v="940"/>
  </r>
  <r>
    <x v="51"/>
    <s v="conventional_default_dq_cai_288"/>
    <x v="328"/>
    <n v="1.49"/>
    <n v="1"/>
    <n v="-40"/>
    <n v="940"/>
  </r>
  <r>
    <x v="51"/>
    <s v="conventional_default_dq_cai_289"/>
    <x v="329"/>
    <n v="1.49"/>
    <n v="1"/>
    <n v="-40"/>
    <n v="940"/>
  </r>
  <r>
    <x v="51"/>
    <s v="conventional_default_dq_cai_290"/>
    <x v="330"/>
    <n v="1.49"/>
    <n v="1"/>
    <n v="-40"/>
    <n v="940"/>
  </r>
  <r>
    <x v="51"/>
    <s v="conventional_default_dq_cai_291"/>
    <x v="331"/>
    <n v="1.49"/>
    <n v="1"/>
    <n v="-40"/>
    <n v="940"/>
  </r>
  <r>
    <x v="51"/>
    <s v="conventional_default_dq_cai_292"/>
    <x v="332"/>
    <n v="1.49"/>
    <n v="1"/>
    <n v="-40"/>
    <n v="940"/>
  </r>
  <r>
    <x v="51"/>
    <s v="conventional_default_dq_cai_293"/>
    <x v="333"/>
    <n v="1.49"/>
    <n v="1"/>
    <n v="-40"/>
    <n v="940"/>
  </r>
  <r>
    <x v="51"/>
    <s v="conventional_default_dq_cai_294"/>
    <x v="334"/>
    <n v="1.49"/>
    <n v="1"/>
    <n v="-40"/>
    <n v="940"/>
  </r>
  <r>
    <x v="51"/>
    <s v="conventional_default_dq_cai_295"/>
    <x v="335"/>
    <n v="1.49"/>
    <n v="1"/>
    <n v="-40"/>
    <n v="940"/>
  </r>
  <r>
    <x v="51"/>
    <s v="conventional_default_dq_cai_296"/>
    <x v="336"/>
    <n v="1.49"/>
    <n v="1"/>
    <n v="-40"/>
    <n v="940"/>
  </r>
  <r>
    <x v="51"/>
    <s v="conventional_default_dq_cai_297"/>
    <x v="337"/>
    <n v="1.49"/>
    <n v="1"/>
    <n v="-40"/>
    <n v="940"/>
  </r>
  <r>
    <x v="51"/>
    <s v="conventional_default_dq_cai_298"/>
    <x v="338"/>
    <n v="1.49"/>
    <n v="1"/>
    <n v="-40"/>
    <n v="940"/>
  </r>
  <r>
    <x v="51"/>
    <s v="conventional_default_dq_cai_299"/>
    <x v="339"/>
    <n v="1.49"/>
    <n v="1"/>
    <n v="-40"/>
    <n v="940"/>
  </r>
  <r>
    <x v="51"/>
    <s v="conventional_default_dq_cai_300"/>
    <x v="340"/>
    <n v="1.49"/>
    <n v="1"/>
    <n v="-40"/>
    <n v="940"/>
  </r>
  <r>
    <x v="51"/>
    <s v="conventional_default_dq_cai_301"/>
    <x v="341"/>
    <n v="1.49"/>
    <n v="1"/>
    <n v="-40"/>
    <n v="940"/>
  </r>
  <r>
    <x v="51"/>
    <s v="conventional_default_dq_cai_302"/>
    <x v="342"/>
    <n v="1.49"/>
    <n v="1"/>
    <n v="-40"/>
    <n v="940"/>
  </r>
  <r>
    <x v="51"/>
    <s v="conventional_default_dq_cai_303"/>
    <x v="343"/>
    <n v="1.49"/>
    <n v="1"/>
    <n v="-40"/>
    <n v="940"/>
  </r>
  <r>
    <x v="51"/>
    <s v="conventional_default_dq_cai_304"/>
    <x v="344"/>
    <n v="1.49"/>
    <n v="1"/>
    <n v="-40"/>
    <n v="940"/>
  </r>
  <r>
    <x v="51"/>
    <s v="conventional_default_dq_cai_305"/>
    <x v="345"/>
    <n v="1.49"/>
    <n v="1"/>
    <n v="-40"/>
    <n v="940"/>
  </r>
  <r>
    <x v="51"/>
    <s v="conventional_default_dq_cai_306"/>
    <x v="346"/>
    <n v="1.49"/>
    <n v="1"/>
    <n v="-40"/>
    <n v="940"/>
  </r>
  <r>
    <x v="51"/>
    <s v="conventional_default_dq_cai_307"/>
    <x v="347"/>
    <n v="1.49"/>
    <n v="1"/>
    <n v="-40"/>
    <n v="940"/>
  </r>
  <r>
    <x v="51"/>
    <s v="conventional_default_dq_cai_308"/>
    <x v="348"/>
    <n v="1.49"/>
    <n v="1"/>
    <n v="-40"/>
    <n v="940"/>
  </r>
  <r>
    <x v="51"/>
    <s v="conventional_default_dq_cai_309"/>
    <x v="349"/>
    <n v="1.49"/>
    <n v="1"/>
    <n v="-40"/>
    <n v="940"/>
  </r>
  <r>
    <x v="51"/>
    <s v="conventional_default_dq_cai_310"/>
    <x v="350"/>
    <n v="1.49"/>
    <n v="1"/>
    <n v="-40"/>
    <n v="940"/>
  </r>
  <r>
    <x v="51"/>
    <s v="conventional_default_dq_cai_311"/>
    <x v="351"/>
    <n v="1.49"/>
    <n v="1"/>
    <n v="-40"/>
    <n v="940"/>
  </r>
  <r>
    <x v="51"/>
    <s v="conventional_default_dq_cai_312"/>
    <x v="352"/>
    <n v="1.49"/>
    <n v="1"/>
    <n v="-40"/>
    <n v="940"/>
  </r>
  <r>
    <x v="51"/>
    <s v="conventional_default_dq_cai_313"/>
    <x v="353"/>
    <n v="1.49"/>
    <n v="1"/>
    <n v="-40"/>
    <n v="940"/>
  </r>
  <r>
    <x v="51"/>
    <s v="conventional_default_dq_cai_314"/>
    <x v="354"/>
    <n v="1.49"/>
    <n v="1"/>
    <n v="-40"/>
    <n v="940"/>
  </r>
  <r>
    <x v="51"/>
    <s v="conventional_default_dq_cai_315"/>
    <x v="355"/>
    <n v="1.49"/>
    <n v="1"/>
    <n v="-40"/>
    <n v="940"/>
  </r>
  <r>
    <x v="51"/>
    <s v="conventional_default_dq_cai_316"/>
    <x v="356"/>
    <n v="1.49"/>
    <n v="1"/>
    <n v="-40"/>
    <n v="940"/>
  </r>
  <r>
    <x v="51"/>
    <s v="conventional_default_dq_cai_317"/>
    <x v="357"/>
    <n v="1.49"/>
    <n v="1"/>
    <n v="-40"/>
    <n v="940"/>
  </r>
  <r>
    <x v="51"/>
    <s v="conventional_default_dq_cai_318"/>
    <x v="358"/>
    <n v="1.49"/>
    <n v="1"/>
    <n v="-40"/>
    <n v="940"/>
  </r>
  <r>
    <x v="51"/>
    <s v="conventional_default_dq_cai_319"/>
    <x v="359"/>
    <n v="1.49"/>
    <n v="1"/>
    <n v="-40"/>
    <n v="940"/>
  </r>
  <r>
    <x v="51"/>
    <s v="conventional_default_dq_cai_320"/>
    <x v="360"/>
    <n v="1.49"/>
    <n v="1"/>
    <n v="-40"/>
    <n v="940"/>
  </r>
  <r>
    <x v="51"/>
    <s v="conventional_default_dq_cai_321"/>
    <x v="361"/>
    <n v="1.49"/>
    <n v="1"/>
    <n v="-40"/>
    <n v="940"/>
  </r>
  <r>
    <x v="51"/>
    <s v="conventional_default_dq_cai_322"/>
    <x v="362"/>
    <n v="1.49"/>
    <n v="1"/>
    <n v="-40"/>
    <n v="940"/>
  </r>
  <r>
    <x v="51"/>
    <s v="conventional_default_dq_cai_323"/>
    <x v="363"/>
    <n v="1.49"/>
    <n v="1"/>
    <n v="-40"/>
    <n v="940"/>
  </r>
  <r>
    <x v="51"/>
    <s v="conventional_default_dq_cai_324"/>
    <x v="364"/>
    <n v="1.49"/>
    <n v="1"/>
    <n v="-40"/>
    <n v="940"/>
  </r>
  <r>
    <x v="51"/>
    <s v="conventional_default_dq_cai_325"/>
    <x v="365"/>
    <n v="1.49"/>
    <n v="1"/>
    <n v="-40"/>
    <n v="940"/>
  </r>
  <r>
    <x v="51"/>
    <s v="conventional_default_dq_cai_326"/>
    <x v="366"/>
    <n v="1.49"/>
    <n v="1"/>
    <n v="-40"/>
    <n v="940"/>
  </r>
  <r>
    <x v="51"/>
    <s v="conventional_default_dq_cai_327"/>
    <x v="367"/>
    <n v="1.49"/>
    <n v="1"/>
    <n v="-40"/>
    <n v="940"/>
  </r>
  <r>
    <x v="51"/>
    <s v="conventional_default_dq_cai_328"/>
    <x v="368"/>
    <n v="1.49"/>
    <n v="1"/>
    <n v="-40"/>
    <n v="940"/>
  </r>
  <r>
    <x v="51"/>
    <s v="conventional_default_dq_cai_329"/>
    <x v="369"/>
    <n v="1.49"/>
    <n v="1"/>
    <n v="-40"/>
    <n v="940"/>
  </r>
  <r>
    <x v="51"/>
    <s v="conventional_default_dq_cai_330"/>
    <x v="370"/>
    <n v="1.49"/>
    <n v="1"/>
    <n v="-40"/>
    <n v="940"/>
  </r>
  <r>
    <x v="51"/>
    <s v="conventional_default_dq_cai_331"/>
    <x v="371"/>
    <n v="1.49"/>
    <n v="1"/>
    <n v="-40"/>
    <n v="940"/>
  </r>
  <r>
    <x v="51"/>
    <s v="conventional_default_dq_cai_332"/>
    <x v="372"/>
    <n v="1.49"/>
    <n v="1"/>
    <n v="-40"/>
    <n v="940"/>
  </r>
  <r>
    <x v="51"/>
    <s v="conventional_default_dq_cai_333"/>
    <x v="373"/>
    <n v="1.49"/>
    <n v="1"/>
    <n v="-40"/>
    <n v="940"/>
  </r>
  <r>
    <x v="51"/>
    <s v="conventional_default_dq_cai_334"/>
    <x v="374"/>
    <n v="1.49"/>
    <n v="1"/>
    <n v="-40"/>
    <n v="940"/>
  </r>
  <r>
    <x v="51"/>
    <s v="conventional_default_dq_cai_335"/>
    <x v="375"/>
    <n v="1.49"/>
    <n v="1"/>
    <n v="-40"/>
    <n v="940"/>
  </r>
  <r>
    <x v="51"/>
    <s v="conventional_default_dq_cai_336"/>
    <x v="376"/>
    <n v="1.49"/>
    <n v="1"/>
    <n v="-40"/>
    <n v="940"/>
  </r>
  <r>
    <x v="51"/>
    <s v="conventional_default_dq_cai_337"/>
    <x v="377"/>
    <n v="1.49"/>
    <n v="1"/>
    <n v="-40"/>
    <n v="940"/>
  </r>
  <r>
    <x v="51"/>
    <s v="conventional_default_dq_cai_338"/>
    <x v="378"/>
    <n v="1.49"/>
    <n v="1"/>
    <n v="-40"/>
    <n v="940"/>
  </r>
  <r>
    <x v="51"/>
    <s v="conventional_default_dq_cai_339"/>
    <x v="379"/>
    <n v="1.49"/>
    <n v="1"/>
    <n v="-40"/>
    <n v="940"/>
  </r>
  <r>
    <x v="51"/>
    <s v="conventional_default_dq_cai_340"/>
    <x v="380"/>
    <n v="1.49"/>
    <n v="1"/>
    <n v="-40"/>
    <n v="940"/>
  </r>
  <r>
    <x v="51"/>
    <s v="conventional_default_dq_cai_341"/>
    <x v="381"/>
    <n v="1.49"/>
    <n v="1"/>
    <n v="-40"/>
    <n v="940"/>
  </r>
  <r>
    <x v="51"/>
    <s v="conventional_default_dq_cai_342"/>
    <x v="382"/>
    <n v="1.49"/>
    <n v="1"/>
    <n v="-40"/>
    <n v="940"/>
  </r>
  <r>
    <x v="51"/>
    <s v="conventional_default_dq_cai_343"/>
    <x v="383"/>
    <n v="1.49"/>
    <n v="1"/>
    <n v="-40"/>
    <n v="940"/>
  </r>
  <r>
    <x v="51"/>
    <s v="conventional_default_dq_cai_344"/>
    <x v="384"/>
    <n v="1.49"/>
    <n v="1"/>
    <n v="-40"/>
    <n v="940"/>
  </r>
  <r>
    <x v="51"/>
    <s v="conventional_default_dq_cai_345"/>
    <x v="385"/>
    <n v="1.49"/>
    <n v="1"/>
    <n v="-40"/>
    <n v="940"/>
  </r>
  <r>
    <x v="51"/>
    <s v="conventional_default_dq_cai_346"/>
    <x v="386"/>
    <n v="1.49"/>
    <n v="1"/>
    <n v="-40"/>
    <n v="940"/>
  </r>
  <r>
    <x v="51"/>
    <s v="conventional_default_dq_cai_347"/>
    <x v="387"/>
    <n v="1.49"/>
    <n v="1"/>
    <n v="-40"/>
    <n v="940"/>
  </r>
  <r>
    <x v="51"/>
    <s v="conventional_default_dq_cai_348"/>
    <x v="388"/>
    <n v="1.49"/>
    <n v="1"/>
    <n v="-40"/>
    <n v="940"/>
  </r>
  <r>
    <x v="51"/>
    <s v="conventional_default_dq_cai_349"/>
    <x v="389"/>
    <n v="1.49"/>
    <n v="1"/>
    <n v="-40"/>
    <n v="940"/>
  </r>
  <r>
    <x v="51"/>
    <s v="conventional_default_dq_cai_350"/>
    <x v="390"/>
    <n v="1.49"/>
    <n v="1"/>
    <n v="-40"/>
    <n v="940"/>
  </r>
  <r>
    <x v="51"/>
    <s v="conventional_default_dq_cai_351"/>
    <x v="391"/>
    <n v="1.49"/>
    <n v="1"/>
    <n v="-40"/>
    <n v="940"/>
  </r>
  <r>
    <x v="51"/>
    <s v="conventional_default_dq_cai_352"/>
    <x v="392"/>
    <n v="1.49"/>
    <n v="1"/>
    <n v="-40"/>
    <n v="940"/>
  </r>
  <r>
    <x v="51"/>
    <s v="conventional_default_dq_cai_353"/>
    <x v="393"/>
    <n v="1.49"/>
    <n v="1"/>
    <n v="-40"/>
    <n v="940"/>
  </r>
  <r>
    <x v="51"/>
    <s v="conventional_default_dq_cai_354"/>
    <x v="394"/>
    <n v="1.49"/>
    <n v="1"/>
    <n v="-40"/>
    <n v="940"/>
  </r>
  <r>
    <x v="51"/>
    <s v="conventional_default_dq_cai_355"/>
    <x v="395"/>
    <n v="1.49"/>
    <n v="1"/>
    <n v="-40"/>
    <n v="940"/>
  </r>
  <r>
    <x v="51"/>
    <s v="conventional_default_dq_cai_356"/>
    <x v="396"/>
    <n v="1.49"/>
    <n v="1"/>
    <n v="-40"/>
    <n v="940"/>
  </r>
  <r>
    <x v="51"/>
    <s v="conventional_default_dq_cai_357"/>
    <x v="397"/>
    <n v="1.49"/>
    <n v="1"/>
    <n v="-40"/>
    <n v="940"/>
  </r>
  <r>
    <x v="51"/>
    <s v="conventional_default_dq_cai_358"/>
    <x v="398"/>
    <n v="1.49"/>
    <n v="1"/>
    <n v="-40"/>
    <n v="940"/>
  </r>
  <r>
    <x v="51"/>
    <s v="conventional_default_dq_cai_359"/>
    <x v="399"/>
    <n v="1.49"/>
    <n v="1"/>
    <n v="-40"/>
    <n v="940"/>
  </r>
  <r>
    <x v="51"/>
    <s v="conventional_default_dq_cai_360"/>
    <x v="400"/>
    <n v="1.49"/>
    <n v="1"/>
    <n v="-40"/>
    <n v="940"/>
  </r>
  <r>
    <x v="51"/>
    <s v="conventional_default_dq_cai_361"/>
    <x v="401"/>
    <n v="1.49"/>
    <n v="1"/>
    <n v="-40"/>
    <n v="940"/>
  </r>
  <r>
    <x v="51"/>
    <s v="conventional_default_dq_cai_362"/>
    <x v="402"/>
    <n v="1.49"/>
    <n v="1"/>
    <n v="-40"/>
    <n v="940"/>
  </r>
  <r>
    <x v="51"/>
    <s v="conventional_default_dq_cai_363"/>
    <x v="403"/>
    <n v="1.49"/>
    <n v="1"/>
    <n v="-40"/>
    <n v="940"/>
  </r>
  <r>
    <x v="51"/>
    <s v="conventional_default_dq_cai_364"/>
    <x v="404"/>
    <n v="1.49"/>
    <n v="1"/>
    <n v="-40"/>
    <n v="940"/>
  </r>
  <r>
    <x v="51"/>
    <s v="conventional_default_dq_cai_365"/>
    <x v="405"/>
    <n v="1.49"/>
    <n v="1"/>
    <n v="-40"/>
    <n v="940"/>
  </r>
  <r>
    <x v="51"/>
    <s v="conventional_default_dq_cai_366"/>
    <x v="406"/>
    <n v="1.49"/>
    <n v="1"/>
    <n v="-40"/>
    <n v="940"/>
  </r>
  <r>
    <x v="51"/>
    <s v="conventional_default_dq_cai_367"/>
    <x v="407"/>
    <n v="1.49"/>
    <n v="1"/>
    <n v="-40"/>
    <n v="940"/>
  </r>
  <r>
    <x v="51"/>
    <s v="conventional_default_dq_cai_368"/>
    <x v="408"/>
    <n v="1.49"/>
    <n v="1"/>
    <n v="-40"/>
    <n v="940"/>
  </r>
  <r>
    <x v="51"/>
    <s v="conventional_default_dq_cai_369"/>
    <x v="409"/>
    <n v="1.49"/>
    <n v="1"/>
    <n v="-40"/>
    <n v="940"/>
  </r>
  <r>
    <x v="51"/>
    <s v="conventional_default_dq_cai_370"/>
    <x v="410"/>
    <n v="1.49"/>
    <n v="1"/>
    <n v="-40"/>
    <n v="940"/>
  </r>
  <r>
    <x v="51"/>
    <s v="conventional_default_dq_cai_371"/>
    <x v="411"/>
    <n v="1.49"/>
    <n v="1"/>
    <n v="-40"/>
    <n v="940"/>
  </r>
  <r>
    <x v="51"/>
    <s v="conventional_default_dq_cai_372"/>
    <x v="412"/>
    <n v="1.49"/>
    <n v="1"/>
    <n v="-40"/>
    <n v="940"/>
  </r>
  <r>
    <x v="51"/>
    <s v="conventional_default_dq_cai_373"/>
    <x v="413"/>
    <n v="1.49"/>
    <n v="1"/>
    <n v="-40"/>
    <n v="940"/>
  </r>
  <r>
    <x v="51"/>
    <s v="conventional_default_dq_cai_374"/>
    <x v="414"/>
    <n v="1.49"/>
    <n v="1"/>
    <n v="-40"/>
    <n v="940"/>
  </r>
  <r>
    <x v="51"/>
    <s v="conventional_default_dq_cai_375"/>
    <x v="415"/>
    <n v="1.49"/>
    <n v="1"/>
    <n v="-40"/>
    <n v="940"/>
  </r>
  <r>
    <x v="51"/>
    <s v="conventional_default_dq_cai_376"/>
    <x v="416"/>
    <n v="1.49"/>
    <n v="1"/>
    <n v="-40"/>
    <n v="940"/>
  </r>
  <r>
    <x v="51"/>
    <s v="conventional_default_dq_cai_377"/>
    <x v="417"/>
    <n v="1.49"/>
    <n v="1"/>
    <n v="-40"/>
    <n v="940"/>
  </r>
  <r>
    <x v="51"/>
    <s v="conventional_default_dq_cai_378"/>
    <x v="418"/>
    <n v="1.49"/>
    <n v="1"/>
    <n v="-40"/>
    <n v="940"/>
  </r>
  <r>
    <x v="51"/>
    <s v="conventional_default_dq_cai_379"/>
    <x v="419"/>
    <n v="1.49"/>
    <n v="1"/>
    <n v="-40"/>
    <n v="940"/>
  </r>
  <r>
    <x v="51"/>
    <s v="conventional_default_dq_cai_380"/>
    <x v="420"/>
    <n v="1.49"/>
    <n v="1"/>
    <n v="-40"/>
    <n v="940"/>
  </r>
  <r>
    <x v="51"/>
    <s v="conventional_default_dq_cai_381"/>
    <x v="421"/>
    <n v="1.49"/>
    <n v="1"/>
    <n v="-40"/>
    <n v="940"/>
  </r>
  <r>
    <x v="51"/>
    <s v="conventional_default_dq_cai_382"/>
    <x v="422"/>
    <n v="1.49"/>
    <n v="1"/>
    <n v="-40"/>
    <n v="940"/>
  </r>
  <r>
    <x v="51"/>
    <s v="conventional_default_dq_cai_383"/>
    <x v="423"/>
    <n v="1.49"/>
    <n v="1"/>
    <n v="-40"/>
    <n v="940"/>
  </r>
  <r>
    <x v="51"/>
    <s v="conventional_default_dq_cai_384"/>
    <x v="424"/>
    <n v="1.49"/>
    <n v="1"/>
    <n v="-40"/>
    <n v="940"/>
  </r>
  <r>
    <x v="51"/>
    <s v="conventional_default_dq_cai_385"/>
    <x v="425"/>
    <n v="1.49"/>
    <n v="1"/>
    <n v="-40"/>
    <n v="940"/>
  </r>
  <r>
    <x v="51"/>
    <s v="conventional_default_dq_cai_386"/>
    <x v="426"/>
    <n v="1.49"/>
    <n v="1"/>
    <n v="-40"/>
    <n v="940"/>
  </r>
  <r>
    <x v="51"/>
    <s v="conventional_default_dq_cai_387"/>
    <x v="427"/>
    <n v="1.49"/>
    <n v="1"/>
    <n v="-40"/>
    <n v="940"/>
  </r>
  <r>
    <x v="51"/>
    <s v="conventional_default_dq_cai_388"/>
    <x v="428"/>
    <n v="1.49"/>
    <n v="1"/>
    <n v="-40"/>
    <n v="940"/>
  </r>
  <r>
    <x v="51"/>
    <s v="conventional_default_dq_cai_389"/>
    <x v="429"/>
    <n v="1.49"/>
    <n v="1"/>
    <n v="-40"/>
    <n v="940"/>
  </r>
  <r>
    <x v="51"/>
    <s v="conventional_default_dq_cai_390"/>
    <x v="430"/>
    <n v="1.49"/>
    <n v="1"/>
    <n v="-40"/>
    <n v="940"/>
  </r>
  <r>
    <x v="51"/>
    <s v="conventional_default_dq_cai_391"/>
    <x v="431"/>
    <n v="1.49"/>
    <n v="1"/>
    <n v="-40"/>
    <n v="940"/>
  </r>
  <r>
    <x v="51"/>
    <s v="conventional_default_dq_cai_392"/>
    <x v="432"/>
    <n v="1.49"/>
    <n v="1"/>
    <n v="-40"/>
    <n v="940"/>
  </r>
  <r>
    <x v="51"/>
    <s v="conventional_default_dq_cai_393"/>
    <x v="433"/>
    <n v="1.49"/>
    <n v="1"/>
    <n v="-40"/>
    <n v="940"/>
  </r>
  <r>
    <x v="51"/>
    <s v="conventional_default_dq_cai_394"/>
    <x v="434"/>
    <n v="1.49"/>
    <n v="1"/>
    <n v="-40"/>
    <n v="940"/>
  </r>
  <r>
    <x v="51"/>
    <s v="conventional_default_dq_cai_395"/>
    <x v="435"/>
    <n v="1.49"/>
    <n v="1"/>
    <n v="-40"/>
    <n v="940"/>
  </r>
  <r>
    <x v="51"/>
    <s v="conventional_default_dq_cai_396"/>
    <x v="436"/>
    <n v="1.49"/>
    <n v="1"/>
    <n v="-40"/>
    <n v="940"/>
  </r>
  <r>
    <x v="51"/>
    <s v="conventional_default_dq_cai_397"/>
    <x v="437"/>
    <n v="1.49"/>
    <n v="1"/>
    <n v="-40"/>
    <n v="940"/>
  </r>
  <r>
    <x v="51"/>
    <s v="conventional_default_dq_cai_398"/>
    <x v="438"/>
    <n v="1.49"/>
    <n v="1"/>
    <n v="-40"/>
    <n v="940"/>
  </r>
  <r>
    <x v="51"/>
    <s v="conventional_default_dq_cai_399"/>
    <x v="439"/>
    <n v="1.49"/>
    <n v="1"/>
    <n v="-40"/>
    <n v="940"/>
  </r>
  <r>
    <x v="51"/>
    <s v="conventional_default_dq_cai_400"/>
    <x v="440"/>
    <n v="1.49"/>
    <n v="1"/>
    <n v="-40"/>
    <n v="940"/>
  </r>
  <r>
    <x v="51"/>
    <s v="conventional_default_dq_cai_401"/>
    <x v="441"/>
    <n v="1.49"/>
    <n v="1"/>
    <n v="-40"/>
    <n v="940"/>
  </r>
  <r>
    <x v="51"/>
    <s v="conventional_default_dq_cai_402"/>
    <x v="442"/>
    <n v="1.49"/>
    <n v="1"/>
    <n v="-40"/>
    <n v="940"/>
  </r>
  <r>
    <x v="51"/>
    <s v="conventional_default_dq_cai_403"/>
    <x v="443"/>
    <n v="1.49"/>
    <n v="1"/>
    <n v="-40"/>
    <n v="940"/>
  </r>
  <r>
    <x v="51"/>
    <s v="conventional_default_dq_cai_404"/>
    <x v="444"/>
    <n v="1.49"/>
    <n v="1"/>
    <n v="-40"/>
    <n v="940"/>
  </r>
  <r>
    <x v="51"/>
    <s v="conventional_default_dq_cai_405"/>
    <x v="445"/>
    <n v="1.49"/>
    <n v="1"/>
    <n v="-40"/>
    <n v="940"/>
  </r>
  <r>
    <x v="51"/>
    <s v="conventional_default_dq_cai_406"/>
    <x v="446"/>
    <n v="1.49"/>
    <n v="1"/>
    <n v="-40"/>
    <n v="940"/>
  </r>
  <r>
    <x v="51"/>
    <s v="conventional_default_dq_cai_407"/>
    <x v="447"/>
    <n v="1.49"/>
    <n v="1"/>
    <n v="-40"/>
    <n v="940"/>
  </r>
  <r>
    <x v="51"/>
    <s v="conventional_default_dq_cai_408"/>
    <x v="448"/>
    <n v="1.49"/>
    <n v="1"/>
    <n v="-40"/>
    <n v="940"/>
  </r>
  <r>
    <x v="51"/>
    <s v="conventional_default_dq_cai_409"/>
    <x v="449"/>
    <n v="1.49"/>
    <n v="1"/>
    <n v="-40"/>
    <n v="940"/>
  </r>
  <r>
    <x v="51"/>
    <s v="conventional_default_dq_cai_410"/>
    <x v="450"/>
    <n v="1.49"/>
    <n v="1"/>
    <n v="-40"/>
    <n v="940"/>
  </r>
  <r>
    <x v="51"/>
    <s v="conventional_default_dq_cai_411"/>
    <x v="451"/>
    <n v="1.49"/>
    <n v="1"/>
    <n v="-40"/>
    <n v="940"/>
  </r>
  <r>
    <x v="51"/>
    <s v="conventional_default_dq_cai_412"/>
    <x v="452"/>
    <n v="1.49"/>
    <n v="1"/>
    <n v="-40"/>
    <n v="940"/>
  </r>
  <r>
    <x v="51"/>
    <s v="conventional_default_dq_cai_413"/>
    <x v="453"/>
    <n v="1.49"/>
    <n v="1"/>
    <n v="-40"/>
    <n v="940"/>
  </r>
  <r>
    <x v="51"/>
    <s v="conventional_default_dq_cai_414"/>
    <x v="454"/>
    <n v="1.49"/>
    <n v="1"/>
    <n v="-40"/>
    <n v="940"/>
  </r>
  <r>
    <x v="51"/>
    <s v="conventional_default_dq_cai_415"/>
    <x v="455"/>
    <n v="1.49"/>
    <n v="1"/>
    <n v="-40"/>
    <n v="940"/>
  </r>
  <r>
    <x v="51"/>
    <s v="conventional_default_dq_cai_416"/>
    <x v="456"/>
    <n v="1.49"/>
    <n v="1"/>
    <n v="-40"/>
    <n v="940"/>
  </r>
  <r>
    <x v="51"/>
    <s v="conventional_default_dq_cai_417"/>
    <x v="457"/>
    <n v="1.49"/>
    <n v="1"/>
    <n v="-40"/>
    <n v="940"/>
  </r>
  <r>
    <x v="51"/>
    <s v="conventional_default_dq_cai_418"/>
    <x v="458"/>
    <n v="1.49"/>
    <n v="1"/>
    <n v="-40"/>
    <n v="940"/>
  </r>
  <r>
    <x v="51"/>
    <s v="conventional_default_dq_cai_419"/>
    <x v="459"/>
    <n v="1.49"/>
    <n v="1"/>
    <n v="-40"/>
    <n v="940"/>
  </r>
  <r>
    <x v="51"/>
    <s v="conventional_default_dq_cai_420"/>
    <x v="460"/>
    <n v="1.49"/>
    <n v="1"/>
    <n v="-40"/>
    <n v="940"/>
  </r>
  <r>
    <x v="51"/>
    <s v="conventional_default_dq_cai_421"/>
    <x v="461"/>
    <n v="1.49"/>
    <n v="1"/>
    <n v="-40"/>
    <n v="940"/>
  </r>
  <r>
    <x v="51"/>
    <s v="conventional_default_dq_cai_422"/>
    <x v="462"/>
    <n v="1.49"/>
    <n v="1"/>
    <n v="-40"/>
    <n v="940"/>
  </r>
  <r>
    <x v="51"/>
    <s v="conventional_default_dq_cai_423"/>
    <x v="463"/>
    <n v="1.49"/>
    <n v="1"/>
    <n v="-40"/>
    <n v="940"/>
  </r>
  <r>
    <x v="51"/>
    <s v="conventional_default_dq_cai_424"/>
    <x v="464"/>
    <n v="1.49"/>
    <n v="1"/>
    <n v="-40"/>
    <n v="940"/>
  </r>
  <r>
    <x v="51"/>
    <s v="conventional_default_dq_cai_425"/>
    <x v="465"/>
    <n v="1.49"/>
    <n v="1"/>
    <n v="-40"/>
    <n v="940"/>
  </r>
  <r>
    <x v="51"/>
    <s v="conventional_default_dq_cai_426"/>
    <x v="466"/>
    <n v="1.49"/>
    <n v="1"/>
    <n v="-40"/>
    <n v="940"/>
  </r>
  <r>
    <x v="51"/>
    <s v="conventional_default_dq_cai_427"/>
    <x v="467"/>
    <n v="1.49"/>
    <n v="1"/>
    <n v="-40"/>
    <n v="940"/>
  </r>
  <r>
    <x v="51"/>
    <s v="conventional_default_dq_cai_428"/>
    <x v="468"/>
    <n v="1.49"/>
    <n v="1"/>
    <n v="-40"/>
    <n v="940"/>
  </r>
  <r>
    <x v="51"/>
    <s v="conventional_default_dq_cai_429"/>
    <x v="469"/>
    <n v="1.49"/>
    <n v="1"/>
    <n v="-40"/>
    <n v="940"/>
  </r>
  <r>
    <x v="51"/>
    <s v="conventional_default_dq_cai_430"/>
    <x v="470"/>
    <n v="1.49"/>
    <n v="1"/>
    <n v="-40"/>
    <n v="940"/>
  </r>
  <r>
    <x v="51"/>
    <s v="conventional_default_dq_cai_431"/>
    <x v="471"/>
    <n v="1.49"/>
    <n v="1"/>
    <n v="-40"/>
    <n v="940"/>
  </r>
  <r>
    <x v="51"/>
    <s v="conventional_default_dq_cai_432"/>
    <x v="472"/>
    <n v="1.49"/>
    <n v="1"/>
    <n v="-40"/>
    <n v="940"/>
  </r>
  <r>
    <x v="51"/>
    <s v="conventional_default_dq_cai_433"/>
    <x v="473"/>
    <n v="1.49"/>
    <n v="1"/>
    <n v="-40"/>
    <n v="940"/>
  </r>
  <r>
    <x v="51"/>
    <s v="conventional_default_dq_cai_434"/>
    <x v="474"/>
    <n v="1.49"/>
    <n v="1"/>
    <n v="-40"/>
    <n v="940"/>
  </r>
  <r>
    <x v="51"/>
    <s v="conventional_default_dq_cai_435"/>
    <x v="475"/>
    <n v="1.49"/>
    <n v="1"/>
    <n v="-40"/>
    <n v="940"/>
  </r>
  <r>
    <x v="51"/>
    <s v="conventional_default_dq_cai_436"/>
    <x v="476"/>
    <n v="1.49"/>
    <n v="1"/>
    <n v="-40"/>
    <n v="940"/>
  </r>
  <r>
    <x v="51"/>
    <s v="conventional_default_dq_cai_437"/>
    <x v="477"/>
    <n v="1.49"/>
    <n v="1"/>
    <n v="-40"/>
    <n v="940"/>
  </r>
  <r>
    <x v="51"/>
    <s v="conventional_default_dq_cai_438"/>
    <x v="478"/>
    <n v="1.49"/>
    <n v="1"/>
    <n v="-40"/>
    <n v="940"/>
  </r>
  <r>
    <x v="51"/>
    <s v="conventional_default_dq_cai_439"/>
    <x v="479"/>
    <n v="1.49"/>
    <n v="1"/>
    <n v="-40"/>
    <n v="940"/>
  </r>
  <r>
    <x v="51"/>
    <s v="conventional_default_dq_cai_440"/>
    <x v="480"/>
    <n v="1.49"/>
    <n v="1"/>
    <n v="-40"/>
    <n v="940"/>
  </r>
  <r>
    <x v="51"/>
    <s v="conventional_default_dq_cai_441"/>
    <x v="481"/>
    <n v="1.49"/>
    <n v="1"/>
    <n v="-40"/>
    <n v="940"/>
  </r>
  <r>
    <x v="51"/>
    <s v="conventional_default_dq_cai_442"/>
    <x v="482"/>
    <n v="1.49"/>
    <n v="1"/>
    <n v="-40"/>
    <n v="940"/>
  </r>
  <r>
    <x v="51"/>
    <s v="conventional_default_dq_cai_443"/>
    <x v="483"/>
    <n v="1.49"/>
    <n v="1"/>
    <n v="-40"/>
    <n v="940"/>
  </r>
  <r>
    <x v="51"/>
    <s v="conventional_default_dq_cai_444"/>
    <x v="484"/>
    <n v="1.49"/>
    <n v="1"/>
    <n v="-40"/>
    <n v="940"/>
  </r>
  <r>
    <x v="51"/>
    <s v="conventional_default_dq_cai_445"/>
    <x v="485"/>
    <n v="1.49"/>
    <n v="1"/>
    <n v="-40"/>
    <n v="940"/>
  </r>
  <r>
    <x v="51"/>
    <s v="conventional_default_dq_cai_446"/>
    <x v="486"/>
    <n v="1.49"/>
    <n v="1"/>
    <n v="-40"/>
    <n v="940"/>
  </r>
  <r>
    <x v="51"/>
    <s v="conventional_default_dq_cai_447"/>
    <x v="487"/>
    <n v="1.49"/>
    <n v="1"/>
    <n v="-40"/>
    <n v="940"/>
  </r>
  <r>
    <x v="51"/>
    <s v="conventional_default_dq_cai_448"/>
    <x v="488"/>
    <n v="1.49"/>
    <n v="1"/>
    <n v="-40"/>
    <n v="940"/>
  </r>
  <r>
    <x v="51"/>
    <s v="conventional_default_dq_cai_449"/>
    <x v="489"/>
    <n v="1.49"/>
    <n v="1"/>
    <n v="-40"/>
    <n v="940"/>
  </r>
  <r>
    <x v="51"/>
    <s v="conventional_default_dq_cai_450"/>
    <x v="490"/>
    <n v="1.49"/>
    <n v="1"/>
    <n v="-40"/>
    <n v="940"/>
  </r>
  <r>
    <x v="51"/>
    <s v="conventional_default_dq_cai_451"/>
    <x v="491"/>
    <n v="1.49"/>
    <n v="1"/>
    <n v="-40"/>
    <n v="940"/>
  </r>
  <r>
    <x v="51"/>
    <s v="conventional_default_dq_cai_452"/>
    <x v="492"/>
    <n v="1.49"/>
    <n v="1"/>
    <n v="-40"/>
    <n v="940"/>
  </r>
  <r>
    <x v="51"/>
    <s v="conventional_default_dq_cai_453"/>
    <x v="493"/>
    <n v="1.49"/>
    <n v="1"/>
    <n v="-40"/>
    <n v="940"/>
  </r>
  <r>
    <x v="51"/>
    <s v="conventional_default_dq_cai_454"/>
    <x v="494"/>
    <n v="1.49"/>
    <n v="1"/>
    <n v="-40"/>
    <n v="940"/>
  </r>
  <r>
    <x v="51"/>
    <s v="conventional_default_dq_cai_455"/>
    <x v="495"/>
    <n v="1.49"/>
    <n v="1"/>
    <n v="-40"/>
    <n v="940"/>
  </r>
  <r>
    <x v="51"/>
    <s v="conventional_default_dq_cai_456"/>
    <x v="496"/>
    <n v="1.49"/>
    <n v="1"/>
    <n v="-40"/>
    <n v="940"/>
  </r>
  <r>
    <x v="51"/>
    <s v="conventional_default_dq_cai_457"/>
    <x v="497"/>
    <n v="1.49"/>
    <n v="1"/>
    <n v="-40"/>
    <n v="940"/>
  </r>
  <r>
    <x v="51"/>
    <s v="conventional_default_dq_cai_458"/>
    <x v="498"/>
    <n v="1.49"/>
    <n v="1"/>
    <n v="-40"/>
    <n v="940"/>
  </r>
  <r>
    <x v="51"/>
    <s v="conventional_default_dq_cai_459"/>
    <x v="499"/>
    <n v="1.49"/>
    <n v="1"/>
    <n v="-40"/>
    <n v="940"/>
  </r>
  <r>
    <x v="51"/>
    <s v="conventional_default_dq_cai_460"/>
    <x v="500"/>
    <n v="1.49"/>
    <n v="1"/>
    <n v="-40"/>
    <n v="940"/>
  </r>
  <r>
    <x v="51"/>
    <s v="conventional_default_dq_cai_461"/>
    <x v="501"/>
    <n v="1.49"/>
    <n v="1"/>
    <n v="-40"/>
    <n v="940"/>
  </r>
  <r>
    <x v="51"/>
    <s v="conventional_default_dq_cai_462"/>
    <x v="502"/>
    <n v="1.49"/>
    <n v="1"/>
    <n v="-40"/>
    <n v="940"/>
  </r>
  <r>
    <x v="51"/>
    <s v="conventional_default_dq_cai_463"/>
    <x v="503"/>
    <n v="1.49"/>
    <n v="1"/>
    <n v="-40"/>
    <n v="940"/>
  </r>
  <r>
    <x v="51"/>
    <s v="conventional_default_dq_cai_464"/>
    <x v="504"/>
    <n v="1.49"/>
    <n v="1"/>
    <n v="-40"/>
    <n v="940"/>
  </r>
  <r>
    <x v="51"/>
    <s v="conventional_default_dq_cai_465"/>
    <x v="505"/>
    <n v="1.49"/>
    <n v="1"/>
    <n v="-40"/>
    <n v="940"/>
  </r>
  <r>
    <x v="51"/>
    <s v="conventional_default_dq_cai_466"/>
    <x v="506"/>
    <n v="1.49"/>
    <n v="1"/>
    <n v="-40"/>
    <n v="940"/>
  </r>
  <r>
    <x v="51"/>
    <s v="conventional_default_dq_cai_467"/>
    <x v="507"/>
    <n v="1.49"/>
    <n v="1"/>
    <n v="-40"/>
    <n v="940"/>
  </r>
  <r>
    <x v="51"/>
    <s v="conventional_default_dq_cai_468"/>
    <x v="508"/>
    <n v="1.49"/>
    <n v="1"/>
    <n v="-40"/>
    <n v="940"/>
  </r>
  <r>
    <x v="51"/>
    <s v="conventional_default_dq_cai_469"/>
    <x v="509"/>
    <n v="1.49"/>
    <n v="1"/>
    <n v="-40"/>
    <n v="940"/>
  </r>
  <r>
    <x v="51"/>
    <s v="conventional_default_dq_cai_470"/>
    <x v="510"/>
    <n v="1.49"/>
    <n v="1"/>
    <n v="-40"/>
    <n v="940"/>
  </r>
  <r>
    <x v="51"/>
    <s v="conventional_default_dq_cai_471"/>
    <x v="511"/>
    <n v="1.49"/>
    <n v="1"/>
    <n v="-40"/>
    <n v="940"/>
  </r>
  <r>
    <x v="51"/>
    <s v="conventional_default_dq_cai_472"/>
    <x v="512"/>
    <n v="1.49"/>
    <n v="1"/>
    <n v="-40"/>
    <n v="940"/>
  </r>
  <r>
    <x v="51"/>
    <s v="conventional_default_dq_cai_473"/>
    <x v="513"/>
    <n v="1.49"/>
    <n v="1"/>
    <n v="-40"/>
    <n v="940"/>
  </r>
  <r>
    <x v="51"/>
    <s v="conventional_default_dq_cai_474"/>
    <x v="514"/>
    <n v="1.49"/>
    <n v="1"/>
    <n v="-40"/>
    <n v="940"/>
  </r>
  <r>
    <x v="51"/>
    <s v="conventional_default_dq_cai_475"/>
    <x v="515"/>
    <n v="1.49"/>
    <n v="1"/>
    <n v="-40"/>
    <n v="940"/>
  </r>
  <r>
    <x v="51"/>
    <s v="conventional_default_dq_cai_476"/>
    <x v="516"/>
    <n v="1.49"/>
    <n v="1"/>
    <n v="-40"/>
    <n v="940"/>
  </r>
  <r>
    <x v="51"/>
    <s v="conventional_default_dq_cai_477"/>
    <x v="517"/>
    <n v="1.49"/>
    <n v="1"/>
    <n v="-40"/>
    <n v="940"/>
  </r>
  <r>
    <x v="51"/>
    <s v="conventional_default_dq_cai_478"/>
    <x v="518"/>
    <n v="1.49"/>
    <n v="1"/>
    <n v="-40"/>
    <n v="940"/>
  </r>
  <r>
    <x v="51"/>
    <s v="conventional_default_dq_cai_479"/>
    <x v="519"/>
    <n v="1.49"/>
    <n v="1"/>
    <n v="-40"/>
    <n v="940"/>
  </r>
  <r>
    <x v="51"/>
    <s v="conventional_default_dq_cai_480"/>
    <x v="520"/>
    <n v="1.49"/>
    <n v="1"/>
    <n v="-40"/>
    <n v="940"/>
  </r>
  <r>
    <x v="51"/>
    <s v="conventional_default_dq_cai_481"/>
    <x v="521"/>
    <n v="1.49"/>
    <n v="1"/>
    <n v="-40"/>
    <n v="940"/>
  </r>
  <r>
    <x v="51"/>
    <s v="conventional_default_dq_cai_482"/>
    <x v="522"/>
    <n v="1.49"/>
    <n v="1"/>
    <n v="-40"/>
    <n v="940"/>
  </r>
  <r>
    <x v="51"/>
    <s v="conventional_default_dq_cai_483"/>
    <x v="523"/>
    <n v="1.49"/>
    <n v="1"/>
    <n v="-40"/>
    <n v="940"/>
  </r>
  <r>
    <x v="51"/>
    <s v="conventional_default_dq_cai_484"/>
    <x v="524"/>
    <n v="1.49"/>
    <n v="1"/>
    <n v="-40"/>
    <n v="940"/>
  </r>
  <r>
    <x v="51"/>
    <s v="conventional_default_dq_cai_485"/>
    <x v="525"/>
    <n v="1.49"/>
    <n v="1"/>
    <n v="-40"/>
    <n v="940"/>
  </r>
  <r>
    <x v="51"/>
    <s v="conventional_default_dq_cai_486"/>
    <x v="526"/>
    <n v="1.49"/>
    <n v="1"/>
    <n v="-40"/>
    <n v="940"/>
  </r>
  <r>
    <x v="51"/>
    <s v="conventional_default_dq_cai_487"/>
    <x v="527"/>
    <n v="1.49"/>
    <n v="1"/>
    <n v="-40"/>
    <n v="940"/>
  </r>
  <r>
    <x v="51"/>
    <s v="conventional_default_dq_cai_488"/>
    <x v="528"/>
    <n v="1.49"/>
    <n v="1"/>
    <n v="-40"/>
    <n v="940"/>
  </r>
  <r>
    <x v="51"/>
    <s v="conventional_default_dq_cai_489"/>
    <x v="529"/>
    <n v="1.49"/>
    <n v="1"/>
    <n v="-40"/>
    <n v="940"/>
  </r>
  <r>
    <x v="51"/>
    <s v="conventional_default_dq_cai_490"/>
    <x v="530"/>
    <n v="1.49"/>
    <n v="1"/>
    <n v="-40"/>
    <n v="940"/>
  </r>
  <r>
    <x v="51"/>
    <s v="conventional_default_dq_cai_491"/>
    <x v="531"/>
    <n v="1.49"/>
    <n v="1"/>
    <n v="-40"/>
    <n v="940"/>
  </r>
  <r>
    <x v="51"/>
    <s v="conventional_default_dq_cai_492"/>
    <x v="532"/>
    <n v="1.49"/>
    <n v="1"/>
    <n v="-40"/>
    <n v="940"/>
  </r>
  <r>
    <x v="51"/>
    <s v="conventional_default_dq_cai_493"/>
    <x v="533"/>
    <n v="1.49"/>
    <n v="1"/>
    <n v="-40"/>
    <n v="940"/>
  </r>
  <r>
    <x v="51"/>
    <s v="conventional_default_dq_cai_494"/>
    <x v="534"/>
    <n v="1.49"/>
    <n v="1"/>
    <n v="-40"/>
    <n v="940"/>
  </r>
  <r>
    <x v="51"/>
    <s v="conventional_default_dq_cai_495"/>
    <x v="535"/>
    <n v="1.49"/>
    <n v="1"/>
    <n v="-40"/>
    <n v="940"/>
  </r>
  <r>
    <x v="51"/>
    <s v="conventional_default_dq_cai_496"/>
    <x v="536"/>
    <n v="1.49"/>
    <n v="1"/>
    <n v="-40"/>
    <n v="940"/>
  </r>
  <r>
    <x v="51"/>
    <s v="conventional_default_dq_cai_497"/>
    <x v="537"/>
    <n v="1.49"/>
    <n v="1"/>
    <n v="-40"/>
    <n v="940"/>
  </r>
  <r>
    <x v="51"/>
    <s v="conventional_default_dq_cai_498"/>
    <x v="538"/>
    <n v="1.49"/>
    <n v="1"/>
    <n v="-40"/>
    <n v="940"/>
  </r>
  <r>
    <x v="51"/>
    <s v="conventional_default_dq_cai_499"/>
    <x v="539"/>
    <n v="1.49"/>
    <n v="1"/>
    <n v="-40"/>
    <n v="940"/>
  </r>
  <r>
    <x v="51"/>
    <s v="conventional_default_dq_cai_500"/>
    <x v="540"/>
    <n v="1.49"/>
    <n v="1"/>
    <n v="-40"/>
    <n v="940"/>
  </r>
  <r>
    <x v="51"/>
    <s v="conventional_default_dq_cai_501"/>
    <x v="541"/>
    <n v="1.49"/>
    <n v="1"/>
    <n v="-40"/>
    <n v="940"/>
  </r>
  <r>
    <x v="51"/>
    <s v="conventional_default_dq_cai_502"/>
    <x v="542"/>
    <n v="1.49"/>
    <n v="1"/>
    <n v="-40"/>
    <n v="940"/>
  </r>
  <r>
    <x v="51"/>
    <s v="conventional_default_dq_cai_503"/>
    <x v="543"/>
    <n v="1.49"/>
    <n v="1"/>
    <n v="-40"/>
    <n v="940"/>
  </r>
  <r>
    <x v="51"/>
    <s v="conventional_default_dq_cai_504"/>
    <x v="544"/>
    <n v="1.49"/>
    <n v="1"/>
    <n v="-40"/>
    <n v="940"/>
  </r>
  <r>
    <x v="51"/>
    <s v="conventional_default_dq_cai_505"/>
    <x v="545"/>
    <n v="1.49"/>
    <n v="1"/>
    <n v="-40"/>
    <n v="940"/>
  </r>
  <r>
    <x v="51"/>
    <s v="conventional_default_dq_cai_506"/>
    <x v="546"/>
    <n v="1.49"/>
    <n v="1"/>
    <n v="-40"/>
    <n v="940"/>
  </r>
  <r>
    <x v="51"/>
    <s v="conventional_default_dq_cai_507"/>
    <x v="547"/>
    <n v="1.49"/>
    <n v="1"/>
    <n v="-40"/>
    <n v="940"/>
  </r>
  <r>
    <x v="51"/>
    <s v="conventional_default_dq_cai_508"/>
    <x v="548"/>
    <n v="1.49"/>
    <n v="1"/>
    <n v="-40"/>
    <n v="940"/>
  </r>
  <r>
    <x v="51"/>
    <s v="conventional_default_dq_cai_509"/>
    <x v="549"/>
    <n v="1.49"/>
    <n v="1"/>
    <n v="-40"/>
    <n v="940"/>
  </r>
  <r>
    <x v="51"/>
    <s v="conventional_default_dq_cai_510"/>
    <x v="550"/>
    <n v="1.49"/>
    <n v="1"/>
    <n v="-40"/>
    <n v="940"/>
  </r>
  <r>
    <x v="51"/>
    <s v="conventional_default_dq_cai_511"/>
    <x v="551"/>
    <n v="1.49"/>
    <n v="1"/>
    <n v="-40"/>
    <n v="940"/>
  </r>
  <r>
    <x v="51"/>
    <s v="conventional_default_dq_cai_512"/>
    <x v="552"/>
    <n v="1.49"/>
    <n v="1"/>
    <n v="-40"/>
    <n v="940"/>
  </r>
  <r>
    <x v="51"/>
    <s v="conventional_default_dq_cai_513"/>
    <x v="553"/>
    <n v="1.49"/>
    <n v="1"/>
    <n v="-40"/>
    <n v="940"/>
  </r>
  <r>
    <x v="51"/>
    <s v="conventional_default_dq_cai_514"/>
    <x v="554"/>
    <n v="1.49"/>
    <n v="1"/>
    <n v="-40"/>
    <n v="940"/>
  </r>
  <r>
    <x v="51"/>
    <s v="conventional_default_dq_cai_515"/>
    <x v="555"/>
    <n v="1.49"/>
    <n v="1"/>
    <n v="-40"/>
    <n v="940"/>
  </r>
  <r>
    <x v="51"/>
    <s v="conventional_default_dq_cai_516"/>
    <x v="556"/>
    <n v="1.49"/>
    <n v="1"/>
    <n v="-40"/>
    <n v="940"/>
  </r>
  <r>
    <x v="51"/>
    <s v="conventional_default_dq_cai_517"/>
    <x v="557"/>
    <n v="1.49"/>
    <n v="1"/>
    <n v="-40"/>
    <n v="940"/>
  </r>
  <r>
    <x v="51"/>
    <s v="conventional_default_dq_cai_518"/>
    <x v="558"/>
    <n v="1.49"/>
    <n v="1"/>
    <n v="-40"/>
    <n v="940"/>
  </r>
  <r>
    <x v="51"/>
    <s v="conventional_default_dq_cai_519"/>
    <x v="559"/>
    <n v="1.49"/>
    <n v="1"/>
    <n v="-40"/>
    <n v="940"/>
  </r>
  <r>
    <x v="51"/>
    <s v="conventional_default_dq_cai_520"/>
    <x v="560"/>
    <n v="1.49"/>
    <n v="1"/>
    <n v="-40"/>
    <n v="940"/>
  </r>
  <r>
    <x v="51"/>
    <s v="conventional_default_dq_cai_521"/>
    <x v="561"/>
    <n v="1.49"/>
    <n v="1"/>
    <n v="-40"/>
    <n v="940"/>
  </r>
  <r>
    <x v="51"/>
    <s v="conventional_default_dq_cai_522"/>
    <x v="562"/>
    <n v="1.49"/>
    <n v="1"/>
    <n v="-40"/>
    <n v="940"/>
  </r>
  <r>
    <x v="51"/>
    <s v="conventional_default_dq_cai_523"/>
    <x v="563"/>
    <n v="1.49"/>
    <n v="1"/>
    <n v="-40"/>
    <n v="940"/>
  </r>
  <r>
    <x v="51"/>
    <s v="conventional_default_dq_cai_524"/>
    <x v="564"/>
    <n v="1.49"/>
    <n v="1"/>
    <n v="-40"/>
    <n v="940"/>
  </r>
  <r>
    <x v="51"/>
    <s v="conventional_default_dq_cai_525"/>
    <x v="565"/>
    <n v="1.49"/>
    <n v="1"/>
    <n v="-40"/>
    <n v="940"/>
  </r>
  <r>
    <x v="51"/>
    <s v="conventional_default_dq_cai_526"/>
    <x v="566"/>
    <n v="1.49"/>
    <n v="1"/>
    <n v="-40"/>
    <n v="940"/>
  </r>
  <r>
    <x v="51"/>
    <s v="conventional_default_dq_cai_527"/>
    <x v="567"/>
    <n v="1.49"/>
    <n v="1"/>
    <n v="-40"/>
    <n v="940"/>
  </r>
  <r>
    <x v="51"/>
    <s v="conventional_default_dq_cai_528"/>
    <x v="568"/>
    <n v="1.49"/>
    <n v="1"/>
    <n v="-40"/>
    <n v="940"/>
  </r>
  <r>
    <x v="51"/>
    <s v="conventional_default_dq_cai_529"/>
    <x v="569"/>
    <n v="1.49"/>
    <n v="1"/>
    <n v="-40"/>
    <n v="940"/>
  </r>
  <r>
    <x v="51"/>
    <s v="conventional_default_dq_cai_530"/>
    <x v="570"/>
    <n v="1.49"/>
    <n v="1"/>
    <n v="-40"/>
    <n v="940"/>
  </r>
  <r>
    <x v="51"/>
    <s v="conventional_default_dq_cai_531"/>
    <x v="571"/>
    <n v="1.49"/>
    <n v="1"/>
    <n v="-40"/>
    <n v="940"/>
  </r>
  <r>
    <x v="51"/>
    <s v="conventional_default_dq_cai_532"/>
    <x v="572"/>
    <n v="1.49"/>
    <n v="1"/>
    <n v="-40"/>
    <n v="940"/>
  </r>
  <r>
    <x v="51"/>
    <s v="conventional_default_dq_cai_533"/>
    <x v="573"/>
    <n v="1.49"/>
    <n v="1"/>
    <n v="-40"/>
    <n v="940"/>
  </r>
  <r>
    <x v="51"/>
    <s v="conventional_default_dq_cai_534"/>
    <x v="574"/>
    <n v="1.49"/>
    <n v="1"/>
    <n v="-40"/>
    <n v="940"/>
  </r>
  <r>
    <x v="51"/>
    <s v="conventional_default_dq_cai_535"/>
    <x v="575"/>
    <n v="1.49"/>
    <n v="1"/>
    <n v="-40"/>
    <n v="940"/>
  </r>
  <r>
    <x v="51"/>
    <s v="conventional_default_dq_cai_536"/>
    <x v="576"/>
    <n v="1.49"/>
    <n v="1"/>
    <n v="-40"/>
    <n v="940"/>
  </r>
  <r>
    <x v="51"/>
    <s v="conventional_default_dq_cai_537"/>
    <x v="577"/>
    <n v="1.49"/>
    <n v="1"/>
    <n v="-40"/>
    <n v="940"/>
  </r>
  <r>
    <x v="51"/>
    <s v="conventional_default_dq_cai_538"/>
    <x v="578"/>
    <n v="1.49"/>
    <n v="1"/>
    <n v="-40"/>
    <n v="940"/>
  </r>
  <r>
    <x v="51"/>
    <s v="conventional_default_dq_cai_539"/>
    <x v="579"/>
    <n v="1.49"/>
    <n v="1"/>
    <n v="-40"/>
    <n v="940"/>
  </r>
  <r>
    <x v="51"/>
    <s v="conventional_default_dq_cai_540"/>
    <x v="580"/>
    <n v="1.49"/>
    <n v="1"/>
    <n v="-40"/>
    <n v="940"/>
  </r>
  <r>
    <x v="51"/>
    <s v="conventional_default_dq_cai_541"/>
    <x v="581"/>
    <n v="1.49"/>
    <n v="1"/>
    <n v="-40"/>
    <n v="940"/>
  </r>
  <r>
    <x v="51"/>
    <s v="conventional_default_dq_cai_542"/>
    <x v="582"/>
    <n v="1.49"/>
    <n v="1"/>
    <n v="-40"/>
    <n v="940"/>
  </r>
  <r>
    <x v="51"/>
    <s v="conventional_default_dq_cai_543"/>
    <x v="583"/>
    <n v="1.49"/>
    <n v="1"/>
    <n v="-40"/>
    <n v="940"/>
  </r>
  <r>
    <x v="51"/>
    <s v="conventional_default_dq_cai_544"/>
    <x v="584"/>
    <n v="1.49"/>
    <n v="1"/>
    <n v="-40"/>
    <n v="940"/>
  </r>
  <r>
    <x v="51"/>
    <s v="conventional_default_dq_cai_545"/>
    <x v="585"/>
    <n v="1.49"/>
    <n v="1"/>
    <n v="-40"/>
    <n v="940"/>
  </r>
  <r>
    <x v="51"/>
    <s v="conventional_default_dq_cai_546"/>
    <x v="586"/>
    <n v="1.49"/>
    <n v="1"/>
    <n v="-40"/>
    <n v="940"/>
  </r>
  <r>
    <x v="51"/>
    <s v="conventional_default_dq_cai_547"/>
    <x v="587"/>
    <n v="1.49"/>
    <n v="1"/>
    <n v="-40"/>
    <n v="940"/>
  </r>
  <r>
    <x v="51"/>
    <s v="conventional_default_dq_cai_548"/>
    <x v="588"/>
    <n v="1.49"/>
    <n v="1"/>
    <n v="-40"/>
    <n v="940"/>
  </r>
  <r>
    <x v="51"/>
    <s v="conventional_default_dq_cai_549"/>
    <x v="589"/>
    <n v="1.49"/>
    <n v="1"/>
    <n v="-40"/>
    <n v="940"/>
  </r>
  <r>
    <x v="51"/>
    <s v="conventional_default_dq_cai_550"/>
    <x v="590"/>
    <n v="1.49"/>
    <n v="1"/>
    <n v="-40"/>
    <n v="940"/>
  </r>
  <r>
    <x v="51"/>
    <s v="conventional_default_dq_cai_551"/>
    <x v="591"/>
    <n v="1.49"/>
    <n v="1"/>
    <n v="-40"/>
    <n v="940"/>
  </r>
  <r>
    <x v="51"/>
    <s v="conventional_default_dq_cai_552"/>
    <x v="592"/>
    <n v="1.49"/>
    <n v="1"/>
    <n v="-40"/>
    <n v="940"/>
  </r>
  <r>
    <x v="51"/>
    <s v="conventional_default_dq_cai_553"/>
    <x v="593"/>
    <n v="1.49"/>
    <n v="1"/>
    <n v="-40"/>
    <n v="940"/>
  </r>
  <r>
    <x v="51"/>
    <s v="conventional_default_dq_cai_554"/>
    <x v="594"/>
    <n v="1.49"/>
    <n v="1"/>
    <n v="-40"/>
    <n v="940"/>
  </r>
  <r>
    <x v="51"/>
    <s v="conventional_default_dq_cai_555"/>
    <x v="595"/>
    <n v="1.49"/>
    <n v="1"/>
    <n v="-40"/>
    <n v="940"/>
  </r>
  <r>
    <x v="51"/>
    <s v="conventional_default_dq_cai_556"/>
    <x v="596"/>
    <n v="1.49"/>
    <n v="1"/>
    <n v="-40"/>
    <n v="940"/>
  </r>
  <r>
    <x v="51"/>
    <s v="conventional_default_dq_cai_557"/>
    <x v="597"/>
    <n v="1.49"/>
    <n v="1"/>
    <n v="-40"/>
    <n v="940"/>
  </r>
  <r>
    <x v="51"/>
    <s v="conventional_default_dq_cai_558"/>
    <x v="598"/>
    <n v="1.49"/>
    <n v="1"/>
    <n v="-40"/>
    <n v="940"/>
  </r>
  <r>
    <x v="51"/>
    <s v="conventional_default_dq_cai_559"/>
    <x v="599"/>
    <n v="1.49"/>
    <n v="1"/>
    <n v="-40"/>
    <n v="940"/>
  </r>
  <r>
    <x v="51"/>
    <s v="conventional_default_dq_cai_560"/>
    <x v="600"/>
    <n v="1.49"/>
    <n v="1"/>
    <n v="-40"/>
    <n v="940"/>
  </r>
  <r>
    <x v="51"/>
    <s v="conventional_default_dq_cai_561"/>
    <x v="601"/>
    <n v="1.49"/>
    <n v="1"/>
    <n v="-40"/>
    <n v="940"/>
  </r>
  <r>
    <x v="51"/>
    <s v="conventional_default_dq_cai_562"/>
    <x v="602"/>
    <n v="1.49"/>
    <n v="1"/>
    <n v="-40"/>
    <n v="940"/>
  </r>
  <r>
    <x v="51"/>
    <s v="conventional_default_dq_cai_563"/>
    <x v="603"/>
    <n v="1.49"/>
    <n v="1"/>
    <n v="-40"/>
    <n v="940"/>
  </r>
  <r>
    <x v="51"/>
    <s v="conventional_default_dq_cai_564"/>
    <x v="604"/>
    <n v="1.49"/>
    <n v="1"/>
    <n v="-40"/>
    <n v="940"/>
  </r>
  <r>
    <x v="51"/>
    <s v="conventional_default_dq_cai_565"/>
    <x v="605"/>
    <n v="1.49"/>
    <n v="1"/>
    <n v="-40"/>
    <n v="940"/>
  </r>
  <r>
    <x v="51"/>
    <s v="conventional_default_dq_cai_566"/>
    <x v="606"/>
    <n v="1.49"/>
    <n v="1"/>
    <n v="-40"/>
    <n v="940"/>
  </r>
  <r>
    <x v="51"/>
    <s v="conventional_default_dq_cai_567"/>
    <x v="607"/>
    <n v="1.49"/>
    <n v="1"/>
    <n v="-40"/>
    <n v="940"/>
  </r>
  <r>
    <x v="51"/>
    <s v="conventional_default_dq_cai_568"/>
    <x v="608"/>
    <n v="1.49"/>
    <n v="1"/>
    <n v="-40"/>
    <n v="940"/>
  </r>
  <r>
    <x v="51"/>
    <s v="conventional_default_dq_cai_569"/>
    <x v="609"/>
    <n v="1.49"/>
    <n v="1"/>
    <n v="-40"/>
    <n v="940"/>
  </r>
  <r>
    <x v="51"/>
    <s v="conventional_default_dq_cai_570"/>
    <x v="610"/>
    <n v="1.49"/>
    <n v="1"/>
    <n v="-40"/>
    <n v="940"/>
  </r>
  <r>
    <x v="51"/>
    <s v="conventional_default_dq_cai_571"/>
    <x v="611"/>
    <n v="1.49"/>
    <n v="1"/>
    <n v="-40"/>
    <n v="940"/>
  </r>
  <r>
    <x v="51"/>
    <s v="conventional_default_dq_cai_572"/>
    <x v="612"/>
    <n v="1.49"/>
    <n v="1"/>
    <n v="-40"/>
    <n v="940"/>
  </r>
  <r>
    <x v="51"/>
    <s v="conventional_default_dq_cai_573"/>
    <x v="613"/>
    <n v="1.49"/>
    <n v="1"/>
    <n v="-40"/>
    <n v="940"/>
  </r>
  <r>
    <x v="51"/>
    <s v="conventional_default_dq_cai_574"/>
    <x v="614"/>
    <n v="1.49"/>
    <n v="1"/>
    <n v="-40"/>
    <n v="940"/>
  </r>
  <r>
    <x v="51"/>
    <s v="conventional_default_dq_cai_575"/>
    <x v="615"/>
    <n v="1.49"/>
    <n v="1"/>
    <n v="-40"/>
    <n v="940"/>
  </r>
  <r>
    <x v="51"/>
    <s v="conventional_default_dq_cai_576"/>
    <x v="616"/>
    <n v="1.49"/>
    <n v="1"/>
    <n v="-40"/>
    <n v="940"/>
  </r>
  <r>
    <x v="51"/>
    <s v="conventional_default_dq_cai_577"/>
    <x v="617"/>
    <n v="1.49"/>
    <n v="1"/>
    <n v="-40"/>
    <n v="940"/>
  </r>
  <r>
    <x v="51"/>
    <s v="conventional_default_dq_cai_578"/>
    <x v="618"/>
    <n v="1.49"/>
    <n v="1"/>
    <n v="-40"/>
    <n v="940"/>
  </r>
  <r>
    <x v="51"/>
    <s v="conventional_default_dq_cai_579"/>
    <x v="619"/>
    <n v="1.49"/>
    <n v="1"/>
    <n v="-40"/>
    <n v="940"/>
  </r>
  <r>
    <x v="51"/>
    <s v="conventional_default_dq_cai_580"/>
    <x v="620"/>
    <n v="1.49"/>
    <n v="1"/>
    <n v="-40"/>
    <n v="940"/>
  </r>
  <r>
    <x v="51"/>
    <s v="conventional_default_dq_cai_581"/>
    <x v="621"/>
    <n v="1.49"/>
    <n v="1"/>
    <n v="-40"/>
    <n v="940"/>
  </r>
  <r>
    <x v="51"/>
    <s v="conventional_default_dq_cai_582"/>
    <x v="622"/>
    <n v="1.49"/>
    <n v="1"/>
    <n v="-40"/>
    <n v="940"/>
  </r>
  <r>
    <x v="51"/>
    <s v="conventional_default_dq_cai_583"/>
    <x v="623"/>
    <n v="1.49"/>
    <n v="1"/>
    <n v="-40"/>
    <n v="940"/>
  </r>
  <r>
    <x v="51"/>
    <s v="conventional_default_dq_cai_584"/>
    <x v="624"/>
    <n v="1.49"/>
    <n v="1"/>
    <n v="-40"/>
    <n v="940"/>
  </r>
  <r>
    <x v="51"/>
    <s v="conventional_default_dq_cai_585"/>
    <x v="625"/>
    <n v="1.49"/>
    <n v="1"/>
    <n v="-40"/>
    <n v="940"/>
  </r>
  <r>
    <x v="51"/>
    <s v="conventional_default_dq_cai_586"/>
    <x v="626"/>
    <n v="1.49"/>
    <n v="1"/>
    <n v="-40"/>
    <n v="940"/>
  </r>
  <r>
    <x v="51"/>
    <s v="conventional_default_dq_cai_587"/>
    <x v="627"/>
    <n v="1.49"/>
    <n v="1"/>
    <n v="-40"/>
    <n v="940"/>
  </r>
  <r>
    <x v="51"/>
    <s v="conventional_default_dq_cai_588"/>
    <x v="628"/>
    <n v="1.49"/>
    <n v="1"/>
    <n v="-40"/>
    <n v="940"/>
  </r>
  <r>
    <x v="51"/>
    <s v="conventional_default_dq_cai_589"/>
    <x v="629"/>
    <n v="1.49"/>
    <n v="1"/>
    <n v="-40"/>
    <n v="940"/>
  </r>
  <r>
    <x v="51"/>
    <s v="conventional_default_dq_cai_590"/>
    <x v="630"/>
    <n v="1.49"/>
    <n v="1"/>
    <n v="-40"/>
    <n v="940"/>
  </r>
  <r>
    <x v="51"/>
    <s v="conventional_default_dq_cai_591"/>
    <x v="631"/>
    <n v="1.49"/>
    <n v="1"/>
    <n v="-40"/>
    <n v="940"/>
  </r>
  <r>
    <x v="51"/>
    <s v="conventional_default_dq_cai_592"/>
    <x v="632"/>
    <n v="1.49"/>
    <n v="1"/>
    <n v="-40"/>
    <n v="940"/>
  </r>
  <r>
    <x v="51"/>
    <s v="conventional_default_dq_cai_593"/>
    <x v="633"/>
    <n v="1.49"/>
    <n v="1"/>
    <n v="-40"/>
    <n v="940"/>
  </r>
  <r>
    <x v="51"/>
    <s v="conventional_default_dq_cai_594"/>
    <x v="634"/>
    <n v="1.49"/>
    <n v="1"/>
    <n v="-40"/>
    <n v="940"/>
  </r>
  <r>
    <x v="51"/>
    <s v="conventional_default_dq_cai_595"/>
    <x v="635"/>
    <n v="1.49"/>
    <n v="1"/>
    <n v="-40"/>
    <n v="940"/>
  </r>
  <r>
    <x v="51"/>
    <s v="conventional_default_dq_cai_596"/>
    <x v="636"/>
    <n v="1.49"/>
    <n v="1"/>
    <n v="-40"/>
    <n v="940"/>
  </r>
  <r>
    <x v="51"/>
    <s v="conventional_default_dq_cai_597"/>
    <x v="637"/>
    <n v="1.49"/>
    <n v="1"/>
    <n v="-40"/>
    <n v="940"/>
  </r>
  <r>
    <x v="51"/>
    <s v="conventional_default_dq_cai_598"/>
    <x v="638"/>
    <n v="1.49"/>
    <n v="1"/>
    <n v="-40"/>
    <n v="940"/>
  </r>
  <r>
    <x v="51"/>
    <s v="conventional_default_dq_cai_599"/>
    <x v="639"/>
    <n v="1.49"/>
    <n v="1"/>
    <n v="-40"/>
    <n v="940"/>
  </r>
  <r>
    <x v="51"/>
    <s v="conventional_default_dq_cai_600"/>
    <x v="640"/>
    <n v="1.49"/>
    <n v="1"/>
    <n v="-40"/>
    <n v="940"/>
  </r>
  <r>
    <x v="51"/>
    <s v="conventional_default_dq_cai_601"/>
    <x v="641"/>
    <n v="1.49"/>
    <n v="1"/>
    <n v="-40"/>
    <n v="940"/>
  </r>
  <r>
    <x v="51"/>
    <s v="conventional_default_dq_cai_602"/>
    <x v="642"/>
    <n v="1.49"/>
    <n v="1"/>
    <n v="-40"/>
    <n v="940"/>
  </r>
  <r>
    <x v="51"/>
    <s v="conventional_default_dq_cai_603"/>
    <x v="643"/>
    <n v="1.49"/>
    <n v="1"/>
    <n v="-40"/>
    <n v="940"/>
  </r>
  <r>
    <x v="51"/>
    <s v="conventional_default_dq_cai_604"/>
    <x v="644"/>
    <n v="1.49"/>
    <n v="1"/>
    <n v="-40"/>
    <n v="940"/>
  </r>
  <r>
    <x v="51"/>
    <s v="conventional_default_dq_cai_605"/>
    <x v="645"/>
    <n v="1.49"/>
    <n v="1"/>
    <n v="-40"/>
    <n v="940"/>
  </r>
  <r>
    <x v="51"/>
    <s v="conventional_default_dq_cai_606"/>
    <x v="646"/>
    <n v="1.49"/>
    <n v="1"/>
    <n v="-40"/>
    <n v="940"/>
  </r>
  <r>
    <x v="51"/>
    <s v="conventional_default_dq_cai_607"/>
    <x v="647"/>
    <n v="1.49"/>
    <n v="1"/>
    <n v="-40"/>
    <n v="940"/>
  </r>
  <r>
    <x v="51"/>
    <s v="conventional_default_dq_cai_608"/>
    <x v="648"/>
    <n v="1.49"/>
    <n v="1"/>
    <n v="-40"/>
    <n v="940"/>
  </r>
  <r>
    <x v="51"/>
    <s v="conventional_default_dq_cai_609"/>
    <x v="649"/>
    <n v="1.49"/>
    <n v="1"/>
    <n v="-40"/>
    <n v="940"/>
  </r>
  <r>
    <x v="51"/>
    <s v="conventional_default_dq_cai_610"/>
    <x v="650"/>
    <n v="1.49"/>
    <n v="1"/>
    <n v="-40"/>
    <n v="940"/>
  </r>
  <r>
    <x v="51"/>
    <s v="conventional_default_dq_cai_611"/>
    <x v="651"/>
    <n v="1.49"/>
    <n v="1"/>
    <n v="-40"/>
    <n v="940"/>
  </r>
  <r>
    <x v="51"/>
    <s v="conventional_default_dq_cai_612"/>
    <x v="652"/>
    <n v="1.49"/>
    <n v="1"/>
    <n v="-40"/>
    <n v="940"/>
  </r>
  <r>
    <x v="51"/>
    <s v="conventional_default_dq_cai_613"/>
    <x v="653"/>
    <n v="1.49"/>
    <n v="1"/>
    <n v="-40"/>
    <n v="940"/>
  </r>
  <r>
    <x v="51"/>
    <s v="conventional_default_dq_cai_614"/>
    <x v="654"/>
    <n v="1.49"/>
    <n v="1"/>
    <n v="-40"/>
    <n v="940"/>
  </r>
  <r>
    <x v="51"/>
    <s v="conventional_default_dq_cai_615"/>
    <x v="655"/>
    <n v="1.49"/>
    <n v="1"/>
    <n v="-40"/>
    <n v="940"/>
  </r>
  <r>
    <x v="51"/>
    <s v="conventional_default_dq_cai_616"/>
    <x v="656"/>
    <n v="1.49"/>
    <n v="1"/>
    <n v="-40"/>
    <n v="940"/>
  </r>
  <r>
    <x v="51"/>
    <s v="conventional_default_dq_cai_617"/>
    <x v="657"/>
    <n v="1.49"/>
    <n v="1"/>
    <n v="-40"/>
    <n v="940"/>
  </r>
  <r>
    <x v="51"/>
    <s v="conventional_default_dq_cai_618"/>
    <x v="658"/>
    <n v="1.49"/>
    <n v="1"/>
    <n v="-40"/>
    <n v="940"/>
  </r>
  <r>
    <x v="51"/>
    <s v="conventional_default_dq_cai_619"/>
    <x v="659"/>
    <n v="1.49"/>
    <n v="1"/>
    <n v="-40"/>
    <n v="940"/>
  </r>
  <r>
    <x v="51"/>
    <s v="conventional_default_dq_cai_620"/>
    <x v="660"/>
    <n v="1.49"/>
    <n v="1"/>
    <n v="-40"/>
    <n v="940"/>
  </r>
  <r>
    <x v="51"/>
    <s v="conventional_default_dq_cai_621"/>
    <x v="661"/>
    <n v="1.49"/>
    <n v="1"/>
    <n v="-40"/>
    <n v="940"/>
  </r>
  <r>
    <x v="51"/>
    <s v="conventional_default_dq_cai_622"/>
    <x v="662"/>
    <n v="1.49"/>
    <n v="1"/>
    <n v="-40"/>
    <n v="940"/>
  </r>
  <r>
    <x v="51"/>
    <s v="conventional_default_dq_cai_623"/>
    <x v="663"/>
    <n v="1.49"/>
    <n v="1"/>
    <n v="-40"/>
    <n v="940"/>
  </r>
  <r>
    <x v="51"/>
    <s v="conventional_default_dq_cai_624"/>
    <x v="664"/>
    <n v="1.49"/>
    <n v="1"/>
    <n v="-40"/>
    <n v="940"/>
  </r>
  <r>
    <x v="51"/>
    <s v="conventional_default_dq_cai_625"/>
    <x v="665"/>
    <n v="1.49"/>
    <n v="1"/>
    <n v="-40"/>
    <n v="940"/>
  </r>
  <r>
    <x v="51"/>
    <s v="conventional_default_dq_cai_626"/>
    <x v="666"/>
    <n v="1.49"/>
    <n v="1"/>
    <n v="-40"/>
    <n v="940"/>
  </r>
  <r>
    <x v="51"/>
    <s v="conventional_default_dq_cai_627"/>
    <x v="667"/>
    <n v="1.49"/>
    <n v="1"/>
    <n v="-40"/>
    <n v="940"/>
  </r>
  <r>
    <x v="51"/>
    <s v="conventional_default_dq_cai_628"/>
    <x v="668"/>
    <n v="1.49"/>
    <n v="1"/>
    <n v="-40"/>
    <n v="940"/>
  </r>
  <r>
    <x v="51"/>
    <s v="conventional_default_dq_cai_629"/>
    <x v="669"/>
    <n v="1.49"/>
    <n v="1"/>
    <n v="-40"/>
    <n v="940"/>
  </r>
  <r>
    <x v="51"/>
    <s v="conventional_default_dq_cai_630"/>
    <x v="670"/>
    <n v="1.49"/>
    <n v="1"/>
    <n v="-40"/>
    <n v="940"/>
  </r>
  <r>
    <x v="51"/>
    <s v="conventional_default_dq_cai_631"/>
    <x v="671"/>
    <n v="1.49"/>
    <n v="1"/>
    <n v="-40"/>
    <n v="940"/>
  </r>
  <r>
    <x v="51"/>
    <s v="conventional_default_dq_cai_632"/>
    <x v="672"/>
    <n v="1.49"/>
    <n v="1"/>
    <n v="-40"/>
    <n v="940"/>
  </r>
  <r>
    <x v="51"/>
    <s v="conventional_default_dq_cai_633"/>
    <x v="673"/>
    <n v="1.49"/>
    <n v="1"/>
    <n v="-40"/>
    <n v="940"/>
  </r>
  <r>
    <x v="51"/>
    <s v="conventional_default_dq_cai_634"/>
    <x v="674"/>
    <n v="1.49"/>
    <n v="1"/>
    <n v="-40"/>
    <n v="940"/>
  </r>
  <r>
    <x v="51"/>
    <s v="conventional_default_dq_cai_635"/>
    <x v="675"/>
    <n v="1.49"/>
    <n v="1"/>
    <n v="-40"/>
    <n v="940"/>
  </r>
  <r>
    <x v="51"/>
    <s v="conventional_default_dq_cai_636"/>
    <x v="676"/>
    <n v="1.49"/>
    <n v="1"/>
    <n v="-40"/>
    <n v="940"/>
  </r>
  <r>
    <x v="51"/>
    <s v="conventional_default_dq_cai_637"/>
    <x v="677"/>
    <n v="1.49"/>
    <n v="1"/>
    <n v="-40"/>
    <n v="940"/>
  </r>
  <r>
    <x v="51"/>
    <s v="conventional_default_dq_cai_638"/>
    <x v="678"/>
    <n v="1.49"/>
    <n v="1"/>
    <n v="-40"/>
    <n v="940"/>
  </r>
  <r>
    <x v="51"/>
    <s v="conventional_default_dq_cai_639"/>
    <x v="679"/>
    <n v="1.49"/>
    <n v="1"/>
    <n v="-40"/>
    <n v="940"/>
  </r>
  <r>
    <x v="51"/>
    <s v="conventional_default_dq_cai_640"/>
    <x v="680"/>
    <n v="1.49"/>
    <n v="1"/>
    <n v="-40"/>
    <n v="940"/>
  </r>
  <r>
    <x v="51"/>
    <s v="conventional_default_dq_cai_641"/>
    <x v="681"/>
    <n v="1.49"/>
    <n v="1"/>
    <n v="-40"/>
    <n v="940"/>
  </r>
  <r>
    <x v="51"/>
    <s v="conventional_default_dq_cai_642"/>
    <x v="682"/>
    <n v="1.49"/>
    <n v="1"/>
    <n v="-40"/>
    <n v="940"/>
  </r>
  <r>
    <x v="51"/>
    <s v="conventional_default_dq_cai_643"/>
    <x v="683"/>
    <n v="1.49"/>
    <n v="1"/>
    <n v="-40"/>
    <n v="940"/>
  </r>
  <r>
    <x v="51"/>
    <s v="conventional_default_dq_cai_644"/>
    <x v="684"/>
    <n v="1.49"/>
    <n v="1"/>
    <n v="-40"/>
    <n v="940"/>
  </r>
  <r>
    <x v="51"/>
    <s v="conventional_default_dq_cai_645"/>
    <x v="685"/>
    <n v="1.49"/>
    <n v="1"/>
    <n v="-40"/>
    <n v="940"/>
  </r>
  <r>
    <x v="51"/>
    <s v="conventional_default_dq_cai_646"/>
    <x v="686"/>
    <n v="1.49"/>
    <n v="1"/>
    <n v="-40"/>
    <n v="940"/>
  </r>
  <r>
    <x v="51"/>
    <s v="conventional_default_dq_cai_647"/>
    <x v="687"/>
    <n v="1.49"/>
    <n v="1"/>
    <n v="-40"/>
    <n v="940"/>
  </r>
  <r>
    <x v="51"/>
    <s v="conventional_default_dq_cai_648"/>
    <x v="688"/>
    <n v="1.49"/>
    <n v="1"/>
    <n v="-40"/>
    <n v="940"/>
  </r>
  <r>
    <x v="51"/>
    <s v="conventional_default_dq_cai_649"/>
    <x v="689"/>
    <n v="1.49"/>
    <n v="1"/>
    <n v="-40"/>
    <n v="940"/>
  </r>
  <r>
    <x v="51"/>
    <s v="conventional_default_dq_cai_650"/>
    <x v="690"/>
    <n v="1.49"/>
    <n v="1"/>
    <n v="-40"/>
    <n v="940"/>
  </r>
  <r>
    <x v="51"/>
    <s v="conventional_default_dq_cai_651"/>
    <x v="691"/>
    <n v="1.49"/>
    <n v="1"/>
    <n v="-40"/>
    <n v="940"/>
  </r>
  <r>
    <x v="51"/>
    <s v="conventional_default_dq_cai_652"/>
    <x v="692"/>
    <n v="1.49"/>
    <n v="1"/>
    <n v="-40"/>
    <n v="940"/>
  </r>
  <r>
    <x v="51"/>
    <s v="conventional_default_dq_cai_653"/>
    <x v="693"/>
    <n v="1.49"/>
    <n v="1"/>
    <n v="-40"/>
    <n v="940"/>
  </r>
  <r>
    <x v="51"/>
    <s v="conventional_default_dq_cai_654"/>
    <x v="694"/>
    <n v="1.49"/>
    <n v="1"/>
    <n v="-40"/>
    <n v="940"/>
  </r>
  <r>
    <x v="51"/>
    <s v="conventional_default_dq_cai_655"/>
    <x v="695"/>
    <n v="1.49"/>
    <n v="1"/>
    <n v="-40"/>
    <n v="940"/>
  </r>
  <r>
    <x v="51"/>
    <s v="conventional_default_dq_cai_656"/>
    <x v="696"/>
    <n v="1.49"/>
    <n v="1"/>
    <n v="-40"/>
    <n v="940"/>
  </r>
  <r>
    <x v="51"/>
    <s v="conventional_default_dq_cai_657"/>
    <x v="697"/>
    <n v="1.49"/>
    <n v="1"/>
    <n v="-40"/>
    <n v="940"/>
  </r>
  <r>
    <x v="51"/>
    <s v="conventional_default_dq_cai_658"/>
    <x v="698"/>
    <n v="1.49"/>
    <n v="1"/>
    <n v="-40"/>
    <n v="940"/>
  </r>
  <r>
    <x v="51"/>
    <s v="conventional_default_dq_cai_659"/>
    <x v="699"/>
    <n v="1.49"/>
    <n v="1"/>
    <n v="-40"/>
    <n v="940"/>
  </r>
  <r>
    <x v="51"/>
    <s v="conventional_default_dq_cai_660"/>
    <x v="700"/>
    <n v="1.49"/>
    <n v="1"/>
    <n v="-40"/>
    <n v="940"/>
  </r>
  <r>
    <x v="51"/>
    <s v="conventional_default_dq_cai_661"/>
    <x v="701"/>
    <n v="1.49"/>
    <n v="1"/>
    <n v="-40"/>
    <n v="940"/>
  </r>
  <r>
    <x v="51"/>
    <s v="conventional_default_dq_cai_662"/>
    <x v="702"/>
    <n v="1.49"/>
    <n v="1"/>
    <n v="-40"/>
    <n v="940"/>
  </r>
  <r>
    <x v="51"/>
    <s v="conventional_default_dq_cai_663"/>
    <x v="703"/>
    <n v="1.49"/>
    <n v="1"/>
    <n v="-40"/>
    <n v="940"/>
  </r>
  <r>
    <x v="51"/>
    <s v="conventional_default_dq_cai_664"/>
    <x v="704"/>
    <n v="1.49"/>
    <n v="1"/>
    <n v="-40"/>
    <n v="940"/>
  </r>
  <r>
    <x v="51"/>
    <s v="conventional_default_dq_cai_665"/>
    <x v="705"/>
    <n v="1.49"/>
    <n v="1"/>
    <n v="-40"/>
    <n v="940"/>
  </r>
  <r>
    <x v="51"/>
    <s v="conventional_default_dq_cai_666"/>
    <x v="706"/>
    <n v="1.49"/>
    <n v="1"/>
    <n v="-40"/>
    <n v="940"/>
  </r>
  <r>
    <x v="51"/>
    <s v="conventional_default_dq_cai_667"/>
    <x v="707"/>
    <n v="1.49"/>
    <n v="1"/>
    <n v="-40"/>
    <n v="940"/>
  </r>
  <r>
    <x v="51"/>
    <s v="conventional_default_dq_cai_668"/>
    <x v="708"/>
    <n v="1.49"/>
    <n v="1"/>
    <n v="-40"/>
    <n v="940"/>
  </r>
  <r>
    <x v="51"/>
    <s v="conventional_default_dq_cai_669"/>
    <x v="709"/>
    <n v="1.49"/>
    <n v="1"/>
    <n v="-40"/>
    <n v="940"/>
  </r>
  <r>
    <x v="51"/>
    <s v="conventional_default_dq_cai_670"/>
    <x v="710"/>
    <n v="1.49"/>
    <n v="1"/>
    <n v="-40"/>
    <n v="940"/>
  </r>
  <r>
    <x v="51"/>
    <s v="conventional_default_dq_cai_671"/>
    <x v="711"/>
    <n v="1.49"/>
    <n v="1"/>
    <n v="-40"/>
    <n v="940"/>
  </r>
  <r>
    <x v="51"/>
    <s v="conventional_default_dq_cai_672"/>
    <x v="712"/>
    <n v="1.49"/>
    <n v="1"/>
    <n v="-40"/>
    <n v="940"/>
  </r>
  <r>
    <x v="51"/>
    <s v="conventional_default_dq_cai_673"/>
    <x v="713"/>
    <n v="1.49"/>
    <n v="1"/>
    <n v="-40"/>
    <n v="940"/>
  </r>
  <r>
    <x v="51"/>
    <s v="conventional_default_dq_cai_674"/>
    <x v="714"/>
    <n v="1.49"/>
    <n v="1"/>
    <n v="-40"/>
    <n v="940"/>
  </r>
  <r>
    <x v="51"/>
    <s v="conventional_default_dq_cai_675"/>
    <x v="715"/>
    <n v="1.49"/>
    <n v="1"/>
    <n v="-40"/>
    <n v="940"/>
  </r>
  <r>
    <x v="51"/>
    <s v="conventional_default_dq_cai_676"/>
    <x v="716"/>
    <n v="1.49"/>
    <n v="1"/>
    <n v="-40"/>
    <n v="940"/>
  </r>
  <r>
    <x v="51"/>
    <s v="conventional_default_dq_cai_677"/>
    <x v="717"/>
    <n v="1.49"/>
    <n v="1"/>
    <n v="-40"/>
    <n v="940"/>
  </r>
  <r>
    <x v="51"/>
    <s v="conventional_default_dq_cai_678"/>
    <x v="718"/>
    <n v="1.49"/>
    <n v="1"/>
    <n v="-40"/>
    <n v="940"/>
  </r>
  <r>
    <x v="51"/>
    <s v="conventional_default_dq_cai_679"/>
    <x v="719"/>
    <n v="1.49"/>
    <n v="1"/>
    <n v="-40"/>
    <n v="940"/>
  </r>
  <r>
    <x v="51"/>
    <s v="conventional_default_dq_cai_680"/>
    <x v="720"/>
    <n v="1.49"/>
    <n v="1"/>
    <n v="-40"/>
    <n v="940"/>
  </r>
  <r>
    <x v="51"/>
    <s v="conventional_default_dq_cai_681"/>
    <x v="721"/>
    <n v="1.49"/>
    <n v="1"/>
    <n v="-40"/>
    <n v="940"/>
  </r>
  <r>
    <x v="51"/>
    <s v="conventional_default_dq_cai_682"/>
    <x v="722"/>
    <n v="1.49"/>
    <n v="1"/>
    <n v="-40"/>
    <n v="940"/>
  </r>
  <r>
    <x v="51"/>
    <s v="conventional_default_dq_cai_683"/>
    <x v="723"/>
    <n v="1.49"/>
    <n v="1"/>
    <n v="-40"/>
    <n v="940"/>
  </r>
  <r>
    <x v="51"/>
    <s v="conventional_default_dq_cai_684"/>
    <x v="724"/>
    <n v="1.49"/>
    <n v="1"/>
    <n v="-40"/>
    <n v="940"/>
  </r>
  <r>
    <x v="51"/>
    <s v="conventional_default_dq_cai_685"/>
    <x v="725"/>
    <n v="1.49"/>
    <n v="1"/>
    <n v="-40"/>
    <n v="940"/>
  </r>
  <r>
    <x v="51"/>
    <s v="conventional_default_dq_cai_686"/>
    <x v="726"/>
    <n v="1.49"/>
    <n v="1"/>
    <n v="-40"/>
    <n v="940"/>
  </r>
  <r>
    <x v="51"/>
    <s v="conventional_default_dq_cai_687"/>
    <x v="727"/>
    <n v="1.49"/>
    <n v="1"/>
    <n v="-40"/>
    <n v="940"/>
  </r>
  <r>
    <x v="51"/>
    <s v="conventional_default_dq_cai_688"/>
    <x v="728"/>
    <n v="1.49"/>
    <n v="1"/>
    <n v="-40"/>
    <n v="940"/>
  </r>
  <r>
    <x v="51"/>
    <s v="conventional_default_dq_cai_689"/>
    <x v="729"/>
    <n v="1.49"/>
    <n v="1"/>
    <n v="-40"/>
    <n v="940"/>
  </r>
  <r>
    <x v="51"/>
    <s v="conventional_default_dq_cai_690"/>
    <x v="730"/>
    <n v="1.49"/>
    <n v="1"/>
    <n v="-40"/>
    <n v="940"/>
  </r>
  <r>
    <x v="51"/>
    <s v="conventional_default_dq_cai_691"/>
    <x v="731"/>
    <n v="1.49"/>
    <n v="1"/>
    <n v="-40"/>
    <n v="940"/>
  </r>
  <r>
    <x v="51"/>
    <s v="conventional_default_dq_cai_692"/>
    <x v="732"/>
    <n v="1.49"/>
    <n v="1"/>
    <n v="-40"/>
    <n v="940"/>
  </r>
  <r>
    <x v="51"/>
    <s v="conventional_default_dq_cai_693"/>
    <x v="733"/>
    <n v="1.49"/>
    <n v="1"/>
    <n v="-40"/>
    <n v="940"/>
  </r>
  <r>
    <x v="51"/>
    <s v="conventional_default_dq_cai_694"/>
    <x v="734"/>
    <n v="1.49"/>
    <n v="1"/>
    <n v="-40"/>
    <n v="940"/>
  </r>
  <r>
    <x v="51"/>
    <s v="conventional_default_dq_cai_695"/>
    <x v="735"/>
    <n v="1.49"/>
    <n v="1"/>
    <n v="-40"/>
    <n v="940"/>
  </r>
  <r>
    <x v="51"/>
    <s v="conventional_default_dq_cai_696"/>
    <x v="736"/>
    <n v="1.49"/>
    <n v="1"/>
    <n v="-40"/>
    <n v="940"/>
  </r>
  <r>
    <x v="51"/>
    <s v="conventional_default_dq_cai_697"/>
    <x v="737"/>
    <n v="1.49"/>
    <n v="1"/>
    <n v="-40"/>
    <n v="940"/>
  </r>
  <r>
    <x v="51"/>
    <s v="conventional_default_dq_cai_698"/>
    <x v="738"/>
    <n v="1.49"/>
    <n v="1"/>
    <n v="-40"/>
    <n v="940"/>
  </r>
  <r>
    <x v="51"/>
    <s v="conventional_default_dq_cai_699"/>
    <x v="739"/>
    <n v="1.49"/>
    <n v="1"/>
    <n v="-40"/>
    <n v="940"/>
  </r>
  <r>
    <x v="51"/>
    <s v="conventional_default_dq_cai_700"/>
    <x v="740"/>
    <n v="1.49"/>
    <n v="1"/>
    <n v="-40"/>
    <n v="940"/>
  </r>
  <r>
    <x v="51"/>
    <s v="conventional_default_dq_cai_701"/>
    <x v="741"/>
    <n v="1.49"/>
    <n v="1"/>
    <n v="-40"/>
    <n v="940"/>
  </r>
  <r>
    <x v="51"/>
    <s v="conventional_default_dq_cai_702"/>
    <x v="742"/>
    <n v="1.49"/>
    <n v="1"/>
    <n v="-40"/>
    <n v="940"/>
  </r>
  <r>
    <x v="51"/>
    <s v="conventional_default_dq_cai_703"/>
    <x v="743"/>
    <n v="1.49"/>
    <n v="1"/>
    <n v="-40"/>
    <n v="940"/>
  </r>
  <r>
    <x v="51"/>
    <s v="conventional_default_dq_cai_704"/>
    <x v="744"/>
    <n v="1.49"/>
    <n v="1"/>
    <n v="-40"/>
    <n v="940"/>
  </r>
  <r>
    <x v="51"/>
    <s v="conventional_default_dq_cai_705"/>
    <x v="745"/>
    <n v="1.49"/>
    <n v="1"/>
    <n v="-40"/>
    <n v="940"/>
  </r>
  <r>
    <x v="51"/>
    <s v="conventional_default_dq_cai_706"/>
    <x v="746"/>
    <n v="1.49"/>
    <n v="1"/>
    <n v="-40"/>
    <n v="940"/>
  </r>
  <r>
    <x v="51"/>
    <s v="conventional_default_dq_cai_707"/>
    <x v="747"/>
    <n v="1.49"/>
    <n v="1"/>
    <n v="-40"/>
    <n v="940"/>
  </r>
  <r>
    <x v="51"/>
    <s v="conventional_default_dq_cai_708"/>
    <x v="748"/>
    <n v="1.49"/>
    <n v="1"/>
    <n v="-40"/>
    <n v="940"/>
  </r>
  <r>
    <x v="51"/>
    <s v="conventional_default_dq_cai_709"/>
    <x v="749"/>
    <n v="1.49"/>
    <n v="1"/>
    <n v="-40"/>
    <n v="940"/>
  </r>
  <r>
    <x v="51"/>
    <s v="conventional_default_dq_cai_710"/>
    <x v="750"/>
    <n v="1.49"/>
    <n v="1"/>
    <n v="-40"/>
    <n v="940"/>
  </r>
  <r>
    <x v="51"/>
    <s v="conventional_default_dq_cai_711"/>
    <x v="751"/>
    <n v="1.49"/>
    <n v="1"/>
    <n v="-40"/>
    <n v="940"/>
  </r>
  <r>
    <x v="51"/>
    <s v="conventional_default_dq_cai_712"/>
    <x v="752"/>
    <n v="1.49"/>
    <n v="1"/>
    <n v="-40"/>
    <n v="940"/>
  </r>
  <r>
    <x v="51"/>
    <s v="conventional_default_dq_cai_713"/>
    <x v="753"/>
    <n v="1.49"/>
    <n v="1"/>
    <n v="-40"/>
    <n v="940"/>
  </r>
  <r>
    <x v="51"/>
    <s v="conventional_default_dq_cai_714"/>
    <x v="754"/>
    <n v="1.49"/>
    <n v="1"/>
    <n v="-40"/>
    <n v="940"/>
  </r>
  <r>
    <x v="51"/>
    <s v="conventional_default_dq_cai_715"/>
    <x v="755"/>
    <n v="1.49"/>
    <n v="1"/>
    <n v="-40"/>
    <n v="940"/>
  </r>
  <r>
    <x v="51"/>
    <s v="conventional_default_dq_cai_716"/>
    <x v="756"/>
    <n v="1.49"/>
    <n v="1"/>
    <n v="-40"/>
    <n v="940"/>
  </r>
  <r>
    <x v="51"/>
    <s v="conventional_default_dq_cai_717"/>
    <x v="757"/>
    <n v="1.49"/>
    <n v="1"/>
    <n v="-40"/>
    <n v="940"/>
  </r>
  <r>
    <x v="51"/>
    <s v="conventional_default_dq_cai_718"/>
    <x v="758"/>
    <n v="1.49"/>
    <n v="1"/>
    <n v="-40"/>
    <n v="940"/>
  </r>
  <r>
    <x v="51"/>
    <s v="conventional_default_dq_cai_719"/>
    <x v="759"/>
    <n v="1.49"/>
    <n v="1"/>
    <n v="-40"/>
    <n v="940"/>
  </r>
  <r>
    <x v="51"/>
    <s v="conventional_default_dq_cai_720"/>
    <x v="760"/>
    <n v="1.49"/>
    <n v="1"/>
    <n v="-40"/>
    <n v="940"/>
  </r>
  <r>
    <x v="51"/>
    <s v="conventional_default_dq_cai_721"/>
    <x v="761"/>
    <n v="1.49"/>
    <n v="1"/>
    <n v="-40"/>
    <n v="940"/>
  </r>
  <r>
    <x v="51"/>
    <s v="conventional_default_dq_cai_722"/>
    <x v="762"/>
    <n v="1.49"/>
    <n v="1"/>
    <n v="-40"/>
    <n v="940"/>
  </r>
  <r>
    <x v="51"/>
    <s v="conventional_default_dq_cai_723"/>
    <x v="763"/>
    <n v="1.49"/>
    <n v="1"/>
    <n v="-40"/>
    <n v="940"/>
  </r>
  <r>
    <x v="51"/>
    <s v="conventional_default_dq_cai_724"/>
    <x v="764"/>
    <n v="1.49"/>
    <n v="1"/>
    <n v="-40"/>
    <n v="940"/>
  </r>
  <r>
    <x v="51"/>
    <s v="conventional_default_dq_cai_725"/>
    <x v="765"/>
    <n v="1.49"/>
    <n v="1"/>
    <n v="-40"/>
    <n v="940"/>
  </r>
  <r>
    <x v="51"/>
    <s v="conventional_default_dq_cai_726"/>
    <x v="766"/>
    <n v="1.49"/>
    <n v="1"/>
    <n v="-40"/>
    <n v="940"/>
  </r>
  <r>
    <x v="51"/>
    <s v="conventional_default_dq_cai_727"/>
    <x v="767"/>
    <n v="1.49"/>
    <n v="1"/>
    <n v="-40"/>
    <n v="940"/>
  </r>
  <r>
    <x v="51"/>
    <s v="conventional_default_dq_cai_728"/>
    <x v="768"/>
    <n v="1.49"/>
    <n v="1"/>
    <n v="-40"/>
    <n v="940"/>
  </r>
  <r>
    <x v="51"/>
    <s v="conventional_default_dq_cai_729"/>
    <x v="769"/>
    <n v="1.49"/>
    <n v="1"/>
    <n v="-40"/>
    <n v="940"/>
  </r>
  <r>
    <x v="51"/>
    <s v="conventional_default_dq_cai_730"/>
    <x v="770"/>
    <n v="1.49"/>
    <n v="1"/>
    <n v="-40"/>
    <n v="940"/>
  </r>
  <r>
    <x v="51"/>
    <s v="conventional_default_dq_cai_731"/>
    <x v="771"/>
    <n v="1.49"/>
    <n v="1"/>
    <n v="-40"/>
    <n v="940"/>
  </r>
  <r>
    <x v="51"/>
    <s v="conventional_default_dq_cai_732"/>
    <x v="772"/>
    <n v="1.49"/>
    <n v="1"/>
    <n v="-40"/>
    <n v="940"/>
  </r>
  <r>
    <x v="51"/>
    <s v="conventional_default_dq_cai_733"/>
    <x v="773"/>
    <n v="1.49"/>
    <n v="1"/>
    <n v="-40"/>
    <n v="940"/>
  </r>
  <r>
    <x v="51"/>
    <s v="conventional_default_dq_cai_734"/>
    <x v="774"/>
    <n v="1.49"/>
    <n v="1"/>
    <n v="-40"/>
    <n v="940"/>
  </r>
  <r>
    <x v="51"/>
    <s v="conventional_default_dq_cai_735"/>
    <x v="775"/>
    <n v="1.49"/>
    <n v="1"/>
    <n v="-40"/>
    <n v="940"/>
  </r>
  <r>
    <x v="51"/>
    <s v="conventional_default_dq_cai_736"/>
    <x v="776"/>
    <n v="1.49"/>
    <n v="1"/>
    <n v="-40"/>
    <n v="940"/>
  </r>
  <r>
    <x v="51"/>
    <s v="conventional_default_dq_cai_737"/>
    <x v="777"/>
    <n v="1.49"/>
    <n v="1"/>
    <n v="-40"/>
    <n v="940"/>
  </r>
  <r>
    <x v="51"/>
    <s v="conventional_default_dq_cai_738"/>
    <x v="778"/>
    <n v="1.49"/>
    <n v="1"/>
    <n v="-40"/>
    <n v="940"/>
  </r>
  <r>
    <x v="51"/>
    <s v="conventional_default_dq_cai_739"/>
    <x v="779"/>
    <n v="1.49"/>
    <n v="1"/>
    <n v="-40"/>
    <n v="940"/>
  </r>
  <r>
    <x v="51"/>
    <s v="conventional_default_dq_cai_740"/>
    <x v="780"/>
    <n v="1.49"/>
    <n v="1"/>
    <n v="-40"/>
    <n v="940"/>
  </r>
  <r>
    <x v="51"/>
    <s v="conventional_default_dq_cai_741"/>
    <x v="781"/>
    <n v="1.49"/>
    <n v="1"/>
    <n v="-40"/>
    <n v="940"/>
  </r>
  <r>
    <x v="51"/>
    <s v="conventional_default_dq_cai_742"/>
    <x v="782"/>
    <n v="1.49"/>
    <n v="1"/>
    <n v="-40"/>
    <n v="940"/>
  </r>
  <r>
    <x v="51"/>
    <s v="conventional_default_dq_cai_743"/>
    <x v="783"/>
    <n v="1.49"/>
    <n v="1"/>
    <n v="-40"/>
    <n v="940"/>
  </r>
  <r>
    <x v="51"/>
    <s v="conventional_default_dq_cai_744"/>
    <x v="784"/>
    <n v="1.49"/>
    <n v="1"/>
    <n v="-40"/>
    <n v="940"/>
  </r>
  <r>
    <x v="51"/>
    <s v="conventional_default_dq_cai_745"/>
    <x v="785"/>
    <n v="1.49"/>
    <n v="1"/>
    <n v="-40"/>
    <n v="940"/>
  </r>
  <r>
    <x v="51"/>
    <s v="conventional_default_dq_cai_746"/>
    <x v="786"/>
    <n v="1.49"/>
    <n v="1"/>
    <n v="-40"/>
    <n v="940"/>
  </r>
  <r>
    <x v="51"/>
    <s v="conventional_default_dq_cai_747"/>
    <x v="787"/>
    <n v="1.49"/>
    <n v="1"/>
    <n v="-40"/>
    <n v="940"/>
  </r>
  <r>
    <x v="51"/>
    <s v="conventional_default_dq_cai_748"/>
    <x v="788"/>
    <n v="1.49"/>
    <n v="1"/>
    <n v="-40"/>
    <n v="940"/>
  </r>
  <r>
    <x v="51"/>
    <s v="conventional_default_dq_cai_749"/>
    <x v="789"/>
    <n v="1.49"/>
    <n v="1"/>
    <n v="-40"/>
    <n v="940"/>
  </r>
  <r>
    <x v="51"/>
    <s v="conventional_default_dq_cai_750"/>
    <x v="790"/>
    <n v="1.49"/>
    <n v="1"/>
    <n v="-40"/>
    <n v="940"/>
  </r>
  <r>
    <x v="51"/>
    <s v="conventional_default_dq_cai_751"/>
    <x v="791"/>
    <n v="1.49"/>
    <n v="1"/>
    <n v="-40"/>
    <n v="940"/>
  </r>
  <r>
    <x v="51"/>
    <s v="conventional_default_dq_cai_752"/>
    <x v="792"/>
    <n v="1.49"/>
    <n v="1"/>
    <n v="-40"/>
    <n v="940"/>
  </r>
  <r>
    <x v="51"/>
    <s v="conventional_default_dq_cai_753"/>
    <x v="793"/>
    <n v="1.49"/>
    <n v="1"/>
    <n v="-40"/>
    <n v="940"/>
  </r>
  <r>
    <x v="51"/>
    <s v="conventional_default_dq_cai_754"/>
    <x v="794"/>
    <n v="1.49"/>
    <n v="1"/>
    <n v="-40"/>
    <n v="940"/>
  </r>
  <r>
    <x v="51"/>
    <s v="conventional_default_dq_cai_755"/>
    <x v="795"/>
    <n v="1.49"/>
    <n v="1"/>
    <n v="-40"/>
    <n v="940"/>
  </r>
  <r>
    <x v="51"/>
    <s v="conventional_default_dq_cai_756"/>
    <x v="796"/>
    <n v="1.49"/>
    <n v="1"/>
    <n v="-40"/>
    <n v="940"/>
  </r>
  <r>
    <x v="51"/>
    <s v="conventional_default_dq_cai_757"/>
    <x v="797"/>
    <n v="1.49"/>
    <n v="1"/>
    <n v="-40"/>
    <n v="940"/>
  </r>
  <r>
    <x v="51"/>
    <s v="conventional_default_dq_cai_758"/>
    <x v="798"/>
    <n v="1.49"/>
    <n v="1"/>
    <n v="-40"/>
    <n v="940"/>
  </r>
  <r>
    <x v="51"/>
    <s v="conventional_default_dq_cai_759"/>
    <x v="799"/>
    <n v="1.49"/>
    <n v="1"/>
    <n v="-40"/>
    <n v="940"/>
  </r>
  <r>
    <x v="51"/>
    <s v="conventional_default_dq_cai_760"/>
    <x v="800"/>
    <n v="1.49"/>
    <n v="1"/>
    <n v="-40"/>
    <n v="940"/>
  </r>
  <r>
    <x v="51"/>
    <s v="conventional_default_dq_cai_761"/>
    <x v="801"/>
    <n v="1.49"/>
    <n v="1"/>
    <n v="-40"/>
    <n v="940"/>
  </r>
  <r>
    <x v="51"/>
    <s v="conventional_default_dq_cai_762"/>
    <x v="802"/>
    <n v="1.49"/>
    <n v="1"/>
    <n v="-40"/>
    <n v="940"/>
  </r>
  <r>
    <x v="51"/>
    <s v="conventional_default_dq_cai_763"/>
    <x v="803"/>
    <n v="1.49"/>
    <n v="1"/>
    <n v="-40"/>
    <n v="940"/>
  </r>
  <r>
    <x v="51"/>
    <s v="conventional_default_dq_cai_764"/>
    <x v="804"/>
    <n v="1.49"/>
    <n v="1"/>
    <n v="-40"/>
    <n v="940"/>
  </r>
  <r>
    <x v="51"/>
    <s v="conventional_default_dq_cai_765"/>
    <x v="805"/>
    <n v="1.49"/>
    <n v="1"/>
    <n v="-40"/>
    <n v="940"/>
  </r>
  <r>
    <x v="51"/>
    <s v="conventional_default_dq_cai_766"/>
    <x v="806"/>
    <n v="1.49"/>
    <n v="1"/>
    <n v="-40"/>
    <n v="940"/>
  </r>
  <r>
    <x v="51"/>
    <s v="conventional_default_dq_cai_767"/>
    <x v="807"/>
    <n v="1.49"/>
    <n v="1"/>
    <n v="-40"/>
    <n v="940"/>
  </r>
  <r>
    <x v="51"/>
    <s v="conventional_default_dq_cai_768"/>
    <x v="808"/>
    <n v="1.49"/>
    <n v="1"/>
    <n v="-40"/>
    <n v="940"/>
  </r>
  <r>
    <x v="51"/>
    <s v="conventional_default_dq_cai_769"/>
    <x v="809"/>
    <n v="1.49"/>
    <n v="1"/>
    <n v="-40"/>
    <n v="940"/>
  </r>
  <r>
    <x v="51"/>
    <s v="conventional_default_dq_cai_770"/>
    <x v="810"/>
    <n v="1.49"/>
    <n v="1"/>
    <n v="-40"/>
    <n v="940"/>
  </r>
  <r>
    <x v="51"/>
    <s v="conventional_default_dq_cai_771"/>
    <x v="811"/>
    <n v="1.49"/>
    <n v="1"/>
    <n v="-40"/>
    <n v="940"/>
  </r>
  <r>
    <x v="51"/>
    <s v="conventional_default_dq_cai_772"/>
    <x v="812"/>
    <n v="1.49"/>
    <n v="1"/>
    <n v="-40"/>
    <n v="940"/>
  </r>
  <r>
    <x v="51"/>
    <s v="conventional_default_dq_cai_773"/>
    <x v="813"/>
    <n v="1.49"/>
    <n v="1"/>
    <n v="-40"/>
    <n v="940"/>
  </r>
  <r>
    <x v="51"/>
    <s v="conventional_default_dq_cai_774"/>
    <x v="814"/>
    <n v="1.49"/>
    <n v="1"/>
    <n v="-40"/>
    <n v="940"/>
  </r>
  <r>
    <x v="51"/>
    <s v="conventional_default_dq_cai_775"/>
    <x v="815"/>
    <n v="1.49"/>
    <n v="1"/>
    <n v="-40"/>
    <n v="940"/>
  </r>
  <r>
    <x v="51"/>
    <s v="conventional_default_dq_cai_776"/>
    <x v="816"/>
    <n v="1.49"/>
    <n v="1"/>
    <n v="-40"/>
    <n v="940"/>
  </r>
  <r>
    <x v="51"/>
    <s v="conventional_default_dq_cai_777"/>
    <x v="817"/>
    <n v="1.49"/>
    <n v="1"/>
    <n v="-40"/>
    <n v="940"/>
  </r>
  <r>
    <x v="51"/>
    <s v="conventional_default_dq_cai_778"/>
    <x v="818"/>
    <n v="1.49"/>
    <n v="1"/>
    <n v="-40"/>
    <n v="940"/>
  </r>
  <r>
    <x v="51"/>
    <s v="conventional_default_dq_cai_779"/>
    <x v="819"/>
    <n v="1.49"/>
    <n v="1"/>
    <n v="-40"/>
    <n v="940"/>
  </r>
  <r>
    <x v="51"/>
    <s v="conventional_default_dq_cai_780"/>
    <x v="820"/>
    <n v="1.49"/>
    <n v="1"/>
    <n v="-40"/>
    <n v="940"/>
  </r>
  <r>
    <x v="51"/>
    <s v="conventional_default_dq_cai_781"/>
    <x v="821"/>
    <n v="1.49"/>
    <n v="1"/>
    <n v="-40"/>
    <n v="940"/>
  </r>
  <r>
    <x v="51"/>
    <s v="conventional_default_dq_cai_782"/>
    <x v="822"/>
    <n v="1.49"/>
    <n v="1"/>
    <n v="-40"/>
    <n v="940"/>
  </r>
  <r>
    <x v="51"/>
    <s v="conventional_default_dq_cai_783"/>
    <x v="823"/>
    <n v="1.49"/>
    <n v="1"/>
    <n v="-40"/>
    <n v="940"/>
  </r>
  <r>
    <x v="51"/>
    <s v="conventional_default_dq_cai_784"/>
    <x v="824"/>
    <n v="1.49"/>
    <n v="1"/>
    <n v="-40"/>
    <n v="940"/>
  </r>
  <r>
    <x v="51"/>
    <s v="conventional_default_dq_cai_785"/>
    <x v="825"/>
    <n v="1.49"/>
    <n v="1"/>
    <n v="-40"/>
    <n v="940"/>
  </r>
  <r>
    <x v="51"/>
    <s v="conventional_default_dq_cai_786"/>
    <x v="826"/>
    <n v="1.49"/>
    <n v="1"/>
    <n v="-40"/>
    <n v="940"/>
  </r>
  <r>
    <x v="51"/>
    <s v="conventional_default_dq_cai_787"/>
    <x v="827"/>
    <n v="1.49"/>
    <n v="1"/>
    <n v="-40"/>
    <n v="940"/>
  </r>
  <r>
    <x v="51"/>
    <s v="conventional_default_dq_cai_788"/>
    <x v="828"/>
    <n v="1.49"/>
    <n v="1"/>
    <n v="-40"/>
    <n v="940"/>
  </r>
  <r>
    <x v="51"/>
    <s v="conventional_default_dq_cai_789"/>
    <x v="829"/>
    <n v="1.49"/>
    <n v="1"/>
    <n v="-40"/>
    <n v="940"/>
  </r>
  <r>
    <x v="51"/>
    <s v="conventional_default_dq_cai_790"/>
    <x v="830"/>
    <n v="1.49"/>
    <n v="1"/>
    <n v="-40"/>
    <n v="940"/>
  </r>
  <r>
    <x v="51"/>
    <s v="conventional_default_dq_cai_791"/>
    <x v="831"/>
    <n v="1.49"/>
    <n v="1"/>
    <n v="-40"/>
    <n v="940"/>
  </r>
  <r>
    <x v="51"/>
    <s v="conventional_default_dq_cai_792"/>
    <x v="832"/>
    <n v="1.49"/>
    <n v="1"/>
    <n v="-40"/>
    <n v="940"/>
  </r>
  <r>
    <x v="51"/>
    <s v="conventional_default_dq_cai_793"/>
    <x v="833"/>
    <n v="1.49"/>
    <n v="1"/>
    <n v="-40"/>
    <n v="940"/>
  </r>
  <r>
    <x v="51"/>
    <s v="conventional_default_dq_cai_794"/>
    <x v="834"/>
    <n v="1.49"/>
    <n v="1"/>
    <n v="-40"/>
    <n v="940"/>
  </r>
  <r>
    <x v="51"/>
    <s v="conventional_default_dq_cai_795"/>
    <x v="835"/>
    <n v="1.49"/>
    <n v="1"/>
    <n v="-40"/>
    <n v="940"/>
  </r>
  <r>
    <x v="51"/>
    <s v="conventional_default_dq_cai_796"/>
    <x v="836"/>
    <n v="1.49"/>
    <n v="1"/>
    <n v="-40"/>
    <n v="940"/>
  </r>
  <r>
    <x v="51"/>
    <s v="conventional_default_dq_cai_797"/>
    <x v="837"/>
    <n v="1.49"/>
    <n v="1"/>
    <n v="-40"/>
    <n v="940"/>
  </r>
  <r>
    <x v="51"/>
    <s v="conventional_default_dq_cai_798"/>
    <x v="838"/>
    <n v="1.49"/>
    <n v="1"/>
    <n v="-40"/>
    <n v="940"/>
  </r>
  <r>
    <x v="51"/>
    <s v="conventional_default_dq_cai_799"/>
    <x v="839"/>
    <n v="1.49"/>
    <n v="1"/>
    <n v="-40"/>
    <n v="940"/>
  </r>
  <r>
    <x v="51"/>
    <s v="conventional_default_dq_cai_800"/>
    <x v="840"/>
    <n v="1.49"/>
    <n v="1"/>
    <n v="-40"/>
    <n v="940"/>
  </r>
  <r>
    <x v="51"/>
    <s v="conventional_default_dq_cai_801"/>
    <x v="841"/>
    <n v="1.49"/>
    <n v="1"/>
    <n v="-40"/>
    <n v="940"/>
  </r>
  <r>
    <x v="51"/>
    <s v="conventional_default_dq_cai_802"/>
    <x v="842"/>
    <n v="1.49"/>
    <n v="1"/>
    <n v="-40"/>
    <n v="940"/>
  </r>
  <r>
    <x v="51"/>
    <s v="conventional_default_dq_cai_803"/>
    <x v="843"/>
    <n v="1.49"/>
    <n v="1"/>
    <n v="-40"/>
    <n v="940"/>
  </r>
  <r>
    <x v="51"/>
    <s v="conventional_default_dq_cai_804"/>
    <x v="844"/>
    <n v="1.49"/>
    <n v="1"/>
    <n v="-40"/>
    <n v="940"/>
  </r>
  <r>
    <x v="51"/>
    <s v="conventional_default_dq_cai_805"/>
    <x v="845"/>
    <n v="1.49"/>
    <n v="1"/>
    <n v="-40"/>
    <n v="940"/>
  </r>
  <r>
    <x v="51"/>
    <s v="conventional_default_dq_cai_806"/>
    <x v="846"/>
    <n v="1.49"/>
    <n v="1"/>
    <n v="-40"/>
    <n v="940"/>
  </r>
  <r>
    <x v="51"/>
    <s v="conventional_default_dq_cai_807"/>
    <x v="847"/>
    <n v="1.49"/>
    <n v="1"/>
    <n v="-40"/>
    <n v="940"/>
  </r>
  <r>
    <x v="51"/>
    <s v="conventional_default_dq_cai_808"/>
    <x v="848"/>
    <n v="1.49"/>
    <n v="1"/>
    <n v="-40"/>
    <n v="940"/>
  </r>
  <r>
    <x v="51"/>
    <s v="conventional_default_dq_cai_809"/>
    <x v="849"/>
    <n v="1.49"/>
    <n v="1"/>
    <n v="-40"/>
    <n v="940"/>
  </r>
  <r>
    <x v="51"/>
    <s v="conventional_default_dq_cai_810"/>
    <x v="850"/>
    <n v="1.49"/>
    <n v="1"/>
    <n v="-40"/>
    <n v="940"/>
  </r>
  <r>
    <x v="51"/>
    <s v="conventional_default_dq_cai_811"/>
    <x v="851"/>
    <n v="1.49"/>
    <n v="1"/>
    <n v="-40"/>
    <n v="940"/>
  </r>
  <r>
    <x v="51"/>
    <s v="conventional_default_dq_cai_812"/>
    <x v="852"/>
    <n v="1.49"/>
    <n v="1"/>
    <n v="-40"/>
    <n v="940"/>
  </r>
  <r>
    <x v="51"/>
    <s v="conventional_default_dq_cai_813"/>
    <x v="853"/>
    <n v="1.49"/>
    <n v="1"/>
    <n v="-40"/>
    <n v="940"/>
  </r>
  <r>
    <x v="51"/>
    <s v="conventional_default_dq_cai_814"/>
    <x v="854"/>
    <n v="1.49"/>
    <n v="1"/>
    <n v="-40"/>
    <n v="940"/>
  </r>
  <r>
    <x v="51"/>
    <s v="conventional_default_dq_cai_815"/>
    <x v="855"/>
    <n v="1.49"/>
    <n v="1"/>
    <n v="-40"/>
    <n v="940"/>
  </r>
  <r>
    <x v="51"/>
    <s v="conventional_default_dq_cai_816"/>
    <x v="856"/>
    <n v="1.49"/>
    <n v="1"/>
    <n v="-40"/>
    <n v="940"/>
  </r>
  <r>
    <x v="51"/>
    <s v="conventional_default_dq_cai_817"/>
    <x v="857"/>
    <n v="1.49"/>
    <n v="1"/>
    <n v="-40"/>
    <n v="940"/>
  </r>
  <r>
    <x v="51"/>
    <s v="conventional_default_dq_cai_818"/>
    <x v="858"/>
    <n v="1.49"/>
    <n v="1"/>
    <n v="-40"/>
    <n v="940"/>
  </r>
  <r>
    <x v="51"/>
    <s v="conventional_default_dq_cai_819"/>
    <x v="859"/>
    <n v="1.49"/>
    <n v="1"/>
    <n v="-40"/>
    <n v="940"/>
  </r>
  <r>
    <x v="51"/>
    <s v="conventional_default_dq_cai_820"/>
    <x v="860"/>
    <n v="1.49"/>
    <n v="1"/>
    <n v="-40"/>
    <n v="940"/>
  </r>
  <r>
    <x v="51"/>
    <s v="conventional_default_dq_cai_821"/>
    <x v="861"/>
    <n v="1.49"/>
    <n v="1"/>
    <n v="-40"/>
    <n v="940"/>
  </r>
  <r>
    <x v="51"/>
    <s v="conventional_default_dq_cai_822"/>
    <x v="862"/>
    <n v="1.49"/>
    <n v="1"/>
    <n v="-40"/>
    <n v="940"/>
  </r>
  <r>
    <x v="51"/>
    <s v="conventional_default_dq_cai_823"/>
    <x v="863"/>
    <n v="1.49"/>
    <n v="1"/>
    <n v="-40"/>
    <n v="940"/>
  </r>
  <r>
    <x v="51"/>
    <s v="conventional_default_dq_cai_824"/>
    <x v="864"/>
    <n v="1.49"/>
    <n v="1"/>
    <n v="-40"/>
    <n v="940"/>
  </r>
  <r>
    <x v="51"/>
    <s v="conventional_default_dq_cai_825"/>
    <x v="865"/>
    <n v="1.49"/>
    <n v="1"/>
    <n v="-40"/>
    <n v="940"/>
  </r>
  <r>
    <x v="51"/>
    <s v="conventional_default_dq_cai_826"/>
    <x v="866"/>
    <n v="1.49"/>
    <n v="1"/>
    <n v="-40"/>
    <n v="940"/>
  </r>
  <r>
    <x v="51"/>
    <s v="conventional_default_dq_cai_827"/>
    <x v="867"/>
    <n v="1.49"/>
    <n v="1"/>
    <n v="-40"/>
    <n v="940"/>
  </r>
  <r>
    <x v="51"/>
    <s v="conventional_default_dq_cai_828"/>
    <x v="868"/>
    <n v="1.49"/>
    <n v="1"/>
    <n v="-40"/>
    <n v="940"/>
  </r>
  <r>
    <x v="51"/>
    <s v="conventional_default_dq_cai_829"/>
    <x v="869"/>
    <n v="1.49"/>
    <n v="1"/>
    <n v="-40"/>
    <n v="940"/>
  </r>
  <r>
    <x v="51"/>
    <s v="conventional_default_dq_cai_830"/>
    <x v="870"/>
    <n v="1.49"/>
    <n v="1"/>
    <n v="-40"/>
    <n v="940"/>
  </r>
  <r>
    <x v="51"/>
    <s v="conventional_default_dq_cai_831"/>
    <x v="871"/>
    <n v="1.49"/>
    <n v="1"/>
    <n v="-40"/>
    <n v="940"/>
  </r>
  <r>
    <x v="51"/>
    <s v="conventional_default_dq_cai_832"/>
    <x v="872"/>
    <n v="1.49"/>
    <n v="1"/>
    <n v="-40"/>
    <n v="940"/>
  </r>
  <r>
    <x v="51"/>
    <s v="conventional_default_dq_cai_833"/>
    <x v="873"/>
    <n v="1.49"/>
    <n v="1"/>
    <n v="-40"/>
    <n v="940"/>
  </r>
  <r>
    <x v="51"/>
    <s v="conventional_default_dq_cai_834"/>
    <x v="874"/>
    <n v="1.49"/>
    <n v="1"/>
    <n v="-40"/>
    <n v="940"/>
  </r>
  <r>
    <x v="51"/>
    <s v="conventional_default_dq_cai_835"/>
    <x v="875"/>
    <n v="1.49"/>
    <n v="1"/>
    <n v="-40"/>
    <n v="940"/>
  </r>
  <r>
    <x v="51"/>
    <s v="conventional_default_dq_cai_836"/>
    <x v="876"/>
    <n v="1.49"/>
    <n v="1"/>
    <n v="-40"/>
    <n v="940"/>
  </r>
  <r>
    <x v="51"/>
    <s v="conventional_default_dq_cai_837"/>
    <x v="877"/>
    <n v="1.49"/>
    <n v="1"/>
    <n v="-40"/>
    <n v="940"/>
  </r>
  <r>
    <x v="51"/>
    <s v="conventional_default_dq_cai_838"/>
    <x v="878"/>
    <n v="1.49"/>
    <n v="1"/>
    <n v="-40"/>
    <n v="940"/>
  </r>
  <r>
    <x v="51"/>
    <s v="conventional_default_dq_cai_839"/>
    <x v="879"/>
    <n v="1.49"/>
    <n v="1"/>
    <n v="-40"/>
    <n v="940"/>
  </r>
  <r>
    <x v="51"/>
    <s v="conventional_default_dq_cai_840"/>
    <x v="880"/>
    <n v="1.49"/>
    <n v="1"/>
    <n v="-40"/>
    <n v="940"/>
  </r>
  <r>
    <x v="51"/>
    <s v="conventional_default_dq_cai_841"/>
    <x v="881"/>
    <n v="1.49"/>
    <n v="1"/>
    <n v="-40"/>
    <n v="940"/>
  </r>
  <r>
    <x v="51"/>
    <s v="conventional_default_dq_cai_842"/>
    <x v="882"/>
    <n v="1.49"/>
    <n v="1"/>
    <n v="-40"/>
    <n v="940"/>
  </r>
  <r>
    <x v="51"/>
    <s v="conventional_default_dq_cai_843"/>
    <x v="883"/>
    <n v="1.49"/>
    <n v="1"/>
    <n v="-40"/>
    <n v="940"/>
  </r>
  <r>
    <x v="51"/>
    <s v="conventional_default_dq_cai_844"/>
    <x v="884"/>
    <n v="1.49"/>
    <n v="1"/>
    <n v="-40"/>
    <n v="940"/>
  </r>
  <r>
    <x v="51"/>
    <s v="conventional_default_dq_cai_845"/>
    <x v="885"/>
    <n v="1.49"/>
    <n v="1"/>
    <n v="-40"/>
    <n v="940"/>
  </r>
  <r>
    <x v="51"/>
    <s v="conventional_default_dq_cai_846"/>
    <x v="886"/>
    <n v="1.49"/>
    <n v="1"/>
    <n v="-40"/>
    <n v="940"/>
  </r>
  <r>
    <x v="51"/>
    <s v="conventional_default_dq_cai_847"/>
    <x v="887"/>
    <n v="1.49"/>
    <n v="1"/>
    <n v="-40"/>
    <n v="940"/>
  </r>
  <r>
    <x v="51"/>
    <s v="conventional_default_dq_cai_848"/>
    <x v="888"/>
    <n v="1.49"/>
    <n v="1"/>
    <n v="-40"/>
    <n v="940"/>
  </r>
  <r>
    <x v="51"/>
    <s v="conventional_default_dq_cai_849"/>
    <x v="889"/>
    <n v="1.49"/>
    <n v="1"/>
    <n v="-40"/>
    <n v="940"/>
  </r>
  <r>
    <x v="51"/>
    <s v="conventional_default_dq_cai_850"/>
    <x v="890"/>
    <n v="1.49"/>
    <n v="1"/>
    <n v="-40"/>
    <n v="940"/>
  </r>
  <r>
    <x v="51"/>
    <s v="conventional_default_dq_cai_851"/>
    <x v="891"/>
    <n v="1.49"/>
    <n v="1"/>
    <n v="-40"/>
    <n v="940"/>
  </r>
  <r>
    <x v="51"/>
    <s v="conventional_default_dq_cai_852"/>
    <x v="892"/>
    <n v="1.49"/>
    <n v="1"/>
    <n v="-40"/>
    <n v="940"/>
  </r>
  <r>
    <x v="51"/>
    <s v="conventional_default_dq_cai_853"/>
    <x v="893"/>
    <n v="1.49"/>
    <n v="1"/>
    <n v="-40"/>
    <n v="940"/>
  </r>
  <r>
    <x v="51"/>
    <s v="conventional_default_dq_cai_854"/>
    <x v="894"/>
    <n v="1.49"/>
    <n v="1"/>
    <n v="-40"/>
    <n v="940"/>
  </r>
  <r>
    <x v="51"/>
    <s v="conventional_default_dq_cai_855"/>
    <x v="895"/>
    <n v="1.49"/>
    <n v="1"/>
    <n v="-40"/>
    <n v="940"/>
  </r>
  <r>
    <x v="51"/>
    <s v="conventional_default_dq_cai_856"/>
    <x v="896"/>
    <n v="1.49"/>
    <n v="1"/>
    <n v="-40"/>
    <n v="940"/>
  </r>
  <r>
    <x v="51"/>
    <s v="conventional_default_dq_cai_857"/>
    <x v="897"/>
    <n v="1.49"/>
    <n v="1"/>
    <n v="-40"/>
    <n v="940"/>
  </r>
  <r>
    <x v="51"/>
    <s v="conventional_default_dq_cai_858"/>
    <x v="898"/>
    <n v="1.49"/>
    <n v="1"/>
    <n v="-40"/>
    <n v="940"/>
  </r>
  <r>
    <x v="51"/>
    <s v="conventional_default_dq_cai_859"/>
    <x v="899"/>
    <n v="1.49"/>
    <n v="1"/>
    <n v="-40"/>
    <n v="940"/>
  </r>
  <r>
    <x v="51"/>
    <s v="conventional_default_dq_cai_860"/>
    <x v="900"/>
    <n v="1.49"/>
    <n v="1"/>
    <n v="-40"/>
    <n v="940"/>
  </r>
  <r>
    <x v="51"/>
    <s v="conventional_default_dq_cai_861"/>
    <x v="901"/>
    <n v="1.49"/>
    <n v="1"/>
    <n v="-40"/>
    <n v="940"/>
  </r>
  <r>
    <x v="51"/>
    <s v="conventional_default_dq_cai_862"/>
    <x v="902"/>
    <n v="1.49"/>
    <n v="1"/>
    <n v="-40"/>
    <n v="940"/>
  </r>
  <r>
    <x v="51"/>
    <s v="conventional_default_dq_cai_863"/>
    <x v="903"/>
    <n v="1.49"/>
    <n v="1"/>
    <n v="-40"/>
    <n v="940"/>
  </r>
  <r>
    <x v="51"/>
    <s v="conventional_default_dq_cai_864"/>
    <x v="904"/>
    <n v="1.49"/>
    <n v="1"/>
    <n v="-40"/>
    <n v="940"/>
  </r>
  <r>
    <x v="51"/>
    <s v="conventional_default_dq_cai_865"/>
    <x v="905"/>
    <n v="1.49"/>
    <n v="1"/>
    <n v="-40"/>
    <n v="940"/>
  </r>
  <r>
    <x v="51"/>
    <s v="conventional_default_dq_cai_866"/>
    <x v="906"/>
    <n v="1.49"/>
    <n v="1"/>
    <n v="-40"/>
    <n v="940"/>
  </r>
  <r>
    <x v="51"/>
    <s v="conventional_default_dq_cai_867"/>
    <x v="907"/>
    <n v="1.49"/>
    <n v="1"/>
    <n v="-40"/>
    <n v="940"/>
  </r>
  <r>
    <x v="51"/>
    <s v="conventional_default_dq_cai_868"/>
    <x v="908"/>
    <n v="1.49"/>
    <n v="1"/>
    <n v="-40"/>
    <n v="940"/>
  </r>
  <r>
    <x v="51"/>
    <s v="conventional_default_dq_cai_869"/>
    <x v="909"/>
    <n v="1.49"/>
    <n v="1"/>
    <n v="-40"/>
    <n v="940"/>
  </r>
  <r>
    <x v="51"/>
    <s v="conventional_default_dq_cai_870"/>
    <x v="910"/>
    <n v="1.49"/>
    <n v="1"/>
    <n v="-40"/>
    <n v="940"/>
  </r>
  <r>
    <x v="51"/>
    <s v="conventional_default_dq_cai_871"/>
    <x v="911"/>
    <n v="1.49"/>
    <n v="1"/>
    <n v="-40"/>
    <n v="940"/>
  </r>
  <r>
    <x v="51"/>
    <s v="conventional_default_dq_cai_872"/>
    <x v="912"/>
    <n v="1.49"/>
    <n v="1"/>
    <n v="-40"/>
    <n v="940"/>
  </r>
  <r>
    <x v="51"/>
    <s v="conventional_default_dq_cai_873"/>
    <x v="913"/>
    <n v="1.49"/>
    <n v="1"/>
    <n v="-40"/>
    <n v="940"/>
  </r>
  <r>
    <x v="51"/>
    <s v="conventional_default_dq_cai_874"/>
    <x v="914"/>
    <n v="1.49"/>
    <n v="1"/>
    <n v="-40"/>
    <n v="940"/>
  </r>
  <r>
    <x v="51"/>
    <s v="conventional_default_dq_cai_875"/>
    <x v="915"/>
    <n v="1.49"/>
    <n v="1"/>
    <n v="-40"/>
    <n v="940"/>
  </r>
  <r>
    <x v="51"/>
    <s v="conventional_default_dq_cai_876"/>
    <x v="916"/>
    <n v="1.49"/>
    <n v="1"/>
    <n v="-40"/>
    <n v="940"/>
  </r>
  <r>
    <x v="51"/>
    <s v="conventional_default_dq_cai_877"/>
    <x v="917"/>
    <n v="1.49"/>
    <n v="1"/>
    <n v="-40"/>
    <n v="940"/>
  </r>
  <r>
    <x v="51"/>
    <s v="conventional_default_dq_cai_878"/>
    <x v="918"/>
    <n v="1.49"/>
    <n v="1"/>
    <n v="-40"/>
    <n v="940"/>
  </r>
  <r>
    <x v="51"/>
    <s v="conventional_default_dq_cai_879"/>
    <x v="919"/>
    <n v="1.49"/>
    <n v="1"/>
    <n v="-40"/>
    <n v="940"/>
  </r>
  <r>
    <x v="51"/>
    <s v="conventional_default_dq_cai_880"/>
    <x v="920"/>
    <n v="1.49"/>
    <n v="1"/>
    <n v="-40"/>
    <n v="940"/>
  </r>
  <r>
    <x v="51"/>
    <s v="conventional_default_dq_cai_881"/>
    <x v="921"/>
    <n v="1.49"/>
    <n v="1"/>
    <n v="-40"/>
    <n v="940"/>
  </r>
  <r>
    <x v="51"/>
    <s v="conventional_default_dq_cai_882"/>
    <x v="922"/>
    <n v="1.49"/>
    <n v="1"/>
    <n v="-40"/>
    <n v="940"/>
  </r>
  <r>
    <x v="51"/>
    <s v="conventional_default_dq_cai_883"/>
    <x v="923"/>
    <n v="1.49"/>
    <n v="1"/>
    <n v="-40"/>
    <n v="940"/>
  </r>
  <r>
    <x v="51"/>
    <s v="conventional_default_dq_cai_884"/>
    <x v="924"/>
    <n v="1.49"/>
    <n v="1"/>
    <n v="-40"/>
    <n v="940"/>
  </r>
  <r>
    <x v="51"/>
    <s v="conventional_default_dq_cai_885"/>
    <x v="925"/>
    <n v="1.49"/>
    <n v="1"/>
    <n v="-40"/>
    <n v="940"/>
  </r>
  <r>
    <x v="51"/>
    <s v="conventional_default_dq_cai_886"/>
    <x v="926"/>
    <n v="1.49"/>
    <n v="1"/>
    <n v="-40"/>
    <n v="940"/>
  </r>
  <r>
    <x v="51"/>
    <s v="conventional_default_dq_cai_887"/>
    <x v="927"/>
    <n v="1.49"/>
    <n v="1"/>
    <n v="-40"/>
    <n v="940"/>
  </r>
  <r>
    <x v="51"/>
    <s v="conventional_default_dq_cai_888"/>
    <x v="928"/>
    <n v="1.49"/>
    <n v="1"/>
    <n v="-40"/>
    <n v="940"/>
  </r>
  <r>
    <x v="51"/>
    <s v="conventional_default_dq_cai_889"/>
    <x v="929"/>
    <n v="1.49"/>
    <n v="1"/>
    <n v="-40"/>
    <n v="940"/>
  </r>
  <r>
    <x v="51"/>
    <s v="conventional_default_dq_cai_890"/>
    <x v="930"/>
    <n v="1.49"/>
    <n v="1"/>
    <n v="-40"/>
    <n v="940"/>
  </r>
  <r>
    <x v="51"/>
    <s v="conventional_default_dq_cai_891"/>
    <x v="931"/>
    <n v="1.49"/>
    <n v="1"/>
    <n v="-40"/>
    <n v="940"/>
  </r>
  <r>
    <x v="51"/>
    <s v="conventional_default_dq_cai_892"/>
    <x v="932"/>
    <n v="1.49"/>
    <n v="1"/>
    <n v="-40"/>
    <n v="940"/>
  </r>
  <r>
    <x v="51"/>
    <s v="conventional_default_dq_cai_893"/>
    <x v="933"/>
    <n v="1.49"/>
    <n v="1"/>
    <n v="-40"/>
    <n v="940"/>
  </r>
  <r>
    <x v="51"/>
    <s v="conventional_default_dq_cai_894"/>
    <x v="934"/>
    <n v="1.49"/>
    <n v="1"/>
    <n v="-40"/>
    <n v="940"/>
  </r>
  <r>
    <x v="51"/>
    <s v="conventional_default_dq_cai_895"/>
    <x v="935"/>
    <n v="1.49"/>
    <n v="1"/>
    <n v="-40"/>
    <n v="940"/>
  </r>
  <r>
    <x v="51"/>
    <s v="conventional_default_dq_cai_896"/>
    <x v="936"/>
    <n v="1.49"/>
    <n v="1"/>
    <n v="-40"/>
    <n v="940"/>
  </r>
  <r>
    <x v="51"/>
    <s v="conventional_default_dq_cai_897"/>
    <x v="937"/>
    <n v="1.49"/>
    <n v="1"/>
    <n v="-40"/>
    <n v="940"/>
  </r>
  <r>
    <x v="51"/>
    <s v="conventional_default_dq_cai_898"/>
    <x v="938"/>
    <n v="1.49"/>
    <n v="1"/>
    <n v="-40"/>
    <n v="940"/>
  </r>
  <r>
    <x v="51"/>
    <s v="conventional_default_dq_cai_899"/>
    <x v="939"/>
    <n v="1.49"/>
    <n v="1"/>
    <n v="-40"/>
    <n v="940"/>
  </r>
  <r>
    <x v="51"/>
    <s v="conventional_default_dq_cai_900"/>
    <x v="940"/>
    <n v="1.49"/>
    <n v="1"/>
    <n v="-40"/>
    <n v="940"/>
  </r>
  <r>
    <x v="51"/>
    <s v="conventional_default_dq_cai_901"/>
    <x v="941"/>
    <n v="1.49"/>
    <n v="1"/>
    <n v="-40"/>
    <n v="940"/>
  </r>
  <r>
    <x v="51"/>
    <s v="conventional_default_dq_cai_902"/>
    <x v="942"/>
    <n v="1.49"/>
    <n v="1"/>
    <n v="-40"/>
    <n v="940"/>
  </r>
  <r>
    <x v="51"/>
    <s v="conventional_default_dq_cai_903"/>
    <x v="943"/>
    <n v="1.49"/>
    <n v="1"/>
    <n v="-40"/>
    <n v="940"/>
  </r>
  <r>
    <x v="51"/>
    <s v="conventional_default_dq_cai_904"/>
    <x v="944"/>
    <n v="1.49"/>
    <n v="1"/>
    <n v="-40"/>
    <n v="940"/>
  </r>
  <r>
    <x v="51"/>
    <s v="conventional_default_dq_cai_905"/>
    <x v="945"/>
    <n v="1.49"/>
    <n v="1"/>
    <n v="-40"/>
    <n v="940"/>
  </r>
  <r>
    <x v="51"/>
    <s v="conventional_default_dq_cai_906"/>
    <x v="946"/>
    <n v="1.49"/>
    <n v="1"/>
    <n v="-40"/>
    <n v="940"/>
  </r>
  <r>
    <x v="51"/>
    <s v="conventional_default_dq_cai_907"/>
    <x v="947"/>
    <n v="1.49"/>
    <n v="1"/>
    <n v="-40"/>
    <n v="940"/>
  </r>
  <r>
    <x v="51"/>
    <s v="conventional_default_dq_cai_908"/>
    <x v="948"/>
    <n v="1.49"/>
    <n v="1"/>
    <n v="-40"/>
    <n v="940"/>
  </r>
  <r>
    <x v="51"/>
    <s v="conventional_default_dq_cai_909"/>
    <x v="949"/>
    <n v="1.49"/>
    <n v="1"/>
    <n v="-40"/>
    <n v="940"/>
  </r>
  <r>
    <x v="51"/>
    <s v="conventional_default_dq_cai_910"/>
    <x v="950"/>
    <n v="1.49"/>
    <n v="1"/>
    <n v="-40"/>
    <n v="940"/>
  </r>
  <r>
    <x v="51"/>
    <s v="conventional_default_dq_cai_911"/>
    <x v="951"/>
    <n v="1.49"/>
    <n v="1"/>
    <n v="-40"/>
    <n v="940"/>
  </r>
  <r>
    <x v="51"/>
    <s v="conventional_default_dq_cai_912"/>
    <x v="952"/>
    <n v="1.49"/>
    <n v="1"/>
    <n v="-40"/>
    <n v="940"/>
  </r>
  <r>
    <x v="51"/>
    <s v="conventional_default_dq_cai_913"/>
    <x v="953"/>
    <n v="1.49"/>
    <n v="1"/>
    <n v="-40"/>
    <n v="940"/>
  </r>
  <r>
    <x v="51"/>
    <s v="conventional_default_dq_cai_914"/>
    <x v="954"/>
    <n v="1.49"/>
    <n v="1"/>
    <n v="-40"/>
    <n v="940"/>
  </r>
  <r>
    <x v="51"/>
    <s v="conventional_default_dq_cai_915"/>
    <x v="955"/>
    <n v="1.49"/>
    <n v="1"/>
    <n v="-40"/>
    <n v="940"/>
  </r>
  <r>
    <x v="51"/>
    <s v="conventional_default_dq_cai_916"/>
    <x v="956"/>
    <n v="1.49"/>
    <n v="1"/>
    <n v="-40"/>
    <n v="940"/>
  </r>
  <r>
    <x v="51"/>
    <s v="conventional_default_dq_cai_917"/>
    <x v="957"/>
    <n v="1.49"/>
    <n v="1"/>
    <n v="-40"/>
    <n v="940"/>
  </r>
  <r>
    <x v="51"/>
    <s v="conventional_default_dq_cai_918"/>
    <x v="958"/>
    <n v="1.49"/>
    <n v="1"/>
    <n v="-40"/>
    <n v="940"/>
  </r>
  <r>
    <x v="51"/>
    <s v="conventional_default_dq_cai_919"/>
    <x v="959"/>
    <n v="1.49"/>
    <n v="1"/>
    <n v="-40"/>
    <n v="940"/>
  </r>
  <r>
    <x v="51"/>
    <s v="conventional_default_dq_cai_920"/>
    <x v="960"/>
    <n v="1.49"/>
    <n v="1"/>
    <n v="-40"/>
    <n v="940"/>
  </r>
  <r>
    <x v="51"/>
    <s v="conventional_default_dq_cai_921"/>
    <x v="961"/>
    <n v="1.49"/>
    <n v="1"/>
    <n v="-40"/>
    <n v="940"/>
  </r>
  <r>
    <x v="51"/>
    <s v="conventional_default_dq_cai_922"/>
    <x v="962"/>
    <n v="1.49"/>
    <n v="1"/>
    <n v="-40"/>
    <n v="940"/>
  </r>
  <r>
    <x v="51"/>
    <s v="conventional_default_dq_cai_923"/>
    <x v="963"/>
    <n v="1.49"/>
    <n v="1"/>
    <n v="-40"/>
    <n v="940"/>
  </r>
  <r>
    <x v="51"/>
    <s v="conventional_default_dq_cai_924"/>
    <x v="964"/>
    <n v="1.49"/>
    <n v="1"/>
    <n v="-40"/>
    <n v="940"/>
  </r>
  <r>
    <x v="51"/>
    <s v="conventional_default_dq_cai_925"/>
    <x v="965"/>
    <n v="1.49"/>
    <n v="1"/>
    <n v="-40"/>
    <n v="940"/>
  </r>
  <r>
    <x v="51"/>
    <s v="conventional_default_dq_cai_926"/>
    <x v="966"/>
    <n v="1.49"/>
    <n v="1"/>
    <n v="-40"/>
    <n v="940"/>
  </r>
  <r>
    <x v="51"/>
    <s v="conventional_default_dq_cai_927"/>
    <x v="967"/>
    <n v="1.49"/>
    <n v="1"/>
    <n v="-40"/>
    <n v="940"/>
  </r>
  <r>
    <x v="51"/>
    <s v="conventional_default_dq_cai_928"/>
    <x v="968"/>
    <n v="1.49"/>
    <n v="1"/>
    <n v="-40"/>
    <n v="940"/>
  </r>
  <r>
    <x v="51"/>
    <s v="conventional_default_dq_cai_929"/>
    <x v="969"/>
    <n v="1.49"/>
    <n v="1"/>
    <n v="-40"/>
    <n v="940"/>
  </r>
  <r>
    <x v="51"/>
    <s v="conventional_default_dq_cai_930"/>
    <x v="970"/>
    <n v="1.49"/>
    <n v="1"/>
    <n v="-40"/>
    <n v="940"/>
  </r>
  <r>
    <x v="51"/>
    <s v="conventional_default_dq_cai_931"/>
    <x v="971"/>
    <n v="1.49"/>
    <n v="1"/>
    <n v="-40"/>
    <n v="940"/>
  </r>
  <r>
    <x v="51"/>
    <s v="conventional_default_dq_cai_932"/>
    <x v="972"/>
    <n v="1.49"/>
    <n v="1"/>
    <n v="-40"/>
    <n v="940"/>
  </r>
  <r>
    <x v="51"/>
    <s v="conventional_default_dq_cai_933"/>
    <x v="973"/>
    <n v="1.49"/>
    <n v="1"/>
    <n v="-40"/>
    <n v="940"/>
  </r>
  <r>
    <x v="51"/>
    <s v="conventional_default_dq_cai_934"/>
    <x v="974"/>
    <n v="1.49"/>
    <n v="1"/>
    <n v="-40"/>
    <n v="940"/>
  </r>
  <r>
    <x v="51"/>
    <s v="conventional_default_dq_cai_935"/>
    <x v="975"/>
    <n v="1.49"/>
    <n v="1"/>
    <n v="-40"/>
    <n v="940"/>
  </r>
  <r>
    <x v="51"/>
    <s v="conventional_default_dq_cai_936"/>
    <x v="976"/>
    <n v="1.49"/>
    <n v="1"/>
    <n v="-40"/>
    <n v="940"/>
  </r>
  <r>
    <x v="51"/>
    <s v="conventional_default_dq_cai_937"/>
    <x v="977"/>
    <n v="1.49"/>
    <n v="1"/>
    <n v="-40"/>
    <n v="940"/>
  </r>
  <r>
    <x v="51"/>
    <s v="conventional_default_dq_cai_938"/>
    <x v="978"/>
    <n v="1.49"/>
    <n v="1"/>
    <n v="-40"/>
    <n v="940"/>
  </r>
  <r>
    <x v="51"/>
    <s v="conventional_default_dq_cai_939"/>
    <x v="979"/>
    <n v="1.49"/>
    <n v="1"/>
    <n v="-40"/>
    <n v="940"/>
  </r>
  <r>
    <x v="51"/>
    <s v="conventional_default_dq_cai_940"/>
    <x v="980"/>
    <n v="1.49"/>
    <n v="1"/>
    <n v="-40"/>
    <n v="940"/>
  </r>
  <r>
    <x v="52"/>
    <s v="conventional_default_dq_wala_-66"/>
    <x v="1205"/>
    <n v="-1.65"/>
    <n v="1"/>
    <n v="-66"/>
    <n v="396"/>
  </r>
  <r>
    <x v="52"/>
    <s v="conventional_default_dq_wala_-65"/>
    <x v="1206"/>
    <n v="-1.62333333333333"/>
    <n v="1"/>
    <n v="-66"/>
    <n v="396"/>
  </r>
  <r>
    <x v="52"/>
    <s v="conventional_default_dq_wala_-64"/>
    <x v="1207"/>
    <n v="-1.59666666666667"/>
    <n v="1"/>
    <n v="-66"/>
    <n v="396"/>
  </r>
  <r>
    <x v="52"/>
    <s v="conventional_default_dq_wala_-63"/>
    <x v="1208"/>
    <n v="-1.57"/>
    <n v="1"/>
    <n v="-66"/>
    <n v="396"/>
  </r>
  <r>
    <x v="52"/>
    <s v="conventional_default_dq_wala_-62"/>
    <x v="1209"/>
    <n v="-1.5433333333333299"/>
    <n v="1"/>
    <n v="-66"/>
    <n v="396"/>
  </r>
  <r>
    <x v="52"/>
    <s v="conventional_default_dq_wala_-61"/>
    <x v="1210"/>
    <n v="-1.5166666666666699"/>
    <n v="1"/>
    <n v="-66"/>
    <n v="396"/>
  </r>
  <r>
    <x v="52"/>
    <s v="conventional_default_dq_wala_-60"/>
    <x v="1211"/>
    <n v="-1.49"/>
    <n v="1"/>
    <n v="-66"/>
    <n v="396"/>
  </r>
  <r>
    <x v="52"/>
    <s v="conventional_default_dq_wala_-59"/>
    <x v="1212"/>
    <n v="-1.46333333333333"/>
    <n v="1"/>
    <n v="-66"/>
    <n v="396"/>
  </r>
  <r>
    <x v="52"/>
    <s v="conventional_default_dq_wala_-58"/>
    <x v="1213"/>
    <n v="-1.4366666666666701"/>
    <n v="1"/>
    <n v="-66"/>
    <n v="396"/>
  </r>
  <r>
    <x v="52"/>
    <s v="conventional_default_dq_wala_-57"/>
    <x v="1214"/>
    <n v="-1.41"/>
    <n v="1"/>
    <n v="-66"/>
    <n v="396"/>
  </r>
  <r>
    <x v="52"/>
    <s v="conventional_default_dq_wala_-56"/>
    <x v="1215"/>
    <n v="-1.38333333333333"/>
    <n v="1"/>
    <n v="-66"/>
    <n v="396"/>
  </r>
  <r>
    <x v="52"/>
    <s v="conventional_default_dq_wala_-55"/>
    <x v="1216"/>
    <n v="-1.35666666666667"/>
    <n v="1"/>
    <n v="-66"/>
    <n v="396"/>
  </r>
  <r>
    <x v="52"/>
    <s v="conventional_default_dq_wala_-54"/>
    <x v="1217"/>
    <n v="-1.33"/>
    <n v="1"/>
    <n v="-66"/>
    <n v="396"/>
  </r>
  <r>
    <x v="52"/>
    <s v="conventional_default_dq_wala_-53"/>
    <x v="1218"/>
    <n v="-1.3033333333333299"/>
    <n v="1"/>
    <n v="-66"/>
    <n v="396"/>
  </r>
  <r>
    <x v="52"/>
    <s v="conventional_default_dq_wala_-52"/>
    <x v="1219"/>
    <n v="-1.2766666666666699"/>
    <n v="1"/>
    <n v="-66"/>
    <n v="396"/>
  </r>
  <r>
    <x v="52"/>
    <s v="conventional_default_dq_wala_-51"/>
    <x v="1220"/>
    <n v="-1.25"/>
    <n v="1"/>
    <n v="-66"/>
    <n v="396"/>
  </r>
  <r>
    <x v="52"/>
    <s v="conventional_default_dq_wala_-50"/>
    <x v="1221"/>
    <n v="-1.2233333333333301"/>
    <n v="1"/>
    <n v="-66"/>
    <n v="396"/>
  </r>
  <r>
    <x v="52"/>
    <s v="conventional_default_dq_wala_-49"/>
    <x v="1222"/>
    <n v="-1.1966666666666701"/>
    <n v="1"/>
    <n v="-66"/>
    <n v="396"/>
  </r>
  <r>
    <x v="52"/>
    <s v="conventional_default_dq_wala_-48"/>
    <x v="1223"/>
    <n v="-1.17"/>
    <n v="1"/>
    <n v="-66"/>
    <n v="396"/>
  </r>
  <r>
    <x v="52"/>
    <s v="conventional_default_dq_wala_-47"/>
    <x v="1224"/>
    <n v="-1.14333333333333"/>
    <n v="1"/>
    <n v="-66"/>
    <n v="396"/>
  </r>
  <r>
    <x v="52"/>
    <s v="conventional_default_dq_wala_-46"/>
    <x v="1225"/>
    <n v="-1.11666666666667"/>
    <n v="1"/>
    <n v="-66"/>
    <n v="396"/>
  </r>
  <r>
    <x v="52"/>
    <s v="conventional_default_dq_wala_-45"/>
    <x v="1226"/>
    <n v="-1.0900000000000001"/>
    <n v="1"/>
    <n v="-66"/>
    <n v="396"/>
  </r>
  <r>
    <x v="52"/>
    <s v="conventional_default_dq_wala_-44"/>
    <x v="1227"/>
    <n v="-1.0633333333333299"/>
    <n v="1"/>
    <n v="-66"/>
    <n v="396"/>
  </r>
  <r>
    <x v="52"/>
    <s v="conventional_default_dq_wala_-43"/>
    <x v="1228"/>
    <n v="-1.03666666666667"/>
    <n v="1"/>
    <n v="-66"/>
    <n v="396"/>
  </r>
  <r>
    <x v="52"/>
    <s v="conventional_default_dq_wala_-42"/>
    <x v="1229"/>
    <n v="-1.01"/>
    <n v="1"/>
    <n v="-66"/>
    <n v="396"/>
  </r>
  <r>
    <x v="52"/>
    <s v="conventional_default_dq_wala_-41"/>
    <x v="1230"/>
    <n v="-0.98333333333333395"/>
    <n v="1"/>
    <n v="-66"/>
    <n v="396"/>
  </r>
  <r>
    <x v="52"/>
    <s v="conventional_default_dq_wala_-40"/>
    <x v="0"/>
    <n v="-0.956666666666667"/>
    <n v="1"/>
    <n v="-66"/>
    <n v="396"/>
  </r>
  <r>
    <x v="52"/>
    <s v="conventional_default_dq_wala_-39"/>
    <x v="1"/>
    <n v="-0.93"/>
    <n v="1"/>
    <n v="-66"/>
    <n v="396"/>
  </r>
  <r>
    <x v="52"/>
    <s v="conventional_default_dq_wala_-38"/>
    <x v="2"/>
    <n v="-0.90333333333333399"/>
    <n v="1"/>
    <n v="-66"/>
    <n v="396"/>
  </r>
  <r>
    <x v="52"/>
    <s v="conventional_default_dq_wala_-37"/>
    <x v="3"/>
    <n v="-0.87666666666666704"/>
    <n v="1"/>
    <n v="-66"/>
    <n v="396"/>
  </r>
  <r>
    <x v="52"/>
    <s v="conventional_default_dq_wala_-36"/>
    <x v="4"/>
    <n v="-0.85"/>
    <n v="1"/>
    <n v="-66"/>
    <n v="396"/>
  </r>
  <r>
    <x v="52"/>
    <s v="conventional_default_dq_wala_-35"/>
    <x v="5"/>
    <n v="-0.82333333333333403"/>
    <n v="1"/>
    <n v="-66"/>
    <n v="396"/>
  </r>
  <r>
    <x v="52"/>
    <s v="conventional_default_dq_wala_-34"/>
    <x v="6"/>
    <n v="-0.79666666666666697"/>
    <n v="1"/>
    <n v="-66"/>
    <n v="396"/>
  </r>
  <r>
    <x v="52"/>
    <s v="conventional_default_dq_wala_-33"/>
    <x v="7"/>
    <n v="-0.77"/>
    <n v="1"/>
    <n v="-66"/>
    <n v="396"/>
  </r>
  <r>
    <x v="52"/>
    <s v="conventional_default_dq_wala_-32"/>
    <x v="8"/>
    <n v="-0.74333333333333396"/>
    <n v="1"/>
    <n v="-66"/>
    <n v="396"/>
  </r>
  <r>
    <x v="52"/>
    <s v="conventional_default_dq_wala_-31"/>
    <x v="9"/>
    <n v="-0.71666666666666701"/>
    <n v="1"/>
    <n v="-66"/>
    <n v="396"/>
  </r>
  <r>
    <x v="52"/>
    <s v="conventional_default_dq_wala_-30"/>
    <x v="10"/>
    <n v="-0.69"/>
    <n v="1"/>
    <n v="-66"/>
    <n v="396"/>
  </r>
  <r>
    <x v="52"/>
    <s v="conventional_default_dq_wala_-29"/>
    <x v="11"/>
    <n v="-0.663333333333333"/>
    <n v="1"/>
    <n v="-66"/>
    <n v="396"/>
  </r>
  <r>
    <x v="52"/>
    <s v="conventional_default_dq_wala_-28"/>
    <x v="12"/>
    <n v="-0.63666666666666705"/>
    <n v="1"/>
    <n v="-66"/>
    <n v="396"/>
  </r>
  <r>
    <x v="52"/>
    <s v="conventional_default_dq_wala_-27"/>
    <x v="13"/>
    <n v="-0.61"/>
    <n v="1"/>
    <n v="-66"/>
    <n v="396"/>
  </r>
  <r>
    <x v="52"/>
    <s v="conventional_default_dq_wala_-26"/>
    <x v="14"/>
    <n v="-0.58333333333333304"/>
    <n v="1"/>
    <n v="-66"/>
    <n v="396"/>
  </r>
  <r>
    <x v="52"/>
    <s v="conventional_default_dq_wala_-25"/>
    <x v="15"/>
    <n v="-0.55666666666666698"/>
    <n v="1"/>
    <n v="-66"/>
    <n v="396"/>
  </r>
  <r>
    <x v="52"/>
    <s v="conventional_default_dq_wala_-24"/>
    <x v="16"/>
    <n v="-0.53"/>
    <n v="1"/>
    <n v="-66"/>
    <n v="396"/>
  </r>
  <r>
    <x v="52"/>
    <s v="conventional_default_dq_wala_-23"/>
    <x v="17"/>
    <n v="-0.50333333333333397"/>
    <n v="1"/>
    <n v="-66"/>
    <n v="396"/>
  </r>
  <r>
    <x v="52"/>
    <s v="conventional_default_dq_wala_-22"/>
    <x v="18"/>
    <n v="-0.47666666666666702"/>
    <n v="1"/>
    <n v="-66"/>
    <n v="396"/>
  </r>
  <r>
    <x v="52"/>
    <s v="conventional_default_dq_wala_-21"/>
    <x v="19"/>
    <n v="-0.45"/>
    <n v="1"/>
    <n v="-66"/>
    <n v="396"/>
  </r>
  <r>
    <x v="52"/>
    <s v="conventional_default_dq_wala_-20"/>
    <x v="20"/>
    <n v="-0.42333333333333301"/>
    <n v="1"/>
    <n v="-66"/>
    <n v="396"/>
  </r>
  <r>
    <x v="52"/>
    <s v="conventional_default_dq_wala_-19"/>
    <x v="21"/>
    <n v="-0.396666666666667"/>
    <n v="1"/>
    <n v="-66"/>
    <n v="396"/>
  </r>
  <r>
    <x v="52"/>
    <s v="conventional_default_dq_wala_-18"/>
    <x v="22"/>
    <n v="-0.37"/>
    <n v="1"/>
    <n v="-66"/>
    <n v="396"/>
  </r>
  <r>
    <x v="52"/>
    <s v="conventional_default_dq_wala_-17"/>
    <x v="23"/>
    <n v="-0.34333333333333299"/>
    <n v="1"/>
    <n v="-66"/>
    <n v="396"/>
  </r>
  <r>
    <x v="52"/>
    <s v="conventional_default_dq_wala_-16"/>
    <x v="24"/>
    <n v="-0.31666666666666698"/>
    <n v="1"/>
    <n v="-66"/>
    <n v="396"/>
  </r>
  <r>
    <x v="52"/>
    <s v="conventional_default_dq_wala_-15"/>
    <x v="25"/>
    <n v="-0.28999999999999998"/>
    <n v="1"/>
    <n v="-66"/>
    <n v="396"/>
  </r>
  <r>
    <x v="52"/>
    <s v="conventional_default_dq_wala_-14"/>
    <x v="26"/>
    <n v="-0.26333333333333298"/>
    <n v="1"/>
    <n v="-66"/>
    <n v="396"/>
  </r>
  <r>
    <x v="52"/>
    <s v="conventional_default_dq_wala_-13"/>
    <x v="27"/>
    <n v="-0.236666666666667"/>
    <n v="1"/>
    <n v="-66"/>
    <n v="396"/>
  </r>
  <r>
    <x v="52"/>
    <s v="conventional_default_dq_wala_-12"/>
    <x v="28"/>
    <n v="-0.21"/>
    <n v="1"/>
    <n v="-66"/>
    <n v="396"/>
  </r>
  <r>
    <x v="52"/>
    <s v="conventional_default_dq_wala_-11"/>
    <x v="29"/>
    <n v="-0.18333333333333299"/>
    <n v="1"/>
    <n v="-66"/>
    <n v="396"/>
  </r>
  <r>
    <x v="52"/>
    <s v="conventional_default_dq_wala_-10"/>
    <x v="30"/>
    <n v="-0.15666666666666701"/>
    <n v="1"/>
    <n v="-66"/>
    <n v="396"/>
  </r>
  <r>
    <x v="52"/>
    <s v="conventional_default_dq_wala_-9"/>
    <x v="31"/>
    <n v="-0.13"/>
    <n v="1"/>
    <n v="-66"/>
    <n v="396"/>
  </r>
  <r>
    <x v="52"/>
    <s v="conventional_default_dq_wala_-8"/>
    <x v="32"/>
    <n v="-0.103333333333333"/>
    <n v="1"/>
    <n v="-66"/>
    <n v="396"/>
  </r>
  <r>
    <x v="52"/>
    <s v="conventional_default_dq_wala_-7"/>
    <x v="33"/>
    <n v="-7.6666666666666702E-2"/>
    <n v="1"/>
    <n v="-66"/>
    <n v="396"/>
  </r>
  <r>
    <x v="52"/>
    <s v="conventional_default_dq_wala_-6"/>
    <x v="34"/>
    <n v="-0.05"/>
    <n v="1"/>
    <n v="-66"/>
    <n v="396"/>
  </r>
  <r>
    <x v="52"/>
    <s v="conventional_default_dq_wala_-5"/>
    <x v="35"/>
    <n v="-2.33333333333334E-2"/>
    <n v="1"/>
    <n v="-66"/>
    <n v="396"/>
  </r>
  <r>
    <x v="52"/>
    <s v="conventional_default_dq_wala_-4"/>
    <x v="36"/>
    <n v="3.3333333333333101E-3"/>
    <n v="1"/>
    <n v="-66"/>
    <n v="396"/>
  </r>
  <r>
    <x v="52"/>
    <s v="conventional_default_dq_wala_-3"/>
    <x v="37"/>
    <n v="0.03"/>
    <n v="1"/>
    <n v="-66"/>
    <n v="396"/>
  </r>
  <r>
    <x v="52"/>
    <s v="conventional_default_dq_wala_-2"/>
    <x v="38"/>
    <n v="5.6666666666666698E-2"/>
    <n v="1"/>
    <n v="-66"/>
    <n v="396"/>
  </r>
  <r>
    <x v="52"/>
    <s v="conventional_default_dq_wala_-1"/>
    <x v="39"/>
    <n v="8.3333333333333301E-2"/>
    <n v="1"/>
    <n v="-66"/>
    <n v="396"/>
  </r>
  <r>
    <x v="52"/>
    <s v="conventional_default_dq_wala_0"/>
    <x v="40"/>
    <n v="0.11"/>
    <n v="1"/>
    <n v="-66"/>
    <n v="396"/>
  </r>
  <r>
    <x v="52"/>
    <s v="conventional_default_dq_wala_1"/>
    <x v="41"/>
    <n v="0.13701388888888899"/>
    <n v="1"/>
    <n v="-66"/>
    <n v="396"/>
  </r>
  <r>
    <x v="52"/>
    <s v="conventional_default_dq_wala_2"/>
    <x v="42"/>
    <n v="0.164444444444444"/>
    <n v="1"/>
    <n v="-66"/>
    <n v="396"/>
  </r>
  <r>
    <x v="52"/>
    <s v="conventional_default_dq_wala_3"/>
    <x v="43"/>
    <n v="0.19187499999999999"/>
    <n v="1"/>
    <n v="-66"/>
    <n v="396"/>
  </r>
  <r>
    <x v="52"/>
    <s v="conventional_default_dq_wala_4"/>
    <x v="44"/>
    <n v="0.21888888888888899"/>
    <n v="1"/>
    <n v="-66"/>
    <n v="396"/>
  </r>
  <r>
    <x v="52"/>
    <s v="conventional_default_dq_wala_5"/>
    <x v="45"/>
    <n v="0.24506944444444401"/>
    <n v="1"/>
    <n v="-66"/>
    <n v="396"/>
  </r>
  <r>
    <x v="52"/>
    <s v="conventional_default_dq_wala_6"/>
    <x v="46"/>
    <n v="0.27"/>
    <n v="1"/>
    <n v="-66"/>
    <n v="396"/>
  </r>
  <r>
    <x v="52"/>
    <s v="conventional_default_dq_wala_7"/>
    <x v="47"/>
    <n v="0.29351851851851901"/>
    <n v="1"/>
    <n v="-66"/>
    <n v="396"/>
  </r>
  <r>
    <x v="52"/>
    <s v="conventional_default_dq_wala_8"/>
    <x v="48"/>
    <n v="0.315925925925926"/>
    <n v="1"/>
    <n v="-66"/>
    <n v="396"/>
  </r>
  <r>
    <x v="52"/>
    <s v="conventional_default_dq_wala_9"/>
    <x v="49"/>
    <n v="0.33750000000000002"/>
    <n v="1"/>
    <n v="-66"/>
    <n v="396"/>
  </r>
  <r>
    <x v="52"/>
    <s v="conventional_default_dq_wala_10"/>
    <x v="50"/>
    <n v="0.35851851851851901"/>
    <n v="1"/>
    <n v="-66"/>
    <n v="396"/>
  </r>
  <r>
    <x v="52"/>
    <s v="conventional_default_dq_wala_11"/>
    <x v="51"/>
    <n v="0.37925925925925902"/>
    <n v="1"/>
    <n v="-66"/>
    <n v="396"/>
  </r>
  <r>
    <x v="52"/>
    <s v="conventional_default_dq_wala_12"/>
    <x v="52"/>
    <n v="0.4"/>
    <n v="1"/>
    <n v="-66"/>
    <n v="396"/>
  </r>
  <r>
    <x v="52"/>
    <s v="conventional_default_dq_wala_13"/>
    <x v="53"/>
    <n v="0.42069444444444398"/>
    <n v="1"/>
    <n v="-66"/>
    <n v="396"/>
  </r>
  <r>
    <x v="52"/>
    <s v="conventional_default_dq_wala_14"/>
    <x v="54"/>
    <n v="0.44111111111111101"/>
    <n v="1"/>
    <n v="-66"/>
    <n v="396"/>
  </r>
  <r>
    <x v="52"/>
    <s v="conventional_default_dq_wala_15"/>
    <x v="55"/>
    <n v="0.46124999999999999"/>
    <n v="1"/>
    <n v="-66"/>
    <n v="396"/>
  </r>
  <r>
    <x v="52"/>
    <s v="conventional_default_dq_wala_16"/>
    <x v="56"/>
    <n v="0.48111111111111099"/>
    <n v="1"/>
    <n v="-66"/>
    <n v="396"/>
  </r>
  <r>
    <x v="52"/>
    <s v="conventional_default_dq_wala_17"/>
    <x v="57"/>
    <n v="0.500694444444444"/>
    <n v="1"/>
    <n v="-66"/>
    <n v="396"/>
  </r>
  <r>
    <x v="52"/>
    <s v="conventional_default_dq_wala_18"/>
    <x v="58"/>
    <n v="0.52"/>
    <n v="1"/>
    <n v="-66"/>
    <n v="396"/>
  </r>
  <r>
    <x v="52"/>
    <s v="conventional_default_dq_wala_19"/>
    <x v="59"/>
    <n v="0.53908564814814797"/>
    <n v="1"/>
    <n v="-66"/>
    <n v="396"/>
  </r>
  <r>
    <x v="52"/>
    <s v="conventional_default_dq_wala_20"/>
    <x v="60"/>
    <n v="0.55796296296296299"/>
    <n v="1"/>
    <n v="-66"/>
    <n v="396"/>
  </r>
  <r>
    <x v="52"/>
    <s v="conventional_default_dq_wala_21"/>
    <x v="61"/>
    <n v="0.57656249999999998"/>
    <n v="1"/>
    <n v="-66"/>
    <n v="396"/>
  </r>
  <r>
    <x v="52"/>
    <s v="conventional_default_dq_wala_22"/>
    <x v="62"/>
    <n v="0.59481481481481502"/>
    <n v="1"/>
    <n v="-66"/>
    <n v="396"/>
  </r>
  <r>
    <x v="52"/>
    <s v="conventional_default_dq_wala_23"/>
    <x v="63"/>
    <n v="0.61265046296296299"/>
    <n v="1"/>
    <n v="-66"/>
    <n v="396"/>
  </r>
  <r>
    <x v="52"/>
    <s v="conventional_default_dq_wala_24"/>
    <x v="64"/>
    <n v="0.63"/>
    <n v="1"/>
    <n v="-66"/>
    <n v="396"/>
  </r>
  <r>
    <x v="52"/>
    <s v="conventional_default_dq_wala_25"/>
    <x v="65"/>
    <n v="0.64705873842592598"/>
    <n v="1"/>
    <n v="-66"/>
    <n v="396"/>
  </r>
  <r>
    <x v="52"/>
    <s v="conventional_default_dq_wala_26"/>
    <x v="66"/>
    <n v="0.66403935185185203"/>
    <n v="1"/>
    <n v="-66"/>
    <n v="396"/>
  </r>
  <r>
    <x v="52"/>
    <s v="conventional_default_dq_wala_27"/>
    <x v="67"/>
    <n v="0.68089843750000001"/>
    <n v="1"/>
    <n v="-66"/>
    <n v="396"/>
  </r>
  <r>
    <x v="52"/>
    <s v="conventional_default_dq_wala_28"/>
    <x v="68"/>
    <n v="0.69759259259259299"/>
    <n v="1"/>
    <n v="-66"/>
    <n v="396"/>
  </r>
  <r>
    <x v="52"/>
    <s v="conventional_default_dq_wala_29"/>
    <x v="69"/>
    <n v="0.71407841435185204"/>
    <n v="1"/>
    <n v="-66"/>
    <n v="396"/>
  </r>
  <r>
    <x v="52"/>
    <s v="conventional_default_dq_wala_30"/>
    <x v="70"/>
    <n v="0.73031250000000003"/>
    <n v="1"/>
    <n v="-66"/>
    <n v="396"/>
  </r>
  <r>
    <x v="52"/>
    <s v="conventional_default_dq_wala_31"/>
    <x v="71"/>
    <n v="0.74625144675925903"/>
    <n v="1"/>
    <n v="-66"/>
    <n v="396"/>
  </r>
  <r>
    <x v="52"/>
    <s v="conventional_default_dq_wala_32"/>
    <x v="72"/>
    <n v="0.761851851851852"/>
    <n v="1"/>
    <n v="-66"/>
    <n v="396"/>
  </r>
  <r>
    <x v="52"/>
    <s v="conventional_default_dq_wala_33"/>
    <x v="73"/>
    <n v="0.77707031250000003"/>
    <n v="1"/>
    <n v="-66"/>
    <n v="396"/>
  </r>
  <r>
    <x v="52"/>
    <s v="conventional_default_dq_wala_34"/>
    <x v="74"/>
    <n v="0.79186342592592596"/>
    <n v="1"/>
    <n v="-66"/>
    <n v="396"/>
  </r>
  <r>
    <x v="52"/>
    <s v="conventional_default_dq_wala_35"/>
    <x v="75"/>
    <n v="0.80618778935185198"/>
    <n v="1"/>
    <n v="-66"/>
    <n v="396"/>
  </r>
  <r>
    <x v="52"/>
    <s v="conventional_default_dq_wala_36"/>
    <x v="76"/>
    <n v="0.82"/>
    <n v="1"/>
    <n v="-66"/>
    <n v="396"/>
  </r>
  <r>
    <x v="52"/>
    <s v="conventional_default_dq_wala_37"/>
    <x v="77"/>
    <n v="0.83346947337962995"/>
    <n v="1"/>
    <n v="-66"/>
    <n v="396"/>
  </r>
  <r>
    <x v="52"/>
    <s v="conventional_default_dq_wala_38"/>
    <x v="78"/>
    <n v="0.84679050925925903"/>
    <n v="1"/>
    <n v="-66"/>
    <n v="396"/>
  </r>
  <r>
    <x v="52"/>
    <s v="conventional_default_dq_wala_39"/>
    <x v="79"/>
    <n v="0.85995703125"/>
    <n v="1"/>
    <n v="-66"/>
    <n v="396"/>
  </r>
  <r>
    <x v="52"/>
    <s v="conventional_default_dq_wala_40"/>
    <x v="80"/>
    <n v="0.87296296296296305"/>
    <n v="1"/>
    <n v="-66"/>
    <n v="396"/>
  </r>
  <r>
    <x v="52"/>
    <s v="conventional_default_dq_wala_41"/>
    <x v="81"/>
    <n v="0.88580222800925901"/>
    <n v="1"/>
    <n v="-66"/>
    <n v="396"/>
  </r>
  <r>
    <x v="52"/>
    <s v="conventional_default_dq_wala_42"/>
    <x v="82"/>
    <n v="0.89846875000000004"/>
    <n v="1"/>
    <n v="-66"/>
    <n v="396"/>
  </r>
  <r>
    <x v="52"/>
    <s v="conventional_default_dq_wala_43"/>
    <x v="83"/>
    <n v="0.91095645254629598"/>
    <n v="1"/>
    <n v="-66"/>
    <n v="396"/>
  </r>
  <r>
    <x v="52"/>
    <s v="conventional_default_dq_wala_44"/>
    <x v="84"/>
    <n v="0.923259259259259"/>
    <n v="1"/>
    <n v="-66"/>
    <n v="396"/>
  </r>
  <r>
    <x v="52"/>
    <s v="conventional_default_dq_wala_45"/>
    <x v="85"/>
    <n v="0.93537109375000005"/>
    <n v="1"/>
    <n v="-66"/>
    <n v="396"/>
  </r>
  <r>
    <x v="52"/>
    <s v="conventional_default_dq_wala_46"/>
    <x v="86"/>
    <n v="0.94728587962962996"/>
    <n v="1"/>
    <n v="-66"/>
    <n v="396"/>
  </r>
  <r>
    <x v="52"/>
    <s v="conventional_default_dq_wala_47"/>
    <x v="87"/>
    <n v="0.95899754050925901"/>
    <n v="1"/>
    <n v="-66"/>
    <n v="396"/>
  </r>
  <r>
    <x v="52"/>
    <s v="conventional_default_dq_wala_48"/>
    <x v="88"/>
    <n v="0.97050000000000003"/>
    <n v="1"/>
    <n v="-66"/>
    <n v="396"/>
  </r>
  <r>
    <x v="52"/>
    <s v="conventional_default_dq_wala_49"/>
    <x v="89"/>
    <n v="0.98178718171296298"/>
    <n v="1"/>
    <n v="-66"/>
    <n v="396"/>
  </r>
  <r>
    <x v="52"/>
    <s v="conventional_default_dq_wala_50"/>
    <x v="90"/>
    <n v="0.99285300925925901"/>
    <n v="1"/>
    <n v="-66"/>
    <n v="396"/>
  </r>
  <r>
    <x v="52"/>
    <s v="conventional_default_dq_wala_51"/>
    <x v="91"/>
    <n v="1.00369140625"/>
    <n v="1"/>
    <n v="-66"/>
    <n v="396"/>
  </r>
  <r>
    <x v="52"/>
    <s v="conventional_default_dq_wala_52"/>
    <x v="92"/>
    <n v="1.0142962962963"/>
    <n v="1"/>
    <n v="-66"/>
    <n v="396"/>
  </r>
  <r>
    <x v="52"/>
    <s v="conventional_default_dq_wala_53"/>
    <x v="93"/>
    <n v="1.0246616030092599"/>
    <n v="1"/>
    <n v="-66"/>
    <n v="396"/>
  </r>
  <r>
    <x v="52"/>
    <s v="conventional_default_dq_wala_54"/>
    <x v="94"/>
    <n v="1.03478125"/>
    <n v="1"/>
    <n v="-66"/>
    <n v="396"/>
  </r>
  <r>
    <x v="52"/>
    <s v="conventional_default_dq_wala_55"/>
    <x v="95"/>
    <n v="1.04464916087963"/>
    <n v="1"/>
    <n v="-66"/>
    <n v="396"/>
  </r>
  <r>
    <x v="52"/>
    <s v="conventional_default_dq_wala_56"/>
    <x v="96"/>
    <n v="1.0542592592592599"/>
    <n v="1"/>
    <n v="-66"/>
    <n v="396"/>
  </r>
  <r>
    <x v="52"/>
    <s v="conventional_default_dq_wala_57"/>
    <x v="97"/>
    <n v="1.0636054687500001"/>
    <n v="1"/>
    <n v="-66"/>
    <n v="396"/>
  </r>
  <r>
    <x v="52"/>
    <s v="conventional_default_dq_wala_58"/>
    <x v="98"/>
    <n v="1.07268171296296"/>
    <n v="1"/>
    <n v="-66"/>
    <n v="396"/>
  </r>
  <r>
    <x v="52"/>
    <s v="conventional_default_dq_wala_59"/>
    <x v="99"/>
    <n v="1.0814819155092601"/>
    <n v="1"/>
    <n v="-66"/>
    <n v="396"/>
  </r>
  <r>
    <x v="52"/>
    <s v="conventional_default_dq_wala_60"/>
    <x v="100"/>
    <n v="1.0900000000000001"/>
    <n v="1"/>
    <n v="-66"/>
    <n v="396"/>
  </r>
  <r>
    <x v="52"/>
    <s v="conventional_default_dq_wala_61"/>
    <x v="101"/>
    <n v="1.0983161574074101"/>
    <n v="1"/>
    <n v="-66"/>
    <n v="396"/>
  </r>
  <r>
    <x v="52"/>
    <s v="conventional_default_dq_wala_62"/>
    <x v="102"/>
    <n v="1.1065153703703701"/>
    <n v="1"/>
    <n v="-66"/>
    <n v="396"/>
  </r>
  <r>
    <x v="52"/>
    <s v="conventional_default_dq_wala_63"/>
    <x v="103"/>
    <n v="1.1145987500000001"/>
    <n v="1"/>
    <n v="-66"/>
    <n v="396"/>
  </r>
  <r>
    <x v="52"/>
    <s v="conventional_default_dq_wala_64"/>
    <x v="104"/>
    <n v="1.1225674074074099"/>
    <n v="1"/>
    <n v="-66"/>
    <n v="396"/>
  </r>
  <r>
    <x v="52"/>
    <s v="conventional_default_dq_wala_65"/>
    <x v="105"/>
    <n v="1.1304224537037"/>
    <n v="1"/>
    <n v="-66"/>
    <n v="396"/>
  </r>
  <r>
    <x v="52"/>
    <s v="conventional_default_dq_wala_66"/>
    <x v="106"/>
    <n v="1.1381650000000001"/>
    <n v="1"/>
    <n v="-66"/>
    <n v="396"/>
  </r>
  <r>
    <x v="52"/>
    <s v="conventional_default_dq_wala_67"/>
    <x v="107"/>
    <n v="1.14579615740741"/>
    <n v="1"/>
    <n v="-66"/>
    <n v="396"/>
  </r>
  <r>
    <x v="52"/>
    <s v="conventional_default_dq_wala_68"/>
    <x v="108"/>
    <n v="1.15331703703704"/>
    <n v="1"/>
    <n v="-66"/>
    <n v="396"/>
  </r>
  <r>
    <x v="52"/>
    <s v="conventional_default_dq_wala_69"/>
    <x v="109"/>
    <n v="1.1607287500000001"/>
    <n v="1"/>
    <n v="-66"/>
    <n v="396"/>
  </r>
  <r>
    <x v="52"/>
    <s v="conventional_default_dq_wala_70"/>
    <x v="110"/>
    <n v="1.16803240740741"/>
    <n v="1"/>
    <n v="-66"/>
    <n v="396"/>
  </r>
  <r>
    <x v="52"/>
    <s v="conventional_default_dq_wala_71"/>
    <x v="111"/>
    <n v="1.17522912037037"/>
    <n v="1"/>
    <n v="-66"/>
    <n v="396"/>
  </r>
  <r>
    <x v="52"/>
    <s v="conventional_default_dq_wala_72"/>
    <x v="112"/>
    <n v="1.18232"/>
    <n v="1"/>
    <n v="-66"/>
    <n v="396"/>
  </r>
  <r>
    <x v="52"/>
    <s v="conventional_default_dq_wala_73"/>
    <x v="113"/>
    <n v="1.18930615740741"/>
    <n v="1"/>
    <n v="-66"/>
    <n v="396"/>
  </r>
  <r>
    <x v="52"/>
    <s v="conventional_default_dq_wala_74"/>
    <x v="114"/>
    <n v="1.1961887037037"/>
    <n v="1"/>
    <n v="-66"/>
    <n v="396"/>
  </r>
  <r>
    <x v="52"/>
    <s v="conventional_default_dq_wala_75"/>
    <x v="115"/>
    <n v="1.2029687499999999"/>
    <n v="1"/>
    <n v="-66"/>
    <n v="396"/>
  </r>
  <r>
    <x v="52"/>
    <s v="conventional_default_dq_wala_76"/>
    <x v="116"/>
    <n v="1.2096474074074099"/>
    <n v="1"/>
    <n v="-66"/>
    <n v="396"/>
  </r>
  <r>
    <x v="52"/>
    <s v="conventional_default_dq_wala_77"/>
    <x v="117"/>
    <n v="1.2162257870370401"/>
    <n v="1"/>
    <n v="-66"/>
    <n v="396"/>
  </r>
  <r>
    <x v="52"/>
    <s v="conventional_default_dq_wala_78"/>
    <x v="118"/>
    <n v="1.2227049999999999"/>
    <n v="1"/>
    <n v="-66"/>
    <n v="396"/>
  </r>
  <r>
    <x v="52"/>
    <s v="conventional_default_dq_wala_79"/>
    <x v="119"/>
    <n v="1.2290861574074099"/>
    <n v="1"/>
    <n v="-66"/>
    <n v="396"/>
  </r>
  <r>
    <x v="52"/>
    <s v="conventional_default_dq_wala_80"/>
    <x v="120"/>
    <n v="1.23537037037037"/>
    <n v="1"/>
    <n v="-66"/>
    <n v="396"/>
  </r>
  <r>
    <x v="52"/>
    <s v="conventional_default_dq_wala_81"/>
    <x v="121"/>
    <n v="1.24155875"/>
    <n v="1"/>
    <n v="-66"/>
    <n v="396"/>
  </r>
  <r>
    <x v="52"/>
    <s v="conventional_default_dq_wala_82"/>
    <x v="122"/>
    <n v="1.24765240740741"/>
    <n v="1"/>
    <n v="-66"/>
    <n v="396"/>
  </r>
  <r>
    <x v="52"/>
    <s v="conventional_default_dq_wala_83"/>
    <x v="123"/>
    <n v="1.2536524537036999"/>
    <n v="1"/>
    <n v="-66"/>
    <n v="396"/>
  </r>
  <r>
    <x v="52"/>
    <s v="conventional_default_dq_wala_84"/>
    <x v="124"/>
    <n v="1.25956"/>
    <n v="1"/>
    <n v="-66"/>
    <n v="396"/>
  </r>
  <r>
    <x v="52"/>
    <s v="conventional_default_dq_wala_85"/>
    <x v="125"/>
    <n v="1.2653761574074101"/>
    <n v="1"/>
    <n v="-66"/>
    <n v="396"/>
  </r>
  <r>
    <x v="52"/>
    <s v="conventional_default_dq_wala_86"/>
    <x v="126"/>
    <n v="1.2711020370370401"/>
    <n v="1"/>
    <n v="-66"/>
    <n v="396"/>
  </r>
  <r>
    <x v="52"/>
    <s v="conventional_default_dq_wala_87"/>
    <x v="127"/>
    <n v="1.27673875"/>
    <n v="1"/>
    <n v="-66"/>
    <n v="396"/>
  </r>
  <r>
    <x v="52"/>
    <s v="conventional_default_dq_wala_88"/>
    <x v="128"/>
    <n v="1.28228740740741"/>
    <n v="1"/>
    <n v="-66"/>
    <n v="396"/>
  </r>
  <r>
    <x v="52"/>
    <s v="conventional_default_dq_wala_89"/>
    <x v="129"/>
    <n v="1.2877491203703699"/>
    <n v="1"/>
    <n v="-66"/>
    <n v="396"/>
  </r>
  <r>
    <x v="52"/>
    <s v="conventional_default_dq_wala_90"/>
    <x v="130"/>
    <n v="1.2931250000000001"/>
    <n v="1"/>
    <n v="-66"/>
    <n v="396"/>
  </r>
  <r>
    <x v="52"/>
    <s v="conventional_default_dq_wala_91"/>
    <x v="131"/>
    <n v="1.29841615740741"/>
    <n v="1"/>
    <n v="-66"/>
    <n v="396"/>
  </r>
  <r>
    <x v="52"/>
    <s v="conventional_default_dq_wala_92"/>
    <x v="132"/>
    <n v="1.3036237037037"/>
    <n v="1"/>
    <n v="-66"/>
    <n v="396"/>
  </r>
  <r>
    <x v="52"/>
    <s v="conventional_default_dq_wala_93"/>
    <x v="133"/>
    <n v="1.3087487499999999"/>
    <n v="1"/>
    <n v="-66"/>
    <n v="396"/>
  </r>
  <r>
    <x v="52"/>
    <s v="conventional_default_dq_wala_94"/>
    <x v="134"/>
    <n v="1.3137924074074101"/>
    <n v="1"/>
    <n v="-66"/>
    <n v="396"/>
  </r>
  <r>
    <x v="52"/>
    <s v="conventional_default_dq_wala_95"/>
    <x v="135"/>
    <n v="1.3187557870370401"/>
    <n v="1"/>
    <n v="-66"/>
    <n v="396"/>
  </r>
  <r>
    <x v="52"/>
    <s v="conventional_default_dq_wala_96"/>
    <x v="136"/>
    <n v="1.3236399999999999"/>
    <n v="1"/>
    <n v="-66"/>
    <n v="396"/>
  </r>
  <r>
    <x v="52"/>
    <s v="conventional_default_dq_wala_97"/>
    <x v="137"/>
    <n v="1.32844615740741"/>
    <n v="1"/>
    <n v="-66"/>
    <n v="396"/>
  </r>
  <r>
    <x v="52"/>
    <s v="conventional_default_dq_wala_98"/>
    <x v="138"/>
    <n v="1.3331753703703699"/>
    <n v="1"/>
    <n v="-66"/>
    <n v="396"/>
  </r>
  <r>
    <x v="52"/>
    <s v="conventional_default_dq_wala_99"/>
    <x v="139"/>
    <n v="1.3378287499999999"/>
    <n v="1"/>
    <n v="-66"/>
    <n v="396"/>
  </r>
  <r>
    <x v="52"/>
    <s v="conventional_default_dq_wala_100"/>
    <x v="140"/>
    <n v="1.3424074074074099"/>
    <n v="1"/>
    <n v="-66"/>
    <n v="396"/>
  </r>
  <r>
    <x v="52"/>
    <s v="conventional_default_dq_wala_101"/>
    <x v="141"/>
    <n v="1.3469124537037001"/>
    <n v="1"/>
    <n v="-66"/>
    <n v="396"/>
  </r>
  <r>
    <x v="52"/>
    <s v="conventional_default_dq_wala_102"/>
    <x v="142"/>
    <n v="1.351345"/>
    <n v="1"/>
    <n v="-66"/>
    <n v="396"/>
  </r>
  <r>
    <x v="52"/>
    <s v="conventional_default_dq_wala_103"/>
    <x v="143"/>
    <n v="1.3557061574074101"/>
    <n v="1"/>
    <n v="-66"/>
    <n v="396"/>
  </r>
  <r>
    <x v="52"/>
    <s v="conventional_default_dq_wala_104"/>
    <x v="144"/>
    <n v="1.35999703703704"/>
    <n v="1"/>
    <n v="-66"/>
    <n v="396"/>
  </r>
  <r>
    <x v="52"/>
    <s v="conventional_default_dq_wala_105"/>
    <x v="145"/>
    <n v="1.36421875"/>
    <n v="1"/>
    <n v="-66"/>
    <n v="396"/>
  </r>
  <r>
    <x v="52"/>
    <s v="conventional_default_dq_wala_106"/>
    <x v="146"/>
    <n v="1.36837240740741"/>
    <n v="1"/>
    <n v="-66"/>
    <n v="396"/>
  </r>
  <r>
    <x v="52"/>
    <s v="conventional_default_dq_wala_107"/>
    <x v="147"/>
    <n v="1.37245912037037"/>
    <n v="1"/>
    <n v="-66"/>
    <n v="396"/>
  </r>
  <r>
    <x v="52"/>
    <s v="conventional_default_dq_wala_108"/>
    <x v="148"/>
    <n v="1.3764799999999999"/>
    <n v="1"/>
    <n v="-66"/>
    <n v="396"/>
  </r>
  <r>
    <x v="52"/>
    <s v="conventional_default_dq_wala_109"/>
    <x v="149"/>
    <n v="1.38043615740741"/>
    <n v="1"/>
    <n v="-66"/>
    <n v="396"/>
  </r>
  <r>
    <x v="52"/>
    <s v="conventional_default_dq_wala_110"/>
    <x v="150"/>
    <n v="1.3843287037037"/>
    <n v="1"/>
    <n v="-66"/>
    <n v="396"/>
  </r>
  <r>
    <x v="52"/>
    <s v="conventional_default_dq_wala_111"/>
    <x v="151"/>
    <n v="1.3881587500000001"/>
    <n v="1"/>
    <n v="-66"/>
    <n v="396"/>
  </r>
  <r>
    <x v="52"/>
    <s v="conventional_default_dq_wala_112"/>
    <x v="152"/>
    <n v="1.3919274074074099"/>
    <n v="1"/>
    <n v="-66"/>
    <n v="396"/>
  </r>
  <r>
    <x v="52"/>
    <s v="conventional_default_dq_wala_113"/>
    <x v="153"/>
    <n v="1.3956357870370399"/>
    <n v="1"/>
    <n v="-66"/>
    <n v="396"/>
  </r>
  <r>
    <x v="52"/>
    <s v="conventional_default_dq_wala_114"/>
    <x v="154"/>
    <n v="1.3992849999999999"/>
    <n v="1"/>
    <n v="-66"/>
    <n v="396"/>
  </r>
  <r>
    <x v="52"/>
    <s v="conventional_default_dq_wala_115"/>
    <x v="155"/>
    <n v="1.40287615740741"/>
    <n v="1"/>
    <n v="-66"/>
    <n v="396"/>
  </r>
  <r>
    <x v="52"/>
    <s v="conventional_default_dq_wala_116"/>
    <x v="156"/>
    <n v="1.4064103703703701"/>
    <n v="1"/>
    <n v="-66"/>
    <n v="396"/>
  </r>
  <r>
    <x v="52"/>
    <s v="conventional_default_dq_wala_117"/>
    <x v="157"/>
    <n v="1.4098887499999999"/>
    <n v="1"/>
    <n v="-66"/>
    <n v="396"/>
  </r>
  <r>
    <x v="52"/>
    <s v="conventional_default_dq_wala_118"/>
    <x v="158"/>
    <n v="1.4133124074074099"/>
    <n v="1"/>
    <n v="-66"/>
    <n v="396"/>
  </r>
  <r>
    <x v="52"/>
    <s v="conventional_default_dq_wala_119"/>
    <x v="159"/>
    <n v="1.4166824537036999"/>
    <n v="1"/>
    <n v="-66"/>
    <n v="396"/>
  </r>
  <r>
    <x v="52"/>
    <s v="conventional_default_dq_wala_120"/>
    <x v="160"/>
    <n v="1.42"/>
    <n v="1"/>
    <n v="-66"/>
    <n v="396"/>
  </r>
  <r>
    <x v="52"/>
    <s v="conventional_default_dq_wala_121"/>
    <x v="161"/>
    <n v="1.42326125885472"/>
    <n v="1"/>
    <n v="-66"/>
    <n v="396"/>
  </r>
  <r>
    <x v="52"/>
    <s v="conventional_default_dq_wala_122"/>
    <x v="162"/>
    <n v="1.42646210561613"/>
    <n v="1"/>
    <n v="-66"/>
    <n v="396"/>
  </r>
  <r>
    <x v="52"/>
    <s v="conventional_default_dq_wala_123"/>
    <x v="163"/>
    <n v="1.42960314558004"/>
    <n v="1"/>
    <n v="-66"/>
    <n v="396"/>
  </r>
  <r>
    <x v="52"/>
    <s v="conventional_default_dq_wala_124"/>
    <x v="164"/>
    <n v="1.4326849840423199"/>
    <n v="1"/>
    <n v="-66"/>
    <n v="396"/>
  </r>
  <r>
    <x v="52"/>
    <s v="conventional_default_dq_wala_125"/>
    <x v="165"/>
    <n v="1.4357082262987899"/>
    <n v="1"/>
    <n v="-66"/>
    <n v="396"/>
  </r>
  <r>
    <x v="52"/>
    <s v="conventional_default_dq_wala_126"/>
    <x v="166"/>
    <n v="1.4386734776453001"/>
    <n v="1"/>
    <n v="-66"/>
    <n v="396"/>
  </r>
  <r>
    <x v="52"/>
    <s v="conventional_default_dq_wala_127"/>
    <x v="167"/>
    <n v="1.4415813433776901"/>
    <n v="1"/>
    <n v="-66"/>
    <n v="396"/>
  </r>
  <r>
    <x v="52"/>
    <s v="conventional_default_dq_wala_128"/>
    <x v="168"/>
    <n v="1.44443242879179"/>
    <n v="1"/>
    <n v="-66"/>
    <n v="396"/>
  </r>
  <r>
    <x v="52"/>
    <s v="conventional_default_dq_wala_129"/>
    <x v="169"/>
    <n v="1.44722733918345"/>
    <n v="1"/>
    <n v="-66"/>
    <n v="396"/>
  </r>
  <r>
    <x v="52"/>
    <s v="conventional_default_dq_wala_130"/>
    <x v="170"/>
    <n v="1.44996667984851"/>
    <n v="1"/>
    <n v="-66"/>
    <n v="396"/>
  </r>
  <r>
    <x v="52"/>
    <s v="conventional_default_dq_wala_131"/>
    <x v="171"/>
    <n v="1.4526510560828101"/>
    <n v="1"/>
    <n v="-66"/>
    <n v="396"/>
  </r>
  <r>
    <x v="52"/>
    <s v="conventional_default_dq_wala_132"/>
    <x v="172"/>
    <n v="1.4552810731821899"/>
    <n v="1"/>
    <n v="-66"/>
    <n v="396"/>
  </r>
  <r>
    <x v="52"/>
    <s v="conventional_default_dq_wala_133"/>
    <x v="173"/>
    <n v="1.4578573364424801"/>
    <n v="1"/>
    <n v="-66"/>
    <n v="396"/>
  </r>
  <r>
    <x v="52"/>
    <s v="conventional_default_dq_wala_134"/>
    <x v="174"/>
    <n v="1.46038045115954"/>
    <n v="1"/>
    <n v="-66"/>
    <n v="396"/>
  </r>
  <r>
    <x v="52"/>
    <s v="conventional_default_dq_wala_135"/>
    <x v="175"/>
    <n v="1.46285102262919"/>
    <n v="1"/>
    <n v="-66"/>
    <n v="396"/>
  </r>
  <r>
    <x v="52"/>
    <s v="conventional_default_dq_wala_136"/>
    <x v="176"/>
    <n v="1.46526965614728"/>
    <n v="1"/>
    <n v="-66"/>
    <n v="396"/>
  </r>
  <r>
    <x v="52"/>
    <s v="conventional_default_dq_wala_137"/>
    <x v="177"/>
    <n v="1.4676369570096499"/>
    <n v="1"/>
    <n v="-66"/>
    <n v="396"/>
  </r>
  <r>
    <x v="52"/>
    <s v="conventional_default_dq_wala_138"/>
    <x v="178"/>
    <n v="1.4699535305121401"/>
    <n v="1"/>
    <n v="-66"/>
    <n v="396"/>
  </r>
  <r>
    <x v="52"/>
    <s v="conventional_default_dq_wala_139"/>
    <x v="179"/>
    <n v="1.4722199819506001"/>
    <n v="1"/>
    <n v="-66"/>
    <n v="396"/>
  </r>
  <r>
    <x v="52"/>
    <s v="conventional_default_dq_wala_140"/>
    <x v="180"/>
    <n v="1.47443691662085"/>
    <n v="1"/>
    <n v="-66"/>
    <n v="396"/>
  </r>
  <r>
    <x v="52"/>
    <s v="conventional_default_dq_wala_141"/>
    <x v="181"/>
    <n v="1.47660493981874"/>
    <n v="1"/>
    <n v="-66"/>
    <n v="396"/>
  </r>
  <r>
    <x v="52"/>
    <s v="conventional_default_dq_wala_142"/>
    <x v="182"/>
    <n v="1.47872465684011"/>
    <n v="1"/>
    <n v="-66"/>
    <n v="396"/>
  </r>
  <r>
    <x v="52"/>
    <s v="conventional_default_dq_wala_143"/>
    <x v="183"/>
    <n v="1.48079667298081"/>
    <n v="1"/>
    <n v="-66"/>
    <n v="396"/>
  </r>
  <r>
    <x v="52"/>
    <s v="conventional_default_dq_wala_144"/>
    <x v="184"/>
    <n v="1.48282159353666"/>
    <n v="1"/>
    <n v="-66"/>
    <n v="396"/>
  </r>
  <r>
    <x v="52"/>
    <s v="conventional_default_dq_wala_145"/>
    <x v="185"/>
    <n v="1.4848000238035199"/>
    <n v="1"/>
    <n v="-66"/>
    <n v="396"/>
  </r>
  <r>
    <x v="52"/>
    <s v="conventional_default_dq_wala_146"/>
    <x v="186"/>
    <n v="1.48673256907721"/>
    <n v="1"/>
    <n v="-66"/>
    <n v="396"/>
  </r>
  <r>
    <x v="52"/>
    <s v="conventional_default_dq_wala_147"/>
    <x v="187"/>
    <n v="1.4886198346535899"/>
    <n v="1"/>
    <n v="-66"/>
    <n v="396"/>
  </r>
  <r>
    <x v="52"/>
    <s v="conventional_default_dq_wala_148"/>
    <x v="188"/>
    <n v="1.49046242582849"/>
    <n v="1"/>
    <n v="-66"/>
    <n v="396"/>
  </r>
  <r>
    <x v="52"/>
    <s v="conventional_default_dq_wala_149"/>
    <x v="189"/>
    <n v="1.49226094789775"/>
    <n v="1"/>
    <n v="-66"/>
    <n v="396"/>
  </r>
  <r>
    <x v="52"/>
    <s v="conventional_default_dq_wala_150"/>
    <x v="190"/>
    <n v="1.4940160061572201"/>
    <n v="1"/>
    <n v="-66"/>
    <n v="396"/>
  </r>
  <r>
    <x v="52"/>
    <s v="conventional_default_dq_wala_151"/>
    <x v="191"/>
    <n v="1.4957282059027199"/>
    <n v="1"/>
    <n v="-66"/>
    <n v="396"/>
  </r>
  <r>
    <x v="52"/>
    <s v="conventional_default_dq_wala_152"/>
    <x v="192"/>
    <n v="1.4973981524301101"/>
    <n v="1"/>
    <n v="-66"/>
    <n v="396"/>
  </r>
  <r>
    <x v="52"/>
    <s v="conventional_default_dq_wala_153"/>
    <x v="193"/>
    <n v="1.49902645103523"/>
    <n v="1"/>
    <n v="-66"/>
    <n v="396"/>
  </r>
  <r>
    <x v="52"/>
    <s v="conventional_default_dq_wala_154"/>
    <x v="194"/>
    <n v="1.5006137070139001"/>
    <n v="1"/>
    <n v="-66"/>
    <n v="396"/>
  </r>
  <r>
    <x v="52"/>
    <s v="conventional_default_dq_wala_155"/>
    <x v="195"/>
    <n v="1.5021605256619801"/>
    <n v="1"/>
    <n v="-66"/>
    <n v="396"/>
  </r>
  <r>
    <x v="52"/>
    <s v="conventional_default_dq_wala_156"/>
    <x v="196"/>
    <n v="1.5036675122753"/>
    <n v="1"/>
    <n v="-66"/>
    <n v="396"/>
  </r>
  <r>
    <x v="52"/>
    <s v="conventional_default_dq_wala_157"/>
    <x v="197"/>
    <n v="1.50513527214971"/>
    <n v="1"/>
    <n v="-66"/>
    <n v="396"/>
  </r>
  <r>
    <x v="52"/>
    <s v="conventional_default_dq_wala_158"/>
    <x v="198"/>
    <n v="1.5065644105810401"/>
    <n v="1"/>
    <n v="-66"/>
    <n v="396"/>
  </r>
  <r>
    <x v="52"/>
    <s v="conventional_default_dq_wala_159"/>
    <x v="199"/>
    <n v="1.50795553286513"/>
    <n v="1"/>
    <n v="-66"/>
    <n v="396"/>
  </r>
  <r>
    <x v="52"/>
    <s v="conventional_default_dq_wala_160"/>
    <x v="200"/>
    <n v="1.50930924429783"/>
    <n v="1"/>
    <n v="-66"/>
    <n v="396"/>
  </r>
  <r>
    <x v="52"/>
    <s v="conventional_default_dq_wala_161"/>
    <x v="201"/>
    <n v="1.51062615017497"/>
    <n v="1"/>
    <n v="-66"/>
    <n v="396"/>
  </r>
  <r>
    <x v="52"/>
    <s v="conventional_default_dq_wala_162"/>
    <x v="202"/>
    <n v="1.51190685579239"/>
    <n v="1"/>
    <n v="-66"/>
    <n v="396"/>
  </r>
  <r>
    <x v="52"/>
    <s v="conventional_default_dq_wala_163"/>
    <x v="203"/>
    <n v="1.5131519664459501"/>
    <n v="1"/>
    <n v="-66"/>
    <n v="396"/>
  </r>
  <r>
    <x v="52"/>
    <s v="conventional_default_dq_wala_164"/>
    <x v="204"/>
    <n v="1.5143620874314601"/>
    <n v="1"/>
    <n v="-66"/>
    <n v="396"/>
  </r>
  <r>
    <x v="52"/>
    <s v="conventional_default_dq_wala_165"/>
    <x v="205"/>
    <n v="1.5155378240447801"/>
    <n v="1"/>
    <n v="-66"/>
    <n v="396"/>
  </r>
  <r>
    <x v="52"/>
    <s v="conventional_default_dq_wala_166"/>
    <x v="206"/>
    <n v="1.5166797815817501"/>
    <n v="1"/>
    <n v="-66"/>
    <n v="396"/>
  </r>
  <r>
    <x v="52"/>
    <s v="conventional_default_dq_wala_167"/>
    <x v="207"/>
    <n v="1.5177885653381999"/>
    <n v="1"/>
    <n v="-66"/>
    <n v="396"/>
  </r>
  <r>
    <x v="52"/>
    <s v="conventional_default_dq_wala_168"/>
    <x v="208"/>
    <n v="1.51886478060998"/>
    <n v="1"/>
    <n v="-66"/>
    <n v="396"/>
  </r>
  <r>
    <x v="52"/>
    <s v="conventional_default_dq_wala_169"/>
    <x v="209"/>
    <n v="1.5199090326929301"/>
    <n v="1"/>
    <n v="-66"/>
    <n v="396"/>
  </r>
  <r>
    <x v="52"/>
    <s v="conventional_default_dq_wala_170"/>
    <x v="210"/>
    <n v="1.52092192688288"/>
    <n v="1"/>
    <n v="-66"/>
    <n v="396"/>
  </r>
  <r>
    <x v="52"/>
    <s v="conventional_default_dq_wala_171"/>
    <x v="211"/>
    <n v="1.5219040684756799"/>
    <n v="1"/>
    <n v="-66"/>
    <n v="396"/>
  </r>
  <r>
    <x v="52"/>
    <s v="conventional_default_dq_wala_172"/>
    <x v="212"/>
    <n v="1.5228560627671599"/>
    <n v="1"/>
    <n v="-66"/>
    <n v="396"/>
  </r>
  <r>
    <x v="52"/>
    <s v="conventional_default_dq_wala_173"/>
    <x v="213"/>
    <n v="1.52377851505317"/>
    <n v="1"/>
    <n v="-66"/>
    <n v="396"/>
  </r>
  <r>
    <x v="52"/>
    <s v="conventional_default_dq_wala_174"/>
    <x v="214"/>
    <n v="1.52467203062955"/>
    <n v="1"/>
    <n v="-66"/>
    <n v="396"/>
  </r>
  <r>
    <x v="52"/>
    <s v="conventional_default_dq_wala_175"/>
    <x v="215"/>
    <n v="1.52553721479214"/>
    <n v="1"/>
    <n v="-66"/>
    <n v="396"/>
  </r>
  <r>
    <x v="52"/>
    <s v="conventional_default_dq_wala_176"/>
    <x v="216"/>
    <n v="1.52637467283677"/>
    <n v="1"/>
    <n v="-66"/>
    <n v="396"/>
  </r>
  <r>
    <x v="52"/>
    <s v="conventional_default_dq_wala_177"/>
    <x v="217"/>
    <n v="1.5271850100592901"/>
    <n v="1"/>
    <n v="-66"/>
    <n v="396"/>
  </r>
  <r>
    <x v="52"/>
    <s v="conventional_default_dq_wala_178"/>
    <x v="218"/>
    <n v="1.52796883175554"/>
    <n v="1"/>
    <n v="-66"/>
    <n v="396"/>
  </r>
  <r>
    <x v="52"/>
    <s v="conventional_default_dq_wala_179"/>
    <x v="219"/>
    <n v="1.52872674322136"/>
    <n v="1"/>
    <n v="-66"/>
    <n v="396"/>
  </r>
  <r>
    <x v="52"/>
    <s v="conventional_default_dq_wala_180"/>
    <x v="220"/>
    <n v="1.5294593497525799"/>
    <n v="1"/>
    <n v="-66"/>
    <n v="396"/>
  </r>
  <r>
    <x v="52"/>
    <s v="conventional_default_dq_wala_181"/>
    <x v="221"/>
    <n v="1.5301672566450599"/>
    <n v="1"/>
    <n v="-66"/>
    <n v="396"/>
  </r>
  <r>
    <x v="52"/>
    <s v="conventional_default_dq_wala_182"/>
    <x v="222"/>
    <n v="1.53085106919462"/>
    <n v="1"/>
    <n v="-66"/>
    <n v="396"/>
  </r>
  <r>
    <x v="52"/>
    <s v="conventional_default_dq_wala_183"/>
    <x v="223"/>
    <n v="1.53151139269711"/>
    <n v="1"/>
    <n v="-66"/>
    <n v="396"/>
  </r>
  <r>
    <x v="52"/>
    <s v="conventional_default_dq_wala_184"/>
    <x v="224"/>
    <n v="1.5321488324483701"/>
    <n v="1"/>
    <n v="-66"/>
    <n v="396"/>
  </r>
  <r>
    <x v="52"/>
    <s v="conventional_default_dq_wala_185"/>
    <x v="225"/>
    <n v="1.5327639937442401"/>
    <n v="1"/>
    <n v="-66"/>
    <n v="396"/>
  </r>
  <r>
    <x v="52"/>
    <s v="conventional_default_dq_wala_186"/>
    <x v="226"/>
    <n v="1.53335748188056"/>
    <n v="1"/>
    <n v="-66"/>
    <n v="396"/>
  </r>
  <r>
    <x v="52"/>
    <s v="conventional_default_dq_wala_187"/>
    <x v="227"/>
    <n v="1.53392990215317"/>
    <n v="1"/>
    <n v="-66"/>
    <n v="396"/>
  </r>
  <r>
    <x v="52"/>
    <s v="conventional_default_dq_wala_188"/>
    <x v="228"/>
    <n v="1.53448185985791"/>
    <n v="1"/>
    <n v="-66"/>
    <n v="396"/>
  </r>
  <r>
    <x v="52"/>
    <s v="conventional_default_dq_wala_189"/>
    <x v="229"/>
    <n v="1.5350139602906201"/>
    <n v="1"/>
    <n v="-66"/>
    <n v="396"/>
  </r>
  <r>
    <x v="52"/>
    <s v="conventional_default_dq_wala_190"/>
    <x v="230"/>
    <n v="1.5355268087471401"/>
    <n v="1"/>
    <n v="-66"/>
    <n v="396"/>
  </r>
  <r>
    <x v="52"/>
    <s v="conventional_default_dq_wala_191"/>
    <x v="231"/>
    <n v="1.5360210105233101"/>
    <n v="1"/>
    <n v="-66"/>
    <n v="396"/>
  </r>
  <r>
    <x v="52"/>
    <s v="conventional_default_dq_wala_192"/>
    <x v="232"/>
    <n v="1.53649717091497"/>
    <n v="1"/>
    <n v="-66"/>
    <n v="396"/>
  </r>
  <r>
    <x v="52"/>
    <s v="conventional_default_dq_wala_193"/>
    <x v="233"/>
    <n v="1.53695589521797"/>
    <n v="1"/>
    <n v="-66"/>
    <n v="396"/>
  </r>
  <r>
    <x v="52"/>
    <s v="conventional_default_dq_wala_194"/>
    <x v="234"/>
    <n v="1.53739778872813"/>
    <n v="1"/>
    <n v="-66"/>
    <n v="396"/>
  </r>
  <r>
    <x v="52"/>
    <s v="conventional_default_dq_wala_195"/>
    <x v="235"/>
    <n v="1.53782345674131"/>
    <n v="1"/>
    <n v="-66"/>
    <n v="396"/>
  </r>
  <r>
    <x v="52"/>
    <s v="conventional_default_dq_wala_196"/>
    <x v="236"/>
    <n v="1.53823350455333"/>
    <n v="1"/>
    <n v="-66"/>
    <n v="396"/>
  </r>
  <r>
    <x v="52"/>
    <s v="conventional_default_dq_wala_197"/>
    <x v="237"/>
    <n v="1.5386285374600499"/>
    <n v="1"/>
    <n v="-66"/>
    <n v="396"/>
  </r>
  <r>
    <x v="52"/>
    <s v="conventional_default_dq_wala_198"/>
    <x v="238"/>
    <n v="1.5390091607573"/>
    <n v="1"/>
    <n v="-66"/>
    <n v="396"/>
  </r>
  <r>
    <x v="52"/>
    <s v="conventional_default_dq_wala_199"/>
    <x v="239"/>
    <n v="1.5393759797409301"/>
    <n v="1"/>
    <n v="-66"/>
    <n v="396"/>
  </r>
  <r>
    <x v="52"/>
    <s v="conventional_default_dq_wala_200"/>
    <x v="240"/>
    <n v="1.5397295997067599"/>
    <n v="1"/>
    <n v="-66"/>
    <n v="396"/>
  </r>
  <r>
    <x v="52"/>
    <s v="conventional_default_dq_wala_201"/>
    <x v="241"/>
    <n v="1.54007062595065"/>
    <n v="1"/>
    <n v="-66"/>
    <n v="396"/>
  </r>
  <r>
    <x v="52"/>
    <s v="conventional_default_dq_wala_202"/>
    <x v="242"/>
    <n v="1.5403996637684301"/>
    <n v="1"/>
    <n v="-66"/>
    <n v="396"/>
  </r>
  <r>
    <x v="52"/>
    <s v="conventional_default_dq_wala_203"/>
    <x v="243"/>
    <n v="1.5407173184559499"/>
    <n v="1"/>
    <n v="-66"/>
    <n v="396"/>
  </r>
  <r>
    <x v="52"/>
    <s v="conventional_default_dq_wala_204"/>
    <x v="244"/>
    <n v="1.54102419530904"/>
    <n v="1"/>
    <n v="-66"/>
    <n v="396"/>
  </r>
  <r>
    <x v="52"/>
    <s v="conventional_default_dq_wala_205"/>
    <x v="245"/>
    <n v="1.5413208996235399"/>
    <n v="1"/>
    <n v="-66"/>
    <n v="396"/>
  </r>
  <r>
    <x v="52"/>
    <s v="conventional_default_dq_wala_206"/>
    <x v="246"/>
    <n v="1.54160803669529"/>
    <n v="1"/>
    <n v="-66"/>
    <n v="396"/>
  </r>
  <r>
    <x v="52"/>
    <s v="conventional_default_dq_wala_207"/>
    <x v="247"/>
    <n v="1.54188621182014"/>
    <n v="1"/>
    <n v="-66"/>
    <n v="396"/>
  </r>
  <r>
    <x v="52"/>
    <s v="conventional_default_dq_wala_208"/>
    <x v="248"/>
    <n v="1.5421560302939299"/>
    <n v="1"/>
    <n v="-66"/>
    <n v="396"/>
  </r>
  <r>
    <x v="52"/>
    <s v="conventional_default_dq_wala_209"/>
    <x v="249"/>
    <n v="1.5424180974124799"/>
    <n v="1"/>
    <n v="-66"/>
    <n v="396"/>
  </r>
  <r>
    <x v="52"/>
    <s v="conventional_default_dq_wala_210"/>
    <x v="250"/>
    <n v="1.5426730184716599"/>
    <n v="1"/>
    <n v="-66"/>
    <n v="396"/>
  </r>
  <r>
    <x v="52"/>
    <s v="conventional_default_dq_wala_211"/>
    <x v="251"/>
    <n v="1.5429213987672801"/>
    <n v="1"/>
    <n v="-66"/>
    <n v="396"/>
  </r>
  <r>
    <x v="52"/>
    <s v="conventional_default_dq_wala_212"/>
    <x v="252"/>
    <n v="1.5431638435952"/>
    <n v="1"/>
    <n v="-66"/>
    <n v="396"/>
  </r>
  <r>
    <x v="52"/>
    <s v="conventional_default_dq_wala_213"/>
    <x v="253"/>
    <n v="1.54340095825126"/>
    <n v="1"/>
    <n v="-66"/>
    <n v="396"/>
  </r>
  <r>
    <x v="52"/>
    <s v="conventional_default_dq_wala_214"/>
    <x v="254"/>
    <n v="1.54363334803129"/>
    <n v="1"/>
    <n v="-66"/>
    <n v="396"/>
  </r>
  <r>
    <x v="52"/>
    <s v="conventional_default_dq_wala_215"/>
    <x v="255"/>
    <n v="1.54386161823114"/>
    <n v="1"/>
    <n v="-66"/>
    <n v="396"/>
  </r>
  <r>
    <x v="52"/>
    <s v="conventional_default_dq_wala_216"/>
    <x v="256"/>
    <n v="1.54408637414664"/>
    <n v="1"/>
    <n v="-66"/>
    <n v="396"/>
  </r>
  <r>
    <x v="52"/>
    <s v="conventional_default_dq_wala_217"/>
    <x v="257"/>
    <n v="1.5443082210736401"/>
    <n v="1"/>
    <n v="-66"/>
    <n v="396"/>
  </r>
  <r>
    <x v="52"/>
    <s v="conventional_default_dq_wala_218"/>
    <x v="258"/>
    <n v="1.54452776430798"/>
    <n v="1"/>
    <n v="-66"/>
    <n v="396"/>
  </r>
  <r>
    <x v="52"/>
    <s v="conventional_default_dq_wala_219"/>
    <x v="259"/>
    <n v="1.5447456091454901"/>
    <n v="1"/>
    <n v="-66"/>
    <n v="396"/>
  </r>
  <r>
    <x v="52"/>
    <s v="conventional_default_dq_wala_220"/>
    <x v="260"/>
    <n v="1.54496236088202"/>
    <n v="1"/>
    <n v="-66"/>
    <n v="396"/>
  </r>
  <r>
    <x v="52"/>
    <s v="conventional_default_dq_wala_221"/>
    <x v="261"/>
    <n v="1.5451786248134101"/>
    <n v="1"/>
    <n v="-66"/>
    <n v="396"/>
  </r>
  <r>
    <x v="52"/>
    <s v="conventional_default_dq_wala_222"/>
    <x v="262"/>
    <n v="1.54539500623549"/>
    <n v="1"/>
    <n v="-66"/>
    <n v="396"/>
  </r>
  <r>
    <x v="52"/>
    <s v="conventional_default_dq_wala_223"/>
    <x v="263"/>
    <n v="1.5456121104441101"/>
    <n v="1"/>
    <n v="-66"/>
    <n v="396"/>
  </r>
  <r>
    <x v="52"/>
    <s v="conventional_default_dq_wala_224"/>
    <x v="264"/>
    <n v="1.54583054273511"/>
    <n v="1"/>
    <n v="-66"/>
    <n v="396"/>
  </r>
  <r>
    <x v="52"/>
    <s v="conventional_default_dq_wala_225"/>
    <x v="265"/>
    <n v="1.5460509084043199"/>
    <n v="1"/>
    <n v="-66"/>
    <n v="396"/>
  </r>
  <r>
    <x v="52"/>
    <s v="conventional_default_dq_wala_226"/>
    <x v="266"/>
    <n v="1.5462738127475899"/>
    <n v="1"/>
    <n v="-66"/>
    <n v="396"/>
  </r>
  <r>
    <x v="52"/>
    <s v="conventional_default_dq_wala_227"/>
    <x v="267"/>
    <n v="1.5464998610607601"/>
    <n v="1"/>
    <n v="-66"/>
    <n v="396"/>
  </r>
  <r>
    <x v="52"/>
    <s v="conventional_default_dq_wala_228"/>
    <x v="268"/>
    <n v="1.5467296586396699"/>
    <n v="1"/>
    <n v="-66"/>
    <n v="396"/>
  </r>
  <r>
    <x v="52"/>
    <s v="conventional_default_dq_wala_229"/>
    <x v="269"/>
    <n v="1.54696381078016"/>
    <n v="1"/>
    <n v="-66"/>
    <n v="396"/>
  </r>
  <r>
    <x v="52"/>
    <s v="conventional_default_dq_wala_230"/>
    <x v="270"/>
    <n v="1.5472029227780699"/>
    <n v="1"/>
    <n v="-66"/>
    <n v="396"/>
  </r>
  <r>
    <x v="52"/>
    <s v="conventional_default_dq_wala_231"/>
    <x v="271"/>
    <n v="1.5474475999292301"/>
    <n v="1"/>
    <n v="-66"/>
    <n v="396"/>
  </r>
  <r>
    <x v="52"/>
    <s v="conventional_default_dq_wala_232"/>
    <x v="272"/>
    <n v="1.5476984475294999"/>
    <n v="1"/>
    <n v="-66"/>
    <n v="396"/>
  </r>
  <r>
    <x v="52"/>
    <s v="conventional_default_dq_wala_233"/>
    <x v="273"/>
    <n v="1.5479560708747"/>
    <n v="1"/>
    <n v="-66"/>
    <n v="396"/>
  </r>
  <r>
    <x v="52"/>
    <s v="conventional_default_dq_wala_234"/>
    <x v="274"/>
    <n v="1.54822107526068"/>
    <n v="1"/>
    <n v="-66"/>
    <n v="396"/>
  </r>
  <r>
    <x v="52"/>
    <s v="conventional_default_dq_wala_235"/>
    <x v="275"/>
    <n v="1.54849406598328"/>
    <n v="1"/>
    <n v="-66"/>
    <n v="396"/>
  </r>
  <r>
    <x v="52"/>
    <s v="conventional_default_dq_wala_236"/>
    <x v="276"/>
    <n v="1.5487756483383499"/>
    <n v="1"/>
    <n v="-66"/>
    <n v="396"/>
  </r>
  <r>
    <x v="52"/>
    <s v="conventional_default_dq_wala_237"/>
    <x v="277"/>
    <n v="1.5490664276217101"/>
    <n v="1"/>
    <n v="-66"/>
    <n v="396"/>
  </r>
  <r>
    <x v="52"/>
    <s v="conventional_default_dq_wala_238"/>
    <x v="278"/>
    <n v="1.54936700912921"/>
    <n v="1"/>
    <n v="-66"/>
    <n v="396"/>
  </r>
  <r>
    <x v="52"/>
    <s v="conventional_default_dq_wala_239"/>
    <x v="279"/>
    <n v="1.5496779981566999"/>
    <n v="1"/>
    <n v="-66"/>
    <n v="396"/>
  </r>
  <r>
    <x v="52"/>
    <s v="conventional_default_dq_wala_240"/>
    <x v="280"/>
    <n v="1.55"/>
    <n v="1"/>
    <n v="-66"/>
    <n v="396"/>
  </r>
  <r>
    <x v="52"/>
    <s v="conventional_default_dq_wala_241"/>
    <x v="281"/>
    <n v="1.55032347438892"/>
    <n v="1"/>
    <n v="-66"/>
    <n v="396"/>
  </r>
  <r>
    <x v="52"/>
    <s v="conventional_default_dq_wala_242"/>
    <x v="282"/>
    <n v="1.55063855972373"/>
    <n v="1"/>
    <n v="-66"/>
    <n v="396"/>
  </r>
  <r>
    <x v="52"/>
    <s v="conventional_default_dq_wala_243"/>
    <x v="283"/>
    <n v="1.55094537930598"/>
    <n v="1"/>
    <n v="-66"/>
    <n v="396"/>
  </r>
  <r>
    <x v="52"/>
    <s v="conventional_default_dq_wala_244"/>
    <x v="284"/>
    <n v="1.5512440564372301"/>
    <n v="1"/>
    <n v="-66"/>
    <n v="396"/>
  </r>
  <r>
    <x v="52"/>
    <s v="conventional_default_dq_wala_245"/>
    <x v="285"/>
    <n v="1.5515347144190299"/>
    <n v="1"/>
    <n v="-66"/>
    <n v="396"/>
  </r>
  <r>
    <x v="52"/>
    <s v="conventional_default_dq_wala_246"/>
    <x v="286"/>
    <n v="1.55181747655294"/>
    <n v="1"/>
    <n v="-66"/>
    <n v="396"/>
  </r>
  <r>
    <x v="52"/>
    <s v="conventional_default_dq_wala_247"/>
    <x v="287"/>
    <n v="1.55209246614051"/>
    <n v="1"/>
    <n v="-66"/>
    <n v="396"/>
  </r>
  <r>
    <x v="52"/>
    <s v="conventional_default_dq_wala_248"/>
    <x v="288"/>
    <n v="1.55235980648331"/>
    <n v="1"/>
    <n v="-66"/>
    <n v="396"/>
  </r>
  <r>
    <x v="52"/>
    <s v="conventional_default_dq_wala_249"/>
    <x v="289"/>
    <n v="1.55261962088288"/>
    <n v="1"/>
    <n v="-66"/>
    <n v="396"/>
  </r>
  <r>
    <x v="52"/>
    <s v="conventional_default_dq_wala_250"/>
    <x v="290"/>
    <n v="1.5528720326407699"/>
    <n v="1"/>
    <n v="-66"/>
    <n v="396"/>
  </r>
  <r>
    <x v="52"/>
    <s v="conventional_default_dq_wala_251"/>
    <x v="291"/>
    <n v="1.55311716505856"/>
    <n v="1"/>
    <n v="-66"/>
    <n v="396"/>
  </r>
  <r>
    <x v="52"/>
    <s v="conventional_default_dq_wala_252"/>
    <x v="292"/>
    <n v="1.55335514143778"/>
    <n v="1"/>
    <n v="-66"/>
    <n v="396"/>
  </r>
  <r>
    <x v="52"/>
    <s v="conventional_default_dq_wala_253"/>
    <x v="293"/>
    <n v="1.5535860850800001"/>
    <n v="1"/>
    <n v="-66"/>
    <n v="396"/>
  </r>
  <r>
    <x v="52"/>
    <s v="conventional_default_dq_wala_254"/>
    <x v="294"/>
    <n v="1.5538101192867799"/>
    <n v="1"/>
    <n v="-66"/>
    <n v="396"/>
  </r>
  <r>
    <x v="52"/>
    <s v="conventional_default_dq_wala_255"/>
    <x v="295"/>
    <n v="1.5540273673596501"/>
    <n v="1"/>
    <n v="-66"/>
    <n v="396"/>
  </r>
  <r>
    <x v="52"/>
    <s v="conventional_default_dq_wala_256"/>
    <x v="296"/>
    <n v="1.5542379526001899"/>
    <n v="1"/>
    <n v="-66"/>
    <n v="396"/>
  </r>
  <r>
    <x v="52"/>
    <s v="conventional_default_dq_wala_257"/>
    <x v="297"/>
    <n v="1.55444199830995"/>
    <n v="1"/>
    <n v="-66"/>
    <n v="396"/>
  </r>
  <r>
    <x v="52"/>
    <s v="conventional_default_dq_wala_258"/>
    <x v="298"/>
    <n v="1.5546396277904799"/>
    <n v="1"/>
    <n v="-66"/>
    <n v="396"/>
  </r>
  <r>
    <x v="52"/>
    <s v="conventional_default_dq_wala_259"/>
    <x v="299"/>
    <n v="1.55483096434334"/>
    <n v="1"/>
    <n v="-66"/>
    <n v="396"/>
  </r>
  <r>
    <x v="52"/>
    <s v="conventional_default_dq_wala_260"/>
    <x v="300"/>
    <n v="1.5550161312700801"/>
    <n v="1"/>
    <n v="-66"/>
    <n v="396"/>
  </r>
  <r>
    <x v="52"/>
    <s v="conventional_default_dq_wala_261"/>
    <x v="301"/>
    <n v="1.55519525187226"/>
    <n v="1"/>
    <n v="-66"/>
    <n v="396"/>
  </r>
  <r>
    <x v="52"/>
    <s v="conventional_default_dq_wala_262"/>
    <x v="302"/>
    <n v="1.5553684494514299"/>
    <n v="1"/>
    <n v="-66"/>
    <n v="396"/>
  </r>
  <r>
    <x v="52"/>
    <s v="conventional_default_dq_wala_263"/>
    <x v="303"/>
    <n v="1.5555358473091501"/>
    <n v="1"/>
    <n v="-66"/>
    <n v="396"/>
  </r>
  <r>
    <x v="52"/>
    <s v="conventional_default_dq_wala_264"/>
    <x v="304"/>
    <n v="1.5556975687469801"/>
    <n v="1"/>
    <n v="-66"/>
    <n v="396"/>
  </r>
  <r>
    <x v="52"/>
    <s v="conventional_default_dq_wala_265"/>
    <x v="305"/>
    <n v="1.55585373706647"/>
    <n v="1"/>
    <n v="-66"/>
    <n v="396"/>
  </r>
  <r>
    <x v="52"/>
    <s v="conventional_default_dq_wala_266"/>
    <x v="306"/>
    <n v="1.55600447556917"/>
    <n v="1"/>
    <n v="-66"/>
    <n v="396"/>
  </r>
  <r>
    <x v="52"/>
    <s v="conventional_default_dq_wala_267"/>
    <x v="307"/>
    <n v="1.5561499075566401"/>
    <n v="1"/>
    <n v="-66"/>
    <n v="396"/>
  </r>
  <r>
    <x v="52"/>
    <s v="conventional_default_dq_wala_268"/>
    <x v="308"/>
    <n v="1.5562901563304301"/>
    <n v="1"/>
    <n v="-66"/>
    <n v="396"/>
  </r>
  <r>
    <x v="52"/>
    <s v="conventional_default_dq_wala_269"/>
    <x v="309"/>
    <n v="1.55642534519211"/>
    <n v="1"/>
    <n v="-66"/>
    <n v="396"/>
  </r>
  <r>
    <x v="52"/>
    <s v="conventional_default_dq_wala_270"/>
    <x v="310"/>
    <n v="1.5565555974432199"/>
    <n v="1"/>
    <n v="-66"/>
    <n v="396"/>
  </r>
  <r>
    <x v="52"/>
    <s v="conventional_default_dq_wala_271"/>
    <x v="311"/>
    <n v="1.5566810363853301"/>
    <n v="1"/>
    <n v="-66"/>
    <n v="396"/>
  </r>
  <r>
    <x v="52"/>
    <s v="conventional_default_dq_wala_272"/>
    <x v="312"/>
    <n v="1.55680178531998"/>
    <n v="1"/>
    <n v="-66"/>
    <n v="396"/>
  </r>
  <r>
    <x v="52"/>
    <s v="conventional_default_dq_wala_273"/>
    <x v="313"/>
    <n v="1.5569179675487299"/>
    <n v="1"/>
    <n v="-66"/>
    <n v="396"/>
  </r>
  <r>
    <x v="52"/>
    <s v="conventional_default_dq_wala_274"/>
    <x v="314"/>
    <n v="1.55702970637315"/>
    <n v="1"/>
    <n v="-66"/>
    <n v="396"/>
  </r>
  <r>
    <x v="52"/>
    <s v="conventional_default_dq_wala_275"/>
    <x v="315"/>
    <n v="1.5571371250947701"/>
    <n v="1"/>
    <n v="-66"/>
    <n v="396"/>
  </r>
  <r>
    <x v="52"/>
    <s v="conventional_default_dq_wala_276"/>
    <x v="316"/>
    <n v="1.5572403470151599"/>
    <n v="1"/>
    <n v="-66"/>
    <n v="396"/>
  </r>
  <r>
    <x v="52"/>
    <s v="conventional_default_dq_wala_277"/>
    <x v="317"/>
    <n v="1.5573394954358799"/>
    <n v="1"/>
    <n v="-66"/>
    <n v="396"/>
  </r>
  <r>
    <x v="52"/>
    <s v="conventional_default_dq_wala_278"/>
    <x v="318"/>
    <n v="1.55743469365847"/>
    <n v="1"/>
    <n v="-66"/>
    <n v="396"/>
  </r>
  <r>
    <x v="52"/>
    <s v="conventional_default_dq_wala_279"/>
    <x v="319"/>
    <n v="1.5575260649845"/>
    <n v="1"/>
    <n v="-66"/>
    <n v="396"/>
  </r>
  <r>
    <x v="52"/>
    <s v="conventional_default_dq_wala_280"/>
    <x v="320"/>
    <n v="1.5576137327155199"/>
    <n v="1"/>
    <n v="-66"/>
    <n v="396"/>
  </r>
  <r>
    <x v="52"/>
    <s v="conventional_default_dq_wala_281"/>
    <x v="321"/>
    <n v="1.55769782015308"/>
    <n v="1"/>
    <n v="-66"/>
    <n v="396"/>
  </r>
  <r>
    <x v="52"/>
    <s v="conventional_default_dq_wala_282"/>
    <x v="322"/>
    <n v="1.55777845059874"/>
    <n v="1"/>
    <n v="-66"/>
    <n v="396"/>
  </r>
  <r>
    <x v="52"/>
    <s v="conventional_default_dq_wala_283"/>
    <x v="323"/>
    <n v="1.55785574735406"/>
    <n v="1"/>
    <n v="-66"/>
    <n v="396"/>
  </r>
  <r>
    <x v="52"/>
    <s v="conventional_default_dq_wala_284"/>
    <x v="324"/>
    <n v="1.55792983372058"/>
    <n v="1"/>
    <n v="-66"/>
    <n v="396"/>
  </r>
  <r>
    <x v="52"/>
    <s v="conventional_default_dq_wala_285"/>
    <x v="325"/>
    <n v="1.55800083299988"/>
    <n v="1"/>
    <n v="-66"/>
    <n v="396"/>
  </r>
  <r>
    <x v="52"/>
    <s v="conventional_default_dq_wala_286"/>
    <x v="326"/>
    <n v="1.55806886849349"/>
    <n v="1"/>
    <n v="-66"/>
    <n v="396"/>
  </r>
  <r>
    <x v="52"/>
    <s v="conventional_default_dq_wala_287"/>
    <x v="327"/>
    <n v="1.5581340635029799"/>
    <n v="1"/>
    <n v="-66"/>
    <n v="396"/>
  </r>
  <r>
    <x v="52"/>
    <s v="conventional_default_dq_wala_288"/>
    <x v="328"/>
    <n v="1.5581965413298999"/>
    <n v="1"/>
    <n v="-66"/>
    <n v="396"/>
  </r>
  <r>
    <x v="52"/>
    <s v="conventional_default_dq_wala_289"/>
    <x v="329"/>
    <n v="1.55825642527581"/>
    <n v="1"/>
    <n v="-66"/>
    <n v="396"/>
  </r>
  <r>
    <x v="52"/>
    <s v="conventional_default_dq_wala_290"/>
    <x v="330"/>
    <n v="1.5583138386422699"/>
    <n v="1"/>
    <n v="-66"/>
    <n v="396"/>
  </r>
  <r>
    <x v="52"/>
    <s v="conventional_default_dq_wala_291"/>
    <x v="331"/>
    <n v="1.55836890473082"/>
    <n v="1"/>
    <n v="-66"/>
    <n v="396"/>
  </r>
  <r>
    <x v="52"/>
    <s v="conventional_default_dq_wala_292"/>
    <x v="332"/>
    <n v="1.5584217468430199"/>
    <n v="1"/>
    <n v="-66"/>
    <n v="396"/>
  </r>
  <r>
    <x v="52"/>
    <s v="conventional_default_dq_wala_293"/>
    <x v="333"/>
    <n v="1.5584724882804299"/>
    <n v="1"/>
    <n v="-66"/>
    <n v="396"/>
  </r>
  <r>
    <x v="52"/>
    <s v="conventional_default_dq_wala_294"/>
    <x v="334"/>
    <n v="1.5585212523445999"/>
    <n v="1"/>
    <n v="-66"/>
    <n v="396"/>
  </r>
  <r>
    <x v="52"/>
    <s v="conventional_default_dq_wala_295"/>
    <x v="335"/>
    <n v="1.5585681623370999"/>
    <n v="1"/>
    <n v="-66"/>
    <n v="396"/>
  </r>
  <r>
    <x v="52"/>
    <s v="conventional_default_dq_wala_296"/>
    <x v="336"/>
    <n v="1.5586133415594601"/>
    <n v="1"/>
    <n v="-66"/>
    <n v="396"/>
  </r>
  <r>
    <x v="52"/>
    <s v="conventional_default_dq_wala_297"/>
    <x v="337"/>
    <n v="1.55865691331326"/>
    <n v="1"/>
    <n v="-66"/>
    <n v="396"/>
  </r>
  <r>
    <x v="52"/>
    <s v="conventional_default_dq_wala_298"/>
    <x v="338"/>
    <n v="1.5586990009000401"/>
    <n v="1"/>
    <n v="-66"/>
    <n v="396"/>
  </r>
  <r>
    <x v="52"/>
    <s v="conventional_default_dq_wala_299"/>
    <x v="339"/>
    <n v="1.5587397276213599"/>
    <n v="1"/>
    <n v="-66"/>
    <n v="396"/>
  </r>
  <r>
    <x v="52"/>
    <s v="conventional_default_dq_wala_300"/>
    <x v="340"/>
    <n v="1.55877921677878"/>
    <n v="1"/>
    <n v="-66"/>
    <n v="396"/>
  </r>
  <r>
    <x v="52"/>
    <s v="conventional_default_dq_wala_301"/>
    <x v="341"/>
    <n v="1.55881759167385"/>
    <n v="1"/>
    <n v="-66"/>
    <n v="396"/>
  </r>
  <r>
    <x v="52"/>
    <s v="conventional_default_dq_wala_302"/>
    <x v="342"/>
    <n v="1.55885497560812"/>
    <n v="1"/>
    <n v="-66"/>
    <n v="396"/>
  </r>
  <r>
    <x v="52"/>
    <s v="conventional_default_dq_wala_303"/>
    <x v="343"/>
    <n v="1.55889149188316"/>
    <n v="1"/>
    <n v="-66"/>
    <n v="396"/>
  </r>
  <r>
    <x v="52"/>
    <s v="conventional_default_dq_wala_304"/>
    <x v="344"/>
    <n v="1.5589272638005101"/>
    <n v="1"/>
    <n v="-66"/>
    <n v="396"/>
  </r>
  <r>
    <x v="52"/>
    <s v="conventional_default_dq_wala_305"/>
    <x v="345"/>
    <n v="1.55896241466173"/>
    <n v="1"/>
    <n v="-66"/>
    <n v="396"/>
  </r>
  <r>
    <x v="52"/>
    <s v="conventional_default_dq_wala_306"/>
    <x v="346"/>
    <n v="1.55899706776838"/>
    <n v="1"/>
    <n v="-66"/>
    <n v="396"/>
  </r>
  <r>
    <x v="52"/>
    <s v="conventional_default_dq_wala_307"/>
    <x v="347"/>
    <n v="1.55903134642202"/>
    <n v="1"/>
    <n v="-66"/>
    <n v="396"/>
  </r>
  <r>
    <x v="52"/>
    <s v="conventional_default_dq_wala_308"/>
    <x v="348"/>
    <n v="1.55906537392419"/>
    <n v="1"/>
    <n v="-66"/>
    <n v="396"/>
  </r>
  <r>
    <x v="52"/>
    <s v="conventional_default_dq_wala_309"/>
    <x v="349"/>
    <n v="1.55909927357645"/>
    <n v="1"/>
    <n v="-66"/>
    <n v="396"/>
  </r>
  <r>
    <x v="52"/>
    <s v="conventional_default_dq_wala_310"/>
    <x v="350"/>
    <n v="1.55913316868037"/>
    <n v="1"/>
    <n v="-66"/>
    <n v="396"/>
  </r>
  <r>
    <x v="52"/>
    <s v="conventional_default_dq_wala_311"/>
    <x v="351"/>
    <n v="1.55916718253749"/>
    <n v="1"/>
    <n v="-66"/>
    <n v="396"/>
  </r>
  <r>
    <x v="52"/>
    <s v="conventional_default_dq_wala_312"/>
    <x v="352"/>
    <n v="1.55920143844936"/>
    <n v="1"/>
    <n v="-66"/>
    <n v="396"/>
  </r>
  <r>
    <x v="52"/>
    <s v="conventional_default_dq_wala_313"/>
    <x v="353"/>
    <n v="1.5592360597175501"/>
    <n v="1"/>
    <n v="-66"/>
    <n v="396"/>
  </r>
  <r>
    <x v="52"/>
    <s v="conventional_default_dq_wala_314"/>
    <x v="354"/>
    <n v="1.5592711696436099"/>
    <n v="1"/>
    <n v="-66"/>
    <n v="396"/>
  </r>
  <r>
    <x v="52"/>
    <s v="conventional_default_dq_wala_315"/>
    <x v="355"/>
    <n v="1.5593068915291"/>
    <n v="1"/>
    <n v="-66"/>
    <n v="396"/>
  </r>
  <r>
    <x v="52"/>
    <s v="conventional_default_dq_wala_316"/>
    <x v="356"/>
    <n v="1.5593433486755599"/>
    <n v="1"/>
    <n v="-66"/>
    <n v="396"/>
  </r>
  <r>
    <x v="52"/>
    <s v="conventional_default_dq_wala_317"/>
    <x v="357"/>
    <n v="1.55938066438457"/>
    <n v="1"/>
    <n v="-66"/>
    <n v="396"/>
  </r>
  <r>
    <x v="52"/>
    <s v="conventional_default_dq_wala_318"/>
    <x v="358"/>
    <n v="1.5594189619576599"/>
    <n v="1"/>
    <n v="-66"/>
    <n v="396"/>
  </r>
  <r>
    <x v="52"/>
    <s v="conventional_default_dq_wala_319"/>
    <x v="359"/>
    <n v="1.5594583646964"/>
    <n v="1"/>
    <n v="-66"/>
    <n v="396"/>
  </r>
  <r>
    <x v="52"/>
    <s v="conventional_default_dq_wala_320"/>
    <x v="360"/>
    <n v="1.55949899590234"/>
    <n v="1"/>
    <n v="-66"/>
    <n v="396"/>
  </r>
  <r>
    <x v="52"/>
    <s v="conventional_default_dq_wala_321"/>
    <x v="361"/>
    <n v="1.55954097887704"/>
    <n v="1"/>
    <n v="-66"/>
    <n v="396"/>
  </r>
  <r>
    <x v="52"/>
    <s v="conventional_default_dq_wala_322"/>
    <x v="362"/>
    <n v="1.55958443692205"/>
    <n v="1"/>
    <n v="-66"/>
    <n v="396"/>
  </r>
  <r>
    <x v="52"/>
    <s v="conventional_default_dq_wala_323"/>
    <x v="363"/>
    <n v="1.5596294933389201"/>
    <n v="1"/>
    <n v="-66"/>
    <n v="396"/>
  </r>
  <r>
    <x v="52"/>
    <s v="conventional_default_dq_wala_324"/>
    <x v="364"/>
    <n v="1.5596762714292201"/>
    <n v="1"/>
    <n v="-66"/>
    <n v="396"/>
  </r>
  <r>
    <x v="52"/>
    <s v="conventional_default_dq_wala_325"/>
    <x v="365"/>
    <n v="1.5597248944944999"/>
    <n v="1"/>
    <n v="-66"/>
    <n v="396"/>
  </r>
  <r>
    <x v="52"/>
    <s v="conventional_default_dq_wala_326"/>
    <x v="366"/>
    <n v="1.55977548583631"/>
    <n v="1"/>
    <n v="-66"/>
    <n v="396"/>
  </r>
  <r>
    <x v="52"/>
    <s v="conventional_default_dq_wala_327"/>
    <x v="367"/>
    <n v="1.5598281687562101"/>
    <n v="1"/>
    <n v="-66"/>
    <n v="396"/>
  </r>
  <r>
    <x v="52"/>
    <s v="conventional_default_dq_wala_328"/>
    <x v="368"/>
    <n v="1.5598830665557599"/>
    <n v="1"/>
    <n v="-66"/>
    <n v="396"/>
  </r>
  <r>
    <x v="52"/>
    <s v="conventional_default_dq_wala_329"/>
    <x v="369"/>
    <n v="1.5599403025365"/>
    <n v="1"/>
    <n v="-66"/>
    <n v="396"/>
  </r>
  <r>
    <x v="52"/>
    <s v="conventional_default_dq_wala_330"/>
    <x v="370"/>
    <n v="1.56"/>
    <n v="1"/>
    <n v="-66"/>
    <n v="396"/>
  </r>
  <r>
    <x v="52"/>
    <s v="conventional_default_dq_wala_331"/>
    <x v="371"/>
    <n v="1.56006096930539"/>
    <n v="1"/>
    <n v="-66"/>
    <n v="396"/>
  </r>
  <r>
    <x v="52"/>
    <s v="conventional_default_dq_wala_332"/>
    <x v="372"/>
    <n v="1.5601219386107901"/>
    <n v="1"/>
    <n v="-66"/>
    <n v="396"/>
  </r>
  <r>
    <x v="52"/>
    <s v="conventional_default_dq_wala_333"/>
    <x v="373"/>
    <n v="1.56018290791618"/>
    <n v="1"/>
    <n v="-66"/>
    <n v="396"/>
  </r>
  <r>
    <x v="52"/>
    <s v="conventional_default_dq_wala_334"/>
    <x v="374"/>
    <n v="1.5602438772215801"/>
    <n v="1"/>
    <n v="-66"/>
    <n v="396"/>
  </r>
  <r>
    <x v="52"/>
    <s v="conventional_default_dq_wala_335"/>
    <x v="375"/>
    <n v="1.56030484652697"/>
    <n v="1"/>
    <n v="-66"/>
    <n v="396"/>
  </r>
  <r>
    <x v="52"/>
    <s v="conventional_default_dq_wala_336"/>
    <x v="376"/>
    <n v="1.5603658158323701"/>
    <n v="1"/>
    <n v="-66"/>
    <n v="396"/>
  </r>
  <r>
    <x v="52"/>
    <s v="conventional_default_dq_wala_337"/>
    <x v="377"/>
    <n v="1.56042678513776"/>
    <n v="1"/>
    <n v="-66"/>
    <n v="396"/>
  </r>
  <r>
    <x v="52"/>
    <s v="conventional_default_dq_wala_338"/>
    <x v="378"/>
    <n v="1.5604877544431499"/>
    <n v="1"/>
    <n v="-66"/>
    <n v="396"/>
  </r>
  <r>
    <x v="52"/>
    <s v="conventional_default_dq_wala_339"/>
    <x v="379"/>
    <n v="1.56054872374855"/>
    <n v="1"/>
    <n v="-66"/>
    <n v="396"/>
  </r>
  <r>
    <x v="52"/>
    <s v="conventional_default_dq_wala_340"/>
    <x v="380"/>
    <n v="1.5606096930539399"/>
    <n v="1"/>
    <n v="-66"/>
    <n v="396"/>
  </r>
  <r>
    <x v="52"/>
    <s v="conventional_default_dq_wala_341"/>
    <x v="381"/>
    <n v="1.56067066235934"/>
    <n v="1"/>
    <n v="-66"/>
    <n v="396"/>
  </r>
  <r>
    <x v="52"/>
    <s v="conventional_default_dq_wala_342"/>
    <x v="382"/>
    <n v="1.5607316316647299"/>
    <n v="1"/>
    <n v="-66"/>
    <n v="396"/>
  </r>
  <r>
    <x v="52"/>
    <s v="conventional_default_dq_wala_343"/>
    <x v="383"/>
    <n v="1.5607926009701301"/>
    <n v="1"/>
    <n v="-66"/>
    <n v="396"/>
  </r>
  <r>
    <x v="52"/>
    <s v="conventional_default_dq_wala_344"/>
    <x v="384"/>
    <n v="1.56085357027552"/>
    <n v="1"/>
    <n v="-66"/>
    <n v="396"/>
  </r>
  <r>
    <x v="52"/>
    <s v="conventional_default_dq_wala_345"/>
    <x v="385"/>
    <n v="1.5609145395809101"/>
    <n v="1"/>
    <n v="-66"/>
    <n v="396"/>
  </r>
  <r>
    <x v="52"/>
    <s v="conventional_default_dq_wala_346"/>
    <x v="386"/>
    <n v="1.56097550888631"/>
    <n v="1"/>
    <n v="-66"/>
    <n v="396"/>
  </r>
  <r>
    <x v="52"/>
    <s v="conventional_default_dq_wala_347"/>
    <x v="387"/>
    <n v="1.5610364781917001"/>
    <n v="1"/>
    <n v="-66"/>
    <n v="396"/>
  </r>
  <r>
    <x v="52"/>
    <s v="conventional_default_dq_wala_348"/>
    <x v="388"/>
    <n v="1.5610974474971"/>
    <n v="1"/>
    <n v="-66"/>
    <n v="396"/>
  </r>
  <r>
    <x v="52"/>
    <s v="conventional_default_dq_wala_349"/>
    <x v="389"/>
    <n v="1.5611584168024899"/>
    <n v="1"/>
    <n v="-66"/>
    <n v="396"/>
  </r>
  <r>
    <x v="52"/>
    <s v="conventional_default_dq_wala_350"/>
    <x v="390"/>
    <n v="1.56121938610789"/>
    <n v="1"/>
    <n v="-66"/>
    <n v="396"/>
  </r>
  <r>
    <x v="52"/>
    <s v="conventional_default_dq_wala_351"/>
    <x v="391"/>
    <n v="1.5612803554132799"/>
    <n v="1"/>
    <n v="-66"/>
    <n v="396"/>
  </r>
  <r>
    <x v="52"/>
    <s v="conventional_default_dq_wala_352"/>
    <x v="392"/>
    <n v="1.56134132471868"/>
    <n v="1"/>
    <n v="-66"/>
    <n v="396"/>
  </r>
  <r>
    <x v="52"/>
    <s v="conventional_default_dq_wala_353"/>
    <x v="393"/>
    <n v="1.5614022940240699"/>
    <n v="1"/>
    <n v="-66"/>
    <n v="396"/>
  </r>
  <r>
    <x v="52"/>
    <s v="conventional_default_dq_wala_354"/>
    <x v="394"/>
    <n v="1.5614632633294601"/>
    <n v="1"/>
    <n v="-66"/>
    <n v="396"/>
  </r>
  <r>
    <x v="52"/>
    <s v="conventional_default_dq_wala_355"/>
    <x v="395"/>
    <n v="1.56152423263486"/>
    <n v="1"/>
    <n v="-66"/>
    <n v="396"/>
  </r>
  <r>
    <x v="52"/>
    <s v="conventional_default_dq_wala_356"/>
    <x v="396"/>
    <n v="1.5615852019402501"/>
    <n v="1"/>
    <n v="-66"/>
    <n v="396"/>
  </r>
  <r>
    <x v="52"/>
    <s v="conventional_default_dq_wala_357"/>
    <x v="397"/>
    <n v="1.56164617124565"/>
    <n v="1"/>
    <n v="-66"/>
    <n v="396"/>
  </r>
  <r>
    <x v="52"/>
    <s v="conventional_default_dq_wala_358"/>
    <x v="398"/>
    <n v="1.5617071405510401"/>
    <n v="1"/>
    <n v="-66"/>
    <n v="396"/>
  </r>
  <r>
    <x v="52"/>
    <s v="conventional_default_dq_wala_359"/>
    <x v="399"/>
    <n v="1.56176810985644"/>
    <n v="1"/>
    <n v="-66"/>
    <n v="396"/>
  </r>
  <r>
    <x v="52"/>
    <s v="conventional_default_dq_wala_360"/>
    <x v="400"/>
    <n v="1.5618290791618299"/>
    <n v="1"/>
    <n v="-66"/>
    <n v="396"/>
  </r>
  <r>
    <x v="52"/>
    <s v="conventional_default_dq_wala_361"/>
    <x v="401"/>
    <n v="1.56189004846722"/>
    <n v="1"/>
    <n v="-66"/>
    <n v="396"/>
  </r>
  <r>
    <x v="52"/>
    <s v="conventional_default_dq_wala_362"/>
    <x v="402"/>
    <n v="1.5619510177726199"/>
    <n v="1"/>
    <n v="-66"/>
    <n v="396"/>
  </r>
  <r>
    <x v="52"/>
    <s v="conventional_default_dq_wala_363"/>
    <x v="403"/>
    <n v="1.56201198707801"/>
    <n v="1"/>
    <n v="-66"/>
    <n v="396"/>
  </r>
  <r>
    <x v="52"/>
    <s v="conventional_default_dq_wala_364"/>
    <x v="404"/>
    <n v="1.5620729563834099"/>
    <n v="1"/>
    <n v="-66"/>
    <n v="396"/>
  </r>
  <r>
    <x v="52"/>
    <s v="conventional_default_dq_wala_365"/>
    <x v="405"/>
    <n v="1.5621339256888001"/>
    <n v="1"/>
    <n v="-66"/>
    <n v="396"/>
  </r>
  <r>
    <x v="52"/>
    <s v="conventional_default_dq_wala_366"/>
    <x v="406"/>
    <n v="1.5621948949941999"/>
    <n v="1"/>
    <n v="-66"/>
    <n v="396"/>
  </r>
  <r>
    <x v="52"/>
    <s v="conventional_default_dq_wala_367"/>
    <x v="407"/>
    <n v="1.5622558642995901"/>
    <n v="1"/>
    <n v="-66"/>
    <n v="396"/>
  </r>
  <r>
    <x v="52"/>
    <s v="conventional_default_dq_wala_368"/>
    <x v="408"/>
    <n v="1.56231683360498"/>
    <n v="1"/>
    <n v="-66"/>
    <n v="396"/>
  </r>
  <r>
    <x v="52"/>
    <s v="conventional_default_dq_wala_369"/>
    <x v="409"/>
    <n v="1.5623778029103801"/>
    <n v="1"/>
    <n v="-66"/>
    <n v="396"/>
  </r>
  <r>
    <x v="52"/>
    <s v="conventional_default_dq_wala_370"/>
    <x v="410"/>
    <n v="1.56243877221577"/>
    <n v="1"/>
    <n v="-66"/>
    <n v="396"/>
  </r>
  <r>
    <x v="52"/>
    <s v="conventional_default_dq_wala_371"/>
    <x v="411"/>
    <n v="1.5624997415211701"/>
    <n v="1"/>
    <n v="-66"/>
    <n v="396"/>
  </r>
  <r>
    <x v="52"/>
    <s v="conventional_default_dq_wala_372"/>
    <x v="412"/>
    <n v="1.56256071082656"/>
    <n v="1"/>
    <n v="-66"/>
    <n v="396"/>
  </r>
  <r>
    <x v="52"/>
    <s v="conventional_default_dq_wala_373"/>
    <x v="413"/>
    <n v="1.5626216801319599"/>
    <n v="1"/>
    <n v="-66"/>
    <n v="396"/>
  </r>
  <r>
    <x v="52"/>
    <s v="conventional_default_dq_wala_374"/>
    <x v="414"/>
    <n v="1.56268264943735"/>
    <n v="1"/>
    <n v="-66"/>
    <n v="396"/>
  </r>
  <r>
    <x v="52"/>
    <s v="conventional_default_dq_wala_375"/>
    <x v="415"/>
    <n v="1.5627436187427499"/>
    <n v="1"/>
    <n v="-66"/>
    <n v="396"/>
  </r>
  <r>
    <x v="52"/>
    <s v="conventional_default_dq_wala_376"/>
    <x v="416"/>
    <n v="1.56280458804814"/>
    <n v="1"/>
    <n v="-66"/>
    <n v="396"/>
  </r>
  <r>
    <x v="52"/>
    <s v="conventional_default_dq_wala_377"/>
    <x v="417"/>
    <n v="1.5628655573535299"/>
    <n v="1"/>
    <n v="-66"/>
    <n v="396"/>
  </r>
  <r>
    <x v="52"/>
    <s v="conventional_default_dq_wala_378"/>
    <x v="418"/>
    <n v="1.5629265266589301"/>
    <n v="1"/>
    <n v="-66"/>
    <n v="396"/>
  </r>
  <r>
    <x v="52"/>
    <s v="conventional_default_dq_wala_379"/>
    <x v="419"/>
    <n v="1.56298749596432"/>
    <n v="1"/>
    <n v="-66"/>
    <n v="396"/>
  </r>
  <r>
    <x v="52"/>
    <s v="conventional_default_dq_wala_380"/>
    <x v="420"/>
    <n v="1.5630484652697201"/>
    <n v="1"/>
    <n v="-66"/>
    <n v="396"/>
  </r>
  <r>
    <x v="52"/>
    <s v="conventional_default_dq_wala_381"/>
    <x v="421"/>
    <n v="1.56310943457511"/>
    <n v="1"/>
    <n v="-66"/>
    <n v="396"/>
  </r>
  <r>
    <x v="52"/>
    <s v="conventional_default_dq_wala_382"/>
    <x v="422"/>
    <n v="1.5631704038805101"/>
    <n v="1"/>
    <n v="-66"/>
    <n v="396"/>
  </r>
  <r>
    <x v="52"/>
    <s v="conventional_default_dq_wala_383"/>
    <x v="423"/>
    <n v="1.5632313731859"/>
    <n v="1"/>
    <n v="-66"/>
    <n v="396"/>
  </r>
  <r>
    <x v="52"/>
    <s v="conventional_default_dq_wala_384"/>
    <x v="424"/>
    <n v="1.5632923424912899"/>
    <n v="1"/>
    <n v="-66"/>
    <n v="396"/>
  </r>
  <r>
    <x v="52"/>
    <s v="conventional_default_dq_wala_385"/>
    <x v="425"/>
    <n v="1.56335331179669"/>
    <n v="1"/>
    <n v="-66"/>
    <n v="396"/>
  </r>
  <r>
    <x v="52"/>
    <s v="conventional_default_dq_wala_386"/>
    <x v="426"/>
    <n v="1.5634142811020799"/>
    <n v="1"/>
    <n v="-66"/>
    <n v="396"/>
  </r>
  <r>
    <x v="52"/>
    <s v="conventional_default_dq_wala_387"/>
    <x v="427"/>
    <n v="1.56347525040748"/>
    <n v="1"/>
    <n v="-66"/>
    <n v="396"/>
  </r>
  <r>
    <x v="52"/>
    <s v="conventional_default_dq_wala_388"/>
    <x v="428"/>
    <n v="1.5635362197128699"/>
    <n v="1"/>
    <n v="-66"/>
    <n v="396"/>
  </r>
  <r>
    <x v="52"/>
    <s v="conventional_default_dq_wala_389"/>
    <x v="429"/>
    <n v="1.5635971890182701"/>
    <n v="1"/>
    <n v="-66"/>
    <n v="396"/>
  </r>
  <r>
    <x v="52"/>
    <s v="conventional_default_dq_wala_390"/>
    <x v="430"/>
    <n v="1.56365815832366"/>
    <n v="1"/>
    <n v="-66"/>
    <n v="396"/>
  </r>
  <r>
    <x v="52"/>
    <s v="conventional_default_dq_wala_391"/>
    <x v="431"/>
    <n v="1.5637191276290501"/>
    <n v="1"/>
    <n v="-66"/>
    <n v="396"/>
  </r>
  <r>
    <x v="52"/>
    <s v="conventional_default_dq_wala_392"/>
    <x v="432"/>
    <n v="1.56378009693445"/>
    <n v="1"/>
    <n v="-66"/>
    <n v="396"/>
  </r>
  <r>
    <x v="52"/>
    <s v="conventional_default_dq_wala_393"/>
    <x v="433"/>
    <n v="1.5638410662398401"/>
    <n v="1"/>
    <n v="-66"/>
    <n v="396"/>
  </r>
  <r>
    <x v="52"/>
    <s v="conventional_default_dq_wala_394"/>
    <x v="434"/>
    <n v="1.56390203554524"/>
    <n v="1"/>
    <n v="-66"/>
    <n v="396"/>
  </r>
  <r>
    <x v="52"/>
    <s v="conventional_default_dq_wala_395"/>
    <x v="435"/>
    <n v="1.5639630048506299"/>
    <n v="1"/>
    <n v="-66"/>
    <n v="396"/>
  </r>
  <r>
    <x v="52"/>
    <s v="conventional_default_dq_wala_396"/>
    <x v="436"/>
    <n v="1.56402397415603"/>
    <n v="1"/>
    <n v="-66"/>
    <n v="396"/>
  </r>
  <r>
    <x v="53"/>
    <s v="conventional_default_dq_monthsSince_-24"/>
    <x v="16"/>
    <n v="4.45"/>
    <n v="1"/>
    <n v="-24"/>
    <n v="144"/>
  </r>
  <r>
    <x v="53"/>
    <s v="conventional_default_dq_monthsSince_-23"/>
    <x v="17"/>
    <n v="4.32"/>
    <n v="1"/>
    <n v="-24"/>
    <n v="144"/>
  </r>
  <r>
    <x v="53"/>
    <s v="conventional_default_dq_monthsSince_-22"/>
    <x v="18"/>
    <n v="4.1900000000000004"/>
    <n v="1"/>
    <n v="-24"/>
    <n v="144"/>
  </r>
  <r>
    <x v="53"/>
    <s v="conventional_default_dq_monthsSince_-21"/>
    <x v="19"/>
    <n v="4.0599999999999996"/>
    <n v="1"/>
    <n v="-24"/>
    <n v="144"/>
  </r>
  <r>
    <x v="53"/>
    <s v="conventional_default_dq_monthsSince_-20"/>
    <x v="20"/>
    <n v="3.93"/>
    <n v="1"/>
    <n v="-24"/>
    <n v="144"/>
  </r>
  <r>
    <x v="53"/>
    <s v="conventional_default_dq_monthsSince_-19"/>
    <x v="21"/>
    <n v="3.8"/>
    <n v="1"/>
    <n v="-24"/>
    <n v="144"/>
  </r>
  <r>
    <x v="53"/>
    <s v="conventional_default_dq_monthsSince_-18"/>
    <x v="22"/>
    <n v="3.67"/>
    <n v="1"/>
    <n v="-24"/>
    <n v="144"/>
  </r>
  <r>
    <x v="53"/>
    <s v="conventional_default_dq_monthsSince_-17"/>
    <x v="23"/>
    <n v="3.54"/>
    <n v="1"/>
    <n v="-24"/>
    <n v="144"/>
  </r>
  <r>
    <x v="53"/>
    <s v="conventional_default_dq_monthsSince_-16"/>
    <x v="24"/>
    <n v="3.41"/>
    <n v="1"/>
    <n v="-24"/>
    <n v="144"/>
  </r>
  <r>
    <x v="53"/>
    <s v="conventional_default_dq_monthsSince_-15"/>
    <x v="25"/>
    <n v="3.28"/>
    <n v="1"/>
    <n v="-24"/>
    <n v="144"/>
  </r>
  <r>
    <x v="53"/>
    <s v="conventional_default_dq_monthsSince_-14"/>
    <x v="26"/>
    <n v="3.15"/>
    <n v="1"/>
    <n v="-24"/>
    <n v="144"/>
  </r>
  <r>
    <x v="53"/>
    <s v="conventional_default_dq_monthsSince_-13"/>
    <x v="27"/>
    <n v="3.02"/>
    <n v="1"/>
    <n v="-24"/>
    <n v="144"/>
  </r>
  <r>
    <x v="53"/>
    <s v="conventional_default_dq_monthsSince_-12"/>
    <x v="28"/>
    <n v="2.89"/>
    <n v="1"/>
    <n v="-24"/>
    <n v="144"/>
  </r>
  <r>
    <x v="53"/>
    <s v="conventional_default_dq_monthsSince_-11"/>
    <x v="29"/>
    <n v="2.76"/>
    <n v="1"/>
    <n v="-24"/>
    <n v="144"/>
  </r>
  <r>
    <x v="53"/>
    <s v="conventional_default_dq_monthsSince_-10"/>
    <x v="30"/>
    <n v="2.63"/>
    <n v="1"/>
    <n v="-24"/>
    <n v="144"/>
  </r>
  <r>
    <x v="53"/>
    <s v="conventional_default_dq_monthsSince_-9"/>
    <x v="31"/>
    <n v="2.5"/>
    <n v="1"/>
    <n v="-24"/>
    <n v="144"/>
  </r>
  <r>
    <x v="53"/>
    <s v="conventional_default_dq_monthsSince_-8"/>
    <x v="32"/>
    <n v="2.37"/>
    <n v="1"/>
    <n v="-24"/>
    <n v="144"/>
  </r>
  <r>
    <x v="53"/>
    <s v="conventional_default_dq_monthsSince_-7"/>
    <x v="33"/>
    <n v="2.2400000000000002"/>
    <n v="1"/>
    <n v="-24"/>
    <n v="144"/>
  </r>
  <r>
    <x v="53"/>
    <s v="conventional_default_dq_monthsSince_-6"/>
    <x v="34"/>
    <n v="2.11"/>
    <n v="1"/>
    <n v="-24"/>
    <n v="144"/>
  </r>
  <r>
    <x v="53"/>
    <s v="conventional_default_dq_monthsSince_-5"/>
    <x v="35"/>
    <n v="1.98"/>
    <n v="1"/>
    <n v="-24"/>
    <n v="144"/>
  </r>
  <r>
    <x v="53"/>
    <s v="conventional_default_dq_monthsSince_-4"/>
    <x v="36"/>
    <n v="1.85"/>
    <n v="1"/>
    <n v="-24"/>
    <n v="144"/>
  </r>
  <r>
    <x v="53"/>
    <s v="conventional_default_dq_monthsSince_-3"/>
    <x v="37"/>
    <n v="1.72"/>
    <n v="1"/>
    <n v="-24"/>
    <n v="144"/>
  </r>
  <r>
    <x v="53"/>
    <s v="conventional_default_dq_monthsSince_-2"/>
    <x v="38"/>
    <n v="1.59"/>
    <n v="1"/>
    <n v="-24"/>
    <n v="144"/>
  </r>
  <r>
    <x v="53"/>
    <s v="conventional_default_dq_monthsSince_-1"/>
    <x v="39"/>
    <n v="1.46"/>
    <n v="1"/>
    <n v="-24"/>
    <n v="144"/>
  </r>
  <r>
    <x v="53"/>
    <s v="conventional_default_dq_monthsSince_0"/>
    <x v="40"/>
    <n v="1.33"/>
    <n v="1"/>
    <n v="-24"/>
    <n v="144"/>
  </r>
  <r>
    <x v="53"/>
    <s v="conventional_default_dq_monthsSince_1"/>
    <x v="41"/>
    <n v="1.18194444444444"/>
    <n v="1"/>
    <n v="-24"/>
    <n v="144"/>
  </r>
  <r>
    <x v="53"/>
    <s v="conventional_default_dq_monthsSince_2"/>
    <x v="42"/>
    <n v="1.0122222222222199"/>
    <n v="1"/>
    <n v="-24"/>
    <n v="144"/>
  </r>
  <r>
    <x v="53"/>
    <s v="conventional_default_dq_monthsSince_3"/>
    <x v="43"/>
    <n v="0.84250000000000003"/>
    <n v="1"/>
    <n v="-24"/>
    <n v="144"/>
  </r>
  <r>
    <x v="53"/>
    <s v="conventional_default_dq_monthsSince_4"/>
    <x v="44"/>
    <n v="0.69444444444444497"/>
    <n v="1"/>
    <n v="-24"/>
    <n v="144"/>
  </r>
  <r>
    <x v="53"/>
    <s v="conventional_default_dq_monthsSince_5"/>
    <x v="45"/>
    <n v="0.58972222222222204"/>
    <n v="1"/>
    <n v="-24"/>
    <n v="144"/>
  </r>
  <r>
    <x v="53"/>
    <s v="conventional_default_dq_monthsSince_6"/>
    <x v="46"/>
    <n v="0.55000000000000004"/>
    <n v="1"/>
    <n v="-24"/>
    <n v="144"/>
  </r>
  <r>
    <x v="53"/>
    <s v="conventional_default_dq_monthsSince_7"/>
    <x v="47"/>
    <n v="0.55000000000000004"/>
    <n v="1"/>
    <n v="-24"/>
    <n v="144"/>
  </r>
  <r>
    <x v="53"/>
    <s v="conventional_default_dq_monthsSince_8"/>
    <x v="48"/>
    <n v="0.55000000000000004"/>
    <n v="1"/>
    <n v="-24"/>
    <n v="144"/>
  </r>
  <r>
    <x v="53"/>
    <s v="conventional_default_dq_monthsSince_9"/>
    <x v="49"/>
    <n v="0.55000000000000004"/>
    <n v="1"/>
    <n v="-24"/>
    <n v="144"/>
  </r>
  <r>
    <x v="53"/>
    <s v="conventional_default_dq_monthsSince_10"/>
    <x v="50"/>
    <n v="0.55000000000000004"/>
    <n v="1"/>
    <n v="-24"/>
    <n v="144"/>
  </r>
  <r>
    <x v="53"/>
    <s v="conventional_default_dq_monthsSince_11"/>
    <x v="51"/>
    <n v="0.55000000000000004"/>
    <n v="1"/>
    <n v="-24"/>
    <n v="144"/>
  </r>
  <r>
    <x v="53"/>
    <s v="conventional_default_dq_monthsSince_12"/>
    <x v="52"/>
    <n v="0.55000000000000004"/>
    <n v="1"/>
    <n v="-24"/>
    <n v="144"/>
  </r>
  <r>
    <x v="53"/>
    <s v="conventional_default_dq_monthsSince_13"/>
    <x v="53"/>
    <n v="0.55000000000000004"/>
    <n v="1"/>
    <n v="-24"/>
    <n v="144"/>
  </r>
  <r>
    <x v="53"/>
    <s v="conventional_default_dq_monthsSince_14"/>
    <x v="54"/>
    <n v="0.55000000000000004"/>
    <n v="1"/>
    <n v="-24"/>
    <n v="144"/>
  </r>
  <r>
    <x v="53"/>
    <s v="conventional_default_dq_monthsSince_15"/>
    <x v="55"/>
    <n v="0.55000000000000004"/>
    <n v="1"/>
    <n v="-24"/>
    <n v="144"/>
  </r>
  <r>
    <x v="53"/>
    <s v="conventional_default_dq_monthsSince_16"/>
    <x v="56"/>
    <n v="0.55000000000000004"/>
    <n v="1"/>
    <n v="-24"/>
    <n v="144"/>
  </r>
  <r>
    <x v="53"/>
    <s v="conventional_default_dq_monthsSince_17"/>
    <x v="57"/>
    <n v="0.55000000000000004"/>
    <n v="1"/>
    <n v="-24"/>
    <n v="144"/>
  </r>
  <r>
    <x v="53"/>
    <s v="conventional_default_dq_monthsSince_18"/>
    <x v="58"/>
    <n v="0.55000000000000004"/>
    <n v="1"/>
    <n v="-24"/>
    <n v="144"/>
  </r>
  <r>
    <x v="53"/>
    <s v="conventional_default_dq_monthsSince_19"/>
    <x v="59"/>
    <n v="0.55000000000000004"/>
    <n v="1"/>
    <n v="-24"/>
    <n v="144"/>
  </r>
  <r>
    <x v="53"/>
    <s v="conventional_default_dq_monthsSince_20"/>
    <x v="60"/>
    <n v="0.55000000000000004"/>
    <n v="1"/>
    <n v="-24"/>
    <n v="144"/>
  </r>
  <r>
    <x v="53"/>
    <s v="conventional_default_dq_monthsSince_21"/>
    <x v="61"/>
    <n v="0.55000000000000004"/>
    <n v="1"/>
    <n v="-24"/>
    <n v="144"/>
  </r>
  <r>
    <x v="53"/>
    <s v="conventional_default_dq_monthsSince_22"/>
    <x v="62"/>
    <n v="0.55000000000000004"/>
    <n v="1"/>
    <n v="-24"/>
    <n v="144"/>
  </r>
  <r>
    <x v="53"/>
    <s v="conventional_default_dq_monthsSince_23"/>
    <x v="63"/>
    <n v="0.55000000000000004"/>
    <n v="1"/>
    <n v="-24"/>
    <n v="144"/>
  </r>
  <r>
    <x v="53"/>
    <s v="conventional_default_dq_monthsSince_24"/>
    <x v="64"/>
    <n v="0.55000000000000004"/>
    <n v="1"/>
    <n v="-24"/>
    <n v="144"/>
  </r>
  <r>
    <x v="53"/>
    <s v="conventional_default_dq_monthsSince_25"/>
    <x v="65"/>
    <n v="0.55000000000000004"/>
    <n v="1"/>
    <n v="-24"/>
    <n v="144"/>
  </r>
  <r>
    <x v="53"/>
    <s v="conventional_default_dq_monthsSince_26"/>
    <x v="66"/>
    <n v="0.55000000000000004"/>
    <n v="1"/>
    <n v="-24"/>
    <n v="144"/>
  </r>
  <r>
    <x v="53"/>
    <s v="conventional_default_dq_monthsSince_27"/>
    <x v="67"/>
    <n v="0.55000000000000004"/>
    <n v="1"/>
    <n v="-24"/>
    <n v="144"/>
  </r>
  <r>
    <x v="53"/>
    <s v="conventional_default_dq_monthsSince_28"/>
    <x v="68"/>
    <n v="0.55000000000000004"/>
    <n v="1"/>
    <n v="-24"/>
    <n v="144"/>
  </r>
  <r>
    <x v="53"/>
    <s v="conventional_default_dq_monthsSince_29"/>
    <x v="69"/>
    <n v="0.55000000000000004"/>
    <n v="1"/>
    <n v="-24"/>
    <n v="144"/>
  </r>
  <r>
    <x v="53"/>
    <s v="conventional_default_dq_monthsSince_30"/>
    <x v="70"/>
    <n v="0.55000000000000004"/>
    <n v="1"/>
    <n v="-24"/>
    <n v="144"/>
  </r>
  <r>
    <x v="53"/>
    <s v="conventional_default_dq_monthsSince_31"/>
    <x v="71"/>
    <n v="0.55000000000000004"/>
    <n v="1"/>
    <n v="-24"/>
    <n v="144"/>
  </r>
  <r>
    <x v="53"/>
    <s v="conventional_default_dq_monthsSince_32"/>
    <x v="72"/>
    <n v="0.55000000000000004"/>
    <n v="1"/>
    <n v="-24"/>
    <n v="144"/>
  </r>
  <r>
    <x v="53"/>
    <s v="conventional_default_dq_monthsSince_33"/>
    <x v="73"/>
    <n v="0.55000000000000004"/>
    <n v="1"/>
    <n v="-24"/>
    <n v="144"/>
  </r>
  <r>
    <x v="53"/>
    <s v="conventional_default_dq_monthsSince_34"/>
    <x v="74"/>
    <n v="0.55000000000000004"/>
    <n v="1"/>
    <n v="-24"/>
    <n v="144"/>
  </r>
  <r>
    <x v="53"/>
    <s v="conventional_default_dq_monthsSince_35"/>
    <x v="75"/>
    <n v="0.55000000000000004"/>
    <n v="1"/>
    <n v="-24"/>
    <n v="144"/>
  </r>
  <r>
    <x v="53"/>
    <s v="conventional_default_dq_monthsSince_36"/>
    <x v="76"/>
    <n v="0.55000000000000004"/>
    <n v="1"/>
    <n v="-24"/>
    <n v="144"/>
  </r>
  <r>
    <x v="53"/>
    <s v="conventional_default_dq_monthsSince_37"/>
    <x v="77"/>
    <n v="0.55000000000000004"/>
    <n v="1"/>
    <n v="-24"/>
    <n v="144"/>
  </r>
  <r>
    <x v="53"/>
    <s v="conventional_default_dq_monthsSince_38"/>
    <x v="78"/>
    <n v="0.55000000000000004"/>
    <n v="1"/>
    <n v="-24"/>
    <n v="144"/>
  </r>
  <r>
    <x v="53"/>
    <s v="conventional_default_dq_monthsSince_39"/>
    <x v="79"/>
    <n v="0.55000000000000004"/>
    <n v="1"/>
    <n v="-24"/>
    <n v="144"/>
  </r>
  <r>
    <x v="53"/>
    <s v="conventional_default_dq_monthsSince_40"/>
    <x v="80"/>
    <n v="0.55000000000000004"/>
    <n v="1"/>
    <n v="-24"/>
    <n v="144"/>
  </r>
  <r>
    <x v="53"/>
    <s v="conventional_default_dq_monthsSince_41"/>
    <x v="81"/>
    <n v="0.55000000000000004"/>
    <n v="1"/>
    <n v="-24"/>
    <n v="144"/>
  </r>
  <r>
    <x v="53"/>
    <s v="conventional_default_dq_monthsSince_42"/>
    <x v="82"/>
    <n v="0.55000000000000004"/>
    <n v="1"/>
    <n v="-24"/>
    <n v="144"/>
  </r>
  <r>
    <x v="53"/>
    <s v="conventional_default_dq_monthsSince_43"/>
    <x v="83"/>
    <n v="0.55000000000000004"/>
    <n v="1"/>
    <n v="-24"/>
    <n v="144"/>
  </r>
  <r>
    <x v="53"/>
    <s v="conventional_default_dq_monthsSince_44"/>
    <x v="84"/>
    <n v="0.55000000000000004"/>
    <n v="1"/>
    <n v="-24"/>
    <n v="144"/>
  </r>
  <r>
    <x v="53"/>
    <s v="conventional_default_dq_monthsSince_45"/>
    <x v="85"/>
    <n v="0.55000000000000004"/>
    <n v="1"/>
    <n v="-24"/>
    <n v="144"/>
  </r>
  <r>
    <x v="53"/>
    <s v="conventional_default_dq_monthsSince_46"/>
    <x v="86"/>
    <n v="0.55000000000000004"/>
    <n v="1"/>
    <n v="-24"/>
    <n v="144"/>
  </r>
  <r>
    <x v="53"/>
    <s v="conventional_default_dq_monthsSince_47"/>
    <x v="87"/>
    <n v="0.55000000000000004"/>
    <n v="1"/>
    <n v="-24"/>
    <n v="144"/>
  </r>
  <r>
    <x v="53"/>
    <s v="conventional_default_dq_monthsSince_48"/>
    <x v="88"/>
    <n v="0.55000000000000004"/>
    <n v="1"/>
    <n v="-24"/>
    <n v="144"/>
  </r>
  <r>
    <x v="53"/>
    <s v="conventional_default_dq_monthsSince_49"/>
    <x v="89"/>
    <n v="0.55000000000000004"/>
    <n v="1"/>
    <n v="-24"/>
    <n v="144"/>
  </r>
  <r>
    <x v="53"/>
    <s v="conventional_default_dq_monthsSince_50"/>
    <x v="90"/>
    <n v="0.55000000000000004"/>
    <n v="1"/>
    <n v="-24"/>
    <n v="144"/>
  </r>
  <r>
    <x v="53"/>
    <s v="conventional_default_dq_monthsSince_51"/>
    <x v="91"/>
    <n v="0.55000000000000004"/>
    <n v="1"/>
    <n v="-24"/>
    <n v="144"/>
  </r>
  <r>
    <x v="53"/>
    <s v="conventional_default_dq_monthsSince_52"/>
    <x v="92"/>
    <n v="0.55000000000000004"/>
    <n v="1"/>
    <n v="-24"/>
    <n v="144"/>
  </r>
  <r>
    <x v="53"/>
    <s v="conventional_default_dq_monthsSince_53"/>
    <x v="93"/>
    <n v="0.55000000000000004"/>
    <n v="1"/>
    <n v="-24"/>
    <n v="144"/>
  </r>
  <r>
    <x v="53"/>
    <s v="conventional_default_dq_monthsSince_54"/>
    <x v="94"/>
    <n v="0.55000000000000004"/>
    <n v="1"/>
    <n v="-24"/>
    <n v="144"/>
  </r>
  <r>
    <x v="53"/>
    <s v="conventional_default_dq_monthsSince_55"/>
    <x v="95"/>
    <n v="0.55000000000000004"/>
    <n v="1"/>
    <n v="-24"/>
    <n v="144"/>
  </r>
  <r>
    <x v="53"/>
    <s v="conventional_default_dq_monthsSince_56"/>
    <x v="96"/>
    <n v="0.55000000000000004"/>
    <n v="1"/>
    <n v="-24"/>
    <n v="144"/>
  </r>
  <r>
    <x v="53"/>
    <s v="conventional_default_dq_monthsSince_57"/>
    <x v="97"/>
    <n v="0.55000000000000004"/>
    <n v="1"/>
    <n v="-24"/>
    <n v="144"/>
  </r>
  <r>
    <x v="53"/>
    <s v="conventional_default_dq_monthsSince_58"/>
    <x v="98"/>
    <n v="0.55000000000000004"/>
    <n v="1"/>
    <n v="-24"/>
    <n v="144"/>
  </r>
  <r>
    <x v="53"/>
    <s v="conventional_default_dq_monthsSince_59"/>
    <x v="99"/>
    <n v="0.55000000000000004"/>
    <n v="1"/>
    <n v="-24"/>
    <n v="144"/>
  </r>
  <r>
    <x v="53"/>
    <s v="conventional_default_dq_monthsSince_60"/>
    <x v="100"/>
    <n v="0.55000000000000004"/>
    <n v="1"/>
    <n v="-24"/>
    <n v="144"/>
  </r>
  <r>
    <x v="53"/>
    <s v="conventional_default_dq_monthsSince_61"/>
    <x v="101"/>
    <n v="0.55000000000000004"/>
    <n v="1"/>
    <n v="-24"/>
    <n v="144"/>
  </r>
  <r>
    <x v="53"/>
    <s v="conventional_default_dq_monthsSince_62"/>
    <x v="102"/>
    <n v="0.55000000000000004"/>
    <n v="1"/>
    <n v="-24"/>
    <n v="144"/>
  </r>
  <r>
    <x v="53"/>
    <s v="conventional_default_dq_monthsSince_63"/>
    <x v="103"/>
    <n v="0.55000000000000004"/>
    <n v="1"/>
    <n v="-24"/>
    <n v="144"/>
  </r>
  <r>
    <x v="53"/>
    <s v="conventional_default_dq_monthsSince_64"/>
    <x v="104"/>
    <n v="0.55000000000000004"/>
    <n v="1"/>
    <n v="-24"/>
    <n v="144"/>
  </r>
  <r>
    <x v="53"/>
    <s v="conventional_default_dq_monthsSince_65"/>
    <x v="105"/>
    <n v="0.55000000000000004"/>
    <n v="1"/>
    <n v="-24"/>
    <n v="144"/>
  </r>
  <r>
    <x v="53"/>
    <s v="conventional_default_dq_monthsSince_66"/>
    <x v="106"/>
    <n v="0.55000000000000004"/>
    <n v="1"/>
    <n v="-24"/>
    <n v="144"/>
  </r>
  <r>
    <x v="53"/>
    <s v="conventional_default_dq_monthsSince_67"/>
    <x v="107"/>
    <n v="0.55000000000000004"/>
    <n v="1"/>
    <n v="-24"/>
    <n v="144"/>
  </r>
  <r>
    <x v="53"/>
    <s v="conventional_default_dq_monthsSince_68"/>
    <x v="108"/>
    <n v="0.55000000000000004"/>
    <n v="1"/>
    <n v="-24"/>
    <n v="144"/>
  </r>
  <r>
    <x v="53"/>
    <s v="conventional_default_dq_monthsSince_69"/>
    <x v="109"/>
    <n v="0.55000000000000004"/>
    <n v="1"/>
    <n v="-24"/>
    <n v="144"/>
  </r>
  <r>
    <x v="53"/>
    <s v="conventional_default_dq_monthsSince_70"/>
    <x v="110"/>
    <n v="0.55000000000000004"/>
    <n v="1"/>
    <n v="-24"/>
    <n v="144"/>
  </r>
  <r>
    <x v="53"/>
    <s v="conventional_default_dq_monthsSince_71"/>
    <x v="111"/>
    <n v="0.55000000000000004"/>
    <n v="1"/>
    <n v="-24"/>
    <n v="144"/>
  </r>
  <r>
    <x v="53"/>
    <s v="conventional_default_dq_monthsSince_72"/>
    <x v="112"/>
    <n v="0.55000000000000004"/>
    <n v="1"/>
    <n v="-24"/>
    <n v="144"/>
  </r>
  <r>
    <x v="53"/>
    <s v="conventional_default_dq_monthsSince_73"/>
    <x v="113"/>
    <n v="0.55000000000000004"/>
    <n v="1"/>
    <n v="-24"/>
    <n v="144"/>
  </r>
  <r>
    <x v="53"/>
    <s v="conventional_default_dq_monthsSince_74"/>
    <x v="114"/>
    <n v="0.55000000000000004"/>
    <n v="1"/>
    <n v="-24"/>
    <n v="144"/>
  </r>
  <r>
    <x v="53"/>
    <s v="conventional_default_dq_monthsSince_75"/>
    <x v="115"/>
    <n v="0.55000000000000004"/>
    <n v="1"/>
    <n v="-24"/>
    <n v="144"/>
  </r>
  <r>
    <x v="53"/>
    <s v="conventional_default_dq_monthsSince_76"/>
    <x v="116"/>
    <n v="0.55000000000000004"/>
    <n v="1"/>
    <n v="-24"/>
    <n v="144"/>
  </r>
  <r>
    <x v="53"/>
    <s v="conventional_default_dq_monthsSince_77"/>
    <x v="117"/>
    <n v="0.55000000000000004"/>
    <n v="1"/>
    <n v="-24"/>
    <n v="144"/>
  </r>
  <r>
    <x v="53"/>
    <s v="conventional_default_dq_monthsSince_78"/>
    <x v="118"/>
    <n v="0.55000000000000004"/>
    <n v="1"/>
    <n v="-24"/>
    <n v="144"/>
  </r>
  <r>
    <x v="53"/>
    <s v="conventional_default_dq_monthsSince_79"/>
    <x v="119"/>
    <n v="0.55000000000000004"/>
    <n v="1"/>
    <n v="-24"/>
    <n v="144"/>
  </r>
  <r>
    <x v="53"/>
    <s v="conventional_default_dq_monthsSince_80"/>
    <x v="120"/>
    <n v="0.55000000000000004"/>
    <n v="1"/>
    <n v="-24"/>
    <n v="144"/>
  </r>
  <r>
    <x v="53"/>
    <s v="conventional_default_dq_monthsSince_81"/>
    <x v="121"/>
    <n v="0.55000000000000004"/>
    <n v="1"/>
    <n v="-24"/>
    <n v="144"/>
  </r>
  <r>
    <x v="53"/>
    <s v="conventional_default_dq_monthsSince_82"/>
    <x v="122"/>
    <n v="0.55000000000000004"/>
    <n v="1"/>
    <n v="-24"/>
    <n v="144"/>
  </r>
  <r>
    <x v="53"/>
    <s v="conventional_default_dq_monthsSince_83"/>
    <x v="123"/>
    <n v="0.55000000000000004"/>
    <n v="1"/>
    <n v="-24"/>
    <n v="144"/>
  </r>
  <r>
    <x v="53"/>
    <s v="conventional_default_dq_monthsSince_84"/>
    <x v="124"/>
    <n v="0.55000000000000004"/>
    <n v="1"/>
    <n v="-24"/>
    <n v="144"/>
  </r>
  <r>
    <x v="53"/>
    <s v="conventional_default_dq_monthsSince_85"/>
    <x v="125"/>
    <n v="0.55000000000000004"/>
    <n v="1"/>
    <n v="-24"/>
    <n v="144"/>
  </r>
  <r>
    <x v="53"/>
    <s v="conventional_default_dq_monthsSince_86"/>
    <x v="126"/>
    <n v="0.55000000000000004"/>
    <n v="1"/>
    <n v="-24"/>
    <n v="144"/>
  </r>
  <r>
    <x v="53"/>
    <s v="conventional_default_dq_monthsSince_87"/>
    <x v="127"/>
    <n v="0.55000000000000004"/>
    <n v="1"/>
    <n v="-24"/>
    <n v="144"/>
  </r>
  <r>
    <x v="53"/>
    <s v="conventional_default_dq_monthsSince_88"/>
    <x v="128"/>
    <n v="0.55000000000000004"/>
    <n v="1"/>
    <n v="-24"/>
    <n v="144"/>
  </r>
  <r>
    <x v="53"/>
    <s v="conventional_default_dq_monthsSince_89"/>
    <x v="129"/>
    <n v="0.55000000000000004"/>
    <n v="1"/>
    <n v="-24"/>
    <n v="144"/>
  </r>
  <r>
    <x v="53"/>
    <s v="conventional_default_dq_monthsSince_90"/>
    <x v="130"/>
    <n v="0.55000000000000004"/>
    <n v="1"/>
    <n v="-24"/>
    <n v="144"/>
  </r>
  <r>
    <x v="53"/>
    <s v="conventional_default_dq_monthsSince_91"/>
    <x v="131"/>
    <n v="0.55000000000000004"/>
    <n v="1"/>
    <n v="-24"/>
    <n v="144"/>
  </r>
  <r>
    <x v="53"/>
    <s v="conventional_default_dq_monthsSince_92"/>
    <x v="132"/>
    <n v="0.55000000000000004"/>
    <n v="1"/>
    <n v="-24"/>
    <n v="144"/>
  </r>
  <r>
    <x v="53"/>
    <s v="conventional_default_dq_monthsSince_93"/>
    <x v="133"/>
    <n v="0.55000000000000004"/>
    <n v="1"/>
    <n v="-24"/>
    <n v="144"/>
  </r>
  <r>
    <x v="53"/>
    <s v="conventional_default_dq_monthsSince_94"/>
    <x v="134"/>
    <n v="0.55000000000000004"/>
    <n v="1"/>
    <n v="-24"/>
    <n v="144"/>
  </r>
  <r>
    <x v="53"/>
    <s v="conventional_default_dq_monthsSince_95"/>
    <x v="135"/>
    <n v="0.55000000000000004"/>
    <n v="1"/>
    <n v="-24"/>
    <n v="144"/>
  </r>
  <r>
    <x v="53"/>
    <s v="conventional_default_dq_monthsSince_96"/>
    <x v="136"/>
    <n v="0.55000000000000004"/>
    <n v="1"/>
    <n v="-24"/>
    <n v="144"/>
  </r>
  <r>
    <x v="53"/>
    <s v="conventional_default_dq_monthsSince_97"/>
    <x v="137"/>
    <n v="0.55000000000000004"/>
    <n v="1"/>
    <n v="-24"/>
    <n v="144"/>
  </r>
  <r>
    <x v="53"/>
    <s v="conventional_default_dq_monthsSince_98"/>
    <x v="138"/>
    <n v="0.55000000000000004"/>
    <n v="1"/>
    <n v="-24"/>
    <n v="144"/>
  </r>
  <r>
    <x v="53"/>
    <s v="conventional_default_dq_monthsSince_99"/>
    <x v="139"/>
    <n v="0.55000000000000004"/>
    <n v="1"/>
    <n v="-24"/>
    <n v="144"/>
  </r>
  <r>
    <x v="53"/>
    <s v="conventional_default_dq_monthsSince_100"/>
    <x v="140"/>
    <n v="0.55000000000000004"/>
    <n v="1"/>
    <n v="-24"/>
    <n v="144"/>
  </r>
  <r>
    <x v="53"/>
    <s v="conventional_default_dq_monthsSince_101"/>
    <x v="141"/>
    <n v="0.55000000000000004"/>
    <n v="1"/>
    <n v="-24"/>
    <n v="144"/>
  </r>
  <r>
    <x v="53"/>
    <s v="conventional_default_dq_monthsSince_102"/>
    <x v="142"/>
    <n v="0.55000000000000004"/>
    <n v="1"/>
    <n v="-24"/>
    <n v="144"/>
  </r>
  <r>
    <x v="53"/>
    <s v="conventional_default_dq_monthsSince_103"/>
    <x v="143"/>
    <n v="0.55000000000000004"/>
    <n v="1"/>
    <n v="-24"/>
    <n v="144"/>
  </r>
  <r>
    <x v="53"/>
    <s v="conventional_default_dq_monthsSince_104"/>
    <x v="144"/>
    <n v="0.55000000000000004"/>
    <n v="1"/>
    <n v="-24"/>
    <n v="144"/>
  </r>
  <r>
    <x v="53"/>
    <s v="conventional_default_dq_monthsSince_105"/>
    <x v="145"/>
    <n v="0.55000000000000004"/>
    <n v="1"/>
    <n v="-24"/>
    <n v="144"/>
  </r>
  <r>
    <x v="53"/>
    <s v="conventional_default_dq_monthsSince_106"/>
    <x v="146"/>
    <n v="0.55000000000000004"/>
    <n v="1"/>
    <n v="-24"/>
    <n v="144"/>
  </r>
  <r>
    <x v="53"/>
    <s v="conventional_default_dq_monthsSince_107"/>
    <x v="147"/>
    <n v="0.55000000000000004"/>
    <n v="1"/>
    <n v="-24"/>
    <n v="144"/>
  </r>
  <r>
    <x v="53"/>
    <s v="conventional_default_dq_monthsSince_108"/>
    <x v="148"/>
    <n v="0.55000000000000004"/>
    <n v="1"/>
    <n v="-24"/>
    <n v="144"/>
  </r>
  <r>
    <x v="53"/>
    <s v="conventional_default_dq_monthsSince_109"/>
    <x v="149"/>
    <n v="0.55000000000000004"/>
    <n v="1"/>
    <n v="-24"/>
    <n v="144"/>
  </r>
  <r>
    <x v="53"/>
    <s v="conventional_default_dq_monthsSince_110"/>
    <x v="150"/>
    <n v="0.55000000000000004"/>
    <n v="1"/>
    <n v="-24"/>
    <n v="144"/>
  </r>
  <r>
    <x v="53"/>
    <s v="conventional_default_dq_monthsSince_111"/>
    <x v="151"/>
    <n v="0.55000000000000004"/>
    <n v="1"/>
    <n v="-24"/>
    <n v="144"/>
  </r>
  <r>
    <x v="53"/>
    <s v="conventional_default_dq_monthsSince_112"/>
    <x v="152"/>
    <n v="0.55000000000000004"/>
    <n v="1"/>
    <n v="-24"/>
    <n v="144"/>
  </r>
  <r>
    <x v="53"/>
    <s v="conventional_default_dq_monthsSince_113"/>
    <x v="153"/>
    <n v="0.55000000000000004"/>
    <n v="1"/>
    <n v="-24"/>
    <n v="144"/>
  </r>
  <r>
    <x v="53"/>
    <s v="conventional_default_dq_monthsSince_114"/>
    <x v="154"/>
    <n v="0.55000000000000004"/>
    <n v="1"/>
    <n v="-24"/>
    <n v="144"/>
  </r>
  <r>
    <x v="53"/>
    <s v="conventional_default_dq_monthsSince_115"/>
    <x v="155"/>
    <n v="0.55000000000000004"/>
    <n v="1"/>
    <n v="-24"/>
    <n v="144"/>
  </r>
  <r>
    <x v="53"/>
    <s v="conventional_default_dq_monthsSince_116"/>
    <x v="156"/>
    <n v="0.55000000000000004"/>
    <n v="1"/>
    <n v="-24"/>
    <n v="144"/>
  </r>
  <r>
    <x v="53"/>
    <s v="conventional_default_dq_monthsSince_117"/>
    <x v="157"/>
    <n v="0.55000000000000004"/>
    <n v="1"/>
    <n v="-24"/>
    <n v="144"/>
  </r>
  <r>
    <x v="53"/>
    <s v="conventional_default_dq_monthsSince_118"/>
    <x v="158"/>
    <n v="0.55000000000000004"/>
    <n v="1"/>
    <n v="-24"/>
    <n v="144"/>
  </r>
  <r>
    <x v="53"/>
    <s v="conventional_default_dq_monthsSince_119"/>
    <x v="159"/>
    <n v="0.55000000000000004"/>
    <n v="1"/>
    <n v="-24"/>
    <n v="144"/>
  </r>
  <r>
    <x v="53"/>
    <s v="conventional_default_dq_monthsSince_120"/>
    <x v="160"/>
    <n v="0.55000000000000004"/>
    <n v="1"/>
    <n v="-24"/>
    <n v="144"/>
  </r>
  <r>
    <x v="53"/>
    <s v="conventional_default_dq_monthsSince_121"/>
    <x v="161"/>
    <n v="0.55000000000000004"/>
    <n v="1"/>
    <n v="-24"/>
    <n v="144"/>
  </r>
  <r>
    <x v="53"/>
    <s v="conventional_default_dq_monthsSince_122"/>
    <x v="162"/>
    <n v="0.55000000000000004"/>
    <n v="1"/>
    <n v="-24"/>
    <n v="144"/>
  </r>
  <r>
    <x v="53"/>
    <s v="conventional_default_dq_monthsSince_123"/>
    <x v="163"/>
    <n v="0.55000000000000004"/>
    <n v="1"/>
    <n v="-24"/>
    <n v="144"/>
  </r>
  <r>
    <x v="53"/>
    <s v="conventional_default_dq_monthsSince_124"/>
    <x v="164"/>
    <n v="0.55000000000000004"/>
    <n v="1"/>
    <n v="-24"/>
    <n v="144"/>
  </r>
  <r>
    <x v="53"/>
    <s v="conventional_default_dq_monthsSince_125"/>
    <x v="165"/>
    <n v="0.55000000000000004"/>
    <n v="1"/>
    <n v="-24"/>
    <n v="144"/>
  </r>
  <r>
    <x v="53"/>
    <s v="conventional_default_dq_monthsSince_126"/>
    <x v="166"/>
    <n v="0.55000000000000004"/>
    <n v="1"/>
    <n v="-24"/>
    <n v="144"/>
  </r>
  <r>
    <x v="53"/>
    <s v="conventional_default_dq_monthsSince_127"/>
    <x v="167"/>
    <n v="0.55000000000000004"/>
    <n v="1"/>
    <n v="-24"/>
    <n v="144"/>
  </r>
  <r>
    <x v="53"/>
    <s v="conventional_default_dq_monthsSince_128"/>
    <x v="168"/>
    <n v="0.55000000000000004"/>
    <n v="1"/>
    <n v="-24"/>
    <n v="144"/>
  </r>
  <r>
    <x v="53"/>
    <s v="conventional_default_dq_monthsSince_129"/>
    <x v="169"/>
    <n v="0.55000000000000004"/>
    <n v="1"/>
    <n v="-24"/>
    <n v="144"/>
  </r>
  <r>
    <x v="53"/>
    <s v="conventional_default_dq_monthsSince_130"/>
    <x v="170"/>
    <n v="0.55000000000000004"/>
    <n v="1"/>
    <n v="-24"/>
    <n v="144"/>
  </r>
  <r>
    <x v="53"/>
    <s v="conventional_default_dq_monthsSince_131"/>
    <x v="171"/>
    <n v="0.55000000000000004"/>
    <n v="1"/>
    <n v="-24"/>
    <n v="144"/>
  </r>
  <r>
    <x v="53"/>
    <s v="conventional_default_dq_monthsSince_132"/>
    <x v="172"/>
    <n v="0.55000000000000004"/>
    <n v="1"/>
    <n v="-24"/>
    <n v="144"/>
  </r>
  <r>
    <x v="53"/>
    <s v="conventional_default_dq_monthsSince_133"/>
    <x v="173"/>
    <n v="0.55000000000000004"/>
    <n v="1"/>
    <n v="-24"/>
    <n v="144"/>
  </r>
  <r>
    <x v="53"/>
    <s v="conventional_default_dq_monthsSince_134"/>
    <x v="174"/>
    <n v="0.55000000000000004"/>
    <n v="1"/>
    <n v="-24"/>
    <n v="144"/>
  </r>
  <r>
    <x v="53"/>
    <s v="conventional_default_dq_monthsSince_135"/>
    <x v="175"/>
    <n v="0.55000000000000004"/>
    <n v="1"/>
    <n v="-24"/>
    <n v="144"/>
  </r>
  <r>
    <x v="53"/>
    <s v="conventional_default_dq_monthsSince_136"/>
    <x v="176"/>
    <n v="0.55000000000000004"/>
    <n v="1"/>
    <n v="-24"/>
    <n v="144"/>
  </r>
  <r>
    <x v="53"/>
    <s v="conventional_default_dq_monthsSince_137"/>
    <x v="177"/>
    <n v="0.55000000000000004"/>
    <n v="1"/>
    <n v="-24"/>
    <n v="144"/>
  </r>
  <r>
    <x v="53"/>
    <s v="conventional_default_dq_monthsSince_138"/>
    <x v="178"/>
    <n v="0.55000000000000004"/>
    <n v="1"/>
    <n v="-24"/>
    <n v="144"/>
  </r>
  <r>
    <x v="53"/>
    <s v="conventional_default_dq_monthsSince_139"/>
    <x v="179"/>
    <n v="0.55000000000000004"/>
    <n v="1"/>
    <n v="-24"/>
    <n v="144"/>
  </r>
  <r>
    <x v="53"/>
    <s v="conventional_default_dq_monthsSince_140"/>
    <x v="180"/>
    <n v="0.55000000000000004"/>
    <n v="1"/>
    <n v="-24"/>
    <n v="144"/>
  </r>
  <r>
    <x v="53"/>
    <s v="conventional_default_dq_monthsSince_141"/>
    <x v="181"/>
    <n v="0.55000000000000004"/>
    <n v="1"/>
    <n v="-24"/>
    <n v="144"/>
  </r>
  <r>
    <x v="53"/>
    <s v="conventional_default_dq_monthsSince_142"/>
    <x v="182"/>
    <n v="0.55000000000000004"/>
    <n v="1"/>
    <n v="-24"/>
    <n v="144"/>
  </r>
  <r>
    <x v="53"/>
    <s v="conventional_default_dq_monthsSince_143"/>
    <x v="183"/>
    <n v="0.55000000000000004"/>
    <n v="1"/>
    <n v="-24"/>
    <n v="144"/>
  </r>
  <r>
    <x v="53"/>
    <s v="conventional_default_dq_monthsSince_144"/>
    <x v="184"/>
    <n v="0.55000000000000004"/>
    <n v="1"/>
    <n v="-24"/>
    <n v="144"/>
  </r>
  <r>
    <x v="54"/>
    <s v="conventional_default_dq_cltv_-36"/>
    <x v="4"/>
    <n v="0.42"/>
    <n v="1"/>
    <n v="-36"/>
    <n v="216"/>
  </r>
  <r>
    <x v="54"/>
    <s v="conventional_default_dq_cltv_-35"/>
    <x v="5"/>
    <n v="0.42"/>
    <n v="1"/>
    <n v="-36"/>
    <n v="216"/>
  </r>
  <r>
    <x v="54"/>
    <s v="conventional_default_dq_cltv_-34"/>
    <x v="6"/>
    <n v="0.42"/>
    <n v="1"/>
    <n v="-36"/>
    <n v="216"/>
  </r>
  <r>
    <x v="54"/>
    <s v="conventional_default_dq_cltv_-33"/>
    <x v="7"/>
    <n v="0.42"/>
    <n v="1"/>
    <n v="-36"/>
    <n v="216"/>
  </r>
  <r>
    <x v="54"/>
    <s v="conventional_default_dq_cltv_-32"/>
    <x v="8"/>
    <n v="0.42"/>
    <n v="1"/>
    <n v="-36"/>
    <n v="216"/>
  </r>
  <r>
    <x v="54"/>
    <s v="conventional_default_dq_cltv_-31"/>
    <x v="9"/>
    <n v="0.42"/>
    <n v="1"/>
    <n v="-36"/>
    <n v="216"/>
  </r>
  <r>
    <x v="54"/>
    <s v="conventional_default_dq_cltv_-30"/>
    <x v="10"/>
    <n v="0.42"/>
    <n v="1"/>
    <n v="-36"/>
    <n v="216"/>
  </r>
  <r>
    <x v="54"/>
    <s v="conventional_default_dq_cltv_-29"/>
    <x v="11"/>
    <n v="0.42"/>
    <n v="1"/>
    <n v="-36"/>
    <n v="216"/>
  </r>
  <r>
    <x v="54"/>
    <s v="conventional_default_dq_cltv_-28"/>
    <x v="12"/>
    <n v="0.42"/>
    <n v="1"/>
    <n v="-36"/>
    <n v="216"/>
  </r>
  <r>
    <x v="54"/>
    <s v="conventional_default_dq_cltv_-27"/>
    <x v="13"/>
    <n v="0.42"/>
    <n v="1"/>
    <n v="-36"/>
    <n v="216"/>
  </r>
  <r>
    <x v="54"/>
    <s v="conventional_default_dq_cltv_-26"/>
    <x v="14"/>
    <n v="0.42"/>
    <n v="1"/>
    <n v="-36"/>
    <n v="216"/>
  </r>
  <r>
    <x v="54"/>
    <s v="conventional_default_dq_cltv_-25"/>
    <x v="15"/>
    <n v="0.42"/>
    <n v="1"/>
    <n v="-36"/>
    <n v="216"/>
  </r>
  <r>
    <x v="54"/>
    <s v="conventional_default_dq_cltv_-24"/>
    <x v="16"/>
    <n v="0.42"/>
    <n v="1"/>
    <n v="-36"/>
    <n v="216"/>
  </r>
  <r>
    <x v="54"/>
    <s v="conventional_default_dq_cltv_-23"/>
    <x v="17"/>
    <n v="0.42"/>
    <n v="1"/>
    <n v="-36"/>
    <n v="216"/>
  </r>
  <r>
    <x v="54"/>
    <s v="conventional_default_dq_cltv_-22"/>
    <x v="18"/>
    <n v="0.42"/>
    <n v="1"/>
    <n v="-36"/>
    <n v="216"/>
  </r>
  <r>
    <x v="54"/>
    <s v="conventional_default_dq_cltv_-21"/>
    <x v="19"/>
    <n v="0.42"/>
    <n v="1"/>
    <n v="-36"/>
    <n v="216"/>
  </r>
  <r>
    <x v="54"/>
    <s v="conventional_default_dq_cltv_-20"/>
    <x v="20"/>
    <n v="0.42"/>
    <n v="1"/>
    <n v="-36"/>
    <n v="216"/>
  </r>
  <r>
    <x v="54"/>
    <s v="conventional_default_dq_cltv_-19"/>
    <x v="21"/>
    <n v="0.42"/>
    <n v="1"/>
    <n v="-36"/>
    <n v="216"/>
  </r>
  <r>
    <x v="54"/>
    <s v="conventional_default_dq_cltv_-18"/>
    <x v="22"/>
    <n v="0.42"/>
    <n v="1"/>
    <n v="-36"/>
    <n v="216"/>
  </r>
  <r>
    <x v="54"/>
    <s v="conventional_default_dq_cltv_-17"/>
    <x v="23"/>
    <n v="0.42"/>
    <n v="1"/>
    <n v="-36"/>
    <n v="216"/>
  </r>
  <r>
    <x v="54"/>
    <s v="conventional_default_dq_cltv_-16"/>
    <x v="24"/>
    <n v="0.42"/>
    <n v="1"/>
    <n v="-36"/>
    <n v="216"/>
  </r>
  <r>
    <x v="54"/>
    <s v="conventional_default_dq_cltv_-15"/>
    <x v="25"/>
    <n v="0.42"/>
    <n v="1"/>
    <n v="-36"/>
    <n v="216"/>
  </r>
  <r>
    <x v="54"/>
    <s v="conventional_default_dq_cltv_-14"/>
    <x v="26"/>
    <n v="0.42"/>
    <n v="1"/>
    <n v="-36"/>
    <n v="216"/>
  </r>
  <r>
    <x v="54"/>
    <s v="conventional_default_dq_cltv_-13"/>
    <x v="27"/>
    <n v="0.42"/>
    <n v="1"/>
    <n v="-36"/>
    <n v="216"/>
  </r>
  <r>
    <x v="54"/>
    <s v="conventional_default_dq_cltv_-12"/>
    <x v="28"/>
    <n v="0.42"/>
    <n v="1"/>
    <n v="-36"/>
    <n v="216"/>
  </r>
  <r>
    <x v="54"/>
    <s v="conventional_default_dq_cltv_-11"/>
    <x v="29"/>
    <n v="0.42"/>
    <n v="1"/>
    <n v="-36"/>
    <n v="216"/>
  </r>
  <r>
    <x v="54"/>
    <s v="conventional_default_dq_cltv_-10"/>
    <x v="30"/>
    <n v="0.42"/>
    <n v="1"/>
    <n v="-36"/>
    <n v="216"/>
  </r>
  <r>
    <x v="54"/>
    <s v="conventional_default_dq_cltv_-9"/>
    <x v="31"/>
    <n v="0.42"/>
    <n v="1"/>
    <n v="-36"/>
    <n v="216"/>
  </r>
  <r>
    <x v="54"/>
    <s v="conventional_default_dq_cltv_-8"/>
    <x v="32"/>
    <n v="0.42"/>
    <n v="1"/>
    <n v="-36"/>
    <n v="216"/>
  </r>
  <r>
    <x v="54"/>
    <s v="conventional_default_dq_cltv_-7"/>
    <x v="33"/>
    <n v="0.42"/>
    <n v="1"/>
    <n v="-36"/>
    <n v="216"/>
  </r>
  <r>
    <x v="54"/>
    <s v="conventional_default_dq_cltv_-6"/>
    <x v="34"/>
    <n v="0.42"/>
    <n v="1"/>
    <n v="-36"/>
    <n v="216"/>
  </r>
  <r>
    <x v="54"/>
    <s v="conventional_default_dq_cltv_-5"/>
    <x v="35"/>
    <n v="0.42"/>
    <n v="1"/>
    <n v="-36"/>
    <n v="216"/>
  </r>
  <r>
    <x v="54"/>
    <s v="conventional_default_dq_cltv_-4"/>
    <x v="36"/>
    <n v="0.42"/>
    <n v="1"/>
    <n v="-36"/>
    <n v="216"/>
  </r>
  <r>
    <x v="54"/>
    <s v="conventional_default_dq_cltv_-3"/>
    <x v="37"/>
    <n v="0.42"/>
    <n v="1"/>
    <n v="-36"/>
    <n v="216"/>
  </r>
  <r>
    <x v="54"/>
    <s v="conventional_default_dq_cltv_-2"/>
    <x v="38"/>
    <n v="0.42"/>
    <n v="1"/>
    <n v="-36"/>
    <n v="216"/>
  </r>
  <r>
    <x v="54"/>
    <s v="conventional_default_dq_cltv_-1"/>
    <x v="39"/>
    <n v="0.42"/>
    <n v="1"/>
    <n v="-36"/>
    <n v="216"/>
  </r>
  <r>
    <x v="54"/>
    <s v="conventional_default_dq_cltv_0"/>
    <x v="40"/>
    <n v="0.42"/>
    <n v="1"/>
    <n v="-36"/>
    <n v="216"/>
  </r>
  <r>
    <x v="54"/>
    <s v="conventional_default_dq_cltv_1"/>
    <x v="41"/>
    <n v="0.42"/>
    <n v="1"/>
    <n v="-36"/>
    <n v="216"/>
  </r>
  <r>
    <x v="54"/>
    <s v="conventional_default_dq_cltv_2"/>
    <x v="42"/>
    <n v="0.42"/>
    <n v="1"/>
    <n v="-36"/>
    <n v="216"/>
  </r>
  <r>
    <x v="54"/>
    <s v="conventional_default_dq_cltv_3"/>
    <x v="43"/>
    <n v="0.42"/>
    <n v="1"/>
    <n v="-36"/>
    <n v="216"/>
  </r>
  <r>
    <x v="54"/>
    <s v="conventional_default_dq_cltv_4"/>
    <x v="44"/>
    <n v="0.42"/>
    <n v="1"/>
    <n v="-36"/>
    <n v="216"/>
  </r>
  <r>
    <x v="54"/>
    <s v="conventional_default_dq_cltv_5"/>
    <x v="45"/>
    <n v="0.42"/>
    <n v="1"/>
    <n v="-36"/>
    <n v="216"/>
  </r>
  <r>
    <x v="54"/>
    <s v="conventional_default_dq_cltv_6"/>
    <x v="46"/>
    <n v="0.42"/>
    <n v="1"/>
    <n v="-36"/>
    <n v="216"/>
  </r>
  <r>
    <x v="54"/>
    <s v="conventional_default_dq_cltv_7"/>
    <x v="47"/>
    <n v="0.42"/>
    <n v="1"/>
    <n v="-36"/>
    <n v="216"/>
  </r>
  <r>
    <x v="54"/>
    <s v="conventional_default_dq_cltv_8"/>
    <x v="48"/>
    <n v="0.42"/>
    <n v="1"/>
    <n v="-36"/>
    <n v="216"/>
  </r>
  <r>
    <x v="54"/>
    <s v="conventional_default_dq_cltv_9"/>
    <x v="49"/>
    <n v="0.42"/>
    <n v="1"/>
    <n v="-36"/>
    <n v="216"/>
  </r>
  <r>
    <x v="54"/>
    <s v="conventional_default_dq_cltv_10"/>
    <x v="50"/>
    <n v="0.42"/>
    <n v="1"/>
    <n v="-36"/>
    <n v="216"/>
  </r>
  <r>
    <x v="54"/>
    <s v="conventional_default_dq_cltv_11"/>
    <x v="51"/>
    <n v="0.42"/>
    <n v="1"/>
    <n v="-36"/>
    <n v="216"/>
  </r>
  <r>
    <x v="54"/>
    <s v="conventional_default_dq_cltv_12"/>
    <x v="52"/>
    <n v="0.42"/>
    <n v="1"/>
    <n v="-36"/>
    <n v="216"/>
  </r>
  <r>
    <x v="54"/>
    <s v="conventional_default_dq_cltv_13"/>
    <x v="53"/>
    <n v="0.42"/>
    <n v="1"/>
    <n v="-36"/>
    <n v="216"/>
  </r>
  <r>
    <x v="54"/>
    <s v="conventional_default_dq_cltv_14"/>
    <x v="54"/>
    <n v="0.42"/>
    <n v="1"/>
    <n v="-36"/>
    <n v="216"/>
  </r>
  <r>
    <x v="54"/>
    <s v="conventional_default_dq_cltv_15"/>
    <x v="55"/>
    <n v="0.42"/>
    <n v="1"/>
    <n v="-36"/>
    <n v="216"/>
  </r>
  <r>
    <x v="54"/>
    <s v="conventional_default_dq_cltv_16"/>
    <x v="56"/>
    <n v="0.42"/>
    <n v="1"/>
    <n v="-36"/>
    <n v="216"/>
  </r>
  <r>
    <x v="54"/>
    <s v="conventional_default_dq_cltv_17"/>
    <x v="57"/>
    <n v="0.42"/>
    <n v="1"/>
    <n v="-36"/>
    <n v="216"/>
  </r>
  <r>
    <x v="54"/>
    <s v="conventional_default_dq_cltv_18"/>
    <x v="58"/>
    <n v="0.42"/>
    <n v="1"/>
    <n v="-36"/>
    <n v="216"/>
  </r>
  <r>
    <x v="54"/>
    <s v="conventional_default_dq_cltv_19"/>
    <x v="59"/>
    <n v="0.42"/>
    <n v="1"/>
    <n v="-36"/>
    <n v="216"/>
  </r>
  <r>
    <x v="54"/>
    <s v="conventional_default_dq_cltv_20"/>
    <x v="60"/>
    <n v="0.42"/>
    <n v="1"/>
    <n v="-36"/>
    <n v="216"/>
  </r>
  <r>
    <x v="54"/>
    <s v="conventional_default_dq_cltv_21"/>
    <x v="61"/>
    <n v="0.42002499999999998"/>
    <n v="1"/>
    <n v="-36"/>
    <n v="216"/>
  </r>
  <r>
    <x v="54"/>
    <s v="conventional_default_dq_cltv_22"/>
    <x v="62"/>
    <n v="0.42009999999999997"/>
    <n v="1"/>
    <n v="-36"/>
    <n v="216"/>
  </r>
  <r>
    <x v="54"/>
    <s v="conventional_default_dq_cltv_23"/>
    <x v="63"/>
    <n v="0.42022500000000002"/>
    <n v="1"/>
    <n v="-36"/>
    <n v="216"/>
  </r>
  <r>
    <x v="54"/>
    <s v="conventional_default_dq_cltv_24"/>
    <x v="64"/>
    <n v="0.4204"/>
    <n v="1"/>
    <n v="-36"/>
    <n v="216"/>
  </r>
  <r>
    <x v="54"/>
    <s v="conventional_default_dq_cltv_25"/>
    <x v="65"/>
    <n v="0.42062500000000003"/>
    <n v="1"/>
    <n v="-36"/>
    <n v="216"/>
  </r>
  <r>
    <x v="54"/>
    <s v="conventional_default_dq_cltv_26"/>
    <x v="66"/>
    <n v="0.4209"/>
    <n v="1"/>
    <n v="-36"/>
    <n v="216"/>
  </r>
  <r>
    <x v="54"/>
    <s v="conventional_default_dq_cltv_27"/>
    <x v="67"/>
    <n v="0.42122500000000002"/>
    <n v="1"/>
    <n v="-36"/>
    <n v="216"/>
  </r>
  <r>
    <x v="54"/>
    <s v="conventional_default_dq_cltv_28"/>
    <x v="68"/>
    <n v="0.42159999999999997"/>
    <n v="1"/>
    <n v="-36"/>
    <n v="216"/>
  </r>
  <r>
    <x v="54"/>
    <s v="conventional_default_dq_cltv_29"/>
    <x v="69"/>
    <n v="0.42202499999999998"/>
    <n v="1"/>
    <n v="-36"/>
    <n v="216"/>
  </r>
  <r>
    <x v="54"/>
    <s v="conventional_default_dq_cltv_30"/>
    <x v="70"/>
    <n v="0.42249999999999999"/>
    <n v="1"/>
    <n v="-36"/>
    <n v="216"/>
  </r>
  <r>
    <x v="54"/>
    <s v="conventional_default_dq_cltv_31"/>
    <x v="71"/>
    <n v="0.42302499999999998"/>
    <n v="1"/>
    <n v="-36"/>
    <n v="216"/>
  </r>
  <r>
    <x v="54"/>
    <s v="conventional_default_dq_cltv_32"/>
    <x v="72"/>
    <n v="0.42359999999999998"/>
    <n v="1"/>
    <n v="-36"/>
    <n v="216"/>
  </r>
  <r>
    <x v="54"/>
    <s v="conventional_default_dq_cltv_33"/>
    <x v="73"/>
    <n v="0.42422500000000002"/>
    <n v="1"/>
    <n v="-36"/>
    <n v="216"/>
  </r>
  <r>
    <x v="54"/>
    <s v="conventional_default_dq_cltv_34"/>
    <x v="74"/>
    <n v="0.4249"/>
    <n v="1"/>
    <n v="-36"/>
    <n v="216"/>
  </r>
  <r>
    <x v="54"/>
    <s v="conventional_default_dq_cltv_35"/>
    <x v="75"/>
    <n v="0.42562499999999998"/>
    <n v="1"/>
    <n v="-36"/>
    <n v="216"/>
  </r>
  <r>
    <x v="54"/>
    <s v="conventional_default_dq_cltv_36"/>
    <x v="76"/>
    <n v="0.4264"/>
    <n v="1"/>
    <n v="-36"/>
    <n v="216"/>
  </r>
  <r>
    <x v="54"/>
    <s v="conventional_default_dq_cltv_37"/>
    <x v="77"/>
    <n v="0.42722500000000002"/>
    <n v="1"/>
    <n v="-36"/>
    <n v="216"/>
  </r>
  <r>
    <x v="54"/>
    <s v="conventional_default_dq_cltv_38"/>
    <x v="78"/>
    <n v="0.42809999999999998"/>
    <n v="1"/>
    <n v="-36"/>
    <n v="216"/>
  </r>
  <r>
    <x v="54"/>
    <s v="conventional_default_dq_cltv_39"/>
    <x v="79"/>
    <n v="0.42902499999999999"/>
    <n v="1"/>
    <n v="-36"/>
    <n v="216"/>
  </r>
  <r>
    <x v="54"/>
    <s v="conventional_default_dq_cltv_40"/>
    <x v="80"/>
    <n v="0.43"/>
    <n v="1"/>
    <n v="-36"/>
    <n v="216"/>
  </r>
  <r>
    <x v="54"/>
    <s v="conventional_default_dq_cltv_41"/>
    <x v="81"/>
    <n v="0.43097750000000001"/>
    <n v="1"/>
    <n v="-36"/>
    <n v="216"/>
  </r>
  <r>
    <x v="54"/>
    <s v="conventional_default_dq_cltv_42"/>
    <x v="82"/>
    <n v="0.43192000000000003"/>
    <n v="1"/>
    <n v="-36"/>
    <n v="216"/>
  </r>
  <r>
    <x v="54"/>
    <s v="conventional_default_dq_cltv_43"/>
    <x v="83"/>
    <n v="0.43284250000000002"/>
    <n v="1"/>
    <n v="-36"/>
    <n v="216"/>
  </r>
  <r>
    <x v="54"/>
    <s v="conventional_default_dq_cltv_44"/>
    <x v="84"/>
    <n v="0.43375999999999998"/>
    <n v="1"/>
    <n v="-36"/>
    <n v="216"/>
  </r>
  <r>
    <x v="54"/>
    <s v="conventional_default_dq_cltv_45"/>
    <x v="85"/>
    <n v="0.4346875"/>
    <n v="1"/>
    <n v="-36"/>
    <n v="216"/>
  </r>
  <r>
    <x v="54"/>
    <s v="conventional_default_dq_cltv_46"/>
    <x v="86"/>
    <n v="0.43564000000000003"/>
    <n v="1"/>
    <n v="-36"/>
    <n v="216"/>
  </r>
  <r>
    <x v="54"/>
    <s v="conventional_default_dq_cltv_47"/>
    <x v="87"/>
    <n v="0.43663249999999998"/>
    <n v="1"/>
    <n v="-36"/>
    <n v="216"/>
  </r>
  <r>
    <x v="54"/>
    <s v="conventional_default_dq_cltv_48"/>
    <x v="88"/>
    <n v="0.43768000000000001"/>
    <n v="1"/>
    <n v="-36"/>
    <n v="216"/>
  </r>
  <r>
    <x v="54"/>
    <s v="conventional_default_dq_cltv_49"/>
    <x v="89"/>
    <n v="0.43879750000000001"/>
    <n v="1"/>
    <n v="-36"/>
    <n v="216"/>
  </r>
  <r>
    <x v="54"/>
    <s v="conventional_default_dq_cltv_50"/>
    <x v="90"/>
    <n v="0.44"/>
    <n v="1"/>
    <n v="-36"/>
    <n v="216"/>
  </r>
  <r>
    <x v="54"/>
    <s v="conventional_default_dq_cltv_51"/>
    <x v="91"/>
    <n v="0.44130249999999999"/>
    <n v="1"/>
    <n v="-36"/>
    <n v="216"/>
  </r>
  <r>
    <x v="54"/>
    <s v="conventional_default_dq_cltv_52"/>
    <x v="92"/>
    <n v="0.44272"/>
    <n v="1"/>
    <n v="-36"/>
    <n v="216"/>
  </r>
  <r>
    <x v="54"/>
    <s v="conventional_default_dq_cltv_53"/>
    <x v="93"/>
    <n v="0.44426749999999998"/>
    <n v="1"/>
    <n v="-36"/>
    <n v="216"/>
  </r>
  <r>
    <x v="54"/>
    <s v="conventional_default_dq_cltv_54"/>
    <x v="94"/>
    <n v="0.44596000000000002"/>
    <n v="1"/>
    <n v="-36"/>
    <n v="216"/>
  </r>
  <r>
    <x v="54"/>
    <s v="conventional_default_dq_cltv_55"/>
    <x v="95"/>
    <n v="0.4478125"/>
    <n v="1"/>
    <n v="-36"/>
    <n v="216"/>
  </r>
  <r>
    <x v="54"/>
    <s v="conventional_default_dq_cltv_56"/>
    <x v="96"/>
    <n v="0.44984000000000002"/>
    <n v="1"/>
    <n v="-36"/>
    <n v="216"/>
  </r>
  <r>
    <x v="54"/>
    <s v="conventional_default_dq_cltv_57"/>
    <x v="97"/>
    <n v="0.4520575"/>
    <n v="1"/>
    <n v="-36"/>
    <n v="216"/>
  </r>
  <r>
    <x v="54"/>
    <s v="conventional_default_dq_cltv_58"/>
    <x v="98"/>
    <n v="0.45448"/>
    <n v="1"/>
    <n v="-36"/>
    <n v="216"/>
  </r>
  <r>
    <x v="54"/>
    <s v="conventional_default_dq_cltv_59"/>
    <x v="99"/>
    <n v="0.45712249999999999"/>
    <n v="1"/>
    <n v="-36"/>
    <n v="216"/>
  </r>
  <r>
    <x v="54"/>
    <s v="conventional_default_dq_cltv_60"/>
    <x v="100"/>
    <n v="0.46"/>
    <n v="1"/>
    <n v="-36"/>
    <n v="216"/>
  </r>
  <r>
    <x v="54"/>
    <s v="conventional_default_dq_cltv_61"/>
    <x v="101"/>
    <n v="0.46296812500000001"/>
    <n v="1"/>
    <n v="-36"/>
    <n v="216"/>
  </r>
  <r>
    <x v="54"/>
    <s v="conventional_default_dq_cltv_62"/>
    <x v="102"/>
    <n v="0.465895"/>
    <n v="1"/>
    <n v="-36"/>
    <n v="216"/>
  </r>
  <r>
    <x v="54"/>
    <s v="conventional_default_dq_cltv_63"/>
    <x v="103"/>
    <n v="0.46881437500000001"/>
    <n v="1"/>
    <n v="-36"/>
    <n v="216"/>
  </r>
  <r>
    <x v="54"/>
    <s v="conventional_default_dq_cltv_64"/>
    <x v="104"/>
    <n v="0.47176000000000001"/>
    <n v="1"/>
    <n v="-36"/>
    <n v="216"/>
  </r>
  <r>
    <x v="54"/>
    <s v="conventional_default_dq_cltv_65"/>
    <x v="105"/>
    <n v="0.47476562500000002"/>
    <n v="1"/>
    <n v="-36"/>
    <n v="216"/>
  </r>
  <r>
    <x v="54"/>
    <s v="conventional_default_dq_cltv_66"/>
    <x v="106"/>
    <n v="0.47786499999999998"/>
    <n v="1"/>
    <n v="-36"/>
    <n v="216"/>
  </r>
  <r>
    <x v="54"/>
    <s v="conventional_default_dq_cltv_67"/>
    <x v="107"/>
    <n v="0.481091875"/>
    <n v="1"/>
    <n v="-36"/>
    <n v="216"/>
  </r>
  <r>
    <x v="54"/>
    <s v="conventional_default_dq_cltv_68"/>
    <x v="108"/>
    <n v="0.48448000000000002"/>
    <n v="1"/>
    <n v="-36"/>
    <n v="216"/>
  </r>
  <r>
    <x v="54"/>
    <s v="conventional_default_dq_cltv_69"/>
    <x v="109"/>
    <n v="0.48806312499999999"/>
    <n v="1"/>
    <n v="-36"/>
    <n v="216"/>
  </r>
  <r>
    <x v="54"/>
    <s v="conventional_default_dq_cltv_70"/>
    <x v="110"/>
    <n v="0.49187500000000001"/>
    <n v="1"/>
    <n v="-36"/>
    <n v="216"/>
  </r>
  <r>
    <x v="54"/>
    <s v="conventional_default_dq_cltv_71"/>
    <x v="111"/>
    <n v="0.49594937500000003"/>
    <n v="1"/>
    <n v="-36"/>
    <n v="216"/>
  </r>
  <r>
    <x v="54"/>
    <s v="conventional_default_dq_cltv_72"/>
    <x v="112"/>
    <n v="0.50031999999999999"/>
    <n v="1"/>
    <n v="-36"/>
    <n v="216"/>
  </r>
  <r>
    <x v="54"/>
    <s v="conventional_default_dq_cltv_73"/>
    <x v="113"/>
    <n v="0.505020625"/>
    <n v="1"/>
    <n v="-36"/>
    <n v="216"/>
  </r>
  <r>
    <x v="54"/>
    <s v="conventional_default_dq_cltv_74"/>
    <x v="114"/>
    <n v="0.51008500000000001"/>
    <n v="1"/>
    <n v="-36"/>
    <n v="216"/>
  </r>
  <r>
    <x v="54"/>
    <s v="conventional_default_dq_cltv_75"/>
    <x v="115"/>
    <n v="0.51554687499999996"/>
    <n v="1"/>
    <n v="-36"/>
    <n v="216"/>
  </r>
  <r>
    <x v="54"/>
    <s v="conventional_default_dq_cltv_76"/>
    <x v="116"/>
    <n v="0.52144000000000001"/>
    <n v="1"/>
    <n v="-36"/>
    <n v="216"/>
  </r>
  <r>
    <x v="54"/>
    <s v="conventional_default_dq_cltv_77"/>
    <x v="117"/>
    <n v="0.52779812500000001"/>
    <n v="1"/>
    <n v="-36"/>
    <n v="216"/>
  </r>
  <r>
    <x v="54"/>
    <s v="conventional_default_dq_cltv_78"/>
    <x v="118"/>
    <n v="0.53465499999999999"/>
    <n v="1"/>
    <n v="-36"/>
    <n v="216"/>
  </r>
  <r>
    <x v="54"/>
    <s v="conventional_default_dq_cltv_79"/>
    <x v="119"/>
    <n v="0.54204437500000002"/>
    <n v="1"/>
    <n v="-36"/>
    <n v="216"/>
  </r>
  <r>
    <x v="54"/>
    <s v="conventional_default_dq_cltv_80"/>
    <x v="120"/>
    <n v="0.55000000000000004"/>
    <n v="1"/>
    <n v="-36"/>
    <n v="216"/>
  </r>
  <r>
    <x v="54"/>
    <s v="conventional_default_dq_cltv_81"/>
    <x v="121"/>
    <n v="0.55874625"/>
    <n v="1"/>
    <n v="-36"/>
    <n v="216"/>
  </r>
  <r>
    <x v="54"/>
    <s v="conventional_default_dq_cltv_82"/>
    <x v="122"/>
    <n v="0.56842000000000004"/>
    <n v="1"/>
    <n v="-36"/>
    <n v="216"/>
  </r>
  <r>
    <x v="54"/>
    <s v="conventional_default_dq_cltv_83"/>
    <x v="123"/>
    <n v="0.57892374999999996"/>
    <n v="1"/>
    <n v="-36"/>
    <n v="216"/>
  </r>
  <r>
    <x v="54"/>
    <s v="conventional_default_dq_cltv_84"/>
    <x v="124"/>
    <n v="0.59016000000000002"/>
    <n v="1"/>
    <n v="-36"/>
    <n v="216"/>
  </r>
  <r>
    <x v="54"/>
    <s v="conventional_default_dq_cltv_85"/>
    <x v="125"/>
    <n v="0.60203125000000002"/>
    <n v="1"/>
    <n v="-36"/>
    <n v="216"/>
  </r>
  <r>
    <x v="54"/>
    <s v="conventional_default_dq_cltv_86"/>
    <x v="126"/>
    <n v="0.61443999999999999"/>
    <n v="1"/>
    <n v="-36"/>
    <n v="216"/>
  </r>
  <r>
    <x v="54"/>
    <s v="conventional_default_dq_cltv_87"/>
    <x v="127"/>
    <n v="0.62728874999999995"/>
    <n v="1"/>
    <n v="-36"/>
    <n v="216"/>
  </r>
  <r>
    <x v="54"/>
    <s v="conventional_default_dq_cltv_88"/>
    <x v="128"/>
    <n v="0.64048000000000005"/>
    <n v="1"/>
    <n v="-36"/>
    <n v="216"/>
  </r>
  <r>
    <x v="54"/>
    <s v="conventional_default_dq_cltv_89"/>
    <x v="129"/>
    <n v="0.65391624999999998"/>
    <n v="1"/>
    <n v="-36"/>
    <n v="216"/>
  </r>
  <r>
    <x v="54"/>
    <s v="conventional_default_dq_cltv_90"/>
    <x v="130"/>
    <n v="0.66749999999999998"/>
    <n v="1"/>
    <n v="-36"/>
    <n v="216"/>
  </r>
  <r>
    <x v="54"/>
    <s v="conventional_default_dq_cltv_91"/>
    <x v="131"/>
    <n v="0.68113374999999998"/>
    <n v="1"/>
    <n v="-36"/>
    <n v="216"/>
  </r>
  <r>
    <x v="54"/>
    <s v="conventional_default_dq_cltv_92"/>
    <x v="132"/>
    <n v="0.69472"/>
    <n v="1"/>
    <n v="-36"/>
    <n v="216"/>
  </r>
  <r>
    <x v="54"/>
    <s v="conventional_default_dq_cltv_93"/>
    <x v="133"/>
    <n v="0.70816124999999996"/>
    <n v="1"/>
    <n v="-36"/>
    <n v="216"/>
  </r>
  <r>
    <x v="54"/>
    <s v="conventional_default_dq_cltv_94"/>
    <x v="134"/>
    <n v="0.72136"/>
    <n v="1"/>
    <n v="-36"/>
    <n v="216"/>
  </r>
  <r>
    <x v="54"/>
    <s v="conventional_default_dq_cltv_95"/>
    <x v="135"/>
    <n v="0.73421875000000003"/>
    <n v="1"/>
    <n v="-36"/>
    <n v="216"/>
  </r>
  <r>
    <x v="54"/>
    <s v="conventional_default_dq_cltv_96"/>
    <x v="136"/>
    <n v="0.74663999999999997"/>
    <n v="1"/>
    <n v="-36"/>
    <n v="216"/>
  </r>
  <r>
    <x v="54"/>
    <s v="conventional_default_dq_cltv_97"/>
    <x v="137"/>
    <n v="0.75852624999999996"/>
    <n v="1"/>
    <n v="-36"/>
    <n v="216"/>
  </r>
  <r>
    <x v="54"/>
    <s v="conventional_default_dq_cltv_98"/>
    <x v="138"/>
    <n v="0.76978000000000002"/>
    <n v="1"/>
    <n v="-36"/>
    <n v="216"/>
  </r>
  <r>
    <x v="54"/>
    <s v="conventional_default_dq_cltv_99"/>
    <x v="139"/>
    <n v="0.78030374999999996"/>
    <n v="1"/>
    <n v="-36"/>
    <n v="216"/>
  </r>
  <r>
    <x v="54"/>
    <s v="conventional_default_dq_cltv_100"/>
    <x v="140"/>
    <n v="0.79"/>
    <n v="1"/>
    <n v="-36"/>
    <n v="216"/>
  </r>
  <r>
    <x v="54"/>
    <s v="conventional_default_dq_cltv_101"/>
    <x v="141"/>
    <n v="0.79899374999999995"/>
    <n v="1"/>
    <n v="-36"/>
    <n v="216"/>
  </r>
  <r>
    <x v="54"/>
    <s v="conventional_default_dq_cltv_102"/>
    <x v="142"/>
    <n v="0.8075"/>
    <n v="1"/>
    <n v="-36"/>
    <n v="216"/>
  </r>
  <r>
    <x v="54"/>
    <s v="conventional_default_dq_cltv_103"/>
    <x v="143"/>
    <n v="0.81555624999999998"/>
    <n v="1"/>
    <n v="-36"/>
    <n v="216"/>
  </r>
  <r>
    <x v="54"/>
    <s v="conventional_default_dq_cltv_104"/>
    <x v="144"/>
    <n v="0.82320000000000004"/>
    <n v="1"/>
    <n v="-36"/>
    <n v="216"/>
  </r>
  <r>
    <x v="54"/>
    <s v="conventional_default_dq_cltv_105"/>
    <x v="145"/>
    <n v="0.83046874999999998"/>
    <n v="1"/>
    <n v="-36"/>
    <n v="216"/>
  </r>
  <r>
    <x v="54"/>
    <s v="conventional_default_dq_cltv_106"/>
    <x v="146"/>
    <n v="0.83740000000000003"/>
    <n v="1"/>
    <n v="-36"/>
    <n v="216"/>
  </r>
  <r>
    <x v="54"/>
    <s v="conventional_default_dq_cltv_107"/>
    <x v="147"/>
    <n v="0.84403125000000001"/>
    <n v="1"/>
    <n v="-36"/>
    <n v="216"/>
  </r>
  <r>
    <x v="54"/>
    <s v="conventional_default_dq_cltv_108"/>
    <x v="148"/>
    <n v="0.85040000000000004"/>
    <n v="1"/>
    <n v="-36"/>
    <n v="216"/>
  </r>
  <r>
    <x v="54"/>
    <s v="conventional_default_dq_cltv_109"/>
    <x v="149"/>
    <n v="0.85654375000000005"/>
    <n v="1"/>
    <n v="-36"/>
    <n v="216"/>
  </r>
  <r>
    <x v="54"/>
    <s v="conventional_default_dq_cltv_110"/>
    <x v="150"/>
    <n v="0.86250000000000004"/>
    <n v="1"/>
    <n v="-36"/>
    <n v="216"/>
  </r>
  <r>
    <x v="54"/>
    <s v="conventional_default_dq_cltv_111"/>
    <x v="151"/>
    <n v="0.86830624999999995"/>
    <n v="1"/>
    <n v="-36"/>
    <n v="216"/>
  </r>
  <r>
    <x v="54"/>
    <s v="conventional_default_dq_cltv_112"/>
    <x v="152"/>
    <n v="0.874"/>
    <n v="1"/>
    <n v="-36"/>
    <n v="216"/>
  </r>
  <r>
    <x v="54"/>
    <s v="conventional_default_dq_cltv_113"/>
    <x v="153"/>
    <n v="0.87961875"/>
    <n v="1"/>
    <n v="-36"/>
    <n v="216"/>
  </r>
  <r>
    <x v="54"/>
    <s v="conventional_default_dq_cltv_114"/>
    <x v="154"/>
    <n v="0.88519999999999999"/>
    <n v="1"/>
    <n v="-36"/>
    <n v="216"/>
  </r>
  <r>
    <x v="54"/>
    <s v="conventional_default_dq_cltv_115"/>
    <x v="155"/>
    <n v="0.89078124999999997"/>
    <n v="1"/>
    <n v="-36"/>
    <n v="216"/>
  </r>
  <r>
    <x v="54"/>
    <s v="conventional_default_dq_cltv_116"/>
    <x v="156"/>
    <n v="0.89639999999999997"/>
    <n v="1"/>
    <n v="-36"/>
    <n v="216"/>
  </r>
  <r>
    <x v="54"/>
    <s v="conventional_default_dq_cltv_117"/>
    <x v="157"/>
    <n v="0.90209375000000003"/>
    <n v="1"/>
    <n v="-36"/>
    <n v="216"/>
  </r>
  <r>
    <x v="54"/>
    <s v="conventional_default_dq_cltv_118"/>
    <x v="158"/>
    <n v="0.90790000000000004"/>
    <n v="1"/>
    <n v="-36"/>
    <n v="216"/>
  </r>
  <r>
    <x v="54"/>
    <s v="conventional_default_dq_cltv_119"/>
    <x v="159"/>
    <n v="0.91385625000000004"/>
    <n v="1"/>
    <n v="-36"/>
    <n v="216"/>
  </r>
  <r>
    <x v="54"/>
    <s v="conventional_default_dq_cltv_120"/>
    <x v="160"/>
    <n v="0.92"/>
    <n v="1"/>
    <n v="-36"/>
    <n v="216"/>
  </r>
  <r>
    <x v="54"/>
    <s v="conventional_default_dq_cltv_121"/>
    <x v="161"/>
    <n v="0.92623750000000005"/>
    <n v="1"/>
    <n v="-36"/>
    <n v="216"/>
  </r>
  <r>
    <x v="54"/>
    <s v="conventional_default_dq_cltv_122"/>
    <x v="162"/>
    <n v="0.93245"/>
    <n v="1"/>
    <n v="-36"/>
    <n v="216"/>
  </r>
  <r>
    <x v="54"/>
    <s v="conventional_default_dq_cltv_123"/>
    <x v="163"/>
    <n v="0.93863750000000001"/>
    <n v="1"/>
    <n v="-36"/>
    <n v="216"/>
  </r>
  <r>
    <x v="54"/>
    <s v="conventional_default_dq_cltv_124"/>
    <x v="164"/>
    <n v="0.94479999999999997"/>
    <n v="1"/>
    <n v="-36"/>
    <n v="216"/>
  </r>
  <r>
    <x v="54"/>
    <s v="conventional_default_dq_cltv_125"/>
    <x v="165"/>
    <n v="0.95093749999999999"/>
    <n v="1"/>
    <n v="-36"/>
    <n v="216"/>
  </r>
  <r>
    <x v="54"/>
    <s v="conventional_default_dq_cltv_126"/>
    <x v="166"/>
    <n v="0.95704999999999996"/>
    <n v="1"/>
    <n v="-36"/>
    <n v="216"/>
  </r>
  <r>
    <x v="54"/>
    <s v="conventional_default_dq_cltv_127"/>
    <x v="167"/>
    <n v="0.96313749999999998"/>
    <n v="1"/>
    <n v="-36"/>
    <n v="216"/>
  </r>
  <r>
    <x v="54"/>
    <s v="conventional_default_dq_cltv_128"/>
    <x v="168"/>
    <n v="0.96919999999999995"/>
    <n v="1"/>
    <n v="-36"/>
    <n v="216"/>
  </r>
  <r>
    <x v="54"/>
    <s v="conventional_default_dq_cltv_129"/>
    <x v="169"/>
    <n v="0.97523749999999998"/>
    <n v="1"/>
    <n v="-36"/>
    <n v="216"/>
  </r>
  <r>
    <x v="54"/>
    <s v="conventional_default_dq_cltv_130"/>
    <x v="170"/>
    <n v="0.98124999999999996"/>
    <n v="1"/>
    <n v="-36"/>
    <n v="216"/>
  </r>
  <r>
    <x v="54"/>
    <s v="conventional_default_dq_cltv_131"/>
    <x v="171"/>
    <n v="0.98723749999999999"/>
    <n v="1"/>
    <n v="-36"/>
    <n v="216"/>
  </r>
  <r>
    <x v="54"/>
    <s v="conventional_default_dq_cltv_132"/>
    <x v="172"/>
    <n v="0.99319999999999997"/>
    <n v="1"/>
    <n v="-36"/>
    <n v="216"/>
  </r>
  <r>
    <x v="54"/>
    <s v="conventional_default_dq_cltv_133"/>
    <x v="173"/>
    <n v="0.99913750000000001"/>
    <n v="1"/>
    <n v="-36"/>
    <n v="216"/>
  </r>
  <r>
    <x v="54"/>
    <s v="conventional_default_dq_cltv_134"/>
    <x v="174"/>
    <n v="1.00505"/>
    <n v="1"/>
    <n v="-36"/>
    <n v="216"/>
  </r>
  <r>
    <x v="54"/>
    <s v="conventional_default_dq_cltv_135"/>
    <x v="175"/>
    <n v="1.0109375"/>
    <n v="1"/>
    <n v="-36"/>
    <n v="216"/>
  </r>
  <r>
    <x v="54"/>
    <s v="conventional_default_dq_cltv_136"/>
    <x v="176"/>
    <n v="1.0167999999999999"/>
    <n v="1"/>
    <n v="-36"/>
    <n v="216"/>
  </r>
  <r>
    <x v="54"/>
    <s v="conventional_default_dq_cltv_137"/>
    <x v="177"/>
    <n v="1.0226375000000001"/>
    <n v="1"/>
    <n v="-36"/>
    <n v="216"/>
  </r>
  <r>
    <x v="54"/>
    <s v="conventional_default_dq_cltv_138"/>
    <x v="178"/>
    <n v="1.0284500000000001"/>
    <n v="1"/>
    <n v="-36"/>
    <n v="216"/>
  </r>
  <r>
    <x v="54"/>
    <s v="conventional_default_dq_cltv_139"/>
    <x v="179"/>
    <n v="1.0342374999999999"/>
    <n v="1"/>
    <n v="-36"/>
    <n v="216"/>
  </r>
  <r>
    <x v="54"/>
    <s v="conventional_default_dq_cltv_140"/>
    <x v="180"/>
    <n v="1.04"/>
    <n v="1"/>
    <n v="-36"/>
    <n v="216"/>
  </r>
  <r>
    <x v="54"/>
    <s v="conventional_default_dq_cltv_141"/>
    <x v="181"/>
    <n v="1.045796875"/>
    <n v="1"/>
    <n v="-36"/>
    <n v="216"/>
  </r>
  <r>
    <x v="54"/>
    <s v="conventional_default_dq_cltv_142"/>
    <x v="182"/>
    <n v="1.0516749999999999"/>
    <n v="1"/>
    <n v="-36"/>
    <n v="216"/>
  </r>
  <r>
    <x v="54"/>
    <s v="conventional_default_dq_cltv_143"/>
    <x v="183"/>
    <n v="1.0576156249999999"/>
    <n v="1"/>
    <n v="-36"/>
    <n v="216"/>
  </r>
  <r>
    <x v="54"/>
    <s v="conventional_default_dq_cltv_144"/>
    <x v="184"/>
    <n v="1.0636000000000001"/>
    <n v="1"/>
    <n v="-36"/>
    <n v="216"/>
  </r>
  <r>
    <x v="54"/>
    <s v="conventional_default_dq_cltv_145"/>
    <x v="185"/>
    <n v="1.069609375"/>
    <n v="1"/>
    <n v="-36"/>
    <n v="216"/>
  </r>
  <r>
    <x v="54"/>
    <s v="conventional_default_dq_cltv_146"/>
    <x v="186"/>
    <n v="1.0756250000000001"/>
    <n v="1"/>
    <n v="-36"/>
    <n v="216"/>
  </r>
  <r>
    <x v="54"/>
    <s v="conventional_default_dq_cltv_147"/>
    <x v="187"/>
    <n v="1.0816281249999999"/>
    <n v="1"/>
    <n v="-36"/>
    <n v="216"/>
  </r>
  <r>
    <x v="54"/>
    <s v="conventional_default_dq_cltv_148"/>
    <x v="188"/>
    <n v="1.0875999999999999"/>
    <n v="1"/>
    <n v="-36"/>
    <n v="216"/>
  </r>
  <r>
    <x v="54"/>
    <s v="conventional_default_dq_cltv_149"/>
    <x v="189"/>
    <n v="1.093521875"/>
    <n v="1"/>
    <n v="-36"/>
    <n v="216"/>
  </r>
  <r>
    <x v="54"/>
    <s v="conventional_default_dq_cltv_150"/>
    <x v="190"/>
    <n v="1.099375"/>
    <n v="1"/>
    <n v="-36"/>
    <n v="216"/>
  </r>
  <r>
    <x v="54"/>
    <s v="conventional_default_dq_cltv_151"/>
    <x v="191"/>
    <n v="1.105140625"/>
    <n v="1"/>
    <n v="-36"/>
    <n v="216"/>
  </r>
  <r>
    <x v="54"/>
    <s v="conventional_default_dq_cltv_152"/>
    <x v="192"/>
    <n v="1.1108"/>
    <n v="1"/>
    <n v="-36"/>
    <n v="216"/>
  </r>
  <r>
    <x v="54"/>
    <s v="conventional_default_dq_cltv_153"/>
    <x v="193"/>
    <n v="1.1163343750000001"/>
    <n v="1"/>
    <n v="-36"/>
    <n v="216"/>
  </r>
  <r>
    <x v="54"/>
    <s v="conventional_default_dq_cltv_154"/>
    <x v="194"/>
    <n v="1.1217250000000001"/>
    <n v="1"/>
    <n v="-36"/>
    <n v="216"/>
  </r>
  <r>
    <x v="54"/>
    <s v="conventional_default_dq_cltv_155"/>
    <x v="195"/>
    <n v="1.126953125"/>
    <n v="1"/>
    <n v="-36"/>
    <n v="216"/>
  </r>
  <r>
    <x v="54"/>
    <s v="conventional_default_dq_cltv_156"/>
    <x v="196"/>
    <n v="1.1319999999999999"/>
    <n v="1"/>
    <n v="-36"/>
    <n v="216"/>
  </r>
  <r>
    <x v="54"/>
    <s v="conventional_default_dq_cltv_157"/>
    <x v="197"/>
    <n v="1.136846875"/>
    <n v="1"/>
    <n v="-36"/>
    <n v="216"/>
  </r>
  <r>
    <x v="54"/>
    <s v="conventional_default_dq_cltv_158"/>
    <x v="198"/>
    <n v="1.141475"/>
    <n v="1"/>
    <n v="-36"/>
    <n v="216"/>
  </r>
  <r>
    <x v="54"/>
    <s v="conventional_default_dq_cltv_159"/>
    <x v="199"/>
    <n v="1.1458656250000001"/>
    <n v="1"/>
    <n v="-36"/>
    <n v="216"/>
  </r>
  <r>
    <x v="54"/>
    <s v="conventional_default_dq_cltv_160"/>
    <x v="200"/>
    <n v="1.1499999999999999"/>
    <n v="1"/>
    <n v="-36"/>
    <n v="216"/>
  </r>
  <r>
    <x v="54"/>
    <s v="conventional_default_dq_cltv_161"/>
    <x v="201"/>
    <n v="1.1538537499999999"/>
    <n v="1"/>
    <n v="-36"/>
    <n v="216"/>
  </r>
  <r>
    <x v="54"/>
    <s v="conventional_default_dq_cltv_162"/>
    <x v="202"/>
    <n v="1.15743"/>
    <n v="1"/>
    <n v="-36"/>
    <n v="216"/>
  </r>
  <r>
    <x v="54"/>
    <s v="conventional_default_dq_cltv_163"/>
    <x v="203"/>
    <n v="1.1607512499999999"/>
    <n v="1"/>
    <n v="-36"/>
    <n v="216"/>
  </r>
  <r>
    <x v="54"/>
    <s v="conventional_default_dq_cltv_164"/>
    <x v="204"/>
    <n v="1.16384"/>
    <n v="1"/>
    <n v="-36"/>
    <n v="216"/>
  </r>
  <r>
    <x v="54"/>
    <s v="conventional_default_dq_cltv_165"/>
    <x v="205"/>
    <n v="1.16671875"/>
    <n v="1"/>
    <n v="-36"/>
    <n v="216"/>
  </r>
  <r>
    <x v="54"/>
    <s v="conventional_default_dq_cltv_166"/>
    <x v="206"/>
    <n v="1.1694100000000001"/>
    <n v="1"/>
    <n v="-36"/>
    <n v="216"/>
  </r>
  <r>
    <x v="54"/>
    <s v="conventional_default_dq_cltv_167"/>
    <x v="207"/>
    <n v="1.1719362499999999"/>
    <n v="1"/>
    <n v="-36"/>
    <n v="216"/>
  </r>
  <r>
    <x v="54"/>
    <s v="conventional_default_dq_cltv_168"/>
    <x v="208"/>
    <n v="1.17432"/>
    <n v="1"/>
    <n v="-36"/>
    <n v="216"/>
  </r>
  <r>
    <x v="54"/>
    <s v="conventional_default_dq_cltv_169"/>
    <x v="209"/>
    <n v="1.17658375"/>
    <n v="1"/>
    <n v="-36"/>
    <n v="216"/>
  </r>
  <r>
    <x v="54"/>
    <s v="conventional_default_dq_cltv_170"/>
    <x v="210"/>
    <n v="1.17875"/>
    <n v="1"/>
    <n v="-36"/>
    <n v="216"/>
  </r>
  <r>
    <x v="54"/>
    <s v="conventional_default_dq_cltv_171"/>
    <x v="211"/>
    <n v="1.1808412500000001"/>
    <n v="1"/>
    <n v="-36"/>
    <n v="216"/>
  </r>
  <r>
    <x v="54"/>
    <s v="conventional_default_dq_cltv_172"/>
    <x v="212"/>
    <n v="1.1828799999999999"/>
    <n v="1"/>
    <n v="-36"/>
    <n v="216"/>
  </r>
  <r>
    <x v="54"/>
    <s v="conventional_default_dq_cltv_173"/>
    <x v="213"/>
    <n v="1.18488875"/>
    <n v="1"/>
    <n v="-36"/>
    <n v="216"/>
  </r>
  <r>
    <x v="54"/>
    <s v="conventional_default_dq_cltv_174"/>
    <x v="214"/>
    <n v="1.18689"/>
    <n v="1"/>
    <n v="-36"/>
    <n v="216"/>
  </r>
  <r>
    <x v="54"/>
    <s v="conventional_default_dq_cltv_175"/>
    <x v="215"/>
    <n v="1.1889062500000001"/>
    <n v="1"/>
    <n v="-36"/>
    <n v="216"/>
  </r>
  <r>
    <x v="54"/>
    <s v="conventional_default_dq_cltv_176"/>
    <x v="216"/>
    <n v="1.19096"/>
    <n v="1"/>
    <n v="-36"/>
    <n v="216"/>
  </r>
  <r>
    <x v="54"/>
    <s v="conventional_default_dq_cltv_177"/>
    <x v="217"/>
    <n v="1.1930737499999999"/>
    <n v="1"/>
    <n v="-36"/>
    <n v="216"/>
  </r>
  <r>
    <x v="54"/>
    <s v="conventional_default_dq_cltv_178"/>
    <x v="218"/>
    <n v="1.1952700000000001"/>
    <n v="1"/>
    <n v="-36"/>
    <n v="216"/>
  </r>
  <r>
    <x v="54"/>
    <s v="conventional_default_dq_cltv_179"/>
    <x v="219"/>
    <n v="1.19757125"/>
    <n v="1"/>
    <n v="-36"/>
    <n v="216"/>
  </r>
  <r>
    <x v="54"/>
    <s v="conventional_default_dq_cltv_180"/>
    <x v="220"/>
    <n v="1.2"/>
    <n v="1"/>
    <n v="-36"/>
    <n v="216"/>
  </r>
  <r>
    <x v="54"/>
    <s v="conventional_default_dq_cltv_181"/>
    <x v="221"/>
    <n v="1.2024999999999999"/>
    <n v="1"/>
    <n v="-36"/>
    <n v="216"/>
  </r>
  <r>
    <x v="54"/>
    <s v="conventional_default_dq_cltv_182"/>
    <x v="222"/>
    <n v="1.2050000000000001"/>
    <n v="1"/>
    <n v="-36"/>
    <n v="216"/>
  </r>
  <r>
    <x v="54"/>
    <s v="conventional_default_dq_cltv_183"/>
    <x v="223"/>
    <n v="1.2075"/>
    <n v="1"/>
    <n v="-36"/>
    <n v="216"/>
  </r>
  <r>
    <x v="54"/>
    <s v="conventional_default_dq_cltv_184"/>
    <x v="224"/>
    <n v="1.21"/>
    <n v="1"/>
    <n v="-36"/>
    <n v="216"/>
  </r>
  <r>
    <x v="54"/>
    <s v="conventional_default_dq_cltv_185"/>
    <x v="225"/>
    <n v="1.2124999999999999"/>
    <n v="1"/>
    <n v="-36"/>
    <n v="216"/>
  </r>
  <r>
    <x v="54"/>
    <s v="conventional_default_dq_cltv_186"/>
    <x v="226"/>
    <n v="1.2150000000000001"/>
    <n v="1"/>
    <n v="-36"/>
    <n v="216"/>
  </r>
  <r>
    <x v="54"/>
    <s v="conventional_default_dq_cltv_187"/>
    <x v="227"/>
    <n v="1.2175"/>
    <n v="1"/>
    <n v="-36"/>
    <n v="216"/>
  </r>
  <r>
    <x v="54"/>
    <s v="conventional_default_dq_cltv_188"/>
    <x v="228"/>
    <n v="1.22"/>
    <n v="1"/>
    <n v="-36"/>
    <n v="216"/>
  </r>
  <r>
    <x v="54"/>
    <s v="conventional_default_dq_cltv_189"/>
    <x v="229"/>
    <n v="1.2224999999999999"/>
    <n v="1"/>
    <n v="-36"/>
    <n v="216"/>
  </r>
  <r>
    <x v="54"/>
    <s v="conventional_default_dq_cltv_190"/>
    <x v="230"/>
    <n v="1.2250000000000001"/>
    <n v="1"/>
    <n v="-36"/>
    <n v="216"/>
  </r>
  <r>
    <x v="54"/>
    <s v="conventional_default_dq_cltv_191"/>
    <x v="231"/>
    <n v="1.2275"/>
    <n v="1"/>
    <n v="-36"/>
    <n v="216"/>
  </r>
  <r>
    <x v="54"/>
    <s v="conventional_default_dq_cltv_192"/>
    <x v="232"/>
    <n v="1.23"/>
    <n v="1"/>
    <n v="-36"/>
    <n v="216"/>
  </r>
  <r>
    <x v="54"/>
    <s v="conventional_default_dq_cltv_193"/>
    <x v="233"/>
    <n v="1.2324999999999999"/>
    <n v="1"/>
    <n v="-36"/>
    <n v="216"/>
  </r>
  <r>
    <x v="54"/>
    <s v="conventional_default_dq_cltv_194"/>
    <x v="234"/>
    <n v="1.2350000000000001"/>
    <n v="1"/>
    <n v="-36"/>
    <n v="216"/>
  </r>
  <r>
    <x v="54"/>
    <s v="conventional_default_dq_cltv_195"/>
    <x v="235"/>
    <n v="1.2375"/>
    <n v="1"/>
    <n v="-36"/>
    <n v="216"/>
  </r>
  <r>
    <x v="54"/>
    <s v="conventional_default_dq_cltv_196"/>
    <x v="236"/>
    <n v="1.24"/>
    <n v="1"/>
    <n v="-36"/>
    <n v="216"/>
  </r>
  <r>
    <x v="54"/>
    <s v="conventional_default_dq_cltv_197"/>
    <x v="237"/>
    <n v="1.2424999999999999"/>
    <n v="1"/>
    <n v="-36"/>
    <n v="216"/>
  </r>
  <r>
    <x v="54"/>
    <s v="conventional_default_dq_cltv_198"/>
    <x v="238"/>
    <n v="1.2450000000000001"/>
    <n v="1"/>
    <n v="-36"/>
    <n v="216"/>
  </r>
  <r>
    <x v="54"/>
    <s v="conventional_default_dq_cltv_199"/>
    <x v="239"/>
    <n v="1.2475000000000001"/>
    <n v="1"/>
    <n v="-36"/>
    <n v="216"/>
  </r>
  <r>
    <x v="54"/>
    <s v="conventional_default_dq_cltv_200"/>
    <x v="240"/>
    <n v="1.25"/>
    <n v="1"/>
    <n v="-36"/>
    <n v="216"/>
  </r>
  <r>
    <x v="54"/>
    <s v="conventional_default_dq_cltv_201"/>
    <x v="241"/>
    <n v="1.2524999999999999"/>
    <n v="1"/>
    <n v="-36"/>
    <n v="216"/>
  </r>
  <r>
    <x v="54"/>
    <s v="conventional_default_dq_cltv_202"/>
    <x v="242"/>
    <n v="1.2549999999999999"/>
    <n v="1"/>
    <n v="-36"/>
    <n v="216"/>
  </r>
  <r>
    <x v="54"/>
    <s v="conventional_default_dq_cltv_203"/>
    <x v="243"/>
    <n v="1.2575000000000001"/>
    <n v="1"/>
    <n v="-36"/>
    <n v="216"/>
  </r>
  <r>
    <x v="54"/>
    <s v="conventional_default_dq_cltv_204"/>
    <x v="244"/>
    <n v="1.26"/>
    <n v="1"/>
    <n v="-36"/>
    <n v="216"/>
  </r>
  <r>
    <x v="54"/>
    <s v="conventional_default_dq_cltv_205"/>
    <x v="245"/>
    <n v="1.2625"/>
    <n v="1"/>
    <n v="-36"/>
    <n v="216"/>
  </r>
  <r>
    <x v="54"/>
    <s v="conventional_default_dq_cltv_206"/>
    <x v="246"/>
    <n v="1.2649999999999999"/>
    <n v="1"/>
    <n v="-36"/>
    <n v="216"/>
  </r>
  <r>
    <x v="54"/>
    <s v="conventional_default_dq_cltv_207"/>
    <x v="247"/>
    <n v="1.2675000000000001"/>
    <n v="1"/>
    <n v="-36"/>
    <n v="216"/>
  </r>
  <r>
    <x v="54"/>
    <s v="conventional_default_dq_cltv_208"/>
    <x v="248"/>
    <n v="1.27"/>
    <n v="1"/>
    <n v="-36"/>
    <n v="216"/>
  </r>
  <r>
    <x v="54"/>
    <s v="conventional_default_dq_cltv_209"/>
    <x v="249"/>
    <n v="1.2725"/>
    <n v="1"/>
    <n v="-36"/>
    <n v="216"/>
  </r>
  <r>
    <x v="54"/>
    <s v="conventional_default_dq_cltv_210"/>
    <x v="250"/>
    <n v="1.2749999999999999"/>
    <n v="1"/>
    <n v="-36"/>
    <n v="216"/>
  </r>
  <r>
    <x v="54"/>
    <s v="conventional_default_dq_cltv_211"/>
    <x v="251"/>
    <n v="1.2775000000000001"/>
    <n v="1"/>
    <n v="-36"/>
    <n v="216"/>
  </r>
  <r>
    <x v="54"/>
    <s v="conventional_default_dq_cltv_212"/>
    <x v="252"/>
    <n v="1.28"/>
    <n v="1"/>
    <n v="-36"/>
    <n v="216"/>
  </r>
  <r>
    <x v="54"/>
    <s v="conventional_default_dq_cltv_213"/>
    <x v="253"/>
    <n v="1.2825"/>
    <n v="1"/>
    <n v="-36"/>
    <n v="216"/>
  </r>
  <r>
    <x v="54"/>
    <s v="conventional_default_dq_cltv_214"/>
    <x v="254"/>
    <n v="1.2849999999999999"/>
    <n v="1"/>
    <n v="-36"/>
    <n v="216"/>
  </r>
  <r>
    <x v="54"/>
    <s v="conventional_default_dq_cltv_215"/>
    <x v="255"/>
    <n v="1.2875000000000001"/>
    <n v="1"/>
    <n v="-36"/>
    <n v="216"/>
  </r>
  <r>
    <x v="54"/>
    <s v="conventional_default_dq_cltv_216"/>
    <x v="256"/>
    <n v="1.29"/>
    <n v="1"/>
    <n v="-36"/>
    <n v="216"/>
  </r>
  <r>
    <x v="55"/>
    <s v="conventional_default_dq_fico_490"/>
    <x v="530"/>
    <n v="1"/>
    <n v="1"/>
    <n v="490"/>
    <n v="910"/>
  </r>
  <r>
    <x v="55"/>
    <s v="conventional_default_dq_fico_491"/>
    <x v="531"/>
    <n v="1"/>
    <n v="1"/>
    <n v="490"/>
    <n v="910"/>
  </r>
  <r>
    <x v="55"/>
    <s v="conventional_default_dq_fico_492"/>
    <x v="532"/>
    <n v="1"/>
    <n v="1"/>
    <n v="490"/>
    <n v="910"/>
  </r>
  <r>
    <x v="55"/>
    <s v="conventional_default_dq_fico_493"/>
    <x v="533"/>
    <n v="1"/>
    <n v="1"/>
    <n v="490"/>
    <n v="910"/>
  </r>
  <r>
    <x v="55"/>
    <s v="conventional_default_dq_fico_494"/>
    <x v="534"/>
    <n v="1"/>
    <n v="1"/>
    <n v="490"/>
    <n v="910"/>
  </r>
  <r>
    <x v="55"/>
    <s v="conventional_default_dq_fico_495"/>
    <x v="535"/>
    <n v="1"/>
    <n v="1"/>
    <n v="490"/>
    <n v="910"/>
  </r>
  <r>
    <x v="55"/>
    <s v="conventional_default_dq_fico_496"/>
    <x v="536"/>
    <n v="1"/>
    <n v="1"/>
    <n v="490"/>
    <n v="910"/>
  </r>
  <r>
    <x v="55"/>
    <s v="conventional_default_dq_fico_497"/>
    <x v="537"/>
    <n v="1"/>
    <n v="1"/>
    <n v="490"/>
    <n v="910"/>
  </r>
  <r>
    <x v="55"/>
    <s v="conventional_default_dq_fico_498"/>
    <x v="538"/>
    <n v="1"/>
    <n v="1"/>
    <n v="490"/>
    <n v="910"/>
  </r>
  <r>
    <x v="55"/>
    <s v="conventional_default_dq_fico_499"/>
    <x v="539"/>
    <n v="1"/>
    <n v="1"/>
    <n v="490"/>
    <n v="910"/>
  </r>
  <r>
    <x v="55"/>
    <s v="conventional_default_dq_fico_500"/>
    <x v="540"/>
    <n v="1"/>
    <n v="1"/>
    <n v="490"/>
    <n v="910"/>
  </r>
  <r>
    <x v="55"/>
    <s v="conventional_default_dq_fico_501"/>
    <x v="541"/>
    <n v="1"/>
    <n v="1"/>
    <n v="490"/>
    <n v="910"/>
  </r>
  <r>
    <x v="55"/>
    <s v="conventional_default_dq_fico_502"/>
    <x v="542"/>
    <n v="1"/>
    <n v="1"/>
    <n v="490"/>
    <n v="910"/>
  </r>
  <r>
    <x v="55"/>
    <s v="conventional_default_dq_fico_503"/>
    <x v="543"/>
    <n v="1"/>
    <n v="1"/>
    <n v="490"/>
    <n v="910"/>
  </r>
  <r>
    <x v="55"/>
    <s v="conventional_default_dq_fico_504"/>
    <x v="544"/>
    <n v="1"/>
    <n v="1"/>
    <n v="490"/>
    <n v="910"/>
  </r>
  <r>
    <x v="55"/>
    <s v="conventional_default_dq_fico_505"/>
    <x v="545"/>
    <n v="1"/>
    <n v="1"/>
    <n v="490"/>
    <n v="910"/>
  </r>
  <r>
    <x v="55"/>
    <s v="conventional_default_dq_fico_506"/>
    <x v="546"/>
    <n v="1"/>
    <n v="1"/>
    <n v="490"/>
    <n v="910"/>
  </r>
  <r>
    <x v="55"/>
    <s v="conventional_default_dq_fico_507"/>
    <x v="547"/>
    <n v="1"/>
    <n v="1"/>
    <n v="490"/>
    <n v="910"/>
  </r>
  <r>
    <x v="55"/>
    <s v="conventional_default_dq_fico_508"/>
    <x v="548"/>
    <n v="1"/>
    <n v="1"/>
    <n v="490"/>
    <n v="910"/>
  </r>
  <r>
    <x v="55"/>
    <s v="conventional_default_dq_fico_509"/>
    <x v="549"/>
    <n v="1"/>
    <n v="1"/>
    <n v="490"/>
    <n v="910"/>
  </r>
  <r>
    <x v="55"/>
    <s v="conventional_default_dq_fico_510"/>
    <x v="550"/>
    <n v="1"/>
    <n v="1"/>
    <n v="490"/>
    <n v="910"/>
  </r>
  <r>
    <x v="55"/>
    <s v="conventional_default_dq_fico_511"/>
    <x v="551"/>
    <n v="1"/>
    <n v="1"/>
    <n v="490"/>
    <n v="910"/>
  </r>
  <r>
    <x v="55"/>
    <s v="conventional_default_dq_fico_512"/>
    <x v="552"/>
    <n v="1"/>
    <n v="1"/>
    <n v="490"/>
    <n v="910"/>
  </r>
  <r>
    <x v="55"/>
    <s v="conventional_default_dq_fico_513"/>
    <x v="553"/>
    <n v="1"/>
    <n v="1"/>
    <n v="490"/>
    <n v="910"/>
  </r>
  <r>
    <x v="55"/>
    <s v="conventional_default_dq_fico_514"/>
    <x v="554"/>
    <n v="1"/>
    <n v="1"/>
    <n v="490"/>
    <n v="910"/>
  </r>
  <r>
    <x v="55"/>
    <s v="conventional_default_dq_fico_515"/>
    <x v="555"/>
    <n v="1"/>
    <n v="1"/>
    <n v="490"/>
    <n v="910"/>
  </r>
  <r>
    <x v="55"/>
    <s v="conventional_default_dq_fico_516"/>
    <x v="556"/>
    <n v="1"/>
    <n v="1"/>
    <n v="490"/>
    <n v="910"/>
  </r>
  <r>
    <x v="55"/>
    <s v="conventional_default_dq_fico_517"/>
    <x v="557"/>
    <n v="1"/>
    <n v="1"/>
    <n v="490"/>
    <n v="910"/>
  </r>
  <r>
    <x v="55"/>
    <s v="conventional_default_dq_fico_518"/>
    <x v="558"/>
    <n v="1"/>
    <n v="1"/>
    <n v="490"/>
    <n v="910"/>
  </r>
  <r>
    <x v="55"/>
    <s v="conventional_default_dq_fico_519"/>
    <x v="559"/>
    <n v="1"/>
    <n v="1"/>
    <n v="490"/>
    <n v="910"/>
  </r>
  <r>
    <x v="55"/>
    <s v="conventional_default_dq_fico_520"/>
    <x v="560"/>
    <n v="1"/>
    <n v="1"/>
    <n v="490"/>
    <n v="910"/>
  </r>
  <r>
    <x v="55"/>
    <s v="conventional_default_dq_fico_521"/>
    <x v="561"/>
    <n v="1"/>
    <n v="1"/>
    <n v="490"/>
    <n v="910"/>
  </r>
  <r>
    <x v="55"/>
    <s v="conventional_default_dq_fico_522"/>
    <x v="562"/>
    <n v="1"/>
    <n v="1"/>
    <n v="490"/>
    <n v="910"/>
  </r>
  <r>
    <x v="55"/>
    <s v="conventional_default_dq_fico_523"/>
    <x v="563"/>
    <n v="1"/>
    <n v="1"/>
    <n v="490"/>
    <n v="910"/>
  </r>
  <r>
    <x v="55"/>
    <s v="conventional_default_dq_fico_524"/>
    <x v="564"/>
    <n v="1"/>
    <n v="1"/>
    <n v="490"/>
    <n v="910"/>
  </r>
  <r>
    <x v="55"/>
    <s v="conventional_default_dq_fico_525"/>
    <x v="565"/>
    <n v="1"/>
    <n v="1"/>
    <n v="490"/>
    <n v="910"/>
  </r>
  <r>
    <x v="55"/>
    <s v="conventional_default_dq_fico_526"/>
    <x v="566"/>
    <n v="1"/>
    <n v="1"/>
    <n v="490"/>
    <n v="910"/>
  </r>
  <r>
    <x v="55"/>
    <s v="conventional_default_dq_fico_527"/>
    <x v="567"/>
    <n v="1"/>
    <n v="1"/>
    <n v="490"/>
    <n v="910"/>
  </r>
  <r>
    <x v="55"/>
    <s v="conventional_default_dq_fico_528"/>
    <x v="568"/>
    <n v="1"/>
    <n v="1"/>
    <n v="490"/>
    <n v="910"/>
  </r>
  <r>
    <x v="55"/>
    <s v="conventional_default_dq_fico_529"/>
    <x v="569"/>
    <n v="1"/>
    <n v="1"/>
    <n v="490"/>
    <n v="910"/>
  </r>
  <r>
    <x v="55"/>
    <s v="conventional_default_dq_fico_530"/>
    <x v="570"/>
    <n v="1"/>
    <n v="1"/>
    <n v="490"/>
    <n v="910"/>
  </r>
  <r>
    <x v="55"/>
    <s v="conventional_default_dq_fico_531"/>
    <x v="571"/>
    <n v="1"/>
    <n v="1"/>
    <n v="490"/>
    <n v="910"/>
  </r>
  <r>
    <x v="55"/>
    <s v="conventional_default_dq_fico_532"/>
    <x v="572"/>
    <n v="1"/>
    <n v="1"/>
    <n v="490"/>
    <n v="910"/>
  </r>
  <r>
    <x v="55"/>
    <s v="conventional_default_dq_fico_533"/>
    <x v="573"/>
    <n v="1"/>
    <n v="1"/>
    <n v="490"/>
    <n v="910"/>
  </r>
  <r>
    <x v="55"/>
    <s v="conventional_default_dq_fico_534"/>
    <x v="574"/>
    <n v="1"/>
    <n v="1"/>
    <n v="490"/>
    <n v="910"/>
  </r>
  <r>
    <x v="55"/>
    <s v="conventional_default_dq_fico_535"/>
    <x v="575"/>
    <n v="1"/>
    <n v="1"/>
    <n v="490"/>
    <n v="910"/>
  </r>
  <r>
    <x v="55"/>
    <s v="conventional_default_dq_fico_536"/>
    <x v="576"/>
    <n v="1"/>
    <n v="1"/>
    <n v="490"/>
    <n v="910"/>
  </r>
  <r>
    <x v="55"/>
    <s v="conventional_default_dq_fico_537"/>
    <x v="577"/>
    <n v="1"/>
    <n v="1"/>
    <n v="490"/>
    <n v="910"/>
  </r>
  <r>
    <x v="55"/>
    <s v="conventional_default_dq_fico_538"/>
    <x v="578"/>
    <n v="1"/>
    <n v="1"/>
    <n v="490"/>
    <n v="910"/>
  </r>
  <r>
    <x v="55"/>
    <s v="conventional_default_dq_fico_539"/>
    <x v="579"/>
    <n v="1"/>
    <n v="1"/>
    <n v="490"/>
    <n v="910"/>
  </r>
  <r>
    <x v="55"/>
    <s v="conventional_default_dq_fico_540"/>
    <x v="580"/>
    <n v="1"/>
    <n v="1"/>
    <n v="490"/>
    <n v="910"/>
  </r>
  <r>
    <x v="55"/>
    <s v="conventional_default_dq_fico_541"/>
    <x v="581"/>
    <n v="1"/>
    <n v="1"/>
    <n v="490"/>
    <n v="910"/>
  </r>
  <r>
    <x v="55"/>
    <s v="conventional_default_dq_fico_542"/>
    <x v="582"/>
    <n v="1"/>
    <n v="1"/>
    <n v="490"/>
    <n v="910"/>
  </r>
  <r>
    <x v="55"/>
    <s v="conventional_default_dq_fico_543"/>
    <x v="583"/>
    <n v="1"/>
    <n v="1"/>
    <n v="490"/>
    <n v="910"/>
  </r>
  <r>
    <x v="55"/>
    <s v="conventional_default_dq_fico_544"/>
    <x v="584"/>
    <n v="1"/>
    <n v="1"/>
    <n v="490"/>
    <n v="910"/>
  </r>
  <r>
    <x v="55"/>
    <s v="conventional_default_dq_fico_545"/>
    <x v="585"/>
    <n v="1"/>
    <n v="1"/>
    <n v="490"/>
    <n v="910"/>
  </r>
  <r>
    <x v="55"/>
    <s v="conventional_default_dq_fico_546"/>
    <x v="586"/>
    <n v="1"/>
    <n v="1"/>
    <n v="490"/>
    <n v="910"/>
  </r>
  <r>
    <x v="55"/>
    <s v="conventional_default_dq_fico_547"/>
    <x v="587"/>
    <n v="1"/>
    <n v="1"/>
    <n v="490"/>
    <n v="910"/>
  </r>
  <r>
    <x v="55"/>
    <s v="conventional_default_dq_fico_548"/>
    <x v="588"/>
    <n v="1"/>
    <n v="1"/>
    <n v="490"/>
    <n v="910"/>
  </r>
  <r>
    <x v="55"/>
    <s v="conventional_default_dq_fico_549"/>
    <x v="589"/>
    <n v="1"/>
    <n v="1"/>
    <n v="490"/>
    <n v="910"/>
  </r>
  <r>
    <x v="55"/>
    <s v="conventional_default_dq_fico_550"/>
    <x v="590"/>
    <n v="1"/>
    <n v="1"/>
    <n v="490"/>
    <n v="910"/>
  </r>
  <r>
    <x v="55"/>
    <s v="conventional_default_dq_fico_551"/>
    <x v="591"/>
    <n v="1"/>
    <n v="1"/>
    <n v="490"/>
    <n v="910"/>
  </r>
  <r>
    <x v="55"/>
    <s v="conventional_default_dq_fico_552"/>
    <x v="592"/>
    <n v="1"/>
    <n v="1"/>
    <n v="490"/>
    <n v="910"/>
  </r>
  <r>
    <x v="55"/>
    <s v="conventional_default_dq_fico_553"/>
    <x v="593"/>
    <n v="1"/>
    <n v="1"/>
    <n v="490"/>
    <n v="910"/>
  </r>
  <r>
    <x v="55"/>
    <s v="conventional_default_dq_fico_554"/>
    <x v="594"/>
    <n v="1"/>
    <n v="1"/>
    <n v="490"/>
    <n v="910"/>
  </r>
  <r>
    <x v="55"/>
    <s v="conventional_default_dq_fico_555"/>
    <x v="595"/>
    <n v="1"/>
    <n v="1"/>
    <n v="490"/>
    <n v="910"/>
  </r>
  <r>
    <x v="55"/>
    <s v="conventional_default_dq_fico_556"/>
    <x v="596"/>
    <n v="1"/>
    <n v="1"/>
    <n v="490"/>
    <n v="910"/>
  </r>
  <r>
    <x v="55"/>
    <s v="conventional_default_dq_fico_557"/>
    <x v="597"/>
    <n v="1"/>
    <n v="1"/>
    <n v="490"/>
    <n v="910"/>
  </r>
  <r>
    <x v="55"/>
    <s v="conventional_default_dq_fico_558"/>
    <x v="598"/>
    <n v="1"/>
    <n v="1"/>
    <n v="490"/>
    <n v="910"/>
  </r>
  <r>
    <x v="55"/>
    <s v="conventional_default_dq_fico_559"/>
    <x v="599"/>
    <n v="1"/>
    <n v="1"/>
    <n v="490"/>
    <n v="910"/>
  </r>
  <r>
    <x v="55"/>
    <s v="conventional_default_dq_fico_560"/>
    <x v="600"/>
    <n v="1"/>
    <n v="1"/>
    <n v="490"/>
    <n v="910"/>
  </r>
  <r>
    <x v="55"/>
    <s v="conventional_default_dq_fico_561"/>
    <x v="601"/>
    <n v="1"/>
    <n v="1"/>
    <n v="490"/>
    <n v="910"/>
  </r>
  <r>
    <x v="55"/>
    <s v="conventional_default_dq_fico_562"/>
    <x v="602"/>
    <n v="1"/>
    <n v="1"/>
    <n v="490"/>
    <n v="910"/>
  </r>
  <r>
    <x v="55"/>
    <s v="conventional_default_dq_fico_563"/>
    <x v="603"/>
    <n v="1"/>
    <n v="1"/>
    <n v="490"/>
    <n v="910"/>
  </r>
  <r>
    <x v="55"/>
    <s v="conventional_default_dq_fico_564"/>
    <x v="604"/>
    <n v="1"/>
    <n v="1"/>
    <n v="490"/>
    <n v="910"/>
  </r>
  <r>
    <x v="55"/>
    <s v="conventional_default_dq_fico_565"/>
    <x v="605"/>
    <n v="1"/>
    <n v="1"/>
    <n v="490"/>
    <n v="910"/>
  </r>
  <r>
    <x v="55"/>
    <s v="conventional_default_dq_fico_566"/>
    <x v="606"/>
    <n v="1"/>
    <n v="1"/>
    <n v="490"/>
    <n v="910"/>
  </r>
  <r>
    <x v="55"/>
    <s v="conventional_default_dq_fico_567"/>
    <x v="607"/>
    <n v="1"/>
    <n v="1"/>
    <n v="490"/>
    <n v="910"/>
  </r>
  <r>
    <x v="55"/>
    <s v="conventional_default_dq_fico_568"/>
    <x v="608"/>
    <n v="1"/>
    <n v="1"/>
    <n v="490"/>
    <n v="910"/>
  </r>
  <r>
    <x v="55"/>
    <s v="conventional_default_dq_fico_569"/>
    <x v="609"/>
    <n v="1"/>
    <n v="1"/>
    <n v="490"/>
    <n v="910"/>
  </r>
  <r>
    <x v="55"/>
    <s v="conventional_default_dq_fico_570"/>
    <x v="610"/>
    <n v="1"/>
    <n v="1"/>
    <n v="490"/>
    <n v="910"/>
  </r>
  <r>
    <x v="55"/>
    <s v="conventional_default_dq_fico_571"/>
    <x v="611"/>
    <n v="1"/>
    <n v="1"/>
    <n v="490"/>
    <n v="910"/>
  </r>
  <r>
    <x v="55"/>
    <s v="conventional_default_dq_fico_572"/>
    <x v="612"/>
    <n v="1"/>
    <n v="1"/>
    <n v="490"/>
    <n v="910"/>
  </r>
  <r>
    <x v="55"/>
    <s v="conventional_default_dq_fico_573"/>
    <x v="613"/>
    <n v="1"/>
    <n v="1"/>
    <n v="490"/>
    <n v="910"/>
  </r>
  <r>
    <x v="55"/>
    <s v="conventional_default_dq_fico_574"/>
    <x v="614"/>
    <n v="1"/>
    <n v="1"/>
    <n v="490"/>
    <n v="910"/>
  </r>
  <r>
    <x v="55"/>
    <s v="conventional_default_dq_fico_575"/>
    <x v="615"/>
    <n v="1"/>
    <n v="1"/>
    <n v="490"/>
    <n v="910"/>
  </r>
  <r>
    <x v="55"/>
    <s v="conventional_default_dq_fico_576"/>
    <x v="616"/>
    <n v="1"/>
    <n v="1"/>
    <n v="490"/>
    <n v="910"/>
  </r>
  <r>
    <x v="55"/>
    <s v="conventional_default_dq_fico_577"/>
    <x v="617"/>
    <n v="1"/>
    <n v="1"/>
    <n v="490"/>
    <n v="910"/>
  </r>
  <r>
    <x v="55"/>
    <s v="conventional_default_dq_fico_578"/>
    <x v="618"/>
    <n v="1"/>
    <n v="1"/>
    <n v="490"/>
    <n v="910"/>
  </r>
  <r>
    <x v="55"/>
    <s v="conventional_default_dq_fico_579"/>
    <x v="619"/>
    <n v="1"/>
    <n v="1"/>
    <n v="490"/>
    <n v="910"/>
  </r>
  <r>
    <x v="55"/>
    <s v="conventional_default_dq_fico_580"/>
    <x v="620"/>
    <n v="1"/>
    <n v="1"/>
    <n v="490"/>
    <n v="910"/>
  </r>
  <r>
    <x v="55"/>
    <s v="conventional_default_dq_fico_581"/>
    <x v="621"/>
    <n v="1"/>
    <n v="1"/>
    <n v="490"/>
    <n v="910"/>
  </r>
  <r>
    <x v="55"/>
    <s v="conventional_default_dq_fico_582"/>
    <x v="622"/>
    <n v="1"/>
    <n v="1"/>
    <n v="490"/>
    <n v="910"/>
  </r>
  <r>
    <x v="55"/>
    <s v="conventional_default_dq_fico_583"/>
    <x v="623"/>
    <n v="1"/>
    <n v="1"/>
    <n v="490"/>
    <n v="910"/>
  </r>
  <r>
    <x v="55"/>
    <s v="conventional_default_dq_fico_584"/>
    <x v="624"/>
    <n v="1"/>
    <n v="1"/>
    <n v="490"/>
    <n v="910"/>
  </r>
  <r>
    <x v="55"/>
    <s v="conventional_default_dq_fico_585"/>
    <x v="625"/>
    <n v="1"/>
    <n v="1"/>
    <n v="490"/>
    <n v="910"/>
  </r>
  <r>
    <x v="55"/>
    <s v="conventional_default_dq_fico_586"/>
    <x v="626"/>
    <n v="1"/>
    <n v="1"/>
    <n v="490"/>
    <n v="910"/>
  </r>
  <r>
    <x v="55"/>
    <s v="conventional_default_dq_fico_587"/>
    <x v="627"/>
    <n v="1"/>
    <n v="1"/>
    <n v="490"/>
    <n v="910"/>
  </r>
  <r>
    <x v="55"/>
    <s v="conventional_default_dq_fico_588"/>
    <x v="628"/>
    <n v="1"/>
    <n v="1"/>
    <n v="490"/>
    <n v="910"/>
  </r>
  <r>
    <x v="55"/>
    <s v="conventional_default_dq_fico_589"/>
    <x v="629"/>
    <n v="1"/>
    <n v="1"/>
    <n v="490"/>
    <n v="910"/>
  </r>
  <r>
    <x v="55"/>
    <s v="conventional_default_dq_fico_590"/>
    <x v="630"/>
    <n v="1"/>
    <n v="1"/>
    <n v="490"/>
    <n v="910"/>
  </r>
  <r>
    <x v="55"/>
    <s v="conventional_default_dq_fico_591"/>
    <x v="631"/>
    <n v="1"/>
    <n v="1"/>
    <n v="490"/>
    <n v="910"/>
  </r>
  <r>
    <x v="55"/>
    <s v="conventional_default_dq_fico_592"/>
    <x v="632"/>
    <n v="1"/>
    <n v="1"/>
    <n v="490"/>
    <n v="910"/>
  </r>
  <r>
    <x v="55"/>
    <s v="conventional_default_dq_fico_593"/>
    <x v="633"/>
    <n v="1"/>
    <n v="1"/>
    <n v="490"/>
    <n v="910"/>
  </r>
  <r>
    <x v="55"/>
    <s v="conventional_default_dq_fico_594"/>
    <x v="634"/>
    <n v="1"/>
    <n v="1"/>
    <n v="490"/>
    <n v="910"/>
  </r>
  <r>
    <x v="55"/>
    <s v="conventional_default_dq_fico_595"/>
    <x v="635"/>
    <n v="1"/>
    <n v="1"/>
    <n v="490"/>
    <n v="910"/>
  </r>
  <r>
    <x v="55"/>
    <s v="conventional_default_dq_fico_596"/>
    <x v="636"/>
    <n v="1"/>
    <n v="1"/>
    <n v="490"/>
    <n v="910"/>
  </r>
  <r>
    <x v="55"/>
    <s v="conventional_default_dq_fico_597"/>
    <x v="637"/>
    <n v="1"/>
    <n v="1"/>
    <n v="490"/>
    <n v="910"/>
  </r>
  <r>
    <x v="55"/>
    <s v="conventional_default_dq_fico_598"/>
    <x v="638"/>
    <n v="1"/>
    <n v="1"/>
    <n v="490"/>
    <n v="910"/>
  </r>
  <r>
    <x v="55"/>
    <s v="conventional_default_dq_fico_599"/>
    <x v="639"/>
    <n v="1"/>
    <n v="1"/>
    <n v="490"/>
    <n v="910"/>
  </r>
  <r>
    <x v="55"/>
    <s v="conventional_default_dq_fico_600"/>
    <x v="640"/>
    <n v="1"/>
    <n v="1"/>
    <n v="490"/>
    <n v="910"/>
  </r>
  <r>
    <x v="55"/>
    <s v="conventional_default_dq_fico_601"/>
    <x v="641"/>
    <n v="1"/>
    <n v="1"/>
    <n v="490"/>
    <n v="910"/>
  </r>
  <r>
    <x v="55"/>
    <s v="conventional_default_dq_fico_602"/>
    <x v="642"/>
    <n v="1"/>
    <n v="1"/>
    <n v="490"/>
    <n v="910"/>
  </r>
  <r>
    <x v="55"/>
    <s v="conventional_default_dq_fico_603"/>
    <x v="643"/>
    <n v="1"/>
    <n v="1"/>
    <n v="490"/>
    <n v="910"/>
  </r>
  <r>
    <x v="55"/>
    <s v="conventional_default_dq_fico_604"/>
    <x v="644"/>
    <n v="1"/>
    <n v="1"/>
    <n v="490"/>
    <n v="910"/>
  </r>
  <r>
    <x v="55"/>
    <s v="conventional_default_dq_fico_605"/>
    <x v="645"/>
    <n v="1"/>
    <n v="1"/>
    <n v="490"/>
    <n v="910"/>
  </r>
  <r>
    <x v="55"/>
    <s v="conventional_default_dq_fico_606"/>
    <x v="646"/>
    <n v="1"/>
    <n v="1"/>
    <n v="490"/>
    <n v="910"/>
  </r>
  <r>
    <x v="55"/>
    <s v="conventional_default_dq_fico_607"/>
    <x v="647"/>
    <n v="1"/>
    <n v="1"/>
    <n v="490"/>
    <n v="910"/>
  </r>
  <r>
    <x v="55"/>
    <s v="conventional_default_dq_fico_608"/>
    <x v="648"/>
    <n v="1"/>
    <n v="1"/>
    <n v="490"/>
    <n v="910"/>
  </r>
  <r>
    <x v="55"/>
    <s v="conventional_default_dq_fico_609"/>
    <x v="649"/>
    <n v="1"/>
    <n v="1"/>
    <n v="490"/>
    <n v="910"/>
  </r>
  <r>
    <x v="55"/>
    <s v="conventional_default_dq_fico_610"/>
    <x v="650"/>
    <n v="1"/>
    <n v="1"/>
    <n v="490"/>
    <n v="910"/>
  </r>
  <r>
    <x v="55"/>
    <s v="conventional_default_dq_fico_611"/>
    <x v="651"/>
    <n v="1"/>
    <n v="1"/>
    <n v="490"/>
    <n v="910"/>
  </r>
  <r>
    <x v="55"/>
    <s v="conventional_default_dq_fico_612"/>
    <x v="652"/>
    <n v="1"/>
    <n v="1"/>
    <n v="490"/>
    <n v="910"/>
  </r>
  <r>
    <x v="55"/>
    <s v="conventional_default_dq_fico_613"/>
    <x v="653"/>
    <n v="1"/>
    <n v="1"/>
    <n v="490"/>
    <n v="910"/>
  </r>
  <r>
    <x v="55"/>
    <s v="conventional_default_dq_fico_614"/>
    <x v="654"/>
    <n v="1"/>
    <n v="1"/>
    <n v="490"/>
    <n v="910"/>
  </r>
  <r>
    <x v="55"/>
    <s v="conventional_default_dq_fico_615"/>
    <x v="655"/>
    <n v="1"/>
    <n v="1"/>
    <n v="490"/>
    <n v="910"/>
  </r>
  <r>
    <x v="55"/>
    <s v="conventional_default_dq_fico_616"/>
    <x v="656"/>
    <n v="1"/>
    <n v="1"/>
    <n v="490"/>
    <n v="910"/>
  </r>
  <r>
    <x v="55"/>
    <s v="conventional_default_dq_fico_617"/>
    <x v="657"/>
    <n v="1"/>
    <n v="1"/>
    <n v="490"/>
    <n v="910"/>
  </r>
  <r>
    <x v="55"/>
    <s v="conventional_default_dq_fico_618"/>
    <x v="658"/>
    <n v="1"/>
    <n v="1"/>
    <n v="490"/>
    <n v="910"/>
  </r>
  <r>
    <x v="55"/>
    <s v="conventional_default_dq_fico_619"/>
    <x v="659"/>
    <n v="1"/>
    <n v="1"/>
    <n v="490"/>
    <n v="910"/>
  </r>
  <r>
    <x v="55"/>
    <s v="conventional_default_dq_fico_620"/>
    <x v="660"/>
    <n v="1"/>
    <n v="1"/>
    <n v="490"/>
    <n v="910"/>
  </r>
  <r>
    <x v="55"/>
    <s v="conventional_default_dq_fico_621"/>
    <x v="661"/>
    <n v="1"/>
    <n v="1"/>
    <n v="490"/>
    <n v="910"/>
  </r>
  <r>
    <x v="55"/>
    <s v="conventional_default_dq_fico_622"/>
    <x v="662"/>
    <n v="1"/>
    <n v="1"/>
    <n v="490"/>
    <n v="910"/>
  </r>
  <r>
    <x v="55"/>
    <s v="conventional_default_dq_fico_623"/>
    <x v="663"/>
    <n v="1"/>
    <n v="1"/>
    <n v="490"/>
    <n v="910"/>
  </r>
  <r>
    <x v="55"/>
    <s v="conventional_default_dq_fico_624"/>
    <x v="664"/>
    <n v="1"/>
    <n v="1"/>
    <n v="490"/>
    <n v="910"/>
  </r>
  <r>
    <x v="55"/>
    <s v="conventional_default_dq_fico_625"/>
    <x v="665"/>
    <n v="1"/>
    <n v="1"/>
    <n v="490"/>
    <n v="910"/>
  </r>
  <r>
    <x v="55"/>
    <s v="conventional_default_dq_fico_626"/>
    <x v="666"/>
    <n v="1"/>
    <n v="1"/>
    <n v="490"/>
    <n v="910"/>
  </r>
  <r>
    <x v="55"/>
    <s v="conventional_default_dq_fico_627"/>
    <x v="667"/>
    <n v="1"/>
    <n v="1"/>
    <n v="490"/>
    <n v="910"/>
  </r>
  <r>
    <x v="55"/>
    <s v="conventional_default_dq_fico_628"/>
    <x v="668"/>
    <n v="1"/>
    <n v="1"/>
    <n v="490"/>
    <n v="910"/>
  </r>
  <r>
    <x v="55"/>
    <s v="conventional_default_dq_fico_629"/>
    <x v="669"/>
    <n v="1"/>
    <n v="1"/>
    <n v="490"/>
    <n v="910"/>
  </r>
  <r>
    <x v="55"/>
    <s v="conventional_default_dq_fico_630"/>
    <x v="670"/>
    <n v="1"/>
    <n v="1"/>
    <n v="490"/>
    <n v="910"/>
  </r>
  <r>
    <x v="55"/>
    <s v="conventional_default_dq_fico_631"/>
    <x v="671"/>
    <n v="1"/>
    <n v="1"/>
    <n v="490"/>
    <n v="910"/>
  </r>
  <r>
    <x v="55"/>
    <s v="conventional_default_dq_fico_632"/>
    <x v="672"/>
    <n v="1"/>
    <n v="1"/>
    <n v="490"/>
    <n v="910"/>
  </r>
  <r>
    <x v="55"/>
    <s v="conventional_default_dq_fico_633"/>
    <x v="673"/>
    <n v="1"/>
    <n v="1"/>
    <n v="490"/>
    <n v="910"/>
  </r>
  <r>
    <x v="55"/>
    <s v="conventional_default_dq_fico_634"/>
    <x v="674"/>
    <n v="1"/>
    <n v="1"/>
    <n v="490"/>
    <n v="910"/>
  </r>
  <r>
    <x v="55"/>
    <s v="conventional_default_dq_fico_635"/>
    <x v="675"/>
    <n v="1"/>
    <n v="1"/>
    <n v="490"/>
    <n v="910"/>
  </r>
  <r>
    <x v="55"/>
    <s v="conventional_default_dq_fico_636"/>
    <x v="676"/>
    <n v="1"/>
    <n v="1"/>
    <n v="490"/>
    <n v="910"/>
  </r>
  <r>
    <x v="55"/>
    <s v="conventional_default_dq_fico_637"/>
    <x v="677"/>
    <n v="1"/>
    <n v="1"/>
    <n v="490"/>
    <n v="910"/>
  </r>
  <r>
    <x v="55"/>
    <s v="conventional_default_dq_fico_638"/>
    <x v="678"/>
    <n v="1"/>
    <n v="1"/>
    <n v="490"/>
    <n v="910"/>
  </r>
  <r>
    <x v="55"/>
    <s v="conventional_default_dq_fico_639"/>
    <x v="679"/>
    <n v="1"/>
    <n v="1"/>
    <n v="490"/>
    <n v="910"/>
  </r>
  <r>
    <x v="55"/>
    <s v="conventional_default_dq_fico_640"/>
    <x v="680"/>
    <n v="1"/>
    <n v="1"/>
    <n v="490"/>
    <n v="910"/>
  </r>
  <r>
    <x v="55"/>
    <s v="conventional_default_dq_fico_641"/>
    <x v="681"/>
    <n v="1"/>
    <n v="1"/>
    <n v="490"/>
    <n v="910"/>
  </r>
  <r>
    <x v="55"/>
    <s v="conventional_default_dq_fico_642"/>
    <x v="682"/>
    <n v="1"/>
    <n v="1"/>
    <n v="490"/>
    <n v="910"/>
  </r>
  <r>
    <x v="55"/>
    <s v="conventional_default_dq_fico_643"/>
    <x v="683"/>
    <n v="1"/>
    <n v="1"/>
    <n v="490"/>
    <n v="910"/>
  </r>
  <r>
    <x v="55"/>
    <s v="conventional_default_dq_fico_644"/>
    <x v="684"/>
    <n v="1"/>
    <n v="1"/>
    <n v="490"/>
    <n v="910"/>
  </r>
  <r>
    <x v="55"/>
    <s v="conventional_default_dq_fico_645"/>
    <x v="685"/>
    <n v="1"/>
    <n v="1"/>
    <n v="490"/>
    <n v="910"/>
  </r>
  <r>
    <x v="55"/>
    <s v="conventional_default_dq_fico_646"/>
    <x v="686"/>
    <n v="1"/>
    <n v="1"/>
    <n v="490"/>
    <n v="910"/>
  </r>
  <r>
    <x v="55"/>
    <s v="conventional_default_dq_fico_647"/>
    <x v="687"/>
    <n v="1"/>
    <n v="1"/>
    <n v="490"/>
    <n v="910"/>
  </r>
  <r>
    <x v="55"/>
    <s v="conventional_default_dq_fico_648"/>
    <x v="688"/>
    <n v="1"/>
    <n v="1"/>
    <n v="490"/>
    <n v="910"/>
  </r>
  <r>
    <x v="55"/>
    <s v="conventional_default_dq_fico_649"/>
    <x v="689"/>
    <n v="1"/>
    <n v="1"/>
    <n v="490"/>
    <n v="910"/>
  </r>
  <r>
    <x v="55"/>
    <s v="conventional_default_dq_fico_650"/>
    <x v="690"/>
    <n v="1"/>
    <n v="1"/>
    <n v="490"/>
    <n v="910"/>
  </r>
  <r>
    <x v="55"/>
    <s v="conventional_default_dq_fico_651"/>
    <x v="691"/>
    <n v="1"/>
    <n v="1"/>
    <n v="490"/>
    <n v="910"/>
  </r>
  <r>
    <x v="55"/>
    <s v="conventional_default_dq_fico_652"/>
    <x v="692"/>
    <n v="1"/>
    <n v="1"/>
    <n v="490"/>
    <n v="910"/>
  </r>
  <r>
    <x v="55"/>
    <s v="conventional_default_dq_fico_653"/>
    <x v="693"/>
    <n v="1"/>
    <n v="1"/>
    <n v="490"/>
    <n v="910"/>
  </r>
  <r>
    <x v="55"/>
    <s v="conventional_default_dq_fico_654"/>
    <x v="694"/>
    <n v="1"/>
    <n v="1"/>
    <n v="490"/>
    <n v="910"/>
  </r>
  <r>
    <x v="55"/>
    <s v="conventional_default_dq_fico_655"/>
    <x v="695"/>
    <n v="1"/>
    <n v="1"/>
    <n v="490"/>
    <n v="910"/>
  </r>
  <r>
    <x v="55"/>
    <s v="conventional_default_dq_fico_656"/>
    <x v="696"/>
    <n v="1"/>
    <n v="1"/>
    <n v="490"/>
    <n v="910"/>
  </r>
  <r>
    <x v="55"/>
    <s v="conventional_default_dq_fico_657"/>
    <x v="697"/>
    <n v="1"/>
    <n v="1"/>
    <n v="490"/>
    <n v="910"/>
  </r>
  <r>
    <x v="55"/>
    <s v="conventional_default_dq_fico_658"/>
    <x v="698"/>
    <n v="1"/>
    <n v="1"/>
    <n v="490"/>
    <n v="910"/>
  </r>
  <r>
    <x v="55"/>
    <s v="conventional_default_dq_fico_659"/>
    <x v="699"/>
    <n v="1"/>
    <n v="1"/>
    <n v="490"/>
    <n v="910"/>
  </r>
  <r>
    <x v="55"/>
    <s v="conventional_default_dq_fico_660"/>
    <x v="700"/>
    <n v="1"/>
    <n v="1"/>
    <n v="490"/>
    <n v="910"/>
  </r>
  <r>
    <x v="55"/>
    <s v="conventional_default_dq_fico_661"/>
    <x v="701"/>
    <n v="1"/>
    <n v="1"/>
    <n v="490"/>
    <n v="910"/>
  </r>
  <r>
    <x v="55"/>
    <s v="conventional_default_dq_fico_662"/>
    <x v="702"/>
    <n v="1"/>
    <n v="1"/>
    <n v="490"/>
    <n v="910"/>
  </r>
  <r>
    <x v="55"/>
    <s v="conventional_default_dq_fico_663"/>
    <x v="703"/>
    <n v="1"/>
    <n v="1"/>
    <n v="490"/>
    <n v="910"/>
  </r>
  <r>
    <x v="55"/>
    <s v="conventional_default_dq_fico_664"/>
    <x v="704"/>
    <n v="1"/>
    <n v="1"/>
    <n v="490"/>
    <n v="910"/>
  </r>
  <r>
    <x v="55"/>
    <s v="conventional_default_dq_fico_665"/>
    <x v="705"/>
    <n v="1"/>
    <n v="1"/>
    <n v="490"/>
    <n v="910"/>
  </r>
  <r>
    <x v="55"/>
    <s v="conventional_default_dq_fico_666"/>
    <x v="706"/>
    <n v="1"/>
    <n v="1"/>
    <n v="490"/>
    <n v="910"/>
  </r>
  <r>
    <x v="55"/>
    <s v="conventional_default_dq_fico_667"/>
    <x v="707"/>
    <n v="1"/>
    <n v="1"/>
    <n v="490"/>
    <n v="910"/>
  </r>
  <r>
    <x v="55"/>
    <s v="conventional_default_dq_fico_668"/>
    <x v="708"/>
    <n v="1"/>
    <n v="1"/>
    <n v="490"/>
    <n v="910"/>
  </r>
  <r>
    <x v="55"/>
    <s v="conventional_default_dq_fico_669"/>
    <x v="709"/>
    <n v="1"/>
    <n v="1"/>
    <n v="490"/>
    <n v="910"/>
  </r>
  <r>
    <x v="55"/>
    <s v="conventional_default_dq_fico_670"/>
    <x v="710"/>
    <n v="1"/>
    <n v="1"/>
    <n v="490"/>
    <n v="910"/>
  </r>
  <r>
    <x v="55"/>
    <s v="conventional_default_dq_fico_671"/>
    <x v="711"/>
    <n v="1"/>
    <n v="1"/>
    <n v="490"/>
    <n v="910"/>
  </r>
  <r>
    <x v="55"/>
    <s v="conventional_default_dq_fico_672"/>
    <x v="712"/>
    <n v="1"/>
    <n v="1"/>
    <n v="490"/>
    <n v="910"/>
  </r>
  <r>
    <x v="55"/>
    <s v="conventional_default_dq_fico_673"/>
    <x v="713"/>
    <n v="1"/>
    <n v="1"/>
    <n v="490"/>
    <n v="910"/>
  </r>
  <r>
    <x v="55"/>
    <s v="conventional_default_dq_fico_674"/>
    <x v="714"/>
    <n v="1"/>
    <n v="1"/>
    <n v="490"/>
    <n v="910"/>
  </r>
  <r>
    <x v="55"/>
    <s v="conventional_default_dq_fico_675"/>
    <x v="715"/>
    <n v="1"/>
    <n v="1"/>
    <n v="490"/>
    <n v="910"/>
  </r>
  <r>
    <x v="55"/>
    <s v="conventional_default_dq_fico_676"/>
    <x v="716"/>
    <n v="1"/>
    <n v="1"/>
    <n v="490"/>
    <n v="910"/>
  </r>
  <r>
    <x v="55"/>
    <s v="conventional_default_dq_fico_677"/>
    <x v="717"/>
    <n v="1"/>
    <n v="1"/>
    <n v="490"/>
    <n v="910"/>
  </r>
  <r>
    <x v="55"/>
    <s v="conventional_default_dq_fico_678"/>
    <x v="718"/>
    <n v="1"/>
    <n v="1"/>
    <n v="490"/>
    <n v="910"/>
  </r>
  <r>
    <x v="55"/>
    <s v="conventional_default_dq_fico_679"/>
    <x v="719"/>
    <n v="1"/>
    <n v="1"/>
    <n v="490"/>
    <n v="910"/>
  </r>
  <r>
    <x v="55"/>
    <s v="conventional_default_dq_fico_680"/>
    <x v="720"/>
    <n v="1"/>
    <n v="1"/>
    <n v="490"/>
    <n v="910"/>
  </r>
  <r>
    <x v="55"/>
    <s v="conventional_default_dq_fico_681"/>
    <x v="721"/>
    <n v="1"/>
    <n v="1"/>
    <n v="490"/>
    <n v="910"/>
  </r>
  <r>
    <x v="55"/>
    <s v="conventional_default_dq_fico_682"/>
    <x v="722"/>
    <n v="1"/>
    <n v="1"/>
    <n v="490"/>
    <n v="910"/>
  </r>
  <r>
    <x v="55"/>
    <s v="conventional_default_dq_fico_683"/>
    <x v="723"/>
    <n v="1"/>
    <n v="1"/>
    <n v="490"/>
    <n v="910"/>
  </r>
  <r>
    <x v="55"/>
    <s v="conventional_default_dq_fico_684"/>
    <x v="724"/>
    <n v="1"/>
    <n v="1"/>
    <n v="490"/>
    <n v="910"/>
  </r>
  <r>
    <x v="55"/>
    <s v="conventional_default_dq_fico_685"/>
    <x v="725"/>
    <n v="1"/>
    <n v="1"/>
    <n v="490"/>
    <n v="910"/>
  </r>
  <r>
    <x v="55"/>
    <s v="conventional_default_dq_fico_686"/>
    <x v="726"/>
    <n v="1"/>
    <n v="1"/>
    <n v="490"/>
    <n v="910"/>
  </r>
  <r>
    <x v="55"/>
    <s v="conventional_default_dq_fico_687"/>
    <x v="727"/>
    <n v="1"/>
    <n v="1"/>
    <n v="490"/>
    <n v="910"/>
  </r>
  <r>
    <x v="55"/>
    <s v="conventional_default_dq_fico_688"/>
    <x v="728"/>
    <n v="1"/>
    <n v="1"/>
    <n v="490"/>
    <n v="910"/>
  </r>
  <r>
    <x v="55"/>
    <s v="conventional_default_dq_fico_689"/>
    <x v="729"/>
    <n v="1"/>
    <n v="1"/>
    <n v="490"/>
    <n v="910"/>
  </r>
  <r>
    <x v="55"/>
    <s v="conventional_default_dq_fico_690"/>
    <x v="730"/>
    <n v="1"/>
    <n v="1"/>
    <n v="490"/>
    <n v="910"/>
  </r>
  <r>
    <x v="55"/>
    <s v="conventional_default_dq_fico_691"/>
    <x v="731"/>
    <n v="1"/>
    <n v="1"/>
    <n v="490"/>
    <n v="910"/>
  </r>
  <r>
    <x v="55"/>
    <s v="conventional_default_dq_fico_692"/>
    <x v="732"/>
    <n v="1"/>
    <n v="1"/>
    <n v="490"/>
    <n v="910"/>
  </r>
  <r>
    <x v="55"/>
    <s v="conventional_default_dq_fico_693"/>
    <x v="733"/>
    <n v="1"/>
    <n v="1"/>
    <n v="490"/>
    <n v="910"/>
  </r>
  <r>
    <x v="55"/>
    <s v="conventional_default_dq_fico_694"/>
    <x v="734"/>
    <n v="1"/>
    <n v="1"/>
    <n v="490"/>
    <n v="910"/>
  </r>
  <r>
    <x v="55"/>
    <s v="conventional_default_dq_fico_695"/>
    <x v="735"/>
    <n v="1"/>
    <n v="1"/>
    <n v="490"/>
    <n v="910"/>
  </r>
  <r>
    <x v="55"/>
    <s v="conventional_default_dq_fico_696"/>
    <x v="736"/>
    <n v="1"/>
    <n v="1"/>
    <n v="490"/>
    <n v="910"/>
  </r>
  <r>
    <x v="55"/>
    <s v="conventional_default_dq_fico_697"/>
    <x v="737"/>
    <n v="1"/>
    <n v="1"/>
    <n v="490"/>
    <n v="910"/>
  </r>
  <r>
    <x v="55"/>
    <s v="conventional_default_dq_fico_698"/>
    <x v="738"/>
    <n v="1"/>
    <n v="1"/>
    <n v="490"/>
    <n v="910"/>
  </r>
  <r>
    <x v="55"/>
    <s v="conventional_default_dq_fico_699"/>
    <x v="739"/>
    <n v="1"/>
    <n v="1"/>
    <n v="490"/>
    <n v="910"/>
  </r>
  <r>
    <x v="55"/>
    <s v="conventional_default_dq_fico_700"/>
    <x v="740"/>
    <n v="1"/>
    <n v="1"/>
    <n v="490"/>
    <n v="910"/>
  </r>
  <r>
    <x v="55"/>
    <s v="conventional_default_dq_fico_701"/>
    <x v="741"/>
    <n v="1"/>
    <n v="1"/>
    <n v="490"/>
    <n v="910"/>
  </r>
  <r>
    <x v="55"/>
    <s v="conventional_default_dq_fico_702"/>
    <x v="742"/>
    <n v="1"/>
    <n v="1"/>
    <n v="490"/>
    <n v="910"/>
  </r>
  <r>
    <x v="55"/>
    <s v="conventional_default_dq_fico_703"/>
    <x v="743"/>
    <n v="1"/>
    <n v="1"/>
    <n v="490"/>
    <n v="910"/>
  </r>
  <r>
    <x v="55"/>
    <s v="conventional_default_dq_fico_704"/>
    <x v="744"/>
    <n v="1"/>
    <n v="1"/>
    <n v="490"/>
    <n v="910"/>
  </r>
  <r>
    <x v="55"/>
    <s v="conventional_default_dq_fico_705"/>
    <x v="745"/>
    <n v="1"/>
    <n v="1"/>
    <n v="490"/>
    <n v="910"/>
  </r>
  <r>
    <x v="55"/>
    <s v="conventional_default_dq_fico_706"/>
    <x v="746"/>
    <n v="1"/>
    <n v="1"/>
    <n v="490"/>
    <n v="910"/>
  </r>
  <r>
    <x v="55"/>
    <s v="conventional_default_dq_fico_707"/>
    <x v="747"/>
    <n v="1"/>
    <n v="1"/>
    <n v="490"/>
    <n v="910"/>
  </r>
  <r>
    <x v="55"/>
    <s v="conventional_default_dq_fico_708"/>
    <x v="748"/>
    <n v="1"/>
    <n v="1"/>
    <n v="490"/>
    <n v="910"/>
  </r>
  <r>
    <x v="55"/>
    <s v="conventional_default_dq_fico_709"/>
    <x v="749"/>
    <n v="1"/>
    <n v="1"/>
    <n v="490"/>
    <n v="910"/>
  </r>
  <r>
    <x v="55"/>
    <s v="conventional_default_dq_fico_710"/>
    <x v="750"/>
    <n v="1"/>
    <n v="1"/>
    <n v="490"/>
    <n v="910"/>
  </r>
  <r>
    <x v="55"/>
    <s v="conventional_default_dq_fico_711"/>
    <x v="751"/>
    <n v="1"/>
    <n v="1"/>
    <n v="490"/>
    <n v="910"/>
  </r>
  <r>
    <x v="55"/>
    <s v="conventional_default_dq_fico_712"/>
    <x v="752"/>
    <n v="1"/>
    <n v="1"/>
    <n v="490"/>
    <n v="910"/>
  </r>
  <r>
    <x v="55"/>
    <s v="conventional_default_dq_fico_713"/>
    <x v="753"/>
    <n v="1"/>
    <n v="1"/>
    <n v="490"/>
    <n v="910"/>
  </r>
  <r>
    <x v="55"/>
    <s v="conventional_default_dq_fico_714"/>
    <x v="754"/>
    <n v="1"/>
    <n v="1"/>
    <n v="490"/>
    <n v="910"/>
  </r>
  <r>
    <x v="55"/>
    <s v="conventional_default_dq_fico_715"/>
    <x v="755"/>
    <n v="1"/>
    <n v="1"/>
    <n v="490"/>
    <n v="910"/>
  </r>
  <r>
    <x v="55"/>
    <s v="conventional_default_dq_fico_716"/>
    <x v="756"/>
    <n v="1"/>
    <n v="1"/>
    <n v="490"/>
    <n v="910"/>
  </r>
  <r>
    <x v="55"/>
    <s v="conventional_default_dq_fico_717"/>
    <x v="757"/>
    <n v="1"/>
    <n v="1"/>
    <n v="490"/>
    <n v="910"/>
  </r>
  <r>
    <x v="55"/>
    <s v="conventional_default_dq_fico_718"/>
    <x v="758"/>
    <n v="1"/>
    <n v="1"/>
    <n v="490"/>
    <n v="910"/>
  </r>
  <r>
    <x v="55"/>
    <s v="conventional_default_dq_fico_719"/>
    <x v="759"/>
    <n v="1"/>
    <n v="1"/>
    <n v="490"/>
    <n v="910"/>
  </r>
  <r>
    <x v="55"/>
    <s v="conventional_default_dq_fico_720"/>
    <x v="760"/>
    <n v="1"/>
    <n v="1"/>
    <n v="490"/>
    <n v="910"/>
  </r>
  <r>
    <x v="55"/>
    <s v="conventional_default_dq_fico_721"/>
    <x v="761"/>
    <n v="1"/>
    <n v="1"/>
    <n v="490"/>
    <n v="910"/>
  </r>
  <r>
    <x v="55"/>
    <s v="conventional_default_dq_fico_722"/>
    <x v="762"/>
    <n v="1"/>
    <n v="1"/>
    <n v="490"/>
    <n v="910"/>
  </r>
  <r>
    <x v="55"/>
    <s v="conventional_default_dq_fico_723"/>
    <x v="763"/>
    <n v="1"/>
    <n v="1"/>
    <n v="490"/>
    <n v="910"/>
  </r>
  <r>
    <x v="55"/>
    <s v="conventional_default_dq_fico_724"/>
    <x v="764"/>
    <n v="1"/>
    <n v="1"/>
    <n v="490"/>
    <n v="910"/>
  </r>
  <r>
    <x v="55"/>
    <s v="conventional_default_dq_fico_725"/>
    <x v="765"/>
    <n v="1"/>
    <n v="1"/>
    <n v="490"/>
    <n v="910"/>
  </r>
  <r>
    <x v="55"/>
    <s v="conventional_default_dq_fico_726"/>
    <x v="766"/>
    <n v="1"/>
    <n v="1"/>
    <n v="490"/>
    <n v="910"/>
  </r>
  <r>
    <x v="55"/>
    <s v="conventional_default_dq_fico_727"/>
    <x v="767"/>
    <n v="1"/>
    <n v="1"/>
    <n v="490"/>
    <n v="910"/>
  </r>
  <r>
    <x v="55"/>
    <s v="conventional_default_dq_fico_728"/>
    <x v="768"/>
    <n v="1"/>
    <n v="1"/>
    <n v="490"/>
    <n v="910"/>
  </r>
  <r>
    <x v="55"/>
    <s v="conventional_default_dq_fico_729"/>
    <x v="769"/>
    <n v="1"/>
    <n v="1"/>
    <n v="490"/>
    <n v="910"/>
  </r>
  <r>
    <x v="55"/>
    <s v="conventional_default_dq_fico_730"/>
    <x v="770"/>
    <n v="1"/>
    <n v="1"/>
    <n v="490"/>
    <n v="910"/>
  </r>
  <r>
    <x v="55"/>
    <s v="conventional_default_dq_fico_731"/>
    <x v="771"/>
    <n v="1"/>
    <n v="1"/>
    <n v="490"/>
    <n v="910"/>
  </r>
  <r>
    <x v="55"/>
    <s v="conventional_default_dq_fico_732"/>
    <x v="772"/>
    <n v="1"/>
    <n v="1"/>
    <n v="490"/>
    <n v="910"/>
  </r>
  <r>
    <x v="55"/>
    <s v="conventional_default_dq_fico_733"/>
    <x v="773"/>
    <n v="1"/>
    <n v="1"/>
    <n v="490"/>
    <n v="910"/>
  </r>
  <r>
    <x v="55"/>
    <s v="conventional_default_dq_fico_734"/>
    <x v="774"/>
    <n v="1"/>
    <n v="1"/>
    <n v="490"/>
    <n v="910"/>
  </r>
  <r>
    <x v="55"/>
    <s v="conventional_default_dq_fico_735"/>
    <x v="775"/>
    <n v="1"/>
    <n v="1"/>
    <n v="490"/>
    <n v="910"/>
  </r>
  <r>
    <x v="55"/>
    <s v="conventional_default_dq_fico_736"/>
    <x v="776"/>
    <n v="1"/>
    <n v="1"/>
    <n v="490"/>
    <n v="910"/>
  </r>
  <r>
    <x v="55"/>
    <s v="conventional_default_dq_fico_737"/>
    <x v="777"/>
    <n v="1"/>
    <n v="1"/>
    <n v="490"/>
    <n v="910"/>
  </r>
  <r>
    <x v="55"/>
    <s v="conventional_default_dq_fico_738"/>
    <x v="778"/>
    <n v="1"/>
    <n v="1"/>
    <n v="490"/>
    <n v="910"/>
  </r>
  <r>
    <x v="55"/>
    <s v="conventional_default_dq_fico_739"/>
    <x v="779"/>
    <n v="1"/>
    <n v="1"/>
    <n v="490"/>
    <n v="910"/>
  </r>
  <r>
    <x v="55"/>
    <s v="conventional_default_dq_fico_740"/>
    <x v="780"/>
    <n v="1"/>
    <n v="1"/>
    <n v="490"/>
    <n v="910"/>
  </r>
  <r>
    <x v="55"/>
    <s v="conventional_default_dq_fico_741"/>
    <x v="781"/>
    <n v="1"/>
    <n v="1"/>
    <n v="490"/>
    <n v="910"/>
  </r>
  <r>
    <x v="55"/>
    <s v="conventional_default_dq_fico_742"/>
    <x v="782"/>
    <n v="1"/>
    <n v="1"/>
    <n v="490"/>
    <n v="910"/>
  </r>
  <r>
    <x v="55"/>
    <s v="conventional_default_dq_fico_743"/>
    <x v="783"/>
    <n v="1"/>
    <n v="1"/>
    <n v="490"/>
    <n v="910"/>
  </r>
  <r>
    <x v="55"/>
    <s v="conventional_default_dq_fico_744"/>
    <x v="784"/>
    <n v="1"/>
    <n v="1"/>
    <n v="490"/>
    <n v="910"/>
  </r>
  <r>
    <x v="55"/>
    <s v="conventional_default_dq_fico_745"/>
    <x v="785"/>
    <n v="1"/>
    <n v="1"/>
    <n v="490"/>
    <n v="910"/>
  </r>
  <r>
    <x v="55"/>
    <s v="conventional_default_dq_fico_746"/>
    <x v="786"/>
    <n v="1"/>
    <n v="1"/>
    <n v="490"/>
    <n v="910"/>
  </r>
  <r>
    <x v="55"/>
    <s v="conventional_default_dq_fico_747"/>
    <x v="787"/>
    <n v="1"/>
    <n v="1"/>
    <n v="490"/>
    <n v="910"/>
  </r>
  <r>
    <x v="55"/>
    <s v="conventional_default_dq_fico_748"/>
    <x v="788"/>
    <n v="1"/>
    <n v="1"/>
    <n v="490"/>
    <n v="910"/>
  </r>
  <r>
    <x v="55"/>
    <s v="conventional_default_dq_fico_749"/>
    <x v="789"/>
    <n v="1"/>
    <n v="1"/>
    <n v="490"/>
    <n v="910"/>
  </r>
  <r>
    <x v="55"/>
    <s v="conventional_default_dq_fico_750"/>
    <x v="790"/>
    <n v="1"/>
    <n v="1"/>
    <n v="490"/>
    <n v="910"/>
  </r>
  <r>
    <x v="55"/>
    <s v="conventional_default_dq_fico_751"/>
    <x v="791"/>
    <n v="1"/>
    <n v="1"/>
    <n v="490"/>
    <n v="910"/>
  </r>
  <r>
    <x v="55"/>
    <s v="conventional_default_dq_fico_752"/>
    <x v="792"/>
    <n v="1"/>
    <n v="1"/>
    <n v="490"/>
    <n v="910"/>
  </r>
  <r>
    <x v="55"/>
    <s v="conventional_default_dq_fico_753"/>
    <x v="793"/>
    <n v="1"/>
    <n v="1"/>
    <n v="490"/>
    <n v="910"/>
  </r>
  <r>
    <x v="55"/>
    <s v="conventional_default_dq_fico_754"/>
    <x v="794"/>
    <n v="1"/>
    <n v="1"/>
    <n v="490"/>
    <n v="910"/>
  </r>
  <r>
    <x v="55"/>
    <s v="conventional_default_dq_fico_755"/>
    <x v="795"/>
    <n v="1"/>
    <n v="1"/>
    <n v="490"/>
    <n v="910"/>
  </r>
  <r>
    <x v="55"/>
    <s v="conventional_default_dq_fico_756"/>
    <x v="796"/>
    <n v="1"/>
    <n v="1"/>
    <n v="490"/>
    <n v="910"/>
  </r>
  <r>
    <x v="55"/>
    <s v="conventional_default_dq_fico_757"/>
    <x v="797"/>
    <n v="1"/>
    <n v="1"/>
    <n v="490"/>
    <n v="910"/>
  </r>
  <r>
    <x v="55"/>
    <s v="conventional_default_dq_fico_758"/>
    <x v="798"/>
    <n v="1"/>
    <n v="1"/>
    <n v="490"/>
    <n v="910"/>
  </r>
  <r>
    <x v="55"/>
    <s v="conventional_default_dq_fico_759"/>
    <x v="799"/>
    <n v="1"/>
    <n v="1"/>
    <n v="490"/>
    <n v="910"/>
  </r>
  <r>
    <x v="55"/>
    <s v="conventional_default_dq_fico_760"/>
    <x v="800"/>
    <n v="1"/>
    <n v="1"/>
    <n v="490"/>
    <n v="910"/>
  </r>
  <r>
    <x v="55"/>
    <s v="conventional_default_dq_fico_761"/>
    <x v="801"/>
    <n v="1"/>
    <n v="1"/>
    <n v="490"/>
    <n v="910"/>
  </r>
  <r>
    <x v="55"/>
    <s v="conventional_default_dq_fico_762"/>
    <x v="802"/>
    <n v="1"/>
    <n v="1"/>
    <n v="490"/>
    <n v="910"/>
  </r>
  <r>
    <x v="55"/>
    <s v="conventional_default_dq_fico_763"/>
    <x v="803"/>
    <n v="1"/>
    <n v="1"/>
    <n v="490"/>
    <n v="910"/>
  </r>
  <r>
    <x v="55"/>
    <s v="conventional_default_dq_fico_764"/>
    <x v="804"/>
    <n v="1"/>
    <n v="1"/>
    <n v="490"/>
    <n v="910"/>
  </r>
  <r>
    <x v="55"/>
    <s v="conventional_default_dq_fico_765"/>
    <x v="805"/>
    <n v="1"/>
    <n v="1"/>
    <n v="490"/>
    <n v="910"/>
  </r>
  <r>
    <x v="55"/>
    <s v="conventional_default_dq_fico_766"/>
    <x v="806"/>
    <n v="1"/>
    <n v="1"/>
    <n v="490"/>
    <n v="910"/>
  </r>
  <r>
    <x v="55"/>
    <s v="conventional_default_dq_fico_767"/>
    <x v="807"/>
    <n v="1"/>
    <n v="1"/>
    <n v="490"/>
    <n v="910"/>
  </r>
  <r>
    <x v="55"/>
    <s v="conventional_default_dq_fico_768"/>
    <x v="808"/>
    <n v="1"/>
    <n v="1"/>
    <n v="490"/>
    <n v="910"/>
  </r>
  <r>
    <x v="55"/>
    <s v="conventional_default_dq_fico_769"/>
    <x v="809"/>
    <n v="1"/>
    <n v="1"/>
    <n v="490"/>
    <n v="910"/>
  </r>
  <r>
    <x v="55"/>
    <s v="conventional_default_dq_fico_770"/>
    <x v="810"/>
    <n v="1"/>
    <n v="1"/>
    <n v="490"/>
    <n v="910"/>
  </r>
  <r>
    <x v="55"/>
    <s v="conventional_default_dq_fico_771"/>
    <x v="811"/>
    <n v="1"/>
    <n v="1"/>
    <n v="490"/>
    <n v="910"/>
  </r>
  <r>
    <x v="55"/>
    <s v="conventional_default_dq_fico_772"/>
    <x v="812"/>
    <n v="1"/>
    <n v="1"/>
    <n v="490"/>
    <n v="910"/>
  </r>
  <r>
    <x v="55"/>
    <s v="conventional_default_dq_fico_773"/>
    <x v="813"/>
    <n v="1"/>
    <n v="1"/>
    <n v="490"/>
    <n v="910"/>
  </r>
  <r>
    <x v="55"/>
    <s v="conventional_default_dq_fico_774"/>
    <x v="814"/>
    <n v="1"/>
    <n v="1"/>
    <n v="490"/>
    <n v="910"/>
  </r>
  <r>
    <x v="55"/>
    <s v="conventional_default_dq_fico_775"/>
    <x v="815"/>
    <n v="1"/>
    <n v="1"/>
    <n v="490"/>
    <n v="910"/>
  </r>
  <r>
    <x v="55"/>
    <s v="conventional_default_dq_fico_776"/>
    <x v="816"/>
    <n v="1"/>
    <n v="1"/>
    <n v="490"/>
    <n v="910"/>
  </r>
  <r>
    <x v="55"/>
    <s v="conventional_default_dq_fico_777"/>
    <x v="817"/>
    <n v="1"/>
    <n v="1"/>
    <n v="490"/>
    <n v="910"/>
  </r>
  <r>
    <x v="55"/>
    <s v="conventional_default_dq_fico_778"/>
    <x v="818"/>
    <n v="1"/>
    <n v="1"/>
    <n v="490"/>
    <n v="910"/>
  </r>
  <r>
    <x v="55"/>
    <s v="conventional_default_dq_fico_779"/>
    <x v="819"/>
    <n v="1"/>
    <n v="1"/>
    <n v="490"/>
    <n v="910"/>
  </r>
  <r>
    <x v="55"/>
    <s v="conventional_default_dq_fico_780"/>
    <x v="820"/>
    <n v="1"/>
    <n v="1"/>
    <n v="490"/>
    <n v="910"/>
  </r>
  <r>
    <x v="55"/>
    <s v="conventional_default_dq_fico_781"/>
    <x v="821"/>
    <n v="1"/>
    <n v="1"/>
    <n v="490"/>
    <n v="910"/>
  </r>
  <r>
    <x v="55"/>
    <s v="conventional_default_dq_fico_782"/>
    <x v="822"/>
    <n v="1"/>
    <n v="1"/>
    <n v="490"/>
    <n v="910"/>
  </r>
  <r>
    <x v="55"/>
    <s v="conventional_default_dq_fico_783"/>
    <x v="823"/>
    <n v="1"/>
    <n v="1"/>
    <n v="490"/>
    <n v="910"/>
  </r>
  <r>
    <x v="55"/>
    <s v="conventional_default_dq_fico_784"/>
    <x v="824"/>
    <n v="1"/>
    <n v="1"/>
    <n v="490"/>
    <n v="910"/>
  </r>
  <r>
    <x v="55"/>
    <s v="conventional_default_dq_fico_785"/>
    <x v="825"/>
    <n v="1"/>
    <n v="1"/>
    <n v="490"/>
    <n v="910"/>
  </r>
  <r>
    <x v="55"/>
    <s v="conventional_default_dq_fico_786"/>
    <x v="826"/>
    <n v="1"/>
    <n v="1"/>
    <n v="490"/>
    <n v="910"/>
  </r>
  <r>
    <x v="55"/>
    <s v="conventional_default_dq_fico_787"/>
    <x v="827"/>
    <n v="1"/>
    <n v="1"/>
    <n v="490"/>
    <n v="910"/>
  </r>
  <r>
    <x v="55"/>
    <s v="conventional_default_dq_fico_788"/>
    <x v="828"/>
    <n v="1"/>
    <n v="1"/>
    <n v="490"/>
    <n v="910"/>
  </r>
  <r>
    <x v="55"/>
    <s v="conventional_default_dq_fico_789"/>
    <x v="829"/>
    <n v="1"/>
    <n v="1"/>
    <n v="490"/>
    <n v="910"/>
  </r>
  <r>
    <x v="55"/>
    <s v="conventional_default_dq_fico_790"/>
    <x v="830"/>
    <n v="1"/>
    <n v="1"/>
    <n v="490"/>
    <n v="910"/>
  </r>
  <r>
    <x v="55"/>
    <s v="conventional_default_dq_fico_791"/>
    <x v="831"/>
    <n v="1"/>
    <n v="1"/>
    <n v="490"/>
    <n v="910"/>
  </r>
  <r>
    <x v="55"/>
    <s v="conventional_default_dq_fico_792"/>
    <x v="832"/>
    <n v="1"/>
    <n v="1"/>
    <n v="490"/>
    <n v="910"/>
  </r>
  <r>
    <x v="55"/>
    <s v="conventional_default_dq_fico_793"/>
    <x v="833"/>
    <n v="1"/>
    <n v="1"/>
    <n v="490"/>
    <n v="910"/>
  </r>
  <r>
    <x v="55"/>
    <s v="conventional_default_dq_fico_794"/>
    <x v="834"/>
    <n v="1"/>
    <n v="1"/>
    <n v="490"/>
    <n v="910"/>
  </r>
  <r>
    <x v="55"/>
    <s v="conventional_default_dq_fico_795"/>
    <x v="835"/>
    <n v="1"/>
    <n v="1"/>
    <n v="490"/>
    <n v="910"/>
  </r>
  <r>
    <x v="55"/>
    <s v="conventional_default_dq_fico_796"/>
    <x v="836"/>
    <n v="1"/>
    <n v="1"/>
    <n v="490"/>
    <n v="910"/>
  </r>
  <r>
    <x v="55"/>
    <s v="conventional_default_dq_fico_797"/>
    <x v="837"/>
    <n v="1"/>
    <n v="1"/>
    <n v="490"/>
    <n v="910"/>
  </r>
  <r>
    <x v="55"/>
    <s v="conventional_default_dq_fico_798"/>
    <x v="838"/>
    <n v="1"/>
    <n v="1"/>
    <n v="490"/>
    <n v="910"/>
  </r>
  <r>
    <x v="55"/>
    <s v="conventional_default_dq_fico_799"/>
    <x v="839"/>
    <n v="1"/>
    <n v="1"/>
    <n v="490"/>
    <n v="910"/>
  </r>
  <r>
    <x v="55"/>
    <s v="conventional_default_dq_fico_800"/>
    <x v="840"/>
    <n v="1"/>
    <n v="1"/>
    <n v="490"/>
    <n v="910"/>
  </r>
  <r>
    <x v="55"/>
    <s v="conventional_default_dq_fico_801"/>
    <x v="841"/>
    <n v="1"/>
    <n v="1"/>
    <n v="490"/>
    <n v="910"/>
  </r>
  <r>
    <x v="55"/>
    <s v="conventional_default_dq_fico_802"/>
    <x v="842"/>
    <n v="1"/>
    <n v="1"/>
    <n v="490"/>
    <n v="910"/>
  </r>
  <r>
    <x v="55"/>
    <s v="conventional_default_dq_fico_803"/>
    <x v="843"/>
    <n v="1"/>
    <n v="1"/>
    <n v="490"/>
    <n v="910"/>
  </r>
  <r>
    <x v="55"/>
    <s v="conventional_default_dq_fico_804"/>
    <x v="844"/>
    <n v="1"/>
    <n v="1"/>
    <n v="490"/>
    <n v="910"/>
  </r>
  <r>
    <x v="55"/>
    <s v="conventional_default_dq_fico_805"/>
    <x v="845"/>
    <n v="1"/>
    <n v="1"/>
    <n v="490"/>
    <n v="910"/>
  </r>
  <r>
    <x v="55"/>
    <s v="conventional_default_dq_fico_806"/>
    <x v="846"/>
    <n v="1"/>
    <n v="1"/>
    <n v="490"/>
    <n v="910"/>
  </r>
  <r>
    <x v="55"/>
    <s v="conventional_default_dq_fico_807"/>
    <x v="847"/>
    <n v="1"/>
    <n v="1"/>
    <n v="490"/>
    <n v="910"/>
  </r>
  <r>
    <x v="55"/>
    <s v="conventional_default_dq_fico_808"/>
    <x v="848"/>
    <n v="1"/>
    <n v="1"/>
    <n v="490"/>
    <n v="910"/>
  </r>
  <r>
    <x v="55"/>
    <s v="conventional_default_dq_fico_809"/>
    <x v="849"/>
    <n v="1"/>
    <n v="1"/>
    <n v="490"/>
    <n v="910"/>
  </r>
  <r>
    <x v="55"/>
    <s v="conventional_default_dq_fico_810"/>
    <x v="850"/>
    <n v="1"/>
    <n v="1"/>
    <n v="490"/>
    <n v="910"/>
  </r>
  <r>
    <x v="55"/>
    <s v="conventional_default_dq_fico_811"/>
    <x v="851"/>
    <n v="1"/>
    <n v="1"/>
    <n v="490"/>
    <n v="910"/>
  </r>
  <r>
    <x v="55"/>
    <s v="conventional_default_dq_fico_812"/>
    <x v="852"/>
    <n v="1"/>
    <n v="1"/>
    <n v="490"/>
    <n v="910"/>
  </r>
  <r>
    <x v="55"/>
    <s v="conventional_default_dq_fico_813"/>
    <x v="853"/>
    <n v="1"/>
    <n v="1"/>
    <n v="490"/>
    <n v="910"/>
  </r>
  <r>
    <x v="55"/>
    <s v="conventional_default_dq_fico_814"/>
    <x v="854"/>
    <n v="1"/>
    <n v="1"/>
    <n v="490"/>
    <n v="910"/>
  </r>
  <r>
    <x v="55"/>
    <s v="conventional_default_dq_fico_815"/>
    <x v="855"/>
    <n v="1"/>
    <n v="1"/>
    <n v="490"/>
    <n v="910"/>
  </r>
  <r>
    <x v="55"/>
    <s v="conventional_default_dq_fico_816"/>
    <x v="856"/>
    <n v="1"/>
    <n v="1"/>
    <n v="490"/>
    <n v="910"/>
  </r>
  <r>
    <x v="55"/>
    <s v="conventional_default_dq_fico_817"/>
    <x v="857"/>
    <n v="1"/>
    <n v="1"/>
    <n v="490"/>
    <n v="910"/>
  </r>
  <r>
    <x v="55"/>
    <s v="conventional_default_dq_fico_818"/>
    <x v="858"/>
    <n v="1"/>
    <n v="1"/>
    <n v="490"/>
    <n v="910"/>
  </r>
  <r>
    <x v="55"/>
    <s v="conventional_default_dq_fico_819"/>
    <x v="859"/>
    <n v="1"/>
    <n v="1"/>
    <n v="490"/>
    <n v="910"/>
  </r>
  <r>
    <x v="55"/>
    <s v="conventional_default_dq_fico_820"/>
    <x v="860"/>
    <n v="1"/>
    <n v="1"/>
    <n v="490"/>
    <n v="910"/>
  </r>
  <r>
    <x v="55"/>
    <s v="conventional_default_dq_fico_821"/>
    <x v="861"/>
    <n v="1"/>
    <n v="1"/>
    <n v="490"/>
    <n v="910"/>
  </r>
  <r>
    <x v="55"/>
    <s v="conventional_default_dq_fico_822"/>
    <x v="862"/>
    <n v="1"/>
    <n v="1"/>
    <n v="490"/>
    <n v="910"/>
  </r>
  <r>
    <x v="55"/>
    <s v="conventional_default_dq_fico_823"/>
    <x v="863"/>
    <n v="1"/>
    <n v="1"/>
    <n v="490"/>
    <n v="910"/>
  </r>
  <r>
    <x v="55"/>
    <s v="conventional_default_dq_fico_824"/>
    <x v="864"/>
    <n v="1"/>
    <n v="1"/>
    <n v="490"/>
    <n v="910"/>
  </r>
  <r>
    <x v="55"/>
    <s v="conventional_default_dq_fico_825"/>
    <x v="865"/>
    <n v="1"/>
    <n v="1"/>
    <n v="490"/>
    <n v="910"/>
  </r>
  <r>
    <x v="55"/>
    <s v="conventional_default_dq_fico_826"/>
    <x v="866"/>
    <n v="1"/>
    <n v="1"/>
    <n v="490"/>
    <n v="910"/>
  </r>
  <r>
    <x v="55"/>
    <s v="conventional_default_dq_fico_827"/>
    <x v="867"/>
    <n v="1"/>
    <n v="1"/>
    <n v="490"/>
    <n v="910"/>
  </r>
  <r>
    <x v="55"/>
    <s v="conventional_default_dq_fico_828"/>
    <x v="868"/>
    <n v="1"/>
    <n v="1"/>
    <n v="490"/>
    <n v="910"/>
  </r>
  <r>
    <x v="55"/>
    <s v="conventional_default_dq_fico_829"/>
    <x v="869"/>
    <n v="1"/>
    <n v="1"/>
    <n v="490"/>
    <n v="910"/>
  </r>
  <r>
    <x v="55"/>
    <s v="conventional_default_dq_fico_830"/>
    <x v="870"/>
    <n v="1"/>
    <n v="1"/>
    <n v="490"/>
    <n v="910"/>
  </r>
  <r>
    <x v="55"/>
    <s v="conventional_default_dq_fico_831"/>
    <x v="871"/>
    <n v="1"/>
    <n v="1"/>
    <n v="490"/>
    <n v="910"/>
  </r>
  <r>
    <x v="55"/>
    <s v="conventional_default_dq_fico_832"/>
    <x v="872"/>
    <n v="1"/>
    <n v="1"/>
    <n v="490"/>
    <n v="910"/>
  </r>
  <r>
    <x v="55"/>
    <s v="conventional_default_dq_fico_833"/>
    <x v="873"/>
    <n v="1"/>
    <n v="1"/>
    <n v="490"/>
    <n v="910"/>
  </r>
  <r>
    <x v="55"/>
    <s v="conventional_default_dq_fico_834"/>
    <x v="874"/>
    <n v="1"/>
    <n v="1"/>
    <n v="490"/>
    <n v="910"/>
  </r>
  <r>
    <x v="55"/>
    <s v="conventional_default_dq_fico_835"/>
    <x v="875"/>
    <n v="1"/>
    <n v="1"/>
    <n v="490"/>
    <n v="910"/>
  </r>
  <r>
    <x v="55"/>
    <s v="conventional_default_dq_fico_836"/>
    <x v="876"/>
    <n v="1"/>
    <n v="1"/>
    <n v="490"/>
    <n v="910"/>
  </r>
  <r>
    <x v="55"/>
    <s v="conventional_default_dq_fico_837"/>
    <x v="877"/>
    <n v="1"/>
    <n v="1"/>
    <n v="490"/>
    <n v="910"/>
  </r>
  <r>
    <x v="55"/>
    <s v="conventional_default_dq_fico_838"/>
    <x v="878"/>
    <n v="1"/>
    <n v="1"/>
    <n v="490"/>
    <n v="910"/>
  </r>
  <r>
    <x v="55"/>
    <s v="conventional_default_dq_fico_839"/>
    <x v="879"/>
    <n v="1"/>
    <n v="1"/>
    <n v="490"/>
    <n v="910"/>
  </r>
  <r>
    <x v="55"/>
    <s v="conventional_default_dq_fico_840"/>
    <x v="880"/>
    <n v="1"/>
    <n v="1"/>
    <n v="490"/>
    <n v="910"/>
  </r>
  <r>
    <x v="55"/>
    <s v="conventional_default_dq_fico_841"/>
    <x v="881"/>
    <n v="1"/>
    <n v="1"/>
    <n v="490"/>
    <n v="910"/>
  </r>
  <r>
    <x v="55"/>
    <s v="conventional_default_dq_fico_842"/>
    <x v="882"/>
    <n v="1"/>
    <n v="1"/>
    <n v="490"/>
    <n v="910"/>
  </r>
  <r>
    <x v="55"/>
    <s v="conventional_default_dq_fico_843"/>
    <x v="883"/>
    <n v="1"/>
    <n v="1"/>
    <n v="490"/>
    <n v="910"/>
  </r>
  <r>
    <x v="55"/>
    <s v="conventional_default_dq_fico_844"/>
    <x v="884"/>
    <n v="1"/>
    <n v="1"/>
    <n v="490"/>
    <n v="910"/>
  </r>
  <r>
    <x v="55"/>
    <s v="conventional_default_dq_fico_845"/>
    <x v="885"/>
    <n v="1"/>
    <n v="1"/>
    <n v="490"/>
    <n v="910"/>
  </r>
  <r>
    <x v="55"/>
    <s v="conventional_default_dq_fico_846"/>
    <x v="886"/>
    <n v="1"/>
    <n v="1"/>
    <n v="490"/>
    <n v="910"/>
  </r>
  <r>
    <x v="55"/>
    <s v="conventional_default_dq_fico_847"/>
    <x v="887"/>
    <n v="1"/>
    <n v="1"/>
    <n v="490"/>
    <n v="910"/>
  </r>
  <r>
    <x v="55"/>
    <s v="conventional_default_dq_fico_848"/>
    <x v="888"/>
    <n v="1"/>
    <n v="1"/>
    <n v="490"/>
    <n v="910"/>
  </r>
  <r>
    <x v="55"/>
    <s v="conventional_default_dq_fico_849"/>
    <x v="889"/>
    <n v="1"/>
    <n v="1"/>
    <n v="490"/>
    <n v="910"/>
  </r>
  <r>
    <x v="55"/>
    <s v="conventional_default_dq_fico_850"/>
    <x v="890"/>
    <n v="1"/>
    <n v="1"/>
    <n v="490"/>
    <n v="910"/>
  </r>
  <r>
    <x v="55"/>
    <s v="conventional_default_dq_fico_851"/>
    <x v="891"/>
    <n v="1"/>
    <n v="1"/>
    <n v="490"/>
    <n v="910"/>
  </r>
  <r>
    <x v="55"/>
    <s v="conventional_default_dq_fico_852"/>
    <x v="892"/>
    <n v="1"/>
    <n v="1"/>
    <n v="490"/>
    <n v="910"/>
  </r>
  <r>
    <x v="55"/>
    <s v="conventional_default_dq_fico_853"/>
    <x v="893"/>
    <n v="1"/>
    <n v="1"/>
    <n v="490"/>
    <n v="910"/>
  </r>
  <r>
    <x v="55"/>
    <s v="conventional_default_dq_fico_854"/>
    <x v="894"/>
    <n v="1"/>
    <n v="1"/>
    <n v="490"/>
    <n v="910"/>
  </r>
  <r>
    <x v="55"/>
    <s v="conventional_default_dq_fico_855"/>
    <x v="895"/>
    <n v="1"/>
    <n v="1"/>
    <n v="490"/>
    <n v="910"/>
  </r>
  <r>
    <x v="55"/>
    <s v="conventional_default_dq_fico_856"/>
    <x v="896"/>
    <n v="1"/>
    <n v="1"/>
    <n v="490"/>
    <n v="910"/>
  </r>
  <r>
    <x v="55"/>
    <s v="conventional_default_dq_fico_857"/>
    <x v="897"/>
    <n v="1"/>
    <n v="1"/>
    <n v="490"/>
    <n v="910"/>
  </r>
  <r>
    <x v="55"/>
    <s v="conventional_default_dq_fico_858"/>
    <x v="898"/>
    <n v="1"/>
    <n v="1"/>
    <n v="490"/>
    <n v="910"/>
  </r>
  <r>
    <x v="55"/>
    <s v="conventional_default_dq_fico_859"/>
    <x v="899"/>
    <n v="1"/>
    <n v="1"/>
    <n v="490"/>
    <n v="910"/>
  </r>
  <r>
    <x v="55"/>
    <s v="conventional_default_dq_fico_860"/>
    <x v="900"/>
    <n v="1"/>
    <n v="1"/>
    <n v="490"/>
    <n v="910"/>
  </r>
  <r>
    <x v="55"/>
    <s v="conventional_default_dq_fico_861"/>
    <x v="901"/>
    <n v="1"/>
    <n v="1"/>
    <n v="490"/>
    <n v="910"/>
  </r>
  <r>
    <x v="55"/>
    <s v="conventional_default_dq_fico_862"/>
    <x v="902"/>
    <n v="1"/>
    <n v="1"/>
    <n v="490"/>
    <n v="910"/>
  </r>
  <r>
    <x v="55"/>
    <s v="conventional_default_dq_fico_863"/>
    <x v="903"/>
    <n v="1"/>
    <n v="1"/>
    <n v="490"/>
    <n v="910"/>
  </r>
  <r>
    <x v="55"/>
    <s v="conventional_default_dq_fico_864"/>
    <x v="904"/>
    <n v="1"/>
    <n v="1"/>
    <n v="490"/>
    <n v="910"/>
  </r>
  <r>
    <x v="55"/>
    <s v="conventional_default_dq_fico_865"/>
    <x v="905"/>
    <n v="1"/>
    <n v="1"/>
    <n v="490"/>
    <n v="910"/>
  </r>
  <r>
    <x v="55"/>
    <s v="conventional_default_dq_fico_866"/>
    <x v="906"/>
    <n v="1"/>
    <n v="1"/>
    <n v="490"/>
    <n v="910"/>
  </r>
  <r>
    <x v="55"/>
    <s v="conventional_default_dq_fico_867"/>
    <x v="907"/>
    <n v="1"/>
    <n v="1"/>
    <n v="490"/>
    <n v="910"/>
  </r>
  <r>
    <x v="55"/>
    <s v="conventional_default_dq_fico_868"/>
    <x v="908"/>
    <n v="1"/>
    <n v="1"/>
    <n v="490"/>
    <n v="910"/>
  </r>
  <r>
    <x v="55"/>
    <s v="conventional_default_dq_fico_869"/>
    <x v="909"/>
    <n v="1"/>
    <n v="1"/>
    <n v="490"/>
    <n v="910"/>
  </r>
  <r>
    <x v="55"/>
    <s v="conventional_default_dq_fico_870"/>
    <x v="910"/>
    <n v="1"/>
    <n v="1"/>
    <n v="490"/>
    <n v="910"/>
  </r>
  <r>
    <x v="55"/>
    <s v="conventional_default_dq_fico_871"/>
    <x v="911"/>
    <n v="1"/>
    <n v="1"/>
    <n v="490"/>
    <n v="910"/>
  </r>
  <r>
    <x v="55"/>
    <s v="conventional_default_dq_fico_872"/>
    <x v="912"/>
    <n v="1"/>
    <n v="1"/>
    <n v="490"/>
    <n v="910"/>
  </r>
  <r>
    <x v="55"/>
    <s v="conventional_default_dq_fico_873"/>
    <x v="913"/>
    <n v="1"/>
    <n v="1"/>
    <n v="490"/>
    <n v="910"/>
  </r>
  <r>
    <x v="55"/>
    <s v="conventional_default_dq_fico_874"/>
    <x v="914"/>
    <n v="1"/>
    <n v="1"/>
    <n v="490"/>
    <n v="910"/>
  </r>
  <r>
    <x v="55"/>
    <s v="conventional_default_dq_fico_875"/>
    <x v="915"/>
    <n v="1"/>
    <n v="1"/>
    <n v="490"/>
    <n v="910"/>
  </r>
  <r>
    <x v="55"/>
    <s v="conventional_default_dq_fico_876"/>
    <x v="916"/>
    <n v="1"/>
    <n v="1"/>
    <n v="490"/>
    <n v="910"/>
  </r>
  <r>
    <x v="55"/>
    <s v="conventional_default_dq_fico_877"/>
    <x v="917"/>
    <n v="1"/>
    <n v="1"/>
    <n v="490"/>
    <n v="910"/>
  </r>
  <r>
    <x v="55"/>
    <s v="conventional_default_dq_fico_878"/>
    <x v="918"/>
    <n v="1"/>
    <n v="1"/>
    <n v="490"/>
    <n v="910"/>
  </r>
  <r>
    <x v="55"/>
    <s v="conventional_default_dq_fico_879"/>
    <x v="919"/>
    <n v="1"/>
    <n v="1"/>
    <n v="490"/>
    <n v="910"/>
  </r>
  <r>
    <x v="55"/>
    <s v="conventional_default_dq_fico_880"/>
    <x v="920"/>
    <n v="1"/>
    <n v="1"/>
    <n v="490"/>
    <n v="910"/>
  </r>
  <r>
    <x v="55"/>
    <s v="conventional_default_dq_fico_881"/>
    <x v="921"/>
    <n v="1"/>
    <n v="1"/>
    <n v="490"/>
    <n v="910"/>
  </r>
  <r>
    <x v="55"/>
    <s v="conventional_default_dq_fico_882"/>
    <x v="922"/>
    <n v="1"/>
    <n v="1"/>
    <n v="490"/>
    <n v="910"/>
  </r>
  <r>
    <x v="55"/>
    <s v="conventional_default_dq_fico_883"/>
    <x v="923"/>
    <n v="1"/>
    <n v="1"/>
    <n v="490"/>
    <n v="910"/>
  </r>
  <r>
    <x v="55"/>
    <s v="conventional_default_dq_fico_884"/>
    <x v="924"/>
    <n v="1"/>
    <n v="1"/>
    <n v="490"/>
    <n v="910"/>
  </r>
  <r>
    <x v="55"/>
    <s v="conventional_default_dq_fico_885"/>
    <x v="925"/>
    <n v="1"/>
    <n v="1"/>
    <n v="490"/>
    <n v="910"/>
  </r>
  <r>
    <x v="55"/>
    <s v="conventional_default_dq_fico_886"/>
    <x v="926"/>
    <n v="1"/>
    <n v="1"/>
    <n v="490"/>
    <n v="910"/>
  </r>
  <r>
    <x v="55"/>
    <s v="conventional_default_dq_fico_887"/>
    <x v="927"/>
    <n v="1"/>
    <n v="1"/>
    <n v="490"/>
    <n v="910"/>
  </r>
  <r>
    <x v="55"/>
    <s v="conventional_default_dq_fico_888"/>
    <x v="928"/>
    <n v="1"/>
    <n v="1"/>
    <n v="490"/>
    <n v="910"/>
  </r>
  <r>
    <x v="55"/>
    <s v="conventional_default_dq_fico_889"/>
    <x v="929"/>
    <n v="1"/>
    <n v="1"/>
    <n v="490"/>
    <n v="910"/>
  </r>
  <r>
    <x v="55"/>
    <s v="conventional_default_dq_fico_890"/>
    <x v="930"/>
    <n v="1"/>
    <n v="1"/>
    <n v="490"/>
    <n v="910"/>
  </r>
  <r>
    <x v="55"/>
    <s v="conventional_default_dq_fico_891"/>
    <x v="931"/>
    <n v="1"/>
    <n v="1"/>
    <n v="490"/>
    <n v="910"/>
  </r>
  <r>
    <x v="55"/>
    <s v="conventional_default_dq_fico_892"/>
    <x v="932"/>
    <n v="1"/>
    <n v="1"/>
    <n v="490"/>
    <n v="910"/>
  </r>
  <r>
    <x v="55"/>
    <s v="conventional_default_dq_fico_893"/>
    <x v="933"/>
    <n v="1"/>
    <n v="1"/>
    <n v="490"/>
    <n v="910"/>
  </r>
  <r>
    <x v="55"/>
    <s v="conventional_default_dq_fico_894"/>
    <x v="934"/>
    <n v="1"/>
    <n v="1"/>
    <n v="490"/>
    <n v="910"/>
  </r>
  <r>
    <x v="55"/>
    <s v="conventional_default_dq_fico_895"/>
    <x v="935"/>
    <n v="1"/>
    <n v="1"/>
    <n v="490"/>
    <n v="910"/>
  </r>
  <r>
    <x v="55"/>
    <s v="conventional_default_dq_fico_896"/>
    <x v="936"/>
    <n v="1"/>
    <n v="1"/>
    <n v="490"/>
    <n v="910"/>
  </r>
  <r>
    <x v="55"/>
    <s v="conventional_default_dq_fico_897"/>
    <x v="937"/>
    <n v="1"/>
    <n v="1"/>
    <n v="490"/>
    <n v="910"/>
  </r>
  <r>
    <x v="55"/>
    <s v="conventional_default_dq_fico_898"/>
    <x v="938"/>
    <n v="1"/>
    <n v="1"/>
    <n v="490"/>
    <n v="910"/>
  </r>
  <r>
    <x v="55"/>
    <s v="conventional_default_dq_fico_899"/>
    <x v="939"/>
    <n v="1"/>
    <n v="1"/>
    <n v="490"/>
    <n v="910"/>
  </r>
  <r>
    <x v="55"/>
    <s v="conventional_default_dq_fico_900"/>
    <x v="940"/>
    <n v="1"/>
    <n v="1"/>
    <n v="490"/>
    <n v="910"/>
  </r>
  <r>
    <x v="55"/>
    <s v="conventional_default_dq_fico_901"/>
    <x v="941"/>
    <n v="1"/>
    <n v="1"/>
    <n v="490"/>
    <n v="910"/>
  </r>
  <r>
    <x v="55"/>
    <s v="conventional_default_dq_fico_902"/>
    <x v="942"/>
    <n v="1"/>
    <n v="1"/>
    <n v="490"/>
    <n v="910"/>
  </r>
  <r>
    <x v="55"/>
    <s v="conventional_default_dq_fico_903"/>
    <x v="943"/>
    <n v="1"/>
    <n v="1"/>
    <n v="490"/>
    <n v="910"/>
  </r>
  <r>
    <x v="55"/>
    <s v="conventional_default_dq_fico_904"/>
    <x v="944"/>
    <n v="1"/>
    <n v="1"/>
    <n v="490"/>
    <n v="910"/>
  </r>
  <r>
    <x v="55"/>
    <s v="conventional_default_dq_fico_905"/>
    <x v="945"/>
    <n v="1"/>
    <n v="1"/>
    <n v="490"/>
    <n v="910"/>
  </r>
  <r>
    <x v="55"/>
    <s v="conventional_default_dq_fico_906"/>
    <x v="946"/>
    <n v="1"/>
    <n v="1"/>
    <n v="490"/>
    <n v="910"/>
  </r>
  <r>
    <x v="55"/>
    <s v="conventional_default_dq_fico_907"/>
    <x v="947"/>
    <n v="1"/>
    <n v="1"/>
    <n v="490"/>
    <n v="910"/>
  </r>
  <r>
    <x v="55"/>
    <s v="conventional_default_dq_fico_908"/>
    <x v="948"/>
    <n v="1"/>
    <n v="1"/>
    <n v="490"/>
    <n v="910"/>
  </r>
  <r>
    <x v="55"/>
    <s v="conventional_default_dq_fico_909"/>
    <x v="949"/>
    <n v="1"/>
    <n v="1"/>
    <n v="490"/>
    <n v="910"/>
  </r>
  <r>
    <x v="55"/>
    <s v="conventional_default_dq_fico_910"/>
    <x v="950"/>
    <n v="1"/>
    <n v="1"/>
    <n v="490"/>
    <n v="910"/>
  </r>
  <r>
    <x v="56"/>
    <s v="conventional_curtailment_wala_-13"/>
    <x v="27"/>
    <n v="1"/>
    <n v="1"/>
    <n v="-13"/>
    <n v="76"/>
  </r>
  <r>
    <x v="56"/>
    <s v="conventional_curtailment_wala_-12"/>
    <x v="28"/>
    <n v="1"/>
    <n v="1"/>
    <n v="-13"/>
    <n v="76"/>
  </r>
  <r>
    <x v="56"/>
    <s v="conventional_curtailment_wala_-11"/>
    <x v="29"/>
    <n v="1"/>
    <n v="1"/>
    <n v="-13"/>
    <n v="76"/>
  </r>
  <r>
    <x v="56"/>
    <s v="conventional_curtailment_wala_-10"/>
    <x v="30"/>
    <n v="1"/>
    <n v="1"/>
    <n v="-13"/>
    <n v="76"/>
  </r>
  <r>
    <x v="56"/>
    <s v="conventional_curtailment_wala_-9"/>
    <x v="31"/>
    <n v="1"/>
    <n v="1"/>
    <n v="-13"/>
    <n v="76"/>
  </r>
  <r>
    <x v="56"/>
    <s v="conventional_curtailment_wala_-8"/>
    <x v="32"/>
    <n v="1"/>
    <n v="1"/>
    <n v="-13"/>
    <n v="76"/>
  </r>
  <r>
    <x v="56"/>
    <s v="conventional_curtailment_wala_-7"/>
    <x v="33"/>
    <n v="1"/>
    <n v="1"/>
    <n v="-13"/>
    <n v="76"/>
  </r>
  <r>
    <x v="56"/>
    <s v="conventional_curtailment_wala_-6"/>
    <x v="34"/>
    <n v="1"/>
    <n v="1"/>
    <n v="-13"/>
    <n v="76"/>
  </r>
  <r>
    <x v="56"/>
    <s v="conventional_curtailment_wala_-5"/>
    <x v="35"/>
    <n v="1"/>
    <n v="1"/>
    <n v="-13"/>
    <n v="76"/>
  </r>
  <r>
    <x v="56"/>
    <s v="conventional_curtailment_wala_-4"/>
    <x v="36"/>
    <n v="1"/>
    <n v="1"/>
    <n v="-13"/>
    <n v="76"/>
  </r>
  <r>
    <x v="56"/>
    <s v="conventional_curtailment_wala_-3"/>
    <x v="37"/>
    <n v="1"/>
    <n v="1"/>
    <n v="-13"/>
    <n v="76"/>
  </r>
  <r>
    <x v="56"/>
    <s v="conventional_curtailment_wala_-2"/>
    <x v="38"/>
    <n v="1"/>
    <n v="1"/>
    <n v="-13"/>
    <n v="76"/>
  </r>
  <r>
    <x v="56"/>
    <s v="conventional_curtailment_wala_-1"/>
    <x v="39"/>
    <n v="1"/>
    <n v="1"/>
    <n v="-13"/>
    <n v="76"/>
  </r>
  <r>
    <x v="56"/>
    <s v="conventional_curtailment_wala_0"/>
    <x v="40"/>
    <n v="1"/>
    <n v="1"/>
    <n v="-13"/>
    <n v="76"/>
  </r>
  <r>
    <x v="56"/>
    <s v="conventional_curtailment_wala_1"/>
    <x v="41"/>
    <n v="1"/>
    <n v="1"/>
    <n v="-13"/>
    <n v="76"/>
  </r>
  <r>
    <x v="56"/>
    <s v="conventional_curtailment_wala_2"/>
    <x v="42"/>
    <n v="1"/>
    <n v="1"/>
    <n v="-13"/>
    <n v="76"/>
  </r>
  <r>
    <x v="56"/>
    <s v="conventional_curtailment_wala_3"/>
    <x v="43"/>
    <n v="1"/>
    <n v="1"/>
    <n v="-13"/>
    <n v="76"/>
  </r>
  <r>
    <x v="56"/>
    <s v="conventional_curtailment_wala_4"/>
    <x v="44"/>
    <n v="1"/>
    <n v="1"/>
    <n v="-13"/>
    <n v="76"/>
  </r>
  <r>
    <x v="56"/>
    <s v="conventional_curtailment_wala_5"/>
    <x v="45"/>
    <n v="1"/>
    <n v="1"/>
    <n v="-13"/>
    <n v="76"/>
  </r>
  <r>
    <x v="56"/>
    <s v="conventional_curtailment_wala_6"/>
    <x v="46"/>
    <n v="1"/>
    <n v="1"/>
    <n v="-13"/>
    <n v="76"/>
  </r>
  <r>
    <x v="56"/>
    <s v="conventional_curtailment_wala_7"/>
    <x v="47"/>
    <n v="1"/>
    <n v="1"/>
    <n v="-13"/>
    <n v="76"/>
  </r>
  <r>
    <x v="56"/>
    <s v="conventional_curtailment_wala_8"/>
    <x v="48"/>
    <n v="1"/>
    <n v="1"/>
    <n v="-13"/>
    <n v="76"/>
  </r>
  <r>
    <x v="56"/>
    <s v="conventional_curtailment_wala_9"/>
    <x v="49"/>
    <n v="1"/>
    <n v="1"/>
    <n v="-13"/>
    <n v="76"/>
  </r>
  <r>
    <x v="56"/>
    <s v="conventional_curtailment_wala_10"/>
    <x v="50"/>
    <n v="1"/>
    <n v="1"/>
    <n v="-13"/>
    <n v="76"/>
  </r>
  <r>
    <x v="56"/>
    <s v="conventional_curtailment_wala_11"/>
    <x v="51"/>
    <n v="1"/>
    <n v="1"/>
    <n v="-13"/>
    <n v="76"/>
  </r>
  <r>
    <x v="56"/>
    <s v="conventional_curtailment_wala_12"/>
    <x v="52"/>
    <n v="1"/>
    <n v="1"/>
    <n v="-13"/>
    <n v="76"/>
  </r>
  <r>
    <x v="56"/>
    <s v="conventional_curtailment_wala_13"/>
    <x v="53"/>
    <n v="1"/>
    <n v="1"/>
    <n v="-13"/>
    <n v="76"/>
  </r>
  <r>
    <x v="56"/>
    <s v="conventional_curtailment_wala_14"/>
    <x v="54"/>
    <n v="1"/>
    <n v="1"/>
    <n v="-13"/>
    <n v="76"/>
  </r>
  <r>
    <x v="56"/>
    <s v="conventional_curtailment_wala_15"/>
    <x v="55"/>
    <n v="1"/>
    <n v="1"/>
    <n v="-13"/>
    <n v="76"/>
  </r>
  <r>
    <x v="56"/>
    <s v="conventional_curtailment_wala_16"/>
    <x v="56"/>
    <n v="1"/>
    <n v="1"/>
    <n v="-13"/>
    <n v="76"/>
  </r>
  <r>
    <x v="56"/>
    <s v="conventional_curtailment_wala_17"/>
    <x v="57"/>
    <n v="1"/>
    <n v="1"/>
    <n v="-13"/>
    <n v="76"/>
  </r>
  <r>
    <x v="56"/>
    <s v="conventional_curtailment_wala_18"/>
    <x v="58"/>
    <n v="1"/>
    <n v="1"/>
    <n v="-13"/>
    <n v="76"/>
  </r>
  <r>
    <x v="56"/>
    <s v="conventional_curtailment_wala_19"/>
    <x v="59"/>
    <n v="1"/>
    <n v="1"/>
    <n v="-13"/>
    <n v="76"/>
  </r>
  <r>
    <x v="56"/>
    <s v="conventional_curtailment_wala_20"/>
    <x v="60"/>
    <n v="1"/>
    <n v="1"/>
    <n v="-13"/>
    <n v="76"/>
  </r>
  <r>
    <x v="56"/>
    <s v="conventional_curtailment_wala_21"/>
    <x v="61"/>
    <n v="1"/>
    <n v="1"/>
    <n v="-13"/>
    <n v="76"/>
  </r>
  <r>
    <x v="56"/>
    <s v="conventional_curtailment_wala_22"/>
    <x v="62"/>
    <n v="1"/>
    <n v="1"/>
    <n v="-13"/>
    <n v="76"/>
  </r>
  <r>
    <x v="56"/>
    <s v="conventional_curtailment_wala_23"/>
    <x v="63"/>
    <n v="1"/>
    <n v="1"/>
    <n v="-13"/>
    <n v="76"/>
  </r>
  <r>
    <x v="56"/>
    <s v="conventional_curtailment_wala_24"/>
    <x v="64"/>
    <n v="1"/>
    <n v="1"/>
    <n v="-13"/>
    <n v="76"/>
  </r>
  <r>
    <x v="56"/>
    <s v="conventional_curtailment_wala_25"/>
    <x v="65"/>
    <n v="1"/>
    <n v="1"/>
    <n v="-13"/>
    <n v="76"/>
  </r>
  <r>
    <x v="56"/>
    <s v="conventional_curtailment_wala_26"/>
    <x v="66"/>
    <n v="1"/>
    <n v="1"/>
    <n v="-13"/>
    <n v="76"/>
  </r>
  <r>
    <x v="56"/>
    <s v="conventional_curtailment_wala_27"/>
    <x v="67"/>
    <n v="1"/>
    <n v="1"/>
    <n v="-13"/>
    <n v="76"/>
  </r>
  <r>
    <x v="56"/>
    <s v="conventional_curtailment_wala_28"/>
    <x v="68"/>
    <n v="1"/>
    <n v="1"/>
    <n v="-13"/>
    <n v="76"/>
  </r>
  <r>
    <x v="56"/>
    <s v="conventional_curtailment_wala_29"/>
    <x v="69"/>
    <n v="1"/>
    <n v="1"/>
    <n v="-13"/>
    <n v="76"/>
  </r>
  <r>
    <x v="56"/>
    <s v="conventional_curtailment_wala_30"/>
    <x v="70"/>
    <n v="1"/>
    <n v="1"/>
    <n v="-13"/>
    <n v="76"/>
  </r>
  <r>
    <x v="56"/>
    <s v="conventional_curtailment_wala_31"/>
    <x v="71"/>
    <n v="1"/>
    <n v="1"/>
    <n v="-13"/>
    <n v="76"/>
  </r>
  <r>
    <x v="56"/>
    <s v="conventional_curtailment_wala_32"/>
    <x v="72"/>
    <n v="1"/>
    <n v="1"/>
    <n v="-13"/>
    <n v="76"/>
  </r>
  <r>
    <x v="56"/>
    <s v="conventional_curtailment_wala_33"/>
    <x v="73"/>
    <n v="1"/>
    <n v="1"/>
    <n v="-13"/>
    <n v="76"/>
  </r>
  <r>
    <x v="56"/>
    <s v="conventional_curtailment_wala_34"/>
    <x v="74"/>
    <n v="1"/>
    <n v="1"/>
    <n v="-13"/>
    <n v="76"/>
  </r>
  <r>
    <x v="56"/>
    <s v="conventional_curtailment_wala_35"/>
    <x v="75"/>
    <n v="1"/>
    <n v="1"/>
    <n v="-13"/>
    <n v="76"/>
  </r>
  <r>
    <x v="56"/>
    <s v="conventional_curtailment_wala_36"/>
    <x v="76"/>
    <n v="1"/>
    <n v="1"/>
    <n v="-13"/>
    <n v="76"/>
  </r>
  <r>
    <x v="56"/>
    <s v="conventional_curtailment_wala_37"/>
    <x v="77"/>
    <n v="1"/>
    <n v="1"/>
    <n v="-13"/>
    <n v="76"/>
  </r>
  <r>
    <x v="56"/>
    <s v="conventional_curtailment_wala_38"/>
    <x v="78"/>
    <n v="1"/>
    <n v="1"/>
    <n v="-13"/>
    <n v="76"/>
  </r>
  <r>
    <x v="56"/>
    <s v="conventional_curtailment_wala_39"/>
    <x v="79"/>
    <n v="1"/>
    <n v="1"/>
    <n v="-13"/>
    <n v="76"/>
  </r>
  <r>
    <x v="56"/>
    <s v="conventional_curtailment_wala_40"/>
    <x v="80"/>
    <n v="1"/>
    <n v="1"/>
    <n v="-13"/>
    <n v="76"/>
  </r>
  <r>
    <x v="56"/>
    <s v="conventional_curtailment_wala_41"/>
    <x v="81"/>
    <n v="1"/>
    <n v="1"/>
    <n v="-13"/>
    <n v="76"/>
  </r>
  <r>
    <x v="56"/>
    <s v="conventional_curtailment_wala_42"/>
    <x v="82"/>
    <n v="1"/>
    <n v="1"/>
    <n v="-13"/>
    <n v="76"/>
  </r>
  <r>
    <x v="56"/>
    <s v="conventional_curtailment_wala_43"/>
    <x v="83"/>
    <n v="1"/>
    <n v="1"/>
    <n v="-13"/>
    <n v="76"/>
  </r>
  <r>
    <x v="56"/>
    <s v="conventional_curtailment_wala_44"/>
    <x v="84"/>
    <n v="1"/>
    <n v="1"/>
    <n v="-13"/>
    <n v="76"/>
  </r>
  <r>
    <x v="56"/>
    <s v="conventional_curtailment_wala_45"/>
    <x v="85"/>
    <n v="1"/>
    <n v="1"/>
    <n v="-13"/>
    <n v="76"/>
  </r>
  <r>
    <x v="56"/>
    <s v="conventional_curtailment_wala_46"/>
    <x v="86"/>
    <n v="1"/>
    <n v="1"/>
    <n v="-13"/>
    <n v="76"/>
  </r>
  <r>
    <x v="56"/>
    <s v="conventional_curtailment_wala_47"/>
    <x v="87"/>
    <n v="1"/>
    <n v="1"/>
    <n v="-13"/>
    <n v="76"/>
  </r>
  <r>
    <x v="56"/>
    <s v="conventional_curtailment_wala_48"/>
    <x v="88"/>
    <n v="1"/>
    <n v="1"/>
    <n v="-13"/>
    <n v="76"/>
  </r>
  <r>
    <x v="56"/>
    <s v="conventional_curtailment_wala_49"/>
    <x v="89"/>
    <n v="1"/>
    <n v="1"/>
    <n v="-13"/>
    <n v="76"/>
  </r>
  <r>
    <x v="56"/>
    <s v="conventional_curtailment_wala_50"/>
    <x v="90"/>
    <n v="1"/>
    <n v="1"/>
    <n v="-13"/>
    <n v="76"/>
  </r>
  <r>
    <x v="56"/>
    <s v="conventional_curtailment_wala_51"/>
    <x v="91"/>
    <n v="1"/>
    <n v="1"/>
    <n v="-13"/>
    <n v="76"/>
  </r>
  <r>
    <x v="56"/>
    <s v="conventional_curtailment_wala_52"/>
    <x v="92"/>
    <n v="1"/>
    <n v="1"/>
    <n v="-13"/>
    <n v="76"/>
  </r>
  <r>
    <x v="56"/>
    <s v="conventional_curtailment_wala_53"/>
    <x v="93"/>
    <n v="1"/>
    <n v="1"/>
    <n v="-13"/>
    <n v="76"/>
  </r>
  <r>
    <x v="56"/>
    <s v="conventional_curtailment_wala_54"/>
    <x v="94"/>
    <n v="1"/>
    <n v="1"/>
    <n v="-13"/>
    <n v="76"/>
  </r>
  <r>
    <x v="56"/>
    <s v="conventional_curtailment_wala_55"/>
    <x v="95"/>
    <n v="1"/>
    <n v="1"/>
    <n v="-13"/>
    <n v="76"/>
  </r>
  <r>
    <x v="56"/>
    <s v="conventional_curtailment_wala_56"/>
    <x v="96"/>
    <n v="1"/>
    <n v="1"/>
    <n v="-13"/>
    <n v="76"/>
  </r>
  <r>
    <x v="56"/>
    <s v="conventional_curtailment_wala_57"/>
    <x v="97"/>
    <n v="1"/>
    <n v="1"/>
    <n v="-13"/>
    <n v="76"/>
  </r>
  <r>
    <x v="56"/>
    <s v="conventional_curtailment_wala_58"/>
    <x v="98"/>
    <n v="1"/>
    <n v="1"/>
    <n v="-13"/>
    <n v="76"/>
  </r>
  <r>
    <x v="56"/>
    <s v="conventional_curtailment_wala_59"/>
    <x v="99"/>
    <n v="1"/>
    <n v="1"/>
    <n v="-13"/>
    <n v="76"/>
  </r>
  <r>
    <x v="56"/>
    <s v="conventional_curtailment_wala_60"/>
    <x v="100"/>
    <n v="1"/>
    <n v="1"/>
    <n v="-13"/>
    <n v="76"/>
  </r>
  <r>
    <x v="56"/>
    <s v="conventional_curtailment_wala_61"/>
    <x v="101"/>
    <n v="1"/>
    <n v="1"/>
    <n v="-13"/>
    <n v="76"/>
  </r>
  <r>
    <x v="56"/>
    <s v="conventional_curtailment_wala_62"/>
    <x v="102"/>
    <n v="1"/>
    <n v="1"/>
    <n v="-13"/>
    <n v="76"/>
  </r>
  <r>
    <x v="56"/>
    <s v="conventional_curtailment_wala_63"/>
    <x v="103"/>
    <n v="1"/>
    <n v="1"/>
    <n v="-13"/>
    <n v="76"/>
  </r>
  <r>
    <x v="56"/>
    <s v="conventional_curtailment_wala_64"/>
    <x v="104"/>
    <n v="1"/>
    <n v="1"/>
    <n v="-13"/>
    <n v="76"/>
  </r>
  <r>
    <x v="56"/>
    <s v="conventional_curtailment_wala_65"/>
    <x v="105"/>
    <n v="1"/>
    <n v="1"/>
    <n v="-13"/>
    <n v="76"/>
  </r>
  <r>
    <x v="56"/>
    <s v="conventional_curtailment_wala_66"/>
    <x v="106"/>
    <n v="1"/>
    <n v="1"/>
    <n v="-13"/>
    <n v="76"/>
  </r>
  <r>
    <x v="56"/>
    <s v="conventional_curtailment_wala_67"/>
    <x v="107"/>
    <n v="1"/>
    <n v="1"/>
    <n v="-13"/>
    <n v="76"/>
  </r>
  <r>
    <x v="56"/>
    <s v="conventional_curtailment_wala_68"/>
    <x v="108"/>
    <n v="1"/>
    <n v="1"/>
    <n v="-13"/>
    <n v="76"/>
  </r>
  <r>
    <x v="56"/>
    <s v="conventional_curtailment_wala_69"/>
    <x v="109"/>
    <n v="1"/>
    <n v="1"/>
    <n v="-13"/>
    <n v="76"/>
  </r>
  <r>
    <x v="56"/>
    <s v="conventional_curtailment_wala_70"/>
    <x v="110"/>
    <n v="1"/>
    <n v="1"/>
    <n v="-13"/>
    <n v="76"/>
  </r>
  <r>
    <x v="56"/>
    <s v="conventional_curtailment_wala_71"/>
    <x v="111"/>
    <n v="1"/>
    <n v="1"/>
    <n v="-13"/>
    <n v="76"/>
  </r>
  <r>
    <x v="56"/>
    <s v="conventional_curtailment_wala_72"/>
    <x v="112"/>
    <n v="1"/>
    <n v="1"/>
    <n v="-13"/>
    <n v="76"/>
  </r>
  <r>
    <x v="56"/>
    <s v="conventional_curtailment_wala_73"/>
    <x v="113"/>
    <n v="1"/>
    <n v="1"/>
    <n v="-13"/>
    <n v="76"/>
  </r>
  <r>
    <x v="56"/>
    <s v="conventional_curtailment_wala_74"/>
    <x v="114"/>
    <n v="1"/>
    <n v="1"/>
    <n v="-13"/>
    <n v="76"/>
  </r>
  <r>
    <x v="56"/>
    <s v="conventional_curtailment_wala_75"/>
    <x v="115"/>
    <n v="1"/>
    <n v="1"/>
    <n v="-13"/>
    <n v="76"/>
  </r>
  <r>
    <x v="56"/>
    <s v="conventional_curtailment_wala_76"/>
    <x v="116"/>
    <n v="1"/>
    <n v="1"/>
    <n v="-13"/>
    <n v="76"/>
  </r>
  <r>
    <x v="57"/>
    <s v="conventional_curtailment_wam_-72"/>
    <x v="1199"/>
    <n v="3.6505000000000003E-2"/>
    <n v="1"/>
    <n v="-72"/>
    <n v="432"/>
  </r>
  <r>
    <x v="57"/>
    <s v="conventional_curtailment_wam_-71"/>
    <x v="1200"/>
    <n v="3.6225791666666701E-2"/>
    <n v="1"/>
    <n v="-72"/>
    <n v="432"/>
  </r>
  <r>
    <x v="57"/>
    <s v="conventional_curtailment_wam_-70"/>
    <x v="1201"/>
    <n v="3.5946583333333303E-2"/>
    <n v="1"/>
    <n v="-72"/>
    <n v="432"/>
  </r>
  <r>
    <x v="57"/>
    <s v="conventional_curtailment_wam_-69"/>
    <x v="1202"/>
    <n v="3.5667375000000001E-2"/>
    <n v="1"/>
    <n v="-72"/>
    <n v="432"/>
  </r>
  <r>
    <x v="57"/>
    <s v="conventional_curtailment_wam_-68"/>
    <x v="1203"/>
    <n v="3.53881666666667E-2"/>
    <n v="1"/>
    <n v="-72"/>
    <n v="432"/>
  </r>
  <r>
    <x v="57"/>
    <s v="conventional_curtailment_wam_-67"/>
    <x v="1204"/>
    <n v="3.5108958333333301E-2"/>
    <n v="1"/>
    <n v="-72"/>
    <n v="432"/>
  </r>
  <r>
    <x v="57"/>
    <s v="conventional_curtailment_wam_-66"/>
    <x v="1205"/>
    <n v="3.482975E-2"/>
    <n v="1"/>
    <n v="-72"/>
    <n v="432"/>
  </r>
  <r>
    <x v="57"/>
    <s v="conventional_curtailment_wam_-65"/>
    <x v="1206"/>
    <n v="3.4550541666666698E-2"/>
    <n v="1"/>
    <n v="-72"/>
    <n v="432"/>
  </r>
  <r>
    <x v="57"/>
    <s v="conventional_curtailment_wam_-64"/>
    <x v="1207"/>
    <n v="3.42713333333333E-2"/>
    <n v="1"/>
    <n v="-72"/>
    <n v="432"/>
  </r>
  <r>
    <x v="57"/>
    <s v="conventional_curtailment_wam_-63"/>
    <x v="1208"/>
    <n v="3.3992124999999998E-2"/>
    <n v="1"/>
    <n v="-72"/>
    <n v="432"/>
  </r>
  <r>
    <x v="57"/>
    <s v="conventional_curtailment_wam_-62"/>
    <x v="1209"/>
    <n v="3.3712916666666697E-2"/>
    <n v="1"/>
    <n v="-72"/>
    <n v="432"/>
  </r>
  <r>
    <x v="57"/>
    <s v="conventional_curtailment_wam_-61"/>
    <x v="1210"/>
    <n v="3.3433708333333298E-2"/>
    <n v="1"/>
    <n v="-72"/>
    <n v="432"/>
  </r>
  <r>
    <x v="57"/>
    <s v="conventional_curtailment_wam_-60"/>
    <x v="1211"/>
    <n v="3.3154500000000003E-2"/>
    <n v="1"/>
    <n v="-72"/>
    <n v="432"/>
  </r>
  <r>
    <x v="57"/>
    <s v="conventional_curtailment_wam_-59"/>
    <x v="1212"/>
    <n v="3.2875291666666702E-2"/>
    <n v="1"/>
    <n v="-72"/>
    <n v="432"/>
  </r>
  <r>
    <x v="57"/>
    <s v="conventional_curtailment_wam_-58"/>
    <x v="1213"/>
    <n v="3.2596083333333303E-2"/>
    <n v="1"/>
    <n v="-72"/>
    <n v="432"/>
  </r>
  <r>
    <x v="57"/>
    <s v="conventional_curtailment_wam_-57"/>
    <x v="1214"/>
    <n v="3.2316875000000002E-2"/>
    <n v="1"/>
    <n v="-72"/>
    <n v="432"/>
  </r>
  <r>
    <x v="57"/>
    <s v="conventional_curtailment_wam_-56"/>
    <x v="1215"/>
    <n v="3.20376666666667E-2"/>
    <n v="1"/>
    <n v="-72"/>
    <n v="432"/>
  </r>
  <r>
    <x v="57"/>
    <s v="conventional_curtailment_wam_-55"/>
    <x v="1216"/>
    <n v="3.1758458333333302E-2"/>
    <n v="1"/>
    <n v="-72"/>
    <n v="432"/>
  </r>
  <r>
    <x v="57"/>
    <s v="conventional_curtailment_wam_-54"/>
    <x v="1217"/>
    <n v="3.147925E-2"/>
    <n v="1"/>
    <n v="-72"/>
    <n v="432"/>
  </r>
  <r>
    <x v="57"/>
    <s v="conventional_curtailment_wam_-53"/>
    <x v="1218"/>
    <n v="3.1200041666666699E-2"/>
    <n v="1"/>
    <n v="-72"/>
    <n v="432"/>
  </r>
  <r>
    <x v="57"/>
    <s v="conventional_curtailment_wam_-52"/>
    <x v="1219"/>
    <n v="3.09208333333333E-2"/>
    <n v="1"/>
    <n v="-72"/>
    <n v="432"/>
  </r>
  <r>
    <x v="57"/>
    <s v="conventional_curtailment_wam_-51"/>
    <x v="1220"/>
    <n v="3.0641624999999999E-2"/>
    <n v="1"/>
    <n v="-72"/>
    <n v="432"/>
  </r>
  <r>
    <x v="57"/>
    <s v="conventional_curtailment_wam_-50"/>
    <x v="1221"/>
    <n v="3.0362416666666701E-2"/>
    <n v="1"/>
    <n v="-72"/>
    <n v="432"/>
  </r>
  <r>
    <x v="57"/>
    <s v="conventional_curtailment_wam_-49"/>
    <x v="1222"/>
    <n v="3.0083208333333299E-2"/>
    <n v="1"/>
    <n v="-72"/>
    <n v="432"/>
  </r>
  <r>
    <x v="57"/>
    <s v="conventional_curtailment_wam_-48"/>
    <x v="1223"/>
    <n v="2.9804000000000001E-2"/>
    <n v="1"/>
    <n v="-72"/>
    <n v="432"/>
  </r>
  <r>
    <x v="57"/>
    <s v="conventional_curtailment_wam_-47"/>
    <x v="1224"/>
    <n v="2.9524791666666699E-2"/>
    <n v="1"/>
    <n v="-72"/>
    <n v="432"/>
  </r>
  <r>
    <x v="57"/>
    <s v="conventional_curtailment_wam_-46"/>
    <x v="1225"/>
    <n v="2.9245583333333301E-2"/>
    <n v="1"/>
    <n v="-72"/>
    <n v="432"/>
  </r>
  <r>
    <x v="57"/>
    <s v="conventional_curtailment_wam_-45"/>
    <x v="1226"/>
    <n v="2.8966374999999999E-2"/>
    <n v="1"/>
    <n v="-72"/>
    <n v="432"/>
  </r>
  <r>
    <x v="57"/>
    <s v="conventional_curtailment_wam_-44"/>
    <x v="1227"/>
    <n v="2.8687166666666701E-2"/>
    <n v="1"/>
    <n v="-72"/>
    <n v="432"/>
  </r>
  <r>
    <x v="57"/>
    <s v="conventional_curtailment_wam_-43"/>
    <x v="1228"/>
    <n v="2.8407958333333299E-2"/>
    <n v="1"/>
    <n v="-72"/>
    <n v="432"/>
  </r>
  <r>
    <x v="57"/>
    <s v="conventional_curtailment_wam_-42"/>
    <x v="1229"/>
    <n v="2.8128750000000001E-2"/>
    <n v="1"/>
    <n v="-72"/>
    <n v="432"/>
  </r>
  <r>
    <x v="57"/>
    <s v="conventional_curtailment_wam_-41"/>
    <x v="1230"/>
    <n v="2.78495416666667E-2"/>
    <n v="1"/>
    <n v="-72"/>
    <n v="432"/>
  </r>
  <r>
    <x v="57"/>
    <s v="conventional_curtailment_wam_-40"/>
    <x v="0"/>
    <n v="2.7570333333333301E-2"/>
    <n v="1"/>
    <n v="-72"/>
    <n v="432"/>
  </r>
  <r>
    <x v="57"/>
    <s v="conventional_curtailment_wam_-39"/>
    <x v="1"/>
    <n v="2.7291124999999999E-2"/>
    <n v="1"/>
    <n v="-72"/>
    <n v="432"/>
  </r>
  <r>
    <x v="57"/>
    <s v="conventional_curtailment_wam_-38"/>
    <x v="2"/>
    <n v="2.7011916666666701E-2"/>
    <n v="1"/>
    <n v="-72"/>
    <n v="432"/>
  </r>
  <r>
    <x v="57"/>
    <s v="conventional_curtailment_wam_-37"/>
    <x v="3"/>
    <n v="2.6732708333333299E-2"/>
    <n v="1"/>
    <n v="-72"/>
    <n v="432"/>
  </r>
  <r>
    <x v="57"/>
    <s v="conventional_curtailment_wam_-36"/>
    <x v="4"/>
    <n v="2.6453500000000001E-2"/>
    <n v="1"/>
    <n v="-72"/>
    <n v="432"/>
  </r>
  <r>
    <x v="57"/>
    <s v="conventional_curtailment_wam_-35"/>
    <x v="5"/>
    <n v="2.61742916666667E-2"/>
    <n v="1"/>
    <n v="-72"/>
    <n v="432"/>
  </r>
  <r>
    <x v="57"/>
    <s v="conventional_curtailment_wam_-34"/>
    <x v="6"/>
    <n v="2.5895083333333301E-2"/>
    <n v="1"/>
    <n v="-72"/>
    <n v="432"/>
  </r>
  <r>
    <x v="57"/>
    <s v="conventional_curtailment_wam_-33"/>
    <x v="7"/>
    <n v="2.5615875E-2"/>
    <n v="1"/>
    <n v="-72"/>
    <n v="432"/>
  </r>
  <r>
    <x v="57"/>
    <s v="conventional_curtailment_wam_-32"/>
    <x v="8"/>
    <n v="2.5336666666666698E-2"/>
    <n v="1"/>
    <n v="-72"/>
    <n v="432"/>
  </r>
  <r>
    <x v="57"/>
    <s v="conventional_curtailment_wam_-31"/>
    <x v="9"/>
    <n v="2.50574583333333E-2"/>
    <n v="1"/>
    <n v="-72"/>
    <n v="432"/>
  </r>
  <r>
    <x v="57"/>
    <s v="conventional_curtailment_wam_-30"/>
    <x v="10"/>
    <n v="2.4778250000000002E-2"/>
    <n v="1"/>
    <n v="-72"/>
    <n v="432"/>
  </r>
  <r>
    <x v="57"/>
    <s v="conventional_curtailment_wam_-29"/>
    <x v="11"/>
    <n v="2.44990416666667E-2"/>
    <n v="1"/>
    <n v="-72"/>
    <n v="432"/>
  </r>
  <r>
    <x v="57"/>
    <s v="conventional_curtailment_wam_-28"/>
    <x v="12"/>
    <n v="2.4219833333333302E-2"/>
    <n v="1"/>
    <n v="-72"/>
    <n v="432"/>
  </r>
  <r>
    <x v="57"/>
    <s v="conventional_curtailment_wam_-27"/>
    <x v="13"/>
    <n v="2.3940625E-2"/>
    <n v="1"/>
    <n v="-72"/>
    <n v="432"/>
  </r>
  <r>
    <x v="57"/>
    <s v="conventional_curtailment_wam_-26"/>
    <x v="14"/>
    <n v="2.3661416666666699E-2"/>
    <n v="1"/>
    <n v="-72"/>
    <n v="432"/>
  </r>
  <r>
    <x v="57"/>
    <s v="conventional_curtailment_wam_-25"/>
    <x v="15"/>
    <n v="2.33822083333333E-2"/>
    <n v="1"/>
    <n v="-72"/>
    <n v="432"/>
  </r>
  <r>
    <x v="57"/>
    <s v="conventional_curtailment_wam_-24"/>
    <x v="16"/>
    <n v="2.3102999999999999E-2"/>
    <n v="1"/>
    <n v="-72"/>
    <n v="432"/>
  </r>
  <r>
    <x v="57"/>
    <s v="conventional_curtailment_wam_-23"/>
    <x v="17"/>
    <n v="2.2823791666666701E-2"/>
    <n v="1"/>
    <n v="-72"/>
    <n v="432"/>
  </r>
  <r>
    <x v="57"/>
    <s v="conventional_curtailment_wam_-22"/>
    <x v="18"/>
    <n v="2.2544583333333298E-2"/>
    <n v="1"/>
    <n v="-72"/>
    <n v="432"/>
  </r>
  <r>
    <x v="57"/>
    <s v="conventional_curtailment_wam_-21"/>
    <x v="19"/>
    <n v="2.2265375E-2"/>
    <n v="1"/>
    <n v="-72"/>
    <n v="432"/>
  </r>
  <r>
    <x v="57"/>
    <s v="conventional_curtailment_wam_-20"/>
    <x v="20"/>
    <n v="2.1986166666666699E-2"/>
    <n v="1"/>
    <n v="-72"/>
    <n v="432"/>
  </r>
  <r>
    <x v="57"/>
    <s v="conventional_curtailment_wam_-19"/>
    <x v="21"/>
    <n v="2.17069583333333E-2"/>
    <n v="1"/>
    <n v="-72"/>
    <n v="432"/>
  </r>
  <r>
    <x v="57"/>
    <s v="conventional_curtailment_wam_-18"/>
    <x v="22"/>
    <n v="2.1427749999999999E-2"/>
    <n v="1"/>
    <n v="-72"/>
    <n v="432"/>
  </r>
  <r>
    <x v="57"/>
    <s v="conventional_curtailment_wam_-17"/>
    <x v="23"/>
    <n v="2.1148541666666701E-2"/>
    <n v="1"/>
    <n v="-72"/>
    <n v="432"/>
  </r>
  <r>
    <x v="57"/>
    <s v="conventional_curtailment_wam_-16"/>
    <x v="24"/>
    <n v="2.0869333333333299E-2"/>
    <n v="1"/>
    <n v="-72"/>
    <n v="432"/>
  </r>
  <r>
    <x v="57"/>
    <s v="conventional_curtailment_wam_-15"/>
    <x v="25"/>
    <n v="2.0590125000000001E-2"/>
    <n v="1"/>
    <n v="-72"/>
    <n v="432"/>
  </r>
  <r>
    <x v="57"/>
    <s v="conventional_curtailment_wam_-14"/>
    <x v="26"/>
    <n v="2.0310916666666699E-2"/>
    <n v="1"/>
    <n v="-72"/>
    <n v="432"/>
  </r>
  <r>
    <x v="57"/>
    <s v="conventional_curtailment_wam_-13"/>
    <x v="27"/>
    <n v="2.0031708333333301E-2"/>
    <n v="1"/>
    <n v="-72"/>
    <n v="432"/>
  </r>
  <r>
    <x v="57"/>
    <s v="conventional_curtailment_wam_-12"/>
    <x v="28"/>
    <n v="1.9752499999999999E-2"/>
    <n v="1"/>
    <n v="-72"/>
    <n v="432"/>
  </r>
  <r>
    <x v="57"/>
    <s v="conventional_curtailment_wam_-11"/>
    <x v="29"/>
    <n v="1.9473291666666701E-2"/>
    <n v="1"/>
    <n v="-72"/>
    <n v="432"/>
  </r>
  <r>
    <x v="57"/>
    <s v="conventional_curtailment_wam_-10"/>
    <x v="30"/>
    <n v="1.9194083333333299E-2"/>
    <n v="1"/>
    <n v="-72"/>
    <n v="432"/>
  </r>
  <r>
    <x v="57"/>
    <s v="conventional_curtailment_wam_-9"/>
    <x v="31"/>
    <n v="1.8914875000000001E-2"/>
    <n v="1"/>
    <n v="-72"/>
    <n v="432"/>
  </r>
  <r>
    <x v="57"/>
    <s v="conventional_curtailment_wam_-8"/>
    <x v="32"/>
    <n v="1.86356666666667E-2"/>
    <n v="1"/>
    <n v="-72"/>
    <n v="432"/>
  </r>
  <r>
    <x v="57"/>
    <s v="conventional_curtailment_wam_-7"/>
    <x v="33"/>
    <n v="1.8356458333333301E-2"/>
    <n v="1"/>
    <n v="-72"/>
    <n v="432"/>
  </r>
  <r>
    <x v="57"/>
    <s v="conventional_curtailment_wam_-6"/>
    <x v="34"/>
    <n v="1.807725E-2"/>
    <n v="1"/>
    <n v="-72"/>
    <n v="432"/>
  </r>
  <r>
    <x v="57"/>
    <s v="conventional_curtailment_wam_-5"/>
    <x v="35"/>
    <n v="1.7798041666666702E-2"/>
    <n v="1"/>
    <n v="-72"/>
    <n v="432"/>
  </r>
  <r>
    <x v="57"/>
    <s v="conventional_curtailment_wam_-4"/>
    <x v="36"/>
    <n v="1.7518833333333299E-2"/>
    <n v="1"/>
    <n v="-72"/>
    <n v="432"/>
  </r>
  <r>
    <x v="57"/>
    <s v="conventional_curtailment_wam_-3"/>
    <x v="37"/>
    <n v="1.7239625000000001E-2"/>
    <n v="1"/>
    <n v="-72"/>
    <n v="432"/>
  </r>
  <r>
    <x v="57"/>
    <s v="conventional_curtailment_wam_-2"/>
    <x v="38"/>
    <n v="1.69604166666667E-2"/>
    <n v="1"/>
    <n v="-72"/>
    <n v="432"/>
  </r>
  <r>
    <x v="57"/>
    <s v="conventional_curtailment_wam_-1"/>
    <x v="39"/>
    <n v="1.6681208333333301E-2"/>
    <n v="1"/>
    <n v="-72"/>
    <n v="432"/>
  </r>
  <r>
    <x v="57"/>
    <s v="conventional_curtailment_wam_0"/>
    <x v="40"/>
    <n v="1.6402E-2"/>
    <n v="1"/>
    <n v="-72"/>
    <n v="432"/>
  </r>
  <r>
    <x v="57"/>
    <s v="conventional_curtailment_wam_1"/>
    <x v="41"/>
    <n v="1.61210560739776E-2"/>
    <n v="1"/>
    <n v="-72"/>
    <n v="432"/>
  </r>
  <r>
    <x v="57"/>
    <s v="conventional_curtailment_wam_2"/>
    <x v="42"/>
    <n v="1.5836942804784E-2"/>
    <n v="1"/>
    <n v="-72"/>
    <n v="432"/>
  </r>
  <r>
    <x v="57"/>
    <s v="conventional_curtailment_wam_3"/>
    <x v="43"/>
    <n v="1.55501129557292E-2"/>
    <n v="1"/>
    <n v="-72"/>
    <n v="432"/>
  </r>
  <r>
    <x v="57"/>
    <s v="conventional_curtailment_wam_4"/>
    <x v="44"/>
    <n v="1.5261019290123501E-2"/>
    <n v="1"/>
    <n v="-72"/>
    <n v="432"/>
  </r>
  <r>
    <x v="57"/>
    <s v="conventional_curtailment_wam_5"/>
    <x v="45"/>
    <n v="1.4970114571276999E-2"/>
    <n v="1"/>
    <n v="-72"/>
    <n v="432"/>
  </r>
  <r>
    <x v="57"/>
    <s v="conventional_curtailment_wam_6"/>
    <x v="46"/>
    <n v="1.46778515625E-2"/>
    <n v="1"/>
    <n v="-72"/>
    <n v="432"/>
  </r>
  <r>
    <x v="57"/>
    <s v="conventional_curtailment_wam_7"/>
    <x v="47"/>
    <n v="1.43846830271026E-2"/>
    <n v="1"/>
    <n v="-72"/>
    <n v="432"/>
  </r>
  <r>
    <x v="57"/>
    <s v="conventional_curtailment_wam_8"/>
    <x v="48"/>
    <n v="1.40910617283951E-2"/>
    <n v="1"/>
    <n v="-72"/>
    <n v="432"/>
  </r>
  <r>
    <x v="57"/>
    <s v="conventional_curtailment_wam_9"/>
    <x v="49"/>
    <n v="1.37974404296875E-2"/>
    <n v="1"/>
    <n v="-72"/>
    <n v="432"/>
  </r>
  <r>
    <x v="57"/>
    <s v="conventional_curtailment_wam_10"/>
    <x v="50"/>
    <n v="1.35042718942901E-2"/>
    <n v="1"/>
    <n v="-72"/>
    <n v="432"/>
  </r>
  <r>
    <x v="57"/>
    <s v="conventional_curtailment_wam_11"/>
    <x v="51"/>
    <n v="1.3212008885513099E-2"/>
    <n v="1"/>
    <n v="-72"/>
    <n v="432"/>
  </r>
  <r>
    <x v="57"/>
    <s v="conventional_curtailment_wam_12"/>
    <x v="52"/>
    <n v="1.2921104166666701E-2"/>
    <n v="1"/>
    <n v="-72"/>
    <n v="432"/>
  </r>
  <r>
    <x v="57"/>
    <s v="conventional_curtailment_wam_13"/>
    <x v="53"/>
    <n v="1.2632010501061001E-2"/>
    <n v="1"/>
    <n v="-72"/>
    <n v="432"/>
  </r>
  <r>
    <x v="57"/>
    <s v="conventional_curtailment_wam_14"/>
    <x v="54"/>
    <n v="1.23451806520062E-2"/>
    <n v="1"/>
    <n v="-72"/>
    <n v="432"/>
  </r>
  <r>
    <x v="57"/>
    <s v="conventional_curtailment_wam_15"/>
    <x v="55"/>
    <n v="1.20610673828125E-2"/>
    <n v="1"/>
    <n v="-72"/>
    <n v="432"/>
  </r>
  <r>
    <x v="57"/>
    <s v="conventional_curtailment_wam_16"/>
    <x v="56"/>
    <n v="1.1780123456790101E-2"/>
    <n v="1"/>
    <n v="-72"/>
    <n v="432"/>
  </r>
  <r>
    <x v="57"/>
    <s v="conventional_curtailment_wam_17"/>
    <x v="57"/>
    <n v="1.15028016372492E-2"/>
    <n v="1"/>
    <n v="-72"/>
    <n v="432"/>
  </r>
  <r>
    <x v="57"/>
    <s v="conventional_curtailment_wam_18"/>
    <x v="58"/>
    <n v="1.1229554687500001E-2"/>
    <n v="1"/>
    <n v="-72"/>
    <n v="432"/>
  </r>
  <r>
    <x v="57"/>
    <s v="conventional_curtailment_wam_19"/>
    <x v="59"/>
    <n v="1.0960835370852601E-2"/>
    <n v="1"/>
    <n v="-72"/>
    <n v="432"/>
  </r>
  <r>
    <x v="57"/>
    <s v="conventional_curtailment_wam_20"/>
    <x v="60"/>
    <n v="1.06970964506173E-2"/>
    <n v="1"/>
    <n v="-72"/>
    <n v="432"/>
  </r>
  <r>
    <x v="57"/>
    <s v="conventional_curtailment_wam_21"/>
    <x v="61"/>
    <n v="1.0438790690104199E-2"/>
    <n v="1"/>
    <n v="-72"/>
    <n v="432"/>
  </r>
  <r>
    <x v="57"/>
    <s v="conventional_curtailment_wam_22"/>
    <x v="62"/>
    <n v="1.01863708526235E-2"/>
    <n v="1"/>
    <n v="-72"/>
    <n v="432"/>
  </r>
  <r>
    <x v="57"/>
    <s v="conventional_curtailment_wam_23"/>
    <x v="63"/>
    <n v="9.94028970148534E-3"/>
    <n v="1"/>
    <n v="-72"/>
    <n v="432"/>
  </r>
  <r>
    <x v="57"/>
    <s v="conventional_curtailment_wam_24"/>
    <x v="64"/>
    <n v="9.7009999999999996E-3"/>
    <n v="1"/>
    <n v="-72"/>
    <n v="432"/>
  </r>
  <r>
    <x v="57"/>
    <s v="conventional_curtailment_wam_25"/>
    <x v="65"/>
    <n v="9.4637710057736309E-3"/>
    <n v="1"/>
    <n v="-72"/>
    <n v="432"/>
  </r>
  <r>
    <x v="57"/>
    <s v="conventional_curtailment_wam_26"/>
    <x v="66"/>
    <n v="9.2238779407768402E-3"/>
    <n v="1"/>
    <n v="-72"/>
    <n v="432"/>
  </r>
  <r>
    <x v="57"/>
    <s v="conventional_curtailment_wam_27"/>
    <x v="67"/>
    <n v="8.9817825148664193E-3"/>
    <n v="1"/>
    <n v="-72"/>
    <n v="432"/>
  </r>
  <r>
    <x v="57"/>
    <s v="conventional_curtailment_wam_28"/>
    <x v="68"/>
    <n v="8.73794643789917E-3"/>
    <n v="1"/>
    <n v="-72"/>
    <n v="432"/>
  </r>
  <r>
    <x v="57"/>
    <s v="conventional_curtailment_wam_29"/>
    <x v="69"/>
    <n v="8.4928314197318805E-3"/>
    <n v="1"/>
    <n v="-72"/>
    <n v="432"/>
  </r>
  <r>
    <x v="57"/>
    <s v="conventional_curtailment_wam_30"/>
    <x v="70"/>
    <n v="8.2468991702213407E-3"/>
    <n v="1"/>
    <n v="-72"/>
    <n v="432"/>
  </r>
  <r>
    <x v="57"/>
    <s v="conventional_curtailment_wam_31"/>
    <x v="71"/>
    <n v="8.0006113992243597E-3"/>
    <n v="1"/>
    <n v="-72"/>
    <n v="432"/>
  </r>
  <r>
    <x v="57"/>
    <s v="conventional_curtailment_wam_32"/>
    <x v="72"/>
    <n v="7.7544298165977202E-3"/>
    <n v="1"/>
    <n v="-72"/>
    <n v="432"/>
  </r>
  <r>
    <x v="57"/>
    <s v="conventional_curtailment_wam_33"/>
    <x v="73"/>
    <n v="7.50881613219822E-3"/>
    <n v="1"/>
    <n v="-72"/>
    <n v="432"/>
  </r>
  <r>
    <x v="57"/>
    <s v="conventional_curtailment_wam_34"/>
    <x v="74"/>
    <n v="7.2642320558826603E-3"/>
    <n v="1"/>
    <n v="-72"/>
    <n v="432"/>
  </r>
  <r>
    <x v="57"/>
    <s v="conventional_curtailment_wam_35"/>
    <x v="75"/>
    <n v="7.0211392975078196E-3"/>
    <n v="1"/>
    <n v="-72"/>
    <n v="432"/>
  </r>
  <r>
    <x v="57"/>
    <s v="conventional_curtailment_wam_36"/>
    <x v="76"/>
    <n v="6.77999956693052E-3"/>
    <n v="1"/>
    <n v="-72"/>
    <n v="432"/>
  </r>
  <r>
    <x v="57"/>
    <s v="conventional_curtailment_wam_37"/>
    <x v="77"/>
    <n v="6.5412745740075296E-3"/>
    <n v="1"/>
    <n v="-72"/>
    <n v="432"/>
  </r>
  <r>
    <x v="57"/>
    <s v="conventional_curtailment_wam_38"/>
    <x v="78"/>
    <n v="6.3054260285956704E-3"/>
    <n v="1"/>
    <n v="-72"/>
    <n v="432"/>
  </r>
  <r>
    <x v="57"/>
    <s v="conventional_curtailment_wam_39"/>
    <x v="79"/>
    <n v="6.0729156405517097E-3"/>
    <n v="1"/>
    <n v="-72"/>
    <n v="432"/>
  </r>
  <r>
    <x v="57"/>
    <s v="conventional_curtailment_wam_40"/>
    <x v="80"/>
    <n v="5.8442051197324599E-3"/>
    <n v="1"/>
    <n v="-72"/>
    <n v="432"/>
  </r>
  <r>
    <x v="57"/>
    <s v="conventional_curtailment_wam_41"/>
    <x v="81"/>
    <n v="5.6197561759947102E-3"/>
    <n v="1"/>
    <n v="-72"/>
    <n v="432"/>
  </r>
  <r>
    <x v="57"/>
    <s v="conventional_curtailment_wam_42"/>
    <x v="82"/>
    <n v="5.4000305191952503E-3"/>
    <n v="1"/>
    <n v="-72"/>
    <n v="432"/>
  </r>
  <r>
    <x v="57"/>
    <s v="conventional_curtailment_wam_43"/>
    <x v="83"/>
    <n v="5.18548985919089E-3"/>
    <n v="1"/>
    <n v="-72"/>
    <n v="432"/>
  </r>
  <r>
    <x v="57"/>
    <s v="conventional_curtailment_wam_44"/>
    <x v="84"/>
    <n v="4.9765959058384098E-3"/>
    <n v="1"/>
    <n v="-72"/>
    <n v="432"/>
  </r>
  <r>
    <x v="57"/>
    <s v="conventional_curtailment_wam_45"/>
    <x v="85"/>
    <n v="4.7738103689946099E-3"/>
    <n v="1"/>
    <n v="-72"/>
    <n v="432"/>
  </r>
  <r>
    <x v="57"/>
    <s v="conventional_curtailment_wam_46"/>
    <x v="86"/>
    <n v="4.5775949585162897E-3"/>
    <n v="1"/>
    <n v="-72"/>
    <n v="432"/>
  </r>
  <r>
    <x v="57"/>
    <s v="conventional_curtailment_wam_47"/>
    <x v="87"/>
    <n v="4.38841138426024E-3"/>
    <n v="1"/>
    <n v="-72"/>
    <n v="432"/>
  </r>
  <r>
    <x v="57"/>
    <s v="conventional_curtailment_wam_48"/>
    <x v="88"/>
    <n v="4.2067213560832602E-3"/>
    <n v="1"/>
    <n v="-72"/>
    <n v="432"/>
  </r>
  <r>
    <x v="57"/>
    <s v="conventional_curtailment_wam_49"/>
    <x v="89"/>
    <n v="4.0329865838421401E-3"/>
    <n v="1"/>
    <n v="-72"/>
    <n v="432"/>
  </r>
  <r>
    <x v="57"/>
    <s v="conventional_curtailment_wam_50"/>
    <x v="90"/>
    <n v="3.8676687773936702E-3"/>
    <n v="1"/>
    <n v="-72"/>
    <n v="432"/>
  </r>
  <r>
    <x v="57"/>
    <s v="conventional_curtailment_wam_51"/>
    <x v="91"/>
    <n v="3.7112296465946601E-3"/>
    <n v="1"/>
    <n v="-72"/>
    <n v="432"/>
  </r>
  <r>
    <x v="57"/>
    <s v="conventional_curtailment_wam_52"/>
    <x v="92"/>
    <n v="3.5641309013018899E-3"/>
    <n v="1"/>
    <n v="-72"/>
    <n v="432"/>
  </r>
  <r>
    <x v="57"/>
    <s v="conventional_curtailment_wam_53"/>
    <x v="93"/>
    <n v="3.4268342513721602E-3"/>
    <n v="1"/>
    <n v="-72"/>
    <n v="432"/>
  </r>
  <r>
    <x v="57"/>
    <s v="conventional_curtailment_wam_54"/>
    <x v="94"/>
    <n v="3.29980140666227E-3"/>
    <n v="1"/>
    <n v="-72"/>
    <n v="432"/>
  </r>
  <r>
    <x v="57"/>
    <s v="conventional_curtailment_wam_55"/>
    <x v="95"/>
    <n v="3.1834940770290102E-3"/>
    <n v="1"/>
    <n v="-72"/>
    <n v="432"/>
  </r>
  <r>
    <x v="57"/>
    <s v="conventional_curtailment_wam_56"/>
    <x v="96"/>
    <n v="3.07837397232917E-3"/>
    <n v="1"/>
    <n v="-72"/>
    <n v="432"/>
  </r>
  <r>
    <x v="57"/>
    <s v="conventional_curtailment_wam_57"/>
    <x v="97"/>
    <n v="2.9849028024195598E-3"/>
    <n v="1"/>
    <n v="-72"/>
    <n v="432"/>
  </r>
  <r>
    <x v="57"/>
    <s v="conventional_curtailment_wam_58"/>
    <x v="98"/>
    <n v="2.90354227715696E-3"/>
    <n v="1"/>
    <n v="-72"/>
    <n v="432"/>
  </r>
  <r>
    <x v="57"/>
    <s v="conventional_curtailment_wam_59"/>
    <x v="99"/>
    <n v="2.8347541063981799E-3"/>
    <n v="1"/>
    <n v="-72"/>
    <n v="432"/>
  </r>
  <r>
    <x v="57"/>
    <s v="conventional_curtailment_wam_60"/>
    <x v="100"/>
    <n v="2.7789999999999998E-3"/>
    <n v="1"/>
    <n v="-72"/>
    <n v="432"/>
  </r>
  <r>
    <x v="57"/>
    <s v="conventional_curtailment_wam_61"/>
    <x v="101"/>
    <n v="2.7308285254047599E-3"/>
    <n v="1"/>
    <n v="-72"/>
    <n v="432"/>
  </r>
  <r>
    <x v="57"/>
    <s v="conventional_curtailment_wam_62"/>
    <x v="102"/>
    <n v="2.6844554507047501E-3"/>
    <n v="1"/>
    <n v="-72"/>
    <n v="432"/>
  </r>
  <r>
    <x v="57"/>
    <s v="conventional_curtailment_wam_63"/>
    <x v="103"/>
    <n v="2.6398432867316799E-3"/>
    <n v="1"/>
    <n v="-72"/>
    <n v="432"/>
  </r>
  <r>
    <x v="57"/>
    <s v="conventional_curtailment_wam_64"/>
    <x v="104"/>
    <n v="2.59695454431725E-3"/>
    <n v="1"/>
    <n v="-72"/>
    <n v="432"/>
  </r>
  <r>
    <x v="57"/>
    <s v="conventional_curtailment_wam_65"/>
    <x v="105"/>
    <n v="2.5557517342931898E-3"/>
    <n v="1"/>
    <n v="-72"/>
    <n v="432"/>
  </r>
  <r>
    <x v="57"/>
    <s v="conventional_curtailment_wam_66"/>
    <x v="106"/>
    <n v="2.5161973674911898E-3"/>
    <n v="1"/>
    <n v="-72"/>
    <n v="432"/>
  </r>
  <r>
    <x v="57"/>
    <s v="conventional_curtailment_wam_67"/>
    <x v="107"/>
    <n v="2.4782539547429801E-3"/>
    <n v="1"/>
    <n v="-72"/>
    <n v="432"/>
  </r>
  <r>
    <x v="57"/>
    <s v="conventional_curtailment_wam_68"/>
    <x v="108"/>
    <n v="2.4418840068802599E-3"/>
    <n v="1"/>
    <n v="-72"/>
    <n v="432"/>
  </r>
  <r>
    <x v="57"/>
    <s v="conventional_curtailment_wam_69"/>
    <x v="109"/>
    <n v="2.4070500347347498E-3"/>
    <n v="1"/>
    <n v="-72"/>
    <n v="432"/>
  </r>
  <r>
    <x v="57"/>
    <s v="conventional_curtailment_wam_70"/>
    <x v="110"/>
    <n v="2.3737145491381602E-3"/>
    <n v="1"/>
    <n v="-72"/>
    <n v="432"/>
  </r>
  <r>
    <x v="57"/>
    <s v="conventional_curtailment_wam_71"/>
    <x v="111"/>
    <n v="2.34184006092219E-3"/>
    <n v="1"/>
    <n v="-72"/>
    <n v="432"/>
  </r>
  <r>
    <x v="57"/>
    <s v="conventional_curtailment_wam_72"/>
    <x v="112"/>
    <n v="2.3113890809185601E-3"/>
    <n v="1"/>
    <n v="-72"/>
    <n v="432"/>
  </r>
  <r>
    <x v="57"/>
    <s v="conventional_curtailment_wam_73"/>
    <x v="113"/>
    <n v="2.2823241199589899E-3"/>
    <n v="1"/>
    <n v="-72"/>
    <n v="432"/>
  </r>
  <r>
    <x v="57"/>
    <s v="conventional_curtailment_wam_74"/>
    <x v="114"/>
    <n v="2.2546076888751701E-3"/>
    <n v="1"/>
    <n v="-72"/>
    <n v="432"/>
  </r>
  <r>
    <x v="57"/>
    <s v="conventional_curtailment_wam_75"/>
    <x v="115"/>
    <n v="2.2282022984988301E-3"/>
    <n v="1"/>
    <n v="-72"/>
    <n v="432"/>
  </r>
  <r>
    <x v="57"/>
    <s v="conventional_curtailment_wam_76"/>
    <x v="116"/>
    <n v="2.2030704596616799E-3"/>
    <n v="1"/>
    <n v="-72"/>
    <n v="432"/>
  </r>
  <r>
    <x v="57"/>
    <s v="conventional_curtailment_wam_77"/>
    <x v="117"/>
    <n v="2.1791746831954198E-3"/>
    <n v="1"/>
    <n v="-72"/>
    <n v="432"/>
  </r>
  <r>
    <x v="57"/>
    <s v="conventional_curtailment_wam_78"/>
    <x v="118"/>
    <n v="2.1564774799317701E-3"/>
    <n v="1"/>
    <n v="-72"/>
    <n v="432"/>
  </r>
  <r>
    <x v="57"/>
    <s v="conventional_curtailment_wam_79"/>
    <x v="119"/>
    <n v="2.1349413607024401E-3"/>
    <n v="1"/>
    <n v="-72"/>
    <n v="432"/>
  </r>
  <r>
    <x v="57"/>
    <s v="conventional_curtailment_wam_80"/>
    <x v="120"/>
    <n v="2.1145288363391399E-3"/>
    <n v="1"/>
    <n v="-72"/>
    <n v="432"/>
  </r>
  <r>
    <x v="57"/>
    <s v="conventional_curtailment_wam_81"/>
    <x v="121"/>
    <n v="2.0952024176735902E-3"/>
    <n v="1"/>
    <n v="-72"/>
    <n v="432"/>
  </r>
  <r>
    <x v="57"/>
    <s v="conventional_curtailment_wam_82"/>
    <x v="122"/>
    <n v="2.0769246155374799E-3"/>
    <n v="1"/>
    <n v="-72"/>
    <n v="432"/>
  </r>
  <r>
    <x v="57"/>
    <s v="conventional_curtailment_wam_83"/>
    <x v="123"/>
    <n v="2.0596579407625498E-3"/>
    <n v="1"/>
    <n v="-72"/>
    <n v="432"/>
  </r>
  <r>
    <x v="57"/>
    <s v="conventional_curtailment_wam_84"/>
    <x v="124"/>
    <n v="2.0433649041804898E-3"/>
    <n v="1"/>
    <n v="-72"/>
    <n v="432"/>
  </r>
  <r>
    <x v="57"/>
    <s v="conventional_curtailment_wam_85"/>
    <x v="125"/>
    <n v="2.0280080166230202E-3"/>
    <n v="1"/>
    <n v="-72"/>
    <n v="432"/>
  </r>
  <r>
    <x v="57"/>
    <s v="conventional_curtailment_wam_86"/>
    <x v="126"/>
    <n v="2.0135497889218501E-3"/>
    <n v="1"/>
    <n v="-72"/>
    <n v="432"/>
  </r>
  <r>
    <x v="57"/>
    <s v="conventional_curtailment_wam_87"/>
    <x v="127"/>
    <n v="1.9999527319086801E-3"/>
    <n v="1"/>
    <n v="-72"/>
    <n v="432"/>
  </r>
  <r>
    <x v="57"/>
    <s v="conventional_curtailment_wam_88"/>
    <x v="128"/>
    <n v="1.9871793564152501E-3"/>
    <n v="1"/>
    <n v="-72"/>
    <n v="432"/>
  </r>
  <r>
    <x v="57"/>
    <s v="conventional_curtailment_wam_89"/>
    <x v="129"/>
    <n v="1.9751921732732401E-3"/>
    <n v="1"/>
    <n v="-72"/>
    <n v="432"/>
  </r>
  <r>
    <x v="57"/>
    <s v="conventional_curtailment_wam_90"/>
    <x v="130"/>
    <n v="1.9639536933143899E-3"/>
    <n v="1"/>
    <n v="-72"/>
    <n v="432"/>
  </r>
  <r>
    <x v="57"/>
    <s v="conventional_curtailment_wam_91"/>
    <x v="131"/>
    <n v="1.9534264273703798E-3"/>
    <n v="1"/>
    <n v="-72"/>
    <n v="432"/>
  </r>
  <r>
    <x v="57"/>
    <s v="conventional_curtailment_wam_92"/>
    <x v="132"/>
    <n v="1.94357288627295E-3"/>
    <n v="1"/>
    <n v="-72"/>
    <n v="432"/>
  </r>
  <r>
    <x v="57"/>
    <s v="conventional_curtailment_wam_93"/>
    <x v="133"/>
    <n v="1.9343555808538E-3"/>
    <n v="1"/>
    <n v="-72"/>
    <n v="432"/>
  </r>
  <r>
    <x v="57"/>
    <s v="conventional_curtailment_wam_94"/>
    <x v="134"/>
    <n v="1.92573702194464E-3"/>
    <n v="1"/>
    <n v="-72"/>
    <n v="432"/>
  </r>
  <r>
    <x v="57"/>
    <s v="conventional_curtailment_wam_95"/>
    <x v="135"/>
    <n v="1.91767972037718E-3"/>
    <n v="1"/>
    <n v="-72"/>
    <n v="432"/>
  </r>
  <r>
    <x v="57"/>
    <s v="conventional_curtailment_wam_96"/>
    <x v="136"/>
    <n v="1.9101461869831301E-3"/>
    <n v="1"/>
    <n v="-72"/>
    <n v="432"/>
  </r>
  <r>
    <x v="57"/>
    <s v="conventional_curtailment_wam_97"/>
    <x v="137"/>
    <n v="1.90309893259421E-3"/>
    <n v="1"/>
    <n v="-72"/>
    <n v="432"/>
  </r>
  <r>
    <x v="57"/>
    <s v="conventional_curtailment_wam_98"/>
    <x v="138"/>
    <n v="1.89650046804213E-3"/>
    <n v="1"/>
    <n v="-72"/>
    <n v="432"/>
  </r>
  <r>
    <x v="57"/>
    <s v="conventional_curtailment_wam_99"/>
    <x v="139"/>
    <n v="1.8903133041586E-3"/>
    <n v="1"/>
    <n v="-72"/>
    <n v="432"/>
  </r>
  <r>
    <x v="57"/>
    <s v="conventional_curtailment_wam_100"/>
    <x v="140"/>
    <n v="1.88449995177532E-3"/>
    <n v="1"/>
    <n v="-72"/>
    <n v="432"/>
  </r>
  <r>
    <x v="57"/>
    <s v="conventional_curtailment_wam_101"/>
    <x v="141"/>
    <n v="1.87902292172402E-3"/>
    <n v="1"/>
    <n v="-72"/>
    <n v="432"/>
  </r>
  <r>
    <x v="57"/>
    <s v="conventional_curtailment_wam_102"/>
    <x v="142"/>
    <n v="1.8738447248364E-3"/>
    <n v="1"/>
    <n v="-72"/>
    <n v="432"/>
  </r>
  <r>
    <x v="57"/>
    <s v="conventional_curtailment_wam_103"/>
    <x v="143"/>
    <n v="1.8689278719441699E-3"/>
    <n v="1"/>
    <n v="-72"/>
    <n v="432"/>
  </r>
  <r>
    <x v="57"/>
    <s v="conventional_curtailment_wam_104"/>
    <x v="144"/>
    <n v="1.8642348738790501E-3"/>
    <n v="1"/>
    <n v="-72"/>
    <n v="432"/>
  </r>
  <r>
    <x v="57"/>
    <s v="conventional_curtailment_wam_105"/>
    <x v="145"/>
    <n v="1.8597282414727499E-3"/>
    <n v="1"/>
    <n v="-72"/>
    <n v="432"/>
  </r>
  <r>
    <x v="57"/>
    <s v="conventional_curtailment_wam_106"/>
    <x v="146"/>
    <n v="1.8553704855569699E-3"/>
    <n v="1"/>
    <n v="-72"/>
    <n v="432"/>
  </r>
  <r>
    <x v="57"/>
    <s v="conventional_curtailment_wam_107"/>
    <x v="147"/>
    <n v="1.85112411696344E-3"/>
    <n v="1"/>
    <n v="-72"/>
    <n v="432"/>
  </r>
  <r>
    <x v="57"/>
    <s v="conventional_curtailment_wam_108"/>
    <x v="148"/>
    <n v="1.84695164652385E-3"/>
    <n v="1"/>
    <n v="-72"/>
    <n v="432"/>
  </r>
  <r>
    <x v="57"/>
    <s v="conventional_curtailment_wam_109"/>
    <x v="149"/>
    <n v="1.84281558506993E-3"/>
    <n v="1"/>
    <n v="-72"/>
    <n v="432"/>
  </r>
  <r>
    <x v="57"/>
    <s v="conventional_curtailment_wam_110"/>
    <x v="150"/>
    <n v="1.8386784434333799E-3"/>
    <n v="1"/>
    <n v="-72"/>
    <n v="432"/>
  </r>
  <r>
    <x v="57"/>
    <s v="conventional_curtailment_wam_111"/>
    <x v="151"/>
    <n v="1.8345027324459199E-3"/>
    <n v="1"/>
    <n v="-72"/>
    <n v="432"/>
  </r>
  <r>
    <x v="57"/>
    <s v="conventional_curtailment_wam_112"/>
    <x v="152"/>
    <n v="1.8302509629392601E-3"/>
    <n v="1"/>
    <n v="-72"/>
    <n v="432"/>
  </r>
  <r>
    <x v="57"/>
    <s v="conventional_curtailment_wam_113"/>
    <x v="153"/>
    <n v="1.8258856457450999E-3"/>
    <n v="1"/>
    <n v="-72"/>
    <n v="432"/>
  </r>
  <r>
    <x v="57"/>
    <s v="conventional_curtailment_wam_114"/>
    <x v="154"/>
    <n v="1.82136929169516E-3"/>
    <n v="1"/>
    <n v="-72"/>
    <n v="432"/>
  </r>
  <r>
    <x v="57"/>
    <s v="conventional_curtailment_wam_115"/>
    <x v="155"/>
    <n v="1.8166644116211601E-3"/>
    <n v="1"/>
    <n v="-72"/>
    <n v="432"/>
  </r>
  <r>
    <x v="57"/>
    <s v="conventional_curtailment_wam_116"/>
    <x v="156"/>
    <n v="1.8117335163547899E-3"/>
    <n v="1"/>
    <n v="-72"/>
    <n v="432"/>
  </r>
  <r>
    <x v="57"/>
    <s v="conventional_curtailment_wam_117"/>
    <x v="157"/>
    <n v="1.80653911672779E-3"/>
    <n v="1"/>
    <n v="-72"/>
    <n v="432"/>
  </r>
  <r>
    <x v="57"/>
    <s v="conventional_curtailment_wam_118"/>
    <x v="158"/>
    <n v="1.80104372357184E-3"/>
    <n v="1"/>
    <n v="-72"/>
    <n v="432"/>
  </r>
  <r>
    <x v="57"/>
    <s v="conventional_curtailment_wam_119"/>
    <x v="159"/>
    <n v="1.7952098477186801E-3"/>
    <n v="1"/>
    <n v="-72"/>
    <n v="432"/>
  </r>
  <r>
    <x v="57"/>
    <s v="conventional_curtailment_wam_120"/>
    <x v="160"/>
    <n v="1.789E-3"/>
    <n v="1"/>
    <n v="-72"/>
    <n v="432"/>
  </r>
  <r>
    <x v="57"/>
    <s v="conventional_curtailment_wam_121"/>
    <x v="161"/>
    <n v="1.7824038771651199E-3"/>
    <n v="1"/>
    <n v="-72"/>
    <n v="432"/>
  </r>
  <r>
    <x v="57"/>
    <s v="conventional_curtailment_wam_122"/>
    <x v="162"/>
    <n v="1.77544384244956E-3"/>
    <n v="1"/>
    <n v="-72"/>
    <n v="432"/>
  </r>
  <r>
    <x v="57"/>
    <s v="conventional_curtailment_wam_123"/>
    <x v="163"/>
    <n v="1.7681314064143601E-3"/>
    <n v="1"/>
    <n v="-72"/>
    <n v="432"/>
  </r>
  <r>
    <x v="57"/>
    <s v="conventional_curtailment_wam_124"/>
    <x v="164"/>
    <n v="1.7604780796205801E-3"/>
    <n v="1"/>
    <n v="-72"/>
    <n v="432"/>
  </r>
  <r>
    <x v="57"/>
    <s v="conventional_curtailment_wam_125"/>
    <x v="165"/>
    <n v="1.7524953726292499E-3"/>
    <n v="1"/>
    <n v="-72"/>
    <n v="432"/>
  </r>
  <r>
    <x v="57"/>
    <s v="conventional_curtailment_wam_126"/>
    <x v="166"/>
    <n v="1.7441947960014101E-3"/>
    <n v="1"/>
    <n v="-72"/>
    <n v="432"/>
  </r>
  <r>
    <x v="57"/>
    <s v="conventional_curtailment_wam_127"/>
    <x v="167"/>
    <n v="1.7355878602981099E-3"/>
    <n v="1"/>
    <n v="-72"/>
    <n v="432"/>
  </r>
  <r>
    <x v="57"/>
    <s v="conventional_curtailment_wam_128"/>
    <x v="168"/>
    <n v="1.7266860760803901E-3"/>
    <n v="1"/>
    <n v="-72"/>
    <n v="432"/>
  </r>
  <r>
    <x v="57"/>
    <s v="conventional_curtailment_wam_129"/>
    <x v="169"/>
    <n v="1.7175009539092899E-3"/>
    <n v="1"/>
    <n v="-72"/>
    <n v="432"/>
  </r>
  <r>
    <x v="57"/>
    <s v="conventional_curtailment_wam_130"/>
    <x v="170"/>
    <n v="1.70804400434586E-3"/>
    <n v="1"/>
    <n v="-72"/>
    <n v="432"/>
  </r>
  <r>
    <x v="57"/>
    <s v="conventional_curtailment_wam_131"/>
    <x v="171"/>
    <n v="1.6983267379511401E-3"/>
    <n v="1"/>
    <n v="-72"/>
    <n v="432"/>
  </r>
  <r>
    <x v="57"/>
    <s v="conventional_curtailment_wam_132"/>
    <x v="172"/>
    <n v="1.68836066528617E-3"/>
    <n v="1"/>
    <n v="-72"/>
    <n v="432"/>
  </r>
  <r>
    <x v="57"/>
    <s v="conventional_curtailment_wam_133"/>
    <x v="173"/>
    <n v="1.678157296912E-3"/>
    <n v="1"/>
    <n v="-72"/>
    <n v="432"/>
  </r>
  <r>
    <x v="57"/>
    <s v="conventional_curtailment_wam_134"/>
    <x v="174"/>
    <n v="1.66772814338967E-3"/>
    <n v="1"/>
    <n v="-72"/>
    <n v="432"/>
  </r>
  <r>
    <x v="57"/>
    <s v="conventional_curtailment_wam_135"/>
    <x v="175"/>
    <n v="1.6570847152802199E-3"/>
    <n v="1"/>
    <n v="-72"/>
    <n v="432"/>
  </r>
  <r>
    <x v="57"/>
    <s v="conventional_curtailment_wam_136"/>
    <x v="176"/>
    <n v="1.6462385231447E-3"/>
    <n v="1"/>
    <n v="-72"/>
    <n v="432"/>
  </r>
  <r>
    <x v="57"/>
    <s v="conventional_curtailment_wam_137"/>
    <x v="177"/>
    <n v="1.6352010775441399E-3"/>
    <n v="1"/>
    <n v="-72"/>
    <n v="432"/>
  </r>
  <r>
    <x v="57"/>
    <s v="conventional_curtailment_wam_138"/>
    <x v="178"/>
    <n v="1.6239838890395901E-3"/>
    <n v="1"/>
    <n v="-72"/>
    <n v="432"/>
  </r>
  <r>
    <x v="57"/>
    <s v="conventional_curtailment_wam_139"/>
    <x v="179"/>
    <n v="1.6125984681920999E-3"/>
    <n v="1"/>
    <n v="-72"/>
    <n v="432"/>
  </r>
  <r>
    <x v="57"/>
    <s v="conventional_curtailment_wam_140"/>
    <x v="180"/>
    <n v="1.6010563255627001E-3"/>
    <n v="1"/>
    <n v="-72"/>
    <n v="432"/>
  </r>
  <r>
    <x v="57"/>
    <s v="conventional_curtailment_wam_141"/>
    <x v="181"/>
    <n v="1.5893689717124499E-3"/>
    <n v="1"/>
    <n v="-72"/>
    <n v="432"/>
  </r>
  <r>
    <x v="57"/>
    <s v="conventional_curtailment_wam_142"/>
    <x v="182"/>
    <n v="1.5775479172023699E-3"/>
    <n v="1"/>
    <n v="-72"/>
    <n v="432"/>
  </r>
  <r>
    <x v="57"/>
    <s v="conventional_curtailment_wam_143"/>
    <x v="183"/>
    <n v="1.5656046725935199E-3"/>
    <n v="1"/>
    <n v="-72"/>
    <n v="432"/>
  </r>
  <r>
    <x v="57"/>
    <s v="conventional_curtailment_wam_144"/>
    <x v="184"/>
    <n v="1.5535507484469499E-3"/>
    <n v="1"/>
    <n v="-72"/>
    <n v="432"/>
  </r>
  <r>
    <x v="57"/>
    <s v="conventional_curtailment_wam_145"/>
    <x v="185"/>
    <n v="1.54139765532368E-3"/>
    <n v="1"/>
    <n v="-72"/>
    <n v="432"/>
  </r>
  <r>
    <x v="57"/>
    <s v="conventional_curtailment_wam_146"/>
    <x v="186"/>
    <n v="1.5291569037847699E-3"/>
    <n v="1"/>
    <n v="-72"/>
    <n v="432"/>
  </r>
  <r>
    <x v="57"/>
    <s v="conventional_curtailment_wam_147"/>
    <x v="187"/>
    <n v="1.5168400043912499E-3"/>
    <n v="1"/>
    <n v="-72"/>
    <n v="432"/>
  </r>
  <r>
    <x v="57"/>
    <s v="conventional_curtailment_wam_148"/>
    <x v="188"/>
    <n v="1.50445846770418E-3"/>
    <n v="1"/>
    <n v="-72"/>
    <n v="432"/>
  </r>
  <r>
    <x v="57"/>
    <s v="conventional_curtailment_wam_149"/>
    <x v="189"/>
    <n v="1.49202380428459E-3"/>
    <n v="1"/>
    <n v="-72"/>
    <n v="432"/>
  </r>
  <r>
    <x v="57"/>
    <s v="conventional_curtailment_wam_150"/>
    <x v="190"/>
    <n v="1.4795475246935301E-3"/>
    <n v="1"/>
    <n v="-72"/>
    <n v="432"/>
  </r>
  <r>
    <x v="57"/>
    <s v="conventional_curtailment_wam_151"/>
    <x v="191"/>
    <n v="1.46704113949204E-3"/>
    <n v="1"/>
    <n v="-72"/>
    <n v="432"/>
  </r>
  <r>
    <x v="57"/>
    <s v="conventional_curtailment_wam_152"/>
    <x v="192"/>
    <n v="1.4545161592411601E-3"/>
    <n v="1"/>
    <n v="-72"/>
    <n v="432"/>
  </r>
  <r>
    <x v="57"/>
    <s v="conventional_curtailment_wam_153"/>
    <x v="193"/>
    <n v="1.44198409450193E-3"/>
    <n v="1"/>
    <n v="-72"/>
    <n v="432"/>
  </r>
  <r>
    <x v="57"/>
    <s v="conventional_curtailment_wam_154"/>
    <x v="194"/>
    <n v="1.42945645583541E-3"/>
    <n v="1"/>
    <n v="-72"/>
    <n v="432"/>
  </r>
  <r>
    <x v="57"/>
    <s v="conventional_curtailment_wam_155"/>
    <x v="195"/>
    <n v="1.41694475380263E-3"/>
    <n v="1"/>
    <n v="-72"/>
    <n v="432"/>
  </r>
  <r>
    <x v="57"/>
    <s v="conventional_curtailment_wam_156"/>
    <x v="196"/>
    <n v="1.40446049896463E-3"/>
    <n v="1"/>
    <n v="-72"/>
    <n v="432"/>
  </r>
  <r>
    <x v="57"/>
    <s v="conventional_curtailment_wam_157"/>
    <x v="197"/>
    <n v="1.3920152018824601E-3"/>
    <n v="1"/>
    <n v="-72"/>
    <n v="432"/>
  </r>
  <r>
    <x v="57"/>
    <s v="conventional_curtailment_wam_158"/>
    <x v="198"/>
    <n v="1.37962037311716E-3"/>
    <n v="1"/>
    <n v="-72"/>
    <n v="432"/>
  </r>
  <r>
    <x v="57"/>
    <s v="conventional_curtailment_wam_159"/>
    <x v="199"/>
    <n v="1.36728752322978E-3"/>
    <n v="1"/>
    <n v="-72"/>
    <n v="432"/>
  </r>
  <r>
    <x v="57"/>
    <s v="conventional_curtailment_wam_160"/>
    <x v="200"/>
    <n v="1.3550281627813499E-3"/>
    <n v="1"/>
    <n v="-72"/>
    <n v="432"/>
  </r>
  <r>
    <x v="57"/>
    <s v="conventional_curtailment_wam_161"/>
    <x v="201"/>
    <n v="1.3428538023329199E-3"/>
    <n v="1"/>
    <n v="-72"/>
    <n v="432"/>
  </r>
  <r>
    <x v="57"/>
    <s v="conventional_curtailment_wam_162"/>
    <x v="202"/>
    <n v="1.3307759524455399E-3"/>
    <n v="1"/>
    <n v="-72"/>
    <n v="432"/>
  </r>
  <r>
    <x v="57"/>
    <s v="conventional_curtailment_wam_163"/>
    <x v="203"/>
    <n v="1.3188061236802399E-3"/>
    <n v="1"/>
    <n v="-72"/>
    <n v="432"/>
  </r>
  <r>
    <x v="57"/>
    <s v="conventional_curtailment_wam_164"/>
    <x v="204"/>
    <n v="1.30695582659807E-3"/>
    <n v="1"/>
    <n v="-72"/>
    <n v="432"/>
  </r>
  <r>
    <x v="57"/>
    <s v="conventional_curtailment_wam_165"/>
    <x v="205"/>
    <n v="1.29523657176007E-3"/>
    <n v="1"/>
    <n v="-72"/>
    <n v="432"/>
  </r>
  <r>
    <x v="57"/>
    <s v="conventional_curtailment_wam_166"/>
    <x v="206"/>
    <n v="1.2836598697272899E-3"/>
    <n v="1"/>
    <n v="-72"/>
    <n v="432"/>
  </r>
  <r>
    <x v="57"/>
    <s v="conventional_curtailment_wam_167"/>
    <x v="207"/>
    <n v="1.27223723106077E-3"/>
    <n v="1"/>
    <n v="-72"/>
    <n v="432"/>
  </r>
  <r>
    <x v="57"/>
    <s v="conventional_curtailment_wam_168"/>
    <x v="208"/>
    <n v="1.26098016632154E-3"/>
    <n v="1"/>
    <n v="-72"/>
    <n v="432"/>
  </r>
  <r>
    <x v="57"/>
    <s v="conventional_curtailment_wam_169"/>
    <x v="209"/>
    <n v="1.2499001860706599E-3"/>
    <n v="1"/>
    <n v="-72"/>
    <n v="432"/>
  </r>
  <r>
    <x v="57"/>
    <s v="conventional_curtailment_wam_170"/>
    <x v="210"/>
    <n v="1.23900880086917E-3"/>
    <n v="1"/>
    <n v="-72"/>
    <n v="432"/>
  </r>
  <r>
    <x v="57"/>
    <s v="conventional_curtailment_wam_171"/>
    <x v="211"/>
    <n v="1.2283175212781099E-3"/>
    <n v="1"/>
    <n v="-72"/>
    <n v="432"/>
  </r>
  <r>
    <x v="57"/>
    <s v="conventional_curtailment_wam_172"/>
    <x v="212"/>
    <n v="1.2178378578585199E-3"/>
    <n v="1"/>
    <n v="-72"/>
    <n v="432"/>
  </r>
  <r>
    <x v="57"/>
    <s v="conventional_curtailment_wam_173"/>
    <x v="213"/>
    <n v="1.20758132117145E-3"/>
    <n v="1"/>
    <n v="-72"/>
    <n v="432"/>
  </r>
  <r>
    <x v="57"/>
    <s v="conventional_curtailment_wam_174"/>
    <x v="214"/>
    <n v="1.19755942177793E-3"/>
    <n v="1"/>
    <n v="-72"/>
    <n v="432"/>
  </r>
  <r>
    <x v="57"/>
    <s v="conventional_curtailment_wam_175"/>
    <x v="215"/>
    <n v="1.1877836702390201E-3"/>
    <n v="1"/>
    <n v="-72"/>
    <n v="432"/>
  </r>
  <r>
    <x v="57"/>
    <s v="conventional_curtailment_wam_176"/>
    <x v="216"/>
    <n v="1.1782655771157601E-3"/>
    <n v="1"/>
    <n v="-72"/>
    <n v="432"/>
  </r>
  <r>
    <x v="57"/>
    <s v="conventional_curtailment_wam_177"/>
    <x v="217"/>
    <n v="1.16901665296918E-3"/>
    <n v="1"/>
    <n v="-72"/>
    <n v="432"/>
  </r>
  <r>
    <x v="57"/>
    <s v="conventional_curtailment_wam_178"/>
    <x v="218"/>
    <n v="1.16004840836033E-3"/>
    <n v="1"/>
    <n v="-72"/>
    <n v="432"/>
  </r>
  <r>
    <x v="57"/>
    <s v="conventional_curtailment_wam_179"/>
    <x v="219"/>
    <n v="1.15137235385026E-3"/>
    <n v="1"/>
    <n v="-72"/>
    <n v="432"/>
  </r>
  <r>
    <x v="57"/>
    <s v="conventional_curtailment_wam_180"/>
    <x v="220"/>
    <n v="1.1429999999999999E-3"/>
    <n v="1"/>
    <n v="-72"/>
    <n v="432"/>
  </r>
  <r>
    <x v="57"/>
    <s v="conventional_curtailment_wam_181"/>
    <x v="221"/>
    <n v="1.1348616157407399E-3"/>
    <n v="1"/>
    <n v="-72"/>
    <n v="432"/>
  </r>
  <r>
    <x v="57"/>
    <s v="conventional_curtailment_wam_182"/>
    <x v="222"/>
    <n v="1.1268773703703701E-3"/>
    <n v="1"/>
    <n v="-72"/>
    <n v="432"/>
  </r>
  <r>
    <x v="57"/>
    <s v="conventional_curtailment_wam_183"/>
    <x v="223"/>
    <n v="1.119043625E-3"/>
    <n v="1"/>
    <n v="-72"/>
    <n v="432"/>
  </r>
  <r>
    <x v="57"/>
    <s v="conventional_curtailment_wam_184"/>
    <x v="224"/>
    <n v="1.11135674074074E-3"/>
    <n v="1"/>
    <n v="-72"/>
    <n v="432"/>
  </r>
  <r>
    <x v="57"/>
    <s v="conventional_curtailment_wam_185"/>
    <x v="225"/>
    <n v="1.1038130787037E-3"/>
    <n v="1"/>
    <n v="-72"/>
    <n v="432"/>
  </r>
  <r>
    <x v="57"/>
    <s v="conventional_curtailment_wam_186"/>
    <x v="226"/>
    <n v="1.096409E-3"/>
    <n v="1"/>
    <n v="-72"/>
    <n v="432"/>
  </r>
  <r>
    <x v="57"/>
    <s v="conventional_curtailment_wam_187"/>
    <x v="227"/>
    <n v="1.0891408657407401E-3"/>
    <n v="1"/>
    <n v="-72"/>
    <n v="432"/>
  </r>
  <r>
    <x v="57"/>
    <s v="conventional_curtailment_wam_188"/>
    <x v="228"/>
    <n v="1.0820050370370399E-3"/>
    <n v="1"/>
    <n v="-72"/>
    <n v="432"/>
  </r>
  <r>
    <x v="57"/>
    <s v="conventional_curtailment_wam_189"/>
    <x v="229"/>
    <n v="1.074997875E-3"/>
    <n v="1"/>
    <n v="-72"/>
    <n v="432"/>
  </r>
  <r>
    <x v="57"/>
    <s v="conventional_curtailment_wam_190"/>
    <x v="230"/>
    <n v="1.0681157407407399E-3"/>
    <n v="1"/>
    <n v="-72"/>
    <n v="432"/>
  </r>
  <r>
    <x v="57"/>
    <s v="conventional_curtailment_wam_191"/>
    <x v="231"/>
    <n v="1.0613549953703699E-3"/>
    <n v="1"/>
    <n v="-72"/>
    <n v="432"/>
  </r>
  <r>
    <x v="57"/>
    <s v="conventional_curtailment_wam_192"/>
    <x v="232"/>
    <n v="1.054712E-3"/>
    <n v="1"/>
    <n v="-72"/>
    <n v="432"/>
  </r>
  <r>
    <x v="57"/>
    <s v="conventional_curtailment_wam_193"/>
    <x v="233"/>
    <n v="1.04818311574074E-3"/>
    <n v="1"/>
    <n v="-72"/>
    <n v="432"/>
  </r>
  <r>
    <x v="57"/>
    <s v="conventional_curtailment_wam_194"/>
    <x v="234"/>
    <n v="1.0417647037037001E-3"/>
    <n v="1"/>
    <n v="-72"/>
    <n v="432"/>
  </r>
  <r>
    <x v="57"/>
    <s v="conventional_curtailment_wam_195"/>
    <x v="235"/>
    <n v="1.0354531249999999E-3"/>
    <n v="1"/>
    <n v="-72"/>
    <n v="432"/>
  </r>
  <r>
    <x v="57"/>
    <s v="conventional_curtailment_wam_196"/>
    <x v="236"/>
    <n v="1.0292447407407399E-3"/>
    <n v="1"/>
    <n v="-72"/>
    <n v="432"/>
  </r>
  <r>
    <x v="57"/>
    <s v="conventional_curtailment_wam_197"/>
    <x v="237"/>
    <n v="1.02313591203704E-3"/>
    <n v="1"/>
    <n v="-72"/>
    <n v="432"/>
  </r>
  <r>
    <x v="57"/>
    <s v="conventional_curtailment_wam_198"/>
    <x v="238"/>
    <n v="1.017123E-3"/>
    <n v="1"/>
    <n v="-72"/>
    <n v="432"/>
  </r>
  <r>
    <x v="57"/>
    <s v="conventional_curtailment_wam_199"/>
    <x v="239"/>
    <n v="1.0112023657407401E-3"/>
    <n v="1"/>
    <n v="-72"/>
    <n v="432"/>
  </r>
  <r>
    <x v="57"/>
    <s v="conventional_curtailment_wam_200"/>
    <x v="240"/>
    <n v="1.00537037037037E-3"/>
    <n v="1"/>
    <n v="-72"/>
    <n v="432"/>
  </r>
  <r>
    <x v="57"/>
    <s v="conventional_curtailment_wam_201"/>
    <x v="241"/>
    <n v="9.9962337500000007E-4"/>
    <n v="1"/>
    <n v="-72"/>
    <n v="432"/>
  </r>
  <r>
    <x v="57"/>
    <s v="conventional_curtailment_wam_202"/>
    <x v="242"/>
    <n v="9.9395774074074105E-4"/>
    <n v="1"/>
    <n v="-72"/>
    <n v="432"/>
  </r>
  <r>
    <x v="57"/>
    <s v="conventional_curtailment_wam_203"/>
    <x v="243"/>
    <n v="9.8836982870370398E-4"/>
    <n v="1"/>
    <n v="-72"/>
    <n v="432"/>
  </r>
  <r>
    <x v="57"/>
    <s v="conventional_curtailment_wam_204"/>
    <x v="244"/>
    <n v="9.8285600000000005E-4"/>
    <n v="1"/>
    <n v="-72"/>
    <n v="432"/>
  </r>
  <r>
    <x v="57"/>
    <s v="conventional_curtailment_wam_205"/>
    <x v="245"/>
    <n v="9.7741261574074093E-4"/>
    <n v="1"/>
    <n v="-72"/>
    <n v="432"/>
  </r>
  <r>
    <x v="57"/>
    <s v="conventional_curtailment_wam_206"/>
    <x v="246"/>
    <n v="9.7203603703703697E-4"/>
    <n v="1"/>
    <n v="-72"/>
    <n v="432"/>
  </r>
  <r>
    <x v="57"/>
    <s v="conventional_curtailment_wam_207"/>
    <x v="247"/>
    <n v="9.6672262500000004E-4"/>
    <n v="1"/>
    <n v="-72"/>
    <n v="432"/>
  </r>
  <r>
    <x v="57"/>
    <s v="conventional_curtailment_wam_208"/>
    <x v="248"/>
    <n v="9.6146874074074103E-4"/>
    <n v="1"/>
    <n v="-72"/>
    <n v="432"/>
  </r>
  <r>
    <x v="57"/>
    <s v="conventional_curtailment_wam_209"/>
    <x v="249"/>
    <n v="9.5627074537037095E-4"/>
    <n v="1"/>
    <n v="-72"/>
    <n v="432"/>
  </r>
  <r>
    <x v="57"/>
    <s v="conventional_curtailment_wam_210"/>
    <x v="250"/>
    <n v="9.5112500000000004E-4"/>
    <n v="1"/>
    <n v="-72"/>
    <n v="432"/>
  </r>
  <r>
    <x v="57"/>
    <s v="conventional_curtailment_wam_211"/>
    <x v="251"/>
    <n v="9.4602786574074103E-4"/>
    <n v="1"/>
    <n v="-72"/>
    <n v="432"/>
  </r>
  <r>
    <x v="57"/>
    <s v="conventional_curtailment_wam_212"/>
    <x v="252"/>
    <n v="9.4097570370370396E-4"/>
    <n v="1"/>
    <n v="-72"/>
    <n v="432"/>
  </r>
  <r>
    <x v="57"/>
    <s v="conventional_curtailment_wam_213"/>
    <x v="253"/>
    <n v="9.3596487500000004E-4"/>
    <n v="1"/>
    <n v="-72"/>
    <n v="432"/>
  </r>
  <r>
    <x v="57"/>
    <s v="conventional_curtailment_wam_214"/>
    <x v="254"/>
    <n v="9.3099174074074103E-4"/>
    <n v="1"/>
    <n v="-72"/>
    <n v="432"/>
  </r>
  <r>
    <x v="57"/>
    <s v="conventional_curtailment_wam_215"/>
    <x v="255"/>
    <n v="9.2605266203703697E-4"/>
    <n v="1"/>
    <n v="-72"/>
    <n v="432"/>
  </r>
  <r>
    <x v="57"/>
    <s v="conventional_curtailment_wam_216"/>
    <x v="256"/>
    <n v="9.2114400000000004E-4"/>
    <n v="1"/>
    <n v="-72"/>
    <n v="432"/>
  </r>
  <r>
    <x v="57"/>
    <s v="conventional_curtailment_wam_217"/>
    <x v="257"/>
    <n v="9.1626211574074104E-4"/>
    <n v="1"/>
    <n v="-72"/>
    <n v="432"/>
  </r>
  <r>
    <x v="57"/>
    <s v="conventional_curtailment_wam_218"/>
    <x v="258"/>
    <n v="9.1140337037036998E-4"/>
    <n v="1"/>
    <n v="-72"/>
    <n v="432"/>
  </r>
  <r>
    <x v="57"/>
    <s v="conventional_curtailment_wam_219"/>
    <x v="259"/>
    <n v="9.0656412500000005E-4"/>
    <n v="1"/>
    <n v="-72"/>
    <n v="432"/>
  </r>
  <r>
    <x v="57"/>
    <s v="conventional_curtailment_wam_220"/>
    <x v="260"/>
    <n v="9.0174074074074104E-4"/>
    <n v="1"/>
    <n v="-72"/>
    <n v="432"/>
  </r>
  <r>
    <x v="57"/>
    <s v="conventional_curtailment_wam_221"/>
    <x v="261"/>
    <n v="8.9692957870370397E-4"/>
    <n v="1"/>
    <n v="-72"/>
    <n v="432"/>
  </r>
  <r>
    <x v="57"/>
    <s v="conventional_curtailment_wam_222"/>
    <x v="262"/>
    <n v="8.9212700000000005E-4"/>
    <n v="1"/>
    <n v="-72"/>
    <n v="432"/>
  </r>
  <r>
    <x v="57"/>
    <s v="conventional_curtailment_wam_223"/>
    <x v="263"/>
    <n v="8.8732936574074104E-4"/>
    <n v="1"/>
    <n v="-72"/>
    <n v="432"/>
  </r>
  <r>
    <x v="57"/>
    <s v="conventional_curtailment_wam_224"/>
    <x v="264"/>
    <n v="8.8253303703703697E-4"/>
    <n v="1"/>
    <n v="-72"/>
    <n v="432"/>
  </r>
  <r>
    <x v="57"/>
    <s v="conventional_curtailment_wam_225"/>
    <x v="265"/>
    <n v="8.7773437500000004E-4"/>
    <n v="1"/>
    <n v="-72"/>
    <n v="432"/>
  </r>
  <r>
    <x v="57"/>
    <s v="conventional_curtailment_wam_226"/>
    <x v="266"/>
    <n v="8.7292974074074103E-4"/>
    <n v="1"/>
    <n v="-72"/>
    <n v="432"/>
  </r>
  <r>
    <x v="57"/>
    <s v="conventional_curtailment_wam_227"/>
    <x v="267"/>
    <n v="8.6811549537036997E-4"/>
    <n v="1"/>
    <n v="-72"/>
    <n v="432"/>
  </r>
  <r>
    <x v="57"/>
    <s v="conventional_curtailment_wam_228"/>
    <x v="268"/>
    <n v="8.6328800000000003E-4"/>
    <n v="1"/>
    <n v="-72"/>
    <n v="432"/>
  </r>
  <r>
    <x v="57"/>
    <s v="conventional_curtailment_wam_229"/>
    <x v="269"/>
    <n v="8.5844361574074102E-4"/>
    <n v="1"/>
    <n v="-72"/>
    <n v="432"/>
  </r>
  <r>
    <x v="57"/>
    <s v="conventional_curtailment_wam_230"/>
    <x v="270"/>
    <n v="8.5357870370370405E-4"/>
    <n v="1"/>
    <n v="-72"/>
    <n v="432"/>
  </r>
  <r>
    <x v="57"/>
    <s v="conventional_curtailment_wam_231"/>
    <x v="271"/>
    <n v="8.4868962500000002E-4"/>
    <n v="1"/>
    <n v="-72"/>
    <n v="432"/>
  </r>
  <r>
    <x v="57"/>
    <s v="conventional_curtailment_wam_232"/>
    <x v="272"/>
    <n v="8.43772740740741E-4"/>
    <n v="1"/>
    <n v="-72"/>
    <n v="432"/>
  </r>
  <r>
    <x v="57"/>
    <s v="conventional_curtailment_wam_233"/>
    <x v="273"/>
    <n v="8.3882441203703704E-4"/>
    <n v="1"/>
    <n v="-72"/>
    <n v="432"/>
  </r>
  <r>
    <x v="57"/>
    <s v="conventional_curtailment_wam_234"/>
    <x v="274"/>
    <n v="8.3384099999999999E-4"/>
    <n v="1"/>
    <n v="-72"/>
    <n v="432"/>
  </r>
  <r>
    <x v="57"/>
    <s v="conventional_curtailment_wam_235"/>
    <x v="275"/>
    <n v="8.2881886574074097E-4"/>
    <n v="1"/>
    <n v="-72"/>
    <n v="432"/>
  </r>
  <r>
    <x v="57"/>
    <s v="conventional_curtailment_wam_236"/>
    <x v="276"/>
    <n v="8.2375437037037001E-4"/>
    <n v="1"/>
    <n v="-72"/>
    <n v="432"/>
  </r>
  <r>
    <x v="57"/>
    <s v="conventional_curtailment_wam_237"/>
    <x v="277"/>
    <n v="8.1864387499999995E-4"/>
    <n v="1"/>
    <n v="-72"/>
    <n v="432"/>
  </r>
  <r>
    <x v="57"/>
    <s v="conventional_curtailment_wam_238"/>
    <x v="278"/>
    <n v="8.1348374074074103E-4"/>
    <n v="1"/>
    <n v="-72"/>
    <n v="432"/>
  </r>
  <r>
    <x v="57"/>
    <s v="conventional_curtailment_wam_239"/>
    <x v="279"/>
    <n v="8.0827032870370405E-4"/>
    <n v="1"/>
    <n v="-72"/>
    <n v="432"/>
  </r>
  <r>
    <x v="57"/>
    <s v="conventional_curtailment_wam_240"/>
    <x v="280"/>
    <n v="8.03E-4"/>
    <n v="1"/>
    <n v="-72"/>
    <n v="432"/>
  </r>
  <r>
    <x v="57"/>
    <s v="conventional_curtailment_wam_241"/>
    <x v="281"/>
    <n v="7.9769849710648196E-4"/>
    <n v="1"/>
    <n v="-72"/>
    <n v="432"/>
  </r>
  <r>
    <x v="57"/>
    <s v="conventional_curtailment_wam_242"/>
    <x v="282"/>
    <n v="7.9239450462963005E-4"/>
    <n v="1"/>
    <n v="-72"/>
    <n v="432"/>
  </r>
  <r>
    <x v="57"/>
    <s v="conventional_curtailment_wam_243"/>
    <x v="283"/>
    <n v="7.8708879687500004E-4"/>
    <n v="1"/>
    <n v="-72"/>
    <n v="432"/>
  </r>
  <r>
    <x v="57"/>
    <s v="conventional_curtailment_wam_244"/>
    <x v="284"/>
    <n v="7.8178214814814801E-4"/>
    <n v="1"/>
    <n v="-72"/>
    <n v="432"/>
  </r>
  <r>
    <x v="57"/>
    <s v="conventional_curtailment_wam_245"/>
    <x v="285"/>
    <n v="7.7647533275463005E-4"/>
    <n v="1"/>
    <n v="-72"/>
    <n v="432"/>
  </r>
  <r>
    <x v="57"/>
    <s v="conventional_curtailment_wam_246"/>
    <x v="286"/>
    <n v="7.7116912499999998E-4"/>
    <n v="1"/>
    <n v="-72"/>
    <n v="432"/>
  </r>
  <r>
    <x v="57"/>
    <s v="conventional_curtailment_wam_247"/>
    <x v="287"/>
    <n v="7.6586429918981496E-4"/>
    <n v="1"/>
    <n v="-72"/>
    <n v="432"/>
  </r>
  <r>
    <x v="57"/>
    <s v="conventional_curtailment_wam_248"/>
    <x v="288"/>
    <n v="7.6056162962962999E-4"/>
    <n v="1"/>
    <n v="-72"/>
    <n v="432"/>
  </r>
  <r>
    <x v="57"/>
    <s v="conventional_curtailment_wam_249"/>
    <x v="289"/>
    <n v="7.5526189062499998E-4"/>
    <n v="1"/>
    <n v="-72"/>
    <n v="432"/>
  </r>
  <r>
    <x v="57"/>
    <s v="conventional_curtailment_wam_250"/>
    <x v="290"/>
    <n v="7.4996585648148199E-4"/>
    <n v="1"/>
    <n v="-72"/>
    <n v="432"/>
  </r>
  <r>
    <x v="57"/>
    <s v="conventional_curtailment_wam_251"/>
    <x v="291"/>
    <n v="7.4467430150463004E-4"/>
    <n v="1"/>
    <n v="-72"/>
    <n v="432"/>
  </r>
  <r>
    <x v="57"/>
    <s v="conventional_curtailment_wam_252"/>
    <x v="292"/>
    <n v="7.39388E-4"/>
    <n v="1"/>
    <n v="-72"/>
    <n v="432"/>
  </r>
  <r>
    <x v="57"/>
    <s v="conventional_curtailment_wam_253"/>
    <x v="293"/>
    <n v="7.3410772627314797E-4"/>
    <n v="1"/>
    <n v="-72"/>
    <n v="432"/>
  </r>
  <r>
    <x v="57"/>
    <s v="conventional_curtailment_wam_254"/>
    <x v="294"/>
    <n v="7.2883425462963003E-4"/>
    <n v="1"/>
    <n v="-72"/>
    <n v="432"/>
  </r>
  <r>
    <x v="57"/>
    <s v="conventional_curtailment_wam_255"/>
    <x v="295"/>
    <n v="7.2356835937499998E-4"/>
    <n v="1"/>
    <n v="-72"/>
    <n v="432"/>
  </r>
  <r>
    <x v="57"/>
    <s v="conventional_curtailment_wam_256"/>
    <x v="296"/>
    <n v="7.1831081481481501E-4"/>
    <n v="1"/>
    <n v="-72"/>
    <n v="432"/>
  </r>
  <r>
    <x v="57"/>
    <s v="conventional_curtailment_wam_257"/>
    <x v="297"/>
    <n v="7.1306239525463001E-4"/>
    <n v="1"/>
    <n v="-72"/>
    <n v="432"/>
  </r>
  <r>
    <x v="57"/>
    <s v="conventional_curtailment_wam_258"/>
    <x v="298"/>
    <n v="7.0782387499999998E-4"/>
    <n v="1"/>
    <n v="-72"/>
    <n v="432"/>
  </r>
  <r>
    <x v="57"/>
    <s v="conventional_curtailment_wam_259"/>
    <x v="299"/>
    <n v="7.02596028356481E-4"/>
    <n v="1"/>
    <n v="-72"/>
    <n v="432"/>
  </r>
  <r>
    <x v="57"/>
    <s v="conventional_curtailment_wam_260"/>
    <x v="300"/>
    <n v="6.9737962962963004E-4"/>
    <n v="1"/>
    <n v="-72"/>
    <n v="432"/>
  </r>
  <r>
    <x v="57"/>
    <s v="conventional_curtailment_wam_261"/>
    <x v="301"/>
    <n v="6.9217545312500004E-4"/>
    <n v="1"/>
    <n v="-72"/>
    <n v="432"/>
  </r>
  <r>
    <x v="57"/>
    <s v="conventional_curtailment_wam_262"/>
    <x v="302"/>
    <n v="6.8698427314814795E-4"/>
    <n v="1"/>
    <n v="-72"/>
    <n v="432"/>
  </r>
  <r>
    <x v="57"/>
    <s v="conventional_curtailment_wam_263"/>
    <x v="303"/>
    <n v="6.8180686400462996E-4"/>
    <n v="1"/>
    <n v="-72"/>
    <n v="432"/>
  </r>
  <r>
    <x v="57"/>
    <s v="conventional_curtailment_wam_264"/>
    <x v="304"/>
    <n v="6.7664400000000001E-4"/>
    <n v="1"/>
    <n v="-72"/>
    <n v="432"/>
  </r>
  <r>
    <x v="57"/>
    <s v="conventional_curtailment_wam_265"/>
    <x v="305"/>
    <n v="6.7149645543981503E-4"/>
    <n v="1"/>
    <n v="-72"/>
    <n v="432"/>
  </r>
  <r>
    <x v="57"/>
    <s v="conventional_curtailment_wam_266"/>
    <x v="306"/>
    <n v="6.6636500462963005E-4"/>
    <n v="1"/>
    <n v="-72"/>
    <n v="432"/>
  </r>
  <r>
    <x v="57"/>
    <s v="conventional_curtailment_wam_267"/>
    <x v="307"/>
    <n v="6.6125042187500005E-4"/>
    <n v="1"/>
    <n v="-72"/>
    <n v="432"/>
  </r>
  <r>
    <x v="57"/>
    <s v="conventional_curtailment_wam_268"/>
    <x v="308"/>
    <n v="6.5615348148148102E-4"/>
    <n v="1"/>
    <n v="-72"/>
    <n v="432"/>
  </r>
  <r>
    <x v="57"/>
    <s v="conventional_curtailment_wam_269"/>
    <x v="309"/>
    <n v="6.5107495775463002E-4"/>
    <n v="1"/>
    <n v="-72"/>
    <n v="432"/>
  </r>
  <r>
    <x v="57"/>
    <s v="conventional_curtailment_wam_270"/>
    <x v="310"/>
    <n v="6.46015625E-4"/>
    <n v="1"/>
    <n v="-72"/>
    <n v="432"/>
  </r>
  <r>
    <x v="57"/>
    <s v="conventional_curtailment_wam_271"/>
    <x v="311"/>
    <n v="6.4097625752314801E-4"/>
    <n v="1"/>
    <n v="-72"/>
    <n v="432"/>
  </r>
  <r>
    <x v="57"/>
    <s v="conventional_curtailment_wam_272"/>
    <x v="312"/>
    <n v="6.3595762962963005E-4"/>
    <n v="1"/>
    <n v="-72"/>
    <n v="432"/>
  </r>
  <r>
    <x v="57"/>
    <s v="conventional_curtailment_wam_273"/>
    <x v="313"/>
    <n v="6.3096051562500002E-4"/>
    <n v="1"/>
    <n v="-72"/>
    <n v="432"/>
  </r>
  <r>
    <x v="57"/>
    <s v="conventional_curtailment_wam_274"/>
    <x v="314"/>
    <n v="6.2598568981481499E-4"/>
    <n v="1"/>
    <n v="-72"/>
    <n v="432"/>
  </r>
  <r>
    <x v="57"/>
    <s v="conventional_curtailment_wam_275"/>
    <x v="315"/>
    <n v="6.2103392650462996E-4"/>
    <n v="1"/>
    <n v="-72"/>
    <n v="432"/>
  </r>
  <r>
    <x v="57"/>
    <s v="conventional_curtailment_wam_276"/>
    <x v="316"/>
    <n v="6.1610600000000005E-4"/>
    <n v="1"/>
    <n v="-72"/>
    <n v="432"/>
  </r>
  <r>
    <x v="57"/>
    <s v="conventional_curtailment_wam_277"/>
    <x v="317"/>
    <n v="6.1120268460648102E-4"/>
    <n v="1"/>
    <n v="-72"/>
    <n v="432"/>
  </r>
  <r>
    <x v="57"/>
    <s v="conventional_curtailment_wam_278"/>
    <x v="318"/>
    <n v="6.0632475462963004E-4"/>
    <n v="1"/>
    <n v="-72"/>
    <n v="432"/>
  </r>
  <r>
    <x v="57"/>
    <s v="conventional_curtailment_wam_279"/>
    <x v="319"/>
    <n v="6.0147298437499995E-4"/>
    <n v="1"/>
    <n v="-72"/>
    <n v="432"/>
  </r>
  <r>
    <x v="57"/>
    <s v="conventional_curtailment_wam_280"/>
    <x v="320"/>
    <n v="5.9664814814814802E-4"/>
    <n v="1"/>
    <n v="-72"/>
    <n v="432"/>
  </r>
  <r>
    <x v="57"/>
    <s v="conventional_curtailment_wam_281"/>
    <x v="321"/>
    <n v="5.9185102025463001E-4"/>
    <n v="1"/>
    <n v="-72"/>
    <n v="432"/>
  </r>
  <r>
    <x v="57"/>
    <s v="conventional_curtailment_wam_282"/>
    <x v="322"/>
    <n v="5.8708237499999997E-4"/>
    <n v="1"/>
    <n v="-72"/>
    <n v="432"/>
  </r>
  <r>
    <x v="57"/>
    <s v="conventional_curtailment_wam_283"/>
    <x v="323"/>
    <n v="5.8234298668981505E-4"/>
    <n v="1"/>
    <n v="-72"/>
    <n v="432"/>
  </r>
  <r>
    <x v="57"/>
    <s v="conventional_curtailment_wam_284"/>
    <x v="324"/>
    <n v="5.7763362962963004E-4"/>
    <n v="1"/>
    <n v="-72"/>
    <n v="432"/>
  </r>
  <r>
    <x v="57"/>
    <s v="conventional_curtailment_wam_285"/>
    <x v="325"/>
    <n v="5.7295507812499995E-4"/>
    <n v="1"/>
    <n v="-72"/>
    <n v="432"/>
  </r>
  <r>
    <x v="57"/>
    <s v="conventional_curtailment_wam_286"/>
    <x v="326"/>
    <n v="5.6830810648148098E-4"/>
    <n v="1"/>
    <n v="-72"/>
    <n v="432"/>
  </r>
  <r>
    <x v="57"/>
    <s v="conventional_curtailment_wam_287"/>
    <x v="327"/>
    <n v="5.6369348900462996E-4"/>
    <n v="1"/>
    <n v="-72"/>
    <n v="432"/>
  </r>
  <r>
    <x v="57"/>
    <s v="conventional_curtailment_wam_288"/>
    <x v="328"/>
    <n v="5.5911199999999996E-4"/>
    <n v="1"/>
    <n v="-72"/>
    <n v="432"/>
  </r>
  <r>
    <x v="57"/>
    <s v="conventional_curtailment_wam_289"/>
    <x v="329"/>
    <n v="5.5456441377314803E-4"/>
    <n v="1"/>
    <n v="-72"/>
    <n v="432"/>
  </r>
  <r>
    <x v="57"/>
    <s v="conventional_curtailment_wam_290"/>
    <x v="330"/>
    <n v="5.5005150462963004E-4"/>
    <n v="1"/>
    <n v="-72"/>
    <n v="432"/>
  </r>
  <r>
    <x v="57"/>
    <s v="conventional_curtailment_wam_291"/>
    <x v="331"/>
    <n v="5.4557404687500003E-4"/>
    <n v="1"/>
    <n v="-72"/>
    <n v="432"/>
  </r>
  <r>
    <x v="57"/>
    <s v="conventional_curtailment_wam_292"/>
    <x v="332"/>
    <n v="5.4113281481481495E-4"/>
    <n v="1"/>
    <n v="-72"/>
    <n v="432"/>
  </r>
  <r>
    <x v="57"/>
    <s v="conventional_curtailment_wam_293"/>
    <x v="333"/>
    <n v="5.3672858275463002E-4"/>
    <n v="1"/>
    <n v="-72"/>
    <n v="432"/>
  </r>
  <r>
    <x v="57"/>
    <s v="conventional_curtailment_wam_294"/>
    <x v="334"/>
    <n v="5.3236212500000003E-4"/>
    <n v="1"/>
    <n v="-72"/>
    <n v="432"/>
  </r>
  <r>
    <x v="57"/>
    <s v="conventional_curtailment_wam_295"/>
    <x v="335"/>
    <n v="5.2803421585648105E-4"/>
    <n v="1"/>
    <n v="-72"/>
    <n v="432"/>
  </r>
  <r>
    <x v="57"/>
    <s v="conventional_curtailment_wam_296"/>
    <x v="336"/>
    <n v="5.2374562962962995E-4"/>
    <n v="1"/>
    <n v="-72"/>
    <n v="432"/>
  </r>
  <r>
    <x v="57"/>
    <s v="conventional_curtailment_wam_297"/>
    <x v="337"/>
    <n v="5.1949714062499998E-4"/>
    <n v="1"/>
    <n v="-72"/>
    <n v="432"/>
  </r>
  <r>
    <x v="57"/>
    <s v="conventional_curtailment_wam_298"/>
    <x v="338"/>
    <n v="5.15289523148148E-4"/>
    <n v="1"/>
    <n v="-72"/>
    <n v="432"/>
  </r>
  <r>
    <x v="57"/>
    <s v="conventional_curtailment_wam_299"/>
    <x v="339"/>
    <n v="5.1112355150462999E-4"/>
    <n v="1"/>
    <n v="-72"/>
    <n v="432"/>
  </r>
  <r>
    <x v="57"/>
    <s v="conventional_curtailment_wam_300"/>
    <x v="340"/>
    <n v="5.0699999999999996E-4"/>
    <n v="1"/>
    <n v="-72"/>
    <n v="432"/>
  </r>
  <r>
    <x v="57"/>
    <s v="conventional_curtailment_wam_301"/>
    <x v="341"/>
    <n v="5.0286546856915496E-4"/>
    <n v="1"/>
    <n v="-72"/>
    <n v="432"/>
  </r>
  <r>
    <x v="57"/>
    <s v="conventional_curtailment_wam_302"/>
    <x v="342"/>
    <n v="4.9867027633101796E-4"/>
    <n v="1"/>
    <n v="-72"/>
    <n v="432"/>
  </r>
  <r>
    <x v="57"/>
    <s v="conventional_curtailment_wam_303"/>
    <x v="343"/>
    <n v="4.9442077636718698E-4"/>
    <n v="1"/>
    <n v="-72"/>
    <n v="432"/>
  </r>
  <r>
    <x v="57"/>
    <s v="conventional_curtailment_wam_304"/>
    <x v="344"/>
    <n v="4.9012332175925896E-4"/>
    <n v="1"/>
    <n v="-72"/>
    <n v="432"/>
  </r>
  <r>
    <x v="57"/>
    <s v="conventional_curtailment_wam_305"/>
    <x v="345"/>
    <n v="4.8578426558883099E-4"/>
    <n v="1"/>
    <n v="-72"/>
    <n v="432"/>
  </r>
  <r>
    <x v="57"/>
    <s v="conventional_curtailment_wam_306"/>
    <x v="346"/>
    <n v="4.8140996093750001E-4"/>
    <n v="1"/>
    <n v="-72"/>
    <n v="432"/>
  </r>
  <r>
    <x v="57"/>
    <s v="conventional_curtailment_wam_307"/>
    <x v="347"/>
    <n v="4.7700676088686299E-4"/>
    <n v="1"/>
    <n v="-72"/>
    <n v="432"/>
  </r>
  <r>
    <x v="57"/>
    <s v="conventional_curtailment_wam_308"/>
    <x v="348"/>
    <n v="4.7258101851851801E-4"/>
    <n v="1"/>
    <n v="-72"/>
    <n v="432"/>
  </r>
  <r>
    <x v="57"/>
    <s v="conventional_curtailment_wam_309"/>
    <x v="349"/>
    <n v="4.6813908691406201E-4"/>
    <n v="1"/>
    <n v="-72"/>
    <n v="432"/>
  </r>
  <r>
    <x v="57"/>
    <s v="conventional_curtailment_wam_310"/>
    <x v="350"/>
    <n v="4.6368731915509299E-4"/>
    <n v="1"/>
    <n v="-72"/>
    <n v="432"/>
  </r>
  <r>
    <x v="57"/>
    <s v="conventional_curtailment_wam_311"/>
    <x v="351"/>
    <n v="4.5923206832320599E-4"/>
    <n v="1"/>
    <n v="-72"/>
    <n v="432"/>
  </r>
  <r>
    <x v="57"/>
    <s v="conventional_curtailment_wam_312"/>
    <x v="352"/>
    <n v="4.5477968750000001E-4"/>
    <n v="1"/>
    <n v="-72"/>
    <n v="432"/>
  </r>
  <r>
    <x v="57"/>
    <s v="conventional_curtailment_wam_313"/>
    <x v="353"/>
    <n v="4.5033652976707197E-4"/>
    <n v="1"/>
    <n v="-72"/>
    <n v="432"/>
  </r>
  <r>
    <x v="57"/>
    <s v="conventional_curtailment_wam_314"/>
    <x v="354"/>
    <n v="4.45908948206018E-4"/>
    <n v="1"/>
    <n v="-72"/>
    <n v="432"/>
  </r>
  <r>
    <x v="57"/>
    <s v="conventional_curtailment_wam_315"/>
    <x v="355"/>
    <n v="4.4150329589843698E-4"/>
    <n v="1"/>
    <n v="-72"/>
    <n v="432"/>
  </r>
  <r>
    <x v="57"/>
    <s v="conventional_curtailment_wam_316"/>
    <x v="356"/>
    <n v="4.3712592592592601E-4"/>
    <n v="1"/>
    <n v="-72"/>
    <n v="432"/>
  </r>
  <r>
    <x v="57"/>
    <s v="conventional_curtailment_wam_317"/>
    <x v="357"/>
    <n v="4.3278319137008098E-4"/>
    <n v="1"/>
    <n v="-72"/>
    <n v="432"/>
  </r>
  <r>
    <x v="57"/>
    <s v="conventional_curtailment_wam_318"/>
    <x v="358"/>
    <n v="4.2848144531250002E-4"/>
    <n v="1"/>
    <n v="-72"/>
    <n v="432"/>
  </r>
  <r>
    <x v="57"/>
    <s v="conventional_curtailment_wam_319"/>
    <x v="359"/>
    <n v="4.2422704083478E-4"/>
    <n v="1"/>
    <n v="-72"/>
    <n v="432"/>
  </r>
  <r>
    <x v="57"/>
    <s v="conventional_curtailment_wam_320"/>
    <x v="360"/>
    <n v="4.2002633101851798E-4"/>
    <n v="1"/>
    <n v="-72"/>
    <n v="432"/>
  </r>
  <r>
    <x v="57"/>
    <s v="conventional_curtailment_wam_321"/>
    <x v="361"/>
    <n v="4.1588566894531202E-4"/>
    <n v="1"/>
    <n v="-72"/>
    <n v="432"/>
  </r>
  <r>
    <x v="57"/>
    <s v="conventional_curtailment_wam_322"/>
    <x v="362"/>
    <n v="4.1181140769675899E-4"/>
    <n v="1"/>
    <n v="-72"/>
    <n v="432"/>
  </r>
  <r>
    <x v="57"/>
    <s v="conventional_curtailment_wam_323"/>
    <x v="363"/>
    <n v="4.07809900354456E-4"/>
    <n v="1"/>
    <n v="-72"/>
    <n v="432"/>
  </r>
  <r>
    <x v="57"/>
    <s v="conventional_curtailment_wam_324"/>
    <x v="364"/>
    <n v="4.0388750000000003E-4"/>
    <n v="1"/>
    <n v="-72"/>
    <n v="432"/>
  </r>
  <r>
    <x v="57"/>
    <s v="conventional_curtailment_wam_325"/>
    <x v="365"/>
    <n v="4.00050559714988E-4"/>
    <n v="1"/>
    <n v="-72"/>
    <n v="432"/>
  </r>
  <r>
    <x v="57"/>
    <s v="conventional_curtailment_wam_326"/>
    <x v="366"/>
    <n v="3.9630543258101897E-4"/>
    <n v="1"/>
    <n v="-72"/>
    <n v="432"/>
  </r>
  <r>
    <x v="57"/>
    <s v="conventional_curtailment_wam_327"/>
    <x v="367"/>
    <n v="3.92658471679687E-4"/>
    <n v="1"/>
    <n v="-72"/>
    <n v="432"/>
  </r>
  <r>
    <x v="57"/>
    <s v="conventional_curtailment_wam_328"/>
    <x v="368"/>
    <n v="3.8911603009259297E-4"/>
    <n v="1"/>
    <n v="-72"/>
    <n v="432"/>
  </r>
  <r>
    <x v="57"/>
    <s v="conventional_curtailment_wam_329"/>
    <x v="369"/>
    <n v="3.8568446090133101E-4"/>
    <n v="1"/>
    <n v="-72"/>
    <n v="432"/>
  </r>
  <r>
    <x v="57"/>
    <s v="conventional_curtailment_wam_330"/>
    <x v="370"/>
    <n v="3.8237011718749998E-4"/>
    <n v="1"/>
    <n v="-72"/>
    <n v="432"/>
  </r>
  <r>
    <x v="57"/>
    <s v="conventional_curtailment_wam_331"/>
    <x v="371"/>
    <n v="3.7917935203269699E-4"/>
    <n v="1"/>
    <n v="-72"/>
    <n v="432"/>
  </r>
  <r>
    <x v="57"/>
    <s v="conventional_curtailment_wam_332"/>
    <x v="372"/>
    <n v="3.7611851851851902E-4"/>
    <n v="1"/>
    <n v="-72"/>
    <n v="432"/>
  </r>
  <r>
    <x v="57"/>
    <s v="conventional_curtailment_wam_333"/>
    <x v="373"/>
    <n v="3.7319396972656198E-4"/>
    <n v="1"/>
    <n v="-72"/>
    <n v="432"/>
  </r>
  <r>
    <x v="57"/>
    <s v="conventional_curtailment_wam_334"/>
    <x v="374"/>
    <n v="3.7041205873842599E-4"/>
    <n v="1"/>
    <n v="-72"/>
    <n v="432"/>
  </r>
  <r>
    <x v="57"/>
    <s v="conventional_curtailment_wam_335"/>
    <x v="375"/>
    <n v="3.6777913863570599E-4"/>
    <n v="1"/>
    <n v="-72"/>
    <n v="432"/>
  </r>
  <r>
    <x v="57"/>
    <s v="conventional_curtailment_wam_336"/>
    <x v="376"/>
    <n v="3.6530156249999998E-4"/>
    <n v="1"/>
    <n v="-72"/>
    <n v="432"/>
  </r>
  <r>
    <x v="57"/>
    <s v="conventional_curtailment_wam_337"/>
    <x v="377"/>
    <n v="3.6298568341290501E-4"/>
    <n v="1"/>
    <n v="-72"/>
    <n v="432"/>
  </r>
  <r>
    <x v="57"/>
    <s v="conventional_curtailment_wam_338"/>
    <x v="378"/>
    <n v="3.6083785445601899E-4"/>
    <n v="1"/>
    <n v="-72"/>
    <n v="432"/>
  </r>
  <r>
    <x v="57"/>
    <s v="conventional_curtailment_wam_339"/>
    <x v="379"/>
    <n v="3.58864428710937E-4"/>
    <n v="1"/>
    <n v="-72"/>
    <n v="432"/>
  </r>
  <r>
    <x v="57"/>
    <s v="conventional_curtailment_wam_340"/>
    <x v="380"/>
    <n v="3.5707175925925902E-4"/>
    <n v="1"/>
    <n v="-72"/>
    <n v="432"/>
  </r>
  <r>
    <x v="57"/>
    <s v="conventional_curtailment_wam_341"/>
    <x v="381"/>
    <n v="3.5546619918258099E-4"/>
    <n v="1"/>
    <n v="-72"/>
    <n v="432"/>
  </r>
  <r>
    <x v="57"/>
    <s v="conventional_curtailment_wam_342"/>
    <x v="382"/>
    <n v="3.5405410156250002E-4"/>
    <n v="1"/>
    <n v="-72"/>
    <n v="432"/>
  </r>
  <r>
    <x v="57"/>
    <s v="conventional_curtailment_wam_343"/>
    <x v="383"/>
    <n v="3.5284181948061298E-4"/>
    <n v="1"/>
    <n v="-72"/>
    <n v="432"/>
  </r>
  <r>
    <x v="57"/>
    <s v="conventional_curtailment_wam_344"/>
    <x v="384"/>
    <n v="3.51835706018518E-4"/>
    <n v="1"/>
    <n v="-72"/>
    <n v="432"/>
  </r>
  <r>
    <x v="57"/>
    <s v="conventional_curtailment_wam_345"/>
    <x v="385"/>
    <n v="3.5104211425781201E-4"/>
    <n v="1"/>
    <n v="-72"/>
    <n v="432"/>
  </r>
  <r>
    <x v="57"/>
    <s v="conventional_curtailment_wam_346"/>
    <x v="386"/>
    <n v="3.5046739728009302E-4"/>
    <n v="1"/>
    <n v="-72"/>
    <n v="432"/>
  </r>
  <r>
    <x v="57"/>
    <s v="conventional_curtailment_wam_347"/>
    <x v="387"/>
    <n v="3.5011790816695602E-4"/>
    <n v="1"/>
    <n v="-72"/>
    <n v="432"/>
  </r>
  <r>
    <x v="57"/>
    <s v="conventional_curtailment_wam_348"/>
    <x v="388"/>
    <n v="3.5E-4"/>
    <n v="1"/>
    <n v="-72"/>
    <n v="432"/>
  </r>
  <r>
    <x v="57"/>
    <s v="conventional_curtailment_wam_349"/>
    <x v="389"/>
    <n v="3.5E-4"/>
    <n v="1"/>
    <n v="-72"/>
    <n v="432"/>
  </r>
  <r>
    <x v="57"/>
    <s v="conventional_curtailment_wam_350"/>
    <x v="390"/>
    <n v="3.5E-4"/>
    <n v="1"/>
    <n v="-72"/>
    <n v="432"/>
  </r>
  <r>
    <x v="57"/>
    <s v="conventional_curtailment_wam_351"/>
    <x v="391"/>
    <n v="3.5E-4"/>
    <n v="1"/>
    <n v="-72"/>
    <n v="432"/>
  </r>
  <r>
    <x v="57"/>
    <s v="conventional_curtailment_wam_352"/>
    <x v="392"/>
    <n v="3.5E-4"/>
    <n v="1"/>
    <n v="-72"/>
    <n v="432"/>
  </r>
  <r>
    <x v="57"/>
    <s v="conventional_curtailment_wam_353"/>
    <x v="393"/>
    <n v="3.5E-4"/>
    <n v="1"/>
    <n v="-72"/>
    <n v="432"/>
  </r>
  <r>
    <x v="57"/>
    <s v="conventional_curtailment_wam_354"/>
    <x v="394"/>
    <n v="3.5E-4"/>
    <n v="1"/>
    <n v="-72"/>
    <n v="432"/>
  </r>
  <r>
    <x v="57"/>
    <s v="conventional_curtailment_wam_355"/>
    <x v="395"/>
    <n v="3.3217643518518498E-4"/>
    <n v="1"/>
    <n v="-72"/>
    <n v="432"/>
  </r>
  <r>
    <x v="57"/>
    <s v="conventional_curtailment_wam_356"/>
    <x v="396"/>
    <n v="2.8518703703703702E-4"/>
    <n v="1"/>
    <n v="-72"/>
    <n v="432"/>
  </r>
  <r>
    <x v="57"/>
    <s v="conventional_curtailment_wam_357"/>
    <x v="397"/>
    <n v="2.1875375000000001E-4"/>
    <n v="1"/>
    <n v="-72"/>
    <n v="432"/>
  </r>
  <r>
    <x v="57"/>
    <s v="conventional_curtailment_wam_358"/>
    <x v="398"/>
    <n v="1.4259851851851899E-4"/>
    <n v="1"/>
    <n v="-72"/>
    <n v="432"/>
  </r>
  <r>
    <x v="57"/>
    <s v="conventional_curtailment_wam_359"/>
    <x v="399"/>
    <n v="6.6443287037037003E-5"/>
    <n v="1"/>
    <n v="-72"/>
    <n v="432"/>
  </r>
  <r>
    <x v="57"/>
    <s v="conventional_curtailment_wam_360"/>
    <x v="400"/>
    <n v="1E-8"/>
    <n v="1"/>
    <n v="-72"/>
    <n v="432"/>
  </r>
  <r>
    <x v="57"/>
    <s v="conventional_curtailment_wam_361"/>
    <x v="401"/>
    <n v="-5.8321666666666701E-5"/>
    <n v="1"/>
    <n v="-72"/>
    <n v="432"/>
  </r>
  <r>
    <x v="57"/>
    <s v="conventional_curtailment_wam_362"/>
    <x v="402"/>
    <n v="-1.16653333333333E-4"/>
    <n v="1"/>
    <n v="-72"/>
    <n v="432"/>
  </r>
  <r>
    <x v="57"/>
    <s v="conventional_curtailment_wam_363"/>
    <x v="403"/>
    <n v="-1.7498500000000001E-4"/>
    <n v="1"/>
    <n v="-72"/>
    <n v="432"/>
  </r>
  <r>
    <x v="57"/>
    <s v="conventional_curtailment_wam_364"/>
    <x v="404"/>
    <n v="-2.3331666666666701E-4"/>
    <n v="1"/>
    <n v="-72"/>
    <n v="432"/>
  </r>
  <r>
    <x v="57"/>
    <s v="conventional_curtailment_wam_365"/>
    <x v="405"/>
    <n v="-2.9164833333333298E-4"/>
    <n v="1"/>
    <n v="-72"/>
    <n v="432"/>
  </r>
  <r>
    <x v="57"/>
    <s v="conventional_curtailment_wam_366"/>
    <x v="406"/>
    <n v="-3.4998000000000001E-4"/>
    <n v="1"/>
    <n v="-72"/>
    <n v="432"/>
  </r>
  <r>
    <x v="57"/>
    <s v="conventional_curtailment_wam_367"/>
    <x v="407"/>
    <n v="-4.0831166666666698E-4"/>
    <n v="1"/>
    <n v="-72"/>
    <n v="432"/>
  </r>
  <r>
    <x v="57"/>
    <s v="conventional_curtailment_wam_368"/>
    <x v="408"/>
    <n v="-4.6664333333333298E-4"/>
    <n v="1"/>
    <n v="-72"/>
    <n v="432"/>
  </r>
  <r>
    <x v="57"/>
    <s v="conventional_curtailment_wam_369"/>
    <x v="409"/>
    <n v="-5.2497500000000001E-4"/>
    <n v="1"/>
    <n v="-72"/>
    <n v="432"/>
  </r>
  <r>
    <x v="57"/>
    <s v="conventional_curtailment_wam_370"/>
    <x v="410"/>
    <n v="-5.8330666666666698E-4"/>
    <n v="1"/>
    <n v="-72"/>
    <n v="432"/>
  </r>
  <r>
    <x v="57"/>
    <s v="conventional_curtailment_wam_371"/>
    <x v="411"/>
    <n v="-6.4163833333333298E-4"/>
    <n v="1"/>
    <n v="-72"/>
    <n v="432"/>
  </r>
  <r>
    <x v="57"/>
    <s v="conventional_curtailment_wam_372"/>
    <x v="412"/>
    <n v="-6.9996999999999995E-4"/>
    <n v="1"/>
    <n v="-72"/>
    <n v="432"/>
  </r>
  <r>
    <x v="57"/>
    <s v="conventional_curtailment_wam_373"/>
    <x v="413"/>
    <n v="-7.5830166666666704E-4"/>
    <n v="1"/>
    <n v="-72"/>
    <n v="432"/>
  </r>
  <r>
    <x v="57"/>
    <s v="conventional_curtailment_wam_374"/>
    <x v="414"/>
    <n v="-8.1663333333333304E-4"/>
    <n v="1"/>
    <n v="-72"/>
    <n v="432"/>
  </r>
  <r>
    <x v="57"/>
    <s v="conventional_curtailment_wam_375"/>
    <x v="415"/>
    <n v="-8.7496500000000001E-4"/>
    <n v="1"/>
    <n v="-72"/>
    <n v="432"/>
  </r>
  <r>
    <x v="57"/>
    <s v="conventional_curtailment_wam_376"/>
    <x v="416"/>
    <n v="-9.3329666666666698E-4"/>
    <n v="1"/>
    <n v="-72"/>
    <n v="432"/>
  </r>
  <r>
    <x v="57"/>
    <s v="conventional_curtailment_wam_377"/>
    <x v="417"/>
    <n v="-9.9162833333333298E-4"/>
    <n v="1"/>
    <n v="-72"/>
    <n v="432"/>
  </r>
  <r>
    <x v="57"/>
    <s v="conventional_curtailment_wam_378"/>
    <x v="418"/>
    <n v="-1.04996E-3"/>
    <n v="1"/>
    <n v="-72"/>
    <n v="432"/>
  </r>
  <r>
    <x v="57"/>
    <s v="conventional_curtailment_wam_379"/>
    <x v="419"/>
    <n v="-1.10829166666667E-3"/>
    <n v="1"/>
    <n v="-72"/>
    <n v="432"/>
  </r>
  <r>
    <x v="57"/>
    <s v="conventional_curtailment_wam_380"/>
    <x v="420"/>
    <n v="-1.16662333333333E-3"/>
    <n v="1"/>
    <n v="-72"/>
    <n v="432"/>
  </r>
  <r>
    <x v="57"/>
    <s v="conventional_curtailment_wam_381"/>
    <x v="421"/>
    <n v="-1.224955E-3"/>
    <n v="1"/>
    <n v="-72"/>
    <n v="432"/>
  </r>
  <r>
    <x v="57"/>
    <s v="conventional_curtailment_wam_382"/>
    <x v="422"/>
    <n v="-1.28328666666667E-3"/>
    <n v="1"/>
    <n v="-72"/>
    <n v="432"/>
  </r>
  <r>
    <x v="57"/>
    <s v="conventional_curtailment_wam_383"/>
    <x v="423"/>
    <n v="-1.3416183333333301E-3"/>
    <n v="1"/>
    <n v="-72"/>
    <n v="432"/>
  </r>
  <r>
    <x v="57"/>
    <s v="conventional_curtailment_wam_384"/>
    <x v="424"/>
    <n v="-1.3999500000000001E-3"/>
    <n v="1"/>
    <n v="-72"/>
    <n v="432"/>
  </r>
  <r>
    <x v="57"/>
    <s v="conventional_curtailment_wam_385"/>
    <x v="425"/>
    <n v="-1.4582816666666701E-3"/>
    <n v="1"/>
    <n v="-72"/>
    <n v="432"/>
  </r>
  <r>
    <x v="57"/>
    <s v="conventional_curtailment_wam_386"/>
    <x v="426"/>
    <n v="-1.5166133333333299E-3"/>
    <n v="1"/>
    <n v="-72"/>
    <n v="432"/>
  </r>
  <r>
    <x v="57"/>
    <s v="conventional_curtailment_wam_387"/>
    <x v="427"/>
    <n v="-1.5749449999999999E-3"/>
    <n v="1"/>
    <n v="-72"/>
    <n v="432"/>
  </r>
  <r>
    <x v="57"/>
    <s v="conventional_curtailment_wam_388"/>
    <x v="428"/>
    <n v="-1.6332766666666699E-3"/>
    <n v="1"/>
    <n v="-72"/>
    <n v="432"/>
  </r>
  <r>
    <x v="57"/>
    <s v="conventional_curtailment_wam_389"/>
    <x v="429"/>
    <n v="-1.6916083333333299E-3"/>
    <n v="1"/>
    <n v="-72"/>
    <n v="432"/>
  </r>
  <r>
    <x v="57"/>
    <s v="conventional_curtailment_wam_390"/>
    <x v="430"/>
    <n v="-1.74994E-3"/>
    <n v="1"/>
    <n v="-72"/>
    <n v="432"/>
  </r>
  <r>
    <x v="57"/>
    <s v="conventional_curtailment_wam_391"/>
    <x v="431"/>
    <n v="-1.80827166666667E-3"/>
    <n v="1"/>
    <n v="-72"/>
    <n v="432"/>
  </r>
  <r>
    <x v="57"/>
    <s v="conventional_curtailment_wam_392"/>
    <x v="432"/>
    <n v="-1.86660333333333E-3"/>
    <n v="1"/>
    <n v="-72"/>
    <n v="432"/>
  </r>
  <r>
    <x v="57"/>
    <s v="conventional_curtailment_wam_393"/>
    <x v="433"/>
    <n v="-1.924935E-3"/>
    <n v="1"/>
    <n v="-72"/>
    <n v="432"/>
  </r>
  <r>
    <x v="57"/>
    <s v="conventional_curtailment_wam_394"/>
    <x v="434"/>
    <n v="-1.9832666666666698E-3"/>
    <n v="1"/>
    <n v="-72"/>
    <n v="432"/>
  </r>
  <r>
    <x v="57"/>
    <s v="conventional_curtailment_wam_395"/>
    <x v="435"/>
    <n v="-2.0415983333333301E-3"/>
    <n v="1"/>
    <n v="-72"/>
    <n v="432"/>
  </r>
  <r>
    <x v="57"/>
    <s v="conventional_curtailment_wam_396"/>
    <x v="436"/>
    <n v="-2.0999299999999999E-3"/>
    <n v="1"/>
    <n v="-72"/>
    <n v="432"/>
  </r>
  <r>
    <x v="57"/>
    <s v="conventional_curtailment_wam_397"/>
    <x v="437"/>
    <n v="-2.1582616666666701E-3"/>
    <n v="1"/>
    <n v="-72"/>
    <n v="432"/>
  </r>
  <r>
    <x v="57"/>
    <s v="conventional_curtailment_wam_398"/>
    <x v="438"/>
    <n v="-2.2165933333333299E-3"/>
    <n v="1"/>
    <n v="-72"/>
    <n v="432"/>
  </r>
  <r>
    <x v="57"/>
    <s v="conventional_curtailment_wam_399"/>
    <x v="439"/>
    <n v="-2.2749250000000001E-3"/>
    <n v="1"/>
    <n v="-72"/>
    <n v="432"/>
  </r>
  <r>
    <x v="57"/>
    <s v="conventional_curtailment_wam_400"/>
    <x v="440"/>
    <n v="-2.3332566666666699E-3"/>
    <n v="1"/>
    <n v="-72"/>
    <n v="432"/>
  </r>
  <r>
    <x v="57"/>
    <s v="conventional_curtailment_wam_401"/>
    <x v="441"/>
    <n v="-2.3915883333333302E-3"/>
    <n v="1"/>
    <n v="-72"/>
    <n v="432"/>
  </r>
  <r>
    <x v="57"/>
    <s v="conventional_curtailment_wam_402"/>
    <x v="442"/>
    <n v="-2.44992E-3"/>
    <n v="1"/>
    <n v="-72"/>
    <n v="432"/>
  </r>
  <r>
    <x v="57"/>
    <s v="conventional_curtailment_wam_403"/>
    <x v="443"/>
    <n v="-2.5082516666666702E-3"/>
    <n v="1"/>
    <n v="-72"/>
    <n v="432"/>
  </r>
  <r>
    <x v="57"/>
    <s v="conventional_curtailment_wam_404"/>
    <x v="444"/>
    <n v="-2.56658333333333E-3"/>
    <n v="1"/>
    <n v="-72"/>
    <n v="432"/>
  </r>
  <r>
    <x v="57"/>
    <s v="conventional_curtailment_wam_405"/>
    <x v="445"/>
    <n v="-2.6249149999999998E-3"/>
    <n v="1"/>
    <n v="-72"/>
    <n v="432"/>
  </r>
  <r>
    <x v="57"/>
    <s v="conventional_curtailment_wam_406"/>
    <x v="446"/>
    <n v="-2.68324666666667E-3"/>
    <n v="1"/>
    <n v="-72"/>
    <n v="432"/>
  </r>
  <r>
    <x v="57"/>
    <s v="conventional_curtailment_wam_407"/>
    <x v="447"/>
    <n v="-2.7415783333333298E-3"/>
    <n v="1"/>
    <n v="-72"/>
    <n v="432"/>
  </r>
  <r>
    <x v="57"/>
    <s v="conventional_curtailment_wam_408"/>
    <x v="448"/>
    <n v="-2.7999100000000001E-3"/>
    <n v="1"/>
    <n v="-72"/>
    <n v="432"/>
  </r>
  <r>
    <x v="57"/>
    <s v="conventional_curtailment_wam_409"/>
    <x v="449"/>
    <n v="-2.8582416666666699E-3"/>
    <n v="1"/>
    <n v="-72"/>
    <n v="432"/>
  </r>
  <r>
    <x v="57"/>
    <s v="conventional_curtailment_wam_410"/>
    <x v="450"/>
    <n v="-2.9165733333333301E-3"/>
    <n v="1"/>
    <n v="-72"/>
    <n v="432"/>
  </r>
  <r>
    <x v="57"/>
    <s v="conventional_curtailment_wam_411"/>
    <x v="451"/>
    <n v="-2.9749049999999999E-3"/>
    <n v="1"/>
    <n v="-72"/>
    <n v="432"/>
  </r>
  <r>
    <x v="57"/>
    <s v="conventional_curtailment_wam_412"/>
    <x v="452"/>
    <n v="-3.0332366666666701E-3"/>
    <n v="1"/>
    <n v="-72"/>
    <n v="432"/>
  </r>
  <r>
    <x v="57"/>
    <s v="conventional_curtailment_wam_413"/>
    <x v="453"/>
    <n v="-3.09156833333333E-3"/>
    <n v="1"/>
    <n v="-72"/>
    <n v="432"/>
  </r>
  <r>
    <x v="57"/>
    <s v="conventional_curtailment_wam_414"/>
    <x v="454"/>
    <n v="-3.1499000000000002E-3"/>
    <n v="1"/>
    <n v="-72"/>
    <n v="432"/>
  </r>
  <r>
    <x v="57"/>
    <s v="conventional_curtailment_wam_415"/>
    <x v="455"/>
    <n v="-3.20823166666667E-3"/>
    <n v="1"/>
    <n v="-72"/>
    <n v="432"/>
  </r>
  <r>
    <x v="57"/>
    <s v="conventional_curtailment_wam_416"/>
    <x v="456"/>
    <n v="-3.2665633333333298E-3"/>
    <n v="1"/>
    <n v="-72"/>
    <n v="432"/>
  </r>
  <r>
    <x v="57"/>
    <s v="conventional_curtailment_wam_417"/>
    <x v="457"/>
    <n v="-3.324895E-3"/>
    <n v="1"/>
    <n v="-72"/>
    <n v="432"/>
  </r>
  <r>
    <x v="57"/>
    <s v="conventional_curtailment_wam_418"/>
    <x v="458"/>
    <n v="-3.3832266666666698E-3"/>
    <n v="1"/>
    <n v="-72"/>
    <n v="432"/>
  </r>
  <r>
    <x v="57"/>
    <s v="conventional_curtailment_wam_419"/>
    <x v="459"/>
    <n v="-3.4415583333333301E-3"/>
    <n v="1"/>
    <n v="-72"/>
    <n v="432"/>
  </r>
  <r>
    <x v="57"/>
    <s v="conventional_curtailment_wam_420"/>
    <x v="460"/>
    <n v="-3.4998899999999999E-3"/>
    <n v="1"/>
    <n v="-72"/>
    <n v="432"/>
  </r>
  <r>
    <x v="57"/>
    <s v="conventional_curtailment_wam_421"/>
    <x v="461"/>
    <n v="-3.5582216666666701E-3"/>
    <n v="1"/>
    <n v="-72"/>
    <n v="432"/>
  </r>
  <r>
    <x v="57"/>
    <s v="conventional_curtailment_wam_422"/>
    <x v="462"/>
    <n v="-3.6165533333333299E-3"/>
    <n v="1"/>
    <n v="-72"/>
    <n v="432"/>
  </r>
  <r>
    <x v="57"/>
    <s v="conventional_curtailment_wam_423"/>
    <x v="463"/>
    <n v="-3.6748850000000001E-3"/>
    <n v="1"/>
    <n v="-72"/>
    <n v="432"/>
  </r>
  <r>
    <x v="57"/>
    <s v="conventional_curtailment_wam_424"/>
    <x v="464"/>
    <n v="-3.7332166666666699E-3"/>
    <n v="1"/>
    <n v="-72"/>
    <n v="432"/>
  </r>
  <r>
    <x v="57"/>
    <s v="conventional_curtailment_wam_425"/>
    <x v="465"/>
    <n v="-3.7915483333333302E-3"/>
    <n v="1"/>
    <n v="-72"/>
    <n v="432"/>
  </r>
  <r>
    <x v="57"/>
    <s v="conventional_curtailment_wam_426"/>
    <x v="466"/>
    <n v="-3.84988E-3"/>
    <n v="1"/>
    <n v="-72"/>
    <n v="432"/>
  </r>
  <r>
    <x v="57"/>
    <s v="conventional_curtailment_wam_427"/>
    <x v="467"/>
    <n v="-3.9082116666666698E-3"/>
    <n v="1"/>
    <n v="-72"/>
    <n v="432"/>
  </r>
  <r>
    <x v="57"/>
    <s v="conventional_curtailment_wam_428"/>
    <x v="468"/>
    <n v="-3.96654333333333E-3"/>
    <n v="1"/>
    <n v="-72"/>
    <n v="432"/>
  </r>
  <r>
    <x v="57"/>
    <s v="conventional_curtailment_wam_429"/>
    <x v="469"/>
    <n v="-4.0248749999999998E-3"/>
    <n v="1"/>
    <n v="-72"/>
    <n v="432"/>
  </r>
  <r>
    <x v="57"/>
    <s v="conventional_curtailment_wam_430"/>
    <x v="470"/>
    <n v="-4.0832066666666696E-3"/>
    <n v="1"/>
    <n v="-72"/>
    <n v="432"/>
  </r>
  <r>
    <x v="57"/>
    <s v="conventional_curtailment_wam_431"/>
    <x v="471"/>
    <n v="-4.1415383333333299E-3"/>
    <n v="1"/>
    <n v="-72"/>
    <n v="432"/>
  </r>
  <r>
    <x v="57"/>
    <s v="conventional_curtailment_wam_432"/>
    <x v="472"/>
    <n v="-4.1998699999999996E-3"/>
    <n v="1"/>
    <n v="-72"/>
    <n v="432"/>
  </r>
  <r>
    <x v="58"/>
    <s v="conventional_curtailment_cltv_-36"/>
    <x v="4"/>
    <n v="1"/>
    <n v="1"/>
    <n v="-36"/>
    <n v="216"/>
  </r>
  <r>
    <x v="58"/>
    <s v="conventional_curtailment_cltv_-35"/>
    <x v="5"/>
    <n v="1"/>
    <n v="1"/>
    <n v="-36"/>
    <n v="216"/>
  </r>
  <r>
    <x v="58"/>
    <s v="conventional_curtailment_cltv_-34"/>
    <x v="6"/>
    <n v="1"/>
    <n v="1"/>
    <n v="-36"/>
    <n v="216"/>
  </r>
  <r>
    <x v="58"/>
    <s v="conventional_curtailment_cltv_-33"/>
    <x v="7"/>
    <n v="1"/>
    <n v="1"/>
    <n v="-36"/>
    <n v="216"/>
  </r>
  <r>
    <x v="58"/>
    <s v="conventional_curtailment_cltv_-32"/>
    <x v="8"/>
    <n v="1"/>
    <n v="1"/>
    <n v="-36"/>
    <n v="216"/>
  </r>
  <r>
    <x v="58"/>
    <s v="conventional_curtailment_cltv_-31"/>
    <x v="9"/>
    <n v="1"/>
    <n v="1"/>
    <n v="-36"/>
    <n v="216"/>
  </r>
  <r>
    <x v="58"/>
    <s v="conventional_curtailment_cltv_-30"/>
    <x v="10"/>
    <n v="1"/>
    <n v="1"/>
    <n v="-36"/>
    <n v="216"/>
  </r>
  <r>
    <x v="58"/>
    <s v="conventional_curtailment_cltv_-29"/>
    <x v="11"/>
    <n v="1"/>
    <n v="1"/>
    <n v="-36"/>
    <n v="216"/>
  </r>
  <r>
    <x v="58"/>
    <s v="conventional_curtailment_cltv_-28"/>
    <x v="12"/>
    <n v="1"/>
    <n v="1"/>
    <n v="-36"/>
    <n v="216"/>
  </r>
  <r>
    <x v="58"/>
    <s v="conventional_curtailment_cltv_-27"/>
    <x v="13"/>
    <n v="1"/>
    <n v="1"/>
    <n v="-36"/>
    <n v="216"/>
  </r>
  <r>
    <x v="58"/>
    <s v="conventional_curtailment_cltv_-26"/>
    <x v="14"/>
    <n v="1"/>
    <n v="1"/>
    <n v="-36"/>
    <n v="216"/>
  </r>
  <r>
    <x v="58"/>
    <s v="conventional_curtailment_cltv_-25"/>
    <x v="15"/>
    <n v="1"/>
    <n v="1"/>
    <n v="-36"/>
    <n v="216"/>
  </r>
  <r>
    <x v="58"/>
    <s v="conventional_curtailment_cltv_-24"/>
    <x v="16"/>
    <n v="1"/>
    <n v="1"/>
    <n v="-36"/>
    <n v="216"/>
  </r>
  <r>
    <x v="58"/>
    <s v="conventional_curtailment_cltv_-23"/>
    <x v="17"/>
    <n v="1"/>
    <n v="1"/>
    <n v="-36"/>
    <n v="216"/>
  </r>
  <r>
    <x v="58"/>
    <s v="conventional_curtailment_cltv_-22"/>
    <x v="18"/>
    <n v="1"/>
    <n v="1"/>
    <n v="-36"/>
    <n v="216"/>
  </r>
  <r>
    <x v="58"/>
    <s v="conventional_curtailment_cltv_-21"/>
    <x v="19"/>
    <n v="1"/>
    <n v="1"/>
    <n v="-36"/>
    <n v="216"/>
  </r>
  <r>
    <x v="58"/>
    <s v="conventional_curtailment_cltv_-20"/>
    <x v="20"/>
    <n v="1"/>
    <n v="1"/>
    <n v="-36"/>
    <n v="216"/>
  </r>
  <r>
    <x v="58"/>
    <s v="conventional_curtailment_cltv_-19"/>
    <x v="21"/>
    <n v="1"/>
    <n v="1"/>
    <n v="-36"/>
    <n v="216"/>
  </r>
  <r>
    <x v="58"/>
    <s v="conventional_curtailment_cltv_-18"/>
    <x v="22"/>
    <n v="1"/>
    <n v="1"/>
    <n v="-36"/>
    <n v="216"/>
  </r>
  <r>
    <x v="58"/>
    <s v="conventional_curtailment_cltv_-17"/>
    <x v="23"/>
    <n v="1"/>
    <n v="1"/>
    <n v="-36"/>
    <n v="216"/>
  </r>
  <r>
    <x v="58"/>
    <s v="conventional_curtailment_cltv_-16"/>
    <x v="24"/>
    <n v="1"/>
    <n v="1"/>
    <n v="-36"/>
    <n v="216"/>
  </r>
  <r>
    <x v="58"/>
    <s v="conventional_curtailment_cltv_-15"/>
    <x v="25"/>
    <n v="1"/>
    <n v="1"/>
    <n v="-36"/>
    <n v="216"/>
  </r>
  <r>
    <x v="58"/>
    <s v="conventional_curtailment_cltv_-14"/>
    <x v="26"/>
    <n v="1"/>
    <n v="1"/>
    <n v="-36"/>
    <n v="216"/>
  </r>
  <r>
    <x v="58"/>
    <s v="conventional_curtailment_cltv_-13"/>
    <x v="27"/>
    <n v="1"/>
    <n v="1"/>
    <n v="-36"/>
    <n v="216"/>
  </r>
  <r>
    <x v="58"/>
    <s v="conventional_curtailment_cltv_-12"/>
    <x v="28"/>
    <n v="1"/>
    <n v="1"/>
    <n v="-36"/>
    <n v="216"/>
  </r>
  <r>
    <x v="58"/>
    <s v="conventional_curtailment_cltv_-11"/>
    <x v="29"/>
    <n v="1"/>
    <n v="1"/>
    <n v="-36"/>
    <n v="216"/>
  </r>
  <r>
    <x v="58"/>
    <s v="conventional_curtailment_cltv_-10"/>
    <x v="30"/>
    <n v="1"/>
    <n v="1"/>
    <n v="-36"/>
    <n v="216"/>
  </r>
  <r>
    <x v="58"/>
    <s v="conventional_curtailment_cltv_-9"/>
    <x v="31"/>
    <n v="1"/>
    <n v="1"/>
    <n v="-36"/>
    <n v="216"/>
  </r>
  <r>
    <x v="58"/>
    <s v="conventional_curtailment_cltv_-8"/>
    <x v="32"/>
    <n v="1"/>
    <n v="1"/>
    <n v="-36"/>
    <n v="216"/>
  </r>
  <r>
    <x v="58"/>
    <s v="conventional_curtailment_cltv_-7"/>
    <x v="33"/>
    <n v="1"/>
    <n v="1"/>
    <n v="-36"/>
    <n v="216"/>
  </r>
  <r>
    <x v="58"/>
    <s v="conventional_curtailment_cltv_-6"/>
    <x v="34"/>
    <n v="1"/>
    <n v="1"/>
    <n v="-36"/>
    <n v="216"/>
  </r>
  <r>
    <x v="58"/>
    <s v="conventional_curtailment_cltv_-5"/>
    <x v="35"/>
    <n v="1"/>
    <n v="1"/>
    <n v="-36"/>
    <n v="216"/>
  </r>
  <r>
    <x v="58"/>
    <s v="conventional_curtailment_cltv_-4"/>
    <x v="36"/>
    <n v="1"/>
    <n v="1"/>
    <n v="-36"/>
    <n v="216"/>
  </r>
  <r>
    <x v="58"/>
    <s v="conventional_curtailment_cltv_-3"/>
    <x v="37"/>
    <n v="1"/>
    <n v="1"/>
    <n v="-36"/>
    <n v="216"/>
  </r>
  <r>
    <x v="58"/>
    <s v="conventional_curtailment_cltv_-2"/>
    <x v="38"/>
    <n v="1"/>
    <n v="1"/>
    <n v="-36"/>
    <n v="216"/>
  </r>
  <r>
    <x v="58"/>
    <s v="conventional_curtailment_cltv_-1"/>
    <x v="39"/>
    <n v="1"/>
    <n v="1"/>
    <n v="-36"/>
    <n v="216"/>
  </r>
  <r>
    <x v="58"/>
    <s v="conventional_curtailment_cltv_0"/>
    <x v="40"/>
    <n v="1"/>
    <n v="1"/>
    <n v="-36"/>
    <n v="216"/>
  </r>
  <r>
    <x v="58"/>
    <s v="conventional_curtailment_cltv_1"/>
    <x v="41"/>
    <n v="1"/>
    <n v="1"/>
    <n v="-36"/>
    <n v="216"/>
  </r>
  <r>
    <x v="58"/>
    <s v="conventional_curtailment_cltv_2"/>
    <x v="42"/>
    <n v="1"/>
    <n v="1"/>
    <n v="-36"/>
    <n v="216"/>
  </r>
  <r>
    <x v="58"/>
    <s v="conventional_curtailment_cltv_3"/>
    <x v="43"/>
    <n v="1"/>
    <n v="1"/>
    <n v="-36"/>
    <n v="216"/>
  </r>
  <r>
    <x v="58"/>
    <s v="conventional_curtailment_cltv_4"/>
    <x v="44"/>
    <n v="1"/>
    <n v="1"/>
    <n v="-36"/>
    <n v="216"/>
  </r>
  <r>
    <x v="58"/>
    <s v="conventional_curtailment_cltv_5"/>
    <x v="45"/>
    <n v="1"/>
    <n v="1"/>
    <n v="-36"/>
    <n v="216"/>
  </r>
  <r>
    <x v="58"/>
    <s v="conventional_curtailment_cltv_6"/>
    <x v="46"/>
    <n v="1"/>
    <n v="1"/>
    <n v="-36"/>
    <n v="216"/>
  </r>
  <r>
    <x v="58"/>
    <s v="conventional_curtailment_cltv_7"/>
    <x v="47"/>
    <n v="1"/>
    <n v="1"/>
    <n v="-36"/>
    <n v="216"/>
  </r>
  <r>
    <x v="58"/>
    <s v="conventional_curtailment_cltv_8"/>
    <x v="48"/>
    <n v="1"/>
    <n v="1"/>
    <n v="-36"/>
    <n v="216"/>
  </r>
  <r>
    <x v="58"/>
    <s v="conventional_curtailment_cltv_9"/>
    <x v="49"/>
    <n v="1"/>
    <n v="1"/>
    <n v="-36"/>
    <n v="216"/>
  </r>
  <r>
    <x v="58"/>
    <s v="conventional_curtailment_cltv_10"/>
    <x v="50"/>
    <n v="1"/>
    <n v="1"/>
    <n v="-36"/>
    <n v="216"/>
  </r>
  <r>
    <x v="58"/>
    <s v="conventional_curtailment_cltv_11"/>
    <x v="51"/>
    <n v="1"/>
    <n v="1"/>
    <n v="-36"/>
    <n v="216"/>
  </r>
  <r>
    <x v="58"/>
    <s v="conventional_curtailment_cltv_12"/>
    <x v="52"/>
    <n v="1"/>
    <n v="1"/>
    <n v="-36"/>
    <n v="216"/>
  </r>
  <r>
    <x v="58"/>
    <s v="conventional_curtailment_cltv_13"/>
    <x v="53"/>
    <n v="1"/>
    <n v="1"/>
    <n v="-36"/>
    <n v="216"/>
  </r>
  <r>
    <x v="58"/>
    <s v="conventional_curtailment_cltv_14"/>
    <x v="54"/>
    <n v="1"/>
    <n v="1"/>
    <n v="-36"/>
    <n v="216"/>
  </r>
  <r>
    <x v="58"/>
    <s v="conventional_curtailment_cltv_15"/>
    <x v="55"/>
    <n v="1"/>
    <n v="1"/>
    <n v="-36"/>
    <n v="216"/>
  </r>
  <r>
    <x v="58"/>
    <s v="conventional_curtailment_cltv_16"/>
    <x v="56"/>
    <n v="1"/>
    <n v="1"/>
    <n v="-36"/>
    <n v="216"/>
  </r>
  <r>
    <x v="58"/>
    <s v="conventional_curtailment_cltv_17"/>
    <x v="57"/>
    <n v="1"/>
    <n v="1"/>
    <n v="-36"/>
    <n v="216"/>
  </r>
  <r>
    <x v="58"/>
    <s v="conventional_curtailment_cltv_18"/>
    <x v="58"/>
    <n v="1"/>
    <n v="1"/>
    <n v="-36"/>
    <n v="216"/>
  </r>
  <r>
    <x v="58"/>
    <s v="conventional_curtailment_cltv_19"/>
    <x v="59"/>
    <n v="1"/>
    <n v="1"/>
    <n v="-36"/>
    <n v="216"/>
  </r>
  <r>
    <x v="58"/>
    <s v="conventional_curtailment_cltv_20"/>
    <x v="60"/>
    <n v="1"/>
    <n v="1"/>
    <n v="-36"/>
    <n v="216"/>
  </r>
  <r>
    <x v="58"/>
    <s v="conventional_curtailment_cltv_21"/>
    <x v="61"/>
    <n v="1"/>
    <n v="1"/>
    <n v="-36"/>
    <n v="216"/>
  </r>
  <r>
    <x v="58"/>
    <s v="conventional_curtailment_cltv_22"/>
    <x v="62"/>
    <n v="1"/>
    <n v="1"/>
    <n v="-36"/>
    <n v="216"/>
  </r>
  <r>
    <x v="58"/>
    <s v="conventional_curtailment_cltv_23"/>
    <x v="63"/>
    <n v="1"/>
    <n v="1"/>
    <n v="-36"/>
    <n v="216"/>
  </r>
  <r>
    <x v="58"/>
    <s v="conventional_curtailment_cltv_24"/>
    <x v="64"/>
    <n v="1"/>
    <n v="1"/>
    <n v="-36"/>
    <n v="216"/>
  </r>
  <r>
    <x v="58"/>
    <s v="conventional_curtailment_cltv_25"/>
    <x v="65"/>
    <n v="1"/>
    <n v="1"/>
    <n v="-36"/>
    <n v="216"/>
  </r>
  <r>
    <x v="58"/>
    <s v="conventional_curtailment_cltv_26"/>
    <x v="66"/>
    <n v="1"/>
    <n v="1"/>
    <n v="-36"/>
    <n v="216"/>
  </r>
  <r>
    <x v="58"/>
    <s v="conventional_curtailment_cltv_27"/>
    <x v="67"/>
    <n v="1"/>
    <n v="1"/>
    <n v="-36"/>
    <n v="216"/>
  </r>
  <r>
    <x v="58"/>
    <s v="conventional_curtailment_cltv_28"/>
    <x v="68"/>
    <n v="1"/>
    <n v="1"/>
    <n v="-36"/>
    <n v="216"/>
  </r>
  <r>
    <x v="58"/>
    <s v="conventional_curtailment_cltv_29"/>
    <x v="69"/>
    <n v="1"/>
    <n v="1"/>
    <n v="-36"/>
    <n v="216"/>
  </r>
  <r>
    <x v="58"/>
    <s v="conventional_curtailment_cltv_30"/>
    <x v="70"/>
    <n v="1"/>
    <n v="1"/>
    <n v="-36"/>
    <n v="216"/>
  </r>
  <r>
    <x v="58"/>
    <s v="conventional_curtailment_cltv_31"/>
    <x v="71"/>
    <n v="1"/>
    <n v="1"/>
    <n v="-36"/>
    <n v="216"/>
  </r>
  <r>
    <x v="58"/>
    <s v="conventional_curtailment_cltv_32"/>
    <x v="72"/>
    <n v="1"/>
    <n v="1"/>
    <n v="-36"/>
    <n v="216"/>
  </r>
  <r>
    <x v="58"/>
    <s v="conventional_curtailment_cltv_33"/>
    <x v="73"/>
    <n v="1"/>
    <n v="1"/>
    <n v="-36"/>
    <n v="216"/>
  </r>
  <r>
    <x v="58"/>
    <s v="conventional_curtailment_cltv_34"/>
    <x v="74"/>
    <n v="1"/>
    <n v="1"/>
    <n v="-36"/>
    <n v="216"/>
  </r>
  <r>
    <x v="58"/>
    <s v="conventional_curtailment_cltv_35"/>
    <x v="75"/>
    <n v="1"/>
    <n v="1"/>
    <n v="-36"/>
    <n v="216"/>
  </r>
  <r>
    <x v="58"/>
    <s v="conventional_curtailment_cltv_36"/>
    <x v="76"/>
    <n v="1"/>
    <n v="1"/>
    <n v="-36"/>
    <n v="216"/>
  </r>
  <r>
    <x v="58"/>
    <s v="conventional_curtailment_cltv_37"/>
    <x v="77"/>
    <n v="1"/>
    <n v="1"/>
    <n v="-36"/>
    <n v="216"/>
  </r>
  <r>
    <x v="58"/>
    <s v="conventional_curtailment_cltv_38"/>
    <x v="78"/>
    <n v="1"/>
    <n v="1"/>
    <n v="-36"/>
    <n v="216"/>
  </r>
  <r>
    <x v="58"/>
    <s v="conventional_curtailment_cltv_39"/>
    <x v="79"/>
    <n v="1"/>
    <n v="1"/>
    <n v="-36"/>
    <n v="216"/>
  </r>
  <r>
    <x v="58"/>
    <s v="conventional_curtailment_cltv_40"/>
    <x v="80"/>
    <n v="1"/>
    <n v="1"/>
    <n v="-36"/>
    <n v="216"/>
  </r>
  <r>
    <x v="58"/>
    <s v="conventional_curtailment_cltv_41"/>
    <x v="81"/>
    <n v="1"/>
    <n v="1"/>
    <n v="-36"/>
    <n v="216"/>
  </r>
  <r>
    <x v="58"/>
    <s v="conventional_curtailment_cltv_42"/>
    <x v="82"/>
    <n v="1"/>
    <n v="1"/>
    <n v="-36"/>
    <n v="216"/>
  </r>
  <r>
    <x v="58"/>
    <s v="conventional_curtailment_cltv_43"/>
    <x v="83"/>
    <n v="1"/>
    <n v="1"/>
    <n v="-36"/>
    <n v="216"/>
  </r>
  <r>
    <x v="58"/>
    <s v="conventional_curtailment_cltv_44"/>
    <x v="84"/>
    <n v="1"/>
    <n v="1"/>
    <n v="-36"/>
    <n v="216"/>
  </r>
  <r>
    <x v="58"/>
    <s v="conventional_curtailment_cltv_45"/>
    <x v="85"/>
    <n v="1"/>
    <n v="1"/>
    <n v="-36"/>
    <n v="216"/>
  </r>
  <r>
    <x v="58"/>
    <s v="conventional_curtailment_cltv_46"/>
    <x v="86"/>
    <n v="1"/>
    <n v="1"/>
    <n v="-36"/>
    <n v="216"/>
  </r>
  <r>
    <x v="58"/>
    <s v="conventional_curtailment_cltv_47"/>
    <x v="87"/>
    <n v="1"/>
    <n v="1"/>
    <n v="-36"/>
    <n v="216"/>
  </r>
  <r>
    <x v="58"/>
    <s v="conventional_curtailment_cltv_48"/>
    <x v="88"/>
    <n v="1"/>
    <n v="1"/>
    <n v="-36"/>
    <n v="216"/>
  </r>
  <r>
    <x v="58"/>
    <s v="conventional_curtailment_cltv_49"/>
    <x v="89"/>
    <n v="1"/>
    <n v="1"/>
    <n v="-36"/>
    <n v="216"/>
  </r>
  <r>
    <x v="58"/>
    <s v="conventional_curtailment_cltv_50"/>
    <x v="90"/>
    <n v="1"/>
    <n v="1"/>
    <n v="-36"/>
    <n v="216"/>
  </r>
  <r>
    <x v="58"/>
    <s v="conventional_curtailment_cltv_51"/>
    <x v="91"/>
    <n v="1"/>
    <n v="1"/>
    <n v="-36"/>
    <n v="216"/>
  </r>
  <r>
    <x v="58"/>
    <s v="conventional_curtailment_cltv_52"/>
    <x v="92"/>
    <n v="1"/>
    <n v="1"/>
    <n v="-36"/>
    <n v="216"/>
  </r>
  <r>
    <x v="58"/>
    <s v="conventional_curtailment_cltv_53"/>
    <x v="93"/>
    <n v="1"/>
    <n v="1"/>
    <n v="-36"/>
    <n v="216"/>
  </r>
  <r>
    <x v="58"/>
    <s v="conventional_curtailment_cltv_54"/>
    <x v="94"/>
    <n v="1"/>
    <n v="1"/>
    <n v="-36"/>
    <n v="216"/>
  </r>
  <r>
    <x v="58"/>
    <s v="conventional_curtailment_cltv_55"/>
    <x v="95"/>
    <n v="1"/>
    <n v="1"/>
    <n v="-36"/>
    <n v="216"/>
  </r>
  <r>
    <x v="58"/>
    <s v="conventional_curtailment_cltv_56"/>
    <x v="96"/>
    <n v="1"/>
    <n v="1"/>
    <n v="-36"/>
    <n v="216"/>
  </r>
  <r>
    <x v="58"/>
    <s v="conventional_curtailment_cltv_57"/>
    <x v="97"/>
    <n v="1"/>
    <n v="1"/>
    <n v="-36"/>
    <n v="216"/>
  </r>
  <r>
    <x v="58"/>
    <s v="conventional_curtailment_cltv_58"/>
    <x v="98"/>
    <n v="1"/>
    <n v="1"/>
    <n v="-36"/>
    <n v="216"/>
  </r>
  <r>
    <x v="58"/>
    <s v="conventional_curtailment_cltv_59"/>
    <x v="99"/>
    <n v="1"/>
    <n v="1"/>
    <n v="-36"/>
    <n v="216"/>
  </r>
  <r>
    <x v="58"/>
    <s v="conventional_curtailment_cltv_60"/>
    <x v="100"/>
    <n v="1"/>
    <n v="1"/>
    <n v="-36"/>
    <n v="216"/>
  </r>
  <r>
    <x v="58"/>
    <s v="conventional_curtailment_cltv_61"/>
    <x v="101"/>
    <n v="1"/>
    <n v="1"/>
    <n v="-36"/>
    <n v="216"/>
  </r>
  <r>
    <x v="58"/>
    <s v="conventional_curtailment_cltv_62"/>
    <x v="102"/>
    <n v="1"/>
    <n v="1"/>
    <n v="-36"/>
    <n v="216"/>
  </r>
  <r>
    <x v="58"/>
    <s v="conventional_curtailment_cltv_63"/>
    <x v="103"/>
    <n v="1"/>
    <n v="1"/>
    <n v="-36"/>
    <n v="216"/>
  </r>
  <r>
    <x v="58"/>
    <s v="conventional_curtailment_cltv_64"/>
    <x v="104"/>
    <n v="1"/>
    <n v="1"/>
    <n v="-36"/>
    <n v="216"/>
  </r>
  <r>
    <x v="58"/>
    <s v="conventional_curtailment_cltv_65"/>
    <x v="105"/>
    <n v="1"/>
    <n v="1"/>
    <n v="-36"/>
    <n v="216"/>
  </r>
  <r>
    <x v="58"/>
    <s v="conventional_curtailment_cltv_66"/>
    <x v="106"/>
    <n v="1"/>
    <n v="1"/>
    <n v="-36"/>
    <n v="216"/>
  </r>
  <r>
    <x v="58"/>
    <s v="conventional_curtailment_cltv_67"/>
    <x v="107"/>
    <n v="1"/>
    <n v="1"/>
    <n v="-36"/>
    <n v="216"/>
  </r>
  <r>
    <x v="58"/>
    <s v="conventional_curtailment_cltv_68"/>
    <x v="108"/>
    <n v="1"/>
    <n v="1"/>
    <n v="-36"/>
    <n v="216"/>
  </r>
  <r>
    <x v="58"/>
    <s v="conventional_curtailment_cltv_69"/>
    <x v="109"/>
    <n v="1"/>
    <n v="1"/>
    <n v="-36"/>
    <n v="216"/>
  </r>
  <r>
    <x v="58"/>
    <s v="conventional_curtailment_cltv_70"/>
    <x v="110"/>
    <n v="1"/>
    <n v="1"/>
    <n v="-36"/>
    <n v="216"/>
  </r>
  <r>
    <x v="58"/>
    <s v="conventional_curtailment_cltv_71"/>
    <x v="111"/>
    <n v="1"/>
    <n v="1"/>
    <n v="-36"/>
    <n v="216"/>
  </r>
  <r>
    <x v="58"/>
    <s v="conventional_curtailment_cltv_72"/>
    <x v="112"/>
    <n v="1"/>
    <n v="1"/>
    <n v="-36"/>
    <n v="216"/>
  </r>
  <r>
    <x v="58"/>
    <s v="conventional_curtailment_cltv_73"/>
    <x v="113"/>
    <n v="1"/>
    <n v="1"/>
    <n v="-36"/>
    <n v="216"/>
  </r>
  <r>
    <x v="58"/>
    <s v="conventional_curtailment_cltv_74"/>
    <x v="114"/>
    <n v="1"/>
    <n v="1"/>
    <n v="-36"/>
    <n v="216"/>
  </r>
  <r>
    <x v="58"/>
    <s v="conventional_curtailment_cltv_75"/>
    <x v="115"/>
    <n v="1"/>
    <n v="1"/>
    <n v="-36"/>
    <n v="216"/>
  </r>
  <r>
    <x v="58"/>
    <s v="conventional_curtailment_cltv_76"/>
    <x v="116"/>
    <n v="1"/>
    <n v="1"/>
    <n v="-36"/>
    <n v="216"/>
  </r>
  <r>
    <x v="58"/>
    <s v="conventional_curtailment_cltv_77"/>
    <x v="117"/>
    <n v="1"/>
    <n v="1"/>
    <n v="-36"/>
    <n v="216"/>
  </r>
  <r>
    <x v="58"/>
    <s v="conventional_curtailment_cltv_78"/>
    <x v="118"/>
    <n v="1"/>
    <n v="1"/>
    <n v="-36"/>
    <n v="216"/>
  </r>
  <r>
    <x v="58"/>
    <s v="conventional_curtailment_cltv_79"/>
    <x v="119"/>
    <n v="1"/>
    <n v="1"/>
    <n v="-36"/>
    <n v="216"/>
  </r>
  <r>
    <x v="58"/>
    <s v="conventional_curtailment_cltv_80"/>
    <x v="120"/>
    <n v="1"/>
    <n v="1"/>
    <n v="-36"/>
    <n v="216"/>
  </r>
  <r>
    <x v="58"/>
    <s v="conventional_curtailment_cltv_81"/>
    <x v="121"/>
    <n v="1"/>
    <n v="1"/>
    <n v="-36"/>
    <n v="216"/>
  </r>
  <r>
    <x v="58"/>
    <s v="conventional_curtailment_cltv_82"/>
    <x v="122"/>
    <n v="1"/>
    <n v="1"/>
    <n v="-36"/>
    <n v="216"/>
  </r>
  <r>
    <x v="58"/>
    <s v="conventional_curtailment_cltv_83"/>
    <x v="123"/>
    <n v="1"/>
    <n v="1"/>
    <n v="-36"/>
    <n v="216"/>
  </r>
  <r>
    <x v="58"/>
    <s v="conventional_curtailment_cltv_84"/>
    <x v="124"/>
    <n v="1"/>
    <n v="1"/>
    <n v="-36"/>
    <n v="216"/>
  </r>
  <r>
    <x v="58"/>
    <s v="conventional_curtailment_cltv_85"/>
    <x v="125"/>
    <n v="1"/>
    <n v="1"/>
    <n v="-36"/>
    <n v="216"/>
  </r>
  <r>
    <x v="58"/>
    <s v="conventional_curtailment_cltv_86"/>
    <x v="126"/>
    <n v="1"/>
    <n v="1"/>
    <n v="-36"/>
    <n v="216"/>
  </r>
  <r>
    <x v="58"/>
    <s v="conventional_curtailment_cltv_87"/>
    <x v="127"/>
    <n v="1"/>
    <n v="1"/>
    <n v="-36"/>
    <n v="216"/>
  </r>
  <r>
    <x v="58"/>
    <s v="conventional_curtailment_cltv_88"/>
    <x v="128"/>
    <n v="1"/>
    <n v="1"/>
    <n v="-36"/>
    <n v="216"/>
  </r>
  <r>
    <x v="58"/>
    <s v="conventional_curtailment_cltv_89"/>
    <x v="129"/>
    <n v="1"/>
    <n v="1"/>
    <n v="-36"/>
    <n v="216"/>
  </r>
  <r>
    <x v="58"/>
    <s v="conventional_curtailment_cltv_90"/>
    <x v="130"/>
    <n v="1"/>
    <n v="1"/>
    <n v="-36"/>
    <n v="216"/>
  </r>
  <r>
    <x v="58"/>
    <s v="conventional_curtailment_cltv_91"/>
    <x v="131"/>
    <n v="1"/>
    <n v="1"/>
    <n v="-36"/>
    <n v="216"/>
  </r>
  <r>
    <x v="58"/>
    <s v="conventional_curtailment_cltv_92"/>
    <x v="132"/>
    <n v="1"/>
    <n v="1"/>
    <n v="-36"/>
    <n v="216"/>
  </r>
  <r>
    <x v="58"/>
    <s v="conventional_curtailment_cltv_93"/>
    <x v="133"/>
    <n v="1"/>
    <n v="1"/>
    <n v="-36"/>
    <n v="216"/>
  </r>
  <r>
    <x v="58"/>
    <s v="conventional_curtailment_cltv_94"/>
    <x v="134"/>
    <n v="1"/>
    <n v="1"/>
    <n v="-36"/>
    <n v="216"/>
  </r>
  <r>
    <x v="58"/>
    <s v="conventional_curtailment_cltv_95"/>
    <x v="135"/>
    <n v="1"/>
    <n v="1"/>
    <n v="-36"/>
    <n v="216"/>
  </r>
  <r>
    <x v="58"/>
    <s v="conventional_curtailment_cltv_96"/>
    <x v="136"/>
    <n v="1"/>
    <n v="1"/>
    <n v="-36"/>
    <n v="216"/>
  </r>
  <r>
    <x v="58"/>
    <s v="conventional_curtailment_cltv_97"/>
    <x v="137"/>
    <n v="1"/>
    <n v="1"/>
    <n v="-36"/>
    <n v="216"/>
  </r>
  <r>
    <x v="58"/>
    <s v="conventional_curtailment_cltv_98"/>
    <x v="138"/>
    <n v="1"/>
    <n v="1"/>
    <n v="-36"/>
    <n v="216"/>
  </r>
  <r>
    <x v="58"/>
    <s v="conventional_curtailment_cltv_99"/>
    <x v="139"/>
    <n v="1"/>
    <n v="1"/>
    <n v="-36"/>
    <n v="216"/>
  </r>
  <r>
    <x v="58"/>
    <s v="conventional_curtailment_cltv_100"/>
    <x v="140"/>
    <n v="1"/>
    <n v="1"/>
    <n v="-36"/>
    <n v="216"/>
  </r>
  <r>
    <x v="58"/>
    <s v="conventional_curtailment_cltv_101"/>
    <x v="141"/>
    <n v="1"/>
    <n v="1"/>
    <n v="-36"/>
    <n v="216"/>
  </r>
  <r>
    <x v="58"/>
    <s v="conventional_curtailment_cltv_102"/>
    <x v="142"/>
    <n v="1"/>
    <n v="1"/>
    <n v="-36"/>
    <n v="216"/>
  </r>
  <r>
    <x v="58"/>
    <s v="conventional_curtailment_cltv_103"/>
    <x v="143"/>
    <n v="1"/>
    <n v="1"/>
    <n v="-36"/>
    <n v="216"/>
  </r>
  <r>
    <x v="58"/>
    <s v="conventional_curtailment_cltv_104"/>
    <x v="144"/>
    <n v="1"/>
    <n v="1"/>
    <n v="-36"/>
    <n v="216"/>
  </r>
  <r>
    <x v="58"/>
    <s v="conventional_curtailment_cltv_105"/>
    <x v="145"/>
    <n v="1"/>
    <n v="1"/>
    <n v="-36"/>
    <n v="216"/>
  </r>
  <r>
    <x v="58"/>
    <s v="conventional_curtailment_cltv_106"/>
    <x v="146"/>
    <n v="1"/>
    <n v="1"/>
    <n v="-36"/>
    <n v="216"/>
  </r>
  <r>
    <x v="58"/>
    <s v="conventional_curtailment_cltv_107"/>
    <x v="147"/>
    <n v="1"/>
    <n v="1"/>
    <n v="-36"/>
    <n v="216"/>
  </r>
  <r>
    <x v="58"/>
    <s v="conventional_curtailment_cltv_108"/>
    <x v="148"/>
    <n v="1"/>
    <n v="1"/>
    <n v="-36"/>
    <n v="216"/>
  </r>
  <r>
    <x v="58"/>
    <s v="conventional_curtailment_cltv_109"/>
    <x v="149"/>
    <n v="1"/>
    <n v="1"/>
    <n v="-36"/>
    <n v="216"/>
  </r>
  <r>
    <x v="58"/>
    <s v="conventional_curtailment_cltv_110"/>
    <x v="150"/>
    <n v="1"/>
    <n v="1"/>
    <n v="-36"/>
    <n v="216"/>
  </r>
  <r>
    <x v="58"/>
    <s v="conventional_curtailment_cltv_111"/>
    <x v="151"/>
    <n v="1"/>
    <n v="1"/>
    <n v="-36"/>
    <n v="216"/>
  </r>
  <r>
    <x v="58"/>
    <s v="conventional_curtailment_cltv_112"/>
    <x v="152"/>
    <n v="1"/>
    <n v="1"/>
    <n v="-36"/>
    <n v="216"/>
  </r>
  <r>
    <x v="58"/>
    <s v="conventional_curtailment_cltv_113"/>
    <x v="153"/>
    <n v="1"/>
    <n v="1"/>
    <n v="-36"/>
    <n v="216"/>
  </r>
  <r>
    <x v="58"/>
    <s v="conventional_curtailment_cltv_114"/>
    <x v="154"/>
    <n v="1"/>
    <n v="1"/>
    <n v="-36"/>
    <n v="216"/>
  </r>
  <r>
    <x v="58"/>
    <s v="conventional_curtailment_cltv_115"/>
    <x v="155"/>
    <n v="1"/>
    <n v="1"/>
    <n v="-36"/>
    <n v="216"/>
  </r>
  <r>
    <x v="58"/>
    <s v="conventional_curtailment_cltv_116"/>
    <x v="156"/>
    <n v="1"/>
    <n v="1"/>
    <n v="-36"/>
    <n v="216"/>
  </r>
  <r>
    <x v="58"/>
    <s v="conventional_curtailment_cltv_117"/>
    <x v="157"/>
    <n v="1"/>
    <n v="1"/>
    <n v="-36"/>
    <n v="216"/>
  </r>
  <r>
    <x v="58"/>
    <s v="conventional_curtailment_cltv_118"/>
    <x v="158"/>
    <n v="1"/>
    <n v="1"/>
    <n v="-36"/>
    <n v="216"/>
  </r>
  <r>
    <x v="58"/>
    <s v="conventional_curtailment_cltv_119"/>
    <x v="159"/>
    <n v="1"/>
    <n v="1"/>
    <n v="-36"/>
    <n v="216"/>
  </r>
  <r>
    <x v="58"/>
    <s v="conventional_curtailment_cltv_120"/>
    <x v="160"/>
    <n v="1"/>
    <n v="1"/>
    <n v="-36"/>
    <n v="216"/>
  </r>
  <r>
    <x v="58"/>
    <s v="conventional_curtailment_cltv_121"/>
    <x v="161"/>
    <n v="1"/>
    <n v="1"/>
    <n v="-36"/>
    <n v="216"/>
  </r>
  <r>
    <x v="58"/>
    <s v="conventional_curtailment_cltv_122"/>
    <x v="162"/>
    <n v="1"/>
    <n v="1"/>
    <n v="-36"/>
    <n v="216"/>
  </r>
  <r>
    <x v="58"/>
    <s v="conventional_curtailment_cltv_123"/>
    <x v="163"/>
    <n v="1"/>
    <n v="1"/>
    <n v="-36"/>
    <n v="216"/>
  </r>
  <r>
    <x v="58"/>
    <s v="conventional_curtailment_cltv_124"/>
    <x v="164"/>
    <n v="1"/>
    <n v="1"/>
    <n v="-36"/>
    <n v="216"/>
  </r>
  <r>
    <x v="58"/>
    <s v="conventional_curtailment_cltv_125"/>
    <x v="165"/>
    <n v="1"/>
    <n v="1"/>
    <n v="-36"/>
    <n v="216"/>
  </r>
  <r>
    <x v="58"/>
    <s v="conventional_curtailment_cltv_126"/>
    <x v="166"/>
    <n v="1"/>
    <n v="1"/>
    <n v="-36"/>
    <n v="216"/>
  </r>
  <r>
    <x v="58"/>
    <s v="conventional_curtailment_cltv_127"/>
    <x v="167"/>
    <n v="1"/>
    <n v="1"/>
    <n v="-36"/>
    <n v="216"/>
  </r>
  <r>
    <x v="58"/>
    <s v="conventional_curtailment_cltv_128"/>
    <x v="168"/>
    <n v="1"/>
    <n v="1"/>
    <n v="-36"/>
    <n v="216"/>
  </r>
  <r>
    <x v="58"/>
    <s v="conventional_curtailment_cltv_129"/>
    <x v="169"/>
    <n v="1"/>
    <n v="1"/>
    <n v="-36"/>
    <n v="216"/>
  </r>
  <r>
    <x v="58"/>
    <s v="conventional_curtailment_cltv_130"/>
    <x v="170"/>
    <n v="1"/>
    <n v="1"/>
    <n v="-36"/>
    <n v="216"/>
  </r>
  <r>
    <x v="58"/>
    <s v="conventional_curtailment_cltv_131"/>
    <x v="171"/>
    <n v="1"/>
    <n v="1"/>
    <n v="-36"/>
    <n v="216"/>
  </r>
  <r>
    <x v="58"/>
    <s v="conventional_curtailment_cltv_132"/>
    <x v="172"/>
    <n v="1"/>
    <n v="1"/>
    <n v="-36"/>
    <n v="216"/>
  </r>
  <r>
    <x v="58"/>
    <s v="conventional_curtailment_cltv_133"/>
    <x v="173"/>
    <n v="1"/>
    <n v="1"/>
    <n v="-36"/>
    <n v="216"/>
  </r>
  <r>
    <x v="58"/>
    <s v="conventional_curtailment_cltv_134"/>
    <x v="174"/>
    <n v="1"/>
    <n v="1"/>
    <n v="-36"/>
    <n v="216"/>
  </r>
  <r>
    <x v="58"/>
    <s v="conventional_curtailment_cltv_135"/>
    <x v="175"/>
    <n v="1"/>
    <n v="1"/>
    <n v="-36"/>
    <n v="216"/>
  </r>
  <r>
    <x v="58"/>
    <s v="conventional_curtailment_cltv_136"/>
    <x v="176"/>
    <n v="1"/>
    <n v="1"/>
    <n v="-36"/>
    <n v="216"/>
  </r>
  <r>
    <x v="58"/>
    <s v="conventional_curtailment_cltv_137"/>
    <x v="177"/>
    <n v="1"/>
    <n v="1"/>
    <n v="-36"/>
    <n v="216"/>
  </r>
  <r>
    <x v="58"/>
    <s v="conventional_curtailment_cltv_138"/>
    <x v="178"/>
    <n v="1"/>
    <n v="1"/>
    <n v="-36"/>
    <n v="216"/>
  </r>
  <r>
    <x v="58"/>
    <s v="conventional_curtailment_cltv_139"/>
    <x v="179"/>
    <n v="1"/>
    <n v="1"/>
    <n v="-36"/>
    <n v="216"/>
  </r>
  <r>
    <x v="58"/>
    <s v="conventional_curtailment_cltv_140"/>
    <x v="180"/>
    <n v="1"/>
    <n v="1"/>
    <n v="-36"/>
    <n v="216"/>
  </r>
  <r>
    <x v="58"/>
    <s v="conventional_curtailment_cltv_141"/>
    <x v="181"/>
    <n v="1"/>
    <n v="1"/>
    <n v="-36"/>
    <n v="216"/>
  </r>
  <r>
    <x v="58"/>
    <s v="conventional_curtailment_cltv_142"/>
    <x v="182"/>
    <n v="1"/>
    <n v="1"/>
    <n v="-36"/>
    <n v="216"/>
  </r>
  <r>
    <x v="58"/>
    <s v="conventional_curtailment_cltv_143"/>
    <x v="183"/>
    <n v="1"/>
    <n v="1"/>
    <n v="-36"/>
    <n v="216"/>
  </r>
  <r>
    <x v="58"/>
    <s v="conventional_curtailment_cltv_144"/>
    <x v="184"/>
    <n v="1"/>
    <n v="1"/>
    <n v="-36"/>
    <n v="216"/>
  </r>
  <r>
    <x v="58"/>
    <s v="conventional_curtailment_cltv_145"/>
    <x v="185"/>
    <n v="1"/>
    <n v="1"/>
    <n v="-36"/>
    <n v="216"/>
  </r>
  <r>
    <x v="58"/>
    <s v="conventional_curtailment_cltv_146"/>
    <x v="186"/>
    <n v="1"/>
    <n v="1"/>
    <n v="-36"/>
    <n v="216"/>
  </r>
  <r>
    <x v="58"/>
    <s v="conventional_curtailment_cltv_147"/>
    <x v="187"/>
    <n v="1"/>
    <n v="1"/>
    <n v="-36"/>
    <n v="216"/>
  </r>
  <r>
    <x v="58"/>
    <s v="conventional_curtailment_cltv_148"/>
    <x v="188"/>
    <n v="1"/>
    <n v="1"/>
    <n v="-36"/>
    <n v="216"/>
  </r>
  <r>
    <x v="58"/>
    <s v="conventional_curtailment_cltv_149"/>
    <x v="189"/>
    <n v="1"/>
    <n v="1"/>
    <n v="-36"/>
    <n v="216"/>
  </r>
  <r>
    <x v="58"/>
    <s v="conventional_curtailment_cltv_150"/>
    <x v="190"/>
    <n v="1"/>
    <n v="1"/>
    <n v="-36"/>
    <n v="216"/>
  </r>
  <r>
    <x v="58"/>
    <s v="conventional_curtailment_cltv_151"/>
    <x v="191"/>
    <n v="1"/>
    <n v="1"/>
    <n v="-36"/>
    <n v="216"/>
  </r>
  <r>
    <x v="58"/>
    <s v="conventional_curtailment_cltv_152"/>
    <x v="192"/>
    <n v="1"/>
    <n v="1"/>
    <n v="-36"/>
    <n v="216"/>
  </r>
  <r>
    <x v="58"/>
    <s v="conventional_curtailment_cltv_153"/>
    <x v="193"/>
    <n v="1"/>
    <n v="1"/>
    <n v="-36"/>
    <n v="216"/>
  </r>
  <r>
    <x v="58"/>
    <s v="conventional_curtailment_cltv_154"/>
    <x v="194"/>
    <n v="1"/>
    <n v="1"/>
    <n v="-36"/>
    <n v="216"/>
  </r>
  <r>
    <x v="58"/>
    <s v="conventional_curtailment_cltv_155"/>
    <x v="195"/>
    <n v="1"/>
    <n v="1"/>
    <n v="-36"/>
    <n v="216"/>
  </r>
  <r>
    <x v="58"/>
    <s v="conventional_curtailment_cltv_156"/>
    <x v="196"/>
    <n v="1"/>
    <n v="1"/>
    <n v="-36"/>
    <n v="216"/>
  </r>
  <r>
    <x v="58"/>
    <s v="conventional_curtailment_cltv_157"/>
    <x v="197"/>
    <n v="1"/>
    <n v="1"/>
    <n v="-36"/>
    <n v="216"/>
  </r>
  <r>
    <x v="58"/>
    <s v="conventional_curtailment_cltv_158"/>
    <x v="198"/>
    <n v="1"/>
    <n v="1"/>
    <n v="-36"/>
    <n v="216"/>
  </r>
  <r>
    <x v="58"/>
    <s v="conventional_curtailment_cltv_159"/>
    <x v="199"/>
    <n v="1"/>
    <n v="1"/>
    <n v="-36"/>
    <n v="216"/>
  </r>
  <r>
    <x v="58"/>
    <s v="conventional_curtailment_cltv_160"/>
    <x v="200"/>
    <n v="1"/>
    <n v="1"/>
    <n v="-36"/>
    <n v="216"/>
  </r>
  <r>
    <x v="58"/>
    <s v="conventional_curtailment_cltv_161"/>
    <x v="201"/>
    <n v="1"/>
    <n v="1"/>
    <n v="-36"/>
    <n v="216"/>
  </r>
  <r>
    <x v="58"/>
    <s v="conventional_curtailment_cltv_162"/>
    <x v="202"/>
    <n v="1"/>
    <n v="1"/>
    <n v="-36"/>
    <n v="216"/>
  </r>
  <r>
    <x v="58"/>
    <s v="conventional_curtailment_cltv_163"/>
    <x v="203"/>
    <n v="1"/>
    <n v="1"/>
    <n v="-36"/>
    <n v="216"/>
  </r>
  <r>
    <x v="58"/>
    <s v="conventional_curtailment_cltv_164"/>
    <x v="204"/>
    <n v="1"/>
    <n v="1"/>
    <n v="-36"/>
    <n v="216"/>
  </r>
  <r>
    <x v="58"/>
    <s v="conventional_curtailment_cltv_165"/>
    <x v="205"/>
    <n v="1"/>
    <n v="1"/>
    <n v="-36"/>
    <n v="216"/>
  </r>
  <r>
    <x v="58"/>
    <s v="conventional_curtailment_cltv_166"/>
    <x v="206"/>
    <n v="1"/>
    <n v="1"/>
    <n v="-36"/>
    <n v="216"/>
  </r>
  <r>
    <x v="58"/>
    <s v="conventional_curtailment_cltv_167"/>
    <x v="207"/>
    <n v="1"/>
    <n v="1"/>
    <n v="-36"/>
    <n v="216"/>
  </r>
  <r>
    <x v="58"/>
    <s v="conventional_curtailment_cltv_168"/>
    <x v="208"/>
    <n v="1"/>
    <n v="1"/>
    <n v="-36"/>
    <n v="216"/>
  </r>
  <r>
    <x v="58"/>
    <s v="conventional_curtailment_cltv_169"/>
    <x v="209"/>
    <n v="1"/>
    <n v="1"/>
    <n v="-36"/>
    <n v="216"/>
  </r>
  <r>
    <x v="58"/>
    <s v="conventional_curtailment_cltv_170"/>
    <x v="210"/>
    <n v="1"/>
    <n v="1"/>
    <n v="-36"/>
    <n v="216"/>
  </r>
  <r>
    <x v="58"/>
    <s v="conventional_curtailment_cltv_171"/>
    <x v="211"/>
    <n v="1"/>
    <n v="1"/>
    <n v="-36"/>
    <n v="216"/>
  </r>
  <r>
    <x v="58"/>
    <s v="conventional_curtailment_cltv_172"/>
    <x v="212"/>
    <n v="1"/>
    <n v="1"/>
    <n v="-36"/>
    <n v="216"/>
  </r>
  <r>
    <x v="58"/>
    <s v="conventional_curtailment_cltv_173"/>
    <x v="213"/>
    <n v="1"/>
    <n v="1"/>
    <n v="-36"/>
    <n v="216"/>
  </r>
  <r>
    <x v="58"/>
    <s v="conventional_curtailment_cltv_174"/>
    <x v="214"/>
    <n v="1"/>
    <n v="1"/>
    <n v="-36"/>
    <n v="216"/>
  </r>
  <r>
    <x v="58"/>
    <s v="conventional_curtailment_cltv_175"/>
    <x v="215"/>
    <n v="1"/>
    <n v="1"/>
    <n v="-36"/>
    <n v="216"/>
  </r>
  <r>
    <x v="58"/>
    <s v="conventional_curtailment_cltv_176"/>
    <x v="216"/>
    <n v="1"/>
    <n v="1"/>
    <n v="-36"/>
    <n v="216"/>
  </r>
  <r>
    <x v="58"/>
    <s v="conventional_curtailment_cltv_177"/>
    <x v="217"/>
    <n v="1"/>
    <n v="1"/>
    <n v="-36"/>
    <n v="216"/>
  </r>
  <r>
    <x v="58"/>
    <s v="conventional_curtailment_cltv_178"/>
    <x v="218"/>
    <n v="1"/>
    <n v="1"/>
    <n v="-36"/>
    <n v="216"/>
  </r>
  <r>
    <x v="58"/>
    <s v="conventional_curtailment_cltv_179"/>
    <x v="219"/>
    <n v="1"/>
    <n v="1"/>
    <n v="-36"/>
    <n v="216"/>
  </r>
  <r>
    <x v="58"/>
    <s v="conventional_curtailment_cltv_180"/>
    <x v="220"/>
    <n v="1"/>
    <n v="1"/>
    <n v="-36"/>
    <n v="216"/>
  </r>
  <r>
    <x v="58"/>
    <s v="conventional_curtailment_cltv_181"/>
    <x v="221"/>
    <n v="1"/>
    <n v="1"/>
    <n v="-36"/>
    <n v="216"/>
  </r>
  <r>
    <x v="58"/>
    <s v="conventional_curtailment_cltv_182"/>
    <x v="222"/>
    <n v="1"/>
    <n v="1"/>
    <n v="-36"/>
    <n v="216"/>
  </r>
  <r>
    <x v="58"/>
    <s v="conventional_curtailment_cltv_183"/>
    <x v="223"/>
    <n v="1"/>
    <n v="1"/>
    <n v="-36"/>
    <n v="216"/>
  </r>
  <r>
    <x v="58"/>
    <s v="conventional_curtailment_cltv_184"/>
    <x v="224"/>
    <n v="1"/>
    <n v="1"/>
    <n v="-36"/>
    <n v="216"/>
  </r>
  <r>
    <x v="58"/>
    <s v="conventional_curtailment_cltv_185"/>
    <x v="225"/>
    <n v="1"/>
    <n v="1"/>
    <n v="-36"/>
    <n v="216"/>
  </r>
  <r>
    <x v="58"/>
    <s v="conventional_curtailment_cltv_186"/>
    <x v="226"/>
    <n v="1"/>
    <n v="1"/>
    <n v="-36"/>
    <n v="216"/>
  </r>
  <r>
    <x v="58"/>
    <s v="conventional_curtailment_cltv_187"/>
    <x v="227"/>
    <n v="1"/>
    <n v="1"/>
    <n v="-36"/>
    <n v="216"/>
  </r>
  <r>
    <x v="58"/>
    <s v="conventional_curtailment_cltv_188"/>
    <x v="228"/>
    <n v="1"/>
    <n v="1"/>
    <n v="-36"/>
    <n v="216"/>
  </r>
  <r>
    <x v="58"/>
    <s v="conventional_curtailment_cltv_189"/>
    <x v="229"/>
    <n v="1"/>
    <n v="1"/>
    <n v="-36"/>
    <n v="216"/>
  </r>
  <r>
    <x v="58"/>
    <s v="conventional_curtailment_cltv_190"/>
    <x v="230"/>
    <n v="1"/>
    <n v="1"/>
    <n v="-36"/>
    <n v="216"/>
  </r>
  <r>
    <x v="58"/>
    <s v="conventional_curtailment_cltv_191"/>
    <x v="231"/>
    <n v="1"/>
    <n v="1"/>
    <n v="-36"/>
    <n v="216"/>
  </r>
  <r>
    <x v="58"/>
    <s v="conventional_curtailment_cltv_192"/>
    <x v="232"/>
    <n v="1"/>
    <n v="1"/>
    <n v="-36"/>
    <n v="216"/>
  </r>
  <r>
    <x v="58"/>
    <s v="conventional_curtailment_cltv_193"/>
    <x v="233"/>
    <n v="1"/>
    <n v="1"/>
    <n v="-36"/>
    <n v="216"/>
  </r>
  <r>
    <x v="58"/>
    <s v="conventional_curtailment_cltv_194"/>
    <x v="234"/>
    <n v="1"/>
    <n v="1"/>
    <n v="-36"/>
    <n v="216"/>
  </r>
  <r>
    <x v="58"/>
    <s v="conventional_curtailment_cltv_195"/>
    <x v="235"/>
    <n v="1"/>
    <n v="1"/>
    <n v="-36"/>
    <n v="216"/>
  </r>
  <r>
    <x v="58"/>
    <s v="conventional_curtailment_cltv_196"/>
    <x v="236"/>
    <n v="1"/>
    <n v="1"/>
    <n v="-36"/>
    <n v="216"/>
  </r>
  <r>
    <x v="58"/>
    <s v="conventional_curtailment_cltv_197"/>
    <x v="237"/>
    <n v="1"/>
    <n v="1"/>
    <n v="-36"/>
    <n v="216"/>
  </r>
  <r>
    <x v="58"/>
    <s v="conventional_curtailment_cltv_198"/>
    <x v="238"/>
    <n v="1"/>
    <n v="1"/>
    <n v="-36"/>
    <n v="216"/>
  </r>
  <r>
    <x v="58"/>
    <s v="conventional_curtailment_cltv_199"/>
    <x v="239"/>
    <n v="1"/>
    <n v="1"/>
    <n v="-36"/>
    <n v="216"/>
  </r>
  <r>
    <x v="58"/>
    <s v="conventional_curtailment_cltv_200"/>
    <x v="240"/>
    <n v="1"/>
    <n v="1"/>
    <n v="-36"/>
    <n v="216"/>
  </r>
  <r>
    <x v="58"/>
    <s v="conventional_curtailment_cltv_201"/>
    <x v="241"/>
    <n v="1"/>
    <n v="1"/>
    <n v="-36"/>
    <n v="216"/>
  </r>
  <r>
    <x v="58"/>
    <s v="conventional_curtailment_cltv_202"/>
    <x v="242"/>
    <n v="1"/>
    <n v="1"/>
    <n v="-36"/>
    <n v="216"/>
  </r>
  <r>
    <x v="58"/>
    <s v="conventional_curtailment_cltv_203"/>
    <x v="243"/>
    <n v="1"/>
    <n v="1"/>
    <n v="-36"/>
    <n v="216"/>
  </r>
  <r>
    <x v="58"/>
    <s v="conventional_curtailment_cltv_204"/>
    <x v="244"/>
    <n v="1"/>
    <n v="1"/>
    <n v="-36"/>
    <n v="216"/>
  </r>
  <r>
    <x v="58"/>
    <s v="conventional_curtailment_cltv_205"/>
    <x v="245"/>
    <n v="1"/>
    <n v="1"/>
    <n v="-36"/>
    <n v="216"/>
  </r>
  <r>
    <x v="58"/>
    <s v="conventional_curtailment_cltv_206"/>
    <x v="246"/>
    <n v="1"/>
    <n v="1"/>
    <n v="-36"/>
    <n v="216"/>
  </r>
  <r>
    <x v="58"/>
    <s v="conventional_curtailment_cltv_207"/>
    <x v="247"/>
    <n v="1"/>
    <n v="1"/>
    <n v="-36"/>
    <n v="216"/>
  </r>
  <r>
    <x v="58"/>
    <s v="conventional_curtailment_cltv_208"/>
    <x v="248"/>
    <n v="1"/>
    <n v="1"/>
    <n v="-36"/>
    <n v="216"/>
  </r>
  <r>
    <x v="58"/>
    <s v="conventional_curtailment_cltv_209"/>
    <x v="249"/>
    <n v="1"/>
    <n v="1"/>
    <n v="-36"/>
    <n v="216"/>
  </r>
  <r>
    <x v="58"/>
    <s v="conventional_curtailment_cltv_210"/>
    <x v="250"/>
    <n v="1"/>
    <n v="1"/>
    <n v="-36"/>
    <n v="216"/>
  </r>
  <r>
    <x v="58"/>
    <s v="conventional_curtailment_cltv_211"/>
    <x v="251"/>
    <n v="1"/>
    <n v="1"/>
    <n v="-36"/>
    <n v="216"/>
  </r>
  <r>
    <x v="58"/>
    <s v="conventional_curtailment_cltv_212"/>
    <x v="252"/>
    <n v="1"/>
    <n v="1"/>
    <n v="-36"/>
    <n v="216"/>
  </r>
  <r>
    <x v="58"/>
    <s v="conventional_curtailment_cltv_213"/>
    <x v="253"/>
    <n v="1"/>
    <n v="1"/>
    <n v="-36"/>
    <n v="216"/>
  </r>
  <r>
    <x v="58"/>
    <s v="conventional_curtailment_cltv_214"/>
    <x v="254"/>
    <n v="1"/>
    <n v="1"/>
    <n v="-36"/>
    <n v="216"/>
  </r>
  <r>
    <x v="58"/>
    <s v="conventional_curtailment_cltv_215"/>
    <x v="255"/>
    <n v="1"/>
    <n v="1"/>
    <n v="-36"/>
    <n v="216"/>
  </r>
  <r>
    <x v="58"/>
    <s v="conventional_curtailment_cltv_216"/>
    <x v="256"/>
    <n v="1"/>
    <n v="1"/>
    <n v="-36"/>
    <n v="216"/>
  </r>
  <r>
    <x v="59"/>
    <s v="conventional_curtailment_fico_560"/>
    <x v="600"/>
    <n v="1"/>
    <n v="1"/>
    <n v="560"/>
    <n v="840"/>
  </r>
  <r>
    <x v="59"/>
    <s v="conventional_curtailment_fico_561"/>
    <x v="601"/>
    <n v="1"/>
    <n v="1"/>
    <n v="560"/>
    <n v="840"/>
  </r>
  <r>
    <x v="59"/>
    <s v="conventional_curtailment_fico_562"/>
    <x v="602"/>
    <n v="1"/>
    <n v="1"/>
    <n v="560"/>
    <n v="840"/>
  </r>
  <r>
    <x v="59"/>
    <s v="conventional_curtailment_fico_563"/>
    <x v="603"/>
    <n v="1"/>
    <n v="1"/>
    <n v="560"/>
    <n v="840"/>
  </r>
  <r>
    <x v="59"/>
    <s v="conventional_curtailment_fico_564"/>
    <x v="604"/>
    <n v="1"/>
    <n v="1"/>
    <n v="560"/>
    <n v="840"/>
  </r>
  <r>
    <x v="59"/>
    <s v="conventional_curtailment_fico_565"/>
    <x v="605"/>
    <n v="1"/>
    <n v="1"/>
    <n v="560"/>
    <n v="840"/>
  </r>
  <r>
    <x v="59"/>
    <s v="conventional_curtailment_fico_566"/>
    <x v="606"/>
    <n v="1"/>
    <n v="1"/>
    <n v="560"/>
    <n v="840"/>
  </r>
  <r>
    <x v="59"/>
    <s v="conventional_curtailment_fico_567"/>
    <x v="607"/>
    <n v="1"/>
    <n v="1"/>
    <n v="560"/>
    <n v="840"/>
  </r>
  <r>
    <x v="59"/>
    <s v="conventional_curtailment_fico_568"/>
    <x v="608"/>
    <n v="1"/>
    <n v="1"/>
    <n v="560"/>
    <n v="840"/>
  </r>
  <r>
    <x v="59"/>
    <s v="conventional_curtailment_fico_569"/>
    <x v="609"/>
    <n v="1"/>
    <n v="1"/>
    <n v="560"/>
    <n v="840"/>
  </r>
  <r>
    <x v="59"/>
    <s v="conventional_curtailment_fico_570"/>
    <x v="610"/>
    <n v="1"/>
    <n v="1"/>
    <n v="560"/>
    <n v="840"/>
  </r>
  <r>
    <x v="59"/>
    <s v="conventional_curtailment_fico_571"/>
    <x v="611"/>
    <n v="1"/>
    <n v="1"/>
    <n v="560"/>
    <n v="840"/>
  </r>
  <r>
    <x v="59"/>
    <s v="conventional_curtailment_fico_572"/>
    <x v="612"/>
    <n v="1"/>
    <n v="1"/>
    <n v="560"/>
    <n v="840"/>
  </r>
  <r>
    <x v="59"/>
    <s v="conventional_curtailment_fico_573"/>
    <x v="613"/>
    <n v="1"/>
    <n v="1"/>
    <n v="560"/>
    <n v="840"/>
  </r>
  <r>
    <x v="59"/>
    <s v="conventional_curtailment_fico_574"/>
    <x v="614"/>
    <n v="1"/>
    <n v="1"/>
    <n v="560"/>
    <n v="840"/>
  </r>
  <r>
    <x v="59"/>
    <s v="conventional_curtailment_fico_575"/>
    <x v="615"/>
    <n v="1"/>
    <n v="1"/>
    <n v="560"/>
    <n v="840"/>
  </r>
  <r>
    <x v="59"/>
    <s v="conventional_curtailment_fico_576"/>
    <x v="616"/>
    <n v="1"/>
    <n v="1"/>
    <n v="560"/>
    <n v="840"/>
  </r>
  <r>
    <x v="59"/>
    <s v="conventional_curtailment_fico_577"/>
    <x v="617"/>
    <n v="1"/>
    <n v="1"/>
    <n v="560"/>
    <n v="840"/>
  </r>
  <r>
    <x v="59"/>
    <s v="conventional_curtailment_fico_578"/>
    <x v="618"/>
    <n v="1"/>
    <n v="1"/>
    <n v="560"/>
    <n v="840"/>
  </r>
  <r>
    <x v="59"/>
    <s v="conventional_curtailment_fico_579"/>
    <x v="619"/>
    <n v="1"/>
    <n v="1"/>
    <n v="560"/>
    <n v="840"/>
  </r>
  <r>
    <x v="59"/>
    <s v="conventional_curtailment_fico_580"/>
    <x v="620"/>
    <n v="1"/>
    <n v="1"/>
    <n v="560"/>
    <n v="840"/>
  </r>
  <r>
    <x v="59"/>
    <s v="conventional_curtailment_fico_581"/>
    <x v="621"/>
    <n v="1"/>
    <n v="1"/>
    <n v="560"/>
    <n v="840"/>
  </r>
  <r>
    <x v="59"/>
    <s v="conventional_curtailment_fico_582"/>
    <x v="622"/>
    <n v="1"/>
    <n v="1"/>
    <n v="560"/>
    <n v="840"/>
  </r>
  <r>
    <x v="59"/>
    <s v="conventional_curtailment_fico_583"/>
    <x v="623"/>
    <n v="1"/>
    <n v="1"/>
    <n v="560"/>
    <n v="840"/>
  </r>
  <r>
    <x v="59"/>
    <s v="conventional_curtailment_fico_584"/>
    <x v="624"/>
    <n v="1"/>
    <n v="1"/>
    <n v="560"/>
    <n v="840"/>
  </r>
  <r>
    <x v="59"/>
    <s v="conventional_curtailment_fico_585"/>
    <x v="625"/>
    <n v="1"/>
    <n v="1"/>
    <n v="560"/>
    <n v="840"/>
  </r>
  <r>
    <x v="59"/>
    <s v="conventional_curtailment_fico_586"/>
    <x v="626"/>
    <n v="1"/>
    <n v="1"/>
    <n v="560"/>
    <n v="840"/>
  </r>
  <r>
    <x v="59"/>
    <s v="conventional_curtailment_fico_587"/>
    <x v="627"/>
    <n v="1"/>
    <n v="1"/>
    <n v="560"/>
    <n v="840"/>
  </r>
  <r>
    <x v="59"/>
    <s v="conventional_curtailment_fico_588"/>
    <x v="628"/>
    <n v="1"/>
    <n v="1"/>
    <n v="560"/>
    <n v="840"/>
  </r>
  <r>
    <x v="59"/>
    <s v="conventional_curtailment_fico_589"/>
    <x v="629"/>
    <n v="1"/>
    <n v="1"/>
    <n v="560"/>
    <n v="840"/>
  </r>
  <r>
    <x v="59"/>
    <s v="conventional_curtailment_fico_590"/>
    <x v="630"/>
    <n v="1"/>
    <n v="1"/>
    <n v="560"/>
    <n v="840"/>
  </r>
  <r>
    <x v="59"/>
    <s v="conventional_curtailment_fico_591"/>
    <x v="631"/>
    <n v="1"/>
    <n v="1"/>
    <n v="560"/>
    <n v="840"/>
  </r>
  <r>
    <x v="59"/>
    <s v="conventional_curtailment_fico_592"/>
    <x v="632"/>
    <n v="1"/>
    <n v="1"/>
    <n v="560"/>
    <n v="840"/>
  </r>
  <r>
    <x v="59"/>
    <s v="conventional_curtailment_fico_593"/>
    <x v="633"/>
    <n v="1"/>
    <n v="1"/>
    <n v="560"/>
    <n v="840"/>
  </r>
  <r>
    <x v="59"/>
    <s v="conventional_curtailment_fico_594"/>
    <x v="634"/>
    <n v="1"/>
    <n v="1"/>
    <n v="560"/>
    <n v="840"/>
  </r>
  <r>
    <x v="59"/>
    <s v="conventional_curtailment_fico_595"/>
    <x v="635"/>
    <n v="1"/>
    <n v="1"/>
    <n v="560"/>
    <n v="840"/>
  </r>
  <r>
    <x v="59"/>
    <s v="conventional_curtailment_fico_596"/>
    <x v="636"/>
    <n v="1"/>
    <n v="1"/>
    <n v="560"/>
    <n v="840"/>
  </r>
  <r>
    <x v="59"/>
    <s v="conventional_curtailment_fico_597"/>
    <x v="637"/>
    <n v="1"/>
    <n v="1"/>
    <n v="560"/>
    <n v="840"/>
  </r>
  <r>
    <x v="59"/>
    <s v="conventional_curtailment_fico_598"/>
    <x v="638"/>
    <n v="1"/>
    <n v="1"/>
    <n v="560"/>
    <n v="840"/>
  </r>
  <r>
    <x v="59"/>
    <s v="conventional_curtailment_fico_599"/>
    <x v="639"/>
    <n v="1"/>
    <n v="1"/>
    <n v="560"/>
    <n v="840"/>
  </r>
  <r>
    <x v="59"/>
    <s v="conventional_curtailment_fico_600"/>
    <x v="640"/>
    <n v="1"/>
    <n v="1"/>
    <n v="560"/>
    <n v="840"/>
  </r>
  <r>
    <x v="59"/>
    <s v="conventional_curtailment_fico_601"/>
    <x v="641"/>
    <n v="1"/>
    <n v="1"/>
    <n v="560"/>
    <n v="840"/>
  </r>
  <r>
    <x v="59"/>
    <s v="conventional_curtailment_fico_602"/>
    <x v="642"/>
    <n v="1"/>
    <n v="1"/>
    <n v="560"/>
    <n v="840"/>
  </r>
  <r>
    <x v="59"/>
    <s v="conventional_curtailment_fico_603"/>
    <x v="643"/>
    <n v="1"/>
    <n v="1"/>
    <n v="560"/>
    <n v="840"/>
  </r>
  <r>
    <x v="59"/>
    <s v="conventional_curtailment_fico_604"/>
    <x v="644"/>
    <n v="1"/>
    <n v="1"/>
    <n v="560"/>
    <n v="840"/>
  </r>
  <r>
    <x v="59"/>
    <s v="conventional_curtailment_fico_605"/>
    <x v="645"/>
    <n v="1"/>
    <n v="1"/>
    <n v="560"/>
    <n v="840"/>
  </r>
  <r>
    <x v="59"/>
    <s v="conventional_curtailment_fico_606"/>
    <x v="646"/>
    <n v="1"/>
    <n v="1"/>
    <n v="560"/>
    <n v="840"/>
  </r>
  <r>
    <x v="59"/>
    <s v="conventional_curtailment_fico_607"/>
    <x v="647"/>
    <n v="1"/>
    <n v="1"/>
    <n v="560"/>
    <n v="840"/>
  </r>
  <r>
    <x v="59"/>
    <s v="conventional_curtailment_fico_608"/>
    <x v="648"/>
    <n v="1"/>
    <n v="1"/>
    <n v="560"/>
    <n v="840"/>
  </r>
  <r>
    <x v="59"/>
    <s v="conventional_curtailment_fico_609"/>
    <x v="649"/>
    <n v="1"/>
    <n v="1"/>
    <n v="560"/>
    <n v="840"/>
  </r>
  <r>
    <x v="59"/>
    <s v="conventional_curtailment_fico_610"/>
    <x v="650"/>
    <n v="1"/>
    <n v="1"/>
    <n v="560"/>
    <n v="840"/>
  </r>
  <r>
    <x v="59"/>
    <s v="conventional_curtailment_fico_611"/>
    <x v="651"/>
    <n v="1"/>
    <n v="1"/>
    <n v="560"/>
    <n v="840"/>
  </r>
  <r>
    <x v="59"/>
    <s v="conventional_curtailment_fico_612"/>
    <x v="652"/>
    <n v="1"/>
    <n v="1"/>
    <n v="560"/>
    <n v="840"/>
  </r>
  <r>
    <x v="59"/>
    <s v="conventional_curtailment_fico_613"/>
    <x v="653"/>
    <n v="1"/>
    <n v="1"/>
    <n v="560"/>
    <n v="840"/>
  </r>
  <r>
    <x v="59"/>
    <s v="conventional_curtailment_fico_614"/>
    <x v="654"/>
    <n v="1"/>
    <n v="1"/>
    <n v="560"/>
    <n v="840"/>
  </r>
  <r>
    <x v="59"/>
    <s v="conventional_curtailment_fico_615"/>
    <x v="655"/>
    <n v="1"/>
    <n v="1"/>
    <n v="560"/>
    <n v="840"/>
  </r>
  <r>
    <x v="59"/>
    <s v="conventional_curtailment_fico_616"/>
    <x v="656"/>
    <n v="1"/>
    <n v="1"/>
    <n v="560"/>
    <n v="840"/>
  </r>
  <r>
    <x v="59"/>
    <s v="conventional_curtailment_fico_617"/>
    <x v="657"/>
    <n v="1"/>
    <n v="1"/>
    <n v="560"/>
    <n v="840"/>
  </r>
  <r>
    <x v="59"/>
    <s v="conventional_curtailment_fico_618"/>
    <x v="658"/>
    <n v="1"/>
    <n v="1"/>
    <n v="560"/>
    <n v="840"/>
  </r>
  <r>
    <x v="59"/>
    <s v="conventional_curtailment_fico_619"/>
    <x v="659"/>
    <n v="1"/>
    <n v="1"/>
    <n v="560"/>
    <n v="840"/>
  </r>
  <r>
    <x v="59"/>
    <s v="conventional_curtailment_fico_620"/>
    <x v="660"/>
    <n v="1"/>
    <n v="1"/>
    <n v="560"/>
    <n v="840"/>
  </r>
  <r>
    <x v="59"/>
    <s v="conventional_curtailment_fico_621"/>
    <x v="661"/>
    <n v="1"/>
    <n v="1"/>
    <n v="560"/>
    <n v="840"/>
  </r>
  <r>
    <x v="59"/>
    <s v="conventional_curtailment_fico_622"/>
    <x v="662"/>
    <n v="1"/>
    <n v="1"/>
    <n v="560"/>
    <n v="840"/>
  </r>
  <r>
    <x v="59"/>
    <s v="conventional_curtailment_fico_623"/>
    <x v="663"/>
    <n v="1"/>
    <n v="1"/>
    <n v="560"/>
    <n v="840"/>
  </r>
  <r>
    <x v="59"/>
    <s v="conventional_curtailment_fico_624"/>
    <x v="664"/>
    <n v="1"/>
    <n v="1"/>
    <n v="560"/>
    <n v="840"/>
  </r>
  <r>
    <x v="59"/>
    <s v="conventional_curtailment_fico_625"/>
    <x v="665"/>
    <n v="1"/>
    <n v="1"/>
    <n v="560"/>
    <n v="840"/>
  </r>
  <r>
    <x v="59"/>
    <s v="conventional_curtailment_fico_626"/>
    <x v="666"/>
    <n v="1"/>
    <n v="1"/>
    <n v="560"/>
    <n v="840"/>
  </r>
  <r>
    <x v="59"/>
    <s v="conventional_curtailment_fico_627"/>
    <x v="667"/>
    <n v="1"/>
    <n v="1"/>
    <n v="560"/>
    <n v="840"/>
  </r>
  <r>
    <x v="59"/>
    <s v="conventional_curtailment_fico_628"/>
    <x v="668"/>
    <n v="1"/>
    <n v="1"/>
    <n v="560"/>
    <n v="840"/>
  </r>
  <r>
    <x v="59"/>
    <s v="conventional_curtailment_fico_629"/>
    <x v="669"/>
    <n v="1"/>
    <n v="1"/>
    <n v="560"/>
    <n v="840"/>
  </r>
  <r>
    <x v="59"/>
    <s v="conventional_curtailment_fico_630"/>
    <x v="670"/>
    <n v="1"/>
    <n v="1"/>
    <n v="560"/>
    <n v="840"/>
  </r>
  <r>
    <x v="59"/>
    <s v="conventional_curtailment_fico_631"/>
    <x v="671"/>
    <n v="1"/>
    <n v="1"/>
    <n v="560"/>
    <n v="840"/>
  </r>
  <r>
    <x v="59"/>
    <s v="conventional_curtailment_fico_632"/>
    <x v="672"/>
    <n v="1"/>
    <n v="1"/>
    <n v="560"/>
    <n v="840"/>
  </r>
  <r>
    <x v="59"/>
    <s v="conventional_curtailment_fico_633"/>
    <x v="673"/>
    <n v="1"/>
    <n v="1"/>
    <n v="560"/>
    <n v="840"/>
  </r>
  <r>
    <x v="59"/>
    <s v="conventional_curtailment_fico_634"/>
    <x v="674"/>
    <n v="1"/>
    <n v="1"/>
    <n v="560"/>
    <n v="840"/>
  </r>
  <r>
    <x v="59"/>
    <s v="conventional_curtailment_fico_635"/>
    <x v="675"/>
    <n v="1"/>
    <n v="1"/>
    <n v="560"/>
    <n v="840"/>
  </r>
  <r>
    <x v="59"/>
    <s v="conventional_curtailment_fico_636"/>
    <x v="676"/>
    <n v="1"/>
    <n v="1"/>
    <n v="560"/>
    <n v="840"/>
  </r>
  <r>
    <x v="59"/>
    <s v="conventional_curtailment_fico_637"/>
    <x v="677"/>
    <n v="1"/>
    <n v="1"/>
    <n v="560"/>
    <n v="840"/>
  </r>
  <r>
    <x v="59"/>
    <s v="conventional_curtailment_fico_638"/>
    <x v="678"/>
    <n v="1"/>
    <n v="1"/>
    <n v="560"/>
    <n v="840"/>
  </r>
  <r>
    <x v="59"/>
    <s v="conventional_curtailment_fico_639"/>
    <x v="679"/>
    <n v="1"/>
    <n v="1"/>
    <n v="560"/>
    <n v="840"/>
  </r>
  <r>
    <x v="59"/>
    <s v="conventional_curtailment_fico_640"/>
    <x v="680"/>
    <n v="1"/>
    <n v="1"/>
    <n v="560"/>
    <n v="840"/>
  </r>
  <r>
    <x v="59"/>
    <s v="conventional_curtailment_fico_641"/>
    <x v="681"/>
    <n v="1"/>
    <n v="1"/>
    <n v="560"/>
    <n v="840"/>
  </r>
  <r>
    <x v="59"/>
    <s v="conventional_curtailment_fico_642"/>
    <x v="682"/>
    <n v="1"/>
    <n v="1"/>
    <n v="560"/>
    <n v="840"/>
  </r>
  <r>
    <x v="59"/>
    <s v="conventional_curtailment_fico_643"/>
    <x v="683"/>
    <n v="1"/>
    <n v="1"/>
    <n v="560"/>
    <n v="840"/>
  </r>
  <r>
    <x v="59"/>
    <s v="conventional_curtailment_fico_644"/>
    <x v="684"/>
    <n v="1"/>
    <n v="1"/>
    <n v="560"/>
    <n v="840"/>
  </r>
  <r>
    <x v="59"/>
    <s v="conventional_curtailment_fico_645"/>
    <x v="685"/>
    <n v="1"/>
    <n v="1"/>
    <n v="560"/>
    <n v="840"/>
  </r>
  <r>
    <x v="59"/>
    <s v="conventional_curtailment_fico_646"/>
    <x v="686"/>
    <n v="1"/>
    <n v="1"/>
    <n v="560"/>
    <n v="840"/>
  </r>
  <r>
    <x v="59"/>
    <s v="conventional_curtailment_fico_647"/>
    <x v="687"/>
    <n v="1"/>
    <n v="1"/>
    <n v="560"/>
    <n v="840"/>
  </r>
  <r>
    <x v="59"/>
    <s v="conventional_curtailment_fico_648"/>
    <x v="688"/>
    <n v="1"/>
    <n v="1"/>
    <n v="560"/>
    <n v="840"/>
  </r>
  <r>
    <x v="59"/>
    <s v="conventional_curtailment_fico_649"/>
    <x v="689"/>
    <n v="1"/>
    <n v="1"/>
    <n v="560"/>
    <n v="840"/>
  </r>
  <r>
    <x v="59"/>
    <s v="conventional_curtailment_fico_650"/>
    <x v="690"/>
    <n v="1"/>
    <n v="1"/>
    <n v="560"/>
    <n v="840"/>
  </r>
  <r>
    <x v="59"/>
    <s v="conventional_curtailment_fico_651"/>
    <x v="691"/>
    <n v="1"/>
    <n v="1"/>
    <n v="560"/>
    <n v="840"/>
  </r>
  <r>
    <x v="59"/>
    <s v="conventional_curtailment_fico_652"/>
    <x v="692"/>
    <n v="1"/>
    <n v="1"/>
    <n v="560"/>
    <n v="840"/>
  </r>
  <r>
    <x v="59"/>
    <s v="conventional_curtailment_fico_653"/>
    <x v="693"/>
    <n v="1"/>
    <n v="1"/>
    <n v="560"/>
    <n v="840"/>
  </r>
  <r>
    <x v="59"/>
    <s v="conventional_curtailment_fico_654"/>
    <x v="694"/>
    <n v="1"/>
    <n v="1"/>
    <n v="560"/>
    <n v="840"/>
  </r>
  <r>
    <x v="59"/>
    <s v="conventional_curtailment_fico_655"/>
    <x v="695"/>
    <n v="1"/>
    <n v="1"/>
    <n v="560"/>
    <n v="840"/>
  </r>
  <r>
    <x v="59"/>
    <s v="conventional_curtailment_fico_656"/>
    <x v="696"/>
    <n v="1"/>
    <n v="1"/>
    <n v="560"/>
    <n v="840"/>
  </r>
  <r>
    <x v="59"/>
    <s v="conventional_curtailment_fico_657"/>
    <x v="697"/>
    <n v="1"/>
    <n v="1"/>
    <n v="560"/>
    <n v="840"/>
  </r>
  <r>
    <x v="59"/>
    <s v="conventional_curtailment_fico_658"/>
    <x v="698"/>
    <n v="1"/>
    <n v="1"/>
    <n v="560"/>
    <n v="840"/>
  </r>
  <r>
    <x v="59"/>
    <s v="conventional_curtailment_fico_659"/>
    <x v="699"/>
    <n v="1"/>
    <n v="1"/>
    <n v="560"/>
    <n v="840"/>
  </r>
  <r>
    <x v="59"/>
    <s v="conventional_curtailment_fico_660"/>
    <x v="700"/>
    <n v="1"/>
    <n v="1"/>
    <n v="560"/>
    <n v="840"/>
  </r>
  <r>
    <x v="59"/>
    <s v="conventional_curtailment_fico_661"/>
    <x v="701"/>
    <n v="1"/>
    <n v="1"/>
    <n v="560"/>
    <n v="840"/>
  </r>
  <r>
    <x v="59"/>
    <s v="conventional_curtailment_fico_662"/>
    <x v="702"/>
    <n v="1"/>
    <n v="1"/>
    <n v="560"/>
    <n v="840"/>
  </r>
  <r>
    <x v="59"/>
    <s v="conventional_curtailment_fico_663"/>
    <x v="703"/>
    <n v="1"/>
    <n v="1"/>
    <n v="560"/>
    <n v="840"/>
  </r>
  <r>
    <x v="59"/>
    <s v="conventional_curtailment_fico_664"/>
    <x v="704"/>
    <n v="1"/>
    <n v="1"/>
    <n v="560"/>
    <n v="840"/>
  </r>
  <r>
    <x v="59"/>
    <s v="conventional_curtailment_fico_665"/>
    <x v="705"/>
    <n v="1"/>
    <n v="1"/>
    <n v="560"/>
    <n v="840"/>
  </r>
  <r>
    <x v="59"/>
    <s v="conventional_curtailment_fico_666"/>
    <x v="706"/>
    <n v="1"/>
    <n v="1"/>
    <n v="560"/>
    <n v="840"/>
  </r>
  <r>
    <x v="59"/>
    <s v="conventional_curtailment_fico_667"/>
    <x v="707"/>
    <n v="1"/>
    <n v="1"/>
    <n v="560"/>
    <n v="840"/>
  </r>
  <r>
    <x v="59"/>
    <s v="conventional_curtailment_fico_668"/>
    <x v="708"/>
    <n v="1"/>
    <n v="1"/>
    <n v="560"/>
    <n v="840"/>
  </r>
  <r>
    <x v="59"/>
    <s v="conventional_curtailment_fico_669"/>
    <x v="709"/>
    <n v="1"/>
    <n v="1"/>
    <n v="560"/>
    <n v="840"/>
  </r>
  <r>
    <x v="59"/>
    <s v="conventional_curtailment_fico_670"/>
    <x v="710"/>
    <n v="1"/>
    <n v="1"/>
    <n v="560"/>
    <n v="840"/>
  </r>
  <r>
    <x v="59"/>
    <s v="conventional_curtailment_fico_671"/>
    <x v="711"/>
    <n v="1"/>
    <n v="1"/>
    <n v="560"/>
    <n v="840"/>
  </r>
  <r>
    <x v="59"/>
    <s v="conventional_curtailment_fico_672"/>
    <x v="712"/>
    <n v="1"/>
    <n v="1"/>
    <n v="560"/>
    <n v="840"/>
  </r>
  <r>
    <x v="59"/>
    <s v="conventional_curtailment_fico_673"/>
    <x v="713"/>
    <n v="1"/>
    <n v="1"/>
    <n v="560"/>
    <n v="840"/>
  </r>
  <r>
    <x v="59"/>
    <s v="conventional_curtailment_fico_674"/>
    <x v="714"/>
    <n v="1"/>
    <n v="1"/>
    <n v="560"/>
    <n v="840"/>
  </r>
  <r>
    <x v="59"/>
    <s v="conventional_curtailment_fico_675"/>
    <x v="715"/>
    <n v="1"/>
    <n v="1"/>
    <n v="560"/>
    <n v="840"/>
  </r>
  <r>
    <x v="59"/>
    <s v="conventional_curtailment_fico_676"/>
    <x v="716"/>
    <n v="1"/>
    <n v="1"/>
    <n v="560"/>
    <n v="840"/>
  </r>
  <r>
    <x v="59"/>
    <s v="conventional_curtailment_fico_677"/>
    <x v="717"/>
    <n v="1"/>
    <n v="1"/>
    <n v="560"/>
    <n v="840"/>
  </r>
  <r>
    <x v="59"/>
    <s v="conventional_curtailment_fico_678"/>
    <x v="718"/>
    <n v="1"/>
    <n v="1"/>
    <n v="560"/>
    <n v="840"/>
  </r>
  <r>
    <x v="59"/>
    <s v="conventional_curtailment_fico_679"/>
    <x v="719"/>
    <n v="1"/>
    <n v="1"/>
    <n v="560"/>
    <n v="840"/>
  </r>
  <r>
    <x v="59"/>
    <s v="conventional_curtailment_fico_680"/>
    <x v="720"/>
    <n v="1"/>
    <n v="1"/>
    <n v="560"/>
    <n v="840"/>
  </r>
  <r>
    <x v="59"/>
    <s v="conventional_curtailment_fico_681"/>
    <x v="721"/>
    <n v="1"/>
    <n v="1"/>
    <n v="560"/>
    <n v="840"/>
  </r>
  <r>
    <x v="59"/>
    <s v="conventional_curtailment_fico_682"/>
    <x v="722"/>
    <n v="1"/>
    <n v="1"/>
    <n v="560"/>
    <n v="840"/>
  </r>
  <r>
    <x v="59"/>
    <s v="conventional_curtailment_fico_683"/>
    <x v="723"/>
    <n v="1"/>
    <n v="1"/>
    <n v="560"/>
    <n v="840"/>
  </r>
  <r>
    <x v="59"/>
    <s v="conventional_curtailment_fico_684"/>
    <x v="724"/>
    <n v="1"/>
    <n v="1"/>
    <n v="560"/>
    <n v="840"/>
  </r>
  <r>
    <x v="59"/>
    <s v="conventional_curtailment_fico_685"/>
    <x v="725"/>
    <n v="1"/>
    <n v="1"/>
    <n v="560"/>
    <n v="840"/>
  </r>
  <r>
    <x v="59"/>
    <s v="conventional_curtailment_fico_686"/>
    <x v="726"/>
    <n v="1"/>
    <n v="1"/>
    <n v="560"/>
    <n v="840"/>
  </r>
  <r>
    <x v="59"/>
    <s v="conventional_curtailment_fico_687"/>
    <x v="727"/>
    <n v="1"/>
    <n v="1"/>
    <n v="560"/>
    <n v="840"/>
  </r>
  <r>
    <x v="59"/>
    <s v="conventional_curtailment_fico_688"/>
    <x v="728"/>
    <n v="1"/>
    <n v="1"/>
    <n v="560"/>
    <n v="840"/>
  </r>
  <r>
    <x v="59"/>
    <s v="conventional_curtailment_fico_689"/>
    <x v="729"/>
    <n v="1"/>
    <n v="1"/>
    <n v="560"/>
    <n v="840"/>
  </r>
  <r>
    <x v="59"/>
    <s v="conventional_curtailment_fico_690"/>
    <x v="730"/>
    <n v="1"/>
    <n v="1"/>
    <n v="560"/>
    <n v="840"/>
  </r>
  <r>
    <x v="59"/>
    <s v="conventional_curtailment_fico_691"/>
    <x v="731"/>
    <n v="1"/>
    <n v="1"/>
    <n v="560"/>
    <n v="840"/>
  </r>
  <r>
    <x v="59"/>
    <s v="conventional_curtailment_fico_692"/>
    <x v="732"/>
    <n v="1"/>
    <n v="1"/>
    <n v="560"/>
    <n v="840"/>
  </r>
  <r>
    <x v="59"/>
    <s v="conventional_curtailment_fico_693"/>
    <x v="733"/>
    <n v="1"/>
    <n v="1"/>
    <n v="560"/>
    <n v="840"/>
  </r>
  <r>
    <x v="59"/>
    <s v="conventional_curtailment_fico_694"/>
    <x v="734"/>
    <n v="1"/>
    <n v="1"/>
    <n v="560"/>
    <n v="840"/>
  </r>
  <r>
    <x v="59"/>
    <s v="conventional_curtailment_fico_695"/>
    <x v="735"/>
    <n v="1"/>
    <n v="1"/>
    <n v="560"/>
    <n v="840"/>
  </r>
  <r>
    <x v="59"/>
    <s v="conventional_curtailment_fico_696"/>
    <x v="736"/>
    <n v="1"/>
    <n v="1"/>
    <n v="560"/>
    <n v="840"/>
  </r>
  <r>
    <x v="59"/>
    <s v="conventional_curtailment_fico_697"/>
    <x v="737"/>
    <n v="1"/>
    <n v="1"/>
    <n v="560"/>
    <n v="840"/>
  </r>
  <r>
    <x v="59"/>
    <s v="conventional_curtailment_fico_698"/>
    <x v="738"/>
    <n v="1"/>
    <n v="1"/>
    <n v="560"/>
    <n v="840"/>
  </r>
  <r>
    <x v="59"/>
    <s v="conventional_curtailment_fico_699"/>
    <x v="739"/>
    <n v="1"/>
    <n v="1"/>
    <n v="560"/>
    <n v="840"/>
  </r>
  <r>
    <x v="59"/>
    <s v="conventional_curtailment_fico_700"/>
    <x v="740"/>
    <n v="1"/>
    <n v="1"/>
    <n v="560"/>
    <n v="840"/>
  </r>
  <r>
    <x v="59"/>
    <s v="conventional_curtailment_fico_701"/>
    <x v="741"/>
    <n v="1"/>
    <n v="1"/>
    <n v="560"/>
    <n v="840"/>
  </r>
  <r>
    <x v="59"/>
    <s v="conventional_curtailment_fico_702"/>
    <x v="742"/>
    <n v="1"/>
    <n v="1"/>
    <n v="560"/>
    <n v="840"/>
  </r>
  <r>
    <x v="59"/>
    <s v="conventional_curtailment_fico_703"/>
    <x v="743"/>
    <n v="1"/>
    <n v="1"/>
    <n v="560"/>
    <n v="840"/>
  </r>
  <r>
    <x v="59"/>
    <s v="conventional_curtailment_fico_704"/>
    <x v="744"/>
    <n v="1"/>
    <n v="1"/>
    <n v="560"/>
    <n v="840"/>
  </r>
  <r>
    <x v="59"/>
    <s v="conventional_curtailment_fico_705"/>
    <x v="745"/>
    <n v="1"/>
    <n v="1"/>
    <n v="560"/>
    <n v="840"/>
  </r>
  <r>
    <x v="59"/>
    <s v="conventional_curtailment_fico_706"/>
    <x v="746"/>
    <n v="1"/>
    <n v="1"/>
    <n v="560"/>
    <n v="840"/>
  </r>
  <r>
    <x v="59"/>
    <s v="conventional_curtailment_fico_707"/>
    <x v="747"/>
    <n v="1"/>
    <n v="1"/>
    <n v="560"/>
    <n v="840"/>
  </r>
  <r>
    <x v="59"/>
    <s v="conventional_curtailment_fico_708"/>
    <x v="748"/>
    <n v="1"/>
    <n v="1"/>
    <n v="560"/>
    <n v="840"/>
  </r>
  <r>
    <x v="59"/>
    <s v="conventional_curtailment_fico_709"/>
    <x v="749"/>
    <n v="1"/>
    <n v="1"/>
    <n v="560"/>
    <n v="840"/>
  </r>
  <r>
    <x v="59"/>
    <s v="conventional_curtailment_fico_710"/>
    <x v="750"/>
    <n v="1"/>
    <n v="1"/>
    <n v="560"/>
    <n v="840"/>
  </r>
  <r>
    <x v="59"/>
    <s v="conventional_curtailment_fico_711"/>
    <x v="751"/>
    <n v="1"/>
    <n v="1"/>
    <n v="560"/>
    <n v="840"/>
  </r>
  <r>
    <x v="59"/>
    <s v="conventional_curtailment_fico_712"/>
    <x v="752"/>
    <n v="1"/>
    <n v="1"/>
    <n v="560"/>
    <n v="840"/>
  </r>
  <r>
    <x v="59"/>
    <s v="conventional_curtailment_fico_713"/>
    <x v="753"/>
    <n v="1"/>
    <n v="1"/>
    <n v="560"/>
    <n v="840"/>
  </r>
  <r>
    <x v="59"/>
    <s v="conventional_curtailment_fico_714"/>
    <x v="754"/>
    <n v="1"/>
    <n v="1"/>
    <n v="560"/>
    <n v="840"/>
  </r>
  <r>
    <x v="59"/>
    <s v="conventional_curtailment_fico_715"/>
    <x v="755"/>
    <n v="1"/>
    <n v="1"/>
    <n v="560"/>
    <n v="840"/>
  </r>
  <r>
    <x v="59"/>
    <s v="conventional_curtailment_fico_716"/>
    <x v="756"/>
    <n v="1"/>
    <n v="1"/>
    <n v="560"/>
    <n v="840"/>
  </r>
  <r>
    <x v="59"/>
    <s v="conventional_curtailment_fico_717"/>
    <x v="757"/>
    <n v="1"/>
    <n v="1"/>
    <n v="560"/>
    <n v="840"/>
  </r>
  <r>
    <x v="59"/>
    <s v="conventional_curtailment_fico_718"/>
    <x v="758"/>
    <n v="1"/>
    <n v="1"/>
    <n v="560"/>
    <n v="840"/>
  </r>
  <r>
    <x v="59"/>
    <s v="conventional_curtailment_fico_719"/>
    <x v="759"/>
    <n v="1"/>
    <n v="1"/>
    <n v="560"/>
    <n v="840"/>
  </r>
  <r>
    <x v="59"/>
    <s v="conventional_curtailment_fico_720"/>
    <x v="760"/>
    <n v="1"/>
    <n v="1"/>
    <n v="560"/>
    <n v="840"/>
  </r>
  <r>
    <x v="59"/>
    <s v="conventional_curtailment_fico_721"/>
    <x v="761"/>
    <n v="1"/>
    <n v="1"/>
    <n v="560"/>
    <n v="840"/>
  </r>
  <r>
    <x v="59"/>
    <s v="conventional_curtailment_fico_722"/>
    <x v="762"/>
    <n v="1"/>
    <n v="1"/>
    <n v="560"/>
    <n v="840"/>
  </r>
  <r>
    <x v="59"/>
    <s v="conventional_curtailment_fico_723"/>
    <x v="763"/>
    <n v="1"/>
    <n v="1"/>
    <n v="560"/>
    <n v="840"/>
  </r>
  <r>
    <x v="59"/>
    <s v="conventional_curtailment_fico_724"/>
    <x v="764"/>
    <n v="1"/>
    <n v="1"/>
    <n v="560"/>
    <n v="840"/>
  </r>
  <r>
    <x v="59"/>
    <s v="conventional_curtailment_fico_725"/>
    <x v="765"/>
    <n v="1"/>
    <n v="1"/>
    <n v="560"/>
    <n v="840"/>
  </r>
  <r>
    <x v="59"/>
    <s v="conventional_curtailment_fico_726"/>
    <x v="766"/>
    <n v="1"/>
    <n v="1"/>
    <n v="560"/>
    <n v="840"/>
  </r>
  <r>
    <x v="59"/>
    <s v="conventional_curtailment_fico_727"/>
    <x v="767"/>
    <n v="1"/>
    <n v="1"/>
    <n v="560"/>
    <n v="840"/>
  </r>
  <r>
    <x v="59"/>
    <s v="conventional_curtailment_fico_728"/>
    <x v="768"/>
    <n v="1"/>
    <n v="1"/>
    <n v="560"/>
    <n v="840"/>
  </r>
  <r>
    <x v="59"/>
    <s v="conventional_curtailment_fico_729"/>
    <x v="769"/>
    <n v="1"/>
    <n v="1"/>
    <n v="560"/>
    <n v="840"/>
  </r>
  <r>
    <x v="59"/>
    <s v="conventional_curtailment_fico_730"/>
    <x v="770"/>
    <n v="1"/>
    <n v="1"/>
    <n v="560"/>
    <n v="840"/>
  </r>
  <r>
    <x v="59"/>
    <s v="conventional_curtailment_fico_731"/>
    <x v="771"/>
    <n v="1"/>
    <n v="1"/>
    <n v="560"/>
    <n v="840"/>
  </r>
  <r>
    <x v="59"/>
    <s v="conventional_curtailment_fico_732"/>
    <x v="772"/>
    <n v="1"/>
    <n v="1"/>
    <n v="560"/>
    <n v="840"/>
  </r>
  <r>
    <x v="59"/>
    <s v="conventional_curtailment_fico_733"/>
    <x v="773"/>
    <n v="1"/>
    <n v="1"/>
    <n v="560"/>
    <n v="840"/>
  </r>
  <r>
    <x v="59"/>
    <s v="conventional_curtailment_fico_734"/>
    <x v="774"/>
    <n v="1"/>
    <n v="1"/>
    <n v="560"/>
    <n v="840"/>
  </r>
  <r>
    <x v="59"/>
    <s v="conventional_curtailment_fico_735"/>
    <x v="775"/>
    <n v="1"/>
    <n v="1"/>
    <n v="560"/>
    <n v="840"/>
  </r>
  <r>
    <x v="59"/>
    <s v="conventional_curtailment_fico_736"/>
    <x v="776"/>
    <n v="1"/>
    <n v="1"/>
    <n v="560"/>
    <n v="840"/>
  </r>
  <r>
    <x v="59"/>
    <s v="conventional_curtailment_fico_737"/>
    <x v="777"/>
    <n v="1"/>
    <n v="1"/>
    <n v="560"/>
    <n v="840"/>
  </r>
  <r>
    <x v="59"/>
    <s v="conventional_curtailment_fico_738"/>
    <x v="778"/>
    <n v="1"/>
    <n v="1"/>
    <n v="560"/>
    <n v="840"/>
  </r>
  <r>
    <x v="59"/>
    <s v="conventional_curtailment_fico_739"/>
    <x v="779"/>
    <n v="1"/>
    <n v="1"/>
    <n v="560"/>
    <n v="840"/>
  </r>
  <r>
    <x v="59"/>
    <s v="conventional_curtailment_fico_740"/>
    <x v="780"/>
    <n v="1"/>
    <n v="1"/>
    <n v="560"/>
    <n v="840"/>
  </r>
  <r>
    <x v="59"/>
    <s v="conventional_curtailment_fico_741"/>
    <x v="781"/>
    <n v="1"/>
    <n v="1"/>
    <n v="560"/>
    <n v="840"/>
  </r>
  <r>
    <x v="59"/>
    <s v="conventional_curtailment_fico_742"/>
    <x v="782"/>
    <n v="1"/>
    <n v="1"/>
    <n v="560"/>
    <n v="840"/>
  </r>
  <r>
    <x v="59"/>
    <s v="conventional_curtailment_fico_743"/>
    <x v="783"/>
    <n v="1"/>
    <n v="1"/>
    <n v="560"/>
    <n v="840"/>
  </r>
  <r>
    <x v="59"/>
    <s v="conventional_curtailment_fico_744"/>
    <x v="784"/>
    <n v="1"/>
    <n v="1"/>
    <n v="560"/>
    <n v="840"/>
  </r>
  <r>
    <x v="59"/>
    <s v="conventional_curtailment_fico_745"/>
    <x v="785"/>
    <n v="1"/>
    <n v="1"/>
    <n v="560"/>
    <n v="840"/>
  </r>
  <r>
    <x v="59"/>
    <s v="conventional_curtailment_fico_746"/>
    <x v="786"/>
    <n v="1"/>
    <n v="1"/>
    <n v="560"/>
    <n v="840"/>
  </r>
  <r>
    <x v="59"/>
    <s v="conventional_curtailment_fico_747"/>
    <x v="787"/>
    <n v="1"/>
    <n v="1"/>
    <n v="560"/>
    <n v="840"/>
  </r>
  <r>
    <x v="59"/>
    <s v="conventional_curtailment_fico_748"/>
    <x v="788"/>
    <n v="1"/>
    <n v="1"/>
    <n v="560"/>
    <n v="840"/>
  </r>
  <r>
    <x v="59"/>
    <s v="conventional_curtailment_fico_749"/>
    <x v="789"/>
    <n v="1"/>
    <n v="1"/>
    <n v="560"/>
    <n v="840"/>
  </r>
  <r>
    <x v="59"/>
    <s v="conventional_curtailment_fico_750"/>
    <x v="790"/>
    <n v="1"/>
    <n v="1"/>
    <n v="560"/>
    <n v="840"/>
  </r>
  <r>
    <x v="59"/>
    <s v="conventional_curtailment_fico_751"/>
    <x v="791"/>
    <n v="1"/>
    <n v="1"/>
    <n v="560"/>
    <n v="840"/>
  </r>
  <r>
    <x v="59"/>
    <s v="conventional_curtailment_fico_752"/>
    <x v="792"/>
    <n v="1"/>
    <n v="1"/>
    <n v="560"/>
    <n v="840"/>
  </r>
  <r>
    <x v="59"/>
    <s v="conventional_curtailment_fico_753"/>
    <x v="793"/>
    <n v="1"/>
    <n v="1"/>
    <n v="560"/>
    <n v="840"/>
  </r>
  <r>
    <x v="59"/>
    <s v="conventional_curtailment_fico_754"/>
    <x v="794"/>
    <n v="1"/>
    <n v="1"/>
    <n v="560"/>
    <n v="840"/>
  </r>
  <r>
    <x v="59"/>
    <s v="conventional_curtailment_fico_755"/>
    <x v="795"/>
    <n v="1"/>
    <n v="1"/>
    <n v="560"/>
    <n v="840"/>
  </r>
  <r>
    <x v="59"/>
    <s v="conventional_curtailment_fico_756"/>
    <x v="796"/>
    <n v="1"/>
    <n v="1"/>
    <n v="560"/>
    <n v="840"/>
  </r>
  <r>
    <x v="59"/>
    <s v="conventional_curtailment_fico_757"/>
    <x v="797"/>
    <n v="1"/>
    <n v="1"/>
    <n v="560"/>
    <n v="840"/>
  </r>
  <r>
    <x v="59"/>
    <s v="conventional_curtailment_fico_758"/>
    <x v="798"/>
    <n v="1"/>
    <n v="1"/>
    <n v="560"/>
    <n v="840"/>
  </r>
  <r>
    <x v="59"/>
    <s v="conventional_curtailment_fico_759"/>
    <x v="799"/>
    <n v="1"/>
    <n v="1"/>
    <n v="560"/>
    <n v="840"/>
  </r>
  <r>
    <x v="59"/>
    <s v="conventional_curtailment_fico_760"/>
    <x v="800"/>
    <n v="1"/>
    <n v="1"/>
    <n v="560"/>
    <n v="840"/>
  </r>
  <r>
    <x v="59"/>
    <s v="conventional_curtailment_fico_761"/>
    <x v="801"/>
    <n v="1"/>
    <n v="1"/>
    <n v="560"/>
    <n v="840"/>
  </r>
  <r>
    <x v="59"/>
    <s v="conventional_curtailment_fico_762"/>
    <x v="802"/>
    <n v="1"/>
    <n v="1"/>
    <n v="560"/>
    <n v="840"/>
  </r>
  <r>
    <x v="59"/>
    <s v="conventional_curtailment_fico_763"/>
    <x v="803"/>
    <n v="1"/>
    <n v="1"/>
    <n v="560"/>
    <n v="840"/>
  </r>
  <r>
    <x v="59"/>
    <s v="conventional_curtailment_fico_764"/>
    <x v="804"/>
    <n v="1"/>
    <n v="1"/>
    <n v="560"/>
    <n v="840"/>
  </r>
  <r>
    <x v="59"/>
    <s v="conventional_curtailment_fico_765"/>
    <x v="805"/>
    <n v="1"/>
    <n v="1"/>
    <n v="560"/>
    <n v="840"/>
  </r>
  <r>
    <x v="59"/>
    <s v="conventional_curtailment_fico_766"/>
    <x v="806"/>
    <n v="1"/>
    <n v="1"/>
    <n v="560"/>
    <n v="840"/>
  </r>
  <r>
    <x v="59"/>
    <s v="conventional_curtailment_fico_767"/>
    <x v="807"/>
    <n v="1"/>
    <n v="1"/>
    <n v="560"/>
    <n v="840"/>
  </r>
  <r>
    <x v="59"/>
    <s v="conventional_curtailment_fico_768"/>
    <x v="808"/>
    <n v="1"/>
    <n v="1"/>
    <n v="560"/>
    <n v="840"/>
  </r>
  <r>
    <x v="59"/>
    <s v="conventional_curtailment_fico_769"/>
    <x v="809"/>
    <n v="1"/>
    <n v="1"/>
    <n v="560"/>
    <n v="840"/>
  </r>
  <r>
    <x v="59"/>
    <s v="conventional_curtailment_fico_770"/>
    <x v="810"/>
    <n v="1"/>
    <n v="1"/>
    <n v="560"/>
    <n v="840"/>
  </r>
  <r>
    <x v="59"/>
    <s v="conventional_curtailment_fico_771"/>
    <x v="811"/>
    <n v="1"/>
    <n v="1"/>
    <n v="560"/>
    <n v="840"/>
  </r>
  <r>
    <x v="59"/>
    <s v="conventional_curtailment_fico_772"/>
    <x v="812"/>
    <n v="1"/>
    <n v="1"/>
    <n v="560"/>
    <n v="840"/>
  </r>
  <r>
    <x v="59"/>
    <s v="conventional_curtailment_fico_773"/>
    <x v="813"/>
    <n v="1"/>
    <n v="1"/>
    <n v="560"/>
    <n v="840"/>
  </r>
  <r>
    <x v="59"/>
    <s v="conventional_curtailment_fico_774"/>
    <x v="814"/>
    <n v="1"/>
    <n v="1"/>
    <n v="560"/>
    <n v="840"/>
  </r>
  <r>
    <x v="59"/>
    <s v="conventional_curtailment_fico_775"/>
    <x v="815"/>
    <n v="1"/>
    <n v="1"/>
    <n v="560"/>
    <n v="840"/>
  </r>
  <r>
    <x v="59"/>
    <s v="conventional_curtailment_fico_776"/>
    <x v="816"/>
    <n v="1"/>
    <n v="1"/>
    <n v="560"/>
    <n v="840"/>
  </r>
  <r>
    <x v="59"/>
    <s v="conventional_curtailment_fico_777"/>
    <x v="817"/>
    <n v="1"/>
    <n v="1"/>
    <n v="560"/>
    <n v="840"/>
  </r>
  <r>
    <x v="59"/>
    <s v="conventional_curtailment_fico_778"/>
    <x v="818"/>
    <n v="1"/>
    <n v="1"/>
    <n v="560"/>
    <n v="840"/>
  </r>
  <r>
    <x v="59"/>
    <s v="conventional_curtailment_fico_779"/>
    <x v="819"/>
    <n v="1"/>
    <n v="1"/>
    <n v="560"/>
    <n v="840"/>
  </r>
  <r>
    <x v="59"/>
    <s v="conventional_curtailment_fico_780"/>
    <x v="820"/>
    <n v="1"/>
    <n v="1"/>
    <n v="560"/>
    <n v="840"/>
  </r>
  <r>
    <x v="59"/>
    <s v="conventional_curtailment_fico_781"/>
    <x v="821"/>
    <n v="1"/>
    <n v="1"/>
    <n v="560"/>
    <n v="840"/>
  </r>
  <r>
    <x v="59"/>
    <s v="conventional_curtailment_fico_782"/>
    <x v="822"/>
    <n v="1"/>
    <n v="1"/>
    <n v="560"/>
    <n v="840"/>
  </r>
  <r>
    <x v="59"/>
    <s v="conventional_curtailment_fico_783"/>
    <x v="823"/>
    <n v="1"/>
    <n v="1"/>
    <n v="560"/>
    <n v="840"/>
  </r>
  <r>
    <x v="59"/>
    <s v="conventional_curtailment_fico_784"/>
    <x v="824"/>
    <n v="1"/>
    <n v="1"/>
    <n v="560"/>
    <n v="840"/>
  </r>
  <r>
    <x v="59"/>
    <s v="conventional_curtailment_fico_785"/>
    <x v="825"/>
    <n v="1"/>
    <n v="1"/>
    <n v="560"/>
    <n v="840"/>
  </r>
  <r>
    <x v="59"/>
    <s v="conventional_curtailment_fico_786"/>
    <x v="826"/>
    <n v="1"/>
    <n v="1"/>
    <n v="560"/>
    <n v="840"/>
  </r>
  <r>
    <x v="59"/>
    <s v="conventional_curtailment_fico_787"/>
    <x v="827"/>
    <n v="1"/>
    <n v="1"/>
    <n v="560"/>
    <n v="840"/>
  </r>
  <r>
    <x v="59"/>
    <s v="conventional_curtailment_fico_788"/>
    <x v="828"/>
    <n v="1"/>
    <n v="1"/>
    <n v="560"/>
    <n v="840"/>
  </r>
  <r>
    <x v="59"/>
    <s v="conventional_curtailment_fico_789"/>
    <x v="829"/>
    <n v="1"/>
    <n v="1"/>
    <n v="560"/>
    <n v="840"/>
  </r>
  <r>
    <x v="59"/>
    <s v="conventional_curtailment_fico_790"/>
    <x v="830"/>
    <n v="1"/>
    <n v="1"/>
    <n v="560"/>
    <n v="840"/>
  </r>
  <r>
    <x v="59"/>
    <s v="conventional_curtailment_fico_791"/>
    <x v="831"/>
    <n v="1"/>
    <n v="1"/>
    <n v="560"/>
    <n v="840"/>
  </r>
  <r>
    <x v="59"/>
    <s v="conventional_curtailment_fico_792"/>
    <x v="832"/>
    <n v="1"/>
    <n v="1"/>
    <n v="560"/>
    <n v="840"/>
  </r>
  <r>
    <x v="59"/>
    <s v="conventional_curtailment_fico_793"/>
    <x v="833"/>
    <n v="1"/>
    <n v="1"/>
    <n v="560"/>
    <n v="840"/>
  </r>
  <r>
    <x v="59"/>
    <s v="conventional_curtailment_fico_794"/>
    <x v="834"/>
    <n v="1"/>
    <n v="1"/>
    <n v="560"/>
    <n v="840"/>
  </r>
  <r>
    <x v="59"/>
    <s v="conventional_curtailment_fico_795"/>
    <x v="835"/>
    <n v="1"/>
    <n v="1"/>
    <n v="560"/>
    <n v="840"/>
  </r>
  <r>
    <x v="59"/>
    <s v="conventional_curtailment_fico_796"/>
    <x v="836"/>
    <n v="1"/>
    <n v="1"/>
    <n v="560"/>
    <n v="840"/>
  </r>
  <r>
    <x v="59"/>
    <s v="conventional_curtailment_fico_797"/>
    <x v="837"/>
    <n v="1"/>
    <n v="1"/>
    <n v="560"/>
    <n v="840"/>
  </r>
  <r>
    <x v="59"/>
    <s v="conventional_curtailment_fico_798"/>
    <x v="838"/>
    <n v="1"/>
    <n v="1"/>
    <n v="560"/>
    <n v="840"/>
  </r>
  <r>
    <x v="59"/>
    <s v="conventional_curtailment_fico_799"/>
    <x v="839"/>
    <n v="1"/>
    <n v="1"/>
    <n v="560"/>
    <n v="840"/>
  </r>
  <r>
    <x v="59"/>
    <s v="conventional_curtailment_fico_800"/>
    <x v="840"/>
    <n v="1"/>
    <n v="1"/>
    <n v="560"/>
    <n v="840"/>
  </r>
  <r>
    <x v="59"/>
    <s v="conventional_curtailment_fico_801"/>
    <x v="841"/>
    <n v="1"/>
    <n v="1"/>
    <n v="560"/>
    <n v="840"/>
  </r>
  <r>
    <x v="59"/>
    <s v="conventional_curtailment_fico_802"/>
    <x v="842"/>
    <n v="1"/>
    <n v="1"/>
    <n v="560"/>
    <n v="840"/>
  </r>
  <r>
    <x v="59"/>
    <s v="conventional_curtailment_fico_803"/>
    <x v="843"/>
    <n v="1"/>
    <n v="1"/>
    <n v="560"/>
    <n v="840"/>
  </r>
  <r>
    <x v="59"/>
    <s v="conventional_curtailment_fico_804"/>
    <x v="844"/>
    <n v="1"/>
    <n v="1"/>
    <n v="560"/>
    <n v="840"/>
  </r>
  <r>
    <x v="59"/>
    <s v="conventional_curtailment_fico_805"/>
    <x v="845"/>
    <n v="1"/>
    <n v="1"/>
    <n v="560"/>
    <n v="840"/>
  </r>
  <r>
    <x v="59"/>
    <s v="conventional_curtailment_fico_806"/>
    <x v="846"/>
    <n v="1"/>
    <n v="1"/>
    <n v="560"/>
    <n v="840"/>
  </r>
  <r>
    <x v="59"/>
    <s v="conventional_curtailment_fico_807"/>
    <x v="847"/>
    <n v="1"/>
    <n v="1"/>
    <n v="560"/>
    <n v="840"/>
  </r>
  <r>
    <x v="59"/>
    <s v="conventional_curtailment_fico_808"/>
    <x v="848"/>
    <n v="1"/>
    <n v="1"/>
    <n v="560"/>
    <n v="840"/>
  </r>
  <r>
    <x v="59"/>
    <s v="conventional_curtailment_fico_809"/>
    <x v="849"/>
    <n v="1"/>
    <n v="1"/>
    <n v="560"/>
    <n v="840"/>
  </r>
  <r>
    <x v="59"/>
    <s v="conventional_curtailment_fico_810"/>
    <x v="850"/>
    <n v="1"/>
    <n v="1"/>
    <n v="560"/>
    <n v="840"/>
  </r>
  <r>
    <x v="59"/>
    <s v="conventional_curtailment_fico_811"/>
    <x v="851"/>
    <n v="1"/>
    <n v="1"/>
    <n v="560"/>
    <n v="840"/>
  </r>
  <r>
    <x v="59"/>
    <s v="conventional_curtailment_fico_812"/>
    <x v="852"/>
    <n v="1"/>
    <n v="1"/>
    <n v="560"/>
    <n v="840"/>
  </r>
  <r>
    <x v="59"/>
    <s v="conventional_curtailment_fico_813"/>
    <x v="853"/>
    <n v="1"/>
    <n v="1"/>
    <n v="560"/>
    <n v="840"/>
  </r>
  <r>
    <x v="59"/>
    <s v="conventional_curtailment_fico_814"/>
    <x v="854"/>
    <n v="1"/>
    <n v="1"/>
    <n v="560"/>
    <n v="840"/>
  </r>
  <r>
    <x v="59"/>
    <s v="conventional_curtailment_fico_815"/>
    <x v="855"/>
    <n v="1"/>
    <n v="1"/>
    <n v="560"/>
    <n v="840"/>
  </r>
  <r>
    <x v="59"/>
    <s v="conventional_curtailment_fico_816"/>
    <x v="856"/>
    <n v="1"/>
    <n v="1"/>
    <n v="560"/>
    <n v="840"/>
  </r>
  <r>
    <x v="59"/>
    <s v="conventional_curtailment_fico_817"/>
    <x v="857"/>
    <n v="1"/>
    <n v="1"/>
    <n v="560"/>
    <n v="840"/>
  </r>
  <r>
    <x v="59"/>
    <s v="conventional_curtailment_fico_818"/>
    <x v="858"/>
    <n v="1"/>
    <n v="1"/>
    <n v="560"/>
    <n v="840"/>
  </r>
  <r>
    <x v="59"/>
    <s v="conventional_curtailment_fico_819"/>
    <x v="859"/>
    <n v="1"/>
    <n v="1"/>
    <n v="560"/>
    <n v="840"/>
  </r>
  <r>
    <x v="59"/>
    <s v="conventional_curtailment_fico_820"/>
    <x v="860"/>
    <n v="1"/>
    <n v="1"/>
    <n v="560"/>
    <n v="840"/>
  </r>
  <r>
    <x v="59"/>
    <s v="conventional_curtailment_fico_821"/>
    <x v="861"/>
    <n v="1"/>
    <n v="1"/>
    <n v="560"/>
    <n v="840"/>
  </r>
  <r>
    <x v="59"/>
    <s v="conventional_curtailment_fico_822"/>
    <x v="862"/>
    <n v="1"/>
    <n v="1"/>
    <n v="560"/>
    <n v="840"/>
  </r>
  <r>
    <x v="59"/>
    <s v="conventional_curtailment_fico_823"/>
    <x v="863"/>
    <n v="1"/>
    <n v="1"/>
    <n v="560"/>
    <n v="840"/>
  </r>
  <r>
    <x v="59"/>
    <s v="conventional_curtailment_fico_824"/>
    <x v="864"/>
    <n v="1"/>
    <n v="1"/>
    <n v="560"/>
    <n v="840"/>
  </r>
  <r>
    <x v="59"/>
    <s v="conventional_curtailment_fico_825"/>
    <x v="865"/>
    <n v="1"/>
    <n v="1"/>
    <n v="560"/>
    <n v="840"/>
  </r>
  <r>
    <x v="59"/>
    <s v="conventional_curtailment_fico_826"/>
    <x v="866"/>
    <n v="1"/>
    <n v="1"/>
    <n v="560"/>
    <n v="840"/>
  </r>
  <r>
    <x v="59"/>
    <s v="conventional_curtailment_fico_827"/>
    <x v="867"/>
    <n v="1"/>
    <n v="1"/>
    <n v="560"/>
    <n v="840"/>
  </r>
  <r>
    <x v="59"/>
    <s v="conventional_curtailment_fico_828"/>
    <x v="868"/>
    <n v="1"/>
    <n v="1"/>
    <n v="560"/>
    <n v="840"/>
  </r>
  <r>
    <x v="59"/>
    <s v="conventional_curtailment_fico_829"/>
    <x v="869"/>
    <n v="1"/>
    <n v="1"/>
    <n v="560"/>
    <n v="840"/>
  </r>
  <r>
    <x v="59"/>
    <s v="conventional_curtailment_fico_830"/>
    <x v="870"/>
    <n v="1"/>
    <n v="1"/>
    <n v="560"/>
    <n v="840"/>
  </r>
  <r>
    <x v="59"/>
    <s v="conventional_curtailment_fico_831"/>
    <x v="871"/>
    <n v="1"/>
    <n v="1"/>
    <n v="560"/>
    <n v="840"/>
  </r>
  <r>
    <x v="59"/>
    <s v="conventional_curtailment_fico_832"/>
    <x v="872"/>
    <n v="1"/>
    <n v="1"/>
    <n v="560"/>
    <n v="840"/>
  </r>
  <r>
    <x v="59"/>
    <s v="conventional_curtailment_fico_833"/>
    <x v="873"/>
    <n v="1"/>
    <n v="1"/>
    <n v="560"/>
    <n v="840"/>
  </r>
  <r>
    <x v="59"/>
    <s v="conventional_curtailment_fico_834"/>
    <x v="874"/>
    <n v="1"/>
    <n v="1"/>
    <n v="560"/>
    <n v="840"/>
  </r>
  <r>
    <x v="59"/>
    <s v="conventional_curtailment_fico_835"/>
    <x v="875"/>
    <n v="1"/>
    <n v="1"/>
    <n v="560"/>
    <n v="840"/>
  </r>
  <r>
    <x v="59"/>
    <s v="conventional_curtailment_fico_836"/>
    <x v="876"/>
    <n v="1"/>
    <n v="1"/>
    <n v="560"/>
    <n v="840"/>
  </r>
  <r>
    <x v="59"/>
    <s v="conventional_curtailment_fico_837"/>
    <x v="877"/>
    <n v="1"/>
    <n v="1"/>
    <n v="560"/>
    <n v="840"/>
  </r>
  <r>
    <x v="59"/>
    <s v="conventional_curtailment_fico_838"/>
    <x v="878"/>
    <n v="1"/>
    <n v="1"/>
    <n v="560"/>
    <n v="840"/>
  </r>
  <r>
    <x v="59"/>
    <s v="conventional_curtailment_fico_839"/>
    <x v="879"/>
    <n v="1"/>
    <n v="1"/>
    <n v="560"/>
    <n v="840"/>
  </r>
  <r>
    <x v="59"/>
    <s v="conventional_curtailment_fico_840"/>
    <x v="880"/>
    <n v="1"/>
    <n v="1"/>
    <n v="560"/>
    <n v="840"/>
  </r>
  <r>
    <x v="60"/>
    <s v="conventional_cashout_cai_-40"/>
    <x v="0"/>
    <n v="1"/>
    <n v="1"/>
    <n v="-40"/>
    <n v="940"/>
  </r>
  <r>
    <x v="60"/>
    <s v="conventional_cashout_cai_-39"/>
    <x v="1"/>
    <n v="1"/>
    <n v="1"/>
    <n v="-40"/>
    <n v="940"/>
  </r>
  <r>
    <x v="60"/>
    <s v="conventional_cashout_cai_-38"/>
    <x v="2"/>
    <n v="1"/>
    <n v="1"/>
    <n v="-40"/>
    <n v="940"/>
  </r>
  <r>
    <x v="60"/>
    <s v="conventional_cashout_cai_-37"/>
    <x v="3"/>
    <n v="1"/>
    <n v="1"/>
    <n v="-40"/>
    <n v="940"/>
  </r>
  <r>
    <x v="60"/>
    <s v="conventional_cashout_cai_-36"/>
    <x v="4"/>
    <n v="1"/>
    <n v="1"/>
    <n v="-40"/>
    <n v="940"/>
  </r>
  <r>
    <x v="60"/>
    <s v="conventional_cashout_cai_-35"/>
    <x v="5"/>
    <n v="1"/>
    <n v="1"/>
    <n v="-40"/>
    <n v="940"/>
  </r>
  <r>
    <x v="60"/>
    <s v="conventional_cashout_cai_-34"/>
    <x v="6"/>
    <n v="1"/>
    <n v="1"/>
    <n v="-40"/>
    <n v="940"/>
  </r>
  <r>
    <x v="60"/>
    <s v="conventional_cashout_cai_-33"/>
    <x v="7"/>
    <n v="1"/>
    <n v="1"/>
    <n v="-40"/>
    <n v="940"/>
  </r>
  <r>
    <x v="60"/>
    <s v="conventional_cashout_cai_-32"/>
    <x v="8"/>
    <n v="1"/>
    <n v="1"/>
    <n v="-40"/>
    <n v="940"/>
  </r>
  <r>
    <x v="60"/>
    <s v="conventional_cashout_cai_-31"/>
    <x v="9"/>
    <n v="1"/>
    <n v="1"/>
    <n v="-40"/>
    <n v="940"/>
  </r>
  <r>
    <x v="60"/>
    <s v="conventional_cashout_cai_-30"/>
    <x v="10"/>
    <n v="1"/>
    <n v="1"/>
    <n v="-40"/>
    <n v="940"/>
  </r>
  <r>
    <x v="60"/>
    <s v="conventional_cashout_cai_-29"/>
    <x v="11"/>
    <n v="1"/>
    <n v="1"/>
    <n v="-40"/>
    <n v="940"/>
  </r>
  <r>
    <x v="60"/>
    <s v="conventional_cashout_cai_-28"/>
    <x v="12"/>
    <n v="1"/>
    <n v="1"/>
    <n v="-40"/>
    <n v="940"/>
  </r>
  <r>
    <x v="60"/>
    <s v="conventional_cashout_cai_-27"/>
    <x v="13"/>
    <n v="1"/>
    <n v="1"/>
    <n v="-40"/>
    <n v="940"/>
  </r>
  <r>
    <x v="60"/>
    <s v="conventional_cashout_cai_-26"/>
    <x v="14"/>
    <n v="1"/>
    <n v="1"/>
    <n v="-40"/>
    <n v="940"/>
  </r>
  <r>
    <x v="60"/>
    <s v="conventional_cashout_cai_-25"/>
    <x v="15"/>
    <n v="1"/>
    <n v="1"/>
    <n v="-40"/>
    <n v="940"/>
  </r>
  <r>
    <x v="60"/>
    <s v="conventional_cashout_cai_-24"/>
    <x v="16"/>
    <n v="1"/>
    <n v="1"/>
    <n v="-40"/>
    <n v="940"/>
  </r>
  <r>
    <x v="60"/>
    <s v="conventional_cashout_cai_-23"/>
    <x v="17"/>
    <n v="1"/>
    <n v="1"/>
    <n v="-40"/>
    <n v="940"/>
  </r>
  <r>
    <x v="60"/>
    <s v="conventional_cashout_cai_-22"/>
    <x v="18"/>
    <n v="1"/>
    <n v="1"/>
    <n v="-40"/>
    <n v="940"/>
  </r>
  <r>
    <x v="60"/>
    <s v="conventional_cashout_cai_-21"/>
    <x v="19"/>
    <n v="1"/>
    <n v="1"/>
    <n v="-40"/>
    <n v="940"/>
  </r>
  <r>
    <x v="60"/>
    <s v="conventional_cashout_cai_-20"/>
    <x v="20"/>
    <n v="1"/>
    <n v="1"/>
    <n v="-40"/>
    <n v="940"/>
  </r>
  <r>
    <x v="60"/>
    <s v="conventional_cashout_cai_-19"/>
    <x v="21"/>
    <n v="1"/>
    <n v="1"/>
    <n v="-40"/>
    <n v="940"/>
  </r>
  <r>
    <x v="60"/>
    <s v="conventional_cashout_cai_-18"/>
    <x v="22"/>
    <n v="1"/>
    <n v="1"/>
    <n v="-40"/>
    <n v="940"/>
  </r>
  <r>
    <x v="60"/>
    <s v="conventional_cashout_cai_-17"/>
    <x v="23"/>
    <n v="1"/>
    <n v="1"/>
    <n v="-40"/>
    <n v="940"/>
  </r>
  <r>
    <x v="60"/>
    <s v="conventional_cashout_cai_-16"/>
    <x v="24"/>
    <n v="1"/>
    <n v="1"/>
    <n v="-40"/>
    <n v="940"/>
  </r>
  <r>
    <x v="60"/>
    <s v="conventional_cashout_cai_-15"/>
    <x v="25"/>
    <n v="1"/>
    <n v="1"/>
    <n v="-40"/>
    <n v="940"/>
  </r>
  <r>
    <x v="60"/>
    <s v="conventional_cashout_cai_-14"/>
    <x v="26"/>
    <n v="1"/>
    <n v="1"/>
    <n v="-40"/>
    <n v="940"/>
  </r>
  <r>
    <x v="60"/>
    <s v="conventional_cashout_cai_-13"/>
    <x v="27"/>
    <n v="1"/>
    <n v="1"/>
    <n v="-40"/>
    <n v="940"/>
  </r>
  <r>
    <x v="60"/>
    <s v="conventional_cashout_cai_-12"/>
    <x v="28"/>
    <n v="1"/>
    <n v="1"/>
    <n v="-40"/>
    <n v="940"/>
  </r>
  <r>
    <x v="60"/>
    <s v="conventional_cashout_cai_-11"/>
    <x v="29"/>
    <n v="1"/>
    <n v="1"/>
    <n v="-40"/>
    <n v="940"/>
  </r>
  <r>
    <x v="60"/>
    <s v="conventional_cashout_cai_-10"/>
    <x v="30"/>
    <n v="1"/>
    <n v="1"/>
    <n v="-40"/>
    <n v="940"/>
  </r>
  <r>
    <x v="60"/>
    <s v="conventional_cashout_cai_-9"/>
    <x v="31"/>
    <n v="1"/>
    <n v="1"/>
    <n v="-40"/>
    <n v="940"/>
  </r>
  <r>
    <x v="60"/>
    <s v="conventional_cashout_cai_-8"/>
    <x v="32"/>
    <n v="1"/>
    <n v="1"/>
    <n v="-40"/>
    <n v="940"/>
  </r>
  <r>
    <x v="60"/>
    <s v="conventional_cashout_cai_-7"/>
    <x v="33"/>
    <n v="1"/>
    <n v="1"/>
    <n v="-40"/>
    <n v="940"/>
  </r>
  <r>
    <x v="60"/>
    <s v="conventional_cashout_cai_-6"/>
    <x v="34"/>
    <n v="1"/>
    <n v="1"/>
    <n v="-40"/>
    <n v="940"/>
  </r>
  <r>
    <x v="60"/>
    <s v="conventional_cashout_cai_-5"/>
    <x v="35"/>
    <n v="1"/>
    <n v="1"/>
    <n v="-40"/>
    <n v="940"/>
  </r>
  <r>
    <x v="60"/>
    <s v="conventional_cashout_cai_-4"/>
    <x v="36"/>
    <n v="1"/>
    <n v="1"/>
    <n v="-40"/>
    <n v="940"/>
  </r>
  <r>
    <x v="60"/>
    <s v="conventional_cashout_cai_-3"/>
    <x v="37"/>
    <n v="1"/>
    <n v="1"/>
    <n v="-40"/>
    <n v="940"/>
  </r>
  <r>
    <x v="60"/>
    <s v="conventional_cashout_cai_-2"/>
    <x v="38"/>
    <n v="1"/>
    <n v="1"/>
    <n v="-40"/>
    <n v="940"/>
  </r>
  <r>
    <x v="60"/>
    <s v="conventional_cashout_cai_-1"/>
    <x v="39"/>
    <n v="1"/>
    <n v="1"/>
    <n v="-40"/>
    <n v="940"/>
  </r>
  <r>
    <x v="60"/>
    <s v="conventional_cashout_cai_0"/>
    <x v="40"/>
    <n v="1"/>
    <n v="1"/>
    <n v="-40"/>
    <n v="940"/>
  </r>
  <r>
    <x v="60"/>
    <s v="conventional_cashout_cai_1"/>
    <x v="41"/>
    <n v="1"/>
    <n v="1"/>
    <n v="-40"/>
    <n v="940"/>
  </r>
  <r>
    <x v="60"/>
    <s v="conventional_cashout_cai_2"/>
    <x v="42"/>
    <n v="1"/>
    <n v="1"/>
    <n v="-40"/>
    <n v="940"/>
  </r>
  <r>
    <x v="60"/>
    <s v="conventional_cashout_cai_3"/>
    <x v="43"/>
    <n v="1"/>
    <n v="1"/>
    <n v="-40"/>
    <n v="940"/>
  </r>
  <r>
    <x v="60"/>
    <s v="conventional_cashout_cai_4"/>
    <x v="44"/>
    <n v="1"/>
    <n v="1"/>
    <n v="-40"/>
    <n v="940"/>
  </r>
  <r>
    <x v="60"/>
    <s v="conventional_cashout_cai_5"/>
    <x v="45"/>
    <n v="1"/>
    <n v="1"/>
    <n v="-40"/>
    <n v="940"/>
  </r>
  <r>
    <x v="60"/>
    <s v="conventional_cashout_cai_6"/>
    <x v="46"/>
    <n v="1"/>
    <n v="1"/>
    <n v="-40"/>
    <n v="940"/>
  </r>
  <r>
    <x v="60"/>
    <s v="conventional_cashout_cai_7"/>
    <x v="47"/>
    <n v="1"/>
    <n v="1"/>
    <n v="-40"/>
    <n v="940"/>
  </r>
  <r>
    <x v="60"/>
    <s v="conventional_cashout_cai_8"/>
    <x v="48"/>
    <n v="1"/>
    <n v="1"/>
    <n v="-40"/>
    <n v="940"/>
  </r>
  <r>
    <x v="60"/>
    <s v="conventional_cashout_cai_9"/>
    <x v="49"/>
    <n v="1"/>
    <n v="1"/>
    <n v="-40"/>
    <n v="940"/>
  </r>
  <r>
    <x v="60"/>
    <s v="conventional_cashout_cai_10"/>
    <x v="50"/>
    <n v="1"/>
    <n v="1"/>
    <n v="-40"/>
    <n v="940"/>
  </r>
  <r>
    <x v="60"/>
    <s v="conventional_cashout_cai_11"/>
    <x v="51"/>
    <n v="1"/>
    <n v="1"/>
    <n v="-40"/>
    <n v="940"/>
  </r>
  <r>
    <x v="60"/>
    <s v="conventional_cashout_cai_12"/>
    <x v="52"/>
    <n v="1"/>
    <n v="1"/>
    <n v="-40"/>
    <n v="940"/>
  </r>
  <r>
    <x v="60"/>
    <s v="conventional_cashout_cai_13"/>
    <x v="53"/>
    <n v="1"/>
    <n v="1"/>
    <n v="-40"/>
    <n v="940"/>
  </r>
  <r>
    <x v="60"/>
    <s v="conventional_cashout_cai_14"/>
    <x v="54"/>
    <n v="1"/>
    <n v="1"/>
    <n v="-40"/>
    <n v="940"/>
  </r>
  <r>
    <x v="60"/>
    <s v="conventional_cashout_cai_15"/>
    <x v="55"/>
    <n v="1"/>
    <n v="1"/>
    <n v="-40"/>
    <n v="940"/>
  </r>
  <r>
    <x v="60"/>
    <s v="conventional_cashout_cai_16"/>
    <x v="56"/>
    <n v="1"/>
    <n v="1"/>
    <n v="-40"/>
    <n v="940"/>
  </r>
  <r>
    <x v="60"/>
    <s v="conventional_cashout_cai_17"/>
    <x v="57"/>
    <n v="1"/>
    <n v="1"/>
    <n v="-40"/>
    <n v="940"/>
  </r>
  <r>
    <x v="60"/>
    <s v="conventional_cashout_cai_18"/>
    <x v="58"/>
    <n v="1"/>
    <n v="1"/>
    <n v="-40"/>
    <n v="940"/>
  </r>
  <r>
    <x v="60"/>
    <s v="conventional_cashout_cai_19"/>
    <x v="59"/>
    <n v="1"/>
    <n v="1"/>
    <n v="-40"/>
    <n v="940"/>
  </r>
  <r>
    <x v="60"/>
    <s v="conventional_cashout_cai_20"/>
    <x v="60"/>
    <n v="1"/>
    <n v="1"/>
    <n v="-40"/>
    <n v="940"/>
  </r>
  <r>
    <x v="60"/>
    <s v="conventional_cashout_cai_21"/>
    <x v="61"/>
    <n v="1"/>
    <n v="1"/>
    <n v="-40"/>
    <n v="940"/>
  </r>
  <r>
    <x v="60"/>
    <s v="conventional_cashout_cai_22"/>
    <x v="62"/>
    <n v="1"/>
    <n v="1"/>
    <n v="-40"/>
    <n v="940"/>
  </r>
  <r>
    <x v="60"/>
    <s v="conventional_cashout_cai_23"/>
    <x v="63"/>
    <n v="1"/>
    <n v="1"/>
    <n v="-40"/>
    <n v="940"/>
  </r>
  <r>
    <x v="60"/>
    <s v="conventional_cashout_cai_24"/>
    <x v="64"/>
    <n v="1"/>
    <n v="1"/>
    <n v="-40"/>
    <n v="940"/>
  </r>
  <r>
    <x v="60"/>
    <s v="conventional_cashout_cai_25"/>
    <x v="65"/>
    <n v="1"/>
    <n v="1"/>
    <n v="-40"/>
    <n v="940"/>
  </r>
  <r>
    <x v="60"/>
    <s v="conventional_cashout_cai_26"/>
    <x v="66"/>
    <n v="1"/>
    <n v="1"/>
    <n v="-40"/>
    <n v="940"/>
  </r>
  <r>
    <x v="60"/>
    <s v="conventional_cashout_cai_27"/>
    <x v="67"/>
    <n v="1"/>
    <n v="1"/>
    <n v="-40"/>
    <n v="940"/>
  </r>
  <r>
    <x v="60"/>
    <s v="conventional_cashout_cai_28"/>
    <x v="68"/>
    <n v="1"/>
    <n v="1"/>
    <n v="-40"/>
    <n v="940"/>
  </r>
  <r>
    <x v="60"/>
    <s v="conventional_cashout_cai_29"/>
    <x v="69"/>
    <n v="1"/>
    <n v="1"/>
    <n v="-40"/>
    <n v="940"/>
  </r>
  <r>
    <x v="60"/>
    <s v="conventional_cashout_cai_30"/>
    <x v="70"/>
    <n v="1"/>
    <n v="1"/>
    <n v="-40"/>
    <n v="940"/>
  </r>
  <r>
    <x v="60"/>
    <s v="conventional_cashout_cai_31"/>
    <x v="71"/>
    <n v="1"/>
    <n v="1"/>
    <n v="-40"/>
    <n v="940"/>
  </r>
  <r>
    <x v="60"/>
    <s v="conventional_cashout_cai_32"/>
    <x v="72"/>
    <n v="1"/>
    <n v="1"/>
    <n v="-40"/>
    <n v="940"/>
  </r>
  <r>
    <x v="60"/>
    <s v="conventional_cashout_cai_33"/>
    <x v="73"/>
    <n v="1"/>
    <n v="1"/>
    <n v="-40"/>
    <n v="940"/>
  </r>
  <r>
    <x v="60"/>
    <s v="conventional_cashout_cai_34"/>
    <x v="74"/>
    <n v="1"/>
    <n v="1"/>
    <n v="-40"/>
    <n v="940"/>
  </r>
  <r>
    <x v="60"/>
    <s v="conventional_cashout_cai_35"/>
    <x v="75"/>
    <n v="1"/>
    <n v="1"/>
    <n v="-40"/>
    <n v="940"/>
  </r>
  <r>
    <x v="60"/>
    <s v="conventional_cashout_cai_36"/>
    <x v="76"/>
    <n v="1"/>
    <n v="1"/>
    <n v="-40"/>
    <n v="940"/>
  </r>
  <r>
    <x v="60"/>
    <s v="conventional_cashout_cai_37"/>
    <x v="77"/>
    <n v="1"/>
    <n v="1"/>
    <n v="-40"/>
    <n v="940"/>
  </r>
  <r>
    <x v="60"/>
    <s v="conventional_cashout_cai_38"/>
    <x v="78"/>
    <n v="1"/>
    <n v="1"/>
    <n v="-40"/>
    <n v="940"/>
  </r>
  <r>
    <x v="60"/>
    <s v="conventional_cashout_cai_39"/>
    <x v="79"/>
    <n v="1"/>
    <n v="1"/>
    <n v="-40"/>
    <n v="940"/>
  </r>
  <r>
    <x v="60"/>
    <s v="conventional_cashout_cai_40"/>
    <x v="80"/>
    <n v="1"/>
    <n v="1"/>
    <n v="-40"/>
    <n v="940"/>
  </r>
  <r>
    <x v="60"/>
    <s v="conventional_cashout_cai_41"/>
    <x v="81"/>
    <n v="1"/>
    <n v="1"/>
    <n v="-40"/>
    <n v="940"/>
  </r>
  <r>
    <x v="60"/>
    <s v="conventional_cashout_cai_42"/>
    <x v="82"/>
    <n v="1"/>
    <n v="1"/>
    <n v="-40"/>
    <n v="940"/>
  </r>
  <r>
    <x v="60"/>
    <s v="conventional_cashout_cai_43"/>
    <x v="83"/>
    <n v="1"/>
    <n v="1"/>
    <n v="-40"/>
    <n v="940"/>
  </r>
  <r>
    <x v="60"/>
    <s v="conventional_cashout_cai_44"/>
    <x v="84"/>
    <n v="1"/>
    <n v="1"/>
    <n v="-40"/>
    <n v="940"/>
  </r>
  <r>
    <x v="60"/>
    <s v="conventional_cashout_cai_45"/>
    <x v="85"/>
    <n v="1"/>
    <n v="1"/>
    <n v="-40"/>
    <n v="940"/>
  </r>
  <r>
    <x v="60"/>
    <s v="conventional_cashout_cai_46"/>
    <x v="86"/>
    <n v="1"/>
    <n v="1"/>
    <n v="-40"/>
    <n v="940"/>
  </r>
  <r>
    <x v="60"/>
    <s v="conventional_cashout_cai_47"/>
    <x v="87"/>
    <n v="1"/>
    <n v="1"/>
    <n v="-40"/>
    <n v="940"/>
  </r>
  <r>
    <x v="60"/>
    <s v="conventional_cashout_cai_48"/>
    <x v="88"/>
    <n v="1"/>
    <n v="1"/>
    <n v="-40"/>
    <n v="940"/>
  </r>
  <r>
    <x v="60"/>
    <s v="conventional_cashout_cai_49"/>
    <x v="89"/>
    <n v="1"/>
    <n v="1"/>
    <n v="-40"/>
    <n v="940"/>
  </r>
  <r>
    <x v="60"/>
    <s v="conventional_cashout_cai_50"/>
    <x v="90"/>
    <n v="1"/>
    <n v="1"/>
    <n v="-40"/>
    <n v="940"/>
  </r>
  <r>
    <x v="60"/>
    <s v="conventional_cashout_cai_51"/>
    <x v="91"/>
    <n v="1"/>
    <n v="1"/>
    <n v="-40"/>
    <n v="940"/>
  </r>
  <r>
    <x v="60"/>
    <s v="conventional_cashout_cai_52"/>
    <x v="92"/>
    <n v="1"/>
    <n v="1"/>
    <n v="-40"/>
    <n v="940"/>
  </r>
  <r>
    <x v="60"/>
    <s v="conventional_cashout_cai_53"/>
    <x v="93"/>
    <n v="1"/>
    <n v="1"/>
    <n v="-40"/>
    <n v="940"/>
  </r>
  <r>
    <x v="60"/>
    <s v="conventional_cashout_cai_54"/>
    <x v="94"/>
    <n v="1"/>
    <n v="1"/>
    <n v="-40"/>
    <n v="940"/>
  </r>
  <r>
    <x v="60"/>
    <s v="conventional_cashout_cai_55"/>
    <x v="95"/>
    <n v="1"/>
    <n v="1"/>
    <n v="-40"/>
    <n v="940"/>
  </r>
  <r>
    <x v="60"/>
    <s v="conventional_cashout_cai_56"/>
    <x v="96"/>
    <n v="1"/>
    <n v="1"/>
    <n v="-40"/>
    <n v="940"/>
  </r>
  <r>
    <x v="60"/>
    <s v="conventional_cashout_cai_57"/>
    <x v="97"/>
    <n v="1"/>
    <n v="1"/>
    <n v="-40"/>
    <n v="940"/>
  </r>
  <r>
    <x v="60"/>
    <s v="conventional_cashout_cai_58"/>
    <x v="98"/>
    <n v="1"/>
    <n v="1"/>
    <n v="-40"/>
    <n v="940"/>
  </r>
  <r>
    <x v="60"/>
    <s v="conventional_cashout_cai_59"/>
    <x v="99"/>
    <n v="1"/>
    <n v="1"/>
    <n v="-40"/>
    <n v="940"/>
  </r>
  <r>
    <x v="60"/>
    <s v="conventional_cashout_cai_60"/>
    <x v="100"/>
    <n v="1"/>
    <n v="1"/>
    <n v="-40"/>
    <n v="940"/>
  </r>
  <r>
    <x v="60"/>
    <s v="conventional_cashout_cai_61"/>
    <x v="101"/>
    <n v="1"/>
    <n v="1"/>
    <n v="-40"/>
    <n v="940"/>
  </r>
  <r>
    <x v="60"/>
    <s v="conventional_cashout_cai_62"/>
    <x v="102"/>
    <n v="1"/>
    <n v="1"/>
    <n v="-40"/>
    <n v="940"/>
  </r>
  <r>
    <x v="60"/>
    <s v="conventional_cashout_cai_63"/>
    <x v="103"/>
    <n v="1"/>
    <n v="1"/>
    <n v="-40"/>
    <n v="940"/>
  </r>
  <r>
    <x v="60"/>
    <s v="conventional_cashout_cai_64"/>
    <x v="104"/>
    <n v="1"/>
    <n v="1"/>
    <n v="-40"/>
    <n v="940"/>
  </r>
  <r>
    <x v="60"/>
    <s v="conventional_cashout_cai_65"/>
    <x v="105"/>
    <n v="1"/>
    <n v="1"/>
    <n v="-40"/>
    <n v="940"/>
  </r>
  <r>
    <x v="60"/>
    <s v="conventional_cashout_cai_66"/>
    <x v="106"/>
    <n v="1"/>
    <n v="1"/>
    <n v="-40"/>
    <n v="940"/>
  </r>
  <r>
    <x v="60"/>
    <s v="conventional_cashout_cai_67"/>
    <x v="107"/>
    <n v="1"/>
    <n v="1"/>
    <n v="-40"/>
    <n v="940"/>
  </r>
  <r>
    <x v="60"/>
    <s v="conventional_cashout_cai_68"/>
    <x v="108"/>
    <n v="1"/>
    <n v="1"/>
    <n v="-40"/>
    <n v="940"/>
  </r>
  <r>
    <x v="60"/>
    <s v="conventional_cashout_cai_69"/>
    <x v="109"/>
    <n v="1"/>
    <n v="1"/>
    <n v="-40"/>
    <n v="940"/>
  </r>
  <r>
    <x v="60"/>
    <s v="conventional_cashout_cai_70"/>
    <x v="110"/>
    <n v="1"/>
    <n v="1"/>
    <n v="-40"/>
    <n v="940"/>
  </r>
  <r>
    <x v="60"/>
    <s v="conventional_cashout_cai_71"/>
    <x v="111"/>
    <n v="1"/>
    <n v="1"/>
    <n v="-40"/>
    <n v="940"/>
  </r>
  <r>
    <x v="60"/>
    <s v="conventional_cashout_cai_72"/>
    <x v="112"/>
    <n v="1"/>
    <n v="1"/>
    <n v="-40"/>
    <n v="940"/>
  </r>
  <r>
    <x v="60"/>
    <s v="conventional_cashout_cai_73"/>
    <x v="113"/>
    <n v="1"/>
    <n v="1"/>
    <n v="-40"/>
    <n v="940"/>
  </r>
  <r>
    <x v="60"/>
    <s v="conventional_cashout_cai_74"/>
    <x v="114"/>
    <n v="1"/>
    <n v="1"/>
    <n v="-40"/>
    <n v="940"/>
  </r>
  <r>
    <x v="60"/>
    <s v="conventional_cashout_cai_75"/>
    <x v="115"/>
    <n v="1"/>
    <n v="1"/>
    <n v="-40"/>
    <n v="940"/>
  </r>
  <r>
    <x v="60"/>
    <s v="conventional_cashout_cai_76"/>
    <x v="116"/>
    <n v="1"/>
    <n v="1"/>
    <n v="-40"/>
    <n v="940"/>
  </r>
  <r>
    <x v="60"/>
    <s v="conventional_cashout_cai_77"/>
    <x v="117"/>
    <n v="1"/>
    <n v="1"/>
    <n v="-40"/>
    <n v="940"/>
  </r>
  <r>
    <x v="60"/>
    <s v="conventional_cashout_cai_78"/>
    <x v="118"/>
    <n v="1"/>
    <n v="1"/>
    <n v="-40"/>
    <n v="940"/>
  </r>
  <r>
    <x v="60"/>
    <s v="conventional_cashout_cai_79"/>
    <x v="119"/>
    <n v="1"/>
    <n v="1"/>
    <n v="-40"/>
    <n v="940"/>
  </r>
  <r>
    <x v="60"/>
    <s v="conventional_cashout_cai_80"/>
    <x v="120"/>
    <n v="1"/>
    <n v="1"/>
    <n v="-40"/>
    <n v="940"/>
  </r>
  <r>
    <x v="60"/>
    <s v="conventional_cashout_cai_81"/>
    <x v="121"/>
    <n v="1"/>
    <n v="1"/>
    <n v="-40"/>
    <n v="940"/>
  </r>
  <r>
    <x v="60"/>
    <s v="conventional_cashout_cai_82"/>
    <x v="122"/>
    <n v="1"/>
    <n v="1"/>
    <n v="-40"/>
    <n v="940"/>
  </r>
  <r>
    <x v="60"/>
    <s v="conventional_cashout_cai_83"/>
    <x v="123"/>
    <n v="1"/>
    <n v="1"/>
    <n v="-40"/>
    <n v="940"/>
  </r>
  <r>
    <x v="60"/>
    <s v="conventional_cashout_cai_84"/>
    <x v="124"/>
    <n v="1"/>
    <n v="1"/>
    <n v="-40"/>
    <n v="940"/>
  </r>
  <r>
    <x v="60"/>
    <s v="conventional_cashout_cai_85"/>
    <x v="125"/>
    <n v="1"/>
    <n v="1"/>
    <n v="-40"/>
    <n v="940"/>
  </r>
  <r>
    <x v="60"/>
    <s v="conventional_cashout_cai_86"/>
    <x v="126"/>
    <n v="1"/>
    <n v="1"/>
    <n v="-40"/>
    <n v="940"/>
  </r>
  <r>
    <x v="60"/>
    <s v="conventional_cashout_cai_87"/>
    <x v="127"/>
    <n v="1"/>
    <n v="1"/>
    <n v="-40"/>
    <n v="940"/>
  </r>
  <r>
    <x v="60"/>
    <s v="conventional_cashout_cai_88"/>
    <x v="128"/>
    <n v="1"/>
    <n v="1"/>
    <n v="-40"/>
    <n v="940"/>
  </r>
  <r>
    <x v="60"/>
    <s v="conventional_cashout_cai_89"/>
    <x v="129"/>
    <n v="1"/>
    <n v="1"/>
    <n v="-40"/>
    <n v="940"/>
  </r>
  <r>
    <x v="60"/>
    <s v="conventional_cashout_cai_90"/>
    <x v="130"/>
    <n v="1"/>
    <n v="1"/>
    <n v="-40"/>
    <n v="940"/>
  </r>
  <r>
    <x v="60"/>
    <s v="conventional_cashout_cai_91"/>
    <x v="131"/>
    <n v="1"/>
    <n v="1"/>
    <n v="-40"/>
    <n v="940"/>
  </r>
  <r>
    <x v="60"/>
    <s v="conventional_cashout_cai_92"/>
    <x v="132"/>
    <n v="1"/>
    <n v="1"/>
    <n v="-40"/>
    <n v="940"/>
  </r>
  <r>
    <x v="60"/>
    <s v="conventional_cashout_cai_93"/>
    <x v="133"/>
    <n v="1"/>
    <n v="1"/>
    <n v="-40"/>
    <n v="940"/>
  </r>
  <r>
    <x v="60"/>
    <s v="conventional_cashout_cai_94"/>
    <x v="134"/>
    <n v="1"/>
    <n v="1"/>
    <n v="-40"/>
    <n v="940"/>
  </r>
  <r>
    <x v="60"/>
    <s v="conventional_cashout_cai_95"/>
    <x v="135"/>
    <n v="1"/>
    <n v="1"/>
    <n v="-40"/>
    <n v="940"/>
  </r>
  <r>
    <x v="60"/>
    <s v="conventional_cashout_cai_96"/>
    <x v="136"/>
    <n v="1"/>
    <n v="1"/>
    <n v="-40"/>
    <n v="940"/>
  </r>
  <r>
    <x v="60"/>
    <s v="conventional_cashout_cai_97"/>
    <x v="137"/>
    <n v="1"/>
    <n v="1"/>
    <n v="-40"/>
    <n v="940"/>
  </r>
  <r>
    <x v="60"/>
    <s v="conventional_cashout_cai_98"/>
    <x v="138"/>
    <n v="1"/>
    <n v="1"/>
    <n v="-40"/>
    <n v="940"/>
  </r>
  <r>
    <x v="60"/>
    <s v="conventional_cashout_cai_99"/>
    <x v="139"/>
    <n v="1"/>
    <n v="1"/>
    <n v="-40"/>
    <n v="940"/>
  </r>
  <r>
    <x v="60"/>
    <s v="conventional_cashout_cai_100"/>
    <x v="140"/>
    <n v="1"/>
    <n v="1"/>
    <n v="-40"/>
    <n v="940"/>
  </r>
  <r>
    <x v="60"/>
    <s v="conventional_cashout_cai_101"/>
    <x v="141"/>
    <n v="1"/>
    <n v="1"/>
    <n v="-40"/>
    <n v="940"/>
  </r>
  <r>
    <x v="60"/>
    <s v="conventional_cashout_cai_102"/>
    <x v="142"/>
    <n v="1"/>
    <n v="1"/>
    <n v="-40"/>
    <n v="940"/>
  </r>
  <r>
    <x v="60"/>
    <s v="conventional_cashout_cai_103"/>
    <x v="143"/>
    <n v="1"/>
    <n v="1"/>
    <n v="-40"/>
    <n v="940"/>
  </r>
  <r>
    <x v="60"/>
    <s v="conventional_cashout_cai_104"/>
    <x v="144"/>
    <n v="1"/>
    <n v="1"/>
    <n v="-40"/>
    <n v="940"/>
  </r>
  <r>
    <x v="60"/>
    <s v="conventional_cashout_cai_105"/>
    <x v="145"/>
    <n v="1"/>
    <n v="1"/>
    <n v="-40"/>
    <n v="940"/>
  </r>
  <r>
    <x v="60"/>
    <s v="conventional_cashout_cai_106"/>
    <x v="146"/>
    <n v="1"/>
    <n v="1"/>
    <n v="-40"/>
    <n v="940"/>
  </r>
  <r>
    <x v="60"/>
    <s v="conventional_cashout_cai_107"/>
    <x v="147"/>
    <n v="1"/>
    <n v="1"/>
    <n v="-40"/>
    <n v="940"/>
  </r>
  <r>
    <x v="60"/>
    <s v="conventional_cashout_cai_108"/>
    <x v="148"/>
    <n v="1"/>
    <n v="1"/>
    <n v="-40"/>
    <n v="940"/>
  </r>
  <r>
    <x v="60"/>
    <s v="conventional_cashout_cai_109"/>
    <x v="149"/>
    <n v="1"/>
    <n v="1"/>
    <n v="-40"/>
    <n v="940"/>
  </r>
  <r>
    <x v="60"/>
    <s v="conventional_cashout_cai_110"/>
    <x v="150"/>
    <n v="1"/>
    <n v="1"/>
    <n v="-40"/>
    <n v="940"/>
  </r>
  <r>
    <x v="60"/>
    <s v="conventional_cashout_cai_111"/>
    <x v="151"/>
    <n v="1"/>
    <n v="1"/>
    <n v="-40"/>
    <n v="940"/>
  </r>
  <r>
    <x v="60"/>
    <s v="conventional_cashout_cai_112"/>
    <x v="152"/>
    <n v="1"/>
    <n v="1"/>
    <n v="-40"/>
    <n v="940"/>
  </r>
  <r>
    <x v="60"/>
    <s v="conventional_cashout_cai_113"/>
    <x v="153"/>
    <n v="1"/>
    <n v="1"/>
    <n v="-40"/>
    <n v="940"/>
  </r>
  <r>
    <x v="60"/>
    <s v="conventional_cashout_cai_114"/>
    <x v="154"/>
    <n v="1"/>
    <n v="1"/>
    <n v="-40"/>
    <n v="940"/>
  </r>
  <r>
    <x v="60"/>
    <s v="conventional_cashout_cai_115"/>
    <x v="155"/>
    <n v="1"/>
    <n v="1"/>
    <n v="-40"/>
    <n v="940"/>
  </r>
  <r>
    <x v="60"/>
    <s v="conventional_cashout_cai_116"/>
    <x v="156"/>
    <n v="1"/>
    <n v="1"/>
    <n v="-40"/>
    <n v="940"/>
  </r>
  <r>
    <x v="60"/>
    <s v="conventional_cashout_cai_117"/>
    <x v="157"/>
    <n v="1"/>
    <n v="1"/>
    <n v="-40"/>
    <n v="940"/>
  </r>
  <r>
    <x v="60"/>
    <s v="conventional_cashout_cai_118"/>
    <x v="158"/>
    <n v="1"/>
    <n v="1"/>
    <n v="-40"/>
    <n v="940"/>
  </r>
  <r>
    <x v="60"/>
    <s v="conventional_cashout_cai_119"/>
    <x v="159"/>
    <n v="1"/>
    <n v="1"/>
    <n v="-40"/>
    <n v="940"/>
  </r>
  <r>
    <x v="60"/>
    <s v="conventional_cashout_cai_120"/>
    <x v="160"/>
    <n v="1"/>
    <n v="1"/>
    <n v="-40"/>
    <n v="940"/>
  </r>
  <r>
    <x v="60"/>
    <s v="conventional_cashout_cai_121"/>
    <x v="161"/>
    <n v="1"/>
    <n v="1"/>
    <n v="-40"/>
    <n v="940"/>
  </r>
  <r>
    <x v="60"/>
    <s v="conventional_cashout_cai_122"/>
    <x v="162"/>
    <n v="1"/>
    <n v="1"/>
    <n v="-40"/>
    <n v="940"/>
  </r>
  <r>
    <x v="60"/>
    <s v="conventional_cashout_cai_123"/>
    <x v="163"/>
    <n v="1"/>
    <n v="1"/>
    <n v="-40"/>
    <n v="940"/>
  </r>
  <r>
    <x v="60"/>
    <s v="conventional_cashout_cai_124"/>
    <x v="164"/>
    <n v="1"/>
    <n v="1"/>
    <n v="-40"/>
    <n v="940"/>
  </r>
  <r>
    <x v="60"/>
    <s v="conventional_cashout_cai_125"/>
    <x v="165"/>
    <n v="1"/>
    <n v="1"/>
    <n v="-40"/>
    <n v="940"/>
  </r>
  <r>
    <x v="60"/>
    <s v="conventional_cashout_cai_126"/>
    <x v="166"/>
    <n v="1"/>
    <n v="1"/>
    <n v="-40"/>
    <n v="940"/>
  </r>
  <r>
    <x v="60"/>
    <s v="conventional_cashout_cai_127"/>
    <x v="167"/>
    <n v="1"/>
    <n v="1"/>
    <n v="-40"/>
    <n v="940"/>
  </r>
  <r>
    <x v="60"/>
    <s v="conventional_cashout_cai_128"/>
    <x v="168"/>
    <n v="1"/>
    <n v="1"/>
    <n v="-40"/>
    <n v="940"/>
  </r>
  <r>
    <x v="60"/>
    <s v="conventional_cashout_cai_129"/>
    <x v="169"/>
    <n v="1"/>
    <n v="1"/>
    <n v="-40"/>
    <n v="940"/>
  </r>
  <r>
    <x v="60"/>
    <s v="conventional_cashout_cai_130"/>
    <x v="170"/>
    <n v="1"/>
    <n v="1"/>
    <n v="-40"/>
    <n v="940"/>
  </r>
  <r>
    <x v="60"/>
    <s v="conventional_cashout_cai_131"/>
    <x v="171"/>
    <n v="1"/>
    <n v="1"/>
    <n v="-40"/>
    <n v="940"/>
  </r>
  <r>
    <x v="60"/>
    <s v="conventional_cashout_cai_132"/>
    <x v="172"/>
    <n v="1"/>
    <n v="1"/>
    <n v="-40"/>
    <n v="940"/>
  </r>
  <r>
    <x v="60"/>
    <s v="conventional_cashout_cai_133"/>
    <x v="173"/>
    <n v="1"/>
    <n v="1"/>
    <n v="-40"/>
    <n v="940"/>
  </r>
  <r>
    <x v="60"/>
    <s v="conventional_cashout_cai_134"/>
    <x v="174"/>
    <n v="1"/>
    <n v="1"/>
    <n v="-40"/>
    <n v="940"/>
  </r>
  <r>
    <x v="60"/>
    <s v="conventional_cashout_cai_135"/>
    <x v="175"/>
    <n v="1"/>
    <n v="1"/>
    <n v="-40"/>
    <n v="940"/>
  </r>
  <r>
    <x v="60"/>
    <s v="conventional_cashout_cai_136"/>
    <x v="176"/>
    <n v="1"/>
    <n v="1"/>
    <n v="-40"/>
    <n v="940"/>
  </r>
  <r>
    <x v="60"/>
    <s v="conventional_cashout_cai_137"/>
    <x v="177"/>
    <n v="1"/>
    <n v="1"/>
    <n v="-40"/>
    <n v="940"/>
  </r>
  <r>
    <x v="60"/>
    <s v="conventional_cashout_cai_138"/>
    <x v="178"/>
    <n v="1"/>
    <n v="1"/>
    <n v="-40"/>
    <n v="940"/>
  </r>
  <r>
    <x v="60"/>
    <s v="conventional_cashout_cai_139"/>
    <x v="179"/>
    <n v="1"/>
    <n v="1"/>
    <n v="-40"/>
    <n v="940"/>
  </r>
  <r>
    <x v="60"/>
    <s v="conventional_cashout_cai_140"/>
    <x v="180"/>
    <n v="1"/>
    <n v="1"/>
    <n v="-40"/>
    <n v="940"/>
  </r>
  <r>
    <x v="60"/>
    <s v="conventional_cashout_cai_141"/>
    <x v="181"/>
    <n v="1"/>
    <n v="1"/>
    <n v="-40"/>
    <n v="940"/>
  </r>
  <r>
    <x v="60"/>
    <s v="conventional_cashout_cai_142"/>
    <x v="182"/>
    <n v="1"/>
    <n v="1"/>
    <n v="-40"/>
    <n v="940"/>
  </r>
  <r>
    <x v="60"/>
    <s v="conventional_cashout_cai_143"/>
    <x v="183"/>
    <n v="1"/>
    <n v="1"/>
    <n v="-40"/>
    <n v="940"/>
  </r>
  <r>
    <x v="60"/>
    <s v="conventional_cashout_cai_144"/>
    <x v="184"/>
    <n v="1"/>
    <n v="1"/>
    <n v="-40"/>
    <n v="940"/>
  </r>
  <r>
    <x v="60"/>
    <s v="conventional_cashout_cai_145"/>
    <x v="185"/>
    <n v="1"/>
    <n v="1"/>
    <n v="-40"/>
    <n v="940"/>
  </r>
  <r>
    <x v="60"/>
    <s v="conventional_cashout_cai_146"/>
    <x v="186"/>
    <n v="1"/>
    <n v="1"/>
    <n v="-40"/>
    <n v="940"/>
  </r>
  <r>
    <x v="60"/>
    <s v="conventional_cashout_cai_147"/>
    <x v="187"/>
    <n v="1"/>
    <n v="1"/>
    <n v="-40"/>
    <n v="940"/>
  </r>
  <r>
    <x v="60"/>
    <s v="conventional_cashout_cai_148"/>
    <x v="188"/>
    <n v="1"/>
    <n v="1"/>
    <n v="-40"/>
    <n v="940"/>
  </r>
  <r>
    <x v="60"/>
    <s v="conventional_cashout_cai_149"/>
    <x v="189"/>
    <n v="1"/>
    <n v="1"/>
    <n v="-40"/>
    <n v="940"/>
  </r>
  <r>
    <x v="60"/>
    <s v="conventional_cashout_cai_150"/>
    <x v="190"/>
    <n v="1"/>
    <n v="1"/>
    <n v="-40"/>
    <n v="940"/>
  </r>
  <r>
    <x v="60"/>
    <s v="conventional_cashout_cai_151"/>
    <x v="191"/>
    <n v="1"/>
    <n v="1"/>
    <n v="-40"/>
    <n v="940"/>
  </r>
  <r>
    <x v="60"/>
    <s v="conventional_cashout_cai_152"/>
    <x v="192"/>
    <n v="1"/>
    <n v="1"/>
    <n v="-40"/>
    <n v="940"/>
  </r>
  <r>
    <x v="60"/>
    <s v="conventional_cashout_cai_153"/>
    <x v="193"/>
    <n v="1"/>
    <n v="1"/>
    <n v="-40"/>
    <n v="940"/>
  </r>
  <r>
    <x v="60"/>
    <s v="conventional_cashout_cai_154"/>
    <x v="194"/>
    <n v="1"/>
    <n v="1"/>
    <n v="-40"/>
    <n v="940"/>
  </r>
  <r>
    <x v="60"/>
    <s v="conventional_cashout_cai_155"/>
    <x v="195"/>
    <n v="1"/>
    <n v="1"/>
    <n v="-40"/>
    <n v="940"/>
  </r>
  <r>
    <x v="60"/>
    <s v="conventional_cashout_cai_156"/>
    <x v="196"/>
    <n v="1"/>
    <n v="1"/>
    <n v="-40"/>
    <n v="940"/>
  </r>
  <r>
    <x v="60"/>
    <s v="conventional_cashout_cai_157"/>
    <x v="197"/>
    <n v="1"/>
    <n v="1"/>
    <n v="-40"/>
    <n v="940"/>
  </r>
  <r>
    <x v="60"/>
    <s v="conventional_cashout_cai_158"/>
    <x v="198"/>
    <n v="1"/>
    <n v="1"/>
    <n v="-40"/>
    <n v="940"/>
  </r>
  <r>
    <x v="60"/>
    <s v="conventional_cashout_cai_159"/>
    <x v="199"/>
    <n v="1"/>
    <n v="1"/>
    <n v="-40"/>
    <n v="940"/>
  </r>
  <r>
    <x v="60"/>
    <s v="conventional_cashout_cai_160"/>
    <x v="200"/>
    <n v="1"/>
    <n v="1"/>
    <n v="-40"/>
    <n v="940"/>
  </r>
  <r>
    <x v="60"/>
    <s v="conventional_cashout_cai_161"/>
    <x v="201"/>
    <n v="1"/>
    <n v="1"/>
    <n v="-40"/>
    <n v="940"/>
  </r>
  <r>
    <x v="60"/>
    <s v="conventional_cashout_cai_162"/>
    <x v="202"/>
    <n v="1"/>
    <n v="1"/>
    <n v="-40"/>
    <n v="940"/>
  </r>
  <r>
    <x v="60"/>
    <s v="conventional_cashout_cai_163"/>
    <x v="203"/>
    <n v="1"/>
    <n v="1"/>
    <n v="-40"/>
    <n v="940"/>
  </r>
  <r>
    <x v="60"/>
    <s v="conventional_cashout_cai_164"/>
    <x v="204"/>
    <n v="1"/>
    <n v="1"/>
    <n v="-40"/>
    <n v="940"/>
  </r>
  <r>
    <x v="60"/>
    <s v="conventional_cashout_cai_165"/>
    <x v="205"/>
    <n v="1"/>
    <n v="1"/>
    <n v="-40"/>
    <n v="940"/>
  </r>
  <r>
    <x v="60"/>
    <s v="conventional_cashout_cai_166"/>
    <x v="206"/>
    <n v="1"/>
    <n v="1"/>
    <n v="-40"/>
    <n v="940"/>
  </r>
  <r>
    <x v="60"/>
    <s v="conventional_cashout_cai_167"/>
    <x v="207"/>
    <n v="1"/>
    <n v="1"/>
    <n v="-40"/>
    <n v="940"/>
  </r>
  <r>
    <x v="60"/>
    <s v="conventional_cashout_cai_168"/>
    <x v="208"/>
    <n v="1"/>
    <n v="1"/>
    <n v="-40"/>
    <n v="940"/>
  </r>
  <r>
    <x v="60"/>
    <s v="conventional_cashout_cai_169"/>
    <x v="209"/>
    <n v="1"/>
    <n v="1"/>
    <n v="-40"/>
    <n v="940"/>
  </r>
  <r>
    <x v="60"/>
    <s v="conventional_cashout_cai_170"/>
    <x v="210"/>
    <n v="1"/>
    <n v="1"/>
    <n v="-40"/>
    <n v="940"/>
  </r>
  <r>
    <x v="60"/>
    <s v="conventional_cashout_cai_171"/>
    <x v="211"/>
    <n v="1"/>
    <n v="1"/>
    <n v="-40"/>
    <n v="940"/>
  </r>
  <r>
    <x v="60"/>
    <s v="conventional_cashout_cai_172"/>
    <x v="212"/>
    <n v="1"/>
    <n v="1"/>
    <n v="-40"/>
    <n v="940"/>
  </r>
  <r>
    <x v="60"/>
    <s v="conventional_cashout_cai_173"/>
    <x v="213"/>
    <n v="1"/>
    <n v="1"/>
    <n v="-40"/>
    <n v="940"/>
  </r>
  <r>
    <x v="60"/>
    <s v="conventional_cashout_cai_174"/>
    <x v="214"/>
    <n v="1"/>
    <n v="1"/>
    <n v="-40"/>
    <n v="940"/>
  </r>
  <r>
    <x v="60"/>
    <s v="conventional_cashout_cai_175"/>
    <x v="215"/>
    <n v="1"/>
    <n v="1"/>
    <n v="-40"/>
    <n v="940"/>
  </r>
  <r>
    <x v="60"/>
    <s v="conventional_cashout_cai_176"/>
    <x v="216"/>
    <n v="1"/>
    <n v="1"/>
    <n v="-40"/>
    <n v="940"/>
  </r>
  <r>
    <x v="60"/>
    <s v="conventional_cashout_cai_177"/>
    <x v="217"/>
    <n v="1"/>
    <n v="1"/>
    <n v="-40"/>
    <n v="940"/>
  </r>
  <r>
    <x v="60"/>
    <s v="conventional_cashout_cai_178"/>
    <x v="218"/>
    <n v="1"/>
    <n v="1"/>
    <n v="-40"/>
    <n v="940"/>
  </r>
  <r>
    <x v="60"/>
    <s v="conventional_cashout_cai_179"/>
    <x v="219"/>
    <n v="1"/>
    <n v="1"/>
    <n v="-40"/>
    <n v="940"/>
  </r>
  <r>
    <x v="60"/>
    <s v="conventional_cashout_cai_180"/>
    <x v="220"/>
    <n v="1"/>
    <n v="1"/>
    <n v="-40"/>
    <n v="940"/>
  </r>
  <r>
    <x v="60"/>
    <s v="conventional_cashout_cai_181"/>
    <x v="221"/>
    <n v="1"/>
    <n v="1"/>
    <n v="-40"/>
    <n v="940"/>
  </r>
  <r>
    <x v="60"/>
    <s v="conventional_cashout_cai_182"/>
    <x v="222"/>
    <n v="1"/>
    <n v="1"/>
    <n v="-40"/>
    <n v="940"/>
  </r>
  <r>
    <x v="60"/>
    <s v="conventional_cashout_cai_183"/>
    <x v="223"/>
    <n v="1"/>
    <n v="1"/>
    <n v="-40"/>
    <n v="940"/>
  </r>
  <r>
    <x v="60"/>
    <s v="conventional_cashout_cai_184"/>
    <x v="224"/>
    <n v="1"/>
    <n v="1"/>
    <n v="-40"/>
    <n v="940"/>
  </r>
  <r>
    <x v="60"/>
    <s v="conventional_cashout_cai_185"/>
    <x v="225"/>
    <n v="1"/>
    <n v="1"/>
    <n v="-40"/>
    <n v="940"/>
  </r>
  <r>
    <x v="60"/>
    <s v="conventional_cashout_cai_186"/>
    <x v="226"/>
    <n v="1"/>
    <n v="1"/>
    <n v="-40"/>
    <n v="940"/>
  </r>
  <r>
    <x v="60"/>
    <s v="conventional_cashout_cai_187"/>
    <x v="227"/>
    <n v="1"/>
    <n v="1"/>
    <n v="-40"/>
    <n v="940"/>
  </r>
  <r>
    <x v="60"/>
    <s v="conventional_cashout_cai_188"/>
    <x v="228"/>
    <n v="1"/>
    <n v="1"/>
    <n v="-40"/>
    <n v="940"/>
  </r>
  <r>
    <x v="60"/>
    <s v="conventional_cashout_cai_189"/>
    <x v="229"/>
    <n v="1"/>
    <n v="1"/>
    <n v="-40"/>
    <n v="940"/>
  </r>
  <r>
    <x v="60"/>
    <s v="conventional_cashout_cai_190"/>
    <x v="230"/>
    <n v="1"/>
    <n v="1"/>
    <n v="-40"/>
    <n v="940"/>
  </r>
  <r>
    <x v="60"/>
    <s v="conventional_cashout_cai_191"/>
    <x v="231"/>
    <n v="1"/>
    <n v="1"/>
    <n v="-40"/>
    <n v="940"/>
  </r>
  <r>
    <x v="60"/>
    <s v="conventional_cashout_cai_192"/>
    <x v="232"/>
    <n v="1"/>
    <n v="1"/>
    <n v="-40"/>
    <n v="940"/>
  </r>
  <r>
    <x v="60"/>
    <s v="conventional_cashout_cai_193"/>
    <x v="233"/>
    <n v="1"/>
    <n v="1"/>
    <n v="-40"/>
    <n v="940"/>
  </r>
  <r>
    <x v="60"/>
    <s v="conventional_cashout_cai_194"/>
    <x v="234"/>
    <n v="1"/>
    <n v="1"/>
    <n v="-40"/>
    <n v="940"/>
  </r>
  <r>
    <x v="60"/>
    <s v="conventional_cashout_cai_195"/>
    <x v="235"/>
    <n v="1"/>
    <n v="1"/>
    <n v="-40"/>
    <n v="940"/>
  </r>
  <r>
    <x v="60"/>
    <s v="conventional_cashout_cai_196"/>
    <x v="236"/>
    <n v="1"/>
    <n v="1"/>
    <n v="-40"/>
    <n v="940"/>
  </r>
  <r>
    <x v="60"/>
    <s v="conventional_cashout_cai_197"/>
    <x v="237"/>
    <n v="1"/>
    <n v="1"/>
    <n v="-40"/>
    <n v="940"/>
  </r>
  <r>
    <x v="60"/>
    <s v="conventional_cashout_cai_198"/>
    <x v="238"/>
    <n v="1"/>
    <n v="1"/>
    <n v="-40"/>
    <n v="940"/>
  </r>
  <r>
    <x v="60"/>
    <s v="conventional_cashout_cai_199"/>
    <x v="239"/>
    <n v="1"/>
    <n v="1"/>
    <n v="-40"/>
    <n v="940"/>
  </r>
  <r>
    <x v="60"/>
    <s v="conventional_cashout_cai_200"/>
    <x v="240"/>
    <n v="1"/>
    <n v="1"/>
    <n v="-40"/>
    <n v="940"/>
  </r>
  <r>
    <x v="60"/>
    <s v="conventional_cashout_cai_201"/>
    <x v="241"/>
    <n v="1"/>
    <n v="1"/>
    <n v="-40"/>
    <n v="940"/>
  </r>
  <r>
    <x v="60"/>
    <s v="conventional_cashout_cai_202"/>
    <x v="242"/>
    <n v="1"/>
    <n v="1"/>
    <n v="-40"/>
    <n v="940"/>
  </r>
  <r>
    <x v="60"/>
    <s v="conventional_cashout_cai_203"/>
    <x v="243"/>
    <n v="1"/>
    <n v="1"/>
    <n v="-40"/>
    <n v="940"/>
  </r>
  <r>
    <x v="60"/>
    <s v="conventional_cashout_cai_204"/>
    <x v="244"/>
    <n v="1"/>
    <n v="1"/>
    <n v="-40"/>
    <n v="940"/>
  </r>
  <r>
    <x v="60"/>
    <s v="conventional_cashout_cai_205"/>
    <x v="245"/>
    <n v="1"/>
    <n v="1"/>
    <n v="-40"/>
    <n v="940"/>
  </r>
  <r>
    <x v="60"/>
    <s v="conventional_cashout_cai_206"/>
    <x v="246"/>
    <n v="1"/>
    <n v="1"/>
    <n v="-40"/>
    <n v="940"/>
  </r>
  <r>
    <x v="60"/>
    <s v="conventional_cashout_cai_207"/>
    <x v="247"/>
    <n v="1"/>
    <n v="1"/>
    <n v="-40"/>
    <n v="940"/>
  </r>
  <r>
    <x v="60"/>
    <s v="conventional_cashout_cai_208"/>
    <x v="248"/>
    <n v="1"/>
    <n v="1"/>
    <n v="-40"/>
    <n v="940"/>
  </r>
  <r>
    <x v="60"/>
    <s v="conventional_cashout_cai_209"/>
    <x v="249"/>
    <n v="1"/>
    <n v="1"/>
    <n v="-40"/>
    <n v="940"/>
  </r>
  <r>
    <x v="60"/>
    <s v="conventional_cashout_cai_210"/>
    <x v="250"/>
    <n v="1"/>
    <n v="1"/>
    <n v="-40"/>
    <n v="940"/>
  </r>
  <r>
    <x v="60"/>
    <s v="conventional_cashout_cai_211"/>
    <x v="251"/>
    <n v="1"/>
    <n v="1"/>
    <n v="-40"/>
    <n v="940"/>
  </r>
  <r>
    <x v="60"/>
    <s v="conventional_cashout_cai_212"/>
    <x v="252"/>
    <n v="1"/>
    <n v="1"/>
    <n v="-40"/>
    <n v="940"/>
  </r>
  <r>
    <x v="60"/>
    <s v="conventional_cashout_cai_213"/>
    <x v="253"/>
    <n v="1"/>
    <n v="1"/>
    <n v="-40"/>
    <n v="940"/>
  </r>
  <r>
    <x v="60"/>
    <s v="conventional_cashout_cai_214"/>
    <x v="254"/>
    <n v="1"/>
    <n v="1"/>
    <n v="-40"/>
    <n v="940"/>
  </r>
  <r>
    <x v="60"/>
    <s v="conventional_cashout_cai_215"/>
    <x v="255"/>
    <n v="1"/>
    <n v="1"/>
    <n v="-40"/>
    <n v="940"/>
  </r>
  <r>
    <x v="60"/>
    <s v="conventional_cashout_cai_216"/>
    <x v="256"/>
    <n v="1"/>
    <n v="1"/>
    <n v="-40"/>
    <n v="940"/>
  </r>
  <r>
    <x v="60"/>
    <s v="conventional_cashout_cai_217"/>
    <x v="257"/>
    <n v="1"/>
    <n v="1"/>
    <n v="-40"/>
    <n v="940"/>
  </r>
  <r>
    <x v="60"/>
    <s v="conventional_cashout_cai_218"/>
    <x v="258"/>
    <n v="1"/>
    <n v="1"/>
    <n v="-40"/>
    <n v="940"/>
  </r>
  <r>
    <x v="60"/>
    <s v="conventional_cashout_cai_219"/>
    <x v="259"/>
    <n v="1"/>
    <n v="1"/>
    <n v="-40"/>
    <n v="940"/>
  </r>
  <r>
    <x v="60"/>
    <s v="conventional_cashout_cai_220"/>
    <x v="260"/>
    <n v="1"/>
    <n v="1"/>
    <n v="-40"/>
    <n v="940"/>
  </r>
  <r>
    <x v="60"/>
    <s v="conventional_cashout_cai_221"/>
    <x v="261"/>
    <n v="1"/>
    <n v="1"/>
    <n v="-40"/>
    <n v="940"/>
  </r>
  <r>
    <x v="60"/>
    <s v="conventional_cashout_cai_222"/>
    <x v="262"/>
    <n v="1"/>
    <n v="1"/>
    <n v="-40"/>
    <n v="940"/>
  </r>
  <r>
    <x v="60"/>
    <s v="conventional_cashout_cai_223"/>
    <x v="263"/>
    <n v="1"/>
    <n v="1"/>
    <n v="-40"/>
    <n v="940"/>
  </r>
  <r>
    <x v="60"/>
    <s v="conventional_cashout_cai_224"/>
    <x v="264"/>
    <n v="1"/>
    <n v="1"/>
    <n v="-40"/>
    <n v="940"/>
  </r>
  <r>
    <x v="60"/>
    <s v="conventional_cashout_cai_225"/>
    <x v="265"/>
    <n v="1"/>
    <n v="1"/>
    <n v="-40"/>
    <n v="940"/>
  </r>
  <r>
    <x v="60"/>
    <s v="conventional_cashout_cai_226"/>
    <x v="266"/>
    <n v="1"/>
    <n v="1"/>
    <n v="-40"/>
    <n v="940"/>
  </r>
  <r>
    <x v="60"/>
    <s v="conventional_cashout_cai_227"/>
    <x v="267"/>
    <n v="1"/>
    <n v="1"/>
    <n v="-40"/>
    <n v="940"/>
  </r>
  <r>
    <x v="60"/>
    <s v="conventional_cashout_cai_228"/>
    <x v="268"/>
    <n v="1"/>
    <n v="1"/>
    <n v="-40"/>
    <n v="940"/>
  </r>
  <r>
    <x v="60"/>
    <s v="conventional_cashout_cai_229"/>
    <x v="269"/>
    <n v="1"/>
    <n v="1"/>
    <n v="-40"/>
    <n v="940"/>
  </r>
  <r>
    <x v="60"/>
    <s v="conventional_cashout_cai_230"/>
    <x v="270"/>
    <n v="1"/>
    <n v="1"/>
    <n v="-40"/>
    <n v="940"/>
  </r>
  <r>
    <x v="60"/>
    <s v="conventional_cashout_cai_231"/>
    <x v="271"/>
    <n v="1"/>
    <n v="1"/>
    <n v="-40"/>
    <n v="940"/>
  </r>
  <r>
    <x v="60"/>
    <s v="conventional_cashout_cai_232"/>
    <x v="272"/>
    <n v="1"/>
    <n v="1"/>
    <n v="-40"/>
    <n v="940"/>
  </r>
  <r>
    <x v="60"/>
    <s v="conventional_cashout_cai_233"/>
    <x v="273"/>
    <n v="1"/>
    <n v="1"/>
    <n v="-40"/>
    <n v="940"/>
  </r>
  <r>
    <x v="60"/>
    <s v="conventional_cashout_cai_234"/>
    <x v="274"/>
    <n v="1"/>
    <n v="1"/>
    <n v="-40"/>
    <n v="940"/>
  </r>
  <r>
    <x v="60"/>
    <s v="conventional_cashout_cai_235"/>
    <x v="275"/>
    <n v="1"/>
    <n v="1"/>
    <n v="-40"/>
    <n v="940"/>
  </r>
  <r>
    <x v="60"/>
    <s v="conventional_cashout_cai_236"/>
    <x v="276"/>
    <n v="1"/>
    <n v="1"/>
    <n v="-40"/>
    <n v="940"/>
  </r>
  <r>
    <x v="60"/>
    <s v="conventional_cashout_cai_237"/>
    <x v="277"/>
    <n v="1"/>
    <n v="1"/>
    <n v="-40"/>
    <n v="940"/>
  </r>
  <r>
    <x v="60"/>
    <s v="conventional_cashout_cai_238"/>
    <x v="278"/>
    <n v="1"/>
    <n v="1"/>
    <n v="-40"/>
    <n v="940"/>
  </r>
  <r>
    <x v="60"/>
    <s v="conventional_cashout_cai_239"/>
    <x v="279"/>
    <n v="1"/>
    <n v="1"/>
    <n v="-40"/>
    <n v="940"/>
  </r>
  <r>
    <x v="60"/>
    <s v="conventional_cashout_cai_240"/>
    <x v="280"/>
    <n v="1"/>
    <n v="1"/>
    <n v="-40"/>
    <n v="940"/>
  </r>
  <r>
    <x v="60"/>
    <s v="conventional_cashout_cai_241"/>
    <x v="281"/>
    <n v="1"/>
    <n v="1"/>
    <n v="-40"/>
    <n v="940"/>
  </r>
  <r>
    <x v="60"/>
    <s v="conventional_cashout_cai_242"/>
    <x v="282"/>
    <n v="1"/>
    <n v="1"/>
    <n v="-40"/>
    <n v="940"/>
  </r>
  <r>
    <x v="60"/>
    <s v="conventional_cashout_cai_243"/>
    <x v="283"/>
    <n v="1"/>
    <n v="1"/>
    <n v="-40"/>
    <n v="940"/>
  </r>
  <r>
    <x v="60"/>
    <s v="conventional_cashout_cai_244"/>
    <x v="284"/>
    <n v="1"/>
    <n v="1"/>
    <n v="-40"/>
    <n v="940"/>
  </r>
  <r>
    <x v="60"/>
    <s v="conventional_cashout_cai_245"/>
    <x v="285"/>
    <n v="1"/>
    <n v="1"/>
    <n v="-40"/>
    <n v="940"/>
  </r>
  <r>
    <x v="60"/>
    <s v="conventional_cashout_cai_246"/>
    <x v="286"/>
    <n v="1"/>
    <n v="1"/>
    <n v="-40"/>
    <n v="940"/>
  </r>
  <r>
    <x v="60"/>
    <s v="conventional_cashout_cai_247"/>
    <x v="287"/>
    <n v="1"/>
    <n v="1"/>
    <n v="-40"/>
    <n v="940"/>
  </r>
  <r>
    <x v="60"/>
    <s v="conventional_cashout_cai_248"/>
    <x v="288"/>
    <n v="1"/>
    <n v="1"/>
    <n v="-40"/>
    <n v="940"/>
  </r>
  <r>
    <x v="60"/>
    <s v="conventional_cashout_cai_249"/>
    <x v="289"/>
    <n v="1"/>
    <n v="1"/>
    <n v="-40"/>
    <n v="940"/>
  </r>
  <r>
    <x v="60"/>
    <s v="conventional_cashout_cai_250"/>
    <x v="290"/>
    <n v="1"/>
    <n v="1"/>
    <n v="-40"/>
    <n v="940"/>
  </r>
  <r>
    <x v="60"/>
    <s v="conventional_cashout_cai_251"/>
    <x v="291"/>
    <n v="1"/>
    <n v="1"/>
    <n v="-40"/>
    <n v="940"/>
  </r>
  <r>
    <x v="60"/>
    <s v="conventional_cashout_cai_252"/>
    <x v="292"/>
    <n v="1"/>
    <n v="1"/>
    <n v="-40"/>
    <n v="940"/>
  </r>
  <r>
    <x v="60"/>
    <s v="conventional_cashout_cai_253"/>
    <x v="293"/>
    <n v="1"/>
    <n v="1"/>
    <n v="-40"/>
    <n v="940"/>
  </r>
  <r>
    <x v="60"/>
    <s v="conventional_cashout_cai_254"/>
    <x v="294"/>
    <n v="1"/>
    <n v="1"/>
    <n v="-40"/>
    <n v="940"/>
  </r>
  <r>
    <x v="60"/>
    <s v="conventional_cashout_cai_255"/>
    <x v="295"/>
    <n v="1"/>
    <n v="1"/>
    <n v="-40"/>
    <n v="940"/>
  </r>
  <r>
    <x v="60"/>
    <s v="conventional_cashout_cai_256"/>
    <x v="296"/>
    <n v="1"/>
    <n v="1"/>
    <n v="-40"/>
    <n v="940"/>
  </r>
  <r>
    <x v="60"/>
    <s v="conventional_cashout_cai_257"/>
    <x v="297"/>
    <n v="1"/>
    <n v="1"/>
    <n v="-40"/>
    <n v="940"/>
  </r>
  <r>
    <x v="60"/>
    <s v="conventional_cashout_cai_258"/>
    <x v="298"/>
    <n v="1"/>
    <n v="1"/>
    <n v="-40"/>
    <n v="940"/>
  </r>
  <r>
    <x v="60"/>
    <s v="conventional_cashout_cai_259"/>
    <x v="299"/>
    <n v="1"/>
    <n v="1"/>
    <n v="-40"/>
    <n v="940"/>
  </r>
  <r>
    <x v="60"/>
    <s v="conventional_cashout_cai_260"/>
    <x v="300"/>
    <n v="1"/>
    <n v="1"/>
    <n v="-40"/>
    <n v="940"/>
  </r>
  <r>
    <x v="60"/>
    <s v="conventional_cashout_cai_261"/>
    <x v="301"/>
    <n v="1"/>
    <n v="1"/>
    <n v="-40"/>
    <n v="940"/>
  </r>
  <r>
    <x v="60"/>
    <s v="conventional_cashout_cai_262"/>
    <x v="302"/>
    <n v="1"/>
    <n v="1"/>
    <n v="-40"/>
    <n v="940"/>
  </r>
  <r>
    <x v="60"/>
    <s v="conventional_cashout_cai_263"/>
    <x v="303"/>
    <n v="1"/>
    <n v="1"/>
    <n v="-40"/>
    <n v="940"/>
  </r>
  <r>
    <x v="60"/>
    <s v="conventional_cashout_cai_264"/>
    <x v="304"/>
    <n v="1"/>
    <n v="1"/>
    <n v="-40"/>
    <n v="940"/>
  </r>
  <r>
    <x v="60"/>
    <s v="conventional_cashout_cai_265"/>
    <x v="305"/>
    <n v="1"/>
    <n v="1"/>
    <n v="-40"/>
    <n v="940"/>
  </r>
  <r>
    <x v="60"/>
    <s v="conventional_cashout_cai_266"/>
    <x v="306"/>
    <n v="1"/>
    <n v="1"/>
    <n v="-40"/>
    <n v="940"/>
  </r>
  <r>
    <x v="60"/>
    <s v="conventional_cashout_cai_267"/>
    <x v="307"/>
    <n v="1"/>
    <n v="1"/>
    <n v="-40"/>
    <n v="940"/>
  </r>
  <r>
    <x v="60"/>
    <s v="conventional_cashout_cai_268"/>
    <x v="308"/>
    <n v="1"/>
    <n v="1"/>
    <n v="-40"/>
    <n v="940"/>
  </r>
  <r>
    <x v="60"/>
    <s v="conventional_cashout_cai_269"/>
    <x v="309"/>
    <n v="1"/>
    <n v="1"/>
    <n v="-40"/>
    <n v="940"/>
  </r>
  <r>
    <x v="60"/>
    <s v="conventional_cashout_cai_270"/>
    <x v="310"/>
    <n v="1"/>
    <n v="1"/>
    <n v="-40"/>
    <n v="940"/>
  </r>
  <r>
    <x v="60"/>
    <s v="conventional_cashout_cai_271"/>
    <x v="311"/>
    <n v="1"/>
    <n v="1"/>
    <n v="-40"/>
    <n v="940"/>
  </r>
  <r>
    <x v="60"/>
    <s v="conventional_cashout_cai_272"/>
    <x v="312"/>
    <n v="1"/>
    <n v="1"/>
    <n v="-40"/>
    <n v="940"/>
  </r>
  <r>
    <x v="60"/>
    <s v="conventional_cashout_cai_273"/>
    <x v="313"/>
    <n v="1"/>
    <n v="1"/>
    <n v="-40"/>
    <n v="940"/>
  </r>
  <r>
    <x v="60"/>
    <s v="conventional_cashout_cai_274"/>
    <x v="314"/>
    <n v="1"/>
    <n v="1"/>
    <n v="-40"/>
    <n v="940"/>
  </r>
  <r>
    <x v="60"/>
    <s v="conventional_cashout_cai_275"/>
    <x v="315"/>
    <n v="1"/>
    <n v="1"/>
    <n v="-40"/>
    <n v="940"/>
  </r>
  <r>
    <x v="60"/>
    <s v="conventional_cashout_cai_276"/>
    <x v="316"/>
    <n v="1"/>
    <n v="1"/>
    <n v="-40"/>
    <n v="940"/>
  </r>
  <r>
    <x v="60"/>
    <s v="conventional_cashout_cai_277"/>
    <x v="317"/>
    <n v="1"/>
    <n v="1"/>
    <n v="-40"/>
    <n v="940"/>
  </r>
  <r>
    <x v="60"/>
    <s v="conventional_cashout_cai_278"/>
    <x v="318"/>
    <n v="1"/>
    <n v="1"/>
    <n v="-40"/>
    <n v="940"/>
  </r>
  <r>
    <x v="60"/>
    <s v="conventional_cashout_cai_279"/>
    <x v="319"/>
    <n v="1"/>
    <n v="1"/>
    <n v="-40"/>
    <n v="940"/>
  </r>
  <r>
    <x v="60"/>
    <s v="conventional_cashout_cai_280"/>
    <x v="320"/>
    <n v="1"/>
    <n v="1"/>
    <n v="-40"/>
    <n v="940"/>
  </r>
  <r>
    <x v="60"/>
    <s v="conventional_cashout_cai_281"/>
    <x v="321"/>
    <n v="1"/>
    <n v="1"/>
    <n v="-40"/>
    <n v="940"/>
  </r>
  <r>
    <x v="60"/>
    <s v="conventional_cashout_cai_282"/>
    <x v="322"/>
    <n v="1"/>
    <n v="1"/>
    <n v="-40"/>
    <n v="940"/>
  </r>
  <r>
    <x v="60"/>
    <s v="conventional_cashout_cai_283"/>
    <x v="323"/>
    <n v="1"/>
    <n v="1"/>
    <n v="-40"/>
    <n v="940"/>
  </r>
  <r>
    <x v="60"/>
    <s v="conventional_cashout_cai_284"/>
    <x v="324"/>
    <n v="1"/>
    <n v="1"/>
    <n v="-40"/>
    <n v="940"/>
  </r>
  <r>
    <x v="60"/>
    <s v="conventional_cashout_cai_285"/>
    <x v="325"/>
    <n v="1"/>
    <n v="1"/>
    <n v="-40"/>
    <n v="940"/>
  </r>
  <r>
    <x v="60"/>
    <s v="conventional_cashout_cai_286"/>
    <x v="326"/>
    <n v="1"/>
    <n v="1"/>
    <n v="-40"/>
    <n v="940"/>
  </r>
  <r>
    <x v="60"/>
    <s v="conventional_cashout_cai_287"/>
    <x v="327"/>
    <n v="1"/>
    <n v="1"/>
    <n v="-40"/>
    <n v="940"/>
  </r>
  <r>
    <x v="60"/>
    <s v="conventional_cashout_cai_288"/>
    <x v="328"/>
    <n v="1"/>
    <n v="1"/>
    <n v="-40"/>
    <n v="940"/>
  </r>
  <r>
    <x v="60"/>
    <s v="conventional_cashout_cai_289"/>
    <x v="329"/>
    <n v="1"/>
    <n v="1"/>
    <n v="-40"/>
    <n v="940"/>
  </r>
  <r>
    <x v="60"/>
    <s v="conventional_cashout_cai_290"/>
    <x v="330"/>
    <n v="1"/>
    <n v="1"/>
    <n v="-40"/>
    <n v="940"/>
  </r>
  <r>
    <x v="60"/>
    <s v="conventional_cashout_cai_291"/>
    <x v="331"/>
    <n v="1"/>
    <n v="1"/>
    <n v="-40"/>
    <n v="940"/>
  </r>
  <r>
    <x v="60"/>
    <s v="conventional_cashout_cai_292"/>
    <x v="332"/>
    <n v="1"/>
    <n v="1"/>
    <n v="-40"/>
    <n v="940"/>
  </r>
  <r>
    <x v="60"/>
    <s v="conventional_cashout_cai_293"/>
    <x v="333"/>
    <n v="1"/>
    <n v="1"/>
    <n v="-40"/>
    <n v="940"/>
  </r>
  <r>
    <x v="60"/>
    <s v="conventional_cashout_cai_294"/>
    <x v="334"/>
    <n v="1"/>
    <n v="1"/>
    <n v="-40"/>
    <n v="940"/>
  </r>
  <r>
    <x v="60"/>
    <s v="conventional_cashout_cai_295"/>
    <x v="335"/>
    <n v="1"/>
    <n v="1"/>
    <n v="-40"/>
    <n v="940"/>
  </r>
  <r>
    <x v="60"/>
    <s v="conventional_cashout_cai_296"/>
    <x v="336"/>
    <n v="1"/>
    <n v="1"/>
    <n v="-40"/>
    <n v="940"/>
  </r>
  <r>
    <x v="60"/>
    <s v="conventional_cashout_cai_297"/>
    <x v="337"/>
    <n v="1"/>
    <n v="1"/>
    <n v="-40"/>
    <n v="940"/>
  </r>
  <r>
    <x v="60"/>
    <s v="conventional_cashout_cai_298"/>
    <x v="338"/>
    <n v="1"/>
    <n v="1"/>
    <n v="-40"/>
    <n v="940"/>
  </r>
  <r>
    <x v="60"/>
    <s v="conventional_cashout_cai_299"/>
    <x v="339"/>
    <n v="1"/>
    <n v="1"/>
    <n v="-40"/>
    <n v="940"/>
  </r>
  <r>
    <x v="60"/>
    <s v="conventional_cashout_cai_300"/>
    <x v="340"/>
    <n v="1"/>
    <n v="1"/>
    <n v="-40"/>
    <n v="940"/>
  </r>
  <r>
    <x v="60"/>
    <s v="conventional_cashout_cai_301"/>
    <x v="341"/>
    <n v="1"/>
    <n v="1"/>
    <n v="-40"/>
    <n v="940"/>
  </r>
  <r>
    <x v="60"/>
    <s v="conventional_cashout_cai_302"/>
    <x v="342"/>
    <n v="1"/>
    <n v="1"/>
    <n v="-40"/>
    <n v="940"/>
  </r>
  <r>
    <x v="60"/>
    <s v="conventional_cashout_cai_303"/>
    <x v="343"/>
    <n v="1"/>
    <n v="1"/>
    <n v="-40"/>
    <n v="940"/>
  </r>
  <r>
    <x v="60"/>
    <s v="conventional_cashout_cai_304"/>
    <x v="344"/>
    <n v="1"/>
    <n v="1"/>
    <n v="-40"/>
    <n v="940"/>
  </r>
  <r>
    <x v="60"/>
    <s v="conventional_cashout_cai_305"/>
    <x v="345"/>
    <n v="1"/>
    <n v="1"/>
    <n v="-40"/>
    <n v="940"/>
  </r>
  <r>
    <x v="60"/>
    <s v="conventional_cashout_cai_306"/>
    <x v="346"/>
    <n v="1"/>
    <n v="1"/>
    <n v="-40"/>
    <n v="940"/>
  </r>
  <r>
    <x v="60"/>
    <s v="conventional_cashout_cai_307"/>
    <x v="347"/>
    <n v="1"/>
    <n v="1"/>
    <n v="-40"/>
    <n v="940"/>
  </r>
  <r>
    <x v="60"/>
    <s v="conventional_cashout_cai_308"/>
    <x v="348"/>
    <n v="1"/>
    <n v="1"/>
    <n v="-40"/>
    <n v="940"/>
  </r>
  <r>
    <x v="60"/>
    <s v="conventional_cashout_cai_309"/>
    <x v="349"/>
    <n v="1"/>
    <n v="1"/>
    <n v="-40"/>
    <n v="940"/>
  </r>
  <r>
    <x v="60"/>
    <s v="conventional_cashout_cai_310"/>
    <x v="350"/>
    <n v="1"/>
    <n v="1"/>
    <n v="-40"/>
    <n v="940"/>
  </r>
  <r>
    <x v="60"/>
    <s v="conventional_cashout_cai_311"/>
    <x v="351"/>
    <n v="1"/>
    <n v="1"/>
    <n v="-40"/>
    <n v="940"/>
  </r>
  <r>
    <x v="60"/>
    <s v="conventional_cashout_cai_312"/>
    <x v="352"/>
    <n v="1"/>
    <n v="1"/>
    <n v="-40"/>
    <n v="940"/>
  </r>
  <r>
    <x v="60"/>
    <s v="conventional_cashout_cai_313"/>
    <x v="353"/>
    <n v="1"/>
    <n v="1"/>
    <n v="-40"/>
    <n v="940"/>
  </r>
  <r>
    <x v="60"/>
    <s v="conventional_cashout_cai_314"/>
    <x v="354"/>
    <n v="1"/>
    <n v="1"/>
    <n v="-40"/>
    <n v="940"/>
  </r>
  <r>
    <x v="60"/>
    <s v="conventional_cashout_cai_315"/>
    <x v="355"/>
    <n v="1"/>
    <n v="1"/>
    <n v="-40"/>
    <n v="940"/>
  </r>
  <r>
    <x v="60"/>
    <s v="conventional_cashout_cai_316"/>
    <x v="356"/>
    <n v="1"/>
    <n v="1"/>
    <n v="-40"/>
    <n v="940"/>
  </r>
  <r>
    <x v="60"/>
    <s v="conventional_cashout_cai_317"/>
    <x v="357"/>
    <n v="1"/>
    <n v="1"/>
    <n v="-40"/>
    <n v="940"/>
  </r>
  <r>
    <x v="60"/>
    <s v="conventional_cashout_cai_318"/>
    <x v="358"/>
    <n v="1"/>
    <n v="1"/>
    <n v="-40"/>
    <n v="940"/>
  </r>
  <r>
    <x v="60"/>
    <s v="conventional_cashout_cai_319"/>
    <x v="359"/>
    <n v="1"/>
    <n v="1"/>
    <n v="-40"/>
    <n v="940"/>
  </r>
  <r>
    <x v="60"/>
    <s v="conventional_cashout_cai_320"/>
    <x v="360"/>
    <n v="1"/>
    <n v="1"/>
    <n v="-40"/>
    <n v="940"/>
  </r>
  <r>
    <x v="60"/>
    <s v="conventional_cashout_cai_321"/>
    <x v="361"/>
    <n v="1"/>
    <n v="1"/>
    <n v="-40"/>
    <n v="940"/>
  </r>
  <r>
    <x v="60"/>
    <s v="conventional_cashout_cai_322"/>
    <x v="362"/>
    <n v="1"/>
    <n v="1"/>
    <n v="-40"/>
    <n v="940"/>
  </r>
  <r>
    <x v="60"/>
    <s v="conventional_cashout_cai_323"/>
    <x v="363"/>
    <n v="1"/>
    <n v="1"/>
    <n v="-40"/>
    <n v="940"/>
  </r>
  <r>
    <x v="60"/>
    <s v="conventional_cashout_cai_324"/>
    <x v="364"/>
    <n v="1"/>
    <n v="1"/>
    <n v="-40"/>
    <n v="940"/>
  </r>
  <r>
    <x v="60"/>
    <s v="conventional_cashout_cai_325"/>
    <x v="365"/>
    <n v="1"/>
    <n v="1"/>
    <n v="-40"/>
    <n v="940"/>
  </r>
  <r>
    <x v="60"/>
    <s v="conventional_cashout_cai_326"/>
    <x v="366"/>
    <n v="1"/>
    <n v="1"/>
    <n v="-40"/>
    <n v="940"/>
  </r>
  <r>
    <x v="60"/>
    <s v="conventional_cashout_cai_327"/>
    <x v="367"/>
    <n v="1"/>
    <n v="1"/>
    <n v="-40"/>
    <n v="940"/>
  </r>
  <r>
    <x v="60"/>
    <s v="conventional_cashout_cai_328"/>
    <x v="368"/>
    <n v="1"/>
    <n v="1"/>
    <n v="-40"/>
    <n v="940"/>
  </r>
  <r>
    <x v="60"/>
    <s v="conventional_cashout_cai_329"/>
    <x v="369"/>
    <n v="1"/>
    <n v="1"/>
    <n v="-40"/>
    <n v="940"/>
  </r>
  <r>
    <x v="60"/>
    <s v="conventional_cashout_cai_330"/>
    <x v="370"/>
    <n v="1"/>
    <n v="1"/>
    <n v="-40"/>
    <n v="940"/>
  </r>
  <r>
    <x v="60"/>
    <s v="conventional_cashout_cai_331"/>
    <x v="371"/>
    <n v="1"/>
    <n v="1"/>
    <n v="-40"/>
    <n v="940"/>
  </r>
  <r>
    <x v="60"/>
    <s v="conventional_cashout_cai_332"/>
    <x v="372"/>
    <n v="1"/>
    <n v="1"/>
    <n v="-40"/>
    <n v="940"/>
  </r>
  <r>
    <x v="60"/>
    <s v="conventional_cashout_cai_333"/>
    <x v="373"/>
    <n v="1"/>
    <n v="1"/>
    <n v="-40"/>
    <n v="940"/>
  </r>
  <r>
    <x v="60"/>
    <s v="conventional_cashout_cai_334"/>
    <x v="374"/>
    <n v="1"/>
    <n v="1"/>
    <n v="-40"/>
    <n v="940"/>
  </r>
  <r>
    <x v="60"/>
    <s v="conventional_cashout_cai_335"/>
    <x v="375"/>
    <n v="1"/>
    <n v="1"/>
    <n v="-40"/>
    <n v="940"/>
  </r>
  <r>
    <x v="60"/>
    <s v="conventional_cashout_cai_336"/>
    <x v="376"/>
    <n v="1"/>
    <n v="1"/>
    <n v="-40"/>
    <n v="940"/>
  </r>
  <r>
    <x v="60"/>
    <s v="conventional_cashout_cai_337"/>
    <x v="377"/>
    <n v="1"/>
    <n v="1"/>
    <n v="-40"/>
    <n v="940"/>
  </r>
  <r>
    <x v="60"/>
    <s v="conventional_cashout_cai_338"/>
    <x v="378"/>
    <n v="1"/>
    <n v="1"/>
    <n v="-40"/>
    <n v="940"/>
  </r>
  <r>
    <x v="60"/>
    <s v="conventional_cashout_cai_339"/>
    <x v="379"/>
    <n v="1"/>
    <n v="1"/>
    <n v="-40"/>
    <n v="940"/>
  </r>
  <r>
    <x v="60"/>
    <s v="conventional_cashout_cai_340"/>
    <x v="380"/>
    <n v="1"/>
    <n v="1"/>
    <n v="-40"/>
    <n v="940"/>
  </r>
  <r>
    <x v="60"/>
    <s v="conventional_cashout_cai_341"/>
    <x v="381"/>
    <n v="1"/>
    <n v="1"/>
    <n v="-40"/>
    <n v="940"/>
  </r>
  <r>
    <x v="60"/>
    <s v="conventional_cashout_cai_342"/>
    <x v="382"/>
    <n v="1"/>
    <n v="1"/>
    <n v="-40"/>
    <n v="940"/>
  </r>
  <r>
    <x v="60"/>
    <s v="conventional_cashout_cai_343"/>
    <x v="383"/>
    <n v="1"/>
    <n v="1"/>
    <n v="-40"/>
    <n v="940"/>
  </r>
  <r>
    <x v="60"/>
    <s v="conventional_cashout_cai_344"/>
    <x v="384"/>
    <n v="1"/>
    <n v="1"/>
    <n v="-40"/>
    <n v="940"/>
  </r>
  <r>
    <x v="60"/>
    <s v="conventional_cashout_cai_345"/>
    <x v="385"/>
    <n v="1"/>
    <n v="1"/>
    <n v="-40"/>
    <n v="940"/>
  </r>
  <r>
    <x v="60"/>
    <s v="conventional_cashout_cai_346"/>
    <x v="386"/>
    <n v="1"/>
    <n v="1"/>
    <n v="-40"/>
    <n v="940"/>
  </r>
  <r>
    <x v="60"/>
    <s v="conventional_cashout_cai_347"/>
    <x v="387"/>
    <n v="1"/>
    <n v="1"/>
    <n v="-40"/>
    <n v="940"/>
  </r>
  <r>
    <x v="60"/>
    <s v="conventional_cashout_cai_348"/>
    <x v="388"/>
    <n v="1"/>
    <n v="1"/>
    <n v="-40"/>
    <n v="940"/>
  </r>
  <r>
    <x v="60"/>
    <s v="conventional_cashout_cai_349"/>
    <x v="389"/>
    <n v="1"/>
    <n v="1"/>
    <n v="-40"/>
    <n v="940"/>
  </r>
  <r>
    <x v="60"/>
    <s v="conventional_cashout_cai_350"/>
    <x v="390"/>
    <n v="1"/>
    <n v="1"/>
    <n v="-40"/>
    <n v="940"/>
  </r>
  <r>
    <x v="60"/>
    <s v="conventional_cashout_cai_351"/>
    <x v="391"/>
    <n v="1"/>
    <n v="1"/>
    <n v="-40"/>
    <n v="940"/>
  </r>
  <r>
    <x v="60"/>
    <s v="conventional_cashout_cai_352"/>
    <x v="392"/>
    <n v="1"/>
    <n v="1"/>
    <n v="-40"/>
    <n v="940"/>
  </r>
  <r>
    <x v="60"/>
    <s v="conventional_cashout_cai_353"/>
    <x v="393"/>
    <n v="1"/>
    <n v="1"/>
    <n v="-40"/>
    <n v="940"/>
  </r>
  <r>
    <x v="60"/>
    <s v="conventional_cashout_cai_354"/>
    <x v="394"/>
    <n v="1"/>
    <n v="1"/>
    <n v="-40"/>
    <n v="940"/>
  </r>
  <r>
    <x v="60"/>
    <s v="conventional_cashout_cai_355"/>
    <x v="395"/>
    <n v="1"/>
    <n v="1"/>
    <n v="-40"/>
    <n v="940"/>
  </r>
  <r>
    <x v="60"/>
    <s v="conventional_cashout_cai_356"/>
    <x v="396"/>
    <n v="1"/>
    <n v="1"/>
    <n v="-40"/>
    <n v="940"/>
  </r>
  <r>
    <x v="60"/>
    <s v="conventional_cashout_cai_357"/>
    <x v="397"/>
    <n v="1"/>
    <n v="1"/>
    <n v="-40"/>
    <n v="940"/>
  </r>
  <r>
    <x v="60"/>
    <s v="conventional_cashout_cai_358"/>
    <x v="398"/>
    <n v="1"/>
    <n v="1"/>
    <n v="-40"/>
    <n v="940"/>
  </r>
  <r>
    <x v="60"/>
    <s v="conventional_cashout_cai_359"/>
    <x v="399"/>
    <n v="1"/>
    <n v="1"/>
    <n v="-40"/>
    <n v="940"/>
  </r>
  <r>
    <x v="60"/>
    <s v="conventional_cashout_cai_360"/>
    <x v="400"/>
    <n v="1"/>
    <n v="1"/>
    <n v="-40"/>
    <n v="940"/>
  </r>
  <r>
    <x v="60"/>
    <s v="conventional_cashout_cai_361"/>
    <x v="401"/>
    <n v="1"/>
    <n v="1"/>
    <n v="-40"/>
    <n v="940"/>
  </r>
  <r>
    <x v="60"/>
    <s v="conventional_cashout_cai_362"/>
    <x v="402"/>
    <n v="1"/>
    <n v="1"/>
    <n v="-40"/>
    <n v="940"/>
  </r>
  <r>
    <x v="60"/>
    <s v="conventional_cashout_cai_363"/>
    <x v="403"/>
    <n v="1"/>
    <n v="1"/>
    <n v="-40"/>
    <n v="940"/>
  </r>
  <r>
    <x v="60"/>
    <s v="conventional_cashout_cai_364"/>
    <x v="404"/>
    <n v="1"/>
    <n v="1"/>
    <n v="-40"/>
    <n v="940"/>
  </r>
  <r>
    <x v="60"/>
    <s v="conventional_cashout_cai_365"/>
    <x v="405"/>
    <n v="1"/>
    <n v="1"/>
    <n v="-40"/>
    <n v="940"/>
  </r>
  <r>
    <x v="60"/>
    <s v="conventional_cashout_cai_366"/>
    <x v="406"/>
    <n v="1"/>
    <n v="1"/>
    <n v="-40"/>
    <n v="940"/>
  </r>
  <r>
    <x v="60"/>
    <s v="conventional_cashout_cai_367"/>
    <x v="407"/>
    <n v="1"/>
    <n v="1"/>
    <n v="-40"/>
    <n v="940"/>
  </r>
  <r>
    <x v="60"/>
    <s v="conventional_cashout_cai_368"/>
    <x v="408"/>
    <n v="1"/>
    <n v="1"/>
    <n v="-40"/>
    <n v="940"/>
  </r>
  <r>
    <x v="60"/>
    <s v="conventional_cashout_cai_369"/>
    <x v="409"/>
    <n v="1"/>
    <n v="1"/>
    <n v="-40"/>
    <n v="940"/>
  </r>
  <r>
    <x v="60"/>
    <s v="conventional_cashout_cai_370"/>
    <x v="410"/>
    <n v="1"/>
    <n v="1"/>
    <n v="-40"/>
    <n v="940"/>
  </r>
  <r>
    <x v="60"/>
    <s v="conventional_cashout_cai_371"/>
    <x v="411"/>
    <n v="1"/>
    <n v="1"/>
    <n v="-40"/>
    <n v="940"/>
  </r>
  <r>
    <x v="60"/>
    <s v="conventional_cashout_cai_372"/>
    <x v="412"/>
    <n v="1"/>
    <n v="1"/>
    <n v="-40"/>
    <n v="940"/>
  </r>
  <r>
    <x v="60"/>
    <s v="conventional_cashout_cai_373"/>
    <x v="413"/>
    <n v="1"/>
    <n v="1"/>
    <n v="-40"/>
    <n v="940"/>
  </r>
  <r>
    <x v="60"/>
    <s v="conventional_cashout_cai_374"/>
    <x v="414"/>
    <n v="1"/>
    <n v="1"/>
    <n v="-40"/>
    <n v="940"/>
  </r>
  <r>
    <x v="60"/>
    <s v="conventional_cashout_cai_375"/>
    <x v="415"/>
    <n v="1"/>
    <n v="1"/>
    <n v="-40"/>
    <n v="940"/>
  </r>
  <r>
    <x v="60"/>
    <s v="conventional_cashout_cai_376"/>
    <x v="416"/>
    <n v="1"/>
    <n v="1"/>
    <n v="-40"/>
    <n v="940"/>
  </r>
  <r>
    <x v="60"/>
    <s v="conventional_cashout_cai_377"/>
    <x v="417"/>
    <n v="1"/>
    <n v="1"/>
    <n v="-40"/>
    <n v="940"/>
  </r>
  <r>
    <x v="60"/>
    <s v="conventional_cashout_cai_378"/>
    <x v="418"/>
    <n v="1"/>
    <n v="1"/>
    <n v="-40"/>
    <n v="940"/>
  </r>
  <r>
    <x v="60"/>
    <s v="conventional_cashout_cai_379"/>
    <x v="419"/>
    <n v="1"/>
    <n v="1"/>
    <n v="-40"/>
    <n v="940"/>
  </r>
  <r>
    <x v="60"/>
    <s v="conventional_cashout_cai_380"/>
    <x v="420"/>
    <n v="1"/>
    <n v="1"/>
    <n v="-40"/>
    <n v="940"/>
  </r>
  <r>
    <x v="60"/>
    <s v="conventional_cashout_cai_381"/>
    <x v="421"/>
    <n v="1"/>
    <n v="1"/>
    <n v="-40"/>
    <n v="940"/>
  </r>
  <r>
    <x v="60"/>
    <s v="conventional_cashout_cai_382"/>
    <x v="422"/>
    <n v="1"/>
    <n v="1"/>
    <n v="-40"/>
    <n v="940"/>
  </r>
  <r>
    <x v="60"/>
    <s v="conventional_cashout_cai_383"/>
    <x v="423"/>
    <n v="1"/>
    <n v="1"/>
    <n v="-40"/>
    <n v="940"/>
  </r>
  <r>
    <x v="60"/>
    <s v="conventional_cashout_cai_384"/>
    <x v="424"/>
    <n v="1"/>
    <n v="1"/>
    <n v="-40"/>
    <n v="940"/>
  </r>
  <r>
    <x v="60"/>
    <s v="conventional_cashout_cai_385"/>
    <x v="425"/>
    <n v="1"/>
    <n v="1"/>
    <n v="-40"/>
    <n v="940"/>
  </r>
  <r>
    <x v="60"/>
    <s v="conventional_cashout_cai_386"/>
    <x v="426"/>
    <n v="1"/>
    <n v="1"/>
    <n v="-40"/>
    <n v="940"/>
  </r>
  <r>
    <x v="60"/>
    <s v="conventional_cashout_cai_387"/>
    <x v="427"/>
    <n v="1"/>
    <n v="1"/>
    <n v="-40"/>
    <n v="940"/>
  </r>
  <r>
    <x v="60"/>
    <s v="conventional_cashout_cai_388"/>
    <x v="428"/>
    <n v="1"/>
    <n v="1"/>
    <n v="-40"/>
    <n v="940"/>
  </r>
  <r>
    <x v="60"/>
    <s v="conventional_cashout_cai_389"/>
    <x v="429"/>
    <n v="1"/>
    <n v="1"/>
    <n v="-40"/>
    <n v="940"/>
  </r>
  <r>
    <x v="60"/>
    <s v="conventional_cashout_cai_390"/>
    <x v="430"/>
    <n v="1"/>
    <n v="1"/>
    <n v="-40"/>
    <n v="940"/>
  </r>
  <r>
    <x v="60"/>
    <s v="conventional_cashout_cai_391"/>
    <x v="431"/>
    <n v="1"/>
    <n v="1"/>
    <n v="-40"/>
    <n v="940"/>
  </r>
  <r>
    <x v="60"/>
    <s v="conventional_cashout_cai_392"/>
    <x v="432"/>
    <n v="1"/>
    <n v="1"/>
    <n v="-40"/>
    <n v="940"/>
  </r>
  <r>
    <x v="60"/>
    <s v="conventional_cashout_cai_393"/>
    <x v="433"/>
    <n v="1"/>
    <n v="1"/>
    <n v="-40"/>
    <n v="940"/>
  </r>
  <r>
    <x v="60"/>
    <s v="conventional_cashout_cai_394"/>
    <x v="434"/>
    <n v="1"/>
    <n v="1"/>
    <n v="-40"/>
    <n v="940"/>
  </r>
  <r>
    <x v="60"/>
    <s v="conventional_cashout_cai_395"/>
    <x v="435"/>
    <n v="1"/>
    <n v="1"/>
    <n v="-40"/>
    <n v="940"/>
  </r>
  <r>
    <x v="60"/>
    <s v="conventional_cashout_cai_396"/>
    <x v="436"/>
    <n v="1"/>
    <n v="1"/>
    <n v="-40"/>
    <n v="940"/>
  </r>
  <r>
    <x v="60"/>
    <s v="conventional_cashout_cai_397"/>
    <x v="437"/>
    <n v="1"/>
    <n v="1"/>
    <n v="-40"/>
    <n v="940"/>
  </r>
  <r>
    <x v="60"/>
    <s v="conventional_cashout_cai_398"/>
    <x v="438"/>
    <n v="1"/>
    <n v="1"/>
    <n v="-40"/>
    <n v="940"/>
  </r>
  <r>
    <x v="60"/>
    <s v="conventional_cashout_cai_399"/>
    <x v="439"/>
    <n v="1"/>
    <n v="1"/>
    <n v="-40"/>
    <n v="940"/>
  </r>
  <r>
    <x v="60"/>
    <s v="conventional_cashout_cai_400"/>
    <x v="440"/>
    <n v="1"/>
    <n v="1"/>
    <n v="-40"/>
    <n v="940"/>
  </r>
  <r>
    <x v="60"/>
    <s v="conventional_cashout_cai_401"/>
    <x v="441"/>
    <n v="1"/>
    <n v="1"/>
    <n v="-40"/>
    <n v="940"/>
  </r>
  <r>
    <x v="60"/>
    <s v="conventional_cashout_cai_402"/>
    <x v="442"/>
    <n v="1"/>
    <n v="1"/>
    <n v="-40"/>
    <n v="940"/>
  </r>
  <r>
    <x v="60"/>
    <s v="conventional_cashout_cai_403"/>
    <x v="443"/>
    <n v="1"/>
    <n v="1"/>
    <n v="-40"/>
    <n v="940"/>
  </r>
  <r>
    <x v="60"/>
    <s v="conventional_cashout_cai_404"/>
    <x v="444"/>
    <n v="1"/>
    <n v="1"/>
    <n v="-40"/>
    <n v="940"/>
  </r>
  <r>
    <x v="60"/>
    <s v="conventional_cashout_cai_405"/>
    <x v="445"/>
    <n v="1"/>
    <n v="1"/>
    <n v="-40"/>
    <n v="940"/>
  </r>
  <r>
    <x v="60"/>
    <s v="conventional_cashout_cai_406"/>
    <x v="446"/>
    <n v="1"/>
    <n v="1"/>
    <n v="-40"/>
    <n v="940"/>
  </r>
  <r>
    <x v="60"/>
    <s v="conventional_cashout_cai_407"/>
    <x v="447"/>
    <n v="1"/>
    <n v="1"/>
    <n v="-40"/>
    <n v="940"/>
  </r>
  <r>
    <x v="60"/>
    <s v="conventional_cashout_cai_408"/>
    <x v="448"/>
    <n v="1"/>
    <n v="1"/>
    <n v="-40"/>
    <n v="940"/>
  </r>
  <r>
    <x v="60"/>
    <s v="conventional_cashout_cai_409"/>
    <x v="449"/>
    <n v="1"/>
    <n v="1"/>
    <n v="-40"/>
    <n v="940"/>
  </r>
  <r>
    <x v="60"/>
    <s v="conventional_cashout_cai_410"/>
    <x v="450"/>
    <n v="1"/>
    <n v="1"/>
    <n v="-40"/>
    <n v="940"/>
  </r>
  <r>
    <x v="60"/>
    <s v="conventional_cashout_cai_411"/>
    <x v="451"/>
    <n v="1"/>
    <n v="1"/>
    <n v="-40"/>
    <n v="940"/>
  </r>
  <r>
    <x v="60"/>
    <s v="conventional_cashout_cai_412"/>
    <x v="452"/>
    <n v="1"/>
    <n v="1"/>
    <n v="-40"/>
    <n v="940"/>
  </r>
  <r>
    <x v="60"/>
    <s v="conventional_cashout_cai_413"/>
    <x v="453"/>
    <n v="1"/>
    <n v="1"/>
    <n v="-40"/>
    <n v="940"/>
  </r>
  <r>
    <x v="60"/>
    <s v="conventional_cashout_cai_414"/>
    <x v="454"/>
    <n v="1"/>
    <n v="1"/>
    <n v="-40"/>
    <n v="940"/>
  </r>
  <r>
    <x v="60"/>
    <s v="conventional_cashout_cai_415"/>
    <x v="455"/>
    <n v="1"/>
    <n v="1"/>
    <n v="-40"/>
    <n v="940"/>
  </r>
  <r>
    <x v="60"/>
    <s v="conventional_cashout_cai_416"/>
    <x v="456"/>
    <n v="1"/>
    <n v="1"/>
    <n v="-40"/>
    <n v="940"/>
  </r>
  <r>
    <x v="60"/>
    <s v="conventional_cashout_cai_417"/>
    <x v="457"/>
    <n v="1"/>
    <n v="1"/>
    <n v="-40"/>
    <n v="940"/>
  </r>
  <r>
    <x v="60"/>
    <s v="conventional_cashout_cai_418"/>
    <x v="458"/>
    <n v="1"/>
    <n v="1"/>
    <n v="-40"/>
    <n v="940"/>
  </r>
  <r>
    <x v="60"/>
    <s v="conventional_cashout_cai_419"/>
    <x v="459"/>
    <n v="1"/>
    <n v="1"/>
    <n v="-40"/>
    <n v="940"/>
  </r>
  <r>
    <x v="60"/>
    <s v="conventional_cashout_cai_420"/>
    <x v="460"/>
    <n v="1"/>
    <n v="1"/>
    <n v="-40"/>
    <n v="940"/>
  </r>
  <r>
    <x v="60"/>
    <s v="conventional_cashout_cai_421"/>
    <x v="461"/>
    <n v="1"/>
    <n v="1"/>
    <n v="-40"/>
    <n v="940"/>
  </r>
  <r>
    <x v="60"/>
    <s v="conventional_cashout_cai_422"/>
    <x v="462"/>
    <n v="1"/>
    <n v="1"/>
    <n v="-40"/>
    <n v="940"/>
  </r>
  <r>
    <x v="60"/>
    <s v="conventional_cashout_cai_423"/>
    <x v="463"/>
    <n v="1"/>
    <n v="1"/>
    <n v="-40"/>
    <n v="940"/>
  </r>
  <r>
    <x v="60"/>
    <s v="conventional_cashout_cai_424"/>
    <x v="464"/>
    <n v="1"/>
    <n v="1"/>
    <n v="-40"/>
    <n v="940"/>
  </r>
  <r>
    <x v="60"/>
    <s v="conventional_cashout_cai_425"/>
    <x v="465"/>
    <n v="1"/>
    <n v="1"/>
    <n v="-40"/>
    <n v="940"/>
  </r>
  <r>
    <x v="60"/>
    <s v="conventional_cashout_cai_426"/>
    <x v="466"/>
    <n v="1"/>
    <n v="1"/>
    <n v="-40"/>
    <n v="940"/>
  </r>
  <r>
    <x v="60"/>
    <s v="conventional_cashout_cai_427"/>
    <x v="467"/>
    <n v="1"/>
    <n v="1"/>
    <n v="-40"/>
    <n v="940"/>
  </r>
  <r>
    <x v="60"/>
    <s v="conventional_cashout_cai_428"/>
    <x v="468"/>
    <n v="1"/>
    <n v="1"/>
    <n v="-40"/>
    <n v="940"/>
  </r>
  <r>
    <x v="60"/>
    <s v="conventional_cashout_cai_429"/>
    <x v="469"/>
    <n v="1"/>
    <n v="1"/>
    <n v="-40"/>
    <n v="940"/>
  </r>
  <r>
    <x v="60"/>
    <s v="conventional_cashout_cai_430"/>
    <x v="470"/>
    <n v="1"/>
    <n v="1"/>
    <n v="-40"/>
    <n v="940"/>
  </r>
  <r>
    <x v="60"/>
    <s v="conventional_cashout_cai_431"/>
    <x v="471"/>
    <n v="1"/>
    <n v="1"/>
    <n v="-40"/>
    <n v="940"/>
  </r>
  <r>
    <x v="60"/>
    <s v="conventional_cashout_cai_432"/>
    <x v="472"/>
    <n v="1"/>
    <n v="1"/>
    <n v="-40"/>
    <n v="940"/>
  </r>
  <r>
    <x v="60"/>
    <s v="conventional_cashout_cai_433"/>
    <x v="473"/>
    <n v="1"/>
    <n v="1"/>
    <n v="-40"/>
    <n v="940"/>
  </r>
  <r>
    <x v="60"/>
    <s v="conventional_cashout_cai_434"/>
    <x v="474"/>
    <n v="1"/>
    <n v="1"/>
    <n v="-40"/>
    <n v="940"/>
  </r>
  <r>
    <x v="60"/>
    <s v="conventional_cashout_cai_435"/>
    <x v="475"/>
    <n v="1"/>
    <n v="1"/>
    <n v="-40"/>
    <n v="940"/>
  </r>
  <r>
    <x v="60"/>
    <s v="conventional_cashout_cai_436"/>
    <x v="476"/>
    <n v="1"/>
    <n v="1"/>
    <n v="-40"/>
    <n v="940"/>
  </r>
  <r>
    <x v="60"/>
    <s v="conventional_cashout_cai_437"/>
    <x v="477"/>
    <n v="1"/>
    <n v="1"/>
    <n v="-40"/>
    <n v="940"/>
  </r>
  <r>
    <x v="60"/>
    <s v="conventional_cashout_cai_438"/>
    <x v="478"/>
    <n v="1"/>
    <n v="1"/>
    <n v="-40"/>
    <n v="940"/>
  </r>
  <r>
    <x v="60"/>
    <s v="conventional_cashout_cai_439"/>
    <x v="479"/>
    <n v="1"/>
    <n v="1"/>
    <n v="-40"/>
    <n v="940"/>
  </r>
  <r>
    <x v="60"/>
    <s v="conventional_cashout_cai_440"/>
    <x v="480"/>
    <n v="1"/>
    <n v="1"/>
    <n v="-40"/>
    <n v="940"/>
  </r>
  <r>
    <x v="60"/>
    <s v="conventional_cashout_cai_441"/>
    <x v="481"/>
    <n v="1"/>
    <n v="1"/>
    <n v="-40"/>
    <n v="940"/>
  </r>
  <r>
    <x v="60"/>
    <s v="conventional_cashout_cai_442"/>
    <x v="482"/>
    <n v="1"/>
    <n v="1"/>
    <n v="-40"/>
    <n v="940"/>
  </r>
  <r>
    <x v="60"/>
    <s v="conventional_cashout_cai_443"/>
    <x v="483"/>
    <n v="1"/>
    <n v="1"/>
    <n v="-40"/>
    <n v="940"/>
  </r>
  <r>
    <x v="60"/>
    <s v="conventional_cashout_cai_444"/>
    <x v="484"/>
    <n v="1"/>
    <n v="1"/>
    <n v="-40"/>
    <n v="940"/>
  </r>
  <r>
    <x v="60"/>
    <s v="conventional_cashout_cai_445"/>
    <x v="485"/>
    <n v="1"/>
    <n v="1"/>
    <n v="-40"/>
    <n v="940"/>
  </r>
  <r>
    <x v="60"/>
    <s v="conventional_cashout_cai_446"/>
    <x v="486"/>
    <n v="1"/>
    <n v="1"/>
    <n v="-40"/>
    <n v="940"/>
  </r>
  <r>
    <x v="60"/>
    <s v="conventional_cashout_cai_447"/>
    <x v="487"/>
    <n v="1"/>
    <n v="1"/>
    <n v="-40"/>
    <n v="940"/>
  </r>
  <r>
    <x v="60"/>
    <s v="conventional_cashout_cai_448"/>
    <x v="488"/>
    <n v="1"/>
    <n v="1"/>
    <n v="-40"/>
    <n v="940"/>
  </r>
  <r>
    <x v="60"/>
    <s v="conventional_cashout_cai_449"/>
    <x v="489"/>
    <n v="1"/>
    <n v="1"/>
    <n v="-40"/>
    <n v="940"/>
  </r>
  <r>
    <x v="60"/>
    <s v="conventional_cashout_cai_450"/>
    <x v="490"/>
    <n v="1"/>
    <n v="1"/>
    <n v="-40"/>
    <n v="940"/>
  </r>
  <r>
    <x v="60"/>
    <s v="conventional_cashout_cai_451"/>
    <x v="491"/>
    <n v="1"/>
    <n v="1"/>
    <n v="-40"/>
    <n v="940"/>
  </r>
  <r>
    <x v="60"/>
    <s v="conventional_cashout_cai_452"/>
    <x v="492"/>
    <n v="1"/>
    <n v="1"/>
    <n v="-40"/>
    <n v="940"/>
  </r>
  <r>
    <x v="60"/>
    <s v="conventional_cashout_cai_453"/>
    <x v="493"/>
    <n v="1"/>
    <n v="1"/>
    <n v="-40"/>
    <n v="940"/>
  </r>
  <r>
    <x v="60"/>
    <s v="conventional_cashout_cai_454"/>
    <x v="494"/>
    <n v="1"/>
    <n v="1"/>
    <n v="-40"/>
    <n v="940"/>
  </r>
  <r>
    <x v="60"/>
    <s v="conventional_cashout_cai_455"/>
    <x v="495"/>
    <n v="1"/>
    <n v="1"/>
    <n v="-40"/>
    <n v="940"/>
  </r>
  <r>
    <x v="60"/>
    <s v="conventional_cashout_cai_456"/>
    <x v="496"/>
    <n v="1"/>
    <n v="1"/>
    <n v="-40"/>
    <n v="940"/>
  </r>
  <r>
    <x v="60"/>
    <s v="conventional_cashout_cai_457"/>
    <x v="497"/>
    <n v="1"/>
    <n v="1"/>
    <n v="-40"/>
    <n v="940"/>
  </r>
  <r>
    <x v="60"/>
    <s v="conventional_cashout_cai_458"/>
    <x v="498"/>
    <n v="1"/>
    <n v="1"/>
    <n v="-40"/>
    <n v="940"/>
  </r>
  <r>
    <x v="60"/>
    <s v="conventional_cashout_cai_459"/>
    <x v="499"/>
    <n v="1"/>
    <n v="1"/>
    <n v="-40"/>
    <n v="940"/>
  </r>
  <r>
    <x v="60"/>
    <s v="conventional_cashout_cai_460"/>
    <x v="500"/>
    <n v="1"/>
    <n v="1"/>
    <n v="-40"/>
    <n v="940"/>
  </r>
  <r>
    <x v="60"/>
    <s v="conventional_cashout_cai_461"/>
    <x v="501"/>
    <n v="1"/>
    <n v="1"/>
    <n v="-40"/>
    <n v="940"/>
  </r>
  <r>
    <x v="60"/>
    <s v="conventional_cashout_cai_462"/>
    <x v="502"/>
    <n v="1"/>
    <n v="1"/>
    <n v="-40"/>
    <n v="940"/>
  </r>
  <r>
    <x v="60"/>
    <s v="conventional_cashout_cai_463"/>
    <x v="503"/>
    <n v="1"/>
    <n v="1"/>
    <n v="-40"/>
    <n v="940"/>
  </r>
  <r>
    <x v="60"/>
    <s v="conventional_cashout_cai_464"/>
    <x v="504"/>
    <n v="1"/>
    <n v="1"/>
    <n v="-40"/>
    <n v="940"/>
  </r>
  <r>
    <x v="60"/>
    <s v="conventional_cashout_cai_465"/>
    <x v="505"/>
    <n v="1"/>
    <n v="1"/>
    <n v="-40"/>
    <n v="940"/>
  </r>
  <r>
    <x v="60"/>
    <s v="conventional_cashout_cai_466"/>
    <x v="506"/>
    <n v="1"/>
    <n v="1"/>
    <n v="-40"/>
    <n v="940"/>
  </r>
  <r>
    <x v="60"/>
    <s v="conventional_cashout_cai_467"/>
    <x v="507"/>
    <n v="1"/>
    <n v="1"/>
    <n v="-40"/>
    <n v="940"/>
  </r>
  <r>
    <x v="60"/>
    <s v="conventional_cashout_cai_468"/>
    <x v="508"/>
    <n v="1"/>
    <n v="1"/>
    <n v="-40"/>
    <n v="940"/>
  </r>
  <r>
    <x v="60"/>
    <s v="conventional_cashout_cai_469"/>
    <x v="509"/>
    <n v="1"/>
    <n v="1"/>
    <n v="-40"/>
    <n v="940"/>
  </r>
  <r>
    <x v="60"/>
    <s v="conventional_cashout_cai_470"/>
    <x v="510"/>
    <n v="1"/>
    <n v="1"/>
    <n v="-40"/>
    <n v="940"/>
  </r>
  <r>
    <x v="60"/>
    <s v="conventional_cashout_cai_471"/>
    <x v="511"/>
    <n v="1"/>
    <n v="1"/>
    <n v="-40"/>
    <n v="940"/>
  </r>
  <r>
    <x v="60"/>
    <s v="conventional_cashout_cai_472"/>
    <x v="512"/>
    <n v="1"/>
    <n v="1"/>
    <n v="-40"/>
    <n v="940"/>
  </r>
  <r>
    <x v="60"/>
    <s v="conventional_cashout_cai_473"/>
    <x v="513"/>
    <n v="1"/>
    <n v="1"/>
    <n v="-40"/>
    <n v="940"/>
  </r>
  <r>
    <x v="60"/>
    <s v="conventional_cashout_cai_474"/>
    <x v="514"/>
    <n v="1"/>
    <n v="1"/>
    <n v="-40"/>
    <n v="940"/>
  </r>
  <r>
    <x v="60"/>
    <s v="conventional_cashout_cai_475"/>
    <x v="515"/>
    <n v="1"/>
    <n v="1"/>
    <n v="-40"/>
    <n v="940"/>
  </r>
  <r>
    <x v="60"/>
    <s v="conventional_cashout_cai_476"/>
    <x v="516"/>
    <n v="1"/>
    <n v="1"/>
    <n v="-40"/>
    <n v="940"/>
  </r>
  <r>
    <x v="60"/>
    <s v="conventional_cashout_cai_477"/>
    <x v="517"/>
    <n v="1"/>
    <n v="1"/>
    <n v="-40"/>
    <n v="940"/>
  </r>
  <r>
    <x v="60"/>
    <s v="conventional_cashout_cai_478"/>
    <x v="518"/>
    <n v="1"/>
    <n v="1"/>
    <n v="-40"/>
    <n v="940"/>
  </r>
  <r>
    <x v="60"/>
    <s v="conventional_cashout_cai_479"/>
    <x v="519"/>
    <n v="1"/>
    <n v="1"/>
    <n v="-40"/>
    <n v="940"/>
  </r>
  <r>
    <x v="60"/>
    <s v="conventional_cashout_cai_480"/>
    <x v="520"/>
    <n v="1"/>
    <n v="1"/>
    <n v="-40"/>
    <n v="940"/>
  </r>
  <r>
    <x v="60"/>
    <s v="conventional_cashout_cai_481"/>
    <x v="521"/>
    <n v="1"/>
    <n v="1"/>
    <n v="-40"/>
    <n v="940"/>
  </r>
  <r>
    <x v="60"/>
    <s v="conventional_cashout_cai_482"/>
    <x v="522"/>
    <n v="1"/>
    <n v="1"/>
    <n v="-40"/>
    <n v="940"/>
  </r>
  <r>
    <x v="60"/>
    <s v="conventional_cashout_cai_483"/>
    <x v="523"/>
    <n v="1"/>
    <n v="1"/>
    <n v="-40"/>
    <n v="940"/>
  </r>
  <r>
    <x v="60"/>
    <s v="conventional_cashout_cai_484"/>
    <x v="524"/>
    <n v="1"/>
    <n v="1"/>
    <n v="-40"/>
    <n v="940"/>
  </r>
  <r>
    <x v="60"/>
    <s v="conventional_cashout_cai_485"/>
    <x v="525"/>
    <n v="1"/>
    <n v="1"/>
    <n v="-40"/>
    <n v="940"/>
  </r>
  <r>
    <x v="60"/>
    <s v="conventional_cashout_cai_486"/>
    <x v="526"/>
    <n v="1"/>
    <n v="1"/>
    <n v="-40"/>
    <n v="940"/>
  </r>
  <r>
    <x v="60"/>
    <s v="conventional_cashout_cai_487"/>
    <x v="527"/>
    <n v="1"/>
    <n v="1"/>
    <n v="-40"/>
    <n v="940"/>
  </r>
  <r>
    <x v="60"/>
    <s v="conventional_cashout_cai_488"/>
    <x v="528"/>
    <n v="1"/>
    <n v="1"/>
    <n v="-40"/>
    <n v="940"/>
  </r>
  <r>
    <x v="60"/>
    <s v="conventional_cashout_cai_489"/>
    <x v="529"/>
    <n v="1"/>
    <n v="1"/>
    <n v="-40"/>
    <n v="940"/>
  </r>
  <r>
    <x v="60"/>
    <s v="conventional_cashout_cai_490"/>
    <x v="530"/>
    <n v="1"/>
    <n v="1"/>
    <n v="-40"/>
    <n v="940"/>
  </r>
  <r>
    <x v="60"/>
    <s v="conventional_cashout_cai_491"/>
    <x v="531"/>
    <n v="1"/>
    <n v="1"/>
    <n v="-40"/>
    <n v="940"/>
  </r>
  <r>
    <x v="60"/>
    <s v="conventional_cashout_cai_492"/>
    <x v="532"/>
    <n v="1"/>
    <n v="1"/>
    <n v="-40"/>
    <n v="940"/>
  </r>
  <r>
    <x v="60"/>
    <s v="conventional_cashout_cai_493"/>
    <x v="533"/>
    <n v="1"/>
    <n v="1"/>
    <n v="-40"/>
    <n v="940"/>
  </r>
  <r>
    <x v="60"/>
    <s v="conventional_cashout_cai_494"/>
    <x v="534"/>
    <n v="1"/>
    <n v="1"/>
    <n v="-40"/>
    <n v="940"/>
  </r>
  <r>
    <x v="60"/>
    <s v="conventional_cashout_cai_495"/>
    <x v="535"/>
    <n v="1"/>
    <n v="1"/>
    <n v="-40"/>
    <n v="940"/>
  </r>
  <r>
    <x v="60"/>
    <s v="conventional_cashout_cai_496"/>
    <x v="536"/>
    <n v="1"/>
    <n v="1"/>
    <n v="-40"/>
    <n v="940"/>
  </r>
  <r>
    <x v="60"/>
    <s v="conventional_cashout_cai_497"/>
    <x v="537"/>
    <n v="1"/>
    <n v="1"/>
    <n v="-40"/>
    <n v="940"/>
  </r>
  <r>
    <x v="60"/>
    <s v="conventional_cashout_cai_498"/>
    <x v="538"/>
    <n v="1"/>
    <n v="1"/>
    <n v="-40"/>
    <n v="940"/>
  </r>
  <r>
    <x v="60"/>
    <s v="conventional_cashout_cai_499"/>
    <x v="539"/>
    <n v="1"/>
    <n v="1"/>
    <n v="-40"/>
    <n v="940"/>
  </r>
  <r>
    <x v="60"/>
    <s v="conventional_cashout_cai_500"/>
    <x v="540"/>
    <n v="1"/>
    <n v="1"/>
    <n v="-40"/>
    <n v="940"/>
  </r>
  <r>
    <x v="60"/>
    <s v="conventional_cashout_cai_501"/>
    <x v="541"/>
    <n v="1"/>
    <n v="1"/>
    <n v="-40"/>
    <n v="940"/>
  </r>
  <r>
    <x v="60"/>
    <s v="conventional_cashout_cai_502"/>
    <x v="542"/>
    <n v="1"/>
    <n v="1"/>
    <n v="-40"/>
    <n v="940"/>
  </r>
  <r>
    <x v="60"/>
    <s v="conventional_cashout_cai_503"/>
    <x v="543"/>
    <n v="1"/>
    <n v="1"/>
    <n v="-40"/>
    <n v="940"/>
  </r>
  <r>
    <x v="60"/>
    <s v="conventional_cashout_cai_504"/>
    <x v="544"/>
    <n v="1"/>
    <n v="1"/>
    <n v="-40"/>
    <n v="940"/>
  </r>
  <r>
    <x v="60"/>
    <s v="conventional_cashout_cai_505"/>
    <x v="545"/>
    <n v="1"/>
    <n v="1"/>
    <n v="-40"/>
    <n v="940"/>
  </r>
  <r>
    <x v="60"/>
    <s v="conventional_cashout_cai_506"/>
    <x v="546"/>
    <n v="1"/>
    <n v="1"/>
    <n v="-40"/>
    <n v="940"/>
  </r>
  <r>
    <x v="60"/>
    <s v="conventional_cashout_cai_507"/>
    <x v="547"/>
    <n v="1"/>
    <n v="1"/>
    <n v="-40"/>
    <n v="940"/>
  </r>
  <r>
    <x v="60"/>
    <s v="conventional_cashout_cai_508"/>
    <x v="548"/>
    <n v="1"/>
    <n v="1"/>
    <n v="-40"/>
    <n v="940"/>
  </r>
  <r>
    <x v="60"/>
    <s v="conventional_cashout_cai_509"/>
    <x v="549"/>
    <n v="1"/>
    <n v="1"/>
    <n v="-40"/>
    <n v="940"/>
  </r>
  <r>
    <x v="60"/>
    <s v="conventional_cashout_cai_510"/>
    <x v="550"/>
    <n v="1"/>
    <n v="1"/>
    <n v="-40"/>
    <n v="940"/>
  </r>
  <r>
    <x v="60"/>
    <s v="conventional_cashout_cai_511"/>
    <x v="551"/>
    <n v="1"/>
    <n v="1"/>
    <n v="-40"/>
    <n v="940"/>
  </r>
  <r>
    <x v="60"/>
    <s v="conventional_cashout_cai_512"/>
    <x v="552"/>
    <n v="1"/>
    <n v="1"/>
    <n v="-40"/>
    <n v="940"/>
  </r>
  <r>
    <x v="60"/>
    <s v="conventional_cashout_cai_513"/>
    <x v="553"/>
    <n v="1"/>
    <n v="1"/>
    <n v="-40"/>
    <n v="940"/>
  </r>
  <r>
    <x v="60"/>
    <s v="conventional_cashout_cai_514"/>
    <x v="554"/>
    <n v="1"/>
    <n v="1"/>
    <n v="-40"/>
    <n v="940"/>
  </r>
  <r>
    <x v="60"/>
    <s v="conventional_cashout_cai_515"/>
    <x v="555"/>
    <n v="1"/>
    <n v="1"/>
    <n v="-40"/>
    <n v="940"/>
  </r>
  <r>
    <x v="60"/>
    <s v="conventional_cashout_cai_516"/>
    <x v="556"/>
    <n v="1"/>
    <n v="1"/>
    <n v="-40"/>
    <n v="940"/>
  </r>
  <r>
    <x v="60"/>
    <s v="conventional_cashout_cai_517"/>
    <x v="557"/>
    <n v="1"/>
    <n v="1"/>
    <n v="-40"/>
    <n v="940"/>
  </r>
  <r>
    <x v="60"/>
    <s v="conventional_cashout_cai_518"/>
    <x v="558"/>
    <n v="1"/>
    <n v="1"/>
    <n v="-40"/>
    <n v="940"/>
  </r>
  <r>
    <x v="60"/>
    <s v="conventional_cashout_cai_519"/>
    <x v="559"/>
    <n v="1"/>
    <n v="1"/>
    <n v="-40"/>
    <n v="940"/>
  </r>
  <r>
    <x v="60"/>
    <s v="conventional_cashout_cai_520"/>
    <x v="560"/>
    <n v="1"/>
    <n v="1"/>
    <n v="-40"/>
    <n v="940"/>
  </r>
  <r>
    <x v="60"/>
    <s v="conventional_cashout_cai_521"/>
    <x v="561"/>
    <n v="1"/>
    <n v="1"/>
    <n v="-40"/>
    <n v="940"/>
  </r>
  <r>
    <x v="60"/>
    <s v="conventional_cashout_cai_522"/>
    <x v="562"/>
    <n v="1"/>
    <n v="1"/>
    <n v="-40"/>
    <n v="940"/>
  </r>
  <r>
    <x v="60"/>
    <s v="conventional_cashout_cai_523"/>
    <x v="563"/>
    <n v="1"/>
    <n v="1"/>
    <n v="-40"/>
    <n v="940"/>
  </r>
  <r>
    <x v="60"/>
    <s v="conventional_cashout_cai_524"/>
    <x v="564"/>
    <n v="1"/>
    <n v="1"/>
    <n v="-40"/>
    <n v="940"/>
  </r>
  <r>
    <x v="60"/>
    <s v="conventional_cashout_cai_525"/>
    <x v="565"/>
    <n v="1"/>
    <n v="1"/>
    <n v="-40"/>
    <n v="940"/>
  </r>
  <r>
    <x v="60"/>
    <s v="conventional_cashout_cai_526"/>
    <x v="566"/>
    <n v="1"/>
    <n v="1"/>
    <n v="-40"/>
    <n v="940"/>
  </r>
  <r>
    <x v="60"/>
    <s v="conventional_cashout_cai_527"/>
    <x v="567"/>
    <n v="1"/>
    <n v="1"/>
    <n v="-40"/>
    <n v="940"/>
  </r>
  <r>
    <x v="60"/>
    <s v="conventional_cashout_cai_528"/>
    <x v="568"/>
    <n v="1"/>
    <n v="1"/>
    <n v="-40"/>
    <n v="940"/>
  </r>
  <r>
    <x v="60"/>
    <s v="conventional_cashout_cai_529"/>
    <x v="569"/>
    <n v="1"/>
    <n v="1"/>
    <n v="-40"/>
    <n v="940"/>
  </r>
  <r>
    <x v="60"/>
    <s v="conventional_cashout_cai_530"/>
    <x v="570"/>
    <n v="1"/>
    <n v="1"/>
    <n v="-40"/>
    <n v="940"/>
  </r>
  <r>
    <x v="60"/>
    <s v="conventional_cashout_cai_531"/>
    <x v="571"/>
    <n v="1"/>
    <n v="1"/>
    <n v="-40"/>
    <n v="940"/>
  </r>
  <r>
    <x v="60"/>
    <s v="conventional_cashout_cai_532"/>
    <x v="572"/>
    <n v="1"/>
    <n v="1"/>
    <n v="-40"/>
    <n v="940"/>
  </r>
  <r>
    <x v="60"/>
    <s v="conventional_cashout_cai_533"/>
    <x v="573"/>
    <n v="1"/>
    <n v="1"/>
    <n v="-40"/>
    <n v="940"/>
  </r>
  <r>
    <x v="60"/>
    <s v="conventional_cashout_cai_534"/>
    <x v="574"/>
    <n v="1"/>
    <n v="1"/>
    <n v="-40"/>
    <n v="940"/>
  </r>
  <r>
    <x v="60"/>
    <s v="conventional_cashout_cai_535"/>
    <x v="575"/>
    <n v="1"/>
    <n v="1"/>
    <n v="-40"/>
    <n v="940"/>
  </r>
  <r>
    <x v="60"/>
    <s v="conventional_cashout_cai_536"/>
    <x v="576"/>
    <n v="1"/>
    <n v="1"/>
    <n v="-40"/>
    <n v="940"/>
  </r>
  <r>
    <x v="60"/>
    <s v="conventional_cashout_cai_537"/>
    <x v="577"/>
    <n v="1"/>
    <n v="1"/>
    <n v="-40"/>
    <n v="940"/>
  </r>
  <r>
    <x v="60"/>
    <s v="conventional_cashout_cai_538"/>
    <x v="578"/>
    <n v="1"/>
    <n v="1"/>
    <n v="-40"/>
    <n v="940"/>
  </r>
  <r>
    <x v="60"/>
    <s v="conventional_cashout_cai_539"/>
    <x v="579"/>
    <n v="1"/>
    <n v="1"/>
    <n v="-40"/>
    <n v="940"/>
  </r>
  <r>
    <x v="60"/>
    <s v="conventional_cashout_cai_540"/>
    <x v="580"/>
    <n v="1"/>
    <n v="1"/>
    <n v="-40"/>
    <n v="940"/>
  </r>
  <r>
    <x v="60"/>
    <s v="conventional_cashout_cai_541"/>
    <x v="581"/>
    <n v="1"/>
    <n v="1"/>
    <n v="-40"/>
    <n v="940"/>
  </r>
  <r>
    <x v="60"/>
    <s v="conventional_cashout_cai_542"/>
    <x v="582"/>
    <n v="1"/>
    <n v="1"/>
    <n v="-40"/>
    <n v="940"/>
  </r>
  <r>
    <x v="60"/>
    <s v="conventional_cashout_cai_543"/>
    <x v="583"/>
    <n v="1"/>
    <n v="1"/>
    <n v="-40"/>
    <n v="940"/>
  </r>
  <r>
    <x v="60"/>
    <s v="conventional_cashout_cai_544"/>
    <x v="584"/>
    <n v="1"/>
    <n v="1"/>
    <n v="-40"/>
    <n v="940"/>
  </r>
  <r>
    <x v="60"/>
    <s v="conventional_cashout_cai_545"/>
    <x v="585"/>
    <n v="1"/>
    <n v="1"/>
    <n v="-40"/>
    <n v="940"/>
  </r>
  <r>
    <x v="60"/>
    <s v="conventional_cashout_cai_546"/>
    <x v="586"/>
    <n v="1"/>
    <n v="1"/>
    <n v="-40"/>
    <n v="940"/>
  </r>
  <r>
    <x v="60"/>
    <s v="conventional_cashout_cai_547"/>
    <x v="587"/>
    <n v="1"/>
    <n v="1"/>
    <n v="-40"/>
    <n v="940"/>
  </r>
  <r>
    <x v="60"/>
    <s v="conventional_cashout_cai_548"/>
    <x v="588"/>
    <n v="1"/>
    <n v="1"/>
    <n v="-40"/>
    <n v="940"/>
  </r>
  <r>
    <x v="60"/>
    <s v="conventional_cashout_cai_549"/>
    <x v="589"/>
    <n v="1"/>
    <n v="1"/>
    <n v="-40"/>
    <n v="940"/>
  </r>
  <r>
    <x v="60"/>
    <s v="conventional_cashout_cai_550"/>
    <x v="590"/>
    <n v="1"/>
    <n v="1"/>
    <n v="-40"/>
    <n v="940"/>
  </r>
  <r>
    <x v="60"/>
    <s v="conventional_cashout_cai_551"/>
    <x v="591"/>
    <n v="1"/>
    <n v="1"/>
    <n v="-40"/>
    <n v="940"/>
  </r>
  <r>
    <x v="60"/>
    <s v="conventional_cashout_cai_552"/>
    <x v="592"/>
    <n v="1"/>
    <n v="1"/>
    <n v="-40"/>
    <n v="940"/>
  </r>
  <r>
    <x v="60"/>
    <s v="conventional_cashout_cai_553"/>
    <x v="593"/>
    <n v="1"/>
    <n v="1"/>
    <n v="-40"/>
    <n v="940"/>
  </r>
  <r>
    <x v="60"/>
    <s v="conventional_cashout_cai_554"/>
    <x v="594"/>
    <n v="1"/>
    <n v="1"/>
    <n v="-40"/>
    <n v="940"/>
  </r>
  <r>
    <x v="60"/>
    <s v="conventional_cashout_cai_555"/>
    <x v="595"/>
    <n v="1"/>
    <n v="1"/>
    <n v="-40"/>
    <n v="940"/>
  </r>
  <r>
    <x v="60"/>
    <s v="conventional_cashout_cai_556"/>
    <x v="596"/>
    <n v="1"/>
    <n v="1"/>
    <n v="-40"/>
    <n v="940"/>
  </r>
  <r>
    <x v="60"/>
    <s v="conventional_cashout_cai_557"/>
    <x v="597"/>
    <n v="1"/>
    <n v="1"/>
    <n v="-40"/>
    <n v="940"/>
  </r>
  <r>
    <x v="60"/>
    <s v="conventional_cashout_cai_558"/>
    <x v="598"/>
    <n v="1"/>
    <n v="1"/>
    <n v="-40"/>
    <n v="940"/>
  </r>
  <r>
    <x v="60"/>
    <s v="conventional_cashout_cai_559"/>
    <x v="599"/>
    <n v="1"/>
    <n v="1"/>
    <n v="-40"/>
    <n v="940"/>
  </r>
  <r>
    <x v="60"/>
    <s v="conventional_cashout_cai_560"/>
    <x v="600"/>
    <n v="1"/>
    <n v="1"/>
    <n v="-40"/>
    <n v="940"/>
  </r>
  <r>
    <x v="60"/>
    <s v="conventional_cashout_cai_561"/>
    <x v="601"/>
    <n v="1"/>
    <n v="1"/>
    <n v="-40"/>
    <n v="940"/>
  </r>
  <r>
    <x v="60"/>
    <s v="conventional_cashout_cai_562"/>
    <x v="602"/>
    <n v="1"/>
    <n v="1"/>
    <n v="-40"/>
    <n v="940"/>
  </r>
  <r>
    <x v="60"/>
    <s v="conventional_cashout_cai_563"/>
    <x v="603"/>
    <n v="1"/>
    <n v="1"/>
    <n v="-40"/>
    <n v="940"/>
  </r>
  <r>
    <x v="60"/>
    <s v="conventional_cashout_cai_564"/>
    <x v="604"/>
    <n v="1"/>
    <n v="1"/>
    <n v="-40"/>
    <n v="940"/>
  </r>
  <r>
    <x v="60"/>
    <s v="conventional_cashout_cai_565"/>
    <x v="605"/>
    <n v="1"/>
    <n v="1"/>
    <n v="-40"/>
    <n v="940"/>
  </r>
  <r>
    <x v="60"/>
    <s v="conventional_cashout_cai_566"/>
    <x v="606"/>
    <n v="1"/>
    <n v="1"/>
    <n v="-40"/>
    <n v="940"/>
  </r>
  <r>
    <x v="60"/>
    <s v="conventional_cashout_cai_567"/>
    <x v="607"/>
    <n v="1"/>
    <n v="1"/>
    <n v="-40"/>
    <n v="940"/>
  </r>
  <r>
    <x v="60"/>
    <s v="conventional_cashout_cai_568"/>
    <x v="608"/>
    <n v="1"/>
    <n v="1"/>
    <n v="-40"/>
    <n v="940"/>
  </r>
  <r>
    <x v="60"/>
    <s v="conventional_cashout_cai_569"/>
    <x v="609"/>
    <n v="1"/>
    <n v="1"/>
    <n v="-40"/>
    <n v="940"/>
  </r>
  <r>
    <x v="60"/>
    <s v="conventional_cashout_cai_570"/>
    <x v="610"/>
    <n v="1"/>
    <n v="1"/>
    <n v="-40"/>
    <n v="940"/>
  </r>
  <r>
    <x v="60"/>
    <s v="conventional_cashout_cai_571"/>
    <x v="611"/>
    <n v="1"/>
    <n v="1"/>
    <n v="-40"/>
    <n v="940"/>
  </r>
  <r>
    <x v="60"/>
    <s v="conventional_cashout_cai_572"/>
    <x v="612"/>
    <n v="1"/>
    <n v="1"/>
    <n v="-40"/>
    <n v="940"/>
  </r>
  <r>
    <x v="60"/>
    <s v="conventional_cashout_cai_573"/>
    <x v="613"/>
    <n v="1"/>
    <n v="1"/>
    <n v="-40"/>
    <n v="940"/>
  </r>
  <r>
    <x v="60"/>
    <s v="conventional_cashout_cai_574"/>
    <x v="614"/>
    <n v="1"/>
    <n v="1"/>
    <n v="-40"/>
    <n v="940"/>
  </r>
  <r>
    <x v="60"/>
    <s v="conventional_cashout_cai_575"/>
    <x v="615"/>
    <n v="1"/>
    <n v="1"/>
    <n v="-40"/>
    <n v="940"/>
  </r>
  <r>
    <x v="60"/>
    <s v="conventional_cashout_cai_576"/>
    <x v="616"/>
    <n v="1"/>
    <n v="1"/>
    <n v="-40"/>
    <n v="940"/>
  </r>
  <r>
    <x v="60"/>
    <s v="conventional_cashout_cai_577"/>
    <x v="617"/>
    <n v="1"/>
    <n v="1"/>
    <n v="-40"/>
    <n v="940"/>
  </r>
  <r>
    <x v="60"/>
    <s v="conventional_cashout_cai_578"/>
    <x v="618"/>
    <n v="1"/>
    <n v="1"/>
    <n v="-40"/>
    <n v="940"/>
  </r>
  <r>
    <x v="60"/>
    <s v="conventional_cashout_cai_579"/>
    <x v="619"/>
    <n v="1"/>
    <n v="1"/>
    <n v="-40"/>
    <n v="940"/>
  </r>
  <r>
    <x v="60"/>
    <s v="conventional_cashout_cai_580"/>
    <x v="620"/>
    <n v="1"/>
    <n v="1"/>
    <n v="-40"/>
    <n v="940"/>
  </r>
  <r>
    <x v="60"/>
    <s v="conventional_cashout_cai_581"/>
    <x v="621"/>
    <n v="1"/>
    <n v="1"/>
    <n v="-40"/>
    <n v="940"/>
  </r>
  <r>
    <x v="60"/>
    <s v="conventional_cashout_cai_582"/>
    <x v="622"/>
    <n v="1"/>
    <n v="1"/>
    <n v="-40"/>
    <n v="940"/>
  </r>
  <r>
    <x v="60"/>
    <s v="conventional_cashout_cai_583"/>
    <x v="623"/>
    <n v="1"/>
    <n v="1"/>
    <n v="-40"/>
    <n v="940"/>
  </r>
  <r>
    <x v="60"/>
    <s v="conventional_cashout_cai_584"/>
    <x v="624"/>
    <n v="1"/>
    <n v="1"/>
    <n v="-40"/>
    <n v="940"/>
  </r>
  <r>
    <x v="60"/>
    <s v="conventional_cashout_cai_585"/>
    <x v="625"/>
    <n v="1"/>
    <n v="1"/>
    <n v="-40"/>
    <n v="940"/>
  </r>
  <r>
    <x v="60"/>
    <s v="conventional_cashout_cai_586"/>
    <x v="626"/>
    <n v="1"/>
    <n v="1"/>
    <n v="-40"/>
    <n v="940"/>
  </r>
  <r>
    <x v="60"/>
    <s v="conventional_cashout_cai_587"/>
    <x v="627"/>
    <n v="1"/>
    <n v="1"/>
    <n v="-40"/>
    <n v="940"/>
  </r>
  <r>
    <x v="60"/>
    <s v="conventional_cashout_cai_588"/>
    <x v="628"/>
    <n v="1"/>
    <n v="1"/>
    <n v="-40"/>
    <n v="940"/>
  </r>
  <r>
    <x v="60"/>
    <s v="conventional_cashout_cai_589"/>
    <x v="629"/>
    <n v="1"/>
    <n v="1"/>
    <n v="-40"/>
    <n v="940"/>
  </r>
  <r>
    <x v="60"/>
    <s v="conventional_cashout_cai_590"/>
    <x v="630"/>
    <n v="1"/>
    <n v="1"/>
    <n v="-40"/>
    <n v="940"/>
  </r>
  <r>
    <x v="60"/>
    <s v="conventional_cashout_cai_591"/>
    <x v="631"/>
    <n v="1"/>
    <n v="1"/>
    <n v="-40"/>
    <n v="940"/>
  </r>
  <r>
    <x v="60"/>
    <s v="conventional_cashout_cai_592"/>
    <x v="632"/>
    <n v="1"/>
    <n v="1"/>
    <n v="-40"/>
    <n v="940"/>
  </r>
  <r>
    <x v="60"/>
    <s v="conventional_cashout_cai_593"/>
    <x v="633"/>
    <n v="1"/>
    <n v="1"/>
    <n v="-40"/>
    <n v="940"/>
  </r>
  <r>
    <x v="60"/>
    <s v="conventional_cashout_cai_594"/>
    <x v="634"/>
    <n v="1"/>
    <n v="1"/>
    <n v="-40"/>
    <n v="940"/>
  </r>
  <r>
    <x v="60"/>
    <s v="conventional_cashout_cai_595"/>
    <x v="635"/>
    <n v="1"/>
    <n v="1"/>
    <n v="-40"/>
    <n v="940"/>
  </r>
  <r>
    <x v="60"/>
    <s v="conventional_cashout_cai_596"/>
    <x v="636"/>
    <n v="1"/>
    <n v="1"/>
    <n v="-40"/>
    <n v="940"/>
  </r>
  <r>
    <x v="60"/>
    <s v="conventional_cashout_cai_597"/>
    <x v="637"/>
    <n v="1"/>
    <n v="1"/>
    <n v="-40"/>
    <n v="940"/>
  </r>
  <r>
    <x v="60"/>
    <s v="conventional_cashout_cai_598"/>
    <x v="638"/>
    <n v="1"/>
    <n v="1"/>
    <n v="-40"/>
    <n v="940"/>
  </r>
  <r>
    <x v="60"/>
    <s v="conventional_cashout_cai_599"/>
    <x v="639"/>
    <n v="1"/>
    <n v="1"/>
    <n v="-40"/>
    <n v="940"/>
  </r>
  <r>
    <x v="60"/>
    <s v="conventional_cashout_cai_600"/>
    <x v="640"/>
    <n v="1"/>
    <n v="1"/>
    <n v="-40"/>
    <n v="940"/>
  </r>
  <r>
    <x v="60"/>
    <s v="conventional_cashout_cai_601"/>
    <x v="641"/>
    <n v="1"/>
    <n v="1"/>
    <n v="-40"/>
    <n v="940"/>
  </r>
  <r>
    <x v="60"/>
    <s v="conventional_cashout_cai_602"/>
    <x v="642"/>
    <n v="1"/>
    <n v="1"/>
    <n v="-40"/>
    <n v="940"/>
  </r>
  <r>
    <x v="60"/>
    <s v="conventional_cashout_cai_603"/>
    <x v="643"/>
    <n v="1"/>
    <n v="1"/>
    <n v="-40"/>
    <n v="940"/>
  </r>
  <r>
    <x v="60"/>
    <s v="conventional_cashout_cai_604"/>
    <x v="644"/>
    <n v="1"/>
    <n v="1"/>
    <n v="-40"/>
    <n v="940"/>
  </r>
  <r>
    <x v="60"/>
    <s v="conventional_cashout_cai_605"/>
    <x v="645"/>
    <n v="1"/>
    <n v="1"/>
    <n v="-40"/>
    <n v="940"/>
  </r>
  <r>
    <x v="60"/>
    <s v="conventional_cashout_cai_606"/>
    <x v="646"/>
    <n v="1"/>
    <n v="1"/>
    <n v="-40"/>
    <n v="940"/>
  </r>
  <r>
    <x v="60"/>
    <s v="conventional_cashout_cai_607"/>
    <x v="647"/>
    <n v="1"/>
    <n v="1"/>
    <n v="-40"/>
    <n v="940"/>
  </r>
  <r>
    <x v="60"/>
    <s v="conventional_cashout_cai_608"/>
    <x v="648"/>
    <n v="1"/>
    <n v="1"/>
    <n v="-40"/>
    <n v="940"/>
  </r>
  <r>
    <x v="60"/>
    <s v="conventional_cashout_cai_609"/>
    <x v="649"/>
    <n v="1"/>
    <n v="1"/>
    <n v="-40"/>
    <n v="940"/>
  </r>
  <r>
    <x v="60"/>
    <s v="conventional_cashout_cai_610"/>
    <x v="650"/>
    <n v="1"/>
    <n v="1"/>
    <n v="-40"/>
    <n v="940"/>
  </r>
  <r>
    <x v="60"/>
    <s v="conventional_cashout_cai_611"/>
    <x v="651"/>
    <n v="1"/>
    <n v="1"/>
    <n v="-40"/>
    <n v="940"/>
  </r>
  <r>
    <x v="60"/>
    <s v="conventional_cashout_cai_612"/>
    <x v="652"/>
    <n v="1"/>
    <n v="1"/>
    <n v="-40"/>
    <n v="940"/>
  </r>
  <r>
    <x v="60"/>
    <s v="conventional_cashout_cai_613"/>
    <x v="653"/>
    <n v="1"/>
    <n v="1"/>
    <n v="-40"/>
    <n v="940"/>
  </r>
  <r>
    <x v="60"/>
    <s v="conventional_cashout_cai_614"/>
    <x v="654"/>
    <n v="1"/>
    <n v="1"/>
    <n v="-40"/>
    <n v="940"/>
  </r>
  <r>
    <x v="60"/>
    <s v="conventional_cashout_cai_615"/>
    <x v="655"/>
    <n v="1"/>
    <n v="1"/>
    <n v="-40"/>
    <n v="940"/>
  </r>
  <r>
    <x v="60"/>
    <s v="conventional_cashout_cai_616"/>
    <x v="656"/>
    <n v="1"/>
    <n v="1"/>
    <n v="-40"/>
    <n v="940"/>
  </r>
  <r>
    <x v="60"/>
    <s v="conventional_cashout_cai_617"/>
    <x v="657"/>
    <n v="1"/>
    <n v="1"/>
    <n v="-40"/>
    <n v="940"/>
  </r>
  <r>
    <x v="60"/>
    <s v="conventional_cashout_cai_618"/>
    <x v="658"/>
    <n v="1"/>
    <n v="1"/>
    <n v="-40"/>
    <n v="940"/>
  </r>
  <r>
    <x v="60"/>
    <s v="conventional_cashout_cai_619"/>
    <x v="659"/>
    <n v="1"/>
    <n v="1"/>
    <n v="-40"/>
    <n v="940"/>
  </r>
  <r>
    <x v="60"/>
    <s v="conventional_cashout_cai_620"/>
    <x v="660"/>
    <n v="1"/>
    <n v="1"/>
    <n v="-40"/>
    <n v="940"/>
  </r>
  <r>
    <x v="60"/>
    <s v="conventional_cashout_cai_621"/>
    <x v="661"/>
    <n v="1"/>
    <n v="1"/>
    <n v="-40"/>
    <n v="940"/>
  </r>
  <r>
    <x v="60"/>
    <s v="conventional_cashout_cai_622"/>
    <x v="662"/>
    <n v="1"/>
    <n v="1"/>
    <n v="-40"/>
    <n v="940"/>
  </r>
  <r>
    <x v="60"/>
    <s v="conventional_cashout_cai_623"/>
    <x v="663"/>
    <n v="1"/>
    <n v="1"/>
    <n v="-40"/>
    <n v="940"/>
  </r>
  <r>
    <x v="60"/>
    <s v="conventional_cashout_cai_624"/>
    <x v="664"/>
    <n v="1"/>
    <n v="1"/>
    <n v="-40"/>
    <n v="940"/>
  </r>
  <r>
    <x v="60"/>
    <s v="conventional_cashout_cai_625"/>
    <x v="665"/>
    <n v="1"/>
    <n v="1"/>
    <n v="-40"/>
    <n v="940"/>
  </r>
  <r>
    <x v="60"/>
    <s v="conventional_cashout_cai_626"/>
    <x v="666"/>
    <n v="1"/>
    <n v="1"/>
    <n v="-40"/>
    <n v="940"/>
  </r>
  <r>
    <x v="60"/>
    <s v="conventional_cashout_cai_627"/>
    <x v="667"/>
    <n v="1"/>
    <n v="1"/>
    <n v="-40"/>
    <n v="940"/>
  </r>
  <r>
    <x v="60"/>
    <s v="conventional_cashout_cai_628"/>
    <x v="668"/>
    <n v="1"/>
    <n v="1"/>
    <n v="-40"/>
    <n v="940"/>
  </r>
  <r>
    <x v="60"/>
    <s v="conventional_cashout_cai_629"/>
    <x v="669"/>
    <n v="1"/>
    <n v="1"/>
    <n v="-40"/>
    <n v="940"/>
  </r>
  <r>
    <x v="60"/>
    <s v="conventional_cashout_cai_630"/>
    <x v="670"/>
    <n v="1"/>
    <n v="1"/>
    <n v="-40"/>
    <n v="940"/>
  </r>
  <r>
    <x v="60"/>
    <s v="conventional_cashout_cai_631"/>
    <x v="671"/>
    <n v="1"/>
    <n v="1"/>
    <n v="-40"/>
    <n v="940"/>
  </r>
  <r>
    <x v="60"/>
    <s v="conventional_cashout_cai_632"/>
    <x v="672"/>
    <n v="1"/>
    <n v="1"/>
    <n v="-40"/>
    <n v="940"/>
  </r>
  <r>
    <x v="60"/>
    <s v="conventional_cashout_cai_633"/>
    <x v="673"/>
    <n v="1"/>
    <n v="1"/>
    <n v="-40"/>
    <n v="940"/>
  </r>
  <r>
    <x v="60"/>
    <s v="conventional_cashout_cai_634"/>
    <x v="674"/>
    <n v="1"/>
    <n v="1"/>
    <n v="-40"/>
    <n v="940"/>
  </r>
  <r>
    <x v="60"/>
    <s v="conventional_cashout_cai_635"/>
    <x v="675"/>
    <n v="1"/>
    <n v="1"/>
    <n v="-40"/>
    <n v="940"/>
  </r>
  <r>
    <x v="60"/>
    <s v="conventional_cashout_cai_636"/>
    <x v="676"/>
    <n v="1"/>
    <n v="1"/>
    <n v="-40"/>
    <n v="940"/>
  </r>
  <r>
    <x v="60"/>
    <s v="conventional_cashout_cai_637"/>
    <x v="677"/>
    <n v="1"/>
    <n v="1"/>
    <n v="-40"/>
    <n v="940"/>
  </r>
  <r>
    <x v="60"/>
    <s v="conventional_cashout_cai_638"/>
    <x v="678"/>
    <n v="1"/>
    <n v="1"/>
    <n v="-40"/>
    <n v="940"/>
  </r>
  <r>
    <x v="60"/>
    <s v="conventional_cashout_cai_639"/>
    <x v="679"/>
    <n v="1"/>
    <n v="1"/>
    <n v="-40"/>
    <n v="940"/>
  </r>
  <r>
    <x v="60"/>
    <s v="conventional_cashout_cai_640"/>
    <x v="680"/>
    <n v="1"/>
    <n v="1"/>
    <n v="-40"/>
    <n v="940"/>
  </r>
  <r>
    <x v="60"/>
    <s v="conventional_cashout_cai_641"/>
    <x v="681"/>
    <n v="1"/>
    <n v="1"/>
    <n v="-40"/>
    <n v="940"/>
  </r>
  <r>
    <x v="60"/>
    <s v="conventional_cashout_cai_642"/>
    <x v="682"/>
    <n v="1"/>
    <n v="1"/>
    <n v="-40"/>
    <n v="940"/>
  </r>
  <r>
    <x v="60"/>
    <s v="conventional_cashout_cai_643"/>
    <x v="683"/>
    <n v="1"/>
    <n v="1"/>
    <n v="-40"/>
    <n v="940"/>
  </r>
  <r>
    <x v="60"/>
    <s v="conventional_cashout_cai_644"/>
    <x v="684"/>
    <n v="1"/>
    <n v="1"/>
    <n v="-40"/>
    <n v="940"/>
  </r>
  <r>
    <x v="60"/>
    <s v="conventional_cashout_cai_645"/>
    <x v="685"/>
    <n v="1"/>
    <n v="1"/>
    <n v="-40"/>
    <n v="940"/>
  </r>
  <r>
    <x v="60"/>
    <s v="conventional_cashout_cai_646"/>
    <x v="686"/>
    <n v="1"/>
    <n v="1"/>
    <n v="-40"/>
    <n v="940"/>
  </r>
  <r>
    <x v="60"/>
    <s v="conventional_cashout_cai_647"/>
    <x v="687"/>
    <n v="1"/>
    <n v="1"/>
    <n v="-40"/>
    <n v="940"/>
  </r>
  <r>
    <x v="60"/>
    <s v="conventional_cashout_cai_648"/>
    <x v="688"/>
    <n v="1"/>
    <n v="1"/>
    <n v="-40"/>
    <n v="940"/>
  </r>
  <r>
    <x v="60"/>
    <s v="conventional_cashout_cai_649"/>
    <x v="689"/>
    <n v="1"/>
    <n v="1"/>
    <n v="-40"/>
    <n v="940"/>
  </r>
  <r>
    <x v="60"/>
    <s v="conventional_cashout_cai_650"/>
    <x v="690"/>
    <n v="1"/>
    <n v="1"/>
    <n v="-40"/>
    <n v="940"/>
  </r>
  <r>
    <x v="60"/>
    <s v="conventional_cashout_cai_651"/>
    <x v="691"/>
    <n v="1"/>
    <n v="1"/>
    <n v="-40"/>
    <n v="940"/>
  </r>
  <r>
    <x v="60"/>
    <s v="conventional_cashout_cai_652"/>
    <x v="692"/>
    <n v="1"/>
    <n v="1"/>
    <n v="-40"/>
    <n v="940"/>
  </r>
  <r>
    <x v="60"/>
    <s v="conventional_cashout_cai_653"/>
    <x v="693"/>
    <n v="1"/>
    <n v="1"/>
    <n v="-40"/>
    <n v="940"/>
  </r>
  <r>
    <x v="60"/>
    <s v="conventional_cashout_cai_654"/>
    <x v="694"/>
    <n v="1"/>
    <n v="1"/>
    <n v="-40"/>
    <n v="940"/>
  </r>
  <r>
    <x v="60"/>
    <s v="conventional_cashout_cai_655"/>
    <x v="695"/>
    <n v="1"/>
    <n v="1"/>
    <n v="-40"/>
    <n v="940"/>
  </r>
  <r>
    <x v="60"/>
    <s v="conventional_cashout_cai_656"/>
    <x v="696"/>
    <n v="1"/>
    <n v="1"/>
    <n v="-40"/>
    <n v="940"/>
  </r>
  <r>
    <x v="60"/>
    <s v="conventional_cashout_cai_657"/>
    <x v="697"/>
    <n v="1"/>
    <n v="1"/>
    <n v="-40"/>
    <n v="940"/>
  </r>
  <r>
    <x v="60"/>
    <s v="conventional_cashout_cai_658"/>
    <x v="698"/>
    <n v="1"/>
    <n v="1"/>
    <n v="-40"/>
    <n v="940"/>
  </r>
  <r>
    <x v="60"/>
    <s v="conventional_cashout_cai_659"/>
    <x v="699"/>
    <n v="1"/>
    <n v="1"/>
    <n v="-40"/>
    <n v="940"/>
  </r>
  <r>
    <x v="60"/>
    <s v="conventional_cashout_cai_660"/>
    <x v="700"/>
    <n v="1"/>
    <n v="1"/>
    <n v="-40"/>
    <n v="940"/>
  </r>
  <r>
    <x v="60"/>
    <s v="conventional_cashout_cai_661"/>
    <x v="701"/>
    <n v="1"/>
    <n v="1"/>
    <n v="-40"/>
    <n v="940"/>
  </r>
  <r>
    <x v="60"/>
    <s v="conventional_cashout_cai_662"/>
    <x v="702"/>
    <n v="1"/>
    <n v="1"/>
    <n v="-40"/>
    <n v="940"/>
  </r>
  <r>
    <x v="60"/>
    <s v="conventional_cashout_cai_663"/>
    <x v="703"/>
    <n v="1"/>
    <n v="1"/>
    <n v="-40"/>
    <n v="940"/>
  </r>
  <r>
    <x v="60"/>
    <s v="conventional_cashout_cai_664"/>
    <x v="704"/>
    <n v="1"/>
    <n v="1"/>
    <n v="-40"/>
    <n v="940"/>
  </r>
  <r>
    <x v="60"/>
    <s v="conventional_cashout_cai_665"/>
    <x v="705"/>
    <n v="1"/>
    <n v="1"/>
    <n v="-40"/>
    <n v="940"/>
  </r>
  <r>
    <x v="60"/>
    <s v="conventional_cashout_cai_666"/>
    <x v="706"/>
    <n v="1"/>
    <n v="1"/>
    <n v="-40"/>
    <n v="940"/>
  </r>
  <r>
    <x v="60"/>
    <s v="conventional_cashout_cai_667"/>
    <x v="707"/>
    <n v="1"/>
    <n v="1"/>
    <n v="-40"/>
    <n v="940"/>
  </r>
  <r>
    <x v="60"/>
    <s v="conventional_cashout_cai_668"/>
    <x v="708"/>
    <n v="1"/>
    <n v="1"/>
    <n v="-40"/>
    <n v="940"/>
  </r>
  <r>
    <x v="60"/>
    <s v="conventional_cashout_cai_669"/>
    <x v="709"/>
    <n v="1"/>
    <n v="1"/>
    <n v="-40"/>
    <n v="940"/>
  </r>
  <r>
    <x v="60"/>
    <s v="conventional_cashout_cai_670"/>
    <x v="710"/>
    <n v="1"/>
    <n v="1"/>
    <n v="-40"/>
    <n v="940"/>
  </r>
  <r>
    <x v="60"/>
    <s v="conventional_cashout_cai_671"/>
    <x v="711"/>
    <n v="1"/>
    <n v="1"/>
    <n v="-40"/>
    <n v="940"/>
  </r>
  <r>
    <x v="60"/>
    <s v="conventional_cashout_cai_672"/>
    <x v="712"/>
    <n v="1"/>
    <n v="1"/>
    <n v="-40"/>
    <n v="940"/>
  </r>
  <r>
    <x v="60"/>
    <s v="conventional_cashout_cai_673"/>
    <x v="713"/>
    <n v="1"/>
    <n v="1"/>
    <n v="-40"/>
    <n v="940"/>
  </r>
  <r>
    <x v="60"/>
    <s v="conventional_cashout_cai_674"/>
    <x v="714"/>
    <n v="1"/>
    <n v="1"/>
    <n v="-40"/>
    <n v="940"/>
  </r>
  <r>
    <x v="60"/>
    <s v="conventional_cashout_cai_675"/>
    <x v="715"/>
    <n v="1"/>
    <n v="1"/>
    <n v="-40"/>
    <n v="940"/>
  </r>
  <r>
    <x v="60"/>
    <s v="conventional_cashout_cai_676"/>
    <x v="716"/>
    <n v="1"/>
    <n v="1"/>
    <n v="-40"/>
    <n v="940"/>
  </r>
  <r>
    <x v="60"/>
    <s v="conventional_cashout_cai_677"/>
    <x v="717"/>
    <n v="1"/>
    <n v="1"/>
    <n v="-40"/>
    <n v="940"/>
  </r>
  <r>
    <x v="60"/>
    <s v="conventional_cashout_cai_678"/>
    <x v="718"/>
    <n v="1"/>
    <n v="1"/>
    <n v="-40"/>
    <n v="940"/>
  </r>
  <r>
    <x v="60"/>
    <s v="conventional_cashout_cai_679"/>
    <x v="719"/>
    <n v="1"/>
    <n v="1"/>
    <n v="-40"/>
    <n v="940"/>
  </r>
  <r>
    <x v="60"/>
    <s v="conventional_cashout_cai_680"/>
    <x v="720"/>
    <n v="1"/>
    <n v="1"/>
    <n v="-40"/>
    <n v="940"/>
  </r>
  <r>
    <x v="60"/>
    <s v="conventional_cashout_cai_681"/>
    <x v="721"/>
    <n v="1"/>
    <n v="1"/>
    <n v="-40"/>
    <n v="940"/>
  </r>
  <r>
    <x v="60"/>
    <s v="conventional_cashout_cai_682"/>
    <x v="722"/>
    <n v="1"/>
    <n v="1"/>
    <n v="-40"/>
    <n v="940"/>
  </r>
  <r>
    <x v="60"/>
    <s v="conventional_cashout_cai_683"/>
    <x v="723"/>
    <n v="1"/>
    <n v="1"/>
    <n v="-40"/>
    <n v="940"/>
  </r>
  <r>
    <x v="60"/>
    <s v="conventional_cashout_cai_684"/>
    <x v="724"/>
    <n v="1"/>
    <n v="1"/>
    <n v="-40"/>
    <n v="940"/>
  </r>
  <r>
    <x v="60"/>
    <s v="conventional_cashout_cai_685"/>
    <x v="725"/>
    <n v="1"/>
    <n v="1"/>
    <n v="-40"/>
    <n v="940"/>
  </r>
  <r>
    <x v="60"/>
    <s v="conventional_cashout_cai_686"/>
    <x v="726"/>
    <n v="1"/>
    <n v="1"/>
    <n v="-40"/>
    <n v="940"/>
  </r>
  <r>
    <x v="60"/>
    <s v="conventional_cashout_cai_687"/>
    <x v="727"/>
    <n v="1"/>
    <n v="1"/>
    <n v="-40"/>
    <n v="940"/>
  </r>
  <r>
    <x v="60"/>
    <s v="conventional_cashout_cai_688"/>
    <x v="728"/>
    <n v="1"/>
    <n v="1"/>
    <n v="-40"/>
    <n v="940"/>
  </r>
  <r>
    <x v="60"/>
    <s v="conventional_cashout_cai_689"/>
    <x v="729"/>
    <n v="1"/>
    <n v="1"/>
    <n v="-40"/>
    <n v="940"/>
  </r>
  <r>
    <x v="60"/>
    <s v="conventional_cashout_cai_690"/>
    <x v="730"/>
    <n v="1"/>
    <n v="1"/>
    <n v="-40"/>
    <n v="940"/>
  </r>
  <r>
    <x v="60"/>
    <s v="conventional_cashout_cai_691"/>
    <x v="731"/>
    <n v="1"/>
    <n v="1"/>
    <n v="-40"/>
    <n v="940"/>
  </r>
  <r>
    <x v="60"/>
    <s v="conventional_cashout_cai_692"/>
    <x v="732"/>
    <n v="1"/>
    <n v="1"/>
    <n v="-40"/>
    <n v="940"/>
  </r>
  <r>
    <x v="60"/>
    <s v="conventional_cashout_cai_693"/>
    <x v="733"/>
    <n v="1"/>
    <n v="1"/>
    <n v="-40"/>
    <n v="940"/>
  </r>
  <r>
    <x v="60"/>
    <s v="conventional_cashout_cai_694"/>
    <x v="734"/>
    <n v="1"/>
    <n v="1"/>
    <n v="-40"/>
    <n v="940"/>
  </r>
  <r>
    <x v="60"/>
    <s v="conventional_cashout_cai_695"/>
    <x v="735"/>
    <n v="1"/>
    <n v="1"/>
    <n v="-40"/>
    <n v="940"/>
  </r>
  <r>
    <x v="60"/>
    <s v="conventional_cashout_cai_696"/>
    <x v="736"/>
    <n v="1"/>
    <n v="1"/>
    <n v="-40"/>
    <n v="940"/>
  </r>
  <r>
    <x v="60"/>
    <s v="conventional_cashout_cai_697"/>
    <x v="737"/>
    <n v="1"/>
    <n v="1"/>
    <n v="-40"/>
    <n v="940"/>
  </r>
  <r>
    <x v="60"/>
    <s v="conventional_cashout_cai_698"/>
    <x v="738"/>
    <n v="1"/>
    <n v="1"/>
    <n v="-40"/>
    <n v="940"/>
  </r>
  <r>
    <x v="60"/>
    <s v="conventional_cashout_cai_699"/>
    <x v="739"/>
    <n v="1"/>
    <n v="1"/>
    <n v="-40"/>
    <n v="940"/>
  </r>
  <r>
    <x v="60"/>
    <s v="conventional_cashout_cai_700"/>
    <x v="740"/>
    <n v="1"/>
    <n v="1"/>
    <n v="-40"/>
    <n v="940"/>
  </r>
  <r>
    <x v="60"/>
    <s v="conventional_cashout_cai_701"/>
    <x v="741"/>
    <n v="1"/>
    <n v="1"/>
    <n v="-40"/>
    <n v="940"/>
  </r>
  <r>
    <x v="60"/>
    <s v="conventional_cashout_cai_702"/>
    <x v="742"/>
    <n v="1"/>
    <n v="1"/>
    <n v="-40"/>
    <n v="940"/>
  </r>
  <r>
    <x v="60"/>
    <s v="conventional_cashout_cai_703"/>
    <x v="743"/>
    <n v="1"/>
    <n v="1"/>
    <n v="-40"/>
    <n v="940"/>
  </r>
  <r>
    <x v="60"/>
    <s v="conventional_cashout_cai_704"/>
    <x v="744"/>
    <n v="1"/>
    <n v="1"/>
    <n v="-40"/>
    <n v="940"/>
  </r>
  <r>
    <x v="60"/>
    <s v="conventional_cashout_cai_705"/>
    <x v="745"/>
    <n v="1"/>
    <n v="1"/>
    <n v="-40"/>
    <n v="940"/>
  </r>
  <r>
    <x v="60"/>
    <s v="conventional_cashout_cai_706"/>
    <x v="746"/>
    <n v="1"/>
    <n v="1"/>
    <n v="-40"/>
    <n v="940"/>
  </r>
  <r>
    <x v="60"/>
    <s v="conventional_cashout_cai_707"/>
    <x v="747"/>
    <n v="1"/>
    <n v="1"/>
    <n v="-40"/>
    <n v="940"/>
  </r>
  <r>
    <x v="60"/>
    <s v="conventional_cashout_cai_708"/>
    <x v="748"/>
    <n v="1"/>
    <n v="1"/>
    <n v="-40"/>
    <n v="940"/>
  </r>
  <r>
    <x v="60"/>
    <s v="conventional_cashout_cai_709"/>
    <x v="749"/>
    <n v="1"/>
    <n v="1"/>
    <n v="-40"/>
    <n v="940"/>
  </r>
  <r>
    <x v="60"/>
    <s v="conventional_cashout_cai_710"/>
    <x v="750"/>
    <n v="1"/>
    <n v="1"/>
    <n v="-40"/>
    <n v="940"/>
  </r>
  <r>
    <x v="60"/>
    <s v="conventional_cashout_cai_711"/>
    <x v="751"/>
    <n v="1"/>
    <n v="1"/>
    <n v="-40"/>
    <n v="940"/>
  </r>
  <r>
    <x v="60"/>
    <s v="conventional_cashout_cai_712"/>
    <x v="752"/>
    <n v="1"/>
    <n v="1"/>
    <n v="-40"/>
    <n v="940"/>
  </r>
  <r>
    <x v="60"/>
    <s v="conventional_cashout_cai_713"/>
    <x v="753"/>
    <n v="1"/>
    <n v="1"/>
    <n v="-40"/>
    <n v="940"/>
  </r>
  <r>
    <x v="60"/>
    <s v="conventional_cashout_cai_714"/>
    <x v="754"/>
    <n v="1"/>
    <n v="1"/>
    <n v="-40"/>
    <n v="940"/>
  </r>
  <r>
    <x v="60"/>
    <s v="conventional_cashout_cai_715"/>
    <x v="755"/>
    <n v="1"/>
    <n v="1"/>
    <n v="-40"/>
    <n v="940"/>
  </r>
  <r>
    <x v="60"/>
    <s v="conventional_cashout_cai_716"/>
    <x v="756"/>
    <n v="1"/>
    <n v="1"/>
    <n v="-40"/>
    <n v="940"/>
  </r>
  <r>
    <x v="60"/>
    <s v="conventional_cashout_cai_717"/>
    <x v="757"/>
    <n v="1"/>
    <n v="1"/>
    <n v="-40"/>
    <n v="940"/>
  </r>
  <r>
    <x v="60"/>
    <s v="conventional_cashout_cai_718"/>
    <x v="758"/>
    <n v="1"/>
    <n v="1"/>
    <n v="-40"/>
    <n v="940"/>
  </r>
  <r>
    <x v="60"/>
    <s v="conventional_cashout_cai_719"/>
    <x v="759"/>
    <n v="1"/>
    <n v="1"/>
    <n v="-40"/>
    <n v="940"/>
  </r>
  <r>
    <x v="60"/>
    <s v="conventional_cashout_cai_720"/>
    <x v="760"/>
    <n v="1"/>
    <n v="1"/>
    <n v="-40"/>
    <n v="940"/>
  </r>
  <r>
    <x v="60"/>
    <s v="conventional_cashout_cai_721"/>
    <x v="761"/>
    <n v="1"/>
    <n v="1"/>
    <n v="-40"/>
    <n v="940"/>
  </r>
  <r>
    <x v="60"/>
    <s v="conventional_cashout_cai_722"/>
    <x v="762"/>
    <n v="1"/>
    <n v="1"/>
    <n v="-40"/>
    <n v="940"/>
  </r>
  <r>
    <x v="60"/>
    <s v="conventional_cashout_cai_723"/>
    <x v="763"/>
    <n v="1"/>
    <n v="1"/>
    <n v="-40"/>
    <n v="940"/>
  </r>
  <r>
    <x v="60"/>
    <s v="conventional_cashout_cai_724"/>
    <x v="764"/>
    <n v="1"/>
    <n v="1"/>
    <n v="-40"/>
    <n v="940"/>
  </r>
  <r>
    <x v="60"/>
    <s v="conventional_cashout_cai_725"/>
    <x v="765"/>
    <n v="1"/>
    <n v="1"/>
    <n v="-40"/>
    <n v="940"/>
  </r>
  <r>
    <x v="60"/>
    <s v="conventional_cashout_cai_726"/>
    <x v="766"/>
    <n v="1"/>
    <n v="1"/>
    <n v="-40"/>
    <n v="940"/>
  </r>
  <r>
    <x v="60"/>
    <s v="conventional_cashout_cai_727"/>
    <x v="767"/>
    <n v="1"/>
    <n v="1"/>
    <n v="-40"/>
    <n v="940"/>
  </r>
  <r>
    <x v="60"/>
    <s v="conventional_cashout_cai_728"/>
    <x v="768"/>
    <n v="1"/>
    <n v="1"/>
    <n v="-40"/>
    <n v="940"/>
  </r>
  <r>
    <x v="60"/>
    <s v="conventional_cashout_cai_729"/>
    <x v="769"/>
    <n v="1"/>
    <n v="1"/>
    <n v="-40"/>
    <n v="940"/>
  </r>
  <r>
    <x v="60"/>
    <s v="conventional_cashout_cai_730"/>
    <x v="770"/>
    <n v="1"/>
    <n v="1"/>
    <n v="-40"/>
    <n v="940"/>
  </r>
  <r>
    <x v="60"/>
    <s v="conventional_cashout_cai_731"/>
    <x v="771"/>
    <n v="1"/>
    <n v="1"/>
    <n v="-40"/>
    <n v="940"/>
  </r>
  <r>
    <x v="60"/>
    <s v="conventional_cashout_cai_732"/>
    <x v="772"/>
    <n v="1"/>
    <n v="1"/>
    <n v="-40"/>
    <n v="940"/>
  </r>
  <r>
    <x v="60"/>
    <s v="conventional_cashout_cai_733"/>
    <x v="773"/>
    <n v="1"/>
    <n v="1"/>
    <n v="-40"/>
    <n v="940"/>
  </r>
  <r>
    <x v="60"/>
    <s v="conventional_cashout_cai_734"/>
    <x v="774"/>
    <n v="1"/>
    <n v="1"/>
    <n v="-40"/>
    <n v="940"/>
  </r>
  <r>
    <x v="60"/>
    <s v="conventional_cashout_cai_735"/>
    <x v="775"/>
    <n v="1"/>
    <n v="1"/>
    <n v="-40"/>
    <n v="940"/>
  </r>
  <r>
    <x v="60"/>
    <s v="conventional_cashout_cai_736"/>
    <x v="776"/>
    <n v="1"/>
    <n v="1"/>
    <n v="-40"/>
    <n v="940"/>
  </r>
  <r>
    <x v="60"/>
    <s v="conventional_cashout_cai_737"/>
    <x v="777"/>
    <n v="1"/>
    <n v="1"/>
    <n v="-40"/>
    <n v="940"/>
  </r>
  <r>
    <x v="60"/>
    <s v="conventional_cashout_cai_738"/>
    <x v="778"/>
    <n v="1"/>
    <n v="1"/>
    <n v="-40"/>
    <n v="940"/>
  </r>
  <r>
    <x v="60"/>
    <s v="conventional_cashout_cai_739"/>
    <x v="779"/>
    <n v="1"/>
    <n v="1"/>
    <n v="-40"/>
    <n v="940"/>
  </r>
  <r>
    <x v="60"/>
    <s v="conventional_cashout_cai_740"/>
    <x v="780"/>
    <n v="1"/>
    <n v="1"/>
    <n v="-40"/>
    <n v="940"/>
  </r>
  <r>
    <x v="60"/>
    <s v="conventional_cashout_cai_741"/>
    <x v="781"/>
    <n v="1"/>
    <n v="1"/>
    <n v="-40"/>
    <n v="940"/>
  </r>
  <r>
    <x v="60"/>
    <s v="conventional_cashout_cai_742"/>
    <x v="782"/>
    <n v="1"/>
    <n v="1"/>
    <n v="-40"/>
    <n v="940"/>
  </r>
  <r>
    <x v="60"/>
    <s v="conventional_cashout_cai_743"/>
    <x v="783"/>
    <n v="1"/>
    <n v="1"/>
    <n v="-40"/>
    <n v="940"/>
  </r>
  <r>
    <x v="60"/>
    <s v="conventional_cashout_cai_744"/>
    <x v="784"/>
    <n v="1"/>
    <n v="1"/>
    <n v="-40"/>
    <n v="940"/>
  </r>
  <r>
    <x v="60"/>
    <s v="conventional_cashout_cai_745"/>
    <x v="785"/>
    <n v="1"/>
    <n v="1"/>
    <n v="-40"/>
    <n v="940"/>
  </r>
  <r>
    <x v="60"/>
    <s v="conventional_cashout_cai_746"/>
    <x v="786"/>
    <n v="1"/>
    <n v="1"/>
    <n v="-40"/>
    <n v="940"/>
  </r>
  <r>
    <x v="60"/>
    <s v="conventional_cashout_cai_747"/>
    <x v="787"/>
    <n v="1"/>
    <n v="1"/>
    <n v="-40"/>
    <n v="940"/>
  </r>
  <r>
    <x v="60"/>
    <s v="conventional_cashout_cai_748"/>
    <x v="788"/>
    <n v="1"/>
    <n v="1"/>
    <n v="-40"/>
    <n v="940"/>
  </r>
  <r>
    <x v="60"/>
    <s v="conventional_cashout_cai_749"/>
    <x v="789"/>
    <n v="1"/>
    <n v="1"/>
    <n v="-40"/>
    <n v="940"/>
  </r>
  <r>
    <x v="60"/>
    <s v="conventional_cashout_cai_750"/>
    <x v="790"/>
    <n v="1"/>
    <n v="1"/>
    <n v="-40"/>
    <n v="940"/>
  </r>
  <r>
    <x v="60"/>
    <s v="conventional_cashout_cai_751"/>
    <x v="791"/>
    <n v="1"/>
    <n v="1"/>
    <n v="-40"/>
    <n v="940"/>
  </r>
  <r>
    <x v="60"/>
    <s v="conventional_cashout_cai_752"/>
    <x v="792"/>
    <n v="1"/>
    <n v="1"/>
    <n v="-40"/>
    <n v="940"/>
  </r>
  <r>
    <x v="60"/>
    <s v="conventional_cashout_cai_753"/>
    <x v="793"/>
    <n v="1"/>
    <n v="1"/>
    <n v="-40"/>
    <n v="940"/>
  </r>
  <r>
    <x v="60"/>
    <s v="conventional_cashout_cai_754"/>
    <x v="794"/>
    <n v="1"/>
    <n v="1"/>
    <n v="-40"/>
    <n v="940"/>
  </r>
  <r>
    <x v="60"/>
    <s v="conventional_cashout_cai_755"/>
    <x v="795"/>
    <n v="1"/>
    <n v="1"/>
    <n v="-40"/>
    <n v="940"/>
  </r>
  <r>
    <x v="60"/>
    <s v="conventional_cashout_cai_756"/>
    <x v="796"/>
    <n v="1"/>
    <n v="1"/>
    <n v="-40"/>
    <n v="940"/>
  </r>
  <r>
    <x v="60"/>
    <s v="conventional_cashout_cai_757"/>
    <x v="797"/>
    <n v="1"/>
    <n v="1"/>
    <n v="-40"/>
    <n v="940"/>
  </r>
  <r>
    <x v="60"/>
    <s v="conventional_cashout_cai_758"/>
    <x v="798"/>
    <n v="1"/>
    <n v="1"/>
    <n v="-40"/>
    <n v="940"/>
  </r>
  <r>
    <x v="60"/>
    <s v="conventional_cashout_cai_759"/>
    <x v="799"/>
    <n v="1"/>
    <n v="1"/>
    <n v="-40"/>
    <n v="940"/>
  </r>
  <r>
    <x v="60"/>
    <s v="conventional_cashout_cai_760"/>
    <x v="800"/>
    <n v="1"/>
    <n v="1"/>
    <n v="-40"/>
    <n v="940"/>
  </r>
  <r>
    <x v="60"/>
    <s v="conventional_cashout_cai_761"/>
    <x v="801"/>
    <n v="1"/>
    <n v="1"/>
    <n v="-40"/>
    <n v="940"/>
  </r>
  <r>
    <x v="60"/>
    <s v="conventional_cashout_cai_762"/>
    <x v="802"/>
    <n v="1"/>
    <n v="1"/>
    <n v="-40"/>
    <n v="940"/>
  </r>
  <r>
    <x v="60"/>
    <s v="conventional_cashout_cai_763"/>
    <x v="803"/>
    <n v="1"/>
    <n v="1"/>
    <n v="-40"/>
    <n v="940"/>
  </r>
  <r>
    <x v="60"/>
    <s v="conventional_cashout_cai_764"/>
    <x v="804"/>
    <n v="1"/>
    <n v="1"/>
    <n v="-40"/>
    <n v="940"/>
  </r>
  <r>
    <x v="60"/>
    <s v="conventional_cashout_cai_765"/>
    <x v="805"/>
    <n v="1"/>
    <n v="1"/>
    <n v="-40"/>
    <n v="940"/>
  </r>
  <r>
    <x v="60"/>
    <s v="conventional_cashout_cai_766"/>
    <x v="806"/>
    <n v="1"/>
    <n v="1"/>
    <n v="-40"/>
    <n v="940"/>
  </r>
  <r>
    <x v="60"/>
    <s v="conventional_cashout_cai_767"/>
    <x v="807"/>
    <n v="1"/>
    <n v="1"/>
    <n v="-40"/>
    <n v="940"/>
  </r>
  <r>
    <x v="60"/>
    <s v="conventional_cashout_cai_768"/>
    <x v="808"/>
    <n v="1"/>
    <n v="1"/>
    <n v="-40"/>
    <n v="940"/>
  </r>
  <r>
    <x v="60"/>
    <s v="conventional_cashout_cai_769"/>
    <x v="809"/>
    <n v="1"/>
    <n v="1"/>
    <n v="-40"/>
    <n v="940"/>
  </r>
  <r>
    <x v="60"/>
    <s v="conventional_cashout_cai_770"/>
    <x v="810"/>
    <n v="1"/>
    <n v="1"/>
    <n v="-40"/>
    <n v="940"/>
  </r>
  <r>
    <x v="60"/>
    <s v="conventional_cashout_cai_771"/>
    <x v="811"/>
    <n v="1"/>
    <n v="1"/>
    <n v="-40"/>
    <n v="940"/>
  </r>
  <r>
    <x v="60"/>
    <s v="conventional_cashout_cai_772"/>
    <x v="812"/>
    <n v="1"/>
    <n v="1"/>
    <n v="-40"/>
    <n v="940"/>
  </r>
  <r>
    <x v="60"/>
    <s v="conventional_cashout_cai_773"/>
    <x v="813"/>
    <n v="1"/>
    <n v="1"/>
    <n v="-40"/>
    <n v="940"/>
  </r>
  <r>
    <x v="60"/>
    <s v="conventional_cashout_cai_774"/>
    <x v="814"/>
    <n v="1"/>
    <n v="1"/>
    <n v="-40"/>
    <n v="940"/>
  </r>
  <r>
    <x v="60"/>
    <s v="conventional_cashout_cai_775"/>
    <x v="815"/>
    <n v="1"/>
    <n v="1"/>
    <n v="-40"/>
    <n v="940"/>
  </r>
  <r>
    <x v="60"/>
    <s v="conventional_cashout_cai_776"/>
    <x v="816"/>
    <n v="1"/>
    <n v="1"/>
    <n v="-40"/>
    <n v="940"/>
  </r>
  <r>
    <x v="60"/>
    <s v="conventional_cashout_cai_777"/>
    <x v="817"/>
    <n v="1"/>
    <n v="1"/>
    <n v="-40"/>
    <n v="940"/>
  </r>
  <r>
    <x v="60"/>
    <s v="conventional_cashout_cai_778"/>
    <x v="818"/>
    <n v="1"/>
    <n v="1"/>
    <n v="-40"/>
    <n v="940"/>
  </r>
  <r>
    <x v="60"/>
    <s v="conventional_cashout_cai_779"/>
    <x v="819"/>
    <n v="1"/>
    <n v="1"/>
    <n v="-40"/>
    <n v="940"/>
  </r>
  <r>
    <x v="60"/>
    <s v="conventional_cashout_cai_780"/>
    <x v="820"/>
    <n v="1"/>
    <n v="1"/>
    <n v="-40"/>
    <n v="940"/>
  </r>
  <r>
    <x v="60"/>
    <s v="conventional_cashout_cai_781"/>
    <x v="821"/>
    <n v="1"/>
    <n v="1"/>
    <n v="-40"/>
    <n v="940"/>
  </r>
  <r>
    <x v="60"/>
    <s v="conventional_cashout_cai_782"/>
    <x v="822"/>
    <n v="1"/>
    <n v="1"/>
    <n v="-40"/>
    <n v="940"/>
  </r>
  <r>
    <x v="60"/>
    <s v="conventional_cashout_cai_783"/>
    <x v="823"/>
    <n v="1"/>
    <n v="1"/>
    <n v="-40"/>
    <n v="940"/>
  </r>
  <r>
    <x v="60"/>
    <s v="conventional_cashout_cai_784"/>
    <x v="824"/>
    <n v="1"/>
    <n v="1"/>
    <n v="-40"/>
    <n v="940"/>
  </r>
  <r>
    <x v="60"/>
    <s v="conventional_cashout_cai_785"/>
    <x v="825"/>
    <n v="1"/>
    <n v="1"/>
    <n v="-40"/>
    <n v="940"/>
  </r>
  <r>
    <x v="60"/>
    <s v="conventional_cashout_cai_786"/>
    <x v="826"/>
    <n v="1"/>
    <n v="1"/>
    <n v="-40"/>
    <n v="940"/>
  </r>
  <r>
    <x v="60"/>
    <s v="conventional_cashout_cai_787"/>
    <x v="827"/>
    <n v="1"/>
    <n v="1"/>
    <n v="-40"/>
    <n v="940"/>
  </r>
  <r>
    <x v="60"/>
    <s v="conventional_cashout_cai_788"/>
    <x v="828"/>
    <n v="1"/>
    <n v="1"/>
    <n v="-40"/>
    <n v="940"/>
  </r>
  <r>
    <x v="60"/>
    <s v="conventional_cashout_cai_789"/>
    <x v="829"/>
    <n v="1"/>
    <n v="1"/>
    <n v="-40"/>
    <n v="940"/>
  </r>
  <r>
    <x v="60"/>
    <s v="conventional_cashout_cai_790"/>
    <x v="830"/>
    <n v="1"/>
    <n v="1"/>
    <n v="-40"/>
    <n v="940"/>
  </r>
  <r>
    <x v="60"/>
    <s v="conventional_cashout_cai_791"/>
    <x v="831"/>
    <n v="1"/>
    <n v="1"/>
    <n v="-40"/>
    <n v="940"/>
  </r>
  <r>
    <x v="60"/>
    <s v="conventional_cashout_cai_792"/>
    <x v="832"/>
    <n v="1"/>
    <n v="1"/>
    <n v="-40"/>
    <n v="940"/>
  </r>
  <r>
    <x v="60"/>
    <s v="conventional_cashout_cai_793"/>
    <x v="833"/>
    <n v="1"/>
    <n v="1"/>
    <n v="-40"/>
    <n v="940"/>
  </r>
  <r>
    <x v="60"/>
    <s v="conventional_cashout_cai_794"/>
    <x v="834"/>
    <n v="1"/>
    <n v="1"/>
    <n v="-40"/>
    <n v="940"/>
  </r>
  <r>
    <x v="60"/>
    <s v="conventional_cashout_cai_795"/>
    <x v="835"/>
    <n v="1"/>
    <n v="1"/>
    <n v="-40"/>
    <n v="940"/>
  </r>
  <r>
    <x v="60"/>
    <s v="conventional_cashout_cai_796"/>
    <x v="836"/>
    <n v="1"/>
    <n v="1"/>
    <n v="-40"/>
    <n v="940"/>
  </r>
  <r>
    <x v="60"/>
    <s v="conventional_cashout_cai_797"/>
    <x v="837"/>
    <n v="1"/>
    <n v="1"/>
    <n v="-40"/>
    <n v="940"/>
  </r>
  <r>
    <x v="60"/>
    <s v="conventional_cashout_cai_798"/>
    <x v="838"/>
    <n v="1"/>
    <n v="1"/>
    <n v="-40"/>
    <n v="940"/>
  </r>
  <r>
    <x v="60"/>
    <s v="conventional_cashout_cai_799"/>
    <x v="839"/>
    <n v="1"/>
    <n v="1"/>
    <n v="-40"/>
    <n v="940"/>
  </r>
  <r>
    <x v="60"/>
    <s v="conventional_cashout_cai_800"/>
    <x v="840"/>
    <n v="1"/>
    <n v="1"/>
    <n v="-40"/>
    <n v="940"/>
  </r>
  <r>
    <x v="60"/>
    <s v="conventional_cashout_cai_801"/>
    <x v="841"/>
    <n v="1"/>
    <n v="1"/>
    <n v="-40"/>
    <n v="940"/>
  </r>
  <r>
    <x v="60"/>
    <s v="conventional_cashout_cai_802"/>
    <x v="842"/>
    <n v="1"/>
    <n v="1"/>
    <n v="-40"/>
    <n v="940"/>
  </r>
  <r>
    <x v="60"/>
    <s v="conventional_cashout_cai_803"/>
    <x v="843"/>
    <n v="1"/>
    <n v="1"/>
    <n v="-40"/>
    <n v="940"/>
  </r>
  <r>
    <x v="60"/>
    <s v="conventional_cashout_cai_804"/>
    <x v="844"/>
    <n v="1"/>
    <n v="1"/>
    <n v="-40"/>
    <n v="940"/>
  </r>
  <r>
    <x v="60"/>
    <s v="conventional_cashout_cai_805"/>
    <x v="845"/>
    <n v="1"/>
    <n v="1"/>
    <n v="-40"/>
    <n v="940"/>
  </r>
  <r>
    <x v="60"/>
    <s v="conventional_cashout_cai_806"/>
    <x v="846"/>
    <n v="1"/>
    <n v="1"/>
    <n v="-40"/>
    <n v="940"/>
  </r>
  <r>
    <x v="60"/>
    <s v="conventional_cashout_cai_807"/>
    <x v="847"/>
    <n v="1"/>
    <n v="1"/>
    <n v="-40"/>
    <n v="940"/>
  </r>
  <r>
    <x v="60"/>
    <s v="conventional_cashout_cai_808"/>
    <x v="848"/>
    <n v="1"/>
    <n v="1"/>
    <n v="-40"/>
    <n v="940"/>
  </r>
  <r>
    <x v="60"/>
    <s v="conventional_cashout_cai_809"/>
    <x v="849"/>
    <n v="1"/>
    <n v="1"/>
    <n v="-40"/>
    <n v="940"/>
  </r>
  <r>
    <x v="60"/>
    <s v="conventional_cashout_cai_810"/>
    <x v="850"/>
    <n v="1"/>
    <n v="1"/>
    <n v="-40"/>
    <n v="940"/>
  </r>
  <r>
    <x v="60"/>
    <s v="conventional_cashout_cai_811"/>
    <x v="851"/>
    <n v="1"/>
    <n v="1"/>
    <n v="-40"/>
    <n v="940"/>
  </r>
  <r>
    <x v="60"/>
    <s v="conventional_cashout_cai_812"/>
    <x v="852"/>
    <n v="1"/>
    <n v="1"/>
    <n v="-40"/>
    <n v="940"/>
  </r>
  <r>
    <x v="60"/>
    <s v="conventional_cashout_cai_813"/>
    <x v="853"/>
    <n v="1"/>
    <n v="1"/>
    <n v="-40"/>
    <n v="940"/>
  </r>
  <r>
    <x v="60"/>
    <s v="conventional_cashout_cai_814"/>
    <x v="854"/>
    <n v="1"/>
    <n v="1"/>
    <n v="-40"/>
    <n v="940"/>
  </r>
  <r>
    <x v="60"/>
    <s v="conventional_cashout_cai_815"/>
    <x v="855"/>
    <n v="1"/>
    <n v="1"/>
    <n v="-40"/>
    <n v="940"/>
  </r>
  <r>
    <x v="60"/>
    <s v="conventional_cashout_cai_816"/>
    <x v="856"/>
    <n v="1"/>
    <n v="1"/>
    <n v="-40"/>
    <n v="940"/>
  </r>
  <r>
    <x v="60"/>
    <s v="conventional_cashout_cai_817"/>
    <x v="857"/>
    <n v="1"/>
    <n v="1"/>
    <n v="-40"/>
    <n v="940"/>
  </r>
  <r>
    <x v="60"/>
    <s v="conventional_cashout_cai_818"/>
    <x v="858"/>
    <n v="1"/>
    <n v="1"/>
    <n v="-40"/>
    <n v="940"/>
  </r>
  <r>
    <x v="60"/>
    <s v="conventional_cashout_cai_819"/>
    <x v="859"/>
    <n v="1"/>
    <n v="1"/>
    <n v="-40"/>
    <n v="940"/>
  </r>
  <r>
    <x v="60"/>
    <s v="conventional_cashout_cai_820"/>
    <x v="860"/>
    <n v="1"/>
    <n v="1"/>
    <n v="-40"/>
    <n v="940"/>
  </r>
  <r>
    <x v="60"/>
    <s v="conventional_cashout_cai_821"/>
    <x v="861"/>
    <n v="1"/>
    <n v="1"/>
    <n v="-40"/>
    <n v="940"/>
  </r>
  <r>
    <x v="60"/>
    <s v="conventional_cashout_cai_822"/>
    <x v="862"/>
    <n v="1"/>
    <n v="1"/>
    <n v="-40"/>
    <n v="940"/>
  </r>
  <r>
    <x v="60"/>
    <s v="conventional_cashout_cai_823"/>
    <x v="863"/>
    <n v="1"/>
    <n v="1"/>
    <n v="-40"/>
    <n v="940"/>
  </r>
  <r>
    <x v="60"/>
    <s v="conventional_cashout_cai_824"/>
    <x v="864"/>
    <n v="1"/>
    <n v="1"/>
    <n v="-40"/>
    <n v="940"/>
  </r>
  <r>
    <x v="60"/>
    <s v="conventional_cashout_cai_825"/>
    <x v="865"/>
    <n v="1"/>
    <n v="1"/>
    <n v="-40"/>
    <n v="940"/>
  </r>
  <r>
    <x v="60"/>
    <s v="conventional_cashout_cai_826"/>
    <x v="866"/>
    <n v="1"/>
    <n v="1"/>
    <n v="-40"/>
    <n v="940"/>
  </r>
  <r>
    <x v="60"/>
    <s v="conventional_cashout_cai_827"/>
    <x v="867"/>
    <n v="1"/>
    <n v="1"/>
    <n v="-40"/>
    <n v="940"/>
  </r>
  <r>
    <x v="60"/>
    <s v="conventional_cashout_cai_828"/>
    <x v="868"/>
    <n v="1"/>
    <n v="1"/>
    <n v="-40"/>
    <n v="940"/>
  </r>
  <r>
    <x v="60"/>
    <s v="conventional_cashout_cai_829"/>
    <x v="869"/>
    <n v="1"/>
    <n v="1"/>
    <n v="-40"/>
    <n v="940"/>
  </r>
  <r>
    <x v="60"/>
    <s v="conventional_cashout_cai_830"/>
    <x v="870"/>
    <n v="1"/>
    <n v="1"/>
    <n v="-40"/>
    <n v="940"/>
  </r>
  <r>
    <x v="60"/>
    <s v="conventional_cashout_cai_831"/>
    <x v="871"/>
    <n v="1"/>
    <n v="1"/>
    <n v="-40"/>
    <n v="940"/>
  </r>
  <r>
    <x v="60"/>
    <s v="conventional_cashout_cai_832"/>
    <x v="872"/>
    <n v="1"/>
    <n v="1"/>
    <n v="-40"/>
    <n v="940"/>
  </r>
  <r>
    <x v="60"/>
    <s v="conventional_cashout_cai_833"/>
    <x v="873"/>
    <n v="1"/>
    <n v="1"/>
    <n v="-40"/>
    <n v="940"/>
  </r>
  <r>
    <x v="60"/>
    <s v="conventional_cashout_cai_834"/>
    <x v="874"/>
    <n v="1"/>
    <n v="1"/>
    <n v="-40"/>
    <n v="940"/>
  </r>
  <r>
    <x v="60"/>
    <s v="conventional_cashout_cai_835"/>
    <x v="875"/>
    <n v="1"/>
    <n v="1"/>
    <n v="-40"/>
    <n v="940"/>
  </r>
  <r>
    <x v="60"/>
    <s v="conventional_cashout_cai_836"/>
    <x v="876"/>
    <n v="1"/>
    <n v="1"/>
    <n v="-40"/>
    <n v="940"/>
  </r>
  <r>
    <x v="60"/>
    <s v="conventional_cashout_cai_837"/>
    <x v="877"/>
    <n v="1"/>
    <n v="1"/>
    <n v="-40"/>
    <n v="940"/>
  </r>
  <r>
    <x v="60"/>
    <s v="conventional_cashout_cai_838"/>
    <x v="878"/>
    <n v="1"/>
    <n v="1"/>
    <n v="-40"/>
    <n v="940"/>
  </r>
  <r>
    <x v="60"/>
    <s v="conventional_cashout_cai_839"/>
    <x v="879"/>
    <n v="1"/>
    <n v="1"/>
    <n v="-40"/>
    <n v="940"/>
  </r>
  <r>
    <x v="60"/>
    <s v="conventional_cashout_cai_840"/>
    <x v="880"/>
    <n v="1"/>
    <n v="1"/>
    <n v="-40"/>
    <n v="940"/>
  </r>
  <r>
    <x v="60"/>
    <s v="conventional_cashout_cai_841"/>
    <x v="881"/>
    <n v="1"/>
    <n v="1"/>
    <n v="-40"/>
    <n v="940"/>
  </r>
  <r>
    <x v="60"/>
    <s v="conventional_cashout_cai_842"/>
    <x v="882"/>
    <n v="1"/>
    <n v="1"/>
    <n v="-40"/>
    <n v="940"/>
  </r>
  <r>
    <x v="60"/>
    <s v="conventional_cashout_cai_843"/>
    <x v="883"/>
    <n v="1"/>
    <n v="1"/>
    <n v="-40"/>
    <n v="940"/>
  </r>
  <r>
    <x v="60"/>
    <s v="conventional_cashout_cai_844"/>
    <x v="884"/>
    <n v="1"/>
    <n v="1"/>
    <n v="-40"/>
    <n v="940"/>
  </r>
  <r>
    <x v="60"/>
    <s v="conventional_cashout_cai_845"/>
    <x v="885"/>
    <n v="1"/>
    <n v="1"/>
    <n v="-40"/>
    <n v="940"/>
  </r>
  <r>
    <x v="60"/>
    <s v="conventional_cashout_cai_846"/>
    <x v="886"/>
    <n v="1"/>
    <n v="1"/>
    <n v="-40"/>
    <n v="940"/>
  </r>
  <r>
    <x v="60"/>
    <s v="conventional_cashout_cai_847"/>
    <x v="887"/>
    <n v="1"/>
    <n v="1"/>
    <n v="-40"/>
    <n v="940"/>
  </r>
  <r>
    <x v="60"/>
    <s v="conventional_cashout_cai_848"/>
    <x v="888"/>
    <n v="1"/>
    <n v="1"/>
    <n v="-40"/>
    <n v="940"/>
  </r>
  <r>
    <x v="60"/>
    <s v="conventional_cashout_cai_849"/>
    <x v="889"/>
    <n v="1"/>
    <n v="1"/>
    <n v="-40"/>
    <n v="940"/>
  </r>
  <r>
    <x v="60"/>
    <s v="conventional_cashout_cai_850"/>
    <x v="890"/>
    <n v="1"/>
    <n v="1"/>
    <n v="-40"/>
    <n v="940"/>
  </r>
  <r>
    <x v="60"/>
    <s v="conventional_cashout_cai_851"/>
    <x v="891"/>
    <n v="1"/>
    <n v="1"/>
    <n v="-40"/>
    <n v="940"/>
  </r>
  <r>
    <x v="60"/>
    <s v="conventional_cashout_cai_852"/>
    <x v="892"/>
    <n v="1"/>
    <n v="1"/>
    <n v="-40"/>
    <n v="940"/>
  </r>
  <r>
    <x v="60"/>
    <s v="conventional_cashout_cai_853"/>
    <x v="893"/>
    <n v="1"/>
    <n v="1"/>
    <n v="-40"/>
    <n v="940"/>
  </r>
  <r>
    <x v="60"/>
    <s v="conventional_cashout_cai_854"/>
    <x v="894"/>
    <n v="1"/>
    <n v="1"/>
    <n v="-40"/>
    <n v="940"/>
  </r>
  <r>
    <x v="60"/>
    <s v="conventional_cashout_cai_855"/>
    <x v="895"/>
    <n v="1"/>
    <n v="1"/>
    <n v="-40"/>
    <n v="940"/>
  </r>
  <r>
    <x v="60"/>
    <s v="conventional_cashout_cai_856"/>
    <x v="896"/>
    <n v="1"/>
    <n v="1"/>
    <n v="-40"/>
    <n v="940"/>
  </r>
  <r>
    <x v="60"/>
    <s v="conventional_cashout_cai_857"/>
    <x v="897"/>
    <n v="1"/>
    <n v="1"/>
    <n v="-40"/>
    <n v="940"/>
  </r>
  <r>
    <x v="60"/>
    <s v="conventional_cashout_cai_858"/>
    <x v="898"/>
    <n v="1"/>
    <n v="1"/>
    <n v="-40"/>
    <n v="940"/>
  </r>
  <r>
    <x v="60"/>
    <s v="conventional_cashout_cai_859"/>
    <x v="899"/>
    <n v="1"/>
    <n v="1"/>
    <n v="-40"/>
    <n v="940"/>
  </r>
  <r>
    <x v="60"/>
    <s v="conventional_cashout_cai_860"/>
    <x v="900"/>
    <n v="1"/>
    <n v="1"/>
    <n v="-40"/>
    <n v="940"/>
  </r>
  <r>
    <x v="60"/>
    <s v="conventional_cashout_cai_861"/>
    <x v="901"/>
    <n v="1"/>
    <n v="1"/>
    <n v="-40"/>
    <n v="940"/>
  </r>
  <r>
    <x v="60"/>
    <s v="conventional_cashout_cai_862"/>
    <x v="902"/>
    <n v="1"/>
    <n v="1"/>
    <n v="-40"/>
    <n v="940"/>
  </r>
  <r>
    <x v="60"/>
    <s v="conventional_cashout_cai_863"/>
    <x v="903"/>
    <n v="1"/>
    <n v="1"/>
    <n v="-40"/>
    <n v="940"/>
  </r>
  <r>
    <x v="60"/>
    <s v="conventional_cashout_cai_864"/>
    <x v="904"/>
    <n v="1"/>
    <n v="1"/>
    <n v="-40"/>
    <n v="940"/>
  </r>
  <r>
    <x v="60"/>
    <s v="conventional_cashout_cai_865"/>
    <x v="905"/>
    <n v="1"/>
    <n v="1"/>
    <n v="-40"/>
    <n v="940"/>
  </r>
  <r>
    <x v="60"/>
    <s v="conventional_cashout_cai_866"/>
    <x v="906"/>
    <n v="1"/>
    <n v="1"/>
    <n v="-40"/>
    <n v="940"/>
  </r>
  <r>
    <x v="60"/>
    <s v="conventional_cashout_cai_867"/>
    <x v="907"/>
    <n v="1"/>
    <n v="1"/>
    <n v="-40"/>
    <n v="940"/>
  </r>
  <r>
    <x v="60"/>
    <s v="conventional_cashout_cai_868"/>
    <x v="908"/>
    <n v="1"/>
    <n v="1"/>
    <n v="-40"/>
    <n v="940"/>
  </r>
  <r>
    <x v="60"/>
    <s v="conventional_cashout_cai_869"/>
    <x v="909"/>
    <n v="1"/>
    <n v="1"/>
    <n v="-40"/>
    <n v="940"/>
  </r>
  <r>
    <x v="60"/>
    <s v="conventional_cashout_cai_870"/>
    <x v="910"/>
    <n v="1"/>
    <n v="1"/>
    <n v="-40"/>
    <n v="940"/>
  </r>
  <r>
    <x v="60"/>
    <s v="conventional_cashout_cai_871"/>
    <x v="911"/>
    <n v="1"/>
    <n v="1"/>
    <n v="-40"/>
    <n v="940"/>
  </r>
  <r>
    <x v="60"/>
    <s v="conventional_cashout_cai_872"/>
    <x v="912"/>
    <n v="1"/>
    <n v="1"/>
    <n v="-40"/>
    <n v="940"/>
  </r>
  <r>
    <x v="60"/>
    <s v="conventional_cashout_cai_873"/>
    <x v="913"/>
    <n v="1"/>
    <n v="1"/>
    <n v="-40"/>
    <n v="940"/>
  </r>
  <r>
    <x v="60"/>
    <s v="conventional_cashout_cai_874"/>
    <x v="914"/>
    <n v="1"/>
    <n v="1"/>
    <n v="-40"/>
    <n v="940"/>
  </r>
  <r>
    <x v="60"/>
    <s v="conventional_cashout_cai_875"/>
    <x v="915"/>
    <n v="1"/>
    <n v="1"/>
    <n v="-40"/>
    <n v="940"/>
  </r>
  <r>
    <x v="60"/>
    <s v="conventional_cashout_cai_876"/>
    <x v="916"/>
    <n v="1"/>
    <n v="1"/>
    <n v="-40"/>
    <n v="940"/>
  </r>
  <r>
    <x v="60"/>
    <s v="conventional_cashout_cai_877"/>
    <x v="917"/>
    <n v="1"/>
    <n v="1"/>
    <n v="-40"/>
    <n v="940"/>
  </r>
  <r>
    <x v="60"/>
    <s v="conventional_cashout_cai_878"/>
    <x v="918"/>
    <n v="1"/>
    <n v="1"/>
    <n v="-40"/>
    <n v="940"/>
  </r>
  <r>
    <x v="60"/>
    <s v="conventional_cashout_cai_879"/>
    <x v="919"/>
    <n v="1"/>
    <n v="1"/>
    <n v="-40"/>
    <n v="940"/>
  </r>
  <r>
    <x v="60"/>
    <s v="conventional_cashout_cai_880"/>
    <x v="920"/>
    <n v="1"/>
    <n v="1"/>
    <n v="-40"/>
    <n v="940"/>
  </r>
  <r>
    <x v="60"/>
    <s v="conventional_cashout_cai_881"/>
    <x v="921"/>
    <n v="1"/>
    <n v="1"/>
    <n v="-40"/>
    <n v="940"/>
  </r>
  <r>
    <x v="60"/>
    <s v="conventional_cashout_cai_882"/>
    <x v="922"/>
    <n v="1"/>
    <n v="1"/>
    <n v="-40"/>
    <n v="940"/>
  </r>
  <r>
    <x v="60"/>
    <s v="conventional_cashout_cai_883"/>
    <x v="923"/>
    <n v="1"/>
    <n v="1"/>
    <n v="-40"/>
    <n v="940"/>
  </r>
  <r>
    <x v="60"/>
    <s v="conventional_cashout_cai_884"/>
    <x v="924"/>
    <n v="1"/>
    <n v="1"/>
    <n v="-40"/>
    <n v="940"/>
  </r>
  <r>
    <x v="60"/>
    <s v="conventional_cashout_cai_885"/>
    <x v="925"/>
    <n v="1"/>
    <n v="1"/>
    <n v="-40"/>
    <n v="940"/>
  </r>
  <r>
    <x v="60"/>
    <s v="conventional_cashout_cai_886"/>
    <x v="926"/>
    <n v="1"/>
    <n v="1"/>
    <n v="-40"/>
    <n v="940"/>
  </r>
  <r>
    <x v="60"/>
    <s v="conventional_cashout_cai_887"/>
    <x v="927"/>
    <n v="1"/>
    <n v="1"/>
    <n v="-40"/>
    <n v="940"/>
  </r>
  <r>
    <x v="60"/>
    <s v="conventional_cashout_cai_888"/>
    <x v="928"/>
    <n v="1"/>
    <n v="1"/>
    <n v="-40"/>
    <n v="940"/>
  </r>
  <r>
    <x v="60"/>
    <s v="conventional_cashout_cai_889"/>
    <x v="929"/>
    <n v="1"/>
    <n v="1"/>
    <n v="-40"/>
    <n v="940"/>
  </r>
  <r>
    <x v="60"/>
    <s v="conventional_cashout_cai_890"/>
    <x v="930"/>
    <n v="1"/>
    <n v="1"/>
    <n v="-40"/>
    <n v="940"/>
  </r>
  <r>
    <x v="60"/>
    <s v="conventional_cashout_cai_891"/>
    <x v="931"/>
    <n v="1"/>
    <n v="1"/>
    <n v="-40"/>
    <n v="940"/>
  </r>
  <r>
    <x v="60"/>
    <s v="conventional_cashout_cai_892"/>
    <x v="932"/>
    <n v="1"/>
    <n v="1"/>
    <n v="-40"/>
    <n v="940"/>
  </r>
  <r>
    <x v="60"/>
    <s v="conventional_cashout_cai_893"/>
    <x v="933"/>
    <n v="1"/>
    <n v="1"/>
    <n v="-40"/>
    <n v="940"/>
  </r>
  <r>
    <x v="60"/>
    <s v="conventional_cashout_cai_894"/>
    <x v="934"/>
    <n v="1"/>
    <n v="1"/>
    <n v="-40"/>
    <n v="940"/>
  </r>
  <r>
    <x v="60"/>
    <s v="conventional_cashout_cai_895"/>
    <x v="935"/>
    <n v="1"/>
    <n v="1"/>
    <n v="-40"/>
    <n v="940"/>
  </r>
  <r>
    <x v="60"/>
    <s v="conventional_cashout_cai_896"/>
    <x v="936"/>
    <n v="1"/>
    <n v="1"/>
    <n v="-40"/>
    <n v="940"/>
  </r>
  <r>
    <x v="60"/>
    <s v="conventional_cashout_cai_897"/>
    <x v="937"/>
    <n v="1"/>
    <n v="1"/>
    <n v="-40"/>
    <n v="940"/>
  </r>
  <r>
    <x v="60"/>
    <s v="conventional_cashout_cai_898"/>
    <x v="938"/>
    <n v="1"/>
    <n v="1"/>
    <n v="-40"/>
    <n v="940"/>
  </r>
  <r>
    <x v="60"/>
    <s v="conventional_cashout_cai_899"/>
    <x v="939"/>
    <n v="1"/>
    <n v="1"/>
    <n v="-40"/>
    <n v="940"/>
  </r>
  <r>
    <x v="60"/>
    <s v="conventional_cashout_cai_900"/>
    <x v="940"/>
    <n v="1"/>
    <n v="1"/>
    <n v="-40"/>
    <n v="940"/>
  </r>
  <r>
    <x v="60"/>
    <s v="conventional_cashout_cai_901"/>
    <x v="941"/>
    <n v="1"/>
    <n v="1"/>
    <n v="-40"/>
    <n v="940"/>
  </r>
  <r>
    <x v="60"/>
    <s v="conventional_cashout_cai_902"/>
    <x v="942"/>
    <n v="1"/>
    <n v="1"/>
    <n v="-40"/>
    <n v="940"/>
  </r>
  <r>
    <x v="60"/>
    <s v="conventional_cashout_cai_903"/>
    <x v="943"/>
    <n v="1"/>
    <n v="1"/>
    <n v="-40"/>
    <n v="940"/>
  </r>
  <r>
    <x v="60"/>
    <s v="conventional_cashout_cai_904"/>
    <x v="944"/>
    <n v="1"/>
    <n v="1"/>
    <n v="-40"/>
    <n v="940"/>
  </r>
  <r>
    <x v="60"/>
    <s v="conventional_cashout_cai_905"/>
    <x v="945"/>
    <n v="1"/>
    <n v="1"/>
    <n v="-40"/>
    <n v="940"/>
  </r>
  <r>
    <x v="60"/>
    <s v="conventional_cashout_cai_906"/>
    <x v="946"/>
    <n v="1"/>
    <n v="1"/>
    <n v="-40"/>
    <n v="940"/>
  </r>
  <r>
    <x v="60"/>
    <s v="conventional_cashout_cai_907"/>
    <x v="947"/>
    <n v="1"/>
    <n v="1"/>
    <n v="-40"/>
    <n v="940"/>
  </r>
  <r>
    <x v="60"/>
    <s v="conventional_cashout_cai_908"/>
    <x v="948"/>
    <n v="1"/>
    <n v="1"/>
    <n v="-40"/>
    <n v="940"/>
  </r>
  <r>
    <x v="60"/>
    <s v="conventional_cashout_cai_909"/>
    <x v="949"/>
    <n v="1"/>
    <n v="1"/>
    <n v="-40"/>
    <n v="940"/>
  </r>
  <r>
    <x v="60"/>
    <s v="conventional_cashout_cai_910"/>
    <x v="950"/>
    <n v="1"/>
    <n v="1"/>
    <n v="-40"/>
    <n v="940"/>
  </r>
  <r>
    <x v="60"/>
    <s v="conventional_cashout_cai_911"/>
    <x v="951"/>
    <n v="1"/>
    <n v="1"/>
    <n v="-40"/>
    <n v="940"/>
  </r>
  <r>
    <x v="60"/>
    <s v="conventional_cashout_cai_912"/>
    <x v="952"/>
    <n v="1"/>
    <n v="1"/>
    <n v="-40"/>
    <n v="940"/>
  </r>
  <r>
    <x v="60"/>
    <s v="conventional_cashout_cai_913"/>
    <x v="953"/>
    <n v="1"/>
    <n v="1"/>
    <n v="-40"/>
    <n v="940"/>
  </r>
  <r>
    <x v="60"/>
    <s v="conventional_cashout_cai_914"/>
    <x v="954"/>
    <n v="1"/>
    <n v="1"/>
    <n v="-40"/>
    <n v="940"/>
  </r>
  <r>
    <x v="60"/>
    <s v="conventional_cashout_cai_915"/>
    <x v="955"/>
    <n v="1"/>
    <n v="1"/>
    <n v="-40"/>
    <n v="940"/>
  </r>
  <r>
    <x v="60"/>
    <s v="conventional_cashout_cai_916"/>
    <x v="956"/>
    <n v="1"/>
    <n v="1"/>
    <n v="-40"/>
    <n v="940"/>
  </r>
  <r>
    <x v="60"/>
    <s v="conventional_cashout_cai_917"/>
    <x v="957"/>
    <n v="1"/>
    <n v="1"/>
    <n v="-40"/>
    <n v="940"/>
  </r>
  <r>
    <x v="60"/>
    <s v="conventional_cashout_cai_918"/>
    <x v="958"/>
    <n v="1"/>
    <n v="1"/>
    <n v="-40"/>
    <n v="940"/>
  </r>
  <r>
    <x v="60"/>
    <s v="conventional_cashout_cai_919"/>
    <x v="959"/>
    <n v="1"/>
    <n v="1"/>
    <n v="-40"/>
    <n v="940"/>
  </r>
  <r>
    <x v="60"/>
    <s v="conventional_cashout_cai_920"/>
    <x v="960"/>
    <n v="1"/>
    <n v="1"/>
    <n v="-40"/>
    <n v="940"/>
  </r>
  <r>
    <x v="60"/>
    <s v="conventional_cashout_cai_921"/>
    <x v="961"/>
    <n v="1"/>
    <n v="1"/>
    <n v="-40"/>
    <n v="940"/>
  </r>
  <r>
    <x v="60"/>
    <s v="conventional_cashout_cai_922"/>
    <x v="962"/>
    <n v="1"/>
    <n v="1"/>
    <n v="-40"/>
    <n v="940"/>
  </r>
  <r>
    <x v="60"/>
    <s v="conventional_cashout_cai_923"/>
    <x v="963"/>
    <n v="1"/>
    <n v="1"/>
    <n v="-40"/>
    <n v="940"/>
  </r>
  <r>
    <x v="60"/>
    <s v="conventional_cashout_cai_924"/>
    <x v="964"/>
    <n v="1"/>
    <n v="1"/>
    <n v="-40"/>
    <n v="940"/>
  </r>
  <r>
    <x v="60"/>
    <s v="conventional_cashout_cai_925"/>
    <x v="965"/>
    <n v="1"/>
    <n v="1"/>
    <n v="-40"/>
    <n v="940"/>
  </r>
  <r>
    <x v="60"/>
    <s v="conventional_cashout_cai_926"/>
    <x v="966"/>
    <n v="1"/>
    <n v="1"/>
    <n v="-40"/>
    <n v="940"/>
  </r>
  <r>
    <x v="60"/>
    <s v="conventional_cashout_cai_927"/>
    <x v="967"/>
    <n v="1"/>
    <n v="1"/>
    <n v="-40"/>
    <n v="940"/>
  </r>
  <r>
    <x v="60"/>
    <s v="conventional_cashout_cai_928"/>
    <x v="968"/>
    <n v="1"/>
    <n v="1"/>
    <n v="-40"/>
    <n v="940"/>
  </r>
  <r>
    <x v="60"/>
    <s v="conventional_cashout_cai_929"/>
    <x v="969"/>
    <n v="1"/>
    <n v="1"/>
    <n v="-40"/>
    <n v="940"/>
  </r>
  <r>
    <x v="60"/>
    <s v="conventional_cashout_cai_930"/>
    <x v="970"/>
    <n v="1"/>
    <n v="1"/>
    <n v="-40"/>
    <n v="940"/>
  </r>
  <r>
    <x v="60"/>
    <s v="conventional_cashout_cai_931"/>
    <x v="971"/>
    <n v="1"/>
    <n v="1"/>
    <n v="-40"/>
    <n v="940"/>
  </r>
  <r>
    <x v="60"/>
    <s v="conventional_cashout_cai_932"/>
    <x v="972"/>
    <n v="1"/>
    <n v="1"/>
    <n v="-40"/>
    <n v="940"/>
  </r>
  <r>
    <x v="60"/>
    <s v="conventional_cashout_cai_933"/>
    <x v="973"/>
    <n v="1"/>
    <n v="1"/>
    <n v="-40"/>
    <n v="940"/>
  </r>
  <r>
    <x v="60"/>
    <s v="conventional_cashout_cai_934"/>
    <x v="974"/>
    <n v="1"/>
    <n v="1"/>
    <n v="-40"/>
    <n v="940"/>
  </r>
  <r>
    <x v="60"/>
    <s v="conventional_cashout_cai_935"/>
    <x v="975"/>
    <n v="1"/>
    <n v="1"/>
    <n v="-40"/>
    <n v="940"/>
  </r>
  <r>
    <x v="60"/>
    <s v="conventional_cashout_cai_936"/>
    <x v="976"/>
    <n v="1"/>
    <n v="1"/>
    <n v="-40"/>
    <n v="940"/>
  </r>
  <r>
    <x v="60"/>
    <s v="conventional_cashout_cai_937"/>
    <x v="977"/>
    <n v="1"/>
    <n v="1"/>
    <n v="-40"/>
    <n v="940"/>
  </r>
  <r>
    <x v="60"/>
    <s v="conventional_cashout_cai_938"/>
    <x v="978"/>
    <n v="1"/>
    <n v="1"/>
    <n v="-40"/>
    <n v="940"/>
  </r>
  <r>
    <x v="60"/>
    <s v="conventional_cashout_cai_939"/>
    <x v="979"/>
    <n v="1"/>
    <n v="1"/>
    <n v="-40"/>
    <n v="940"/>
  </r>
  <r>
    <x v="60"/>
    <s v="conventional_cashout_cai_940"/>
    <x v="980"/>
    <n v="1"/>
    <n v="1"/>
    <n v="-40"/>
    <n v="940"/>
  </r>
  <r>
    <x v="61"/>
    <s v="conventional_cashout_wala_-24"/>
    <x v="16"/>
    <n v="1.2609999999999999"/>
    <n v="1"/>
    <n v="-24"/>
    <n v="144"/>
  </r>
  <r>
    <x v="61"/>
    <s v="conventional_cashout_wala_-23"/>
    <x v="17"/>
    <n v="1.2609999999999999"/>
    <n v="1"/>
    <n v="-24"/>
    <n v="144"/>
  </r>
  <r>
    <x v="61"/>
    <s v="conventional_cashout_wala_-22"/>
    <x v="18"/>
    <n v="1.2609999999999999"/>
    <n v="1"/>
    <n v="-24"/>
    <n v="144"/>
  </r>
  <r>
    <x v="61"/>
    <s v="conventional_cashout_wala_-21"/>
    <x v="19"/>
    <n v="1.2609999999999999"/>
    <n v="1"/>
    <n v="-24"/>
    <n v="144"/>
  </r>
  <r>
    <x v="61"/>
    <s v="conventional_cashout_wala_-20"/>
    <x v="20"/>
    <n v="1.2609999999999999"/>
    <n v="1"/>
    <n v="-24"/>
    <n v="144"/>
  </r>
  <r>
    <x v="61"/>
    <s v="conventional_cashout_wala_-19"/>
    <x v="21"/>
    <n v="1.2609999999999999"/>
    <n v="1"/>
    <n v="-24"/>
    <n v="144"/>
  </r>
  <r>
    <x v="61"/>
    <s v="conventional_cashout_wala_-18"/>
    <x v="22"/>
    <n v="1.2609999999999999"/>
    <n v="1"/>
    <n v="-24"/>
    <n v="144"/>
  </r>
  <r>
    <x v="61"/>
    <s v="conventional_cashout_wala_-17"/>
    <x v="23"/>
    <n v="1.2609999999999999"/>
    <n v="1"/>
    <n v="-24"/>
    <n v="144"/>
  </r>
  <r>
    <x v="61"/>
    <s v="conventional_cashout_wala_-16"/>
    <x v="24"/>
    <n v="1.2609999999999999"/>
    <n v="1"/>
    <n v="-24"/>
    <n v="144"/>
  </r>
  <r>
    <x v="61"/>
    <s v="conventional_cashout_wala_-15"/>
    <x v="25"/>
    <n v="1.2609999999999999"/>
    <n v="1"/>
    <n v="-24"/>
    <n v="144"/>
  </r>
  <r>
    <x v="61"/>
    <s v="conventional_cashout_wala_-14"/>
    <x v="26"/>
    <n v="1.2609999999999999"/>
    <n v="1"/>
    <n v="-24"/>
    <n v="144"/>
  </r>
  <r>
    <x v="61"/>
    <s v="conventional_cashout_wala_-13"/>
    <x v="27"/>
    <n v="1.2609999999999999"/>
    <n v="1"/>
    <n v="-24"/>
    <n v="144"/>
  </r>
  <r>
    <x v="61"/>
    <s v="conventional_cashout_wala_-12"/>
    <x v="28"/>
    <n v="1.2609999999999999"/>
    <n v="1"/>
    <n v="-24"/>
    <n v="144"/>
  </r>
  <r>
    <x v="61"/>
    <s v="conventional_cashout_wala_-11"/>
    <x v="29"/>
    <n v="1.2609999999999999"/>
    <n v="1"/>
    <n v="-24"/>
    <n v="144"/>
  </r>
  <r>
    <x v="61"/>
    <s v="conventional_cashout_wala_-10"/>
    <x v="30"/>
    <n v="1.2609999999999999"/>
    <n v="1"/>
    <n v="-24"/>
    <n v="144"/>
  </r>
  <r>
    <x v="61"/>
    <s v="conventional_cashout_wala_-9"/>
    <x v="31"/>
    <n v="1.2609999999999999"/>
    <n v="1"/>
    <n v="-24"/>
    <n v="144"/>
  </r>
  <r>
    <x v="61"/>
    <s v="conventional_cashout_wala_-8"/>
    <x v="32"/>
    <n v="1.2609999999999999"/>
    <n v="1"/>
    <n v="-24"/>
    <n v="144"/>
  </r>
  <r>
    <x v="61"/>
    <s v="conventional_cashout_wala_-7"/>
    <x v="33"/>
    <n v="1.2609999999999999"/>
    <n v="1"/>
    <n v="-24"/>
    <n v="144"/>
  </r>
  <r>
    <x v="61"/>
    <s v="conventional_cashout_wala_-6"/>
    <x v="34"/>
    <n v="1.2609999999999999"/>
    <n v="1"/>
    <n v="-24"/>
    <n v="144"/>
  </r>
  <r>
    <x v="61"/>
    <s v="conventional_cashout_wala_-5"/>
    <x v="35"/>
    <n v="1.2609999999999999"/>
    <n v="1"/>
    <n v="-24"/>
    <n v="144"/>
  </r>
  <r>
    <x v="61"/>
    <s v="conventional_cashout_wala_-4"/>
    <x v="36"/>
    <n v="1.2609999999999999"/>
    <n v="1"/>
    <n v="-24"/>
    <n v="144"/>
  </r>
  <r>
    <x v="61"/>
    <s v="conventional_cashout_wala_-3"/>
    <x v="37"/>
    <n v="1.2609999999999999"/>
    <n v="1"/>
    <n v="-24"/>
    <n v="144"/>
  </r>
  <r>
    <x v="61"/>
    <s v="conventional_cashout_wala_-2"/>
    <x v="38"/>
    <n v="1.2609999999999999"/>
    <n v="1"/>
    <n v="-24"/>
    <n v="144"/>
  </r>
  <r>
    <x v="61"/>
    <s v="conventional_cashout_wala_-1"/>
    <x v="39"/>
    <n v="1.2609999999999999"/>
    <n v="1"/>
    <n v="-24"/>
    <n v="144"/>
  </r>
  <r>
    <x v="61"/>
    <s v="conventional_cashout_wala_0"/>
    <x v="40"/>
    <n v="1.2609999999999999"/>
    <n v="1"/>
    <n v="-24"/>
    <n v="144"/>
  </r>
  <r>
    <x v="61"/>
    <s v="conventional_cashout_wala_1"/>
    <x v="41"/>
    <n v="1.2609999999999999"/>
    <n v="1"/>
    <n v="-24"/>
    <n v="144"/>
  </r>
  <r>
    <x v="61"/>
    <s v="conventional_cashout_wala_2"/>
    <x v="42"/>
    <n v="1.2609999999999999"/>
    <n v="1"/>
    <n v="-24"/>
    <n v="144"/>
  </r>
  <r>
    <x v="61"/>
    <s v="conventional_cashout_wala_3"/>
    <x v="43"/>
    <n v="1.2609999999999999"/>
    <n v="1"/>
    <n v="-24"/>
    <n v="144"/>
  </r>
  <r>
    <x v="61"/>
    <s v="conventional_cashout_wala_4"/>
    <x v="44"/>
    <n v="1.2609999999999999"/>
    <n v="1"/>
    <n v="-24"/>
    <n v="144"/>
  </r>
  <r>
    <x v="61"/>
    <s v="conventional_cashout_wala_5"/>
    <x v="45"/>
    <n v="1.2609999999999999"/>
    <n v="1"/>
    <n v="-24"/>
    <n v="144"/>
  </r>
  <r>
    <x v="61"/>
    <s v="conventional_cashout_wala_6"/>
    <x v="46"/>
    <n v="1.2609999999999999"/>
    <n v="1"/>
    <n v="-24"/>
    <n v="144"/>
  </r>
  <r>
    <x v="61"/>
    <s v="conventional_cashout_wala_7"/>
    <x v="47"/>
    <n v="1.2609999999999999"/>
    <n v="1"/>
    <n v="-24"/>
    <n v="144"/>
  </r>
  <r>
    <x v="61"/>
    <s v="conventional_cashout_wala_8"/>
    <x v="48"/>
    <n v="1.2609999999999999"/>
    <n v="1"/>
    <n v="-24"/>
    <n v="144"/>
  </r>
  <r>
    <x v="61"/>
    <s v="conventional_cashout_wala_9"/>
    <x v="49"/>
    <n v="1.2609999999999999"/>
    <n v="1"/>
    <n v="-24"/>
    <n v="144"/>
  </r>
  <r>
    <x v="61"/>
    <s v="conventional_cashout_wala_10"/>
    <x v="50"/>
    <n v="1.2609999999999999"/>
    <n v="1"/>
    <n v="-24"/>
    <n v="144"/>
  </r>
  <r>
    <x v="61"/>
    <s v="conventional_cashout_wala_11"/>
    <x v="51"/>
    <n v="1.2609999999999999"/>
    <n v="1"/>
    <n v="-24"/>
    <n v="144"/>
  </r>
  <r>
    <x v="61"/>
    <s v="conventional_cashout_wala_12"/>
    <x v="52"/>
    <n v="1.2609999999999999"/>
    <n v="1"/>
    <n v="-24"/>
    <n v="144"/>
  </r>
  <r>
    <x v="61"/>
    <s v="conventional_cashout_wala_13"/>
    <x v="53"/>
    <n v="1.2609999999999999"/>
    <n v="1"/>
    <n v="-24"/>
    <n v="144"/>
  </r>
  <r>
    <x v="61"/>
    <s v="conventional_cashout_wala_14"/>
    <x v="54"/>
    <n v="1.2609999999999999"/>
    <n v="1"/>
    <n v="-24"/>
    <n v="144"/>
  </r>
  <r>
    <x v="61"/>
    <s v="conventional_cashout_wala_15"/>
    <x v="55"/>
    <n v="1.2609999999999999"/>
    <n v="1"/>
    <n v="-24"/>
    <n v="144"/>
  </r>
  <r>
    <x v="61"/>
    <s v="conventional_cashout_wala_16"/>
    <x v="56"/>
    <n v="1.2609999999999999"/>
    <n v="1"/>
    <n v="-24"/>
    <n v="144"/>
  </r>
  <r>
    <x v="61"/>
    <s v="conventional_cashout_wala_17"/>
    <x v="57"/>
    <n v="1.2609999999999999"/>
    <n v="1"/>
    <n v="-24"/>
    <n v="144"/>
  </r>
  <r>
    <x v="61"/>
    <s v="conventional_cashout_wala_18"/>
    <x v="58"/>
    <n v="1.2609999999999999"/>
    <n v="1"/>
    <n v="-24"/>
    <n v="144"/>
  </r>
  <r>
    <x v="61"/>
    <s v="conventional_cashout_wala_19"/>
    <x v="59"/>
    <n v="1.2609999999999999"/>
    <n v="1"/>
    <n v="-24"/>
    <n v="144"/>
  </r>
  <r>
    <x v="61"/>
    <s v="conventional_cashout_wala_20"/>
    <x v="60"/>
    <n v="1.2609999999999999"/>
    <n v="1"/>
    <n v="-24"/>
    <n v="144"/>
  </r>
  <r>
    <x v="61"/>
    <s v="conventional_cashout_wala_21"/>
    <x v="61"/>
    <n v="1.2609999999999999"/>
    <n v="1"/>
    <n v="-24"/>
    <n v="144"/>
  </r>
  <r>
    <x v="61"/>
    <s v="conventional_cashout_wala_22"/>
    <x v="62"/>
    <n v="1.2609999999999999"/>
    <n v="1"/>
    <n v="-24"/>
    <n v="144"/>
  </r>
  <r>
    <x v="61"/>
    <s v="conventional_cashout_wala_23"/>
    <x v="63"/>
    <n v="1.2609999999999999"/>
    <n v="1"/>
    <n v="-24"/>
    <n v="144"/>
  </r>
  <r>
    <x v="61"/>
    <s v="conventional_cashout_wala_24"/>
    <x v="64"/>
    <n v="1.2609999999999999"/>
    <n v="1"/>
    <n v="-24"/>
    <n v="144"/>
  </r>
  <r>
    <x v="61"/>
    <s v="conventional_cashout_wala_25"/>
    <x v="65"/>
    <n v="1.2609999999999999"/>
    <n v="1"/>
    <n v="-24"/>
    <n v="144"/>
  </r>
  <r>
    <x v="61"/>
    <s v="conventional_cashout_wala_26"/>
    <x v="66"/>
    <n v="1.2609999999999999"/>
    <n v="1"/>
    <n v="-24"/>
    <n v="144"/>
  </r>
  <r>
    <x v="61"/>
    <s v="conventional_cashout_wala_27"/>
    <x v="67"/>
    <n v="1.2609999999999999"/>
    <n v="1"/>
    <n v="-24"/>
    <n v="144"/>
  </r>
  <r>
    <x v="61"/>
    <s v="conventional_cashout_wala_28"/>
    <x v="68"/>
    <n v="1.2609999999999999"/>
    <n v="1"/>
    <n v="-24"/>
    <n v="144"/>
  </r>
  <r>
    <x v="61"/>
    <s v="conventional_cashout_wala_29"/>
    <x v="69"/>
    <n v="1.2609999999999999"/>
    <n v="1"/>
    <n v="-24"/>
    <n v="144"/>
  </r>
  <r>
    <x v="61"/>
    <s v="conventional_cashout_wala_30"/>
    <x v="70"/>
    <n v="1.2609999999999999"/>
    <n v="1"/>
    <n v="-24"/>
    <n v="144"/>
  </r>
  <r>
    <x v="61"/>
    <s v="conventional_cashout_wala_31"/>
    <x v="71"/>
    <n v="1.2609999999999999"/>
    <n v="1"/>
    <n v="-24"/>
    <n v="144"/>
  </r>
  <r>
    <x v="61"/>
    <s v="conventional_cashout_wala_32"/>
    <x v="72"/>
    <n v="1.2609999999999999"/>
    <n v="1"/>
    <n v="-24"/>
    <n v="144"/>
  </r>
  <r>
    <x v="61"/>
    <s v="conventional_cashout_wala_33"/>
    <x v="73"/>
    <n v="1.2609999999999999"/>
    <n v="1"/>
    <n v="-24"/>
    <n v="144"/>
  </r>
  <r>
    <x v="61"/>
    <s v="conventional_cashout_wala_34"/>
    <x v="74"/>
    <n v="1.2609999999999999"/>
    <n v="1"/>
    <n v="-24"/>
    <n v="144"/>
  </r>
  <r>
    <x v="61"/>
    <s v="conventional_cashout_wala_35"/>
    <x v="75"/>
    <n v="1.2609999999999999"/>
    <n v="1"/>
    <n v="-24"/>
    <n v="144"/>
  </r>
  <r>
    <x v="61"/>
    <s v="conventional_cashout_wala_36"/>
    <x v="76"/>
    <n v="1.2609999999999999"/>
    <n v="1"/>
    <n v="-24"/>
    <n v="144"/>
  </r>
  <r>
    <x v="61"/>
    <s v="conventional_cashout_wala_37"/>
    <x v="77"/>
    <n v="1.2609999999999999"/>
    <n v="1"/>
    <n v="-24"/>
    <n v="144"/>
  </r>
  <r>
    <x v="61"/>
    <s v="conventional_cashout_wala_38"/>
    <x v="78"/>
    <n v="1.2609999999999999"/>
    <n v="1"/>
    <n v="-24"/>
    <n v="144"/>
  </r>
  <r>
    <x v="61"/>
    <s v="conventional_cashout_wala_39"/>
    <x v="79"/>
    <n v="1.2609999999999999"/>
    <n v="1"/>
    <n v="-24"/>
    <n v="144"/>
  </r>
  <r>
    <x v="61"/>
    <s v="conventional_cashout_wala_40"/>
    <x v="80"/>
    <n v="1.2609999999999999"/>
    <n v="1"/>
    <n v="-24"/>
    <n v="144"/>
  </r>
  <r>
    <x v="61"/>
    <s v="conventional_cashout_wala_41"/>
    <x v="81"/>
    <n v="1.2609999999999999"/>
    <n v="1"/>
    <n v="-24"/>
    <n v="144"/>
  </r>
  <r>
    <x v="61"/>
    <s v="conventional_cashout_wala_42"/>
    <x v="82"/>
    <n v="1.2609999999999999"/>
    <n v="1"/>
    <n v="-24"/>
    <n v="144"/>
  </r>
  <r>
    <x v="61"/>
    <s v="conventional_cashout_wala_43"/>
    <x v="83"/>
    <n v="1.2609999999999999"/>
    <n v="1"/>
    <n v="-24"/>
    <n v="144"/>
  </r>
  <r>
    <x v="61"/>
    <s v="conventional_cashout_wala_44"/>
    <x v="84"/>
    <n v="1.2609999999999999"/>
    <n v="1"/>
    <n v="-24"/>
    <n v="144"/>
  </r>
  <r>
    <x v="61"/>
    <s v="conventional_cashout_wala_45"/>
    <x v="85"/>
    <n v="1.2609999999999999"/>
    <n v="1"/>
    <n v="-24"/>
    <n v="144"/>
  </r>
  <r>
    <x v="61"/>
    <s v="conventional_cashout_wala_46"/>
    <x v="86"/>
    <n v="1.2609999999999999"/>
    <n v="1"/>
    <n v="-24"/>
    <n v="144"/>
  </r>
  <r>
    <x v="61"/>
    <s v="conventional_cashout_wala_47"/>
    <x v="87"/>
    <n v="1.2609999999999999"/>
    <n v="1"/>
    <n v="-24"/>
    <n v="144"/>
  </r>
  <r>
    <x v="61"/>
    <s v="conventional_cashout_wala_48"/>
    <x v="88"/>
    <n v="1.2609999999999999"/>
    <n v="1"/>
    <n v="-24"/>
    <n v="144"/>
  </r>
  <r>
    <x v="61"/>
    <s v="conventional_cashout_wala_49"/>
    <x v="89"/>
    <n v="1.2609999999999999"/>
    <n v="1"/>
    <n v="-24"/>
    <n v="144"/>
  </r>
  <r>
    <x v="61"/>
    <s v="conventional_cashout_wala_50"/>
    <x v="90"/>
    <n v="1.2609999999999999"/>
    <n v="1"/>
    <n v="-24"/>
    <n v="144"/>
  </r>
  <r>
    <x v="61"/>
    <s v="conventional_cashout_wala_51"/>
    <x v="91"/>
    <n v="1.2609999999999999"/>
    <n v="1"/>
    <n v="-24"/>
    <n v="144"/>
  </r>
  <r>
    <x v="61"/>
    <s v="conventional_cashout_wala_52"/>
    <x v="92"/>
    <n v="1.2609999999999999"/>
    <n v="1"/>
    <n v="-24"/>
    <n v="144"/>
  </r>
  <r>
    <x v="61"/>
    <s v="conventional_cashout_wala_53"/>
    <x v="93"/>
    <n v="1.2609999999999999"/>
    <n v="1"/>
    <n v="-24"/>
    <n v="144"/>
  </r>
  <r>
    <x v="61"/>
    <s v="conventional_cashout_wala_54"/>
    <x v="94"/>
    <n v="1.2609999999999999"/>
    <n v="1"/>
    <n v="-24"/>
    <n v="144"/>
  </r>
  <r>
    <x v="61"/>
    <s v="conventional_cashout_wala_55"/>
    <x v="95"/>
    <n v="1.2609999999999999"/>
    <n v="1"/>
    <n v="-24"/>
    <n v="144"/>
  </r>
  <r>
    <x v="61"/>
    <s v="conventional_cashout_wala_56"/>
    <x v="96"/>
    <n v="1.2609999999999999"/>
    <n v="1"/>
    <n v="-24"/>
    <n v="144"/>
  </r>
  <r>
    <x v="61"/>
    <s v="conventional_cashout_wala_57"/>
    <x v="97"/>
    <n v="1.2609999999999999"/>
    <n v="1"/>
    <n v="-24"/>
    <n v="144"/>
  </r>
  <r>
    <x v="61"/>
    <s v="conventional_cashout_wala_58"/>
    <x v="98"/>
    <n v="1.2609999999999999"/>
    <n v="1"/>
    <n v="-24"/>
    <n v="144"/>
  </r>
  <r>
    <x v="61"/>
    <s v="conventional_cashout_wala_59"/>
    <x v="99"/>
    <n v="1.2609999999999999"/>
    <n v="1"/>
    <n v="-24"/>
    <n v="144"/>
  </r>
  <r>
    <x v="61"/>
    <s v="conventional_cashout_wala_60"/>
    <x v="100"/>
    <n v="1.2609999999999999"/>
    <n v="1"/>
    <n v="-24"/>
    <n v="144"/>
  </r>
  <r>
    <x v="61"/>
    <s v="conventional_cashout_wala_61"/>
    <x v="101"/>
    <n v="1.2609999999999999"/>
    <n v="1"/>
    <n v="-24"/>
    <n v="144"/>
  </r>
  <r>
    <x v="61"/>
    <s v="conventional_cashout_wala_62"/>
    <x v="102"/>
    <n v="1.2609999999999999"/>
    <n v="1"/>
    <n v="-24"/>
    <n v="144"/>
  </r>
  <r>
    <x v="61"/>
    <s v="conventional_cashout_wala_63"/>
    <x v="103"/>
    <n v="1.2609999999999999"/>
    <n v="1"/>
    <n v="-24"/>
    <n v="144"/>
  </r>
  <r>
    <x v="61"/>
    <s v="conventional_cashout_wala_64"/>
    <x v="104"/>
    <n v="1.2609999999999999"/>
    <n v="1"/>
    <n v="-24"/>
    <n v="144"/>
  </r>
  <r>
    <x v="61"/>
    <s v="conventional_cashout_wala_65"/>
    <x v="105"/>
    <n v="1.2609999999999999"/>
    <n v="1"/>
    <n v="-24"/>
    <n v="144"/>
  </r>
  <r>
    <x v="61"/>
    <s v="conventional_cashout_wala_66"/>
    <x v="106"/>
    <n v="1.2609999999999999"/>
    <n v="1"/>
    <n v="-24"/>
    <n v="144"/>
  </r>
  <r>
    <x v="61"/>
    <s v="conventional_cashout_wala_67"/>
    <x v="107"/>
    <n v="1.2609999999999999"/>
    <n v="1"/>
    <n v="-24"/>
    <n v="144"/>
  </r>
  <r>
    <x v="61"/>
    <s v="conventional_cashout_wala_68"/>
    <x v="108"/>
    <n v="1.2609999999999999"/>
    <n v="1"/>
    <n v="-24"/>
    <n v="144"/>
  </r>
  <r>
    <x v="61"/>
    <s v="conventional_cashout_wala_69"/>
    <x v="109"/>
    <n v="1.2609999999999999"/>
    <n v="1"/>
    <n v="-24"/>
    <n v="144"/>
  </r>
  <r>
    <x v="61"/>
    <s v="conventional_cashout_wala_70"/>
    <x v="110"/>
    <n v="1.2609999999999999"/>
    <n v="1"/>
    <n v="-24"/>
    <n v="144"/>
  </r>
  <r>
    <x v="61"/>
    <s v="conventional_cashout_wala_71"/>
    <x v="111"/>
    <n v="1.2609999999999999"/>
    <n v="1"/>
    <n v="-24"/>
    <n v="144"/>
  </r>
  <r>
    <x v="61"/>
    <s v="conventional_cashout_wala_72"/>
    <x v="112"/>
    <n v="1.2609999999999999"/>
    <n v="1"/>
    <n v="-24"/>
    <n v="144"/>
  </r>
  <r>
    <x v="61"/>
    <s v="conventional_cashout_wala_73"/>
    <x v="113"/>
    <n v="1.2609999999999999"/>
    <n v="1"/>
    <n v="-24"/>
    <n v="144"/>
  </r>
  <r>
    <x v="61"/>
    <s v="conventional_cashout_wala_74"/>
    <x v="114"/>
    <n v="1.2609999999999999"/>
    <n v="1"/>
    <n v="-24"/>
    <n v="144"/>
  </r>
  <r>
    <x v="61"/>
    <s v="conventional_cashout_wala_75"/>
    <x v="115"/>
    <n v="1.2609999999999999"/>
    <n v="1"/>
    <n v="-24"/>
    <n v="144"/>
  </r>
  <r>
    <x v="61"/>
    <s v="conventional_cashout_wala_76"/>
    <x v="116"/>
    <n v="1.2609999999999999"/>
    <n v="1"/>
    <n v="-24"/>
    <n v="144"/>
  </r>
  <r>
    <x v="61"/>
    <s v="conventional_cashout_wala_77"/>
    <x v="117"/>
    <n v="1.2609999999999999"/>
    <n v="1"/>
    <n v="-24"/>
    <n v="144"/>
  </r>
  <r>
    <x v="61"/>
    <s v="conventional_cashout_wala_78"/>
    <x v="118"/>
    <n v="1.2609999999999999"/>
    <n v="1"/>
    <n v="-24"/>
    <n v="144"/>
  </r>
  <r>
    <x v="61"/>
    <s v="conventional_cashout_wala_79"/>
    <x v="119"/>
    <n v="1.2609999999999999"/>
    <n v="1"/>
    <n v="-24"/>
    <n v="144"/>
  </r>
  <r>
    <x v="61"/>
    <s v="conventional_cashout_wala_80"/>
    <x v="120"/>
    <n v="1.2609999999999999"/>
    <n v="1"/>
    <n v="-24"/>
    <n v="144"/>
  </r>
  <r>
    <x v="61"/>
    <s v="conventional_cashout_wala_81"/>
    <x v="121"/>
    <n v="1.2609999999999999"/>
    <n v="1"/>
    <n v="-24"/>
    <n v="144"/>
  </r>
  <r>
    <x v="61"/>
    <s v="conventional_cashout_wala_82"/>
    <x v="122"/>
    <n v="1.2609999999999999"/>
    <n v="1"/>
    <n v="-24"/>
    <n v="144"/>
  </r>
  <r>
    <x v="61"/>
    <s v="conventional_cashout_wala_83"/>
    <x v="123"/>
    <n v="1.2609999999999999"/>
    <n v="1"/>
    <n v="-24"/>
    <n v="144"/>
  </r>
  <r>
    <x v="61"/>
    <s v="conventional_cashout_wala_84"/>
    <x v="124"/>
    <n v="1.2609999999999999"/>
    <n v="1"/>
    <n v="-24"/>
    <n v="144"/>
  </r>
  <r>
    <x v="61"/>
    <s v="conventional_cashout_wala_85"/>
    <x v="125"/>
    <n v="1.2609999999999999"/>
    <n v="1"/>
    <n v="-24"/>
    <n v="144"/>
  </r>
  <r>
    <x v="61"/>
    <s v="conventional_cashout_wala_86"/>
    <x v="126"/>
    <n v="1.2609999999999999"/>
    <n v="1"/>
    <n v="-24"/>
    <n v="144"/>
  </r>
  <r>
    <x v="61"/>
    <s v="conventional_cashout_wala_87"/>
    <x v="127"/>
    <n v="1.2609999999999999"/>
    <n v="1"/>
    <n v="-24"/>
    <n v="144"/>
  </r>
  <r>
    <x v="61"/>
    <s v="conventional_cashout_wala_88"/>
    <x v="128"/>
    <n v="1.2609999999999999"/>
    <n v="1"/>
    <n v="-24"/>
    <n v="144"/>
  </r>
  <r>
    <x v="61"/>
    <s v="conventional_cashout_wala_89"/>
    <x v="129"/>
    <n v="1.2609999999999999"/>
    <n v="1"/>
    <n v="-24"/>
    <n v="144"/>
  </r>
  <r>
    <x v="61"/>
    <s v="conventional_cashout_wala_90"/>
    <x v="130"/>
    <n v="1.2609999999999999"/>
    <n v="1"/>
    <n v="-24"/>
    <n v="144"/>
  </r>
  <r>
    <x v="61"/>
    <s v="conventional_cashout_wala_91"/>
    <x v="131"/>
    <n v="1.2609999999999999"/>
    <n v="1"/>
    <n v="-24"/>
    <n v="144"/>
  </r>
  <r>
    <x v="61"/>
    <s v="conventional_cashout_wala_92"/>
    <x v="132"/>
    <n v="1.2609999999999999"/>
    <n v="1"/>
    <n v="-24"/>
    <n v="144"/>
  </r>
  <r>
    <x v="61"/>
    <s v="conventional_cashout_wala_93"/>
    <x v="133"/>
    <n v="1.2609999999999999"/>
    <n v="1"/>
    <n v="-24"/>
    <n v="144"/>
  </r>
  <r>
    <x v="61"/>
    <s v="conventional_cashout_wala_94"/>
    <x v="134"/>
    <n v="1.2609999999999999"/>
    <n v="1"/>
    <n v="-24"/>
    <n v="144"/>
  </r>
  <r>
    <x v="61"/>
    <s v="conventional_cashout_wala_95"/>
    <x v="135"/>
    <n v="1.2609999999999999"/>
    <n v="1"/>
    <n v="-24"/>
    <n v="144"/>
  </r>
  <r>
    <x v="61"/>
    <s v="conventional_cashout_wala_96"/>
    <x v="136"/>
    <n v="1.2609999999999999"/>
    <n v="1"/>
    <n v="-24"/>
    <n v="144"/>
  </r>
  <r>
    <x v="61"/>
    <s v="conventional_cashout_wala_97"/>
    <x v="137"/>
    <n v="1.2609999999999999"/>
    <n v="1"/>
    <n v="-24"/>
    <n v="144"/>
  </r>
  <r>
    <x v="61"/>
    <s v="conventional_cashout_wala_98"/>
    <x v="138"/>
    <n v="1.2609999999999999"/>
    <n v="1"/>
    <n v="-24"/>
    <n v="144"/>
  </r>
  <r>
    <x v="61"/>
    <s v="conventional_cashout_wala_99"/>
    <x v="139"/>
    <n v="1.2609999999999999"/>
    <n v="1"/>
    <n v="-24"/>
    <n v="144"/>
  </r>
  <r>
    <x v="61"/>
    <s v="conventional_cashout_wala_100"/>
    <x v="140"/>
    <n v="1.2609999999999999"/>
    <n v="1"/>
    <n v="-24"/>
    <n v="144"/>
  </r>
  <r>
    <x v="61"/>
    <s v="conventional_cashout_wala_101"/>
    <x v="141"/>
    <n v="1.2609999999999999"/>
    <n v="1"/>
    <n v="-24"/>
    <n v="144"/>
  </r>
  <r>
    <x v="61"/>
    <s v="conventional_cashout_wala_102"/>
    <x v="142"/>
    <n v="1.2609999999999999"/>
    <n v="1"/>
    <n v="-24"/>
    <n v="144"/>
  </r>
  <r>
    <x v="61"/>
    <s v="conventional_cashout_wala_103"/>
    <x v="143"/>
    <n v="1.2609999999999999"/>
    <n v="1"/>
    <n v="-24"/>
    <n v="144"/>
  </r>
  <r>
    <x v="61"/>
    <s v="conventional_cashout_wala_104"/>
    <x v="144"/>
    <n v="1.2609999999999999"/>
    <n v="1"/>
    <n v="-24"/>
    <n v="144"/>
  </r>
  <r>
    <x v="61"/>
    <s v="conventional_cashout_wala_105"/>
    <x v="145"/>
    <n v="1.2609999999999999"/>
    <n v="1"/>
    <n v="-24"/>
    <n v="144"/>
  </r>
  <r>
    <x v="61"/>
    <s v="conventional_cashout_wala_106"/>
    <x v="146"/>
    <n v="1.2609999999999999"/>
    <n v="1"/>
    <n v="-24"/>
    <n v="144"/>
  </r>
  <r>
    <x v="61"/>
    <s v="conventional_cashout_wala_107"/>
    <x v="147"/>
    <n v="1.2609999999999999"/>
    <n v="1"/>
    <n v="-24"/>
    <n v="144"/>
  </r>
  <r>
    <x v="61"/>
    <s v="conventional_cashout_wala_108"/>
    <x v="148"/>
    <n v="1.2609999999999999"/>
    <n v="1"/>
    <n v="-24"/>
    <n v="144"/>
  </r>
  <r>
    <x v="61"/>
    <s v="conventional_cashout_wala_109"/>
    <x v="149"/>
    <n v="1.2609999999999999"/>
    <n v="1"/>
    <n v="-24"/>
    <n v="144"/>
  </r>
  <r>
    <x v="61"/>
    <s v="conventional_cashout_wala_110"/>
    <x v="150"/>
    <n v="1.2609999999999999"/>
    <n v="1"/>
    <n v="-24"/>
    <n v="144"/>
  </r>
  <r>
    <x v="61"/>
    <s v="conventional_cashout_wala_111"/>
    <x v="151"/>
    <n v="1.2609999999999999"/>
    <n v="1"/>
    <n v="-24"/>
    <n v="144"/>
  </r>
  <r>
    <x v="61"/>
    <s v="conventional_cashout_wala_112"/>
    <x v="152"/>
    <n v="1.2609999999999999"/>
    <n v="1"/>
    <n v="-24"/>
    <n v="144"/>
  </r>
  <r>
    <x v="61"/>
    <s v="conventional_cashout_wala_113"/>
    <x v="153"/>
    <n v="1.2609999999999999"/>
    <n v="1"/>
    <n v="-24"/>
    <n v="144"/>
  </r>
  <r>
    <x v="61"/>
    <s v="conventional_cashout_wala_114"/>
    <x v="154"/>
    <n v="1.2609999999999999"/>
    <n v="1"/>
    <n v="-24"/>
    <n v="144"/>
  </r>
  <r>
    <x v="61"/>
    <s v="conventional_cashout_wala_115"/>
    <x v="155"/>
    <n v="1.2609999999999999"/>
    <n v="1"/>
    <n v="-24"/>
    <n v="144"/>
  </r>
  <r>
    <x v="61"/>
    <s v="conventional_cashout_wala_116"/>
    <x v="156"/>
    <n v="1.2609999999999999"/>
    <n v="1"/>
    <n v="-24"/>
    <n v="144"/>
  </r>
  <r>
    <x v="61"/>
    <s v="conventional_cashout_wala_117"/>
    <x v="157"/>
    <n v="1.2609999999999999"/>
    <n v="1"/>
    <n v="-24"/>
    <n v="144"/>
  </r>
  <r>
    <x v="61"/>
    <s v="conventional_cashout_wala_118"/>
    <x v="158"/>
    <n v="1.2609999999999999"/>
    <n v="1"/>
    <n v="-24"/>
    <n v="144"/>
  </r>
  <r>
    <x v="61"/>
    <s v="conventional_cashout_wala_119"/>
    <x v="159"/>
    <n v="1.2609999999999999"/>
    <n v="1"/>
    <n v="-24"/>
    <n v="144"/>
  </r>
  <r>
    <x v="61"/>
    <s v="conventional_cashout_wala_120"/>
    <x v="160"/>
    <n v="1.2609999999999999"/>
    <n v="1"/>
    <n v="-24"/>
    <n v="144"/>
  </r>
  <r>
    <x v="61"/>
    <s v="conventional_cashout_wala_121"/>
    <x v="161"/>
    <n v="1.2609999999999999"/>
    <n v="1"/>
    <n v="-24"/>
    <n v="144"/>
  </r>
  <r>
    <x v="61"/>
    <s v="conventional_cashout_wala_122"/>
    <x v="162"/>
    <n v="1.2609999999999999"/>
    <n v="1"/>
    <n v="-24"/>
    <n v="144"/>
  </r>
  <r>
    <x v="61"/>
    <s v="conventional_cashout_wala_123"/>
    <x v="163"/>
    <n v="1.2609999999999999"/>
    <n v="1"/>
    <n v="-24"/>
    <n v="144"/>
  </r>
  <r>
    <x v="61"/>
    <s v="conventional_cashout_wala_124"/>
    <x v="164"/>
    <n v="1.2609999999999999"/>
    <n v="1"/>
    <n v="-24"/>
    <n v="144"/>
  </r>
  <r>
    <x v="61"/>
    <s v="conventional_cashout_wala_125"/>
    <x v="165"/>
    <n v="1.2609999999999999"/>
    <n v="1"/>
    <n v="-24"/>
    <n v="144"/>
  </r>
  <r>
    <x v="61"/>
    <s v="conventional_cashout_wala_126"/>
    <x v="166"/>
    <n v="1.2609999999999999"/>
    <n v="1"/>
    <n v="-24"/>
    <n v="144"/>
  </r>
  <r>
    <x v="61"/>
    <s v="conventional_cashout_wala_127"/>
    <x v="167"/>
    <n v="1.2609999999999999"/>
    <n v="1"/>
    <n v="-24"/>
    <n v="144"/>
  </r>
  <r>
    <x v="61"/>
    <s v="conventional_cashout_wala_128"/>
    <x v="168"/>
    <n v="1.2609999999999999"/>
    <n v="1"/>
    <n v="-24"/>
    <n v="144"/>
  </r>
  <r>
    <x v="61"/>
    <s v="conventional_cashout_wala_129"/>
    <x v="169"/>
    <n v="1.2609999999999999"/>
    <n v="1"/>
    <n v="-24"/>
    <n v="144"/>
  </r>
  <r>
    <x v="61"/>
    <s v="conventional_cashout_wala_130"/>
    <x v="170"/>
    <n v="1.2609999999999999"/>
    <n v="1"/>
    <n v="-24"/>
    <n v="144"/>
  </r>
  <r>
    <x v="61"/>
    <s v="conventional_cashout_wala_131"/>
    <x v="171"/>
    <n v="1.2609999999999999"/>
    <n v="1"/>
    <n v="-24"/>
    <n v="144"/>
  </r>
  <r>
    <x v="61"/>
    <s v="conventional_cashout_wala_132"/>
    <x v="172"/>
    <n v="1.2609999999999999"/>
    <n v="1"/>
    <n v="-24"/>
    <n v="144"/>
  </r>
  <r>
    <x v="61"/>
    <s v="conventional_cashout_wala_133"/>
    <x v="173"/>
    <n v="1.2609999999999999"/>
    <n v="1"/>
    <n v="-24"/>
    <n v="144"/>
  </r>
  <r>
    <x v="61"/>
    <s v="conventional_cashout_wala_134"/>
    <x v="174"/>
    <n v="1.2609999999999999"/>
    <n v="1"/>
    <n v="-24"/>
    <n v="144"/>
  </r>
  <r>
    <x v="61"/>
    <s v="conventional_cashout_wala_135"/>
    <x v="175"/>
    <n v="1.2609999999999999"/>
    <n v="1"/>
    <n v="-24"/>
    <n v="144"/>
  </r>
  <r>
    <x v="61"/>
    <s v="conventional_cashout_wala_136"/>
    <x v="176"/>
    <n v="1.2609999999999999"/>
    <n v="1"/>
    <n v="-24"/>
    <n v="144"/>
  </r>
  <r>
    <x v="61"/>
    <s v="conventional_cashout_wala_137"/>
    <x v="177"/>
    <n v="1.2609999999999999"/>
    <n v="1"/>
    <n v="-24"/>
    <n v="144"/>
  </r>
  <r>
    <x v="61"/>
    <s v="conventional_cashout_wala_138"/>
    <x v="178"/>
    <n v="1.2609999999999999"/>
    <n v="1"/>
    <n v="-24"/>
    <n v="144"/>
  </r>
  <r>
    <x v="61"/>
    <s v="conventional_cashout_wala_139"/>
    <x v="179"/>
    <n v="1.2609999999999999"/>
    <n v="1"/>
    <n v="-24"/>
    <n v="144"/>
  </r>
  <r>
    <x v="61"/>
    <s v="conventional_cashout_wala_140"/>
    <x v="180"/>
    <n v="1.2609999999999999"/>
    <n v="1"/>
    <n v="-24"/>
    <n v="144"/>
  </r>
  <r>
    <x v="61"/>
    <s v="conventional_cashout_wala_141"/>
    <x v="181"/>
    <n v="1.2609999999999999"/>
    <n v="1"/>
    <n v="-24"/>
    <n v="144"/>
  </r>
  <r>
    <x v="61"/>
    <s v="conventional_cashout_wala_142"/>
    <x v="182"/>
    <n v="1.2609999999999999"/>
    <n v="1"/>
    <n v="-24"/>
    <n v="144"/>
  </r>
  <r>
    <x v="61"/>
    <s v="conventional_cashout_wala_143"/>
    <x v="183"/>
    <n v="1.2609999999999999"/>
    <n v="1"/>
    <n v="-24"/>
    <n v="144"/>
  </r>
  <r>
    <x v="61"/>
    <s v="conventional_cashout_wala_144"/>
    <x v="184"/>
    <n v="1.2609999999999999"/>
    <n v="1"/>
    <n v="-24"/>
    <n v="144"/>
  </r>
  <r>
    <x v="62"/>
    <s v="conventional_cashout_incentive_-404"/>
    <x v="1767"/>
    <n v="0"/>
    <n v="1"/>
    <n v="-404"/>
    <n v="320"/>
  </r>
  <r>
    <x v="62"/>
    <s v="conventional_cashout_incentive_-403"/>
    <x v="1768"/>
    <n v="0"/>
    <n v="1"/>
    <n v="-404"/>
    <n v="320"/>
  </r>
  <r>
    <x v="62"/>
    <s v="conventional_cashout_incentive_-402"/>
    <x v="1769"/>
    <n v="0"/>
    <n v="1"/>
    <n v="-404"/>
    <n v="320"/>
  </r>
  <r>
    <x v="62"/>
    <s v="conventional_cashout_incentive_-401"/>
    <x v="1770"/>
    <n v="0"/>
    <n v="1"/>
    <n v="-404"/>
    <n v="320"/>
  </r>
  <r>
    <x v="62"/>
    <s v="conventional_cashout_incentive_-400"/>
    <x v="1259"/>
    <n v="0"/>
    <n v="1"/>
    <n v="-404"/>
    <n v="320"/>
  </r>
  <r>
    <x v="62"/>
    <s v="conventional_cashout_incentive_-399"/>
    <x v="1771"/>
    <n v="0"/>
    <n v="1"/>
    <n v="-404"/>
    <n v="320"/>
  </r>
  <r>
    <x v="62"/>
    <s v="conventional_cashout_incentive_-398"/>
    <x v="1772"/>
    <n v="0"/>
    <n v="1"/>
    <n v="-404"/>
    <n v="320"/>
  </r>
  <r>
    <x v="62"/>
    <s v="conventional_cashout_incentive_-397"/>
    <x v="1773"/>
    <n v="0"/>
    <n v="1"/>
    <n v="-404"/>
    <n v="320"/>
  </r>
  <r>
    <x v="62"/>
    <s v="conventional_cashout_incentive_-396"/>
    <x v="1774"/>
    <n v="0"/>
    <n v="1"/>
    <n v="-404"/>
    <n v="320"/>
  </r>
  <r>
    <x v="62"/>
    <s v="conventional_cashout_incentive_-395"/>
    <x v="1775"/>
    <n v="0"/>
    <n v="1"/>
    <n v="-404"/>
    <n v="320"/>
  </r>
  <r>
    <x v="62"/>
    <s v="conventional_cashout_incentive_-394"/>
    <x v="1776"/>
    <n v="0"/>
    <n v="1"/>
    <n v="-404"/>
    <n v="320"/>
  </r>
  <r>
    <x v="62"/>
    <s v="conventional_cashout_incentive_-393"/>
    <x v="1777"/>
    <n v="0"/>
    <n v="1"/>
    <n v="-404"/>
    <n v="320"/>
  </r>
  <r>
    <x v="62"/>
    <s v="conventional_cashout_incentive_-392"/>
    <x v="1778"/>
    <n v="0"/>
    <n v="1"/>
    <n v="-404"/>
    <n v="320"/>
  </r>
  <r>
    <x v="62"/>
    <s v="conventional_cashout_incentive_-391"/>
    <x v="1779"/>
    <n v="0"/>
    <n v="1"/>
    <n v="-404"/>
    <n v="320"/>
  </r>
  <r>
    <x v="62"/>
    <s v="conventional_cashout_incentive_-390"/>
    <x v="1780"/>
    <n v="0"/>
    <n v="1"/>
    <n v="-404"/>
    <n v="320"/>
  </r>
  <r>
    <x v="62"/>
    <s v="conventional_cashout_incentive_-389"/>
    <x v="1781"/>
    <n v="0"/>
    <n v="1"/>
    <n v="-404"/>
    <n v="320"/>
  </r>
  <r>
    <x v="62"/>
    <s v="conventional_cashout_incentive_-388"/>
    <x v="1782"/>
    <n v="0"/>
    <n v="1"/>
    <n v="-404"/>
    <n v="320"/>
  </r>
  <r>
    <x v="62"/>
    <s v="conventional_cashout_incentive_-387"/>
    <x v="1783"/>
    <n v="0"/>
    <n v="1"/>
    <n v="-404"/>
    <n v="320"/>
  </r>
  <r>
    <x v="62"/>
    <s v="conventional_cashout_incentive_-386"/>
    <x v="1784"/>
    <n v="0"/>
    <n v="1"/>
    <n v="-404"/>
    <n v="320"/>
  </r>
  <r>
    <x v="62"/>
    <s v="conventional_cashout_incentive_-385"/>
    <x v="1785"/>
    <n v="0"/>
    <n v="1"/>
    <n v="-404"/>
    <n v="320"/>
  </r>
  <r>
    <x v="62"/>
    <s v="conventional_cashout_incentive_-384"/>
    <x v="1786"/>
    <n v="0"/>
    <n v="1"/>
    <n v="-404"/>
    <n v="320"/>
  </r>
  <r>
    <x v="62"/>
    <s v="conventional_cashout_incentive_-383"/>
    <x v="1787"/>
    <n v="0"/>
    <n v="1"/>
    <n v="-404"/>
    <n v="320"/>
  </r>
  <r>
    <x v="62"/>
    <s v="conventional_cashout_incentive_-382"/>
    <x v="1788"/>
    <n v="0"/>
    <n v="1"/>
    <n v="-404"/>
    <n v="320"/>
  </r>
  <r>
    <x v="62"/>
    <s v="conventional_cashout_incentive_-381"/>
    <x v="1789"/>
    <n v="0"/>
    <n v="1"/>
    <n v="-404"/>
    <n v="320"/>
  </r>
  <r>
    <x v="62"/>
    <s v="conventional_cashout_incentive_-380"/>
    <x v="1790"/>
    <n v="0"/>
    <n v="1"/>
    <n v="-404"/>
    <n v="320"/>
  </r>
  <r>
    <x v="62"/>
    <s v="conventional_cashout_incentive_-379"/>
    <x v="1791"/>
    <n v="0"/>
    <n v="1"/>
    <n v="-404"/>
    <n v="320"/>
  </r>
  <r>
    <x v="62"/>
    <s v="conventional_cashout_incentive_-378"/>
    <x v="1792"/>
    <n v="0"/>
    <n v="1"/>
    <n v="-404"/>
    <n v="320"/>
  </r>
  <r>
    <x v="62"/>
    <s v="conventional_cashout_incentive_-377"/>
    <x v="1793"/>
    <n v="0"/>
    <n v="1"/>
    <n v="-404"/>
    <n v="320"/>
  </r>
  <r>
    <x v="62"/>
    <s v="conventional_cashout_incentive_-376"/>
    <x v="1794"/>
    <n v="0"/>
    <n v="1"/>
    <n v="-404"/>
    <n v="320"/>
  </r>
  <r>
    <x v="62"/>
    <s v="conventional_cashout_incentive_-375"/>
    <x v="1795"/>
    <n v="0"/>
    <n v="1"/>
    <n v="-404"/>
    <n v="320"/>
  </r>
  <r>
    <x v="62"/>
    <s v="conventional_cashout_incentive_-374"/>
    <x v="1796"/>
    <n v="0"/>
    <n v="1"/>
    <n v="-404"/>
    <n v="320"/>
  </r>
  <r>
    <x v="62"/>
    <s v="conventional_cashout_incentive_-373"/>
    <x v="1797"/>
    <n v="0"/>
    <n v="1"/>
    <n v="-404"/>
    <n v="320"/>
  </r>
  <r>
    <x v="62"/>
    <s v="conventional_cashout_incentive_-372"/>
    <x v="1798"/>
    <n v="0"/>
    <n v="1"/>
    <n v="-404"/>
    <n v="320"/>
  </r>
  <r>
    <x v="62"/>
    <s v="conventional_cashout_incentive_-371"/>
    <x v="1799"/>
    <n v="0"/>
    <n v="1"/>
    <n v="-404"/>
    <n v="320"/>
  </r>
  <r>
    <x v="62"/>
    <s v="conventional_cashout_incentive_-370"/>
    <x v="1800"/>
    <n v="0"/>
    <n v="1"/>
    <n v="-404"/>
    <n v="320"/>
  </r>
  <r>
    <x v="62"/>
    <s v="conventional_cashout_incentive_-369"/>
    <x v="1801"/>
    <n v="0"/>
    <n v="1"/>
    <n v="-404"/>
    <n v="320"/>
  </r>
  <r>
    <x v="62"/>
    <s v="conventional_cashout_incentive_-368"/>
    <x v="1802"/>
    <n v="0"/>
    <n v="1"/>
    <n v="-404"/>
    <n v="320"/>
  </r>
  <r>
    <x v="62"/>
    <s v="conventional_cashout_incentive_-367"/>
    <x v="1803"/>
    <n v="0"/>
    <n v="1"/>
    <n v="-404"/>
    <n v="320"/>
  </r>
  <r>
    <x v="62"/>
    <s v="conventional_cashout_incentive_-366"/>
    <x v="1804"/>
    <n v="0"/>
    <n v="1"/>
    <n v="-404"/>
    <n v="320"/>
  </r>
  <r>
    <x v="62"/>
    <s v="conventional_cashout_incentive_-365"/>
    <x v="1805"/>
    <n v="0"/>
    <n v="1"/>
    <n v="-404"/>
    <n v="320"/>
  </r>
  <r>
    <x v="62"/>
    <s v="conventional_cashout_incentive_-364"/>
    <x v="1806"/>
    <n v="0"/>
    <n v="1"/>
    <n v="-404"/>
    <n v="320"/>
  </r>
  <r>
    <x v="62"/>
    <s v="conventional_cashout_incentive_-363"/>
    <x v="1807"/>
    <n v="0"/>
    <n v="1"/>
    <n v="-404"/>
    <n v="320"/>
  </r>
  <r>
    <x v="62"/>
    <s v="conventional_cashout_incentive_-362"/>
    <x v="1808"/>
    <n v="0"/>
    <n v="1"/>
    <n v="-404"/>
    <n v="320"/>
  </r>
  <r>
    <x v="62"/>
    <s v="conventional_cashout_incentive_-361"/>
    <x v="1809"/>
    <n v="0"/>
    <n v="1"/>
    <n v="-404"/>
    <n v="320"/>
  </r>
  <r>
    <x v="62"/>
    <s v="conventional_cashout_incentive_-360"/>
    <x v="1810"/>
    <n v="0"/>
    <n v="1"/>
    <n v="-404"/>
    <n v="320"/>
  </r>
  <r>
    <x v="62"/>
    <s v="conventional_cashout_incentive_-359"/>
    <x v="1811"/>
    <n v="0"/>
    <n v="1"/>
    <n v="-404"/>
    <n v="320"/>
  </r>
  <r>
    <x v="62"/>
    <s v="conventional_cashout_incentive_-358"/>
    <x v="1812"/>
    <n v="0"/>
    <n v="1"/>
    <n v="-404"/>
    <n v="320"/>
  </r>
  <r>
    <x v="62"/>
    <s v="conventional_cashout_incentive_-357"/>
    <x v="1813"/>
    <n v="0"/>
    <n v="1"/>
    <n v="-404"/>
    <n v="320"/>
  </r>
  <r>
    <x v="62"/>
    <s v="conventional_cashout_incentive_-356"/>
    <x v="1814"/>
    <n v="0"/>
    <n v="1"/>
    <n v="-404"/>
    <n v="320"/>
  </r>
  <r>
    <x v="62"/>
    <s v="conventional_cashout_incentive_-355"/>
    <x v="1815"/>
    <n v="0"/>
    <n v="1"/>
    <n v="-404"/>
    <n v="320"/>
  </r>
  <r>
    <x v="62"/>
    <s v="conventional_cashout_incentive_-354"/>
    <x v="1816"/>
    <n v="0"/>
    <n v="1"/>
    <n v="-404"/>
    <n v="320"/>
  </r>
  <r>
    <x v="62"/>
    <s v="conventional_cashout_incentive_-353"/>
    <x v="1817"/>
    <n v="0"/>
    <n v="1"/>
    <n v="-404"/>
    <n v="320"/>
  </r>
  <r>
    <x v="62"/>
    <s v="conventional_cashout_incentive_-352"/>
    <x v="1818"/>
    <n v="0"/>
    <n v="1"/>
    <n v="-404"/>
    <n v="320"/>
  </r>
  <r>
    <x v="62"/>
    <s v="conventional_cashout_incentive_-351"/>
    <x v="1819"/>
    <n v="0"/>
    <n v="1"/>
    <n v="-404"/>
    <n v="320"/>
  </r>
  <r>
    <x v="62"/>
    <s v="conventional_cashout_incentive_-350"/>
    <x v="1820"/>
    <n v="0"/>
    <n v="1"/>
    <n v="-404"/>
    <n v="320"/>
  </r>
  <r>
    <x v="62"/>
    <s v="conventional_cashout_incentive_-349"/>
    <x v="1821"/>
    <n v="0"/>
    <n v="1"/>
    <n v="-404"/>
    <n v="320"/>
  </r>
  <r>
    <x v="62"/>
    <s v="conventional_cashout_incentive_-348"/>
    <x v="1822"/>
    <n v="0"/>
    <n v="1"/>
    <n v="-404"/>
    <n v="320"/>
  </r>
  <r>
    <x v="62"/>
    <s v="conventional_cashout_incentive_-347"/>
    <x v="1823"/>
    <n v="0"/>
    <n v="1"/>
    <n v="-404"/>
    <n v="320"/>
  </r>
  <r>
    <x v="62"/>
    <s v="conventional_cashout_incentive_-346"/>
    <x v="1824"/>
    <n v="0"/>
    <n v="1"/>
    <n v="-404"/>
    <n v="320"/>
  </r>
  <r>
    <x v="62"/>
    <s v="conventional_cashout_incentive_-345"/>
    <x v="1825"/>
    <n v="0"/>
    <n v="1"/>
    <n v="-404"/>
    <n v="320"/>
  </r>
  <r>
    <x v="62"/>
    <s v="conventional_cashout_incentive_-344"/>
    <x v="1826"/>
    <n v="0"/>
    <n v="1"/>
    <n v="-404"/>
    <n v="320"/>
  </r>
  <r>
    <x v="62"/>
    <s v="conventional_cashout_incentive_-343"/>
    <x v="1827"/>
    <n v="0"/>
    <n v="1"/>
    <n v="-404"/>
    <n v="320"/>
  </r>
  <r>
    <x v="62"/>
    <s v="conventional_cashout_incentive_-342"/>
    <x v="1828"/>
    <n v="0"/>
    <n v="1"/>
    <n v="-404"/>
    <n v="320"/>
  </r>
  <r>
    <x v="62"/>
    <s v="conventional_cashout_incentive_-341"/>
    <x v="1829"/>
    <n v="0"/>
    <n v="1"/>
    <n v="-404"/>
    <n v="320"/>
  </r>
  <r>
    <x v="62"/>
    <s v="conventional_cashout_incentive_-340"/>
    <x v="1830"/>
    <n v="0"/>
    <n v="1"/>
    <n v="-404"/>
    <n v="320"/>
  </r>
  <r>
    <x v="62"/>
    <s v="conventional_cashout_incentive_-339"/>
    <x v="1831"/>
    <n v="0"/>
    <n v="1"/>
    <n v="-404"/>
    <n v="320"/>
  </r>
  <r>
    <x v="62"/>
    <s v="conventional_cashout_incentive_-338"/>
    <x v="1832"/>
    <n v="0"/>
    <n v="1"/>
    <n v="-404"/>
    <n v="320"/>
  </r>
  <r>
    <x v="62"/>
    <s v="conventional_cashout_incentive_-337"/>
    <x v="1833"/>
    <n v="0"/>
    <n v="1"/>
    <n v="-404"/>
    <n v="320"/>
  </r>
  <r>
    <x v="62"/>
    <s v="conventional_cashout_incentive_-336"/>
    <x v="1834"/>
    <n v="0"/>
    <n v="1"/>
    <n v="-404"/>
    <n v="320"/>
  </r>
  <r>
    <x v="62"/>
    <s v="conventional_cashout_incentive_-335"/>
    <x v="1835"/>
    <n v="0"/>
    <n v="1"/>
    <n v="-404"/>
    <n v="320"/>
  </r>
  <r>
    <x v="62"/>
    <s v="conventional_cashout_incentive_-334"/>
    <x v="1836"/>
    <n v="0"/>
    <n v="1"/>
    <n v="-404"/>
    <n v="320"/>
  </r>
  <r>
    <x v="62"/>
    <s v="conventional_cashout_incentive_-333"/>
    <x v="1837"/>
    <n v="0"/>
    <n v="1"/>
    <n v="-404"/>
    <n v="320"/>
  </r>
  <r>
    <x v="62"/>
    <s v="conventional_cashout_incentive_-332"/>
    <x v="1838"/>
    <n v="0"/>
    <n v="1"/>
    <n v="-404"/>
    <n v="320"/>
  </r>
  <r>
    <x v="62"/>
    <s v="conventional_cashout_incentive_-331"/>
    <x v="1839"/>
    <n v="0"/>
    <n v="1"/>
    <n v="-404"/>
    <n v="320"/>
  </r>
  <r>
    <x v="62"/>
    <s v="conventional_cashout_incentive_-330"/>
    <x v="1840"/>
    <n v="0"/>
    <n v="1"/>
    <n v="-404"/>
    <n v="320"/>
  </r>
  <r>
    <x v="62"/>
    <s v="conventional_cashout_incentive_-329"/>
    <x v="1841"/>
    <n v="0"/>
    <n v="1"/>
    <n v="-404"/>
    <n v="320"/>
  </r>
  <r>
    <x v="62"/>
    <s v="conventional_cashout_incentive_-328"/>
    <x v="1842"/>
    <n v="0"/>
    <n v="1"/>
    <n v="-404"/>
    <n v="320"/>
  </r>
  <r>
    <x v="62"/>
    <s v="conventional_cashout_incentive_-327"/>
    <x v="1843"/>
    <n v="0"/>
    <n v="1"/>
    <n v="-404"/>
    <n v="320"/>
  </r>
  <r>
    <x v="62"/>
    <s v="conventional_cashout_incentive_-326"/>
    <x v="1844"/>
    <n v="0"/>
    <n v="1"/>
    <n v="-404"/>
    <n v="320"/>
  </r>
  <r>
    <x v="62"/>
    <s v="conventional_cashout_incentive_-325"/>
    <x v="1845"/>
    <n v="0"/>
    <n v="1"/>
    <n v="-404"/>
    <n v="320"/>
  </r>
  <r>
    <x v="62"/>
    <s v="conventional_cashout_incentive_-324"/>
    <x v="1846"/>
    <n v="0"/>
    <n v="1"/>
    <n v="-404"/>
    <n v="320"/>
  </r>
  <r>
    <x v="62"/>
    <s v="conventional_cashout_incentive_-323"/>
    <x v="1847"/>
    <n v="0"/>
    <n v="1"/>
    <n v="-404"/>
    <n v="320"/>
  </r>
  <r>
    <x v="62"/>
    <s v="conventional_cashout_incentive_-322"/>
    <x v="1848"/>
    <n v="0"/>
    <n v="1"/>
    <n v="-404"/>
    <n v="320"/>
  </r>
  <r>
    <x v="62"/>
    <s v="conventional_cashout_incentive_-321"/>
    <x v="1849"/>
    <n v="0"/>
    <n v="1"/>
    <n v="-404"/>
    <n v="320"/>
  </r>
  <r>
    <x v="62"/>
    <s v="conventional_cashout_incentive_-320"/>
    <x v="1850"/>
    <n v="0"/>
    <n v="1"/>
    <n v="-404"/>
    <n v="320"/>
  </r>
  <r>
    <x v="62"/>
    <s v="conventional_cashout_incentive_-319"/>
    <x v="1851"/>
    <n v="0"/>
    <n v="1"/>
    <n v="-404"/>
    <n v="320"/>
  </r>
  <r>
    <x v="62"/>
    <s v="conventional_cashout_incentive_-318"/>
    <x v="1852"/>
    <n v="0"/>
    <n v="1"/>
    <n v="-404"/>
    <n v="320"/>
  </r>
  <r>
    <x v="62"/>
    <s v="conventional_cashout_incentive_-317"/>
    <x v="1853"/>
    <n v="0"/>
    <n v="1"/>
    <n v="-404"/>
    <n v="320"/>
  </r>
  <r>
    <x v="62"/>
    <s v="conventional_cashout_incentive_-316"/>
    <x v="1854"/>
    <n v="0"/>
    <n v="1"/>
    <n v="-404"/>
    <n v="320"/>
  </r>
  <r>
    <x v="62"/>
    <s v="conventional_cashout_incentive_-315"/>
    <x v="1855"/>
    <n v="0"/>
    <n v="1"/>
    <n v="-404"/>
    <n v="320"/>
  </r>
  <r>
    <x v="62"/>
    <s v="conventional_cashout_incentive_-314"/>
    <x v="1856"/>
    <n v="0"/>
    <n v="1"/>
    <n v="-404"/>
    <n v="320"/>
  </r>
  <r>
    <x v="62"/>
    <s v="conventional_cashout_incentive_-313"/>
    <x v="1857"/>
    <n v="0"/>
    <n v="1"/>
    <n v="-404"/>
    <n v="320"/>
  </r>
  <r>
    <x v="62"/>
    <s v="conventional_cashout_incentive_-312"/>
    <x v="1858"/>
    <n v="0"/>
    <n v="1"/>
    <n v="-404"/>
    <n v="320"/>
  </r>
  <r>
    <x v="62"/>
    <s v="conventional_cashout_incentive_-311"/>
    <x v="1859"/>
    <n v="0"/>
    <n v="1"/>
    <n v="-404"/>
    <n v="320"/>
  </r>
  <r>
    <x v="62"/>
    <s v="conventional_cashout_incentive_-310"/>
    <x v="1860"/>
    <n v="0"/>
    <n v="1"/>
    <n v="-404"/>
    <n v="320"/>
  </r>
  <r>
    <x v="62"/>
    <s v="conventional_cashout_incentive_-309"/>
    <x v="1861"/>
    <n v="0"/>
    <n v="1"/>
    <n v="-404"/>
    <n v="320"/>
  </r>
  <r>
    <x v="62"/>
    <s v="conventional_cashout_incentive_-308"/>
    <x v="1862"/>
    <n v="0"/>
    <n v="1"/>
    <n v="-404"/>
    <n v="320"/>
  </r>
  <r>
    <x v="62"/>
    <s v="conventional_cashout_incentive_-307"/>
    <x v="1863"/>
    <n v="0"/>
    <n v="1"/>
    <n v="-404"/>
    <n v="320"/>
  </r>
  <r>
    <x v="62"/>
    <s v="conventional_cashout_incentive_-306"/>
    <x v="1864"/>
    <n v="0"/>
    <n v="1"/>
    <n v="-404"/>
    <n v="320"/>
  </r>
  <r>
    <x v="62"/>
    <s v="conventional_cashout_incentive_-305"/>
    <x v="1865"/>
    <n v="0"/>
    <n v="1"/>
    <n v="-404"/>
    <n v="320"/>
  </r>
  <r>
    <x v="62"/>
    <s v="conventional_cashout_incentive_-304"/>
    <x v="1866"/>
    <n v="0"/>
    <n v="1"/>
    <n v="-404"/>
    <n v="320"/>
  </r>
  <r>
    <x v="62"/>
    <s v="conventional_cashout_incentive_-303"/>
    <x v="1867"/>
    <n v="0"/>
    <n v="1"/>
    <n v="-404"/>
    <n v="320"/>
  </r>
  <r>
    <x v="62"/>
    <s v="conventional_cashout_incentive_-302"/>
    <x v="1868"/>
    <n v="0"/>
    <n v="1"/>
    <n v="-404"/>
    <n v="320"/>
  </r>
  <r>
    <x v="62"/>
    <s v="conventional_cashout_incentive_-301"/>
    <x v="1869"/>
    <n v="0"/>
    <n v="1"/>
    <n v="-404"/>
    <n v="320"/>
  </r>
  <r>
    <x v="62"/>
    <s v="conventional_cashout_incentive_-300"/>
    <x v="1260"/>
    <n v="0"/>
    <n v="1"/>
    <n v="-404"/>
    <n v="320"/>
  </r>
  <r>
    <x v="62"/>
    <s v="conventional_cashout_incentive_-299"/>
    <x v="1870"/>
    <n v="0"/>
    <n v="1"/>
    <n v="-404"/>
    <n v="320"/>
  </r>
  <r>
    <x v="62"/>
    <s v="conventional_cashout_incentive_-298"/>
    <x v="1871"/>
    <n v="0"/>
    <n v="1"/>
    <n v="-404"/>
    <n v="320"/>
  </r>
  <r>
    <x v="62"/>
    <s v="conventional_cashout_incentive_-297"/>
    <x v="1872"/>
    <n v="0"/>
    <n v="1"/>
    <n v="-404"/>
    <n v="320"/>
  </r>
  <r>
    <x v="62"/>
    <s v="conventional_cashout_incentive_-296"/>
    <x v="1873"/>
    <n v="0"/>
    <n v="1"/>
    <n v="-404"/>
    <n v="320"/>
  </r>
  <r>
    <x v="62"/>
    <s v="conventional_cashout_incentive_-295"/>
    <x v="1874"/>
    <n v="0"/>
    <n v="1"/>
    <n v="-404"/>
    <n v="320"/>
  </r>
  <r>
    <x v="62"/>
    <s v="conventional_cashout_incentive_-294"/>
    <x v="1875"/>
    <n v="0"/>
    <n v="1"/>
    <n v="-404"/>
    <n v="320"/>
  </r>
  <r>
    <x v="62"/>
    <s v="conventional_cashout_incentive_-293"/>
    <x v="1876"/>
    <n v="0"/>
    <n v="1"/>
    <n v="-404"/>
    <n v="320"/>
  </r>
  <r>
    <x v="62"/>
    <s v="conventional_cashout_incentive_-292"/>
    <x v="1877"/>
    <n v="0"/>
    <n v="1"/>
    <n v="-404"/>
    <n v="320"/>
  </r>
  <r>
    <x v="62"/>
    <s v="conventional_cashout_incentive_-291"/>
    <x v="1878"/>
    <n v="0"/>
    <n v="1"/>
    <n v="-404"/>
    <n v="320"/>
  </r>
  <r>
    <x v="62"/>
    <s v="conventional_cashout_incentive_-290"/>
    <x v="981"/>
    <n v="0"/>
    <n v="1"/>
    <n v="-404"/>
    <n v="320"/>
  </r>
  <r>
    <x v="62"/>
    <s v="conventional_cashout_incentive_-289"/>
    <x v="982"/>
    <n v="0"/>
    <n v="1"/>
    <n v="-404"/>
    <n v="320"/>
  </r>
  <r>
    <x v="62"/>
    <s v="conventional_cashout_incentive_-288"/>
    <x v="983"/>
    <n v="0"/>
    <n v="1"/>
    <n v="-404"/>
    <n v="320"/>
  </r>
  <r>
    <x v="62"/>
    <s v="conventional_cashout_incentive_-287"/>
    <x v="984"/>
    <n v="0"/>
    <n v="1"/>
    <n v="-404"/>
    <n v="320"/>
  </r>
  <r>
    <x v="62"/>
    <s v="conventional_cashout_incentive_-286"/>
    <x v="985"/>
    <n v="0"/>
    <n v="1"/>
    <n v="-404"/>
    <n v="320"/>
  </r>
  <r>
    <x v="62"/>
    <s v="conventional_cashout_incentive_-285"/>
    <x v="986"/>
    <n v="0"/>
    <n v="1"/>
    <n v="-404"/>
    <n v="320"/>
  </r>
  <r>
    <x v="62"/>
    <s v="conventional_cashout_incentive_-284"/>
    <x v="987"/>
    <n v="0"/>
    <n v="1"/>
    <n v="-404"/>
    <n v="320"/>
  </r>
  <r>
    <x v="62"/>
    <s v="conventional_cashout_incentive_-283"/>
    <x v="988"/>
    <n v="0"/>
    <n v="1"/>
    <n v="-404"/>
    <n v="320"/>
  </r>
  <r>
    <x v="62"/>
    <s v="conventional_cashout_incentive_-282"/>
    <x v="989"/>
    <n v="0"/>
    <n v="1"/>
    <n v="-404"/>
    <n v="320"/>
  </r>
  <r>
    <x v="62"/>
    <s v="conventional_cashout_incentive_-281"/>
    <x v="990"/>
    <n v="0"/>
    <n v="1"/>
    <n v="-404"/>
    <n v="320"/>
  </r>
  <r>
    <x v="62"/>
    <s v="conventional_cashout_incentive_-280"/>
    <x v="991"/>
    <n v="0"/>
    <n v="1"/>
    <n v="-404"/>
    <n v="320"/>
  </r>
  <r>
    <x v="62"/>
    <s v="conventional_cashout_incentive_-279"/>
    <x v="992"/>
    <n v="0"/>
    <n v="1"/>
    <n v="-404"/>
    <n v="320"/>
  </r>
  <r>
    <x v="62"/>
    <s v="conventional_cashout_incentive_-278"/>
    <x v="993"/>
    <n v="0"/>
    <n v="1"/>
    <n v="-404"/>
    <n v="320"/>
  </r>
  <r>
    <x v="62"/>
    <s v="conventional_cashout_incentive_-277"/>
    <x v="994"/>
    <n v="0"/>
    <n v="1"/>
    <n v="-404"/>
    <n v="320"/>
  </r>
  <r>
    <x v="62"/>
    <s v="conventional_cashout_incentive_-276"/>
    <x v="995"/>
    <n v="0"/>
    <n v="1"/>
    <n v="-404"/>
    <n v="320"/>
  </r>
  <r>
    <x v="62"/>
    <s v="conventional_cashout_incentive_-275"/>
    <x v="996"/>
    <n v="0"/>
    <n v="1"/>
    <n v="-404"/>
    <n v="320"/>
  </r>
  <r>
    <x v="62"/>
    <s v="conventional_cashout_incentive_-274"/>
    <x v="997"/>
    <n v="0"/>
    <n v="1"/>
    <n v="-404"/>
    <n v="320"/>
  </r>
  <r>
    <x v="62"/>
    <s v="conventional_cashout_incentive_-273"/>
    <x v="998"/>
    <n v="0"/>
    <n v="1"/>
    <n v="-404"/>
    <n v="320"/>
  </r>
  <r>
    <x v="62"/>
    <s v="conventional_cashout_incentive_-272"/>
    <x v="999"/>
    <n v="0"/>
    <n v="1"/>
    <n v="-404"/>
    <n v="320"/>
  </r>
  <r>
    <x v="62"/>
    <s v="conventional_cashout_incentive_-271"/>
    <x v="1000"/>
    <n v="0"/>
    <n v="1"/>
    <n v="-404"/>
    <n v="320"/>
  </r>
  <r>
    <x v="62"/>
    <s v="conventional_cashout_incentive_-270"/>
    <x v="1001"/>
    <n v="0"/>
    <n v="1"/>
    <n v="-404"/>
    <n v="320"/>
  </r>
  <r>
    <x v="62"/>
    <s v="conventional_cashout_incentive_-269"/>
    <x v="1002"/>
    <n v="0"/>
    <n v="1"/>
    <n v="-404"/>
    <n v="320"/>
  </r>
  <r>
    <x v="62"/>
    <s v="conventional_cashout_incentive_-268"/>
    <x v="1003"/>
    <n v="0"/>
    <n v="1"/>
    <n v="-404"/>
    <n v="320"/>
  </r>
  <r>
    <x v="62"/>
    <s v="conventional_cashout_incentive_-267"/>
    <x v="1004"/>
    <n v="0"/>
    <n v="1"/>
    <n v="-404"/>
    <n v="320"/>
  </r>
  <r>
    <x v="62"/>
    <s v="conventional_cashout_incentive_-266"/>
    <x v="1005"/>
    <n v="0"/>
    <n v="1"/>
    <n v="-404"/>
    <n v="320"/>
  </r>
  <r>
    <x v="62"/>
    <s v="conventional_cashout_incentive_-265"/>
    <x v="1006"/>
    <n v="0"/>
    <n v="1"/>
    <n v="-404"/>
    <n v="320"/>
  </r>
  <r>
    <x v="62"/>
    <s v="conventional_cashout_incentive_-264"/>
    <x v="1007"/>
    <n v="0"/>
    <n v="1"/>
    <n v="-404"/>
    <n v="320"/>
  </r>
  <r>
    <x v="62"/>
    <s v="conventional_cashout_incentive_-263"/>
    <x v="1008"/>
    <n v="0"/>
    <n v="1"/>
    <n v="-404"/>
    <n v="320"/>
  </r>
  <r>
    <x v="62"/>
    <s v="conventional_cashout_incentive_-262"/>
    <x v="1009"/>
    <n v="0"/>
    <n v="1"/>
    <n v="-404"/>
    <n v="320"/>
  </r>
  <r>
    <x v="62"/>
    <s v="conventional_cashout_incentive_-261"/>
    <x v="1010"/>
    <n v="0"/>
    <n v="1"/>
    <n v="-404"/>
    <n v="320"/>
  </r>
  <r>
    <x v="62"/>
    <s v="conventional_cashout_incentive_-260"/>
    <x v="1011"/>
    <n v="0"/>
    <n v="1"/>
    <n v="-404"/>
    <n v="320"/>
  </r>
  <r>
    <x v="62"/>
    <s v="conventional_cashout_incentive_-259"/>
    <x v="1012"/>
    <n v="0"/>
    <n v="1"/>
    <n v="-404"/>
    <n v="320"/>
  </r>
  <r>
    <x v="62"/>
    <s v="conventional_cashout_incentive_-258"/>
    <x v="1013"/>
    <n v="0"/>
    <n v="1"/>
    <n v="-404"/>
    <n v="320"/>
  </r>
  <r>
    <x v="62"/>
    <s v="conventional_cashout_incentive_-257"/>
    <x v="1014"/>
    <n v="0"/>
    <n v="1"/>
    <n v="-404"/>
    <n v="320"/>
  </r>
  <r>
    <x v="62"/>
    <s v="conventional_cashout_incentive_-256"/>
    <x v="1015"/>
    <n v="0"/>
    <n v="1"/>
    <n v="-404"/>
    <n v="320"/>
  </r>
  <r>
    <x v="62"/>
    <s v="conventional_cashout_incentive_-255"/>
    <x v="1016"/>
    <n v="0"/>
    <n v="1"/>
    <n v="-404"/>
    <n v="320"/>
  </r>
  <r>
    <x v="62"/>
    <s v="conventional_cashout_incentive_-254"/>
    <x v="1017"/>
    <n v="0"/>
    <n v="1"/>
    <n v="-404"/>
    <n v="320"/>
  </r>
  <r>
    <x v="62"/>
    <s v="conventional_cashout_incentive_-253"/>
    <x v="1018"/>
    <n v="0"/>
    <n v="1"/>
    <n v="-404"/>
    <n v="320"/>
  </r>
  <r>
    <x v="62"/>
    <s v="conventional_cashout_incentive_-252"/>
    <x v="1019"/>
    <n v="0"/>
    <n v="1"/>
    <n v="-404"/>
    <n v="320"/>
  </r>
  <r>
    <x v="62"/>
    <s v="conventional_cashout_incentive_-251"/>
    <x v="1020"/>
    <n v="0"/>
    <n v="1"/>
    <n v="-404"/>
    <n v="320"/>
  </r>
  <r>
    <x v="62"/>
    <s v="conventional_cashout_incentive_-250"/>
    <x v="1021"/>
    <n v="0"/>
    <n v="1"/>
    <n v="-404"/>
    <n v="320"/>
  </r>
  <r>
    <x v="62"/>
    <s v="conventional_cashout_incentive_-249"/>
    <x v="1022"/>
    <n v="0"/>
    <n v="1"/>
    <n v="-404"/>
    <n v="320"/>
  </r>
  <r>
    <x v="62"/>
    <s v="conventional_cashout_incentive_-248"/>
    <x v="1023"/>
    <n v="0"/>
    <n v="1"/>
    <n v="-404"/>
    <n v="320"/>
  </r>
  <r>
    <x v="62"/>
    <s v="conventional_cashout_incentive_-247"/>
    <x v="1024"/>
    <n v="0"/>
    <n v="1"/>
    <n v="-404"/>
    <n v="320"/>
  </r>
  <r>
    <x v="62"/>
    <s v="conventional_cashout_incentive_-246"/>
    <x v="1025"/>
    <n v="0"/>
    <n v="1"/>
    <n v="-404"/>
    <n v="320"/>
  </r>
  <r>
    <x v="62"/>
    <s v="conventional_cashout_incentive_-245"/>
    <x v="1026"/>
    <n v="0"/>
    <n v="1"/>
    <n v="-404"/>
    <n v="320"/>
  </r>
  <r>
    <x v="62"/>
    <s v="conventional_cashout_incentive_-244"/>
    <x v="1027"/>
    <n v="0"/>
    <n v="1"/>
    <n v="-404"/>
    <n v="320"/>
  </r>
  <r>
    <x v="62"/>
    <s v="conventional_cashout_incentive_-243"/>
    <x v="1028"/>
    <n v="0"/>
    <n v="1"/>
    <n v="-404"/>
    <n v="320"/>
  </r>
  <r>
    <x v="62"/>
    <s v="conventional_cashout_incentive_-242"/>
    <x v="1029"/>
    <n v="0"/>
    <n v="1"/>
    <n v="-404"/>
    <n v="320"/>
  </r>
  <r>
    <x v="62"/>
    <s v="conventional_cashout_incentive_-241"/>
    <x v="1030"/>
    <n v="0"/>
    <n v="1"/>
    <n v="-404"/>
    <n v="320"/>
  </r>
  <r>
    <x v="62"/>
    <s v="conventional_cashout_incentive_-240"/>
    <x v="1031"/>
    <n v="0"/>
    <n v="1"/>
    <n v="-404"/>
    <n v="320"/>
  </r>
  <r>
    <x v="62"/>
    <s v="conventional_cashout_incentive_-239"/>
    <x v="1032"/>
    <n v="0"/>
    <n v="1"/>
    <n v="-404"/>
    <n v="320"/>
  </r>
  <r>
    <x v="62"/>
    <s v="conventional_cashout_incentive_-238"/>
    <x v="1033"/>
    <n v="0"/>
    <n v="1"/>
    <n v="-404"/>
    <n v="320"/>
  </r>
  <r>
    <x v="62"/>
    <s v="conventional_cashout_incentive_-237"/>
    <x v="1034"/>
    <n v="0"/>
    <n v="1"/>
    <n v="-404"/>
    <n v="320"/>
  </r>
  <r>
    <x v="62"/>
    <s v="conventional_cashout_incentive_-236"/>
    <x v="1035"/>
    <n v="0"/>
    <n v="1"/>
    <n v="-404"/>
    <n v="320"/>
  </r>
  <r>
    <x v="62"/>
    <s v="conventional_cashout_incentive_-235"/>
    <x v="1036"/>
    <n v="0"/>
    <n v="1"/>
    <n v="-404"/>
    <n v="320"/>
  </r>
  <r>
    <x v="62"/>
    <s v="conventional_cashout_incentive_-234"/>
    <x v="1037"/>
    <n v="0"/>
    <n v="1"/>
    <n v="-404"/>
    <n v="320"/>
  </r>
  <r>
    <x v="62"/>
    <s v="conventional_cashout_incentive_-233"/>
    <x v="1038"/>
    <n v="0"/>
    <n v="1"/>
    <n v="-404"/>
    <n v="320"/>
  </r>
  <r>
    <x v="62"/>
    <s v="conventional_cashout_incentive_-232"/>
    <x v="1039"/>
    <n v="0"/>
    <n v="1"/>
    <n v="-404"/>
    <n v="320"/>
  </r>
  <r>
    <x v="62"/>
    <s v="conventional_cashout_incentive_-231"/>
    <x v="1040"/>
    <n v="0"/>
    <n v="1"/>
    <n v="-404"/>
    <n v="320"/>
  </r>
  <r>
    <x v="62"/>
    <s v="conventional_cashout_incentive_-230"/>
    <x v="1041"/>
    <n v="0"/>
    <n v="1"/>
    <n v="-404"/>
    <n v="320"/>
  </r>
  <r>
    <x v="62"/>
    <s v="conventional_cashout_incentive_-229"/>
    <x v="1042"/>
    <n v="0"/>
    <n v="1"/>
    <n v="-404"/>
    <n v="320"/>
  </r>
  <r>
    <x v="62"/>
    <s v="conventional_cashout_incentive_-228"/>
    <x v="1043"/>
    <n v="0"/>
    <n v="1"/>
    <n v="-404"/>
    <n v="320"/>
  </r>
  <r>
    <x v="62"/>
    <s v="conventional_cashout_incentive_-227"/>
    <x v="1044"/>
    <n v="0"/>
    <n v="1"/>
    <n v="-404"/>
    <n v="320"/>
  </r>
  <r>
    <x v="62"/>
    <s v="conventional_cashout_incentive_-226"/>
    <x v="1045"/>
    <n v="0"/>
    <n v="1"/>
    <n v="-404"/>
    <n v="320"/>
  </r>
  <r>
    <x v="62"/>
    <s v="conventional_cashout_incentive_-225"/>
    <x v="1046"/>
    <n v="0"/>
    <n v="1"/>
    <n v="-404"/>
    <n v="320"/>
  </r>
  <r>
    <x v="62"/>
    <s v="conventional_cashout_incentive_-224"/>
    <x v="1047"/>
    <n v="0"/>
    <n v="1"/>
    <n v="-404"/>
    <n v="320"/>
  </r>
  <r>
    <x v="62"/>
    <s v="conventional_cashout_incentive_-223"/>
    <x v="1048"/>
    <n v="0"/>
    <n v="1"/>
    <n v="-404"/>
    <n v="320"/>
  </r>
  <r>
    <x v="62"/>
    <s v="conventional_cashout_incentive_-222"/>
    <x v="1049"/>
    <n v="0"/>
    <n v="1"/>
    <n v="-404"/>
    <n v="320"/>
  </r>
  <r>
    <x v="62"/>
    <s v="conventional_cashout_incentive_-221"/>
    <x v="1050"/>
    <n v="0"/>
    <n v="1"/>
    <n v="-404"/>
    <n v="320"/>
  </r>
  <r>
    <x v="62"/>
    <s v="conventional_cashout_incentive_-220"/>
    <x v="1051"/>
    <n v="0"/>
    <n v="1"/>
    <n v="-404"/>
    <n v="320"/>
  </r>
  <r>
    <x v="62"/>
    <s v="conventional_cashout_incentive_-219"/>
    <x v="1052"/>
    <n v="0"/>
    <n v="1"/>
    <n v="-404"/>
    <n v="320"/>
  </r>
  <r>
    <x v="62"/>
    <s v="conventional_cashout_incentive_-218"/>
    <x v="1053"/>
    <n v="0"/>
    <n v="1"/>
    <n v="-404"/>
    <n v="320"/>
  </r>
  <r>
    <x v="62"/>
    <s v="conventional_cashout_incentive_-217"/>
    <x v="1054"/>
    <n v="0"/>
    <n v="1"/>
    <n v="-404"/>
    <n v="320"/>
  </r>
  <r>
    <x v="62"/>
    <s v="conventional_cashout_incentive_-216"/>
    <x v="1055"/>
    <n v="0"/>
    <n v="1"/>
    <n v="-404"/>
    <n v="320"/>
  </r>
  <r>
    <x v="62"/>
    <s v="conventional_cashout_incentive_-215"/>
    <x v="1056"/>
    <n v="0"/>
    <n v="1"/>
    <n v="-404"/>
    <n v="320"/>
  </r>
  <r>
    <x v="62"/>
    <s v="conventional_cashout_incentive_-214"/>
    <x v="1057"/>
    <n v="0"/>
    <n v="1"/>
    <n v="-404"/>
    <n v="320"/>
  </r>
  <r>
    <x v="62"/>
    <s v="conventional_cashout_incentive_-213"/>
    <x v="1058"/>
    <n v="0"/>
    <n v="1"/>
    <n v="-404"/>
    <n v="320"/>
  </r>
  <r>
    <x v="62"/>
    <s v="conventional_cashout_incentive_-212"/>
    <x v="1059"/>
    <n v="0"/>
    <n v="1"/>
    <n v="-404"/>
    <n v="320"/>
  </r>
  <r>
    <x v="62"/>
    <s v="conventional_cashout_incentive_-211"/>
    <x v="1060"/>
    <n v="0"/>
    <n v="1"/>
    <n v="-404"/>
    <n v="320"/>
  </r>
  <r>
    <x v="62"/>
    <s v="conventional_cashout_incentive_-210"/>
    <x v="1061"/>
    <n v="0"/>
    <n v="1"/>
    <n v="-404"/>
    <n v="320"/>
  </r>
  <r>
    <x v="62"/>
    <s v="conventional_cashout_incentive_-209"/>
    <x v="1062"/>
    <n v="0"/>
    <n v="1"/>
    <n v="-404"/>
    <n v="320"/>
  </r>
  <r>
    <x v="62"/>
    <s v="conventional_cashout_incentive_-208"/>
    <x v="1063"/>
    <n v="0"/>
    <n v="1"/>
    <n v="-404"/>
    <n v="320"/>
  </r>
  <r>
    <x v="62"/>
    <s v="conventional_cashout_incentive_-207"/>
    <x v="1064"/>
    <n v="0"/>
    <n v="1"/>
    <n v="-404"/>
    <n v="320"/>
  </r>
  <r>
    <x v="62"/>
    <s v="conventional_cashout_incentive_-206"/>
    <x v="1065"/>
    <n v="0"/>
    <n v="1"/>
    <n v="-404"/>
    <n v="320"/>
  </r>
  <r>
    <x v="62"/>
    <s v="conventional_cashout_incentive_-205"/>
    <x v="1066"/>
    <n v="0"/>
    <n v="1"/>
    <n v="-404"/>
    <n v="320"/>
  </r>
  <r>
    <x v="62"/>
    <s v="conventional_cashout_incentive_-204"/>
    <x v="1067"/>
    <n v="0"/>
    <n v="1"/>
    <n v="-404"/>
    <n v="320"/>
  </r>
  <r>
    <x v="62"/>
    <s v="conventional_cashout_incentive_-203"/>
    <x v="1068"/>
    <n v="0"/>
    <n v="1"/>
    <n v="-404"/>
    <n v="320"/>
  </r>
  <r>
    <x v="62"/>
    <s v="conventional_cashout_incentive_-202"/>
    <x v="1069"/>
    <n v="0"/>
    <n v="1"/>
    <n v="-404"/>
    <n v="320"/>
  </r>
  <r>
    <x v="62"/>
    <s v="conventional_cashout_incentive_-201"/>
    <x v="1070"/>
    <n v="0"/>
    <n v="1"/>
    <n v="-404"/>
    <n v="320"/>
  </r>
  <r>
    <x v="62"/>
    <s v="conventional_cashout_incentive_-200"/>
    <x v="1071"/>
    <n v="0"/>
    <n v="1"/>
    <n v="-404"/>
    <n v="320"/>
  </r>
  <r>
    <x v="62"/>
    <s v="conventional_cashout_incentive_-199"/>
    <x v="1072"/>
    <n v="0"/>
    <n v="1"/>
    <n v="-404"/>
    <n v="320"/>
  </r>
  <r>
    <x v="62"/>
    <s v="conventional_cashout_incentive_-198"/>
    <x v="1073"/>
    <n v="0"/>
    <n v="1"/>
    <n v="-404"/>
    <n v="320"/>
  </r>
  <r>
    <x v="62"/>
    <s v="conventional_cashout_incentive_-197"/>
    <x v="1074"/>
    <n v="0"/>
    <n v="1"/>
    <n v="-404"/>
    <n v="320"/>
  </r>
  <r>
    <x v="62"/>
    <s v="conventional_cashout_incentive_-196"/>
    <x v="1075"/>
    <n v="0"/>
    <n v="1"/>
    <n v="-404"/>
    <n v="320"/>
  </r>
  <r>
    <x v="62"/>
    <s v="conventional_cashout_incentive_-195"/>
    <x v="1076"/>
    <n v="0"/>
    <n v="1"/>
    <n v="-404"/>
    <n v="320"/>
  </r>
  <r>
    <x v="62"/>
    <s v="conventional_cashout_incentive_-194"/>
    <x v="1077"/>
    <n v="0"/>
    <n v="1"/>
    <n v="-404"/>
    <n v="320"/>
  </r>
  <r>
    <x v="62"/>
    <s v="conventional_cashout_incentive_-193"/>
    <x v="1078"/>
    <n v="0"/>
    <n v="1"/>
    <n v="-404"/>
    <n v="320"/>
  </r>
  <r>
    <x v="62"/>
    <s v="conventional_cashout_incentive_-192"/>
    <x v="1079"/>
    <n v="0"/>
    <n v="1"/>
    <n v="-404"/>
    <n v="320"/>
  </r>
  <r>
    <x v="62"/>
    <s v="conventional_cashout_incentive_-191"/>
    <x v="1080"/>
    <n v="0"/>
    <n v="1"/>
    <n v="-404"/>
    <n v="320"/>
  </r>
  <r>
    <x v="62"/>
    <s v="conventional_cashout_incentive_-190"/>
    <x v="1081"/>
    <n v="0"/>
    <n v="1"/>
    <n v="-404"/>
    <n v="320"/>
  </r>
  <r>
    <x v="62"/>
    <s v="conventional_cashout_incentive_-189"/>
    <x v="1082"/>
    <n v="0"/>
    <n v="1"/>
    <n v="-404"/>
    <n v="320"/>
  </r>
  <r>
    <x v="62"/>
    <s v="conventional_cashout_incentive_-188"/>
    <x v="1083"/>
    <n v="0"/>
    <n v="1"/>
    <n v="-404"/>
    <n v="320"/>
  </r>
  <r>
    <x v="62"/>
    <s v="conventional_cashout_incentive_-187"/>
    <x v="1084"/>
    <n v="0"/>
    <n v="1"/>
    <n v="-404"/>
    <n v="320"/>
  </r>
  <r>
    <x v="62"/>
    <s v="conventional_cashout_incentive_-186"/>
    <x v="1085"/>
    <n v="0"/>
    <n v="1"/>
    <n v="-404"/>
    <n v="320"/>
  </r>
  <r>
    <x v="62"/>
    <s v="conventional_cashout_incentive_-185"/>
    <x v="1086"/>
    <n v="0"/>
    <n v="1"/>
    <n v="-404"/>
    <n v="320"/>
  </r>
  <r>
    <x v="62"/>
    <s v="conventional_cashout_incentive_-184"/>
    <x v="1087"/>
    <n v="0"/>
    <n v="1"/>
    <n v="-404"/>
    <n v="320"/>
  </r>
  <r>
    <x v="62"/>
    <s v="conventional_cashout_incentive_-183"/>
    <x v="1088"/>
    <n v="0"/>
    <n v="1"/>
    <n v="-404"/>
    <n v="320"/>
  </r>
  <r>
    <x v="62"/>
    <s v="conventional_cashout_incentive_-182"/>
    <x v="1089"/>
    <n v="0"/>
    <n v="1"/>
    <n v="-404"/>
    <n v="320"/>
  </r>
  <r>
    <x v="62"/>
    <s v="conventional_cashout_incentive_-181"/>
    <x v="1090"/>
    <n v="0"/>
    <n v="1"/>
    <n v="-404"/>
    <n v="320"/>
  </r>
  <r>
    <x v="62"/>
    <s v="conventional_cashout_incentive_-180"/>
    <x v="1091"/>
    <n v="0"/>
    <n v="1"/>
    <n v="-404"/>
    <n v="320"/>
  </r>
  <r>
    <x v="62"/>
    <s v="conventional_cashout_incentive_-179"/>
    <x v="1092"/>
    <n v="0"/>
    <n v="1"/>
    <n v="-404"/>
    <n v="320"/>
  </r>
  <r>
    <x v="62"/>
    <s v="conventional_cashout_incentive_-178"/>
    <x v="1093"/>
    <n v="0"/>
    <n v="1"/>
    <n v="-404"/>
    <n v="320"/>
  </r>
  <r>
    <x v="62"/>
    <s v="conventional_cashout_incentive_-177"/>
    <x v="1094"/>
    <n v="0"/>
    <n v="1"/>
    <n v="-404"/>
    <n v="320"/>
  </r>
  <r>
    <x v="62"/>
    <s v="conventional_cashout_incentive_-176"/>
    <x v="1095"/>
    <n v="0"/>
    <n v="1"/>
    <n v="-404"/>
    <n v="320"/>
  </r>
  <r>
    <x v="62"/>
    <s v="conventional_cashout_incentive_-175"/>
    <x v="1096"/>
    <n v="0"/>
    <n v="1"/>
    <n v="-404"/>
    <n v="320"/>
  </r>
  <r>
    <x v="62"/>
    <s v="conventional_cashout_incentive_-174"/>
    <x v="1097"/>
    <n v="0"/>
    <n v="1"/>
    <n v="-404"/>
    <n v="320"/>
  </r>
  <r>
    <x v="62"/>
    <s v="conventional_cashout_incentive_-173"/>
    <x v="1098"/>
    <n v="0"/>
    <n v="1"/>
    <n v="-404"/>
    <n v="320"/>
  </r>
  <r>
    <x v="62"/>
    <s v="conventional_cashout_incentive_-172"/>
    <x v="1099"/>
    <n v="0"/>
    <n v="1"/>
    <n v="-404"/>
    <n v="320"/>
  </r>
  <r>
    <x v="62"/>
    <s v="conventional_cashout_incentive_-171"/>
    <x v="1100"/>
    <n v="0"/>
    <n v="1"/>
    <n v="-404"/>
    <n v="320"/>
  </r>
  <r>
    <x v="62"/>
    <s v="conventional_cashout_incentive_-170"/>
    <x v="1101"/>
    <n v="0"/>
    <n v="1"/>
    <n v="-404"/>
    <n v="320"/>
  </r>
  <r>
    <x v="62"/>
    <s v="conventional_cashout_incentive_-169"/>
    <x v="1102"/>
    <n v="0"/>
    <n v="1"/>
    <n v="-404"/>
    <n v="320"/>
  </r>
  <r>
    <x v="62"/>
    <s v="conventional_cashout_incentive_-168"/>
    <x v="1103"/>
    <n v="0"/>
    <n v="1"/>
    <n v="-404"/>
    <n v="320"/>
  </r>
  <r>
    <x v="62"/>
    <s v="conventional_cashout_incentive_-167"/>
    <x v="1104"/>
    <n v="0"/>
    <n v="1"/>
    <n v="-404"/>
    <n v="320"/>
  </r>
  <r>
    <x v="62"/>
    <s v="conventional_cashout_incentive_-166"/>
    <x v="1105"/>
    <n v="0"/>
    <n v="1"/>
    <n v="-404"/>
    <n v="320"/>
  </r>
  <r>
    <x v="62"/>
    <s v="conventional_cashout_incentive_-165"/>
    <x v="1106"/>
    <n v="0"/>
    <n v="1"/>
    <n v="-404"/>
    <n v="320"/>
  </r>
  <r>
    <x v="62"/>
    <s v="conventional_cashout_incentive_-164"/>
    <x v="1107"/>
    <n v="0"/>
    <n v="1"/>
    <n v="-404"/>
    <n v="320"/>
  </r>
  <r>
    <x v="62"/>
    <s v="conventional_cashout_incentive_-163"/>
    <x v="1108"/>
    <n v="0"/>
    <n v="1"/>
    <n v="-404"/>
    <n v="320"/>
  </r>
  <r>
    <x v="62"/>
    <s v="conventional_cashout_incentive_-162"/>
    <x v="1109"/>
    <n v="0"/>
    <n v="1"/>
    <n v="-404"/>
    <n v="320"/>
  </r>
  <r>
    <x v="62"/>
    <s v="conventional_cashout_incentive_-161"/>
    <x v="1110"/>
    <n v="0"/>
    <n v="1"/>
    <n v="-404"/>
    <n v="320"/>
  </r>
  <r>
    <x v="62"/>
    <s v="conventional_cashout_incentive_-160"/>
    <x v="1111"/>
    <n v="0"/>
    <n v="1"/>
    <n v="-404"/>
    <n v="320"/>
  </r>
  <r>
    <x v="62"/>
    <s v="conventional_cashout_incentive_-159"/>
    <x v="1112"/>
    <n v="0"/>
    <n v="1"/>
    <n v="-404"/>
    <n v="320"/>
  </r>
  <r>
    <x v="62"/>
    <s v="conventional_cashout_incentive_-158"/>
    <x v="1113"/>
    <n v="0"/>
    <n v="1"/>
    <n v="-404"/>
    <n v="320"/>
  </r>
  <r>
    <x v="62"/>
    <s v="conventional_cashout_incentive_-157"/>
    <x v="1114"/>
    <n v="0"/>
    <n v="1"/>
    <n v="-404"/>
    <n v="320"/>
  </r>
  <r>
    <x v="62"/>
    <s v="conventional_cashout_incentive_-156"/>
    <x v="1115"/>
    <n v="0"/>
    <n v="1"/>
    <n v="-404"/>
    <n v="320"/>
  </r>
  <r>
    <x v="62"/>
    <s v="conventional_cashout_incentive_-155"/>
    <x v="1116"/>
    <n v="0"/>
    <n v="1"/>
    <n v="-404"/>
    <n v="320"/>
  </r>
  <r>
    <x v="62"/>
    <s v="conventional_cashout_incentive_-154"/>
    <x v="1117"/>
    <n v="0"/>
    <n v="1"/>
    <n v="-404"/>
    <n v="320"/>
  </r>
  <r>
    <x v="62"/>
    <s v="conventional_cashout_incentive_-153"/>
    <x v="1118"/>
    <n v="0"/>
    <n v="1"/>
    <n v="-404"/>
    <n v="320"/>
  </r>
  <r>
    <x v="62"/>
    <s v="conventional_cashout_incentive_-152"/>
    <x v="1119"/>
    <n v="0"/>
    <n v="1"/>
    <n v="-404"/>
    <n v="320"/>
  </r>
  <r>
    <x v="62"/>
    <s v="conventional_cashout_incentive_-151"/>
    <x v="1120"/>
    <n v="0"/>
    <n v="1"/>
    <n v="-404"/>
    <n v="320"/>
  </r>
  <r>
    <x v="62"/>
    <s v="conventional_cashout_incentive_-150"/>
    <x v="1121"/>
    <n v="0"/>
    <n v="1"/>
    <n v="-404"/>
    <n v="320"/>
  </r>
  <r>
    <x v="62"/>
    <s v="conventional_cashout_incentive_-149"/>
    <x v="1122"/>
    <n v="0"/>
    <n v="1"/>
    <n v="-404"/>
    <n v="320"/>
  </r>
  <r>
    <x v="62"/>
    <s v="conventional_cashout_incentive_-148"/>
    <x v="1123"/>
    <n v="0"/>
    <n v="1"/>
    <n v="-404"/>
    <n v="320"/>
  </r>
  <r>
    <x v="62"/>
    <s v="conventional_cashout_incentive_-147"/>
    <x v="1124"/>
    <n v="0"/>
    <n v="1"/>
    <n v="-404"/>
    <n v="320"/>
  </r>
  <r>
    <x v="62"/>
    <s v="conventional_cashout_incentive_-146"/>
    <x v="1125"/>
    <n v="0"/>
    <n v="1"/>
    <n v="-404"/>
    <n v="320"/>
  </r>
  <r>
    <x v="62"/>
    <s v="conventional_cashout_incentive_-145"/>
    <x v="1126"/>
    <n v="0"/>
    <n v="1"/>
    <n v="-404"/>
    <n v="320"/>
  </r>
  <r>
    <x v="62"/>
    <s v="conventional_cashout_incentive_-144"/>
    <x v="1127"/>
    <n v="0"/>
    <n v="1"/>
    <n v="-404"/>
    <n v="320"/>
  </r>
  <r>
    <x v="62"/>
    <s v="conventional_cashout_incentive_-143"/>
    <x v="1128"/>
    <n v="0"/>
    <n v="1"/>
    <n v="-404"/>
    <n v="320"/>
  </r>
  <r>
    <x v="62"/>
    <s v="conventional_cashout_incentive_-142"/>
    <x v="1129"/>
    <n v="0"/>
    <n v="1"/>
    <n v="-404"/>
    <n v="320"/>
  </r>
  <r>
    <x v="62"/>
    <s v="conventional_cashout_incentive_-141"/>
    <x v="1130"/>
    <n v="0"/>
    <n v="1"/>
    <n v="-404"/>
    <n v="320"/>
  </r>
  <r>
    <x v="62"/>
    <s v="conventional_cashout_incentive_-140"/>
    <x v="1131"/>
    <n v="0"/>
    <n v="1"/>
    <n v="-404"/>
    <n v="320"/>
  </r>
  <r>
    <x v="62"/>
    <s v="conventional_cashout_incentive_-139"/>
    <x v="1132"/>
    <n v="0"/>
    <n v="1"/>
    <n v="-404"/>
    <n v="320"/>
  </r>
  <r>
    <x v="62"/>
    <s v="conventional_cashout_incentive_-138"/>
    <x v="1133"/>
    <n v="0"/>
    <n v="1"/>
    <n v="-404"/>
    <n v="320"/>
  </r>
  <r>
    <x v="62"/>
    <s v="conventional_cashout_incentive_-137"/>
    <x v="1134"/>
    <n v="0"/>
    <n v="1"/>
    <n v="-404"/>
    <n v="320"/>
  </r>
  <r>
    <x v="62"/>
    <s v="conventional_cashout_incentive_-136"/>
    <x v="1135"/>
    <n v="0"/>
    <n v="1"/>
    <n v="-404"/>
    <n v="320"/>
  </r>
  <r>
    <x v="62"/>
    <s v="conventional_cashout_incentive_-135"/>
    <x v="1136"/>
    <n v="0"/>
    <n v="1"/>
    <n v="-404"/>
    <n v="320"/>
  </r>
  <r>
    <x v="62"/>
    <s v="conventional_cashout_incentive_-134"/>
    <x v="1137"/>
    <n v="0"/>
    <n v="1"/>
    <n v="-404"/>
    <n v="320"/>
  </r>
  <r>
    <x v="62"/>
    <s v="conventional_cashout_incentive_-133"/>
    <x v="1138"/>
    <n v="0"/>
    <n v="1"/>
    <n v="-404"/>
    <n v="320"/>
  </r>
  <r>
    <x v="62"/>
    <s v="conventional_cashout_incentive_-132"/>
    <x v="1139"/>
    <n v="0"/>
    <n v="1"/>
    <n v="-404"/>
    <n v="320"/>
  </r>
  <r>
    <x v="62"/>
    <s v="conventional_cashout_incentive_-131"/>
    <x v="1140"/>
    <n v="0"/>
    <n v="1"/>
    <n v="-404"/>
    <n v="320"/>
  </r>
  <r>
    <x v="62"/>
    <s v="conventional_cashout_incentive_-130"/>
    <x v="1141"/>
    <n v="0"/>
    <n v="1"/>
    <n v="-404"/>
    <n v="320"/>
  </r>
  <r>
    <x v="62"/>
    <s v="conventional_cashout_incentive_-129"/>
    <x v="1142"/>
    <n v="0"/>
    <n v="1"/>
    <n v="-404"/>
    <n v="320"/>
  </r>
  <r>
    <x v="62"/>
    <s v="conventional_cashout_incentive_-128"/>
    <x v="1143"/>
    <n v="0"/>
    <n v="1"/>
    <n v="-404"/>
    <n v="320"/>
  </r>
  <r>
    <x v="62"/>
    <s v="conventional_cashout_incentive_-127"/>
    <x v="1144"/>
    <n v="0"/>
    <n v="1"/>
    <n v="-404"/>
    <n v="320"/>
  </r>
  <r>
    <x v="62"/>
    <s v="conventional_cashout_incentive_-126"/>
    <x v="1145"/>
    <n v="0"/>
    <n v="1"/>
    <n v="-404"/>
    <n v="320"/>
  </r>
  <r>
    <x v="62"/>
    <s v="conventional_cashout_incentive_-125"/>
    <x v="1146"/>
    <n v="0"/>
    <n v="1"/>
    <n v="-404"/>
    <n v="320"/>
  </r>
  <r>
    <x v="62"/>
    <s v="conventional_cashout_incentive_-124"/>
    <x v="1147"/>
    <n v="0"/>
    <n v="1"/>
    <n v="-404"/>
    <n v="320"/>
  </r>
  <r>
    <x v="62"/>
    <s v="conventional_cashout_incentive_-123"/>
    <x v="1148"/>
    <n v="0"/>
    <n v="1"/>
    <n v="-404"/>
    <n v="320"/>
  </r>
  <r>
    <x v="62"/>
    <s v="conventional_cashout_incentive_-122"/>
    <x v="1149"/>
    <n v="0"/>
    <n v="1"/>
    <n v="-404"/>
    <n v="320"/>
  </r>
  <r>
    <x v="62"/>
    <s v="conventional_cashout_incentive_-121"/>
    <x v="1150"/>
    <n v="0"/>
    <n v="1"/>
    <n v="-404"/>
    <n v="320"/>
  </r>
  <r>
    <x v="62"/>
    <s v="conventional_cashout_incentive_-120"/>
    <x v="1151"/>
    <n v="0"/>
    <n v="1"/>
    <n v="-404"/>
    <n v="320"/>
  </r>
  <r>
    <x v="62"/>
    <s v="conventional_cashout_incentive_-119"/>
    <x v="1152"/>
    <n v="0"/>
    <n v="1"/>
    <n v="-404"/>
    <n v="320"/>
  </r>
  <r>
    <x v="62"/>
    <s v="conventional_cashout_incentive_-118"/>
    <x v="1153"/>
    <n v="0"/>
    <n v="1"/>
    <n v="-404"/>
    <n v="320"/>
  </r>
  <r>
    <x v="62"/>
    <s v="conventional_cashout_incentive_-117"/>
    <x v="1154"/>
    <n v="0"/>
    <n v="1"/>
    <n v="-404"/>
    <n v="320"/>
  </r>
  <r>
    <x v="62"/>
    <s v="conventional_cashout_incentive_-116"/>
    <x v="1155"/>
    <n v="0"/>
    <n v="1"/>
    <n v="-404"/>
    <n v="320"/>
  </r>
  <r>
    <x v="62"/>
    <s v="conventional_cashout_incentive_-115"/>
    <x v="1156"/>
    <n v="0"/>
    <n v="1"/>
    <n v="-404"/>
    <n v="320"/>
  </r>
  <r>
    <x v="62"/>
    <s v="conventional_cashout_incentive_-114"/>
    <x v="1157"/>
    <n v="0"/>
    <n v="1"/>
    <n v="-404"/>
    <n v="320"/>
  </r>
  <r>
    <x v="62"/>
    <s v="conventional_cashout_incentive_-113"/>
    <x v="1158"/>
    <n v="0"/>
    <n v="1"/>
    <n v="-404"/>
    <n v="320"/>
  </r>
  <r>
    <x v="62"/>
    <s v="conventional_cashout_incentive_-112"/>
    <x v="1159"/>
    <n v="0"/>
    <n v="1"/>
    <n v="-404"/>
    <n v="320"/>
  </r>
  <r>
    <x v="62"/>
    <s v="conventional_cashout_incentive_-111"/>
    <x v="1160"/>
    <n v="0"/>
    <n v="1"/>
    <n v="-404"/>
    <n v="320"/>
  </r>
  <r>
    <x v="62"/>
    <s v="conventional_cashout_incentive_-110"/>
    <x v="1161"/>
    <n v="0"/>
    <n v="1"/>
    <n v="-404"/>
    <n v="320"/>
  </r>
  <r>
    <x v="62"/>
    <s v="conventional_cashout_incentive_-109"/>
    <x v="1162"/>
    <n v="0"/>
    <n v="1"/>
    <n v="-404"/>
    <n v="320"/>
  </r>
  <r>
    <x v="62"/>
    <s v="conventional_cashout_incentive_-108"/>
    <x v="1163"/>
    <n v="0"/>
    <n v="1"/>
    <n v="-404"/>
    <n v="320"/>
  </r>
  <r>
    <x v="62"/>
    <s v="conventional_cashout_incentive_-107"/>
    <x v="1164"/>
    <n v="0"/>
    <n v="1"/>
    <n v="-404"/>
    <n v="320"/>
  </r>
  <r>
    <x v="62"/>
    <s v="conventional_cashout_incentive_-106"/>
    <x v="1165"/>
    <n v="0"/>
    <n v="1"/>
    <n v="-404"/>
    <n v="320"/>
  </r>
  <r>
    <x v="62"/>
    <s v="conventional_cashout_incentive_-105"/>
    <x v="1166"/>
    <n v="0"/>
    <n v="1"/>
    <n v="-404"/>
    <n v="320"/>
  </r>
  <r>
    <x v="62"/>
    <s v="conventional_cashout_incentive_-104"/>
    <x v="1167"/>
    <n v="0"/>
    <n v="1"/>
    <n v="-404"/>
    <n v="320"/>
  </r>
  <r>
    <x v="62"/>
    <s v="conventional_cashout_incentive_-103"/>
    <x v="1168"/>
    <n v="0"/>
    <n v="1"/>
    <n v="-404"/>
    <n v="320"/>
  </r>
  <r>
    <x v="62"/>
    <s v="conventional_cashout_incentive_-102"/>
    <x v="1169"/>
    <n v="0"/>
    <n v="1"/>
    <n v="-404"/>
    <n v="320"/>
  </r>
  <r>
    <x v="62"/>
    <s v="conventional_cashout_incentive_-101"/>
    <x v="1170"/>
    <n v="0"/>
    <n v="1"/>
    <n v="-404"/>
    <n v="320"/>
  </r>
  <r>
    <x v="62"/>
    <s v="conventional_cashout_incentive_-100"/>
    <x v="1171"/>
    <n v="0"/>
    <n v="1"/>
    <n v="-404"/>
    <n v="320"/>
  </r>
  <r>
    <x v="62"/>
    <s v="conventional_cashout_incentive_-99"/>
    <x v="1172"/>
    <n v="0"/>
    <n v="1"/>
    <n v="-404"/>
    <n v="320"/>
  </r>
  <r>
    <x v="62"/>
    <s v="conventional_cashout_incentive_-98"/>
    <x v="1173"/>
    <n v="0"/>
    <n v="1"/>
    <n v="-404"/>
    <n v="320"/>
  </r>
  <r>
    <x v="62"/>
    <s v="conventional_cashout_incentive_-97"/>
    <x v="1174"/>
    <n v="0"/>
    <n v="1"/>
    <n v="-404"/>
    <n v="320"/>
  </r>
  <r>
    <x v="62"/>
    <s v="conventional_cashout_incentive_-96"/>
    <x v="1175"/>
    <n v="0"/>
    <n v="1"/>
    <n v="-404"/>
    <n v="320"/>
  </r>
  <r>
    <x v="62"/>
    <s v="conventional_cashout_incentive_-95"/>
    <x v="1176"/>
    <n v="0"/>
    <n v="1"/>
    <n v="-404"/>
    <n v="320"/>
  </r>
  <r>
    <x v="62"/>
    <s v="conventional_cashout_incentive_-94"/>
    <x v="1177"/>
    <n v="0"/>
    <n v="1"/>
    <n v="-404"/>
    <n v="320"/>
  </r>
  <r>
    <x v="62"/>
    <s v="conventional_cashout_incentive_-93"/>
    <x v="1178"/>
    <n v="0"/>
    <n v="1"/>
    <n v="-404"/>
    <n v="320"/>
  </r>
  <r>
    <x v="62"/>
    <s v="conventional_cashout_incentive_-92"/>
    <x v="1179"/>
    <n v="0"/>
    <n v="1"/>
    <n v="-404"/>
    <n v="320"/>
  </r>
  <r>
    <x v="62"/>
    <s v="conventional_cashout_incentive_-91"/>
    <x v="1180"/>
    <n v="4.7135694912468101E-4"/>
    <n v="1"/>
    <n v="-404"/>
    <n v="320"/>
  </r>
  <r>
    <x v="62"/>
    <s v="conventional_cashout_incentive_-90"/>
    <x v="1181"/>
    <n v="1.8426892413906501E-3"/>
    <n v="1"/>
    <n v="-404"/>
    <n v="320"/>
  </r>
  <r>
    <x v="62"/>
    <s v="conventional_cashout_incentive_-89"/>
    <x v="1182"/>
    <n v="4.0498890441357802E-3"/>
    <n v="1"/>
    <n v="-404"/>
    <n v="320"/>
  </r>
  <r>
    <x v="62"/>
    <s v="conventional_cashout_incentive_-88"/>
    <x v="1183"/>
    <n v="7.0288485246979499E-3"/>
    <n v="1"/>
    <n v="-404"/>
    <n v="320"/>
  </r>
  <r>
    <x v="62"/>
    <s v="conventional_cashout_incentive_-87"/>
    <x v="1184"/>
    <n v="1.07154598504151E-2"/>
    <n v="1"/>
    <n v="-404"/>
    <n v="320"/>
  </r>
  <r>
    <x v="62"/>
    <s v="conventional_cashout_incentive_-86"/>
    <x v="1185"/>
    <n v="1.5045615188624999E-2"/>
    <n v="1"/>
    <n v="-404"/>
    <n v="320"/>
  </r>
  <r>
    <x v="62"/>
    <s v="conventional_cashout_incentive_-85"/>
    <x v="1186"/>
    <n v="1.9955206706665601E-2"/>
    <n v="1"/>
    <n v="-404"/>
    <n v="320"/>
  </r>
  <r>
    <x v="62"/>
    <s v="conventional_cashout_incentive_-84"/>
    <x v="1187"/>
    <n v="2.53801265718747E-2"/>
    <n v="1"/>
    <n v="-404"/>
    <n v="320"/>
  </r>
  <r>
    <x v="62"/>
    <s v="conventional_cashout_incentive_-83"/>
    <x v="1188"/>
    <n v="3.1256266951590402E-2"/>
    <n v="1"/>
    <n v="-404"/>
    <n v="320"/>
  </r>
  <r>
    <x v="62"/>
    <s v="conventional_cashout_incentive_-82"/>
    <x v="1189"/>
    <n v="3.7519520013150301E-2"/>
    <n v="1"/>
    <n v="-404"/>
    <n v="320"/>
  </r>
  <r>
    <x v="62"/>
    <s v="conventional_cashout_incentive_-81"/>
    <x v="1190"/>
    <n v="4.4105777923892503E-2"/>
    <n v="1"/>
    <n v="-404"/>
    <n v="320"/>
  </r>
  <r>
    <x v="62"/>
    <s v="conventional_cashout_incentive_-80"/>
    <x v="1191"/>
    <n v="5.0950932851154797E-2"/>
    <n v="1"/>
    <n v="-404"/>
    <n v="320"/>
  </r>
  <r>
    <x v="62"/>
    <s v="conventional_cashout_incentive_-79"/>
    <x v="1192"/>
    <n v="5.7990876962274999E-2"/>
    <n v="1"/>
    <n v="-404"/>
    <n v="320"/>
  </r>
  <r>
    <x v="62"/>
    <s v="conventional_cashout_incentive_-78"/>
    <x v="1193"/>
    <n v="6.5161502424591095E-2"/>
    <n v="1"/>
    <n v="-404"/>
    <n v="320"/>
  </r>
  <r>
    <x v="62"/>
    <s v="conventional_cashout_incentive_-77"/>
    <x v="1194"/>
    <n v="7.2398701405440899E-2"/>
    <n v="1"/>
    <n v="-404"/>
    <n v="320"/>
  </r>
  <r>
    <x v="62"/>
    <s v="conventional_cashout_incentive_-76"/>
    <x v="1195"/>
    <n v="7.9638366072162403E-2"/>
    <n v="1"/>
    <n v="-404"/>
    <n v="320"/>
  </r>
  <r>
    <x v="62"/>
    <s v="conventional_cashout_incentive_-75"/>
    <x v="1196"/>
    <n v="8.6816388592093299E-2"/>
    <n v="1"/>
    <n v="-404"/>
    <n v="320"/>
  </r>
  <r>
    <x v="62"/>
    <s v="conventional_cashout_incentive_-74"/>
    <x v="1197"/>
    <n v="9.3868661132571696E-2"/>
    <n v="1"/>
    <n v="-404"/>
    <n v="320"/>
  </r>
  <r>
    <x v="62"/>
    <s v="conventional_cashout_incentive_-73"/>
    <x v="1198"/>
    <n v="0.10073107586093499"/>
    <n v="1"/>
    <n v="-404"/>
    <n v="320"/>
  </r>
  <r>
    <x v="62"/>
    <s v="conventional_cashout_incentive_-72"/>
    <x v="1199"/>
    <n v="0.10733952494452199"/>
    <n v="1"/>
    <n v="-404"/>
    <n v="320"/>
  </r>
  <r>
    <x v="62"/>
    <s v="conventional_cashout_incentive_-71"/>
    <x v="1200"/>
    <n v="0.11362990055067"/>
    <n v="1"/>
    <n v="-404"/>
    <n v="320"/>
  </r>
  <r>
    <x v="62"/>
    <s v="conventional_cashout_incentive_-70"/>
    <x v="1201"/>
    <n v="0.119538094846717"/>
    <n v="1"/>
    <n v="-404"/>
    <n v="320"/>
  </r>
  <r>
    <x v="62"/>
    <s v="conventional_cashout_incentive_-69"/>
    <x v="1202"/>
    <n v="0.125"/>
    <n v="1"/>
    <n v="-404"/>
    <n v="320"/>
  </r>
  <r>
    <x v="62"/>
    <s v="conventional_cashout_incentive_-68"/>
    <x v="1203"/>
    <n v="0.130176347826087"/>
    <n v="1"/>
    <n v="-404"/>
    <n v="320"/>
  </r>
  <r>
    <x v="62"/>
    <s v="conventional_cashout_incentive_-67"/>
    <x v="1204"/>
    <n v="0.13527600000000001"/>
    <n v="1"/>
    <n v="-404"/>
    <n v="320"/>
  </r>
  <r>
    <x v="62"/>
    <s v="conventional_cashout_incentive_-66"/>
    <x v="1205"/>
    <n v="0.14030704347826101"/>
    <n v="1"/>
    <n v="-404"/>
    <n v="320"/>
  </r>
  <r>
    <x v="62"/>
    <s v="conventional_cashout_incentive_-65"/>
    <x v="1206"/>
    <n v="0.14527756521739099"/>
    <n v="1"/>
    <n v="-404"/>
    <n v="320"/>
  </r>
  <r>
    <x v="62"/>
    <s v="conventional_cashout_incentive_-64"/>
    <x v="1207"/>
    <n v="0.15019565217391301"/>
    <n v="1"/>
    <n v="-404"/>
    <n v="320"/>
  </r>
  <r>
    <x v="62"/>
    <s v="conventional_cashout_incentive_-63"/>
    <x v="1208"/>
    <n v="0.15506939130434799"/>
    <n v="1"/>
    <n v="-404"/>
    <n v="320"/>
  </r>
  <r>
    <x v="62"/>
    <s v="conventional_cashout_incentive_-62"/>
    <x v="1209"/>
    <n v="0.15990686956521699"/>
    <n v="1"/>
    <n v="-404"/>
    <n v="320"/>
  </r>
  <r>
    <x v="62"/>
    <s v="conventional_cashout_incentive_-61"/>
    <x v="1210"/>
    <n v="0.164716173913043"/>
    <n v="1"/>
    <n v="-404"/>
    <n v="320"/>
  </r>
  <r>
    <x v="62"/>
    <s v="conventional_cashout_incentive_-60"/>
    <x v="1211"/>
    <n v="0.169505391304348"/>
    <n v="1"/>
    <n v="-404"/>
    <n v="320"/>
  </r>
  <r>
    <x v="62"/>
    <s v="conventional_cashout_incentive_-59"/>
    <x v="1212"/>
    <n v="0.17428260869565201"/>
    <n v="1"/>
    <n v="-404"/>
    <n v="320"/>
  </r>
  <r>
    <x v="62"/>
    <s v="conventional_cashout_incentive_-58"/>
    <x v="1213"/>
    <n v="0.17905591304347801"/>
    <n v="1"/>
    <n v="-404"/>
    <n v="320"/>
  </r>
  <r>
    <x v="62"/>
    <s v="conventional_cashout_incentive_-57"/>
    <x v="1214"/>
    <n v="0.183833391304348"/>
    <n v="1"/>
    <n v="-404"/>
    <n v="320"/>
  </r>
  <r>
    <x v="62"/>
    <s v="conventional_cashout_incentive_-56"/>
    <x v="1215"/>
    <n v="0.18862313043478299"/>
    <n v="1"/>
    <n v="-404"/>
    <n v="320"/>
  </r>
  <r>
    <x v="62"/>
    <s v="conventional_cashout_incentive_-55"/>
    <x v="1216"/>
    <n v="0.19343321739130401"/>
    <n v="1"/>
    <n v="-404"/>
    <n v="320"/>
  </r>
  <r>
    <x v="62"/>
    <s v="conventional_cashout_incentive_-54"/>
    <x v="1217"/>
    <n v="0.198271739130435"/>
    <n v="1"/>
    <n v="-404"/>
    <n v="320"/>
  </r>
  <r>
    <x v="62"/>
    <s v="conventional_cashout_incentive_-53"/>
    <x v="1218"/>
    <n v="0.20314678260869601"/>
    <n v="1"/>
    <n v="-404"/>
    <n v="320"/>
  </r>
  <r>
    <x v="62"/>
    <s v="conventional_cashout_incentive_-52"/>
    <x v="1219"/>
    <n v="0.208066434782609"/>
    <n v="1"/>
    <n v="-404"/>
    <n v="320"/>
  </r>
  <r>
    <x v="62"/>
    <s v="conventional_cashout_incentive_-51"/>
    <x v="1220"/>
    <n v="0.21303878260869599"/>
    <n v="1"/>
    <n v="-404"/>
    <n v="320"/>
  </r>
  <r>
    <x v="62"/>
    <s v="conventional_cashout_incentive_-50"/>
    <x v="1221"/>
    <n v="0.21807191304347801"/>
    <n v="1"/>
    <n v="-404"/>
    <n v="320"/>
  </r>
  <r>
    <x v="62"/>
    <s v="conventional_cashout_incentive_-49"/>
    <x v="1222"/>
    <n v="0.223173913043478"/>
    <n v="1"/>
    <n v="-404"/>
    <n v="320"/>
  </r>
  <r>
    <x v="62"/>
    <s v="conventional_cashout_incentive_-48"/>
    <x v="1223"/>
    <n v="0.228352869565217"/>
    <n v="1"/>
    <n v="-404"/>
    <n v="320"/>
  </r>
  <r>
    <x v="62"/>
    <s v="conventional_cashout_incentive_-47"/>
    <x v="1224"/>
    <n v="0.23361686956521699"/>
    <n v="1"/>
    <n v="-404"/>
    <n v="320"/>
  </r>
  <r>
    <x v="62"/>
    <s v="conventional_cashout_incentive_-46"/>
    <x v="1225"/>
    <n v="0.23897399999999999"/>
    <n v="1"/>
    <n v="-404"/>
    <n v="320"/>
  </r>
  <r>
    <x v="62"/>
    <s v="conventional_cashout_incentive_-45"/>
    <x v="1226"/>
    <n v="0.244432347826087"/>
    <n v="1"/>
    <n v="-404"/>
    <n v="320"/>
  </r>
  <r>
    <x v="62"/>
    <s v="conventional_cashout_incentive_-44"/>
    <x v="1227"/>
    <n v="0.25"/>
    <n v="1"/>
    <n v="-404"/>
    <n v="320"/>
  </r>
  <r>
    <x v="62"/>
    <s v="conventional_cashout_incentive_-43"/>
    <x v="1228"/>
    <n v="0.25552126736111103"/>
    <n v="1"/>
    <n v="-404"/>
    <n v="320"/>
  </r>
  <r>
    <x v="62"/>
    <s v="conventional_cashout_incentive_-42"/>
    <x v="1229"/>
    <n v="0.26085763888888902"/>
    <n v="1"/>
    <n v="-404"/>
    <n v="320"/>
  </r>
  <r>
    <x v="62"/>
    <s v="conventional_cashout_incentive_-41"/>
    <x v="1230"/>
    <n v="0.26604296875"/>
    <n v="1"/>
    <n v="-404"/>
    <n v="320"/>
  </r>
  <r>
    <x v="62"/>
    <s v="conventional_cashout_incentive_-40"/>
    <x v="0"/>
    <n v="0.27111111111111103"/>
    <n v="1"/>
    <n v="-404"/>
    <n v="320"/>
  </r>
  <r>
    <x v="62"/>
    <s v="conventional_cashout_incentive_-39"/>
    <x v="1"/>
    <n v="0.27609592013888901"/>
    <n v="1"/>
    <n v="-404"/>
    <n v="320"/>
  </r>
  <r>
    <x v="62"/>
    <s v="conventional_cashout_incentive_-38"/>
    <x v="2"/>
    <n v="0.28103125000000001"/>
    <n v="1"/>
    <n v="-404"/>
    <n v="320"/>
  </r>
  <r>
    <x v="62"/>
    <s v="conventional_cashout_incentive_-37"/>
    <x v="3"/>
    <n v="0.285950954861111"/>
    <n v="1"/>
    <n v="-404"/>
    <n v="320"/>
  </r>
  <r>
    <x v="62"/>
    <s v="conventional_cashout_incentive_-36"/>
    <x v="4"/>
    <n v="0.29088888888888897"/>
    <n v="1"/>
    <n v="-404"/>
    <n v="320"/>
  </r>
  <r>
    <x v="62"/>
    <s v="conventional_cashout_incentive_-35"/>
    <x v="5"/>
    <n v="0.29587890625000002"/>
    <n v="1"/>
    <n v="-404"/>
    <n v="320"/>
  </r>
  <r>
    <x v="62"/>
    <s v="conventional_cashout_incentive_-34"/>
    <x v="6"/>
    <n v="0.30095486111111103"/>
    <n v="1"/>
    <n v="-404"/>
    <n v="320"/>
  </r>
  <r>
    <x v="62"/>
    <s v="conventional_cashout_incentive_-33"/>
    <x v="7"/>
    <n v="0.30615060763888902"/>
    <n v="1"/>
    <n v="-404"/>
    <n v="320"/>
  </r>
  <r>
    <x v="62"/>
    <s v="conventional_cashout_incentive_-32"/>
    <x v="8"/>
    <n v="0.3115"/>
    <n v="1"/>
    <n v="-404"/>
    <n v="320"/>
  </r>
  <r>
    <x v="62"/>
    <s v="conventional_cashout_incentive_-31"/>
    <x v="9"/>
    <n v="0.31703689236111099"/>
    <n v="1"/>
    <n v="-404"/>
    <n v="320"/>
  </r>
  <r>
    <x v="62"/>
    <s v="conventional_cashout_incentive_-30"/>
    <x v="10"/>
    <n v="0.322795138888889"/>
    <n v="1"/>
    <n v="-404"/>
    <n v="320"/>
  </r>
  <r>
    <x v="62"/>
    <s v="conventional_cashout_incentive_-29"/>
    <x v="11"/>
    <n v="0.32880859374999999"/>
    <n v="1"/>
    <n v="-404"/>
    <n v="320"/>
  </r>
  <r>
    <x v="62"/>
    <s v="conventional_cashout_incentive_-28"/>
    <x v="12"/>
    <n v="0.33511111111111103"/>
    <n v="1"/>
    <n v="-404"/>
    <n v="320"/>
  </r>
  <r>
    <x v="62"/>
    <s v="conventional_cashout_incentive_-27"/>
    <x v="13"/>
    <n v="0.34173654513888901"/>
    <n v="1"/>
    <n v="-404"/>
    <n v="320"/>
  </r>
  <r>
    <x v="62"/>
    <s v="conventional_cashout_incentive_-26"/>
    <x v="14"/>
    <n v="0.34871875000000002"/>
    <n v="1"/>
    <n v="-404"/>
    <n v="320"/>
  </r>
  <r>
    <x v="62"/>
    <s v="conventional_cashout_incentive_-25"/>
    <x v="15"/>
    <n v="0.35609157986111101"/>
    <n v="1"/>
    <n v="-404"/>
    <n v="320"/>
  </r>
  <r>
    <x v="62"/>
    <s v="conventional_cashout_incentive_-24"/>
    <x v="16"/>
    <n v="0.36388888888888898"/>
    <n v="1"/>
    <n v="-404"/>
    <n v="320"/>
  </r>
  <r>
    <x v="62"/>
    <s v="conventional_cashout_incentive_-23"/>
    <x v="17"/>
    <n v="0.37214453125000002"/>
    <n v="1"/>
    <n v="-404"/>
    <n v="320"/>
  </r>
  <r>
    <x v="62"/>
    <s v="conventional_cashout_incentive_-22"/>
    <x v="18"/>
    <n v="0.38089236111111102"/>
    <n v="1"/>
    <n v="-404"/>
    <n v="320"/>
  </r>
  <r>
    <x v="62"/>
    <s v="conventional_cashout_incentive_-21"/>
    <x v="19"/>
    <n v="0.390166232638889"/>
    <n v="1"/>
    <n v="-404"/>
    <n v="320"/>
  </r>
  <r>
    <x v="62"/>
    <s v="conventional_cashout_incentive_-20"/>
    <x v="20"/>
    <n v="0.4"/>
    <n v="1"/>
    <n v="-404"/>
    <n v="320"/>
  </r>
  <r>
    <x v="62"/>
    <s v="conventional_cashout_incentive_-19"/>
    <x v="21"/>
    <n v="0.41012657530434798"/>
    <n v="1"/>
    <n v="-404"/>
    <n v="320"/>
  </r>
  <r>
    <x v="62"/>
    <s v="conventional_cashout_incentive_-18"/>
    <x v="22"/>
    <n v="0.420281872"/>
    <n v="1"/>
    <n v="-404"/>
    <n v="320"/>
  </r>
  <r>
    <x v="62"/>
    <s v="conventional_cashout_incentive_-17"/>
    <x v="23"/>
    <n v="0.43050424626087003"/>
    <n v="1"/>
    <n v="-404"/>
    <n v="320"/>
  </r>
  <r>
    <x v="62"/>
    <s v="conventional_cashout_incentive_-16"/>
    <x v="24"/>
    <n v="0.44083205426087002"/>
    <n v="1"/>
    <n v="-404"/>
    <n v="320"/>
  </r>
  <r>
    <x v="62"/>
    <s v="conventional_cashout_incentive_-15"/>
    <x v="25"/>
    <n v="0.45130365217391299"/>
    <n v="1"/>
    <n v="-404"/>
    <n v="320"/>
  </r>
  <r>
    <x v="62"/>
    <s v="conventional_cashout_incentive_-14"/>
    <x v="26"/>
    <n v="0.46195739617391302"/>
    <n v="1"/>
    <n v="-404"/>
    <n v="320"/>
  </r>
  <r>
    <x v="62"/>
    <s v="conventional_cashout_incentive_-13"/>
    <x v="27"/>
    <n v="0.47283164243478298"/>
    <n v="1"/>
    <n v="-404"/>
    <n v="320"/>
  </r>
  <r>
    <x v="62"/>
    <s v="conventional_cashout_incentive_-12"/>
    <x v="28"/>
    <n v="0.48396474713043502"/>
    <n v="1"/>
    <n v="-404"/>
    <n v="320"/>
  </r>
  <r>
    <x v="62"/>
    <s v="conventional_cashout_incentive_-11"/>
    <x v="29"/>
    <n v="0.49539506643478298"/>
    <n v="1"/>
    <n v="-404"/>
    <n v="320"/>
  </r>
  <r>
    <x v="62"/>
    <s v="conventional_cashout_incentive_-10"/>
    <x v="30"/>
    <n v="0.50716095652173898"/>
    <n v="1"/>
    <n v="-404"/>
    <n v="320"/>
  </r>
  <r>
    <x v="62"/>
    <s v="conventional_cashout_incentive_-9"/>
    <x v="31"/>
    <n v="0.51930077356521698"/>
    <n v="1"/>
    <n v="-404"/>
    <n v="320"/>
  </r>
  <r>
    <x v="62"/>
    <s v="conventional_cashout_incentive_-8"/>
    <x v="32"/>
    <n v="0.53185287373913004"/>
    <n v="1"/>
    <n v="-404"/>
    <n v="320"/>
  </r>
  <r>
    <x v="62"/>
    <s v="conventional_cashout_incentive_-7"/>
    <x v="33"/>
    <n v="0.54485561321739095"/>
    <n v="1"/>
    <n v="-404"/>
    <n v="320"/>
  </r>
  <r>
    <x v="62"/>
    <s v="conventional_cashout_incentive_-6"/>
    <x v="34"/>
    <n v="0.55834734817391296"/>
    <n v="1"/>
    <n v="-404"/>
    <n v="320"/>
  </r>
  <r>
    <x v="62"/>
    <s v="conventional_cashout_incentive_-5"/>
    <x v="35"/>
    <n v="0.57236643478260896"/>
    <n v="1"/>
    <n v="-404"/>
    <n v="320"/>
  </r>
  <r>
    <x v="62"/>
    <s v="conventional_cashout_incentive_-4"/>
    <x v="36"/>
    <n v="0.58695122921739096"/>
    <n v="1"/>
    <n v="-404"/>
    <n v="320"/>
  </r>
  <r>
    <x v="62"/>
    <s v="conventional_cashout_incentive_-3"/>
    <x v="37"/>
    <n v="0.60214008765217397"/>
    <n v="1"/>
    <n v="-404"/>
    <n v="320"/>
  </r>
  <r>
    <x v="62"/>
    <s v="conventional_cashout_incentive_-2"/>
    <x v="38"/>
    <n v="0.61797136626086902"/>
    <n v="1"/>
    <n v="-404"/>
    <n v="320"/>
  </r>
  <r>
    <x v="62"/>
    <s v="conventional_cashout_incentive_-1"/>
    <x v="39"/>
    <n v="0.63448342121739099"/>
    <n v="1"/>
    <n v="-404"/>
    <n v="320"/>
  </r>
  <r>
    <x v="62"/>
    <s v="conventional_cashout_incentive_0"/>
    <x v="40"/>
    <n v="0.65171460869565201"/>
    <n v="1"/>
    <n v="-404"/>
    <n v="320"/>
  </r>
  <r>
    <x v="62"/>
    <s v="conventional_cashout_incentive_1"/>
    <x v="41"/>
    <n v="0.66970328486956499"/>
    <n v="1"/>
    <n v="-404"/>
    <n v="320"/>
  </r>
  <r>
    <x v="62"/>
    <s v="conventional_cashout_incentive_2"/>
    <x v="42"/>
    <n v="0.68848780591304304"/>
    <n v="1"/>
    <n v="-404"/>
    <n v="320"/>
  </r>
  <r>
    <x v="62"/>
    <s v="conventional_cashout_incentive_3"/>
    <x v="43"/>
    <n v="0.70810652799999996"/>
    <n v="1"/>
    <n v="-404"/>
    <n v="320"/>
  </r>
  <r>
    <x v="62"/>
    <s v="conventional_cashout_incentive_4"/>
    <x v="44"/>
    <n v="0.72859780730434798"/>
    <n v="1"/>
    <n v="-404"/>
    <n v="320"/>
  </r>
  <r>
    <x v="62"/>
    <s v="conventional_cashout_incentive_5"/>
    <x v="45"/>
    <n v="0.75"/>
    <n v="1"/>
    <n v="-404"/>
    <n v="320"/>
  </r>
  <r>
    <x v="62"/>
    <s v="conventional_cashout_incentive_6"/>
    <x v="46"/>
    <n v="0.77196961446788603"/>
    <n v="1"/>
    <n v="-404"/>
    <n v="320"/>
  </r>
  <r>
    <x v="62"/>
    <s v="conventional_cashout_incentive_7"/>
    <x v="47"/>
    <n v="0.79418177251202804"/>
    <n v="1"/>
    <n v="-404"/>
    <n v="320"/>
  </r>
  <r>
    <x v="62"/>
    <s v="conventional_cashout_incentive_8"/>
    <x v="48"/>
    <n v="0.81670275044097795"/>
    <n v="1"/>
    <n v="-404"/>
    <n v="320"/>
  </r>
  <r>
    <x v="62"/>
    <s v="conventional_cashout_incentive_9"/>
    <x v="49"/>
    <n v="0.83959882456328905"/>
    <n v="1"/>
    <n v="-404"/>
    <n v="320"/>
  </r>
  <r>
    <x v="62"/>
    <s v="conventional_cashout_incentive_10"/>
    <x v="50"/>
    <n v="0.86293627118751204"/>
    <n v="1"/>
    <n v="-404"/>
    <n v="320"/>
  </r>
  <r>
    <x v="62"/>
    <s v="conventional_cashout_incentive_11"/>
    <x v="51"/>
    <n v="0.88678136662219997"/>
    <n v="1"/>
    <n v="-404"/>
    <n v="320"/>
  </r>
  <r>
    <x v="62"/>
    <s v="conventional_cashout_incentive_12"/>
    <x v="52"/>
    <n v="0.91120038717590501"/>
    <n v="1"/>
    <n v="-404"/>
    <n v="320"/>
  </r>
  <r>
    <x v="62"/>
    <s v="conventional_cashout_incentive_13"/>
    <x v="53"/>
    <n v="0.93625960915717799"/>
    <n v="1"/>
    <n v="-404"/>
    <n v="320"/>
  </r>
  <r>
    <x v="62"/>
    <s v="conventional_cashout_incentive_14"/>
    <x v="54"/>
    <n v="0.96202530887457205"/>
    <n v="1"/>
    <n v="-404"/>
    <n v="320"/>
  </r>
  <r>
    <x v="62"/>
    <s v="conventional_cashout_incentive_15"/>
    <x v="55"/>
    <n v="0.98856376263664003"/>
    <n v="1"/>
    <n v="-404"/>
    <n v="320"/>
  </r>
  <r>
    <x v="62"/>
    <s v="conventional_cashout_incentive_16"/>
    <x v="56"/>
    <n v="1.01594124675193"/>
    <n v="1"/>
    <n v="-404"/>
    <n v="320"/>
  </r>
  <r>
    <x v="62"/>
    <s v="conventional_cashout_incentive_17"/>
    <x v="57"/>
    <n v="1.0442240375289999"/>
    <n v="1"/>
    <n v="-404"/>
    <n v="320"/>
  </r>
  <r>
    <x v="62"/>
    <s v="conventional_cashout_incentive_18"/>
    <x v="58"/>
    <n v="1.0734784112764"/>
    <n v="1"/>
    <n v="-404"/>
    <n v="320"/>
  </r>
  <r>
    <x v="62"/>
    <s v="conventional_cashout_incentive_19"/>
    <x v="59"/>
    <n v="1.10377064430269"/>
    <n v="1"/>
    <n v="-404"/>
    <n v="320"/>
  </r>
  <r>
    <x v="62"/>
    <s v="conventional_cashout_incentive_20"/>
    <x v="60"/>
    <n v="1.1351670129164"/>
    <n v="1"/>
    <n v="-404"/>
    <n v="320"/>
  </r>
  <r>
    <x v="62"/>
    <s v="conventional_cashout_incentive_21"/>
    <x v="61"/>
    <n v="1.1677337934261001"/>
    <n v="1"/>
    <n v="-404"/>
    <n v="320"/>
  </r>
  <r>
    <x v="62"/>
    <s v="conventional_cashout_incentive_22"/>
    <x v="62"/>
    <n v="1.20153726214034"/>
    <n v="1"/>
    <n v="-404"/>
    <n v="320"/>
  </r>
  <r>
    <x v="62"/>
    <s v="conventional_cashout_incentive_23"/>
    <x v="63"/>
    <n v="1.23664369536767"/>
    <n v="1"/>
    <n v="-404"/>
    <n v="320"/>
  </r>
  <r>
    <x v="62"/>
    <s v="conventional_cashout_incentive_24"/>
    <x v="64"/>
    <n v="1.2731193694166401"/>
    <n v="1"/>
    <n v="-404"/>
    <n v="320"/>
  </r>
  <r>
    <x v="62"/>
    <s v="conventional_cashout_incentive_25"/>
    <x v="65"/>
    <n v="1.3110305605958099"/>
    <n v="1"/>
    <n v="-404"/>
    <n v="320"/>
  </r>
  <r>
    <x v="62"/>
    <s v="conventional_cashout_incentive_26"/>
    <x v="66"/>
    <n v="1.35044354521372"/>
    <n v="1"/>
    <n v="-404"/>
    <n v="320"/>
  </r>
  <r>
    <x v="62"/>
    <s v="conventional_cashout_incentive_27"/>
    <x v="67"/>
    <n v="1.39142459957894"/>
    <n v="1"/>
    <n v="-404"/>
    <n v="320"/>
  </r>
  <r>
    <x v="62"/>
    <s v="conventional_cashout_incentive_28"/>
    <x v="68"/>
    <n v="1.43404"/>
    <n v="1"/>
    <n v="-404"/>
    <n v="320"/>
  </r>
  <r>
    <x v="62"/>
    <s v="conventional_cashout_incentive_29"/>
    <x v="69"/>
    <n v="1.47852172082484"/>
    <n v="1"/>
    <n v="-404"/>
    <n v="320"/>
  </r>
  <r>
    <x v="62"/>
    <s v="conventional_cashout_incentive_30"/>
    <x v="70"/>
    <n v="1.52497761594269"/>
    <n v="1"/>
    <n v="-404"/>
    <n v="320"/>
  </r>
  <r>
    <x v="62"/>
    <s v="conventional_cashout_incentive_31"/>
    <x v="71"/>
    <n v="1.57328778097406"/>
    <n v="1"/>
    <n v="-404"/>
    <n v="320"/>
  </r>
  <r>
    <x v="62"/>
    <s v="conventional_cashout_incentive_32"/>
    <x v="72"/>
    <n v="1.62333231153945"/>
    <n v="1"/>
    <n v="-404"/>
    <n v="320"/>
  </r>
  <r>
    <x v="62"/>
    <s v="conventional_cashout_incentive_33"/>
    <x v="73"/>
    <n v="1.6749913032593899"/>
    <n v="1"/>
    <n v="-404"/>
    <n v="320"/>
  </r>
  <r>
    <x v="62"/>
    <s v="conventional_cashout_incentive_34"/>
    <x v="74"/>
    <n v="1.72814485175437"/>
    <n v="1"/>
    <n v="-404"/>
    <n v="320"/>
  </r>
  <r>
    <x v="62"/>
    <s v="conventional_cashout_incentive_35"/>
    <x v="75"/>
    <n v="1.7826730526449099"/>
    <n v="1"/>
    <n v="-404"/>
    <n v="320"/>
  </r>
  <r>
    <x v="62"/>
    <s v="conventional_cashout_incentive_36"/>
    <x v="76"/>
    <n v="1.8384560015515199"/>
    <n v="1"/>
    <n v="-404"/>
    <n v="320"/>
  </r>
  <r>
    <x v="62"/>
    <s v="conventional_cashout_incentive_37"/>
    <x v="77"/>
    <n v="1.89537379409471"/>
    <n v="1"/>
    <n v="-404"/>
    <n v="320"/>
  </r>
  <r>
    <x v="62"/>
    <s v="conventional_cashout_incentive_38"/>
    <x v="78"/>
    <n v="1.953306525895"/>
    <n v="1"/>
    <n v="-404"/>
    <n v="320"/>
  </r>
  <r>
    <x v="62"/>
    <s v="conventional_cashout_incentive_39"/>
    <x v="79"/>
    <n v="2.0121342925728798"/>
    <n v="1"/>
    <n v="-404"/>
    <n v="320"/>
  </r>
  <r>
    <x v="62"/>
    <s v="conventional_cashout_incentive_40"/>
    <x v="80"/>
    <n v="2.0717371897488701"/>
    <n v="1"/>
    <n v="-404"/>
    <n v="320"/>
  </r>
  <r>
    <x v="62"/>
    <s v="conventional_cashout_incentive_41"/>
    <x v="81"/>
    <n v="2.1319953130434799"/>
    <n v="1"/>
    <n v="-404"/>
    <n v="320"/>
  </r>
  <r>
    <x v="62"/>
    <s v="conventional_cashout_incentive_42"/>
    <x v="82"/>
    <n v="2.1927887580772198"/>
    <n v="1"/>
    <n v="-404"/>
    <n v="320"/>
  </r>
  <r>
    <x v="62"/>
    <s v="conventional_cashout_incentive_43"/>
    <x v="83"/>
    <n v="2.2539976204705998"/>
    <n v="1"/>
    <n v="-404"/>
    <n v="320"/>
  </r>
  <r>
    <x v="62"/>
    <s v="conventional_cashout_incentive_44"/>
    <x v="84"/>
    <n v="2.3155019958441398"/>
    <n v="1"/>
    <n v="-404"/>
    <n v="320"/>
  </r>
  <r>
    <x v="62"/>
    <s v="conventional_cashout_incentive_45"/>
    <x v="85"/>
    <n v="2.3771819798183298"/>
    <n v="1"/>
    <n v="-404"/>
    <n v="320"/>
  </r>
  <r>
    <x v="62"/>
    <s v="conventional_cashout_incentive_46"/>
    <x v="86"/>
    <n v="2.4389176680136901"/>
    <n v="1"/>
    <n v="-404"/>
    <n v="320"/>
  </r>
  <r>
    <x v="62"/>
    <s v="conventional_cashout_incentive_47"/>
    <x v="87"/>
    <n v="2.5005891560507401"/>
    <n v="1"/>
    <n v="-404"/>
    <n v="320"/>
  </r>
  <r>
    <x v="62"/>
    <s v="conventional_cashout_incentive_48"/>
    <x v="88"/>
    <n v="2.56207653954998"/>
    <n v="1"/>
    <n v="-404"/>
    <n v="320"/>
  </r>
  <r>
    <x v="62"/>
    <s v="conventional_cashout_incentive_49"/>
    <x v="89"/>
    <n v="2.6232599141319199"/>
    <n v="1"/>
    <n v="-404"/>
    <n v="320"/>
  </r>
  <r>
    <x v="62"/>
    <s v="conventional_cashout_incentive_50"/>
    <x v="90"/>
    <n v="2.68401937541707"/>
    <n v="1"/>
    <n v="-404"/>
    <n v="320"/>
  </r>
  <r>
    <x v="62"/>
    <s v="conventional_cashout_incentive_51"/>
    <x v="91"/>
    <n v="2.7442350190259401"/>
    <n v="1"/>
    <n v="-404"/>
    <n v="320"/>
  </r>
  <r>
    <x v="62"/>
    <s v="conventional_cashout_incentive_52"/>
    <x v="92"/>
    <n v="2.8037869405790499"/>
    <n v="1"/>
    <n v="-404"/>
    <n v="320"/>
  </r>
  <r>
    <x v="62"/>
    <s v="conventional_cashout_incentive_53"/>
    <x v="93"/>
    <n v="2.8625552356969002"/>
    <n v="1"/>
    <n v="-404"/>
    <n v="320"/>
  </r>
  <r>
    <x v="62"/>
    <s v="conventional_cashout_incentive_54"/>
    <x v="94"/>
    <n v="2.92042"/>
    <n v="1"/>
    <n v="-404"/>
    <n v="320"/>
  </r>
  <r>
    <x v="62"/>
    <s v="conventional_cashout_incentive_55"/>
    <x v="95"/>
    <n v="2.9778016069169202"/>
    <n v="1"/>
    <n v="-404"/>
    <n v="320"/>
  </r>
  <r>
    <x v="62"/>
    <s v="conventional_cashout_incentive_56"/>
    <x v="96"/>
    <n v="3.0352003005661499"/>
    <n v="1"/>
    <n v="-404"/>
    <n v="320"/>
  </r>
  <r>
    <x v="62"/>
    <s v="conventional_cashout_incentive_57"/>
    <x v="97"/>
    <n v="3.0926159826030801"/>
    <n v="1"/>
    <n v="-404"/>
    <n v="320"/>
  </r>
  <r>
    <x v="62"/>
    <s v="conventional_cashout_incentive_58"/>
    <x v="98"/>
    <n v="3.1500485546830799"/>
    <n v="1"/>
    <n v="-404"/>
    <n v="320"/>
  </r>
  <r>
    <x v="62"/>
    <s v="conventional_cashout_incentive_59"/>
    <x v="99"/>
    <n v="3.2074979184615402"/>
    <n v="1"/>
    <n v="-404"/>
    <n v="320"/>
  </r>
  <r>
    <x v="62"/>
    <s v="conventional_cashout_incentive_60"/>
    <x v="100"/>
    <n v="3.26496397559385"/>
    <n v="1"/>
    <n v="-404"/>
    <n v="320"/>
  </r>
  <r>
    <x v="62"/>
    <s v="conventional_cashout_incentive_61"/>
    <x v="101"/>
    <n v="3.3224466277353799"/>
    <n v="1"/>
    <n v="-404"/>
    <n v="320"/>
  </r>
  <r>
    <x v="62"/>
    <s v="conventional_cashout_incentive_62"/>
    <x v="102"/>
    <n v="3.3799457765415402"/>
    <n v="1"/>
    <n v="-404"/>
    <n v="320"/>
  </r>
  <r>
    <x v="62"/>
    <s v="conventional_cashout_incentive_63"/>
    <x v="103"/>
    <n v="3.4374613236676899"/>
    <n v="1"/>
    <n v="-404"/>
    <n v="320"/>
  </r>
  <r>
    <x v="62"/>
    <s v="conventional_cashout_incentive_64"/>
    <x v="104"/>
    <n v="3.4949931707692299"/>
    <n v="1"/>
    <n v="-404"/>
    <n v="320"/>
  </r>
  <r>
    <x v="62"/>
    <s v="conventional_cashout_incentive_65"/>
    <x v="105"/>
    <n v="3.5525412195015398"/>
    <n v="1"/>
    <n v="-404"/>
    <n v="320"/>
  </r>
  <r>
    <x v="62"/>
    <s v="conventional_cashout_incentive_66"/>
    <x v="106"/>
    <n v="3.61010537152"/>
    <n v="1"/>
    <n v="-404"/>
    <n v="320"/>
  </r>
  <r>
    <x v="62"/>
    <s v="conventional_cashout_incentive_67"/>
    <x v="107"/>
    <n v="3.6676855284799998"/>
    <n v="1"/>
    <n v="-404"/>
    <n v="320"/>
  </r>
  <r>
    <x v="62"/>
    <s v="conventional_cashout_incentive_68"/>
    <x v="108"/>
    <n v="3.7252815920369202"/>
    <n v="1"/>
    <n v="-404"/>
    <n v="320"/>
  </r>
  <r>
    <x v="62"/>
    <s v="conventional_cashout_incentive_69"/>
    <x v="109"/>
    <n v="3.78289346384615"/>
    <n v="1"/>
    <n v="-404"/>
    <n v="320"/>
  </r>
  <r>
    <x v="62"/>
    <s v="conventional_cashout_incentive_70"/>
    <x v="110"/>
    <n v="3.8405210455630798"/>
    <n v="1"/>
    <n v="-404"/>
    <n v="320"/>
  </r>
  <r>
    <x v="62"/>
    <s v="conventional_cashout_incentive_71"/>
    <x v="111"/>
    <n v="3.8981642388430799"/>
    <n v="1"/>
    <n v="-404"/>
    <n v="320"/>
  </r>
  <r>
    <x v="62"/>
    <s v="conventional_cashout_incentive_72"/>
    <x v="112"/>
    <n v="3.9558229453415401"/>
    <n v="1"/>
    <n v="-404"/>
    <n v="320"/>
  </r>
  <r>
    <x v="62"/>
    <s v="conventional_cashout_incentive_73"/>
    <x v="113"/>
    <n v="4.0134970667138496"/>
    <n v="1"/>
    <n v="-404"/>
    <n v="320"/>
  </r>
  <r>
    <x v="62"/>
    <s v="conventional_cashout_incentive_74"/>
    <x v="114"/>
    <n v="4.0711865046153903"/>
    <n v="1"/>
    <n v="-404"/>
    <n v="320"/>
  </r>
  <r>
    <x v="62"/>
    <s v="conventional_cashout_incentive_75"/>
    <x v="115"/>
    <n v="4.1288911607015404"/>
    <n v="1"/>
    <n v="-404"/>
    <n v="320"/>
  </r>
  <r>
    <x v="62"/>
    <s v="conventional_cashout_incentive_76"/>
    <x v="116"/>
    <n v="4.18661093662769"/>
    <n v="1"/>
    <n v="-404"/>
    <n v="320"/>
  </r>
  <r>
    <x v="62"/>
    <s v="conventional_cashout_incentive_77"/>
    <x v="117"/>
    <n v="4.2443457340492303"/>
    <n v="1"/>
    <n v="-404"/>
    <n v="320"/>
  </r>
  <r>
    <x v="62"/>
    <s v="conventional_cashout_incentive_78"/>
    <x v="118"/>
    <n v="4.30209545462154"/>
    <n v="1"/>
    <n v="-404"/>
    <n v="320"/>
  </r>
  <r>
    <x v="62"/>
    <s v="conventional_cashout_incentive_79"/>
    <x v="119"/>
    <n v="4.3598600000000003"/>
    <n v="1"/>
    <n v="-404"/>
    <n v="320"/>
  </r>
  <r>
    <x v="62"/>
    <s v="conventional_cashout_incentive_80"/>
    <x v="120"/>
    <n v="4.4176401276909703"/>
    <n v="1"/>
    <n v="-404"/>
    <n v="320"/>
  </r>
  <r>
    <x v="62"/>
    <s v="conventional_cashout_incentive_81"/>
    <x v="121"/>
    <n v="4.4754366423611103"/>
    <n v="1"/>
    <n v="-404"/>
    <n v="320"/>
  </r>
  <r>
    <x v="62"/>
    <s v="conventional_cashout_incentive_82"/>
    <x v="122"/>
    <n v="4.5332495164062498"/>
    <n v="1"/>
    <n v="-404"/>
    <n v="320"/>
  </r>
  <r>
    <x v="62"/>
    <s v="conventional_cashout_incentive_83"/>
    <x v="123"/>
    <n v="4.5910787222222202"/>
    <n v="1"/>
    <n v="-404"/>
    <n v="320"/>
  </r>
  <r>
    <x v="62"/>
    <s v="conventional_cashout_incentive_84"/>
    <x v="124"/>
    <n v="4.6489242322048598"/>
    <n v="1"/>
    <n v="-404"/>
    <n v="320"/>
  </r>
  <r>
    <x v="62"/>
    <s v="conventional_cashout_incentive_85"/>
    <x v="125"/>
    <n v="4.7067860187499999"/>
    <n v="1"/>
    <n v="-404"/>
    <n v="320"/>
  </r>
  <r>
    <x v="62"/>
    <s v="conventional_cashout_incentive_86"/>
    <x v="126"/>
    <n v="4.7646640542534699"/>
    <n v="1"/>
    <n v="-404"/>
    <n v="320"/>
  </r>
  <r>
    <x v="62"/>
    <s v="conventional_cashout_incentive_87"/>
    <x v="127"/>
    <n v="4.8225583111111101"/>
    <n v="1"/>
    <n v="-404"/>
    <n v="320"/>
  </r>
  <r>
    <x v="62"/>
    <s v="conventional_cashout_incentive_88"/>
    <x v="128"/>
    <n v="4.8804687617187499"/>
    <n v="1"/>
    <n v="-404"/>
    <n v="320"/>
  </r>
  <r>
    <x v="62"/>
    <s v="conventional_cashout_incentive_89"/>
    <x v="129"/>
    <n v="4.9383953784722197"/>
    <n v="1"/>
    <n v="-404"/>
    <n v="320"/>
  </r>
  <r>
    <x v="62"/>
    <s v="conventional_cashout_incentive_90"/>
    <x v="130"/>
    <n v="4.9963381337673596"/>
    <n v="1"/>
    <n v="-404"/>
    <n v="320"/>
  </r>
  <r>
    <x v="62"/>
    <s v="conventional_cashout_incentive_91"/>
    <x v="131"/>
    <n v="5.054297"/>
    <n v="1"/>
    <n v="-404"/>
    <n v="320"/>
  </r>
  <r>
    <x v="62"/>
    <s v="conventional_cashout_incentive_92"/>
    <x v="132"/>
    <n v="5.1122719495659696"/>
    <n v="1"/>
    <n v="-404"/>
    <n v="320"/>
  </r>
  <r>
    <x v="62"/>
    <s v="conventional_cashout_incentive_93"/>
    <x v="133"/>
    <n v="5.1702629548611103"/>
    <n v="1"/>
    <n v="-404"/>
    <n v="320"/>
  </r>
  <r>
    <x v="62"/>
    <s v="conventional_cashout_incentive_94"/>
    <x v="134"/>
    <n v="5.2282699882812498"/>
    <n v="1"/>
    <n v="-404"/>
    <n v="320"/>
  </r>
  <r>
    <x v="62"/>
    <s v="conventional_cashout_incentive_95"/>
    <x v="135"/>
    <n v="5.2862930222222202"/>
    <n v="1"/>
    <n v="-404"/>
    <n v="320"/>
  </r>
  <r>
    <x v="62"/>
    <s v="conventional_cashout_incentive_96"/>
    <x v="136"/>
    <n v="5.3443320290798599"/>
    <n v="1"/>
    <n v="-404"/>
    <n v="320"/>
  </r>
  <r>
    <x v="62"/>
    <s v="conventional_cashout_incentive_97"/>
    <x v="137"/>
    <n v="5.4023869812500003"/>
    <n v="1"/>
    <n v="-404"/>
    <n v="320"/>
  </r>
  <r>
    <x v="62"/>
    <s v="conventional_cashout_incentive_98"/>
    <x v="138"/>
    <n v="5.4604578511284698"/>
    <n v="1"/>
    <n v="-404"/>
    <n v="320"/>
  </r>
  <r>
    <x v="62"/>
    <s v="conventional_cashout_incentive_99"/>
    <x v="139"/>
    <n v="5.5185446111111096"/>
    <n v="1"/>
    <n v="-404"/>
    <n v="320"/>
  </r>
  <r>
    <x v="62"/>
    <s v="conventional_cashout_incentive_100"/>
    <x v="140"/>
    <n v="5.57664723359375"/>
    <n v="1"/>
    <n v="-404"/>
    <n v="320"/>
  </r>
  <r>
    <x v="62"/>
    <s v="conventional_cashout_incentive_101"/>
    <x v="141"/>
    <n v="5.6347656909722197"/>
    <n v="1"/>
    <n v="-404"/>
    <n v="320"/>
  </r>
  <r>
    <x v="62"/>
    <s v="conventional_cashout_incentive_102"/>
    <x v="142"/>
    <n v="5.6928999556423596"/>
    <n v="1"/>
    <n v="-404"/>
    <n v="320"/>
  </r>
  <r>
    <x v="62"/>
    <s v="conventional_cashout_incentive_103"/>
    <x v="143"/>
    <n v="5.7510500000000002"/>
    <n v="1"/>
    <n v="-404"/>
    <n v="320"/>
  </r>
  <r>
    <x v="62"/>
    <s v="conventional_cashout_incentive_104"/>
    <x v="144"/>
    <n v="5.8092156886400002"/>
    <n v="1"/>
    <n v="-404"/>
    <n v="320"/>
  </r>
  <r>
    <x v="62"/>
    <s v="conventional_cashout_incentive_105"/>
    <x v="145"/>
    <n v="5.8673968884533299"/>
    <n v="1"/>
    <n v="-404"/>
    <n v="320"/>
  </r>
  <r>
    <x v="62"/>
    <s v="conventional_cashout_incentive_106"/>
    <x v="146"/>
    <n v="5.9255935752799997"/>
    <n v="1"/>
    <n v="-404"/>
    <n v="320"/>
  </r>
  <r>
    <x v="62"/>
    <s v="conventional_cashout_incentive_107"/>
    <x v="147"/>
    <n v="5.9838057249599998"/>
    <n v="1"/>
    <n v="-404"/>
    <n v="320"/>
  </r>
  <r>
    <x v="62"/>
    <s v="conventional_cashout_incentive_108"/>
    <x v="148"/>
    <n v="6.0420333133333299"/>
    <n v="1"/>
    <n v="-404"/>
    <n v="320"/>
  </r>
  <r>
    <x v="62"/>
    <s v="conventional_cashout_incentive_109"/>
    <x v="149"/>
    <n v="6.1002763162400004"/>
    <n v="1"/>
    <n v="-404"/>
    <n v="320"/>
  </r>
  <r>
    <x v="62"/>
    <s v="conventional_cashout_incentive_110"/>
    <x v="150"/>
    <n v="6.1585347095199996"/>
    <n v="1"/>
    <n v="-404"/>
    <n v="320"/>
  </r>
  <r>
    <x v="62"/>
    <s v="conventional_cashout_incentive_111"/>
    <x v="151"/>
    <n v="6.2168084690133298"/>
    <n v="1"/>
    <n v="-404"/>
    <n v="320"/>
  </r>
  <r>
    <x v="62"/>
    <s v="conventional_cashout_incentive_112"/>
    <x v="152"/>
    <n v="6.2750975705599998"/>
    <n v="1"/>
    <n v="-404"/>
    <n v="320"/>
  </r>
  <r>
    <x v="62"/>
    <s v="conventional_cashout_incentive_113"/>
    <x v="153"/>
    <n v="6.3334019899999996"/>
    <n v="1"/>
    <n v="-404"/>
    <n v="320"/>
  </r>
  <r>
    <x v="62"/>
    <s v="conventional_cashout_incentive_114"/>
    <x v="154"/>
    <n v="6.3917217031733298"/>
    <n v="1"/>
    <n v="-404"/>
    <n v="320"/>
  </r>
  <r>
    <x v="62"/>
    <s v="conventional_cashout_incentive_115"/>
    <x v="155"/>
    <n v="6.4500566859199999"/>
    <n v="1"/>
    <n v="-404"/>
    <n v="320"/>
  </r>
  <r>
    <x v="62"/>
    <s v="conventional_cashout_incentive_116"/>
    <x v="156"/>
    <n v="6.50840691408"/>
    <n v="1"/>
    <n v="-404"/>
    <n v="320"/>
  </r>
  <r>
    <x v="62"/>
    <s v="conventional_cashout_incentive_117"/>
    <x v="157"/>
    <n v="6.5667723634933299"/>
    <n v="1"/>
    <n v="-404"/>
    <n v="320"/>
  </r>
  <r>
    <x v="62"/>
    <s v="conventional_cashout_incentive_118"/>
    <x v="158"/>
    <n v="6.62515301"/>
    <n v="1"/>
    <n v="-404"/>
    <n v="320"/>
  </r>
  <r>
    <x v="62"/>
    <s v="conventional_cashout_incentive_119"/>
    <x v="159"/>
    <n v="6.6835488294400003"/>
    <n v="1"/>
    <n v="-404"/>
    <n v="320"/>
  </r>
  <r>
    <x v="62"/>
    <s v="conventional_cashout_incentive_120"/>
    <x v="160"/>
    <n v="6.7419597976533296"/>
    <n v="1"/>
    <n v="-404"/>
    <n v="320"/>
  </r>
  <r>
    <x v="62"/>
    <s v="conventional_cashout_incentive_121"/>
    <x v="161"/>
    <n v="6.8003858904800003"/>
    <n v="1"/>
    <n v="-404"/>
    <n v="320"/>
  </r>
  <r>
    <x v="62"/>
    <s v="conventional_cashout_incentive_122"/>
    <x v="162"/>
    <n v="6.8588270837599996"/>
    <n v="1"/>
    <n v="-404"/>
    <n v="320"/>
  </r>
  <r>
    <x v="62"/>
    <s v="conventional_cashout_incentive_123"/>
    <x v="163"/>
    <n v="6.91728335333333"/>
    <n v="1"/>
    <n v="-404"/>
    <n v="320"/>
  </r>
  <r>
    <x v="62"/>
    <s v="conventional_cashout_incentive_124"/>
    <x v="164"/>
    <n v="6.9757546750400001"/>
    <n v="1"/>
    <n v="-404"/>
    <n v="320"/>
  </r>
  <r>
    <x v="62"/>
    <s v="conventional_cashout_incentive_125"/>
    <x v="165"/>
    <n v="7.03424102472"/>
    <n v="1"/>
    <n v="-404"/>
    <n v="320"/>
  </r>
  <r>
    <x v="62"/>
    <s v="conventional_cashout_incentive_126"/>
    <x v="166"/>
    <n v="7.0927423782133303"/>
    <n v="1"/>
    <n v="-404"/>
    <n v="320"/>
  </r>
  <r>
    <x v="62"/>
    <s v="conventional_cashout_incentive_127"/>
    <x v="167"/>
    <n v="7.1512587113599997"/>
    <n v="1"/>
    <n v="-404"/>
    <n v="320"/>
  </r>
  <r>
    <x v="62"/>
    <s v="conventional_cashout_incentive_128"/>
    <x v="168"/>
    <n v="7.2097899999999999"/>
    <n v="1"/>
    <n v="-404"/>
    <n v="320"/>
  </r>
  <r>
    <x v="62"/>
    <s v="conventional_cashout_incentive_129"/>
    <x v="169"/>
    <n v="7.2699453133536798"/>
    <n v="1"/>
    <n v="-404"/>
    <n v="320"/>
  </r>
  <r>
    <x v="62"/>
    <s v="conventional_cashout_incentive_130"/>
    <x v="170"/>
    <n v="7.33305396745709"/>
    <n v="1"/>
    <n v="-404"/>
    <n v="320"/>
  </r>
  <r>
    <x v="62"/>
    <s v="conventional_cashout_incentive_131"/>
    <x v="171"/>
    <n v="7.3986963083737498"/>
    <n v="1"/>
    <n v="-404"/>
    <n v="320"/>
  </r>
  <r>
    <x v="62"/>
    <s v="conventional_cashout_incentive_132"/>
    <x v="172"/>
    <n v="7.4664526821671897"/>
    <n v="1"/>
    <n v="-404"/>
    <n v="320"/>
  </r>
  <r>
    <x v="62"/>
    <s v="conventional_cashout_incentive_133"/>
    <x v="173"/>
    <n v="7.5359034349009502"/>
    <n v="1"/>
    <n v="-404"/>
    <n v="320"/>
  </r>
  <r>
    <x v="62"/>
    <s v="conventional_cashout_incentive_134"/>
    <x v="174"/>
    <n v="7.60662891263856"/>
    <n v="1"/>
    <n v="-404"/>
    <n v="320"/>
  </r>
  <r>
    <x v="62"/>
    <s v="conventional_cashout_incentive_135"/>
    <x v="175"/>
    <n v="7.6782094614435499"/>
    <n v="1"/>
    <n v="-404"/>
    <n v="320"/>
  </r>
  <r>
    <x v="62"/>
    <s v="conventional_cashout_incentive_136"/>
    <x v="176"/>
    <n v="7.7502254273794504"/>
    <n v="1"/>
    <n v="-404"/>
    <n v="320"/>
  </r>
  <r>
    <x v="62"/>
    <s v="conventional_cashout_incentive_137"/>
    <x v="177"/>
    <n v="7.8222571565098002"/>
    <n v="1"/>
    <n v="-404"/>
    <n v="320"/>
  </r>
  <r>
    <x v="62"/>
    <s v="conventional_cashout_incentive_138"/>
    <x v="178"/>
    <n v="7.8938849948981202"/>
    <n v="1"/>
    <n v="-404"/>
    <n v="320"/>
  </r>
  <r>
    <x v="62"/>
    <s v="conventional_cashout_incentive_139"/>
    <x v="179"/>
    <n v="7.9646892886079499"/>
    <n v="1"/>
    <n v="-404"/>
    <n v="320"/>
  </r>
  <r>
    <x v="62"/>
    <s v="conventional_cashout_incentive_140"/>
    <x v="180"/>
    <n v="8.0342503837028207"/>
    <n v="1"/>
    <n v="-404"/>
    <n v="320"/>
  </r>
  <r>
    <x v="62"/>
    <s v="conventional_cashout_incentive_141"/>
    <x v="181"/>
    <n v="8.1021486262462599"/>
    <n v="1"/>
    <n v="-404"/>
    <n v="320"/>
  </r>
  <r>
    <x v="62"/>
    <s v="conventional_cashout_incentive_142"/>
    <x v="182"/>
    <n v="8.1679643623018094"/>
    <n v="1"/>
    <n v="-404"/>
    <n v="320"/>
  </r>
  <r>
    <x v="62"/>
    <s v="conventional_cashout_incentive_143"/>
    <x v="183"/>
    <n v="8.2312779379329903"/>
    <n v="1"/>
    <n v="-404"/>
    <n v="320"/>
  </r>
  <r>
    <x v="62"/>
    <s v="conventional_cashout_incentive_144"/>
    <x v="184"/>
    <n v="8.2916696992033394"/>
    <n v="1"/>
    <n v="-404"/>
    <n v="320"/>
  </r>
  <r>
    <x v="62"/>
    <s v="conventional_cashout_incentive_145"/>
    <x v="185"/>
    <n v="8.3487199921763899"/>
    <n v="1"/>
    <n v="-404"/>
    <n v="320"/>
  </r>
  <r>
    <x v="62"/>
    <s v="conventional_cashout_incentive_146"/>
    <x v="186"/>
    <n v="8.4020091629156699"/>
    <n v="1"/>
    <n v="-404"/>
    <n v="320"/>
  </r>
  <r>
    <x v="62"/>
    <s v="conventional_cashout_incentive_147"/>
    <x v="187"/>
    <n v="8.4511175574847197"/>
    <n v="1"/>
    <n v="-404"/>
    <n v="320"/>
  </r>
  <r>
    <x v="62"/>
    <s v="conventional_cashout_incentive_148"/>
    <x v="188"/>
    <n v="8.4956255219470496"/>
    <n v="1"/>
    <n v="-404"/>
    <n v="320"/>
  </r>
  <r>
    <x v="62"/>
    <s v="conventional_cashout_incentive_149"/>
    <x v="189"/>
    <n v="8.5351134023662194"/>
    <n v="1"/>
    <n v="-404"/>
    <n v="320"/>
  </r>
  <r>
    <x v="62"/>
    <s v="conventional_cashout_incentive_150"/>
    <x v="190"/>
    <n v="8.5691615448057501"/>
    <n v="1"/>
    <n v="-404"/>
    <n v="320"/>
  </r>
  <r>
    <x v="62"/>
    <s v="conventional_cashout_incentive_151"/>
    <x v="191"/>
    <n v="8.5973502953291607"/>
    <n v="1"/>
    <n v="-404"/>
    <n v="320"/>
  </r>
  <r>
    <x v="62"/>
    <s v="conventional_cashout_incentive_152"/>
    <x v="192"/>
    <n v="8.6192600000000006"/>
    <n v="1"/>
    <n v="-404"/>
    <n v="320"/>
  </r>
  <r>
    <x v="62"/>
    <s v="conventional_cashout_incentive_153"/>
    <x v="193"/>
    <n v="8.6374812335063904"/>
    <n v="1"/>
    <n v="-404"/>
    <n v="320"/>
  </r>
  <r>
    <x v="62"/>
    <s v="conventional_cashout_incentive_154"/>
    <x v="194"/>
    <n v="8.6548964938299502"/>
    <n v="1"/>
    <n v="-404"/>
    <n v="320"/>
  </r>
  <r>
    <x v="62"/>
    <s v="conventional_cashout_incentive_155"/>
    <x v="195"/>
    <n v="8.6715240119744301"/>
    <n v="1"/>
    <n v="-404"/>
    <n v="320"/>
  </r>
  <r>
    <x v="62"/>
    <s v="conventional_cashout_incentive_156"/>
    <x v="196"/>
    <n v="8.6873820189435804"/>
    <n v="1"/>
    <n v="-404"/>
    <n v="320"/>
  </r>
  <r>
    <x v="62"/>
    <s v="conventional_cashout_incentive_157"/>
    <x v="197"/>
    <n v="8.7024887457411406"/>
    <n v="1"/>
    <n v="-404"/>
    <n v="320"/>
  </r>
  <r>
    <x v="62"/>
    <s v="conventional_cashout_incentive_158"/>
    <x v="198"/>
    <n v="8.7168624233708805"/>
    <n v="1"/>
    <n v="-404"/>
    <n v="320"/>
  </r>
  <r>
    <x v="62"/>
    <s v="conventional_cashout_incentive_159"/>
    <x v="199"/>
    <n v="8.7305212828365306"/>
    <n v="1"/>
    <n v="-404"/>
    <n v="320"/>
  </r>
  <r>
    <x v="62"/>
    <s v="conventional_cashout_incentive_160"/>
    <x v="200"/>
    <n v="8.7434835551418502"/>
    <n v="1"/>
    <n v="-404"/>
    <n v="320"/>
  </r>
  <r>
    <x v="62"/>
    <s v="conventional_cashout_incentive_161"/>
    <x v="201"/>
    <n v="8.7557674712905893"/>
    <n v="1"/>
    <n v="-404"/>
    <n v="320"/>
  </r>
  <r>
    <x v="62"/>
    <s v="conventional_cashout_incentive_162"/>
    <x v="202"/>
    <n v="8.7673912622864894"/>
    <n v="1"/>
    <n v="-404"/>
    <n v="320"/>
  </r>
  <r>
    <x v="62"/>
    <s v="conventional_cashout_incentive_163"/>
    <x v="203"/>
    <n v="8.7783731591333307"/>
    <n v="1"/>
    <n v="-404"/>
    <n v="320"/>
  </r>
  <r>
    <x v="62"/>
    <s v="conventional_cashout_incentive_164"/>
    <x v="204"/>
    <n v="8.7887313928348192"/>
    <n v="1"/>
    <n v="-404"/>
    <n v="320"/>
  </r>
  <r>
    <x v="62"/>
    <s v="conventional_cashout_incentive_165"/>
    <x v="205"/>
    <n v="8.7984841943947405"/>
    <n v="1"/>
    <n v="-404"/>
    <n v="320"/>
  </r>
  <r>
    <x v="62"/>
    <s v="conventional_cashout_incentive_166"/>
    <x v="206"/>
    <n v="8.8076497948168306"/>
    <n v="1"/>
    <n v="-404"/>
    <n v="320"/>
  </r>
  <r>
    <x v="62"/>
    <s v="conventional_cashout_incentive_167"/>
    <x v="207"/>
    <n v="8.8162464251048505"/>
    <n v="1"/>
    <n v="-404"/>
    <n v="320"/>
  </r>
  <r>
    <x v="62"/>
    <s v="conventional_cashout_incentive_168"/>
    <x v="208"/>
    <n v="8.8242923162625306"/>
    <n v="1"/>
    <n v="-404"/>
    <n v="320"/>
  </r>
  <r>
    <x v="62"/>
    <s v="conventional_cashout_incentive_169"/>
    <x v="209"/>
    <n v="8.8318056992936302"/>
    <n v="1"/>
    <n v="-404"/>
    <n v="320"/>
  </r>
  <r>
    <x v="62"/>
    <s v="conventional_cashout_incentive_170"/>
    <x v="210"/>
    <n v="8.8388048052019101"/>
    <n v="1"/>
    <n v="-404"/>
    <n v="320"/>
  </r>
  <r>
    <x v="62"/>
    <s v="conventional_cashout_incentive_171"/>
    <x v="211"/>
    <n v="8.8453078649911099"/>
    <n v="1"/>
    <n v="-404"/>
    <n v="320"/>
  </r>
  <r>
    <x v="62"/>
    <s v="conventional_cashout_incentive_172"/>
    <x v="212"/>
    <n v="8.8513331096649797"/>
    <n v="1"/>
    <n v="-404"/>
    <n v="320"/>
  </r>
  <r>
    <x v="62"/>
    <s v="conventional_cashout_incentive_173"/>
    <x v="213"/>
    <n v="8.8568987702272803"/>
    <n v="1"/>
    <n v="-404"/>
    <n v="320"/>
  </r>
  <r>
    <x v="62"/>
    <s v="conventional_cashout_incentive_174"/>
    <x v="214"/>
    <n v="8.8620230776817408"/>
    <n v="1"/>
    <n v="-404"/>
    <n v="320"/>
  </r>
  <r>
    <x v="62"/>
    <s v="conventional_cashout_incentive_175"/>
    <x v="215"/>
    <n v="8.8667242630321308"/>
    <n v="1"/>
    <n v="-404"/>
    <n v="320"/>
  </r>
  <r>
    <x v="62"/>
    <s v="conventional_cashout_incentive_176"/>
    <x v="216"/>
    <n v="8.8710205572822005"/>
    <n v="1"/>
    <n v="-404"/>
    <n v="320"/>
  </r>
  <r>
    <x v="62"/>
    <s v="conventional_cashout_incentive_177"/>
    <x v="217"/>
    <n v="8.8749301914356895"/>
    <n v="1"/>
    <n v="-404"/>
    <n v="320"/>
  </r>
  <r>
    <x v="62"/>
    <s v="conventional_cashout_incentive_178"/>
    <x v="218"/>
    <n v="8.8784713964963498"/>
    <n v="1"/>
    <n v="-404"/>
    <n v="320"/>
  </r>
  <r>
    <x v="62"/>
    <s v="conventional_cashout_incentive_179"/>
    <x v="219"/>
    <n v="8.8816624034679403"/>
    <n v="1"/>
    <n v="-404"/>
    <n v="320"/>
  </r>
  <r>
    <x v="62"/>
    <s v="conventional_cashout_incentive_180"/>
    <x v="220"/>
    <n v="8.8845214433542008"/>
    <n v="1"/>
    <n v="-404"/>
    <n v="320"/>
  </r>
  <r>
    <x v="62"/>
    <s v="conventional_cashout_incentive_181"/>
    <x v="221"/>
    <n v="8.8870667471588902"/>
    <n v="1"/>
    <n v="-404"/>
    <n v="320"/>
  </r>
  <r>
    <x v="62"/>
    <s v="conventional_cashout_incentive_182"/>
    <x v="222"/>
    <n v="8.8893165458857606"/>
    <n v="1"/>
    <n v="-404"/>
    <n v="320"/>
  </r>
  <r>
    <x v="62"/>
    <s v="conventional_cashout_incentive_183"/>
    <x v="223"/>
    <n v="8.8912890705385497"/>
    <n v="1"/>
    <n v="-404"/>
    <n v="320"/>
  </r>
  <r>
    <x v="62"/>
    <s v="conventional_cashout_incentive_184"/>
    <x v="224"/>
    <n v="8.8930025521210094"/>
    <n v="1"/>
    <n v="-404"/>
    <n v="320"/>
  </r>
  <r>
    <x v="62"/>
    <s v="conventional_cashout_incentive_185"/>
    <x v="225"/>
    <n v="8.8944752216369096"/>
    <n v="1"/>
    <n v="-404"/>
    <n v="320"/>
  </r>
  <r>
    <x v="62"/>
    <s v="conventional_cashout_incentive_186"/>
    <x v="226"/>
    <n v="8.8957253100899791"/>
    <n v="1"/>
    <n v="-404"/>
    <n v="320"/>
  </r>
  <r>
    <x v="62"/>
    <s v="conventional_cashout_incentive_187"/>
    <x v="227"/>
    <n v="8.8967710484839699"/>
    <n v="1"/>
    <n v="-404"/>
    <n v="320"/>
  </r>
  <r>
    <x v="62"/>
    <s v="conventional_cashout_incentive_188"/>
    <x v="228"/>
    <n v="8.89763066782265"/>
    <n v="1"/>
    <n v="-404"/>
    <n v="320"/>
  </r>
  <r>
    <x v="62"/>
    <s v="conventional_cashout_incentive_189"/>
    <x v="229"/>
    <n v="8.89832239910975"/>
    <n v="1"/>
    <n v="-404"/>
    <n v="320"/>
  </r>
  <r>
    <x v="62"/>
    <s v="conventional_cashout_incentive_190"/>
    <x v="230"/>
    <n v="8.8988644733490307"/>
    <n v="1"/>
    <n v="-404"/>
    <n v="320"/>
  </r>
  <r>
    <x v="62"/>
    <s v="conventional_cashout_incentive_191"/>
    <x v="231"/>
    <n v="8.8992751215442407"/>
    <n v="1"/>
    <n v="-404"/>
    <n v="320"/>
  </r>
  <r>
    <x v="62"/>
    <s v="conventional_cashout_incentive_192"/>
    <x v="232"/>
    <n v="8.8995725746991194"/>
    <n v="1"/>
    <n v="-404"/>
    <n v="320"/>
  </r>
  <r>
    <x v="62"/>
    <s v="conventional_cashout_incentive_193"/>
    <x v="233"/>
    <n v="8.8997750638174402"/>
    <n v="1"/>
    <n v="-404"/>
    <n v="320"/>
  </r>
  <r>
    <x v="62"/>
    <s v="conventional_cashout_incentive_194"/>
    <x v="234"/>
    <n v="8.8999008199029408"/>
    <n v="1"/>
    <n v="-404"/>
    <n v="320"/>
  </r>
  <r>
    <x v="62"/>
    <s v="conventional_cashout_incentive_195"/>
    <x v="235"/>
    <n v="8.8999680739593607"/>
    <n v="1"/>
    <n v="-404"/>
    <n v="320"/>
  </r>
  <r>
    <x v="62"/>
    <s v="conventional_cashout_incentive_196"/>
    <x v="236"/>
    <n v="8.8999950569904698"/>
    <n v="1"/>
    <n v="-404"/>
    <n v="320"/>
  </r>
  <r>
    <x v="62"/>
    <s v="conventional_cashout_incentive_197"/>
    <x v="237"/>
    <n v="8.9"/>
    <n v="1"/>
    <n v="-404"/>
    <n v="320"/>
  </r>
  <r>
    <x v="62"/>
    <s v="conventional_cashout_incentive_198"/>
    <x v="238"/>
    <n v="8.9"/>
    <n v="1"/>
    <n v="-404"/>
    <n v="320"/>
  </r>
  <r>
    <x v="62"/>
    <s v="conventional_cashout_incentive_199"/>
    <x v="239"/>
    <n v="8.9"/>
    <n v="1"/>
    <n v="-404"/>
    <n v="320"/>
  </r>
  <r>
    <x v="62"/>
    <s v="conventional_cashout_incentive_200"/>
    <x v="240"/>
    <n v="8.9"/>
    <n v="1"/>
    <n v="-404"/>
    <n v="320"/>
  </r>
  <r>
    <x v="62"/>
    <s v="conventional_cashout_incentive_201"/>
    <x v="241"/>
    <n v="8.9"/>
    <n v="1"/>
    <n v="-404"/>
    <n v="320"/>
  </r>
  <r>
    <x v="62"/>
    <s v="conventional_cashout_incentive_202"/>
    <x v="242"/>
    <n v="8.9"/>
    <n v="1"/>
    <n v="-404"/>
    <n v="320"/>
  </r>
  <r>
    <x v="62"/>
    <s v="conventional_cashout_incentive_203"/>
    <x v="243"/>
    <n v="8.9"/>
    <n v="1"/>
    <n v="-404"/>
    <n v="320"/>
  </r>
  <r>
    <x v="62"/>
    <s v="conventional_cashout_incentive_204"/>
    <x v="244"/>
    <n v="8.9"/>
    <n v="1"/>
    <n v="-404"/>
    <n v="320"/>
  </r>
  <r>
    <x v="62"/>
    <s v="conventional_cashout_incentive_205"/>
    <x v="245"/>
    <n v="8.9"/>
    <n v="1"/>
    <n v="-404"/>
    <n v="320"/>
  </r>
  <r>
    <x v="62"/>
    <s v="conventional_cashout_incentive_206"/>
    <x v="246"/>
    <n v="8.9"/>
    <n v="1"/>
    <n v="-404"/>
    <n v="320"/>
  </r>
  <r>
    <x v="62"/>
    <s v="conventional_cashout_incentive_207"/>
    <x v="247"/>
    <n v="8.9"/>
    <n v="1"/>
    <n v="-404"/>
    <n v="320"/>
  </r>
  <r>
    <x v="62"/>
    <s v="conventional_cashout_incentive_208"/>
    <x v="248"/>
    <n v="8.9"/>
    <n v="1"/>
    <n v="-404"/>
    <n v="320"/>
  </r>
  <r>
    <x v="62"/>
    <s v="conventional_cashout_incentive_209"/>
    <x v="249"/>
    <n v="8.9"/>
    <n v="1"/>
    <n v="-404"/>
    <n v="320"/>
  </r>
  <r>
    <x v="62"/>
    <s v="conventional_cashout_incentive_210"/>
    <x v="250"/>
    <n v="8.9"/>
    <n v="1"/>
    <n v="-404"/>
    <n v="320"/>
  </r>
  <r>
    <x v="62"/>
    <s v="conventional_cashout_incentive_211"/>
    <x v="251"/>
    <n v="8.9"/>
    <n v="1"/>
    <n v="-404"/>
    <n v="320"/>
  </r>
  <r>
    <x v="62"/>
    <s v="conventional_cashout_incentive_212"/>
    <x v="252"/>
    <n v="8.9"/>
    <n v="1"/>
    <n v="-404"/>
    <n v="320"/>
  </r>
  <r>
    <x v="62"/>
    <s v="conventional_cashout_incentive_213"/>
    <x v="253"/>
    <n v="8.9"/>
    <n v="1"/>
    <n v="-404"/>
    <n v="320"/>
  </r>
  <r>
    <x v="62"/>
    <s v="conventional_cashout_incentive_214"/>
    <x v="254"/>
    <n v="8.9"/>
    <n v="1"/>
    <n v="-404"/>
    <n v="320"/>
  </r>
  <r>
    <x v="62"/>
    <s v="conventional_cashout_incentive_215"/>
    <x v="255"/>
    <n v="8.9"/>
    <n v="1"/>
    <n v="-404"/>
    <n v="320"/>
  </r>
  <r>
    <x v="62"/>
    <s v="conventional_cashout_incentive_216"/>
    <x v="256"/>
    <n v="8.9"/>
    <n v="1"/>
    <n v="-404"/>
    <n v="320"/>
  </r>
  <r>
    <x v="62"/>
    <s v="conventional_cashout_incentive_217"/>
    <x v="257"/>
    <n v="8.9"/>
    <n v="1"/>
    <n v="-404"/>
    <n v="320"/>
  </r>
  <r>
    <x v="62"/>
    <s v="conventional_cashout_incentive_218"/>
    <x v="258"/>
    <n v="8.9"/>
    <n v="1"/>
    <n v="-404"/>
    <n v="320"/>
  </r>
  <r>
    <x v="62"/>
    <s v="conventional_cashout_incentive_219"/>
    <x v="259"/>
    <n v="8.9"/>
    <n v="1"/>
    <n v="-404"/>
    <n v="320"/>
  </r>
  <r>
    <x v="62"/>
    <s v="conventional_cashout_incentive_220"/>
    <x v="260"/>
    <n v="8.9"/>
    <n v="1"/>
    <n v="-404"/>
    <n v="320"/>
  </r>
  <r>
    <x v="62"/>
    <s v="conventional_cashout_incentive_221"/>
    <x v="261"/>
    <n v="8.9"/>
    <n v="1"/>
    <n v="-404"/>
    <n v="320"/>
  </r>
  <r>
    <x v="62"/>
    <s v="conventional_cashout_incentive_222"/>
    <x v="262"/>
    <n v="8.9"/>
    <n v="1"/>
    <n v="-404"/>
    <n v="320"/>
  </r>
  <r>
    <x v="62"/>
    <s v="conventional_cashout_incentive_223"/>
    <x v="263"/>
    <n v="8.9"/>
    <n v="1"/>
    <n v="-404"/>
    <n v="320"/>
  </r>
  <r>
    <x v="62"/>
    <s v="conventional_cashout_incentive_224"/>
    <x v="264"/>
    <n v="8.9"/>
    <n v="1"/>
    <n v="-404"/>
    <n v="320"/>
  </r>
  <r>
    <x v="62"/>
    <s v="conventional_cashout_incentive_225"/>
    <x v="265"/>
    <n v="8.9"/>
    <n v="1"/>
    <n v="-404"/>
    <n v="320"/>
  </r>
  <r>
    <x v="62"/>
    <s v="conventional_cashout_incentive_226"/>
    <x v="266"/>
    <n v="8.9"/>
    <n v="1"/>
    <n v="-404"/>
    <n v="320"/>
  </r>
  <r>
    <x v="62"/>
    <s v="conventional_cashout_incentive_227"/>
    <x v="267"/>
    <n v="8.9"/>
    <n v="1"/>
    <n v="-404"/>
    <n v="320"/>
  </r>
  <r>
    <x v="62"/>
    <s v="conventional_cashout_incentive_228"/>
    <x v="268"/>
    <n v="8.9"/>
    <n v="1"/>
    <n v="-404"/>
    <n v="320"/>
  </r>
  <r>
    <x v="62"/>
    <s v="conventional_cashout_incentive_229"/>
    <x v="269"/>
    <n v="8.9"/>
    <n v="1"/>
    <n v="-404"/>
    <n v="320"/>
  </r>
  <r>
    <x v="62"/>
    <s v="conventional_cashout_incentive_230"/>
    <x v="270"/>
    <n v="8.9"/>
    <n v="1"/>
    <n v="-404"/>
    <n v="320"/>
  </r>
  <r>
    <x v="62"/>
    <s v="conventional_cashout_incentive_231"/>
    <x v="271"/>
    <n v="8.9"/>
    <n v="1"/>
    <n v="-404"/>
    <n v="320"/>
  </r>
  <r>
    <x v="62"/>
    <s v="conventional_cashout_incentive_232"/>
    <x v="272"/>
    <n v="8.9"/>
    <n v="1"/>
    <n v="-404"/>
    <n v="320"/>
  </r>
  <r>
    <x v="62"/>
    <s v="conventional_cashout_incentive_233"/>
    <x v="273"/>
    <n v="8.9"/>
    <n v="1"/>
    <n v="-404"/>
    <n v="320"/>
  </r>
  <r>
    <x v="62"/>
    <s v="conventional_cashout_incentive_234"/>
    <x v="274"/>
    <n v="8.9"/>
    <n v="1"/>
    <n v="-404"/>
    <n v="320"/>
  </r>
  <r>
    <x v="62"/>
    <s v="conventional_cashout_incentive_235"/>
    <x v="275"/>
    <n v="8.9"/>
    <n v="1"/>
    <n v="-404"/>
    <n v="320"/>
  </r>
  <r>
    <x v="62"/>
    <s v="conventional_cashout_incentive_236"/>
    <x v="276"/>
    <n v="8.9"/>
    <n v="1"/>
    <n v="-404"/>
    <n v="320"/>
  </r>
  <r>
    <x v="62"/>
    <s v="conventional_cashout_incentive_237"/>
    <x v="277"/>
    <n v="8.9"/>
    <n v="1"/>
    <n v="-404"/>
    <n v="320"/>
  </r>
  <r>
    <x v="62"/>
    <s v="conventional_cashout_incentive_238"/>
    <x v="278"/>
    <n v="8.9"/>
    <n v="1"/>
    <n v="-404"/>
    <n v="320"/>
  </r>
  <r>
    <x v="62"/>
    <s v="conventional_cashout_incentive_239"/>
    <x v="279"/>
    <n v="8.9"/>
    <n v="1"/>
    <n v="-404"/>
    <n v="320"/>
  </r>
  <r>
    <x v="62"/>
    <s v="conventional_cashout_incentive_240"/>
    <x v="280"/>
    <n v="8.9"/>
    <n v="1"/>
    <n v="-404"/>
    <n v="320"/>
  </r>
  <r>
    <x v="62"/>
    <s v="conventional_cashout_incentive_241"/>
    <x v="281"/>
    <n v="8.9"/>
    <n v="1"/>
    <n v="-404"/>
    <n v="320"/>
  </r>
  <r>
    <x v="62"/>
    <s v="conventional_cashout_incentive_242"/>
    <x v="282"/>
    <n v="8.9"/>
    <n v="1"/>
    <n v="-404"/>
    <n v="320"/>
  </r>
  <r>
    <x v="62"/>
    <s v="conventional_cashout_incentive_243"/>
    <x v="283"/>
    <n v="8.9"/>
    <n v="1"/>
    <n v="-404"/>
    <n v="320"/>
  </r>
  <r>
    <x v="62"/>
    <s v="conventional_cashout_incentive_244"/>
    <x v="284"/>
    <n v="8.9"/>
    <n v="1"/>
    <n v="-404"/>
    <n v="320"/>
  </r>
  <r>
    <x v="62"/>
    <s v="conventional_cashout_incentive_245"/>
    <x v="285"/>
    <n v="8.9"/>
    <n v="1"/>
    <n v="-404"/>
    <n v="320"/>
  </r>
  <r>
    <x v="62"/>
    <s v="conventional_cashout_incentive_246"/>
    <x v="286"/>
    <n v="8.9"/>
    <n v="1"/>
    <n v="-404"/>
    <n v="320"/>
  </r>
  <r>
    <x v="62"/>
    <s v="conventional_cashout_incentive_247"/>
    <x v="287"/>
    <n v="8.9"/>
    <n v="1"/>
    <n v="-404"/>
    <n v="320"/>
  </r>
  <r>
    <x v="62"/>
    <s v="conventional_cashout_incentive_248"/>
    <x v="288"/>
    <n v="8.9"/>
    <n v="1"/>
    <n v="-404"/>
    <n v="320"/>
  </r>
  <r>
    <x v="62"/>
    <s v="conventional_cashout_incentive_249"/>
    <x v="289"/>
    <n v="8.9"/>
    <n v="1"/>
    <n v="-404"/>
    <n v="320"/>
  </r>
  <r>
    <x v="62"/>
    <s v="conventional_cashout_incentive_250"/>
    <x v="290"/>
    <n v="8.9"/>
    <n v="1"/>
    <n v="-404"/>
    <n v="320"/>
  </r>
  <r>
    <x v="62"/>
    <s v="conventional_cashout_incentive_251"/>
    <x v="291"/>
    <n v="8.9"/>
    <n v="1"/>
    <n v="-404"/>
    <n v="320"/>
  </r>
  <r>
    <x v="62"/>
    <s v="conventional_cashout_incentive_252"/>
    <x v="292"/>
    <n v="8.9"/>
    <n v="1"/>
    <n v="-404"/>
    <n v="320"/>
  </r>
  <r>
    <x v="62"/>
    <s v="conventional_cashout_incentive_253"/>
    <x v="293"/>
    <n v="8.9"/>
    <n v="1"/>
    <n v="-404"/>
    <n v="320"/>
  </r>
  <r>
    <x v="62"/>
    <s v="conventional_cashout_incentive_254"/>
    <x v="294"/>
    <n v="8.9"/>
    <n v="1"/>
    <n v="-404"/>
    <n v="320"/>
  </r>
  <r>
    <x v="62"/>
    <s v="conventional_cashout_incentive_255"/>
    <x v="295"/>
    <n v="8.9"/>
    <n v="1"/>
    <n v="-404"/>
    <n v="320"/>
  </r>
  <r>
    <x v="62"/>
    <s v="conventional_cashout_incentive_256"/>
    <x v="296"/>
    <n v="8.9"/>
    <n v="1"/>
    <n v="-404"/>
    <n v="320"/>
  </r>
  <r>
    <x v="62"/>
    <s v="conventional_cashout_incentive_257"/>
    <x v="297"/>
    <n v="8.9"/>
    <n v="1"/>
    <n v="-404"/>
    <n v="320"/>
  </r>
  <r>
    <x v="62"/>
    <s v="conventional_cashout_incentive_258"/>
    <x v="298"/>
    <n v="8.9"/>
    <n v="1"/>
    <n v="-404"/>
    <n v="320"/>
  </r>
  <r>
    <x v="62"/>
    <s v="conventional_cashout_incentive_259"/>
    <x v="299"/>
    <n v="8.9"/>
    <n v="1"/>
    <n v="-404"/>
    <n v="320"/>
  </r>
  <r>
    <x v="62"/>
    <s v="conventional_cashout_incentive_260"/>
    <x v="300"/>
    <n v="8.9"/>
    <n v="1"/>
    <n v="-404"/>
    <n v="320"/>
  </r>
  <r>
    <x v="62"/>
    <s v="conventional_cashout_incentive_261"/>
    <x v="301"/>
    <n v="8.9"/>
    <n v="1"/>
    <n v="-404"/>
    <n v="320"/>
  </r>
  <r>
    <x v="62"/>
    <s v="conventional_cashout_incentive_262"/>
    <x v="302"/>
    <n v="8.9"/>
    <n v="1"/>
    <n v="-404"/>
    <n v="320"/>
  </r>
  <r>
    <x v="62"/>
    <s v="conventional_cashout_incentive_263"/>
    <x v="303"/>
    <n v="8.9"/>
    <n v="1"/>
    <n v="-404"/>
    <n v="320"/>
  </r>
  <r>
    <x v="62"/>
    <s v="conventional_cashout_incentive_264"/>
    <x v="304"/>
    <n v="8.9"/>
    <n v="1"/>
    <n v="-404"/>
    <n v="320"/>
  </r>
  <r>
    <x v="62"/>
    <s v="conventional_cashout_incentive_265"/>
    <x v="305"/>
    <n v="8.9"/>
    <n v="1"/>
    <n v="-404"/>
    <n v="320"/>
  </r>
  <r>
    <x v="62"/>
    <s v="conventional_cashout_incentive_266"/>
    <x v="306"/>
    <n v="8.9"/>
    <n v="1"/>
    <n v="-404"/>
    <n v="320"/>
  </r>
  <r>
    <x v="62"/>
    <s v="conventional_cashout_incentive_267"/>
    <x v="307"/>
    <n v="8.9"/>
    <n v="1"/>
    <n v="-404"/>
    <n v="320"/>
  </r>
  <r>
    <x v="62"/>
    <s v="conventional_cashout_incentive_268"/>
    <x v="308"/>
    <n v="8.9"/>
    <n v="1"/>
    <n v="-404"/>
    <n v="320"/>
  </r>
  <r>
    <x v="62"/>
    <s v="conventional_cashout_incentive_269"/>
    <x v="309"/>
    <n v="8.9"/>
    <n v="1"/>
    <n v="-404"/>
    <n v="320"/>
  </r>
  <r>
    <x v="62"/>
    <s v="conventional_cashout_incentive_270"/>
    <x v="310"/>
    <n v="8.9"/>
    <n v="1"/>
    <n v="-404"/>
    <n v="320"/>
  </r>
  <r>
    <x v="62"/>
    <s v="conventional_cashout_incentive_271"/>
    <x v="311"/>
    <n v="8.9"/>
    <n v="1"/>
    <n v="-404"/>
    <n v="320"/>
  </r>
  <r>
    <x v="62"/>
    <s v="conventional_cashout_incentive_272"/>
    <x v="312"/>
    <n v="8.9"/>
    <n v="1"/>
    <n v="-404"/>
    <n v="320"/>
  </r>
  <r>
    <x v="62"/>
    <s v="conventional_cashout_incentive_273"/>
    <x v="313"/>
    <n v="8.9"/>
    <n v="1"/>
    <n v="-404"/>
    <n v="320"/>
  </r>
  <r>
    <x v="62"/>
    <s v="conventional_cashout_incentive_274"/>
    <x v="314"/>
    <n v="8.9"/>
    <n v="1"/>
    <n v="-404"/>
    <n v="320"/>
  </r>
  <r>
    <x v="62"/>
    <s v="conventional_cashout_incentive_275"/>
    <x v="315"/>
    <n v="8.9"/>
    <n v="1"/>
    <n v="-404"/>
    <n v="320"/>
  </r>
  <r>
    <x v="62"/>
    <s v="conventional_cashout_incentive_276"/>
    <x v="316"/>
    <n v="8.9"/>
    <n v="1"/>
    <n v="-404"/>
    <n v="320"/>
  </r>
  <r>
    <x v="62"/>
    <s v="conventional_cashout_incentive_277"/>
    <x v="317"/>
    <n v="8.9"/>
    <n v="1"/>
    <n v="-404"/>
    <n v="320"/>
  </r>
  <r>
    <x v="62"/>
    <s v="conventional_cashout_incentive_278"/>
    <x v="318"/>
    <n v="8.9"/>
    <n v="1"/>
    <n v="-404"/>
    <n v="320"/>
  </r>
  <r>
    <x v="62"/>
    <s v="conventional_cashout_incentive_279"/>
    <x v="319"/>
    <n v="8.9"/>
    <n v="1"/>
    <n v="-404"/>
    <n v="320"/>
  </r>
  <r>
    <x v="62"/>
    <s v="conventional_cashout_incentive_280"/>
    <x v="320"/>
    <n v="8.9"/>
    <n v="1"/>
    <n v="-404"/>
    <n v="320"/>
  </r>
  <r>
    <x v="62"/>
    <s v="conventional_cashout_incentive_281"/>
    <x v="321"/>
    <n v="8.9"/>
    <n v="1"/>
    <n v="-404"/>
    <n v="320"/>
  </r>
  <r>
    <x v="62"/>
    <s v="conventional_cashout_incentive_282"/>
    <x v="322"/>
    <n v="8.9"/>
    <n v="1"/>
    <n v="-404"/>
    <n v="320"/>
  </r>
  <r>
    <x v="62"/>
    <s v="conventional_cashout_incentive_283"/>
    <x v="323"/>
    <n v="8.9"/>
    <n v="1"/>
    <n v="-404"/>
    <n v="320"/>
  </r>
  <r>
    <x v="62"/>
    <s v="conventional_cashout_incentive_284"/>
    <x v="324"/>
    <n v="8.9"/>
    <n v="1"/>
    <n v="-404"/>
    <n v="320"/>
  </r>
  <r>
    <x v="62"/>
    <s v="conventional_cashout_incentive_285"/>
    <x v="325"/>
    <n v="8.9"/>
    <n v="1"/>
    <n v="-404"/>
    <n v="320"/>
  </r>
  <r>
    <x v="62"/>
    <s v="conventional_cashout_incentive_286"/>
    <x v="326"/>
    <n v="8.9"/>
    <n v="1"/>
    <n v="-404"/>
    <n v="320"/>
  </r>
  <r>
    <x v="62"/>
    <s v="conventional_cashout_incentive_287"/>
    <x v="327"/>
    <n v="8.9"/>
    <n v="1"/>
    <n v="-404"/>
    <n v="320"/>
  </r>
  <r>
    <x v="62"/>
    <s v="conventional_cashout_incentive_288"/>
    <x v="328"/>
    <n v="8.9"/>
    <n v="1"/>
    <n v="-404"/>
    <n v="320"/>
  </r>
  <r>
    <x v="62"/>
    <s v="conventional_cashout_incentive_289"/>
    <x v="329"/>
    <n v="8.9"/>
    <n v="1"/>
    <n v="-404"/>
    <n v="320"/>
  </r>
  <r>
    <x v="62"/>
    <s v="conventional_cashout_incentive_290"/>
    <x v="330"/>
    <n v="8.9"/>
    <n v="1"/>
    <n v="-404"/>
    <n v="320"/>
  </r>
  <r>
    <x v="62"/>
    <s v="conventional_cashout_incentive_291"/>
    <x v="331"/>
    <n v="8.9"/>
    <n v="1"/>
    <n v="-404"/>
    <n v="320"/>
  </r>
  <r>
    <x v="62"/>
    <s v="conventional_cashout_incentive_292"/>
    <x v="332"/>
    <n v="8.9"/>
    <n v="1"/>
    <n v="-404"/>
    <n v="320"/>
  </r>
  <r>
    <x v="62"/>
    <s v="conventional_cashout_incentive_293"/>
    <x v="333"/>
    <n v="8.9"/>
    <n v="1"/>
    <n v="-404"/>
    <n v="320"/>
  </r>
  <r>
    <x v="62"/>
    <s v="conventional_cashout_incentive_294"/>
    <x v="334"/>
    <n v="8.9"/>
    <n v="1"/>
    <n v="-404"/>
    <n v="320"/>
  </r>
  <r>
    <x v="62"/>
    <s v="conventional_cashout_incentive_295"/>
    <x v="335"/>
    <n v="8.9"/>
    <n v="1"/>
    <n v="-404"/>
    <n v="320"/>
  </r>
  <r>
    <x v="62"/>
    <s v="conventional_cashout_incentive_296"/>
    <x v="336"/>
    <n v="8.9"/>
    <n v="1"/>
    <n v="-404"/>
    <n v="320"/>
  </r>
  <r>
    <x v="62"/>
    <s v="conventional_cashout_incentive_297"/>
    <x v="337"/>
    <n v="8.9"/>
    <n v="1"/>
    <n v="-404"/>
    <n v="320"/>
  </r>
  <r>
    <x v="62"/>
    <s v="conventional_cashout_incentive_298"/>
    <x v="338"/>
    <n v="8.9"/>
    <n v="1"/>
    <n v="-404"/>
    <n v="320"/>
  </r>
  <r>
    <x v="62"/>
    <s v="conventional_cashout_incentive_299"/>
    <x v="339"/>
    <n v="8.9"/>
    <n v="1"/>
    <n v="-404"/>
    <n v="320"/>
  </r>
  <r>
    <x v="62"/>
    <s v="conventional_cashout_incentive_300"/>
    <x v="340"/>
    <n v="8.9"/>
    <n v="1"/>
    <n v="-404"/>
    <n v="320"/>
  </r>
  <r>
    <x v="62"/>
    <s v="conventional_cashout_incentive_301"/>
    <x v="341"/>
    <n v="8.9"/>
    <n v="1"/>
    <n v="-404"/>
    <n v="320"/>
  </r>
  <r>
    <x v="62"/>
    <s v="conventional_cashout_incentive_302"/>
    <x v="342"/>
    <n v="8.9"/>
    <n v="1"/>
    <n v="-404"/>
    <n v="320"/>
  </r>
  <r>
    <x v="62"/>
    <s v="conventional_cashout_incentive_303"/>
    <x v="343"/>
    <n v="8.9"/>
    <n v="1"/>
    <n v="-404"/>
    <n v="320"/>
  </r>
  <r>
    <x v="62"/>
    <s v="conventional_cashout_incentive_304"/>
    <x v="344"/>
    <n v="8.9"/>
    <n v="1"/>
    <n v="-404"/>
    <n v="320"/>
  </r>
  <r>
    <x v="62"/>
    <s v="conventional_cashout_incentive_305"/>
    <x v="345"/>
    <n v="8.9"/>
    <n v="1"/>
    <n v="-404"/>
    <n v="320"/>
  </r>
  <r>
    <x v="62"/>
    <s v="conventional_cashout_incentive_306"/>
    <x v="346"/>
    <n v="8.9"/>
    <n v="1"/>
    <n v="-404"/>
    <n v="320"/>
  </r>
  <r>
    <x v="62"/>
    <s v="conventional_cashout_incentive_307"/>
    <x v="347"/>
    <n v="8.9"/>
    <n v="1"/>
    <n v="-404"/>
    <n v="320"/>
  </r>
  <r>
    <x v="62"/>
    <s v="conventional_cashout_incentive_308"/>
    <x v="348"/>
    <n v="8.9"/>
    <n v="1"/>
    <n v="-404"/>
    <n v="320"/>
  </r>
  <r>
    <x v="62"/>
    <s v="conventional_cashout_incentive_309"/>
    <x v="349"/>
    <n v="8.9"/>
    <n v="1"/>
    <n v="-404"/>
    <n v="320"/>
  </r>
  <r>
    <x v="62"/>
    <s v="conventional_cashout_incentive_310"/>
    <x v="350"/>
    <n v="8.9"/>
    <n v="1"/>
    <n v="-404"/>
    <n v="320"/>
  </r>
  <r>
    <x v="62"/>
    <s v="conventional_cashout_incentive_311"/>
    <x v="351"/>
    <n v="8.9"/>
    <n v="1"/>
    <n v="-404"/>
    <n v="320"/>
  </r>
  <r>
    <x v="62"/>
    <s v="conventional_cashout_incentive_312"/>
    <x v="352"/>
    <n v="8.9"/>
    <n v="1"/>
    <n v="-404"/>
    <n v="320"/>
  </r>
  <r>
    <x v="62"/>
    <s v="conventional_cashout_incentive_313"/>
    <x v="353"/>
    <n v="8.9"/>
    <n v="1"/>
    <n v="-404"/>
    <n v="320"/>
  </r>
  <r>
    <x v="62"/>
    <s v="conventional_cashout_incentive_314"/>
    <x v="354"/>
    <n v="8.9"/>
    <n v="1"/>
    <n v="-404"/>
    <n v="320"/>
  </r>
  <r>
    <x v="62"/>
    <s v="conventional_cashout_incentive_315"/>
    <x v="355"/>
    <n v="8.9"/>
    <n v="1"/>
    <n v="-404"/>
    <n v="320"/>
  </r>
  <r>
    <x v="62"/>
    <s v="conventional_cashout_incentive_316"/>
    <x v="356"/>
    <n v="8.9"/>
    <n v="1"/>
    <n v="-404"/>
    <n v="320"/>
  </r>
  <r>
    <x v="62"/>
    <s v="conventional_cashout_incentive_317"/>
    <x v="357"/>
    <n v="8.9"/>
    <n v="1"/>
    <n v="-404"/>
    <n v="320"/>
  </r>
  <r>
    <x v="62"/>
    <s v="conventional_cashout_incentive_318"/>
    <x v="358"/>
    <n v="8.9"/>
    <n v="1"/>
    <n v="-404"/>
    <n v="320"/>
  </r>
  <r>
    <x v="62"/>
    <s v="conventional_cashout_incentive_319"/>
    <x v="359"/>
    <n v="8.9"/>
    <n v="1"/>
    <n v="-404"/>
    <n v="320"/>
  </r>
  <r>
    <x v="62"/>
    <s v="conventional_cashout_incentive_320"/>
    <x v="360"/>
    <n v="8.9"/>
    <n v="1"/>
    <n v="-404"/>
    <n v="320"/>
  </r>
  <r>
    <x v="63"/>
    <s v="conventional_cashout_cltv_-36"/>
    <x v="4"/>
    <n v="1"/>
    <n v="1"/>
    <n v="-36"/>
    <n v="216"/>
  </r>
  <r>
    <x v="63"/>
    <s v="conventional_cashout_cltv_-35"/>
    <x v="5"/>
    <n v="1"/>
    <n v="1"/>
    <n v="-36"/>
    <n v="216"/>
  </r>
  <r>
    <x v="63"/>
    <s v="conventional_cashout_cltv_-34"/>
    <x v="6"/>
    <n v="1"/>
    <n v="1"/>
    <n v="-36"/>
    <n v="216"/>
  </r>
  <r>
    <x v="63"/>
    <s v="conventional_cashout_cltv_-33"/>
    <x v="7"/>
    <n v="1"/>
    <n v="1"/>
    <n v="-36"/>
    <n v="216"/>
  </r>
  <r>
    <x v="63"/>
    <s v="conventional_cashout_cltv_-32"/>
    <x v="8"/>
    <n v="1"/>
    <n v="1"/>
    <n v="-36"/>
    <n v="216"/>
  </r>
  <r>
    <x v="63"/>
    <s v="conventional_cashout_cltv_-31"/>
    <x v="9"/>
    <n v="1"/>
    <n v="1"/>
    <n v="-36"/>
    <n v="216"/>
  </r>
  <r>
    <x v="63"/>
    <s v="conventional_cashout_cltv_-30"/>
    <x v="10"/>
    <n v="1"/>
    <n v="1"/>
    <n v="-36"/>
    <n v="216"/>
  </r>
  <r>
    <x v="63"/>
    <s v="conventional_cashout_cltv_-29"/>
    <x v="11"/>
    <n v="1"/>
    <n v="1"/>
    <n v="-36"/>
    <n v="216"/>
  </r>
  <r>
    <x v="63"/>
    <s v="conventional_cashout_cltv_-28"/>
    <x v="12"/>
    <n v="1"/>
    <n v="1"/>
    <n v="-36"/>
    <n v="216"/>
  </r>
  <r>
    <x v="63"/>
    <s v="conventional_cashout_cltv_-27"/>
    <x v="13"/>
    <n v="1"/>
    <n v="1"/>
    <n v="-36"/>
    <n v="216"/>
  </r>
  <r>
    <x v="63"/>
    <s v="conventional_cashout_cltv_-26"/>
    <x v="14"/>
    <n v="1"/>
    <n v="1"/>
    <n v="-36"/>
    <n v="216"/>
  </r>
  <r>
    <x v="63"/>
    <s v="conventional_cashout_cltv_-25"/>
    <x v="15"/>
    <n v="1"/>
    <n v="1"/>
    <n v="-36"/>
    <n v="216"/>
  </r>
  <r>
    <x v="63"/>
    <s v="conventional_cashout_cltv_-24"/>
    <x v="16"/>
    <n v="1"/>
    <n v="1"/>
    <n v="-36"/>
    <n v="216"/>
  </r>
  <r>
    <x v="63"/>
    <s v="conventional_cashout_cltv_-23"/>
    <x v="17"/>
    <n v="1"/>
    <n v="1"/>
    <n v="-36"/>
    <n v="216"/>
  </r>
  <r>
    <x v="63"/>
    <s v="conventional_cashout_cltv_-22"/>
    <x v="18"/>
    <n v="1"/>
    <n v="1"/>
    <n v="-36"/>
    <n v="216"/>
  </r>
  <r>
    <x v="63"/>
    <s v="conventional_cashout_cltv_-21"/>
    <x v="19"/>
    <n v="1"/>
    <n v="1"/>
    <n v="-36"/>
    <n v="216"/>
  </r>
  <r>
    <x v="63"/>
    <s v="conventional_cashout_cltv_-20"/>
    <x v="20"/>
    <n v="1"/>
    <n v="1"/>
    <n v="-36"/>
    <n v="216"/>
  </r>
  <r>
    <x v="63"/>
    <s v="conventional_cashout_cltv_-19"/>
    <x v="21"/>
    <n v="1"/>
    <n v="1"/>
    <n v="-36"/>
    <n v="216"/>
  </r>
  <r>
    <x v="63"/>
    <s v="conventional_cashout_cltv_-18"/>
    <x v="22"/>
    <n v="1"/>
    <n v="1"/>
    <n v="-36"/>
    <n v="216"/>
  </r>
  <r>
    <x v="63"/>
    <s v="conventional_cashout_cltv_-17"/>
    <x v="23"/>
    <n v="1"/>
    <n v="1"/>
    <n v="-36"/>
    <n v="216"/>
  </r>
  <r>
    <x v="63"/>
    <s v="conventional_cashout_cltv_-16"/>
    <x v="24"/>
    <n v="1"/>
    <n v="1"/>
    <n v="-36"/>
    <n v="216"/>
  </r>
  <r>
    <x v="63"/>
    <s v="conventional_cashout_cltv_-15"/>
    <x v="25"/>
    <n v="1"/>
    <n v="1"/>
    <n v="-36"/>
    <n v="216"/>
  </r>
  <r>
    <x v="63"/>
    <s v="conventional_cashout_cltv_-14"/>
    <x v="26"/>
    <n v="1"/>
    <n v="1"/>
    <n v="-36"/>
    <n v="216"/>
  </r>
  <r>
    <x v="63"/>
    <s v="conventional_cashout_cltv_-13"/>
    <x v="27"/>
    <n v="1"/>
    <n v="1"/>
    <n v="-36"/>
    <n v="216"/>
  </r>
  <r>
    <x v="63"/>
    <s v="conventional_cashout_cltv_-12"/>
    <x v="28"/>
    <n v="1"/>
    <n v="1"/>
    <n v="-36"/>
    <n v="216"/>
  </r>
  <r>
    <x v="63"/>
    <s v="conventional_cashout_cltv_-11"/>
    <x v="29"/>
    <n v="1"/>
    <n v="1"/>
    <n v="-36"/>
    <n v="216"/>
  </r>
  <r>
    <x v="63"/>
    <s v="conventional_cashout_cltv_-10"/>
    <x v="30"/>
    <n v="1"/>
    <n v="1"/>
    <n v="-36"/>
    <n v="216"/>
  </r>
  <r>
    <x v="63"/>
    <s v="conventional_cashout_cltv_-9"/>
    <x v="31"/>
    <n v="1"/>
    <n v="1"/>
    <n v="-36"/>
    <n v="216"/>
  </r>
  <r>
    <x v="63"/>
    <s v="conventional_cashout_cltv_-8"/>
    <x v="32"/>
    <n v="1"/>
    <n v="1"/>
    <n v="-36"/>
    <n v="216"/>
  </r>
  <r>
    <x v="63"/>
    <s v="conventional_cashout_cltv_-7"/>
    <x v="33"/>
    <n v="1"/>
    <n v="1"/>
    <n v="-36"/>
    <n v="216"/>
  </r>
  <r>
    <x v="63"/>
    <s v="conventional_cashout_cltv_-6"/>
    <x v="34"/>
    <n v="1"/>
    <n v="1"/>
    <n v="-36"/>
    <n v="216"/>
  </r>
  <r>
    <x v="63"/>
    <s v="conventional_cashout_cltv_-5"/>
    <x v="35"/>
    <n v="1"/>
    <n v="1"/>
    <n v="-36"/>
    <n v="216"/>
  </r>
  <r>
    <x v="63"/>
    <s v="conventional_cashout_cltv_-4"/>
    <x v="36"/>
    <n v="1"/>
    <n v="1"/>
    <n v="-36"/>
    <n v="216"/>
  </r>
  <r>
    <x v="63"/>
    <s v="conventional_cashout_cltv_-3"/>
    <x v="37"/>
    <n v="1"/>
    <n v="1"/>
    <n v="-36"/>
    <n v="216"/>
  </r>
  <r>
    <x v="63"/>
    <s v="conventional_cashout_cltv_-2"/>
    <x v="38"/>
    <n v="1"/>
    <n v="1"/>
    <n v="-36"/>
    <n v="216"/>
  </r>
  <r>
    <x v="63"/>
    <s v="conventional_cashout_cltv_-1"/>
    <x v="39"/>
    <n v="1"/>
    <n v="1"/>
    <n v="-36"/>
    <n v="216"/>
  </r>
  <r>
    <x v="63"/>
    <s v="conventional_cashout_cltv_0"/>
    <x v="40"/>
    <n v="1"/>
    <n v="1"/>
    <n v="-36"/>
    <n v="216"/>
  </r>
  <r>
    <x v="63"/>
    <s v="conventional_cashout_cltv_1"/>
    <x v="41"/>
    <n v="1"/>
    <n v="1"/>
    <n v="-36"/>
    <n v="216"/>
  </r>
  <r>
    <x v="63"/>
    <s v="conventional_cashout_cltv_2"/>
    <x v="42"/>
    <n v="1"/>
    <n v="1"/>
    <n v="-36"/>
    <n v="216"/>
  </r>
  <r>
    <x v="63"/>
    <s v="conventional_cashout_cltv_3"/>
    <x v="43"/>
    <n v="1"/>
    <n v="1"/>
    <n v="-36"/>
    <n v="216"/>
  </r>
  <r>
    <x v="63"/>
    <s v="conventional_cashout_cltv_4"/>
    <x v="44"/>
    <n v="1"/>
    <n v="1"/>
    <n v="-36"/>
    <n v="216"/>
  </r>
  <r>
    <x v="63"/>
    <s v="conventional_cashout_cltv_5"/>
    <x v="45"/>
    <n v="1"/>
    <n v="1"/>
    <n v="-36"/>
    <n v="216"/>
  </r>
  <r>
    <x v="63"/>
    <s v="conventional_cashout_cltv_6"/>
    <x v="46"/>
    <n v="1"/>
    <n v="1"/>
    <n v="-36"/>
    <n v="216"/>
  </r>
  <r>
    <x v="63"/>
    <s v="conventional_cashout_cltv_7"/>
    <x v="47"/>
    <n v="1"/>
    <n v="1"/>
    <n v="-36"/>
    <n v="216"/>
  </r>
  <r>
    <x v="63"/>
    <s v="conventional_cashout_cltv_8"/>
    <x v="48"/>
    <n v="1"/>
    <n v="1"/>
    <n v="-36"/>
    <n v="216"/>
  </r>
  <r>
    <x v="63"/>
    <s v="conventional_cashout_cltv_9"/>
    <x v="49"/>
    <n v="1"/>
    <n v="1"/>
    <n v="-36"/>
    <n v="216"/>
  </r>
  <r>
    <x v="63"/>
    <s v="conventional_cashout_cltv_10"/>
    <x v="50"/>
    <n v="1"/>
    <n v="1"/>
    <n v="-36"/>
    <n v="216"/>
  </r>
  <r>
    <x v="63"/>
    <s v="conventional_cashout_cltv_11"/>
    <x v="51"/>
    <n v="1"/>
    <n v="1"/>
    <n v="-36"/>
    <n v="216"/>
  </r>
  <r>
    <x v="63"/>
    <s v="conventional_cashout_cltv_12"/>
    <x v="52"/>
    <n v="1"/>
    <n v="1"/>
    <n v="-36"/>
    <n v="216"/>
  </r>
  <r>
    <x v="63"/>
    <s v="conventional_cashout_cltv_13"/>
    <x v="53"/>
    <n v="1"/>
    <n v="1"/>
    <n v="-36"/>
    <n v="216"/>
  </r>
  <r>
    <x v="63"/>
    <s v="conventional_cashout_cltv_14"/>
    <x v="54"/>
    <n v="1"/>
    <n v="1"/>
    <n v="-36"/>
    <n v="216"/>
  </r>
  <r>
    <x v="63"/>
    <s v="conventional_cashout_cltv_15"/>
    <x v="55"/>
    <n v="1"/>
    <n v="1"/>
    <n v="-36"/>
    <n v="216"/>
  </r>
  <r>
    <x v="63"/>
    <s v="conventional_cashout_cltv_16"/>
    <x v="56"/>
    <n v="1"/>
    <n v="1"/>
    <n v="-36"/>
    <n v="216"/>
  </r>
  <r>
    <x v="63"/>
    <s v="conventional_cashout_cltv_17"/>
    <x v="57"/>
    <n v="1"/>
    <n v="1"/>
    <n v="-36"/>
    <n v="216"/>
  </r>
  <r>
    <x v="63"/>
    <s v="conventional_cashout_cltv_18"/>
    <x v="58"/>
    <n v="1"/>
    <n v="1"/>
    <n v="-36"/>
    <n v="216"/>
  </r>
  <r>
    <x v="63"/>
    <s v="conventional_cashout_cltv_19"/>
    <x v="59"/>
    <n v="1"/>
    <n v="1"/>
    <n v="-36"/>
    <n v="216"/>
  </r>
  <r>
    <x v="63"/>
    <s v="conventional_cashout_cltv_20"/>
    <x v="60"/>
    <n v="1"/>
    <n v="1"/>
    <n v="-36"/>
    <n v="216"/>
  </r>
  <r>
    <x v="63"/>
    <s v="conventional_cashout_cltv_21"/>
    <x v="61"/>
    <n v="1"/>
    <n v="1"/>
    <n v="-36"/>
    <n v="216"/>
  </r>
  <r>
    <x v="63"/>
    <s v="conventional_cashout_cltv_22"/>
    <x v="62"/>
    <n v="1"/>
    <n v="1"/>
    <n v="-36"/>
    <n v="216"/>
  </r>
  <r>
    <x v="63"/>
    <s v="conventional_cashout_cltv_23"/>
    <x v="63"/>
    <n v="1"/>
    <n v="1"/>
    <n v="-36"/>
    <n v="216"/>
  </r>
  <r>
    <x v="63"/>
    <s v="conventional_cashout_cltv_24"/>
    <x v="64"/>
    <n v="1"/>
    <n v="1"/>
    <n v="-36"/>
    <n v="216"/>
  </r>
  <r>
    <x v="63"/>
    <s v="conventional_cashout_cltv_25"/>
    <x v="65"/>
    <n v="1"/>
    <n v="1"/>
    <n v="-36"/>
    <n v="216"/>
  </r>
  <r>
    <x v="63"/>
    <s v="conventional_cashout_cltv_26"/>
    <x v="66"/>
    <n v="1"/>
    <n v="1"/>
    <n v="-36"/>
    <n v="216"/>
  </r>
  <r>
    <x v="63"/>
    <s v="conventional_cashout_cltv_27"/>
    <x v="67"/>
    <n v="1"/>
    <n v="1"/>
    <n v="-36"/>
    <n v="216"/>
  </r>
  <r>
    <x v="63"/>
    <s v="conventional_cashout_cltv_28"/>
    <x v="68"/>
    <n v="1"/>
    <n v="1"/>
    <n v="-36"/>
    <n v="216"/>
  </r>
  <r>
    <x v="63"/>
    <s v="conventional_cashout_cltv_29"/>
    <x v="69"/>
    <n v="1"/>
    <n v="1"/>
    <n v="-36"/>
    <n v="216"/>
  </r>
  <r>
    <x v="63"/>
    <s v="conventional_cashout_cltv_30"/>
    <x v="70"/>
    <n v="1"/>
    <n v="1"/>
    <n v="-36"/>
    <n v="216"/>
  </r>
  <r>
    <x v="63"/>
    <s v="conventional_cashout_cltv_31"/>
    <x v="71"/>
    <n v="1"/>
    <n v="1"/>
    <n v="-36"/>
    <n v="216"/>
  </r>
  <r>
    <x v="63"/>
    <s v="conventional_cashout_cltv_32"/>
    <x v="72"/>
    <n v="1"/>
    <n v="1"/>
    <n v="-36"/>
    <n v="216"/>
  </r>
  <r>
    <x v="63"/>
    <s v="conventional_cashout_cltv_33"/>
    <x v="73"/>
    <n v="1"/>
    <n v="1"/>
    <n v="-36"/>
    <n v="216"/>
  </r>
  <r>
    <x v="63"/>
    <s v="conventional_cashout_cltv_34"/>
    <x v="74"/>
    <n v="1"/>
    <n v="1"/>
    <n v="-36"/>
    <n v="216"/>
  </r>
  <r>
    <x v="63"/>
    <s v="conventional_cashout_cltv_35"/>
    <x v="75"/>
    <n v="1"/>
    <n v="1"/>
    <n v="-36"/>
    <n v="216"/>
  </r>
  <r>
    <x v="63"/>
    <s v="conventional_cashout_cltv_36"/>
    <x v="76"/>
    <n v="1"/>
    <n v="1"/>
    <n v="-36"/>
    <n v="216"/>
  </r>
  <r>
    <x v="63"/>
    <s v="conventional_cashout_cltv_37"/>
    <x v="77"/>
    <n v="1"/>
    <n v="1"/>
    <n v="-36"/>
    <n v="216"/>
  </r>
  <r>
    <x v="63"/>
    <s v="conventional_cashout_cltv_38"/>
    <x v="78"/>
    <n v="1"/>
    <n v="1"/>
    <n v="-36"/>
    <n v="216"/>
  </r>
  <r>
    <x v="63"/>
    <s v="conventional_cashout_cltv_39"/>
    <x v="79"/>
    <n v="1"/>
    <n v="1"/>
    <n v="-36"/>
    <n v="216"/>
  </r>
  <r>
    <x v="63"/>
    <s v="conventional_cashout_cltv_40"/>
    <x v="80"/>
    <n v="1"/>
    <n v="1"/>
    <n v="-36"/>
    <n v="216"/>
  </r>
  <r>
    <x v="63"/>
    <s v="conventional_cashout_cltv_41"/>
    <x v="81"/>
    <n v="1"/>
    <n v="1"/>
    <n v="-36"/>
    <n v="216"/>
  </r>
  <r>
    <x v="63"/>
    <s v="conventional_cashout_cltv_42"/>
    <x v="82"/>
    <n v="1"/>
    <n v="1"/>
    <n v="-36"/>
    <n v="216"/>
  </r>
  <r>
    <x v="63"/>
    <s v="conventional_cashout_cltv_43"/>
    <x v="83"/>
    <n v="1"/>
    <n v="1"/>
    <n v="-36"/>
    <n v="216"/>
  </r>
  <r>
    <x v="63"/>
    <s v="conventional_cashout_cltv_44"/>
    <x v="84"/>
    <n v="1"/>
    <n v="1"/>
    <n v="-36"/>
    <n v="216"/>
  </r>
  <r>
    <x v="63"/>
    <s v="conventional_cashout_cltv_45"/>
    <x v="85"/>
    <n v="1"/>
    <n v="1"/>
    <n v="-36"/>
    <n v="216"/>
  </r>
  <r>
    <x v="63"/>
    <s v="conventional_cashout_cltv_46"/>
    <x v="86"/>
    <n v="1"/>
    <n v="1"/>
    <n v="-36"/>
    <n v="216"/>
  </r>
  <r>
    <x v="63"/>
    <s v="conventional_cashout_cltv_47"/>
    <x v="87"/>
    <n v="1"/>
    <n v="1"/>
    <n v="-36"/>
    <n v="216"/>
  </r>
  <r>
    <x v="63"/>
    <s v="conventional_cashout_cltv_48"/>
    <x v="88"/>
    <n v="1"/>
    <n v="1"/>
    <n v="-36"/>
    <n v="216"/>
  </r>
  <r>
    <x v="63"/>
    <s v="conventional_cashout_cltv_49"/>
    <x v="89"/>
    <n v="1"/>
    <n v="1"/>
    <n v="-36"/>
    <n v="216"/>
  </r>
  <r>
    <x v="63"/>
    <s v="conventional_cashout_cltv_50"/>
    <x v="90"/>
    <n v="1"/>
    <n v="1"/>
    <n v="-36"/>
    <n v="216"/>
  </r>
  <r>
    <x v="63"/>
    <s v="conventional_cashout_cltv_51"/>
    <x v="91"/>
    <n v="1"/>
    <n v="1"/>
    <n v="-36"/>
    <n v="216"/>
  </r>
  <r>
    <x v="63"/>
    <s v="conventional_cashout_cltv_52"/>
    <x v="92"/>
    <n v="1"/>
    <n v="1"/>
    <n v="-36"/>
    <n v="216"/>
  </r>
  <r>
    <x v="63"/>
    <s v="conventional_cashout_cltv_53"/>
    <x v="93"/>
    <n v="1"/>
    <n v="1"/>
    <n v="-36"/>
    <n v="216"/>
  </r>
  <r>
    <x v="63"/>
    <s v="conventional_cashout_cltv_54"/>
    <x v="94"/>
    <n v="1"/>
    <n v="1"/>
    <n v="-36"/>
    <n v="216"/>
  </r>
  <r>
    <x v="63"/>
    <s v="conventional_cashout_cltv_55"/>
    <x v="95"/>
    <n v="1"/>
    <n v="1"/>
    <n v="-36"/>
    <n v="216"/>
  </r>
  <r>
    <x v="63"/>
    <s v="conventional_cashout_cltv_56"/>
    <x v="96"/>
    <n v="1"/>
    <n v="1"/>
    <n v="-36"/>
    <n v="216"/>
  </r>
  <r>
    <x v="63"/>
    <s v="conventional_cashout_cltv_57"/>
    <x v="97"/>
    <n v="1"/>
    <n v="1"/>
    <n v="-36"/>
    <n v="216"/>
  </r>
  <r>
    <x v="63"/>
    <s v="conventional_cashout_cltv_58"/>
    <x v="98"/>
    <n v="1"/>
    <n v="1"/>
    <n v="-36"/>
    <n v="216"/>
  </r>
  <r>
    <x v="63"/>
    <s v="conventional_cashout_cltv_59"/>
    <x v="99"/>
    <n v="1"/>
    <n v="1"/>
    <n v="-36"/>
    <n v="216"/>
  </r>
  <r>
    <x v="63"/>
    <s v="conventional_cashout_cltv_60"/>
    <x v="100"/>
    <n v="1"/>
    <n v="1"/>
    <n v="-36"/>
    <n v="216"/>
  </r>
  <r>
    <x v="63"/>
    <s v="conventional_cashout_cltv_61"/>
    <x v="101"/>
    <n v="1"/>
    <n v="1"/>
    <n v="-36"/>
    <n v="216"/>
  </r>
  <r>
    <x v="63"/>
    <s v="conventional_cashout_cltv_62"/>
    <x v="102"/>
    <n v="1"/>
    <n v="1"/>
    <n v="-36"/>
    <n v="216"/>
  </r>
  <r>
    <x v="63"/>
    <s v="conventional_cashout_cltv_63"/>
    <x v="103"/>
    <n v="1"/>
    <n v="1"/>
    <n v="-36"/>
    <n v="216"/>
  </r>
  <r>
    <x v="63"/>
    <s v="conventional_cashout_cltv_64"/>
    <x v="104"/>
    <n v="1"/>
    <n v="1"/>
    <n v="-36"/>
    <n v="216"/>
  </r>
  <r>
    <x v="63"/>
    <s v="conventional_cashout_cltv_65"/>
    <x v="105"/>
    <n v="1"/>
    <n v="1"/>
    <n v="-36"/>
    <n v="216"/>
  </r>
  <r>
    <x v="63"/>
    <s v="conventional_cashout_cltv_66"/>
    <x v="106"/>
    <n v="1"/>
    <n v="1"/>
    <n v="-36"/>
    <n v="216"/>
  </r>
  <r>
    <x v="63"/>
    <s v="conventional_cashout_cltv_67"/>
    <x v="107"/>
    <n v="1"/>
    <n v="1"/>
    <n v="-36"/>
    <n v="216"/>
  </r>
  <r>
    <x v="63"/>
    <s v="conventional_cashout_cltv_68"/>
    <x v="108"/>
    <n v="1"/>
    <n v="1"/>
    <n v="-36"/>
    <n v="216"/>
  </r>
  <r>
    <x v="63"/>
    <s v="conventional_cashout_cltv_69"/>
    <x v="109"/>
    <n v="1"/>
    <n v="1"/>
    <n v="-36"/>
    <n v="216"/>
  </r>
  <r>
    <x v="63"/>
    <s v="conventional_cashout_cltv_70"/>
    <x v="110"/>
    <n v="1"/>
    <n v="1"/>
    <n v="-36"/>
    <n v="216"/>
  </r>
  <r>
    <x v="63"/>
    <s v="conventional_cashout_cltv_71"/>
    <x v="111"/>
    <n v="0.98914999999999997"/>
    <n v="1"/>
    <n v="-36"/>
    <n v="216"/>
  </r>
  <r>
    <x v="63"/>
    <s v="conventional_cashout_cltv_72"/>
    <x v="112"/>
    <n v="0.95920000000000005"/>
    <n v="1"/>
    <n v="-36"/>
    <n v="216"/>
  </r>
  <r>
    <x v="63"/>
    <s v="conventional_cashout_cltv_73"/>
    <x v="113"/>
    <n v="0.91405000000000003"/>
    <n v="1"/>
    <n v="-36"/>
    <n v="216"/>
  </r>
  <r>
    <x v="63"/>
    <s v="conventional_cashout_cltv_74"/>
    <x v="114"/>
    <n v="0.85760000000000003"/>
    <n v="1"/>
    <n v="-36"/>
    <n v="216"/>
  </r>
  <r>
    <x v="63"/>
    <s v="conventional_cashout_cltv_75"/>
    <x v="115"/>
    <n v="0.79374999999999996"/>
    <n v="1"/>
    <n v="-36"/>
    <n v="216"/>
  </r>
  <r>
    <x v="63"/>
    <s v="conventional_cashout_cltv_76"/>
    <x v="116"/>
    <n v="0.72640000000000005"/>
    <n v="1"/>
    <n v="-36"/>
    <n v="216"/>
  </r>
  <r>
    <x v="63"/>
    <s v="conventional_cashout_cltv_77"/>
    <x v="117"/>
    <n v="0.65944999999999998"/>
    <n v="1"/>
    <n v="-36"/>
    <n v="216"/>
  </r>
  <r>
    <x v="63"/>
    <s v="conventional_cashout_cltv_78"/>
    <x v="118"/>
    <n v="0.5968"/>
    <n v="1"/>
    <n v="-36"/>
    <n v="216"/>
  </r>
  <r>
    <x v="63"/>
    <s v="conventional_cashout_cltv_79"/>
    <x v="119"/>
    <n v="0.54235"/>
    <n v="1"/>
    <n v="-36"/>
    <n v="216"/>
  </r>
  <r>
    <x v="63"/>
    <s v="conventional_cashout_cltv_80"/>
    <x v="120"/>
    <n v="0.5"/>
    <n v="1"/>
    <n v="-36"/>
    <n v="216"/>
  </r>
  <r>
    <x v="63"/>
    <s v="conventional_cashout_cltv_81"/>
    <x v="121"/>
    <n v="0.46610623812500002"/>
    <n v="1"/>
    <n v="-36"/>
    <n v="216"/>
  </r>
  <r>
    <x v="63"/>
    <s v="conventional_cashout_cltv_82"/>
    <x v="122"/>
    <n v="0.43434995500000001"/>
    <n v="1"/>
    <n v="-36"/>
    <n v="216"/>
  </r>
  <r>
    <x v="63"/>
    <s v="conventional_cashout_cltv_83"/>
    <x v="123"/>
    <n v="0.404618654375"/>
    <n v="1"/>
    <n v="-36"/>
    <n v="216"/>
  </r>
  <r>
    <x v="63"/>
    <s v="conventional_cashout_cltv_84"/>
    <x v="124"/>
    <n v="0.37679984"/>
    <n v="1"/>
    <n v="-36"/>
    <n v="216"/>
  </r>
  <r>
    <x v="63"/>
    <s v="conventional_cashout_cltv_85"/>
    <x v="125"/>
    <n v="0.35078101562500003"/>
    <n v="1"/>
    <n v="-36"/>
    <n v="216"/>
  </r>
  <r>
    <x v="63"/>
    <s v="conventional_cashout_cltv_86"/>
    <x v="126"/>
    <n v="0.32644968499999999"/>
    <n v="1"/>
    <n v="-36"/>
    <n v="216"/>
  </r>
  <r>
    <x v="63"/>
    <s v="conventional_cashout_cltv_87"/>
    <x v="127"/>
    <n v="0.30369335187500002"/>
    <n v="1"/>
    <n v="-36"/>
    <n v="216"/>
  </r>
  <r>
    <x v="63"/>
    <s v="conventional_cashout_cltv_88"/>
    <x v="128"/>
    <n v="0.28239952000000001"/>
    <n v="1"/>
    <n v="-36"/>
    <n v="216"/>
  </r>
  <r>
    <x v="63"/>
    <s v="conventional_cashout_cltv_89"/>
    <x v="129"/>
    <n v="0.262455693125"/>
    <n v="1"/>
    <n v="-36"/>
    <n v="216"/>
  </r>
  <r>
    <x v="63"/>
    <s v="conventional_cashout_cltv_90"/>
    <x v="130"/>
    <n v="0.24374937499999999"/>
    <n v="1"/>
    <n v="-36"/>
    <n v="216"/>
  </r>
  <r>
    <x v="63"/>
    <s v="conventional_cashout_cltv_91"/>
    <x v="131"/>
    <n v="0.226168069375"/>
    <n v="1"/>
    <n v="-36"/>
    <n v="216"/>
  </r>
  <r>
    <x v="63"/>
    <s v="conventional_cashout_cltv_92"/>
    <x v="132"/>
    <n v="0.20959928"/>
    <n v="1"/>
    <n v="-36"/>
    <n v="216"/>
  </r>
  <r>
    <x v="63"/>
    <s v="conventional_cashout_cltv_93"/>
    <x v="133"/>
    <n v="0.193930510625"/>
    <n v="1"/>
    <n v="-36"/>
    <n v="216"/>
  </r>
  <r>
    <x v="63"/>
    <s v="conventional_cashout_cltv_94"/>
    <x v="134"/>
    <n v="0.17904926500000001"/>
    <n v="1"/>
    <n v="-36"/>
    <n v="216"/>
  </r>
  <r>
    <x v="63"/>
    <s v="conventional_cashout_cltv_95"/>
    <x v="135"/>
    <n v="0.16484304687500001"/>
    <n v="1"/>
    <n v="-36"/>
    <n v="216"/>
  </r>
  <r>
    <x v="63"/>
    <s v="conventional_cashout_cltv_96"/>
    <x v="136"/>
    <n v="0.15119936"/>
    <n v="1"/>
    <n v="-36"/>
    <n v="216"/>
  </r>
  <r>
    <x v="63"/>
    <s v="conventional_cashout_cltv_97"/>
    <x v="137"/>
    <n v="0.13800570812499999"/>
    <n v="1"/>
    <n v="-36"/>
    <n v="216"/>
  </r>
  <r>
    <x v="63"/>
    <s v="conventional_cashout_cltv_98"/>
    <x v="138"/>
    <n v="0.125149595"/>
    <n v="1"/>
    <n v="-36"/>
    <n v="216"/>
  </r>
  <r>
    <x v="63"/>
    <s v="conventional_cashout_cltv_99"/>
    <x v="139"/>
    <n v="0.112518524375"/>
    <n v="1"/>
    <n v="-36"/>
    <n v="216"/>
  </r>
  <r>
    <x v="63"/>
    <s v="conventional_cashout_cltv_100"/>
    <x v="140"/>
    <n v="0.1"/>
    <n v="1"/>
    <n v="-36"/>
    <n v="216"/>
  </r>
  <r>
    <x v="63"/>
    <s v="conventional_cashout_cltv_101"/>
    <x v="141"/>
    <n v="8.7994048125000002E-2"/>
    <n v="1"/>
    <n v="-36"/>
    <n v="216"/>
  </r>
  <r>
    <x v="63"/>
    <s v="conventional_cashout_cltv_102"/>
    <x v="142"/>
    <n v="7.6950685000000005E-2"/>
    <n v="1"/>
    <n v="-36"/>
    <n v="216"/>
  </r>
  <r>
    <x v="63"/>
    <s v="conventional_cashout_cltv_103"/>
    <x v="143"/>
    <n v="6.6832399375000004E-2"/>
    <n v="1"/>
    <n v="-36"/>
    <n v="216"/>
  </r>
  <r>
    <x v="63"/>
    <s v="conventional_cashout_cltv_104"/>
    <x v="144"/>
    <n v="5.7601680000000002E-2"/>
    <n v="1"/>
    <n v="-36"/>
    <n v="216"/>
  </r>
  <r>
    <x v="63"/>
    <s v="conventional_cashout_cltv_105"/>
    <x v="145"/>
    <n v="4.9221015625000003E-2"/>
    <n v="1"/>
    <n v="-36"/>
    <n v="216"/>
  </r>
  <r>
    <x v="63"/>
    <s v="conventional_cashout_cltv_106"/>
    <x v="146"/>
    <n v="4.1652895000000002E-2"/>
    <n v="1"/>
    <n v="-36"/>
    <n v="216"/>
  </r>
  <r>
    <x v="63"/>
    <s v="conventional_cashout_cltv_107"/>
    <x v="147"/>
    <n v="3.4859806875000003E-2"/>
    <n v="1"/>
    <n v="-36"/>
    <n v="216"/>
  </r>
  <r>
    <x v="63"/>
    <s v="conventional_cashout_cltv_108"/>
    <x v="148"/>
    <n v="2.8804239999999998E-2"/>
    <n v="1"/>
    <n v="-36"/>
    <n v="216"/>
  </r>
  <r>
    <x v="63"/>
    <s v="conventional_cashout_cltv_109"/>
    <x v="149"/>
    <n v="2.3448683125000001E-2"/>
    <n v="1"/>
    <n v="-36"/>
    <n v="216"/>
  </r>
  <r>
    <x v="63"/>
    <s v="conventional_cashout_cltv_110"/>
    <x v="150"/>
    <n v="1.8755625000000001E-2"/>
    <n v="1"/>
    <n v="-36"/>
    <n v="216"/>
  </r>
  <r>
    <x v="63"/>
    <s v="conventional_cashout_cltv_111"/>
    <x v="151"/>
    <n v="1.4687554375E-2"/>
    <n v="1"/>
    <n v="-36"/>
    <n v="216"/>
  </r>
  <r>
    <x v="63"/>
    <s v="conventional_cashout_cltv_112"/>
    <x v="152"/>
    <n v="1.120696E-2"/>
    <n v="1"/>
    <n v="-36"/>
    <n v="216"/>
  </r>
  <r>
    <x v="63"/>
    <s v="conventional_cashout_cltv_113"/>
    <x v="153"/>
    <n v="8.2763306249999998E-3"/>
    <n v="1"/>
    <n v="-36"/>
    <n v="216"/>
  </r>
  <r>
    <x v="63"/>
    <s v="conventional_cashout_cltv_114"/>
    <x v="154"/>
    <n v="5.8581550000000003E-3"/>
    <n v="1"/>
    <n v="-36"/>
    <n v="216"/>
  </r>
  <r>
    <x v="63"/>
    <s v="conventional_cashout_cltv_115"/>
    <x v="155"/>
    <n v="3.9149218750000004E-3"/>
    <n v="1"/>
    <n v="-36"/>
    <n v="216"/>
  </r>
  <r>
    <x v="63"/>
    <s v="conventional_cashout_cltv_116"/>
    <x v="156"/>
    <n v="2.4091199999999899E-3"/>
    <n v="1"/>
    <n v="-36"/>
    <n v="216"/>
  </r>
  <r>
    <x v="63"/>
    <s v="conventional_cashout_cltv_117"/>
    <x v="157"/>
    <n v="1.3032381250000101E-3"/>
    <n v="1"/>
    <n v="-36"/>
    <n v="216"/>
  </r>
  <r>
    <x v="63"/>
    <s v="conventional_cashout_cltv_118"/>
    <x v="158"/>
    <n v="5.5976500000000297E-4"/>
    <n v="1"/>
    <n v="-36"/>
    <n v="216"/>
  </r>
  <r>
    <x v="63"/>
    <s v="conventional_cashout_cltv_119"/>
    <x v="159"/>
    <n v="1.4118937499999699E-4"/>
    <n v="1"/>
    <n v="-36"/>
    <n v="216"/>
  </r>
  <r>
    <x v="63"/>
    <s v="conventional_cashout_cltv_120"/>
    <x v="160"/>
    <n v="1.0000000000000001E-5"/>
    <n v="1"/>
    <n v="-36"/>
    <n v="216"/>
  </r>
  <r>
    <x v="63"/>
    <s v="conventional_cashout_cltv_121"/>
    <x v="161"/>
    <n v="1.0000000000000001E-5"/>
    <n v="1"/>
    <n v="-36"/>
    <n v="216"/>
  </r>
  <r>
    <x v="63"/>
    <s v="conventional_cashout_cltv_122"/>
    <x v="162"/>
    <n v="1.0000000000000001E-5"/>
    <n v="1"/>
    <n v="-36"/>
    <n v="216"/>
  </r>
  <r>
    <x v="63"/>
    <s v="conventional_cashout_cltv_123"/>
    <x v="163"/>
    <n v="1.0000000000000001E-5"/>
    <n v="1"/>
    <n v="-36"/>
    <n v="216"/>
  </r>
  <r>
    <x v="63"/>
    <s v="conventional_cashout_cltv_124"/>
    <x v="164"/>
    <n v="1.0000000000000001E-5"/>
    <n v="1"/>
    <n v="-36"/>
    <n v="216"/>
  </r>
  <r>
    <x v="63"/>
    <s v="conventional_cashout_cltv_125"/>
    <x v="165"/>
    <n v="1.0000000000000001E-5"/>
    <n v="1"/>
    <n v="-36"/>
    <n v="216"/>
  </r>
  <r>
    <x v="63"/>
    <s v="conventional_cashout_cltv_126"/>
    <x v="166"/>
    <n v="1.0000000000000001E-5"/>
    <n v="1"/>
    <n v="-36"/>
    <n v="216"/>
  </r>
  <r>
    <x v="63"/>
    <s v="conventional_cashout_cltv_127"/>
    <x v="167"/>
    <n v="1.0000000000000001E-5"/>
    <n v="1"/>
    <n v="-36"/>
    <n v="216"/>
  </r>
  <r>
    <x v="63"/>
    <s v="conventional_cashout_cltv_128"/>
    <x v="168"/>
    <n v="1.0000000000000001E-5"/>
    <n v="1"/>
    <n v="-36"/>
    <n v="216"/>
  </r>
  <r>
    <x v="63"/>
    <s v="conventional_cashout_cltv_129"/>
    <x v="169"/>
    <n v="1.0000000000000001E-5"/>
    <n v="1"/>
    <n v="-36"/>
    <n v="216"/>
  </r>
  <r>
    <x v="63"/>
    <s v="conventional_cashout_cltv_130"/>
    <x v="170"/>
    <n v="1.0000000000000001E-5"/>
    <n v="1"/>
    <n v="-36"/>
    <n v="216"/>
  </r>
  <r>
    <x v="63"/>
    <s v="conventional_cashout_cltv_131"/>
    <x v="171"/>
    <n v="1.0000000000000001E-5"/>
    <n v="1"/>
    <n v="-36"/>
    <n v="216"/>
  </r>
  <r>
    <x v="63"/>
    <s v="conventional_cashout_cltv_132"/>
    <x v="172"/>
    <n v="1.0000000000000001E-5"/>
    <n v="1"/>
    <n v="-36"/>
    <n v="216"/>
  </r>
  <r>
    <x v="63"/>
    <s v="conventional_cashout_cltv_133"/>
    <x v="173"/>
    <n v="1.0000000000000001E-5"/>
    <n v="1"/>
    <n v="-36"/>
    <n v="216"/>
  </r>
  <r>
    <x v="63"/>
    <s v="conventional_cashout_cltv_134"/>
    <x v="174"/>
    <n v="1.0000000000000001E-5"/>
    <n v="1"/>
    <n v="-36"/>
    <n v="216"/>
  </r>
  <r>
    <x v="63"/>
    <s v="conventional_cashout_cltv_135"/>
    <x v="175"/>
    <n v="1.0000000000000001E-5"/>
    <n v="1"/>
    <n v="-36"/>
    <n v="216"/>
  </r>
  <r>
    <x v="63"/>
    <s v="conventional_cashout_cltv_136"/>
    <x v="176"/>
    <n v="1.0000000000000001E-5"/>
    <n v="1"/>
    <n v="-36"/>
    <n v="216"/>
  </r>
  <r>
    <x v="63"/>
    <s v="conventional_cashout_cltv_137"/>
    <x v="177"/>
    <n v="1.0000000000000001E-5"/>
    <n v="1"/>
    <n v="-36"/>
    <n v="216"/>
  </r>
  <r>
    <x v="63"/>
    <s v="conventional_cashout_cltv_138"/>
    <x v="178"/>
    <n v="1.0000000000000001E-5"/>
    <n v="1"/>
    <n v="-36"/>
    <n v="216"/>
  </r>
  <r>
    <x v="63"/>
    <s v="conventional_cashout_cltv_139"/>
    <x v="179"/>
    <n v="1.0000000000000001E-5"/>
    <n v="1"/>
    <n v="-36"/>
    <n v="216"/>
  </r>
  <r>
    <x v="63"/>
    <s v="conventional_cashout_cltv_140"/>
    <x v="180"/>
    <n v="1.0000000000000001E-5"/>
    <n v="1"/>
    <n v="-36"/>
    <n v="216"/>
  </r>
  <r>
    <x v="63"/>
    <s v="conventional_cashout_cltv_141"/>
    <x v="181"/>
    <n v="1.0000000000000001E-5"/>
    <n v="1"/>
    <n v="-36"/>
    <n v="216"/>
  </r>
  <r>
    <x v="63"/>
    <s v="conventional_cashout_cltv_142"/>
    <x v="182"/>
    <n v="1.0000000000000001E-5"/>
    <n v="1"/>
    <n v="-36"/>
    <n v="216"/>
  </r>
  <r>
    <x v="63"/>
    <s v="conventional_cashout_cltv_143"/>
    <x v="183"/>
    <n v="1.0000000000000001E-5"/>
    <n v="1"/>
    <n v="-36"/>
    <n v="216"/>
  </r>
  <r>
    <x v="63"/>
    <s v="conventional_cashout_cltv_144"/>
    <x v="184"/>
    <n v="1.0000000000000001E-5"/>
    <n v="1"/>
    <n v="-36"/>
    <n v="216"/>
  </r>
  <r>
    <x v="63"/>
    <s v="conventional_cashout_cltv_145"/>
    <x v="185"/>
    <n v="1.0000000000000001E-5"/>
    <n v="1"/>
    <n v="-36"/>
    <n v="216"/>
  </r>
  <r>
    <x v="63"/>
    <s v="conventional_cashout_cltv_146"/>
    <x v="186"/>
    <n v="1.0000000000000001E-5"/>
    <n v="1"/>
    <n v="-36"/>
    <n v="216"/>
  </r>
  <r>
    <x v="63"/>
    <s v="conventional_cashout_cltv_147"/>
    <x v="187"/>
    <n v="1.0000000000000001E-5"/>
    <n v="1"/>
    <n v="-36"/>
    <n v="216"/>
  </r>
  <r>
    <x v="63"/>
    <s v="conventional_cashout_cltv_148"/>
    <x v="188"/>
    <n v="1.0000000000000001E-5"/>
    <n v="1"/>
    <n v="-36"/>
    <n v="216"/>
  </r>
  <r>
    <x v="63"/>
    <s v="conventional_cashout_cltv_149"/>
    <x v="189"/>
    <n v="1.0000000000000001E-5"/>
    <n v="1"/>
    <n v="-36"/>
    <n v="216"/>
  </r>
  <r>
    <x v="63"/>
    <s v="conventional_cashout_cltv_150"/>
    <x v="190"/>
    <n v="1.0000000000000001E-5"/>
    <n v="1"/>
    <n v="-36"/>
    <n v="216"/>
  </r>
  <r>
    <x v="63"/>
    <s v="conventional_cashout_cltv_151"/>
    <x v="191"/>
    <n v="1.0000000000000001E-5"/>
    <n v="1"/>
    <n v="-36"/>
    <n v="216"/>
  </r>
  <r>
    <x v="63"/>
    <s v="conventional_cashout_cltv_152"/>
    <x v="192"/>
    <n v="1.0000000000000001E-5"/>
    <n v="1"/>
    <n v="-36"/>
    <n v="216"/>
  </r>
  <r>
    <x v="63"/>
    <s v="conventional_cashout_cltv_153"/>
    <x v="193"/>
    <n v="1.0000000000000001E-5"/>
    <n v="1"/>
    <n v="-36"/>
    <n v="216"/>
  </r>
  <r>
    <x v="63"/>
    <s v="conventional_cashout_cltv_154"/>
    <x v="194"/>
    <n v="1.0000000000000001E-5"/>
    <n v="1"/>
    <n v="-36"/>
    <n v="216"/>
  </r>
  <r>
    <x v="63"/>
    <s v="conventional_cashout_cltv_155"/>
    <x v="195"/>
    <n v="1.0000000000000001E-5"/>
    <n v="1"/>
    <n v="-36"/>
    <n v="216"/>
  </r>
  <r>
    <x v="63"/>
    <s v="conventional_cashout_cltv_156"/>
    <x v="196"/>
    <n v="1.0000000000000001E-5"/>
    <n v="1"/>
    <n v="-36"/>
    <n v="216"/>
  </r>
  <r>
    <x v="63"/>
    <s v="conventional_cashout_cltv_157"/>
    <x v="197"/>
    <n v="1.0000000000000001E-5"/>
    <n v="1"/>
    <n v="-36"/>
    <n v="216"/>
  </r>
  <r>
    <x v="63"/>
    <s v="conventional_cashout_cltv_158"/>
    <x v="198"/>
    <n v="1.0000000000000001E-5"/>
    <n v="1"/>
    <n v="-36"/>
    <n v="216"/>
  </r>
  <r>
    <x v="63"/>
    <s v="conventional_cashout_cltv_159"/>
    <x v="199"/>
    <n v="1.0000000000000001E-5"/>
    <n v="1"/>
    <n v="-36"/>
    <n v="216"/>
  </r>
  <r>
    <x v="63"/>
    <s v="conventional_cashout_cltv_160"/>
    <x v="200"/>
    <n v="1.0000000000000001E-5"/>
    <n v="1"/>
    <n v="-36"/>
    <n v="216"/>
  </r>
  <r>
    <x v="63"/>
    <s v="conventional_cashout_cltv_161"/>
    <x v="201"/>
    <n v="1.0000000000000001E-5"/>
    <n v="1"/>
    <n v="-36"/>
    <n v="216"/>
  </r>
  <r>
    <x v="63"/>
    <s v="conventional_cashout_cltv_162"/>
    <x v="202"/>
    <n v="1.0000000000000001E-5"/>
    <n v="1"/>
    <n v="-36"/>
    <n v="216"/>
  </r>
  <r>
    <x v="63"/>
    <s v="conventional_cashout_cltv_163"/>
    <x v="203"/>
    <n v="1.0000000000000001E-5"/>
    <n v="1"/>
    <n v="-36"/>
    <n v="216"/>
  </r>
  <r>
    <x v="63"/>
    <s v="conventional_cashout_cltv_164"/>
    <x v="204"/>
    <n v="1.0000000000000001E-5"/>
    <n v="1"/>
    <n v="-36"/>
    <n v="216"/>
  </r>
  <r>
    <x v="63"/>
    <s v="conventional_cashout_cltv_165"/>
    <x v="205"/>
    <n v="1.0000000000000001E-5"/>
    <n v="1"/>
    <n v="-36"/>
    <n v="216"/>
  </r>
  <r>
    <x v="63"/>
    <s v="conventional_cashout_cltv_166"/>
    <x v="206"/>
    <n v="1.0000000000000001E-5"/>
    <n v="1"/>
    <n v="-36"/>
    <n v="216"/>
  </r>
  <r>
    <x v="63"/>
    <s v="conventional_cashout_cltv_167"/>
    <x v="207"/>
    <n v="1.0000000000000001E-5"/>
    <n v="1"/>
    <n v="-36"/>
    <n v="216"/>
  </r>
  <r>
    <x v="63"/>
    <s v="conventional_cashout_cltv_168"/>
    <x v="208"/>
    <n v="1.0000000000000001E-5"/>
    <n v="1"/>
    <n v="-36"/>
    <n v="216"/>
  </r>
  <r>
    <x v="63"/>
    <s v="conventional_cashout_cltv_169"/>
    <x v="209"/>
    <n v="1.0000000000000001E-5"/>
    <n v="1"/>
    <n v="-36"/>
    <n v="216"/>
  </r>
  <r>
    <x v="63"/>
    <s v="conventional_cashout_cltv_170"/>
    <x v="210"/>
    <n v="1.0000000000000001E-5"/>
    <n v="1"/>
    <n v="-36"/>
    <n v="216"/>
  </r>
  <r>
    <x v="63"/>
    <s v="conventional_cashout_cltv_171"/>
    <x v="211"/>
    <n v="1.0000000000000001E-5"/>
    <n v="1"/>
    <n v="-36"/>
    <n v="216"/>
  </r>
  <r>
    <x v="63"/>
    <s v="conventional_cashout_cltv_172"/>
    <x v="212"/>
    <n v="1.0000000000000001E-5"/>
    <n v="1"/>
    <n v="-36"/>
    <n v="216"/>
  </r>
  <r>
    <x v="63"/>
    <s v="conventional_cashout_cltv_173"/>
    <x v="213"/>
    <n v="1.0000000000000001E-5"/>
    <n v="1"/>
    <n v="-36"/>
    <n v="216"/>
  </r>
  <r>
    <x v="63"/>
    <s v="conventional_cashout_cltv_174"/>
    <x v="214"/>
    <n v="1.0000000000000001E-5"/>
    <n v="1"/>
    <n v="-36"/>
    <n v="216"/>
  </r>
  <r>
    <x v="63"/>
    <s v="conventional_cashout_cltv_175"/>
    <x v="215"/>
    <n v="1.0000000000000001E-5"/>
    <n v="1"/>
    <n v="-36"/>
    <n v="216"/>
  </r>
  <r>
    <x v="63"/>
    <s v="conventional_cashout_cltv_176"/>
    <x v="216"/>
    <n v="1.0000000000000001E-5"/>
    <n v="1"/>
    <n v="-36"/>
    <n v="216"/>
  </r>
  <r>
    <x v="63"/>
    <s v="conventional_cashout_cltv_177"/>
    <x v="217"/>
    <n v="1.0000000000000001E-5"/>
    <n v="1"/>
    <n v="-36"/>
    <n v="216"/>
  </r>
  <r>
    <x v="63"/>
    <s v="conventional_cashout_cltv_178"/>
    <x v="218"/>
    <n v="1.0000000000000001E-5"/>
    <n v="1"/>
    <n v="-36"/>
    <n v="216"/>
  </r>
  <r>
    <x v="63"/>
    <s v="conventional_cashout_cltv_179"/>
    <x v="219"/>
    <n v="1.0000000000000001E-5"/>
    <n v="1"/>
    <n v="-36"/>
    <n v="216"/>
  </r>
  <r>
    <x v="63"/>
    <s v="conventional_cashout_cltv_180"/>
    <x v="220"/>
    <n v="1.0000000000000001E-5"/>
    <n v="1"/>
    <n v="-36"/>
    <n v="216"/>
  </r>
  <r>
    <x v="63"/>
    <s v="conventional_cashout_cltv_181"/>
    <x v="221"/>
    <n v="1.0000000000000001E-5"/>
    <n v="1"/>
    <n v="-36"/>
    <n v="216"/>
  </r>
  <r>
    <x v="63"/>
    <s v="conventional_cashout_cltv_182"/>
    <x v="222"/>
    <n v="1.0000000000000001E-5"/>
    <n v="1"/>
    <n v="-36"/>
    <n v="216"/>
  </r>
  <r>
    <x v="63"/>
    <s v="conventional_cashout_cltv_183"/>
    <x v="223"/>
    <n v="1.0000000000000001E-5"/>
    <n v="1"/>
    <n v="-36"/>
    <n v="216"/>
  </r>
  <r>
    <x v="63"/>
    <s v="conventional_cashout_cltv_184"/>
    <x v="224"/>
    <n v="1.0000000000000001E-5"/>
    <n v="1"/>
    <n v="-36"/>
    <n v="216"/>
  </r>
  <r>
    <x v="63"/>
    <s v="conventional_cashout_cltv_185"/>
    <x v="225"/>
    <n v="1.0000000000000001E-5"/>
    <n v="1"/>
    <n v="-36"/>
    <n v="216"/>
  </r>
  <r>
    <x v="63"/>
    <s v="conventional_cashout_cltv_186"/>
    <x v="226"/>
    <n v="1.0000000000000001E-5"/>
    <n v="1"/>
    <n v="-36"/>
    <n v="216"/>
  </r>
  <r>
    <x v="63"/>
    <s v="conventional_cashout_cltv_187"/>
    <x v="227"/>
    <n v="1.0000000000000001E-5"/>
    <n v="1"/>
    <n v="-36"/>
    <n v="216"/>
  </r>
  <r>
    <x v="63"/>
    <s v="conventional_cashout_cltv_188"/>
    <x v="228"/>
    <n v="1.0000000000000001E-5"/>
    <n v="1"/>
    <n v="-36"/>
    <n v="216"/>
  </r>
  <r>
    <x v="63"/>
    <s v="conventional_cashout_cltv_189"/>
    <x v="229"/>
    <n v="1.0000000000000001E-5"/>
    <n v="1"/>
    <n v="-36"/>
    <n v="216"/>
  </r>
  <r>
    <x v="63"/>
    <s v="conventional_cashout_cltv_190"/>
    <x v="230"/>
    <n v="1.0000000000000001E-5"/>
    <n v="1"/>
    <n v="-36"/>
    <n v="216"/>
  </r>
  <r>
    <x v="63"/>
    <s v="conventional_cashout_cltv_191"/>
    <x v="231"/>
    <n v="1.0000000000000001E-5"/>
    <n v="1"/>
    <n v="-36"/>
    <n v="216"/>
  </r>
  <r>
    <x v="63"/>
    <s v="conventional_cashout_cltv_192"/>
    <x v="232"/>
    <n v="1.0000000000000001E-5"/>
    <n v="1"/>
    <n v="-36"/>
    <n v="216"/>
  </r>
  <r>
    <x v="63"/>
    <s v="conventional_cashout_cltv_193"/>
    <x v="233"/>
    <n v="1.0000000000000001E-5"/>
    <n v="1"/>
    <n v="-36"/>
    <n v="216"/>
  </r>
  <r>
    <x v="63"/>
    <s v="conventional_cashout_cltv_194"/>
    <x v="234"/>
    <n v="1.0000000000000001E-5"/>
    <n v="1"/>
    <n v="-36"/>
    <n v="216"/>
  </r>
  <r>
    <x v="63"/>
    <s v="conventional_cashout_cltv_195"/>
    <x v="235"/>
    <n v="1.0000000000000001E-5"/>
    <n v="1"/>
    <n v="-36"/>
    <n v="216"/>
  </r>
  <r>
    <x v="63"/>
    <s v="conventional_cashout_cltv_196"/>
    <x v="236"/>
    <n v="1.0000000000000001E-5"/>
    <n v="1"/>
    <n v="-36"/>
    <n v="216"/>
  </r>
  <r>
    <x v="63"/>
    <s v="conventional_cashout_cltv_197"/>
    <x v="237"/>
    <n v="1.0000000000000001E-5"/>
    <n v="1"/>
    <n v="-36"/>
    <n v="216"/>
  </r>
  <r>
    <x v="63"/>
    <s v="conventional_cashout_cltv_198"/>
    <x v="238"/>
    <n v="1.0000000000000001E-5"/>
    <n v="1"/>
    <n v="-36"/>
    <n v="216"/>
  </r>
  <r>
    <x v="63"/>
    <s v="conventional_cashout_cltv_199"/>
    <x v="239"/>
    <n v="1.0000000000000001E-5"/>
    <n v="1"/>
    <n v="-36"/>
    <n v="216"/>
  </r>
  <r>
    <x v="63"/>
    <s v="conventional_cashout_cltv_200"/>
    <x v="240"/>
    <n v="1.0000000000000001E-5"/>
    <n v="1"/>
    <n v="-36"/>
    <n v="216"/>
  </r>
  <r>
    <x v="63"/>
    <s v="conventional_cashout_cltv_201"/>
    <x v="241"/>
    <n v="1.0000000000000001E-5"/>
    <n v="1"/>
    <n v="-36"/>
    <n v="216"/>
  </r>
  <r>
    <x v="63"/>
    <s v="conventional_cashout_cltv_202"/>
    <x v="242"/>
    <n v="1.0000000000000001E-5"/>
    <n v="1"/>
    <n v="-36"/>
    <n v="216"/>
  </r>
  <r>
    <x v="63"/>
    <s v="conventional_cashout_cltv_203"/>
    <x v="243"/>
    <n v="1.0000000000000001E-5"/>
    <n v="1"/>
    <n v="-36"/>
    <n v="216"/>
  </r>
  <r>
    <x v="63"/>
    <s v="conventional_cashout_cltv_204"/>
    <x v="244"/>
    <n v="1.0000000000000001E-5"/>
    <n v="1"/>
    <n v="-36"/>
    <n v="216"/>
  </r>
  <r>
    <x v="63"/>
    <s v="conventional_cashout_cltv_205"/>
    <x v="245"/>
    <n v="1.0000000000000001E-5"/>
    <n v="1"/>
    <n v="-36"/>
    <n v="216"/>
  </r>
  <r>
    <x v="63"/>
    <s v="conventional_cashout_cltv_206"/>
    <x v="246"/>
    <n v="1.0000000000000001E-5"/>
    <n v="1"/>
    <n v="-36"/>
    <n v="216"/>
  </r>
  <r>
    <x v="63"/>
    <s v="conventional_cashout_cltv_207"/>
    <x v="247"/>
    <n v="1.0000000000000001E-5"/>
    <n v="1"/>
    <n v="-36"/>
    <n v="216"/>
  </r>
  <r>
    <x v="63"/>
    <s v="conventional_cashout_cltv_208"/>
    <x v="248"/>
    <n v="1.0000000000000001E-5"/>
    <n v="1"/>
    <n v="-36"/>
    <n v="216"/>
  </r>
  <r>
    <x v="63"/>
    <s v="conventional_cashout_cltv_209"/>
    <x v="249"/>
    <n v="1.0000000000000001E-5"/>
    <n v="1"/>
    <n v="-36"/>
    <n v="216"/>
  </r>
  <r>
    <x v="63"/>
    <s v="conventional_cashout_cltv_210"/>
    <x v="250"/>
    <n v="1.0000000000000001E-5"/>
    <n v="1"/>
    <n v="-36"/>
    <n v="216"/>
  </r>
  <r>
    <x v="63"/>
    <s v="conventional_cashout_cltv_211"/>
    <x v="251"/>
    <n v="1.0000000000000001E-5"/>
    <n v="1"/>
    <n v="-36"/>
    <n v="216"/>
  </r>
  <r>
    <x v="63"/>
    <s v="conventional_cashout_cltv_212"/>
    <x v="252"/>
    <n v="1.0000000000000001E-5"/>
    <n v="1"/>
    <n v="-36"/>
    <n v="216"/>
  </r>
  <r>
    <x v="63"/>
    <s v="conventional_cashout_cltv_213"/>
    <x v="253"/>
    <n v="1.0000000000000001E-5"/>
    <n v="1"/>
    <n v="-36"/>
    <n v="216"/>
  </r>
  <r>
    <x v="63"/>
    <s v="conventional_cashout_cltv_214"/>
    <x v="254"/>
    <n v="1.0000000000000001E-5"/>
    <n v="1"/>
    <n v="-36"/>
    <n v="216"/>
  </r>
  <r>
    <x v="63"/>
    <s v="conventional_cashout_cltv_215"/>
    <x v="255"/>
    <n v="1.0000000000000001E-5"/>
    <n v="1"/>
    <n v="-36"/>
    <n v="216"/>
  </r>
  <r>
    <x v="63"/>
    <s v="conventional_cashout_cltv_216"/>
    <x v="256"/>
    <n v="1.0000000000000001E-5"/>
    <n v="1"/>
    <n v="-36"/>
    <n v="216"/>
  </r>
  <r>
    <x v="64"/>
    <s v="conventional_cashout_pct_HARPed_-20"/>
    <x v="20"/>
    <n v="1"/>
    <n v="1"/>
    <n v="-20"/>
    <n v="120"/>
  </r>
  <r>
    <x v="64"/>
    <s v="conventional_cashout_pct_HARPed_-19"/>
    <x v="21"/>
    <n v="1"/>
    <n v="1"/>
    <n v="-20"/>
    <n v="120"/>
  </r>
  <r>
    <x v="64"/>
    <s v="conventional_cashout_pct_HARPed_-18"/>
    <x v="22"/>
    <n v="1"/>
    <n v="1"/>
    <n v="-20"/>
    <n v="120"/>
  </r>
  <r>
    <x v="64"/>
    <s v="conventional_cashout_pct_HARPed_-17"/>
    <x v="23"/>
    <n v="1"/>
    <n v="1"/>
    <n v="-20"/>
    <n v="120"/>
  </r>
  <r>
    <x v="64"/>
    <s v="conventional_cashout_pct_HARPed_-16"/>
    <x v="24"/>
    <n v="1"/>
    <n v="1"/>
    <n v="-20"/>
    <n v="120"/>
  </r>
  <r>
    <x v="64"/>
    <s v="conventional_cashout_pct_HARPed_-15"/>
    <x v="25"/>
    <n v="1"/>
    <n v="1"/>
    <n v="-20"/>
    <n v="120"/>
  </r>
  <r>
    <x v="64"/>
    <s v="conventional_cashout_pct_HARPed_-14"/>
    <x v="26"/>
    <n v="1"/>
    <n v="1"/>
    <n v="-20"/>
    <n v="120"/>
  </r>
  <r>
    <x v="64"/>
    <s v="conventional_cashout_pct_HARPed_-13"/>
    <x v="27"/>
    <n v="1"/>
    <n v="1"/>
    <n v="-20"/>
    <n v="120"/>
  </r>
  <r>
    <x v="64"/>
    <s v="conventional_cashout_pct_HARPed_-12"/>
    <x v="28"/>
    <n v="1"/>
    <n v="1"/>
    <n v="-20"/>
    <n v="120"/>
  </r>
  <r>
    <x v="64"/>
    <s v="conventional_cashout_pct_HARPed_-11"/>
    <x v="29"/>
    <n v="1"/>
    <n v="1"/>
    <n v="-20"/>
    <n v="120"/>
  </r>
  <r>
    <x v="64"/>
    <s v="conventional_cashout_pct_HARPed_-10"/>
    <x v="30"/>
    <n v="1"/>
    <n v="1"/>
    <n v="-20"/>
    <n v="120"/>
  </r>
  <r>
    <x v="64"/>
    <s v="conventional_cashout_pct_HARPed_-9"/>
    <x v="31"/>
    <n v="1"/>
    <n v="1"/>
    <n v="-20"/>
    <n v="120"/>
  </r>
  <r>
    <x v="64"/>
    <s v="conventional_cashout_pct_HARPed_-8"/>
    <x v="32"/>
    <n v="1"/>
    <n v="1"/>
    <n v="-20"/>
    <n v="120"/>
  </r>
  <r>
    <x v="64"/>
    <s v="conventional_cashout_pct_HARPed_-7"/>
    <x v="33"/>
    <n v="1"/>
    <n v="1"/>
    <n v="-20"/>
    <n v="120"/>
  </r>
  <r>
    <x v="64"/>
    <s v="conventional_cashout_pct_HARPed_-6"/>
    <x v="34"/>
    <n v="1"/>
    <n v="1"/>
    <n v="-20"/>
    <n v="120"/>
  </r>
  <r>
    <x v="64"/>
    <s v="conventional_cashout_pct_HARPed_-5"/>
    <x v="35"/>
    <n v="1"/>
    <n v="1"/>
    <n v="-20"/>
    <n v="120"/>
  </r>
  <r>
    <x v="64"/>
    <s v="conventional_cashout_pct_HARPed_-4"/>
    <x v="36"/>
    <n v="1"/>
    <n v="1"/>
    <n v="-20"/>
    <n v="120"/>
  </r>
  <r>
    <x v="64"/>
    <s v="conventional_cashout_pct_HARPed_-3"/>
    <x v="37"/>
    <n v="1"/>
    <n v="1"/>
    <n v="-20"/>
    <n v="120"/>
  </r>
  <r>
    <x v="64"/>
    <s v="conventional_cashout_pct_HARPed_-2"/>
    <x v="38"/>
    <n v="1"/>
    <n v="1"/>
    <n v="-20"/>
    <n v="120"/>
  </r>
  <r>
    <x v="64"/>
    <s v="conventional_cashout_pct_HARPed_-1"/>
    <x v="39"/>
    <n v="1"/>
    <n v="1"/>
    <n v="-20"/>
    <n v="120"/>
  </r>
  <r>
    <x v="64"/>
    <s v="conventional_cashout_pct_HARPed_0"/>
    <x v="40"/>
    <n v="1"/>
    <n v="1"/>
    <n v="-20"/>
    <n v="120"/>
  </r>
  <r>
    <x v="64"/>
    <s v="conventional_cashout_pct_HARPed_1"/>
    <x v="41"/>
    <n v="1"/>
    <n v="1"/>
    <n v="-20"/>
    <n v="120"/>
  </r>
  <r>
    <x v="64"/>
    <s v="conventional_cashout_pct_HARPed_2"/>
    <x v="42"/>
    <n v="1"/>
    <n v="1"/>
    <n v="-20"/>
    <n v="120"/>
  </r>
  <r>
    <x v="64"/>
    <s v="conventional_cashout_pct_HARPed_3"/>
    <x v="43"/>
    <n v="1"/>
    <n v="1"/>
    <n v="-20"/>
    <n v="120"/>
  </r>
  <r>
    <x v="64"/>
    <s v="conventional_cashout_pct_HARPed_4"/>
    <x v="44"/>
    <n v="1"/>
    <n v="1"/>
    <n v="-20"/>
    <n v="120"/>
  </r>
  <r>
    <x v="64"/>
    <s v="conventional_cashout_pct_HARPed_5"/>
    <x v="45"/>
    <n v="1"/>
    <n v="1"/>
    <n v="-20"/>
    <n v="120"/>
  </r>
  <r>
    <x v="64"/>
    <s v="conventional_cashout_pct_HARPed_6"/>
    <x v="46"/>
    <n v="1"/>
    <n v="1"/>
    <n v="-20"/>
    <n v="120"/>
  </r>
  <r>
    <x v="64"/>
    <s v="conventional_cashout_pct_HARPed_7"/>
    <x v="47"/>
    <n v="1"/>
    <n v="1"/>
    <n v="-20"/>
    <n v="120"/>
  </r>
  <r>
    <x v="64"/>
    <s v="conventional_cashout_pct_HARPed_8"/>
    <x v="48"/>
    <n v="1"/>
    <n v="1"/>
    <n v="-20"/>
    <n v="120"/>
  </r>
  <r>
    <x v="64"/>
    <s v="conventional_cashout_pct_HARPed_9"/>
    <x v="49"/>
    <n v="1"/>
    <n v="1"/>
    <n v="-20"/>
    <n v="120"/>
  </r>
  <r>
    <x v="64"/>
    <s v="conventional_cashout_pct_HARPed_10"/>
    <x v="50"/>
    <n v="1"/>
    <n v="1"/>
    <n v="-20"/>
    <n v="120"/>
  </r>
  <r>
    <x v="64"/>
    <s v="conventional_cashout_pct_HARPed_11"/>
    <x v="51"/>
    <n v="1"/>
    <n v="1"/>
    <n v="-20"/>
    <n v="120"/>
  </r>
  <r>
    <x v="64"/>
    <s v="conventional_cashout_pct_HARPed_12"/>
    <x v="52"/>
    <n v="1"/>
    <n v="1"/>
    <n v="-20"/>
    <n v="120"/>
  </r>
  <r>
    <x v="64"/>
    <s v="conventional_cashout_pct_HARPed_13"/>
    <x v="53"/>
    <n v="1"/>
    <n v="1"/>
    <n v="-20"/>
    <n v="120"/>
  </r>
  <r>
    <x v="64"/>
    <s v="conventional_cashout_pct_HARPed_14"/>
    <x v="54"/>
    <n v="1"/>
    <n v="1"/>
    <n v="-20"/>
    <n v="120"/>
  </r>
  <r>
    <x v="64"/>
    <s v="conventional_cashout_pct_HARPed_15"/>
    <x v="55"/>
    <n v="1"/>
    <n v="1"/>
    <n v="-20"/>
    <n v="120"/>
  </r>
  <r>
    <x v="64"/>
    <s v="conventional_cashout_pct_HARPed_16"/>
    <x v="56"/>
    <n v="1"/>
    <n v="1"/>
    <n v="-20"/>
    <n v="120"/>
  </r>
  <r>
    <x v="64"/>
    <s v="conventional_cashout_pct_HARPed_17"/>
    <x v="57"/>
    <n v="1"/>
    <n v="1"/>
    <n v="-20"/>
    <n v="120"/>
  </r>
  <r>
    <x v="64"/>
    <s v="conventional_cashout_pct_HARPed_18"/>
    <x v="58"/>
    <n v="1"/>
    <n v="1"/>
    <n v="-20"/>
    <n v="120"/>
  </r>
  <r>
    <x v="64"/>
    <s v="conventional_cashout_pct_HARPed_19"/>
    <x v="59"/>
    <n v="1"/>
    <n v="1"/>
    <n v="-20"/>
    <n v="120"/>
  </r>
  <r>
    <x v="64"/>
    <s v="conventional_cashout_pct_HARPed_20"/>
    <x v="60"/>
    <n v="1"/>
    <n v="1"/>
    <n v="-20"/>
    <n v="120"/>
  </r>
  <r>
    <x v="64"/>
    <s v="conventional_cashout_pct_HARPed_21"/>
    <x v="61"/>
    <n v="1"/>
    <n v="1"/>
    <n v="-20"/>
    <n v="120"/>
  </r>
  <r>
    <x v="64"/>
    <s v="conventional_cashout_pct_HARPed_22"/>
    <x v="62"/>
    <n v="1"/>
    <n v="1"/>
    <n v="-20"/>
    <n v="120"/>
  </r>
  <r>
    <x v="64"/>
    <s v="conventional_cashout_pct_HARPed_23"/>
    <x v="63"/>
    <n v="1"/>
    <n v="1"/>
    <n v="-20"/>
    <n v="120"/>
  </r>
  <r>
    <x v="64"/>
    <s v="conventional_cashout_pct_HARPed_24"/>
    <x v="64"/>
    <n v="1"/>
    <n v="1"/>
    <n v="-20"/>
    <n v="120"/>
  </r>
  <r>
    <x v="64"/>
    <s v="conventional_cashout_pct_HARPed_25"/>
    <x v="65"/>
    <n v="1"/>
    <n v="1"/>
    <n v="-20"/>
    <n v="120"/>
  </r>
  <r>
    <x v="64"/>
    <s v="conventional_cashout_pct_HARPed_26"/>
    <x v="66"/>
    <n v="1"/>
    <n v="1"/>
    <n v="-20"/>
    <n v="120"/>
  </r>
  <r>
    <x v="64"/>
    <s v="conventional_cashout_pct_HARPed_27"/>
    <x v="67"/>
    <n v="1"/>
    <n v="1"/>
    <n v="-20"/>
    <n v="120"/>
  </r>
  <r>
    <x v="64"/>
    <s v="conventional_cashout_pct_HARPed_28"/>
    <x v="68"/>
    <n v="1"/>
    <n v="1"/>
    <n v="-20"/>
    <n v="120"/>
  </r>
  <r>
    <x v="64"/>
    <s v="conventional_cashout_pct_HARPed_29"/>
    <x v="69"/>
    <n v="1"/>
    <n v="1"/>
    <n v="-20"/>
    <n v="120"/>
  </r>
  <r>
    <x v="64"/>
    <s v="conventional_cashout_pct_HARPed_30"/>
    <x v="70"/>
    <n v="1"/>
    <n v="1"/>
    <n v="-20"/>
    <n v="120"/>
  </r>
  <r>
    <x v="64"/>
    <s v="conventional_cashout_pct_HARPed_31"/>
    <x v="71"/>
    <n v="1"/>
    <n v="1"/>
    <n v="-20"/>
    <n v="120"/>
  </r>
  <r>
    <x v="64"/>
    <s v="conventional_cashout_pct_HARPed_32"/>
    <x v="72"/>
    <n v="1"/>
    <n v="1"/>
    <n v="-20"/>
    <n v="120"/>
  </r>
  <r>
    <x v="64"/>
    <s v="conventional_cashout_pct_HARPed_33"/>
    <x v="73"/>
    <n v="1"/>
    <n v="1"/>
    <n v="-20"/>
    <n v="120"/>
  </r>
  <r>
    <x v="64"/>
    <s v="conventional_cashout_pct_HARPed_34"/>
    <x v="74"/>
    <n v="1"/>
    <n v="1"/>
    <n v="-20"/>
    <n v="120"/>
  </r>
  <r>
    <x v="64"/>
    <s v="conventional_cashout_pct_HARPed_35"/>
    <x v="75"/>
    <n v="1"/>
    <n v="1"/>
    <n v="-20"/>
    <n v="120"/>
  </r>
  <r>
    <x v="64"/>
    <s v="conventional_cashout_pct_HARPed_36"/>
    <x v="76"/>
    <n v="1"/>
    <n v="1"/>
    <n v="-20"/>
    <n v="120"/>
  </r>
  <r>
    <x v="64"/>
    <s v="conventional_cashout_pct_HARPed_37"/>
    <x v="77"/>
    <n v="1"/>
    <n v="1"/>
    <n v="-20"/>
    <n v="120"/>
  </r>
  <r>
    <x v="64"/>
    <s v="conventional_cashout_pct_HARPed_38"/>
    <x v="78"/>
    <n v="1"/>
    <n v="1"/>
    <n v="-20"/>
    <n v="120"/>
  </r>
  <r>
    <x v="64"/>
    <s v="conventional_cashout_pct_HARPed_39"/>
    <x v="79"/>
    <n v="1"/>
    <n v="1"/>
    <n v="-20"/>
    <n v="120"/>
  </r>
  <r>
    <x v="64"/>
    <s v="conventional_cashout_pct_HARPed_40"/>
    <x v="80"/>
    <n v="1"/>
    <n v="1"/>
    <n v="-20"/>
    <n v="120"/>
  </r>
  <r>
    <x v="64"/>
    <s v="conventional_cashout_pct_HARPed_41"/>
    <x v="81"/>
    <n v="1"/>
    <n v="1"/>
    <n v="-20"/>
    <n v="120"/>
  </r>
  <r>
    <x v="64"/>
    <s v="conventional_cashout_pct_HARPed_42"/>
    <x v="82"/>
    <n v="1"/>
    <n v="1"/>
    <n v="-20"/>
    <n v="120"/>
  </r>
  <r>
    <x v="64"/>
    <s v="conventional_cashout_pct_HARPed_43"/>
    <x v="83"/>
    <n v="1"/>
    <n v="1"/>
    <n v="-20"/>
    <n v="120"/>
  </r>
  <r>
    <x v="64"/>
    <s v="conventional_cashout_pct_HARPed_44"/>
    <x v="84"/>
    <n v="1"/>
    <n v="1"/>
    <n v="-20"/>
    <n v="120"/>
  </r>
  <r>
    <x v="64"/>
    <s v="conventional_cashout_pct_HARPed_45"/>
    <x v="85"/>
    <n v="1"/>
    <n v="1"/>
    <n v="-20"/>
    <n v="120"/>
  </r>
  <r>
    <x v="64"/>
    <s v="conventional_cashout_pct_HARPed_46"/>
    <x v="86"/>
    <n v="1"/>
    <n v="1"/>
    <n v="-20"/>
    <n v="120"/>
  </r>
  <r>
    <x v="64"/>
    <s v="conventional_cashout_pct_HARPed_47"/>
    <x v="87"/>
    <n v="1"/>
    <n v="1"/>
    <n v="-20"/>
    <n v="120"/>
  </r>
  <r>
    <x v="64"/>
    <s v="conventional_cashout_pct_HARPed_48"/>
    <x v="88"/>
    <n v="1"/>
    <n v="1"/>
    <n v="-20"/>
    <n v="120"/>
  </r>
  <r>
    <x v="64"/>
    <s v="conventional_cashout_pct_HARPed_49"/>
    <x v="89"/>
    <n v="1"/>
    <n v="1"/>
    <n v="-20"/>
    <n v="120"/>
  </r>
  <r>
    <x v="64"/>
    <s v="conventional_cashout_pct_HARPed_50"/>
    <x v="90"/>
    <n v="1"/>
    <n v="1"/>
    <n v="-20"/>
    <n v="120"/>
  </r>
  <r>
    <x v="64"/>
    <s v="conventional_cashout_pct_HARPed_51"/>
    <x v="91"/>
    <n v="1"/>
    <n v="1"/>
    <n v="-20"/>
    <n v="120"/>
  </r>
  <r>
    <x v="64"/>
    <s v="conventional_cashout_pct_HARPed_52"/>
    <x v="92"/>
    <n v="1"/>
    <n v="1"/>
    <n v="-20"/>
    <n v="120"/>
  </r>
  <r>
    <x v="64"/>
    <s v="conventional_cashout_pct_HARPed_53"/>
    <x v="93"/>
    <n v="1"/>
    <n v="1"/>
    <n v="-20"/>
    <n v="120"/>
  </r>
  <r>
    <x v="64"/>
    <s v="conventional_cashout_pct_HARPed_54"/>
    <x v="94"/>
    <n v="1"/>
    <n v="1"/>
    <n v="-20"/>
    <n v="120"/>
  </r>
  <r>
    <x v="64"/>
    <s v="conventional_cashout_pct_HARPed_55"/>
    <x v="95"/>
    <n v="1"/>
    <n v="1"/>
    <n v="-20"/>
    <n v="120"/>
  </r>
  <r>
    <x v="64"/>
    <s v="conventional_cashout_pct_HARPed_56"/>
    <x v="96"/>
    <n v="1"/>
    <n v="1"/>
    <n v="-20"/>
    <n v="120"/>
  </r>
  <r>
    <x v="64"/>
    <s v="conventional_cashout_pct_HARPed_57"/>
    <x v="97"/>
    <n v="1"/>
    <n v="1"/>
    <n v="-20"/>
    <n v="120"/>
  </r>
  <r>
    <x v="64"/>
    <s v="conventional_cashout_pct_HARPed_58"/>
    <x v="98"/>
    <n v="1"/>
    <n v="1"/>
    <n v="-20"/>
    <n v="120"/>
  </r>
  <r>
    <x v="64"/>
    <s v="conventional_cashout_pct_HARPed_59"/>
    <x v="99"/>
    <n v="1"/>
    <n v="1"/>
    <n v="-20"/>
    <n v="120"/>
  </r>
  <r>
    <x v="64"/>
    <s v="conventional_cashout_pct_HARPed_60"/>
    <x v="100"/>
    <n v="1"/>
    <n v="1"/>
    <n v="-20"/>
    <n v="120"/>
  </r>
  <r>
    <x v="64"/>
    <s v="conventional_cashout_pct_HARPed_61"/>
    <x v="101"/>
    <n v="1"/>
    <n v="1"/>
    <n v="-20"/>
    <n v="120"/>
  </r>
  <r>
    <x v="64"/>
    <s v="conventional_cashout_pct_HARPed_62"/>
    <x v="102"/>
    <n v="1"/>
    <n v="1"/>
    <n v="-20"/>
    <n v="120"/>
  </r>
  <r>
    <x v="64"/>
    <s v="conventional_cashout_pct_HARPed_63"/>
    <x v="103"/>
    <n v="1"/>
    <n v="1"/>
    <n v="-20"/>
    <n v="120"/>
  </r>
  <r>
    <x v="64"/>
    <s v="conventional_cashout_pct_HARPed_64"/>
    <x v="104"/>
    <n v="1"/>
    <n v="1"/>
    <n v="-20"/>
    <n v="120"/>
  </r>
  <r>
    <x v="64"/>
    <s v="conventional_cashout_pct_HARPed_65"/>
    <x v="105"/>
    <n v="1"/>
    <n v="1"/>
    <n v="-20"/>
    <n v="120"/>
  </r>
  <r>
    <x v="64"/>
    <s v="conventional_cashout_pct_HARPed_66"/>
    <x v="106"/>
    <n v="1"/>
    <n v="1"/>
    <n v="-20"/>
    <n v="120"/>
  </r>
  <r>
    <x v="64"/>
    <s v="conventional_cashout_pct_HARPed_67"/>
    <x v="107"/>
    <n v="1"/>
    <n v="1"/>
    <n v="-20"/>
    <n v="120"/>
  </r>
  <r>
    <x v="64"/>
    <s v="conventional_cashout_pct_HARPed_68"/>
    <x v="108"/>
    <n v="1"/>
    <n v="1"/>
    <n v="-20"/>
    <n v="120"/>
  </r>
  <r>
    <x v="64"/>
    <s v="conventional_cashout_pct_HARPed_69"/>
    <x v="109"/>
    <n v="1"/>
    <n v="1"/>
    <n v="-20"/>
    <n v="120"/>
  </r>
  <r>
    <x v="64"/>
    <s v="conventional_cashout_pct_HARPed_70"/>
    <x v="110"/>
    <n v="1"/>
    <n v="1"/>
    <n v="-20"/>
    <n v="120"/>
  </r>
  <r>
    <x v="64"/>
    <s v="conventional_cashout_pct_HARPed_71"/>
    <x v="111"/>
    <n v="1"/>
    <n v="1"/>
    <n v="-20"/>
    <n v="120"/>
  </r>
  <r>
    <x v="64"/>
    <s v="conventional_cashout_pct_HARPed_72"/>
    <x v="112"/>
    <n v="1"/>
    <n v="1"/>
    <n v="-20"/>
    <n v="120"/>
  </r>
  <r>
    <x v="64"/>
    <s v="conventional_cashout_pct_HARPed_73"/>
    <x v="113"/>
    <n v="1"/>
    <n v="1"/>
    <n v="-20"/>
    <n v="120"/>
  </r>
  <r>
    <x v="64"/>
    <s v="conventional_cashout_pct_HARPed_74"/>
    <x v="114"/>
    <n v="1"/>
    <n v="1"/>
    <n v="-20"/>
    <n v="120"/>
  </r>
  <r>
    <x v="64"/>
    <s v="conventional_cashout_pct_HARPed_75"/>
    <x v="115"/>
    <n v="1"/>
    <n v="1"/>
    <n v="-20"/>
    <n v="120"/>
  </r>
  <r>
    <x v="64"/>
    <s v="conventional_cashout_pct_HARPed_76"/>
    <x v="116"/>
    <n v="1"/>
    <n v="1"/>
    <n v="-20"/>
    <n v="120"/>
  </r>
  <r>
    <x v="64"/>
    <s v="conventional_cashout_pct_HARPed_77"/>
    <x v="117"/>
    <n v="1"/>
    <n v="1"/>
    <n v="-20"/>
    <n v="120"/>
  </r>
  <r>
    <x v="64"/>
    <s v="conventional_cashout_pct_HARPed_78"/>
    <x v="118"/>
    <n v="1"/>
    <n v="1"/>
    <n v="-20"/>
    <n v="120"/>
  </r>
  <r>
    <x v="64"/>
    <s v="conventional_cashout_pct_HARPed_79"/>
    <x v="119"/>
    <n v="1"/>
    <n v="1"/>
    <n v="-20"/>
    <n v="120"/>
  </r>
  <r>
    <x v="64"/>
    <s v="conventional_cashout_pct_HARPed_80"/>
    <x v="120"/>
    <n v="1"/>
    <n v="1"/>
    <n v="-20"/>
    <n v="120"/>
  </r>
  <r>
    <x v="64"/>
    <s v="conventional_cashout_pct_HARPed_81"/>
    <x v="121"/>
    <n v="1"/>
    <n v="1"/>
    <n v="-20"/>
    <n v="120"/>
  </r>
  <r>
    <x v="64"/>
    <s v="conventional_cashout_pct_HARPed_82"/>
    <x v="122"/>
    <n v="1"/>
    <n v="1"/>
    <n v="-20"/>
    <n v="120"/>
  </r>
  <r>
    <x v="64"/>
    <s v="conventional_cashout_pct_HARPed_83"/>
    <x v="123"/>
    <n v="1"/>
    <n v="1"/>
    <n v="-20"/>
    <n v="120"/>
  </r>
  <r>
    <x v="64"/>
    <s v="conventional_cashout_pct_HARPed_84"/>
    <x v="124"/>
    <n v="1"/>
    <n v="1"/>
    <n v="-20"/>
    <n v="120"/>
  </r>
  <r>
    <x v="64"/>
    <s v="conventional_cashout_pct_HARPed_85"/>
    <x v="125"/>
    <n v="1"/>
    <n v="1"/>
    <n v="-20"/>
    <n v="120"/>
  </r>
  <r>
    <x v="64"/>
    <s v="conventional_cashout_pct_HARPed_86"/>
    <x v="126"/>
    <n v="1"/>
    <n v="1"/>
    <n v="-20"/>
    <n v="120"/>
  </r>
  <r>
    <x v="64"/>
    <s v="conventional_cashout_pct_HARPed_87"/>
    <x v="127"/>
    <n v="1"/>
    <n v="1"/>
    <n v="-20"/>
    <n v="120"/>
  </r>
  <r>
    <x v="64"/>
    <s v="conventional_cashout_pct_HARPed_88"/>
    <x v="128"/>
    <n v="1"/>
    <n v="1"/>
    <n v="-20"/>
    <n v="120"/>
  </r>
  <r>
    <x v="64"/>
    <s v="conventional_cashout_pct_HARPed_89"/>
    <x v="129"/>
    <n v="1"/>
    <n v="1"/>
    <n v="-20"/>
    <n v="120"/>
  </r>
  <r>
    <x v="64"/>
    <s v="conventional_cashout_pct_HARPed_90"/>
    <x v="130"/>
    <n v="1"/>
    <n v="1"/>
    <n v="-20"/>
    <n v="120"/>
  </r>
  <r>
    <x v="64"/>
    <s v="conventional_cashout_pct_HARPed_91"/>
    <x v="131"/>
    <n v="1"/>
    <n v="1"/>
    <n v="-20"/>
    <n v="120"/>
  </r>
  <r>
    <x v="64"/>
    <s v="conventional_cashout_pct_HARPed_92"/>
    <x v="132"/>
    <n v="1"/>
    <n v="1"/>
    <n v="-20"/>
    <n v="120"/>
  </r>
  <r>
    <x v="64"/>
    <s v="conventional_cashout_pct_HARPed_93"/>
    <x v="133"/>
    <n v="1"/>
    <n v="1"/>
    <n v="-20"/>
    <n v="120"/>
  </r>
  <r>
    <x v="64"/>
    <s v="conventional_cashout_pct_HARPed_94"/>
    <x v="134"/>
    <n v="1"/>
    <n v="1"/>
    <n v="-20"/>
    <n v="120"/>
  </r>
  <r>
    <x v="64"/>
    <s v="conventional_cashout_pct_HARPed_95"/>
    <x v="135"/>
    <n v="1"/>
    <n v="1"/>
    <n v="-20"/>
    <n v="120"/>
  </r>
  <r>
    <x v="64"/>
    <s v="conventional_cashout_pct_HARPed_96"/>
    <x v="136"/>
    <n v="1"/>
    <n v="1"/>
    <n v="-20"/>
    <n v="120"/>
  </r>
  <r>
    <x v="64"/>
    <s v="conventional_cashout_pct_HARPed_97"/>
    <x v="137"/>
    <n v="1"/>
    <n v="1"/>
    <n v="-20"/>
    <n v="120"/>
  </r>
  <r>
    <x v="64"/>
    <s v="conventional_cashout_pct_HARPed_98"/>
    <x v="138"/>
    <n v="1"/>
    <n v="1"/>
    <n v="-20"/>
    <n v="120"/>
  </r>
  <r>
    <x v="64"/>
    <s v="conventional_cashout_pct_HARPed_99"/>
    <x v="139"/>
    <n v="1"/>
    <n v="1"/>
    <n v="-20"/>
    <n v="120"/>
  </r>
  <r>
    <x v="64"/>
    <s v="conventional_cashout_pct_HARPed_100"/>
    <x v="140"/>
    <n v="1"/>
    <n v="1"/>
    <n v="-20"/>
    <n v="120"/>
  </r>
  <r>
    <x v="64"/>
    <s v="conventional_cashout_pct_HARPed_101"/>
    <x v="141"/>
    <n v="1"/>
    <n v="1"/>
    <n v="-20"/>
    <n v="120"/>
  </r>
  <r>
    <x v="64"/>
    <s v="conventional_cashout_pct_HARPed_102"/>
    <x v="142"/>
    <n v="1"/>
    <n v="1"/>
    <n v="-20"/>
    <n v="120"/>
  </r>
  <r>
    <x v="64"/>
    <s v="conventional_cashout_pct_HARPed_103"/>
    <x v="143"/>
    <n v="1"/>
    <n v="1"/>
    <n v="-20"/>
    <n v="120"/>
  </r>
  <r>
    <x v="64"/>
    <s v="conventional_cashout_pct_HARPed_104"/>
    <x v="144"/>
    <n v="1"/>
    <n v="1"/>
    <n v="-20"/>
    <n v="120"/>
  </r>
  <r>
    <x v="64"/>
    <s v="conventional_cashout_pct_HARPed_105"/>
    <x v="145"/>
    <n v="1"/>
    <n v="1"/>
    <n v="-20"/>
    <n v="120"/>
  </r>
  <r>
    <x v="64"/>
    <s v="conventional_cashout_pct_HARPed_106"/>
    <x v="146"/>
    <n v="1"/>
    <n v="1"/>
    <n v="-20"/>
    <n v="120"/>
  </r>
  <r>
    <x v="64"/>
    <s v="conventional_cashout_pct_HARPed_107"/>
    <x v="147"/>
    <n v="1"/>
    <n v="1"/>
    <n v="-20"/>
    <n v="120"/>
  </r>
  <r>
    <x v="64"/>
    <s v="conventional_cashout_pct_HARPed_108"/>
    <x v="148"/>
    <n v="1"/>
    <n v="1"/>
    <n v="-20"/>
    <n v="120"/>
  </r>
  <r>
    <x v="64"/>
    <s v="conventional_cashout_pct_HARPed_109"/>
    <x v="149"/>
    <n v="1"/>
    <n v="1"/>
    <n v="-20"/>
    <n v="120"/>
  </r>
  <r>
    <x v="64"/>
    <s v="conventional_cashout_pct_HARPed_110"/>
    <x v="150"/>
    <n v="1"/>
    <n v="1"/>
    <n v="-20"/>
    <n v="120"/>
  </r>
  <r>
    <x v="64"/>
    <s v="conventional_cashout_pct_HARPed_111"/>
    <x v="151"/>
    <n v="1"/>
    <n v="1"/>
    <n v="-20"/>
    <n v="120"/>
  </r>
  <r>
    <x v="64"/>
    <s v="conventional_cashout_pct_HARPed_112"/>
    <x v="152"/>
    <n v="1"/>
    <n v="1"/>
    <n v="-20"/>
    <n v="120"/>
  </r>
  <r>
    <x v="64"/>
    <s v="conventional_cashout_pct_HARPed_113"/>
    <x v="153"/>
    <n v="1"/>
    <n v="1"/>
    <n v="-20"/>
    <n v="120"/>
  </r>
  <r>
    <x v="64"/>
    <s v="conventional_cashout_pct_HARPed_114"/>
    <x v="154"/>
    <n v="1"/>
    <n v="1"/>
    <n v="-20"/>
    <n v="120"/>
  </r>
  <r>
    <x v="64"/>
    <s v="conventional_cashout_pct_HARPed_115"/>
    <x v="155"/>
    <n v="1"/>
    <n v="1"/>
    <n v="-20"/>
    <n v="120"/>
  </r>
  <r>
    <x v="64"/>
    <s v="conventional_cashout_pct_HARPed_116"/>
    <x v="156"/>
    <n v="1"/>
    <n v="1"/>
    <n v="-20"/>
    <n v="120"/>
  </r>
  <r>
    <x v="64"/>
    <s v="conventional_cashout_pct_HARPed_117"/>
    <x v="157"/>
    <n v="1"/>
    <n v="1"/>
    <n v="-20"/>
    <n v="120"/>
  </r>
  <r>
    <x v="64"/>
    <s v="conventional_cashout_pct_HARPed_118"/>
    <x v="158"/>
    <n v="1"/>
    <n v="1"/>
    <n v="-20"/>
    <n v="120"/>
  </r>
  <r>
    <x v="64"/>
    <s v="conventional_cashout_pct_HARPed_119"/>
    <x v="159"/>
    <n v="1"/>
    <n v="1"/>
    <n v="-20"/>
    <n v="120"/>
  </r>
  <r>
    <x v="64"/>
    <s v="conventional_cashout_pct_HARPed_120"/>
    <x v="160"/>
    <n v="1"/>
    <n v="1"/>
    <n v="-20"/>
    <n v="120"/>
  </r>
  <r>
    <x v="65"/>
    <s v="conventional_cashout_wacls_-160"/>
    <x v="1111"/>
    <n v="0.64"/>
    <n v="1"/>
    <n v="-160"/>
    <n v="960"/>
  </r>
  <r>
    <x v="65"/>
    <s v="conventional_cashout_wacls_-159"/>
    <x v="1112"/>
    <n v="0.64"/>
    <n v="1"/>
    <n v="-160"/>
    <n v="960"/>
  </r>
  <r>
    <x v="65"/>
    <s v="conventional_cashout_wacls_-158"/>
    <x v="1113"/>
    <n v="0.64"/>
    <n v="1"/>
    <n v="-160"/>
    <n v="960"/>
  </r>
  <r>
    <x v="65"/>
    <s v="conventional_cashout_wacls_-157"/>
    <x v="1114"/>
    <n v="0.64"/>
    <n v="1"/>
    <n v="-160"/>
    <n v="960"/>
  </r>
  <r>
    <x v="65"/>
    <s v="conventional_cashout_wacls_-156"/>
    <x v="1115"/>
    <n v="0.64"/>
    <n v="1"/>
    <n v="-160"/>
    <n v="960"/>
  </r>
  <r>
    <x v="65"/>
    <s v="conventional_cashout_wacls_-155"/>
    <x v="1116"/>
    <n v="0.64"/>
    <n v="1"/>
    <n v="-160"/>
    <n v="960"/>
  </r>
  <r>
    <x v="65"/>
    <s v="conventional_cashout_wacls_-154"/>
    <x v="1117"/>
    <n v="0.64"/>
    <n v="1"/>
    <n v="-160"/>
    <n v="960"/>
  </r>
  <r>
    <x v="65"/>
    <s v="conventional_cashout_wacls_-153"/>
    <x v="1118"/>
    <n v="0.64"/>
    <n v="1"/>
    <n v="-160"/>
    <n v="960"/>
  </r>
  <r>
    <x v="65"/>
    <s v="conventional_cashout_wacls_-152"/>
    <x v="1119"/>
    <n v="0.64"/>
    <n v="1"/>
    <n v="-160"/>
    <n v="960"/>
  </r>
  <r>
    <x v="65"/>
    <s v="conventional_cashout_wacls_-151"/>
    <x v="1120"/>
    <n v="0.64"/>
    <n v="1"/>
    <n v="-160"/>
    <n v="960"/>
  </r>
  <r>
    <x v="65"/>
    <s v="conventional_cashout_wacls_-150"/>
    <x v="1121"/>
    <n v="0.64"/>
    <n v="1"/>
    <n v="-160"/>
    <n v="960"/>
  </r>
  <r>
    <x v="65"/>
    <s v="conventional_cashout_wacls_-149"/>
    <x v="1122"/>
    <n v="0.64"/>
    <n v="1"/>
    <n v="-160"/>
    <n v="960"/>
  </r>
  <r>
    <x v="65"/>
    <s v="conventional_cashout_wacls_-148"/>
    <x v="1123"/>
    <n v="0.64"/>
    <n v="1"/>
    <n v="-160"/>
    <n v="960"/>
  </r>
  <r>
    <x v="65"/>
    <s v="conventional_cashout_wacls_-147"/>
    <x v="1124"/>
    <n v="0.64"/>
    <n v="1"/>
    <n v="-160"/>
    <n v="960"/>
  </r>
  <r>
    <x v="65"/>
    <s v="conventional_cashout_wacls_-146"/>
    <x v="1125"/>
    <n v="0.64"/>
    <n v="1"/>
    <n v="-160"/>
    <n v="960"/>
  </r>
  <r>
    <x v="65"/>
    <s v="conventional_cashout_wacls_-145"/>
    <x v="1126"/>
    <n v="0.64"/>
    <n v="1"/>
    <n v="-160"/>
    <n v="960"/>
  </r>
  <r>
    <x v="65"/>
    <s v="conventional_cashout_wacls_-144"/>
    <x v="1127"/>
    <n v="0.64"/>
    <n v="1"/>
    <n v="-160"/>
    <n v="960"/>
  </r>
  <r>
    <x v="65"/>
    <s v="conventional_cashout_wacls_-143"/>
    <x v="1128"/>
    <n v="0.64"/>
    <n v="1"/>
    <n v="-160"/>
    <n v="960"/>
  </r>
  <r>
    <x v="65"/>
    <s v="conventional_cashout_wacls_-142"/>
    <x v="1129"/>
    <n v="0.64"/>
    <n v="1"/>
    <n v="-160"/>
    <n v="960"/>
  </r>
  <r>
    <x v="65"/>
    <s v="conventional_cashout_wacls_-141"/>
    <x v="1130"/>
    <n v="0.64"/>
    <n v="1"/>
    <n v="-160"/>
    <n v="960"/>
  </r>
  <r>
    <x v="65"/>
    <s v="conventional_cashout_wacls_-140"/>
    <x v="1131"/>
    <n v="0.64"/>
    <n v="1"/>
    <n v="-160"/>
    <n v="960"/>
  </r>
  <r>
    <x v="65"/>
    <s v="conventional_cashout_wacls_-139"/>
    <x v="1132"/>
    <n v="0.64"/>
    <n v="1"/>
    <n v="-160"/>
    <n v="960"/>
  </r>
  <r>
    <x v="65"/>
    <s v="conventional_cashout_wacls_-138"/>
    <x v="1133"/>
    <n v="0.64"/>
    <n v="1"/>
    <n v="-160"/>
    <n v="960"/>
  </r>
  <r>
    <x v="65"/>
    <s v="conventional_cashout_wacls_-137"/>
    <x v="1134"/>
    <n v="0.64"/>
    <n v="1"/>
    <n v="-160"/>
    <n v="960"/>
  </r>
  <r>
    <x v="65"/>
    <s v="conventional_cashout_wacls_-136"/>
    <x v="1135"/>
    <n v="0.64"/>
    <n v="1"/>
    <n v="-160"/>
    <n v="960"/>
  </r>
  <r>
    <x v="65"/>
    <s v="conventional_cashout_wacls_-135"/>
    <x v="1136"/>
    <n v="0.64"/>
    <n v="1"/>
    <n v="-160"/>
    <n v="960"/>
  </r>
  <r>
    <x v="65"/>
    <s v="conventional_cashout_wacls_-134"/>
    <x v="1137"/>
    <n v="0.64"/>
    <n v="1"/>
    <n v="-160"/>
    <n v="960"/>
  </r>
  <r>
    <x v="65"/>
    <s v="conventional_cashout_wacls_-133"/>
    <x v="1138"/>
    <n v="0.64"/>
    <n v="1"/>
    <n v="-160"/>
    <n v="960"/>
  </r>
  <r>
    <x v="65"/>
    <s v="conventional_cashout_wacls_-132"/>
    <x v="1139"/>
    <n v="0.64"/>
    <n v="1"/>
    <n v="-160"/>
    <n v="960"/>
  </r>
  <r>
    <x v="65"/>
    <s v="conventional_cashout_wacls_-131"/>
    <x v="1140"/>
    <n v="0.64"/>
    <n v="1"/>
    <n v="-160"/>
    <n v="960"/>
  </r>
  <r>
    <x v="65"/>
    <s v="conventional_cashout_wacls_-130"/>
    <x v="1141"/>
    <n v="0.64"/>
    <n v="1"/>
    <n v="-160"/>
    <n v="960"/>
  </r>
  <r>
    <x v="65"/>
    <s v="conventional_cashout_wacls_-129"/>
    <x v="1142"/>
    <n v="0.64"/>
    <n v="1"/>
    <n v="-160"/>
    <n v="960"/>
  </r>
  <r>
    <x v="65"/>
    <s v="conventional_cashout_wacls_-128"/>
    <x v="1143"/>
    <n v="0.64"/>
    <n v="1"/>
    <n v="-160"/>
    <n v="960"/>
  </r>
  <r>
    <x v="65"/>
    <s v="conventional_cashout_wacls_-127"/>
    <x v="1144"/>
    <n v="0.64"/>
    <n v="1"/>
    <n v="-160"/>
    <n v="960"/>
  </r>
  <r>
    <x v="65"/>
    <s v="conventional_cashout_wacls_-126"/>
    <x v="1145"/>
    <n v="0.64"/>
    <n v="1"/>
    <n v="-160"/>
    <n v="960"/>
  </r>
  <r>
    <x v="65"/>
    <s v="conventional_cashout_wacls_-125"/>
    <x v="1146"/>
    <n v="0.64"/>
    <n v="1"/>
    <n v="-160"/>
    <n v="960"/>
  </r>
  <r>
    <x v="65"/>
    <s v="conventional_cashout_wacls_-124"/>
    <x v="1147"/>
    <n v="0.64"/>
    <n v="1"/>
    <n v="-160"/>
    <n v="960"/>
  </r>
  <r>
    <x v="65"/>
    <s v="conventional_cashout_wacls_-123"/>
    <x v="1148"/>
    <n v="0.64"/>
    <n v="1"/>
    <n v="-160"/>
    <n v="960"/>
  </r>
  <r>
    <x v="65"/>
    <s v="conventional_cashout_wacls_-122"/>
    <x v="1149"/>
    <n v="0.64"/>
    <n v="1"/>
    <n v="-160"/>
    <n v="960"/>
  </r>
  <r>
    <x v="65"/>
    <s v="conventional_cashout_wacls_-121"/>
    <x v="1150"/>
    <n v="0.64"/>
    <n v="1"/>
    <n v="-160"/>
    <n v="960"/>
  </r>
  <r>
    <x v="65"/>
    <s v="conventional_cashout_wacls_-120"/>
    <x v="1151"/>
    <n v="0.64"/>
    <n v="1"/>
    <n v="-160"/>
    <n v="960"/>
  </r>
  <r>
    <x v="65"/>
    <s v="conventional_cashout_wacls_-119"/>
    <x v="1152"/>
    <n v="0.64"/>
    <n v="1"/>
    <n v="-160"/>
    <n v="960"/>
  </r>
  <r>
    <x v="65"/>
    <s v="conventional_cashout_wacls_-118"/>
    <x v="1153"/>
    <n v="0.64"/>
    <n v="1"/>
    <n v="-160"/>
    <n v="960"/>
  </r>
  <r>
    <x v="65"/>
    <s v="conventional_cashout_wacls_-117"/>
    <x v="1154"/>
    <n v="0.64"/>
    <n v="1"/>
    <n v="-160"/>
    <n v="960"/>
  </r>
  <r>
    <x v="65"/>
    <s v="conventional_cashout_wacls_-116"/>
    <x v="1155"/>
    <n v="0.64"/>
    <n v="1"/>
    <n v="-160"/>
    <n v="960"/>
  </r>
  <r>
    <x v="65"/>
    <s v="conventional_cashout_wacls_-115"/>
    <x v="1156"/>
    <n v="0.64"/>
    <n v="1"/>
    <n v="-160"/>
    <n v="960"/>
  </r>
  <r>
    <x v="65"/>
    <s v="conventional_cashout_wacls_-114"/>
    <x v="1157"/>
    <n v="0.64"/>
    <n v="1"/>
    <n v="-160"/>
    <n v="960"/>
  </r>
  <r>
    <x v="65"/>
    <s v="conventional_cashout_wacls_-113"/>
    <x v="1158"/>
    <n v="0.64"/>
    <n v="1"/>
    <n v="-160"/>
    <n v="960"/>
  </r>
  <r>
    <x v="65"/>
    <s v="conventional_cashout_wacls_-112"/>
    <x v="1159"/>
    <n v="0.64"/>
    <n v="1"/>
    <n v="-160"/>
    <n v="960"/>
  </r>
  <r>
    <x v="65"/>
    <s v="conventional_cashout_wacls_-111"/>
    <x v="1160"/>
    <n v="0.64"/>
    <n v="1"/>
    <n v="-160"/>
    <n v="960"/>
  </r>
  <r>
    <x v="65"/>
    <s v="conventional_cashout_wacls_-110"/>
    <x v="1161"/>
    <n v="0.64"/>
    <n v="1"/>
    <n v="-160"/>
    <n v="960"/>
  </r>
  <r>
    <x v="65"/>
    <s v="conventional_cashout_wacls_-109"/>
    <x v="1162"/>
    <n v="0.64"/>
    <n v="1"/>
    <n v="-160"/>
    <n v="960"/>
  </r>
  <r>
    <x v="65"/>
    <s v="conventional_cashout_wacls_-108"/>
    <x v="1163"/>
    <n v="0.64"/>
    <n v="1"/>
    <n v="-160"/>
    <n v="960"/>
  </r>
  <r>
    <x v="65"/>
    <s v="conventional_cashout_wacls_-107"/>
    <x v="1164"/>
    <n v="0.64"/>
    <n v="1"/>
    <n v="-160"/>
    <n v="960"/>
  </r>
  <r>
    <x v="65"/>
    <s v="conventional_cashout_wacls_-106"/>
    <x v="1165"/>
    <n v="0.64"/>
    <n v="1"/>
    <n v="-160"/>
    <n v="960"/>
  </r>
  <r>
    <x v="65"/>
    <s v="conventional_cashout_wacls_-105"/>
    <x v="1166"/>
    <n v="0.64"/>
    <n v="1"/>
    <n v="-160"/>
    <n v="960"/>
  </r>
  <r>
    <x v="65"/>
    <s v="conventional_cashout_wacls_-104"/>
    <x v="1167"/>
    <n v="0.64"/>
    <n v="1"/>
    <n v="-160"/>
    <n v="960"/>
  </r>
  <r>
    <x v="65"/>
    <s v="conventional_cashout_wacls_-103"/>
    <x v="1168"/>
    <n v="0.64"/>
    <n v="1"/>
    <n v="-160"/>
    <n v="960"/>
  </r>
  <r>
    <x v="65"/>
    <s v="conventional_cashout_wacls_-102"/>
    <x v="1169"/>
    <n v="0.64"/>
    <n v="1"/>
    <n v="-160"/>
    <n v="960"/>
  </r>
  <r>
    <x v="65"/>
    <s v="conventional_cashout_wacls_-101"/>
    <x v="1170"/>
    <n v="0.64"/>
    <n v="1"/>
    <n v="-160"/>
    <n v="960"/>
  </r>
  <r>
    <x v="65"/>
    <s v="conventional_cashout_wacls_-100"/>
    <x v="1171"/>
    <n v="0.64"/>
    <n v="1"/>
    <n v="-160"/>
    <n v="960"/>
  </r>
  <r>
    <x v="65"/>
    <s v="conventional_cashout_wacls_-99"/>
    <x v="1172"/>
    <n v="0.64"/>
    <n v="1"/>
    <n v="-160"/>
    <n v="960"/>
  </r>
  <r>
    <x v="65"/>
    <s v="conventional_cashout_wacls_-98"/>
    <x v="1173"/>
    <n v="0.64"/>
    <n v="1"/>
    <n v="-160"/>
    <n v="960"/>
  </r>
  <r>
    <x v="65"/>
    <s v="conventional_cashout_wacls_-97"/>
    <x v="1174"/>
    <n v="0.64"/>
    <n v="1"/>
    <n v="-160"/>
    <n v="960"/>
  </r>
  <r>
    <x v="65"/>
    <s v="conventional_cashout_wacls_-96"/>
    <x v="1175"/>
    <n v="0.64"/>
    <n v="1"/>
    <n v="-160"/>
    <n v="960"/>
  </r>
  <r>
    <x v="65"/>
    <s v="conventional_cashout_wacls_-95"/>
    <x v="1176"/>
    <n v="0.64"/>
    <n v="1"/>
    <n v="-160"/>
    <n v="960"/>
  </r>
  <r>
    <x v="65"/>
    <s v="conventional_cashout_wacls_-94"/>
    <x v="1177"/>
    <n v="0.64"/>
    <n v="1"/>
    <n v="-160"/>
    <n v="960"/>
  </r>
  <r>
    <x v="65"/>
    <s v="conventional_cashout_wacls_-93"/>
    <x v="1178"/>
    <n v="0.64"/>
    <n v="1"/>
    <n v="-160"/>
    <n v="960"/>
  </r>
  <r>
    <x v="65"/>
    <s v="conventional_cashout_wacls_-92"/>
    <x v="1179"/>
    <n v="0.64"/>
    <n v="1"/>
    <n v="-160"/>
    <n v="960"/>
  </r>
  <r>
    <x v="65"/>
    <s v="conventional_cashout_wacls_-91"/>
    <x v="1180"/>
    <n v="0.64"/>
    <n v="1"/>
    <n v="-160"/>
    <n v="960"/>
  </r>
  <r>
    <x v="65"/>
    <s v="conventional_cashout_wacls_-90"/>
    <x v="1181"/>
    <n v="0.64"/>
    <n v="1"/>
    <n v="-160"/>
    <n v="960"/>
  </r>
  <r>
    <x v="65"/>
    <s v="conventional_cashout_wacls_-89"/>
    <x v="1182"/>
    <n v="0.64"/>
    <n v="1"/>
    <n v="-160"/>
    <n v="960"/>
  </r>
  <r>
    <x v="65"/>
    <s v="conventional_cashout_wacls_-88"/>
    <x v="1183"/>
    <n v="0.64"/>
    <n v="1"/>
    <n v="-160"/>
    <n v="960"/>
  </r>
  <r>
    <x v="65"/>
    <s v="conventional_cashout_wacls_-87"/>
    <x v="1184"/>
    <n v="0.64"/>
    <n v="1"/>
    <n v="-160"/>
    <n v="960"/>
  </r>
  <r>
    <x v="65"/>
    <s v="conventional_cashout_wacls_-86"/>
    <x v="1185"/>
    <n v="0.64"/>
    <n v="1"/>
    <n v="-160"/>
    <n v="960"/>
  </r>
  <r>
    <x v="65"/>
    <s v="conventional_cashout_wacls_-85"/>
    <x v="1186"/>
    <n v="0.64"/>
    <n v="1"/>
    <n v="-160"/>
    <n v="960"/>
  </r>
  <r>
    <x v="65"/>
    <s v="conventional_cashout_wacls_-84"/>
    <x v="1187"/>
    <n v="0.64"/>
    <n v="1"/>
    <n v="-160"/>
    <n v="960"/>
  </r>
  <r>
    <x v="65"/>
    <s v="conventional_cashout_wacls_-83"/>
    <x v="1188"/>
    <n v="0.64"/>
    <n v="1"/>
    <n v="-160"/>
    <n v="960"/>
  </r>
  <r>
    <x v="65"/>
    <s v="conventional_cashout_wacls_-82"/>
    <x v="1189"/>
    <n v="0.64"/>
    <n v="1"/>
    <n v="-160"/>
    <n v="960"/>
  </r>
  <r>
    <x v="65"/>
    <s v="conventional_cashout_wacls_-81"/>
    <x v="1190"/>
    <n v="0.64"/>
    <n v="1"/>
    <n v="-160"/>
    <n v="960"/>
  </r>
  <r>
    <x v="65"/>
    <s v="conventional_cashout_wacls_-80"/>
    <x v="1191"/>
    <n v="0.64"/>
    <n v="1"/>
    <n v="-160"/>
    <n v="960"/>
  </r>
  <r>
    <x v="65"/>
    <s v="conventional_cashout_wacls_-79"/>
    <x v="1192"/>
    <n v="0.64"/>
    <n v="1"/>
    <n v="-160"/>
    <n v="960"/>
  </r>
  <r>
    <x v="65"/>
    <s v="conventional_cashout_wacls_-78"/>
    <x v="1193"/>
    <n v="0.64"/>
    <n v="1"/>
    <n v="-160"/>
    <n v="960"/>
  </r>
  <r>
    <x v="65"/>
    <s v="conventional_cashout_wacls_-77"/>
    <x v="1194"/>
    <n v="0.64"/>
    <n v="1"/>
    <n v="-160"/>
    <n v="960"/>
  </r>
  <r>
    <x v="65"/>
    <s v="conventional_cashout_wacls_-76"/>
    <x v="1195"/>
    <n v="0.64"/>
    <n v="1"/>
    <n v="-160"/>
    <n v="960"/>
  </r>
  <r>
    <x v="65"/>
    <s v="conventional_cashout_wacls_-75"/>
    <x v="1196"/>
    <n v="0.64"/>
    <n v="1"/>
    <n v="-160"/>
    <n v="960"/>
  </r>
  <r>
    <x v="65"/>
    <s v="conventional_cashout_wacls_-74"/>
    <x v="1197"/>
    <n v="0.64"/>
    <n v="1"/>
    <n v="-160"/>
    <n v="960"/>
  </r>
  <r>
    <x v="65"/>
    <s v="conventional_cashout_wacls_-73"/>
    <x v="1198"/>
    <n v="0.64"/>
    <n v="1"/>
    <n v="-160"/>
    <n v="960"/>
  </r>
  <r>
    <x v="65"/>
    <s v="conventional_cashout_wacls_-72"/>
    <x v="1199"/>
    <n v="0.64"/>
    <n v="1"/>
    <n v="-160"/>
    <n v="960"/>
  </r>
  <r>
    <x v="65"/>
    <s v="conventional_cashout_wacls_-71"/>
    <x v="1200"/>
    <n v="0.64"/>
    <n v="1"/>
    <n v="-160"/>
    <n v="960"/>
  </r>
  <r>
    <x v="65"/>
    <s v="conventional_cashout_wacls_-70"/>
    <x v="1201"/>
    <n v="0.64"/>
    <n v="1"/>
    <n v="-160"/>
    <n v="960"/>
  </r>
  <r>
    <x v="65"/>
    <s v="conventional_cashout_wacls_-69"/>
    <x v="1202"/>
    <n v="0.64"/>
    <n v="1"/>
    <n v="-160"/>
    <n v="960"/>
  </r>
  <r>
    <x v="65"/>
    <s v="conventional_cashout_wacls_-68"/>
    <x v="1203"/>
    <n v="0.64"/>
    <n v="1"/>
    <n v="-160"/>
    <n v="960"/>
  </r>
  <r>
    <x v="65"/>
    <s v="conventional_cashout_wacls_-67"/>
    <x v="1204"/>
    <n v="0.64"/>
    <n v="1"/>
    <n v="-160"/>
    <n v="960"/>
  </r>
  <r>
    <x v="65"/>
    <s v="conventional_cashout_wacls_-66"/>
    <x v="1205"/>
    <n v="0.64"/>
    <n v="1"/>
    <n v="-160"/>
    <n v="960"/>
  </r>
  <r>
    <x v="65"/>
    <s v="conventional_cashout_wacls_-65"/>
    <x v="1206"/>
    <n v="0.64"/>
    <n v="1"/>
    <n v="-160"/>
    <n v="960"/>
  </r>
  <r>
    <x v="65"/>
    <s v="conventional_cashout_wacls_-64"/>
    <x v="1207"/>
    <n v="0.64"/>
    <n v="1"/>
    <n v="-160"/>
    <n v="960"/>
  </r>
  <r>
    <x v="65"/>
    <s v="conventional_cashout_wacls_-63"/>
    <x v="1208"/>
    <n v="0.64"/>
    <n v="1"/>
    <n v="-160"/>
    <n v="960"/>
  </r>
  <r>
    <x v="65"/>
    <s v="conventional_cashout_wacls_-62"/>
    <x v="1209"/>
    <n v="0.64"/>
    <n v="1"/>
    <n v="-160"/>
    <n v="960"/>
  </r>
  <r>
    <x v="65"/>
    <s v="conventional_cashout_wacls_-61"/>
    <x v="1210"/>
    <n v="0.64"/>
    <n v="1"/>
    <n v="-160"/>
    <n v="960"/>
  </r>
  <r>
    <x v="65"/>
    <s v="conventional_cashout_wacls_-60"/>
    <x v="1211"/>
    <n v="0.64"/>
    <n v="1"/>
    <n v="-160"/>
    <n v="960"/>
  </r>
  <r>
    <x v="65"/>
    <s v="conventional_cashout_wacls_-59"/>
    <x v="1212"/>
    <n v="0.64"/>
    <n v="1"/>
    <n v="-160"/>
    <n v="960"/>
  </r>
  <r>
    <x v="65"/>
    <s v="conventional_cashout_wacls_-58"/>
    <x v="1213"/>
    <n v="0.64"/>
    <n v="1"/>
    <n v="-160"/>
    <n v="960"/>
  </r>
  <r>
    <x v="65"/>
    <s v="conventional_cashout_wacls_-57"/>
    <x v="1214"/>
    <n v="0.64"/>
    <n v="1"/>
    <n v="-160"/>
    <n v="960"/>
  </r>
  <r>
    <x v="65"/>
    <s v="conventional_cashout_wacls_-56"/>
    <x v="1215"/>
    <n v="0.64"/>
    <n v="1"/>
    <n v="-160"/>
    <n v="960"/>
  </r>
  <r>
    <x v="65"/>
    <s v="conventional_cashout_wacls_-55"/>
    <x v="1216"/>
    <n v="0.64"/>
    <n v="1"/>
    <n v="-160"/>
    <n v="960"/>
  </r>
  <r>
    <x v="65"/>
    <s v="conventional_cashout_wacls_-54"/>
    <x v="1217"/>
    <n v="0.64"/>
    <n v="1"/>
    <n v="-160"/>
    <n v="960"/>
  </r>
  <r>
    <x v="65"/>
    <s v="conventional_cashout_wacls_-53"/>
    <x v="1218"/>
    <n v="0.64"/>
    <n v="1"/>
    <n v="-160"/>
    <n v="960"/>
  </r>
  <r>
    <x v="65"/>
    <s v="conventional_cashout_wacls_-52"/>
    <x v="1219"/>
    <n v="0.64"/>
    <n v="1"/>
    <n v="-160"/>
    <n v="960"/>
  </r>
  <r>
    <x v="65"/>
    <s v="conventional_cashout_wacls_-51"/>
    <x v="1220"/>
    <n v="0.64"/>
    <n v="1"/>
    <n v="-160"/>
    <n v="960"/>
  </r>
  <r>
    <x v="65"/>
    <s v="conventional_cashout_wacls_-50"/>
    <x v="1221"/>
    <n v="0.64"/>
    <n v="1"/>
    <n v="-160"/>
    <n v="960"/>
  </r>
  <r>
    <x v="65"/>
    <s v="conventional_cashout_wacls_-49"/>
    <x v="1222"/>
    <n v="0.64"/>
    <n v="1"/>
    <n v="-160"/>
    <n v="960"/>
  </r>
  <r>
    <x v="65"/>
    <s v="conventional_cashout_wacls_-48"/>
    <x v="1223"/>
    <n v="0.64"/>
    <n v="1"/>
    <n v="-160"/>
    <n v="960"/>
  </r>
  <r>
    <x v="65"/>
    <s v="conventional_cashout_wacls_-47"/>
    <x v="1224"/>
    <n v="0.64"/>
    <n v="1"/>
    <n v="-160"/>
    <n v="960"/>
  </r>
  <r>
    <x v="65"/>
    <s v="conventional_cashout_wacls_-46"/>
    <x v="1225"/>
    <n v="0.64"/>
    <n v="1"/>
    <n v="-160"/>
    <n v="960"/>
  </r>
  <r>
    <x v="65"/>
    <s v="conventional_cashout_wacls_-45"/>
    <x v="1226"/>
    <n v="0.64"/>
    <n v="1"/>
    <n v="-160"/>
    <n v="960"/>
  </r>
  <r>
    <x v="65"/>
    <s v="conventional_cashout_wacls_-44"/>
    <x v="1227"/>
    <n v="0.64"/>
    <n v="1"/>
    <n v="-160"/>
    <n v="960"/>
  </r>
  <r>
    <x v="65"/>
    <s v="conventional_cashout_wacls_-43"/>
    <x v="1228"/>
    <n v="0.64"/>
    <n v="1"/>
    <n v="-160"/>
    <n v="960"/>
  </r>
  <r>
    <x v="65"/>
    <s v="conventional_cashout_wacls_-42"/>
    <x v="1229"/>
    <n v="0.64"/>
    <n v="1"/>
    <n v="-160"/>
    <n v="960"/>
  </r>
  <r>
    <x v="65"/>
    <s v="conventional_cashout_wacls_-41"/>
    <x v="1230"/>
    <n v="0.64"/>
    <n v="1"/>
    <n v="-160"/>
    <n v="960"/>
  </r>
  <r>
    <x v="65"/>
    <s v="conventional_cashout_wacls_-40"/>
    <x v="0"/>
    <n v="0.64"/>
    <n v="1"/>
    <n v="-160"/>
    <n v="960"/>
  </r>
  <r>
    <x v="65"/>
    <s v="conventional_cashout_wacls_-39"/>
    <x v="1"/>
    <n v="0.64"/>
    <n v="1"/>
    <n v="-160"/>
    <n v="960"/>
  </r>
  <r>
    <x v="65"/>
    <s v="conventional_cashout_wacls_-38"/>
    <x v="2"/>
    <n v="0.64"/>
    <n v="1"/>
    <n v="-160"/>
    <n v="960"/>
  </r>
  <r>
    <x v="65"/>
    <s v="conventional_cashout_wacls_-37"/>
    <x v="3"/>
    <n v="0.64"/>
    <n v="1"/>
    <n v="-160"/>
    <n v="960"/>
  </r>
  <r>
    <x v="65"/>
    <s v="conventional_cashout_wacls_-36"/>
    <x v="4"/>
    <n v="0.64"/>
    <n v="1"/>
    <n v="-160"/>
    <n v="960"/>
  </r>
  <r>
    <x v="65"/>
    <s v="conventional_cashout_wacls_-35"/>
    <x v="5"/>
    <n v="0.64"/>
    <n v="1"/>
    <n v="-160"/>
    <n v="960"/>
  </r>
  <r>
    <x v="65"/>
    <s v="conventional_cashout_wacls_-34"/>
    <x v="6"/>
    <n v="0.64"/>
    <n v="1"/>
    <n v="-160"/>
    <n v="960"/>
  </r>
  <r>
    <x v="65"/>
    <s v="conventional_cashout_wacls_-33"/>
    <x v="7"/>
    <n v="0.64"/>
    <n v="1"/>
    <n v="-160"/>
    <n v="960"/>
  </r>
  <r>
    <x v="65"/>
    <s v="conventional_cashout_wacls_-32"/>
    <x v="8"/>
    <n v="0.64"/>
    <n v="1"/>
    <n v="-160"/>
    <n v="960"/>
  </r>
  <r>
    <x v="65"/>
    <s v="conventional_cashout_wacls_-31"/>
    <x v="9"/>
    <n v="0.64"/>
    <n v="1"/>
    <n v="-160"/>
    <n v="960"/>
  </r>
  <r>
    <x v="65"/>
    <s v="conventional_cashout_wacls_-30"/>
    <x v="10"/>
    <n v="0.64"/>
    <n v="1"/>
    <n v="-160"/>
    <n v="960"/>
  </r>
  <r>
    <x v="65"/>
    <s v="conventional_cashout_wacls_-29"/>
    <x v="11"/>
    <n v="0.64"/>
    <n v="1"/>
    <n v="-160"/>
    <n v="960"/>
  </r>
  <r>
    <x v="65"/>
    <s v="conventional_cashout_wacls_-28"/>
    <x v="12"/>
    <n v="0.64"/>
    <n v="1"/>
    <n v="-160"/>
    <n v="960"/>
  </r>
  <r>
    <x v="65"/>
    <s v="conventional_cashout_wacls_-27"/>
    <x v="13"/>
    <n v="0.64"/>
    <n v="1"/>
    <n v="-160"/>
    <n v="960"/>
  </r>
  <r>
    <x v="65"/>
    <s v="conventional_cashout_wacls_-26"/>
    <x v="14"/>
    <n v="0.64"/>
    <n v="1"/>
    <n v="-160"/>
    <n v="960"/>
  </r>
  <r>
    <x v="65"/>
    <s v="conventional_cashout_wacls_-25"/>
    <x v="15"/>
    <n v="0.64"/>
    <n v="1"/>
    <n v="-160"/>
    <n v="960"/>
  </r>
  <r>
    <x v="65"/>
    <s v="conventional_cashout_wacls_-24"/>
    <x v="16"/>
    <n v="0.64"/>
    <n v="1"/>
    <n v="-160"/>
    <n v="960"/>
  </r>
  <r>
    <x v="65"/>
    <s v="conventional_cashout_wacls_-23"/>
    <x v="17"/>
    <n v="0.64"/>
    <n v="1"/>
    <n v="-160"/>
    <n v="960"/>
  </r>
  <r>
    <x v="65"/>
    <s v="conventional_cashout_wacls_-22"/>
    <x v="18"/>
    <n v="0.64"/>
    <n v="1"/>
    <n v="-160"/>
    <n v="960"/>
  </r>
  <r>
    <x v="65"/>
    <s v="conventional_cashout_wacls_-21"/>
    <x v="19"/>
    <n v="0.64"/>
    <n v="1"/>
    <n v="-160"/>
    <n v="960"/>
  </r>
  <r>
    <x v="65"/>
    <s v="conventional_cashout_wacls_-20"/>
    <x v="20"/>
    <n v="0.64"/>
    <n v="1"/>
    <n v="-160"/>
    <n v="960"/>
  </r>
  <r>
    <x v="65"/>
    <s v="conventional_cashout_wacls_-19"/>
    <x v="21"/>
    <n v="0.64"/>
    <n v="1"/>
    <n v="-160"/>
    <n v="960"/>
  </r>
  <r>
    <x v="65"/>
    <s v="conventional_cashout_wacls_-18"/>
    <x v="22"/>
    <n v="0.64"/>
    <n v="1"/>
    <n v="-160"/>
    <n v="960"/>
  </r>
  <r>
    <x v="65"/>
    <s v="conventional_cashout_wacls_-17"/>
    <x v="23"/>
    <n v="0.64"/>
    <n v="1"/>
    <n v="-160"/>
    <n v="960"/>
  </r>
  <r>
    <x v="65"/>
    <s v="conventional_cashout_wacls_-16"/>
    <x v="24"/>
    <n v="0.64"/>
    <n v="1"/>
    <n v="-160"/>
    <n v="960"/>
  </r>
  <r>
    <x v="65"/>
    <s v="conventional_cashout_wacls_-15"/>
    <x v="25"/>
    <n v="0.64"/>
    <n v="1"/>
    <n v="-160"/>
    <n v="960"/>
  </r>
  <r>
    <x v="65"/>
    <s v="conventional_cashout_wacls_-14"/>
    <x v="26"/>
    <n v="0.64"/>
    <n v="1"/>
    <n v="-160"/>
    <n v="960"/>
  </r>
  <r>
    <x v="65"/>
    <s v="conventional_cashout_wacls_-13"/>
    <x v="27"/>
    <n v="0.64"/>
    <n v="1"/>
    <n v="-160"/>
    <n v="960"/>
  </r>
  <r>
    <x v="65"/>
    <s v="conventional_cashout_wacls_-12"/>
    <x v="28"/>
    <n v="0.64"/>
    <n v="1"/>
    <n v="-160"/>
    <n v="960"/>
  </r>
  <r>
    <x v="65"/>
    <s v="conventional_cashout_wacls_-11"/>
    <x v="29"/>
    <n v="0.64"/>
    <n v="1"/>
    <n v="-160"/>
    <n v="960"/>
  </r>
  <r>
    <x v="65"/>
    <s v="conventional_cashout_wacls_-10"/>
    <x v="30"/>
    <n v="0.64"/>
    <n v="1"/>
    <n v="-160"/>
    <n v="960"/>
  </r>
  <r>
    <x v="65"/>
    <s v="conventional_cashout_wacls_-9"/>
    <x v="31"/>
    <n v="0.64"/>
    <n v="1"/>
    <n v="-160"/>
    <n v="960"/>
  </r>
  <r>
    <x v="65"/>
    <s v="conventional_cashout_wacls_-8"/>
    <x v="32"/>
    <n v="0.64"/>
    <n v="1"/>
    <n v="-160"/>
    <n v="960"/>
  </r>
  <r>
    <x v="65"/>
    <s v="conventional_cashout_wacls_-7"/>
    <x v="33"/>
    <n v="0.64"/>
    <n v="1"/>
    <n v="-160"/>
    <n v="960"/>
  </r>
  <r>
    <x v="65"/>
    <s v="conventional_cashout_wacls_-6"/>
    <x v="34"/>
    <n v="0.64"/>
    <n v="1"/>
    <n v="-160"/>
    <n v="960"/>
  </r>
  <r>
    <x v="65"/>
    <s v="conventional_cashout_wacls_-5"/>
    <x v="35"/>
    <n v="0.64"/>
    <n v="1"/>
    <n v="-160"/>
    <n v="960"/>
  </r>
  <r>
    <x v="65"/>
    <s v="conventional_cashout_wacls_-4"/>
    <x v="36"/>
    <n v="0.64"/>
    <n v="1"/>
    <n v="-160"/>
    <n v="960"/>
  </r>
  <r>
    <x v="65"/>
    <s v="conventional_cashout_wacls_-3"/>
    <x v="37"/>
    <n v="0.64"/>
    <n v="1"/>
    <n v="-160"/>
    <n v="960"/>
  </r>
  <r>
    <x v="65"/>
    <s v="conventional_cashout_wacls_-2"/>
    <x v="38"/>
    <n v="0.64"/>
    <n v="1"/>
    <n v="-160"/>
    <n v="960"/>
  </r>
  <r>
    <x v="65"/>
    <s v="conventional_cashout_wacls_-1"/>
    <x v="39"/>
    <n v="0.64"/>
    <n v="1"/>
    <n v="-160"/>
    <n v="960"/>
  </r>
  <r>
    <x v="65"/>
    <s v="conventional_cashout_wacls_0"/>
    <x v="40"/>
    <n v="0.64"/>
    <n v="1"/>
    <n v="-160"/>
    <n v="960"/>
  </r>
  <r>
    <x v="65"/>
    <s v="conventional_cashout_wacls_1"/>
    <x v="41"/>
    <n v="0.64"/>
    <n v="1"/>
    <n v="-160"/>
    <n v="960"/>
  </r>
  <r>
    <x v="65"/>
    <s v="conventional_cashout_wacls_2"/>
    <x v="42"/>
    <n v="0.64"/>
    <n v="1"/>
    <n v="-160"/>
    <n v="960"/>
  </r>
  <r>
    <x v="65"/>
    <s v="conventional_cashout_wacls_3"/>
    <x v="43"/>
    <n v="0.64"/>
    <n v="1"/>
    <n v="-160"/>
    <n v="960"/>
  </r>
  <r>
    <x v="65"/>
    <s v="conventional_cashout_wacls_4"/>
    <x v="44"/>
    <n v="0.64"/>
    <n v="1"/>
    <n v="-160"/>
    <n v="960"/>
  </r>
  <r>
    <x v="65"/>
    <s v="conventional_cashout_wacls_5"/>
    <x v="45"/>
    <n v="0.64"/>
    <n v="1"/>
    <n v="-160"/>
    <n v="960"/>
  </r>
  <r>
    <x v="65"/>
    <s v="conventional_cashout_wacls_6"/>
    <x v="46"/>
    <n v="0.64"/>
    <n v="1"/>
    <n v="-160"/>
    <n v="960"/>
  </r>
  <r>
    <x v="65"/>
    <s v="conventional_cashout_wacls_7"/>
    <x v="47"/>
    <n v="0.64"/>
    <n v="1"/>
    <n v="-160"/>
    <n v="960"/>
  </r>
  <r>
    <x v="65"/>
    <s v="conventional_cashout_wacls_8"/>
    <x v="48"/>
    <n v="0.64"/>
    <n v="1"/>
    <n v="-160"/>
    <n v="960"/>
  </r>
  <r>
    <x v="65"/>
    <s v="conventional_cashout_wacls_9"/>
    <x v="49"/>
    <n v="0.64"/>
    <n v="1"/>
    <n v="-160"/>
    <n v="960"/>
  </r>
  <r>
    <x v="65"/>
    <s v="conventional_cashout_wacls_10"/>
    <x v="50"/>
    <n v="0.64"/>
    <n v="1"/>
    <n v="-160"/>
    <n v="960"/>
  </r>
  <r>
    <x v="65"/>
    <s v="conventional_cashout_wacls_11"/>
    <x v="51"/>
    <n v="0.64"/>
    <n v="1"/>
    <n v="-160"/>
    <n v="960"/>
  </r>
  <r>
    <x v="65"/>
    <s v="conventional_cashout_wacls_12"/>
    <x v="52"/>
    <n v="0.64"/>
    <n v="1"/>
    <n v="-160"/>
    <n v="960"/>
  </r>
  <r>
    <x v="65"/>
    <s v="conventional_cashout_wacls_13"/>
    <x v="53"/>
    <n v="0.64"/>
    <n v="1"/>
    <n v="-160"/>
    <n v="960"/>
  </r>
  <r>
    <x v="65"/>
    <s v="conventional_cashout_wacls_14"/>
    <x v="54"/>
    <n v="0.64"/>
    <n v="1"/>
    <n v="-160"/>
    <n v="960"/>
  </r>
  <r>
    <x v="65"/>
    <s v="conventional_cashout_wacls_15"/>
    <x v="55"/>
    <n v="0.64"/>
    <n v="1"/>
    <n v="-160"/>
    <n v="960"/>
  </r>
  <r>
    <x v="65"/>
    <s v="conventional_cashout_wacls_16"/>
    <x v="56"/>
    <n v="0.64"/>
    <n v="1"/>
    <n v="-160"/>
    <n v="960"/>
  </r>
  <r>
    <x v="65"/>
    <s v="conventional_cashout_wacls_17"/>
    <x v="57"/>
    <n v="0.64"/>
    <n v="1"/>
    <n v="-160"/>
    <n v="960"/>
  </r>
  <r>
    <x v="65"/>
    <s v="conventional_cashout_wacls_18"/>
    <x v="58"/>
    <n v="0.64"/>
    <n v="1"/>
    <n v="-160"/>
    <n v="960"/>
  </r>
  <r>
    <x v="65"/>
    <s v="conventional_cashout_wacls_19"/>
    <x v="59"/>
    <n v="0.64"/>
    <n v="1"/>
    <n v="-160"/>
    <n v="960"/>
  </r>
  <r>
    <x v="65"/>
    <s v="conventional_cashout_wacls_20"/>
    <x v="60"/>
    <n v="0.64"/>
    <n v="1"/>
    <n v="-160"/>
    <n v="960"/>
  </r>
  <r>
    <x v="65"/>
    <s v="conventional_cashout_wacls_21"/>
    <x v="61"/>
    <n v="0.64"/>
    <n v="1"/>
    <n v="-160"/>
    <n v="960"/>
  </r>
  <r>
    <x v="65"/>
    <s v="conventional_cashout_wacls_22"/>
    <x v="62"/>
    <n v="0.64"/>
    <n v="1"/>
    <n v="-160"/>
    <n v="960"/>
  </r>
  <r>
    <x v="65"/>
    <s v="conventional_cashout_wacls_23"/>
    <x v="63"/>
    <n v="0.64"/>
    <n v="1"/>
    <n v="-160"/>
    <n v="960"/>
  </r>
  <r>
    <x v="65"/>
    <s v="conventional_cashout_wacls_24"/>
    <x v="64"/>
    <n v="0.64"/>
    <n v="1"/>
    <n v="-160"/>
    <n v="960"/>
  </r>
  <r>
    <x v="65"/>
    <s v="conventional_cashout_wacls_25"/>
    <x v="65"/>
    <n v="0.64"/>
    <n v="1"/>
    <n v="-160"/>
    <n v="960"/>
  </r>
  <r>
    <x v="65"/>
    <s v="conventional_cashout_wacls_26"/>
    <x v="66"/>
    <n v="0.64"/>
    <n v="1"/>
    <n v="-160"/>
    <n v="960"/>
  </r>
  <r>
    <x v="65"/>
    <s v="conventional_cashout_wacls_27"/>
    <x v="67"/>
    <n v="0.64"/>
    <n v="1"/>
    <n v="-160"/>
    <n v="960"/>
  </r>
  <r>
    <x v="65"/>
    <s v="conventional_cashout_wacls_28"/>
    <x v="68"/>
    <n v="0.64"/>
    <n v="1"/>
    <n v="-160"/>
    <n v="960"/>
  </r>
  <r>
    <x v="65"/>
    <s v="conventional_cashout_wacls_29"/>
    <x v="69"/>
    <n v="0.64"/>
    <n v="1"/>
    <n v="-160"/>
    <n v="960"/>
  </r>
  <r>
    <x v="65"/>
    <s v="conventional_cashout_wacls_30"/>
    <x v="70"/>
    <n v="0.64"/>
    <n v="1"/>
    <n v="-160"/>
    <n v="960"/>
  </r>
  <r>
    <x v="65"/>
    <s v="conventional_cashout_wacls_31"/>
    <x v="71"/>
    <n v="0.64"/>
    <n v="1"/>
    <n v="-160"/>
    <n v="960"/>
  </r>
  <r>
    <x v="65"/>
    <s v="conventional_cashout_wacls_32"/>
    <x v="72"/>
    <n v="0.64"/>
    <n v="1"/>
    <n v="-160"/>
    <n v="960"/>
  </r>
  <r>
    <x v="65"/>
    <s v="conventional_cashout_wacls_33"/>
    <x v="73"/>
    <n v="0.64"/>
    <n v="1"/>
    <n v="-160"/>
    <n v="960"/>
  </r>
  <r>
    <x v="65"/>
    <s v="conventional_cashout_wacls_34"/>
    <x v="74"/>
    <n v="0.64"/>
    <n v="1"/>
    <n v="-160"/>
    <n v="960"/>
  </r>
  <r>
    <x v="65"/>
    <s v="conventional_cashout_wacls_35"/>
    <x v="75"/>
    <n v="0.64"/>
    <n v="1"/>
    <n v="-160"/>
    <n v="960"/>
  </r>
  <r>
    <x v="65"/>
    <s v="conventional_cashout_wacls_36"/>
    <x v="76"/>
    <n v="0.64"/>
    <n v="1"/>
    <n v="-160"/>
    <n v="960"/>
  </r>
  <r>
    <x v="65"/>
    <s v="conventional_cashout_wacls_37"/>
    <x v="77"/>
    <n v="0.64"/>
    <n v="1"/>
    <n v="-160"/>
    <n v="960"/>
  </r>
  <r>
    <x v="65"/>
    <s v="conventional_cashout_wacls_38"/>
    <x v="78"/>
    <n v="0.64"/>
    <n v="1"/>
    <n v="-160"/>
    <n v="960"/>
  </r>
  <r>
    <x v="65"/>
    <s v="conventional_cashout_wacls_39"/>
    <x v="79"/>
    <n v="0.64"/>
    <n v="1"/>
    <n v="-160"/>
    <n v="960"/>
  </r>
  <r>
    <x v="65"/>
    <s v="conventional_cashout_wacls_40"/>
    <x v="80"/>
    <n v="0.64"/>
    <n v="1"/>
    <n v="-160"/>
    <n v="960"/>
  </r>
  <r>
    <x v="65"/>
    <s v="conventional_cashout_wacls_41"/>
    <x v="81"/>
    <n v="0.64"/>
    <n v="1"/>
    <n v="-160"/>
    <n v="960"/>
  </r>
  <r>
    <x v="65"/>
    <s v="conventional_cashout_wacls_42"/>
    <x v="82"/>
    <n v="0.64"/>
    <n v="1"/>
    <n v="-160"/>
    <n v="960"/>
  </r>
  <r>
    <x v="65"/>
    <s v="conventional_cashout_wacls_43"/>
    <x v="83"/>
    <n v="0.64"/>
    <n v="1"/>
    <n v="-160"/>
    <n v="960"/>
  </r>
  <r>
    <x v="65"/>
    <s v="conventional_cashout_wacls_44"/>
    <x v="84"/>
    <n v="0.64"/>
    <n v="1"/>
    <n v="-160"/>
    <n v="960"/>
  </r>
  <r>
    <x v="65"/>
    <s v="conventional_cashout_wacls_45"/>
    <x v="85"/>
    <n v="0.64"/>
    <n v="1"/>
    <n v="-160"/>
    <n v="960"/>
  </r>
  <r>
    <x v="65"/>
    <s v="conventional_cashout_wacls_46"/>
    <x v="86"/>
    <n v="0.64"/>
    <n v="1"/>
    <n v="-160"/>
    <n v="960"/>
  </r>
  <r>
    <x v="65"/>
    <s v="conventional_cashout_wacls_47"/>
    <x v="87"/>
    <n v="0.64"/>
    <n v="1"/>
    <n v="-160"/>
    <n v="960"/>
  </r>
  <r>
    <x v="65"/>
    <s v="conventional_cashout_wacls_48"/>
    <x v="88"/>
    <n v="0.64"/>
    <n v="1"/>
    <n v="-160"/>
    <n v="960"/>
  </r>
  <r>
    <x v="65"/>
    <s v="conventional_cashout_wacls_49"/>
    <x v="89"/>
    <n v="0.64"/>
    <n v="1"/>
    <n v="-160"/>
    <n v="960"/>
  </r>
  <r>
    <x v="65"/>
    <s v="conventional_cashout_wacls_50"/>
    <x v="90"/>
    <n v="0.64"/>
    <n v="1"/>
    <n v="-160"/>
    <n v="960"/>
  </r>
  <r>
    <x v="65"/>
    <s v="conventional_cashout_wacls_51"/>
    <x v="91"/>
    <n v="0.64"/>
    <n v="1"/>
    <n v="-160"/>
    <n v="960"/>
  </r>
  <r>
    <x v="65"/>
    <s v="conventional_cashout_wacls_52"/>
    <x v="92"/>
    <n v="0.64"/>
    <n v="1"/>
    <n v="-160"/>
    <n v="960"/>
  </r>
  <r>
    <x v="65"/>
    <s v="conventional_cashout_wacls_53"/>
    <x v="93"/>
    <n v="0.64"/>
    <n v="1"/>
    <n v="-160"/>
    <n v="960"/>
  </r>
  <r>
    <x v="65"/>
    <s v="conventional_cashout_wacls_54"/>
    <x v="94"/>
    <n v="0.64"/>
    <n v="1"/>
    <n v="-160"/>
    <n v="960"/>
  </r>
  <r>
    <x v="65"/>
    <s v="conventional_cashout_wacls_55"/>
    <x v="95"/>
    <n v="0.64"/>
    <n v="1"/>
    <n v="-160"/>
    <n v="960"/>
  </r>
  <r>
    <x v="65"/>
    <s v="conventional_cashout_wacls_56"/>
    <x v="96"/>
    <n v="0.64030592592592595"/>
    <n v="1"/>
    <n v="-160"/>
    <n v="960"/>
  </r>
  <r>
    <x v="65"/>
    <s v="conventional_cashout_wacls_57"/>
    <x v="97"/>
    <n v="0.64120296296296297"/>
    <n v="1"/>
    <n v="-160"/>
    <n v="960"/>
  </r>
  <r>
    <x v="65"/>
    <s v="conventional_cashout_wacls_58"/>
    <x v="98"/>
    <n v="0.64266000000000001"/>
    <n v="1"/>
    <n v="-160"/>
    <n v="960"/>
  </r>
  <r>
    <x v="65"/>
    <s v="conventional_cashout_wacls_59"/>
    <x v="99"/>
    <n v="0.64464592592592596"/>
    <n v="1"/>
    <n v="-160"/>
    <n v="960"/>
  </r>
  <r>
    <x v="65"/>
    <s v="conventional_cashout_wacls_60"/>
    <x v="100"/>
    <n v="0.64712962962963005"/>
    <n v="1"/>
    <n v="-160"/>
    <n v="960"/>
  </r>
  <r>
    <x v="65"/>
    <s v="conventional_cashout_wacls_61"/>
    <x v="101"/>
    <n v="0.65007999999999999"/>
    <n v="1"/>
    <n v="-160"/>
    <n v="960"/>
  </r>
  <r>
    <x v="65"/>
    <s v="conventional_cashout_wacls_62"/>
    <x v="102"/>
    <n v="0.65346592592592601"/>
    <n v="1"/>
    <n v="-160"/>
    <n v="960"/>
  </r>
  <r>
    <x v="65"/>
    <s v="conventional_cashout_wacls_63"/>
    <x v="103"/>
    <n v="0.65725629629629601"/>
    <n v="1"/>
    <n v="-160"/>
    <n v="960"/>
  </r>
  <r>
    <x v="65"/>
    <s v="conventional_cashout_wacls_64"/>
    <x v="104"/>
    <n v="0.66142000000000001"/>
    <n v="1"/>
    <n v="-160"/>
    <n v="960"/>
  </r>
  <r>
    <x v="65"/>
    <s v="conventional_cashout_wacls_65"/>
    <x v="105"/>
    <n v="0.66592592592592603"/>
    <n v="1"/>
    <n v="-160"/>
    <n v="960"/>
  </r>
  <r>
    <x v="65"/>
    <s v="conventional_cashout_wacls_66"/>
    <x v="106"/>
    <n v="0.67074296296296299"/>
    <n v="1"/>
    <n v="-160"/>
    <n v="960"/>
  </r>
  <r>
    <x v="65"/>
    <s v="conventional_cashout_wacls_67"/>
    <x v="107"/>
    <n v="0.67584"/>
    <n v="1"/>
    <n v="-160"/>
    <n v="960"/>
  </r>
  <r>
    <x v="65"/>
    <s v="conventional_cashout_wacls_68"/>
    <x v="108"/>
    <n v="0.68118592592592597"/>
    <n v="1"/>
    <n v="-160"/>
    <n v="960"/>
  </r>
  <r>
    <x v="65"/>
    <s v="conventional_cashout_wacls_69"/>
    <x v="109"/>
    <n v="0.68674962962963004"/>
    <n v="1"/>
    <n v="-160"/>
    <n v="960"/>
  </r>
  <r>
    <x v="65"/>
    <s v="conventional_cashout_wacls_70"/>
    <x v="110"/>
    <n v="0.6925"/>
    <n v="1"/>
    <n v="-160"/>
    <n v="960"/>
  </r>
  <r>
    <x v="65"/>
    <s v="conventional_cashout_wacls_71"/>
    <x v="111"/>
    <n v="0.69840592592592599"/>
    <n v="1"/>
    <n v="-160"/>
    <n v="960"/>
  </r>
  <r>
    <x v="65"/>
    <s v="conventional_cashout_wacls_72"/>
    <x v="112"/>
    <n v="0.70443629629629601"/>
    <n v="1"/>
    <n v="-160"/>
    <n v="960"/>
  </r>
  <r>
    <x v="65"/>
    <s v="conventional_cashout_wacls_73"/>
    <x v="113"/>
    <n v="0.71055999999999997"/>
    <n v="1"/>
    <n v="-160"/>
    <n v="960"/>
  </r>
  <r>
    <x v="65"/>
    <s v="conventional_cashout_wacls_74"/>
    <x v="114"/>
    <n v="0.71674592592592601"/>
    <n v="1"/>
    <n v="-160"/>
    <n v="960"/>
  </r>
  <r>
    <x v="65"/>
    <s v="conventional_cashout_wacls_75"/>
    <x v="115"/>
    <n v="0.72296296296296303"/>
    <n v="1"/>
    <n v="-160"/>
    <n v="960"/>
  </r>
  <r>
    <x v="65"/>
    <s v="conventional_cashout_wacls_76"/>
    <x v="116"/>
    <n v="0.72918000000000005"/>
    <n v="1"/>
    <n v="-160"/>
    <n v="960"/>
  </r>
  <r>
    <x v="65"/>
    <s v="conventional_cashout_wacls_77"/>
    <x v="117"/>
    <n v="0.73536592592592598"/>
    <n v="1"/>
    <n v="-160"/>
    <n v="960"/>
  </r>
  <r>
    <x v="65"/>
    <s v="conventional_cashout_wacls_78"/>
    <x v="118"/>
    <n v="0.74148962962963005"/>
    <n v="1"/>
    <n v="-160"/>
    <n v="960"/>
  </r>
  <r>
    <x v="65"/>
    <s v="conventional_cashout_wacls_79"/>
    <x v="119"/>
    <n v="0.74751999999999996"/>
    <n v="1"/>
    <n v="-160"/>
    <n v="960"/>
  </r>
  <r>
    <x v="65"/>
    <s v="conventional_cashout_wacls_80"/>
    <x v="120"/>
    <n v="0.75342592592592605"/>
    <n v="1"/>
    <n v="-160"/>
    <n v="960"/>
  </r>
  <r>
    <x v="65"/>
    <s v="conventional_cashout_wacls_81"/>
    <x v="121"/>
    <n v="0.75917629629629602"/>
    <n v="1"/>
    <n v="-160"/>
    <n v="960"/>
  </r>
  <r>
    <x v="65"/>
    <s v="conventional_cashout_wacls_82"/>
    <x v="122"/>
    <n v="0.76473999999999998"/>
    <n v="1"/>
    <n v="-160"/>
    <n v="960"/>
  </r>
  <r>
    <x v="65"/>
    <s v="conventional_cashout_wacls_83"/>
    <x v="123"/>
    <n v="0.77008592592592595"/>
    <n v="1"/>
    <n v="-160"/>
    <n v="960"/>
  </r>
  <r>
    <x v="65"/>
    <s v="conventional_cashout_wacls_84"/>
    <x v="124"/>
    <n v="0.77518296296296296"/>
    <n v="1"/>
    <n v="-160"/>
    <n v="960"/>
  </r>
  <r>
    <x v="65"/>
    <s v="conventional_cashout_wacls_85"/>
    <x v="125"/>
    <n v="0.78"/>
    <n v="1"/>
    <n v="-160"/>
    <n v="960"/>
  </r>
  <r>
    <x v="65"/>
    <s v="conventional_cashout_wacls_86"/>
    <x v="126"/>
    <n v="0.78471883597883596"/>
    <n v="1"/>
    <n v="-160"/>
    <n v="960"/>
  </r>
  <r>
    <x v="65"/>
    <s v="conventional_cashout_wacls_87"/>
    <x v="127"/>
    <n v="0.78953481481481502"/>
    <n v="1"/>
    <n v="-160"/>
    <n v="960"/>
  </r>
  <r>
    <x v="65"/>
    <s v="conventional_cashout_wacls_88"/>
    <x v="128"/>
    <n v="0.79443714285714295"/>
    <n v="1"/>
    <n v="-160"/>
    <n v="960"/>
  </r>
  <r>
    <x v="65"/>
    <s v="conventional_cashout_wacls_89"/>
    <x v="129"/>
    <n v="0.79941502645502605"/>
    <n v="1"/>
    <n v="-160"/>
    <n v="960"/>
  </r>
  <r>
    <x v="65"/>
    <s v="conventional_cashout_wacls_90"/>
    <x v="130"/>
    <n v="0.80445767195767204"/>
    <n v="1"/>
    <n v="-160"/>
    <n v="960"/>
  </r>
  <r>
    <x v="65"/>
    <s v="conventional_cashout_wacls_91"/>
    <x v="131"/>
    <n v="0.809554285714286"/>
    <n v="1"/>
    <n v="-160"/>
    <n v="960"/>
  </r>
  <r>
    <x v="65"/>
    <s v="conventional_cashout_wacls_92"/>
    <x v="132"/>
    <n v="0.81469407407407402"/>
    <n v="1"/>
    <n v="-160"/>
    <n v="960"/>
  </r>
  <r>
    <x v="65"/>
    <s v="conventional_cashout_wacls_93"/>
    <x v="133"/>
    <n v="0.81986624338624303"/>
    <n v="1"/>
    <n v="-160"/>
    <n v="960"/>
  </r>
  <r>
    <x v="65"/>
    <s v="conventional_cashout_wacls_94"/>
    <x v="134"/>
    <n v="0.82506000000000002"/>
    <n v="1"/>
    <n v="-160"/>
    <n v="960"/>
  </r>
  <r>
    <x v="65"/>
    <s v="conventional_cashout_wacls_95"/>
    <x v="135"/>
    <n v="0.83026455026455004"/>
    <n v="1"/>
    <n v="-160"/>
    <n v="960"/>
  </r>
  <r>
    <x v="65"/>
    <s v="conventional_cashout_wacls_96"/>
    <x v="136"/>
    <n v="0.83546910052910095"/>
    <n v="1"/>
    <n v="-160"/>
    <n v="960"/>
  </r>
  <r>
    <x v="65"/>
    <s v="conventional_cashout_wacls_97"/>
    <x v="137"/>
    <n v="0.84066285714285705"/>
    <n v="1"/>
    <n v="-160"/>
    <n v="960"/>
  </r>
  <r>
    <x v="65"/>
    <s v="conventional_cashout_wacls_98"/>
    <x v="138"/>
    <n v="0.84583502645502695"/>
    <n v="1"/>
    <n v="-160"/>
    <n v="960"/>
  </r>
  <r>
    <x v="65"/>
    <s v="conventional_cashout_wacls_99"/>
    <x v="139"/>
    <n v="0.85097481481481496"/>
    <n v="1"/>
    <n v="-160"/>
    <n v="960"/>
  </r>
  <r>
    <x v="65"/>
    <s v="conventional_cashout_wacls_100"/>
    <x v="140"/>
    <n v="0.85607142857142904"/>
    <n v="1"/>
    <n v="-160"/>
    <n v="960"/>
  </r>
  <r>
    <x v="65"/>
    <s v="conventional_cashout_wacls_101"/>
    <x v="141"/>
    <n v="0.86111407407407403"/>
    <n v="1"/>
    <n v="-160"/>
    <n v="960"/>
  </r>
  <r>
    <x v="65"/>
    <s v="conventional_cashout_wacls_102"/>
    <x v="142"/>
    <n v="0.86609195767195801"/>
    <n v="1"/>
    <n v="-160"/>
    <n v="960"/>
  </r>
  <r>
    <x v="65"/>
    <s v="conventional_cashout_wacls_103"/>
    <x v="143"/>
    <n v="0.87099428571428605"/>
    <n v="1"/>
    <n v="-160"/>
    <n v="960"/>
  </r>
  <r>
    <x v="65"/>
    <s v="conventional_cashout_wacls_104"/>
    <x v="144"/>
    <n v="0.87581026455026401"/>
    <n v="1"/>
    <n v="-160"/>
    <n v="960"/>
  </r>
  <r>
    <x v="65"/>
    <s v="conventional_cashout_wacls_105"/>
    <x v="145"/>
    <n v="0.88052910052910005"/>
    <n v="1"/>
    <n v="-160"/>
    <n v="960"/>
  </r>
  <r>
    <x v="65"/>
    <s v="conventional_cashout_wacls_106"/>
    <x v="146"/>
    <n v="0.88514000000000004"/>
    <n v="1"/>
    <n v="-160"/>
    <n v="960"/>
  </r>
  <r>
    <x v="65"/>
    <s v="conventional_cashout_wacls_107"/>
    <x v="147"/>
    <n v="0.88963216931216904"/>
    <n v="1"/>
    <n v="-160"/>
    <n v="960"/>
  </r>
  <r>
    <x v="65"/>
    <s v="conventional_cashout_wacls_108"/>
    <x v="148"/>
    <n v="0.89399481481481502"/>
    <n v="1"/>
    <n v="-160"/>
    <n v="960"/>
  </r>
  <r>
    <x v="65"/>
    <s v="conventional_cashout_wacls_109"/>
    <x v="149"/>
    <n v="0.89821714285714305"/>
    <n v="1"/>
    <n v="-160"/>
    <n v="960"/>
  </r>
  <r>
    <x v="65"/>
    <s v="conventional_cashout_wacls_110"/>
    <x v="150"/>
    <n v="0.90228835978835997"/>
    <n v="1"/>
    <n v="-160"/>
    <n v="960"/>
  </r>
  <r>
    <x v="65"/>
    <s v="conventional_cashout_wacls_111"/>
    <x v="151"/>
    <n v="0.90619767195767198"/>
    <n v="1"/>
    <n v="-160"/>
    <n v="960"/>
  </r>
  <r>
    <x v="65"/>
    <s v="conventional_cashout_wacls_112"/>
    <x v="152"/>
    <n v="0.90993428571428603"/>
    <n v="1"/>
    <n v="-160"/>
    <n v="960"/>
  </r>
  <r>
    <x v="65"/>
    <s v="conventional_cashout_wacls_113"/>
    <x v="153"/>
    <n v="0.91348740740740697"/>
    <n v="1"/>
    <n v="-160"/>
    <n v="960"/>
  </r>
  <r>
    <x v="65"/>
    <s v="conventional_cashout_wacls_114"/>
    <x v="154"/>
    <n v="0.91684624338624299"/>
    <n v="1"/>
    <n v="-160"/>
    <n v="960"/>
  </r>
  <r>
    <x v="65"/>
    <s v="conventional_cashout_wacls_115"/>
    <x v="155"/>
    <n v="0.92"/>
    <n v="1"/>
    <n v="-160"/>
    <n v="960"/>
  </r>
  <r>
    <x v="65"/>
    <s v="conventional_cashout_wacls_116"/>
    <x v="156"/>
    <n v="0.92295959572400399"/>
    <n v="1"/>
    <n v="-160"/>
    <n v="960"/>
  </r>
  <r>
    <x v="65"/>
    <s v="conventional_cashout_wacls_117"/>
    <x v="157"/>
    <n v="0.92574805830903795"/>
    <n v="1"/>
    <n v="-160"/>
    <n v="960"/>
  </r>
  <r>
    <x v="65"/>
    <s v="conventional_cashout_wacls_118"/>
    <x v="158"/>
    <n v="0.92837275801749297"/>
    <n v="1"/>
    <n v="-160"/>
    <n v="960"/>
  </r>
  <r>
    <x v="65"/>
    <s v="conventional_cashout_wacls_119"/>
    <x v="159"/>
    <n v="0.93084106511175901"/>
    <n v="1"/>
    <n v="-160"/>
    <n v="960"/>
  </r>
  <r>
    <x v="65"/>
    <s v="conventional_cashout_wacls_120"/>
    <x v="160"/>
    <n v="0.93316034985422702"/>
    <n v="1"/>
    <n v="-160"/>
    <n v="960"/>
  </r>
  <r>
    <x v="65"/>
    <s v="conventional_cashout_wacls_121"/>
    <x v="161"/>
    <n v="0.93533798250728895"/>
    <n v="1"/>
    <n v="-160"/>
    <n v="960"/>
  </r>
  <r>
    <x v="65"/>
    <s v="conventional_cashout_wacls_122"/>
    <x v="162"/>
    <n v="0.93738133333333296"/>
    <n v="1"/>
    <n v="-160"/>
    <n v="960"/>
  </r>
  <r>
    <x v="65"/>
    <s v="conventional_cashout_wacls_123"/>
    <x v="163"/>
    <n v="0.939297772594752"/>
    <n v="1"/>
    <n v="-160"/>
    <n v="960"/>
  </r>
  <r>
    <x v="65"/>
    <s v="conventional_cashout_wacls_124"/>
    <x v="164"/>
    <n v="0.94109467055393603"/>
    <n v="1"/>
    <n v="-160"/>
    <n v="960"/>
  </r>
  <r>
    <x v="65"/>
    <s v="conventional_cashout_wacls_125"/>
    <x v="165"/>
    <n v="0.94277939747327499"/>
    <n v="1"/>
    <n v="-160"/>
    <n v="960"/>
  </r>
  <r>
    <x v="65"/>
    <s v="conventional_cashout_wacls_126"/>
    <x v="166"/>
    <n v="0.94435932361515995"/>
    <n v="1"/>
    <n v="-160"/>
    <n v="960"/>
  </r>
  <r>
    <x v="65"/>
    <s v="conventional_cashout_wacls_127"/>
    <x v="167"/>
    <n v="0.94584181924198296"/>
    <n v="1"/>
    <n v="-160"/>
    <n v="960"/>
  </r>
  <r>
    <x v="65"/>
    <s v="conventional_cashout_wacls_128"/>
    <x v="168"/>
    <n v="0.94723425461613198"/>
    <n v="1"/>
    <n v="-160"/>
    <n v="960"/>
  </r>
  <r>
    <x v="65"/>
    <s v="conventional_cashout_wacls_129"/>
    <x v="169"/>
    <n v="0.94854400000000005"/>
    <n v="1"/>
    <n v="-160"/>
    <n v="960"/>
  </r>
  <r>
    <x v="65"/>
    <s v="conventional_cashout_wacls_130"/>
    <x v="170"/>
    <n v="0.94977842565597703"/>
    <n v="1"/>
    <n v="-160"/>
    <n v="960"/>
  </r>
  <r>
    <x v="65"/>
    <s v="conventional_cashout_wacls_131"/>
    <x v="171"/>
    <n v="0.95094490184645297"/>
    <n v="1"/>
    <n v="-160"/>
    <n v="960"/>
  </r>
  <r>
    <x v="65"/>
    <s v="conventional_cashout_wacls_132"/>
    <x v="172"/>
    <n v="0.95205079883381905"/>
    <n v="1"/>
    <n v="-160"/>
    <n v="960"/>
  </r>
  <r>
    <x v="65"/>
    <s v="conventional_cashout_wacls_133"/>
    <x v="173"/>
    <n v="0.95310348688046598"/>
    <n v="1"/>
    <n v="-160"/>
    <n v="960"/>
  </r>
  <r>
    <x v="65"/>
    <s v="conventional_cashout_wacls_134"/>
    <x v="174"/>
    <n v="0.95411033624878505"/>
    <n v="1"/>
    <n v="-160"/>
    <n v="960"/>
  </r>
  <r>
    <x v="65"/>
    <s v="conventional_cashout_wacls_135"/>
    <x v="175"/>
    <n v="0.95507871720116599"/>
    <n v="1"/>
    <n v="-160"/>
    <n v="960"/>
  </r>
  <r>
    <x v="65"/>
    <s v="conventional_cashout_wacls_136"/>
    <x v="176"/>
    <n v="0.95601599999999998"/>
    <n v="1"/>
    <n v="-160"/>
    <n v="960"/>
  </r>
  <r>
    <x v="65"/>
    <s v="conventional_cashout_wacls_137"/>
    <x v="177"/>
    <n v="0.95692955490767695"/>
    <n v="1"/>
    <n v="-160"/>
    <n v="960"/>
  </r>
  <r>
    <x v="65"/>
    <s v="conventional_cashout_wacls_138"/>
    <x v="178"/>
    <n v="0.95782675218658897"/>
    <n v="1"/>
    <n v="-160"/>
    <n v="960"/>
  </r>
  <r>
    <x v="65"/>
    <s v="conventional_cashout_wacls_139"/>
    <x v="179"/>
    <n v="0.95871496209912499"/>
    <n v="1"/>
    <n v="-160"/>
    <n v="960"/>
  </r>
  <r>
    <x v="65"/>
    <s v="conventional_cashout_wacls_140"/>
    <x v="180"/>
    <n v="0.95960155490767696"/>
    <n v="1"/>
    <n v="-160"/>
    <n v="960"/>
  </r>
  <r>
    <x v="65"/>
    <s v="conventional_cashout_wacls_141"/>
    <x v="181"/>
    <n v="0.96049390087463604"/>
    <n v="1"/>
    <n v="-160"/>
    <n v="960"/>
  </r>
  <r>
    <x v="65"/>
    <s v="conventional_cashout_wacls_142"/>
    <x v="182"/>
    <n v="0.96139937026239097"/>
    <n v="1"/>
    <n v="-160"/>
    <n v="960"/>
  </r>
  <r>
    <x v="65"/>
    <s v="conventional_cashout_wacls_143"/>
    <x v="183"/>
    <n v="0.96232533333333303"/>
    <n v="1"/>
    <n v="-160"/>
    <n v="960"/>
  </r>
  <r>
    <x v="65"/>
    <s v="conventional_cashout_wacls_144"/>
    <x v="184"/>
    <n v="0.96327916034985395"/>
    <n v="1"/>
    <n v="-160"/>
    <n v="960"/>
  </r>
  <r>
    <x v="65"/>
    <s v="conventional_cashout_wacls_145"/>
    <x v="185"/>
    <n v="0.964268221574344"/>
    <n v="1"/>
    <n v="-160"/>
    <n v="960"/>
  </r>
  <r>
    <x v="65"/>
    <s v="conventional_cashout_wacls_146"/>
    <x v="186"/>
    <n v="0.96529988726919302"/>
    <n v="1"/>
    <n v="-160"/>
    <n v="960"/>
  </r>
  <r>
    <x v="65"/>
    <s v="conventional_cashout_wacls_147"/>
    <x v="187"/>
    <n v="0.96638152769679297"/>
    <n v="1"/>
    <n v="-160"/>
    <n v="960"/>
  </r>
  <r>
    <x v="65"/>
    <s v="conventional_cashout_wacls_148"/>
    <x v="188"/>
    <n v="0.96752051311953302"/>
    <n v="1"/>
    <n v="-160"/>
    <n v="960"/>
  </r>
  <r>
    <x v="65"/>
    <s v="conventional_cashout_wacls_149"/>
    <x v="189"/>
    <n v="0.968724213799806"/>
    <n v="1"/>
    <n v="-160"/>
    <n v="960"/>
  </r>
  <r>
    <x v="65"/>
    <s v="conventional_cashout_wacls_150"/>
    <x v="190"/>
    <n v="0.97"/>
    <n v="1"/>
    <n v="-160"/>
    <n v="960"/>
  </r>
  <r>
    <x v="65"/>
    <s v="conventional_cashout_wacls_151"/>
    <x v="191"/>
    <n v="0.97135140571428602"/>
    <n v="1"/>
    <n v="-160"/>
    <n v="960"/>
  </r>
  <r>
    <x v="65"/>
    <s v="conventional_cashout_wacls_152"/>
    <x v="192"/>
    <n v="0.97277010285714305"/>
    <n v="1"/>
    <n v="-160"/>
    <n v="960"/>
  </r>
  <r>
    <x v="65"/>
    <s v="conventional_cashout_wacls_153"/>
    <x v="193"/>
    <n v="0.97424566857142902"/>
    <n v="1"/>
    <n v="-160"/>
    <n v="960"/>
  </r>
  <r>
    <x v="65"/>
    <s v="conventional_cashout_wacls_154"/>
    <x v="194"/>
    <n v="0.97576768000000003"/>
    <n v="1"/>
    <n v="-160"/>
    <n v="960"/>
  </r>
  <r>
    <x v="65"/>
    <s v="conventional_cashout_wacls_155"/>
    <x v="195"/>
    <n v="0.97732571428571402"/>
    <n v="1"/>
    <n v="-160"/>
    <n v="960"/>
  </r>
  <r>
    <x v="65"/>
    <s v="conventional_cashout_wacls_156"/>
    <x v="196"/>
    <n v="0.97890934857142897"/>
    <n v="1"/>
    <n v="-160"/>
    <n v="960"/>
  </r>
  <r>
    <x v="65"/>
    <s v="conventional_cashout_wacls_157"/>
    <x v="197"/>
    <n v="0.98050815999999996"/>
    <n v="1"/>
    <n v="-160"/>
    <n v="960"/>
  </r>
  <r>
    <x v="65"/>
    <s v="conventional_cashout_wacls_158"/>
    <x v="198"/>
    <n v="0.98211172571428595"/>
    <n v="1"/>
    <n v="-160"/>
    <n v="960"/>
  </r>
  <r>
    <x v="65"/>
    <s v="conventional_cashout_wacls_159"/>
    <x v="199"/>
    <n v="0.98370962285714303"/>
    <n v="1"/>
    <n v="-160"/>
    <n v="960"/>
  </r>
  <r>
    <x v="65"/>
    <s v="conventional_cashout_wacls_160"/>
    <x v="200"/>
    <n v="0.98529142857142904"/>
    <n v="1"/>
    <n v="-160"/>
    <n v="960"/>
  </r>
  <r>
    <x v="65"/>
    <s v="conventional_cashout_wacls_161"/>
    <x v="201"/>
    <n v="0.98684671999999996"/>
    <n v="1"/>
    <n v="-160"/>
    <n v="960"/>
  </r>
  <r>
    <x v="65"/>
    <s v="conventional_cashout_wacls_162"/>
    <x v="202"/>
    <n v="0.98836507428571396"/>
    <n v="1"/>
    <n v="-160"/>
    <n v="960"/>
  </r>
  <r>
    <x v="65"/>
    <s v="conventional_cashout_wacls_163"/>
    <x v="203"/>
    <n v="0.98983606857142803"/>
    <n v="1"/>
    <n v="-160"/>
    <n v="960"/>
  </r>
  <r>
    <x v="65"/>
    <s v="conventional_cashout_wacls_164"/>
    <x v="204"/>
    <n v="0.99124928000000001"/>
    <n v="1"/>
    <n v="-160"/>
    <n v="960"/>
  </r>
  <r>
    <x v="65"/>
    <s v="conventional_cashout_wacls_165"/>
    <x v="205"/>
    <n v="0.99259428571428598"/>
    <n v="1"/>
    <n v="-160"/>
    <n v="960"/>
  </r>
  <r>
    <x v="65"/>
    <s v="conventional_cashout_wacls_166"/>
    <x v="206"/>
    <n v="0.99386066285714303"/>
    <n v="1"/>
    <n v="-160"/>
    <n v="960"/>
  </r>
  <r>
    <x v="65"/>
    <s v="conventional_cashout_wacls_167"/>
    <x v="207"/>
    <n v="0.995037988571429"/>
    <n v="1"/>
    <n v="-160"/>
    <n v="960"/>
  </r>
  <r>
    <x v="65"/>
    <s v="conventional_cashout_wacls_168"/>
    <x v="208"/>
    <n v="0.99611583999999997"/>
    <n v="1"/>
    <n v="-160"/>
    <n v="960"/>
  </r>
  <r>
    <x v="65"/>
    <s v="conventional_cashout_wacls_169"/>
    <x v="209"/>
    <n v="0.99708379428571403"/>
    <n v="1"/>
    <n v="-160"/>
    <n v="960"/>
  </r>
  <r>
    <x v="65"/>
    <s v="conventional_cashout_wacls_170"/>
    <x v="210"/>
    <n v="0.99793142857142902"/>
    <n v="1"/>
    <n v="-160"/>
    <n v="960"/>
  </r>
  <r>
    <x v="65"/>
    <s v="conventional_cashout_wacls_171"/>
    <x v="211"/>
    <n v="0.99864832000000003"/>
    <n v="1"/>
    <n v="-160"/>
    <n v="960"/>
  </r>
  <r>
    <x v="65"/>
    <s v="conventional_cashout_wacls_172"/>
    <x v="212"/>
    <n v="0.99922404571428602"/>
    <n v="1"/>
    <n v="-160"/>
    <n v="960"/>
  </r>
  <r>
    <x v="65"/>
    <s v="conventional_cashout_wacls_173"/>
    <x v="213"/>
    <n v="0.99964818285714296"/>
    <n v="1"/>
    <n v="-160"/>
    <n v="960"/>
  </r>
  <r>
    <x v="65"/>
    <s v="conventional_cashout_wacls_174"/>
    <x v="214"/>
    <n v="0.99991030857142904"/>
    <n v="1"/>
    <n v="-160"/>
    <n v="960"/>
  </r>
  <r>
    <x v="65"/>
    <s v="conventional_cashout_wacls_175"/>
    <x v="215"/>
    <n v="1"/>
    <n v="1"/>
    <n v="-160"/>
    <n v="960"/>
  </r>
  <r>
    <x v="65"/>
    <s v="conventional_cashout_wacls_176"/>
    <x v="216"/>
    <n v="1"/>
    <n v="1"/>
    <n v="-160"/>
    <n v="960"/>
  </r>
  <r>
    <x v="65"/>
    <s v="conventional_cashout_wacls_177"/>
    <x v="217"/>
    <n v="1"/>
    <n v="1"/>
    <n v="-160"/>
    <n v="960"/>
  </r>
  <r>
    <x v="65"/>
    <s v="conventional_cashout_wacls_178"/>
    <x v="218"/>
    <n v="1"/>
    <n v="1"/>
    <n v="-160"/>
    <n v="960"/>
  </r>
  <r>
    <x v="65"/>
    <s v="conventional_cashout_wacls_179"/>
    <x v="219"/>
    <n v="1"/>
    <n v="1"/>
    <n v="-160"/>
    <n v="960"/>
  </r>
  <r>
    <x v="65"/>
    <s v="conventional_cashout_wacls_180"/>
    <x v="220"/>
    <n v="1"/>
    <n v="1"/>
    <n v="-160"/>
    <n v="960"/>
  </r>
  <r>
    <x v="65"/>
    <s v="conventional_cashout_wacls_181"/>
    <x v="221"/>
    <n v="1"/>
    <n v="1"/>
    <n v="-160"/>
    <n v="960"/>
  </r>
  <r>
    <x v="65"/>
    <s v="conventional_cashout_wacls_182"/>
    <x v="222"/>
    <n v="1"/>
    <n v="1"/>
    <n v="-160"/>
    <n v="960"/>
  </r>
  <r>
    <x v="65"/>
    <s v="conventional_cashout_wacls_183"/>
    <x v="223"/>
    <n v="1"/>
    <n v="1"/>
    <n v="-160"/>
    <n v="960"/>
  </r>
  <r>
    <x v="65"/>
    <s v="conventional_cashout_wacls_184"/>
    <x v="224"/>
    <n v="1"/>
    <n v="1"/>
    <n v="-160"/>
    <n v="960"/>
  </r>
  <r>
    <x v="65"/>
    <s v="conventional_cashout_wacls_185"/>
    <x v="225"/>
    <n v="1"/>
    <n v="1"/>
    <n v="-160"/>
    <n v="960"/>
  </r>
  <r>
    <x v="65"/>
    <s v="conventional_cashout_wacls_186"/>
    <x v="226"/>
    <n v="1"/>
    <n v="1"/>
    <n v="-160"/>
    <n v="960"/>
  </r>
  <r>
    <x v="65"/>
    <s v="conventional_cashout_wacls_187"/>
    <x v="227"/>
    <n v="1"/>
    <n v="1"/>
    <n v="-160"/>
    <n v="960"/>
  </r>
  <r>
    <x v="65"/>
    <s v="conventional_cashout_wacls_188"/>
    <x v="228"/>
    <n v="1"/>
    <n v="1"/>
    <n v="-160"/>
    <n v="960"/>
  </r>
  <r>
    <x v="65"/>
    <s v="conventional_cashout_wacls_189"/>
    <x v="229"/>
    <n v="1"/>
    <n v="1"/>
    <n v="-160"/>
    <n v="960"/>
  </r>
  <r>
    <x v="65"/>
    <s v="conventional_cashout_wacls_190"/>
    <x v="230"/>
    <n v="1"/>
    <n v="1"/>
    <n v="-160"/>
    <n v="960"/>
  </r>
  <r>
    <x v="65"/>
    <s v="conventional_cashout_wacls_191"/>
    <x v="231"/>
    <n v="1"/>
    <n v="1"/>
    <n v="-160"/>
    <n v="960"/>
  </r>
  <r>
    <x v="65"/>
    <s v="conventional_cashout_wacls_192"/>
    <x v="232"/>
    <n v="1"/>
    <n v="1"/>
    <n v="-160"/>
    <n v="960"/>
  </r>
  <r>
    <x v="65"/>
    <s v="conventional_cashout_wacls_193"/>
    <x v="233"/>
    <n v="1"/>
    <n v="1"/>
    <n v="-160"/>
    <n v="960"/>
  </r>
  <r>
    <x v="65"/>
    <s v="conventional_cashout_wacls_194"/>
    <x v="234"/>
    <n v="1"/>
    <n v="1"/>
    <n v="-160"/>
    <n v="960"/>
  </r>
  <r>
    <x v="65"/>
    <s v="conventional_cashout_wacls_195"/>
    <x v="235"/>
    <n v="1"/>
    <n v="1"/>
    <n v="-160"/>
    <n v="960"/>
  </r>
  <r>
    <x v="65"/>
    <s v="conventional_cashout_wacls_196"/>
    <x v="236"/>
    <n v="1"/>
    <n v="1"/>
    <n v="-160"/>
    <n v="960"/>
  </r>
  <r>
    <x v="65"/>
    <s v="conventional_cashout_wacls_197"/>
    <x v="237"/>
    <n v="1"/>
    <n v="1"/>
    <n v="-160"/>
    <n v="960"/>
  </r>
  <r>
    <x v="65"/>
    <s v="conventional_cashout_wacls_198"/>
    <x v="238"/>
    <n v="1"/>
    <n v="1"/>
    <n v="-160"/>
    <n v="960"/>
  </r>
  <r>
    <x v="65"/>
    <s v="conventional_cashout_wacls_199"/>
    <x v="239"/>
    <n v="1"/>
    <n v="1"/>
    <n v="-160"/>
    <n v="960"/>
  </r>
  <r>
    <x v="65"/>
    <s v="conventional_cashout_wacls_200"/>
    <x v="240"/>
    <n v="1"/>
    <n v="1"/>
    <n v="-160"/>
    <n v="960"/>
  </r>
  <r>
    <x v="65"/>
    <s v="conventional_cashout_wacls_201"/>
    <x v="241"/>
    <n v="1"/>
    <n v="1"/>
    <n v="-160"/>
    <n v="960"/>
  </r>
  <r>
    <x v="65"/>
    <s v="conventional_cashout_wacls_202"/>
    <x v="242"/>
    <n v="1"/>
    <n v="1"/>
    <n v="-160"/>
    <n v="960"/>
  </r>
  <r>
    <x v="65"/>
    <s v="conventional_cashout_wacls_203"/>
    <x v="243"/>
    <n v="1"/>
    <n v="1"/>
    <n v="-160"/>
    <n v="960"/>
  </r>
  <r>
    <x v="65"/>
    <s v="conventional_cashout_wacls_204"/>
    <x v="244"/>
    <n v="1"/>
    <n v="1"/>
    <n v="-160"/>
    <n v="960"/>
  </r>
  <r>
    <x v="65"/>
    <s v="conventional_cashout_wacls_205"/>
    <x v="245"/>
    <n v="1"/>
    <n v="1"/>
    <n v="-160"/>
    <n v="960"/>
  </r>
  <r>
    <x v="65"/>
    <s v="conventional_cashout_wacls_206"/>
    <x v="246"/>
    <n v="1"/>
    <n v="1"/>
    <n v="-160"/>
    <n v="960"/>
  </r>
  <r>
    <x v="65"/>
    <s v="conventional_cashout_wacls_207"/>
    <x v="247"/>
    <n v="1"/>
    <n v="1"/>
    <n v="-160"/>
    <n v="960"/>
  </r>
  <r>
    <x v="65"/>
    <s v="conventional_cashout_wacls_208"/>
    <x v="248"/>
    <n v="1"/>
    <n v="1"/>
    <n v="-160"/>
    <n v="960"/>
  </r>
  <r>
    <x v="65"/>
    <s v="conventional_cashout_wacls_209"/>
    <x v="249"/>
    <n v="1"/>
    <n v="1"/>
    <n v="-160"/>
    <n v="960"/>
  </r>
  <r>
    <x v="65"/>
    <s v="conventional_cashout_wacls_210"/>
    <x v="250"/>
    <n v="1"/>
    <n v="1"/>
    <n v="-160"/>
    <n v="960"/>
  </r>
  <r>
    <x v="65"/>
    <s v="conventional_cashout_wacls_211"/>
    <x v="251"/>
    <n v="1"/>
    <n v="1"/>
    <n v="-160"/>
    <n v="960"/>
  </r>
  <r>
    <x v="65"/>
    <s v="conventional_cashout_wacls_212"/>
    <x v="252"/>
    <n v="1"/>
    <n v="1"/>
    <n v="-160"/>
    <n v="960"/>
  </r>
  <r>
    <x v="65"/>
    <s v="conventional_cashout_wacls_213"/>
    <x v="253"/>
    <n v="1"/>
    <n v="1"/>
    <n v="-160"/>
    <n v="960"/>
  </r>
  <r>
    <x v="65"/>
    <s v="conventional_cashout_wacls_214"/>
    <x v="254"/>
    <n v="1"/>
    <n v="1"/>
    <n v="-160"/>
    <n v="960"/>
  </r>
  <r>
    <x v="65"/>
    <s v="conventional_cashout_wacls_215"/>
    <x v="255"/>
    <n v="1"/>
    <n v="1"/>
    <n v="-160"/>
    <n v="960"/>
  </r>
  <r>
    <x v="65"/>
    <s v="conventional_cashout_wacls_216"/>
    <x v="256"/>
    <n v="1"/>
    <n v="1"/>
    <n v="-160"/>
    <n v="960"/>
  </r>
  <r>
    <x v="65"/>
    <s v="conventional_cashout_wacls_217"/>
    <x v="257"/>
    <n v="1"/>
    <n v="1"/>
    <n v="-160"/>
    <n v="960"/>
  </r>
  <r>
    <x v="65"/>
    <s v="conventional_cashout_wacls_218"/>
    <x v="258"/>
    <n v="1"/>
    <n v="1"/>
    <n v="-160"/>
    <n v="960"/>
  </r>
  <r>
    <x v="65"/>
    <s v="conventional_cashout_wacls_219"/>
    <x v="259"/>
    <n v="1"/>
    <n v="1"/>
    <n v="-160"/>
    <n v="960"/>
  </r>
  <r>
    <x v="65"/>
    <s v="conventional_cashout_wacls_220"/>
    <x v="260"/>
    <n v="1"/>
    <n v="1"/>
    <n v="-160"/>
    <n v="960"/>
  </r>
  <r>
    <x v="65"/>
    <s v="conventional_cashout_wacls_221"/>
    <x v="261"/>
    <n v="1"/>
    <n v="1"/>
    <n v="-160"/>
    <n v="960"/>
  </r>
  <r>
    <x v="65"/>
    <s v="conventional_cashout_wacls_222"/>
    <x v="262"/>
    <n v="1"/>
    <n v="1"/>
    <n v="-160"/>
    <n v="960"/>
  </r>
  <r>
    <x v="65"/>
    <s v="conventional_cashout_wacls_223"/>
    <x v="263"/>
    <n v="1"/>
    <n v="1"/>
    <n v="-160"/>
    <n v="960"/>
  </r>
  <r>
    <x v="65"/>
    <s v="conventional_cashout_wacls_224"/>
    <x v="264"/>
    <n v="1"/>
    <n v="1"/>
    <n v="-160"/>
    <n v="960"/>
  </r>
  <r>
    <x v="65"/>
    <s v="conventional_cashout_wacls_225"/>
    <x v="265"/>
    <n v="1"/>
    <n v="1"/>
    <n v="-160"/>
    <n v="960"/>
  </r>
  <r>
    <x v="65"/>
    <s v="conventional_cashout_wacls_226"/>
    <x v="266"/>
    <n v="1"/>
    <n v="1"/>
    <n v="-160"/>
    <n v="960"/>
  </r>
  <r>
    <x v="65"/>
    <s v="conventional_cashout_wacls_227"/>
    <x v="267"/>
    <n v="1"/>
    <n v="1"/>
    <n v="-160"/>
    <n v="960"/>
  </r>
  <r>
    <x v="65"/>
    <s v="conventional_cashout_wacls_228"/>
    <x v="268"/>
    <n v="1"/>
    <n v="1"/>
    <n v="-160"/>
    <n v="960"/>
  </r>
  <r>
    <x v="65"/>
    <s v="conventional_cashout_wacls_229"/>
    <x v="269"/>
    <n v="1"/>
    <n v="1"/>
    <n v="-160"/>
    <n v="960"/>
  </r>
  <r>
    <x v="65"/>
    <s v="conventional_cashout_wacls_230"/>
    <x v="270"/>
    <n v="1"/>
    <n v="1"/>
    <n v="-160"/>
    <n v="960"/>
  </r>
  <r>
    <x v="65"/>
    <s v="conventional_cashout_wacls_231"/>
    <x v="271"/>
    <n v="1"/>
    <n v="1"/>
    <n v="-160"/>
    <n v="960"/>
  </r>
  <r>
    <x v="65"/>
    <s v="conventional_cashout_wacls_232"/>
    <x v="272"/>
    <n v="1"/>
    <n v="1"/>
    <n v="-160"/>
    <n v="960"/>
  </r>
  <r>
    <x v="65"/>
    <s v="conventional_cashout_wacls_233"/>
    <x v="273"/>
    <n v="1"/>
    <n v="1"/>
    <n v="-160"/>
    <n v="960"/>
  </r>
  <r>
    <x v="65"/>
    <s v="conventional_cashout_wacls_234"/>
    <x v="274"/>
    <n v="1"/>
    <n v="1"/>
    <n v="-160"/>
    <n v="960"/>
  </r>
  <r>
    <x v="65"/>
    <s v="conventional_cashout_wacls_235"/>
    <x v="275"/>
    <n v="1"/>
    <n v="1"/>
    <n v="-160"/>
    <n v="960"/>
  </r>
  <r>
    <x v="65"/>
    <s v="conventional_cashout_wacls_236"/>
    <x v="276"/>
    <n v="1"/>
    <n v="1"/>
    <n v="-160"/>
    <n v="960"/>
  </r>
  <r>
    <x v="65"/>
    <s v="conventional_cashout_wacls_237"/>
    <x v="277"/>
    <n v="1"/>
    <n v="1"/>
    <n v="-160"/>
    <n v="960"/>
  </r>
  <r>
    <x v="65"/>
    <s v="conventional_cashout_wacls_238"/>
    <x v="278"/>
    <n v="1"/>
    <n v="1"/>
    <n v="-160"/>
    <n v="960"/>
  </r>
  <r>
    <x v="65"/>
    <s v="conventional_cashout_wacls_239"/>
    <x v="279"/>
    <n v="1"/>
    <n v="1"/>
    <n v="-160"/>
    <n v="960"/>
  </r>
  <r>
    <x v="65"/>
    <s v="conventional_cashout_wacls_240"/>
    <x v="280"/>
    <n v="1"/>
    <n v="1"/>
    <n v="-160"/>
    <n v="960"/>
  </r>
  <r>
    <x v="65"/>
    <s v="conventional_cashout_wacls_241"/>
    <x v="281"/>
    <n v="1"/>
    <n v="1"/>
    <n v="-160"/>
    <n v="960"/>
  </r>
  <r>
    <x v="65"/>
    <s v="conventional_cashout_wacls_242"/>
    <x v="282"/>
    <n v="1"/>
    <n v="1"/>
    <n v="-160"/>
    <n v="960"/>
  </r>
  <r>
    <x v="65"/>
    <s v="conventional_cashout_wacls_243"/>
    <x v="283"/>
    <n v="1"/>
    <n v="1"/>
    <n v="-160"/>
    <n v="960"/>
  </r>
  <r>
    <x v="65"/>
    <s v="conventional_cashout_wacls_244"/>
    <x v="284"/>
    <n v="1"/>
    <n v="1"/>
    <n v="-160"/>
    <n v="960"/>
  </r>
  <r>
    <x v="65"/>
    <s v="conventional_cashout_wacls_245"/>
    <x v="285"/>
    <n v="1"/>
    <n v="1"/>
    <n v="-160"/>
    <n v="960"/>
  </r>
  <r>
    <x v="65"/>
    <s v="conventional_cashout_wacls_246"/>
    <x v="286"/>
    <n v="1"/>
    <n v="1"/>
    <n v="-160"/>
    <n v="960"/>
  </r>
  <r>
    <x v="65"/>
    <s v="conventional_cashout_wacls_247"/>
    <x v="287"/>
    <n v="1"/>
    <n v="1"/>
    <n v="-160"/>
    <n v="960"/>
  </r>
  <r>
    <x v="65"/>
    <s v="conventional_cashout_wacls_248"/>
    <x v="288"/>
    <n v="1"/>
    <n v="1"/>
    <n v="-160"/>
    <n v="960"/>
  </r>
  <r>
    <x v="65"/>
    <s v="conventional_cashout_wacls_249"/>
    <x v="289"/>
    <n v="1"/>
    <n v="1"/>
    <n v="-160"/>
    <n v="960"/>
  </r>
  <r>
    <x v="65"/>
    <s v="conventional_cashout_wacls_250"/>
    <x v="290"/>
    <n v="1"/>
    <n v="1"/>
    <n v="-160"/>
    <n v="960"/>
  </r>
  <r>
    <x v="65"/>
    <s v="conventional_cashout_wacls_251"/>
    <x v="291"/>
    <n v="1"/>
    <n v="1"/>
    <n v="-160"/>
    <n v="960"/>
  </r>
  <r>
    <x v="65"/>
    <s v="conventional_cashout_wacls_252"/>
    <x v="292"/>
    <n v="1"/>
    <n v="1"/>
    <n v="-160"/>
    <n v="960"/>
  </r>
  <r>
    <x v="65"/>
    <s v="conventional_cashout_wacls_253"/>
    <x v="293"/>
    <n v="1"/>
    <n v="1"/>
    <n v="-160"/>
    <n v="960"/>
  </r>
  <r>
    <x v="65"/>
    <s v="conventional_cashout_wacls_254"/>
    <x v="294"/>
    <n v="1"/>
    <n v="1"/>
    <n v="-160"/>
    <n v="960"/>
  </r>
  <r>
    <x v="65"/>
    <s v="conventional_cashout_wacls_255"/>
    <x v="295"/>
    <n v="1"/>
    <n v="1"/>
    <n v="-160"/>
    <n v="960"/>
  </r>
  <r>
    <x v="65"/>
    <s v="conventional_cashout_wacls_256"/>
    <x v="296"/>
    <n v="1"/>
    <n v="1"/>
    <n v="-160"/>
    <n v="960"/>
  </r>
  <r>
    <x v="65"/>
    <s v="conventional_cashout_wacls_257"/>
    <x v="297"/>
    <n v="1"/>
    <n v="1"/>
    <n v="-160"/>
    <n v="960"/>
  </r>
  <r>
    <x v="65"/>
    <s v="conventional_cashout_wacls_258"/>
    <x v="298"/>
    <n v="1"/>
    <n v="1"/>
    <n v="-160"/>
    <n v="960"/>
  </r>
  <r>
    <x v="65"/>
    <s v="conventional_cashout_wacls_259"/>
    <x v="299"/>
    <n v="1"/>
    <n v="1"/>
    <n v="-160"/>
    <n v="960"/>
  </r>
  <r>
    <x v="65"/>
    <s v="conventional_cashout_wacls_260"/>
    <x v="300"/>
    <n v="1"/>
    <n v="1"/>
    <n v="-160"/>
    <n v="960"/>
  </r>
  <r>
    <x v="65"/>
    <s v="conventional_cashout_wacls_261"/>
    <x v="301"/>
    <n v="1"/>
    <n v="1"/>
    <n v="-160"/>
    <n v="960"/>
  </r>
  <r>
    <x v="65"/>
    <s v="conventional_cashout_wacls_262"/>
    <x v="302"/>
    <n v="1"/>
    <n v="1"/>
    <n v="-160"/>
    <n v="960"/>
  </r>
  <r>
    <x v="65"/>
    <s v="conventional_cashout_wacls_263"/>
    <x v="303"/>
    <n v="1"/>
    <n v="1"/>
    <n v="-160"/>
    <n v="960"/>
  </r>
  <r>
    <x v="65"/>
    <s v="conventional_cashout_wacls_264"/>
    <x v="304"/>
    <n v="1"/>
    <n v="1"/>
    <n v="-160"/>
    <n v="960"/>
  </r>
  <r>
    <x v="65"/>
    <s v="conventional_cashout_wacls_265"/>
    <x v="305"/>
    <n v="1"/>
    <n v="1"/>
    <n v="-160"/>
    <n v="960"/>
  </r>
  <r>
    <x v="65"/>
    <s v="conventional_cashout_wacls_266"/>
    <x v="306"/>
    <n v="1"/>
    <n v="1"/>
    <n v="-160"/>
    <n v="960"/>
  </r>
  <r>
    <x v="65"/>
    <s v="conventional_cashout_wacls_267"/>
    <x v="307"/>
    <n v="1"/>
    <n v="1"/>
    <n v="-160"/>
    <n v="960"/>
  </r>
  <r>
    <x v="65"/>
    <s v="conventional_cashout_wacls_268"/>
    <x v="308"/>
    <n v="1"/>
    <n v="1"/>
    <n v="-160"/>
    <n v="960"/>
  </r>
  <r>
    <x v="65"/>
    <s v="conventional_cashout_wacls_269"/>
    <x v="309"/>
    <n v="1"/>
    <n v="1"/>
    <n v="-160"/>
    <n v="960"/>
  </r>
  <r>
    <x v="65"/>
    <s v="conventional_cashout_wacls_270"/>
    <x v="310"/>
    <n v="1"/>
    <n v="1"/>
    <n v="-160"/>
    <n v="960"/>
  </r>
  <r>
    <x v="65"/>
    <s v="conventional_cashout_wacls_271"/>
    <x v="311"/>
    <n v="1"/>
    <n v="1"/>
    <n v="-160"/>
    <n v="960"/>
  </r>
  <r>
    <x v="65"/>
    <s v="conventional_cashout_wacls_272"/>
    <x v="312"/>
    <n v="1"/>
    <n v="1"/>
    <n v="-160"/>
    <n v="960"/>
  </r>
  <r>
    <x v="65"/>
    <s v="conventional_cashout_wacls_273"/>
    <x v="313"/>
    <n v="1"/>
    <n v="1"/>
    <n v="-160"/>
    <n v="960"/>
  </r>
  <r>
    <x v="65"/>
    <s v="conventional_cashout_wacls_274"/>
    <x v="314"/>
    <n v="1"/>
    <n v="1"/>
    <n v="-160"/>
    <n v="960"/>
  </r>
  <r>
    <x v="65"/>
    <s v="conventional_cashout_wacls_275"/>
    <x v="315"/>
    <n v="1"/>
    <n v="1"/>
    <n v="-160"/>
    <n v="960"/>
  </r>
  <r>
    <x v="65"/>
    <s v="conventional_cashout_wacls_276"/>
    <x v="316"/>
    <n v="1"/>
    <n v="1"/>
    <n v="-160"/>
    <n v="960"/>
  </r>
  <r>
    <x v="65"/>
    <s v="conventional_cashout_wacls_277"/>
    <x v="317"/>
    <n v="1"/>
    <n v="1"/>
    <n v="-160"/>
    <n v="960"/>
  </r>
  <r>
    <x v="65"/>
    <s v="conventional_cashout_wacls_278"/>
    <x v="318"/>
    <n v="1"/>
    <n v="1"/>
    <n v="-160"/>
    <n v="960"/>
  </r>
  <r>
    <x v="65"/>
    <s v="conventional_cashout_wacls_279"/>
    <x v="319"/>
    <n v="1"/>
    <n v="1"/>
    <n v="-160"/>
    <n v="960"/>
  </r>
  <r>
    <x v="65"/>
    <s v="conventional_cashout_wacls_280"/>
    <x v="320"/>
    <n v="1"/>
    <n v="1"/>
    <n v="-160"/>
    <n v="960"/>
  </r>
  <r>
    <x v="65"/>
    <s v="conventional_cashout_wacls_281"/>
    <x v="321"/>
    <n v="1"/>
    <n v="1"/>
    <n v="-160"/>
    <n v="960"/>
  </r>
  <r>
    <x v="65"/>
    <s v="conventional_cashout_wacls_282"/>
    <x v="322"/>
    <n v="1"/>
    <n v="1"/>
    <n v="-160"/>
    <n v="960"/>
  </r>
  <r>
    <x v="65"/>
    <s v="conventional_cashout_wacls_283"/>
    <x v="323"/>
    <n v="1"/>
    <n v="1"/>
    <n v="-160"/>
    <n v="960"/>
  </r>
  <r>
    <x v="65"/>
    <s v="conventional_cashout_wacls_284"/>
    <x v="324"/>
    <n v="1"/>
    <n v="1"/>
    <n v="-160"/>
    <n v="960"/>
  </r>
  <r>
    <x v="65"/>
    <s v="conventional_cashout_wacls_285"/>
    <x v="325"/>
    <n v="1"/>
    <n v="1"/>
    <n v="-160"/>
    <n v="960"/>
  </r>
  <r>
    <x v="65"/>
    <s v="conventional_cashout_wacls_286"/>
    <x v="326"/>
    <n v="1"/>
    <n v="1"/>
    <n v="-160"/>
    <n v="960"/>
  </r>
  <r>
    <x v="65"/>
    <s v="conventional_cashout_wacls_287"/>
    <x v="327"/>
    <n v="1"/>
    <n v="1"/>
    <n v="-160"/>
    <n v="960"/>
  </r>
  <r>
    <x v="65"/>
    <s v="conventional_cashout_wacls_288"/>
    <x v="328"/>
    <n v="1"/>
    <n v="1"/>
    <n v="-160"/>
    <n v="960"/>
  </r>
  <r>
    <x v="65"/>
    <s v="conventional_cashout_wacls_289"/>
    <x v="329"/>
    <n v="1"/>
    <n v="1"/>
    <n v="-160"/>
    <n v="960"/>
  </r>
  <r>
    <x v="65"/>
    <s v="conventional_cashout_wacls_290"/>
    <x v="330"/>
    <n v="1"/>
    <n v="1"/>
    <n v="-160"/>
    <n v="960"/>
  </r>
  <r>
    <x v="65"/>
    <s v="conventional_cashout_wacls_291"/>
    <x v="331"/>
    <n v="1"/>
    <n v="1"/>
    <n v="-160"/>
    <n v="960"/>
  </r>
  <r>
    <x v="65"/>
    <s v="conventional_cashout_wacls_292"/>
    <x v="332"/>
    <n v="1"/>
    <n v="1"/>
    <n v="-160"/>
    <n v="960"/>
  </r>
  <r>
    <x v="65"/>
    <s v="conventional_cashout_wacls_293"/>
    <x v="333"/>
    <n v="1"/>
    <n v="1"/>
    <n v="-160"/>
    <n v="960"/>
  </r>
  <r>
    <x v="65"/>
    <s v="conventional_cashout_wacls_294"/>
    <x v="334"/>
    <n v="1"/>
    <n v="1"/>
    <n v="-160"/>
    <n v="960"/>
  </r>
  <r>
    <x v="65"/>
    <s v="conventional_cashout_wacls_295"/>
    <x v="335"/>
    <n v="1"/>
    <n v="1"/>
    <n v="-160"/>
    <n v="960"/>
  </r>
  <r>
    <x v="65"/>
    <s v="conventional_cashout_wacls_296"/>
    <x v="336"/>
    <n v="1"/>
    <n v="1"/>
    <n v="-160"/>
    <n v="960"/>
  </r>
  <r>
    <x v="65"/>
    <s v="conventional_cashout_wacls_297"/>
    <x v="337"/>
    <n v="1"/>
    <n v="1"/>
    <n v="-160"/>
    <n v="960"/>
  </r>
  <r>
    <x v="65"/>
    <s v="conventional_cashout_wacls_298"/>
    <x v="338"/>
    <n v="1"/>
    <n v="1"/>
    <n v="-160"/>
    <n v="960"/>
  </r>
  <r>
    <x v="65"/>
    <s v="conventional_cashout_wacls_299"/>
    <x v="339"/>
    <n v="1"/>
    <n v="1"/>
    <n v="-160"/>
    <n v="960"/>
  </r>
  <r>
    <x v="65"/>
    <s v="conventional_cashout_wacls_300"/>
    <x v="340"/>
    <n v="1"/>
    <n v="1"/>
    <n v="-160"/>
    <n v="960"/>
  </r>
  <r>
    <x v="65"/>
    <s v="conventional_cashout_wacls_301"/>
    <x v="341"/>
    <n v="1"/>
    <n v="1"/>
    <n v="-160"/>
    <n v="960"/>
  </r>
  <r>
    <x v="65"/>
    <s v="conventional_cashout_wacls_302"/>
    <x v="342"/>
    <n v="1"/>
    <n v="1"/>
    <n v="-160"/>
    <n v="960"/>
  </r>
  <r>
    <x v="65"/>
    <s v="conventional_cashout_wacls_303"/>
    <x v="343"/>
    <n v="1"/>
    <n v="1"/>
    <n v="-160"/>
    <n v="960"/>
  </r>
  <r>
    <x v="65"/>
    <s v="conventional_cashout_wacls_304"/>
    <x v="344"/>
    <n v="1"/>
    <n v="1"/>
    <n v="-160"/>
    <n v="960"/>
  </r>
  <r>
    <x v="65"/>
    <s v="conventional_cashout_wacls_305"/>
    <x v="345"/>
    <n v="1"/>
    <n v="1"/>
    <n v="-160"/>
    <n v="960"/>
  </r>
  <r>
    <x v="65"/>
    <s v="conventional_cashout_wacls_306"/>
    <x v="346"/>
    <n v="1"/>
    <n v="1"/>
    <n v="-160"/>
    <n v="960"/>
  </r>
  <r>
    <x v="65"/>
    <s v="conventional_cashout_wacls_307"/>
    <x v="347"/>
    <n v="1"/>
    <n v="1"/>
    <n v="-160"/>
    <n v="960"/>
  </r>
  <r>
    <x v="65"/>
    <s v="conventional_cashout_wacls_308"/>
    <x v="348"/>
    <n v="1"/>
    <n v="1"/>
    <n v="-160"/>
    <n v="960"/>
  </r>
  <r>
    <x v="65"/>
    <s v="conventional_cashout_wacls_309"/>
    <x v="349"/>
    <n v="1"/>
    <n v="1"/>
    <n v="-160"/>
    <n v="960"/>
  </r>
  <r>
    <x v="65"/>
    <s v="conventional_cashout_wacls_310"/>
    <x v="350"/>
    <n v="1"/>
    <n v="1"/>
    <n v="-160"/>
    <n v="960"/>
  </r>
  <r>
    <x v="65"/>
    <s v="conventional_cashout_wacls_311"/>
    <x v="351"/>
    <n v="1"/>
    <n v="1"/>
    <n v="-160"/>
    <n v="960"/>
  </r>
  <r>
    <x v="65"/>
    <s v="conventional_cashout_wacls_312"/>
    <x v="352"/>
    <n v="1"/>
    <n v="1"/>
    <n v="-160"/>
    <n v="960"/>
  </r>
  <r>
    <x v="65"/>
    <s v="conventional_cashout_wacls_313"/>
    <x v="353"/>
    <n v="1"/>
    <n v="1"/>
    <n v="-160"/>
    <n v="960"/>
  </r>
  <r>
    <x v="65"/>
    <s v="conventional_cashout_wacls_314"/>
    <x v="354"/>
    <n v="1"/>
    <n v="1"/>
    <n v="-160"/>
    <n v="960"/>
  </r>
  <r>
    <x v="65"/>
    <s v="conventional_cashout_wacls_315"/>
    <x v="355"/>
    <n v="1"/>
    <n v="1"/>
    <n v="-160"/>
    <n v="960"/>
  </r>
  <r>
    <x v="65"/>
    <s v="conventional_cashout_wacls_316"/>
    <x v="356"/>
    <n v="1"/>
    <n v="1"/>
    <n v="-160"/>
    <n v="960"/>
  </r>
  <r>
    <x v="65"/>
    <s v="conventional_cashout_wacls_317"/>
    <x v="357"/>
    <n v="1"/>
    <n v="1"/>
    <n v="-160"/>
    <n v="960"/>
  </r>
  <r>
    <x v="65"/>
    <s v="conventional_cashout_wacls_318"/>
    <x v="358"/>
    <n v="1"/>
    <n v="1"/>
    <n v="-160"/>
    <n v="960"/>
  </r>
  <r>
    <x v="65"/>
    <s v="conventional_cashout_wacls_319"/>
    <x v="359"/>
    <n v="1"/>
    <n v="1"/>
    <n v="-160"/>
    <n v="960"/>
  </r>
  <r>
    <x v="65"/>
    <s v="conventional_cashout_wacls_320"/>
    <x v="360"/>
    <n v="1"/>
    <n v="1"/>
    <n v="-160"/>
    <n v="960"/>
  </r>
  <r>
    <x v="65"/>
    <s v="conventional_cashout_wacls_321"/>
    <x v="361"/>
    <n v="1"/>
    <n v="1"/>
    <n v="-160"/>
    <n v="960"/>
  </r>
  <r>
    <x v="65"/>
    <s v="conventional_cashout_wacls_322"/>
    <x v="362"/>
    <n v="1"/>
    <n v="1"/>
    <n v="-160"/>
    <n v="960"/>
  </r>
  <r>
    <x v="65"/>
    <s v="conventional_cashout_wacls_323"/>
    <x v="363"/>
    <n v="1"/>
    <n v="1"/>
    <n v="-160"/>
    <n v="960"/>
  </r>
  <r>
    <x v="65"/>
    <s v="conventional_cashout_wacls_324"/>
    <x v="364"/>
    <n v="1"/>
    <n v="1"/>
    <n v="-160"/>
    <n v="960"/>
  </r>
  <r>
    <x v="65"/>
    <s v="conventional_cashout_wacls_325"/>
    <x v="365"/>
    <n v="1"/>
    <n v="1"/>
    <n v="-160"/>
    <n v="960"/>
  </r>
  <r>
    <x v="65"/>
    <s v="conventional_cashout_wacls_326"/>
    <x v="366"/>
    <n v="1"/>
    <n v="1"/>
    <n v="-160"/>
    <n v="960"/>
  </r>
  <r>
    <x v="65"/>
    <s v="conventional_cashout_wacls_327"/>
    <x v="367"/>
    <n v="1"/>
    <n v="1"/>
    <n v="-160"/>
    <n v="960"/>
  </r>
  <r>
    <x v="65"/>
    <s v="conventional_cashout_wacls_328"/>
    <x v="368"/>
    <n v="1"/>
    <n v="1"/>
    <n v="-160"/>
    <n v="960"/>
  </r>
  <r>
    <x v="65"/>
    <s v="conventional_cashout_wacls_329"/>
    <x v="369"/>
    <n v="1"/>
    <n v="1"/>
    <n v="-160"/>
    <n v="960"/>
  </r>
  <r>
    <x v="65"/>
    <s v="conventional_cashout_wacls_330"/>
    <x v="370"/>
    <n v="1"/>
    <n v="1"/>
    <n v="-160"/>
    <n v="960"/>
  </r>
  <r>
    <x v="65"/>
    <s v="conventional_cashout_wacls_331"/>
    <x v="371"/>
    <n v="1"/>
    <n v="1"/>
    <n v="-160"/>
    <n v="960"/>
  </r>
  <r>
    <x v="65"/>
    <s v="conventional_cashout_wacls_332"/>
    <x v="372"/>
    <n v="1"/>
    <n v="1"/>
    <n v="-160"/>
    <n v="960"/>
  </r>
  <r>
    <x v="65"/>
    <s v="conventional_cashout_wacls_333"/>
    <x v="373"/>
    <n v="1"/>
    <n v="1"/>
    <n v="-160"/>
    <n v="960"/>
  </r>
  <r>
    <x v="65"/>
    <s v="conventional_cashout_wacls_334"/>
    <x v="374"/>
    <n v="1"/>
    <n v="1"/>
    <n v="-160"/>
    <n v="960"/>
  </r>
  <r>
    <x v="65"/>
    <s v="conventional_cashout_wacls_335"/>
    <x v="375"/>
    <n v="1"/>
    <n v="1"/>
    <n v="-160"/>
    <n v="960"/>
  </r>
  <r>
    <x v="65"/>
    <s v="conventional_cashout_wacls_336"/>
    <x v="376"/>
    <n v="1"/>
    <n v="1"/>
    <n v="-160"/>
    <n v="960"/>
  </r>
  <r>
    <x v="65"/>
    <s v="conventional_cashout_wacls_337"/>
    <x v="377"/>
    <n v="1"/>
    <n v="1"/>
    <n v="-160"/>
    <n v="960"/>
  </r>
  <r>
    <x v="65"/>
    <s v="conventional_cashout_wacls_338"/>
    <x v="378"/>
    <n v="1"/>
    <n v="1"/>
    <n v="-160"/>
    <n v="960"/>
  </r>
  <r>
    <x v="65"/>
    <s v="conventional_cashout_wacls_339"/>
    <x v="379"/>
    <n v="1"/>
    <n v="1"/>
    <n v="-160"/>
    <n v="960"/>
  </r>
  <r>
    <x v="65"/>
    <s v="conventional_cashout_wacls_340"/>
    <x v="380"/>
    <n v="1"/>
    <n v="1"/>
    <n v="-160"/>
    <n v="960"/>
  </r>
  <r>
    <x v="65"/>
    <s v="conventional_cashout_wacls_341"/>
    <x v="381"/>
    <n v="1"/>
    <n v="1"/>
    <n v="-160"/>
    <n v="960"/>
  </r>
  <r>
    <x v="65"/>
    <s v="conventional_cashout_wacls_342"/>
    <x v="382"/>
    <n v="1"/>
    <n v="1"/>
    <n v="-160"/>
    <n v="960"/>
  </r>
  <r>
    <x v="65"/>
    <s v="conventional_cashout_wacls_343"/>
    <x v="383"/>
    <n v="1"/>
    <n v="1"/>
    <n v="-160"/>
    <n v="960"/>
  </r>
  <r>
    <x v="65"/>
    <s v="conventional_cashout_wacls_344"/>
    <x v="384"/>
    <n v="1"/>
    <n v="1"/>
    <n v="-160"/>
    <n v="960"/>
  </r>
  <r>
    <x v="65"/>
    <s v="conventional_cashout_wacls_345"/>
    <x v="385"/>
    <n v="1"/>
    <n v="1"/>
    <n v="-160"/>
    <n v="960"/>
  </r>
  <r>
    <x v="65"/>
    <s v="conventional_cashout_wacls_346"/>
    <x v="386"/>
    <n v="1"/>
    <n v="1"/>
    <n v="-160"/>
    <n v="960"/>
  </r>
  <r>
    <x v="65"/>
    <s v="conventional_cashout_wacls_347"/>
    <x v="387"/>
    <n v="1"/>
    <n v="1"/>
    <n v="-160"/>
    <n v="960"/>
  </r>
  <r>
    <x v="65"/>
    <s v="conventional_cashout_wacls_348"/>
    <x v="388"/>
    <n v="1"/>
    <n v="1"/>
    <n v="-160"/>
    <n v="960"/>
  </r>
  <r>
    <x v="65"/>
    <s v="conventional_cashout_wacls_349"/>
    <x v="389"/>
    <n v="1"/>
    <n v="1"/>
    <n v="-160"/>
    <n v="960"/>
  </r>
  <r>
    <x v="65"/>
    <s v="conventional_cashout_wacls_350"/>
    <x v="390"/>
    <n v="1"/>
    <n v="1"/>
    <n v="-160"/>
    <n v="960"/>
  </r>
  <r>
    <x v="65"/>
    <s v="conventional_cashout_wacls_351"/>
    <x v="391"/>
    <n v="1"/>
    <n v="1"/>
    <n v="-160"/>
    <n v="960"/>
  </r>
  <r>
    <x v="65"/>
    <s v="conventional_cashout_wacls_352"/>
    <x v="392"/>
    <n v="1"/>
    <n v="1"/>
    <n v="-160"/>
    <n v="960"/>
  </r>
  <r>
    <x v="65"/>
    <s v="conventional_cashout_wacls_353"/>
    <x v="393"/>
    <n v="1"/>
    <n v="1"/>
    <n v="-160"/>
    <n v="960"/>
  </r>
  <r>
    <x v="65"/>
    <s v="conventional_cashout_wacls_354"/>
    <x v="394"/>
    <n v="1"/>
    <n v="1"/>
    <n v="-160"/>
    <n v="960"/>
  </r>
  <r>
    <x v="65"/>
    <s v="conventional_cashout_wacls_355"/>
    <x v="395"/>
    <n v="1"/>
    <n v="1"/>
    <n v="-160"/>
    <n v="960"/>
  </r>
  <r>
    <x v="65"/>
    <s v="conventional_cashout_wacls_356"/>
    <x v="396"/>
    <n v="1"/>
    <n v="1"/>
    <n v="-160"/>
    <n v="960"/>
  </r>
  <r>
    <x v="65"/>
    <s v="conventional_cashout_wacls_357"/>
    <x v="397"/>
    <n v="1"/>
    <n v="1"/>
    <n v="-160"/>
    <n v="960"/>
  </r>
  <r>
    <x v="65"/>
    <s v="conventional_cashout_wacls_358"/>
    <x v="398"/>
    <n v="1"/>
    <n v="1"/>
    <n v="-160"/>
    <n v="960"/>
  </r>
  <r>
    <x v="65"/>
    <s v="conventional_cashout_wacls_359"/>
    <x v="399"/>
    <n v="1"/>
    <n v="1"/>
    <n v="-160"/>
    <n v="960"/>
  </r>
  <r>
    <x v="65"/>
    <s v="conventional_cashout_wacls_360"/>
    <x v="400"/>
    <n v="1"/>
    <n v="1"/>
    <n v="-160"/>
    <n v="960"/>
  </r>
  <r>
    <x v="65"/>
    <s v="conventional_cashout_wacls_361"/>
    <x v="401"/>
    <n v="1"/>
    <n v="1"/>
    <n v="-160"/>
    <n v="960"/>
  </r>
  <r>
    <x v="65"/>
    <s v="conventional_cashout_wacls_362"/>
    <x v="402"/>
    <n v="1"/>
    <n v="1"/>
    <n v="-160"/>
    <n v="960"/>
  </r>
  <r>
    <x v="65"/>
    <s v="conventional_cashout_wacls_363"/>
    <x v="403"/>
    <n v="1"/>
    <n v="1"/>
    <n v="-160"/>
    <n v="960"/>
  </r>
  <r>
    <x v="65"/>
    <s v="conventional_cashout_wacls_364"/>
    <x v="404"/>
    <n v="1"/>
    <n v="1"/>
    <n v="-160"/>
    <n v="960"/>
  </r>
  <r>
    <x v="65"/>
    <s v="conventional_cashout_wacls_365"/>
    <x v="405"/>
    <n v="1"/>
    <n v="1"/>
    <n v="-160"/>
    <n v="960"/>
  </r>
  <r>
    <x v="65"/>
    <s v="conventional_cashout_wacls_366"/>
    <x v="406"/>
    <n v="1"/>
    <n v="1"/>
    <n v="-160"/>
    <n v="960"/>
  </r>
  <r>
    <x v="65"/>
    <s v="conventional_cashout_wacls_367"/>
    <x v="407"/>
    <n v="1"/>
    <n v="1"/>
    <n v="-160"/>
    <n v="960"/>
  </r>
  <r>
    <x v="65"/>
    <s v="conventional_cashout_wacls_368"/>
    <x v="408"/>
    <n v="1"/>
    <n v="1"/>
    <n v="-160"/>
    <n v="960"/>
  </r>
  <r>
    <x v="65"/>
    <s v="conventional_cashout_wacls_369"/>
    <x v="409"/>
    <n v="1"/>
    <n v="1"/>
    <n v="-160"/>
    <n v="960"/>
  </r>
  <r>
    <x v="65"/>
    <s v="conventional_cashout_wacls_370"/>
    <x v="410"/>
    <n v="1"/>
    <n v="1"/>
    <n v="-160"/>
    <n v="960"/>
  </r>
  <r>
    <x v="65"/>
    <s v="conventional_cashout_wacls_371"/>
    <x v="411"/>
    <n v="1"/>
    <n v="1"/>
    <n v="-160"/>
    <n v="960"/>
  </r>
  <r>
    <x v="65"/>
    <s v="conventional_cashout_wacls_372"/>
    <x v="412"/>
    <n v="1"/>
    <n v="1"/>
    <n v="-160"/>
    <n v="960"/>
  </r>
  <r>
    <x v="65"/>
    <s v="conventional_cashout_wacls_373"/>
    <x v="413"/>
    <n v="1"/>
    <n v="1"/>
    <n v="-160"/>
    <n v="960"/>
  </r>
  <r>
    <x v="65"/>
    <s v="conventional_cashout_wacls_374"/>
    <x v="414"/>
    <n v="1"/>
    <n v="1"/>
    <n v="-160"/>
    <n v="960"/>
  </r>
  <r>
    <x v="65"/>
    <s v="conventional_cashout_wacls_375"/>
    <x v="415"/>
    <n v="1"/>
    <n v="1"/>
    <n v="-160"/>
    <n v="960"/>
  </r>
  <r>
    <x v="65"/>
    <s v="conventional_cashout_wacls_376"/>
    <x v="416"/>
    <n v="1"/>
    <n v="1"/>
    <n v="-160"/>
    <n v="960"/>
  </r>
  <r>
    <x v="65"/>
    <s v="conventional_cashout_wacls_377"/>
    <x v="417"/>
    <n v="1"/>
    <n v="1"/>
    <n v="-160"/>
    <n v="960"/>
  </r>
  <r>
    <x v="65"/>
    <s v="conventional_cashout_wacls_378"/>
    <x v="418"/>
    <n v="1"/>
    <n v="1"/>
    <n v="-160"/>
    <n v="960"/>
  </r>
  <r>
    <x v="65"/>
    <s v="conventional_cashout_wacls_379"/>
    <x v="419"/>
    <n v="1"/>
    <n v="1"/>
    <n v="-160"/>
    <n v="960"/>
  </r>
  <r>
    <x v="65"/>
    <s v="conventional_cashout_wacls_380"/>
    <x v="420"/>
    <n v="1"/>
    <n v="1"/>
    <n v="-160"/>
    <n v="960"/>
  </r>
  <r>
    <x v="65"/>
    <s v="conventional_cashout_wacls_381"/>
    <x v="421"/>
    <n v="1"/>
    <n v="1"/>
    <n v="-160"/>
    <n v="960"/>
  </r>
  <r>
    <x v="65"/>
    <s v="conventional_cashout_wacls_382"/>
    <x v="422"/>
    <n v="1"/>
    <n v="1"/>
    <n v="-160"/>
    <n v="960"/>
  </r>
  <r>
    <x v="65"/>
    <s v="conventional_cashout_wacls_383"/>
    <x v="423"/>
    <n v="1"/>
    <n v="1"/>
    <n v="-160"/>
    <n v="960"/>
  </r>
  <r>
    <x v="65"/>
    <s v="conventional_cashout_wacls_384"/>
    <x v="424"/>
    <n v="1"/>
    <n v="1"/>
    <n v="-160"/>
    <n v="960"/>
  </r>
  <r>
    <x v="65"/>
    <s v="conventional_cashout_wacls_385"/>
    <x v="425"/>
    <n v="1"/>
    <n v="1"/>
    <n v="-160"/>
    <n v="960"/>
  </r>
  <r>
    <x v="65"/>
    <s v="conventional_cashout_wacls_386"/>
    <x v="426"/>
    <n v="1"/>
    <n v="1"/>
    <n v="-160"/>
    <n v="960"/>
  </r>
  <r>
    <x v="65"/>
    <s v="conventional_cashout_wacls_387"/>
    <x v="427"/>
    <n v="1"/>
    <n v="1"/>
    <n v="-160"/>
    <n v="960"/>
  </r>
  <r>
    <x v="65"/>
    <s v="conventional_cashout_wacls_388"/>
    <x v="428"/>
    <n v="1"/>
    <n v="1"/>
    <n v="-160"/>
    <n v="960"/>
  </r>
  <r>
    <x v="65"/>
    <s v="conventional_cashout_wacls_389"/>
    <x v="429"/>
    <n v="1"/>
    <n v="1"/>
    <n v="-160"/>
    <n v="960"/>
  </r>
  <r>
    <x v="65"/>
    <s v="conventional_cashout_wacls_390"/>
    <x v="430"/>
    <n v="1"/>
    <n v="1"/>
    <n v="-160"/>
    <n v="960"/>
  </r>
  <r>
    <x v="65"/>
    <s v="conventional_cashout_wacls_391"/>
    <x v="431"/>
    <n v="1"/>
    <n v="1"/>
    <n v="-160"/>
    <n v="960"/>
  </r>
  <r>
    <x v="65"/>
    <s v="conventional_cashout_wacls_392"/>
    <x v="432"/>
    <n v="1"/>
    <n v="1"/>
    <n v="-160"/>
    <n v="960"/>
  </r>
  <r>
    <x v="65"/>
    <s v="conventional_cashout_wacls_393"/>
    <x v="433"/>
    <n v="1"/>
    <n v="1"/>
    <n v="-160"/>
    <n v="960"/>
  </r>
  <r>
    <x v="65"/>
    <s v="conventional_cashout_wacls_394"/>
    <x v="434"/>
    <n v="1"/>
    <n v="1"/>
    <n v="-160"/>
    <n v="960"/>
  </r>
  <r>
    <x v="65"/>
    <s v="conventional_cashout_wacls_395"/>
    <x v="435"/>
    <n v="1"/>
    <n v="1"/>
    <n v="-160"/>
    <n v="960"/>
  </r>
  <r>
    <x v="65"/>
    <s v="conventional_cashout_wacls_396"/>
    <x v="436"/>
    <n v="1"/>
    <n v="1"/>
    <n v="-160"/>
    <n v="960"/>
  </r>
  <r>
    <x v="65"/>
    <s v="conventional_cashout_wacls_397"/>
    <x v="437"/>
    <n v="1"/>
    <n v="1"/>
    <n v="-160"/>
    <n v="960"/>
  </r>
  <r>
    <x v="65"/>
    <s v="conventional_cashout_wacls_398"/>
    <x v="438"/>
    <n v="1"/>
    <n v="1"/>
    <n v="-160"/>
    <n v="960"/>
  </r>
  <r>
    <x v="65"/>
    <s v="conventional_cashout_wacls_399"/>
    <x v="439"/>
    <n v="1"/>
    <n v="1"/>
    <n v="-160"/>
    <n v="960"/>
  </r>
  <r>
    <x v="65"/>
    <s v="conventional_cashout_wacls_400"/>
    <x v="440"/>
    <n v="1"/>
    <n v="1"/>
    <n v="-160"/>
    <n v="960"/>
  </r>
  <r>
    <x v="65"/>
    <s v="conventional_cashout_wacls_401"/>
    <x v="441"/>
    <n v="1"/>
    <n v="1"/>
    <n v="-160"/>
    <n v="960"/>
  </r>
  <r>
    <x v="65"/>
    <s v="conventional_cashout_wacls_402"/>
    <x v="442"/>
    <n v="1"/>
    <n v="1"/>
    <n v="-160"/>
    <n v="960"/>
  </r>
  <r>
    <x v="65"/>
    <s v="conventional_cashout_wacls_403"/>
    <x v="443"/>
    <n v="1"/>
    <n v="1"/>
    <n v="-160"/>
    <n v="960"/>
  </r>
  <r>
    <x v="65"/>
    <s v="conventional_cashout_wacls_404"/>
    <x v="444"/>
    <n v="1"/>
    <n v="1"/>
    <n v="-160"/>
    <n v="960"/>
  </r>
  <r>
    <x v="65"/>
    <s v="conventional_cashout_wacls_405"/>
    <x v="445"/>
    <n v="1"/>
    <n v="1"/>
    <n v="-160"/>
    <n v="960"/>
  </r>
  <r>
    <x v="65"/>
    <s v="conventional_cashout_wacls_406"/>
    <x v="446"/>
    <n v="1"/>
    <n v="1"/>
    <n v="-160"/>
    <n v="960"/>
  </r>
  <r>
    <x v="65"/>
    <s v="conventional_cashout_wacls_407"/>
    <x v="447"/>
    <n v="1"/>
    <n v="1"/>
    <n v="-160"/>
    <n v="960"/>
  </r>
  <r>
    <x v="65"/>
    <s v="conventional_cashout_wacls_408"/>
    <x v="448"/>
    <n v="1"/>
    <n v="1"/>
    <n v="-160"/>
    <n v="960"/>
  </r>
  <r>
    <x v="65"/>
    <s v="conventional_cashout_wacls_409"/>
    <x v="449"/>
    <n v="1"/>
    <n v="1"/>
    <n v="-160"/>
    <n v="960"/>
  </r>
  <r>
    <x v="65"/>
    <s v="conventional_cashout_wacls_410"/>
    <x v="450"/>
    <n v="1"/>
    <n v="1"/>
    <n v="-160"/>
    <n v="960"/>
  </r>
  <r>
    <x v="65"/>
    <s v="conventional_cashout_wacls_411"/>
    <x v="451"/>
    <n v="1"/>
    <n v="1"/>
    <n v="-160"/>
    <n v="960"/>
  </r>
  <r>
    <x v="65"/>
    <s v="conventional_cashout_wacls_412"/>
    <x v="452"/>
    <n v="1"/>
    <n v="1"/>
    <n v="-160"/>
    <n v="960"/>
  </r>
  <r>
    <x v="65"/>
    <s v="conventional_cashout_wacls_413"/>
    <x v="453"/>
    <n v="1"/>
    <n v="1"/>
    <n v="-160"/>
    <n v="960"/>
  </r>
  <r>
    <x v="65"/>
    <s v="conventional_cashout_wacls_414"/>
    <x v="454"/>
    <n v="1"/>
    <n v="1"/>
    <n v="-160"/>
    <n v="960"/>
  </r>
  <r>
    <x v="65"/>
    <s v="conventional_cashout_wacls_415"/>
    <x v="455"/>
    <n v="1"/>
    <n v="1"/>
    <n v="-160"/>
    <n v="960"/>
  </r>
  <r>
    <x v="65"/>
    <s v="conventional_cashout_wacls_416"/>
    <x v="456"/>
    <n v="1"/>
    <n v="1"/>
    <n v="-160"/>
    <n v="960"/>
  </r>
  <r>
    <x v="65"/>
    <s v="conventional_cashout_wacls_417"/>
    <x v="457"/>
    <n v="1"/>
    <n v="1"/>
    <n v="-160"/>
    <n v="960"/>
  </r>
  <r>
    <x v="65"/>
    <s v="conventional_cashout_wacls_418"/>
    <x v="458"/>
    <n v="1"/>
    <n v="1"/>
    <n v="-160"/>
    <n v="960"/>
  </r>
  <r>
    <x v="65"/>
    <s v="conventional_cashout_wacls_419"/>
    <x v="459"/>
    <n v="1"/>
    <n v="1"/>
    <n v="-160"/>
    <n v="960"/>
  </r>
  <r>
    <x v="65"/>
    <s v="conventional_cashout_wacls_420"/>
    <x v="460"/>
    <n v="1"/>
    <n v="1"/>
    <n v="-160"/>
    <n v="960"/>
  </r>
  <r>
    <x v="65"/>
    <s v="conventional_cashout_wacls_421"/>
    <x v="461"/>
    <n v="1"/>
    <n v="1"/>
    <n v="-160"/>
    <n v="960"/>
  </r>
  <r>
    <x v="65"/>
    <s v="conventional_cashout_wacls_422"/>
    <x v="462"/>
    <n v="1"/>
    <n v="1"/>
    <n v="-160"/>
    <n v="960"/>
  </r>
  <r>
    <x v="65"/>
    <s v="conventional_cashout_wacls_423"/>
    <x v="463"/>
    <n v="1"/>
    <n v="1"/>
    <n v="-160"/>
    <n v="960"/>
  </r>
  <r>
    <x v="65"/>
    <s v="conventional_cashout_wacls_424"/>
    <x v="464"/>
    <n v="1"/>
    <n v="1"/>
    <n v="-160"/>
    <n v="960"/>
  </r>
  <r>
    <x v="65"/>
    <s v="conventional_cashout_wacls_425"/>
    <x v="465"/>
    <n v="1"/>
    <n v="1"/>
    <n v="-160"/>
    <n v="960"/>
  </r>
  <r>
    <x v="65"/>
    <s v="conventional_cashout_wacls_426"/>
    <x v="466"/>
    <n v="1"/>
    <n v="1"/>
    <n v="-160"/>
    <n v="960"/>
  </r>
  <r>
    <x v="65"/>
    <s v="conventional_cashout_wacls_427"/>
    <x v="467"/>
    <n v="1"/>
    <n v="1"/>
    <n v="-160"/>
    <n v="960"/>
  </r>
  <r>
    <x v="65"/>
    <s v="conventional_cashout_wacls_428"/>
    <x v="468"/>
    <n v="1"/>
    <n v="1"/>
    <n v="-160"/>
    <n v="960"/>
  </r>
  <r>
    <x v="65"/>
    <s v="conventional_cashout_wacls_429"/>
    <x v="469"/>
    <n v="1"/>
    <n v="1"/>
    <n v="-160"/>
    <n v="960"/>
  </r>
  <r>
    <x v="65"/>
    <s v="conventional_cashout_wacls_430"/>
    <x v="470"/>
    <n v="1"/>
    <n v="1"/>
    <n v="-160"/>
    <n v="960"/>
  </r>
  <r>
    <x v="65"/>
    <s v="conventional_cashout_wacls_431"/>
    <x v="471"/>
    <n v="1"/>
    <n v="1"/>
    <n v="-160"/>
    <n v="960"/>
  </r>
  <r>
    <x v="65"/>
    <s v="conventional_cashout_wacls_432"/>
    <x v="472"/>
    <n v="1"/>
    <n v="1"/>
    <n v="-160"/>
    <n v="960"/>
  </r>
  <r>
    <x v="65"/>
    <s v="conventional_cashout_wacls_433"/>
    <x v="473"/>
    <n v="1"/>
    <n v="1"/>
    <n v="-160"/>
    <n v="960"/>
  </r>
  <r>
    <x v="65"/>
    <s v="conventional_cashout_wacls_434"/>
    <x v="474"/>
    <n v="1"/>
    <n v="1"/>
    <n v="-160"/>
    <n v="960"/>
  </r>
  <r>
    <x v="65"/>
    <s v="conventional_cashout_wacls_435"/>
    <x v="475"/>
    <n v="1"/>
    <n v="1"/>
    <n v="-160"/>
    <n v="960"/>
  </r>
  <r>
    <x v="65"/>
    <s v="conventional_cashout_wacls_436"/>
    <x v="476"/>
    <n v="1"/>
    <n v="1"/>
    <n v="-160"/>
    <n v="960"/>
  </r>
  <r>
    <x v="65"/>
    <s v="conventional_cashout_wacls_437"/>
    <x v="477"/>
    <n v="1"/>
    <n v="1"/>
    <n v="-160"/>
    <n v="960"/>
  </r>
  <r>
    <x v="65"/>
    <s v="conventional_cashout_wacls_438"/>
    <x v="478"/>
    <n v="1"/>
    <n v="1"/>
    <n v="-160"/>
    <n v="960"/>
  </r>
  <r>
    <x v="65"/>
    <s v="conventional_cashout_wacls_439"/>
    <x v="479"/>
    <n v="1"/>
    <n v="1"/>
    <n v="-160"/>
    <n v="960"/>
  </r>
  <r>
    <x v="65"/>
    <s v="conventional_cashout_wacls_440"/>
    <x v="480"/>
    <n v="1"/>
    <n v="1"/>
    <n v="-160"/>
    <n v="960"/>
  </r>
  <r>
    <x v="65"/>
    <s v="conventional_cashout_wacls_441"/>
    <x v="481"/>
    <n v="1"/>
    <n v="1"/>
    <n v="-160"/>
    <n v="960"/>
  </r>
  <r>
    <x v="65"/>
    <s v="conventional_cashout_wacls_442"/>
    <x v="482"/>
    <n v="1"/>
    <n v="1"/>
    <n v="-160"/>
    <n v="960"/>
  </r>
  <r>
    <x v="65"/>
    <s v="conventional_cashout_wacls_443"/>
    <x v="483"/>
    <n v="1"/>
    <n v="1"/>
    <n v="-160"/>
    <n v="960"/>
  </r>
  <r>
    <x v="65"/>
    <s v="conventional_cashout_wacls_444"/>
    <x v="484"/>
    <n v="1"/>
    <n v="1"/>
    <n v="-160"/>
    <n v="960"/>
  </r>
  <r>
    <x v="65"/>
    <s v="conventional_cashout_wacls_445"/>
    <x v="485"/>
    <n v="1"/>
    <n v="1"/>
    <n v="-160"/>
    <n v="960"/>
  </r>
  <r>
    <x v="65"/>
    <s v="conventional_cashout_wacls_446"/>
    <x v="486"/>
    <n v="1"/>
    <n v="1"/>
    <n v="-160"/>
    <n v="960"/>
  </r>
  <r>
    <x v="65"/>
    <s v="conventional_cashout_wacls_447"/>
    <x v="487"/>
    <n v="1"/>
    <n v="1"/>
    <n v="-160"/>
    <n v="960"/>
  </r>
  <r>
    <x v="65"/>
    <s v="conventional_cashout_wacls_448"/>
    <x v="488"/>
    <n v="1"/>
    <n v="1"/>
    <n v="-160"/>
    <n v="960"/>
  </r>
  <r>
    <x v="65"/>
    <s v="conventional_cashout_wacls_449"/>
    <x v="489"/>
    <n v="1"/>
    <n v="1"/>
    <n v="-160"/>
    <n v="960"/>
  </r>
  <r>
    <x v="65"/>
    <s v="conventional_cashout_wacls_450"/>
    <x v="490"/>
    <n v="1"/>
    <n v="1"/>
    <n v="-160"/>
    <n v="960"/>
  </r>
  <r>
    <x v="65"/>
    <s v="conventional_cashout_wacls_451"/>
    <x v="491"/>
    <n v="1"/>
    <n v="1"/>
    <n v="-160"/>
    <n v="960"/>
  </r>
  <r>
    <x v="65"/>
    <s v="conventional_cashout_wacls_452"/>
    <x v="492"/>
    <n v="1"/>
    <n v="1"/>
    <n v="-160"/>
    <n v="960"/>
  </r>
  <r>
    <x v="65"/>
    <s v="conventional_cashout_wacls_453"/>
    <x v="493"/>
    <n v="1"/>
    <n v="1"/>
    <n v="-160"/>
    <n v="960"/>
  </r>
  <r>
    <x v="65"/>
    <s v="conventional_cashout_wacls_454"/>
    <x v="494"/>
    <n v="1"/>
    <n v="1"/>
    <n v="-160"/>
    <n v="960"/>
  </r>
  <r>
    <x v="65"/>
    <s v="conventional_cashout_wacls_455"/>
    <x v="495"/>
    <n v="1"/>
    <n v="1"/>
    <n v="-160"/>
    <n v="960"/>
  </r>
  <r>
    <x v="65"/>
    <s v="conventional_cashout_wacls_456"/>
    <x v="496"/>
    <n v="1"/>
    <n v="1"/>
    <n v="-160"/>
    <n v="960"/>
  </r>
  <r>
    <x v="65"/>
    <s v="conventional_cashout_wacls_457"/>
    <x v="497"/>
    <n v="1"/>
    <n v="1"/>
    <n v="-160"/>
    <n v="960"/>
  </r>
  <r>
    <x v="65"/>
    <s v="conventional_cashout_wacls_458"/>
    <x v="498"/>
    <n v="1"/>
    <n v="1"/>
    <n v="-160"/>
    <n v="960"/>
  </r>
  <r>
    <x v="65"/>
    <s v="conventional_cashout_wacls_459"/>
    <x v="499"/>
    <n v="1"/>
    <n v="1"/>
    <n v="-160"/>
    <n v="960"/>
  </r>
  <r>
    <x v="65"/>
    <s v="conventional_cashout_wacls_460"/>
    <x v="500"/>
    <n v="1"/>
    <n v="1"/>
    <n v="-160"/>
    <n v="960"/>
  </r>
  <r>
    <x v="65"/>
    <s v="conventional_cashout_wacls_461"/>
    <x v="501"/>
    <n v="1"/>
    <n v="1"/>
    <n v="-160"/>
    <n v="960"/>
  </r>
  <r>
    <x v="65"/>
    <s v="conventional_cashout_wacls_462"/>
    <x v="502"/>
    <n v="1"/>
    <n v="1"/>
    <n v="-160"/>
    <n v="960"/>
  </r>
  <r>
    <x v="65"/>
    <s v="conventional_cashout_wacls_463"/>
    <x v="503"/>
    <n v="1"/>
    <n v="1"/>
    <n v="-160"/>
    <n v="960"/>
  </r>
  <r>
    <x v="65"/>
    <s v="conventional_cashout_wacls_464"/>
    <x v="504"/>
    <n v="1"/>
    <n v="1"/>
    <n v="-160"/>
    <n v="960"/>
  </r>
  <r>
    <x v="65"/>
    <s v="conventional_cashout_wacls_465"/>
    <x v="505"/>
    <n v="1"/>
    <n v="1"/>
    <n v="-160"/>
    <n v="960"/>
  </r>
  <r>
    <x v="65"/>
    <s v="conventional_cashout_wacls_466"/>
    <x v="506"/>
    <n v="1"/>
    <n v="1"/>
    <n v="-160"/>
    <n v="960"/>
  </r>
  <r>
    <x v="65"/>
    <s v="conventional_cashout_wacls_467"/>
    <x v="507"/>
    <n v="1"/>
    <n v="1"/>
    <n v="-160"/>
    <n v="960"/>
  </r>
  <r>
    <x v="65"/>
    <s v="conventional_cashout_wacls_468"/>
    <x v="508"/>
    <n v="1"/>
    <n v="1"/>
    <n v="-160"/>
    <n v="960"/>
  </r>
  <r>
    <x v="65"/>
    <s v="conventional_cashout_wacls_469"/>
    <x v="509"/>
    <n v="1"/>
    <n v="1"/>
    <n v="-160"/>
    <n v="960"/>
  </r>
  <r>
    <x v="65"/>
    <s v="conventional_cashout_wacls_470"/>
    <x v="510"/>
    <n v="1"/>
    <n v="1"/>
    <n v="-160"/>
    <n v="960"/>
  </r>
  <r>
    <x v="65"/>
    <s v="conventional_cashout_wacls_471"/>
    <x v="511"/>
    <n v="1"/>
    <n v="1"/>
    <n v="-160"/>
    <n v="960"/>
  </r>
  <r>
    <x v="65"/>
    <s v="conventional_cashout_wacls_472"/>
    <x v="512"/>
    <n v="1"/>
    <n v="1"/>
    <n v="-160"/>
    <n v="960"/>
  </r>
  <r>
    <x v="65"/>
    <s v="conventional_cashout_wacls_473"/>
    <x v="513"/>
    <n v="1"/>
    <n v="1"/>
    <n v="-160"/>
    <n v="960"/>
  </r>
  <r>
    <x v="65"/>
    <s v="conventional_cashout_wacls_474"/>
    <x v="514"/>
    <n v="1"/>
    <n v="1"/>
    <n v="-160"/>
    <n v="960"/>
  </r>
  <r>
    <x v="65"/>
    <s v="conventional_cashout_wacls_475"/>
    <x v="515"/>
    <n v="1"/>
    <n v="1"/>
    <n v="-160"/>
    <n v="960"/>
  </r>
  <r>
    <x v="65"/>
    <s v="conventional_cashout_wacls_476"/>
    <x v="516"/>
    <n v="1"/>
    <n v="1"/>
    <n v="-160"/>
    <n v="960"/>
  </r>
  <r>
    <x v="65"/>
    <s v="conventional_cashout_wacls_477"/>
    <x v="517"/>
    <n v="1"/>
    <n v="1"/>
    <n v="-160"/>
    <n v="960"/>
  </r>
  <r>
    <x v="65"/>
    <s v="conventional_cashout_wacls_478"/>
    <x v="518"/>
    <n v="1"/>
    <n v="1"/>
    <n v="-160"/>
    <n v="960"/>
  </r>
  <r>
    <x v="65"/>
    <s v="conventional_cashout_wacls_479"/>
    <x v="519"/>
    <n v="1"/>
    <n v="1"/>
    <n v="-160"/>
    <n v="960"/>
  </r>
  <r>
    <x v="65"/>
    <s v="conventional_cashout_wacls_480"/>
    <x v="520"/>
    <n v="1"/>
    <n v="1"/>
    <n v="-160"/>
    <n v="960"/>
  </r>
  <r>
    <x v="65"/>
    <s v="conventional_cashout_wacls_481"/>
    <x v="521"/>
    <n v="1"/>
    <n v="1"/>
    <n v="-160"/>
    <n v="960"/>
  </r>
  <r>
    <x v="65"/>
    <s v="conventional_cashout_wacls_482"/>
    <x v="522"/>
    <n v="1"/>
    <n v="1"/>
    <n v="-160"/>
    <n v="960"/>
  </r>
  <r>
    <x v="65"/>
    <s v="conventional_cashout_wacls_483"/>
    <x v="523"/>
    <n v="1"/>
    <n v="1"/>
    <n v="-160"/>
    <n v="960"/>
  </r>
  <r>
    <x v="65"/>
    <s v="conventional_cashout_wacls_484"/>
    <x v="524"/>
    <n v="1"/>
    <n v="1"/>
    <n v="-160"/>
    <n v="960"/>
  </r>
  <r>
    <x v="65"/>
    <s v="conventional_cashout_wacls_485"/>
    <x v="525"/>
    <n v="1"/>
    <n v="1"/>
    <n v="-160"/>
    <n v="960"/>
  </r>
  <r>
    <x v="65"/>
    <s v="conventional_cashout_wacls_486"/>
    <x v="526"/>
    <n v="1"/>
    <n v="1"/>
    <n v="-160"/>
    <n v="960"/>
  </r>
  <r>
    <x v="65"/>
    <s v="conventional_cashout_wacls_487"/>
    <x v="527"/>
    <n v="1"/>
    <n v="1"/>
    <n v="-160"/>
    <n v="960"/>
  </r>
  <r>
    <x v="65"/>
    <s v="conventional_cashout_wacls_488"/>
    <x v="528"/>
    <n v="1"/>
    <n v="1"/>
    <n v="-160"/>
    <n v="960"/>
  </r>
  <r>
    <x v="65"/>
    <s v="conventional_cashout_wacls_489"/>
    <x v="529"/>
    <n v="1"/>
    <n v="1"/>
    <n v="-160"/>
    <n v="960"/>
  </r>
  <r>
    <x v="65"/>
    <s v="conventional_cashout_wacls_490"/>
    <x v="530"/>
    <n v="1"/>
    <n v="1"/>
    <n v="-160"/>
    <n v="960"/>
  </r>
  <r>
    <x v="65"/>
    <s v="conventional_cashout_wacls_491"/>
    <x v="531"/>
    <n v="1"/>
    <n v="1"/>
    <n v="-160"/>
    <n v="960"/>
  </r>
  <r>
    <x v="65"/>
    <s v="conventional_cashout_wacls_492"/>
    <x v="532"/>
    <n v="1"/>
    <n v="1"/>
    <n v="-160"/>
    <n v="960"/>
  </r>
  <r>
    <x v="65"/>
    <s v="conventional_cashout_wacls_493"/>
    <x v="533"/>
    <n v="1"/>
    <n v="1"/>
    <n v="-160"/>
    <n v="960"/>
  </r>
  <r>
    <x v="65"/>
    <s v="conventional_cashout_wacls_494"/>
    <x v="534"/>
    <n v="1"/>
    <n v="1"/>
    <n v="-160"/>
    <n v="960"/>
  </r>
  <r>
    <x v="65"/>
    <s v="conventional_cashout_wacls_495"/>
    <x v="535"/>
    <n v="1"/>
    <n v="1"/>
    <n v="-160"/>
    <n v="960"/>
  </r>
  <r>
    <x v="65"/>
    <s v="conventional_cashout_wacls_496"/>
    <x v="536"/>
    <n v="1"/>
    <n v="1"/>
    <n v="-160"/>
    <n v="960"/>
  </r>
  <r>
    <x v="65"/>
    <s v="conventional_cashout_wacls_497"/>
    <x v="537"/>
    <n v="1"/>
    <n v="1"/>
    <n v="-160"/>
    <n v="960"/>
  </r>
  <r>
    <x v="65"/>
    <s v="conventional_cashout_wacls_498"/>
    <x v="538"/>
    <n v="1"/>
    <n v="1"/>
    <n v="-160"/>
    <n v="960"/>
  </r>
  <r>
    <x v="65"/>
    <s v="conventional_cashout_wacls_499"/>
    <x v="539"/>
    <n v="1"/>
    <n v="1"/>
    <n v="-160"/>
    <n v="960"/>
  </r>
  <r>
    <x v="65"/>
    <s v="conventional_cashout_wacls_500"/>
    <x v="540"/>
    <n v="1"/>
    <n v="1"/>
    <n v="-160"/>
    <n v="960"/>
  </r>
  <r>
    <x v="65"/>
    <s v="conventional_cashout_wacls_501"/>
    <x v="541"/>
    <n v="1"/>
    <n v="1"/>
    <n v="-160"/>
    <n v="960"/>
  </r>
  <r>
    <x v="65"/>
    <s v="conventional_cashout_wacls_502"/>
    <x v="542"/>
    <n v="1"/>
    <n v="1"/>
    <n v="-160"/>
    <n v="960"/>
  </r>
  <r>
    <x v="65"/>
    <s v="conventional_cashout_wacls_503"/>
    <x v="543"/>
    <n v="1"/>
    <n v="1"/>
    <n v="-160"/>
    <n v="960"/>
  </r>
  <r>
    <x v="65"/>
    <s v="conventional_cashout_wacls_504"/>
    <x v="544"/>
    <n v="1"/>
    <n v="1"/>
    <n v="-160"/>
    <n v="960"/>
  </r>
  <r>
    <x v="65"/>
    <s v="conventional_cashout_wacls_505"/>
    <x v="545"/>
    <n v="1"/>
    <n v="1"/>
    <n v="-160"/>
    <n v="960"/>
  </r>
  <r>
    <x v="65"/>
    <s v="conventional_cashout_wacls_506"/>
    <x v="546"/>
    <n v="1"/>
    <n v="1"/>
    <n v="-160"/>
    <n v="960"/>
  </r>
  <r>
    <x v="65"/>
    <s v="conventional_cashout_wacls_507"/>
    <x v="547"/>
    <n v="1"/>
    <n v="1"/>
    <n v="-160"/>
    <n v="960"/>
  </r>
  <r>
    <x v="65"/>
    <s v="conventional_cashout_wacls_508"/>
    <x v="548"/>
    <n v="1"/>
    <n v="1"/>
    <n v="-160"/>
    <n v="960"/>
  </r>
  <r>
    <x v="65"/>
    <s v="conventional_cashout_wacls_509"/>
    <x v="549"/>
    <n v="1"/>
    <n v="1"/>
    <n v="-160"/>
    <n v="960"/>
  </r>
  <r>
    <x v="65"/>
    <s v="conventional_cashout_wacls_510"/>
    <x v="550"/>
    <n v="1"/>
    <n v="1"/>
    <n v="-160"/>
    <n v="960"/>
  </r>
  <r>
    <x v="65"/>
    <s v="conventional_cashout_wacls_511"/>
    <x v="551"/>
    <n v="1"/>
    <n v="1"/>
    <n v="-160"/>
    <n v="960"/>
  </r>
  <r>
    <x v="65"/>
    <s v="conventional_cashout_wacls_512"/>
    <x v="552"/>
    <n v="1"/>
    <n v="1"/>
    <n v="-160"/>
    <n v="960"/>
  </r>
  <r>
    <x v="65"/>
    <s v="conventional_cashout_wacls_513"/>
    <x v="553"/>
    <n v="1"/>
    <n v="1"/>
    <n v="-160"/>
    <n v="960"/>
  </r>
  <r>
    <x v="65"/>
    <s v="conventional_cashout_wacls_514"/>
    <x v="554"/>
    <n v="1"/>
    <n v="1"/>
    <n v="-160"/>
    <n v="960"/>
  </r>
  <r>
    <x v="65"/>
    <s v="conventional_cashout_wacls_515"/>
    <x v="555"/>
    <n v="1"/>
    <n v="1"/>
    <n v="-160"/>
    <n v="960"/>
  </r>
  <r>
    <x v="65"/>
    <s v="conventional_cashout_wacls_516"/>
    <x v="556"/>
    <n v="1"/>
    <n v="1"/>
    <n v="-160"/>
    <n v="960"/>
  </r>
  <r>
    <x v="65"/>
    <s v="conventional_cashout_wacls_517"/>
    <x v="557"/>
    <n v="1"/>
    <n v="1"/>
    <n v="-160"/>
    <n v="960"/>
  </r>
  <r>
    <x v="65"/>
    <s v="conventional_cashout_wacls_518"/>
    <x v="558"/>
    <n v="1"/>
    <n v="1"/>
    <n v="-160"/>
    <n v="960"/>
  </r>
  <r>
    <x v="65"/>
    <s v="conventional_cashout_wacls_519"/>
    <x v="559"/>
    <n v="1"/>
    <n v="1"/>
    <n v="-160"/>
    <n v="960"/>
  </r>
  <r>
    <x v="65"/>
    <s v="conventional_cashout_wacls_520"/>
    <x v="560"/>
    <n v="1"/>
    <n v="1"/>
    <n v="-160"/>
    <n v="960"/>
  </r>
  <r>
    <x v="65"/>
    <s v="conventional_cashout_wacls_521"/>
    <x v="561"/>
    <n v="1"/>
    <n v="1"/>
    <n v="-160"/>
    <n v="960"/>
  </r>
  <r>
    <x v="65"/>
    <s v="conventional_cashout_wacls_522"/>
    <x v="562"/>
    <n v="1"/>
    <n v="1"/>
    <n v="-160"/>
    <n v="960"/>
  </r>
  <r>
    <x v="65"/>
    <s v="conventional_cashout_wacls_523"/>
    <x v="563"/>
    <n v="1"/>
    <n v="1"/>
    <n v="-160"/>
    <n v="960"/>
  </r>
  <r>
    <x v="65"/>
    <s v="conventional_cashout_wacls_524"/>
    <x v="564"/>
    <n v="1"/>
    <n v="1"/>
    <n v="-160"/>
    <n v="960"/>
  </r>
  <r>
    <x v="65"/>
    <s v="conventional_cashout_wacls_525"/>
    <x v="565"/>
    <n v="1"/>
    <n v="1"/>
    <n v="-160"/>
    <n v="960"/>
  </r>
  <r>
    <x v="65"/>
    <s v="conventional_cashout_wacls_526"/>
    <x v="566"/>
    <n v="1"/>
    <n v="1"/>
    <n v="-160"/>
    <n v="960"/>
  </r>
  <r>
    <x v="65"/>
    <s v="conventional_cashout_wacls_527"/>
    <x v="567"/>
    <n v="1"/>
    <n v="1"/>
    <n v="-160"/>
    <n v="960"/>
  </r>
  <r>
    <x v="65"/>
    <s v="conventional_cashout_wacls_528"/>
    <x v="568"/>
    <n v="1"/>
    <n v="1"/>
    <n v="-160"/>
    <n v="960"/>
  </r>
  <r>
    <x v="65"/>
    <s v="conventional_cashout_wacls_529"/>
    <x v="569"/>
    <n v="1"/>
    <n v="1"/>
    <n v="-160"/>
    <n v="960"/>
  </r>
  <r>
    <x v="65"/>
    <s v="conventional_cashout_wacls_530"/>
    <x v="570"/>
    <n v="1"/>
    <n v="1"/>
    <n v="-160"/>
    <n v="960"/>
  </r>
  <r>
    <x v="65"/>
    <s v="conventional_cashout_wacls_531"/>
    <x v="571"/>
    <n v="1"/>
    <n v="1"/>
    <n v="-160"/>
    <n v="960"/>
  </r>
  <r>
    <x v="65"/>
    <s v="conventional_cashout_wacls_532"/>
    <x v="572"/>
    <n v="1"/>
    <n v="1"/>
    <n v="-160"/>
    <n v="960"/>
  </r>
  <r>
    <x v="65"/>
    <s v="conventional_cashout_wacls_533"/>
    <x v="573"/>
    <n v="1"/>
    <n v="1"/>
    <n v="-160"/>
    <n v="960"/>
  </r>
  <r>
    <x v="65"/>
    <s v="conventional_cashout_wacls_534"/>
    <x v="574"/>
    <n v="1"/>
    <n v="1"/>
    <n v="-160"/>
    <n v="960"/>
  </r>
  <r>
    <x v="65"/>
    <s v="conventional_cashout_wacls_535"/>
    <x v="575"/>
    <n v="1"/>
    <n v="1"/>
    <n v="-160"/>
    <n v="960"/>
  </r>
  <r>
    <x v="65"/>
    <s v="conventional_cashout_wacls_536"/>
    <x v="576"/>
    <n v="1"/>
    <n v="1"/>
    <n v="-160"/>
    <n v="960"/>
  </r>
  <r>
    <x v="65"/>
    <s v="conventional_cashout_wacls_537"/>
    <x v="577"/>
    <n v="1"/>
    <n v="1"/>
    <n v="-160"/>
    <n v="960"/>
  </r>
  <r>
    <x v="65"/>
    <s v="conventional_cashout_wacls_538"/>
    <x v="578"/>
    <n v="1"/>
    <n v="1"/>
    <n v="-160"/>
    <n v="960"/>
  </r>
  <r>
    <x v="65"/>
    <s v="conventional_cashout_wacls_539"/>
    <x v="579"/>
    <n v="1"/>
    <n v="1"/>
    <n v="-160"/>
    <n v="960"/>
  </r>
  <r>
    <x v="65"/>
    <s v="conventional_cashout_wacls_540"/>
    <x v="580"/>
    <n v="1"/>
    <n v="1"/>
    <n v="-160"/>
    <n v="960"/>
  </r>
  <r>
    <x v="65"/>
    <s v="conventional_cashout_wacls_541"/>
    <x v="581"/>
    <n v="1"/>
    <n v="1"/>
    <n v="-160"/>
    <n v="960"/>
  </r>
  <r>
    <x v="65"/>
    <s v="conventional_cashout_wacls_542"/>
    <x v="582"/>
    <n v="1"/>
    <n v="1"/>
    <n v="-160"/>
    <n v="960"/>
  </r>
  <r>
    <x v="65"/>
    <s v="conventional_cashout_wacls_543"/>
    <x v="583"/>
    <n v="1"/>
    <n v="1"/>
    <n v="-160"/>
    <n v="960"/>
  </r>
  <r>
    <x v="65"/>
    <s v="conventional_cashout_wacls_544"/>
    <x v="584"/>
    <n v="1"/>
    <n v="1"/>
    <n v="-160"/>
    <n v="960"/>
  </r>
  <r>
    <x v="65"/>
    <s v="conventional_cashout_wacls_545"/>
    <x v="585"/>
    <n v="1"/>
    <n v="1"/>
    <n v="-160"/>
    <n v="960"/>
  </r>
  <r>
    <x v="65"/>
    <s v="conventional_cashout_wacls_546"/>
    <x v="586"/>
    <n v="1"/>
    <n v="1"/>
    <n v="-160"/>
    <n v="960"/>
  </r>
  <r>
    <x v="65"/>
    <s v="conventional_cashout_wacls_547"/>
    <x v="587"/>
    <n v="1"/>
    <n v="1"/>
    <n v="-160"/>
    <n v="960"/>
  </r>
  <r>
    <x v="65"/>
    <s v="conventional_cashout_wacls_548"/>
    <x v="588"/>
    <n v="1"/>
    <n v="1"/>
    <n v="-160"/>
    <n v="960"/>
  </r>
  <r>
    <x v="65"/>
    <s v="conventional_cashout_wacls_549"/>
    <x v="589"/>
    <n v="1"/>
    <n v="1"/>
    <n v="-160"/>
    <n v="960"/>
  </r>
  <r>
    <x v="65"/>
    <s v="conventional_cashout_wacls_550"/>
    <x v="590"/>
    <n v="1"/>
    <n v="1"/>
    <n v="-160"/>
    <n v="960"/>
  </r>
  <r>
    <x v="65"/>
    <s v="conventional_cashout_wacls_551"/>
    <x v="591"/>
    <n v="1"/>
    <n v="1"/>
    <n v="-160"/>
    <n v="960"/>
  </r>
  <r>
    <x v="65"/>
    <s v="conventional_cashout_wacls_552"/>
    <x v="592"/>
    <n v="1"/>
    <n v="1"/>
    <n v="-160"/>
    <n v="960"/>
  </r>
  <r>
    <x v="65"/>
    <s v="conventional_cashout_wacls_553"/>
    <x v="593"/>
    <n v="1"/>
    <n v="1"/>
    <n v="-160"/>
    <n v="960"/>
  </r>
  <r>
    <x v="65"/>
    <s v="conventional_cashout_wacls_554"/>
    <x v="594"/>
    <n v="1"/>
    <n v="1"/>
    <n v="-160"/>
    <n v="960"/>
  </r>
  <r>
    <x v="65"/>
    <s v="conventional_cashout_wacls_555"/>
    <x v="595"/>
    <n v="1"/>
    <n v="1"/>
    <n v="-160"/>
    <n v="960"/>
  </r>
  <r>
    <x v="65"/>
    <s v="conventional_cashout_wacls_556"/>
    <x v="596"/>
    <n v="1"/>
    <n v="1"/>
    <n v="-160"/>
    <n v="960"/>
  </r>
  <r>
    <x v="65"/>
    <s v="conventional_cashout_wacls_557"/>
    <x v="597"/>
    <n v="1"/>
    <n v="1"/>
    <n v="-160"/>
    <n v="960"/>
  </r>
  <r>
    <x v="65"/>
    <s v="conventional_cashout_wacls_558"/>
    <x v="598"/>
    <n v="1"/>
    <n v="1"/>
    <n v="-160"/>
    <n v="960"/>
  </r>
  <r>
    <x v="65"/>
    <s v="conventional_cashout_wacls_559"/>
    <x v="599"/>
    <n v="1"/>
    <n v="1"/>
    <n v="-160"/>
    <n v="960"/>
  </r>
  <r>
    <x v="65"/>
    <s v="conventional_cashout_wacls_560"/>
    <x v="600"/>
    <n v="1"/>
    <n v="1"/>
    <n v="-160"/>
    <n v="960"/>
  </r>
  <r>
    <x v="65"/>
    <s v="conventional_cashout_wacls_561"/>
    <x v="601"/>
    <n v="1"/>
    <n v="1"/>
    <n v="-160"/>
    <n v="960"/>
  </r>
  <r>
    <x v="65"/>
    <s v="conventional_cashout_wacls_562"/>
    <x v="602"/>
    <n v="1"/>
    <n v="1"/>
    <n v="-160"/>
    <n v="960"/>
  </r>
  <r>
    <x v="65"/>
    <s v="conventional_cashout_wacls_563"/>
    <x v="603"/>
    <n v="1"/>
    <n v="1"/>
    <n v="-160"/>
    <n v="960"/>
  </r>
  <r>
    <x v="65"/>
    <s v="conventional_cashout_wacls_564"/>
    <x v="604"/>
    <n v="1"/>
    <n v="1"/>
    <n v="-160"/>
    <n v="960"/>
  </r>
  <r>
    <x v="65"/>
    <s v="conventional_cashout_wacls_565"/>
    <x v="605"/>
    <n v="1"/>
    <n v="1"/>
    <n v="-160"/>
    <n v="960"/>
  </r>
  <r>
    <x v="65"/>
    <s v="conventional_cashout_wacls_566"/>
    <x v="606"/>
    <n v="1"/>
    <n v="1"/>
    <n v="-160"/>
    <n v="960"/>
  </r>
  <r>
    <x v="65"/>
    <s v="conventional_cashout_wacls_567"/>
    <x v="607"/>
    <n v="1"/>
    <n v="1"/>
    <n v="-160"/>
    <n v="960"/>
  </r>
  <r>
    <x v="65"/>
    <s v="conventional_cashout_wacls_568"/>
    <x v="608"/>
    <n v="1"/>
    <n v="1"/>
    <n v="-160"/>
    <n v="960"/>
  </r>
  <r>
    <x v="65"/>
    <s v="conventional_cashout_wacls_569"/>
    <x v="609"/>
    <n v="1"/>
    <n v="1"/>
    <n v="-160"/>
    <n v="960"/>
  </r>
  <r>
    <x v="65"/>
    <s v="conventional_cashout_wacls_570"/>
    <x v="610"/>
    <n v="1"/>
    <n v="1"/>
    <n v="-160"/>
    <n v="960"/>
  </r>
  <r>
    <x v="65"/>
    <s v="conventional_cashout_wacls_571"/>
    <x v="611"/>
    <n v="1"/>
    <n v="1"/>
    <n v="-160"/>
    <n v="960"/>
  </r>
  <r>
    <x v="65"/>
    <s v="conventional_cashout_wacls_572"/>
    <x v="612"/>
    <n v="1"/>
    <n v="1"/>
    <n v="-160"/>
    <n v="960"/>
  </r>
  <r>
    <x v="65"/>
    <s v="conventional_cashout_wacls_573"/>
    <x v="613"/>
    <n v="1"/>
    <n v="1"/>
    <n v="-160"/>
    <n v="960"/>
  </r>
  <r>
    <x v="65"/>
    <s v="conventional_cashout_wacls_574"/>
    <x v="614"/>
    <n v="1"/>
    <n v="1"/>
    <n v="-160"/>
    <n v="960"/>
  </r>
  <r>
    <x v="65"/>
    <s v="conventional_cashout_wacls_575"/>
    <x v="615"/>
    <n v="1"/>
    <n v="1"/>
    <n v="-160"/>
    <n v="960"/>
  </r>
  <r>
    <x v="65"/>
    <s v="conventional_cashout_wacls_576"/>
    <x v="616"/>
    <n v="1"/>
    <n v="1"/>
    <n v="-160"/>
    <n v="960"/>
  </r>
  <r>
    <x v="65"/>
    <s v="conventional_cashout_wacls_577"/>
    <x v="617"/>
    <n v="1"/>
    <n v="1"/>
    <n v="-160"/>
    <n v="960"/>
  </r>
  <r>
    <x v="65"/>
    <s v="conventional_cashout_wacls_578"/>
    <x v="618"/>
    <n v="1"/>
    <n v="1"/>
    <n v="-160"/>
    <n v="960"/>
  </r>
  <r>
    <x v="65"/>
    <s v="conventional_cashout_wacls_579"/>
    <x v="619"/>
    <n v="1"/>
    <n v="1"/>
    <n v="-160"/>
    <n v="960"/>
  </r>
  <r>
    <x v="65"/>
    <s v="conventional_cashout_wacls_580"/>
    <x v="620"/>
    <n v="1"/>
    <n v="1"/>
    <n v="-160"/>
    <n v="960"/>
  </r>
  <r>
    <x v="65"/>
    <s v="conventional_cashout_wacls_581"/>
    <x v="621"/>
    <n v="1"/>
    <n v="1"/>
    <n v="-160"/>
    <n v="960"/>
  </r>
  <r>
    <x v="65"/>
    <s v="conventional_cashout_wacls_582"/>
    <x v="622"/>
    <n v="1"/>
    <n v="1"/>
    <n v="-160"/>
    <n v="960"/>
  </r>
  <r>
    <x v="65"/>
    <s v="conventional_cashout_wacls_583"/>
    <x v="623"/>
    <n v="1"/>
    <n v="1"/>
    <n v="-160"/>
    <n v="960"/>
  </r>
  <r>
    <x v="65"/>
    <s v="conventional_cashout_wacls_584"/>
    <x v="624"/>
    <n v="1"/>
    <n v="1"/>
    <n v="-160"/>
    <n v="960"/>
  </r>
  <r>
    <x v="65"/>
    <s v="conventional_cashout_wacls_585"/>
    <x v="625"/>
    <n v="1"/>
    <n v="1"/>
    <n v="-160"/>
    <n v="960"/>
  </r>
  <r>
    <x v="65"/>
    <s v="conventional_cashout_wacls_586"/>
    <x v="626"/>
    <n v="1"/>
    <n v="1"/>
    <n v="-160"/>
    <n v="960"/>
  </r>
  <r>
    <x v="65"/>
    <s v="conventional_cashout_wacls_587"/>
    <x v="627"/>
    <n v="1"/>
    <n v="1"/>
    <n v="-160"/>
    <n v="960"/>
  </r>
  <r>
    <x v="65"/>
    <s v="conventional_cashout_wacls_588"/>
    <x v="628"/>
    <n v="1"/>
    <n v="1"/>
    <n v="-160"/>
    <n v="960"/>
  </r>
  <r>
    <x v="65"/>
    <s v="conventional_cashout_wacls_589"/>
    <x v="629"/>
    <n v="1"/>
    <n v="1"/>
    <n v="-160"/>
    <n v="960"/>
  </r>
  <r>
    <x v="65"/>
    <s v="conventional_cashout_wacls_590"/>
    <x v="630"/>
    <n v="1"/>
    <n v="1"/>
    <n v="-160"/>
    <n v="960"/>
  </r>
  <r>
    <x v="65"/>
    <s v="conventional_cashout_wacls_591"/>
    <x v="631"/>
    <n v="1"/>
    <n v="1"/>
    <n v="-160"/>
    <n v="960"/>
  </r>
  <r>
    <x v="65"/>
    <s v="conventional_cashout_wacls_592"/>
    <x v="632"/>
    <n v="1"/>
    <n v="1"/>
    <n v="-160"/>
    <n v="960"/>
  </r>
  <r>
    <x v="65"/>
    <s v="conventional_cashout_wacls_593"/>
    <x v="633"/>
    <n v="1"/>
    <n v="1"/>
    <n v="-160"/>
    <n v="960"/>
  </r>
  <r>
    <x v="65"/>
    <s v="conventional_cashout_wacls_594"/>
    <x v="634"/>
    <n v="1"/>
    <n v="1"/>
    <n v="-160"/>
    <n v="960"/>
  </r>
  <r>
    <x v="65"/>
    <s v="conventional_cashout_wacls_595"/>
    <x v="635"/>
    <n v="1"/>
    <n v="1"/>
    <n v="-160"/>
    <n v="960"/>
  </r>
  <r>
    <x v="65"/>
    <s v="conventional_cashout_wacls_596"/>
    <x v="636"/>
    <n v="1"/>
    <n v="1"/>
    <n v="-160"/>
    <n v="960"/>
  </r>
  <r>
    <x v="65"/>
    <s v="conventional_cashout_wacls_597"/>
    <x v="637"/>
    <n v="1"/>
    <n v="1"/>
    <n v="-160"/>
    <n v="960"/>
  </r>
  <r>
    <x v="65"/>
    <s v="conventional_cashout_wacls_598"/>
    <x v="638"/>
    <n v="1"/>
    <n v="1"/>
    <n v="-160"/>
    <n v="960"/>
  </r>
  <r>
    <x v="65"/>
    <s v="conventional_cashout_wacls_599"/>
    <x v="639"/>
    <n v="1"/>
    <n v="1"/>
    <n v="-160"/>
    <n v="960"/>
  </r>
  <r>
    <x v="65"/>
    <s v="conventional_cashout_wacls_600"/>
    <x v="640"/>
    <n v="1"/>
    <n v="1"/>
    <n v="-160"/>
    <n v="960"/>
  </r>
  <r>
    <x v="65"/>
    <s v="conventional_cashout_wacls_601"/>
    <x v="641"/>
    <n v="1"/>
    <n v="1"/>
    <n v="-160"/>
    <n v="960"/>
  </r>
  <r>
    <x v="65"/>
    <s v="conventional_cashout_wacls_602"/>
    <x v="642"/>
    <n v="1"/>
    <n v="1"/>
    <n v="-160"/>
    <n v="960"/>
  </r>
  <r>
    <x v="65"/>
    <s v="conventional_cashout_wacls_603"/>
    <x v="643"/>
    <n v="1"/>
    <n v="1"/>
    <n v="-160"/>
    <n v="960"/>
  </r>
  <r>
    <x v="65"/>
    <s v="conventional_cashout_wacls_604"/>
    <x v="644"/>
    <n v="1"/>
    <n v="1"/>
    <n v="-160"/>
    <n v="960"/>
  </r>
  <r>
    <x v="65"/>
    <s v="conventional_cashout_wacls_605"/>
    <x v="645"/>
    <n v="1"/>
    <n v="1"/>
    <n v="-160"/>
    <n v="960"/>
  </r>
  <r>
    <x v="65"/>
    <s v="conventional_cashout_wacls_606"/>
    <x v="646"/>
    <n v="1"/>
    <n v="1"/>
    <n v="-160"/>
    <n v="960"/>
  </r>
  <r>
    <x v="65"/>
    <s v="conventional_cashout_wacls_607"/>
    <x v="647"/>
    <n v="1"/>
    <n v="1"/>
    <n v="-160"/>
    <n v="960"/>
  </r>
  <r>
    <x v="65"/>
    <s v="conventional_cashout_wacls_608"/>
    <x v="648"/>
    <n v="1"/>
    <n v="1"/>
    <n v="-160"/>
    <n v="960"/>
  </r>
  <r>
    <x v="65"/>
    <s v="conventional_cashout_wacls_609"/>
    <x v="649"/>
    <n v="1"/>
    <n v="1"/>
    <n v="-160"/>
    <n v="960"/>
  </r>
  <r>
    <x v="65"/>
    <s v="conventional_cashout_wacls_610"/>
    <x v="650"/>
    <n v="1"/>
    <n v="1"/>
    <n v="-160"/>
    <n v="960"/>
  </r>
  <r>
    <x v="65"/>
    <s v="conventional_cashout_wacls_611"/>
    <x v="651"/>
    <n v="1"/>
    <n v="1"/>
    <n v="-160"/>
    <n v="960"/>
  </r>
  <r>
    <x v="65"/>
    <s v="conventional_cashout_wacls_612"/>
    <x v="652"/>
    <n v="1"/>
    <n v="1"/>
    <n v="-160"/>
    <n v="960"/>
  </r>
  <r>
    <x v="65"/>
    <s v="conventional_cashout_wacls_613"/>
    <x v="653"/>
    <n v="1"/>
    <n v="1"/>
    <n v="-160"/>
    <n v="960"/>
  </r>
  <r>
    <x v="65"/>
    <s v="conventional_cashout_wacls_614"/>
    <x v="654"/>
    <n v="1"/>
    <n v="1"/>
    <n v="-160"/>
    <n v="960"/>
  </r>
  <r>
    <x v="65"/>
    <s v="conventional_cashout_wacls_615"/>
    <x v="655"/>
    <n v="1"/>
    <n v="1"/>
    <n v="-160"/>
    <n v="960"/>
  </r>
  <r>
    <x v="65"/>
    <s v="conventional_cashout_wacls_616"/>
    <x v="656"/>
    <n v="1"/>
    <n v="1"/>
    <n v="-160"/>
    <n v="960"/>
  </r>
  <r>
    <x v="65"/>
    <s v="conventional_cashout_wacls_617"/>
    <x v="657"/>
    <n v="1"/>
    <n v="1"/>
    <n v="-160"/>
    <n v="960"/>
  </r>
  <r>
    <x v="65"/>
    <s v="conventional_cashout_wacls_618"/>
    <x v="658"/>
    <n v="1"/>
    <n v="1"/>
    <n v="-160"/>
    <n v="960"/>
  </r>
  <r>
    <x v="65"/>
    <s v="conventional_cashout_wacls_619"/>
    <x v="659"/>
    <n v="1"/>
    <n v="1"/>
    <n v="-160"/>
    <n v="960"/>
  </r>
  <r>
    <x v="65"/>
    <s v="conventional_cashout_wacls_620"/>
    <x v="660"/>
    <n v="1"/>
    <n v="1"/>
    <n v="-160"/>
    <n v="960"/>
  </r>
  <r>
    <x v="65"/>
    <s v="conventional_cashout_wacls_621"/>
    <x v="661"/>
    <n v="1"/>
    <n v="1"/>
    <n v="-160"/>
    <n v="960"/>
  </r>
  <r>
    <x v="65"/>
    <s v="conventional_cashout_wacls_622"/>
    <x v="662"/>
    <n v="1"/>
    <n v="1"/>
    <n v="-160"/>
    <n v="960"/>
  </r>
  <r>
    <x v="65"/>
    <s v="conventional_cashout_wacls_623"/>
    <x v="663"/>
    <n v="1"/>
    <n v="1"/>
    <n v="-160"/>
    <n v="960"/>
  </r>
  <r>
    <x v="65"/>
    <s v="conventional_cashout_wacls_624"/>
    <x v="664"/>
    <n v="1"/>
    <n v="1"/>
    <n v="-160"/>
    <n v="960"/>
  </r>
  <r>
    <x v="65"/>
    <s v="conventional_cashout_wacls_625"/>
    <x v="665"/>
    <n v="1"/>
    <n v="1"/>
    <n v="-160"/>
    <n v="960"/>
  </r>
  <r>
    <x v="65"/>
    <s v="conventional_cashout_wacls_626"/>
    <x v="666"/>
    <n v="1"/>
    <n v="1"/>
    <n v="-160"/>
    <n v="960"/>
  </r>
  <r>
    <x v="65"/>
    <s v="conventional_cashout_wacls_627"/>
    <x v="667"/>
    <n v="1"/>
    <n v="1"/>
    <n v="-160"/>
    <n v="960"/>
  </r>
  <r>
    <x v="65"/>
    <s v="conventional_cashout_wacls_628"/>
    <x v="668"/>
    <n v="1"/>
    <n v="1"/>
    <n v="-160"/>
    <n v="960"/>
  </r>
  <r>
    <x v="65"/>
    <s v="conventional_cashout_wacls_629"/>
    <x v="669"/>
    <n v="1"/>
    <n v="1"/>
    <n v="-160"/>
    <n v="960"/>
  </r>
  <r>
    <x v="65"/>
    <s v="conventional_cashout_wacls_630"/>
    <x v="670"/>
    <n v="1"/>
    <n v="1"/>
    <n v="-160"/>
    <n v="960"/>
  </r>
  <r>
    <x v="65"/>
    <s v="conventional_cashout_wacls_631"/>
    <x v="671"/>
    <n v="1"/>
    <n v="1"/>
    <n v="-160"/>
    <n v="960"/>
  </r>
  <r>
    <x v="65"/>
    <s v="conventional_cashout_wacls_632"/>
    <x v="672"/>
    <n v="1"/>
    <n v="1"/>
    <n v="-160"/>
    <n v="960"/>
  </r>
  <r>
    <x v="65"/>
    <s v="conventional_cashout_wacls_633"/>
    <x v="673"/>
    <n v="1"/>
    <n v="1"/>
    <n v="-160"/>
    <n v="960"/>
  </r>
  <r>
    <x v="65"/>
    <s v="conventional_cashout_wacls_634"/>
    <x v="674"/>
    <n v="1"/>
    <n v="1"/>
    <n v="-160"/>
    <n v="960"/>
  </r>
  <r>
    <x v="65"/>
    <s v="conventional_cashout_wacls_635"/>
    <x v="675"/>
    <n v="1"/>
    <n v="1"/>
    <n v="-160"/>
    <n v="960"/>
  </r>
  <r>
    <x v="65"/>
    <s v="conventional_cashout_wacls_636"/>
    <x v="676"/>
    <n v="1"/>
    <n v="1"/>
    <n v="-160"/>
    <n v="960"/>
  </r>
  <r>
    <x v="65"/>
    <s v="conventional_cashout_wacls_637"/>
    <x v="677"/>
    <n v="1"/>
    <n v="1"/>
    <n v="-160"/>
    <n v="960"/>
  </r>
  <r>
    <x v="65"/>
    <s v="conventional_cashout_wacls_638"/>
    <x v="678"/>
    <n v="1"/>
    <n v="1"/>
    <n v="-160"/>
    <n v="960"/>
  </r>
  <r>
    <x v="65"/>
    <s v="conventional_cashout_wacls_639"/>
    <x v="679"/>
    <n v="1"/>
    <n v="1"/>
    <n v="-160"/>
    <n v="960"/>
  </r>
  <r>
    <x v="65"/>
    <s v="conventional_cashout_wacls_640"/>
    <x v="680"/>
    <n v="1"/>
    <n v="1"/>
    <n v="-160"/>
    <n v="960"/>
  </r>
  <r>
    <x v="65"/>
    <s v="conventional_cashout_wacls_641"/>
    <x v="681"/>
    <n v="1"/>
    <n v="1"/>
    <n v="-160"/>
    <n v="960"/>
  </r>
  <r>
    <x v="65"/>
    <s v="conventional_cashout_wacls_642"/>
    <x v="682"/>
    <n v="1"/>
    <n v="1"/>
    <n v="-160"/>
    <n v="960"/>
  </r>
  <r>
    <x v="65"/>
    <s v="conventional_cashout_wacls_643"/>
    <x v="683"/>
    <n v="1"/>
    <n v="1"/>
    <n v="-160"/>
    <n v="960"/>
  </r>
  <r>
    <x v="65"/>
    <s v="conventional_cashout_wacls_644"/>
    <x v="684"/>
    <n v="1"/>
    <n v="1"/>
    <n v="-160"/>
    <n v="960"/>
  </r>
  <r>
    <x v="65"/>
    <s v="conventional_cashout_wacls_645"/>
    <x v="685"/>
    <n v="1"/>
    <n v="1"/>
    <n v="-160"/>
    <n v="960"/>
  </r>
  <r>
    <x v="65"/>
    <s v="conventional_cashout_wacls_646"/>
    <x v="686"/>
    <n v="1"/>
    <n v="1"/>
    <n v="-160"/>
    <n v="960"/>
  </r>
  <r>
    <x v="65"/>
    <s v="conventional_cashout_wacls_647"/>
    <x v="687"/>
    <n v="1"/>
    <n v="1"/>
    <n v="-160"/>
    <n v="960"/>
  </r>
  <r>
    <x v="65"/>
    <s v="conventional_cashout_wacls_648"/>
    <x v="688"/>
    <n v="1"/>
    <n v="1"/>
    <n v="-160"/>
    <n v="960"/>
  </r>
  <r>
    <x v="65"/>
    <s v="conventional_cashout_wacls_649"/>
    <x v="689"/>
    <n v="1"/>
    <n v="1"/>
    <n v="-160"/>
    <n v="960"/>
  </r>
  <r>
    <x v="65"/>
    <s v="conventional_cashout_wacls_650"/>
    <x v="690"/>
    <n v="1"/>
    <n v="1"/>
    <n v="-160"/>
    <n v="960"/>
  </r>
  <r>
    <x v="65"/>
    <s v="conventional_cashout_wacls_651"/>
    <x v="691"/>
    <n v="1"/>
    <n v="1"/>
    <n v="-160"/>
    <n v="960"/>
  </r>
  <r>
    <x v="65"/>
    <s v="conventional_cashout_wacls_652"/>
    <x v="692"/>
    <n v="1"/>
    <n v="1"/>
    <n v="-160"/>
    <n v="960"/>
  </r>
  <r>
    <x v="65"/>
    <s v="conventional_cashout_wacls_653"/>
    <x v="693"/>
    <n v="1"/>
    <n v="1"/>
    <n v="-160"/>
    <n v="960"/>
  </r>
  <r>
    <x v="65"/>
    <s v="conventional_cashout_wacls_654"/>
    <x v="694"/>
    <n v="1"/>
    <n v="1"/>
    <n v="-160"/>
    <n v="960"/>
  </r>
  <r>
    <x v="65"/>
    <s v="conventional_cashout_wacls_655"/>
    <x v="695"/>
    <n v="1"/>
    <n v="1"/>
    <n v="-160"/>
    <n v="960"/>
  </r>
  <r>
    <x v="65"/>
    <s v="conventional_cashout_wacls_656"/>
    <x v="696"/>
    <n v="1"/>
    <n v="1"/>
    <n v="-160"/>
    <n v="960"/>
  </r>
  <r>
    <x v="65"/>
    <s v="conventional_cashout_wacls_657"/>
    <x v="697"/>
    <n v="1"/>
    <n v="1"/>
    <n v="-160"/>
    <n v="960"/>
  </r>
  <r>
    <x v="65"/>
    <s v="conventional_cashout_wacls_658"/>
    <x v="698"/>
    <n v="1"/>
    <n v="1"/>
    <n v="-160"/>
    <n v="960"/>
  </r>
  <r>
    <x v="65"/>
    <s v="conventional_cashout_wacls_659"/>
    <x v="699"/>
    <n v="1"/>
    <n v="1"/>
    <n v="-160"/>
    <n v="960"/>
  </r>
  <r>
    <x v="65"/>
    <s v="conventional_cashout_wacls_660"/>
    <x v="700"/>
    <n v="1"/>
    <n v="1"/>
    <n v="-160"/>
    <n v="960"/>
  </r>
  <r>
    <x v="65"/>
    <s v="conventional_cashout_wacls_661"/>
    <x v="701"/>
    <n v="1"/>
    <n v="1"/>
    <n v="-160"/>
    <n v="960"/>
  </r>
  <r>
    <x v="65"/>
    <s v="conventional_cashout_wacls_662"/>
    <x v="702"/>
    <n v="1"/>
    <n v="1"/>
    <n v="-160"/>
    <n v="960"/>
  </r>
  <r>
    <x v="65"/>
    <s v="conventional_cashout_wacls_663"/>
    <x v="703"/>
    <n v="1"/>
    <n v="1"/>
    <n v="-160"/>
    <n v="960"/>
  </r>
  <r>
    <x v="65"/>
    <s v="conventional_cashout_wacls_664"/>
    <x v="704"/>
    <n v="1"/>
    <n v="1"/>
    <n v="-160"/>
    <n v="960"/>
  </r>
  <r>
    <x v="65"/>
    <s v="conventional_cashout_wacls_665"/>
    <x v="705"/>
    <n v="1"/>
    <n v="1"/>
    <n v="-160"/>
    <n v="960"/>
  </r>
  <r>
    <x v="65"/>
    <s v="conventional_cashout_wacls_666"/>
    <x v="706"/>
    <n v="1"/>
    <n v="1"/>
    <n v="-160"/>
    <n v="960"/>
  </r>
  <r>
    <x v="65"/>
    <s v="conventional_cashout_wacls_667"/>
    <x v="707"/>
    <n v="1"/>
    <n v="1"/>
    <n v="-160"/>
    <n v="960"/>
  </r>
  <r>
    <x v="65"/>
    <s v="conventional_cashout_wacls_668"/>
    <x v="708"/>
    <n v="1"/>
    <n v="1"/>
    <n v="-160"/>
    <n v="960"/>
  </r>
  <r>
    <x v="65"/>
    <s v="conventional_cashout_wacls_669"/>
    <x v="709"/>
    <n v="1"/>
    <n v="1"/>
    <n v="-160"/>
    <n v="960"/>
  </r>
  <r>
    <x v="65"/>
    <s v="conventional_cashout_wacls_670"/>
    <x v="710"/>
    <n v="1"/>
    <n v="1"/>
    <n v="-160"/>
    <n v="960"/>
  </r>
  <r>
    <x v="65"/>
    <s v="conventional_cashout_wacls_671"/>
    <x v="711"/>
    <n v="1"/>
    <n v="1"/>
    <n v="-160"/>
    <n v="960"/>
  </r>
  <r>
    <x v="65"/>
    <s v="conventional_cashout_wacls_672"/>
    <x v="712"/>
    <n v="1"/>
    <n v="1"/>
    <n v="-160"/>
    <n v="960"/>
  </r>
  <r>
    <x v="65"/>
    <s v="conventional_cashout_wacls_673"/>
    <x v="713"/>
    <n v="1"/>
    <n v="1"/>
    <n v="-160"/>
    <n v="960"/>
  </r>
  <r>
    <x v="65"/>
    <s v="conventional_cashout_wacls_674"/>
    <x v="714"/>
    <n v="1"/>
    <n v="1"/>
    <n v="-160"/>
    <n v="960"/>
  </r>
  <r>
    <x v="65"/>
    <s v="conventional_cashout_wacls_675"/>
    <x v="715"/>
    <n v="1"/>
    <n v="1"/>
    <n v="-160"/>
    <n v="960"/>
  </r>
  <r>
    <x v="65"/>
    <s v="conventional_cashout_wacls_676"/>
    <x v="716"/>
    <n v="1"/>
    <n v="1"/>
    <n v="-160"/>
    <n v="960"/>
  </r>
  <r>
    <x v="65"/>
    <s v="conventional_cashout_wacls_677"/>
    <x v="717"/>
    <n v="1"/>
    <n v="1"/>
    <n v="-160"/>
    <n v="960"/>
  </r>
  <r>
    <x v="65"/>
    <s v="conventional_cashout_wacls_678"/>
    <x v="718"/>
    <n v="1"/>
    <n v="1"/>
    <n v="-160"/>
    <n v="960"/>
  </r>
  <r>
    <x v="65"/>
    <s v="conventional_cashout_wacls_679"/>
    <x v="719"/>
    <n v="1"/>
    <n v="1"/>
    <n v="-160"/>
    <n v="960"/>
  </r>
  <r>
    <x v="65"/>
    <s v="conventional_cashout_wacls_680"/>
    <x v="720"/>
    <n v="1"/>
    <n v="1"/>
    <n v="-160"/>
    <n v="960"/>
  </r>
  <r>
    <x v="65"/>
    <s v="conventional_cashout_wacls_681"/>
    <x v="721"/>
    <n v="1"/>
    <n v="1"/>
    <n v="-160"/>
    <n v="960"/>
  </r>
  <r>
    <x v="65"/>
    <s v="conventional_cashout_wacls_682"/>
    <x v="722"/>
    <n v="1"/>
    <n v="1"/>
    <n v="-160"/>
    <n v="960"/>
  </r>
  <r>
    <x v="65"/>
    <s v="conventional_cashout_wacls_683"/>
    <x v="723"/>
    <n v="1"/>
    <n v="1"/>
    <n v="-160"/>
    <n v="960"/>
  </r>
  <r>
    <x v="65"/>
    <s v="conventional_cashout_wacls_684"/>
    <x v="724"/>
    <n v="1"/>
    <n v="1"/>
    <n v="-160"/>
    <n v="960"/>
  </r>
  <r>
    <x v="65"/>
    <s v="conventional_cashout_wacls_685"/>
    <x v="725"/>
    <n v="1"/>
    <n v="1"/>
    <n v="-160"/>
    <n v="960"/>
  </r>
  <r>
    <x v="65"/>
    <s v="conventional_cashout_wacls_686"/>
    <x v="726"/>
    <n v="1"/>
    <n v="1"/>
    <n v="-160"/>
    <n v="960"/>
  </r>
  <r>
    <x v="65"/>
    <s v="conventional_cashout_wacls_687"/>
    <x v="727"/>
    <n v="1"/>
    <n v="1"/>
    <n v="-160"/>
    <n v="960"/>
  </r>
  <r>
    <x v="65"/>
    <s v="conventional_cashout_wacls_688"/>
    <x v="728"/>
    <n v="1"/>
    <n v="1"/>
    <n v="-160"/>
    <n v="960"/>
  </r>
  <r>
    <x v="65"/>
    <s v="conventional_cashout_wacls_689"/>
    <x v="729"/>
    <n v="1"/>
    <n v="1"/>
    <n v="-160"/>
    <n v="960"/>
  </r>
  <r>
    <x v="65"/>
    <s v="conventional_cashout_wacls_690"/>
    <x v="730"/>
    <n v="1"/>
    <n v="1"/>
    <n v="-160"/>
    <n v="960"/>
  </r>
  <r>
    <x v="65"/>
    <s v="conventional_cashout_wacls_691"/>
    <x v="731"/>
    <n v="1"/>
    <n v="1"/>
    <n v="-160"/>
    <n v="960"/>
  </r>
  <r>
    <x v="65"/>
    <s v="conventional_cashout_wacls_692"/>
    <x v="732"/>
    <n v="1"/>
    <n v="1"/>
    <n v="-160"/>
    <n v="960"/>
  </r>
  <r>
    <x v="65"/>
    <s v="conventional_cashout_wacls_693"/>
    <x v="733"/>
    <n v="1"/>
    <n v="1"/>
    <n v="-160"/>
    <n v="960"/>
  </r>
  <r>
    <x v="65"/>
    <s v="conventional_cashout_wacls_694"/>
    <x v="734"/>
    <n v="1"/>
    <n v="1"/>
    <n v="-160"/>
    <n v="960"/>
  </r>
  <r>
    <x v="65"/>
    <s v="conventional_cashout_wacls_695"/>
    <x v="735"/>
    <n v="1"/>
    <n v="1"/>
    <n v="-160"/>
    <n v="960"/>
  </r>
  <r>
    <x v="65"/>
    <s v="conventional_cashout_wacls_696"/>
    <x v="736"/>
    <n v="1"/>
    <n v="1"/>
    <n v="-160"/>
    <n v="960"/>
  </r>
  <r>
    <x v="65"/>
    <s v="conventional_cashout_wacls_697"/>
    <x v="737"/>
    <n v="1"/>
    <n v="1"/>
    <n v="-160"/>
    <n v="960"/>
  </r>
  <r>
    <x v="65"/>
    <s v="conventional_cashout_wacls_698"/>
    <x v="738"/>
    <n v="1"/>
    <n v="1"/>
    <n v="-160"/>
    <n v="960"/>
  </r>
  <r>
    <x v="65"/>
    <s v="conventional_cashout_wacls_699"/>
    <x v="739"/>
    <n v="1"/>
    <n v="1"/>
    <n v="-160"/>
    <n v="960"/>
  </r>
  <r>
    <x v="65"/>
    <s v="conventional_cashout_wacls_700"/>
    <x v="740"/>
    <n v="1"/>
    <n v="1"/>
    <n v="-160"/>
    <n v="960"/>
  </r>
  <r>
    <x v="65"/>
    <s v="conventional_cashout_wacls_701"/>
    <x v="741"/>
    <n v="1"/>
    <n v="1"/>
    <n v="-160"/>
    <n v="960"/>
  </r>
  <r>
    <x v="65"/>
    <s v="conventional_cashout_wacls_702"/>
    <x v="742"/>
    <n v="1"/>
    <n v="1"/>
    <n v="-160"/>
    <n v="960"/>
  </r>
  <r>
    <x v="65"/>
    <s v="conventional_cashout_wacls_703"/>
    <x v="743"/>
    <n v="1"/>
    <n v="1"/>
    <n v="-160"/>
    <n v="960"/>
  </r>
  <r>
    <x v="65"/>
    <s v="conventional_cashout_wacls_704"/>
    <x v="744"/>
    <n v="1"/>
    <n v="1"/>
    <n v="-160"/>
    <n v="960"/>
  </r>
  <r>
    <x v="65"/>
    <s v="conventional_cashout_wacls_705"/>
    <x v="745"/>
    <n v="1"/>
    <n v="1"/>
    <n v="-160"/>
    <n v="960"/>
  </r>
  <r>
    <x v="65"/>
    <s v="conventional_cashout_wacls_706"/>
    <x v="746"/>
    <n v="1"/>
    <n v="1"/>
    <n v="-160"/>
    <n v="960"/>
  </r>
  <r>
    <x v="65"/>
    <s v="conventional_cashout_wacls_707"/>
    <x v="747"/>
    <n v="1"/>
    <n v="1"/>
    <n v="-160"/>
    <n v="960"/>
  </r>
  <r>
    <x v="65"/>
    <s v="conventional_cashout_wacls_708"/>
    <x v="748"/>
    <n v="1"/>
    <n v="1"/>
    <n v="-160"/>
    <n v="960"/>
  </r>
  <r>
    <x v="65"/>
    <s v="conventional_cashout_wacls_709"/>
    <x v="749"/>
    <n v="1"/>
    <n v="1"/>
    <n v="-160"/>
    <n v="960"/>
  </r>
  <r>
    <x v="65"/>
    <s v="conventional_cashout_wacls_710"/>
    <x v="750"/>
    <n v="1"/>
    <n v="1"/>
    <n v="-160"/>
    <n v="960"/>
  </r>
  <r>
    <x v="65"/>
    <s v="conventional_cashout_wacls_711"/>
    <x v="751"/>
    <n v="1"/>
    <n v="1"/>
    <n v="-160"/>
    <n v="960"/>
  </r>
  <r>
    <x v="65"/>
    <s v="conventional_cashout_wacls_712"/>
    <x v="752"/>
    <n v="1"/>
    <n v="1"/>
    <n v="-160"/>
    <n v="960"/>
  </r>
  <r>
    <x v="65"/>
    <s v="conventional_cashout_wacls_713"/>
    <x v="753"/>
    <n v="1"/>
    <n v="1"/>
    <n v="-160"/>
    <n v="960"/>
  </r>
  <r>
    <x v="65"/>
    <s v="conventional_cashout_wacls_714"/>
    <x v="754"/>
    <n v="1"/>
    <n v="1"/>
    <n v="-160"/>
    <n v="960"/>
  </r>
  <r>
    <x v="65"/>
    <s v="conventional_cashout_wacls_715"/>
    <x v="755"/>
    <n v="1"/>
    <n v="1"/>
    <n v="-160"/>
    <n v="960"/>
  </r>
  <r>
    <x v="65"/>
    <s v="conventional_cashout_wacls_716"/>
    <x v="756"/>
    <n v="1"/>
    <n v="1"/>
    <n v="-160"/>
    <n v="960"/>
  </r>
  <r>
    <x v="65"/>
    <s v="conventional_cashout_wacls_717"/>
    <x v="757"/>
    <n v="1"/>
    <n v="1"/>
    <n v="-160"/>
    <n v="960"/>
  </r>
  <r>
    <x v="65"/>
    <s v="conventional_cashout_wacls_718"/>
    <x v="758"/>
    <n v="1"/>
    <n v="1"/>
    <n v="-160"/>
    <n v="960"/>
  </r>
  <r>
    <x v="65"/>
    <s v="conventional_cashout_wacls_719"/>
    <x v="759"/>
    <n v="1"/>
    <n v="1"/>
    <n v="-160"/>
    <n v="960"/>
  </r>
  <r>
    <x v="65"/>
    <s v="conventional_cashout_wacls_720"/>
    <x v="760"/>
    <n v="1"/>
    <n v="1"/>
    <n v="-160"/>
    <n v="960"/>
  </r>
  <r>
    <x v="65"/>
    <s v="conventional_cashout_wacls_721"/>
    <x v="761"/>
    <n v="1"/>
    <n v="1"/>
    <n v="-160"/>
    <n v="960"/>
  </r>
  <r>
    <x v="65"/>
    <s v="conventional_cashout_wacls_722"/>
    <x v="762"/>
    <n v="1"/>
    <n v="1"/>
    <n v="-160"/>
    <n v="960"/>
  </r>
  <r>
    <x v="65"/>
    <s v="conventional_cashout_wacls_723"/>
    <x v="763"/>
    <n v="1"/>
    <n v="1"/>
    <n v="-160"/>
    <n v="960"/>
  </r>
  <r>
    <x v="65"/>
    <s v="conventional_cashout_wacls_724"/>
    <x v="764"/>
    <n v="1"/>
    <n v="1"/>
    <n v="-160"/>
    <n v="960"/>
  </r>
  <r>
    <x v="65"/>
    <s v="conventional_cashout_wacls_725"/>
    <x v="765"/>
    <n v="1"/>
    <n v="1"/>
    <n v="-160"/>
    <n v="960"/>
  </r>
  <r>
    <x v="65"/>
    <s v="conventional_cashout_wacls_726"/>
    <x v="766"/>
    <n v="1"/>
    <n v="1"/>
    <n v="-160"/>
    <n v="960"/>
  </r>
  <r>
    <x v="65"/>
    <s v="conventional_cashout_wacls_727"/>
    <x v="767"/>
    <n v="1"/>
    <n v="1"/>
    <n v="-160"/>
    <n v="960"/>
  </r>
  <r>
    <x v="65"/>
    <s v="conventional_cashout_wacls_728"/>
    <x v="768"/>
    <n v="1"/>
    <n v="1"/>
    <n v="-160"/>
    <n v="960"/>
  </r>
  <r>
    <x v="65"/>
    <s v="conventional_cashout_wacls_729"/>
    <x v="769"/>
    <n v="1"/>
    <n v="1"/>
    <n v="-160"/>
    <n v="960"/>
  </r>
  <r>
    <x v="65"/>
    <s v="conventional_cashout_wacls_730"/>
    <x v="770"/>
    <n v="1"/>
    <n v="1"/>
    <n v="-160"/>
    <n v="960"/>
  </r>
  <r>
    <x v="65"/>
    <s v="conventional_cashout_wacls_731"/>
    <x v="771"/>
    <n v="1"/>
    <n v="1"/>
    <n v="-160"/>
    <n v="960"/>
  </r>
  <r>
    <x v="65"/>
    <s v="conventional_cashout_wacls_732"/>
    <x v="772"/>
    <n v="1"/>
    <n v="1"/>
    <n v="-160"/>
    <n v="960"/>
  </r>
  <r>
    <x v="65"/>
    <s v="conventional_cashout_wacls_733"/>
    <x v="773"/>
    <n v="1"/>
    <n v="1"/>
    <n v="-160"/>
    <n v="960"/>
  </r>
  <r>
    <x v="65"/>
    <s v="conventional_cashout_wacls_734"/>
    <x v="774"/>
    <n v="1"/>
    <n v="1"/>
    <n v="-160"/>
    <n v="960"/>
  </r>
  <r>
    <x v="65"/>
    <s v="conventional_cashout_wacls_735"/>
    <x v="775"/>
    <n v="1"/>
    <n v="1"/>
    <n v="-160"/>
    <n v="960"/>
  </r>
  <r>
    <x v="65"/>
    <s v="conventional_cashout_wacls_736"/>
    <x v="776"/>
    <n v="1"/>
    <n v="1"/>
    <n v="-160"/>
    <n v="960"/>
  </r>
  <r>
    <x v="65"/>
    <s v="conventional_cashout_wacls_737"/>
    <x v="777"/>
    <n v="1"/>
    <n v="1"/>
    <n v="-160"/>
    <n v="960"/>
  </r>
  <r>
    <x v="65"/>
    <s v="conventional_cashout_wacls_738"/>
    <x v="778"/>
    <n v="1"/>
    <n v="1"/>
    <n v="-160"/>
    <n v="960"/>
  </r>
  <r>
    <x v="65"/>
    <s v="conventional_cashout_wacls_739"/>
    <x v="779"/>
    <n v="1"/>
    <n v="1"/>
    <n v="-160"/>
    <n v="960"/>
  </r>
  <r>
    <x v="65"/>
    <s v="conventional_cashout_wacls_740"/>
    <x v="780"/>
    <n v="1"/>
    <n v="1"/>
    <n v="-160"/>
    <n v="960"/>
  </r>
  <r>
    <x v="65"/>
    <s v="conventional_cashout_wacls_741"/>
    <x v="781"/>
    <n v="1"/>
    <n v="1"/>
    <n v="-160"/>
    <n v="960"/>
  </r>
  <r>
    <x v="65"/>
    <s v="conventional_cashout_wacls_742"/>
    <x v="782"/>
    <n v="1"/>
    <n v="1"/>
    <n v="-160"/>
    <n v="960"/>
  </r>
  <r>
    <x v="65"/>
    <s v="conventional_cashout_wacls_743"/>
    <x v="783"/>
    <n v="1"/>
    <n v="1"/>
    <n v="-160"/>
    <n v="960"/>
  </r>
  <r>
    <x v="65"/>
    <s v="conventional_cashout_wacls_744"/>
    <x v="784"/>
    <n v="1"/>
    <n v="1"/>
    <n v="-160"/>
    <n v="960"/>
  </r>
  <r>
    <x v="65"/>
    <s v="conventional_cashout_wacls_745"/>
    <x v="785"/>
    <n v="1"/>
    <n v="1"/>
    <n v="-160"/>
    <n v="960"/>
  </r>
  <r>
    <x v="65"/>
    <s v="conventional_cashout_wacls_746"/>
    <x v="786"/>
    <n v="1"/>
    <n v="1"/>
    <n v="-160"/>
    <n v="960"/>
  </r>
  <r>
    <x v="65"/>
    <s v="conventional_cashout_wacls_747"/>
    <x v="787"/>
    <n v="1"/>
    <n v="1"/>
    <n v="-160"/>
    <n v="960"/>
  </r>
  <r>
    <x v="65"/>
    <s v="conventional_cashout_wacls_748"/>
    <x v="788"/>
    <n v="1"/>
    <n v="1"/>
    <n v="-160"/>
    <n v="960"/>
  </r>
  <r>
    <x v="65"/>
    <s v="conventional_cashout_wacls_749"/>
    <x v="789"/>
    <n v="1"/>
    <n v="1"/>
    <n v="-160"/>
    <n v="960"/>
  </r>
  <r>
    <x v="65"/>
    <s v="conventional_cashout_wacls_750"/>
    <x v="790"/>
    <n v="1"/>
    <n v="1"/>
    <n v="-160"/>
    <n v="960"/>
  </r>
  <r>
    <x v="65"/>
    <s v="conventional_cashout_wacls_751"/>
    <x v="791"/>
    <n v="1"/>
    <n v="1"/>
    <n v="-160"/>
    <n v="960"/>
  </r>
  <r>
    <x v="65"/>
    <s v="conventional_cashout_wacls_752"/>
    <x v="792"/>
    <n v="1"/>
    <n v="1"/>
    <n v="-160"/>
    <n v="960"/>
  </r>
  <r>
    <x v="65"/>
    <s v="conventional_cashout_wacls_753"/>
    <x v="793"/>
    <n v="1"/>
    <n v="1"/>
    <n v="-160"/>
    <n v="960"/>
  </r>
  <r>
    <x v="65"/>
    <s v="conventional_cashout_wacls_754"/>
    <x v="794"/>
    <n v="1"/>
    <n v="1"/>
    <n v="-160"/>
    <n v="960"/>
  </r>
  <r>
    <x v="65"/>
    <s v="conventional_cashout_wacls_755"/>
    <x v="795"/>
    <n v="1"/>
    <n v="1"/>
    <n v="-160"/>
    <n v="960"/>
  </r>
  <r>
    <x v="65"/>
    <s v="conventional_cashout_wacls_756"/>
    <x v="796"/>
    <n v="1"/>
    <n v="1"/>
    <n v="-160"/>
    <n v="960"/>
  </r>
  <r>
    <x v="65"/>
    <s v="conventional_cashout_wacls_757"/>
    <x v="797"/>
    <n v="1"/>
    <n v="1"/>
    <n v="-160"/>
    <n v="960"/>
  </r>
  <r>
    <x v="65"/>
    <s v="conventional_cashout_wacls_758"/>
    <x v="798"/>
    <n v="1"/>
    <n v="1"/>
    <n v="-160"/>
    <n v="960"/>
  </r>
  <r>
    <x v="65"/>
    <s v="conventional_cashout_wacls_759"/>
    <x v="799"/>
    <n v="1"/>
    <n v="1"/>
    <n v="-160"/>
    <n v="960"/>
  </r>
  <r>
    <x v="65"/>
    <s v="conventional_cashout_wacls_760"/>
    <x v="800"/>
    <n v="1"/>
    <n v="1"/>
    <n v="-160"/>
    <n v="960"/>
  </r>
  <r>
    <x v="65"/>
    <s v="conventional_cashout_wacls_761"/>
    <x v="801"/>
    <n v="1"/>
    <n v="1"/>
    <n v="-160"/>
    <n v="960"/>
  </r>
  <r>
    <x v="65"/>
    <s v="conventional_cashout_wacls_762"/>
    <x v="802"/>
    <n v="1"/>
    <n v="1"/>
    <n v="-160"/>
    <n v="960"/>
  </r>
  <r>
    <x v="65"/>
    <s v="conventional_cashout_wacls_763"/>
    <x v="803"/>
    <n v="1"/>
    <n v="1"/>
    <n v="-160"/>
    <n v="960"/>
  </r>
  <r>
    <x v="65"/>
    <s v="conventional_cashout_wacls_764"/>
    <x v="804"/>
    <n v="1"/>
    <n v="1"/>
    <n v="-160"/>
    <n v="960"/>
  </r>
  <r>
    <x v="65"/>
    <s v="conventional_cashout_wacls_765"/>
    <x v="805"/>
    <n v="1"/>
    <n v="1"/>
    <n v="-160"/>
    <n v="960"/>
  </r>
  <r>
    <x v="65"/>
    <s v="conventional_cashout_wacls_766"/>
    <x v="806"/>
    <n v="1"/>
    <n v="1"/>
    <n v="-160"/>
    <n v="960"/>
  </r>
  <r>
    <x v="65"/>
    <s v="conventional_cashout_wacls_767"/>
    <x v="807"/>
    <n v="1"/>
    <n v="1"/>
    <n v="-160"/>
    <n v="960"/>
  </r>
  <r>
    <x v="65"/>
    <s v="conventional_cashout_wacls_768"/>
    <x v="808"/>
    <n v="1"/>
    <n v="1"/>
    <n v="-160"/>
    <n v="960"/>
  </r>
  <r>
    <x v="65"/>
    <s v="conventional_cashout_wacls_769"/>
    <x v="809"/>
    <n v="1"/>
    <n v="1"/>
    <n v="-160"/>
    <n v="960"/>
  </r>
  <r>
    <x v="65"/>
    <s v="conventional_cashout_wacls_770"/>
    <x v="810"/>
    <n v="1"/>
    <n v="1"/>
    <n v="-160"/>
    <n v="960"/>
  </r>
  <r>
    <x v="65"/>
    <s v="conventional_cashout_wacls_771"/>
    <x v="811"/>
    <n v="1"/>
    <n v="1"/>
    <n v="-160"/>
    <n v="960"/>
  </r>
  <r>
    <x v="65"/>
    <s v="conventional_cashout_wacls_772"/>
    <x v="812"/>
    <n v="1"/>
    <n v="1"/>
    <n v="-160"/>
    <n v="960"/>
  </r>
  <r>
    <x v="65"/>
    <s v="conventional_cashout_wacls_773"/>
    <x v="813"/>
    <n v="1"/>
    <n v="1"/>
    <n v="-160"/>
    <n v="960"/>
  </r>
  <r>
    <x v="65"/>
    <s v="conventional_cashout_wacls_774"/>
    <x v="814"/>
    <n v="1"/>
    <n v="1"/>
    <n v="-160"/>
    <n v="960"/>
  </r>
  <r>
    <x v="65"/>
    <s v="conventional_cashout_wacls_775"/>
    <x v="815"/>
    <n v="1"/>
    <n v="1"/>
    <n v="-160"/>
    <n v="960"/>
  </r>
  <r>
    <x v="65"/>
    <s v="conventional_cashout_wacls_776"/>
    <x v="816"/>
    <n v="1"/>
    <n v="1"/>
    <n v="-160"/>
    <n v="960"/>
  </r>
  <r>
    <x v="65"/>
    <s v="conventional_cashout_wacls_777"/>
    <x v="817"/>
    <n v="1"/>
    <n v="1"/>
    <n v="-160"/>
    <n v="960"/>
  </r>
  <r>
    <x v="65"/>
    <s v="conventional_cashout_wacls_778"/>
    <x v="818"/>
    <n v="1"/>
    <n v="1"/>
    <n v="-160"/>
    <n v="960"/>
  </r>
  <r>
    <x v="65"/>
    <s v="conventional_cashout_wacls_779"/>
    <x v="819"/>
    <n v="1"/>
    <n v="1"/>
    <n v="-160"/>
    <n v="960"/>
  </r>
  <r>
    <x v="65"/>
    <s v="conventional_cashout_wacls_780"/>
    <x v="820"/>
    <n v="1"/>
    <n v="1"/>
    <n v="-160"/>
    <n v="960"/>
  </r>
  <r>
    <x v="65"/>
    <s v="conventional_cashout_wacls_781"/>
    <x v="821"/>
    <n v="1"/>
    <n v="1"/>
    <n v="-160"/>
    <n v="960"/>
  </r>
  <r>
    <x v="65"/>
    <s v="conventional_cashout_wacls_782"/>
    <x v="822"/>
    <n v="1"/>
    <n v="1"/>
    <n v="-160"/>
    <n v="960"/>
  </r>
  <r>
    <x v="65"/>
    <s v="conventional_cashout_wacls_783"/>
    <x v="823"/>
    <n v="1"/>
    <n v="1"/>
    <n v="-160"/>
    <n v="960"/>
  </r>
  <r>
    <x v="65"/>
    <s v="conventional_cashout_wacls_784"/>
    <x v="824"/>
    <n v="1"/>
    <n v="1"/>
    <n v="-160"/>
    <n v="960"/>
  </r>
  <r>
    <x v="65"/>
    <s v="conventional_cashout_wacls_785"/>
    <x v="825"/>
    <n v="1"/>
    <n v="1"/>
    <n v="-160"/>
    <n v="960"/>
  </r>
  <r>
    <x v="65"/>
    <s v="conventional_cashout_wacls_786"/>
    <x v="826"/>
    <n v="1"/>
    <n v="1"/>
    <n v="-160"/>
    <n v="960"/>
  </r>
  <r>
    <x v="65"/>
    <s v="conventional_cashout_wacls_787"/>
    <x v="827"/>
    <n v="1"/>
    <n v="1"/>
    <n v="-160"/>
    <n v="960"/>
  </r>
  <r>
    <x v="65"/>
    <s v="conventional_cashout_wacls_788"/>
    <x v="828"/>
    <n v="1"/>
    <n v="1"/>
    <n v="-160"/>
    <n v="960"/>
  </r>
  <r>
    <x v="65"/>
    <s v="conventional_cashout_wacls_789"/>
    <x v="829"/>
    <n v="1"/>
    <n v="1"/>
    <n v="-160"/>
    <n v="960"/>
  </r>
  <r>
    <x v="65"/>
    <s v="conventional_cashout_wacls_790"/>
    <x v="830"/>
    <n v="1"/>
    <n v="1"/>
    <n v="-160"/>
    <n v="960"/>
  </r>
  <r>
    <x v="65"/>
    <s v="conventional_cashout_wacls_791"/>
    <x v="831"/>
    <n v="1"/>
    <n v="1"/>
    <n v="-160"/>
    <n v="960"/>
  </r>
  <r>
    <x v="65"/>
    <s v="conventional_cashout_wacls_792"/>
    <x v="832"/>
    <n v="1"/>
    <n v="1"/>
    <n v="-160"/>
    <n v="960"/>
  </r>
  <r>
    <x v="65"/>
    <s v="conventional_cashout_wacls_793"/>
    <x v="833"/>
    <n v="1"/>
    <n v="1"/>
    <n v="-160"/>
    <n v="960"/>
  </r>
  <r>
    <x v="65"/>
    <s v="conventional_cashout_wacls_794"/>
    <x v="834"/>
    <n v="1"/>
    <n v="1"/>
    <n v="-160"/>
    <n v="960"/>
  </r>
  <r>
    <x v="65"/>
    <s v="conventional_cashout_wacls_795"/>
    <x v="835"/>
    <n v="1"/>
    <n v="1"/>
    <n v="-160"/>
    <n v="960"/>
  </r>
  <r>
    <x v="65"/>
    <s v="conventional_cashout_wacls_796"/>
    <x v="836"/>
    <n v="1"/>
    <n v="1"/>
    <n v="-160"/>
    <n v="960"/>
  </r>
  <r>
    <x v="65"/>
    <s v="conventional_cashout_wacls_797"/>
    <x v="837"/>
    <n v="1"/>
    <n v="1"/>
    <n v="-160"/>
    <n v="960"/>
  </r>
  <r>
    <x v="65"/>
    <s v="conventional_cashout_wacls_798"/>
    <x v="838"/>
    <n v="1"/>
    <n v="1"/>
    <n v="-160"/>
    <n v="960"/>
  </r>
  <r>
    <x v="65"/>
    <s v="conventional_cashout_wacls_799"/>
    <x v="839"/>
    <n v="1"/>
    <n v="1"/>
    <n v="-160"/>
    <n v="960"/>
  </r>
  <r>
    <x v="65"/>
    <s v="conventional_cashout_wacls_800"/>
    <x v="840"/>
    <n v="1"/>
    <n v="1"/>
    <n v="-160"/>
    <n v="960"/>
  </r>
  <r>
    <x v="65"/>
    <s v="conventional_cashout_wacls_801"/>
    <x v="841"/>
    <n v="1"/>
    <n v="1"/>
    <n v="-160"/>
    <n v="960"/>
  </r>
  <r>
    <x v="65"/>
    <s v="conventional_cashout_wacls_802"/>
    <x v="842"/>
    <n v="1"/>
    <n v="1"/>
    <n v="-160"/>
    <n v="960"/>
  </r>
  <r>
    <x v="65"/>
    <s v="conventional_cashout_wacls_803"/>
    <x v="843"/>
    <n v="1"/>
    <n v="1"/>
    <n v="-160"/>
    <n v="960"/>
  </r>
  <r>
    <x v="65"/>
    <s v="conventional_cashout_wacls_804"/>
    <x v="844"/>
    <n v="1"/>
    <n v="1"/>
    <n v="-160"/>
    <n v="960"/>
  </r>
  <r>
    <x v="65"/>
    <s v="conventional_cashout_wacls_805"/>
    <x v="845"/>
    <n v="1"/>
    <n v="1"/>
    <n v="-160"/>
    <n v="960"/>
  </r>
  <r>
    <x v="65"/>
    <s v="conventional_cashout_wacls_806"/>
    <x v="846"/>
    <n v="1"/>
    <n v="1"/>
    <n v="-160"/>
    <n v="960"/>
  </r>
  <r>
    <x v="65"/>
    <s v="conventional_cashout_wacls_807"/>
    <x v="847"/>
    <n v="1"/>
    <n v="1"/>
    <n v="-160"/>
    <n v="960"/>
  </r>
  <r>
    <x v="65"/>
    <s v="conventional_cashout_wacls_808"/>
    <x v="848"/>
    <n v="1"/>
    <n v="1"/>
    <n v="-160"/>
    <n v="960"/>
  </r>
  <r>
    <x v="65"/>
    <s v="conventional_cashout_wacls_809"/>
    <x v="849"/>
    <n v="1"/>
    <n v="1"/>
    <n v="-160"/>
    <n v="960"/>
  </r>
  <r>
    <x v="65"/>
    <s v="conventional_cashout_wacls_810"/>
    <x v="850"/>
    <n v="1"/>
    <n v="1"/>
    <n v="-160"/>
    <n v="960"/>
  </r>
  <r>
    <x v="65"/>
    <s v="conventional_cashout_wacls_811"/>
    <x v="851"/>
    <n v="1"/>
    <n v="1"/>
    <n v="-160"/>
    <n v="960"/>
  </r>
  <r>
    <x v="65"/>
    <s v="conventional_cashout_wacls_812"/>
    <x v="852"/>
    <n v="1"/>
    <n v="1"/>
    <n v="-160"/>
    <n v="960"/>
  </r>
  <r>
    <x v="65"/>
    <s v="conventional_cashout_wacls_813"/>
    <x v="853"/>
    <n v="1"/>
    <n v="1"/>
    <n v="-160"/>
    <n v="960"/>
  </r>
  <r>
    <x v="65"/>
    <s v="conventional_cashout_wacls_814"/>
    <x v="854"/>
    <n v="1"/>
    <n v="1"/>
    <n v="-160"/>
    <n v="960"/>
  </r>
  <r>
    <x v="65"/>
    <s v="conventional_cashout_wacls_815"/>
    <x v="855"/>
    <n v="1"/>
    <n v="1"/>
    <n v="-160"/>
    <n v="960"/>
  </r>
  <r>
    <x v="65"/>
    <s v="conventional_cashout_wacls_816"/>
    <x v="856"/>
    <n v="1"/>
    <n v="1"/>
    <n v="-160"/>
    <n v="960"/>
  </r>
  <r>
    <x v="65"/>
    <s v="conventional_cashout_wacls_817"/>
    <x v="857"/>
    <n v="1"/>
    <n v="1"/>
    <n v="-160"/>
    <n v="960"/>
  </r>
  <r>
    <x v="65"/>
    <s v="conventional_cashout_wacls_818"/>
    <x v="858"/>
    <n v="1"/>
    <n v="1"/>
    <n v="-160"/>
    <n v="960"/>
  </r>
  <r>
    <x v="65"/>
    <s v="conventional_cashout_wacls_819"/>
    <x v="859"/>
    <n v="1"/>
    <n v="1"/>
    <n v="-160"/>
    <n v="960"/>
  </r>
  <r>
    <x v="65"/>
    <s v="conventional_cashout_wacls_820"/>
    <x v="860"/>
    <n v="1"/>
    <n v="1"/>
    <n v="-160"/>
    <n v="960"/>
  </r>
  <r>
    <x v="65"/>
    <s v="conventional_cashout_wacls_821"/>
    <x v="861"/>
    <n v="1"/>
    <n v="1"/>
    <n v="-160"/>
    <n v="960"/>
  </r>
  <r>
    <x v="65"/>
    <s v="conventional_cashout_wacls_822"/>
    <x v="862"/>
    <n v="1"/>
    <n v="1"/>
    <n v="-160"/>
    <n v="960"/>
  </r>
  <r>
    <x v="65"/>
    <s v="conventional_cashout_wacls_823"/>
    <x v="863"/>
    <n v="1"/>
    <n v="1"/>
    <n v="-160"/>
    <n v="960"/>
  </r>
  <r>
    <x v="65"/>
    <s v="conventional_cashout_wacls_824"/>
    <x v="864"/>
    <n v="1"/>
    <n v="1"/>
    <n v="-160"/>
    <n v="960"/>
  </r>
  <r>
    <x v="65"/>
    <s v="conventional_cashout_wacls_825"/>
    <x v="865"/>
    <n v="1"/>
    <n v="1"/>
    <n v="-160"/>
    <n v="960"/>
  </r>
  <r>
    <x v="65"/>
    <s v="conventional_cashout_wacls_826"/>
    <x v="866"/>
    <n v="1"/>
    <n v="1"/>
    <n v="-160"/>
    <n v="960"/>
  </r>
  <r>
    <x v="65"/>
    <s v="conventional_cashout_wacls_827"/>
    <x v="867"/>
    <n v="1"/>
    <n v="1"/>
    <n v="-160"/>
    <n v="960"/>
  </r>
  <r>
    <x v="65"/>
    <s v="conventional_cashout_wacls_828"/>
    <x v="868"/>
    <n v="1"/>
    <n v="1"/>
    <n v="-160"/>
    <n v="960"/>
  </r>
  <r>
    <x v="65"/>
    <s v="conventional_cashout_wacls_829"/>
    <x v="869"/>
    <n v="1"/>
    <n v="1"/>
    <n v="-160"/>
    <n v="960"/>
  </r>
  <r>
    <x v="65"/>
    <s v="conventional_cashout_wacls_830"/>
    <x v="870"/>
    <n v="1"/>
    <n v="1"/>
    <n v="-160"/>
    <n v="960"/>
  </r>
  <r>
    <x v="65"/>
    <s v="conventional_cashout_wacls_831"/>
    <x v="871"/>
    <n v="1"/>
    <n v="1"/>
    <n v="-160"/>
    <n v="960"/>
  </r>
  <r>
    <x v="65"/>
    <s v="conventional_cashout_wacls_832"/>
    <x v="872"/>
    <n v="1"/>
    <n v="1"/>
    <n v="-160"/>
    <n v="960"/>
  </r>
  <r>
    <x v="65"/>
    <s v="conventional_cashout_wacls_833"/>
    <x v="873"/>
    <n v="1"/>
    <n v="1"/>
    <n v="-160"/>
    <n v="960"/>
  </r>
  <r>
    <x v="65"/>
    <s v="conventional_cashout_wacls_834"/>
    <x v="874"/>
    <n v="1"/>
    <n v="1"/>
    <n v="-160"/>
    <n v="960"/>
  </r>
  <r>
    <x v="65"/>
    <s v="conventional_cashout_wacls_835"/>
    <x v="875"/>
    <n v="1"/>
    <n v="1"/>
    <n v="-160"/>
    <n v="960"/>
  </r>
  <r>
    <x v="65"/>
    <s v="conventional_cashout_wacls_836"/>
    <x v="876"/>
    <n v="1"/>
    <n v="1"/>
    <n v="-160"/>
    <n v="960"/>
  </r>
  <r>
    <x v="65"/>
    <s v="conventional_cashout_wacls_837"/>
    <x v="877"/>
    <n v="1"/>
    <n v="1"/>
    <n v="-160"/>
    <n v="960"/>
  </r>
  <r>
    <x v="65"/>
    <s v="conventional_cashout_wacls_838"/>
    <x v="878"/>
    <n v="1"/>
    <n v="1"/>
    <n v="-160"/>
    <n v="960"/>
  </r>
  <r>
    <x v="65"/>
    <s v="conventional_cashout_wacls_839"/>
    <x v="879"/>
    <n v="1"/>
    <n v="1"/>
    <n v="-160"/>
    <n v="960"/>
  </r>
  <r>
    <x v="65"/>
    <s v="conventional_cashout_wacls_840"/>
    <x v="880"/>
    <n v="1"/>
    <n v="1"/>
    <n v="-160"/>
    <n v="960"/>
  </r>
  <r>
    <x v="65"/>
    <s v="conventional_cashout_wacls_841"/>
    <x v="881"/>
    <n v="1"/>
    <n v="1"/>
    <n v="-160"/>
    <n v="960"/>
  </r>
  <r>
    <x v="65"/>
    <s v="conventional_cashout_wacls_842"/>
    <x v="882"/>
    <n v="1"/>
    <n v="1"/>
    <n v="-160"/>
    <n v="960"/>
  </r>
  <r>
    <x v="65"/>
    <s v="conventional_cashout_wacls_843"/>
    <x v="883"/>
    <n v="1"/>
    <n v="1"/>
    <n v="-160"/>
    <n v="960"/>
  </r>
  <r>
    <x v="65"/>
    <s v="conventional_cashout_wacls_844"/>
    <x v="884"/>
    <n v="1"/>
    <n v="1"/>
    <n v="-160"/>
    <n v="960"/>
  </r>
  <r>
    <x v="65"/>
    <s v="conventional_cashout_wacls_845"/>
    <x v="885"/>
    <n v="1"/>
    <n v="1"/>
    <n v="-160"/>
    <n v="960"/>
  </r>
  <r>
    <x v="65"/>
    <s v="conventional_cashout_wacls_846"/>
    <x v="886"/>
    <n v="1"/>
    <n v="1"/>
    <n v="-160"/>
    <n v="960"/>
  </r>
  <r>
    <x v="65"/>
    <s v="conventional_cashout_wacls_847"/>
    <x v="887"/>
    <n v="1"/>
    <n v="1"/>
    <n v="-160"/>
    <n v="960"/>
  </r>
  <r>
    <x v="65"/>
    <s v="conventional_cashout_wacls_848"/>
    <x v="888"/>
    <n v="1"/>
    <n v="1"/>
    <n v="-160"/>
    <n v="960"/>
  </r>
  <r>
    <x v="65"/>
    <s v="conventional_cashout_wacls_849"/>
    <x v="889"/>
    <n v="1"/>
    <n v="1"/>
    <n v="-160"/>
    <n v="960"/>
  </r>
  <r>
    <x v="65"/>
    <s v="conventional_cashout_wacls_850"/>
    <x v="890"/>
    <n v="1"/>
    <n v="1"/>
    <n v="-160"/>
    <n v="960"/>
  </r>
  <r>
    <x v="65"/>
    <s v="conventional_cashout_wacls_851"/>
    <x v="891"/>
    <n v="1"/>
    <n v="1"/>
    <n v="-160"/>
    <n v="960"/>
  </r>
  <r>
    <x v="65"/>
    <s v="conventional_cashout_wacls_852"/>
    <x v="892"/>
    <n v="1"/>
    <n v="1"/>
    <n v="-160"/>
    <n v="960"/>
  </r>
  <r>
    <x v="65"/>
    <s v="conventional_cashout_wacls_853"/>
    <x v="893"/>
    <n v="1"/>
    <n v="1"/>
    <n v="-160"/>
    <n v="960"/>
  </r>
  <r>
    <x v="65"/>
    <s v="conventional_cashout_wacls_854"/>
    <x v="894"/>
    <n v="1"/>
    <n v="1"/>
    <n v="-160"/>
    <n v="960"/>
  </r>
  <r>
    <x v="65"/>
    <s v="conventional_cashout_wacls_855"/>
    <x v="895"/>
    <n v="1"/>
    <n v="1"/>
    <n v="-160"/>
    <n v="960"/>
  </r>
  <r>
    <x v="65"/>
    <s v="conventional_cashout_wacls_856"/>
    <x v="896"/>
    <n v="1"/>
    <n v="1"/>
    <n v="-160"/>
    <n v="960"/>
  </r>
  <r>
    <x v="65"/>
    <s v="conventional_cashout_wacls_857"/>
    <x v="897"/>
    <n v="1"/>
    <n v="1"/>
    <n v="-160"/>
    <n v="960"/>
  </r>
  <r>
    <x v="65"/>
    <s v="conventional_cashout_wacls_858"/>
    <x v="898"/>
    <n v="1"/>
    <n v="1"/>
    <n v="-160"/>
    <n v="960"/>
  </r>
  <r>
    <x v="65"/>
    <s v="conventional_cashout_wacls_859"/>
    <x v="899"/>
    <n v="1"/>
    <n v="1"/>
    <n v="-160"/>
    <n v="960"/>
  </r>
  <r>
    <x v="65"/>
    <s v="conventional_cashout_wacls_860"/>
    <x v="900"/>
    <n v="1"/>
    <n v="1"/>
    <n v="-160"/>
    <n v="960"/>
  </r>
  <r>
    <x v="65"/>
    <s v="conventional_cashout_wacls_861"/>
    <x v="901"/>
    <n v="1"/>
    <n v="1"/>
    <n v="-160"/>
    <n v="960"/>
  </r>
  <r>
    <x v="65"/>
    <s v="conventional_cashout_wacls_862"/>
    <x v="902"/>
    <n v="1"/>
    <n v="1"/>
    <n v="-160"/>
    <n v="960"/>
  </r>
  <r>
    <x v="65"/>
    <s v="conventional_cashout_wacls_863"/>
    <x v="903"/>
    <n v="1"/>
    <n v="1"/>
    <n v="-160"/>
    <n v="960"/>
  </r>
  <r>
    <x v="65"/>
    <s v="conventional_cashout_wacls_864"/>
    <x v="904"/>
    <n v="1"/>
    <n v="1"/>
    <n v="-160"/>
    <n v="960"/>
  </r>
  <r>
    <x v="65"/>
    <s v="conventional_cashout_wacls_865"/>
    <x v="905"/>
    <n v="1"/>
    <n v="1"/>
    <n v="-160"/>
    <n v="960"/>
  </r>
  <r>
    <x v="65"/>
    <s v="conventional_cashout_wacls_866"/>
    <x v="906"/>
    <n v="1"/>
    <n v="1"/>
    <n v="-160"/>
    <n v="960"/>
  </r>
  <r>
    <x v="65"/>
    <s v="conventional_cashout_wacls_867"/>
    <x v="907"/>
    <n v="1"/>
    <n v="1"/>
    <n v="-160"/>
    <n v="960"/>
  </r>
  <r>
    <x v="65"/>
    <s v="conventional_cashout_wacls_868"/>
    <x v="908"/>
    <n v="1"/>
    <n v="1"/>
    <n v="-160"/>
    <n v="960"/>
  </r>
  <r>
    <x v="65"/>
    <s v="conventional_cashout_wacls_869"/>
    <x v="909"/>
    <n v="1"/>
    <n v="1"/>
    <n v="-160"/>
    <n v="960"/>
  </r>
  <r>
    <x v="65"/>
    <s v="conventional_cashout_wacls_870"/>
    <x v="910"/>
    <n v="1"/>
    <n v="1"/>
    <n v="-160"/>
    <n v="960"/>
  </r>
  <r>
    <x v="65"/>
    <s v="conventional_cashout_wacls_871"/>
    <x v="911"/>
    <n v="1"/>
    <n v="1"/>
    <n v="-160"/>
    <n v="960"/>
  </r>
  <r>
    <x v="65"/>
    <s v="conventional_cashout_wacls_872"/>
    <x v="912"/>
    <n v="1"/>
    <n v="1"/>
    <n v="-160"/>
    <n v="960"/>
  </r>
  <r>
    <x v="65"/>
    <s v="conventional_cashout_wacls_873"/>
    <x v="913"/>
    <n v="1"/>
    <n v="1"/>
    <n v="-160"/>
    <n v="960"/>
  </r>
  <r>
    <x v="65"/>
    <s v="conventional_cashout_wacls_874"/>
    <x v="914"/>
    <n v="1"/>
    <n v="1"/>
    <n v="-160"/>
    <n v="960"/>
  </r>
  <r>
    <x v="65"/>
    <s v="conventional_cashout_wacls_875"/>
    <x v="915"/>
    <n v="1"/>
    <n v="1"/>
    <n v="-160"/>
    <n v="960"/>
  </r>
  <r>
    <x v="65"/>
    <s v="conventional_cashout_wacls_876"/>
    <x v="916"/>
    <n v="1"/>
    <n v="1"/>
    <n v="-160"/>
    <n v="960"/>
  </r>
  <r>
    <x v="65"/>
    <s v="conventional_cashout_wacls_877"/>
    <x v="917"/>
    <n v="1"/>
    <n v="1"/>
    <n v="-160"/>
    <n v="960"/>
  </r>
  <r>
    <x v="65"/>
    <s v="conventional_cashout_wacls_878"/>
    <x v="918"/>
    <n v="1"/>
    <n v="1"/>
    <n v="-160"/>
    <n v="960"/>
  </r>
  <r>
    <x v="65"/>
    <s v="conventional_cashout_wacls_879"/>
    <x v="919"/>
    <n v="1"/>
    <n v="1"/>
    <n v="-160"/>
    <n v="960"/>
  </r>
  <r>
    <x v="65"/>
    <s v="conventional_cashout_wacls_880"/>
    <x v="920"/>
    <n v="1"/>
    <n v="1"/>
    <n v="-160"/>
    <n v="960"/>
  </r>
  <r>
    <x v="65"/>
    <s v="conventional_cashout_wacls_881"/>
    <x v="921"/>
    <n v="1"/>
    <n v="1"/>
    <n v="-160"/>
    <n v="960"/>
  </r>
  <r>
    <x v="65"/>
    <s v="conventional_cashout_wacls_882"/>
    <x v="922"/>
    <n v="1"/>
    <n v="1"/>
    <n v="-160"/>
    <n v="960"/>
  </r>
  <r>
    <x v="65"/>
    <s v="conventional_cashout_wacls_883"/>
    <x v="923"/>
    <n v="1"/>
    <n v="1"/>
    <n v="-160"/>
    <n v="960"/>
  </r>
  <r>
    <x v="65"/>
    <s v="conventional_cashout_wacls_884"/>
    <x v="924"/>
    <n v="1"/>
    <n v="1"/>
    <n v="-160"/>
    <n v="960"/>
  </r>
  <r>
    <x v="65"/>
    <s v="conventional_cashout_wacls_885"/>
    <x v="925"/>
    <n v="1"/>
    <n v="1"/>
    <n v="-160"/>
    <n v="960"/>
  </r>
  <r>
    <x v="65"/>
    <s v="conventional_cashout_wacls_886"/>
    <x v="926"/>
    <n v="1"/>
    <n v="1"/>
    <n v="-160"/>
    <n v="960"/>
  </r>
  <r>
    <x v="65"/>
    <s v="conventional_cashout_wacls_887"/>
    <x v="927"/>
    <n v="1"/>
    <n v="1"/>
    <n v="-160"/>
    <n v="960"/>
  </r>
  <r>
    <x v="65"/>
    <s v="conventional_cashout_wacls_888"/>
    <x v="928"/>
    <n v="1"/>
    <n v="1"/>
    <n v="-160"/>
    <n v="960"/>
  </r>
  <r>
    <x v="65"/>
    <s v="conventional_cashout_wacls_889"/>
    <x v="929"/>
    <n v="1"/>
    <n v="1"/>
    <n v="-160"/>
    <n v="960"/>
  </r>
  <r>
    <x v="65"/>
    <s v="conventional_cashout_wacls_890"/>
    <x v="930"/>
    <n v="1"/>
    <n v="1"/>
    <n v="-160"/>
    <n v="960"/>
  </r>
  <r>
    <x v="65"/>
    <s v="conventional_cashout_wacls_891"/>
    <x v="931"/>
    <n v="1"/>
    <n v="1"/>
    <n v="-160"/>
    <n v="960"/>
  </r>
  <r>
    <x v="65"/>
    <s v="conventional_cashout_wacls_892"/>
    <x v="932"/>
    <n v="1"/>
    <n v="1"/>
    <n v="-160"/>
    <n v="960"/>
  </r>
  <r>
    <x v="65"/>
    <s v="conventional_cashout_wacls_893"/>
    <x v="933"/>
    <n v="1"/>
    <n v="1"/>
    <n v="-160"/>
    <n v="960"/>
  </r>
  <r>
    <x v="65"/>
    <s v="conventional_cashout_wacls_894"/>
    <x v="934"/>
    <n v="1"/>
    <n v="1"/>
    <n v="-160"/>
    <n v="960"/>
  </r>
  <r>
    <x v="65"/>
    <s v="conventional_cashout_wacls_895"/>
    <x v="935"/>
    <n v="1"/>
    <n v="1"/>
    <n v="-160"/>
    <n v="960"/>
  </r>
  <r>
    <x v="65"/>
    <s v="conventional_cashout_wacls_896"/>
    <x v="936"/>
    <n v="1"/>
    <n v="1"/>
    <n v="-160"/>
    <n v="960"/>
  </r>
  <r>
    <x v="65"/>
    <s v="conventional_cashout_wacls_897"/>
    <x v="937"/>
    <n v="1"/>
    <n v="1"/>
    <n v="-160"/>
    <n v="960"/>
  </r>
  <r>
    <x v="65"/>
    <s v="conventional_cashout_wacls_898"/>
    <x v="938"/>
    <n v="1"/>
    <n v="1"/>
    <n v="-160"/>
    <n v="960"/>
  </r>
  <r>
    <x v="65"/>
    <s v="conventional_cashout_wacls_899"/>
    <x v="939"/>
    <n v="1"/>
    <n v="1"/>
    <n v="-160"/>
    <n v="960"/>
  </r>
  <r>
    <x v="65"/>
    <s v="conventional_cashout_wacls_900"/>
    <x v="940"/>
    <n v="1"/>
    <n v="1"/>
    <n v="-160"/>
    <n v="960"/>
  </r>
  <r>
    <x v="65"/>
    <s v="conventional_cashout_wacls_901"/>
    <x v="941"/>
    <n v="1"/>
    <n v="1"/>
    <n v="-160"/>
    <n v="960"/>
  </r>
  <r>
    <x v="65"/>
    <s v="conventional_cashout_wacls_902"/>
    <x v="942"/>
    <n v="1"/>
    <n v="1"/>
    <n v="-160"/>
    <n v="960"/>
  </r>
  <r>
    <x v="65"/>
    <s v="conventional_cashout_wacls_903"/>
    <x v="943"/>
    <n v="1"/>
    <n v="1"/>
    <n v="-160"/>
    <n v="960"/>
  </r>
  <r>
    <x v="65"/>
    <s v="conventional_cashout_wacls_904"/>
    <x v="944"/>
    <n v="1"/>
    <n v="1"/>
    <n v="-160"/>
    <n v="960"/>
  </r>
  <r>
    <x v="65"/>
    <s v="conventional_cashout_wacls_905"/>
    <x v="945"/>
    <n v="1"/>
    <n v="1"/>
    <n v="-160"/>
    <n v="960"/>
  </r>
  <r>
    <x v="65"/>
    <s v="conventional_cashout_wacls_906"/>
    <x v="946"/>
    <n v="1"/>
    <n v="1"/>
    <n v="-160"/>
    <n v="960"/>
  </r>
  <r>
    <x v="65"/>
    <s v="conventional_cashout_wacls_907"/>
    <x v="947"/>
    <n v="1"/>
    <n v="1"/>
    <n v="-160"/>
    <n v="960"/>
  </r>
  <r>
    <x v="65"/>
    <s v="conventional_cashout_wacls_908"/>
    <x v="948"/>
    <n v="1"/>
    <n v="1"/>
    <n v="-160"/>
    <n v="960"/>
  </r>
  <r>
    <x v="65"/>
    <s v="conventional_cashout_wacls_909"/>
    <x v="949"/>
    <n v="1"/>
    <n v="1"/>
    <n v="-160"/>
    <n v="960"/>
  </r>
  <r>
    <x v="65"/>
    <s v="conventional_cashout_wacls_910"/>
    <x v="950"/>
    <n v="1"/>
    <n v="1"/>
    <n v="-160"/>
    <n v="960"/>
  </r>
  <r>
    <x v="65"/>
    <s v="conventional_cashout_wacls_911"/>
    <x v="951"/>
    <n v="1"/>
    <n v="1"/>
    <n v="-160"/>
    <n v="960"/>
  </r>
  <r>
    <x v="65"/>
    <s v="conventional_cashout_wacls_912"/>
    <x v="952"/>
    <n v="1"/>
    <n v="1"/>
    <n v="-160"/>
    <n v="960"/>
  </r>
  <r>
    <x v="65"/>
    <s v="conventional_cashout_wacls_913"/>
    <x v="953"/>
    <n v="1"/>
    <n v="1"/>
    <n v="-160"/>
    <n v="960"/>
  </r>
  <r>
    <x v="65"/>
    <s v="conventional_cashout_wacls_914"/>
    <x v="954"/>
    <n v="1"/>
    <n v="1"/>
    <n v="-160"/>
    <n v="960"/>
  </r>
  <r>
    <x v="65"/>
    <s v="conventional_cashout_wacls_915"/>
    <x v="955"/>
    <n v="1"/>
    <n v="1"/>
    <n v="-160"/>
    <n v="960"/>
  </r>
  <r>
    <x v="65"/>
    <s v="conventional_cashout_wacls_916"/>
    <x v="956"/>
    <n v="1"/>
    <n v="1"/>
    <n v="-160"/>
    <n v="960"/>
  </r>
  <r>
    <x v="65"/>
    <s v="conventional_cashout_wacls_917"/>
    <x v="957"/>
    <n v="1"/>
    <n v="1"/>
    <n v="-160"/>
    <n v="960"/>
  </r>
  <r>
    <x v="65"/>
    <s v="conventional_cashout_wacls_918"/>
    <x v="958"/>
    <n v="1"/>
    <n v="1"/>
    <n v="-160"/>
    <n v="960"/>
  </r>
  <r>
    <x v="65"/>
    <s v="conventional_cashout_wacls_919"/>
    <x v="959"/>
    <n v="1"/>
    <n v="1"/>
    <n v="-160"/>
    <n v="960"/>
  </r>
  <r>
    <x v="65"/>
    <s v="conventional_cashout_wacls_920"/>
    <x v="960"/>
    <n v="1"/>
    <n v="1"/>
    <n v="-160"/>
    <n v="960"/>
  </r>
  <r>
    <x v="65"/>
    <s v="conventional_cashout_wacls_921"/>
    <x v="961"/>
    <n v="1"/>
    <n v="1"/>
    <n v="-160"/>
    <n v="960"/>
  </r>
  <r>
    <x v="65"/>
    <s v="conventional_cashout_wacls_922"/>
    <x v="962"/>
    <n v="1"/>
    <n v="1"/>
    <n v="-160"/>
    <n v="960"/>
  </r>
  <r>
    <x v="65"/>
    <s v="conventional_cashout_wacls_923"/>
    <x v="963"/>
    <n v="1"/>
    <n v="1"/>
    <n v="-160"/>
    <n v="960"/>
  </r>
  <r>
    <x v="65"/>
    <s v="conventional_cashout_wacls_924"/>
    <x v="964"/>
    <n v="1"/>
    <n v="1"/>
    <n v="-160"/>
    <n v="960"/>
  </r>
  <r>
    <x v="65"/>
    <s v="conventional_cashout_wacls_925"/>
    <x v="965"/>
    <n v="1"/>
    <n v="1"/>
    <n v="-160"/>
    <n v="960"/>
  </r>
  <r>
    <x v="65"/>
    <s v="conventional_cashout_wacls_926"/>
    <x v="966"/>
    <n v="1"/>
    <n v="1"/>
    <n v="-160"/>
    <n v="960"/>
  </r>
  <r>
    <x v="65"/>
    <s v="conventional_cashout_wacls_927"/>
    <x v="967"/>
    <n v="1"/>
    <n v="1"/>
    <n v="-160"/>
    <n v="960"/>
  </r>
  <r>
    <x v="65"/>
    <s v="conventional_cashout_wacls_928"/>
    <x v="968"/>
    <n v="1"/>
    <n v="1"/>
    <n v="-160"/>
    <n v="960"/>
  </r>
  <r>
    <x v="65"/>
    <s v="conventional_cashout_wacls_929"/>
    <x v="969"/>
    <n v="1"/>
    <n v="1"/>
    <n v="-160"/>
    <n v="960"/>
  </r>
  <r>
    <x v="65"/>
    <s v="conventional_cashout_wacls_930"/>
    <x v="970"/>
    <n v="1"/>
    <n v="1"/>
    <n v="-160"/>
    <n v="960"/>
  </r>
  <r>
    <x v="65"/>
    <s v="conventional_cashout_wacls_931"/>
    <x v="971"/>
    <n v="1"/>
    <n v="1"/>
    <n v="-160"/>
    <n v="960"/>
  </r>
  <r>
    <x v="65"/>
    <s v="conventional_cashout_wacls_932"/>
    <x v="972"/>
    <n v="1"/>
    <n v="1"/>
    <n v="-160"/>
    <n v="960"/>
  </r>
  <r>
    <x v="65"/>
    <s v="conventional_cashout_wacls_933"/>
    <x v="973"/>
    <n v="1"/>
    <n v="1"/>
    <n v="-160"/>
    <n v="960"/>
  </r>
  <r>
    <x v="65"/>
    <s v="conventional_cashout_wacls_934"/>
    <x v="974"/>
    <n v="1"/>
    <n v="1"/>
    <n v="-160"/>
    <n v="960"/>
  </r>
  <r>
    <x v="65"/>
    <s v="conventional_cashout_wacls_935"/>
    <x v="975"/>
    <n v="1"/>
    <n v="1"/>
    <n v="-160"/>
    <n v="960"/>
  </r>
  <r>
    <x v="65"/>
    <s v="conventional_cashout_wacls_936"/>
    <x v="976"/>
    <n v="1"/>
    <n v="1"/>
    <n v="-160"/>
    <n v="960"/>
  </r>
  <r>
    <x v="65"/>
    <s v="conventional_cashout_wacls_937"/>
    <x v="977"/>
    <n v="1"/>
    <n v="1"/>
    <n v="-160"/>
    <n v="960"/>
  </r>
  <r>
    <x v="65"/>
    <s v="conventional_cashout_wacls_938"/>
    <x v="978"/>
    <n v="1"/>
    <n v="1"/>
    <n v="-160"/>
    <n v="960"/>
  </r>
  <r>
    <x v="65"/>
    <s v="conventional_cashout_wacls_939"/>
    <x v="979"/>
    <n v="1"/>
    <n v="1"/>
    <n v="-160"/>
    <n v="960"/>
  </r>
  <r>
    <x v="65"/>
    <s v="conventional_cashout_wacls_940"/>
    <x v="980"/>
    <n v="1"/>
    <n v="1"/>
    <n v="-160"/>
    <n v="960"/>
  </r>
  <r>
    <x v="65"/>
    <s v="conventional_cashout_wacls_941"/>
    <x v="1879"/>
    <n v="1"/>
    <n v="1"/>
    <n v="-160"/>
    <n v="960"/>
  </r>
  <r>
    <x v="65"/>
    <s v="conventional_cashout_wacls_942"/>
    <x v="1880"/>
    <n v="1"/>
    <n v="1"/>
    <n v="-160"/>
    <n v="960"/>
  </r>
  <r>
    <x v="65"/>
    <s v="conventional_cashout_wacls_943"/>
    <x v="1881"/>
    <n v="1"/>
    <n v="1"/>
    <n v="-160"/>
    <n v="960"/>
  </r>
  <r>
    <x v="65"/>
    <s v="conventional_cashout_wacls_944"/>
    <x v="1882"/>
    <n v="1"/>
    <n v="1"/>
    <n v="-160"/>
    <n v="960"/>
  </r>
  <r>
    <x v="65"/>
    <s v="conventional_cashout_wacls_945"/>
    <x v="1883"/>
    <n v="1"/>
    <n v="1"/>
    <n v="-160"/>
    <n v="960"/>
  </r>
  <r>
    <x v="65"/>
    <s v="conventional_cashout_wacls_946"/>
    <x v="1884"/>
    <n v="1"/>
    <n v="1"/>
    <n v="-160"/>
    <n v="960"/>
  </r>
  <r>
    <x v="65"/>
    <s v="conventional_cashout_wacls_947"/>
    <x v="1885"/>
    <n v="1"/>
    <n v="1"/>
    <n v="-160"/>
    <n v="960"/>
  </r>
  <r>
    <x v="65"/>
    <s v="conventional_cashout_wacls_948"/>
    <x v="1886"/>
    <n v="1"/>
    <n v="1"/>
    <n v="-160"/>
    <n v="960"/>
  </r>
  <r>
    <x v="65"/>
    <s v="conventional_cashout_wacls_949"/>
    <x v="1887"/>
    <n v="1"/>
    <n v="1"/>
    <n v="-160"/>
    <n v="960"/>
  </r>
  <r>
    <x v="65"/>
    <s v="conventional_cashout_wacls_950"/>
    <x v="1888"/>
    <n v="1"/>
    <n v="1"/>
    <n v="-160"/>
    <n v="960"/>
  </r>
  <r>
    <x v="65"/>
    <s v="conventional_cashout_wacls_951"/>
    <x v="1889"/>
    <n v="1"/>
    <n v="1"/>
    <n v="-160"/>
    <n v="960"/>
  </r>
  <r>
    <x v="65"/>
    <s v="conventional_cashout_wacls_952"/>
    <x v="1890"/>
    <n v="1"/>
    <n v="1"/>
    <n v="-160"/>
    <n v="960"/>
  </r>
  <r>
    <x v="65"/>
    <s v="conventional_cashout_wacls_953"/>
    <x v="1891"/>
    <n v="1"/>
    <n v="1"/>
    <n v="-160"/>
    <n v="960"/>
  </r>
  <r>
    <x v="65"/>
    <s v="conventional_cashout_wacls_954"/>
    <x v="1892"/>
    <n v="1"/>
    <n v="1"/>
    <n v="-160"/>
    <n v="960"/>
  </r>
  <r>
    <x v="65"/>
    <s v="conventional_cashout_wacls_955"/>
    <x v="1893"/>
    <n v="1"/>
    <n v="1"/>
    <n v="-160"/>
    <n v="960"/>
  </r>
  <r>
    <x v="65"/>
    <s v="conventional_cashout_wacls_956"/>
    <x v="1894"/>
    <n v="1"/>
    <n v="1"/>
    <n v="-160"/>
    <n v="960"/>
  </r>
  <r>
    <x v="65"/>
    <s v="conventional_cashout_wacls_957"/>
    <x v="1895"/>
    <n v="1"/>
    <n v="1"/>
    <n v="-160"/>
    <n v="960"/>
  </r>
  <r>
    <x v="65"/>
    <s v="conventional_cashout_wacls_958"/>
    <x v="1896"/>
    <n v="1"/>
    <n v="1"/>
    <n v="-160"/>
    <n v="960"/>
  </r>
  <r>
    <x v="65"/>
    <s v="conventional_cashout_wacls_959"/>
    <x v="1897"/>
    <n v="1"/>
    <n v="1"/>
    <n v="-160"/>
    <n v="960"/>
  </r>
  <r>
    <x v="65"/>
    <s v="conventional_cashout_wacls_960"/>
    <x v="1898"/>
    <n v="1"/>
    <n v="1"/>
    <n v="-160"/>
    <n v="960"/>
  </r>
  <r>
    <x v="66"/>
    <s v="conventional_cashout_fico_564"/>
    <x v="604"/>
    <n v="1.224"/>
    <n v="1"/>
    <n v="564"/>
    <n v="816"/>
  </r>
  <r>
    <x v="66"/>
    <s v="conventional_cashout_fico_565"/>
    <x v="605"/>
    <n v="1.224"/>
    <n v="1"/>
    <n v="564"/>
    <n v="816"/>
  </r>
  <r>
    <x v="66"/>
    <s v="conventional_cashout_fico_566"/>
    <x v="606"/>
    <n v="1.224"/>
    <n v="1"/>
    <n v="564"/>
    <n v="816"/>
  </r>
  <r>
    <x v="66"/>
    <s v="conventional_cashout_fico_567"/>
    <x v="607"/>
    <n v="1.224"/>
    <n v="1"/>
    <n v="564"/>
    <n v="816"/>
  </r>
  <r>
    <x v="66"/>
    <s v="conventional_cashout_fico_568"/>
    <x v="608"/>
    <n v="1.224"/>
    <n v="1"/>
    <n v="564"/>
    <n v="816"/>
  </r>
  <r>
    <x v="66"/>
    <s v="conventional_cashout_fico_569"/>
    <x v="609"/>
    <n v="1.224"/>
    <n v="1"/>
    <n v="564"/>
    <n v="816"/>
  </r>
  <r>
    <x v="66"/>
    <s v="conventional_cashout_fico_570"/>
    <x v="610"/>
    <n v="1.224"/>
    <n v="1"/>
    <n v="564"/>
    <n v="816"/>
  </r>
  <r>
    <x v="66"/>
    <s v="conventional_cashout_fico_571"/>
    <x v="611"/>
    <n v="1.224"/>
    <n v="1"/>
    <n v="564"/>
    <n v="816"/>
  </r>
  <r>
    <x v="66"/>
    <s v="conventional_cashout_fico_572"/>
    <x v="612"/>
    <n v="1.224"/>
    <n v="1"/>
    <n v="564"/>
    <n v="816"/>
  </r>
  <r>
    <x v="66"/>
    <s v="conventional_cashout_fico_573"/>
    <x v="613"/>
    <n v="1.224"/>
    <n v="1"/>
    <n v="564"/>
    <n v="816"/>
  </r>
  <r>
    <x v="66"/>
    <s v="conventional_cashout_fico_574"/>
    <x v="614"/>
    <n v="1.224"/>
    <n v="1"/>
    <n v="564"/>
    <n v="816"/>
  </r>
  <r>
    <x v="66"/>
    <s v="conventional_cashout_fico_575"/>
    <x v="615"/>
    <n v="1.224"/>
    <n v="1"/>
    <n v="564"/>
    <n v="816"/>
  </r>
  <r>
    <x v="66"/>
    <s v="conventional_cashout_fico_576"/>
    <x v="616"/>
    <n v="1.224"/>
    <n v="1"/>
    <n v="564"/>
    <n v="816"/>
  </r>
  <r>
    <x v="66"/>
    <s v="conventional_cashout_fico_577"/>
    <x v="617"/>
    <n v="1.224"/>
    <n v="1"/>
    <n v="564"/>
    <n v="816"/>
  </r>
  <r>
    <x v="66"/>
    <s v="conventional_cashout_fico_578"/>
    <x v="618"/>
    <n v="1.224"/>
    <n v="1"/>
    <n v="564"/>
    <n v="816"/>
  </r>
  <r>
    <x v="66"/>
    <s v="conventional_cashout_fico_579"/>
    <x v="619"/>
    <n v="1.224"/>
    <n v="1"/>
    <n v="564"/>
    <n v="816"/>
  </r>
  <r>
    <x v="66"/>
    <s v="conventional_cashout_fico_580"/>
    <x v="620"/>
    <n v="1.224"/>
    <n v="1"/>
    <n v="564"/>
    <n v="816"/>
  </r>
  <r>
    <x v="66"/>
    <s v="conventional_cashout_fico_581"/>
    <x v="621"/>
    <n v="1.224"/>
    <n v="1"/>
    <n v="564"/>
    <n v="816"/>
  </r>
  <r>
    <x v="66"/>
    <s v="conventional_cashout_fico_582"/>
    <x v="622"/>
    <n v="1.224"/>
    <n v="1"/>
    <n v="564"/>
    <n v="816"/>
  </r>
  <r>
    <x v="66"/>
    <s v="conventional_cashout_fico_583"/>
    <x v="623"/>
    <n v="1.224"/>
    <n v="1"/>
    <n v="564"/>
    <n v="816"/>
  </r>
  <r>
    <x v="66"/>
    <s v="conventional_cashout_fico_584"/>
    <x v="624"/>
    <n v="1.224"/>
    <n v="1"/>
    <n v="564"/>
    <n v="816"/>
  </r>
  <r>
    <x v="66"/>
    <s v="conventional_cashout_fico_585"/>
    <x v="625"/>
    <n v="1.224"/>
    <n v="1"/>
    <n v="564"/>
    <n v="816"/>
  </r>
  <r>
    <x v="66"/>
    <s v="conventional_cashout_fico_586"/>
    <x v="626"/>
    <n v="1.224"/>
    <n v="1"/>
    <n v="564"/>
    <n v="816"/>
  </r>
  <r>
    <x v="66"/>
    <s v="conventional_cashout_fico_587"/>
    <x v="627"/>
    <n v="1.224"/>
    <n v="1"/>
    <n v="564"/>
    <n v="816"/>
  </r>
  <r>
    <x v="66"/>
    <s v="conventional_cashout_fico_588"/>
    <x v="628"/>
    <n v="1.224"/>
    <n v="1"/>
    <n v="564"/>
    <n v="816"/>
  </r>
  <r>
    <x v="66"/>
    <s v="conventional_cashout_fico_589"/>
    <x v="629"/>
    <n v="1.224"/>
    <n v="1"/>
    <n v="564"/>
    <n v="816"/>
  </r>
  <r>
    <x v="66"/>
    <s v="conventional_cashout_fico_590"/>
    <x v="630"/>
    <n v="1.224"/>
    <n v="1"/>
    <n v="564"/>
    <n v="816"/>
  </r>
  <r>
    <x v="66"/>
    <s v="conventional_cashout_fico_591"/>
    <x v="631"/>
    <n v="1.224"/>
    <n v="1"/>
    <n v="564"/>
    <n v="816"/>
  </r>
  <r>
    <x v="66"/>
    <s v="conventional_cashout_fico_592"/>
    <x v="632"/>
    <n v="1.224"/>
    <n v="1"/>
    <n v="564"/>
    <n v="816"/>
  </r>
  <r>
    <x v="66"/>
    <s v="conventional_cashout_fico_593"/>
    <x v="633"/>
    <n v="1.224"/>
    <n v="1"/>
    <n v="564"/>
    <n v="816"/>
  </r>
  <r>
    <x v="66"/>
    <s v="conventional_cashout_fico_594"/>
    <x v="634"/>
    <n v="1.224"/>
    <n v="1"/>
    <n v="564"/>
    <n v="816"/>
  </r>
  <r>
    <x v="66"/>
    <s v="conventional_cashout_fico_595"/>
    <x v="635"/>
    <n v="1.224"/>
    <n v="1"/>
    <n v="564"/>
    <n v="816"/>
  </r>
  <r>
    <x v="66"/>
    <s v="conventional_cashout_fico_596"/>
    <x v="636"/>
    <n v="1.224"/>
    <n v="1"/>
    <n v="564"/>
    <n v="816"/>
  </r>
  <r>
    <x v="66"/>
    <s v="conventional_cashout_fico_597"/>
    <x v="637"/>
    <n v="1.224"/>
    <n v="1"/>
    <n v="564"/>
    <n v="816"/>
  </r>
  <r>
    <x v="66"/>
    <s v="conventional_cashout_fico_598"/>
    <x v="638"/>
    <n v="1.224"/>
    <n v="1"/>
    <n v="564"/>
    <n v="816"/>
  </r>
  <r>
    <x v="66"/>
    <s v="conventional_cashout_fico_599"/>
    <x v="639"/>
    <n v="1.224"/>
    <n v="1"/>
    <n v="564"/>
    <n v="816"/>
  </r>
  <r>
    <x v="66"/>
    <s v="conventional_cashout_fico_600"/>
    <x v="640"/>
    <n v="1.224"/>
    <n v="1"/>
    <n v="564"/>
    <n v="816"/>
  </r>
  <r>
    <x v="66"/>
    <s v="conventional_cashout_fico_601"/>
    <x v="641"/>
    <n v="1.224"/>
    <n v="1"/>
    <n v="564"/>
    <n v="816"/>
  </r>
  <r>
    <x v="66"/>
    <s v="conventional_cashout_fico_602"/>
    <x v="642"/>
    <n v="1.224"/>
    <n v="1"/>
    <n v="564"/>
    <n v="816"/>
  </r>
  <r>
    <x v="66"/>
    <s v="conventional_cashout_fico_603"/>
    <x v="643"/>
    <n v="1.224"/>
    <n v="1"/>
    <n v="564"/>
    <n v="816"/>
  </r>
  <r>
    <x v="66"/>
    <s v="conventional_cashout_fico_604"/>
    <x v="644"/>
    <n v="1.224"/>
    <n v="1"/>
    <n v="564"/>
    <n v="816"/>
  </r>
  <r>
    <x v="66"/>
    <s v="conventional_cashout_fico_605"/>
    <x v="645"/>
    <n v="1.224"/>
    <n v="1"/>
    <n v="564"/>
    <n v="816"/>
  </r>
  <r>
    <x v="66"/>
    <s v="conventional_cashout_fico_606"/>
    <x v="646"/>
    <n v="1.224"/>
    <n v="1"/>
    <n v="564"/>
    <n v="816"/>
  </r>
  <r>
    <x v="66"/>
    <s v="conventional_cashout_fico_607"/>
    <x v="647"/>
    <n v="1.224"/>
    <n v="1"/>
    <n v="564"/>
    <n v="816"/>
  </r>
  <r>
    <x v="66"/>
    <s v="conventional_cashout_fico_608"/>
    <x v="648"/>
    <n v="1.224"/>
    <n v="1"/>
    <n v="564"/>
    <n v="816"/>
  </r>
  <r>
    <x v="66"/>
    <s v="conventional_cashout_fico_609"/>
    <x v="649"/>
    <n v="1.224"/>
    <n v="1"/>
    <n v="564"/>
    <n v="816"/>
  </r>
  <r>
    <x v="66"/>
    <s v="conventional_cashout_fico_610"/>
    <x v="650"/>
    <n v="1.224"/>
    <n v="1"/>
    <n v="564"/>
    <n v="816"/>
  </r>
  <r>
    <x v="66"/>
    <s v="conventional_cashout_fico_611"/>
    <x v="651"/>
    <n v="1.224"/>
    <n v="1"/>
    <n v="564"/>
    <n v="816"/>
  </r>
  <r>
    <x v="66"/>
    <s v="conventional_cashout_fico_612"/>
    <x v="652"/>
    <n v="1.224"/>
    <n v="1"/>
    <n v="564"/>
    <n v="816"/>
  </r>
  <r>
    <x v="66"/>
    <s v="conventional_cashout_fico_613"/>
    <x v="653"/>
    <n v="1.224"/>
    <n v="1"/>
    <n v="564"/>
    <n v="816"/>
  </r>
  <r>
    <x v="66"/>
    <s v="conventional_cashout_fico_614"/>
    <x v="654"/>
    <n v="1.224"/>
    <n v="1"/>
    <n v="564"/>
    <n v="816"/>
  </r>
  <r>
    <x v="66"/>
    <s v="conventional_cashout_fico_615"/>
    <x v="655"/>
    <n v="1.224"/>
    <n v="1"/>
    <n v="564"/>
    <n v="816"/>
  </r>
  <r>
    <x v="66"/>
    <s v="conventional_cashout_fico_616"/>
    <x v="656"/>
    <n v="1.224"/>
    <n v="1"/>
    <n v="564"/>
    <n v="816"/>
  </r>
  <r>
    <x v="66"/>
    <s v="conventional_cashout_fico_617"/>
    <x v="657"/>
    <n v="1.224"/>
    <n v="1"/>
    <n v="564"/>
    <n v="816"/>
  </r>
  <r>
    <x v="66"/>
    <s v="conventional_cashout_fico_618"/>
    <x v="658"/>
    <n v="1.224"/>
    <n v="1"/>
    <n v="564"/>
    <n v="816"/>
  </r>
  <r>
    <x v="66"/>
    <s v="conventional_cashout_fico_619"/>
    <x v="659"/>
    <n v="1.224"/>
    <n v="1"/>
    <n v="564"/>
    <n v="816"/>
  </r>
  <r>
    <x v="66"/>
    <s v="conventional_cashout_fico_620"/>
    <x v="660"/>
    <n v="1.224"/>
    <n v="1"/>
    <n v="564"/>
    <n v="816"/>
  </r>
  <r>
    <x v="66"/>
    <s v="conventional_cashout_fico_621"/>
    <x v="661"/>
    <n v="1.224"/>
    <n v="1"/>
    <n v="564"/>
    <n v="816"/>
  </r>
  <r>
    <x v="66"/>
    <s v="conventional_cashout_fico_622"/>
    <x v="662"/>
    <n v="1.224"/>
    <n v="1"/>
    <n v="564"/>
    <n v="816"/>
  </r>
  <r>
    <x v="66"/>
    <s v="conventional_cashout_fico_623"/>
    <x v="663"/>
    <n v="1.224"/>
    <n v="1"/>
    <n v="564"/>
    <n v="816"/>
  </r>
  <r>
    <x v="66"/>
    <s v="conventional_cashout_fico_624"/>
    <x v="664"/>
    <n v="1.224"/>
    <n v="1"/>
    <n v="564"/>
    <n v="816"/>
  </r>
  <r>
    <x v="66"/>
    <s v="conventional_cashout_fico_625"/>
    <x v="665"/>
    <n v="1.224"/>
    <n v="1"/>
    <n v="564"/>
    <n v="816"/>
  </r>
  <r>
    <x v="66"/>
    <s v="conventional_cashout_fico_626"/>
    <x v="666"/>
    <n v="1.224"/>
    <n v="1"/>
    <n v="564"/>
    <n v="816"/>
  </r>
  <r>
    <x v="66"/>
    <s v="conventional_cashout_fico_627"/>
    <x v="667"/>
    <n v="1.224"/>
    <n v="1"/>
    <n v="564"/>
    <n v="816"/>
  </r>
  <r>
    <x v="66"/>
    <s v="conventional_cashout_fico_628"/>
    <x v="668"/>
    <n v="1.224"/>
    <n v="1"/>
    <n v="564"/>
    <n v="816"/>
  </r>
  <r>
    <x v="66"/>
    <s v="conventional_cashout_fico_629"/>
    <x v="669"/>
    <n v="1.224"/>
    <n v="1"/>
    <n v="564"/>
    <n v="816"/>
  </r>
  <r>
    <x v="66"/>
    <s v="conventional_cashout_fico_630"/>
    <x v="670"/>
    <n v="1.224"/>
    <n v="1"/>
    <n v="564"/>
    <n v="816"/>
  </r>
  <r>
    <x v="66"/>
    <s v="conventional_cashout_fico_631"/>
    <x v="671"/>
    <n v="1.224"/>
    <n v="1"/>
    <n v="564"/>
    <n v="816"/>
  </r>
  <r>
    <x v="66"/>
    <s v="conventional_cashout_fico_632"/>
    <x v="672"/>
    <n v="1.224"/>
    <n v="1"/>
    <n v="564"/>
    <n v="816"/>
  </r>
  <r>
    <x v="66"/>
    <s v="conventional_cashout_fico_633"/>
    <x v="673"/>
    <n v="1.224"/>
    <n v="1"/>
    <n v="564"/>
    <n v="816"/>
  </r>
  <r>
    <x v="66"/>
    <s v="conventional_cashout_fico_634"/>
    <x v="674"/>
    <n v="1.224"/>
    <n v="1"/>
    <n v="564"/>
    <n v="816"/>
  </r>
  <r>
    <x v="66"/>
    <s v="conventional_cashout_fico_635"/>
    <x v="675"/>
    <n v="1.224"/>
    <n v="1"/>
    <n v="564"/>
    <n v="816"/>
  </r>
  <r>
    <x v="66"/>
    <s v="conventional_cashout_fico_636"/>
    <x v="676"/>
    <n v="1.224"/>
    <n v="1"/>
    <n v="564"/>
    <n v="816"/>
  </r>
  <r>
    <x v="66"/>
    <s v="conventional_cashout_fico_637"/>
    <x v="677"/>
    <n v="1.224"/>
    <n v="1"/>
    <n v="564"/>
    <n v="816"/>
  </r>
  <r>
    <x v="66"/>
    <s v="conventional_cashout_fico_638"/>
    <x v="678"/>
    <n v="1.224"/>
    <n v="1"/>
    <n v="564"/>
    <n v="816"/>
  </r>
  <r>
    <x v="66"/>
    <s v="conventional_cashout_fico_639"/>
    <x v="679"/>
    <n v="1.224"/>
    <n v="1"/>
    <n v="564"/>
    <n v="816"/>
  </r>
  <r>
    <x v="66"/>
    <s v="conventional_cashout_fico_640"/>
    <x v="680"/>
    <n v="1.224"/>
    <n v="1"/>
    <n v="564"/>
    <n v="816"/>
  </r>
  <r>
    <x v="66"/>
    <s v="conventional_cashout_fico_641"/>
    <x v="681"/>
    <n v="1.224"/>
    <n v="1"/>
    <n v="564"/>
    <n v="816"/>
  </r>
  <r>
    <x v="66"/>
    <s v="conventional_cashout_fico_642"/>
    <x v="682"/>
    <n v="1.224"/>
    <n v="1"/>
    <n v="564"/>
    <n v="816"/>
  </r>
  <r>
    <x v="66"/>
    <s v="conventional_cashout_fico_643"/>
    <x v="683"/>
    <n v="1.224"/>
    <n v="1"/>
    <n v="564"/>
    <n v="816"/>
  </r>
  <r>
    <x v="66"/>
    <s v="conventional_cashout_fico_644"/>
    <x v="684"/>
    <n v="1.224"/>
    <n v="1"/>
    <n v="564"/>
    <n v="816"/>
  </r>
  <r>
    <x v="66"/>
    <s v="conventional_cashout_fico_645"/>
    <x v="685"/>
    <n v="1.224"/>
    <n v="1"/>
    <n v="564"/>
    <n v="816"/>
  </r>
  <r>
    <x v="66"/>
    <s v="conventional_cashout_fico_646"/>
    <x v="686"/>
    <n v="1.224"/>
    <n v="1"/>
    <n v="564"/>
    <n v="816"/>
  </r>
  <r>
    <x v="66"/>
    <s v="conventional_cashout_fico_647"/>
    <x v="687"/>
    <n v="1.224"/>
    <n v="1"/>
    <n v="564"/>
    <n v="816"/>
  </r>
  <r>
    <x v="66"/>
    <s v="conventional_cashout_fico_648"/>
    <x v="688"/>
    <n v="1.224"/>
    <n v="1"/>
    <n v="564"/>
    <n v="816"/>
  </r>
  <r>
    <x v="66"/>
    <s v="conventional_cashout_fico_649"/>
    <x v="689"/>
    <n v="1.224"/>
    <n v="1"/>
    <n v="564"/>
    <n v="816"/>
  </r>
  <r>
    <x v="66"/>
    <s v="conventional_cashout_fico_650"/>
    <x v="690"/>
    <n v="1.224"/>
    <n v="1"/>
    <n v="564"/>
    <n v="816"/>
  </r>
  <r>
    <x v="66"/>
    <s v="conventional_cashout_fico_651"/>
    <x v="691"/>
    <n v="1.224"/>
    <n v="1"/>
    <n v="564"/>
    <n v="816"/>
  </r>
  <r>
    <x v="66"/>
    <s v="conventional_cashout_fico_652"/>
    <x v="692"/>
    <n v="1.224"/>
    <n v="1"/>
    <n v="564"/>
    <n v="816"/>
  </r>
  <r>
    <x v="66"/>
    <s v="conventional_cashout_fico_653"/>
    <x v="693"/>
    <n v="1.224"/>
    <n v="1"/>
    <n v="564"/>
    <n v="816"/>
  </r>
  <r>
    <x v="66"/>
    <s v="conventional_cashout_fico_654"/>
    <x v="694"/>
    <n v="1.224"/>
    <n v="1"/>
    <n v="564"/>
    <n v="816"/>
  </r>
  <r>
    <x v="66"/>
    <s v="conventional_cashout_fico_655"/>
    <x v="695"/>
    <n v="1.224"/>
    <n v="1"/>
    <n v="564"/>
    <n v="816"/>
  </r>
  <r>
    <x v="66"/>
    <s v="conventional_cashout_fico_656"/>
    <x v="696"/>
    <n v="1.224"/>
    <n v="1"/>
    <n v="564"/>
    <n v="816"/>
  </r>
  <r>
    <x v="66"/>
    <s v="conventional_cashout_fico_657"/>
    <x v="697"/>
    <n v="1.224"/>
    <n v="1"/>
    <n v="564"/>
    <n v="816"/>
  </r>
  <r>
    <x v="66"/>
    <s v="conventional_cashout_fico_658"/>
    <x v="698"/>
    <n v="1.224"/>
    <n v="1"/>
    <n v="564"/>
    <n v="816"/>
  </r>
  <r>
    <x v="66"/>
    <s v="conventional_cashout_fico_659"/>
    <x v="699"/>
    <n v="1.224"/>
    <n v="1"/>
    <n v="564"/>
    <n v="816"/>
  </r>
  <r>
    <x v="66"/>
    <s v="conventional_cashout_fico_660"/>
    <x v="700"/>
    <n v="1.224"/>
    <n v="1"/>
    <n v="564"/>
    <n v="816"/>
  </r>
  <r>
    <x v="66"/>
    <s v="conventional_cashout_fico_661"/>
    <x v="701"/>
    <n v="1.224"/>
    <n v="1"/>
    <n v="564"/>
    <n v="816"/>
  </r>
  <r>
    <x v="66"/>
    <s v="conventional_cashout_fico_662"/>
    <x v="702"/>
    <n v="1.224"/>
    <n v="1"/>
    <n v="564"/>
    <n v="816"/>
  </r>
  <r>
    <x v="66"/>
    <s v="conventional_cashout_fico_663"/>
    <x v="703"/>
    <n v="1.224"/>
    <n v="1"/>
    <n v="564"/>
    <n v="816"/>
  </r>
  <r>
    <x v="66"/>
    <s v="conventional_cashout_fico_664"/>
    <x v="704"/>
    <n v="1.224"/>
    <n v="1"/>
    <n v="564"/>
    <n v="816"/>
  </r>
  <r>
    <x v="66"/>
    <s v="conventional_cashout_fico_665"/>
    <x v="705"/>
    <n v="1.224"/>
    <n v="1"/>
    <n v="564"/>
    <n v="816"/>
  </r>
  <r>
    <x v="66"/>
    <s v="conventional_cashout_fico_666"/>
    <x v="706"/>
    <n v="1.224"/>
    <n v="1"/>
    <n v="564"/>
    <n v="816"/>
  </r>
  <r>
    <x v="66"/>
    <s v="conventional_cashout_fico_667"/>
    <x v="707"/>
    <n v="1.224"/>
    <n v="1"/>
    <n v="564"/>
    <n v="816"/>
  </r>
  <r>
    <x v="66"/>
    <s v="conventional_cashout_fico_668"/>
    <x v="708"/>
    <n v="1.224"/>
    <n v="1"/>
    <n v="564"/>
    <n v="816"/>
  </r>
  <r>
    <x v="66"/>
    <s v="conventional_cashout_fico_669"/>
    <x v="709"/>
    <n v="1.224"/>
    <n v="1"/>
    <n v="564"/>
    <n v="816"/>
  </r>
  <r>
    <x v="66"/>
    <s v="conventional_cashout_fico_670"/>
    <x v="710"/>
    <n v="1.224"/>
    <n v="1"/>
    <n v="564"/>
    <n v="816"/>
  </r>
  <r>
    <x v="66"/>
    <s v="conventional_cashout_fico_671"/>
    <x v="711"/>
    <n v="1.224"/>
    <n v="1"/>
    <n v="564"/>
    <n v="816"/>
  </r>
  <r>
    <x v="66"/>
    <s v="conventional_cashout_fico_672"/>
    <x v="712"/>
    <n v="1.224"/>
    <n v="1"/>
    <n v="564"/>
    <n v="816"/>
  </r>
  <r>
    <x v="66"/>
    <s v="conventional_cashout_fico_673"/>
    <x v="713"/>
    <n v="1.224"/>
    <n v="1"/>
    <n v="564"/>
    <n v="816"/>
  </r>
  <r>
    <x v="66"/>
    <s v="conventional_cashout_fico_674"/>
    <x v="714"/>
    <n v="1.224"/>
    <n v="1"/>
    <n v="564"/>
    <n v="816"/>
  </r>
  <r>
    <x v="66"/>
    <s v="conventional_cashout_fico_675"/>
    <x v="715"/>
    <n v="1.224"/>
    <n v="1"/>
    <n v="564"/>
    <n v="816"/>
  </r>
  <r>
    <x v="66"/>
    <s v="conventional_cashout_fico_676"/>
    <x v="716"/>
    <n v="1.224"/>
    <n v="1"/>
    <n v="564"/>
    <n v="816"/>
  </r>
  <r>
    <x v="66"/>
    <s v="conventional_cashout_fico_677"/>
    <x v="717"/>
    <n v="1.224"/>
    <n v="1"/>
    <n v="564"/>
    <n v="816"/>
  </r>
  <r>
    <x v="66"/>
    <s v="conventional_cashout_fico_678"/>
    <x v="718"/>
    <n v="1.224"/>
    <n v="1"/>
    <n v="564"/>
    <n v="816"/>
  </r>
  <r>
    <x v="66"/>
    <s v="conventional_cashout_fico_679"/>
    <x v="719"/>
    <n v="1.224"/>
    <n v="1"/>
    <n v="564"/>
    <n v="816"/>
  </r>
  <r>
    <x v="66"/>
    <s v="conventional_cashout_fico_680"/>
    <x v="720"/>
    <n v="1.224"/>
    <n v="1"/>
    <n v="564"/>
    <n v="816"/>
  </r>
  <r>
    <x v="66"/>
    <s v="conventional_cashout_fico_681"/>
    <x v="721"/>
    <n v="1.224"/>
    <n v="1"/>
    <n v="564"/>
    <n v="816"/>
  </r>
  <r>
    <x v="66"/>
    <s v="conventional_cashout_fico_682"/>
    <x v="722"/>
    <n v="1.224"/>
    <n v="1"/>
    <n v="564"/>
    <n v="816"/>
  </r>
  <r>
    <x v="66"/>
    <s v="conventional_cashout_fico_683"/>
    <x v="723"/>
    <n v="1.224"/>
    <n v="1"/>
    <n v="564"/>
    <n v="816"/>
  </r>
  <r>
    <x v="66"/>
    <s v="conventional_cashout_fico_684"/>
    <x v="724"/>
    <n v="1.224"/>
    <n v="1"/>
    <n v="564"/>
    <n v="816"/>
  </r>
  <r>
    <x v="66"/>
    <s v="conventional_cashout_fico_685"/>
    <x v="725"/>
    <n v="1.224"/>
    <n v="1"/>
    <n v="564"/>
    <n v="816"/>
  </r>
  <r>
    <x v="66"/>
    <s v="conventional_cashout_fico_686"/>
    <x v="726"/>
    <n v="1.224"/>
    <n v="1"/>
    <n v="564"/>
    <n v="816"/>
  </r>
  <r>
    <x v="66"/>
    <s v="conventional_cashout_fico_687"/>
    <x v="727"/>
    <n v="1.224"/>
    <n v="1"/>
    <n v="564"/>
    <n v="816"/>
  </r>
  <r>
    <x v="66"/>
    <s v="conventional_cashout_fico_688"/>
    <x v="728"/>
    <n v="1.224"/>
    <n v="1"/>
    <n v="564"/>
    <n v="816"/>
  </r>
  <r>
    <x v="66"/>
    <s v="conventional_cashout_fico_689"/>
    <x v="729"/>
    <n v="1.224"/>
    <n v="1"/>
    <n v="564"/>
    <n v="816"/>
  </r>
  <r>
    <x v="66"/>
    <s v="conventional_cashout_fico_690"/>
    <x v="730"/>
    <n v="1.224"/>
    <n v="1"/>
    <n v="564"/>
    <n v="816"/>
  </r>
  <r>
    <x v="66"/>
    <s v="conventional_cashout_fico_691"/>
    <x v="731"/>
    <n v="1.224"/>
    <n v="1"/>
    <n v="564"/>
    <n v="816"/>
  </r>
  <r>
    <x v="66"/>
    <s v="conventional_cashout_fico_692"/>
    <x v="732"/>
    <n v="1.224"/>
    <n v="1"/>
    <n v="564"/>
    <n v="816"/>
  </r>
  <r>
    <x v="66"/>
    <s v="conventional_cashout_fico_693"/>
    <x v="733"/>
    <n v="1.224"/>
    <n v="1"/>
    <n v="564"/>
    <n v="816"/>
  </r>
  <r>
    <x v="66"/>
    <s v="conventional_cashout_fico_694"/>
    <x v="734"/>
    <n v="1.224"/>
    <n v="1"/>
    <n v="564"/>
    <n v="816"/>
  </r>
  <r>
    <x v="66"/>
    <s v="conventional_cashout_fico_695"/>
    <x v="735"/>
    <n v="1.224"/>
    <n v="1"/>
    <n v="564"/>
    <n v="816"/>
  </r>
  <r>
    <x v="66"/>
    <s v="conventional_cashout_fico_696"/>
    <x v="736"/>
    <n v="1.224"/>
    <n v="1"/>
    <n v="564"/>
    <n v="816"/>
  </r>
  <r>
    <x v="66"/>
    <s v="conventional_cashout_fico_697"/>
    <x v="737"/>
    <n v="1.224"/>
    <n v="1"/>
    <n v="564"/>
    <n v="816"/>
  </r>
  <r>
    <x v="66"/>
    <s v="conventional_cashout_fico_698"/>
    <x v="738"/>
    <n v="1.224"/>
    <n v="1"/>
    <n v="564"/>
    <n v="816"/>
  </r>
  <r>
    <x v="66"/>
    <s v="conventional_cashout_fico_699"/>
    <x v="739"/>
    <n v="1.224"/>
    <n v="1"/>
    <n v="564"/>
    <n v="816"/>
  </r>
  <r>
    <x v="66"/>
    <s v="conventional_cashout_fico_700"/>
    <x v="740"/>
    <n v="1.224"/>
    <n v="1"/>
    <n v="564"/>
    <n v="816"/>
  </r>
  <r>
    <x v="66"/>
    <s v="conventional_cashout_fico_701"/>
    <x v="741"/>
    <n v="1.223454"/>
    <n v="1"/>
    <n v="564"/>
    <n v="816"/>
  </r>
  <r>
    <x v="66"/>
    <s v="conventional_cashout_fico_702"/>
    <x v="742"/>
    <n v="1.2218720000000001"/>
    <n v="1"/>
    <n v="564"/>
    <n v="816"/>
  </r>
  <r>
    <x v="66"/>
    <s v="conventional_cashout_fico_703"/>
    <x v="743"/>
    <n v="1.219338"/>
    <n v="1"/>
    <n v="564"/>
    <n v="816"/>
  </r>
  <r>
    <x v="66"/>
    <s v="conventional_cashout_fico_704"/>
    <x v="744"/>
    <n v="1.2159359999999999"/>
    <n v="1"/>
    <n v="564"/>
    <n v="816"/>
  </r>
  <r>
    <x v="66"/>
    <s v="conventional_cashout_fico_705"/>
    <x v="745"/>
    <n v="1.2117500000000001"/>
    <n v="1"/>
    <n v="564"/>
    <n v="816"/>
  </r>
  <r>
    <x v="66"/>
    <s v="conventional_cashout_fico_706"/>
    <x v="746"/>
    <n v="1.2068639999999999"/>
    <n v="1"/>
    <n v="564"/>
    <n v="816"/>
  </r>
  <r>
    <x v="66"/>
    <s v="conventional_cashout_fico_707"/>
    <x v="747"/>
    <n v="1.201362"/>
    <n v="1"/>
    <n v="564"/>
    <n v="816"/>
  </r>
  <r>
    <x v="66"/>
    <s v="conventional_cashout_fico_708"/>
    <x v="748"/>
    <n v="1.1953279999999999"/>
    <n v="1"/>
    <n v="564"/>
    <n v="816"/>
  </r>
  <r>
    <x v="66"/>
    <s v="conventional_cashout_fico_709"/>
    <x v="749"/>
    <n v="1.1888460000000001"/>
    <n v="1"/>
    <n v="564"/>
    <n v="816"/>
  </r>
  <r>
    <x v="66"/>
    <s v="conventional_cashout_fico_710"/>
    <x v="750"/>
    <n v="1.1819999999999999"/>
    <n v="1"/>
    <n v="564"/>
    <n v="816"/>
  </r>
  <r>
    <x v="66"/>
    <s v="conventional_cashout_fico_711"/>
    <x v="751"/>
    <n v="1.174874"/>
    <n v="1"/>
    <n v="564"/>
    <n v="816"/>
  </r>
  <r>
    <x v="66"/>
    <s v="conventional_cashout_fico_712"/>
    <x v="752"/>
    <n v="1.1675519999999999"/>
    <n v="1"/>
    <n v="564"/>
    <n v="816"/>
  </r>
  <r>
    <x v="66"/>
    <s v="conventional_cashout_fico_713"/>
    <x v="753"/>
    <n v="1.160118"/>
    <n v="1"/>
    <n v="564"/>
    <n v="816"/>
  </r>
  <r>
    <x v="66"/>
    <s v="conventional_cashout_fico_714"/>
    <x v="754"/>
    <n v="1.1526559999999999"/>
    <n v="1"/>
    <n v="564"/>
    <n v="816"/>
  </r>
  <r>
    <x v="66"/>
    <s v="conventional_cashout_fico_715"/>
    <x v="755"/>
    <n v="1.1452500000000001"/>
    <n v="1"/>
    <n v="564"/>
    <n v="816"/>
  </r>
  <r>
    <x v="66"/>
    <s v="conventional_cashout_fico_716"/>
    <x v="756"/>
    <n v="1.1379840000000001"/>
    <n v="1"/>
    <n v="564"/>
    <n v="816"/>
  </r>
  <r>
    <x v="66"/>
    <s v="conventional_cashout_fico_717"/>
    <x v="757"/>
    <n v="1.1309419999999999"/>
    <n v="1"/>
    <n v="564"/>
    <n v="816"/>
  </r>
  <r>
    <x v="66"/>
    <s v="conventional_cashout_fico_718"/>
    <x v="758"/>
    <n v="1.1242080000000001"/>
    <n v="1"/>
    <n v="564"/>
    <n v="816"/>
  </r>
  <r>
    <x v="66"/>
    <s v="conventional_cashout_fico_719"/>
    <x v="759"/>
    <n v="1.117866"/>
    <n v="1"/>
    <n v="564"/>
    <n v="816"/>
  </r>
  <r>
    <x v="66"/>
    <s v="conventional_cashout_fico_720"/>
    <x v="760"/>
    <n v="1.1120000000000001"/>
    <n v="1"/>
    <n v="564"/>
    <n v="816"/>
  </r>
  <r>
    <x v="66"/>
    <s v="conventional_cashout_fico_721"/>
    <x v="761"/>
    <n v="1.106134"/>
    <n v="1"/>
    <n v="564"/>
    <n v="816"/>
  </r>
  <r>
    <x v="66"/>
    <s v="conventional_cashout_fico_722"/>
    <x v="762"/>
    <n v="1.0997920000000001"/>
    <n v="1"/>
    <n v="564"/>
    <n v="816"/>
  </r>
  <r>
    <x v="66"/>
    <s v="conventional_cashout_fico_723"/>
    <x v="763"/>
    <n v="1.0930580000000001"/>
    <n v="1"/>
    <n v="564"/>
    <n v="816"/>
  </r>
  <r>
    <x v="66"/>
    <s v="conventional_cashout_fico_724"/>
    <x v="764"/>
    <n v="1.0860160000000001"/>
    <n v="1"/>
    <n v="564"/>
    <n v="816"/>
  </r>
  <r>
    <x v="66"/>
    <s v="conventional_cashout_fico_725"/>
    <x v="765"/>
    <n v="1.0787500000000001"/>
    <n v="1"/>
    <n v="564"/>
    <n v="816"/>
  </r>
  <r>
    <x v="66"/>
    <s v="conventional_cashout_fico_726"/>
    <x v="766"/>
    <n v="1.0713440000000001"/>
    <n v="1"/>
    <n v="564"/>
    <n v="816"/>
  </r>
  <r>
    <x v="66"/>
    <s v="conventional_cashout_fico_727"/>
    <x v="767"/>
    <n v="1.063882"/>
    <n v="1"/>
    <n v="564"/>
    <n v="816"/>
  </r>
  <r>
    <x v="66"/>
    <s v="conventional_cashout_fico_728"/>
    <x v="768"/>
    <n v="1.0564480000000001"/>
    <n v="1"/>
    <n v="564"/>
    <n v="816"/>
  </r>
  <r>
    <x v="66"/>
    <s v="conventional_cashout_fico_729"/>
    <x v="769"/>
    <n v="1.049126"/>
    <n v="1"/>
    <n v="564"/>
    <n v="816"/>
  </r>
  <r>
    <x v="66"/>
    <s v="conventional_cashout_fico_730"/>
    <x v="770"/>
    <n v="1.042"/>
    <n v="1"/>
    <n v="564"/>
    <n v="816"/>
  </r>
  <r>
    <x v="66"/>
    <s v="conventional_cashout_fico_731"/>
    <x v="771"/>
    <n v="1.0351539999999999"/>
    <n v="1"/>
    <n v="564"/>
    <n v="816"/>
  </r>
  <r>
    <x v="66"/>
    <s v="conventional_cashout_fico_732"/>
    <x v="772"/>
    <n v="1.028672"/>
    <n v="1"/>
    <n v="564"/>
    <n v="816"/>
  </r>
  <r>
    <x v="66"/>
    <s v="conventional_cashout_fico_733"/>
    <x v="773"/>
    <n v="1.0226379999999999"/>
    <n v="1"/>
    <n v="564"/>
    <n v="816"/>
  </r>
  <r>
    <x v="66"/>
    <s v="conventional_cashout_fico_734"/>
    <x v="774"/>
    <n v="1.017136"/>
    <n v="1"/>
    <n v="564"/>
    <n v="816"/>
  </r>
  <r>
    <x v="66"/>
    <s v="conventional_cashout_fico_735"/>
    <x v="775"/>
    <n v="1.0122500000000001"/>
    <n v="1"/>
    <n v="564"/>
    <n v="816"/>
  </r>
  <r>
    <x v="66"/>
    <s v="conventional_cashout_fico_736"/>
    <x v="776"/>
    <n v="1.0080640000000001"/>
    <n v="1"/>
    <n v="564"/>
    <n v="816"/>
  </r>
  <r>
    <x v="66"/>
    <s v="conventional_cashout_fico_737"/>
    <x v="777"/>
    <n v="1.0046619999999999"/>
    <n v="1"/>
    <n v="564"/>
    <n v="816"/>
  </r>
  <r>
    <x v="66"/>
    <s v="conventional_cashout_fico_738"/>
    <x v="778"/>
    <n v="1.0021279999999999"/>
    <n v="1"/>
    <n v="564"/>
    <n v="816"/>
  </r>
  <r>
    <x v="66"/>
    <s v="conventional_cashout_fico_739"/>
    <x v="779"/>
    <n v="1.0005459999999999"/>
    <n v="1"/>
    <n v="564"/>
    <n v="816"/>
  </r>
  <r>
    <x v="66"/>
    <s v="conventional_cashout_fico_740"/>
    <x v="780"/>
    <n v="1"/>
    <n v="1"/>
    <n v="564"/>
    <n v="816"/>
  </r>
  <r>
    <x v="66"/>
    <s v="conventional_cashout_fico_741"/>
    <x v="781"/>
    <n v="1"/>
    <n v="1"/>
    <n v="564"/>
    <n v="816"/>
  </r>
  <r>
    <x v="66"/>
    <s v="conventional_cashout_fico_742"/>
    <x v="782"/>
    <n v="1"/>
    <n v="1"/>
    <n v="564"/>
    <n v="816"/>
  </r>
  <r>
    <x v="66"/>
    <s v="conventional_cashout_fico_743"/>
    <x v="783"/>
    <n v="1"/>
    <n v="1"/>
    <n v="564"/>
    <n v="816"/>
  </r>
  <r>
    <x v="66"/>
    <s v="conventional_cashout_fico_744"/>
    <x v="784"/>
    <n v="1"/>
    <n v="1"/>
    <n v="564"/>
    <n v="816"/>
  </r>
  <r>
    <x v="66"/>
    <s v="conventional_cashout_fico_745"/>
    <x v="785"/>
    <n v="1"/>
    <n v="1"/>
    <n v="564"/>
    <n v="816"/>
  </r>
  <r>
    <x v="66"/>
    <s v="conventional_cashout_fico_746"/>
    <x v="786"/>
    <n v="1"/>
    <n v="1"/>
    <n v="564"/>
    <n v="816"/>
  </r>
  <r>
    <x v="66"/>
    <s v="conventional_cashout_fico_747"/>
    <x v="787"/>
    <n v="1"/>
    <n v="1"/>
    <n v="564"/>
    <n v="816"/>
  </r>
  <r>
    <x v="66"/>
    <s v="conventional_cashout_fico_748"/>
    <x v="788"/>
    <n v="1"/>
    <n v="1"/>
    <n v="564"/>
    <n v="816"/>
  </r>
  <r>
    <x v="66"/>
    <s v="conventional_cashout_fico_749"/>
    <x v="789"/>
    <n v="1"/>
    <n v="1"/>
    <n v="564"/>
    <n v="816"/>
  </r>
  <r>
    <x v="66"/>
    <s v="conventional_cashout_fico_750"/>
    <x v="790"/>
    <n v="1"/>
    <n v="1"/>
    <n v="564"/>
    <n v="816"/>
  </r>
  <r>
    <x v="66"/>
    <s v="conventional_cashout_fico_751"/>
    <x v="791"/>
    <n v="1"/>
    <n v="1"/>
    <n v="564"/>
    <n v="816"/>
  </r>
  <r>
    <x v="66"/>
    <s v="conventional_cashout_fico_752"/>
    <x v="792"/>
    <n v="1"/>
    <n v="1"/>
    <n v="564"/>
    <n v="816"/>
  </r>
  <r>
    <x v="66"/>
    <s v="conventional_cashout_fico_753"/>
    <x v="793"/>
    <n v="1"/>
    <n v="1"/>
    <n v="564"/>
    <n v="816"/>
  </r>
  <r>
    <x v="66"/>
    <s v="conventional_cashout_fico_754"/>
    <x v="794"/>
    <n v="1"/>
    <n v="1"/>
    <n v="564"/>
    <n v="816"/>
  </r>
  <r>
    <x v="66"/>
    <s v="conventional_cashout_fico_755"/>
    <x v="795"/>
    <n v="1"/>
    <n v="1"/>
    <n v="564"/>
    <n v="816"/>
  </r>
  <r>
    <x v="66"/>
    <s v="conventional_cashout_fico_756"/>
    <x v="796"/>
    <n v="1"/>
    <n v="1"/>
    <n v="564"/>
    <n v="816"/>
  </r>
  <r>
    <x v="66"/>
    <s v="conventional_cashout_fico_757"/>
    <x v="797"/>
    <n v="1"/>
    <n v="1"/>
    <n v="564"/>
    <n v="816"/>
  </r>
  <r>
    <x v="66"/>
    <s v="conventional_cashout_fico_758"/>
    <x v="798"/>
    <n v="1"/>
    <n v="1"/>
    <n v="564"/>
    <n v="816"/>
  </r>
  <r>
    <x v="66"/>
    <s v="conventional_cashout_fico_759"/>
    <x v="799"/>
    <n v="1"/>
    <n v="1"/>
    <n v="564"/>
    <n v="816"/>
  </r>
  <r>
    <x v="66"/>
    <s v="conventional_cashout_fico_760"/>
    <x v="800"/>
    <n v="1"/>
    <n v="1"/>
    <n v="564"/>
    <n v="816"/>
  </r>
  <r>
    <x v="66"/>
    <s v="conventional_cashout_fico_761"/>
    <x v="801"/>
    <n v="1"/>
    <n v="1"/>
    <n v="564"/>
    <n v="816"/>
  </r>
  <r>
    <x v="66"/>
    <s v="conventional_cashout_fico_762"/>
    <x v="802"/>
    <n v="1"/>
    <n v="1"/>
    <n v="564"/>
    <n v="816"/>
  </r>
  <r>
    <x v="66"/>
    <s v="conventional_cashout_fico_763"/>
    <x v="803"/>
    <n v="1"/>
    <n v="1"/>
    <n v="564"/>
    <n v="816"/>
  </r>
  <r>
    <x v="66"/>
    <s v="conventional_cashout_fico_764"/>
    <x v="804"/>
    <n v="1"/>
    <n v="1"/>
    <n v="564"/>
    <n v="816"/>
  </r>
  <r>
    <x v="66"/>
    <s v="conventional_cashout_fico_765"/>
    <x v="805"/>
    <n v="1"/>
    <n v="1"/>
    <n v="564"/>
    <n v="816"/>
  </r>
  <r>
    <x v="66"/>
    <s v="conventional_cashout_fico_766"/>
    <x v="806"/>
    <n v="1"/>
    <n v="1"/>
    <n v="564"/>
    <n v="816"/>
  </r>
  <r>
    <x v="66"/>
    <s v="conventional_cashout_fico_767"/>
    <x v="807"/>
    <n v="1"/>
    <n v="1"/>
    <n v="564"/>
    <n v="816"/>
  </r>
  <r>
    <x v="66"/>
    <s v="conventional_cashout_fico_768"/>
    <x v="808"/>
    <n v="1"/>
    <n v="1"/>
    <n v="564"/>
    <n v="816"/>
  </r>
  <r>
    <x v="66"/>
    <s v="conventional_cashout_fico_769"/>
    <x v="809"/>
    <n v="1"/>
    <n v="1"/>
    <n v="564"/>
    <n v="816"/>
  </r>
  <r>
    <x v="66"/>
    <s v="conventional_cashout_fico_770"/>
    <x v="810"/>
    <n v="1"/>
    <n v="1"/>
    <n v="564"/>
    <n v="816"/>
  </r>
  <r>
    <x v="66"/>
    <s v="conventional_cashout_fico_771"/>
    <x v="811"/>
    <n v="1"/>
    <n v="1"/>
    <n v="564"/>
    <n v="816"/>
  </r>
  <r>
    <x v="66"/>
    <s v="conventional_cashout_fico_772"/>
    <x v="812"/>
    <n v="1"/>
    <n v="1"/>
    <n v="564"/>
    <n v="816"/>
  </r>
  <r>
    <x v="66"/>
    <s v="conventional_cashout_fico_773"/>
    <x v="813"/>
    <n v="1"/>
    <n v="1"/>
    <n v="564"/>
    <n v="816"/>
  </r>
  <r>
    <x v="66"/>
    <s v="conventional_cashout_fico_774"/>
    <x v="814"/>
    <n v="1"/>
    <n v="1"/>
    <n v="564"/>
    <n v="816"/>
  </r>
  <r>
    <x v="66"/>
    <s v="conventional_cashout_fico_775"/>
    <x v="815"/>
    <n v="1"/>
    <n v="1"/>
    <n v="564"/>
    <n v="816"/>
  </r>
  <r>
    <x v="66"/>
    <s v="conventional_cashout_fico_776"/>
    <x v="816"/>
    <n v="1"/>
    <n v="1"/>
    <n v="564"/>
    <n v="816"/>
  </r>
  <r>
    <x v="66"/>
    <s v="conventional_cashout_fico_777"/>
    <x v="817"/>
    <n v="1"/>
    <n v="1"/>
    <n v="564"/>
    <n v="816"/>
  </r>
  <r>
    <x v="66"/>
    <s v="conventional_cashout_fico_778"/>
    <x v="818"/>
    <n v="1"/>
    <n v="1"/>
    <n v="564"/>
    <n v="816"/>
  </r>
  <r>
    <x v="66"/>
    <s v="conventional_cashout_fico_779"/>
    <x v="819"/>
    <n v="1"/>
    <n v="1"/>
    <n v="564"/>
    <n v="816"/>
  </r>
  <r>
    <x v="66"/>
    <s v="conventional_cashout_fico_780"/>
    <x v="820"/>
    <n v="1"/>
    <n v="1"/>
    <n v="564"/>
    <n v="816"/>
  </r>
  <r>
    <x v="66"/>
    <s v="conventional_cashout_fico_781"/>
    <x v="821"/>
    <n v="1"/>
    <n v="1"/>
    <n v="564"/>
    <n v="816"/>
  </r>
  <r>
    <x v="66"/>
    <s v="conventional_cashout_fico_782"/>
    <x v="822"/>
    <n v="1"/>
    <n v="1"/>
    <n v="564"/>
    <n v="816"/>
  </r>
  <r>
    <x v="66"/>
    <s v="conventional_cashout_fico_783"/>
    <x v="823"/>
    <n v="1"/>
    <n v="1"/>
    <n v="564"/>
    <n v="816"/>
  </r>
  <r>
    <x v="66"/>
    <s v="conventional_cashout_fico_784"/>
    <x v="824"/>
    <n v="1"/>
    <n v="1"/>
    <n v="564"/>
    <n v="816"/>
  </r>
  <r>
    <x v="66"/>
    <s v="conventional_cashout_fico_785"/>
    <x v="825"/>
    <n v="1"/>
    <n v="1"/>
    <n v="564"/>
    <n v="816"/>
  </r>
  <r>
    <x v="66"/>
    <s v="conventional_cashout_fico_786"/>
    <x v="826"/>
    <n v="1"/>
    <n v="1"/>
    <n v="564"/>
    <n v="816"/>
  </r>
  <r>
    <x v="66"/>
    <s v="conventional_cashout_fico_787"/>
    <x v="827"/>
    <n v="1"/>
    <n v="1"/>
    <n v="564"/>
    <n v="816"/>
  </r>
  <r>
    <x v="66"/>
    <s v="conventional_cashout_fico_788"/>
    <x v="828"/>
    <n v="1"/>
    <n v="1"/>
    <n v="564"/>
    <n v="816"/>
  </r>
  <r>
    <x v="66"/>
    <s v="conventional_cashout_fico_789"/>
    <x v="829"/>
    <n v="1"/>
    <n v="1"/>
    <n v="564"/>
    <n v="816"/>
  </r>
  <r>
    <x v="66"/>
    <s v="conventional_cashout_fico_790"/>
    <x v="830"/>
    <n v="1"/>
    <n v="1"/>
    <n v="564"/>
    <n v="816"/>
  </r>
  <r>
    <x v="66"/>
    <s v="conventional_cashout_fico_791"/>
    <x v="831"/>
    <n v="1"/>
    <n v="1"/>
    <n v="564"/>
    <n v="816"/>
  </r>
  <r>
    <x v="66"/>
    <s v="conventional_cashout_fico_792"/>
    <x v="832"/>
    <n v="1"/>
    <n v="1"/>
    <n v="564"/>
    <n v="816"/>
  </r>
  <r>
    <x v="66"/>
    <s v="conventional_cashout_fico_793"/>
    <x v="833"/>
    <n v="1"/>
    <n v="1"/>
    <n v="564"/>
    <n v="816"/>
  </r>
  <r>
    <x v="66"/>
    <s v="conventional_cashout_fico_794"/>
    <x v="834"/>
    <n v="1"/>
    <n v="1"/>
    <n v="564"/>
    <n v="816"/>
  </r>
  <r>
    <x v="66"/>
    <s v="conventional_cashout_fico_795"/>
    <x v="835"/>
    <n v="1"/>
    <n v="1"/>
    <n v="564"/>
    <n v="816"/>
  </r>
  <r>
    <x v="66"/>
    <s v="conventional_cashout_fico_796"/>
    <x v="836"/>
    <n v="1"/>
    <n v="1"/>
    <n v="564"/>
    <n v="816"/>
  </r>
  <r>
    <x v="66"/>
    <s v="conventional_cashout_fico_797"/>
    <x v="837"/>
    <n v="1"/>
    <n v="1"/>
    <n v="564"/>
    <n v="816"/>
  </r>
  <r>
    <x v="66"/>
    <s v="conventional_cashout_fico_798"/>
    <x v="838"/>
    <n v="1"/>
    <n v="1"/>
    <n v="564"/>
    <n v="816"/>
  </r>
  <r>
    <x v="66"/>
    <s v="conventional_cashout_fico_799"/>
    <x v="839"/>
    <n v="1"/>
    <n v="1"/>
    <n v="564"/>
    <n v="816"/>
  </r>
  <r>
    <x v="66"/>
    <s v="conventional_cashout_fico_800"/>
    <x v="840"/>
    <n v="1"/>
    <n v="1"/>
    <n v="564"/>
    <n v="816"/>
  </r>
  <r>
    <x v="66"/>
    <s v="conventional_cashout_fico_801"/>
    <x v="841"/>
    <n v="1"/>
    <n v="1"/>
    <n v="564"/>
    <n v="816"/>
  </r>
  <r>
    <x v="66"/>
    <s v="conventional_cashout_fico_802"/>
    <x v="842"/>
    <n v="1"/>
    <n v="1"/>
    <n v="564"/>
    <n v="816"/>
  </r>
  <r>
    <x v="66"/>
    <s v="conventional_cashout_fico_803"/>
    <x v="843"/>
    <n v="1"/>
    <n v="1"/>
    <n v="564"/>
    <n v="816"/>
  </r>
  <r>
    <x v="66"/>
    <s v="conventional_cashout_fico_804"/>
    <x v="844"/>
    <n v="1"/>
    <n v="1"/>
    <n v="564"/>
    <n v="816"/>
  </r>
  <r>
    <x v="66"/>
    <s v="conventional_cashout_fico_805"/>
    <x v="845"/>
    <n v="1"/>
    <n v="1"/>
    <n v="564"/>
    <n v="816"/>
  </r>
  <r>
    <x v="66"/>
    <s v="conventional_cashout_fico_806"/>
    <x v="846"/>
    <n v="1"/>
    <n v="1"/>
    <n v="564"/>
    <n v="816"/>
  </r>
  <r>
    <x v="66"/>
    <s v="conventional_cashout_fico_807"/>
    <x v="847"/>
    <n v="1"/>
    <n v="1"/>
    <n v="564"/>
    <n v="816"/>
  </r>
  <r>
    <x v="66"/>
    <s v="conventional_cashout_fico_808"/>
    <x v="848"/>
    <n v="1"/>
    <n v="1"/>
    <n v="564"/>
    <n v="816"/>
  </r>
  <r>
    <x v="66"/>
    <s v="conventional_cashout_fico_809"/>
    <x v="849"/>
    <n v="1"/>
    <n v="1"/>
    <n v="564"/>
    <n v="816"/>
  </r>
  <r>
    <x v="66"/>
    <s v="conventional_cashout_fico_810"/>
    <x v="850"/>
    <n v="1"/>
    <n v="1"/>
    <n v="564"/>
    <n v="816"/>
  </r>
  <r>
    <x v="66"/>
    <s v="conventional_cashout_fico_811"/>
    <x v="851"/>
    <n v="1"/>
    <n v="1"/>
    <n v="564"/>
    <n v="816"/>
  </r>
  <r>
    <x v="66"/>
    <s v="conventional_cashout_fico_812"/>
    <x v="852"/>
    <n v="1"/>
    <n v="1"/>
    <n v="564"/>
    <n v="816"/>
  </r>
  <r>
    <x v="66"/>
    <s v="conventional_cashout_fico_813"/>
    <x v="853"/>
    <n v="1"/>
    <n v="1"/>
    <n v="564"/>
    <n v="816"/>
  </r>
  <r>
    <x v="66"/>
    <s v="conventional_cashout_fico_814"/>
    <x v="854"/>
    <n v="1"/>
    <n v="1"/>
    <n v="564"/>
    <n v="816"/>
  </r>
  <r>
    <x v="66"/>
    <s v="conventional_cashout_fico_815"/>
    <x v="855"/>
    <n v="1"/>
    <n v="1"/>
    <n v="564"/>
    <n v="816"/>
  </r>
  <r>
    <x v="66"/>
    <s v="conventional_cashout_fico_816"/>
    <x v="856"/>
    <n v="1"/>
    <n v="1"/>
    <n v="564"/>
    <n v="816"/>
  </r>
  <r>
    <x v="67"/>
    <s v="conventional_cashout_refi_elig_pct_-20"/>
    <x v="20"/>
    <n v="-0.2"/>
    <n v="1"/>
    <n v="-20"/>
    <n v="120"/>
  </r>
  <r>
    <x v="67"/>
    <s v="conventional_cashout_refi_elig_pct_-19"/>
    <x v="21"/>
    <n v="-0.19"/>
    <n v="1"/>
    <n v="-20"/>
    <n v="120"/>
  </r>
  <r>
    <x v="67"/>
    <s v="conventional_cashout_refi_elig_pct_-18"/>
    <x v="22"/>
    <n v="-0.18"/>
    <n v="1"/>
    <n v="-20"/>
    <n v="120"/>
  </r>
  <r>
    <x v="67"/>
    <s v="conventional_cashout_refi_elig_pct_-17"/>
    <x v="23"/>
    <n v="-0.17"/>
    <n v="1"/>
    <n v="-20"/>
    <n v="120"/>
  </r>
  <r>
    <x v="67"/>
    <s v="conventional_cashout_refi_elig_pct_-16"/>
    <x v="24"/>
    <n v="-0.16"/>
    <n v="1"/>
    <n v="-20"/>
    <n v="120"/>
  </r>
  <r>
    <x v="67"/>
    <s v="conventional_cashout_refi_elig_pct_-15"/>
    <x v="25"/>
    <n v="-0.15"/>
    <n v="1"/>
    <n v="-20"/>
    <n v="120"/>
  </r>
  <r>
    <x v="67"/>
    <s v="conventional_cashout_refi_elig_pct_-14"/>
    <x v="26"/>
    <n v="-0.14000000000000001"/>
    <n v="1"/>
    <n v="-20"/>
    <n v="120"/>
  </r>
  <r>
    <x v="67"/>
    <s v="conventional_cashout_refi_elig_pct_-13"/>
    <x v="27"/>
    <n v="-0.13"/>
    <n v="1"/>
    <n v="-20"/>
    <n v="120"/>
  </r>
  <r>
    <x v="67"/>
    <s v="conventional_cashout_refi_elig_pct_-12"/>
    <x v="28"/>
    <n v="-0.12"/>
    <n v="1"/>
    <n v="-20"/>
    <n v="120"/>
  </r>
  <r>
    <x v="67"/>
    <s v="conventional_cashout_refi_elig_pct_-11"/>
    <x v="29"/>
    <n v="-0.11"/>
    <n v="1"/>
    <n v="-20"/>
    <n v="120"/>
  </r>
  <r>
    <x v="67"/>
    <s v="conventional_cashout_refi_elig_pct_-10"/>
    <x v="30"/>
    <n v="-0.1"/>
    <n v="1"/>
    <n v="-20"/>
    <n v="120"/>
  </r>
  <r>
    <x v="67"/>
    <s v="conventional_cashout_refi_elig_pct_-9"/>
    <x v="31"/>
    <n v="-0.09"/>
    <n v="1"/>
    <n v="-20"/>
    <n v="120"/>
  </r>
  <r>
    <x v="67"/>
    <s v="conventional_cashout_refi_elig_pct_-8"/>
    <x v="32"/>
    <n v="-0.08"/>
    <n v="1"/>
    <n v="-20"/>
    <n v="120"/>
  </r>
  <r>
    <x v="67"/>
    <s v="conventional_cashout_refi_elig_pct_-7"/>
    <x v="33"/>
    <n v="-7.0000000000000007E-2"/>
    <n v="1"/>
    <n v="-20"/>
    <n v="120"/>
  </r>
  <r>
    <x v="67"/>
    <s v="conventional_cashout_refi_elig_pct_-6"/>
    <x v="34"/>
    <n v="-0.06"/>
    <n v="1"/>
    <n v="-20"/>
    <n v="120"/>
  </r>
  <r>
    <x v="67"/>
    <s v="conventional_cashout_refi_elig_pct_-5"/>
    <x v="35"/>
    <n v="-0.05"/>
    <n v="1"/>
    <n v="-20"/>
    <n v="120"/>
  </r>
  <r>
    <x v="67"/>
    <s v="conventional_cashout_refi_elig_pct_-4"/>
    <x v="36"/>
    <n v="-0.04"/>
    <n v="1"/>
    <n v="-20"/>
    <n v="120"/>
  </r>
  <r>
    <x v="67"/>
    <s v="conventional_cashout_refi_elig_pct_-3"/>
    <x v="37"/>
    <n v="-0.03"/>
    <n v="1"/>
    <n v="-20"/>
    <n v="120"/>
  </r>
  <r>
    <x v="67"/>
    <s v="conventional_cashout_refi_elig_pct_-2"/>
    <x v="38"/>
    <n v="-0.02"/>
    <n v="1"/>
    <n v="-20"/>
    <n v="120"/>
  </r>
  <r>
    <x v="67"/>
    <s v="conventional_cashout_refi_elig_pct_-1"/>
    <x v="39"/>
    <n v="-0.01"/>
    <n v="1"/>
    <n v="-20"/>
    <n v="120"/>
  </r>
  <r>
    <x v="67"/>
    <s v="conventional_cashout_refi_elig_pct_0"/>
    <x v="40"/>
    <n v="0"/>
    <n v="1"/>
    <n v="-20"/>
    <n v="120"/>
  </r>
  <r>
    <x v="67"/>
    <s v="conventional_cashout_refi_elig_pct_1"/>
    <x v="41"/>
    <n v="0.01"/>
    <n v="1"/>
    <n v="-20"/>
    <n v="120"/>
  </r>
  <r>
    <x v="67"/>
    <s v="conventional_cashout_refi_elig_pct_2"/>
    <x v="42"/>
    <n v="0.02"/>
    <n v="1"/>
    <n v="-20"/>
    <n v="120"/>
  </r>
  <r>
    <x v="67"/>
    <s v="conventional_cashout_refi_elig_pct_3"/>
    <x v="43"/>
    <n v="0.03"/>
    <n v="1"/>
    <n v="-20"/>
    <n v="120"/>
  </r>
  <r>
    <x v="67"/>
    <s v="conventional_cashout_refi_elig_pct_4"/>
    <x v="44"/>
    <n v="0.04"/>
    <n v="1"/>
    <n v="-20"/>
    <n v="120"/>
  </r>
  <r>
    <x v="67"/>
    <s v="conventional_cashout_refi_elig_pct_5"/>
    <x v="45"/>
    <n v="0.05"/>
    <n v="1"/>
    <n v="-20"/>
    <n v="120"/>
  </r>
  <r>
    <x v="67"/>
    <s v="conventional_cashout_refi_elig_pct_6"/>
    <x v="46"/>
    <n v="0.06"/>
    <n v="1"/>
    <n v="-20"/>
    <n v="120"/>
  </r>
  <r>
    <x v="67"/>
    <s v="conventional_cashout_refi_elig_pct_7"/>
    <x v="47"/>
    <n v="7.0000000000000007E-2"/>
    <n v="1"/>
    <n v="-20"/>
    <n v="120"/>
  </r>
  <r>
    <x v="67"/>
    <s v="conventional_cashout_refi_elig_pct_8"/>
    <x v="48"/>
    <n v="0.08"/>
    <n v="1"/>
    <n v="-20"/>
    <n v="120"/>
  </r>
  <r>
    <x v="67"/>
    <s v="conventional_cashout_refi_elig_pct_9"/>
    <x v="49"/>
    <n v="0.09"/>
    <n v="1"/>
    <n v="-20"/>
    <n v="120"/>
  </r>
  <r>
    <x v="67"/>
    <s v="conventional_cashout_refi_elig_pct_10"/>
    <x v="50"/>
    <n v="0.1"/>
    <n v="1"/>
    <n v="-20"/>
    <n v="120"/>
  </r>
  <r>
    <x v="67"/>
    <s v="conventional_cashout_refi_elig_pct_11"/>
    <x v="51"/>
    <n v="0.11"/>
    <n v="1"/>
    <n v="-20"/>
    <n v="120"/>
  </r>
  <r>
    <x v="67"/>
    <s v="conventional_cashout_refi_elig_pct_12"/>
    <x v="52"/>
    <n v="0.12"/>
    <n v="1"/>
    <n v="-20"/>
    <n v="120"/>
  </r>
  <r>
    <x v="67"/>
    <s v="conventional_cashout_refi_elig_pct_13"/>
    <x v="53"/>
    <n v="0.13"/>
    <n v="1"/>
    <n v="-20"/>
    <n v="120"/>
  </r>
  <r>
    <x v="67"/>
    <s v="conventional_cashout_refi_elig_pct_14"/>
    <x v="54"/>
    <n v="0.14000000000000001"/>
    <n v="1"/>
    <n v="-20"/>
    <n v="120"/>
  </r>
  <r>
    <x v="67"/>
    <s v="conventional_cashout_refi_elig_pct_15"/>
    <x v="55"/>
    <n v="0.15"/>
    <n v="1"/>
    <n v="-20"/>
    <n v="120"/>
  </r>
  <r>
    <x v="67"/>
    <s v="conventional_cashout_refi_elig_pct_16"/>
    <x v="56"/>
    <n v="0.16"/>
    <n v="1"/>
    <n v="-20"/>
    <n v="120"/>
  </r>
  <r>
    <x v="67"/>
    <s v="conventional_cashout_refi_elig_pct_17"/>
    <x v="57"/>
    <n v="0.17"/>
    <n v="1"/>
    <n v="-20"/>
    <n v="120"/>
  </r>
  <r>
    <x v="67"/>
    <s v="conventional_cashout_refi_elig_pct_18"/>
    <x v="58"/>
    <n v="0.18"/>
    <n v="1"/>
    <n v="-20"/>
    <n v="120"/>
  </r>
  <r>
    <x v="67"/>
    <s v="conventional_cashout_refi_elig_pct_19"/>
    <x v="59"/>
    <n v="0.19"/>
    <n v="1"/>
    <n v="-20"/>
    <n v="120"/>
  </r>
  <r>
    <x v="67"/>
    <s v="conventional_cashout_refi_elig_pct_20"/>
    <x v="60"/>
    <n v="0.2"/>
    <n v="1"/>
    <n v="-20"/>
    <n v="120"/>
  </r>
  <r>
    <x v="67"/>
    <s v="conventional_cashout_refi_elig_pct_21"/>
    <x v="61"/>
    <n v="0.21"/>
    <n v="1"/>
    <n v="-20"/>
    <n v="120"/>
  </r>
  <r>
    <x v="67"/>
    <s v="conventional_cashout_refi_elig_pct_22"/>
    <x v="62"/>
    <n v="0.22"/>
    <n v="1"/>
    <n v="-20"/>
    <n v="120"/>
  </r>
  <r>
    <x v="67"/>
    <s v="conventional_cashout_refi_elig_pct_23"/>
    <x v="63"/>
    <n v="0.23"/>
    <n v="1"/>
    <n v="-20"/>
    <n v="120"/>
  </r>
  <r>
    <x v="67"/>
    <s v="conventional_cashout_refi_elig_pct_24"/>
    <x v="64"/>
    <n v="0.24"/>
    <n v="1"/>
    <n v="-20"/>
    <n v="120"/>
  </r>
  <r>
    <x v="67"/>
    <s v="conventional_cashout_refi_elig_pct_25"/>
    <x v="65"/>
    <n v="0.25"/>
    <n v="1"/>
    <n v="-20"/>
    <n v="120"/>
  </r>
  <r>
    <x v="67"/>
    <s v="conventional_cashout_refi_elig_pct_26"/>
    <x v="66"/>
    <n v="0.26"/>
    <n v="1"/>
    <n v="-20"/>
    <n v="120"/>
  </r>
  <r>
    <x v="67"/>
    <s v="conventional_cashout_refi_elig_pct_27"/>
    <x v="67"/>
    <n v="0.27"/>
    <n v="1"/>
    <n v="-20"/>
    <n v="120"/>
  </r>
  <r>
    <x v="67"/>
    <s v="conventional_cashout_refi_elig_pct_28"/>
    <x v="68"/>
    <n v="0.28000000000000003"/>
    <n v="1"/>
    <n v="-20"/>
    <n v="120"/>
  </r>
  <r>
    <x v="67"/>
    <s v="conventional_cashout_refi_elig_pct_29"/>
    <x v="69"/>
    <n v="0.28999999999999998"/>
    <n v="1"/>
    <n v="-20"/>
    <n v="120"/>
  </r>
  <r>
    <x v="67"/>
    <s v="conventional_cashout_refi_elig_pct_30"/>
    <x v="70"/>
    <n v="0.3"/>
    <n v="1"/>
    <n v="-20"/>
    <n v="120"/>
  </r>
  <r>
    <x v="67"/>
    <s v="conventional_cashout_refi_elig_pct_31"/>
    <x v="71"/>
    <n v="0.31"/>
    <n v="1"/>
    <n v="-20"/>
    <n v="120"/>
  </r>
  <r>
    <x v="67"/>
    <s v="conventional_cashout_refi_elig_pct_32"/>
    <x v="72"/>
    <n v="0.32"/>
    <n v="1"/>
    <n v="-20"/>
    <n v="120"/>
  </r>
  <r>
    <x v="67"/>
    <s v="conventional_cashout_refi_elig_pct_33"/>
    <x v="73"/>
    <n v="0.33"/>
    <n v="1"/>
    <n v="-20"/>
    <n v="120"/>
  </r>
  <r>
    <x v="67"/>
    <s v="conventional_cashout_refi_elig_pct_34"/>
    <x v="74"/>
    <n v="0.34"/>
    <n v="1"/>
    <n v="-20"/>
    <n v="120"/>
  </r>
  <r>
    <x v="67"/>
    <s v="conventional_cashout_refi_elig_pct_35"/>
    <x v="75"/>
    <n v="0.35"/>
    <n v="1"/>
    <n v="-20"/>
    <n v="120"/>
  </r>
  <r>
    <x v="67"/>
    <s v="conventional_cashout_refi_elig_pct_36"/>
    <x v="76"/>
    <n v="0.36"/>
    <n v="1"/>
    <n v="-20"/>
    <n v="120"/>
  </r>
  <r>
    <x v="67"/>
    <s v="conventional_cashout_refi_elig_pct_37"/>
    <x v="77"/>
    <n v="0.37"/>
    <n v="1"/>
    <n v="-20"/>
    <n v="120"/>
  </r>
  <r>
    <x v="67"/>
    <s v="conventional_cashout_refi_elig_pct_38"/>
    <x v="78"/>
    <n v="0.38"/>
    <n v="1"/>
    <n v="-20"/>
    <n v="120"/>
  </r>
  <r>
    <x v="67"/>
    <s v="conventional_cashout_refi_elig_pct_39"/>
    <x v="79"/>
    <n v="0.39"/>
    <n v="1"/>
    <n v="-20"/>
    <n v="120"/>
  </r>
  <r>
    <x v="67"/>
    <s v="conventional_cashout_refi_elig_pct_40"/>
    <x v="80"/>
    <n v="0.4"/>
    <n v="1"/>
    <n v="-20"/>
    <n v="120"/>
  </r>
  <r>
    <x v="67"/>
    <s v="conventional_cashout_refi_elig_pct_41"/>
    <x v="81"/>
    <n v="0.41"/>
    <n v="1"/>
    <n v="-20"/>
    <n v="120"/>
  </r>
  <r>
    <x v="67"/>
    <s v="conventional_cashout_refi_elig_pct_42"/>
    <x v="82"/>
    <n v="0.42"/>
    <n v="1"/>
    <n v="-20"/>
    <n v="120"/>
  </r>
  <r>
    <x v="67"/>
    <s v="conventional_cashout_refi_elig_pct_43"/>
    <x v="83"/>
    <n v="0.43"/>
    <n v="1"/>
    <n v="-20"/>
    <n v="120"/>
  </r>
  <r>
    <x v="67"/>
    <s v="conventional_cashout_refi_elig_pct_44"/>
    <x v="84"/>
    <n v="0.44"/>
    <n v="1"/>
    <n v="-20"/>
    <n v="120"/>
  </r>
  <r>
    <x v="67"/>
    <s v="conventional_cashout_refi_elig_pct_45"/>
    <x v="85"/>
    <n v="0.45"/>
    <n v="1"/>
    <n v="-20"/>
    <n v="120"/>
  </r>
  <r>
    <x v="67"/>
    <s v="conventional_cashout_refi_elig_pct_46"/>
    <x v="86"/>
    <n v="0.46"/>
    <n v="1"/>
    <n v="-20"/>
    <n v="120"/>
  </r>
  <r>
    <x v="67"/>
    <s v="conventional_cashout_refi_elig_pct_47"/>
    <x v="87"/>
    <n v="0.47"/>
    <n v="1"/>
    <n v="-20"/>
    <n v="120"/>
  </r>
  <r>
    <x v="67"/>
    <s v="conventional_cashout_refi_elig_pct_48"/>
    <x v="88"/>
    <n v="0.48"/>
    <n v="1"/>
    <n v="-20"/>
    <n v="120"/>
  </r>
  <r>
    <x v="67"/>
    <s v="conventional_cashout_refi_elig_pct_49"/>
    <x v="89"/>
    <n v="0.49"/>
    <n v="1"/>
    <n v="-20"/>
    <n v="120"/>
  </r>
  <r>
    <x v="67"/>
    <s v="conventional_cashout_refi_elig_pct_50"/>
    <x v="90"/>
    <n v="0.5"/>
    <n v="1"/>
    <n v="-20"/>
    <n v="120"/>
  </r>
  <r>
    <x v="67"/>
    <s v="conventional_cashout_refi_elig_pct_51"/>
    <x v="91"/>
    <n v="0.51"/>
    <n v="1"/>
    <n v="-20"/>
    <n v="120"/>
  </r>
  <r>
    <x v="67"/>
    <s v="conventional_cashout_refi_elig_pct_52"/>
    <x v="92"/>
    <n v="0.52"/>
    <n v="1"/>
    <n v="-20"/>
    <n v="120"/>
  </r>
  <r>
    <x v="67"/>
    <s v="conventional_cashout_refi_elig_pct_53"/>
    <x v="93"/>
    <n v="0.53"/>
    <n v="1"/>
    <n v="-20"/>
    <n v="120"/>
  </r>
  <r>
    <x v="67"/>
    <s v="conventional_cashout_refi_elig_pct_54"/>
    <x v="94"/>
    <n v="0.54"/>
    <n v="1"/>
    <n v="-20"/>
    <n v="120"/>
  </r>
  <r>
    <x v="67"/>
    <s v="conventional_cashout_refi_elig_pct_55"/>
    <x v="95"/>
    <n v="0.55000000000000004"/>
    <n v="1"/>
    <n v="-20"/>
    <n v="120"/>
  </r>
  <r>
    <x v="67"/>
    <s v="conventional_cashout_refi_elig_pct_56"/>
    <x v="96"/>
    <n v="0.56000000000000005"/>
    <n v="1"/>
    <n v="-20"/>
    <n v="120"/>
  </r>
  <r>
    <x v="67"/>
    <s v="conventional_cashout_refi_elig_pct_57"/>
    <x v="97"/>
    <n v="0.56999999999999995"/>
    <n v="1"/>
    <n v="-20"/>
    <n v="120"/>
  </r>
  <r>
    <x v="67"/>
    <s v="conventional_cashout_refi_elig_pct_58"/>
    <x v="98"/>
    <n v="0.57999999999999996"/>
    <n v="1"/>
    <n v="-20"/>
    <n v="120"/>
  </r>
  <r>
    <x v="67"/>
    <s v="conventional_cashout_refi_elig_pct_59"/>
    <x v="99"/>
    <n v="0.59"/>
    <n v="1"/>
    <n v="-20"/>
    <n v="120"/>
  </r>
  <r>
    <x v="67"/>
    <s v="conventional_cashout_refi_elig_pct_60"/>
    <x v="100"/>
    <n v="0.6"/>
    <n v="1"/>
    <n v="-20"/>
    <n v="120"/>
  </r>
  <r>
    <x v="67"/>
    <s v="conventional_cashout_refi_elig_pct_61"/>
    <x v="101"/>
    <n v="0.61"/>
    <n v="1"/>
    <n v="-20"/>
    <n v="120"/>
  </r>
  <r>
    <x v="67"/>
    <s v="conventional_cashout_refi_elig_pct_62"/>
    <x v="102"/>
    <n v="0.62"/>
    <n v="1"/>
    <n v="-20"/>
    <n v="120"/>
  </r>
  <r>
    <x v="67"/>
    <s v="conventional_cashout_refi_elig_pct_63"/>
    <x v="103"/>
    <n v="0.63"/>
    <n v="1"/>
    <n v="-20"/>
    <n v="120"/>
  </r>
  <r>
    <x v="67"/>
    <s v="conventional_cashout_refi_elig_pct_64"/>
    <x v="104"/>
    <n v="0.64"/>
    <n v="1"/>
    <n v="-20"/>
    <n v="120"/>
  </r>
  <r>
    <x v="67"/>
    <s v="conventional_cashout_refi_elig_pct_65"/>
    <x v="105"/>
    <n v="0.65"/>
    <n v="1"/>
    <n v="-20"/>
    <n v="120"/>
  </r>
  <r>
    <x v="67"/>
    <s v="conventional_cashout_refi_elig_pct_66"/>
    <x v="106"/>
    <n v="0.66"/>
    <n v="1"/>
    <n v="-20"/>
    <n v="120"/>
  </r>
  <r>
    <x v="67"/>
    <s v="conventional_cashout_refi_elig_pct_67"/>
    <x v="107"/>
    <n v="0.67"/>
    <n v="1"/>
    <n v="-20"/>
    <n v="120"/>
  </r>
  <r>
    <x v="67"/>
    <s v="conventional_cashout_refi_elig_pct_68"/>
    <x v="108"/>
    <n v="0.68"/>
    <n v="1"/>
    <n v="-20"/>
    <n v="120"/>
  </r>
  <r>
    <x v="67"/>
    <s v="conventional_cashout_refi_elig_pct_69"/>
    <x v="109"/>
    <n v="0.69"/>
    <n v="1"/>
    <n v="-20"/>
    <n v="120"/>
  </r>
  <r>
    <x v="67"/>
    <s v="conventional_cashout_refi_elig_pct_70"/>
    <x v="110"/>
    <n v="0.7"/>
    <n v="1"/>
    <n v="-20"/>
    <n v="120"/>
  </r>
  <r>
    <x v="67"/>
    <s v="conventional_cashout_refi_elig_pct_71"/>
    <x v="111"/>
    <n v="0.71"/>
    <n v="1"/>
    <n v="-20"/>
    <n v="120"/>
  </r>
  <r>
    <x v="67"/>
    <s v="conventional_cashout_refi_elig_pct_72"/>
    <x v="112"/>
    <n v="0.72"/>
    <n v="1"/>
    <n v="-20"/>
    <n v="120"/>
  </r>
  <r>
    <x v="67"/>
    <s v="conventional_cashout_refi_elig_pct_73"/>
    <x v="113"/>
    <n v="0.73"/>
    <n v="1"/>
    <n v="-20"/>
    <n v="120"/>
  </r>
  <r>
    <x v="67"/>
    <s v="conventional_cashout_refi_elig_pct_74"/>
    <x v="114"/>
    <n v="0.74"/>
    <n v="1"/>
    <n v="-20"/>
    <n v="120"/>
  </r>
  <r>
    <x v="67"/>
    <s v="conventional_cashout_refi_elig_pct_75"/>
    <x v="115"/>
    <n v="0.75"/>
    <n v="1"/>
    <n v="-20"/>
    <n v="120"/>
  </r>
  <r>
    <x v="67"/>
    <s v="conventional_cashout_refi_elig_pct_76"/>
    <x v="116"/>
    <n v="0.76"/>
    <n v="1"/>
    <n v="-20"/>
    <n v="120"/>
  </r>
  <r>
    <x v="67"/>
    <s v="conventional_cashout_refi_elig_pct_77"/>
    <x v="117"/>
    <n v="0.77"/>
    <n v="1"/>
    <n v="-20"/>
    <n v="120"/>
  </r>
  <r>
    <x v="67"/>
    <s v="conventional_cashout_refi_elig_pct_78"/>
    <x v="118"/>
    <n v="0.78"/>
    <n v="1"/>
    <n v="-20"/>
    <n v="120"/>
  </r>
  <r>
    <x v="67"/>
    <s v="conventional_cashout_refi_elig_pct_79"/>
    <x v="119"/>
    <n v="0.79"/>
    <n v="1"/>
    <n v="-20"/>
    <n v="120"/>
  </r>
  <r>
    <x v="67"/>
    <s v="conventional_cashout_refi_elig_pct_80"/>
    <x v="120"/>
    <n v="0.8"/>
    <n v="1"/>
    <n v="-20"/>
    <n v="120"/>
  </r>
  <r>
    <x v="67"/>
    <s v="conventional_cashout_refi_elig_pct_81"/>
    <x v="121"/>
    <n v="0.81"/>
    <n v="1"/>
    <n v="-20"/>
    <n v="120"/>
  </r>
  <r>
    <x v="67"/>
    <s v="conventional_cashout_refi_elig_pct_82"/>
    <x v="122"/>
    <n v="0.82"/>
    <n v="1"/>
    <n v="-20"/>
    <n v="120"/>
  </r>
  <r>
    <x v="67"/>
    <s v="conventional_cashout_refi_elig_pct_83"/>
    <x v="123"/>
    <n v="0.83"/>
    <n v="1"/>
    <n v="-20"/>
    <n v="120"/>
  </r>
  <r>
    <x v="67"/>
    <s v="conventional_cashout_refi_elig_pct_84"/>
    <x v="124"/>
    <n v="0.84"/>
    <n v="1"/>
    <n v="-20"/>
    <n v="120"/>
  </r>
  <r>
    <x v="67"/>
    <s v="conventional_cashout_refi_elig_pct_85"/>
    <x v="125"/>
    <n v="0.85"/>
    <n v="1"/>
    <n v="-20"/>
    <n v="120"/>
  </r>
  <r>
    <x v="67"/>
    <s v="conventional_cashout_refi_elig_pct_86"/>
    <x v="126"/>
    <n v="0.86"/>
    <n v="1"/>
    <n v="-20"/>
    <n v="120"/>
  </r>
  <r>
    <x v="67"/>
    <s v="conventional_cashout_refi_elig_pct_87"/>
    <x v="127"/>
    <n v="0.87"/>
    <n v="1"/>
    <n v="-20"/>
    <n v="120"/>
  </r>
  <r>
    <x v="67"/>
    <s v="conventional_cashout_refi_elig_pct_88"/>
    <x v="128"/>
    <n v="0.88"/>
    <n v="1"/>
    <n v="-20"/>
    <n v="120"/>
  </r>
  <r>
    <x v="67"/>
    <s v="conventional_cashout_refi_elig_pct_89"/>
    <x v="129"/>
    <n v="0.89"/>
    <n v="1"/>
    <n v="-20"/>
    <n v="120"/>
  </r>
  <r>
    <x v="67"/>
    <s v="conventional_cashout_refi_elig_pct_90"/>
    <x v="130"/>
    <n v="0.9"/>
    <n v="1"/>
    <n v="-20"/>
    <n v="120"/>
  </r>
  <r>
    <x v="67"/>
    <s v="conventional_cashout_refi_elig_pct_91"/>
    <x v="131"/>
    <n v="0.91"/>
    <n v="1"/>
    <n v="-20"/>
    <n v="120"/>
  </r>
  <r>
    <x v="67"/>
    <s v="conventional_cashout_refi_elig_pct_92"/>
    <x v="132"/>
    <n v="0.92"/>
    <n v="1"/>
    <n v="-20"/>
    <n v="120"/>
  </r>
  <r>
    <x v="67"/>
    <s v="conventional_cashout_refi_elig_pct_93"/>
    <x v="133"/>
    <n v="0.93"/>
    <n v="1"/>
    <n v="-20"/>
    <n v="120"/>
  </r>
  <r>
    <x v="67"/>
    <s v="conventional_cashout_refi_elig_pct_94"/>
    <x v="134"/>
    <n v="0.94"/>
    <n v="1"/>
    <n v="-20"/>
    <n v="120"/>
  </r>
  <r>
    <x v="67"/>
    <s v="conventional_cashout_refi_elig_pct_95"/>
    <x v="135"/>
    <n v="0.95"/>
    <n v="1"/>
    <n v="-20"/>
    <n v="120"/>
  </r>
  <r>
    <x v="67"/>
    <s v="conventional_cashout_refi_elig_pct_96"/>
    <x v="136"/>
    <n v="0.96"/>
    <n v="1"/>
    <n v="-20"/>
    <n v="120"/>
  </r>
  <r>
    <x v="67"/>
    <s v="conventional_cashout_refi_elig_pct_97"/>
    <x v="137"/>
    <n v="0.97"/>
    <n v="1"/>
    <n v="-20"/>
    <n v="120"/>
  </r>
  <r>
    <x v="67"/>
    <s v="conventional_cashout_refi_elig_pct_98"/>
    <x v="138"/>
    <n v="0.98"/>
    <n v="1"/>
    <n v="-20"/>
    <n v="120"/>
  </r>
  <r>
    <x v="67"/>
    <s v="conventional_cashout_refi_elig_pct_99"/>
    <x v="139"/>
    <n v="0.99"/>
    <n v="1"/>
    <n v="-20"/>
    <n v="120"/>
  </r>
  <r>
    <x v="67"/>
    <s v="conventional_cashout_refi_elig_pct_100"/>
    <x v="140"/>
    <n v="1"/>
    <n v="1"/>
    <n v="-20"/>
    <n v="120"/>
  </r>
  <r>
    <x v="67"/>
    <s v="conventional_cashout_refi_elig_pct_101"/>
    <x v="141"/>
    <n v="1.01"/>
    <n v="1"/>
    <n v="-20"/>
    <n v="120"/>
  </r>
  <r>
    <x v="67"/>
    <s v="conventional_cashout_refi_elig_pct_102"/>
    <x v="142"/>
    <n v="1.02"/>
    <n v="1"/>
    <n v="-20"/>
    <n v="120"/>
  </r>
  <r>
    <x v="67"/>
    <s v="conventional_cashout_refi_elig_pct_103"/>
    <x v="143"/>
    <n v="1.03"/>
    <n v="1"/>
    <n v="-20"/>
    <n v="120"/>
  </r>
  <r>
    <x v="67"/>
    <s v="conventional_cashout_refi_elig_pct_104"/>
    <x v="144"/>
    <n v="1.04"/>
    <n v="1"/>
    <n v="-20"/>
    <n v="120"/>
  </r>
  <r>
    <x v="67"/>
    <s v="conventional_cashout_refi_elig_pct_105"/>
    <x v="145"/>
    <n v="1.05"/>
    <n v="1"/>
    <n v="-20"/>
    <n v="120"/>
  </r>
  <r>
    <x v="67"/>
    <s v="conventional_cashout_refi_elig_pct_106"/>
    <x v="146"/>
    <n v="1.06"/>
    <n v="1"/>
    <n v="-20"/>
    <n v="120"/>
  </r>
  <r>
    <x v="67"/>
    <s v="conventional_cashout_refi_elig_pct_107"/>
    <x v="147"/>
    <n v="1.07"/>
    <n v="1"/>
    <n v="-20"/>
    <n v="120"/>
  </r>
  <r>
    <x v="67"/>
    <s v="conventional_cashout_refi_elig_pct_108"/>
    <x v="148"/>
    <n v="1.08"/>
    <n v="1"/>
    <n v="-20"/>
    <n v="120"/>
  </r>
  <r>
    <x v="67"/>
    <s v="conventional_cashout_refi_elig_pct_109"/>
    <x v="149"/>
    <n v="1.0900000000000001"/>
    <n v="1"/>
    <n v="-20"/>
    <n v="120"/>
  </r>
  <r>
    <x v="67"/>
    <s v="conventional_cashout_refi_elig_pct_110"/>
    <x v="150"/>
    <n v="1.1000000000000001"/>
    <n v="1"/>
    <n v="-20"/>
    <n v="120"/>
  </r>
  <r>
    <x v="67"/>
    <s v="conventional_cashout_refi_elig_pct_111"/>
    <x v="151"/>
    <n v="1.1100000000000001"/>
    <n v="1"/>
    <n v="-20"/>
    <n v="120"/>
  </r>
  <r>
    <x v="67"/>
    <s v="conventional_cashout_refi_elig_pct_112"/>
    <x v="152"/>
    <n v="1.1200000000000001"/>
    <n v="1"/>
    <n v="-20"/>
    <n v="120"/>
  </r>
  <r>
    <x v="67"/>
    <s v="conventional_cashout_refi_elig_pct_113"/>
    <x v="153"/>
    <n v="1.1299999999999999"/>
    <n v="1"/>
    <n v="-20"/>
    <n v="120"/>
  </r>
  <r>
    <x v="67"/>
    <s v="conventional_cashout_refi_elig_pct_114"/>
    <x v="154"/>
    <n v="1.1399999999999999"/>
    <n v="1"/>
    <n v="-20"/>
    <n v="120"/>
  </r>
  <r>
    <x v="67"/>
    <s v="conventional_cashout_refi_elig_pct_115"/>
    <x v="155"/>
    <n v="1.1499999999999999"/>
    <n v="1"/>
    <n v="-20"/>
    <n v="120"/>
  </r>
  <r>
    <x v="67"/>
    <s v="conventional_cashout_refi_elig_pct_116"/>
    <x v="156"/>
    <n v="1.1599999999999999"/>
    <n v="1"/>
    <n v="-20"/>
    <n v="120"/>
  </r>
  <r>
    <x v="67"/>
    <s v="conventional_cashout_refi_elig_pct_117"/>
    <x v="157"/>
    <n v="1.17"/>
    <n v="1"/>
    <n v="-20"/>
    <n v="120"/>
  </r>
  <r>
    <x v="67"/>
    <s v="conventional_cashout_refi_elig_pct_118"/>
    <x v="158"/>
    <n v="1.18"/>
    <n v="1"/>
    <n v="-20"/>
    <n v="120"/>
  </r>
  <r>
    <x v="67"/>
    <s v="conventional_cashout_refi_elig_pct_119"/>
    <x v="159"/>
    <n v="1.19"/>
    <n v="1"/>
    <n v="-20"/>
    <n v="120"/>
  </r>
  <r>
    <x v="67"/>
    <s v="conventional_cashout_refi_elig_pct_120"/>
    <x v="160"/>
    <n v="1.2"/>
    <n v="1"/>
    <n v="-20"/>
    <n v="120"/>
  </r>
  <r>
    <x v="68"/>
    <s v="conventional_cashout_pct_tpo_-20"/>
    <x v="20"/>
    <n v="1"/>
    <n v="1"/>
    <n v="-20"/>
    <n v="120"/>
  </r>
  <r>
    <x v="68"/>
    <s v="conventional_cashout_pct_tpo_-19"/>
    <x v="21"/>
    <n v="1"/>
    <n v="1"/>
    <n v="-20"/>
    <n v="120"/>
  </r>
  <r>
    <x v="68"/>
    <s v="conventional_cashout_pct_tpo_-18"/>
    <x v="22"/>
    <n v="1"/>
    <n v="1"/>
    <n v="-20"/>
    <n v="120"/>
  </r>
  <r>
    <x v="68"/>
    <s v="conventional_cashout_pct_tpo_-17"/>
    <x v="23"/>
    <n v="1"/>
    <n v="1"/>
    <n v="-20"/>
    <n v="120"/>
  </r>
  <r>
    <x v="68"/>
    <s v="conventional_cashout_pct_tpo_-16"/>
    <x v="24"/>
    <n v="1"/>
    <n v="1"/>
    <n v="-20"/>
    <n v="120"/>
  </r>
  <r>
    <x v="68"/>
    <s v="conventional_cashout_pct_tpo_-15"/>
    <x v="25"/>
    <n v="1"/>
    <n v="1"/>
    <n v="-20"/>
    <n v="120"/>
  </r>
  <r>
    <x v="68"/>
    <s v="conventional_cashout_pct_tpo_-14"/>
    <x v="26"/>
    <n v="1"/>
    <n v="1"/>
    <n v="-20"/>
    <n v="120"/>
  </r>
  <r>
    <x v="68"/>
    <s v="conventional_cashout_pct_tpo_-13"/>
    <x v="27"/>
    <n v="1"/>
    <n v="1"/>
    <n v="-20"/>
    <n v="120"/>
  </r>
  <r>
    <x v="68"/>
    <s v="conventional_cashout_pct_tpo_-12"/>
    <x v="28"/>
    <n v="1"/>
    <n v="1"/>
    <n v="-20"/>
    <n v="120"/>
  </r>
  <r>
    <x v="68"/>
    <s v="conventional_cashout_pct_tpo_-11"/>
    <x v="29"/>
    <n v="1"/>
    <n v="1"/>
    <n v="-20"/>
    <n v="120"/>
  </r>
  <r>
    <x v="68"/>
    <s v="conventional_cashout_pct_tpo_-10"/>
    <x v="30"/>
    <n v="1"/>
    <n v="1"/>
    <n v="-20"/>
    <n v="120"/>
  </r>
  <r>
    <x v="68"/>
    <s v="conventional_cashout_pct_tpo_-9"/>
    <x v="31"/>
    <n v="1"/>
    <n v="1"/>
    <n v="-20"/>
    <n v="120"/>
  </r>
  <r>
    <x v="68"/>
    <s v="conventional_cashout_pct_tpo_-8"/>
    <x v="32"/>
    <n v="1"/>
    <n v="1"/>
    <n v="-20"/>
    <n v="120"/>
  </r>
  <r>
    <x v="68"/>
    <s v="conventional_cashout_pct_tpo_-7"/>
    <x v="33"/>
    <n v="1"/>
    <n v="1"/>
    <n v="-20"/>
    <n v="120"/>
  </r>
  <r>
    <x v="68"/>
    <s v="conventional_cashout_pct_tpo_-6"/>
    <x v="34"/>
    <n v="1"/>
    <n v="1"/>
    <n v="-20"/>
    <n v="120"/>
  </r>
  <r>
    <x v="68"/>
    <s v="conventional_cashout_pct_tpo_-5"/>
    <x v="35"/>
    <n v="1"/>
    <n v="1"/>
    <n v="-20"/>
    <n v="120"/>
  </r>
  <r>
    <x v="68"/>
    <s v="conventional_cashout_pct_tpo_-4"/>
    <x v="36"/>
    <n v="1"/>
    <n v="1"/>
    <n v="-20"/>
    <n v="120"/>
  </r>
  <r>
    <x v="68"/>
    <s v="conventional_cashout_pct_tpo_-3"/>
    <x v="37"/>
    <n v="1"/>
    <n v="1"/>
    <n v="-20"/>
    <n v="120"/>
  </r>
  <r>
    <x v="68"/>
    <s v="conventional_cashout_pct_tpo_-2"/>
    <x v="38"/>
    <n v="1"/>
    <n v="1"/>
    <n v="-20"/>
    <n v="120"/>
  </r>
  <r>
    <x v="68"/>
    <s v="conventional_cashout_pct_tpo_-1"/>
    <x v="39"/>
    <n v="1"/>
    <n v="1"/>
    <n v="-20"/>
    <n v="120"/>
  </r>
  <r>
    <x v="68"/>
    <s v="conventional_cashout_pct_tpo_0"/>
    <x v="40"/>
    <n v="1"/>
    <n v="1"/>
    <n v="-20"/>
    <n v="120"/>
  </r>
  <r>
    <x v="68"/>
    <s v="conventional_cashout_pct_tpo_1"/>
    <x v="41"/>
    <n v="1"/>
    <n v="1"/>
    <n v="-20"/>
    <n v="120"/>
  </r>
  <r>
    <x v="68"/>
    <s v="conventional_cashout_pct_tpo_2"/>
    <x v="42"/>
    <n v="1"/>
    <n v="1"/>
    <n v="-20"/>
    <n v="120"/>
  </r>
  <r>
    <x v="68"/>
    <s v="conventional_cashout_pct_tpo_3"/>
    <x v="43"/>
    <n v="1"/>
    <n v="1"/>
    <n v="-20"/>
    <n v="120"/>
  </r>
  <r>
    <x v="68"/>
    <s v="conventional_cashout_pct_tpo_4"/>
    <x v="44"/>
    <n v="1"/>
    <n v="1"/>
    <n v="-20"/>
    <n v="120"/>
  </r>
  <r>
    <x v="68"/>
    <s v="conventional_cashout_pct_tpo_5"/>
    <x v="45"/>
    <n v="1"/>
    <n v="1"/>
    <n v="-20"/>
    <n v="120"/>
  </r>
  <r>
    <x v="68"/>
    <s v="conventional_cashout_pct_tpo_6"/>
    <x v="46"/>
    <n v="1"/>
    <n v="1"/>
    <n v="-20"/>
    <n v="120"/>
  </r>
  <r>
    <x v="68"/>
    <s v="conventional_cashout_pct_tpo_7"/>
    <x v="47"/>
    <n v="1"/>
    <n v="1"/>
    <n v="-20"/>
    <n v="120"/>
  </r>
  <r>
    <x v="68"/>
    <s v="conventional_cashout_pct_tpo_8"/>
    <x v="48"/>
    <n v="1"/>
    <n v="1"/>
    <n v="-20"/>
    <n v="120"/>
  </r>
  <r>
    <x v="68"/>
    <s v="conventional_cashout_pct_tpo_9"/>
    <x v="49"/>
    <n v="1"/>
    <n v="1"/>
    <n v="-20"/>
    <n v="120"/>
  </r>
  <r>
    <x v="68"/>
    <s v="conventional_cashout_pct_tpo_10"/>
    <x v="50"/>
    <n v="1"/>
    <n v="1"/>
    <n v="-20"/>
    <n v="120"/>
  </r>
  <r>
    <x v="68"/>
    <s v="conventional_cashout_pct_tpo_11"/>
    <x v="51"/>
    <n v="1"/>
    <n v="1"/>
    <n v="-20"/>
    <n v="120"/>
  </r>
  <r>
    <x v="68"/>
    <s v="conventional_cashout_pct_tpo_12"/>
    <x v="52"/>
    <n v="1"/>
    <n v="1"/>
    <n v="-20"/>
    <n v="120"/>
  </r>
  <r>
    <x v="68"/>
    <s v="conventional_cashout_pct_tpo_13"/>
    <x v="53"/>
    <n v="1"/>
    <n v="1"/>
    <n v="-20"/>
    <n v="120"/>
  </r>
  <r>
    <x v="68"/>
    <s v="conventional_cashout_pct_tpo_14"/>
    <x v="54"/>
    <n v="1"/>
    <n v="1"/>
    <n v="-20"/>
    <n v="120"/>
  </r>
  <r>
    <x v="68"/>
    <s v="conventional_cashout_pct_tpo_15"/>
    <x v="55"/>
    <n v="1"/>
    <n v="1"/>
    <n v="-20"/>
    <n v="120"/>
  </r>
  <r>
    <x v="68"/>
    <s v="conventional_cashout_pct_tpo_16"/>
    <x v="56"/>
    <n v="1"/>
    <n v="1"/>
    <n v="-20"/>
    <n v="120"/>
  </r>
  <r>
    <x v="68"/>
    <s v="conventional_cashout_pct_tpo_17"/>
    <x v="57"/>
    <n v="1"/>
    <n v="1"/>
    <n v="-20"/>
    <n v="120"/>
  </r>
  <r>
    <x v="68"/>
    <s v="conventional_cashout_pct_tpo_18"/>
    <x v="58"/>
    <n v="1"/>
    <n v="1"/>
    <n v="-20"/>
    <n v="120"/>
  </r>
  <r>
    <x v="68"/>
    <s v="conventional_cashout_pct_tpo_19"/>
    <x v="59"/>
    <n v="1"/>
    <n v="1"/>
    <n v="-20"/>
    <n v="120"/>
  </r>
  <r>
    <x v="68"/>
    <s v="conventional_cashout_pct_tpo_20"/>
    <x v="60"/>
    <n v="1"/>
    <n v="1"/>
    <n v="-20"/>
    <n v="120"/>
  </r>
  <r>
    <x v="68"/>
    <s v="conventional_cashout_pct_tpo_21"/>
    <x v="61"/>
    <n v="1"/>
    <n v="1"/>
    <n v="-20"/>
    <n v="120"/>
  </r>
  <r>
    <x v="68"/>
    <s v="conventional_cashout_pct_tpo_22"/>
    <x v="62"/>
    <n v="1"/>
    <n v="1"/>
    <n v="-20"/>
    <n v="120"/>
  </r>
  <r>
    <x v="68"/>
    <s v="conventional_cashout_pct_tpo_23"/>
    <x v="63"/>
    <n v="1"/>
    <n v="1"/>
    <n v="-20"/>
    <n v="120"/>
  </r>
  <r>
    <x v="68"/>
    <s v="conventional_cashout_pct_tpo_24"/>
    <x v="64"/>
    <n v="1"/>
    <n v="1"/>
    <n v="-20"/>
    <n v="120"/>
  </r>
  <r>
    <x v="68"/>
    <s v="conventional_cashout_pct_tpo_25"/>
    <x v="65"/>
    <n v="1"/>
    <n v="1"/>
    <n v="-20"/>
    <n v="120"/>
  </r>
  <r>
    <x v="68"/>
    <s v="conventional_cashout_pct_tpo_26"/>
    <x v="66"/>
    <n v="1"/>
    <n v="1"/>
    <n v="-20"/>
    <n v="120"/>
  </r>
  <r>
    <x v="68"/>
    <s v="conventional_cashout_pct_tpo_27"/>
    <x v="67"/>
    <n v="1"/>
    <n v="1"/>
    <n v="-20"/>
    <n v="120"/>
  </r>
  <r>
    <x v="68"/>
    <s v="conventional_cashout_pct_tpo_28"/>
    <x v="68"/>
    <n v="1"/>
    <n v="1"/>
    <n v="-20"/>
    <n v="120"/>
  </r>
  <r>
    <x v="68"/>
    <s v="conventional_cashout_pct_tpo_29"/>
    <x v="69"/>
    <n v="1"/>
    <n v="1"/>
    <n v="-20"/>
    <n v="120"/>
  </r>
  <r>
    <x v="68"/>
    <s v="conventional_cashout_pct_tpo_30"/>
    <x v="70"/>
    <n v="1"/>
    <n v="1"/>
    <n v="-20"/>
    <n v="120"/>
  </r>
  <r>
    <x v="68"/>
    <s v="conventional_cashout_pct_tpo_31"/>
    <x v="71"/>
    <n v="1"/>
    <n v="1"/>
    <n v="-20"/>
    <n v="120"/>
  </r>
  <r>
    <x v="68"/>
    <s v="conventional_cashout_pct_tpo_32"/>
    <x v="72"/>
    <n v="1"/>
    <n v="1"/>
    <n v="-20"/>
    <n v="120"/>
  </r>
  <r>
    <x v="68"/>
    <s v="conventional_cashout_pct_tpo_33"/>
    <x v="73"/>
    <n v="1"/>
    <n v="1"/>
    <n v="-20"/>
    <n v="120"/>
  </r>
  <r>
    <x v="68"/>
    <s v="conventional_cashout_pct_tpo_34"/>
    <x v="74"/>
    <n v="1"/>
    <n v="1"/>
    <n v="-20"/>
    <n v="120"/>
  </r>
  <r>
    <x v="68"/>
    <s v="conventional_cashout_pct_tpo_35"/>
    <x v="75"/>
    <n v="1"/>
    <n v="1"/>
    <n v="-20"/>
    <n v="120"/>
  </r>
  <r>
    <x v="68"/>
    <s v="conventional_cashout_pct_tpo_36"/>
    <x v="76"/>
    <n v="1"/>
    <n v="1"/>
    <n v="-20"/>
    <n v="120"/>
  </r>
  <r>
    <x v="68"/>
    <s v="conventional_cashout_pct_tpo_37"/>
    <x v="77"/>
    <n v="1"/>
    <n v="1"/>
    <n v="-20"/>
    <n v="120"/>
  </r>
  <r>
    <x v="68"/>
    <s v="conventional_cashout_pct_tpo_38"/>
    <x v="78"/>
    <n v="1"/>
    <n v="1"/>
    <n v="-20"/>
    <n v="120"/>
  </r>
  <r>
    <x v="68"/>
    <s v="conventional_cashout_pct_tpo_39"/>
    <x v="79"/>
    <n v="1"/>
    <n v="1"/>
    <n v="-20"/>
    <n v="120"/>
  </r>
  <r>
    <x v="68"/>
    <s v="conventional_cashout_pct_tpo_40"/>
    <x v="80"/>
    <n v="1"/>
    <n v="1"/>
    <n v="-20"/>
    <n v="120"/>
  </r>
  <r>
    <x v="68"/>
    <s v="conventional_cashout_pct_tpo_41"/>
    <x v="81"/>
    <n v="1"/>
    <n v="1"/>
    <n v="-20"/>
    <n v="120"/>
  </r>
  <r>
    <x v="68"/>
    <s v="conventional_cashout_pct_tpo_42"/>
    <x v="82"/>
    <n v="1"/>
    <n v="1"/>
    <n v="-20"/>
    <n v="120"/>
  </r>
  <r>
    <x v="68"/>
    <s v="conventional_cashout_pct_tpo_43"/>
    <x v="83"/>
    <n v="1"/>
    <n v="1"/>
    <n v="-20"/>
    <n v="120"/>
  </r>
  <r>
    <x v="68"/>
    <s v="conventional_cashout_pct_tpo_44"/>
    <x v="84"/>
    <n v="1"/>
    <n v="1"/>
    <n v="-20"/>
    <n v="120"/>
  </r>
  <r>
    <x v="68"/>
    <s v="conventional_cashout_pct_tpo_45"/>
    <x v="85"/>
    <n v="1"/>
    <n v="1"/>
    <n v="-20"/>
    <n v="120"/>
  </r>
  <r>
    <x v="68"/>
    <s v="conventional_cashout_pct_tpo_46"/>
    <x v="86"/>
    <n v="1"/>
    <n v="1"/>
    <n v="-20"/>
    <n v="120"/>
  </r>
  <r>
    <x v="68"/>
    <s v="conventional_cashout_pct_tpo_47"/>
    <x v="87"/>
    <n v="1"/>
    <n v="1"/>
    <n v="-20"/>
    <n v="120"/>
  </r>
  <r>
    <x v="68"/>
    <s v="conventional_cashout_pct_tpo_48"/>
    <x v="88"/>
    <n v="1"/>
    <n v="1"/>
    <n v="-20"/>
    <n v="120"/>
  </r>
  <r>
    <x v="68"/>
    <s v="conventional_cashout_pct_tpo_49"/>
    <x v="89"/>
    <n v="1"/>
    <n v="1"/>
    <n v="-20"/>
    <n v="120"/>
  </r>
  <r>
    <x v="68"/>
    <s v="conventional_cashout_pct_tpo_50"/>
    <x v="90"/>
    <n v="1"/>
    <n v="1"/>
    <n v="-20"/>
    <n v="120"/>
  </r>
  <r>
    <x v="68"/>
    <s v="conventional_cashout_pct_tpo_51"/>
    <x v="91"/>
    <n v="1"/>
    <n v="1"/>
    <n v="-20"/>
    <n v="120"/>
  </r>
  <r>
    <x v="68"/>
    <s v="conventional_cashout_pct_tpo_52"/>
    <x v="92"/>
    <n v="1"/>
    <n v="1"/>
    <n v="-20"/>
    <n v="120"/>
  </r>
  <r>
    <x v="68"/>
    <s v="conventional_cashout_pct_tpo_53"/>
    <x v="93"/>
    <n v="1"/>
    <n v="1"/>
    <n v="-20"/>
    <n v="120"/>
  </r>
  <r>
    <x v="68"/>
    <s v="conventional_cashout_pct_tpo_54"/>
    <x v="94"/>
    <n v="1"/>
    <n v="1"/>
    <n v="-20"/>
    <n v="120"/>
  </r>
  <r>
    <x v="68"/>
    <s v="conventional_cashout_pct_tpo_55"/>
    <x v="95"/>
    <n v="1"/>
    <n v="1"/>
    <n v="-20"/>
    <n v="120"/>
  </r>
  <r>
    <x v="68"/>
    <s v="conventional_cashout_pct_tpo_56"/>
    <x v="96"/>
    <n v="1"/>
    <n v="1"/>
    <n v="-20"/>
    <n v="120"/>
  </r>
  <r>
    <x v="68"/>
    <s v="conventional_cashout_pct_tpo_57"/>
    <x v="97"/>
    <n v="1"/>
    <n v="1"/>
    <n v="-20"/>
    <n v="120"/>
  </r>
  <r>
    <x v="68"/>
    <s v="conventional_cashout_pct_tpo_58"/>
    <x v="98"/>
    <n v="1"/>
    <n v="1"/>
    <n v="-20"/>
    <n v="120"/>
  </r>
  <r>
    <x v="68"/>
    <s v="conventional_cashout_pct_tpo_59"/>
    <x v="99"/>
    <n v="1"/>
    <n v="1"/>
    <n v="-20"/>
    <n v="120"/>
  </r>
  <r>
    <x v="68"/>
    <s v="conventional_cashout_pct_tpo_60"/>
    <x v="100"/>
    <n v="1"/>
    <n v="1"/>
    <n v="-20"/>
    <n v="120"/>
  </r>
  <r>
    <x v="68"/>
    <s v="conventional_cashout_pct_tpo_61"/>
    <x v="101"/>
    <n v="1"/>
    <n v="1"/>
    <n v="-20"/>
    <n v="120"/>
  </r>
  <r>
    <x v="68"/>
    <s v="conventional_cashout_pct_tpo_62"/>
    <x v="102"/>
    <n v="1"/>
    <n v="1"/>
    <n v="-20"/>
    <n v="120"/>
  </r>
  <r>
    <x v="68"/>
    <s v="conventional_cashout_pct_tpo_63"/>
    <x v="103"/>
    <n v="1"/>
    <n v="1"/>
    <n v="-20"/>
    <n v="120"/>
  </r>
  <r>
    <x v="68"/>
    <s v="conventional_cashout_pct_tpo_64"/>
    <x v="104"/>
    <n v="1"/>
    <n v="1"/>
    <n v="-20"/>
    <n v="120"/>
  </r>
  <r>
    <x v="68"/>
    <s v="conventional_cashout_pct_tpo_65"/>
    <x v="105"/>
    <n v="1"/>
    <n v="1"/>
    <n v="-20"/>
    <n v="120"/>
  </r>
  <r>
    <x v="68"/>
    <s v="conventional_cashout_pct_tpo_66"/>
    <x v="106"/>
    <n v="1"/>
    <n v="1"/>
    <n v="-20"/>
    <n v="120"/>
  </r>
  <r>
    <x v="68"/>
    <s v="conventional_cashout_pct_tpo_67"/>
    <x v="107"/>
    <n v="1"/>
    <n v="1"/>
    <n v="-20"/>
    <n v="120"/>
  </r>
  <r>
    <x v="68"/>
    <s v="conventional_cashout_pct_tpo_68"/>
    <x v="108"/>
    <n v="1"/>
    <n v="1"/>
    <n v="-20"/>
    <n v="120"/>
  </r>
  <r>
    <x v="68"/>
    <s v="conventional_cashout_pct_tpo_69"/>
    <x v="109"/>
    <n v="1"/>
    <n v="1"/>
    <n v="-20"/>
    <n v="120"/>
  </r>
  <r>
    <x v="68"/>
    <s v="conventional_cashout_pct_tpo_70"/>
    <x v="110"/>
    <n v="1"/>
    <n v="1"/>
    <n v="-20"/>
    <n v="120"/>
  </r>
  <r>
    <x v="68"/>
    <s v="conventional_cashout_pct_tpo_71"/>
    <x v="111"/>
    <n v="1"/>
    <n v="1"/>
    <n v="-20"/>
    <n v="120"/>
  </r>
  <r>
    <x v="68"/>
    <s v="conventional_cashout_pct_tpo_72"/>
    <x v="112"/>
    <n v="1"/>
    <n v="1"/>
    <n v="-20"/>
    <n v="120"/>
  </r>
  <r>
    <x v="68"/>
    <s v="conventional_cashout_pct_tpo_73"/>
    <x v="113"/>
    <n v="1"/>
    <n v="1"/>
    <n v="-20"/>
    <n v="120"/>
  </r>
  <r>
    <x v="68"/>
    <s v="conventional_cashout_pct_tpo_74"/>
    <x v="114"/>
    <n v="1"/>
    <n v="1"/>
    <n v="-20"/>
    <n v="120"/>
  </r>
  <r>
    <x v="68"/>
    <s v="conventional_cashout_pct_tpo_75"/>
    <x v="115"/>
    <n v="1"/>
    <n v="1"/>
    <n v="-20"/>
    <n v="120"/>
  </r>
  <r>
    <x v="68"/>
    <s v="conventional_cashout_pct_tpo_76"/>
    <x v="116"/>
    <n v="1"/>
    <n v="1"/>
    <n v="-20"/>
    <n v="120"/>
  </r>
  <r>
    <x v="68"/>
    <s v="conventional_cashout_pct_tpo_77"/>
    <x v="117"/>
    <n v="1"/>
    <n v="1"/>
    <n v="-20"/>
    <n v="120"/>
  </r>
  <r>
    <x v="68"/>
    <s v="conventional_cashout_pct_tpo_78"/>
    <x v="118"/>
    <n v="1"/>
    <n v="1"/>
    <n v="-20"/>
    <n v="120"/>
  </r>
  <r>
    <x v="68"/>
    <s v="conventional_cashout_pct_tpo_79"/>
    <x v="119"/>
    <n v="1"/>
    <n v="1"/>
    <n v="-20"/>
    <n v="120"/>
  </r>
  <r>
    <x v="68"/>
    <s v="conventional_cashout_pct_tpo_80"/>
    <x v="120"/>
    <n v="1"/>
    <n v="1"/>
    <n v="-20"/>
    <n v="120"/>
  </r>
  <r>
    <x v="68"/>
    <s v="conventional_cashout_pct_tpo_81"/>
    <x v="121"/>
    <n v="1"/>
    <n v="1"/>
    <n v="-20"/>
    <n v="120"/>
  </r>
  <r>
    <x v="68"/>
    <s v="conventional_cashout_pct_tpo_82"/>
    <x v="122"/>
    <n v="1"/>
    <n v="1"/>
    <n v="-20"/>
    <n v="120"/>
  </r>
  <r>
    <x v="68"/>
    <s v="conventional_cashout_pct_tpo_83"/>
    <x v="123"/>
    <n v="1"/>
    <n v="1"/>
    <n v="-20"/>
    <n v="120"/>
  </r>
  <r>
    <x v="68"/>
    <s v="conventional_cashout_pct_tpo_84"/>
    <x v="124"/>
    <n v="1"/>
    <n v="1"/>
    <n v="-20"/>
    <n v="120"/>
  </r>
  <r>
    <x v="68"/>
    <s v="conventional_cashout_pct_tpo_85"/>
    <x v="125"/>
    <n v="1"/>
    <n v="1"/>
    <n v="-20"/>
    <n v="120"/>
  </r>
  <r>
    <x v="68"/>
    <s v="conventional_cashout_pct_tpo_86"/>
    <x v="126"/>
    <n v="1"/>
    <n v="1"/>
    <n v="-20"/>
    <n v="120"/>
  </r>
  <r>
    <x v="68"/>
    <s v="conventional_cashout_pct_tpo_87"/>
    <x v="127"/>
    <n v="1"/>
    <n v="1"/>
    <n v="-20"/>
    <n v="120"/>
  </r>
  <r>
    <x v="68"/>
    <s v="conventional_cashout_pct_tpo_88"/>
    <x v="128"/>
    <n v="1"/>
    <n v="1"/>
    <n v="-20"/>
    <n v="120"/>
  </r>
  <r>
    <x v="68"/>
    <s v="conventional_cashout_pct_tpo_89"/>
    <x v="129"/>
    <n v="1"/>
    <n v="1"/>
    <n v="-20"/>
    <n v="120"/>
  </r>
  <r>
    <x v="68"/>
    <s v="conventional_cashout_pct_tpo_90"/>
    <x v="130"/>
    <n v="1"/>
    <n v="1"/>
    <n v="-20"/>
    <n v="120"/>
  </r>
  <r>
    <x v="68"/>
    <s v="conventional_cashout_pct_tpo_91"/>
    <x v="131"/>
    <n v="1"/>
    <n v="1"/>
    <n v="-20"/>
    <n v="120"/>
  </r>
  <r>
    <x v="68"/>
    <s v="conventional_cashout_pct_tpo_92"/>
    <x v="132"/>
    <n v="1"/>
    <n v="1"/>
    <n v="-20"/>
    <n v="120"/>
  </r>
  <r>
    <x v="68"/>
    <s v="conventional_cashout_pct_tpo_93"/>
    <x v="133"/>
    <n v="1"/>
    <n v="1"/>
    <n v="-20"/>
    <n v="120"/>
  </r>
  <r>
    <x v="68"/>
    <s v="conventional_cashout_pct_tpo_94"/>
    <x v="134"/>
    <n v="1"/>
    <n v="1"/>
    <n v="-20"/>
    <n v="120"/>
  </r>
  <r>
    <x v="68"/>
    <s v="conventional_cashout_pct_tpo_95"/>
    <x v="135"/>
    <n v="1"/>
    <n v="1"/>
    <n v="-20"/>
    <n v="120"/>
  </r>
  <r>
    <x v="68"/>
    <s v="conventional_cashout_pct_tpo_96"/>
    <x v="136"/>
    <n v="1"/>
    <n v="1"/>
    <n v="-20"/>
    <n v="120"/>
  </r>
  <r>
    <x v="68"/>
    <s v="conventional_cashout_pct_tpo_97"/>
    <x v="137"/>
    <n v="1"/>
    <n v="1"/>
    <n v="-20"/>
    <n v="120"/>
  </r>
  <r>
    <x v="68"/>
    <s v="conventional_cashout_pct_tpo_98"/>
    <x v="138"/>
    <n v="1"/>
    <n v="1"/>
    <n v="-20"/>
    <n v="120"/>
  </r>
  <r>
    <x v="68"/>
    <s v="conventional_cashout_pct_tpo_99"/>
    <x v="139"/>
    <n v="1"/>
    <n v="1"/>
    <n v="-20"/>
    <n v="120"/>
  </r>
  <r>
    <x v="68"/>
    <s v="conventional_cashout_pct_tpo_100"/>
    <x v="140"/>
    <n v="1"/>
    <n v="1"/>
    <n v="-20"/>
    <n v="120"/>
  </r>
  <r>
    <x v="68"/>
    <s v="conventional_cashout_pct_tpo_101"/>
    <x v="141"/>
    <n v="1"/>
    <n v="1"/>
    <n v="-20"/>
    <n v="120"/>
  </r>
  <r>
    <x v="68"/>
    <s v="conventional_cashout_pct_tpo_102"/>
    <x v="142"/>
    <n v="1"/>
    <n v="1"/>
    <n v="-20"/>
    <n v="120"/>
  </r>
  <r>
    <x v="68"/>
    <s v="conventional_cashout_pct_tpo_103"/>
    <x v="143"/>
    <n v="1"/>
    <n v="1"/>
    <n v="-20"/>
    <n v="120"/>
  </r>
  <r>
    <x v="68"/>
    <s v="conventional_cashout_pct_tpo_104"/>
    <x v="144"/>
    <n v="1"/>
    <n v="1"/>
    <n v="-20"/>
    <n v="120"/>
  </r>
  <r>
    <x v="68"/>
    <s v="conventional_cashout_pct_tpo_105"/>
    <x v="145"/>
    <n v="1"/>
    <n v="1"/>
    <n v="-20"/>
    <n v="120"/>
  </r>
  <r>
    <x v="68"/>
    <s v="conventional_cashout_pct_tpo_106"/>
    <x v="146"/>
    <n v="1"/>
    <n v="1"/>
    <n v="-20"/>
    <n v="120"/>
  </r>
  <r>
    <x v="68"/>
    <s v="conventional_cashout_pct_tpo_107"/>
    <x v="147"/>
    <n v="1"/>
    <n v="1"/>
    <n v="-20"/>
    <n v="120"/>
  </r>
  <r>
    <x v="68"/>
    <s v="conventional_cashout_pct_tpo_108"/>
    <x v="148"/>
    <n v="1"/>
    <n v="1"/>
    <n v="-20"/>
    <n v="120"/>
  </r>
  <r>
    <x v="68"/>
    <s v="conventional_cashout_pct_tpo_109"/>
    <x v="149"/>
    <n v="1"/>
    <n v="1"/>
    <n v="-20"/>
    <n v="120"/>
  </r>
  <r>
    <x v="68"/>
    <s v="conventional_cashout_pct_tpo_110"/>
    <x v="150"/>
    <n v="1"/>
    <n v="1"/>
    <n v="-20"/>
    <n v="120"/>
  </r>
  <r>
    <x v="68"/>
    <s v="conventional_cashout_pct_tpo_111"/>
    <x v="151"/>
    <n v="1"/>
    <n v="1"/>
    <n v="-20"/>
    <n v="120"/>
  </r>
  <r>
    <x v="68"/>
    <s v="conventional_cashout_pct_tpo_112"/>
    <x v="152"/>
    <n v="1"/>
    <n v="1"/>
    <n v="-20"/>
    <n v="120"/>
  </r>
  <r>
    <x v="68"/>
    <s v="conventional_cashout_pct_tpo_113"/>
    <x v="153"/>
    <n v="1"/>
    <n v="1"/>
    <n v="-20"/>
    <n v="120"/>
  </r>
  <r>
    <x v="68"/>
    <s v="conventional_cashout_pct_tpo_114"/>
    <x v="154"/>
    <n v="1"/>
    <n v="1"/>
    <n v="-20"/>
    <n v="120"/>
  </r>
  <r>
    <x v="68"/>
    <s v="conventional_cashout_pct_tpo_115"/>
    <x v="155"/>
    <n v="1"/>
    <n v="1"/>
    <n v="-20"/>
    <n v="120"/>
  </r>
  <r>
    <x v="68"/>
    <s v="conventional_cashout_pct_tpo_116"/>
    <x v="156"/>
    <n v="1"/>
    <n v="1"/>
    <n v="-20"/>
    <n v="120"/>
  </r>
  <r>
    <x v="68"/>
    <s v="conventional_cashout_pct_tpo_117"/>
    <x v="157"/>
    <n v="1"/>
    <n v="1"/>
    <n v="-20"/>
    <n v="120"/>
  </r>
  <r>
    <x v="68"/>
    <s v="conventional_cashout_pct_tpo_118"/>
    <x v="158"/>
    <n v="1"/>
    <n v="1"/>
    <n v="-20"/>
    <n v="120"/>
  </r>
  <r>
    <x v="68"/>
    <s v="conventional_cashout_pct_tpo_119"/>
    <x v="159"/>
    <n v="1"/>
    <n v="1"/>
    <n v="-20"/>
    <n v="120"/>
  </r>
  <r>
    <x v="68"/>
    <s v="conventional_cashout_pct_tpo_120"/>
    <x v="160"/>
    <n v="1"/>
    <n v="1"/>
    <n v="-20"/>
    <n v="120"/>
  </r>
  <r>
    <x v="69"/>
    <s v="conventional_cashout_hpa2yr_42"/>
    <x v="82"/>
    <n v="1"/>
    <n v="1"/>
    <n v="42"/>
    <n v="168"/>
  </r>
  <r>
    <x v="69"/>
    <s v="conventional_cashout_hpa2yr_43"/>
    <x v="83"/>
    <n v="1"/>
    <n v="1"/>
    <n v="42"/>
    <n v="168"/>
  </r>
  <r>
    <x v="69"/>
    <s v="conventional_cashout_hpa2yr_44"/>
    <x v="84"/>
    <n v="1"/>
    <n v="1"/>
    <n v="42"/>
    <n v="168"/>
  </r>
  <r>
    <x v="69"/>
    <s v="conventional_cashout_hpa2yr_45"/>
    <x v="85"/>
    <n v="1"/>
    <n v="1"/>
    <n v="42"/>
    <n v="168"/>
  </r>
  <r>
    <x v="69"/>
    <s v="conventional_cashout_hpa2yr_46"/>
    <x v="86"/>
    <n v="1"/>
    <n v="1"/>
    <n v="42"/>
    <n v="168"/>
  </r>
  <r>
    <x v="69"/>
    <s v="conventional_cashout_hpa2yr_47"/>
    <x v="87"/>
    <n v="1"/>
    <n v="1"/>
    <n v="42"/>
    <n v="168"/>
  </r>
  <r>
    <x v="69"/>
    <s v="conventional_cashout_hpa2yr_48"/>
    <x v="88"/>
    <n v="1"/>
    <n v="1"/>
    <n v="42"/>
    <n v="168"/>
  </r>
  <r>
    <x v="69"/>
    <s v="conventional_cashout_hpa2yr_49"/>
    <x v="89"/>
    <n v="1"/>
    <n v="1"/>
    <n v="42"/>
    <n v="168"/>
  </r>
  <r>
    <x v="69"/>
    <s v="conventional_cashout_hpa2yr_50"/>
    <x v="90"/>
    <n v="1"/>
    <n v="1"/>
    <n v="42"/>
    <n v="168"/>
  </r>
  <r>
    <x v="69"/>
    <s v="conventional_cashout_hpa2yr_51"/>
    <x v="91"/>
    <n v="1"/>
    <n v="1"/>
    <n v="42"/>
    <n v="168"/>
  </r>
  <r>
    <x v="69"/>
    <s v="conventional_cashout_hpa2yr_52"/>
    <x v="92"/>
    <n v="1"/>
    <n v="1"/>
    <n v="42"/>
    <n v="168"/>
  </r>
  <r>
    <x v="69"/>
    <s v="conventional_cashout_hpa2yr_53"/>
    <x v="93"/>
    <n v="1"/>
    <n v="1"/>
    <n v="42"/>
    <n v="168"/>
  </r>
  <r>
    <x v="69"/>
    <s v="conventional_cashout_hpa2yr_54"/>
    <x v="94"/>
    <n v="1"/>
    <n v="1"/>
    <n v="42"/>
    <n v="168"/>
  </r>
  <r>
    <x v="69"/>
    <s v="conventional_cashout_hpa2yr_55"/>
    <x v="95"/>
    <n v="1"/>
    <n v="1"/>
    <n v="42"/>
    <n v="168"/>
  </r>
  <r>
    <x v="69"/>
    <s v="conventional_cashout_hpa2yr_56"/>
    <x v="96"/>
    <n v="1"/>
    <n v="1"/>
    <n v="42"/>
    <n v="168"/>
  </r>
  <r>
    <x v="69"/>
    <s v="conventional_cashout_hpa2yr_57"/>
    <x v="97"/>
    <n v="1"/>
    <n v="1"/>
    <n v="42"/>
    <n v="168"/>
  </r>
  <r>
    <x v="69"/>
    <s v="conventional_cashout_hpa2yr_58"/>
    <x v="98"/>
    <n v="1"/>
    <n v="1"/>
    <n v="42"/>
    <n v="168"/>
  </r>
  <r>
    <x v="69"/>
    <s v="conventional_cashout_hpa2yr_59"/>
    <x v="99"/>
    <n v="1"/>
    <n v="1"/>
    <n v="42"/>
    <n v="168"/>
  </r>
  <r>
    <x v="69"/>
    <s v="conventional_cashout_hpa2yr_60"/>
    <x v="100"/>
    <n v="1"/>
    <n v="1"/>
    <n v="42"/>
    <n v="168"/>
  </r>
  <r>
    <x v="69"/>
    <s v="conventional_cashout_hpa2yr_61"/>
    <x v="101"/>
    <n v="1"/>
    <n v="1"/>
    <n v="42"/>
    <n v="168"/>
  </r>
  <r>
    <x v="69"/>
    <s v="conventional_cashout_hpa2yr_62"/>
    <x v="102"/>
    <n v="1"/>
    <n v="1"/>
    <n v="42"/>
    <n v="168"/>
  </r>
  <r>
    <x v="69"/>
    <s v="conventional_cashout_hpa2yr_63"/>
    <x v="103"/>
    <n v="1"/>
    <n v="1"/>
    <n v="42"/>
    <n v="168"/>
  </r>
  <r>
    <x v="69"/>
    <s v="conventional_cashout_hpa2yr_64"/>
    <x v="104"/>
    <n v="1"/>
    <n v="1"/>
    <n v="42"/>
    <n v="168"/>
  </r>
  <r>
    <x v="69"/>
    <s v="conventional_cashout_hpa2yr_65"/>
    <x v="105"/>
    <n v="1"/>
    <n v="1"/>
    <n v="42"/>
    <n v="168"/>
  </r>
  <r>
    <x v="69"/>
    <s v="conventional_cashout_hpa2yr_66"/>
    <x v="106"/>
    <n v="1"/>
    <n v="1"/>
    <n v="42"/>
    <n v="168"/>
  </r>
  <r>
    <x v="69"/>
    <s v="conventional_cashout_hpa2yr_67"/>
    <x v="107"/>
    <n v="1"/>
    <n v="1"/>
    <n v="42"/>
    <n v="168"/>
  </r>
  <r>
    <x v="69"/>
    <s v="conventional_cashout_hpa2yr_68"/>
    <x v="108"/>
    <n v="1"/>
    <n v="1"/>
    <n v="42"/>
    <n v="168"/>
  </r>
  <r>
    <x v="69"/>
    <s v="conventional_cashout_hpa2yr_69"/>
    <x v="109"/>
    <n v="1"/>
    <n v="1"/>
    <n v="42"/>
    <n v="168"/>
  </r>
  <r>
    <x v="69"/>
    <s v="conventional_cashout_hpa2yr_70"/>
    <x v="110"/>
    <n v="1"/>
    <n v="1"/>
    <n v="42"/>
    <n v="168"/>
  </r>
  <r>
    <x v="69"/>
    <s v="conventional_cashout_hpa2yr_71"/>
    <x v="111"/>
    <n v="1"/>
    <n v="1"/>
    <n v="42"/>
    <n v="168"/>
  </r>
  <r>
    <x v="69"/>
    <s v="conventional_cashout_hpa2yr_72"/>
    <x v="112"/>
    <n v="1"/>
    <n v="1"/>
    <n v="42"/>
    <n v="168"/>
  </r>
  <r>
    <x v="69"/>
    <s v="conventional_cashout_hpa2yr_73"/>
    <x v="113"/>
    <n v="1"/>
    <n v="1"/>
    <n v="42"/>
    <n v="168"/>
  </r>
  <r>
    <x v="69"/>
    <s v="conventional_cashout_hpa2yr_74"/>
    <x v="114"/>
    <n v="1"/>
    <n v="1"/>
    <n v="42"/>
    <n v="168"/>
  </r>
  <r>
    <x v="69"/>
    <s v="conventional_cashout_hpa2yr_75"/>
    <x v="115"/>
    <n v="1"/>
    <n v="1"/>
    <n v="42"/>
    <n v="168"/>
  </r>
  <r>
    <x v="69"/>
    <s v="conventional_cashout_hpa2yr_76"/>
    <x v="116"/>
    <n v="1"/>
    <n v="1"/>
    <n v="42"/>
    <n v="168"/>
  </r>
  <r>
    <x v="69"/>
    <s v="conventional_cashout_hpa2yr_77"/>
    <x v="117"/>
    <n v="1"/>
    <n v="1"/>
    <n v="42"/>
    <n v="168"/>
  </r>
  <r>
    <x v="69"/>
    <s v="conventional_cashout_hpa2yr_78"/>
    <x v="118"/>
    <n v="1"/>
    <n v="1"/>
    <n v="42"/>
    <n v="168"/>
  </r>
  <r>
    <x v="69"/>
    <s v="conventional_cashout_hpa2yr_79"/>
    <x v="119"/>
    <n v="1"/>
    <n v="1"/>
    <n v="42"/>
    <n v="168"/>
  </r>
  <r>
    <x v="69"/>
    <s v="conventional_cashout_hpa2yr_80"/>
    <x v="120"/>
    <n v="1"/>
    <n v="1"/>
    <n v="42"/>
    <n v="168"/>
  </r>
  <r>
    <x v="69"/>
    <s v="conventional_cashout_hpa2yr_81"/>
    <x v="121"/>
    <n v="1"/>
    <n v="1"/>
    <n v="42"/>
    <n v="168"/>
  </r>
  <r>
    <x v="69"/>
    <s v="conventional_cashout_hpa2yr_82"/>
    <x v="122"/>
    <n v="1"/>
    <n v="1"/>
    <n v="42"/>
    <n v="168"/>
  </r>
  <r>
    <x v="69"/>
    <s v="conventional_cashout_hpa2yr_83"/>
    <x v="123"/>
    <n v="1"/>
    <n v="1"/>
    <n v="42"/>
    <n v="168"/>
  </r>
  <r>
    <x v="69"/>
    <s v="conventional_cashout_hpa2yr_84"/>
    <x v="124"/>
    <n v="1"/>
    <n v="1"/>
    <n v="42"/>
    <n v="168"/>
  </r>
  <r>
    <x v="69"/>
    <s v="conventional_cashout_hpa2yr_85"/>
    <x v="125"/>
    <n v="1"/>
    <n v="1"/>
    <n v="42"/>
    <n v="168"/>
  </r>
  <r>
    <x v="69"/>
    <s v="conventional_cashout_hpa2yr_86"/>
    <x v="126"/>
    <n v="1"/>
    <n v="1"/>
    <n v="42"/>
    <n v="168"/>
  </r>
  <r>
    <x v="69"/>
    <s v="conventional_cashout_hpa2yr_87"/>
    <x v="127"/>
    <n v="1"/>
    <n v="1"/>
    <n v="42"/>
    <n v="168"/>
  </r>
  <r>
    <x v="69"/>
    <s v="conventional_cashout_hpa2yr_88"/>
    <x v="128"/>
    <n v="1"/>
    <n v="1"/>
    <n v="42"/>
    <n v="168"/>
  </r>
  <r>
    <x v="69"/>
    <s v="conventional_cashout_hpa2yr_89"/>
    <x v="129"/>
    <n v="1"/>
    <n v="1"/>
    <n v="42"/>
    <n v="168"/>
  </r>
  <r>
    <x v="69"/>
    <s v="conventional_cashout_hpa2yr_90"/>
    <x v="130"/>
    <n v="1"/>
    <n v="1"/>
    <n v="42"/>
    <n v="168"/>
  </r>
  <r>
    <x v="69"/>
    <s v="conventional_cashout_hpa2yr_91"/>
    <x v="131"/>
    <n v="1"/>
    <n v="1"/>
    <n v="42"/>
    <n v="168"/>
  </r>
  <r>
    <x v="69"/>
    <s v="conventional_cashout_hpa2yr_92"/>
    <x v="132"/>
    <n v="1"/>
    <n v="1"/>
    <n v="42"/>
    <n v="168"/>
  </r>
  <r>
    <x v="69"/>
    <s v="conventional_cashout_hpa2yr_93"/>
    <x v="133"/>
    <n v="1"/>
    <n v="1"/>
    <n v="42"/>
    <n v="168"/>
  </r>
  <r>
    <x v="69"/>
    <s v="conventional_cashout_hpa2yr_94"/>
    <x v="134"/>
    <n v="1"/>
    <n v="1"/>
    <n v="42"/>
    <n v="168"/>
  </r>
  <r>
    <x v="69"/>
    <s v="conventional_cashout_hpa2yr_95"/>
    <x v="135"/>
    <n v="1"/>
    <n v="1"/>
    <n v="42"/>
    <n v="168"/>
  </r>
  <r>
    <x v="69"/>
    <s v="conventional_cashout_hpa2yr_96"/>
    <x v="136"/>
    <n v="1"/>
    <n v="1"/>
    <n v="42"/>
    <n v="168"/>
  </r>
  <r>
    <x v="69"/>
    <s v="conventional_cashout_hpa2yr_97"/>
    <x v="137"/>
    <n v="1"/>
    <n v="1"/>
    <n v="42"/>
    <n v="168"/>
  </r>
  <r>
    <x v="69"/>
    <s v="conventional_cashout_hpa2yr_98"/>
    <x v="138"/>
    <n v="1"/>
    <n v="1"/>
    <n v="42"/>
    <n v="168"/>
  </r>
  <r>
    <x v="69"/>
    <s v="conventional_cashout_hpa2yr_99"/>
    <x v="139"/>
    <n v="1"/>
    <n v="1"/>
    <n v="42"/>
    <n v="168"/>
  </r>
  <r>
    <x v="69"/>
    <s v="conventional_cashout_hpa2yr_100"/>
    <x v="140"/>
    <n v="1"/>
    <n v="1"/>
    <n v="42"/>
    <n v="168"/>
  </r>
  <r>
    <x v="69"/>
    <s v="conventional_cashout_hpa2yr_101"/>
    <x v="141"/>
    <n v="1"/>
    <n v="1"/>
    <n v="42"/>
    <n v="168"/>
  </r>
  <r>
    <x v="69"/>
    <s v="conventional_cashout_hpa2yr_102"/>
    <x v="142"/>
    <n v="1"/>
    <n v="1"/>
    <n v="42"/>
    <n v="168"/>
  </r>
  <r>
    <x v="69"/>
    <s v="conventional_cashout_hpa2yr_103"/>
    <x v="143"/>
    <n v="1"/>
    <n v="1"/>
    <n v="42"/>
    <n v="168"/>
  </r>
  <r>
    <x v="69"/>
    <s v="conventional_cashout_hpa2yr_104"/>
    <x v="144"/>
    <n v="1"/>
    <n v="1"/>
    <n v="42"/>
    <n v="168"/>
  </r>
  <r>
    <x v="69"/>
    <s v="conventional_cashout_hpa2yr_105"/>
    <x v="145"/>
    <n v="1"/>
    <n v="1"/>
    <n v="42"/>
    <n v="168"/>
  </r>
  <r>
    <x v="69"/>
    <s v="conventional_cashout_hpa2yr_106"/>
    <x v="146"/>
    <n v="1"/>
    <n v="1"/>
    <n v="42"/>
    <n v="168"/>
  </r>
  <r>
    <x v="69"/>
    <s v="conventional_cashout_hpa2yr_107"/>
    <x v="147"/>
    <n v="1"/>
    <n v="1"/>
    <n v="42"/>
    <n v="168"/>
  </r>
  <r>
    <x v="69"/>
    <s v="conventional_cashout_hpa2yr_108"/>
    <x v="148"/>
    <n v="1"/>
    <n v="1"/>
    <n v="42"/>
    <n v="168"/>
  </r>
  <r>
    <x v="69"/>
    <s v="conventional_cashout_hpa2yr_109"/>
    <x v="149"/>
    <n v="1"/>
    <n v="1"/>
    <n v="42"/>
    <n v="168"/>
  </r>
  <r>
    <x v="69"/>
    <s v="conventional_cashout_hpa2yr_110"/>
    <x v="150"/>
    <n v="1"/>
    <n v="1"/>
    <n v="42"/>
    <n v="168"/>
  </r>
  <r>
    <x v="69"/>
    <s v="conventional_cashout_hpa2yr_111"/>
    <x v="151"/>
    <n v="1"/>
    <n v="1"/>
    <n v="42"/>
    <n v="168"/>
  </r>
  <r>
    <x v="69"/>
    <s v="conventional_cashout_hpa2yr_112"/>
    <x v="152"/>
    <n v="1"/>
    <n v="1"/>
    <n v="42"/>
    <n v="168"/>
  </r>
  <r>
    <x v="69"/>
    <s v="conventional_cashout_hpa2yr_113"/>
    <x v="153"/>
    <n v="1"/>
    <n v="1"/>
    <n v="42"/>
    <n v="168"/>
  </r>
  <r>
    <x v="69"/>
    <s v="conventional_cashout_hpa2yr_114"/>
    <x v="154"/>
    <n v="1"/>
    <n v="1"/>
    <n v="42"/>
    <n v="168"/>
  </r>
  <r>
    <x v="69"/>
    <s v="conventional_cashout_hpa2yr_115"/>
    <x v="155"/>
    <n v="1"/>
    <n v="1"/>
    <n v="42"/>
    <n v="168"/>
  </r>
  <r>
    <x v="69"/>
    <s v="conventional_cashout_hpa2yr_116"/>
    <x v="156"/>
    <n v="1"/>
    <n v="1"/>
    <n v="42"/>
    <n v="168"/>
  </r>
  <r>
    <x v="69"/>
    <s v="conventional_cashout_hpa2yr_117"/>
    <x v="157"/>
    <n v="1"/>
    <n v="1"/>
    <n v="42"/>
    <n v="168"/>
  </r>
  <r>
    <x v="69"/>
    <s v="conventional_cashout_hpa2yr_118"/>
    <x v="158"/>
    <n v="1"/>
    <n v="1"/>
    <n v="42"/>
    <n v="168"/>
  </r>
  <r>
    <x v="69"/>
    <s v="conventional_cashout_hpa2yr_119"/>
    <x v="159"/>
    <n v="1"/>
    <n v="1"/>
    <n v="42"/>
    <n v="168"/>
  </r>
  <r>
    <x v="69"/>
    <s v="conventional_cashout_hpa2yr_120"/>
    <x v="160"/>
    <n v="1"/>
    <n v="1"/>
    <n v="42"/>
    <n v="168"/>
  </r>
  <r>
    <x v="69"/>
    <s v="conventional_cashout_hpa2yr_121"/>
    <x v="161"/>
    <n v="1"/>
    <n v="1"/>
    <n v="42"/>
    <n v="168"/>
  </r>
  <r>
    <x v="69"/>
    <s v="conventional_cashout_hpa2yr_122"/>
    <x v="162"/>
    <n v="1"/>
    <n v="1"/>
    <n v="42"/>
    <n v="168"/>
  </r>
  <r>
    <x v="69"/>
    <s v="conventional_cashout_hpa2yr_123"/>
    <x v="163"/>
    <n v="1"/>
    <n v="1"/>
    <n v="42"/>
    <n v="168"/>
  </r>
  <r>
    <x v="69"/>
    <s v="conventional_cashout_hpa2yr_124"/>
    <x v="164"/>
    <n v="1"/>
    <n v="1"/>
    <n v="42"/>
    <n v="168"/>
  </r>
  <r>
    <x v="69"/>
    <s v="conventional_cashout_hpa2yr_125"/>
    <x v="165"/>
    <n v="1"/>
    <n v="1"/>
    <n v="42"/>
    <n v="168"/>
  </r>
  <r>
    <x v="69"/>
    <s v="conventional_cashout_hpa2yr_126"/>
    <x v="166"/>
    <n v="1"/>
    <n v="1"/>
    <n v="42"/>
    <n v="168"/>
  </r>
  <r>
    <x v="69"/>
    <s v="conventional_cashout_hpa2yr_127"/>
    <x v="167"/>
    <n v="1"/>
    <n v="1"/>
    <n v="42"/>
    <n v="168"/>
  </r>
  <r>
    <x v="69"/>
    <s v="conventional_cashout_hpa2yr_128"/>
    <x v="168"/>
    <n v="1"/>
    <n v="1"/>
    <n v="42"/>
    <n v="168"/>
  </r>
  <r>
    <x v="69"/>
    <s v="conventional_cashout_hpa2yr_129"/>
    <x v="169"/>
    <n v="1"/>
    <n v="1"/>
    <n v="42"/>
    <n v="168"/>
  </r>
  <r>
    <x v="69"/>
    <s v="conventional_cashout_hpa2yr_130"/>
    <x v="170"/>
    <n v="1"/>
    <n v="1"/>
    <n v="42"/>
    <n v="168"/>
  </r>
  <r>
    <x v="69"/>
    <s v="conventional_cashout_hpa2yr_131"/>
    <x v="171"/>
    <n v="1"/>
    <n v="1"/>
    <n v="42"/>
    <n v="168"/>
  </r>
  <r>
    <x v="69"/>
    <s v="conventional_cashout_hpa2yr_132"/>
    <x v="172"/>
    <n v="1"/>
    <n v="1"/>
    <n v="42"/>
    <n v="168"/>
  </r>
  <r>
    <x v="69"/>
    <s v="conventional_cashout_hpa2yr_133"/>
    <x v="173"/>
    <n v="1"/>
    <n v="1"/>
    <n v="42"/>
    <n v="168"/>
  </r>
  <r>
    <x v="69"/>
    <s v="conventional_cashout_hpa2yr_134"/>
    <x v="174"/>
    <n v="1"/>
    <n v="1"/>
    <n v="42"/>
    <n v="168"/>
  </r>
  <r>
    <x v="69"/>
    <s v="conventional_cashout_hpa2yr_135"/>
    <x v="175"/>
    <n v="1"/>
    <n v="1"/>
    <n v="42"/>
    <n v="168"/>
  </r>
  <r>
    <x v="69"/>
    <s v="conventional_cashout_hpa2yr_136"/>
    <x v="176"/>
    <n v="1"/>
    <n v="1"/>
    <n v="42"/>
    <n v="168"/>
  </r>
  <r>
    <x v="69"/>
    <s v="conventional_cashout_hpa2yr_137"/>
    <x v="177"/>
    <n v="1"/>
    <n v="1"/>
    <n v="42"/>
    <n v="168"/>
  </r>
  <r>
    <x v="69"/>
    <s v="conventional_cashout_hpa2yr_138"/>
    <x v="178"/>
    <n v="1"/>
    <n v="1"/>
    <n v="42"/>
    <n v="168"/>
  </r>
  <r>
    <x v="69"/>
    <s v="conventional_cashout_hpa2yr_139"/>
    <x v="179"/>
    <n v="1"/>
    <n v="1"/>
    <n v="42"/>
    <n v="168"/>
  </r>
  <r>
    <x v="69"/>
    <s v="conventional_cashout_hpa2yr_140"/>
    <x v="180"/>
    <n v="1"/>
    <n v="1"/>
    <n v="42"/>
    <n v="168"/>
  </r>
  <r>
    <x v="69"/>
    <s v="conventional_cashout_hpa2yr_141"/>
    <x v="181"/>
    <n v="1"/>
    <n v="1"/>
    <n v="42"/>
    <n v="168"/>
  </r>
  <r>
    <x v="69"/>
    <s v="conventional_cashout_hpa2yr_142"/>
    <x v="182"/>
    <n v="1"/>
    <n v="1"/>
    <n v="42"/>
    <n v="168"/>
  </r>
  <r>
    <x v="69"/>
    <s v="conventional_cashout_hpa2yr_143"/>
    <x v="183"/>
    <n v="1"/>
    <n v="1"/>
    <n v="42"/>
    <n v="168"/>
  </r>
  <r>
    <x v="69"/>
    <s v="conventional_cashout_hpa2yr_144"/>
    <x v="184"/>
    <n v="1"/>
    <n v="1"/>
    <n v="42"/>
    <n v="168"/>
  </r>
  <r>
    <x v="69"/>
    <s v="conventional_cashout_hpa2yr_145"/>
    <x v="185"/>
    <n v="1"/>
    <n v="1"/>
    <n v="42"/>
    <n v="168"/>
  </r>
  <r>
    <x v="69"/>
    <s v="conventional_cashout_hpa2yr_146"/>
    <x v="186"/>
    <n v="1"/>
    <n v="1"/>
    <n v="42"/>
    <n v="168"/>
  </r>
  <r>
    <x v="69"/>
    <s v="conventional_cashout_hpa2yr_147"/>
    <x v="187"/>
    <n v="1"/>
    <n v="1"/>
    <n v="42"/>
    <n v="168"/>
  </r>
  <r>
    <x v="69"/>
    <s v="conventional_cashout_hpa2yr_148"/>
    <x v="188"/>
    <n v="1"/>
    <n v="1"/>
    <n v="42"/>
    <n v="168"/>
  </r>
  <r>
    <x v="69"/>
    <s v="conventional_cashout_hpa2yr_149"/>
    <x v="189"/>
    <n v="1"/>
    <n v="1"/>
    <n v="42"/>
    <n v="168"/>
  </r>
  <r>
    <x v="69"/>
    <s v="conventional_cashout_hpa2yr_150"/>
    <x v="190"/>
    <n v="1"/>
    <n v="1"/>
    <n v="42"/>
    <n v="168"/>
  </r>
  <r>
    <x v="69"/>
    <s v="conventional_cashout_hpa2yr_151"/>
    <x v="191"/>
    <n v="1"/>
    <n v="1"/>
    <n v="42"/>
    <n v="168"/>
  </r>
  <r>
    <x v="69"/>
    <s v="conventional_cashout_hpa2yr_152"/>
    <x v="192"/>
    <n v="1"/>
    <n v="1"/>
    <n v="42"/>
    <n v="168"/>
  </r>
  <r>
    <x v="69"/>
    <s v="conventional_cashout_hpa2yr_153"/>
    <x v="193"/>
    <n v="1"/>
    <n v="1"/>
    <n v="42"/>
    <n v="168"/>
  </r>
  <r>
    <x v="69"/>
    <s v="conventional_cashout_hpa2yr_154"/>
    <x v="194"/>
    <n v="1"/>
    <n v="1"/>
    <n v="42"/>
    <n v="168"/>
  </r>
  <r>
    <x v="69"/>
    <s v="conventional_cashout_hpa2yr_155"/>
    <x v="195"/>
    <n v="1"/>
    <n v="1"/>
    <n v="42"/>
    <n v="168"/>
  </r>
  <r>
    <x v="69"/>
    <s v="conventional_cashout_hpa2yr_156"/>
    <x v="196"/>
    <n v="1"/>
    <n v="1"/>
    <n v="42"/>
    <n v="168"/>
  </r>
  <r>
    <x v="69"/>
    <s v="conventional_cashout_hpa2yr_157"/>
    <x v="197"/>
    <n v="1"/>
    <n v="1"/>
    <n v="42"/>
    <n v="168"/>
  </r>
  <r>
    <x v="69"/>
    <s v="conventional_cashout_hpa2yr_158"/>
    <x v="198"/>
    <n v="1"/>
    <n v="1"/>
    <n v="42"/>
    <n v="168"/>
  </r>
  <r>
    <x v="69"/>
    <s v="conventional_cashout_hpa2yr_159"/>
    <x v="199"/>
    <n v="1"/>
    <n v="1"/>
    <n v="42"/>
    <n v="168"/>
  </r>
  <r>
    <x v="69"/>
    <s v="conventional_cashout_hpa2yr_160"/>
    <x v="200"/>
    <n v="1"/>
    <n v="1"/>
    <n v="42"/>
    <n v="168"/>
  </r>
  <r>
    <x v="69"/>
    <s v="conventional_cashout_hpa2yr_161"/>
    <x v="201"/>
    <n v="1"/>
    <n v="1"/>
    <n v="42"/>
    <n v="168"/>
  </r>
  <r>
    <x v="69"/>
    <s v="conventional_cashout_hpa2yr_162"/>
    <x v="202"/>
    <n v="1"/>
    <n v="1"/>
    <n v="42"/>
    <n v="168"/>
  </r>
  <r>
    <x v="69"/>
    <s v="conventional_cashout_hpa2yr_163"/>
    <x v="203"/>
    <n v="1"/>
    <n v="1"/>
    <n v="42"/>
    <n v="168"/>
  </r>
  <r>
    <x v="69"/>
    <s v="conventional_cashout_hpa2yr_164"/>
    <x v="204"/>
    <n v="1"/>
    <n v="1"/>
    <n v="42"/>
    <n v="168"/>
  </r>
  <r>
    <x v="69"/>
    <s v="conventional_cashout_hpa2yr_165"/>
    <x v="205"/>
    <n v="1"/>
    <n v="1"/>
    <n v="42"/>
    <n v="168"/>
  </r>
  <r>
    <x v="69"/>
    <s v="conventional_cashout_hpa2yr_166"/>
    <x v="206"/>
    <n v="1"/>
    <n v="1"/>
    <n v="42"/>
    <n v="168"/>
  </r>
  <r>
    <x v="69"/>
    <s v="conventional_cashout_hpa2yr_167"/>
    <x v="207"/>
    <n v="1"/>
    <n v="1"/>
    <n v="42"/>
    <n v="168"/>
  </r>
  <r>
    <x v="69"/>
    <s v="conventional_cashout_hpa2yr_168"/>
    <x v="208"/>
    <n v="1"/>
    <n v="1"/>
    <n v="42"/>
    <n v="168"/>
  </r>
  <r>
    <x v="70"/>
    <s v="conventional_cashout_hpa_cum_-6"/>
    <x v="34"/>
    <n v="0"/>
    <n v="1"/>
    <n v="-6"/>
    <n v="41"/>
  </r>
  <r>
    <x v="70"/>
    <s v="conventional_cashout_hpa_cum_-5"/>
    <x v="35"/>
    <n v="0"/>
    <n v="1"/>
    <n v="-6"/>
    <n v="41"/>
  </r>
  <r>
    <x v="70"/>
    <s v="conventional_cashout_hpa_cum_-4"/>
    <x v="36"/>
    <n v="0"/>
    <n v="1"/>
    <n v="-6"/>
    <n v="41"/>
  </r>
  <r>
    <x v="70"/>
    <s v="conventional_cashout_hpa_cum_-3"/>
    <x v="37"/>
    <n v="0"/>
    <n v="1"/>
    <n v="-6"/>
    <n v="41"/>
  </r>
  <r>
    <x v="70"/>
    <s v="conventional_cashout_hpa_cum_-2"/>
    <x v="38"/>
    <n v="0"/>
    <n v="1"/>
    <n v="-6"/>
    <n v="41"/>
  </r>
  <r>
    <x v="70"/>
    <s v="conventional_cashout_hpa_cum_-1"/>
    <x v="39"/>
    <n v="0"/>
    <n v="1"/>
    <n v="-6"/>
    <n v="41"/>
  </r>
  <r>
    <x v="70"/>
    <s v="conventional_cashout_hpa_cum_0"/>
    <x v="40"/>
    <n v="0"/>
    <n v="1"/>
    <n v="-6"/>
    <n v="41"/>
  </r>
  <r>
    <x v="70"/>
    <s v="conventional_cashout_hpa_cum_1"/>
    <x v="41"/>
    <n v="0"/>
    <n v="1"/>
    <n v="-6"/>
    <n v="41"/>
  </r>
  <r>
    <x v="70"/>
    <s v="conventional_cashout_hpa_cum_2"/>
    <x v="42"/>
    <n v="0"/>
    <n v="1"/>
    <n v="-6"/>
    <n v="41"/>
  </r>
  <r>
    <x v="70"/>
    <s v="conventional_cashout_hpa_cum_3"/>
    <x v="43"/>
    <n v="0"/>
    <n v="1"/>
    <n v="-6"/>
    <n v="41"/>
  </r>
  <r>
    <x v="70"/>
    <s v="conventional_cashout_hpa_cum_4"/>
    <x v="44"/>
    <n v="0"/>
    <n v="1"/>
    <n v="-6"/>
    <n v="41"/>
  </r>
  <r>
    <x v="70"/>
    <s v="conventional_cashout_hpa_cum_5"/>
    <x v="45"/>
    <n v="0"/>
    <n v="1"/>
    <n v="-6"/>
    <n v="41"/>
  </r>
  <r>
    <x v="70"/>
    <s v="conventional_cashout_hpa_cum_6"/>
    <x v="46"/>
    <n v="0"/>
    <n v="1"/>
    <n v="-6"/>
    <n v="41"/>
  </r>
  <r>
    <x v="70"/>
    <s v="conventional_cashout_hpa_cum_7"/>
    <x v="47"/>
    <n v="0"/>
    <n v="1"/>
    <n v="-6"/>
    <n v="41"/>
  </r>
  <r>
    <x v="70"/>
    <s v="conventional_cashout_hpa_cum_8"/>
    <x v="48"/>
    <n v="0"/>
    <n v="1"/>
    <n v="-6"/>
    <n v="41"/>
  </r>
  <r>
    <x v="70"/>
    <s v="conventional_cashout_hpa_cum_9"/>
    <x v="49"/>
    <n v="0"/>
    <n v="1"/>
    <n v="-6"/>
    <n v="41"/>
  </r>
  <r>
    <x v="70"/>
    <s v="conventional_cashout_hpa_cum_10"/>
    <x v="50"/>
    <n v="0"/>
    <n v="1"/>
    <n v="-6"/>
    <n v="41"/>
  </r>
  <r>
    <x v="70"/>
    <s v="conventional_cashout_hpa_cum_11"/>
    <x v="51"/>
    <n v="0"/>
    <n v="1"/>
    <n v="-6"/>
    <n v="41"/>
  </r>
  <r>
    <x v="70"/>
    <s v="conventional_cashout_hpa_cum_12"/>
    <x v="52"/>
    <n v="0"/>
    <n v="1"/>
    <n v="-6"/>
    <n v="41"/>
  </r>
  <r>
    <x v="70"/>
    <s v="conventional_cashout_hpa_cum_13"/>
    <x v="53"/>
    <n v="0"/>
    <n v="1"/>
    <n v="-6"/>
    <n v="41"/>
  </r>
  <r>
    <x v="70"/>
    <s v="conventional_cashout_hpa_cum_14"/>
    <x v="54"/>
    <n v="0"/>
    <n v="1"/>
    <n v="-6"/>
    <n v="41"/>
  </r>
  <r>
    <x v="70"/>
    <s v="conventional_cashout_hpa_cum_15"/>
    <x v="55"/>
    <n v="0"/>
    <n v="1"/>
    <n v="-6"/>
    <n v="41"/>
  </r>
  <r>
    <x v="70"/>
    <s v="conventional_cashout_hpa_cum_16"/>
    <x v="56"/>
    <n v="5.04E-2"/>
    <n v="1"/>
    <n v="-6"/>
    <n v="41"/>
  </r>
  <r>
    <x v="70"/>
    <s v="conventional_cashout_hpa_cum_17"/>
    <x v="57"/>
    <n v="0.1792"/>
    <n v="1"/>
    <n v="-6"/>
    <n v="41"/>
  </r>
  <r>
    <x v="70"/>
    <s v="conventional_cashout_hpa_cum_18"/>
    <x v="58"/>
    <n v="0.3528"/>
    <n v="1"/>
    <n v="-6"/>
    <n v="41"/>
  </r>
  <r>
    <x v="70"/>
    <s v="conventional_cashout_hpa_cum_19"/>
    <x v="59"/>
    <n v="0.53759999999999997"/>
    <n v="1"/>
    <n v="-6"/>
    <n v="41"/>
  </r>
  <r>
    <x v="70"/>
    <s v="conventional_cashout_hpa_cum_20"/>
    <x v="60"/>
    <n v="0.7"/>
    <n v="1"/>
    <n v="-6"/>
    <n v="41"/>
  </r>
  <r>
    <x v="70"/>
    <s v="conventional_cashout_hpa_cum_21"/>
    <x v="61"/>
    <n v="0.86240000000000006"/>
    <n v="1"/>
    <n v="-6"/>
    <n v="41"/>
  </r>
  <r>
    <x v="70"/>
    <s v="conventional_cashout_hpa_cum_22"/>
    <x v="62"/>
    <n v="1.0471999999999999"/>
    <n v="1"/>
    <n v="-6"/>
    <n v="41"/>
  </r>
  <r>
    <x v="70"/>
    <s v="conventional_cashout_hpa_cum_23"/>
    <x v="63"/>
    <n v="1.2208000000000001"/>
    <n v="1"/>
    <n v="-6"/>
    <n v="41"/>
  </r>
  <r>
    <x v="70"/>
    <s v="conventional_cashout_hpa_cum_24"/>
    <x v="64"/>
    <n v="1.3495999999999999"/>
    <n v="1"/>
    <n v="-6"/>
    <n v="41"/>
  </r>
  <r>
    <x v="70"/>
    <s v="conventional_cashout_hpa_cum_25"/>
    <x v="65"/>
    <n v="1.4"/>
    <n v="1"/>
    <n v="-6"/>
    <n v="41"/>
  </r>
  <r>
    <x v="70"/>
    <s v="conventional_cashout_hpa_cum_26"/>
    <x v="66"/>
    <n v="1.4"/>
    <n v="1"/>
    <n v="-6"/>
    <n v="41"/>
  </r>
  <r>
    <x v="70"/>
    <s v="conventional_cashout_hpa_cum_27"/>
    <x v="67"/>
    <n v="1.4"/>
    <n v="1"/>
    <n v="-6"/>
    <n v="41"/>
  </r>
  <r>
    <x v="70"/>
    <s v="conventional_cashout_hpa_cum_28"/>
    <x v="68"/>
    <n v="1.4"/>
    <n v="1"/>
    <n v="-6"/>
    <n v="41"/>
  </r>
  <r>
    <x v="70"/>
    <s v="conventional_cashout_hpa_cum_29"/>
    <x v="69"/>
    <n v="1.4"/>
    <n v="1"/>
    <n v="-6"/>
    <n v="41"/>
  </r>
  <r>
    <x v="70"/>
    <s v="conventional_cashout_hpa_cum_30"/>
    <x v="70"/>
    <n v="1.4"/>
    <n v="1"/>
    <n v="-6"/>
    <n v="41"/>
  </r>
  <r>
    <x v="70"/>
    <s v="conventional_cashout_hpa_cum_31"/>
    <x v="71"/>
    <n v="1.4"/>
    <n v="1"/>
    <n v="-6"/>
    <n v="41"/>
  </r>
  <r>
    <x v="70"/>
    <s v="conventional_cashout_hpa_cum_32"/>
    <x v="72"/>
    <n v="1.4"/>
    <n v="1"/>
    <n v="-6"/>
    <n v="41"/>
  </r>
  <r>
    <x v="70"/>
    <s v="conventional_cashout_hpa_cum_33"/>
    <x v="73"/>
    <n v="1.4"/>
    <n v="1"/>
    <n v="-6"/>
    <n v="41"/>
  </r>
  <r>
    <x v="70"/>
    <s v="conventional_cashout_hpa_cum_34"/>
    <x v="74"/>
    <n v="1.4"/>
    <n v="1"/>
    <n v="-6"/>
    <n v="41"/>
  </r>
  <r>
    <x v="70"/>
    <s v="conventional_cashout_hpa_cum_35"/>
    <x v="75"/>
    <n v="1.4"/>
    <n v="1"/>
    <n v="-6"/>
    <n v="41"/>
  </r>
  <r>
    <x v="70"/>
    <s v="conventional_cashout_hpa_cum_36"/>
    <x v="76"/>
    <n v="1.4"/>
    <n v="1"/>
    <n v="-6"/>
    <n v="41"/>
  </r>
  <r>
    <x v="70"/>
    <s v="conventional_cashout_hpa_cum_37"/>
    <x v="77"/>
    <n v="1.4"/>
    <n v="1"/>
    <n v="-6"/>
    <n v="41"/>
  </r>
  <r>
    <x v="70"/>
    <s v="conventional_cashout_hpa_cum_38"/>
    <x v="78"/>
    <n v="1.4"/>
    <n v="1"/>
    <n v="-6"/>
    <n v="41"/>
  </r>
  <r>
    <x v="70"/>
    <s v="conventional_cashout_hpa_cum_39"/>
    <x v="79"/>
    <n v="1.4"/>
    <n v="1"/>
    <n v="-6"/>
    <n v="41"/>
  </r>
  <r>
    <x v="70"/>
    <s v="conventional_cashout_hpa_cum_40"/>
    <x v="80"/>
    <n v="1.4"/>
    <n v="1"/>
    <n v="-6"/>
    <n v="41"/>
  </r>
  <r>
    <x v="70"/>
    <s v="conventional_cashout_hpa_cum_41"/>
    <x v="81"/>
    <n v="1.4"/>
    <n v="1"/>
    <n v="-6"/>
    <n v="41"/>
  </r>
  <r>
    <x v="71"/>
    <m/>
    <x v="189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L56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562">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t="grand">
      <x/>
    </i>
  </rowItems>
  <colItems count="1">
    <i/>
  </colItems>
  <pageFields count="1">
    <pageField fld="0" item="30"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3:G729"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726">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t="grand">
      <x/>
    </i>
  </rowItems>
  <colItems count="1">
    <i/>
  </colItems>
  <pageFields count="1">
    <pageField fld="0" item="5"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915" firstHeaderRow="1" firstDataRow="1" firstDataCol="1" rowPageCount="1" colPageCount="1"/>
  <pivotFields count="7">
    <pivotField axis="axisPage" showAll="0">
      <items count="73">
        <item x="60"/>
        <item x="63"/>
        <item x="66"/>
        <item x="70"/>
        <item x="69"/>
        <item x="62"/>
        <item x="64"/>
        <item x="68"/>
        <item x="67"/>
        <item x="65"/>
        <item x="61"/>
        <item x="58"/>
        <item x="59"/>
        <item x="56"/>
        <item x="57"/>
        <item x="46"/>
        <item x="49"/>
        <item x="50"/>
        <item x="48"/>
        <item x="47"/>
        <item x="51"/>
        <item x="54"/>
        <item x="55"/>
        <item x="53"/>
        <item x="52"/>
        <item x="13"/>
        <item x="0"/>
        <item x="5"/>
        <item x="7"/>
        <item x="18"/>
        <item x="4"/>
        <item x="1"/>
        <item x="3"/>
        <item x="12"/>
        <item x="9"/>
        <item x="16"/>
        <item x="17"/>
        <item x="14"/>
        <item x="15"/>
        <item x="10"/>
        <item x="11"/>
        <item x="19"/>
        <item x="8"/>
        <item x="20"/>
        <item x="21"/>
        <item x="6"/>
        <item x="2"/>
        <item x="31"/>
        <item x="22"/>
        <item x="30"/>
        <item x="33"/>
        <item x="44"/>
        <item x="45"/>
        <item x="36"/>
        <item x="27"/>
        <item x="23"/>
        <item x="24"/>
        <item x="29"/>
        <item x="26"/>
        <item x="35"/>
        <item x="25"/>
        <item x="39"/>
        <item x="37"/>
        <item x="38"/>
        <item x="40"/>
        <item x="41"/>
        <item x="42"/>
        <item x="43"/>
        <item x="34"/>
        <item x="32"/>
        <item x="28"/>
        <item x="71"/>
        <item t="default"/>
      </items>
    </pivotField>
    <pivotField showAll="0"/>
    <pivotField axis="axisRow" showAll="0">
      <items count="1901">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256"/>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257"/>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258"/>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259"/>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260"/>
        <item x="1870"/>
        <item x="1871"/>
        <item x="1872"/>
        <item x="1873"/>
        <item x="1874"/>
        <item x="1875"/>
        <item x="1876"/>
        <item x="1877"/>
        <item x="1878"/>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1879"/>
        <item x="1880"/>
        <item x="1881"/>
        <item x="1882"/>
        <item x="1883"/>
        <item x="1884"/>
        <item x="1885"/>
        <item x="1886"/>
        <item x="1887"/>
        <item x="1888"/>
        <item x="1889"/>
        <item x="1890"/>
        <item x="1891"/>
        <item x="1892"/>
        <item x="1893"/>
        <item x="1894"/>
        <item x="1895"/>
        <item x="1896"/>
        <item x="1897"/>
        <item x="1898"/>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899"/>
        <item t="default"/>
      </items>
    </pivotField>
    <pivotField dataField="1" showAll="0"/>
    <pivotField showAll="0"/>
    <pivotField showAll="0"/>
    <pivotField showAll="0"/>
  </pivotFields>
  <rowFields count="1">
    <field x="2"/>
  </rowFields>
  <rowItems count="912">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t="grand">
      <x/>
    </i>
  </rowItems>
  <colItems count="1">
    <i/>
  </colItems>
  <pageFields count="1">
    <pageField fld="0" item="57" hier="-1"/>
  </pageFields>
  <dataFields count="1">
    <dataField name="Average of knotValu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
  <sheetViews>
    <sheetView tabSelected="1" workbookViewId="0">
      <selection activeCell="V4" sqref="V4"/>
    </sheetView>
  </sheetViews>
  <sheetFormatPr defaultRowHeight="15" x14ac:dyDescent="0.25"/>
  <cols>
    <col min="1" max="1" width="13.28515625" bestFit="1" customWidth="1"/>
    <col min="7" max="7" width="1" customWidth="1"/>
    <col min="9" max="9" width="16.28515625" bestFit="1" customWidth="1"/>
    <col min="10" max="10" width="8.5703125" bestFit="1" customWidth="1"/>
    <col min="11" max="12" width="9" bestFit="1" customWidth="1"/>
    <col min="13" max="13" width="4.42578125" bestFit="1" customWidth="1"/>
    <col min="14" max="14" width="6.42578125" bestFit="1" customWidth="1"/>
    <col min="15" max="15" width="6" bestFit="1" customWidth="1"/>
    <col min="16" max="16" width="15.140625" bestFit="1" customWidth="1"/>
    <col min="17" max="17" width="19.28515625" bestFit="1" customWidth="1"/>
    <col min="18" max="18" width="6.28515625" bestFit="1" customWidth="1"/>
    <col min="19" max="19" width="10.140625" bestFit="1" customWidth="1"/>
    <col min="20" max="20" width="7" bestFit="1" customWidth="1"/>
    <col min="21" max="21" width="22.42578125" bestFit="1" customWidth="1"/>
  </cols>
  <sheetData>
    <row r="1" spans="1:22" x14ac:dyDescent="0.25">
      <c r="A1" t="s">
        <v>0</v>
      </c>
      <c r="B1" t="s">
        <v>1</v>
      </c>
      <c r="I1" t="s">
        <v>0</v>
      </c>
      <c r="J1" s="1" t="s">
        <v>11</v>
      </c>
      <c r="K1" t="s">
        <v>13</v>
      </c>
      <c r="L1" t="s">
        <v>14</v>
      </c>
      <c r="M1" t="s">
        <v>15</v>
      </c>
      <c r="N1" t="s">
        <v>16</v>
      </c>
      <c r="O1" t="s">
        <v>17</v>
      </c>
      <c r="P1" t="s">
        <v>19</v>
      </c>
      <c r="Q1" t="s">
        <v>111</v>
      </c>
      <c r="R1" t="s">
        <v>112</v>
      </c>
      <c r="S1" t="s">
        <v>114</v>
      </c>
      <c r="T1" t="s">
        <v>116</v>
      </c>
      <c r="U1" t="s">
        <v>131</v>
      </c>
      <c r="V1" t="s">
        <v>174</v>
      </c>
    </row>
    <row r="2" spans="1:22" x14ac:dyDescent="0.25">
      <c r="A2" s="6">
        <v>1096925</v>
      </c>
      <c r="B2" t="s">
        <v>2</v>
      </c>
      <c r="C2" t="s">
        <v>3</v>
      </c>
      <c r="I2" s="6">
        <f>SUM(Baseline!AR3:AR17)</f>
        <v>1235646</v>
      </c>
      <c r="J2" s="1" t="s">
        <v>12</v>
      </c>
      <c r="K2" t="s">
        <v>117</v>
      </c>
      <c r="L2" t="s">
        <v>118</v>
      </c>
      <c r="M2" t="s">
        <v>18</v>
      </c>
      <c r="N2" t="s">
        <v>18</v>
      </c>
      <c r="O2" t="s">
        <v>119</v>
      </c>
      <c r="P2" t="s">
        <v>20</v>
      </c>
      <c r="Q2" t="s">
        <v>120</v>
      </c>
      <c r="R2" t="s">
        <v>113</v>
      </c>
      <c r="S2" t="s">
        <v>115</v>
      </c>
      <c r="T2" s="32" t="s">
        <v>121</v>
      </c>
      <c r="U2" t="s">
        <v>132</v>
      </c>
    </row>
    <row r="3" spans="1:22" x14ac:dyDescent="0.25">
      <c r="A3" s="6">
        <v>466351</v>
      </c>
      <c r="B3" t="s">
        <v>4</v>
      </c>
      <c r="I3" s="6">
        <f>SUM(Burnout!AR3:AR34)</f>
        <v>1232986</v>
      </c>
      <c r="J3" s="1" t="s">
        <v>12</v>
      </c>
      <c r="K3" t="s">
        <v>117</v>
      </c>
      <c r="L3" t="s">
        <v>118</v>
      </c>
      <c r="M3" t="s">
        <v>18</v>
      </c>
      <c r="N3" t="s">
        <v>18</v>
      </c>
      <c r="O3" t="s">
        <v>119</v>
      </c>
      <c r="P3" t="s">
        <v>20</v>
      </c>
      <c r="Q3" t="s">
        <v>120</v>
      </c>
      <c r="R3" t="s">
        <v>113</v>
      </c>
      <c r="S3" t="s">
        <v>115</v>
      </c>
      <c r="T3" s="32"/>
      <c r="U3" t="s">
        <v>132</v>
      </c>
      <c r="V3" t="s">
        <v>175</v>
      </c>
    </row>
    <row r="4" spans="1:22" x14ac:dyDescent="0.25">
      <c r="A4" s="6">
        <v>230769</v>
      </c>
      <c r="B4" t="s">
        <v>5</v>
      </c>
      <c r="J4" s="1"/>
      <c r="T4" s="25"/>
    </row>
    <row r="5" spans="1:22" x14ac:dyDescent="0.25">
      <c r="A5" s="6">
        <v>144409</v>
      </c>
      <c r="B5" t="s">
        <v>6</v>
      </c>
      <c r="J5" s="1"/>
    </row>
    <row r="6" spans="1:22" x14ac:dyDescent="0.25">
      <c r="A6" s="6">
        <v>124596</v>
      </c>
      <c r="B6" t="s">
        <v>7</v>
      </c>
      <c r="J6" s="1"/>
    </row>
    <row r="7" spans="1:22" x14ac:dyDescent="0.25">
      <c r="A7" s="6">
        <v>57525</v>
      </c>
      <c r="B7" t="s">
        <v>8</v>
      </c>
      <c r="J7" s="1"/>
    </row>
    <row r="8" spans="1:22" x14ac:dyDescent="0.25">
      <c r="A8" s="6">
        <v>2</v>
      </c>
      <c r="B8" t="s">
        <v>9</v>
      </c>
      <c r="J8" s="1"/>
    </row>
    <row r="9" spans="1:22" x14ac:dyDescent="0.25">
      <c r="A9" s="6"/>
      <c r="J9" s="1"/>
    </row>
    <row r="10" spans="1:22" x14ac:dyDescent="0.25">
      <c r="A10" s="6">
        <f>SUM(A2:A8)</f>
        <v>2120577</v>
      </c>
      <c r="B10" t="s">
        <v>10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97"/>
  <sheetViews>
    <sheetView topLeftCell="A50" zoomScale="80" zoomScaleNormal="80" workbookViewId="0">
      <selection activeCell="AM109" sqref="AM109"/>
    </sheetView>
  </sheetViews>
  <sheetFormatPr defaultRowHeight="15" x14ac:dyDescent="0.25"/>
  <sheetData>
    <row r="1" spans="1:50" x14ac:dyDescent="0.25">
      <c r="A1" s="33" t="s">
        <v>122</v>
      </c>
      <c r="C1" t="s">
        <v>134</v>
      </c>
    </row>
    <row r="2" spans="1:50" x14ac:dyDescent="0.25">
      <c r="A2" t="s">
        <v>21</v>
      </c>
      <c r="B2" t="s">
        <v>22</v>
      </c>
      <c r="C2" t="s">
        <v>23</v>
      </c>
      <c r="D2" t="s">
        <v>24</v>
      </c>
      <c r="E2" t="s">
        <v>97</v>
      </c>
      <c r="F2" t="s">
        <v>98</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t="s">
        <v>46</v>
      </c>
      <c r="AC2" t="s">
        <v>47</v>
      </c>
      <c r="AD2" t="s">
        <v>48</v>
      </c>
      <c r="AE2" t="s">
        <v>49</v>
      </c>
      <c r="AF2" t="s">
        <v>50</v>
      </c>
      <c r="AG2" t="s">
        <v>51</v>
      </c>
      <c r="AH2" t="s">
        <v>52</v>
      </c>
      <c r="AI2" t="s">
        <v>53</v>
      </c>
      <c r="AJ2" t="s">
        <v>54</v>
      </c>
      <c r="AK2" t="s">
        <v>55</v>
      </c>
      <c r="AL2" t="s">
        <v>56</v>
      </c>
      <c r="AM2" t="s">
        <v>57</v>
      </c>
      <c r="AN2" t="s">
        <v>58</v>
      </c>
      <c r="AO2" t="s">
        <v>59</v>
      </c>
      <c r="AP2" t="s">
        <v>60</v>
      </c>
      <c r="AQ2" t="s">
        <v>61</v>
      </c>
      <c r="AR2" t="s">
        <v>62</v>
      </c>
      <c r="AS2" t="s">
        <v>124</v>
      </c>
      <c r="AT2" t="s">
        <v>125</v>
      </c>
      <c r="AU2" t="s">
        <v>126</v>
      </c>
      <c r="AV2" t="s">
        <v>127</v>
      </c>
      <c r="AW2" t="s">
        <v>128</v>
      </c>
      <c r="AX2" t="s">
        <v>129</v>
      </c>
    </row>
    <row r="3" spans="1:50" x14ac:dyDescent="0.25">
      <c r="A3">
        <v>4.3</v>
      </c>
      <c r="B3">
        <v>0.99354299212619002</v>
      </c>
      <c r="C3">
        <v>3.4433222093304501</v>
      </c>
      <c r="D3">
        <v>7.4790734680492097</v>
      </c>
      <c r="E3" s="37">
        <v>2.9157422292598401E-3</v>
      </c>
      <c r="F3">
        <v>6.45700787380945E-3</v>
      </c>
      <c r="G3" s="37">
        <v>0</v>
      </c>
      <c r="H3">
        <v>3.9622664550511102</v>
      </c>
      <c r="I3">
        <v>4.15067014233707</v>
      </c>
      <c r="J3">
        <v>-55.102824174694</v>
      </c>
      <c r="K3">
        <v>-57.170376698687697</v>
      </c>
      <c r="L3">
        <v>18.591368573700802</v>
      </c>
      <c r="M3">
        <v>15.6046077984867</v>
      </c>
      <c r="N3">
        <v>77.726934415772703</v>
      </c>
      <c r="O3">
        <v>75.492092736669306</v>
      </c>
      <c r="P3">
        <v>267072.115190499</v>
      </c>
      <c r="Q3">
        <v>193404.04745613999</v>
      </c>
      <c r="R3">
        <v>774.87433550875596</v>
      </c>
      <c r="S3" s="37">
        <v>0</v>
      </c>
      <c r="T3" s="37">
        <v>0</v>
      </c>
      <c r="U3" s="37">
        <v>8.9424414388911105E-2</v>
      </c>
      <c r="V3" s="37">
        <v>0</v>
      </c>
      <c r="W3" s="37">
        <v>0</v>
      </c>
      <c r="X3" s="37">
        <v>0.58543282014561404</v>
      </c>
      <c r="Y3" s="37">
        <v>0</v>
      </c>
      <c r="Z3">
        <v>6.7107958171138803E-4</v>
      </c>
      <c r="AA3">
        <v>7.5421687846881702E-5</v>
      </c>
      <c r="AB3">
        <v>2.5087098171402999E-3</v>
      </c>
      <c r="AC3" s="37">
        <v>2.9446124619624699E-8</v>
      </c>
      <c r="AD3">
        <v>3.2017561990742198E-3</v>
      </c>
      <c r="AE3">
        <v>-2.5268185093560099E-2</v>
      </c>
      <c r="AF3">
        <v>0.99001878641810204</v>
      </c>
      <c r="AG3">
        <v>0.99720023865807905</v>
      </c>
      <c r="AH3">
        <v>1</v>
      </c>
      <c r="AI3">
        <v>1</v>
      </c>
      <c r="AJ3">
        <v>1</v>
      </c>
      <c r="AK3">
        <v>1</v>
      </c>
      <c r="AL3">
        <v>1</v>
      </c>
      <c r="AM3">
        <v>0</v>
      </c>
      <c r="AN3">
        <v>0</v>
      </c>
      <c r="AO3" t="s">
        <v>66</v>
      </c>
      <c r="AP3">
        <f>-75--50</f>
        <v>-25</v>
      </c>
      <c r="AQ3">
        <v>22048061.41</v>
      </c>
      <c r="AR3">
        <v>114</v>
      </c>
      <c r="AS3" s="37">
        <v>100</v>
      </c>
      <c r="AT3" s="37">
        <v>0</v>
      </c>
      <c r="AU3" s="37">
        <v>100</v>
      </c>
      <c r="AV3" s="37">
        <v>0</v>
      </c>
      <c r="AW3" s="37">
        <v>0</v>
      </c>
      <c r="AX3" s="37">
        <v>0</v>
      </c>
    </row>
    <row r="4" spans="1:50" x14ac:dyDescent="0.25">
      <c r="A4">
        <v>4.3</v>
      </c>
      <c r="B4">
        <v>0.99344040371019304</v>
      </c>
      <c r="C4">
        <v>2.6756425653229798</v>
      </c>
      <c r="D4">
        <v>7.5936475158731396</v>
      </c>
      <c r="E4">
        <v>2.25752251921006E-3</v>
      </c>
      <c r="F4">
        <v>6.5595962898064002E-3</v>
      </c>
      <c r="G4" s="37">
        <v>0</v>
      </c>
      <c r="H4">
        <v>3.9199800446603601</v>
      </c>
      <c r="I4">
        <v>4.1424648010542997</v>
      </c>
      <c r="J4">
        <v>-57.6599484595964</v>
      </c>
      <c r="K4">
        <v>-32.594270536739103</v>
      </c>
      <c r="L4">
        <v>14.9890601246206</v>
      </c>
      <c r="M4">
        <v>15.4242979965813</v>
      </c>
      <c r="N4">
        <v>73.798811330660001</v>
      </c>
      <c r="O4">
        <v>72.801415481914006</v>
      </c>
      <c r="P4">
        <v>293064.03473648202</v>
      </c>
      <c r="Q4">
        <v>263371.776277836</v>
      </c>
      <c r="R4">
        <v>784.82055795311999</v>
      </c>
      <c r="S4" s="37">
        <v>0</v>
      </c>
      <c r="T4" s="37">
        <v>0</v>
      </c>
      <c r="U4" s="37">
        <v>8.3187060034362603E-2</v>
      </c>
      <c r="V4" s="37">
        <v>0</v>
      </c>
      <c r="W4" s="37">
        <v>0</v>
      </c>
      <c r="X4">
        <v>0.63466923272141795</v>
      </c>
      <c r="Y4" s="37">
        <v>0</v>
      </c>
      <c r="Z4">
        <v>4.23379175116946E-4</v>
      </c>
      <c r="AA4">
        <v>5.4947754922540903E-5</v>
      </c>
      <c r="AB4">
        <v>2.4369602344780201E-3</v>
      </c>
      <c r="AC4" s="37">
        <v>1.9932865122568199E-8</v>
      </c>
      <c r="AD4">
        <v>3.6442752604935102E-3</v>
      </c>
      <c r="AE4">
        <v>-2.0683738395817799E-2</v>
      </c>
      <c r="AF4">
        <v>0.983010735102128</v>
      </c>
      <c r="AG4">
        <v>0.99723916155715397</v>
      </c>
      <c r="AH4">
        <v>1</v>
      </c>
      <c r="AI4">
        <v>1</v>
      </c>
      <c r="AJ4">
        <v>1</v>
      </c>
      <c r="AK4">
        <v>1</v>
      </c>
      <c r="AL4">
        <v>1</v>
      </c>
      <c r="AM4">
        <v>0</v>
      </c>
      <c r="AN4">
        <v>0</v>
      </c>
      <c r="AO4" t="s">
        <v>67</v>
      </c>
      <c r="AP4">
        <f>-50--25</f>
        <v>-25</v>
      </c>
      <c r="AQ4">
        <v>248359585.03</v>
      </c>
      <c r="AR4">
        <v>943</v>
      </c>
      <c r="AS4" s="37">
        <v>100</v>
      </c>
      <c r="AT4" s="37">
        <v>0</v>
      </c>
      <c r="AU4" s="37">
        <v>100</v>
      </c>
      <c r="AV4" s="37">
        <v>0</v>
      </c>
      <c r="AW4" s="37">
        <v>0</v>
      </c>
      <c r="AX4" s="37">
        <v>0</v>
      </c>
    </row>
    <row r="5" spans="1:50" x14ac:dyDescent="0.25">
      <c r="A5">
        <v>4.3</v>
      </c>
      <c r="B5">
        <v>0.98810675044877605</v>
      </c>
      <c r="C5">
        <v>14.515410770881401</v>
      </c>
      <c r="D5">
        <v>13.3743721586024</v>
      </c>
      <c r="E5">
        <v>1.29844706370965E-2</v>
      </c>
      <c r="F5">
        <v>1.1893249551223501E-2</v>
      </c>
      <c r="G5" s="37">
        <v>0</v>
      </c>
      <c r="H5">
        <v>4.0994748412076003</v>
      </c>
      <c r="I5">
        <v>4.1233851173433598</v>
      </c>
      <c r="J5">
        <v>-40.112546243626802</v>
      </c>
      <c r="K5">
        <v>-8.5065994046573401</v>
      </c>
      <c r="L5">
        <v>14.517274433407801</v>
      </c>
      <c r="M5">
        <v>15.824698847124401</v>
      </c>
      <c r="N5">
        <v>72.180941375963201</v>
      </c>
      <c r="O5">
        <v>71.167330429048206</v>
      </c>
      <c r="P5">
        <v>297035.51429392601</v>
      </c>
      <c r="Q5">
        <v>273997.09926667501</v>
      </c>
      <c r="R5">
        <v>782.74924404590604</v>
      </c>
      <c r="S5" s="37">
        <v>0</v>
      </c>
      <c r="T5" s="37">
        <v>0</v>
      </c>
      <c r="U5" s="37">
        <v>0.16198164681268501</v>
      </c>
      <c r="V5" s="37">
        <v>0</v>
      </c>
      <c r="W5" s="37">
        <v>0</v>
      </c>
      <c r="X5">
        <v>0.71326487770881197</v>
      </c>
      <c r="Y5" s="37">
        <v>0</v>
      </c>
      <c r="Z5">
        <v>3.76417188742212E-4</v>
      </c>
      <c r="AA5">
        <v>6.1641507419053201E-5</v>
      </c>
      <c r="AB5">
        <v>2.5045363785326201E-3</v>
      </c>
      <c r="AC5" s="37">
        <v>1.1985382056926201E-7</v>
      </c>
      <c r="AD5">
        <v>8.9505203136906204E-3</v>
      </c>
      <c r="AE5">
        <v>-1.5473878576498901E-2</v>
      </c>
      <c r="AF5">
        <v>0.95973186155508405</v>
      </c>
      <c r="AG5">
        <v>0.99363685535796897</v>
      </c>
      <c r="AH5">
        <v>0.99969862508294505</v>
      </c>
      <c r="AI5">
        <v>1</v>
      </c>
      <c r="AJ5">
        <v>1</v>
      </c>
      <c r="AK5">
        <v>1</v>
      </c>
      <c r="AL5">
        <v>1</v>
      </c>
      <c r="AM5">
        <v>0</v>
      </c>
      <c r="AN5">
        <v>0</v>
      </c>
      <c r="AO5" t="s">
        <v>68</v>
      </c>
      <c r="AP5">
        <f>-25-0</f>
        <v>-25</v>
      </c>
      <c r="AQ5">
        <v>2025112560.6800001</v>
      </c>
      <c r="AR5">
        <v>7391</v>
      </c>
      <c r="AS5" s="37">
        <v>100</v>
      </c>
      <c r="AT5" s="37">
        <v>0</v>
      </c>
      <c r="AU5" s="37">
        <v>100</v>
      </c>
      <c r="AV5" s="37">
        <v>0</v>
      </c>
      <c r="AW5" s="37">
        <v>0</v>
      </c>
      <c r="AX5" s="37">
        <v>0</v>
      </c>
    </row>
    <row r="6" spans="1:50" x14ac:dyDescent="0.25">
      <c r="A6">
        <v>4.3</v>
      </c>
      <c r="B6">
        <v>0.98304591532241603</v>
      </c>
      <c r="C6">
        <v>27.0489983672527</v>
      </c>
      <c r="D6">
        <v>18.551022646132601</v>
      </c>
      <c r="E6">
        <v>2.5939486473995702E-2</v>
      </c>
      <c r="F6">
        <v>1.6954084677583699E-2</v>
      </c>
      <c r="G6" s="37">
        <v>0</v>
      </c>
      <c r="H6">
        <v>4.1521468241807797</v>
      </c>
      <c r="I6">
        <v>4.0348345653355704</v>
      </c>
      <c r="J6">
        <v>-30.3919466329844</v>
      </c>
      <c r="K6">
        <v>15.7443346932819</v>
      </c>
      <c r="L6">
        <v>14.3640068536101</v>
      </c>
      <c r="M6">
        <v>15.776988680148399</v>
      </c>
      <c r="N6">
        <v>68.038081695055993</v>
      </c>
      <c r="O6">
        <v>65.942075087686206</v>
      </c>
      <c r="P6">
        <v>298325.63251064898</v>
      </c>
      <c r="Q6">
        <v>277825.05432750098</v>
      </c>
      <c r="R6">
        <v>783.61192742241803</v>
      </c>
      <c r="S6" s="37">
        <v>0</v>
      </c>
      <c r="T6" s="37">
        <v>0</v>
      </c>
      <c r="U6">
        <v>0.233178285176594</v>
      </c>
      <c r="V6" s="37">
        <v>0</v>
      </c>
      <c r="W6" s="37">
        <v>0</v>
      </c>
      <c r="X6">
        <v>0.81770669992959</v>
      </c>
      <c r="Y6" s="37">
        <v>0</v>
      </c>
      <c r="Z6">
        <v>3.6976725643884402E-4</v>
      </c>
      <c r="AA6">
        <v>5.8793703510189399E-5</v>
      </c>
      <c r="AB6">
        <v>2.7739842653938199E-3</v>
      </c>
      <c r="AC6" s="37">
        <v>3.0262743911178999E-6</v>
      </c>
      <c r="AD6">
        <v>1.37484989547617E-2</v>
      </c>
      <c r="AE6">
        <v>3.8239736779564302E-3</v>
      </c>
      <c r="AF6">
        <v>0.83514428223231296</v>
      </c>
      <c r="AG6">
        <v>0.95178216858581899</v>
      </c>
      <c r="AH6">
        <v>0.99513288340000405</v>
      </c>
      <c r="AI6">
        <v>0.99904793051321605</v>
      </c>
      <c r="AJ6">
        <v>1</v>
      </c>
      <c r="AK6">
        <v>1</v>
      </c>
      <c r="AL6">
        <v>1</v>
      </c>
      <c r="AM6">
        <v>0</v>
      </c>
      <c r="AN6">
        <v>0</v>
      </c>
      <c r="AO6" t="s">
        <v>69</v>
      </c>
      <c r="AP6" t="s">
        <v>70</v>
      </c>
      <c r="AQ6">
        <v>10989092198.870001</v>
      </c>
      <c r="AR6">
        <v>39554</v>
      </c>
      <c r="AS6" s="37">
        <v>100</v>
      </c>
      <c r="AT6" s="37">
        <v>0</v>
      </c>
      <c r="AU6" s="37">
        <v>100</v>
      </c>
      <c r="AV6" s="37">
        <v>0</v>
      </c>
      <c r="AW6" s="37">
        <v>0</v>
      </c>
      <c r="AX6" s="37">
        <v>0</v>
      </c>
    </row>
    <row r="7" spans="1:50" x14ac:dyDescent="0.25">
      <c r="A7">
        <v>4.3</v>
      </c>
      <c r="B7">
        <v>0.97553016245322999</v>
      </c>
      <c r="C7">
        <v>39.511306539506997</v>
      </c>
      <c r="D7">
        <v>25.717173097763801</v>
      </c>
      <c r="E7">
        <v>4.1027432936049102E-2</v>
      </c>
      <c r="F7">
        <v>2.4469837546768999E-2</v>
      </c>
      <c r="G7" s="37">
        <v>0</v>
      </c>
      <c r="H7">
        <v>4.1700427279950798</v>
      </c>
      <c r="I7">
        <v>3.8869039936421501</v>
      </c>
      <c r="J7">
        <v>-26.925547507346302</v>
      </c>
      <c r="K7">
        <v>37.409974847285703</v>
      </c>
      <c r="L7">
        <v>13.639154245512501</v>
      </c>
      <c r="M7">
        <v>16.149073330801698</v>
      </c>
      <c r="N7">
        <v>64.844231334760593</v>
      </c>
      <c r="O7">
        <v>61.095981257928301</v>
      </c>
      <c r="P7">
        <v>311881.57179800601</v>
      </c>
      <c r="Q7">
        <v>292677.62690224103</v>
      </c>
      <c r="R7">
        <v>783.83426749919704</v>
      </c>
      <c r="S7" s="37">
        <v>0</v>
      </c>
      <c r="T7" s="37">
        <v>0</v>
      </c>
      <c r="U7">
        <v>0.26765840150570802</v>
      </c>
      <c r="V7" s="37">
        <v>0</v>
      </c>
      <c r="W7" s="37">
        <v>0</v>
      </c>
      <c r="X7">
        <v>0.83998290548298704</v>
      </c>
      <c r="Y7" s="37">
        <v>0</v>
      </c>
      <c r="Z7">
        <v>3.68210890893817E-4</v>
      </c>
      <c r="AA7">
        <v>5.7737955584498303E-5</v>
      </c>
      <c r="AB7">
        <v>3.08401324585773E-3</v>
      </c>
      <c r="AC7" s="37">
        <v>1.0551737486364599E-5</v>
      </c>
      <c r="AD7">
        <v>2.0949309402952601E-2</v>
      </c>
      <c r="AE7">
        <v>3.4424604763256199E-2</v>
      </c>
      <c r="AF7">
        <v>0.65979439068956602</v>
      </c>
      <c r="AG7">
        <v>0.89652549828803896</v>
      </c>
      <c r="AH7">
        <v>0.98913006082477595</v>
      </c>
      <c r="AI7">
        <v>0.99836627984341797</v>
      </c>
      <c r="AJ7">
        <v>1</v>
      </c>
      <c r="AK7">
        <v>1</v>
      </c>
      <c r="AL7">
        <v>1</v>
      </c>
      <c r="AM7">
        <v>0</v>
      </c>
      <c r="AN7">
        <v>0</v>
      </c>
      <c r="AO7" t="s">
        <v>71</v>
      </c>
      <c r="AP7" t="s">
        <v>72</v>
      </c>
      <c r="AQ7">
        <v>21924188353.619999</v>
      </c>
      <c r="AR7">
        <v>74909</v>
      </c>
      <c r="AS7" s="37">
        <v>100</v>
      </c>
      <c r="AT7" s="37">
        <v>0</v>
      </c>
      <c r="AU7" s="37">
        <v>100</v>
      </c>
      <c r="AV7" s="37">
        <v>0</v>
      </c>
      <c r="AW7" s="37">
        <v>0</v>
      </c>
      <c r="AX7" s="37">
        <v>0</v>
      </c>
    </row>
    <row r="8" spans="1:50" x14ac:dyDescent="0.25">
      <c r="A8">
        <v>4.3</v>
      </c>
      <c r="B8">
        <v>0.96749363298989</v>
      </c>
      <c r="C8">
        <v>47.215946149875997</v>
      </c>
      <c r="D8">
        <v>32.736821230086697</v>
      </c>
      <c r="E8">
        <v>5.1853975470512799E-2</v>
      </c>
      <c r="F8">
        <v>3.2506367010109498E-2</v>
      </c>
      <c r="G8" s="37">
        <v>0</v>
      </c>
      <c r="H8">
        <v>4.4546713063729797</v>
      </c>
      <c r="I8">
        <v>3.8939110936539199</v>
      </c>
      <c r="J8">
        <v>-17.6366549627257</v>
      </c>
      <c r="K8">
        <v>62.476490921913999</v>
      </c>
      <c r="L8">
        <v>14.2329733219446</v>
      </c>
      <c r="M8">
        <v>17.622334311618999</v>
      </c>
      <c r="N8">
        <v>67.200221101813</v>
      </c>
      <c r="O8">
        <v>63.714954380216803</v>
      </c>
      <c r="P8">
        <v>300315.56001339102</v>
      </c>
      <c r="Q8">
        <v>280510.28761934699</v>
      </c>
      <c r="R8">
        <v>782.16221421169803</v>
      </c>
      <c r="S8" s="37">
        <v>0</v>
      </c>
      <c r="T8" s="37">
        <v>0</v>
      </c>
      <c r="U8">
        <v>0.24509649363570199</v>
      </c>
      <c r="V8" s="37">
        <v>0</v>
      </c>
      <c r="W8" s="37">
        <v>0</v>
      </c>
      <c r="X8">
        <v>0.76375297630239702</v>
      </c>
      <c r="Y8" s="37">
        <v>0</v>
      </c>
      <c r="Z8">
        <v>3.7146775661998102E-4</v>
      </c>
      <c r="AA8">
        <v>8.9448587186182003E-5</v>
      </c>
      <c r="AB8">
        <v>3.2444202746527901E-3</v>
      </c>
      <c r="AC8" s="37">
        <v>9.1333761229322894E-6</v>
      </c>
      <c r="AD8">
        <v>2.8791882590042901E-2</v>
      </c>
      <c r="AE8">
        <v>2.4814580402913001E-2</v>
      </c>
      <c r="AF8">
        <v>0.68593790872733995</v>
      </c>
      <c r="AG8">
        <v>0.94531389069164695</v>
      </c>
      <c r="AH8">
        <v>0.99334832685180097</v>
      </c>
      <c r="AI8">
        <v>0.99910374075394803</v>
      </c>
      <c r="AJ8">
        <v>1</v>
      </c>
      <c r="AK8">
        <v>1</v>
      </c>
      <c r="AL8">
        <v>1</v>
      </c>
      <c r="AM8">
        <v>0</v>
      </c>
      <c r="AN8">
        <v>0</v>
      </c>
      <c r="AO8" t="s">
        <v>73</v>
      </c>
      <c r="AP8" t="s">
        <v>74</v>
      </c>
      <c r="AQ8">
        <v>17351524861.27</v>
      </c>
      <c r="AR8">
        <v>61857</v>
      </c>
      <c r="AS8" s="37">
        <v>100</v>
      </c>
      <c r="AT8" s="37">
        <v>0</v>
      </c>
      <c r="AU8" s="37">
        <v>100</v>
      </c>
      <c r="AV8" s="37">
        <v>0</v>
      </c>
      <c r="AW8" s="37">
        <v>0</v>
      </c>
      <c r="AX8" s="37">
        <v>0</v>
      </c>
    </row>
    <row r="9" spans="1:50" x14ac:dyDescent="0.25">
      <c r="A9">
        <v>4.3</v>
      </c>
      <c r="B9">
        <v>0.96168779864429099</v>
      </c>
      <c r="C9">
        <v>45.7708272196178</v>
      </c>
      <c r="D9">
        <v>37.423787710370398</v>
      </c>
      <c r="E9">
        <v>4.9717463343028401E-2</v>
      </c>
      <c r="F9">
        <v>3.8312201355708099E-2</v>
      </c>
      <c r="G9" s="37">
        <v>0</v>
      </c>
      <c r="H9">
        <v>4.6792015292067903</v>
      </c>
      <c r="I9">
        <v>3.8981509428101</v>
      </c>
      <c r="J9">
        <v>-11.5311502639086</v>
      </c>
      <c r="K9">
        <v>85.668970884368505</v>
      </c>
      <c r="L9">
        <v>14.263814450785301</v>
      </c>
      <c r="M9">
        <v>17.602014203038902</v>
      </c>
      <c r="N9">
        <v>66.442910600283099</v>
      </c>
      <c r="O9">
        <v>62.693088682520603</v>
      </c>
      <c r="P9">
        <v>299859.64255796699</v>
      </c>
      <c r="Q9">
        <v>279920.92258670903</v>
      </c>
      <c r="R9">
        <v>780.85804814325502</v>
      </c>
      <c r="S9" s="37">
        <v>0</v>
      </c>
      <c r="T9" s="37">
        <v>0</v>
      </c>
      <c r="U9">
        <v>0.28399372752434199</v>
      </c>
      <c r="V9" s="37">
        <v>0</v>
      </c>
      <c r="W9" s="37">
        <v>0</v>
      </c>
      <c r="X9">
        <v>0.69290848609290001</v>
      </c>
      <c r="Y9" s="37">
        <v>0</v>
      </c>
      <c r="Z9">
        <v>3.7185964998863902E-4</v>
      </c>
      <c r="AA9">
        <v>1.0535087945380201E-4</v>
      </c>
      <c r="AB9">
        <v>3.3641167498702699E-3</v>
      </c>
      <c r="AC9">
        <v>1.88562074024779E-5</v>
      </c>
      <c r="AD9">
        <v>3.4452003130528798E-2</v>
      </c>
      <c r="AE9">
        <v>2.8319628091365599E-2</v>
      </c>
      <c r="AF9">
        <v>0.6265847372112</v>
      </c>
      <c r="AG9">
        <v>0.94565645948284405</v>
      </c>
      <c r="AH9">
        <v>0.98872447099546501</v>
      </c>
      <c r="AI9">
        <v>0.99818447269798904</v>
      </c>
      <c r="AJ9">
        <v>1</v>
      </c>
      <c r="AK9">
        <v>1</v>
      </c>
      <c r="AL9">
        <v>1</v>
      </c>
      <c r="AM9">
        <v>0</v>
      </c>
      <c r="AN9">
        <v>0</v>
      </c>
      <c r="AO9" t="s">
        <v>75</v>
      </c>
      <c r="AP9" t="s">
        <v>76</v>
      </c>
      <c r="AQ9">
        <v>11137493667.879999</v>
      </c>
      <c r="AR9">
        <v>39788</v>
      </c>
      <c r="AS9" s="37">
        <v>100</v>
      </c>
      <c r="AT9" s="37">
        <v>0</v>
      </c>
      <c r="AU9" s="37">
        <v>100</v>
      </c>
      <c r="AV9" s="37">
        <v>0</v>
      </c>
      <c r="AW9" s="37">
        <v>0</v>
      </c>
      <c r="AX9" s="37">
        <v>0</v>
      </c>
    </row>
    <row r="10" spans="1:50" x14ac:dyDescent="0.25">
      <c r="A10">
        <v>4.3</v>
      </c>
      <c r="B10">
        <v>0.95610776010162402</v>
      </c>
      <c r="C10">
        <v>45.909203181044703</v>
      </c>
      <c r="D10">
        <v>41.644456654936</v>
      </c>
      <c r="E10">
        <v>4.9919768812099398E-2</v>
      </c>
      <c r="F10">
        <v>4.3892239898375297E-2</v>
      </c>
      <c r="G10" s="37">
        <v>0</v>
      </c>
      <c r="H10">
        <v>4.8190174463322899</v>
      </c>
      <c r="I10">
        <v>3.7827978441224901</v>
      </c>
      <c r="J10">
        <v>-7.0333729511050098</v>
      </c>
      <c r="K10">
        <v>111.768434390067</v>
      </c>
      <c r="L10">
        <v>14.851525150510399</v>
      </c>
      <c r="M10">
        <v>18.573442605538801</v>
      </c>
      <c r="N10">
        <v>70.0477308833091</v>
      </c>
      <c r="O10">
        <v>64.517258387715799</v>
      </c>
      <c r="P10">
        <v>288600.20744691603</v>
      </c>
      <c r="Q10">
        <v>268853.19579149998</v>
      </c>
      <c r="R10">
        <v>779.33270544376001</v>
      </c>
      <c r="S10" s="37">
        <v>0</v>
      </c>
      <c r="T10" s="37">
        <v>0</v>
      </c>
      <c r="U10">
        <v>0.29515184776322501</v>
      </c>
      <c r="V10" s="37">
        <v>0</v>
      </c>
      <c r="W10" s="37">
        <v>0</v>
      </c>
      <c r="X10">
        <v>0.61609329399752699</v>
      </c>
      <c r="Y10" s="37">
        <v>0</v>
      </c>
      <c r="Z10">
        <v>3.7279537998950501E-4</v>
      </c>
      <c r="AA10">
        <v>1.47224620153274E-4</v>
      </c>
      <c r="AB10">
        <v>3.69618458198757E-3</v>
      </c>
      <c r="AC10">
        <v>3.6742998713316997E-5</v>
      </c>
      <c r="AD10">
        <v>3.9639277509902898E-2</v>
      </c>
      <c r="AE10">
        <v>5.2894393530933802E-2</v>
      </c>
      <c r="AF10">
        <v>0.44589189061352302</v>
      </c>
      <c r="AG10">
        <v>0.91894030275873695</v>
      </c>
      <c r="AH10">
        <v>0.98503593196407102</v>
      </c>
      <c r="AI10">
        <v>0.99699297254341501</v>
      </c>
      <c r="AJ10">
        <v>1</v>
      </c>
      <c r="AK10">
        <v>1</v>
      </c>
      <c r="AL10">
        <v>1</v>
      </c>
      <c r="AM10">
        <v>0</v>
      </c>
      <c r="AN10">
        <v>0</v>
      </c>
      <c r="AO10" t="s">
        <v>77</v>
      </c>
      <c r="AP10" t="s">
        <v>78</v>
      </c>
      <c r="AQ10">
        <v>5725228804.3800001</v>
      </c>
      <c r="AR10">
        <v>21295</v>
      </c>
      <c r="AS10" s="37">
        <v>100</v>
      </c>
      <c r="AT10" s="37">
        <v>0</v>
      </c>
      <c r="AU10" s="37">
        <v>100</v>
      </c>
      <c r="AV10" s="37">
        <v>0</v>
      </c>
      <c r="AW10" s="37">
        <v>0</v>
      </c>
      <c r="AX10" s="37">
        <v>0</v>
      </c>
    </row>
    <row r="11" spans="1:50" x14ac:dyDescent="0.25">
      <c r="A11">
        <v>4.3</v>
      </c>
      <c r="B11">
        <v>0.95139204284506595</v>
      </c>
      <c r="C11">
        <v>46.476872003021001</v>
      </c>
      <c r="D11">
        <v>45.006143321778303</v>
      </c>
      <c r="E11">
        <v>5.0754696248407602E-2</v>
      </c>
      <c r="F11">
        <v>4.8607957154933899E-2</v>
      </c>
      <c r="G11" s="37">
        <v>0</v>
      </c>
      <c r="H11">
        <v>4.8761354772326699</v>
      </c>
      <c r="I11">
        <v>3.6738704947384</v>
      </c>
      <c r="J11">
        <v>-6.5473520175052498</v>
      </c>
      <c r="K11">
        <v>134.373235124464</v>
      </c>
      <c r="L11">
        <v>14.345574769635199</v>
      </c>
      <c r="M11">
        <v>20.090595794887001</v>
      </c>
      <c r="N11">
        <v>70.801330035653606</v>
      </c>
      <c r="O11">
        <v>63.193321717083897</v>
      </c>
      <c r="P11">
        <v>297212.06415607501</v>
      </c>
      <c r="Q11">
        <v>278337.19808198803</v>
      </c>
      <c r="R11">
        <v>778.25756439140002</v>
      </c>
      <c r="S11" s="37">
        <v>0</v>
      </c>
      <c r="T11" s="37">
        <v>0</v>
      </c>
      <c r="U11">
        <v>0.29020541166177999</v>
      </c>
      <c r="V11" s="37">
        <v>0</v>
      </c>
      <c r="W11" s="37">
        <v>0</v>
      </c>
      <c r="X11">
        <v>0.61283835550985899</v>
      </c>
      <c r="Y11" s="37">
        <v>0</v>
      </c>
      <c r="Z11">
        <v>3.74110962989013E-4</v>
      </c>
      <c r="AA11">
        <v>1.6841150508178801E-4</v>
      </c>
      <c r="AB11">
        <v>3.68573956505487E-3</v>
      </c>
      <c r="AC11">
        <v>8.5910415182201494E-5</v>
      </c>
      <c r="AD11">
        <v>4.4293769686680397E-2</v>
      </c>
      <c r="AE11">
        <v>8.5370718844031801E-2</v>
      </c>
      <c r="AF11">
        <v>0.28253616588601399</v>
      </c>
      <c r="AG11">
        <v>0.87003254035329303</v>
      </c>
      <c r="AH11">
        <v>0.96620380419857199</v>
      </c>
      <c r="AI11">
        <v>0.99610031307449098</v>
      </c>
      <c r="AJ11">
        <v>1</v>
      </c>
      <c r="AK11">
        <v>1</v>
      </c>
      <c r="AL11">
        <v>1</v>
      </c>
      <c r="AM11">
        <v>0</v>
      </c>
      <c r="AN11">
        <v>0</v>
      </c>
      <c r="AO11" t="s">
        <v>79</v>
      </c>
      <c r="AP11" t="s">
        <v>80</v>
      </c>
      <c r="AQ11">
        <v>2620823057.1399999</v>
      </c>
      <c r="AR11">
        <v>9416</v>
      </c>
      <c r="AS11" s="37">
        <v>100</v>
      </c>
      <c r="AT11" s="37">
        <v>0</v>
      </c>
      <c r="AU11" s="37">
        <v>100</v>
      </c>
      <c r="AV11" s="37">
        <v>0</v>
      </c>
      <c r="AW11" s="37">
        <v>0</v>
      </c>
      <c r="AX11" s="37">
        <v>0</v>
      </c>
    </row>
    <row r="12" spans="1:50" x14ac:dyDescent="0.25">
      <c r="A12">
        <v>4.3</v>
      </c>
      <c r="B12">
        <v>0.94664668044911304</v>
      </c>
      <c r="C12">
        <v>44.242835662966101</v>
      </c>
      <c r="D12">
        <v>48.208916618606999</v>
      </c>
      <c r="E12">
        <v>4.7514462955103302E-2</v>
      </c>
      <c r="F12">
        <v>5.3353319550886201E-2</v>
      </c>
      <c r="G12" s="37">
        <v>0</v>
      </c>
      <c r="H12">
        <v>5.0228990838490102</v>
      </c>
      <c r="I12">
        <v>3.6711342065528298</v>
      </c>
      <c r="J12">
        <v>6.8476451351644396</v>
      </c>
      <c r="K12">
        <v>160.18516166213001</v>
      </c>
      <c r="L12">
        <v>14.050935964014</v>
      </c>
      <c r="M12">
        <v>20.067577183632402</v>
      </c>
      <c r="N12">
        <v>78.702584894491594</v>
      </c>
      <c r="O12">
        <v>68.818308900589201</v>
      </c>
      <c r="P12">
        <v>302497.44945458398</v>
      </c>
      <c r="Q12">
        <v>284181.93619109102</v>
      </c>
      <c r="R12">
        <v>777.14943247241695</v>
      </c>
      <c r="S12" s="37">
        <v>0</v>
      </c>
      <c r="T12" s="37">
        <v>0</v>
      </c>
      <c r="U12">
        <v>0.23643044410942601</v>
      </c>
      <c r="V12" s="37">
        <v>0</v>
      </c>
      <c r="W12" s="37">
        <v>0</v>
      </c>
      <c r="X12">
        <v>0.52204473215818603</v>
      </c>
      <c r="Y12" s="37">
        <v>0</v>
      </c>
      <c r="Z12">
        <v>3.7364660821713198E-4</v>
      </c>
      <c r="AA12">
        <v>2.4360028836634701E-4</v>
      </c>
      <c r="AB12">
        <v>3.8902341285462E-3</v>
      </c>
      <c r="AC12">
        <v>1.3030684466215601E-4</v>
      </c>
      <c r="AD12">
        <v>4.8715516343220799E-2</v>
      </c>
      <c r="AE12">
        <v>0.107049235597792</v>
      </c>
      <c r="AF12">
        <v>0.157129082402062</v>
      </c>
      <c r="AG12">
        <v>0.78788788066198401</v>
      </c>
      <c r="AH12">
        <v>0.94414222667681402</v>
      </c>
      <c r="AI12">
        <v>0.98989339820335798</v>
      </c>
      <c r="AJ12">
        <v>1</v>
      </c>
      <c r="AK12">
        <v>1</v>
      </c>
      <c r="AL12">
        <v>1</v>
      </c>
      <c r="AM12">
        <v>0</v>
      </c>
      <c r="AN12">
        <v>0</v>
      </c>
      <c r="AO12" t="s">
        <v>81</v>
      </c>
      <c r="AP12" t="s">
        <v>82</v>
      </c>
      <c r="AQ12">
        <v>440197819.16000003</v>
      </c>
      <c r="AR12">
        <v>1549</v>
      </c>
      <c r="AS12" s="37">
        <v>100</v>
      </c>
      <c r="AT12" s="37">
        <v>0</v>
      </c>
      <c r="AU12" s="37">
        <v>100</v>
      </c>
      <c r="AV12" s="37">
        <v>0</v>
      </c>
      <c r="AW12" s="37">
        <v>0</v>
      </c>
      <c r="AX12" s="37">
        <v>0</v>
      </c>
    </row>
    <row r="13" spans="1:50" x14ac:dyDescent="0.25">
      <c r="A13">
        <v>4.3</v>
      </c>
      <c r="B13">
        <v>0.94180871701906499</v>
      </c>
      <c r="C13">
        <v>53.130436470808498</v>
      </c>
      <c r="D13">
        <v>51.297363811112703</v>
      </c>
      <c r="E13">
        <v>6.1197489207662902E-2</v>
      </c>
      <c r="F13">
        <v>5.8191282980934698E-2</v>
      </c>
      <c r="G13" s="37">
        <v>0</v>
      </c>
      <c r="H13">
        <v>5.0468119636960296</v>
      </c>
      <c r="I13">
        <v>3.6581714092980402</v>
      </c>
      <c r="J13">
        <v>6.4300908512944703</v>
      </c>
      <c r="K13">
        <v>183.94350489017</v>
      </c>
      <c r="L13">
        <v>13.8846846311134</v>
      </c>
      <c r="M13">
        <v>20.4863828371568</v>
      </c>
      <c r="N13">
        <v>85.498758550909699</v>
      </c>
      <c r="O13">
        <v>72.570640434086698</v>
      </c>
      <c r="P13">
        <v>305684.75228504901</v>
      </c>
      <c r="Q13">
        <v>287591.89741071401</v>
      </c>
      <c r="R13">
        <v>777.65331003001995</v>
      </c>
      <c r="S13" s="37">
        <v>0</v>
      </c>
      <c r="T13" s="37">
        <v>0</v>
      </c>
      <c r="U13">
        <v>0.23252351468115601</v>
      </c>
      <c r="V13" s="37">
        <v>0</v>
      </c>
      <c r="W13" s="37">
        <v>0</v>
      </c>
      <c r="X13">
        <v>0.402000486106938</v>
      </c>
      <c r="Y13" s="37">
        <v>0</v>
      </c>
      <c r="Z13">
        <v>3.7498083586438299E-4</v>
      </c>
      <c r="AA13">
        <v>3.2210145234887899E-4</v>
      </c>
      <c r="AB13">
        <v>4.1021818581568103E-3</v>
      </c>
      <c r="AC13">
        <v>3.5720283658052701E-4</v>
      </c>
      <c r="AD13">
        <v>5.3034800071768001E-2</v>
      </c>
      <c r="AE13">
        <v>0.139428074325575</v>
      </c>
      <c r="AF13">
        <v>3.5231054369169602E-2</v>
      </c>
      <c r="AG13">
        <v>0.62060278239097899</v>
      </c>
      <c r="AH13">
        <v>0.85157551067931403</v>
      </c>
      <c r="AI13">
        <v>0.98674363275235299</v>
      </c>
      <c r="AJ13">
        <v>1</v>
      </c>
      <c r="AK13">
        <v>1</v>
      </c>
      <c r="AL13">
        <v>1</v>
      </c>
      <c r="AM13">
        <v>0</v>
      </c>
      <c r="AN13">
        <v>0</v>
      </c>
      <c r="AO13" t="s">
        <v>83</v>
      </c>
      <c r="AP13" t="s">
        <v>84</v>
      </c>
      <c r="AQ13">
        <v>96630877.530000001</v>
      </c>
      <c r="AR13">
        <v>336</v>
      </c>
      <c r="AS13" s="37">
        <v>100</v>
      </c>
      <c r="AT13" s="37">
        <v>0</v>
      </c>
      <c r="AU13" s="37">
        <v>100</v>
      </c>
      <c r="AV13" s="37">
        <v>0</v>
      </c>
      <c r="AW13" s="37">
        <v>0</v>
      </c>
      <c r="AX13" s="37">
        <v>0</v>
      </c>
    </row>
    <row r="14" spans="1:50" x14ac:dyDescent="0.25">
      <c r="A14">
        <v>4.3</v>
      </c>
      <c r="B14">
        <v>0.94074240080284799</v>
      </c>
      <c r="C14">
        <v>47.495830730037397</v>
      </c>
      <c r="D14">
        <v>51.954952623882903</v>
      </c>
      <c r="E14">
        <v>5.2273954856408698E-2</v>
      </c>
      <c r="F14">
        <v>5.92575991971519E-2</v>
      </c>
      <c r="G14" s="37">
        <v>0</v>
      </c>
      <c r="H14">
        <v>5.1962175270796997</v>
      </c>
      <c r="I14">
        <v>3.6487087980292801</v>
      </c>
      <c r="J14">
        <v>17.288719989476</v>
      </c>
      <c r="K14">
        <v>209.552293094823</v>
      </c>
      <c r="L14">
        <v>14.525860365374999</v>
      </c>
      <c r="M14">
        <v>20.792683089257899</v>
      </c>
      <c r="N14">
        <v>90.1202353104606</v>
      </c>
      <c r="O14">
        <v>75.175750153318802</v>
      </c>
      <c r="P14">
        <v>294450.39719337702</v>
      </c>
      <c r="Q14">
        <v>274910.83289473603</v>
      </c>
      <c r="R14">
        <v>775.395165462573</v>
      </c>
      <c r="S14" s="37">
        <v>0</v>
      </c>
      <c r="T14" s="37">
        <v>0</v>
      </c>
      <c r="U14">
        <v>8.3777428444944596E-2</v>
      </c>
      <c r="V14" s="37">
        <v>0</v>
      </c>
      <c r="W14" s="37">
        <v>0</v>
      </c>
      <c r="X14">
        <v>0.28831944805759002</v>
      </c>
      <c r="Y14" s="37">
        <v>0</v>
      </c>
      <c r="Z14">
        <v>3.7198763570191602E-4</v>
      </c>
      <c r="AA14">
        <v>3.7985114570584198E-4</v>
      </c>
      <c r="AB14">
        <v>4.3843365412793598E-3</v>
      </c>
      <c r="AC14">
        <v>5.94536303158278E-4</v>
      </c>
      <c r="AD14">
        <v>5.3526868723453899E-2</v>
      </c>
      <c r="AE14">
        <v>0.16459064505952101</v>
      </c>
      <c r="AF14" s="37">
        <v>0</v>
      </c>
      <c r="AG14">
        <v>0.467143527346496</v>
      </c>
      <c r="AH14">
        <v>0.67606014482217303</v>
      </c>
      <c r="AI14">
        <v>0.98161704517847104</v>
      </c>
      <c r="AJ14">
        <v>1</v>
      </c>
      <c r="AK14">
        <v>1</v>
      </c>
      <c r="AL14">
        <v>1</v>
      </c>
      <c r="AM14">
        <v>0</v>
      </c>
      <c r="AN14">
        <v>0</v>
      </c>
      <c r="AO14" t="s">
        <v>85</v>
      </c>
      <c r="AP14" t="s">
        <v>86</v>
      </c>
      <c r="AQ14">
        <v>20893223.300000001</v>
      </c>
      <c r="AR14">
        <v>76</v>
      </c>
      <c r="AS14" s="37">
        <v>100</v>
      </c>
      <c r="AT14" s="37">
        <v>0</v>
      </c>
      <c r="AU14" s="37">
        <v>100</v>
      </c>
      <c r="AV14" s="37">
        <v>0</v>
      </c>
      <c r="AW14" s="37">
        <v>0</v>
      </c>
      <c r="AX14" s="37">
        <v>0</v>
      </c>
    </row>
    <row r="15" spans="1:50" x14ac:dyDescent="0.25">
      <c r="A15">
        <v>4.3</v>
      </c>
      <c r="B15">
        <v>0.94906051167171401</v>
      </c>
      <c r="C15">
        <v>46.592588079016998</v>
      </c>
      <c r="D15">
        <v>46.601772073341898</v>
      </c>
      <c r="E15">
        <v>5.09258869416227E-2</v>
      </c>
      <c r="F15">
        <v>5.0939488328285501E-2</v>
      </c>
      <c r="G15" s="37">
        <v>0</v>
      </c>
      <c r="H15">
        <v>5.3215329643257903</v>
      </c>
      <c r="I15">
        <v>3.66540798537434</v>
      </c>
      <c r="J15">
        <v>30.4743143825511</v>
      </c>
      <c r="K15">
        <v>232.640397203189</v>
      </c>
      <c r="L15">
        <v>17.9274009343142</v>
      </c>
      <c r="M15">
        <v>20.850681634745001</v>
      </c>
      <c r="N15">
        <v>92.695714677597195</v>
      </c>
      <c r="O15">
        <v>75.691523369808195</v>
      </c>
      <c r="P15">
        <v>246276.82689495001</v>
      </c>
      <c r="Q15">
        <v>222772.75058823501</v>
      </c>
      <c r="R15">
        <v>788.41158566716194</v>
      </c>
      <c r="S15" s="37">
        <v>0</v>
      </c>
      <c r="T15" s="37">
        <v>0</v>
      </c>
      <c r="U15" s="37">
        <v>0</v>
      </c>
      <c r="V15" s="37">
        <v>0</v>
      </c>
      <c r="W15" s="37">
        <v>0</v>
      </c>
      <c r="X15">
        <v>0.34002479487960102</v>
      </c>
      <c r="Y15" s="37">
        <v>0</v>
      </c>
      <c r="Z15">
        <v>4.0339217660008598E-4</v>
      </c>
      <c r="AA15">
        <v>4.2794964240108403E-5</v>
      </c>
      <c r="AB15">
        <v>4.2408690282340596E-3</v>
      </c>
      <c r="AC15">
        <v>6.8165278861622E-4</v>
      </c>
      <c r="AD15">
        <v>4.5570761118122999E-2</v>
      </c>
      <c r="AE15">
        <v>0.17333362962495499</v>
      </c>
      <c r="AF15" s="37">
        <v>0</v>
      </c>
      <c r="AG15">
        <v>0.29883153731158102</v>
      </c>
      <c r="AH15">
        <v>0.63135197684278999</v>
      </c>
      <c r="AI15">
        <v>0.95367428980832403</v>
      </c>
      <c r="AJ15">
        <v>1</v>
      </c>
      <c r="AK15">
        <v>1</v>
      </c>
      <c r="AL15">
        <v>1</v>
      </c>
      <c r="AM15">
        <v>0</v>
      </c>
      <c r="AN15">
        <v>0</v>
      </c>
      <c r="AO15" t="s">
        <v>87</v>
      </c>
      <c r="AP15" t="s">
        <v>88</v>
      </c>
      <c r="AQ15">
        <v>3787136.76</v>
      </c>
      <c r="AR15">
        <v>17</v>
      </c>
      <c r="AS15" s="37">
        <v>100</v>
      </c>
      <c r="AT15" s="37">
        <v>0</v>
      </c>
      <c r="AU15" s="37">
        <v>100</v>
      </c>
      <c r="AV15" s="37">
        <v>0</v>
      </c>
      <c r="AW15" s="37">
        <v>0</v>
      </c>
      <c r="AX15" s="37">
        <v>0</v>
      </c>
    </row>
    <row r="16" spans="1:50" x14ac:dyDescent="0.25">
      <c r="G16" s="37"/>
      <c r="S16" s="37"/>
      <c r="T16" s="37"/>
      <c r="W16" s="37"/>
      <c r="Y16" s="37"/>
      <c r="AS16" s="37"/>
      <c r="AT16" s="37"/>
      <c r="AU16" s="37"/>
      <c r="AW16" s="37"/>
    </row>
    <row r="17" spans="1:50" x14ac:dyDescent="0.25">
      <c r="G17" s="37"/>
      <c r="S17" s="37"/>
      <c r="T17" s="37"/>
      <c r="W17" s="37"/>
      <c r="Y17" s="37"/>
      <c r="AS17" s="37"/>
      <c r="AT17" s="37"/>
      <c r="AU17" s="37"/>
      <c r="AW17" s="37"/>
    </row>
    <row r="18" spans="1:50" x14ac:dyDescent="0.25">
      <c r="G18" s="37"/>
      <c r="S18" s="37"/>
      <c r="T18" s="37"/>
      <c r="U18" s="37"/>
      <c r="W18" s="37"/>
      <c r="Y18" s="37"/>
      <c r="AS18" s="37"/>
      <c r="AT18" s="37"/>
      <c r="AU18" s="37"/>
      <c r="AW18" s="37"/>
    </row>
    <row r="19" spans="1:50" x14ac:dyDescent="0.25">
      <c r="A19" s="33" t="s">
        <v>122</v>
      </c>
      <c r="C19" t="s">
        <v>164</v>
      </c>
    </row>
    <row r="20" spans="1:50" x14ac:dyDescent="0.25">
      <c r="A20" t="s">
        <v>21</v>
      </c>
      <c r="B20" t="s">
        <v>22</v>
      </c>
      <c r="C20" t="s">
        <v>23</v>
      </c>
      <c r="D20" t="s">
        <v>24</v>
      </c>
      <c r="E20" t="s">
        <v>97</v>
      </c>
      <c r="F20" t="s">
        <v>98</v>
      </c>
      <c r="G20" t="s">
        <v>25</v>
      </c>
      <c r="H20" t="s">
        <v>26</v>
      </c>
      <c r="I20" t="s">
        <v>27</v>
      </c>
      <c r="J20" t="s">
        <v>28</v>
      </c>
      <c r="K20" t="s">
        <v>29</v>
      </c>
      <c r="L20" t="s">
        <v>30</v>
      </c>
      <c r="M20" t="s">
        <v>31</v>
      </c>
      <c r="N20" t="s">
        <v>32</v>
      </c>
      <c r="O20" t="s">
        <v>33</v>
      </c>
      <c r="P20" t="s">
        <v>34</v>
      </c>
      <c r="Q20" t="s">
        <v>35</v>
      </c>
      <c r="R20" t="s">
        <v>36</v>
      </c>
      <c r="S20" t="s">
        <v>37</v>
      </c>
      <c r="T20" t="s">
        <v>38</v>
      </c>
      <c r="U20" t="s">
        <v>39</v>
      </c>
      <c r="V20" t="s">
        <v>40</v>
      </c>
      <c r="W20" t="s">
        <v>41</v>
      </c>
      <c r="X20" t="s">
        <v>42</v>
      </c>
      <c r="Y20" t="s">
        <v>43</v>
      </c>
      <c r="Z20" t="s">
        <v>44</v>
      </c>
      <c r="AA20" t="s">
        <v>45</v>
      </c>
      <c r="AB20" t="s">
        <v>46</v>
      </c>
      <c r="AC20" t="s">
        <v>47</v>
      </c>
      <c r="AD20" t="s">
        <v>48</v>
      </c>
      <c r="AE20" t="s">
        <v>49</v>
      </c>
      <c r="AF20" t="s">
        <v>50</v>
      </c>
      <c r="AG20" t="s">
        <v>51</v>
      </c>
      <c r="AH20" t="s">
        <v>52</v>
      </c>
      <c r="AI20" t="s">
        <v>53</v>
      </c>
      <c r="AJ20" t="s">
        <v>54</v>
      </c>
      <c r="AK20" t="s">
        <v>55</v>
      </c>
      <c r="AL20" t="s">
        <v>56</v>
      </c>
      <c r="AM20" t="s">
        <v>57</v>
      </c>
      <c r="AN20" t="s">
        <v>58</v>
      </c>
      <c r="AO20" t="s">
        <v>59</v>
      </c>
      <c r="AP20" t="s">
        <v>60</v>
      </c>
      <c r="AQ20" t="s">
        <v>61</v>
      </c>
      <c r="AR20" t="s">
        <v>62</v>
      </c>
      <c r="AS20" t="s">
        <v>124</v>
      </c>
      <c r="AT20" t="s">
        <v>125</v>
      </c>
      <c r="AU20" t="s">
        <v>126</v>
      </c>
      <c r="AV20" t="s">
        <v>127</v>
      </c>
      <c r="AW20" t="s">
        <v>128</v>
      </c>
      <c r="AX20" t="s">
        <v>129</v>
      </c>
    </row>
    <row r="21" spans="1:50" x14ac:dyDescent="0.25">
      <c r="A21">
        <v>4.3</v>
      </c>
      <c r="B21">
        <v>0.99570059641268804</v>
      </c>
      <c r="C21" s="37">
        <v>1.21002045716522E-5</v>
      </c>
      <c r="D21">
        <v>5.0390157831752003</v>
      </c>
      <c r="E21" s="37">
        <v>1.0083504526031401E-8</v>
      </c>
      <c r="F21">
        <v>4.2994035873111297E-3</v>
      </c>
      <c r="G21" s="37">
        <v>0</v>
      </c>
      <c r="H21">
        <v>4.0264724982141802</v>
      </c>
      <c r="I21">
        <v>4.1375376417415</v>
      </c>
      <c r="J21">
        <v>-42.855524106759503</v>
      </c>
      <c r="K21">
        <v>-108.853802183863</v>
      </c>
      <c r="L21">
        <v>20.131192575588098</v>
      </c>
      <c r="M21">
        <v>15.604362725078801</v>
      </c>
      <c r="N21">
        <v>76.152880057146007</v>
      </c>
      <c r="O21">
        <v>75.620604437937899</v>
      </c>
      <c r="P21">
        <v>198516.224249666</v>
      </c>
      <c r="Q21">
        <v>198343.73800000001</v>
      </c>
      <c r="R21">
        <v>760.45864017143799</v>
      </c>
      <c r="S21" s="37">
        <v>0</v>
      </c>
      <c r="T21" s="37">
        <v>0</v>
      </c>
      <c r="U21" s="37">
        <v>0</v>
      </c>
      <c r="V21" s="37">
        <v>0</v>
      </c>
      <c r="W21" s="37">
        <v>0</v>
      </c>
      <c r="X21">
        <v>0.21177998571348799</v>
      </c>
      <c r="Y21" s="37">
        <v>0</v>
      </c>
      <c r="Z21">
        <v>3.5089724352164802E-4</v>
      </c>
      <c r="AA21">
        <v>5.1078517150463303E-5</v>
      </c>
      <c r="AB21">
        <v>2.86847169235985E-3</v>
      </c>
      <c r="AC21" s="37">
        <v>0</v>
      </c>
      <c r="AD21">
        <v>1.02894218707E-3</v>
      </c>
      <c r="AE21">
        <v>-1.59662195992138E-2</v>
      </c>
      <c r="AF21">
        <v>1</v>
      </c>
      <c r="AG21">
        <v>1</v>
      </c>
      <c r="AH21">
        <v>1</v>
      </c>
      <c r="AI21">
        <v>1</v>
      </c>
      <c r="AJ21">
        <v>1</v>
      </c>
      <c r="AK21">
        <v>1</v>
      </c>
      <c r="AL21">
        <v>1</v>
      </c>
      <c r="AM21">
        <v>0</v>
      </c>
      <c r="AN21">
        <v>0</v>
      </c>
      <c r="AO21" t="s">
        <v>64</v>
      </c>
      <c r="AP21">
        <f>-125--100</f>
        <v>-25</v>
      </c>
      <c r="AQ21">
        <v>991718.69</v>
      </c>
      <c r="AR21">
        <v>5</v>
      </c>
      <c r="AS21" s="37">
        <v>0</v>
      </c>
      <c r="AT21">
        <v>100</v>
      </c>
      <c r="AU21">
        <v>100</v>
      </c>
      <c r="AV21" s="37">
        <v>0</v>
      </c>
      <c r="AW21" s="37">
        <v>0</v>
      </c>
      <c r="AX21" s="37">
        <v>0</v>
      </c>
    </row>
    <row r="22" spans="1:50" x14ac:dyDescent="0.25">
      <c r="A22">
        <v>4.3</v>
      </c>
      <c r="B22">
        <v>0.99034254472057204</v>
      </c>
      <c r="C22">
        <v>7.9358739953947399</v>
      </c>
      <c r="D22">
        <v>10.9927795747513</v>
      </c>
      <c r="E22">
        <v>6.8667181026693799E-3</v>
      </c>
      <c r="F22">
        <v>9.6574552794271903E-3</v>
      </c>
      <c r="G22" s="37">
        <v>0</v>
      </c>
      <c r="H22">
        <v>4.1493575916695304</v>
      </c>
      <c r="I22">
        <v>4.0940505466547199</v>
      </c>
      <c r="J22">
        <v>-33.386671996418102</v>
      </c>
      <c r="K22">
        <v>-83.205890832494603</v>
      </c>
      <c r="L22">
        <v>15.783595169037699</v>
      </c>
      <c r="M22">
        <v>15.6901681027427</v>
      </c>
      <c r="N22">
        <v>76.749332132832194</v>
      </c>
      <c r="O22">
        <v>75.908226274633506</v>
      </c>
      <c r="P22">
        <v>298964.842306184</v>
      </c>
      <c r="Q22">
        <v>222085.03535714201</v>
      </c>
      <c r="R22">
        <v>780.43588322335904</v>
      </c>
      <c r="S22" s="37">
        <v>0</v>
      </c>
      <c r="T22" s="37">
        <v>0</v>
      </c>
      <c r="U22" s="37">
        <v>0</v>
      </c>
      <c r="V22" s="37">
        <v>0</v>
      </c>
      <c r="W22" s="37">
        <v>0</v>
      </c>
      <c r="X22">
        <v>0.371096018997703</v>
      </c>
      <c r="Y22" s="37">
        <v>0</v>
      </c>
      <c r="Z22">
        <v>5.35425222145016E-4</v>
      </c>
      <c r="AA22">
        <v>7.7502751175720399E-5</v>
      </c>
      <c r="AB22">
        <v>2.6030463025199899E-3</v>
      </c>
      <c r="AC22" s="37">
        <v>0</v>
      </c>
      <c r="AD22">
        <v>6.4414668119124E-3</v>
      </c>
      <c r="AE22">
        <v>-2.6461015105583002E-2</v>
      </c>
      <c r="AF22">
        <v>1</v>
      </c>
      <c r="AG22">
        <v>1</v>
      </c>
      <c r="AH22">
        <v>1</v>
      </c>
      <c r="AI22">
        <v>1</v>
      </c>
      <c r="AJ22">
        <v>1</v>
      </c>
      <c r="AK22">
        <v>1</v>
      </c>
      <c r="AL22">
        <v>1</v>
      </c>
      <c r="AM22">
        <v>0</v>
      </c>
      <c r="AN22">
        <v>0</v>
      </c>
      <c r="AO22" t="s">
        <v>65</v>
      </c>
      <c r="AP22">
        <f>-100--75</f>
        <v>-25</v>
      </c>
      <c r="AQ22">
        <v>6218380.9900000002</v>
      </c>
      <c r="AR22">
        <v>28</v>
      </c>
      <c r="AS22" s="37">
        <v>0</v>
      </c>
      <c r="AT22">
        <v>100</v>
      </c>
      <c r="AU22">
        <v>100</v>
      </c>
      <c r="AV22" s="37">
        <v>0</v>
      </c>
      <c r="AW22" s="37">
        <v>0</v>
      </c>
      <c r="AX22" s="37">
        <v>0</v>
      </c>
    </row>
    <row r="23" spans="1:50" x14ac:dyDescent="0.25">
      <c r="A23">
        <v>4.3</v>
      </c>
      <c r="B23">
        <v>0.995311943285075</v>
      </c>
      <c r="C23">
        <v>1.8301087366495701</v>
      </c>
      <c r="D23">
        <v>5.4828570840255901</v>
      </c>
      <c r="E23">
        <v>1.5380346705518499E-3</v>
      </c>
      <c r="F23">
        <v>4.6880567149246502E-3</v>
      </c>
      <c r="G23" s="37">
        <v>0</v>
      </c>
      <c r="H23">
        <v>3.8986259377108099</v>
      </c>
      <c r="I23">
        <v>4.1473096127734399</v>
      </c>
      <c r="J23">
        <v>-59.670288781649099</v>
      </c>
      <c r="K23">
        <v>-56.9058788127074</v>
      </c>
      <c r="L23">
        <v>17.185230058719899</v>
      </c>
      <c r="M23">
        <v>15.2459113694189</v>
      </c>
      <c r="N23">
        <v>77.854850726832794</v>
      </c>
      <c r="O23">
        <v>76.716764759401798</v>
      </c>
      <c r="P23">
        <v>263061.79539893998</v>
      </c>
      <c r="Q23">
        <v>226873.40175609701</v>
      </c>
      <c r="R23">
        <v>780.81197119743899</v>
      </c>
      <c r="S23" s="37">
        <v>0</v>
      </c>
      <c r="T23" s="37">
        <v>0</v>
      </c>
      <c r="U23">
        <v>2.50981339386436E-3</v>
      </c>
      <c r="V23" s="37">
        <v>0</v>
      </c>
      <c r="W23" s="37">
        <v>0</v>
      </c>
      <c r="X23">
        <v>0.46038548494865</v>
      </c>
      <c r="Y23" s="37">
        <v>0</v>
      </c>
      <c r="Z23">
        <v>4.7411809231937501E-4</v>
      </c>
      <c r="AA23">
        <v>6.1413375988147995E-5</v>
      </c>
      <c r="AB23">
        <v>2.4185358287252402E-3</v>
      </c>
      <c r="AC23" s="37">
        <v>0</v>
      </c>
      <c r="AD23">
        <v>1.73397911762863E-3</v>
      </c>
      <c r="AE23">
        <v>-2.2969111468739398E-2</v>
      </c>
      <c r="AF23">
        <v>0.99655200075893302</v>
      </c>
      <c r="AG23">
        <v>1</v>
      </c>
      <c r="AH23">
        <v>1</v>
      </c>
      <c r="AI23">
        <v>1</v>
      </c>
      <c r="AJ23">
        <v>1</v>
      </c>
      <c r="AK23">
        <v>1</v>
      </c>
      <c r="AL23">
        <v>1</v>
      </c>
      <c r="AM23">
        <v>0</v>
      </c>
      <c r="AN23">
        <v>0</v>
      </c>
      <c r="AO23" t="s">
        <v>66</v>
      </c>
      <c r="AP23">
        <f>-75--50</f>
        <v>-25</v>
      </c>
      <c r="AQ23">
        <v>139527142.08000001</v>
      </c>
      <c r="AR23">
        <v>615</v>
      </c>
      <c r="AS23" s="37">
        <v>0</v>
      </c>
      <c r="AT23">
        <v>100</v>
      </c>
      <c r="AU23">
        <v>100</v>
      </c>
      <c r="AV23" s="37">
        <v>0</v>
      </c>
      <c r="AW23" s="37">
        <v>0</v>
      </c>
      <c r="AX23" s="37">
        <v>0</v>
      </c>
    </row>
    <row r="24" spans="1:50" x14ac:dyDescent="0.25">
      <c r="A24">
        <v>4.3</v>
      </c>
      <c r="B24">
        <v>0.99386721969649605</v>
      </c>
      <c r="C24">
        <v>3.4070806667748199</v>
      </c>
      <c r="D24">
        <v>7.1161089815177903</v>
      </c>
      <c r="E24">
        <v>2.88456049451831E-3</v>
      </c>
      <c r="F24">
        <v>6.1327803035032E-3</v>
      </c>
      <c r="G24" s="37">
        <v>0</v>
      </c>
      <c r="H24">
        <v>3.89951166592251</v>
      </c>
      <c r="I24">
        <v>4.1447021145405403</v>
      </c>
      <c r="J24">
        <v>-60.114068185303303</v>
      </c>
      <c r="K24">
        <v>-33.387746159817397</v>
      </c>
      <c r="L24">
        <v>15.9557511910453</v>
      </c>
      <c r="M24">
        <v>15.468515309962401</v>
      </c>
      <c r="N24">
        <v>73.341273746447897</v>
      </c>
      <c r="O24">
        <v>71.959296558923896</v>
      </c>
      <c r="P24">
        <v>273610.41154723201</v>
      </c>
      <c r="Q24">
        <v>248811.56034899701</v>
      </c>
      <c r="R24">
        <v>782.10208167140297</v>
      </c>
      <c r="S24" s="37">
        <v>0</v>
      </c>
      <c r="T24" s="37">
        <v>0</v>
      </c>
      <c r="U24">
        <v>1.3918239013517499E-3</v>
      </c>
      <c r="V24" s="37">
        <v>0</v>
      </c>
      <c r="W24" s="37">
        <v>0</v>
      </c>
      <c r="X24">
        <v>0.58737228270268804</v>
      </c>
      <c r="Y24" s="37">
        <v>0</v>
      </c>
      <c r="Z24">
        <v>3.9633253095045098E-4</v>
      </c>
      <c r="AA24">
        <v>5.7272474545529103E-5</v>
      </c>
      <c r="AB24">
        <v>2.53879352533228E-3</v>
      </c>
      <c r="AC24" s="37">
        <v>2.19885343026675E-8</v>
      </c>
      <c r="AD24">
        <v>3.1403456700803902E-3</v>
      </c>
      <c r="AE24">
        <v>-1.52731652235439E-2</v>
      </c>
      <c r="AF24">
        <v>0.98396189242309895</v>
      </c>
      <c r="AG24">
        <v>0.99979739429595404</v>
      </c>
      <c r="AH24">
        <v>0.99996869045787695</v>
      </c>
      <c r="AI24">
        <v>0.99999041649652398</v>
      </c>
      <c r="AJ24">
        <v>1</v>
      </c>
      <c r="AK24">
        <v>1</v>
      </c>
      <c r="AL24">
        <v>1</v>
      </c>
      <c r="AM24">
        <v>0</v>
      </c>
      <c r="AN24">
        <v>0</v>
      </c>
      <c r="AO24" t="s">
        <v>67</v>
      </c>
      <c r="AP24">
        <f>-50--25</f>
        <v>-25</v>
      </c>
      <c r="AQ24">
        <v>1625485923.76</v>
      </c>
      <c r="AR24">
        <v>6533</v>
      </c>
      <c r="AS24" s="37">
        <v>0</v>
      </c>
      <c r="AT24">
        <v>100</v>
      </c>
      <c r="AU24">
        <v>100</v>
      </c>
      <c r="AV24" s="37">
        <v>0</v>
      </c>
      <c r="AW24" s="37">
        <v>0</v>
      </c>
      <c r="AX24" s="37">
        <v>0</v>
      </c>
    </row>
    <row r="25" spans="1:50" x14ac:dyDescent="0.25">
      <c r="A25">
        <v>4.3</v>
      </c>
      <c r="B25">
        <v>0.98847280220232003</v>
      </c>
      <c r="C25">
        <v>8.6868545747933599</v>
      </c>
      <c r="D25">
        <v>12.98849298445</v>
      </c>
      <c r="E25">
        <v>7.5443497930416104E-3</v>
      </c>
      <c r="F25">
        <v>1.1527197797679E-2</v>
      </c>
      <c r="G25" s="37">
        <v>0</v>
      </c>
      <c r="H25">
        <v>4.09707296206098</v>
      </c>
      <c r="I25">
        <v>4.1260145036097002</v>
      </c>
      <c r="J25">
        <v>-41.6732934271879</v>
      </c>
      <c r="K25">
        <v>-9.3602836676983205</v>
      </c>
      <c r="L25">
        <v>15.3038976879497</v>
      </c>
      <c r="M25">
        <v>16.0963790793638</v>
      </c>
      <c r="N25">
        <v>72.187814256077104</v>
      </c>
      <c r="O25">
        <v>71.0339060998555</v>
      </c>
      <c r="P25">
        <v>281961.46694803901</v>
      </c>
      <c r="Q25">
        <v>260269.91865004101</v>
      </c>
      <c r="R25">
        <v>781.85441407205099</v>
      </c>
      <c r="S25" s="37">
        <v>0</v>
      </c>
      <c r="T25" s="37">
        <v>0</v>
      </c>
      <c r="U25">
        <v>2.7826060294268398E-3</v>
      </c>
      <c r="V25" s="37">
        <v>0</v>
      </c>
      <c r="W25" s="37">
        <v>0</v>
      </c>
      <c r="X25">
        <v>0.68324040354695703</v>
      </c>
      <c r="Y25" s="37">
        <v>0</v>
      </c>
      <c r="Z25">
        <v>3.74747850257503E-4</v>
      </c>
      <c r="AA25">
        <v>6.7008714587425697E-5</v>
      </c>
      <c r="AB25">
        <v>2.6069832494691899E-3</v>
      </c>
      <c r="AC25" s="37">
        <v>3.1678629608808199E-8</v>
      </c>
      <c r="AD25">
        <v>8.4784119890419507E-3</v>
      </c>
      <c r="AE25">
        <v>-1.42620517050024E-2</v>
      </c>
      <c r="AF25">
        <v>0.97210267899181302</v>
      </c>
      <c r="AG25">
        <v>0.99863120925960502</v>
      </c>
      <c r="AH25">
        <v>0.99987520672616903</v>
      </c>
      <c r="AI25">
        <v>1</v>
      </c>
      <c r="AJ25">
        <v>1</v>
      </c>
      <c r="AK25">
        <v>1</v>
      </c>
      <c r="AL25">
        <v>1</v>
      </c>
      <c r="AM25">
        <v>0</v>
      </c>
      <c r="AN25">
        <v>0</v>
      </c>
      <c r="AO25" t="s">
        <v>68</v>
      </c>
      <c r="AP25">
        <f>-25-0</f>
        <v>-25</v>
      </c>
      <c r="AQ25">
        <v>9643781295.7399998</v>
      </c>
      <c r="AR25">
        <v>37053</v>
      </c>
      <c r="AS25" s="37">
        <v>0</v>
      </c>
      <c r="AT25">
        <v>100</v>
      </c>
      <c r="AU25">
        <v>100</v>
      </c>
      <c r="AV25" s="37">
        <v>0</v>
      </c>
      <c r="AW25" s="37">
        <v>0</v>
      </c>
      <c r="AX25" s="37">
        <v>0</v>
      </c>
    </row>
    <row r="26" spans="1:50" x14ac:dyDescent="0.25">
      <c r="A26">
        <v>4.3</v>
      </c>
      <c r="B26">
        <v>0.98339762326878999</v>
      </c>
      <c r="C26">
        <v>18.623934072511801</v>
      </c>
      <c r="D26">
        <v>18.2006501371458</v>
      </c>
      <c r="E26">
        <v>1.7027448300148799E-2</v>
      </c>
      <c r="F26">
        <v>1.66023767312093E-2</v>
      </c>
      <c r="G26" s="37">
        <v>0</v>
      </c>
      <c r="H26">
        <v>4.20615438514114</v>
      </c>
      <c r="I26">
        <v>4.0684697808163399</v>
      </c>
      <c r="J26">
        <v>-31.261201309728399</v>
      </c>
      <c r="K26">
        <v>15.1594257247135</v>
      </c>
      <c r="L26">
        <v>15.015325403392</v>
      </c>
      <c r="M26">
        <v>16.5313548802371</v>
      </c>
      <c r="N26">
        <v>69.194666701956905</v>
      </c>
      <c r="O26">
        <v>67.652826648193894</v>
      </c>
      <c r="P26">
        <v>286199.28808775201</v>
      </c>
      <c r="Q26">
        <v>265730.87407351902</v>
      </c>
      <c r="R26">
        <v>782.34245011600103</v>
      </c>
      <c r="S26" s="37">
        <v>0</v>
      </c>
      <c r="T26" s="37">
        <v>0</v>
      </c>
      <c r="U26">
        <v>8.9632365071564205E-3</v>
      </c>
      <c r="V26" s="37">
        <v>0</v>
      </c>
      <c r="W26" s="37">
        <v>0</v>
      </c>
      <c r="X26">
        <v>0.76936147672566901</v>
      </c>
      <c r="Y26" s="37">
        <v>0</v>
      </c>
      <c r="Z26">
        <v>3.7298469155176901E-4</v>
      </c>
      <c r="AA26">
        <v>7.4133431325726102E-5</v>
      </c>
      <c r="AB26">
        <v>2.7640145438338499E-3</v>
      </c>
      <c r="AC26" s="37">
        <v>4.0375178424184698E-7</v>
      </c>
      <c r="AD26">
        <v>1.33908260593791E-2</v>
      </c>
      <c r="AE26">
        <v>-8.6907056399762594E-3</v>
      </c>
      <c r="AF26">
        <v>0.92529765987281798</v>
      </c>
      <c r="AG26">
        <v>0.99384478809002796</v>
      </c>
      <c r="AH26">
        <v>0.99955191633131601</v>
      </c>
      <c r="AI26">
        <v>0.99983997130818802</v>
      </c>
      <c r="AJ26">
        <v>1</v>
      </c>
      <c r="AK26">
        <v>1</v>
      </c>
      <c r="AL26">
        <v>1</v>
      </c>
      <c r="AM26">
        <v>0</v>
      </c>
      <c r="AN26">
        <v>0</v>
      </c>
      <c r="AO26" t="s">
        <v>69</v>
      </c>
      <c r="AP26" t="s">
        <v>70</v>
      </c>
      <c r="AQ26">
        <v>38876692607.830002</v>
      </c>
      <c r="AR26">
        <v>146301</v>
      </c>
      <c r="AS26" s="37">
        <v>0</v>
      </c>
      <c r="AT26">
        <v>100</v>
      </c>
      <c r="AU26">
        <v>100</v>
      </c>
      <c r="AV26" s="37">
        <v>0</v>
      </c>
      <c r="AW26" s="37">
        <v>0</v>
      </c>
      <c r="AX26" s="37">
        <v>0</v>
      </c>
    </row>
    <row r="27" spans="1:50" x14ac:dyDescent="0.25">
      <c r="A27">
        <v>4.3</v>
      </c>
      <c r="B27">
        <v>0.976366921695215</v>
      </c>
      <c r="C27">
        <v>30.1727288819705</v>
      </c>
      <c r="D27">
        <v>24.9489641823357</v>
      </c>
      <c r="E27">
        <v>2.94853641310296E-2</v>
      </c>
      <c r="F27">
        <v>2.3633078304784502E-2</v>
      </c>
      <c r="G27" s="37">
        <v>0</v>
      </c>
      <c r="H27">
        <v>4.2307504573268098</v>
      </c>
      <c r="I27">
        <v>3.9141908011689899</v>
      </c>
      <c r="J27">
        <v>-26.990777049457201</v>
      </c>
      <c r="K27">
        <v>37.381618500067702</v>
      </c>
      <c r="L27">
        <v>14.4225940129717</v>
      </c>
      <c r="M27">
        <v>17.063509814077101</v>
      </c>
      <c r="N27">
        <v>67.386444082159102</v>
      </c>
      <c r="O27">
        <v>64.4757737725201</v>
      </c>
      <c r="P27">
        <v>297412.58402323298</v>
      </c>
      <c r="Q27">
        <v>276705.526621575</v>
      </c>
      <c r="R27">
        <v>782.18971172689305</v>
      </c>
      <c r="S27" s="37">
        <v>0</v>
      </c>
      <c r="T27" s="37">
        <v>0</v>
      </c>
      <c r="U27">
        <v>1.70890040223067E-2</v>
      </c>
      <c r="V27" s="37">
        <v>0</v>
      </c>
      <c r="W27" s="37">
        <v>0</v>
      </c>
      <c r="X27">
        <v>0.75444376422182002</v>
      </c>
      <c r="Y27" s="37">
        <v>0</v>
      </c>
      <c r="Z27">
        <v>3.7191187259703298E-4</v>
      </c>
      <c r="AA27">
        <v>7.6173822218288006E-5</v>
      </c>
      <c r="AB27">
        <v>3.0566283534876801E-3</v>
      </c>
      <c r="AC27">
        <v>3.0381203734293702E-6</v>
      </c>
      <c r="AD27">
        <v>2.0125311905912199E-2</v>
      </c>
      <c r="AE27">
        <v>1.40202014906382E-2</v>
      </c>
      <c r="AF27">
        <v>0.79792715138804704</v>
      </c>
      <c r="AG27">
        <v>0.97128840639504599</v>
      </c>
      <c r="AH27">
        <v>0.99714665214141496</v>
      </c>
      <c r="AI27">
        <v>0.999480341342881</v>
      </c>
      <c r="AJ27">
        <v>1</v>
      </c>
      <c r="AK27">
        <v>1</v>
      </c>
      <c r="AL27">
        <v>1</v>
      </c>
      <c r="AM27">
        <v>0</v>
      </c>
      <c r="AN27">
        <v>0</v>
      </c>
      <c r="AO27" t="s">
        <v>71</v>
      </c>
      <c r="AP27" t="s">
        <v>72</v>
      </c>
      <c r="AQ27">
        <v>61816014647.260002</v>
      </c>
      <c r="AR27">
        <v>223400</v>
      </c>
      <c r="AS27" s="37">
        <v>0</v>
      </c>
      <c r="AT27">
        <v>100</v>
      </c>
      <c r="AU27">
        <v>100</v>
      </c>
      <c r="AV27" s="37">
        <v>0</v>
      </c>
      <c r="AW27" s="37">
        <v>0</v>
      </c>
      <c r="AX27" s="37">
        <v>0</v>
      </c>
    </row>
    <row r="28" spans="1:50" x14ac:dyDescent="0.25">
      <c r="A28">
        <v>4.3</v>
      </c>
      <c r="B28">
        <v>0.96874993311925095</v>
      </c>
      <c r="C28">
        <v>38.013897829902099</v>
      </c>
      <c r="D28">
        <v>31.681200489739801</v>
      </c>
      <c r="E28">
        <v>3.9071235046389097E-2</v>
      </c>
      <c r="F28">
        <v>3.1250066880748197E-2</v>
      </c>
      <c r="G28" s="37">
        <v>0</v>
      </c>
      <c r="H28">
        <v>4.4691528597303298</v>
      </c>
      <c r="I28">
        <v>3.8899297000081701</v>
      </c>
      <c r="J28">
        <v>-17.585481163028899</v>
      </c>
      <c r="K28">
        <v>62.663639315422898</v>
      </c>
      <c r="L28">
        <v>14.9048875600558</v>
      </c>
      <c r="M28">
        <v>17.433619265760701</v>
      </c>
      <c r="N28">
        <v>69.5666214078161</v>
      </c>
      <c r="O28">
        <v>66.270423840762902</v>
      </c>
      <c r="P28">
        <v>287889.78975165298</v>
      </c>
      <c r="Q28">
        <v>267833.149797744</v>
      </c>
      <c r="R28">
        <v>780.90566596328904</v>
      </c>
      <c r="S28" s="37">
        <v>0</v>
      </c>
      <c r="T28" s="37">
        <v>0</v>
      </c>
      <c r="U28">
        <v>1.23799233374941E-2</v>
      </c>
      <c r="V28" s="37">
        <v>0</v>
      </c>
      <c r="W28" s="37">
        <v>0</v>
      </c>
      <c r="X28">
        <v>0.65513568301684699</v>
      </c>
      <c r="Y28" s="37">
        <v>0</v>
      </c>
      <c r="Z28">
        <v>3.7347868384138001E-4</v>
      </c>
      <c r="AA28">
        <v>1.01655568252476E-4</v>
      </c>
      <c r="AB28">
        <v>3.1882110540560199E-3</v>
      </c>
      <c r="AC28">
        <v>6.1303927620919001E-6</v>
      </c>
      <c r="AD28">
        <v>2.7580576836921399E-2</v>
      </c>
      <c r="AE28">
        <v>1.8520792951003999E-2</v>
      </c>
      <c r="AF28">
        <v>0.75933385753161597</v>
      </c>
      <c r="AG28">
        <v>0.97296662962985803</v>
      </c>
      <c r="AH28">
        <v>0.99568005993048203</v>
      </c>
      <c r="AI28">
        <v>0.99918143798127901</v>
      </c>
      <c r="AJ28">
        <v>1</v>
      </c>
      <c r="AK28">
        <v>1</v>
      </c>
      <c r="AL28">
        <v>1</v>
      </c>
      <c r="AM28">
        <v>0</v>
      </c>
      <c r="AN28">
        <v>0</v>
      </c>
      <c r="AO28" t="s">
        <v>73</v>
      </c>
      <c r="AP28" t="s">
        <v>74</v>
      </c>
      <c r="AQ28">
        <v>60848477636.25</v>
      </c>
      <c r="AR28">
        <v>227188</v>
      </c>
      <c r="AS28" s="37">
        <v>0</v>
      </c>
      <c r="AT28">
        <v>100</v>
      </c>
      <c r="AU28">
        <v>100</v>
      </c>
      <c r="AV28" s="37">
        <v>0</v>
      </c>
      <c r="AW28" s="37">
        <v>0</v>
      </c>
      <c r="AX28" s="37">
        <v>0</v>
      </c>
    </row>
    <row r="29" spans="1:50" x14ac:dyDescent="0.25">
      <c r="A29">
        <v>4.3</v>
      </c>
      <c r="B29">
        <v>0.96283573231086905</v>
      </c>
      <c r="C29">
        <v>42.416214440489</v>
      </c>
      <c r="D29">
        <v>36.521538728855603</v>
      </c>
      <c r="E29">
        <v>4.4952399751599599E-2</v>
      </c>
      <c r="F29">
        <v>3.7164267689130101E-2</v>
      </c>
      <c r="G29" s="37">
        <v>0</v>
      </c>
      <c r="H29">
        <v>4.6698990009871304</v>
      </c>
      <c r="I29">
        <v>3.8733773741845798</v>
      </c>
      <c r="J29">
        <v>-11.1144191198096</v>
      </c>
      <c r="K29">
        <v>86.082824076007995</v>
      </c>
      <c r="L29">
        <v>14.8042713132863</v>
      </c>
      <c r="M29">
        <v>16.9383353943111</v>
      </c>
      <c r="N29">
        <v>69.317804075470605</v>
      </c>
      <c r="O29">
        <v>65.421495010544604</v>
      </c>
      <c r="P29">
        <v>290106.52941821702</v>
      </c>
      <c r="Q29">
        <v>269690.95788047003</v>
      </c>
      <c r="R29">
        <v>780.16361375570295</v>
      </c>
      <c r="S29" s="37">
        <v>0</v>
      </c>
      <c r="T29" s="37">
        <v>0</v>
      </c>
      <c r="U29">
        <v>1.49297321848574E-2</v>
      </c>
      <c r="V29" s="37">
        <v>0</v>
      </c>
      <c r="W29" s="37">
        <v>0</v>
      </c>
      <c r="X29">
        <v>0.57816442810412705</v>
      </c>
      <c r="Y29" s="37">
        <v>0</v>
      </c>
      <c r="Z29">
        <v>3.7159590433561899E-4</v>
      </c>
      <c r="AA29">
        <v>1.21185954582511E-4</v>
      </c>
      <c r="AB29">
        <v>3.32337740275486E-3</v>
      </c>
      <c r="AC29">
        <v>1.1990445329859699E-5</v>
      </c>
      <c r="AD29">
        <v>3.3336103436557997E-2</v>
      </c>
      <c r="AE29">
        <v>2.87391779129159E-2</v>
      </c>
      <c r="AF29">
        <v>0.66722427256435901</v>
      </c>
      <c r="AG29">
        <v>0.96394032588912404</v>
      </c>
      <c r="AH29">
        <v>0.99288434414660198</v>
      </c>
      <c r="AI29">
        <v>0.99892184005561202</v>
      </c>
      <c r="AJ29">
        <v>1</v>
      </c>
      <c r="AK29">
        <v>1</v>
      </c>
      <c r="AL29">
        <v>1</v>
      </c>
      <c r="AM29">
        <v>0</v>
      </c>
      <c r="AN29">
        <v>0</v>
      </c>
      <c r="AO29" t="s">
        <v>75</v>
      </c>
      <c r="AP29" t="s">
        <v>76</v>
      </c>
      <c r="AQ29">
        <v>45517900489.150002</v>
      </c>
      <c r="AR29">
        <v>168778</v>
      </c>
      <c r="AS29" s="37">
        <v>0</v>
      </c>
      <c r="AT29">
        <v>100</v>
      </c>
      <c r="AU29">
        <v>100</v>
      </c>
      <c r="AV29" s="37">
        <v>0</v>
      </c>
      <c r="AW29" s="37">
        <v>0</v>
      </c>
      <c r="AX29" s="37">
        <v>0</v>
      </c>
    </row>
    <row r="30" spans="1:50" x14ac:dyDescent="0.25">
      <c r="A30">
        <v>4.3</v>
      </c>
      <c r="B30">
        <v>0.95762744348464102</v>
      </c>
      <c r="C30">
        <v>42.856373232944001</v>
      </c>
      <c r="D30">
        <v>40.521637704284601</v>
      </c>
      <c r="E30">
        <v>4.5562890713052299E-2</v>
      </c>
      <c r="F30">
        <v>4.2372556515358803E-2</v>
      </c>
      <c r="G30" s="37">
        <v>0</v>
      </c>
      <c r="H30">
        <v>4.8031243863055604</v>
      </c>
      <c r="I30">
        <v>3.7630664743905098</v>
      </c>
      <c r="J30">
        <v>-6.4548522212598103</v>
      </c>
      <c r="K30">
        <v>111.909034977281</v>
      </c>
      <c r="L30">
        <v>15.2778247908173</v>
      </c>
      <c r="M30">
        <v>18.004782497141399</v>
      </c>
      <c r="N30">
        <v>72.048792849705194</v>
      </c>
      <c r="O30">
        <v>66.634558887341399</v>
      </c>
      <c r="P30">
        <v>281058.30760127702</v>
      </c>
      <c r="Q30">
        <v>261352.89329291601</v>
      </c>
      <c r="R30">
        <v>779.37481894633402</v>
      </c>
      <c r="S30" s="37">
        <v>0</v>
      </c>
      <c r="T30" s="37">
        <v>0</v>
      </c>
      <c r="U30">
        <v>1.54637196702212E-2</v>
      </c>
      <c r="V30" s="37">
        <v>0</v>
      </c>
      <c r="W30" s="37">
        <v>0</v>
      </c>
      <c r="X30">
        <v>0.50506533538507103</v>
      </c>
      <c r="Y30" s="37">
        <v>0</v>
      </c>
      <c r="Z30">
        <v>3.7175510676279103E-4</v>
      </c>
      <c r="AA30">
        <v>1.63382357595226E-4</v>
      </c>
      <c r="AB30">
        <v>3.57420122502613E-3</v>
      </c>
      <c r="AC30">
        <v>2.7048051339608501E-5</v>
      </c>
      <c r="AD30">
        <v>3.8236155079494197E-2</v>
      </c>
      <c r="AE30">
        <v>4.9620894405758897E-2</v>
      </c>
      <c r="AF30">
        <v>0.50976009849862303</v>
      </c>
      <c r="AG30">
        <v>0.94271146674726902</v>
      </c>
      <c r="AH30">
        <v>0.98829343958928795</v>
      </c>
      <c r="AI30">
        <v>0.99772965095479005</v>
      </c>
      <c r="AJ30">
        <v>1</v>
      </c>
      <c r="AK30">
        <v>1</v>
      </c>
      <c r="AL30">
        <v>1</v>
      </c>
      <c r="AM30">
        <v>0</v>
      </c>
      <c r="AN30">
        <v>0</v>
      </c>
      <c r="AO30" t="s">
        <v>77</v>
      </c>
      <c r="AP30" t="s">
        <v>78</v>
      </c>
      <c r="AQ30">
        <v>28020950454.400002</v>
      </c>
      <c r="AR30">
        <v>107215</v>
      </c>
      <c r="AS30" s="37">
        <v>0</v>
      </c>
      <c r="AT30">
        <v>100</v>
      </c>
      <c r="AU30">
        <v>100</v>
      </c>
      <c r="AV30" s="37">
        <v>0</v>
      </c>
      <c r="AW30" s="37">
        <v>0</v>
      </c>
      <c r="AX30" s="37">
        <v>0</v>
      </c>
    </row>
    <row r="31" spans="1:50" x14ac:dyDescent="0.25">
      <c r="A31">
        <v>4.3</v>
      </c>
      <c r="B31">
        <v>0.95271961835722196</v>
      </c>
      <c r="C31">
        <v>44.800986208120896</v>
      </c>
      <c r="D31">
        <v>44.078179729353003</v>
      </c>
      <c r="E31">
        <v>4.8312694015717403E-2</v>
      </c>
      <c r="F31">
        <v>4.7280381642777397E-2</v>
      </c>
      <c r="G31" s="37">
        <v>0</v>
      </c>
      <c r="H31">
        <v>4.8804013478822803</v>
      </c>
      <c r="I31">
        <v>3.6765996190206298</v>
      </c>
      <c r="J31">
        <v>-4.9590254110374499</v>
      </c>
      <c r="K31">
        <v>134.28061067409101</v>
      </c>
      <c r="L31">
        <v>14.635412087487</v>
      </c>
      <c r="M31">
        <v>19.561149297211902</v>
      </c>
      <c r="N31">
        <v>71.764190229738801</v>
      </c>
      <c r="O31">
        <v>64.964183288709293</v>
      </c>
      <c r="P31">
        <v>292491.51752651797</v>
      </c>
      <c r="Q31">
        <v>272829.40923005802</v>
      </c>
      <c r="R31">
        <v>778.75702802866897</v>
      </c>
      <c r="S31" s="37">
        <v>0</v>
      </c>
      <c r="T31" s="37">
        <v>0</v>
      </c>
      <c r="U31">
        <v>1.7311251547615002E-2</v>
      </c>
      <c r="V31" s="37">
        <v>0</v>
      </c>
      <c r="W31" s="37">
        <v>0</v>
      </c>
      <c r="X31">
        <v>0.51891916282085304</v>
      </c>
      <c r="Y31" s="37">
        <v>0</v>
      </c>
      <c r="Z31">
        <v>3.7233050395724901E-4</v>
      </c>
      <c r="AA31">
        <v>1.9811130540537699E-4</v>
      </c>
      <c r="AB31">
        <v>3.5194467697099302E-3</v>
      </c>
      <c r="AC31">
        <v>6.80187856078777E-5</v>
      </c>
      <c r="AD31">
        <v>4.3122459400444998E-2</v>
      </c>
      <c r="AE31">
        <v>7.1315723778632295E-2</v>
      </c>
      <c r="AF31">
        <v>0.39506960546203002</v>
      </c>
      <c r="AG31">
        <v>0.90346475637628698</v>
      </c>
      <c r="AH31">
        <v>0.97245123763959196</v>
      </c>
      <c r="AI31">
        <v>0.99591567724340202</v>
      </c>
      <c r="AJ31">
        <v>1</v>
      </c>
      <c r="AK31">
        <v>1</v>
      </c>
      <c r="AL31">
        <v>1</v>
      </c>
      <c r="AM31">
        <v>0</v>
      </c>
      <c r="AN31">
        <v>0</v>
      </c>
      <c r="AO31" t="s">
        <v>79</v>
      </c>
      <c r="AP31" t="s">
        <v>80</v>
      </c>
      <c r="AQ31">
        <v>12692842605.610001</v>
      </c>
      <c r="AR31">
        <v>46523</v>
      </c>
      <c r="AS31" s="37">
        <v>0</v>
      </c>
      <c r="AT31">
        <v>100</v>
      </c>
      <c r="AU31">
        <v>100</v>
      </c>
      <c r="AV31" s="37">
        <v>0</v>
      </c>
      <c r="AW31" s="37">
        <v>0</v>
      </c>
      <c r="AX31" s="37">
        <v>0</v>
      </c>
    </row>
    <row r="32" spans="1:50" x14ac:dyDescent="0.25">
      <c r="A32">
        <v>4.3</v>
      </c>
      <c r="B32">
        <v>0.94907029622476002</v>
      </c>
      <c r="C32">
        <v>41.981394455784198</v>
      </c>
      <c r="D32">
        <v>46.595165446076599</v>
      </c>
      <c r="E32">
        <v>4.4353499314622603E-2</v>
      </c>
      <c r="F32">
        <v>5.0929703775239199E-2</v>
      </c>
      <c r="G32" s="37">
        <v>0</v>
      </c>
      <c r="H32">
        <v>5.0437272277924698</v>
      </c>
      <c r="I32">
        <v>3.6813843561961499</v>
      </c>
      <c r="J32">
        <v>9.9071253202135594</v>
      </c>
      <c r="K32">
        <v>160.87385255470701</v>
      </c>
      <c r="L32">
        <v>15.1195690751504</v>
      </c>
      <c r="M32">
        <v>19.507703394223299</v>
      </c>
      <c r="N32">
        <v>79.542841663641994</v>
      </c>
      <c r="O32">
        <v>70.442227422958595</v>
      </c>
      <c r="P32">
        <v>283310.91934258799</v>
      </c>
      <c r="Q32">
        <v>264098.55892765999</v>
      </c>
      <c r="R32">
        <v>776.92981910698302</v>
      </c>
      <c r="S32" s="37">
        <v>0</v>
      </c>
      <c r="T32" s="37">
        <v>0</v>
      </c>
      <c r="U32">
        <v>1.68705343370496E-2</v>
      </c>
      <c r="V32" s="37">
        <v>0</v>
      </c>
      <c r="W32" s="37">
        <v>0</v>
      </c>
      <c r="X32">
        <v>0.476035454693018</v>
      </c>
      <c r="Y32" s="37">
        <v>0</v>
      </c>
      <c r="Z32">
        <v>3.7700591849815099E-4</v>
      </c>
      <c r="AA32">
        <v>2.7635962052811202E-4</v>
      </c>
      <c r="AB32">
        <v>3.8035710412975799E-3</v>
      </c>
      <c r="AC32">
        <v>1.48823523453791E-4</v>
      </c>
      <c r="AD32">
        <v>4.6323928379772103E-2</v>
      </c>
      <c r="AE32">
        <v>9.2884957342180996E-2</v>
      </c>
      <c r="AF32">
        <v>0.28597375959522597</v>
      </c>
      <c r="AG32">
        <v>0.80432464216284505</v>
      </c>
      <c r="AH32">
        <v>0.93778902168884104</v>
      </c>
      <c r="AI32">
        <v>0.99023487991412695</v>
      </c>
      <c r="AJ32">
        <v>1</v>
      </c>
      <c r="AK32">
        <v>1</v>
      </c>
      <c r="AL32">
        <v>1</v>
      </c>
      <c r="AM32">
        <v>0</v>
      </c>
      <c r="AN32">
        <v>0</v>
      </c>
      <c r="AO32" t="s">
        <v>81</v>
      </c>
      <c r="AP32" t="s">
        <v>82</v>
      </c>
      <c r="AQ32">
        <v>2588429976.0500002</v>
      </c>
      <c r="AR32">
        <v>9801</v>
      </c>
      <c r="AS32" s="37">
        <v>0</v>
      </c>
      <c r="AT32">
        <v>100</v>
      </c>
      <c r="AU32">
        <v>100</v>
      </c>
      <c r="AV32" s="37">
        <v>0</v>
      </c>
      <c r="AW32" s="37">
        <v>0</v>
      </c>
      <c r="AX32" s="37">
        <v>0</v>
      </c>
    </row>
    <row r="33" spans="1:50" x14ac:dyDescent="0.25">
      <c r="A33">
        <v>4.3</v>
      </c>
      <c r="B33">
        <v>0.94285433244766503</v>
      </c>
      <c r="C33">
        <v>48.655806463704401</v>
      </c>
      <c r="D33">
        <v>50.644539074373199</v>
      </c>
      <c r="E33">
        <v>5.4036720883535297E-2</v>
      </c>
      <c r="F33">
        <v>5.7145667552334301E-2</v>
      </c>
      <c r="G33" s="37">
        <v>0</v>
      </c>
      <c r="H33">
        <v>5.0710695558873899</v>
      </c>
      <c r="I33">
        <v>3.6599799378220599</v>
      </c>
      <c r="J33">
        <v>12.2848000451045</v>
      </c>
      <c r="K33">
        <v>183.22997954815301</v>
      </c>
      <c r="L33">
        <v>14.003319327991999</v>
      </c>
      <c r="M33">
        <v>19.981879551673298</v>
      </c>
      <c r="N33">
        <v>83.336592518130701</v>
      </c>
      <c r="O33">
        <v>71.286177854439302</v>
      </c>
      <c r="P33">
        <v>302371.028974619</v>
      </c>
      <c r="Q33">
        <v>285150.38716479798</v>
      </c>
      <c r="R33">
        <v>776.21486770317802</v>
      </c>
      <c r="S33" s="37">
        <v>0</v>
      </c>
      <c r="T33" s="37">
        <v>0</v>
      </c>
      <c r="U33">
        <v>1.7358683532671299E-2</v>
      </c>
      <c r="V33" s="37">
        <v>0</v>
      </c>
      <c r="W33" s="37">
        <v>0</v>
      </c>
      <c r="X33">
        <v>0.46148791837647202</v>
      </c>
      <c r="Y33" s="37">
        <v>0</v>
      </c>
      <c r="Z33">
        <v>3.7680601994345198E-4</v>
      </c>
      <c r="AA33">
        <v>3.2732859318178499E-4</v>
      </c>
      <c r="AB33">
        <v>3.9005727806849101E-3</v>
      </c>
      <c r="AC33">
        <v>4.3364356799335899E-4</v>
      </c>
      <c r="AD33">
        <v>5.2107300320131299E-2</v>
      </c>
      <c r="AE33">
        <v>0.12971424784164501</v>
      </c>
      <c r="AF33">
        <v>0.16588023775302799</v>
      </c>
      <c r="AG33">
        <v>0.61762234576674802</v>
      </c>
      <c r="AH33">
        <v>0.80205726444651604</v>
      </c>
      <c r="AI33">
        <v>0.96116651632189298</v>
      </c>
      <c r="AJ33">
        <v>1</v>
      </c>
      <c r="AK33">
        <v>1</v>
      </c>
      <c r="AL33">
        <v>1</v>
      </c>
      <c r="AM33">
        <v>0</v>
      </c>
      <c r="AN33">
        <v>0</v>
      </c>
      <c r="AO33" t="s">
        <v>83</v>
      </c>
      <c r="AP33" t="s">
        <v>84</v>
      </c>
      <c r="AQ33">
        <v>686927282.67999995</v>
      </c>
      <c r="AR33">
        <v>2409</v>
      </c>
      <c r="AS33" s="37">
        <v>0</v>
      </c>
      <c r="AT33">
        <v>100</v>
      </c>
      <c r="AU33">
        <v>100</v>
      </c>
      <c r="AV33" s="37">
        <v>0</v>
      </c>
      <c r="AW33" s="37">
        <v>0</v>
      </c>
      <c r="AX33" s="37">
        <v>0</v>
      </c>
    </row>
    <row r="34" spans="1:50" x14ac:dyDescent="0.25">
      <c r="A34">
        <v>4.3</v>
      </c>
      <c r="B34">
        <v>0.94073990334512803</v>
      </c>
      <c r="C34">
        <v>38.318357648759203</v>
      </c>
      <c r="D34">
        <v>51.956483185988397</v>
      </c>
      <c r="E34">
        <v>3.9465442896729298E-2</v>
      </c>
      <c r="F34">
        <v>5.9260096654871697E-2</v>
      </c>
      <c r="G34" s="37">
        <v>0</v>
      </c>
      <c r="H34">
        <v>5.1605718320824598</v>
      </c>
      <c r="I34">
        <v>3.66926462681857</v>
      </c>
      <c r="J34">
        <v>17.585611617633099</v>
      </c>
      <c r="K34">
        <v>209.41140753976299</v>
      </c>
      <c r="L34">
        <v>14.5205255833056</v>
      </c>
      <c r="M34">
        <v>20.232746844748299</v>
      </c>
      <c r="N34">
        <v>90.534830809994602</v>
      </c>
      <c r="O34">
        <v>75.3415317671342</v>
      </c>
      <c r="P34">
        <v>296660.313025171</v>
      </c>
      <c r="Q34">
        <v>274999.14418708201</v>
      </c>
      <c r="R34">
        <v>775.31983417905997</v>
      </c>
      <c r="S34" s="37">
        <v>0</v>
      </c>
      <c r="T34" s="37">
        <v>0</v>
      </c>
      <c r="U34">
        <v>1.5751738026020201E-2</v>
      </c>
      <c r="V34" s="37">
        <v>0</v>
      </c>
      <c r="W34" s="37">
        <v>0</v>
      </c>
      <c r="X34">
        <v>0.29437842306420597</v>
      </c>
      <c r="Y34" s="37">
        <v>0</v>
      </c>
      <c r="Z34">
        <v>3.7945678367436902E-4</v>
      </c>
      <c r="AA34">
        <v>4.2470512868267399E-4</v>
      </c>
      <c r="AB34">
        <v>4.26131085405204E-3</v>
      </c>
      <c r="AC34">
        <v>7.25668877860328E-4</v>
      </c>
      <c r="AD34">
        <v>5.3468937859546498E-2</v>
      </c>
      <c r="AE34">
        <v>0.16225248905835701</v>
      </c>
      <c r="AF34">
        <v>3.6592111608704597E-2</v>
      </c>
      <c r="AG34">
        <v>0.41657090335319102</v>
      </c>
      <c r="AH34">
        <v>0.69329744180178099</v>
      </c>
      <c r="AI34">
        <v>0.92631746407571303</v>
      </c>
      <c r="AJ34">
        <v>1</v>
      </c>
      <c r="AK34">
        <v>1</v>
      </c>
      <c r="AL34">
        <v>1</v>
      </c>
      <c r="AM34">
        <v>0</v>
      </c>
      <c r="AN34">
        <v>0</v>
      </c>
      <c r="AO34" t="s">
        <v>85</v>
      </c>
      <c r="AP34" t="s">
        <v>86</v>
      </c>
      <c r="AQ34">
        <v>123474615.73999999</v>
      </c>
      <c r="AR34">
        <v>449</v>
      </c>
      <c r="AS34" s="37">
        <v>0</v>
      </c>
      <c r="AT34">
        <v>100</v>
      </c>
      <c r="AU34">
        <v>100</v>
      </c>
      <c r="AV34" s="37">
        <v>0</v>
      </c>
      <c r="AW34" s="37">
        <v>0</v>
      </c>
      <c r="AX34" s="37">
        <v>0</v>
      </c>
    </row>
    <row r="35" spans="1:50" x14ac:dyDescent="0.25">
      <c r="A35">
        <v>4.3</v>
      </c>
      <c r="B35">
        <v>0.93891143794745902</v>
      </c>
      <c r="C35">
        <v>22.828420602885899</v>
      </c>
      <c r="D35">
        <v>53.065136762851999</v>
      </c>
      <c r="E35">
        <v>2.1363410908492999E-2</v>
      </c>
      <c r="F35">
        <v>6.1088562052540402E-2</v>
      </c>
      <c r="G35" s="37">
        <v>0</v>
      </c>
      <c r="H35">
        <v>5.2641041039887702</v>
      </c>
      <c r="I35">
        <v>3.6465013367372099</v>
      </c>
      <c r="J35">
        <v>27.398545986511799</v>
      </c>
      <c r="K35">
        <v>231.79459950432499</v>
      </c>
      <c r="L35">
        <v>13.7673904467927</v>
      </c>
      <c r="M35">
        <v>20.801173985818298</v>
      </c>
      <c r="N35">
        <v>92.494128868993798</v>
      </c>
      <c r="O35">
        <v>74.555659125711102</v>
      </c>
      <c r="P35">
        <v>310947.98299733503</v>
      </c>
      <c r="Q35">
        <v>290043.59164556902</v>
      </c>
      <c r="R35">
        <v>776.17564155635705</v>
      </c>
      <c r="S35" s="37">
        <v>0</v>
      </c>
      <c r="T35" s="37">
        <v>0</v>
      </c>
      <c r="U35" s="37">
        <v>0</v>
      </c>
      <c r="V35" s="37">
        <v>0</v>
      </c>
      <c r="W35" s="37">
        <v>0</v>
      </c>
      <c r="X35">
        <v>0.15312933358309699</v>
      </c>
      <c r="Y35" s="37">
        <v>0</v>
      </c>
      <c r="Z35">
        <v>3.8271757567737299E-4</v>
      </c>
      <c r="AA35">
        <v>5.24074838317642E-4</v>
      </c>
      <c r="AB35">
        <v>4.4067446403254001E-3</v>
      </c>
      <c r="AC35">
        <v>1.33212776177888E-3</v>
      </c>
      <c r="AD35">
        <v>5.4442878713720999E-2</v>
      </c>
      <c r="AE35">
        <v>0.19808291559358601</v>
      </c>
      <c r="AF35" s="37">
        <v>0</v>
      </c>
      <c r="AG35">
        <v>0.17645629464861901</v>
      </c>
      <c r="AH35">
        <v>0.38832439117246298</v>
      </c>
      <c r="AI35">
        <v>0.90979730138111403</v>
      </c>
      <c r="AJ35">
        <v>1</v>
      </c>
      <c r="AK35">
        <v>1</v>
      </c>
      <c r="AL35">
        <v>1</v>
      </c>
      <c r="AM35">
        <v>0</v>
      </c>
      <c r="AN35">
        <v>0</v>
      </c>
      <c r="AO35" t="s">
        <v>87</v>
      </c>
      <c r="AP35" t="s">
        <v>88</v>
      </c>
      <c r="AQ35">
        <v>22913443.739999998</v>
      </c>
      <c r="AR35">
        <v>79</v>
      </c>
      <c r="AS35" s="37">
        <v>0</v>
      </c>
      <c r="AT35">
        <v>100</v>
      </c>
      <c r="AU35">
        <v>100</v>
      </c>
      <c r="AV35" s="37">
        <v>0</v>
      </c>
      <c r="AW35" s="37">
        <v>0</v>
      </c>
      <c r="AX35" s="37">
        <v>0</v>
      </c>
    </row>
    <row r="38" spans="1:50" x14ac:dyDescent="0.25">
      <c r="A38" s="33" t="s">
        <v>122</v>
      </c>
      <c r="C38" t="s">
        <v>165</v>
      </c>
    </row>
    <row r="39" spans="1:50" x14ac:dyDescent="0.25">
      <c r="A39" t="s">
        <v>21</v>
      </c>
      <c r="B39" t="s">
        <v>22</v>
      </c>
      <c r="C39" t="s">
        <v>23</v>
      </c>
      <c r="D39" t="s">
        <v>24</v>
      </c>
      <c r="E39" t="s">
        <v>97</v>
      </c>
      <c r="F39" t="s">
        <v>98</v>
      </c>
      <c r="G39" t="s">
        <v>25</v>
      </c>
      <c r="H39" t="s">
        <v>26</v>
      </c>
      <c r="I39" t="s">
        <v>27</v>
      </c>
      <c r="J39" t="s">
        <v>28</v>
      </c>
      <c r="K39" t="s">
        <v>29</v>
      </c>
      <c r="L39" t="s">
        <v>30</v>
      </c>
      <c r="M39" t="s">
        <v>31</v>
      </c>
      <c r="N39" t="s">
        <v>32</v>
      </c>
      <c r="O39" t="s">
        <v>33</v>
      </c>
      <c r="P39" t="s">
        <v>34</v>
      </c>
      <c r="Q39" t="s">
        <v>35</v>
      </c>
      <c r="R39" t="s">
        <v>36</v>
      </c>
      <c r="S39" t="s">
        <v>37</v>
      </c>
      <c r="T39" t="s">
        <v>38</v>
      </c>
      <c r="U39" t="s">
        <v>39</v>
      </c>
      <c r="V39" t="s">
        <v>40</v>
      </c>
      <c r="W39" t="s">
        <v>41</v>
      </c>
      <c r="X39" t="s">
        <v>42</v>
      </c>
      <c r="Y39" t="s">
        <v>43</v>
      </c>
      <c r="Z39" t="s">
        <v>44</v>
      </c>
      <c r="AA39" t="s">
        <v>45</v>
      </c>
      <c r="AB39" t="s">
        <v>46</v>
      </c>
      <c r="AC39" t="s">
        <v>47</v>
      </c>
      <c r="AD39" t="s">
        <v>48</v>
      </c>
      <c r="AE39" t="s">
        <v>49</v>
      </c>
      <c r="AF39" t="s">
        <v>50</v>
      </c>
      <c r="AG39" t="s">
        <v>51</v>
      </c>
      <c r="AH39" t="s">
        <v>52</v>
      </c>
      <c r="AI39" t="s">
        <v>53</v>
      </c>
      <c r="AJ39" t="s">
        <v>54</v>
      </c>
      <c r="AK39" t="s">
        <v>55</v>
      </c>
      <c r="AL39" t="s">
        <v>56</v>
      </c>
      <c r="AM39" t="s">
        <v>57</v>
      </c>
      <c r="AN39" t="s">
        <v>58</v>
      </c>
      <c r="AO39" t="s">
        <v>59</v>
      </c>
      <c r="AP39" t="s">
        <v>60</v>
      </c>
      <c r="AQ39" t="s">
        <v>61</v>
      </c>
      <c r="AR39" t="s">
        <v>62</v>
      </c>
      <c r="AS39" t="s">
        <v>124</v>
      </c>
      <c r="AT39" t="s">
        <v>125</v>
      </c>
      <c r="AU39" t="s">
        <v>126</v>
      </c>
      <c r="AV39" t="s">
        <v>127</v>
      </c>
      <c r="AW39" t="s">
        <v>128</v>
      </c>
      <c r="AX39" t="s">
        <v>129</v>
      </c>
    </row>
    <row r="40" spans="1:50" x14ac:dyDescent="0.25">
      <c r="A40">
        <v>4.3</v>
      </c>
      <c r="B40">
        <v>0.99661761999999998</v>
      </c>
      <c r="C40">
        <v>0</v>
      </c>
      <c r="D40">
        <v>3.9841936068485002</v>
      </c>
      <c r="E40" s="37">
        <v>0</v>
      </c>
      <c r="F40">
        <v>3.3823799999999999E-3</v>
      </c>
      <c r="G40" s="37">
        <v>0</v>
      </c>
      <c r="H40">
        <v>3.875</v>
      </c>
      <c r="I40">
        <v>4.1184719999999997</v>
      </c>
      <c r="J40">
        <v>-64.061899999999994</v>
      </c>
      <c r="K40">
        <v>-131.94999999999999</v>
      </c>
      <c r="L40">
        <v>13.16</v>
      </c>
      <c r="M40">
        <v>17</v>
      </c>
      <c r="N40">
        <v>80</v>
      </c>
      <c r="O40">
        <v>77.08</v>
      </c>
      <c r="P40">
        <v>303250.44</v>
      </c>
      <c r="Q40">
        <v>303250.44</v>
      </c>
      <c r="R40">
        <v>773</v>
      </c>
      <c r="S40" s="37">
        <v>0</v>
      </c>
      <c r="T40" s="37">
        <v>0</v>
      </c>
      <c r="U40" s="37">
        <v>0</v>
      </c>
      <c r="V40">
        <v>1</v>
      </c>
      <c r="W40" s="37">
        <v>0</v>
      </c>
      <c r="X40">
        <v>1</v>
      </c>
      <c r="Y40" s="37">
        <v>0</v>
      </c>
      <c r="Z40">
        <v>3.5183000000000002E-4</v>
      </c>
      <c r="AA40">
        <v>7.7919999999999999E-5</v>
      </c>
      <c r="AB40">
        <v>2.95262E-3</v>
      </c>
      <c r="AC40" s="37">
        <v>0</v>
      </c>
      <c r="AD40" s="37">
        <v>0</v>
      </c>
      <c r="AE40">
        <v>1.1207682833043501E-2</v>
      </c>
      <c r="AF40">
        <v>1</v>
      </c>
      <c r="AG40">
        <v>1</v>
      </c>
      <c r="AH40">
        <v>1</v>
      </c>
      <c r="AI40">
        <v>1</v>
      </c>
      <c r="AJ40">
        <v>1</v>
      </c>
      <c r="AK40">
        <v>1</v>
      </c>
      <c r="AL40">
        <v>1</v>
      </c>
      <c r="AM40">
        <v>0</v>
      </c>
      <c r="AN40">
        <v>0</v>
      </c>
      <c r="AO40" t="s">
        <v>63</v>
      </c>
      <c r="AP40">
        <f>-150--125</f>
        <v>-25</v>
      </c>
      <c r="AQ40">
        <v>303250.44</v>
      </c>
      <c r="AR40">
        <v>1</v>
      </c>
      <c r="AS40" s="37">
        <v>0</v>
      </c>
      <c r="AT40" s="37">
        <v>0</v>
      </c>
      <c r="AU40" s="37">
        <v>0</v>
      </c>
      <c r="AV40">
        <v>100</v>
      </c>
      <c r="AW40">
        <v>100</v>
      </c>
      <c r="AX40" s="37">
        <v>0</v>
      </c>
    </row>
    <row r="41" spans="1:50" x14ac:dyDescent="0.25">
      <c r="A41">
        <v>4.3</v>
      </c>
      <c r="B41">
        <v>0.99173452851728106</v>
      </c>
      <c r="C41">
        <v>0</v>
      </c>
      <c r="D41">
        <v>9.4798618211770798</v>
      </c>
      <c r="E41" s="37">
        <v>0</v>
      </c>
      <c r="F41">
        <v>8.2654714827189602E-3</v>
      </c>
      <c r="G41" s="37">
        <v>0</v>
      </c>
      <c r="H41">
        <v>3.875</v>
      </c>
      <c r="I41">
        <v>3.87177729011671</v>
      </c>
      <c r="J41">
        <v>-56.468943365388903</v>
      </c>
      <c r="K41">
        <v>-111.350860701152</v>
      </c>
      <c r="L41">
        <v>14.3288150159984</v>
      </c>
      <c r="M41">
        <v>17.880294251605601</v>
      </c>
      <c r="N41">
        <v>80</v>
      </c>
      <c r="O41">
        <v>75.620345288427998</v>
      </c>
      <c r="P41">
        <v>284673.46513646498</v>
      </c>
      <c r="Q41">
        <v>278674.77500000002</v>
      </c>
      <c r="R41">
        <v>771.88116751866005</v>
      </c>
      <c r="S41" s="37">
        <v>0</v>
      </c>
      <c r="T41" s="37">
        <v>0</v>
      </c>
      <c r="U41" s="37">
        <v>0</v>
      </c>
      <c r="V41">
        <v>1</v>
      </c>
      <c r="W41" s="37">
        <v>0</v>
      </c>
      <c r="X41">
        <v>1</v>
      </c>
      <c r="Y41" s="37">
        <v>0</v>
      </c>
      <c r="Z41">
        <v>3.5334787924355497E-4</v>
      </c>
      <c r="AA41">
        <v>5.3605207760731097E-5</v>
      </c>
      <c r="AB41">
        <v>3.1742462211523199E-3</v>
      </c>
      <c r="AC41" s="37">
        <v>0</v>
      </c>
      <c r="AD41">
        <v>4.6842575937177996E-3</v>
      </c>
      <c r="AE41">
        <v>2.9306717266170901E-2</v>
      </c>
      <c r="AF41">
        <v>1</v>
      </c>
      <c r="AG41">
        <v>1</v>
      </c>
      <c r="AH41">
        <v>1</v>
      </c>
      <c r="AI41">
        <v>1</v>
      </c>
      <c r="AJ41">
        <v>1</v>
      </c>
      <c r="AK41">
        <v>1</v>
      </c>
      <c r="AL41">
        <v>1</v>
      </c>
      <c r="AM41">
        <v>0</v>
      </c>
      <c r="AN41">
        <v>0</v>
      </c>
      <c r="AO41" t="s">
        <v>64</v>
      </c>
      <c r="AP41">
        <f>-125--100</f>
        <v>-25</v>
      </c>
      <c r="AQ41">
        <v>1114699.1000000001</v>
      </c>
      <c r="AR41">
        <v>4</v>
      </c>
      <c r="AS41" s="37">
        <v>0</v>
      </c>
      <c r="AT41" s="37">
        <v>0</v>
      </c>
      <c r="AU41" s="37">
        <v>0</v>
      </c>
      <c r="AV41">
        <v>100</v>
      </c>
      <c r="AW41">
        <v>100</v>
      </c>
      <c r="AX41" s="37">
        <v>0</v>
      </c>
    </row>
    <row r="42" spans="1:50" x14ac:dyDescent="0.25">
      <c r="A42">
        <v>4.3</v>
      </c>
      <c r="B42">
        <v>0.98992818993213105</v>
      </c>
      <c r="C42">
        <v>12.1077768525506</v>
      </c>
      <c r="D42">
        <v>11.4386352169379</v>
      </c>
      <c r="E42">
        <v>1.0697277709633701E-2</v>
      </c>
      <c r="F42">
        <v>1.0071810067868199E-2</v>
      </c>
      <c r="G42" s="37">
        <v>0</v>
      </c>
      <c r="H42">
        <v>4.2120763817103404</v>
      </c>
      <c r="I42">
        <v>3.9473309326199502</v>
      </c>
      <c r="J42">
        <v>-23.140697414802499</v>
      </c>
      <c r="K42">
        <v>-83.452033435034593</v>
      </c>
      <c r="L42">
        <v>19.2085456169156</v>
      </c>
      <c r="M42">
        <v>17.333170700005599</v>
      </c>
      <c r="N42">
        <v>79.615477044334398</v>
      </c>
      <c r="O42">
        <v>76.0375259611411</v>
      </c>
      <c r="P42">
        <v>239079.34042697799</v>
      </c>
      <c r="Q42">
        <v>193572.801666666</v>
      </c>
      <c r="R42">
        <v>765.54681701968696</v>
      </c>
      <c r="S42" s="37">
        <v>0</v>
      </c>
      <c r="T42" s="37">
        <v>0</v>
      </c>
      <c r="U42" s="37">
        <v>0</v>
      </c>
      <c r="V42">
        <v>1</v>
      </c>
      <c r="W42" s="37">
        <v>0</v>
      </c>
      <c r="X42">
        <v>0.97979815191150998</v>
      </c>
      <c r="Y42" s="37">
        <v>0</v>
      </c>
      <c r="Z42">
        <v>5.6887344660124005E-4</v>
      </c>
      <c r="AA42">
        <v>8.1948977832638098E-5</v>
      </c>
      <c r="AB42">
        <v>3.09777160609762E-3</v>
      </c>
      <c r="AC42" s="37">
        <v>0</v>
      </c>
      <c r="AD42">
        <v>6.3232008152040104E-3</v>
      </c>
      <c r="AE42">
        <v>-2.0566970336569E-4</v>
      </c>
      <c r="AF42">
        <v>1</v>
      </c>
      <c r="AG42">
        <v>1</v>
      </c>
      <c r="AH42">
        <v>1</v>
      </c>
      <c r="AI42">
        <v>1</v>
      </c>
      <c r="AJ42">
        <v>1</v>
      </c>
      <c r="AK42">
        <v>1</v>
      </c>
      <c r="AL42">
        <v>1</v>
      </c>
      <c r="AM42">
        <v>0</v>
      </c>
      <c r="AN42">
        <v>0</v>
      </c>
      <c r="AO42" t="s">
        <v>65</v>
      </c>
      <c r="AP42">
        <f>-100--75</f>
        <v>-25</v>
      </c>
      <c r="AQ42">
        <v>2322873.62</v>
      </c>
      <c r="AR42">
        <v>12</v>
      </c>
      <c r="AS42" s="37">
        <v>0</v>
      </c>
      <c r="AT42" s="37">
        <v>0</v>
      </c>
      <c r="AU42" s="37">
        <v>0</v>
      </c>
      <c r="AV42">
        <v>100</v>
      </c>
      <c r="AW42">
        <v>100</v>
      </c>
      <c r="AX42" s="37">
        <v>0</v>
      </c>
    </row>
    <row r="43" spans="1:50" x14ac:dyDescent="0.25">
      <c r="A43">
        <v>4.3</v>
      </c>
      <c r="B43">
        <v>0.98934760844010705</v>
      </c>
      <c r="C43">
        <v>27.432197884992</v>
      </c>
      <c r="D43">
        <v>12.0599112838027</v>
      </c>
      <c r="E43">
        <v>2.6366897999839999E-2</v>
      </c>
      <c r="F43">
        <v>1.0652391559892E-2</v>
      </c>
      <c r="G43" s="37">
        <v>0</v>
      </c>
      <c r="H43">
        <v>4.2156057486245198</v>
      </c>
      <c r="I43">
        <v>4.0468353902672103</v>
      </c>
      <c r="J43">
        <v>-26.571952303741899</v>
      </c>
      <c r="K43">
        <v>-57.932898037517504</v>
      </c>
      <c r="L43">
        <v>22.942908331186999</v>
      </c>
      <c r="M43">
        <v>16.5398765359867</v>
      </c>
      <c r="N43">
        <v>78.810039671393795</v>
      </c>
      <c r="O43">
        <v>71.950412694907797</v>
      </c>
      <c r="P43">
        <v>243355.10261806301</v>
      </c>
      <c r="Q43">
        <v>154364.34767441801</v>
      </c>
      <c r="R43">
        <v>774.26726695665195</v>
      </c>
      <c r="S43" s="37">
        <v>0</v>
      </c>
      <c r="T43" s="37">
        <v>0</v>
      </c>
      <c r="U43">
        <v>8.5786690457556006E-2</v>
      </c>
      <c r="V43">
        <v>1</v>
      </c>
      <c r="W43" s="37">
        <v>0</v>
      </c>
      <c r="X43">
        <v>0.62733873006388097</v>
      </c>
      <c r="Y43" s="37">
        <v>0</v>
      </c>
      <c r="Z43">
        <v>1.04548385373196E-3</v>
      </c>
      <c r="AA43">
        <v>8.0260523885082797E-5</v>
      </c>
      <c r="AB43">
        <v>2.8381170060073199E-3</v>
      </c>
      <c r="AC43" s="37">
        <v>0</v>
      </c>
      <c r="AD43">
        <v>6.6885165049547701E-3</v>
      </c>
      <c r="AE43">
        <v>-1.0579770027668099E-2</v>
      </c>
      <c r="AF43">
        <v>0.955114364392747</v>
      </c>
      <c r="AG43">
        <v>0.99661868165892198</v>
      </c>
      <c r="AH43">
        <v>1</v>
      </c>
      <c r="AI43">
        <v>1</v>
      </c>
      <c r="AJ43">
        <v>1</v>
      </c>
      <c r="AK43">
        <v>1</v>
      </c>
      <c r="AL43">
        <v>1</v>
      </c>
      <c r="AM43">
        <v>0</v>
      </c>
      <c r="AN43">
        <v>0</v>
      </c>
      <c r="AO43" t="s">
        <v>66</v>
      </c>
      <c r="AP43">
        <f>-75--50</f>
        <v>-25</v>
      </c>
      <c r="AQ43">
        <v>13275333.9</v>
      </c>
      <c r="AR43">
        <v>86</v>
      </c>
      <c r="AS43" s="37">
        <v>0</v>
      </c>
      <c r="AT43" s="37">
        <v>0</v>
      </c>
      <c r="AU43" s="37">
        <v>0</v>
      </c>
      <c r="AV43">
        <v>100</v>
      </c>
      <c r="AW43">
        <v>100</v>
      </c>
      <c r="AX43" s="37">
        <v>0</v>
      </c>
    </row>
    <row r="44" spans="1:50" x14ac:dyDescent="0.25">
      <c r="A44">
        <v>4.3</v>
      </c>
      <c r="B44">
        <v>0.99372916415201296</v>
      </c>
      <c r="C44">
        <v>2.69719997833666</v>
      </c>
      <c r="D44">
        <v>7.2708179044393999</v>
      </c>
      <c r="E44">
        <v>2.2759411103495898E-3</v>
      </c>
      <c r="F44">
        <v>6.2708358479861802E-3</v>
      </c>
      <c r="G44" s="37">
        <v>0</v>
      </c>
      <c r="H44">
        <v>4.0130120879893099</v>
      </c>
      <c r="I44">
        <v>4.1244129562212404</v>
      </c>
      <c r="J44">
        <v>-49.480846331599501</v>
      </c>
      <c r="K44">
        <v>-32.3134018442613</v>
      </c>
      <c r="L44">
        <v>17.404312484139801</v>
      </c>
      <c r="M44">
        <v>15.5834067817612</v>
      </c>
      <c r="N44">
        <v>77.1455307546439</v>
      </c>
      <c r="O44">
        <v>74.947545641434004</v>
      </c>
      <c r="P44">
        <v>263811.82557247201</v>
      </c>
      <c r="Q44">
        <v>223674.17782211999</v>
      </c>
      <c r="R44">
        <v>781.04806102565601</v>
      </c>
      <c r="S44" s="37">
        <v>0</v>
      </c>
      <c r="T44" s="37">
        <v>0</v>
      </c>
      <c r="U44">
        <v>4.7215107460789798E-3</v>
      </c>
      <c r="V44">
        <v>1</v>
      </c>
      <c r="W44" s="37">
        <v>0</v>
      </c>
      <c r="X44">
        <v>0.55130440338213704</v>
      </c>
      <c r="Y44" s="37">
        <v>0</v>
      </c>
      <c r="Z44">
        <v>4.70307536388373E-4</v>
      </c>
      <c r="AA44">
        <v>5.2422737412395002E-5</v>
      </c>
      <c r="AB44">
        <v>2.62978052028089E-3</v>
      </c>
      <c r="AC44" s="37">
        <v>3.0524063836543202E-7</v>
      </c>
      <c r="AD44">
        <v>3.1180061735164E-3</v>
      </c>
      <c r="AE44">
        <v>-1.48765918764389E-2</v>
      </c>
      <c r="AF44">
        <v>0.97128747306586505</v>
      </c>
      <c r="AG44">
        <v>0.99033606031829502</v>
      </c>
      <c r="AH44">
        <v>0.99969298262643602</v>
      </c>
      <c r="AI44">
        <v>0.99969298262643602</v>
      </c>
      <c r="AJ44">
        <v>1</v>
      </c>
      <c r="AK44">
        <v>1</v>
      </c>
      <c r="AL44">
        <v>1</v>
      </c>
      <c r="AM44">
        <v>0</v>
      </c>
      <c r="AN44">
        <v>0</v>
      </c>
      <c r="AO44" t="s">
        <v>67</v>
      </c>
      <c r="AP44">
        <f>-50--25</f>
        <v>-25</v>
      </c>
      <c r="AQ44">
        <v>196162253.94999999</v>
      </c>
      <c r="AR44">
        <v>877</v>
      </c>
      <c r="AS44" s="37">
        <v>0</v>
      </c>
      <c r="AT44" s="37">
        <v>0</v>
      </c>
      <c r="AU44" s="37">
        <v>0</v>
      </c>
      <c r="AV44">
        <v>100</v>
      </c>
      <c r="AW44">
        <v>100</v>
      </c>
      <c r="AX44" s="37">
        <v>0</v>
      </c>
    </row>
    <row r="45" spans="1:50" x14ac:dyDescent="0.25">
      <c r="A45">
        <v>4.3</v>
      </c>
      <c r="B45">
        <v>0.99009165513909503</v>
      </c>
      <c r="C45">
        <v>10.2727712100098</v>
      </c>
      <c r="D45">
        <v>11.2629878473233</v>
      </c>
      <c r="E45">
        <v>8.9923175072531992E-3</v>
      </c>
      <c r="F45">
        <v>9.9083448609048001E-3</v>
      </c>
      <c r="G45" s="37">
        <v>0</v>
      </c>
      <c r="H45">
        <v>4.1238861612892199</v>
      </c>
      <c r="I45">
        <v>4.1160382849639703</v>
      </c>
      <c r="J45">
        <v>-38.460417798583201</v>
      </c>
      <c r="K45">
        <v>-8.5277655771676599</v>
      </c>
      <c r="L45">
        <v>16.482101619567501</v>
      </c>
      <c r="M45">
        <v>15.981390653736399</v>
      </c>
      <c r="N45">
        <v>74.178547669825605</v>
      </c>
      <c r="O45">
        <v>72.813874604012895</v>
      </c>
      <c r="P45">
        <v>262234.84296502097</v>
      </c>
      <c r="Q45">
        <v>241347.20211847499</v>
      </c>
      <c r="R45">
        <v>781.32199856119701</v>
      </c>
      <c r="S45" s="37">
        <v>0</v>
      </c>
      <c r="T45" s="37">
        <v>0</v>
      </c>
      <c r="U45">
        <v>1.9790794002130501E-2</v>
      </c>
      <c r="V45">
        <v>1</v>
      </c>
      <c r="W45" s="37">
        <v>0</v>
      </c>
      <c r="X45">
        <v>0.71355362220850005</v>
      </c>
      <c r="Y45" s="37">
        <v>0</v>
      </c>
      <c r="Z45">
        <v>3.86812949002093E-4</v>
      </c>
      <c r="AA45">
        <v>5.60342085741688E-5</v>
      </c>
      <c r="AB45">
        <v>2.6655012744054799E-3</v>
      </c>
      <c r="AC45" s="37">
        <v>1.5856602843064199E-7</v>
      </c>
      <c r="AD45">
        <v>6.7998236887960297E-3</v>
      </c>
      <c r="AE45">
        <v>-1.34499624139434E-2</v>
      </c>
      <c r="AF45">
        <v>0.96170469941514802</v>
      </c>
      <c r="AG45">
        <v>0.99077333547483104</v>
      </c>
      <c r="AH45">
        <v>0.99971100412422897</v>
      </c>
      <c r="AI45">
        <v>0.99996718635453197</v>
      </c>
      <c r="AJ45">
        <v>1</v>
      </c>
      <c r="AK45">
        <v>1</v>
      </c>
      <c r="AL45">
        <v>1</v>
      </c>
      <c r="AM45">
        <v>0</v>
      </c>
      <c r="AN45">
        <v>0</v>
      </c>
      <c r="AO45" t="s">
        <v>68</v>
      </c>
      <c r="AP45">
        <f>-25-0</f>
        <v>-25</v>
      </c>
      <c r="AQ45">
        <v>2057484898.0599999</v>
      </c>
      <c r="AR45">
        <v>8525</v>
      </c>
      <c r="AS45" s="37">
        <v>0</v>
      </c>
      <c r="AT45" s="37">
        <v>0</v>
      </c>
      <c r="AU45" s="37">
        <v>0</v>
      </c>
      <c r="AV45">
        <v>100</v>
      </c>
      <c r="AW45">
        <v>100</v>
      </c>
      <c r="AX45" s="37">
        <v>0</v>
      </c>
    </row>
    <row r="46" spans="1:50" x14ac:dyDescent="0.25">
      <c r="A46">
        <v>4.3</v>
      </c>
      <c r="B46">
        <v>0.98630215883754802</v>
      </c>
      <c r="C46">
        <v>18.568596333890198</v>
      </c>
      <c r="D46">
        <v>15.2538837216457</v>
      </c>
      <c r="E46">
        <v>1.6971761849218399E-2</v>
      </c>
      <c r="F46">
        <v>1.3697841162451501E-2</v>
      </c>
      <c r="G46" s="37">
        <v>0</v>
      </c>
      <c r="H46">
        <v>4.1971320182610699</v>
      </c>
      <c r="I46">
        <v>4.0368713745490101</v>
      </c>
      <c r="J46">
        <v>-27.5304378150087</v>
      </c>
      <c r="K46">
        <v>15.6085502512673</v>
      </c>
      <c r="L46">
        <v>16.293508666480498</v>
      </c>
      <c r="M46">
        <v>16.0970291829011</v>
      </c>
      <c r="N46">
        <v>70.912689786604801</v>
      </c>
      <c r="O46">
        <v>68.8701794552492</v>
      </c>
      <c r="P46">
        <v>263734.71561018901</v>
      </c>
      <c r="Q46">
        <v>244852.34849983599</v>
      </c>
      <c r="R46">
        <v>782.531877528839</v>
      </c>
      <c r="S46" s="37">
        <v>0</v>
      </c>
      <c r="T46" s="37">
        <v>0</v>
      </c>
      <c r="U46">
        <v>4.51710116129415E-2</v>
      </c>
      <c r="V46">
        <v>1</v>
      </c>
      <c r="W46" s="37">
        <v>0</v>
      </c>
      <c r="X46">
        <v>0.80546191975356296</v>
      </c>
      <c r="Y46" s="37">
        <v>0</v>
      </c>
      <c r="Z46">
        <v>3.7783381508290801E-4</v>
      </c>
      <c r="AA46">
        <v>6.0192293795420903E-5</v>
      </c>
      <c r="AB46">
        <v>2.8370435452465099E-3</v>
      </c>
      <c r="AC46">
        <v>1.4957449583249201E-6</v>
      </c>
      <c r="AD46">
        <v>1.0421261563801401E-2</v>
      </c>
      <c r="AE46">
        <v>-4.1697403191972399E-4</v>
      </c>
      <c r="AF46">
        <v>0.88752183829907005</v>
      </c>
      <c r="AG46">
        <v>0.97232014140893996</v>
      </c>
      <c r="AH46">
        <v>0.99769674168018196</v>
      </c>
      <c r="AI46">
        <v>0.99965007830647601</v>
      </c>
      <c r="AJ46">
        <v>1</v>
      </c>
      <c r="AK46">
        <v>1</v>
      </c>
      <c r="AL46">
        <v>1</v>
      </c>
      <c r="AM46">
        <v>0</v>
      </c>
      <c r="AN46">
        <v>0</v>
      </c>
      <c r="AO46" t="s">
        <v>69</v>
      </c>
      <c r="AP46" t="s">
        <v>70</v>
      </c>
      <c r="AQ46">
        <v>11257086722.280001</v>
      </c>
      <c r="AR46">
        <v>45975</v>
      </c>
      <c r="AS46" s="37">
        <v>0</v>
      </c>
      <c r="AT46" s="37">
        <v>0</v>
      </c>
      <c r="AU46" s="37">
        <v>0</v>
      </c>
      <c r="AV46">
        <v>100</v>
      </c>
      <c r="AW46">
        <v>100</v>
      </c>
      <c r="AX46" s="37">
        <v>0</v>
      </c>
    </row>
    <row r="47" spans="1:50" x14ac:dyDescent="0.25">
      <c r="A47">
        <v>4.3</v>
      </c>
      <c r="B47">
        <v>0.98060834001449804</v>
      </c>
      <c r="C47">
        <v>30.159799183788198</v>
      </c>
      <c r="D47">
        <v>20.941787475303901</v>
      </c>
      <c r="E47">
        <v>2.9470389804280701E-2</v>
      </c>
      <c r="F47">
        <v>1.9391659985501301E-2</v>
      </c>
      <c r="G47" s="37">
        <v>0</v>
      </c>
      <c r="H47">
        <v>4.2299296134059698</v>
      </c>
      <c r="I47">
        <v>3.9089804744670902</v>
      </c>
      <c r="J47">
        <v>-21.580224100484301</v>
      </c>
      <c r="K47">
        <v>38.014005289111203</v>
      </c>
      <c r="L47">
        <v>15.4806449507513</v>
      </c>
      <c r="M47">
        <v>16.321128551595301</v>
      </c>
      <c r="N47">
        <v>68.001821633818906</v>
      </c>
      <c r="O47">
        <v>64.841483942519403</v>
      </c>
      <c r="P47">
        <v>277166.088543928</v>
      </c>
      <c r="Q47">
        <v>257802.06798504599</v>
      </c>
      <c r="R47">
        <v>783.21829312551699</v>
      </c>
      <c r="S47" s="37">
        <v>0</v>
      </c>
      <c r="T47" s="37">
        <v>0</v>
      </c>
      <c r="U47">
        <v>4.5054977464197697E-2</v>
      </c>
      <c r="V47">
        <v>1</v>
      </c>
      <c r="W47" s="37">
        <v>0</v>
      </c>
      <c r="X47">
        <v>0.82871998262128199</v>
      </c>
      <c r="Y47" s="37">
        <v>0</v>
      </c>
      <c r="Z47">
        <v>3.7299548019741898E-4</v>
      </c>
      <c r="AA47">
        <v>6.23969941689285E-5</v>
      </c>
      <c r="AB47">
        <v>3.03157168711386E-3</v>
      </c>
      <c r="AC47">
        <v>5.0815918921340798E-6</v>
      </c>
      <c r="AD47">
        <v>1.5919600062179001E-2</v>
      </c>
      <c r="AE47">
        <v>1.99864429985585E-2</v>
      </c>
      <c r="AF47">
        <v>0.77431858578951096</v>
      </c>
      <c r="AG47">
        <v>0.93880174335497002</v>
      </c>
      <c r="AH47">
        <v>0.99518496654705502</v>
      </c>
      <c r="AI47">
        <v>0.99924470264502596</v>
      </c>
      <c r="AJ47">
        <v>1</v>
      </c>
      <c r="AK47">
        <v>1</v>
      </c>
      <c r="AL47">
        <v>1</v>
      </c>
      <c r="AM47">
        <v>0</v>
      </c>
      <c r="AN47">
        <v>0</v>
      </c>
      <c r="AO47" t="s">
        <v>71</v>
      </c>
      <c r="AP47" t="s">
        <v>72</v>
      </c>
      <c r="AQ47">
        <v>26377018585.889999</v>
      </c>
      <c r="AR47">
        <v>102315</v>
      </c>
      <c r="AS47" s="37">
        <v>0</v>
      </c>
      <c r="AT47" s="37">
        <v>0</v>
      </c>
      <c r="AU47" s="37">
        <v>0</v>
      </c>
      <c r="AV47">
        <v>100</v>
      </c>
      <c r="AW47">
        <v>100</v>
      </c>
      <c r="AX47" s="37">
        <v>0</v>
      </c>
    </row>
    <row r="48" spans="1:50" x14ac:dyDescent="0.25">
      <c r="A48">
        <v>4.3</v>
      </c>
      <c r="B48">
        <v>0.97389312489231605</v>
      </c>
      <c r="C48">
        <v>40.149086631306297</v>
      </c>
      <c r="D48">
        <v>27.199292524425399</v>
      </c>
      <c r="E48">
        <v>4.1874132965458298E-2</v>
      </c>
      <c r="F48">
        <v>2.6106875107683399E-2</v>
      </c>
      <c r="G48" s="37">
        <v>0</v>
      </c>
      <c r="H48">
        <v>4.4272407157745102</v>
      </c>
      <c r="I48">
        <v>3.86756493727392</v>
      </c>
      <c r="J48">
        <v>-11.8836401975356</v>
      </c>
      <c r="K48">
        <v>61.818587919024303</v>
      </c>
      <c r="L48">
        <v>15.3195142535549</v>
      </c>
      <c r="M48">
        <v>17.356705821201899</v>
      </c>
      <c r="N48">
        <v>67.606810791082495</v>
      </c>
      <c r="O48">
        <v>64.383644206549803</v>
      </c>
      <c r="P48">
        <v>280265.72659210302</v>
      </c>
      <c r="Q48">
        <v>260583.52104167599</v>
      </c>
      <c r="R48">
        <v>782.62837522301402</v>
      </c>
      <c r="S48" s="37">
        <v>0</v>
      </c>
      <c r="T48" s="37">
        <v>0</v>
      </c>
      <c r="U48">
        <v>2.9567307031304099E-2</v>
      </c>
      <c r="V48">
        <v>1</v>
      </c>
      <c r="W48" s="37">
        <v>0</v>
      </c>
      <c r="X48">
        <v>0.78719708820824896</v>
      </c>
      <c r="Y48" s="37">
        <v>0</v>
      </c>
      <c r="Z48">
        <v>3.73991720422045E-4</v>
      </c>
      <c r="AA48">
        <v>7.9844470777205105E-5</v>
      </c>
      <c r="AB48">
        <v>3.1769511597778098E-3</v>
      </c>
      <c r="AC48">
        <v>6.4092633057979897E-6</v>
      </c>
      <c r="AD48">
        <v>2.24696641350462E-2</v>
      </c>
      <c r="AE48">
        <v>1.9506700121222499E-2</v>
      </c>
      <c r="AF48">
        <v>0.77029742944024104</v>
      </c>
      <c r="AG48">
        <v>0.95968330455666695</v>
      </c>
      <c r="AH48">
        <v>0.99534206467655395</v>
      </c>
      <c r="AI48">
        <v>0.999342099661372</v>
      </c>
      <c r="AJ48">
        <v>1</v>
      </c>
      <c r="AK48">
        <v>1</v>
      </c>
      <c r="AL48">
        <v>1</v>
      </c>
      <c r="AM48">
        <v>0</v>
      </c>
      <c r="AN48">
        <v>0</v>
      </c>
      <c r="AO48" t="s">
        <v>73</v>
      </c>
      <c r="AP48" t="s">
        <v>74</v>
      </c>
      <c r="AQ48">
        <v>22196504322.330002</v>
      </c>
      <c r="AR48">
        <v>85180</v>
      </c>
      <c r="AS48" s="37">
        <v>0</v>
      </c>
      <c r="AT48" s="37">
        <v>0</v>
      </c>
      <c r="AU48" s="37">
        <v>0</v>
      </c>
      <c r="AV48">
        <v>100</v>
      </c>
      <c r="AW48">
        <v>100</v>
      </c>
      <c r="AX48" s="37">
        <v>0</v>
      </c>
    </row>
    <row r="49" spans="1:50" x14ac:dyDescent="0.25">
      <c r="A49">
        <v>4.3</v>
      </c>
      <c r="B49">
        <v>0.96868969237347302</v>
      </c>
      <c r="C49">
        <v>42.720598979704</v>
      </c>
      <c r="D49">
        <v>31.732163092261899</v>
      </c>
      <c r="E49">
        <v>4.5374116267844898E-2</v>
      </c>
      <c r="F49">
        <v>3.1310307626526902E-2</v>
      </c>
      <c r="G49" s="37">
        <v>0</v>
      </c>
      <c r="H49">
        <v>4.6748623611639903</v>
      </c>
      <c r="I49">
        <v>3.876233980131</v>
      </c>
      <c r="J49">
        <v>-4.7578580483437003</v>
      </c>
      <c r="K49">
        <v>86.110729823748002</v>
      </c>
      <c r="L49">
        <v>15.269436920329101</v>
      </c>
      <c r="M49">
        <v>17.806539800474699</v>
      </c>
      <c r="N49">
        <v>67.682094102864397</v>
      </c>
      <c r="O49">
        <v>64.283090758922</v>
      </c>
      <c r="P49">
        <v>281346.02735679399</v>
      </c>
      <c r="Q49">
        <v>261471.14918998699</v>
      </c>
      <c r="R49">
        <v>781.28007005258996</v>
      </c>
      <c r="S49" s="37">
        <v>0</v>
      </c>
      <c r="T49" s="37">
        <v>0</v>
      </c>
      <c r="U49">
        <v>3.79708160786911E-2</v>
      </c>
      <c r="V49">
        <v>1</v>
      </c>
      <c r="W49" s="37">
        <v>0</v>
      </c>
      <c r="X49">
        <v>0.70634875923859797</v>
      </c>
      <c r="Y49" s="37">
        <v>0</v>
      </c>
      <c r="Z49">
        <v>3.7464344531586803E-4</v>
      </c>
      <c r="AA49">
        <v>1.01898003255646E-4</v>
      </c>
      <c r="AB49">
        <v>3.28424602427199E-3</v>
      </c>
      <c r="AC49">
        <v>1.0011225017983401E-5</v>
      </c>
      <c r="AD49">
        <v>2.75394943206419E-2</v>
      </c>
      <c r="AE49">
        <v>2.0944396930041999E-2</v>
      </c>
      <c r="AF49">
        <v>0.72558380467126804</v>
      </c>
      <c r="AG49">
        <v>0.96035673221561502</v>
      </c>
      <c r="AH49">
        <v>0.99420309780078797</v>
      </c>
      <c r="AI49">
        <v>0.99909324950591605</v>
      </c>
      <c r="AJ49">
        <v>1</v>
      </c>
      <c r="AK49">
        <v>1</v>
      </c>
      <c r="AL49">
        <v>1</v>
      </c>
      <c r="AM49">
        <v>0</v>
      </c>
      <c r="AN49">
        <v>0</v>
      </c>
      <c r="AO49" t="s">
        <v>75</v>
      </c>
      <c r="AP49" t="s">
        <v>76</v>
      </c>
      <c r="AQ49">
        <v>13715730601.91</v>
      </c>
      <c r="AR49">
        <v>52456</v>
      </c>
      <c r="AS49" s="37">
        <v>0</v>
      </c>
      <c r="AT49" s="37">
        <v>0</v>
      </c>
      <c r="AU49" s="37">
        <v>0</v>
      </c>
      <c r="AV49">
        <v>100</v>
      </c>
      <c r="AW49">
        <v>100</v>
      </c>
      <c r="AX49" s="37">
        <v>0</v>
      </c>
    </row>
    <row r="50" spans="1:50" x14ac:dyDescent="0.25">
      <c r="A50">
        <v>4.3</v>
      </c>
      <c r="B50">
        <v>0.96474775166165405</v>
      </c>
      <c r="C50">
        <v>43.681735268574897</v>
      </c>
      <c r="D50">
        <v>34.9922250520641</v>
      </c>
      <c r="E50">
        <v>4.6719362255706602E-2</v>
      </c>
      <c r="F50">
        <v>3.5252248338344998E-2</v>
      </c>
      <c r="G50" s="37">
        <v>0</v>
      </c>
      <c r="H50">
        <v>4.8434826759084899</v>
      </c>
      <c r="I50">
        <v>3.8074340063197498</v>
      </c>
      <c r="J50">
        <v>-1.35941169340672</v>
      </c>
      <c r="K50">
        <v>111.23674374119101</v>
      </c>
      <c r="L50">
        <v>15.526545940228701</v>
      </c>
      <c r="M50">
        <v>18.290820275641501</v>
      </c>
      <c r="N50">
        <v>69.560573036858102</v>
      </c>
      <c r="O50">
        <v>65.196328968190102</v>
      </c>
      <c r="P50">
        <v>276553.64488245797</v>
      </c>
      <c r="Q50">
        <v>257166.424313653</v>
      </c>
      <c r="R50">
        <v>780.71302128071102</v>
      </c>
      <c r="S50" s="37">
        <v>0</v>
      </c>
      <c r="T50" s="37">
        <v>0</v>
      </c>
      <c r="U50">
        <v>3.9785193617976E-2</v>
      </c>
      <c r="V50">
        <v>1</v>
      </c>
      <c r="W50" s="37">
        <v>0</v>
      </c>
      <c r="X50">
        <v>0.621993011200905</v>
      </c>
      <c r="Y50" s="37">
        <v>0</v>
      </c>
      <c r="Z50">
        <v>3.7584798010962601E-4</v>
      </c>
      <c r="AA50">
        <v>1.3362590162066201E-4</v>
      </c>
      <c r="AB50">
        <v>3.4024578837371501E-3</v>
      </c>
      <c r="AC50">
        <v>1.6828301565764699E-5</v>
      </c>
      <c r="AD50">
        <v>3.1323473486503002E-2</v>
      </c>
      <c r="AE50">
        <v>3.3325073855825102E-2</v>
      </c>
      <c r="AF50">
        <v>0.62660569824496304</v>
      </c>
      <c r="AG50">
        <v>0.95634480523923604</v>
      </c>
      <c r="AH50">
        <v>0.99256606019037297</v>
      </c>
      <c r="AI50">
        <v>0.99872658496598199</v>
      </c>
      <c r="AJ50">
        <v>1</v>
      </c>
      <c r="AK50">
        <v>1</v>
      </c>
      <c r="AL50">
        <v>1</v>
      </c>
      <c r="AM50">
        <v>0</v>
      </c>
      <c r="AN50">
        <v>0</v>
      </c>
      <c r="AO50" t="s">
        <v>77</v>
      </c>
      <c r="AP50" t="s">
        <v>78</v>
      </c>
      <c r="AQ50">
        <v>7047903024.7399998</v>
      </c>
      <c r="AR50">
        <v>27406</v>
      </c>
      <c r="AS50" s="37">
        <v>0</v>
      </c>
      <c r="AT50" s="37">
        <v>0</v>
      </c>
      <c r="AU50" s="37">
        <v>0</v>
      </c>
      <c r="AV50">
        <v>100</v>
      </c>
      <c r="AW50">
        <v>100</v>
      </c>
      <c r="AX50" s="37">
        <v>0</v>
      </c>
    </row>
    <row r="51" spans="1:50" x14ac:dyDescent="0.25">
      <c r="A51">
        <v>4.3</v>
      </c>
      <c r="B51">
        <v>0.96091174602281304</v>
      </c>
      <c r="C51">
        <v>42.096705760367399</v>
      </c>
      <c r="D51">
        <v>38.027070516156698</v>
      </c>
      <c r="E51">
        <v>4.45119217051353E-2</v>
      </c>
      <c r="F51">
        <v>3.9088253977186502E-2</v>
      </c>
      <c r="G51" s="37">
        <v>0</v>
      </c>
      <c r="H51">
        <v>4.93150361463496</v>
      </c>
      <c r="I51">
        <v>3.6961974808470601</v>
      </c>
      <c r="J51">
        <v>1.0148036938629501</v>
      </c>
      <c r="K51">
        <v>134.98966292230099</v>
      </c>
      <c r="L51">
        <v>15.3526128701034</v>
      </c>
      <c r="M51">
        <v>19.417138296030998</v>
      </c>
      <c r="N51">
        <v>70.847389718983493</v>
      </c>
      <c r="O51">
        <v>64.873088085911206</v>
      </c>
      <c r="P51">
        <v>279295.94627406501</v>
      </c>
      <c r="Q51">
        <v>260089.69613145001</v>
      </c>
      <c r="R51">
        <v>779.892807612654</v>
      </c>
      <c r="S51" s="37">
        <v>0</v>
      </c>
      <c r="T51" s="37">
        <v>0</v>
      </c>
      <c r="U51">
        <v>5.8809219123887098E-2</v>
      </c>
      <c r="V51">
        <v>1</v>
      </c>
      <c r="W51" s="37">
        <v>0</v>
      </c>
      <c r="X51">
        <v>0.64064484137608602</v>
      </c>
      <c r="Y51" s="37">
        <v>0</v>
      </c>
      <c r="Z51">
        <v>3.7431523618356002E-4</v>
      </c>
      <c r="AA51">
        <v>1.4527288523345401E-4</v>
      </c>
      <c r="AB51">
        <v>3.43450767056365E-3</v>
      </c>
      <c r="AC51">
        <v>3.4003483705590101E-5</v>
      </c>
      <c r="AD51">
        <v>3.5100140092842201E-2</v>
      </c>
      <c r="AE51">
        <v>5.8873943462311E-2</v>
      </c>
      <c r="AF51">
        <v>0.49372430225279301</v>
      </c>
      <c r="AG51">
        <v>0.92881813250187295</v>
      </c>
      <c r="AH51">
        <v>0.98536311895956097</v>
      </c>
      <c r="AI51">
        <v>0.99845284108038102</v>
      </c>
      <c r="AJ51">
        <v>1</v>
      </c>
      <c r="AK51">
        <v>1</v>
      </c>
      <c r="AL51">
        <v>1</v>
      </c>
      <c r="AM51">
        <v>0</v>
      </c>
      <c r="AN51">
        <v>0</v>
      </c>
      <c r="AO51" t="s">
        <v>79</v>
      </c>
      <c r="AP51" t="s">
        <v>80</v>
      </c>
      <c r="AQ51">
        <v>2983748994.02</v>
      </c>
      <c r="AR51">
        <v>11472</v>
      </c>
      <c r="AS51" s="37">
        <v>0</v>
      </c>
      <c r="AT51" s="37">
        <v>0</v>
      </c>
      <c r="AU51" s="37">
        <v>0</v>
      </c>
      <c r="AV51">
        <v>100</v>
      </c>
      <c r="AW51">
        <v>100</v>
      </c>
      <c r="AX51" s="37">
        <v>0</v>
      </c>
    </row>
    <row r="52" spans="1:50" x14ac:dyDescent="0.25">
      <c r="A52">
        <v>4.3</v>
      </c>
      <c r="B52">
        <v>0.95713533987073796</v>
      </c>
      <c r="C52">
        <v>43.974174414158298</v>
      </c>
      <c r="D52">
        <v>40.887378266514197</v>
      </c>
      <c r="E52">
        <v>4.7132848981646797E-2</v>
      </c>
      <c r="F52">
        <v>4.28646601292616E-2</v>
      </c>
      <c r="G52" s="37">
        <v>0</v>
      </c>
      <c r="H52">
        <v>5.0881616522214399</v>
      </c>
      <c r="I52">
        <v>3.6679389776711302</v>
      </c>
      <c r="J52">
        <v>12.727543845696401</v>
      </c>
      <c r="K52">
        <v>159.191454619078</v>
      </c>
      <c r="L52">
        <v>15.009271273490899</v>
      </c>
      <c r="M52">
        <v>20.1736033665035</v>
      </c>
      <c r="N52">
        <v>73.885733658340001</v>
      </c>
      <c r="O52">
        <v>66.483514152965697</v>
      </c>
      <c r="P52">
        <v>285506.84395667003</v>
      </c>
      <c r="Q52">
        <v>266044.99012851401</v>
      </c>
      <c r="R52">
        <v>778.89372793126302</v>
      </c>
      <c r="S52" s="37">
        <v>0</v>
      </c>
      <c r="T52" s="37">
        <v>0</v>
      </c>
      <c r="U52">
        <v>1.87766642755961E-2</v>
      </c>
      <c r="V52">
        <v>1</v>
      </c>
      <c r="W52" s="37">
        <v>0</v>
      </c>
      <c r="X52">
        <v>0.66670175788199104</v>
      </c>
      <c r="Y52" s="37">
        <v>0</v>
      </c>
      <c r="Z52">
        <v>3.7301546198964102E-4</v>
      </c>
      <c r="AA52">
        <v>2.1407521697234199E-4</v>
      </c>
      <c r="AB52">
        <v>3.49230117837272E-3</v>
      </c>
      <c r="AC52">
        <v>6.0698153317161403E-5</v>
      </c>
      <c r="AD52">
        <v>3.8724555331508301E-2</v>
      </c>
      <c r="AE52">
        <v>7.6298969881697001E-2</v>
      </c>
      <c r="AF52">
        <v>0.39665848184765201</v>
      </c>
      <c r="AG52">
        <v>0.89240437043752696</v>
      </c>
      <c r="AH52">
        <v>0.97360936096630402</v>
      </c>
      <c r="AI52">
        <v>0.99656065409633898</v>
      </c>
      <c r="AJ52">
        <v>1</v>
      </c>
      <c r="AK52">
        <v>1</v>
      </c>
      <c r="AL52">
        <v>1</v>
      </c>
      <c r="AM52">
        <v>0</v>
      </c>
      <c r="AN52">
        <v>0</v>
      </c>
      <c r="AO52" t="s">
        <v>81</v>
      </c>
      <c r="AP52" t="s">
        <v>82</v>
      </c>
      <c r="AQ52">
        <v>662452025.41999996</v>
      </c>
      <c r="AR52">
        <v>2490</v>
      </c>
      <c r="AS52" s="37">
        <v>0</v>
      </c>
      <c r="AT52" s="37">
        <v>0</v>
      </c>
      <c r="AU52" s="37">
        <v>0</v>
      </c>
      <c r="AV52">
        <v>100</v>
      </c>
      <c r="AW52">
        <v>100</v>
      </c>
      <c r="AX52" s="37">
        <v>0</v>
      </c>
    </row>
    <row r="53" spans="1:50" x14ac:dyDescent="0.25">
      <c r="A53">
        <v>4.3</v>
      </c>
      <c r="B53">
        <v>0.95312325182999502</v>
      </c>
      <c r="C53">
        <v>55.3010002587543</v>
      </c>
      <c r="D53">
        <v>43.793211243427898</v>
      </c>
      <c r="E53">
        <v>6.4899798897641206E-2</v>
      </c>
      <c r="F53">
        <v>4.6876748170004597E-2</v>
      </c>
      <c r="G53" s="37">
        <v>0</v>
      </c>
      <c r="H53">
        <v>5.1828648717878902</v>
      </c>
      <c r="I53">
        <v>3.66154715696744</v>
      </c>
      <c r="J53">
        <v>26.721662193348799</v>
      </c>
      <c r="K53">
        <v>183.23274294401699</v>
      </c>
      <c r="L53">
        <v>14.4258651382055</v>
      </c>
      <c r="M53">
        <v>20.147710145289899</v>
      </c>
      <c r="N53">
        <v>78.208501163480307</v>
      </c>
      <c r="O53">
        <v>68.105275866285197</v>
      </c>
      <c r="P53">
        <v>296805.84790738299</v>
      </c>
      <c r="Q53">
        <v>276792.31921658898</v>
      </c>
      <c r="R53">
        <v>779.56453400799705</v>
      </c>
      <c r="S53" s="37">
        <v>0</v>
      </c>
      <c r="T53" s="37">
        <v>0</v>
      </c>
      <c r="U53" s="37">
        <v>0</v>
      </c>
      <c r="V53">
        <v>1</v>
      </c>
      <c r="W53" s="37">
        <v>0</v>
      </c>
      <c r="X53">
        <v>0.65481308680203199</v>
      </c>
      <c r="Y53" s="37">
        <v>0</v>
      </c>
      <c r="Z53">
        <v>3.9321548512953001E-4</v>
      </c>
      <c r="AA53">
        <v>2.99803565748083E-4</v>
      </c>
      <c r="AB53">
        <v>3.60211953921206E-3</v>
      </c>
      <c r="AC53">
        <v>1.7322806964271999E-4</v>
      </c>
      <c r="AD53">
        <v>4.2408366034350803E-2</v>
      </c>
      <c r="AE53">
        <v>0.10048404856059499</v>
      </c>
      <c r="AF53">
        <v>0.266754752190074</v>
      </c>
      <c r="AG53">
        <v>0.79175140431158697</v>
      </c>
      <c r="AH53">
        <v>0.92892010933069502</v>
      </c>
      <c r="AI53">
        <v>0.98513130806826299</v>
      </c>
      <c r="AJ53">
        <v>1</v>
      </c>
      <c r="AK53">
        <v>1</v>
      </c>
      <c r="AL53">
        <v>1</v>
      </c>
      <c r="AM53">
        <v>0</v>
      </c>
      <c r="AN53">
        <v>0</v>
      </c>
      <c r="AO53" t="s">
        <v>83</v>
      </c>
      <c r="AP53" t="s">
        <v>84</v>
      </c>
      <c r="AQ53">
        <v>120127866.54000001</v>
      </c>
      <c r="AR53">
        <v>434</v>
      </c>
      <c r="AS53" s="37">
        <v>0</v>
      </c>
      <c r="AT53" s="37">
        <v>0</v>
      </c>
      <c r="AU53" s="37">
        <v>0</v>
      </c>
      <c r="AV53">
        <v>100</v>
      </c>
      <c r="AW53">
        <v>100</v>
      </c>
      <c r="AX53" s="37">
        <v>0</v>
      </c>
    </row>
    <row r="54" spans="1:50" x14ac:dyDescent="0.25">
      <c r="A54">
        <v>4.3</v>
      </c>
      <c r="B54">
        <v>0.95413154706949299</v>
      </c>
      <c r="C54">
        <v>53.736278937248798</v>
      </c>
      <c r="D54">
        <v>43.075520879579599</v>
      </c>
      <c r="E54">
        <v>6.22147879329044E-2</v>
      </c>
      <c r="F54">
        <v>4.5868452930506301E-2</v>
      </c>
      <c r="G54" s="37">
        <v>0</v>
      </c>
      <c r="H54">
        <v>5.2404386091394901</v>
      </c>
      <c r="I54">
        <v>3.6507389351644601</v>
      </c>
      <c r="J54">
        <v>30.826974600296701</v>
      </c>
      <c r="K54">
        <v>207.937634827827</v>
      </c>
      <c r="L54">
        <v>15.518872186376599</v>
      </c>
      <c r="M54">
        <v>20.3801925784852</v>
      </c>
      <c r="N54">
        <v>83.3105111028257</v>
      </c>
      <c r="O54">
        <v>69.451671691763593</v>
      </c>
      <c r="P54">
        <v>273149.375560396</v>
      </c>
      <c r="Q54">
        <v>257277.22387096699</v>
      </c>
      <c r="R54">
        <v>776.79709678461802</v>
      </c>
      <c r="S54" s="37">
        <v>0</v>
      </c>
      <c r="T54" s="37">
        <v>0</v>
      </c>
      <c r="U54" s="37">
        <v>0</v>
      </c>
      <c r="V54">
        <v>1</v>
      </c>
      <c r="W54" s="37">
        <v>0</v>
      </c>
      <c r="X54">
        <v>0.51070676373977897</v>
      </c>
      <c r="Y54" s="37">
        <v>0</v>
      </c>
      <c r="Z54">
        <v>4.3522975761832699E-4</v>
      </c>
      <c r="AA54">
        <v>3.20856477287771E-4</v>
      </c>
      <c r="AB54">
        <v>3.9489033533806998E-3</v>
      </c>
      <c r="AC54">
        <v>3.87787124826706E-4</v>
      </c>
      <c r="AD54">
        <v>4.0775660905237002E-2</v>
      </c>
      <c r="AE54">
        <v>0.12908079345047899</v>
      </c>
      <c r="AF54">
        <v>0.12918379342667399</v>
      </c>
      <c r="AG54">
        <v>0.65268541617854703</v>
      </c>
      <c r="AH54">
        <v>0.837179658371624</v>
      </c>
      <c r="AI54">
        <v>0.96337045714741998</v>
      </c>
      <c r="AJ54">
        <v>1</v>
      </c>
      <c r="AK54">
        <v>1</v>
      </c>
      <c r="AL54">
        <v>1</v>
      </c>
      <c r="AM54">
        <v>0</v>
      </c>
      <c r="AN54">
        <v>0</v>
      </c>
      <c r="AO54" t="s">
        <v>85</v>
      </c>
      <c r="AP54" t="s">
        <v>86</v>
      </c>
      <c r="AQ54">
        <v>15951187.880000001</v>
      </c>
      <c r="AR54">
        <v>62</v>
      </c>
      <c r="AS54" s="37">
        <v>0</v>
      </c>
      <c r="AT54" s="37">
        <v>0</v>
      </c>
      <c r="AU54" s="37">
        <v>0</v>
      </c>
      <c r="AV54">
        <v>100</v>
      </c>
      <c r="AW54">
        <v>100</v>
      </c>
      <c r="AX54" s="37">
        <v>0</v>
      </c>
    </row>
    <row r="55" spans="1:50" x14ac:dyDescent="0.25">
      <c r="A55">
        <v>4.3</v>
      </c>
      <c r="B55">
        <v>0.95616786554540201</v>
      </c>
      <c r="C55">
        <v>0</v>
      </c>
      <c r="D55">
        <v>41.600419374232601</v>
      </c>
      <c r="E55" s="37">
        <v>0</v>
      </c>
      <c r="F55">
        <v>4.3832134454597799E-2</v>
      </c>
      <c r="G55" s="37">
        <v>0</v>
      </c>
      <c r="H55">
        <v>5.25</v>
      </c>
      <c r="I55">
        <v>3.6406662916588299</v>
      </c>
      <c r="J55">
        <v>17.662920604131902</v>
      </c>
      <c r="K55">
        <v>233.95346394605701</v>
      </c>
      <c r="L55">
        <v>18.196645222709499</v>
      </c>
      <c r="M55">
        <v>20.999142117180401</v>
      </c>
      <c r="N55">
        <v>95</v>
      </c>
      <c r="O55">
        <v>75.144083977687004</v>
      </c>
      <c r="P55">
        <v>219482.43229651701</v>
      </c>
      <c r="Q55">
        <v>219482.19</v>
      </c>
      <c r="R55">
        <v>794</v>
      </c>
      <c r="S55" s="37">
        <v>0</v>
      </c>
      <c r="T55" s="37">
        <v>0</v>
      </c>
      <c r="U55" s="37">
        <v>0</v>
      </c>
      <c r="V55">
        <v>1</v>
      </c>
      <c r="W55" s="37">
        <v>0</v>
      </c>
      <c r="X55" s="37">
        <v>0</v>
      </c>
      <c r="Y55" s="37">
        <v>0</v>
      </c>
      <c r="Z55">
        <v>3.5712854154316498E-4</v>
      </c>
      <c r="AA55">
        <v>1.17134227584783E-4</v>
      </c>
      <c r="AB55">
        <v>4.8422814985199097E-3</v>
      </c>
      <c r="AC55">
        <v>1.84434555156616E-3</v>
      </c>
      <c r="AD55">
        <v>3.6671224635383803E-2</v>
      </c>
      <c r="AE55">
        <v>0.232513101617222</v>
      </c>
      <c r="AF55" s="37">
        <v>0</v>
      </c>
      <c r="AG55" s="37">
        <v>0</v>
      </c>
      <c r="AH55" s="37">
        <v>0</v>
      </c>
      <c r="AI55">
        <v>1</v>
      </c>
      <c r="AJ55">
        <v>1</v>
      </c>
      <c r="AK55">
        <v>1</v>
      </c>
      <c r="AL55">
        <v>1</v>
      </c>
      <c r="AM55">
        <v>0</v>
      </c>
      <c r="AN55">
        <v>0</v>
      </c>
      <c r="AO55" t="s">
        <v>87</v>
      </c>
      <c r="AP55" t="s">
        <v>88</v>
      </c>
      <c r="AQ55">
        <v>658446.56999999995</v>
      </c>
      <c r="AR55">
        <v>3</v>
      </c>
      <c r="AS55" s="37">
        <v>0</v>
      </c>
      <c r="AT55" s="37">
        <v>0</v>
      </c>
      <c r="AU55" s="37">
        <v>0</v>
      </c>
      <c r="AV55">
        <v>100</v>
      </c>
      <c r="AW55">
        <v>100</v>
      </c>
      <c r="AX55" s="37">
        <v>0</v>
      </c>
    </row>
    <row r="59" spans="1:50" x14ac:dyDescent="0.25">
      <c r="A59" s="33" t="s">
        <v>122</v>
      </c>
      <c r="C59" t="s">
        <v>130</v>
      </c>
    </row>
    <row r="60" spans="1:50" x14ac:dyDescent="0.25">
      <c r="A60" t="s">
        <v>21</v>
      </c>
      <c r="B60" t="s">
        <v>22</v>
      </c>
      <c r="C60" t="s">
        <v>23</v>
      </c>
      <c r="D60" t="s">
        <v>24</v>
      </c>
      <c r="E60" t="s">
        <v>97</v>
      </c>
      <c r="F60" t="s">
        <v>98</v>
      </c>
      <c r="G60" t="s">
        <v>25</v>
      </c>
      <c r="H60" t="s">
        <v>26</v>
      </c>
      <c r="I60" t="s">
        <v>27</v>
      </c>
      <c r="J60" t="s">
        <v>28</v>
      </c>
      <c r="K60" t="s">
        <v>29</v>
      </c>
      <c r="L60" t="s">
        <v>30</v>
      </c>
      <c r="M60" t="s">
        <v>31</v>
      </c>
      <c r="N60" t="s">
        <v>32</v>
      </c>
      <c r="O60" t="s">
        <v>33</v>
      </c>
      <c r="P60" t="s">
        <v>34</v>
      </c>
      <c r="Q60" t="s">
        <v>35</v>
      </c>
      <c r="R60" t="s">
        <v>36</v>
      </c>
      <c r="S60" t="s">
        <v>37</v>
      </c>
      <c r="T60" t="s">
        <v>38</v>
      </c>
      <c r="U60" t="s">
        <v>39</v>
      </c>
      <c r="V60" t="s">
        <v>40</v>
      </c>
      <c r="W60" t="s">
        <v>41</v>
      </c>
      <c r="X60" t="s">
        <v>42</v>
      </c>
      <c r="Y60" t="s">
        <v>43</v>
      </c>
      <c r="Z60" t="s">
        <v>44</v>
      </c>
      <c r="AA60" t="s">
        <v>45</v>
      </c>
      <c r="AB60" t="s">
        <v>46</v>
      </c>
      <c r="AC60" t="s">
        <v>47</v>
      </c>
      <c r="AD60" t="s">
        <v>48</v>
      </c>
      <c r="AE60" t="s">
        <v>49</v>
      </c>
      <c r="AF60" t="s">
        <v>50</v>
      </c>
      <c r="AG60" t="s">
        <v>51</v>
      </c>
      <c r="AH60" t="s">
        <v>52</v>
      </c>
      <c r="AI60" t="s">
        <v>53</v>
      </c>
      <c r="AJ60" t="s">
        <v>54</v>
      </c>
      <c r="AK60" t="s">
        <v>55</v>
      </c>
      <c r="AL60" t="s">
        <v>56</v>
      </c>
      <c r="AM60" t="s">
        <v>57</v>
      </c>
      <c r="AN60" t="s">
        <v>58</v>
      </c>
      <c r="AO60" t="s">
        <v>59</v>
      </c>
      <c r="AP60" t="s">
        <v>60</v>
      </c>
      <c r="AQ60" t="s">
        <v>61</v>
      </c>
      <c r="AR60" t="s">
        <v>62</v>
      </c>
      <c r="AS60" t="s">
        <v>124</v>
      </c>
      <c r="AT60" t="s">
        <v>125</v>
      </c>
      <c r="AU60" t="s">
        <v>126</v>
      </c>
      <c r="AV60" t="s">
        <v>127</v>
      </c>
      <c r="AW60" t="s">
        <v>128</v>
      </c>
      <c r="AX60" t="s">
        <v>129</v>
      </c>
    </row>
    <row r="61" spans="1:50" x14ac:dyDescent="0.25">
      <c r="A61">
        <v>4.3</v>
      </c>
      <c r="B61">
        <v>0.99502774202643496</v>
      </c>
      <c r="C61">
        <v>0</v>
      </c>
      <c r="D61">
        <v>5.8062099244318599</v>
      </c>
      <c r="E61" s="37">
        <v>0</v>
      </c>
      <c r="F61">
        <v>4.9722579735641901E-3</v>
      </c>
      <c r="G61" s="37">
        <v>0</v>
      </c>
      <c r="H61">
        <v>4.125</v>
      </c>
      <c r="I61">
        <v>4.0914465832429299</v>
      </c>
      <c r="J61">
        <v>-39.292400000000001</v>
      </c>
      <c r="K61">
        <v>-107.582908254133</v>
      </c>
      <c r="L61">
        <v>22.464930692893201</v>
      </c>
      <c r="M61">
        <v>18.498074801809601</v>
      </c>
      <c r="N61">
        <v>80</v>
      </c>
      <c r="O61">
        <v>77.967109304621005</v>
      </c>
      <c r="P61">
        <v>177738.07201269601</v>
      </c>
      <c r="Q61">
        <v>177737.54500000001</v>
      </c>
      <c r="R61">
        <v>782</v>
      </c>
      <c r="S61" s="37">
        <v>0</v>
      </c>
      <c r="T61" s="37">
        <v>0</v>
      </c>
      <c r="U61" s="37">
        <v>0</v>
      </c>
      <c r="V61">
        <v>1</v>
      </c>
      <c r="W61" s="37">
        <v>0</v>
      </c>
      <c r="X61" s="37">
        <v>0</v>
      </c>
      <c r="Y61" s="37">
        <v>0</v>
      </c>
      <c r="Z61">
        <v>3.5354267024575401E-4</v>
      </c>
      <c r="AA61">
        <v>1.33949922462921E-5</v>
      </c>
      <c r="AB61">
        <v>3.8048393520865201E-3</v>
      </c>
      <c r="AC61" s="37">
        <v>0</v>
      </c>
      <c r="AD61">
        <v>8.0046846476781205E-4</v>
      </c>
      <c r="AE61">
        <v>-1.2605143054186499E-3</v>
      </c>
      <c r="AF61">
        <v>1</v>
      </c>
      <c r="AG61">
        <v>1</v>
      </c>
      <c r="AH61">
        <v>1</v>
      </c>
      <c r="AI61">
        <v>1</v>
      </c>
      <c r="AJ61">
        <v>1</v>
      </c>
      <c r="AK61">
        <v>1</v>
      </c>
      <c r="AL61">
        <v>1</v>
      </c>
      <c r="AM61">
        <v>0</v>
      </c>
      <c r="AN61">
        <v>0</v>
      </c>
      <c r="AO61" t="s">
        <v>64</v>
      </c>
      <c r="AP61">
        <f>-125--100</f>
        <v>-25</v>
      </c>
      <c r="AQ61">
        <v>710950.18</v>
      </c>
      <c r="AR61">
        <v>4</v>
      </c>
      <c r="AS61" s="37">
        <v>0</v>
      </c>
      <c r="AT61" s="37">
        <v>0</v>
      </c>
      <c r="AU61" s="37">
        <v>0</v>
      </c>
      <c r="AV61">
        <v>100</v>
      </c>
      <c r="AW61" s="37">
        <v>0</v>
      </c>
      <c r="AX61">
        <v>100</v>
      </c>
    </row>
    <row r="62" spans="1:50" x14ac:dyDescent="0.25">
      <c r="A62">
        <v>4.3</v>
      </c>
      <c r="B62">
        <v>0.99155721853217005</v>
      </c>
      <c r="C62">
        <v>2.1576303824956899</v>
      </c>
      <c r="D62">
        <v>9.6738776673459803</v>
      </c>
      <c r="E62">
        <v>1.8160552716067701E-3</v>
      </c>
      <c r="F62">
        <v>8.4427814678294695E-3</v>
      </c>
      <c r="G62" s="37">
        <v>0</v>
      </c>
      <c r="H62">
        <v>4.1889410860719298</v>
      </c>
      <c r="I62">
        <v>4.0657978090578597</v>
      </c>
      <c r="J62">
        <v>-27.858500450505399</v>
      </c>
      <c r="K62">
        <v>-83.219819416087105</v>
      </c>
      <c r="L62">
        <v>18.879883136790401</v>
      </c>
      <c r="M62">
        <v>17.1692018480523</v>
      </c>
      <c r="N62">
        <v>76.773119708864698</v>
      </c>
      <c r="O62">
        <v>76.563737100031304</v>
      </c>
      <c r="P62">
        <v>225230.39435666599</v>
      </c>
      <c r="Q62">
        <v>199055.97399999999</v>
      </c>
      <c r="R62">
        <v>782.10613584833504</v>
      </c>
      <c r="S62" s="37">
        <v>0</v>
      </c>
      <c r="T62" s="37">
        <v>0</v>
      </c>
      <c r="U62" s="37">
        <v>0</v>
      </c>
      <c r="V62">
        <v>1</v>
      </c>
      <c r="W62" s="37">
        <v>0</v>
      </c>
      <c r="X62">
        <v>0.13217823177046001</v>
      </c>
      <c r="Y62" s="37">
        <v>0</v>
      </c>
      <c r="Z62">
        <v>3.7752422054304499E-4</v>
      </c>
      <c r="AA62">
        <v>4.28706961381961E-5</v>
      </c>
      <c r="AB62">
        <v>3.1142536262320098E-3</v>
      </c>
      <c r="AC62" s="37">
        <v>0</v>
      </c>
      <c r="AD62">
        <v>4.9081176036822301E-3</v>
      </c>
      <c r="AE62">
        <v>-2.40998460287251E-2</v>
      </c>
      <c r="AF62">
        <v>1</v>
      </c>
      <c r="AG62">
        <v>1</v>
      </c>
      <c r="AH62">
        <v>1</v>
      </c>
      <c r="AI62">
        <v>1</v>
      </c>
      <c r="AJ62">
        <v>1</v>
      </c>
      <c r="AK62">
        <v>1</v>
      </c>
      <c r="AL62">
        <v>1</v>
      </c>
      <c r="AM62">
        <v>0</v>
      </c>
      <c r="AN62">
        <v>0</v>
      </c>
      <c r="AO62" t="s">
        <v>65</v>
      </c>
      <c r="AP62">
        <f>-100--75</f>
        <v>-25</v>
      </c>
      <c r="AQ62">
        <v>2985839.61</v>
      </c>
      <c r="AR62">
        <v>15</v>
      </c>
      <c r="AS62" s="37">
        <v>0</v>
      </c>
      <c r="AT62" s="37">
        <v>0</v>
      </c>
      <c r="AU62" s="37">
        <v>0</v>
      </c>
      <c r="AV62">
        <v>100</v>
      </c>
      <c r="AW62" s="37">
        <v>0</v>
      </c>
      <c r="AX62">
        <v>100</v>
      </c>
    </row>
    <row r="63" spans="1:50" x14ac:dyDescent="0.25">
      <c r="A63">
        <v>4.3</v>
      </c>
      <c r="B63">
        <v>0.99550634475364297</v>
      </c>
      <c r="C63">
        <v>8.8452660536773493</v>
      </c>
      <c r="D63">
        <v>5.2610891509947102</v>
      </c>
      <c r="E63">
        <v>7.6879413060304503E-3</v>
      </c>
      <c r="F63">
        <v>4.49365524635647E-3</v>
      </c>
      <c r="G63" s="37">
        <v>0</v>
      </c>
      <c r="H63">
        <v>3.8754078391898901</v>
      </c>
      <c r="I63">
        <v>4.1426231422739299</v>
      </c>
      <c r="J63">
        <v>-62.065275608468198</v>
      </c>
      <c r="K63">
        <v>-58.362227838696299</v>
      </c>
      <c r="L63">
        <v>20.533306268326498</v>
      </c>
      <c r="M63">
        <v>15.3173723400286</v>
      </c>
      <c r="N63">
        <v>78.746356588527703</v>
      </c>
      <c r="O63">
        <v>74.733621395514504</v>
      </c>
      <c r="P63">
        <v>253658.83384519001</v>
      </c>
      <c r="Q63">
        <v>183215.198389261</v>
      </c>
      <c r="R63">
        <v>781.71532127546197</v>
      </c>
      <c r="S63" s="37">
        <v>0</v>
      </c>
      <c r="T63" s="37">
        <v>0</v>
      </c>
      <c r="U63" s="37">
        <v>0</v>
      </c>
      <c r="V63">
        <v>1</v>
      </c>
      <c r="W63" s="37">
        <v>0</v>
      </c>
      <c r="X63">
        <v>0.15768331110903</v>
      </c>
      <c r="Y63" s="37">
        <v>0</v>
      </c>
      <c r="Z63">
        <v>7.1264657948908296E-4</v>
      </c>
      <c r="AA63">
        <v>7.5896280950531197E-5</v>
      </c>
      <c r="AB63">
        <v>2.63746209696412E-3</v>
      </c>
      <c r="AC63" s="37">
        <v>0</v>
      </c>
      <c r="AD63">
        <v>1.06764049105882E-3</v>
      </c>
      <c r="AE63">
        <v>-2.1212521517532001E-2</v>
      </c>
      <c r="AF63">
        <v>0.99566701819617198</v>
      </c>
      <c r="AG63">
        <v>1</v>
      </c>
      <c r="AH63">
        <v>1</v>
      </c>
      <c r="AI63">
        <v>1</v>
      </c>
      <c r="AJ63">
        <v>1</v>
      </c>
      <c r="AK63">
        <v>1</v>
      </c>
      <c r="AL63">
        <v>1</v>
      </c>
      <c r="AM63">
        <v>0</v>
      </c>
      <c r="AN63">
        <v>0</v>
      </c>
      <c r="AO63" t="s">
        <v>66</v>
      </c>
      <c r="AP63">
        <f>-75--50</f>
        <v>-25</v>
      </c>
      <c r="AQ63">
        <v>54598129.119999997</v>
      </c>
      <c r="AR63">
        <v>298</v>
      </c>
      <c r="AS63" s="37">
        <v>0</v>
      </c>
      <c r="AT63" s="37">
        <v>0</v>
      </c>
      <c r="AU63" s="37">
        <v>0</v>
      </c>
      <c r="AV63">
        <v>100</v>
      </c>
      <c r="AW63" s="37">
        <v>0</v>
      </c>
      <c r="AX63">
        <v>100</v>
      </c>
    </row>
    <row r="64" spans="1:50" x14ac:dyDescent="0.25">
      <c r="A64">
        <v>4.3</v>
      </c>
      <c r="B64">
        <v>0.99412404119775899</v>
      </c>
      <c r="C64">
        <v>6.10911542156789</v>
      </c>
      <c r="D64">
        <v>6.8276779473100699</v>
      </c>
      <c r="E64">
        <v>5.2393000986796501E-3</v>
      </c>
      <c r="F64">
        <v>5.87595880224045E-3</v>
      </c>
      <c r="G64" s="37">
        <v>0</v>
      </c>
      <c r="H64">
        <v>3.9337331794347299</v>
      </c>
      <c r="I64">
        <v>4.1358934381727401</v>
      </c>
      <c r="J64">
        <v>-57.987062050997501</v>
      </c>
      <c r="K64">
        <v>-33.5047409308822</v>
      </c>
      <c r="L64">
        <v>16.9672804055526</v>
      </c>
      <c r="M64">
        <v>15.4481221743963</v>
      </c>
      <c r="N64">
        <v>74.279276239167999</v>
      </c>
      <c r="O64">
        <v>72.186535938175993</v>
      </c>
      <c r="P64">
        <v>264061.524804977</v>
      </c>
      <c r="Q64">
        <v>230524.07956009399</v>
      </c>
      <c r="R64">
        <v>783.86911152895505</v>
      </c>
      <c r="S64" s="37">
        <v>0</v>
      </c>
      <c r="T64" s="37">
        <v>0</v>
      </c>
      <c r="U64">
        <v>2.28414120258448E-3</v>
      </c>
      <c r="V64">
        <v>1</v>
      </c>
      <c r="W64" s="37">
        <v>0</v>
      </c>
      <c r="X64">
        <v>0.308707954423458</v>
      </c>
      <c r="Y64" s="37">
        <v>0</v>
      </c>
      <c r="Z64">
        <v>4.4169029644841698E-4</v>
      </c>
      <c r="AA64">
        <v>6.3523872468606701E-5</v>
      </c>
      <c r="AB64">
        <v>2.7300308982072499E-3</v>
      </c>
      <c r="AC64" s="37">
        <v>7.7476567074194104E-9</v>
      </c>
      <c r="AD64">
        <v>2.6406919329238E-3</v>
      </c>
      <c r="AE64">
        <v>-1.20608263629062E-2</v>
      </c>
      <c r="AF64">
        <v>0.97597850851066403</v>
      </c>
      <c r="AG64">
        <v>0.99876642381705805</v>
      </c>
      <c r="AH64">
        <v>1</v>
      </c>
      <c r="AI64">
        <v>1</v>
      </c>
      <c r="AJ64">
        <v>1</v>
      </c>
      <c r="AK64">
        <v>1</v>
      </c>
      <c r="AL64">
        <v>1</v>
      </c>
      <c r="AM64">
        <v>0</v>
      </c>
      <c r="AN64">
        <v>0</v>
      </c>
      <c r="AO64" t="s">
        <v>67</v>
      </c>
      <c r="AP64">
        <f>-50--25</f>
        <v>-25</v>
      </c>
      <c r="AQ64">
        <v>586914306.55999994</v>
      </c>
      <c r="AR64">
        <v>2546</v>
      </c>
      <c r="AS64" s="37">
        <v>0</v>
      </c>
      <c r="AT64" s="37">
        <v>0</v>
      </c>
      <c r="AU64" s="37">
        <v>0</v>
      </c>
      <c r="AV64">
        <v>100</v>
      </c>
      <c r="AW64" s="37">
        <v>0</v>
      </c>
      <c r="AX64">
        <v>100</v>
      </c>
    </row>
    <row r="65" spans="1:50" x14ac:dyDescent="0.25">
      <c r="A65">
        <v>4.3</v>
      </c>
      <c r="B65">
        <v>0.98985186207867903</v>
      </c>
      <c r="C65">
        <v>7.5476108074383204</v>
      </c>
      <c r="D65">
        <v>11.5205421640827</v>
      </c>
      <c r="E65">
        <v>6.5183614926363001E-3</v>
      </c>
      <c r="F65">
        <v>1.01481379213207E-2</v>
      </c>
      <c r="G65" s="37">
        <v>0</v>
      </c>
      <c r="H65">
        <v>4.1214876632708499</v>
      </c>
      <c r="I65">
        <v>4.1334078846296798</v>
      </c>
      <c r="J65">
        <v>-40.061891186289103</v>
      </c>
      <c r="K65">
        <v>-8.3611912096424508</v>
      </c>
      <c r="L65">
        <v>15.571413972315501</v>
      </c>
      <c r="M65">
        <v>15.625428467656</v>
      </c>
      <c r="N65">
        <v>72.112709001809705</v>
      </c>
      <c r="O65">
        <v>70.727766491494293</v>
      </c>
      <c r="P65">
        <v>278786.72749150201</v>
      </c>
      <c r="Q65">
        <v>255296.921537335</v>
      </c>
      <c r="R65">
        <v>783.58961160059903</v>
      </c>
      <c r="S65" s="37">
        <v>0</v>
      </c>
      <c r="T65" s="37">
        <v>0</v>
      </c>
      <c r="U65">
        <v>2.84639604014668E-3</v>
      </c>
      <c r="V65">
        <v>1</v>
      </c>
      <c r="W65" s="37">
        <v>0</v>
      </c>
      <c r="X65">
        <v>0.58850586069084199</v>
      </c>
      <c r="Y65" s="37">
        <v>0</v>
      </c>
      <c r="Z65">
        <v>3.8877255911479099E-4</v>
      </c>
      <c r="AA65">
        <v>6.7447232582009905E-5</v>
      </c>
      <c r="AB65">
        <v>2.6347467579886899E-3</v>
      </c>
      <c r="AC65" s="37">
        <v>1.15326951253463E-8</v>
      </c>
      <c r="AD65">
        <v>7.0571456725335904E-3</v>
      </c>
      <c r="AE65">
        <v>-1.55467071100808E-2</v>
      </c>
      <c r="AF65">
        <v>0.97687924584899199</v>
      </c>
      <c r="AG65">
        <v>0.99866326521162996</v>
      </c>
      <c r="AH65">
        <v>0.99989613458823201</v>
      </c>
      <c r="AI65">
        <v>1</v>
      </c>
      <c r="AJ65">
        <v>1</v>
      </c>
      <c r="AK65">
        <v>1</v>
      </c>
      <c r="AL65">
        <v>1</v>
      </c>
      <c r="AM65">
        <v>0</v>
      </c>
      <c r="AN65">
        <v>0</v>
      </c>
      <c r="AO65" t="s">
        <v>68</v>
      </c>
      <c r="AP65">
        <f>-25-0</f>
        <v>-25</v>
      </c>
      <c r="AQ65">
        <v>4533562732.6599998</v>
      </c>
      <c r="AR65">
        <v>17758</v>
      </c>
      <c r="AS65" s="37">
        <v>0</v>
      </c>
      <c r="AT65" s="37">
        <v>0</v>
      </c>
      <c r="AU65" s="37">
        <v>0</v>
      </c>
      <c r="AV65">
        <v>100</v>
      </c>
      <c r="AW65" s="37">
        <v>0</v>
      </c>
      <c r="AX65">
        <v>100</v>
      </c>
    </row>
    <row r="66" spans="1:50" x14ac:dyDescent="0.25">
      <c r="A66">
        <v>4.3</v>
      </c>
      <c r="B66">
        <v>0.98591471544224596</v>
      </c>
      <c r="C66">
        <v>11.797692900111899</v>
      </c>
      <c r="D66">
        <v>15.652505696396201</v>
      </c>
      <c r="E66">
        <v>1.04068917875793E-2</v>
      </c>
      <c r="F66">
        <v>1.4085284557753401E-2</v>
      </c>
      <c r="G66" s="37">
        <v>0</v>
      </c>
      <c r="H66">
        <v>4.24201146537541</v>
      </c>
      <c r="I66">
        <v>4.0979454766714003</v>
      </c>
      <c r="J66">
        <v>-27.984199181116601</v>
      </c>
      <c r="K66">
        <v>15.327460316238399</v>
      </c>
      <c r="L66">
        <v>15.348389828404899</v>
      </c>
      <c r="M66">
        <v>16.027786325302799</v>
      </c>
      <c r="N66">
        <v>67.860578965234794</v>
      </c>
      <c r="O66">
        <v>66.327590273657506</v>
      </c>
      <c r="P66">
        <v>279876.34461439599</v>
      </c>
      <c r="Q66">
        <v>259921.546070849</v>
      </c>
      <c r="R66">
        <v>784.82080120828596</v>
      </c>
      <c r="S66" s="37">
        <v>0</v>
      </c>
      <c r="T66" s="37">
        <v>0</v>
      </c>
      <c r="U66">
        <v>9.3631668724412608E-3</v>
      </c>
      <c r="V66">
        <v>1</v>
      </c>
      <c r="W66" s="37">
        <v>0</v>
      </c>
      <c r="X66">
        <v>0.76846681733277</v>
      </c>
      <c r="Y66" s="37">
        <v>0</v>
      </c>
      <c r="Z66">
        <v>3.7706138541062002E-4</v>
      </c>
      <c r="AA66">
        <v>7.1435676803686401E-5</v>
      </c>
      <c r="AB66">
        <v>2.7606001825981699E-3</v>
      </c>
      <c r="AC66" s="37">
        <v>4.1713309121907202E-7</v>
      </c>
      <c r="AD66">
        <v>1.0875755798961601E-2</v>
      </c>
      <c r="AE66">
        <v>-1.01707563044521E-2</v>
      </c>
      <c r="AF66">
        <v>0.94085711396139904</v>
      </c>
      <c r="AG66">
        <v>0.99349298824153198</v>
      </c>
      <c r="AH66">
        <v>0.99919156418218802</v>
      </c>
      <c r="AI66">
        <v>0.99978821427807696</v>
      </c>
      <c r="AJ66">
        <v>1</v>
      </c>
      <c r="AK66">
        <v>1</v>
      </c>
      <c r="AL66">
        <v>1</v>
      </c>
      <c r="AM66">
        <v>0</v>
      </c>
      <c r="AN66">
        <v>0</v>
      </c>
      <c r="AO66" t="s">
        <v>69</v>
      </c>
      <c r="AP66" t="s">
        <v>70</v>
      </c>
      <c r="AQ66">
        <v>23068557056.880001</v>
      </c>
      <c r="AR66">
        <v>88752</v>
      </c>
      <c r="AS66" s="37">
        <v>0</v>
      </c>
      <c r="AT66" s="37">
        <v>0</v>
      </c>
      <c r="AU66" s="37">
        <v>0</v>
      </c>
      <c r="AV66">
        <v>100</v>
      </c>
      <c r="AW66" s="37">
        <v>0</v>
      </c>
      <c r="AX66">
        <v>100</v>
      </c>
    </row>
    <row r="67" spans="1:50" x14ac:dyDescent="0.25">
      <c r="A67">
        <v>4.3</v>
      </c>
      <c r="B67">
        <v>0.98030231227533804</v>
      </c>
      <c r="C67">
        <v>17.559910432581599</v>
      </c>
      <c r="D67">
        <v>21.237349167788501</v>
      </c>
      <c r="E67">
        <v>1.5962751643881098E-2</v>
      </c>
      <c r="F67">
        <v>1.9697687724661302E-2</v>
      </c>
      <c r="G67" s="37">
        <v>0</v>
      </c>
      <c r="H67">
        <v>4.3594907102036098</v>
      </c>
      <c r="I67">
        <v>4.0141204595669002</v>
      </c>
      <c r="J67">
        <v>-17.693930366331699</v>
      </c>
      <c r="K67">
        <v>38.111593582191396</v>
      </c>
      <c r="L67">
        <v>15.1430140870684</v>
      </c>
      <c r="M67">
        <v>17.0225065451476</v>
      </c>
      <c r="N67">
        <v>65.665988692689794</v>
      </c>
      <c r="O67">
        <v>63.523641098130099</v>
      </c>
      <c r="P67">
        <v>283223.76242253999</v>
      </c>
      <c r="Q67">
        <v>263596.70277070202</v>
      </c>
      <c r="R67">
        <v>785.18894990548404</v>
      </c>
      <c r="S67" s="37">
        <v>0</v>
      </c>
      <c r="T67" s="37">
        <v>0</v>
      </c>
      <c r="U67">
        <v>1.1352927442291799E-2</v>
      </c>
      <c r="V67">
        <v>1</v>
      </c>
      <c r="W67" s="37">
        <v>0</v>
      </c>
      <c r="X67">
        <v>0.83557601798435299</v>
      </c>
      <c r="Y67" s="37">
        <v>0</v>
      </c>
      <c r="Z67">
        <v>3.7495601123740702E-4</v>
      </c>
      <c r="AA67">
        <v>8.5276545632229301E-5</v>
      </c>
      <c r="AB67">
        <v>3.0262632451651598E-3</v>
      </c>
      <c r="AC67">
        <v>1.9782435521772899E-6</v>
      </c>
      <c r="AD67">
        <v>1.6209199344477902E-2</v>
      </c>
      <c r="AE67">
        <v>4.7233564232454701E-4</v>
      </c>
      <c r="AF67">
        <v>0.87196598454660601</v>
      </c>
      <c r="AG67">
        <v>0.98161996768588899</v>
      </c>
      <c r="AH67">
        <v>0.99805300549600795</v>
      </c>
      <c r="AI67">
        <v>0.99951234919079901</v>
      </c>
      <c r="AJ67">
        <v>1</v>
      </c>
      <c r="AK67">
        <v>1</v>
      </c>
      <c r="AL67">
        <v>1</v>
      </c>
      <c r="AM67">
        <v>0</v>
      </c>
      <c r="AN67">
        <v>0</v>
      </c>
      <c r="AO67" t="s">
        <v>71</v>
      </c>
      <c r="AP67" t="s">
        <v>72</v>
      </c>
      <c r="AQ67">
        <v>46900706937.18</v>
      </c>
      <c r="AR67">
        <v>177926</v>
      </c>
      <c r="AS67" s="37">
        <v>0</v>
      </c>
      <c r="AT67" s="37">
        <v>0</v>
      </c>
      <c r="AU67" s="37">
        <v>0</v>
      </c>
      <c r="AV67">
        <v>100</v>
      </c>
      <c r="AW67" s="37">
        <v>0</v>
      </c>
      <c r="AX67">
        <v>100</v>
      </c>
    </row>
    <row r="68" spans="1:50" x14ac:dyDescent="0.25">
      <c r="A68">
        <v>4.3</v>
      </c>
      <c r="B68">
        <v>0.97383996754805202</v>
      </c>
      <c r="C68">
        <v>25.676065547610602</v>
      </c>
      <c r="D68">
        <v>27.2469617887025</v>
      </c>
      <c r="E68">
        <v>2.4424861373680599E-2</v>
      </c>
      <c r="F68">
        <v>2.6160032451947701E-2</v>
      </c>
      <c r="G68" s="37">
        <v>0</v>
      </c>
      <c r="H68">
        <v>4.53637951880639</v>
      </c>
      <c r="I68">
        <v>3.9428542440460101</v>
      </c>
      <c r="J68">
        <v>-8.8371390344778504</v>
      </c>
      <c r="K68">
        <v>62.9728202331505</v>
      </c>
      <c r="L68">
        <v>15.5219404616345</v>
      </c>
      <c r="M68">
        <v>17.9882326838936</v>
      </c>
      <c r="N68">
        <v>66.904797899983393</v>
      </c>
      <c r="O68">
        <v>64.127384172628695</v>
      </c>
      <c r="P68">
        <v>276197.64999629703</v>
      </c>
      <c r="Q68">
        <v>257200.94768519001</v>
      </c>
      <c r="R68">
        <v>784.491636526403</v>
      </c>
      <c r="S68" s="37">
        <v>0</v>
      </c>
      <c r="T68" s="37">
        <v>0</v>
      </c>
      <c r="U68">
        <v>9.1287563315835298E-3</v>
      </c>
      <c r="V68">
        <v>1</v>
      </c>
      <c r="W68" s="37">
        <v>0</v>
      </c>
      <c r="X68">
        <v>0.81147445723386702</v>
      </c>
      <c r="Y68" s="37">
        <v>0</v>
      </c>
      <c r="Z68">
        <v>3.7766527010380202E-4</v>
      </c>
      <c r="AA68">
        <v>1.17079348247326E-4</v>
      </c>
      <c r="AB68">
        <v>3.25078875820475E-3</v>
      </c>
      <c r="AC68">
        <v>4.6677129012037304E-6</v>
      </c>
      <c r="AD68">
        <v>2.24098169300911E-2</v>
      </c>
      <c r="AE68">
        <v>9.2320769143651692E-3</v>
      </c>
      <c r="AF68">
        <v>0.80256161629786604</v>
      </c>
      <c r="AG68">
        <v>0.97617680738435797</v>
      </c>
      <c r="AH68">
        <v>0.99685624865477696</v>
      </c>
      <c r="AI68">
        <v>0.99925923442040299</v>
      </c>
      <c r="AJ68">
        <v>1</v>
      </c>
      <c r="AK68">
        <v>1</v>
      </c>
      <c r="AL68">
        <v>1</v>
      </c>
      <c r="AM68">
        <v>0</v>
      </c>
      <c r="AN68">
        <v>0</v>
      </c>
      <c r="AO68" t="s">
        <v>73</v>
      </c>
      <c r="AP68" t="s">
        <v>74</v>
      </c>
      <c r="AQ68">
        <v>59067740841.589996</v>
      </c>
      <c r="AR68">
        <v>229656</v>
      </c>
      <c r="AS68" s="37">
        <v>0</v>
      </c>
      <c r="AT68" s="37">
        <v>0</v>
      </c>
      <c r="AU68" s="37">
        <v>0</v>
      </c>
      <c r="AV68">
        <v>100</v>
      </c>
      <c r="AW68" s="37">
        <v>0</v>
      </c>
      <c r="AX68">
        <v>100</v>
      </c>
    </row>
    <row r="69" spans="1:50" x14ac:dyDescent="0.25">
      <c r="A69">
        <v>4.3</v>
      </c>
      <c r="B69">
        <v>0.96838283481545295</v>
      </c>
      <c r="C69">
        <v>31.506465312099301</v>
      </c>
      <c r="D69">
        <v>31.991218711502</v>
      </c>
      <c r="E69">
        <v>3.1043832062453099E-2</v>
      </c>
      <c r="F69">
        <v>3.1617165184546402E-2</v>
      </c>
      <c r="G69" s="37">
        <v>0</v>
      </c>
      <c r="H69">
        <v>4.7068362086288502</v>
      </c>
      <c r="I69">
        <v>3.8993734694148698</v>
      </c>
      <c r="J69">
        <v>-1.7327127368864299</v>
      </c>
      <c r="K69">
        <v>86.340717877121307</v>
      </c>
      <c r="L69">
        <v>15.316941167690199</v>
      </c>
      <c r="M69">
        <v>17.929493116331599</v>
      </c>
      <c r="N69">
        <v>66.053577175593404</v>
      </c>
      <c r="O69">
        <v>62.805532340444003</v>
      </c>
      <c r="P69">
        <v>279970.53491331398</v>
      </c>
      <c r="Q69">
        <v>260672.83163378399</v>
      </c>
      <c r="R69">
        <v>783.73186878484603</v>
      </c>
      <c r="S69" s="37">
        <v>0</v>
      </c>
      <c r="T69" s="37">
        <v>0</v>
      </c>
      <c r="U69">
        <v>1.08206367285758E-2</v>
      </c>
      <c r="V69">
        <v>1</v>
      </c>
      <c r="W69" s="37">
        <v>0</v>
      </c>
      <c r="X69">
        <v>0.80359527928966801</v>
      </c>
      <c r="Y69" s="37">
        <v>0</v>
      </c>
      <c r="Z69">
        <v>3.77470676628319E-4</v>
      </c>
      <c r="AA69">
        <v>1.4268260923068E-4</v>
      </c>
      <c r="AB69">
        <v>3.3466865834394302E-3</v>
      </c>
      <c r="AC69">
        <v>1.00093372215827E-5</v>
      </c>
      <c r="AD69">
        <v>2.7740301402692701E-2</v>
      </c>
      <c r="AE69">
        <v>1.86432806077413E-2</v>
      </c>
      <c r="AF69">
        <v>0.71583084139414499</v>
      </c>
      <c r="AG69">
        <v>0.965508095104046</v>
      </c>
      <c r="AH69">
        <v>0.994275378227085</v>
      </c>
      <c r="AI69">
        <v>0.99900876955821005</v>
      </c>
      <c r="AJ69">
        <v>1</v>
      </c>
      <c r="AK69">
        <v>1</v>
      </c>
      <c r="AL69">
        <v>1</v>
      </c>
      <c r="AM69">
        <v>0</v>
      </c>
      <c r="AN69">
        <v>0</v>
      </c>
      <c r="AO69" t="s">
        <v>75</v>
      </c>
      <c r="AP69" t="s">
        <v>76</v>
      </c>
      <c r="AQ69">
        <v>52624891923.059998</v>
      </c>
      <c r="AR69">
        <v>201881</v>
      </c>
      <c r="AS69" s="37">
        <v>0</v>
      </c>
      <c r="AT69" s="37">
        <v>0</v>
      </c>
      <c r="AU69" s="37">
        <v>0</v>
      </c>
      <c r="AV69">
        <v>100</v>
      </c>
      <c r="AW69" s="37">
        <v>0</v>
      </c>
      <c r="AX69">
        <v>100</v>
      </c>
    </row>
    <row r="70" spans="1:50" x14ac:dyDescent="0.25">
      <c r="A70">
        <v>4.3</v>
      </c>
      <c r="B70">
        <v>0.96402649348351799</v>
      </c>
      <c r="C70">
        <v>35.202875340900803</v>
      </c>
      <c r="D70">
        <v>35.573041008297103</v>
      </c>
      <c r="E70">
        <v>3.5513148980895901E-2</v>
      </c>
      <c r="F70">
        <v>3.5973506516481603E-2</v>
      </c>
      <c r="G70" s="37">
        <v>0</v>
      </c>
      <c r="H70">
        <v>4.8752730433435802</v>
      </c>
      <c r="I70">
        <v>3.8240350539155901</v>
      </c>
      <c r="J70">
        <v>2.86409409631603</v>
      </c>
      <c r="K70">
        <v>111.620608534352</v>
      </c>
      <c r="L70">
        <v>15.5913676928917</v>
      </c>
      <c r="M70">
        <v>18.436837755642699</v>
      </c>
      <c r="N70">
        <v>68.031408991241506</v>
      </c>
      <c r="O70">
        <v>63.715734240727997</v>
      </c>
      <c r="P70">
        <v>274819.07628171402</v>
      </c>
      <c r="Q70">
        <v>256099.68522511501</v>
      </c>
      <c r="R70">
        <v>782.14585442198199</v>
      </c>
      <c r="S70" s="37">
        <v>0</v>
      </c>
      <c r="T70" s="37">
        <v>0</v>
      </c>
      <c r="U70">
        <v>1.09320845296691E-2</v>
      </c>
      <c r="V70">
        <v>1</v>
      </c>
      <c r="W70" s="37">
        <v>0</v>
      </c>
      <c r="X70">
        <v>0.75570179325089804</v>
      </c>
      <c r="Y70" s="37">
        <v>0</v>
      </c>
      <c r="Z70">
        <v>3.7801050960002501E-4</v>
      </c>
      <c r="AA70">
        <v>1.99425122535345E-4</v>
      </c>
      <c r="AB70">
        <v>3.5188810446946102E-3</v>
      </c>
      <c r="AC70">
        <v>2.2498400626739001E-5</v>
      </c>
      <c r="AD70">
        <v>3.18546766628236E-2</v>
      </c>
      <c r="AE70">
        <v>3.4409915385996297E-2</v>
      </c>
      <c r="AF70">
        <v>0.58562118034342403</v>
      </c>
      <c r="AG70">
        <v>0.94979627255111798</v>
      </c>
      <c r="AH70">
        <v>0.99044619209172702</v>
      </c>
      <c r="AI70">
        <v>0.99804398866586796</v>
      </c>
      <c r="AJ70">
        <v>1</v>
      </c>
      <c r="AK70">
        <v>1</v>
      </c>
      <c r="AL70">
        <v>1</v>
      </c>
      <c r="AM70">
        <v>0</v>
      </c>
      <c r="AN70">
        <v>0</v>
      </c>
      <c r="AO70" t="s">
        <v>77</v>
      </c>
      <c r="AP70" t="s">
        <v>78</v>
      </c>
      <c r="AQ70">
        <v>30215665261.599998</v>
      </c>
      <c r="AR70">
        <v>117984</v>
      </c>
      <c r="AS70" s="37">
        <v>0</v>
      </c>
      <c r="AT70" s="37">
        <v>0</v>
      </c>
      <c r="AU70" s="37">
        <v>0</v>
      </c>
      <c r="AV70">
        <v>100</v>
      </c>
      <c r="AW70" s="37">
        <v>0</v>
      </c>
      <c r="AX70">
        <v>100</v>
      </c>
    </row>
    <row r="71" spans="1:50" x14ac:dyDescent="0.25">
      <c r="A71">
        <v>4.3</v>
      </c>
      <c r="B71">
        <v>0.960024139589714</v>
      </c>
      <c r="C71">
        <v>35.292651765802297</v>
      </c>
      <c r="D71">
        <v>38.710533507200701</v>
      </c>
      <c r="E71">
        <v>3.5624577813361397E-2</v>
      </c>
      <c r="F71">
        <v>3.9975860410285897E-2</v>
      </c>
      <c r="G71" s="37">
        <v>0</v>
      </c>
      <c r="H71">
        <v>4.9483919784514701</v>
      </c>
      <c r="I71">
        <v>3.7110584843610299</v>
      </c>
      <c r="J71">
        <v>4.1983428332845101</v>
      </c>
      <c r="K71">
        <v>134.92878797041399</v>
      </c>
      <c r="L71">
        <v>15.244953319235799</v>
      </c>
      <c r="M71">
        <v>19.3505092158174</v>
      </c>
      <c r="N71">
        <v>68.3229342646719</v>
      </c>
      <c r="O71">
        <v>62.191559554746497</v>
      </c>
      <c r="P71">
        <v>281087.83051960898</v>
      </c>
      <c r="Q71">
        <v>261925.422283085</v>
      </c>
      <c r="R71">
        <v>781.44082953208704</v>
      </c>
      <c r="S71" s="37">
        <v>0</v>
      </c>
      <c r="T71" s="37">
        <v>0</v>
      </c>
      <c r="U71">
        <v>1.20813835521534E-2</v>
      </c>
      <c r="V71">
        <v>1</v>
      </c>
      <c r="W71" s="37">
        <v>0</v>
      </c>
      <c r="X71">
        <v>0.77661137775031597</v>
      </c>
      <c r="Y71" s="37">
        <v>0</v>
      </c>
      <c r="Z71">
        <v>3.7698948610251397E-4</v>
      </c>
      <c r="AA71">
        <v>2.4306138853914401E-4</v>
      </c>
      <c r="AB71">
        <v>3.5621477852885298E-3</v>
      </c>
      <c r="AC71">
        <v>5.0290330474990101E-5</v>
      </c>
      <c r="AD71">
        <v>3.5743356532200003E-2</v>
      </c>
      <c r="AE71">
        <v>6.4840858702124193E-2</v>
      </c>
      <c r="AF71">
        <v>0.42223723773576399</v>
      </c>
      <c r="AG71">
        <v>0.909800688033787</v>
      </c>
      <c r="AH71">
        <v>0.97985649729301205</v>
      </c>
      <c r="AI71">
        <v>0.99714418306418096</v>
      </c>
      <c r="AJ71">
        <v>1</v>
      </c>
      <c r="AK71">
        <v>1</v>
      </c>
      <c r="AL71">
        <v>1</v>
      </c>
      <c r="AM71">
        <v>0</v>
      </c>
      <c r="AN71">
        <v>0</v>
      </c>
      <c r="AO71" t="s">
        <v>79</v>
      </c>
      <c r="AP71" t="s">
        <v>80</v>
      </c>
      <c r="AQ71">
        <v>14091587718.83</v>
      </c>
      <c r="AR71">
        <v>53800</v>
      </c>
      <c r="AS71" s="37">
        <v>0</v>
      </c>
      <c r="AT71" s="37">
        <v>0</v>
      </c>
      <c r="AU71" s="37">
        <v>0</v>
      </c>
      <c r="AV71">
        <v>100</v>
      </c>
      <c r="AW71" s="37">
        <v>0</v>
      </c>
      <c r="AX71">
        <v>100</v>
      </c>
    </row>
    <row r="72" spans="1:50" x14ac:dyDescent="0.25">
      <c r="A72">
        <v>4.3</v>
      </c>
      <c r="B72">
        <v>0.95692142077054998</v>
      </c>
      <c r="C72">
        <v>34.084038108405203</v>
      </c>
      <c r="D72">
        <v>41.045723098493497</v>
      </c>
      <c r="E72">
        <v>3.4136214325988998E-2</v>
      </c>
      <c r="F72">
        <v>4.3078579229449E-2</v>
      </c>
      <c r="G72" s="37">
        <v>0</v>
      </c>
      <c r="H72">
        <v>5.1459085180182198</v>
      </c>
      <c r="I72">
        <v>3.6852226680660198</v>
      </c>
      <c r="J72">
        <v>19.409020014635701</v>
      </c>
      <c r="K72">
        <v>160.59319451300999</v>
      </c>
      <c r="L72">
        <v>15.6436358004993</v>
      </c>
      <c r="M72">
        <v>19.608127803771499</v>
      </c>
      <c r="N72">
        <v>73.204530356272798</v>
      </c>
      <c r="O72">
        <v>65.656036121563403</v>
      </c>
      <c r="P72">
        <v>273651.28127528302</v>
      </c>
      <c r="Q72">
        <v>255259.41225758501</v>
      </c>
      <c r="R72">
        <v>779.35191020138404</v>
      </c>
      <c r="S72" s="37">
        <v>0</v>
      </c>
      <c r="T72" s="37">
        <v>0</v>
      </c>
      <c r="U72">
        <v>1.1262599635283199E-2</v>
      </c>
      <c r="V72">
        <v>1</v>
      </c>
      <c r="W72" s="37">
        <v>0</v>
      </c>
      <c r="X72">
        <v>0.86951356159132298</v>
      </c>
      <c r="Y72" s="37">
        <v>0</v>
      </c>
      <c r="Z72">
        <v>3.8342289072933601E-4</v>
      </c>
      <c r="AA72">
        <v>3.5448862814769702E-4</v>
      </c>
      <c r="AB72">
        <v>3.6686534865229699E-3</v>
      </c>
      <c r="AC72">
        <v>6.9191811054382301E-5</v>
      </c>
      <c r="AD72">
        <v>3.8602807401874599E-2</v>
      </c>
      <c r="AE72">
        <v>7.9609892302351007E-2</v>
      </c>
      <c r="AF72">
        <v>0.33058697789358199</v>
      </c>
      <c r="AG72">
        <v>0.87412835212857698</v>
      </c>
      <c r="AH72">
        <v>0.97213330832731404</v>
      </c>
      <c r="AI72">
        <v>0.99550186806441998</v>
      </c>
      <c r="AJ72">
        <v>1</v>
      </c>
      <c r="AK72">
        <v>1</v>
      </c>
      <c r="AL72">
        <v>1</v>
      </c>
      <c r="AM72">
        <v>0</v>
      </c>
      <c r="AN72">
        <v>0</v>
      </c>
      <c r="AO72" t="s">
        <v>81</v>
      </c>
      <c r="AP72" t="s">
        <v>82</v>
      </c>
      <c r="AQ72">
        <v>3440641617.8200002</v>
      </c>
      <c r="AR72">
        <v>13479</v>
      </c>
      <c r="AS72" s="37">
        <v>0</v>
      </c>
      <c r="AT72" s="37">
        <v>0</v>
      </c>
      <c r="AU72" s="37">
        <v>0</v>
      </c>
      <c r="AV72">
        <v>100</v>
      </c>
      <c r="AW72" s="37">
        <v>0</v>
      </c>
      <c r="AX72">
        <v>100</v>
      </c>
    </row>
    <row r="73" spans="1:50" x14ac:dyDescent="0.25">
      <c r="A73">
        <v>4.3</v>
      </c>
      <c r="B73">
        <v>0.95324539802312203</v>
      </c>
      <c r="C73">
        <v>33.665359871941803</v>
      </c>
      <c r="D73">
        <v>43.706713052519298</v>
      </c>
      <c r="E73">
        <v>3.3626457099512501E-2</v>
      </c>
      <c r="F73">
        <v>4.6754601976877398E-2</v>
      </c>
      <c r="G73" s="37">
        <v>0</v>
      </c>
      <c r="H73">
        <v>5.2300294691854399</v>
      </c>
      <c r="I73">
        <v>3.65881897020031</v>
      </c>
      <c r="J73">
        <v>27.5105215681697</v>
      </c>
      <c r="K73">
        <v>182.55437546943199</v>
      </c>
      <c r="L73">
        <v>14.769761298689801</v>
      </c>
      <c r="M73">
        <v>20.164569774608999</v>
      </c>
      <c r="N73">
        <v>75.884240648583798</v>
      </c>
      <c r="O73">
        <v>66.8537016725532</v>
      </c>
      <c r="P73">
        <v>289325.65505929501</v>
      </c>
      <c r="Q73">
        <v>270360.544728935</v>
      </c>
      <c r="R73">
        <v>778.12210444987204</v>
      </c>
      <c r="S73" s="37">
        <v>0</v>
      </c>
      <c r="T73" s="37">
        <v>0</v>
      </c>
      <c r="U73">
        <v>1.3852780085121599E-2</v>
      </c>
      <c r="V73">
        <v>1</v>
      </c>
      <c r="W73" s="37">
        <v>0</v>
      </c>
      <c r="X73">
        <v>0.85221977638386703</v>
      </c>
      <c r="Y73" s="37">
        <v>0</v>
      </c>
      <c r="Z73">
        <v>3.8805998662553198E-4</v>
      </c>
      <c r="AA73">
        <v>5.2770322687382195E-4</v>
      </c>
      <c r="AB73">
        <v>3.6357914284036201E-3</v>
      </c>
      <c r="AC73">
        <v>1.3058948228871501E-4</v>
      </c>
      <c r="AD73">
        <v>4.2072442667634699E-2</v>
      </c>
      <c r="AE73">
        <v>9.65949180004404E-2</v>
      </c>
      <c r="AF73">
        <v>0.255037837503992</v>
      </c>
      <c r="AG73">
        <v>0.81629255907895903</v>
      </c>
      <c r="AH73">
        <v>0.94230196100390295</v>
      </c>
      <c r="AI73">
        <v>0.99203386852364395</v>
      </c>
      <c r="AJ73">
        <v>1</v>
      </c>
      <c r="AK73">
        <v>1</v>
      </c>
      <c r="AL73">
        <v>1</v>
      </c>
      <c r="AM73">
        <v>0</v>
      </c>
      <c r="AN73">
        <v>0</v>
      </c>
      <c r="AO73" t="s">
        <v>83</v>
      </c>
      <c r="AP73" t="s">
        <v>84</v>
      </c>
      <c r="AQ73">
        <v>827843987.96000004</v>
      </c>
      <c r="AR73">
        <v>3062</v>
      </c>
      <c r="AS73" s="37">
        <v>0</v>
      </c>
      <c r="AT73" s="37">
        <v>0</v>
      </c>
      <c r="AU73" s="37">
        <v>0</v>
      </c>
      <c r="AV73">
        <v>100</v>
      </c>
      <c r="AW73" s="37">
        <v>0</v>
      </c>
      <c r="AX73">
        <v>100</v>
      </c>
    </row>
    <row r="74" spans="1:50" x14ac:dyDescent="0.25">
      <c r="A74">
        <v>4.3</v>
      </c>
      <c r="B74">
        <v>0.95105383007684796</v>
      </c>
      <c r="C74">
        <v>28.261046737152199</v>
      </c>
      <c r="D74">
        <v>45.240284040715402</v>
      </c>
      <c r="E74">
        <v>2.7298498426786399E-2</v>
      </c>
      <c r="F74">
        <v>4.8946169923151102E-2</v>
      </c>
      <c r="G74" s="37">
        <v>0</v>
      </c>
      <c r="H74">
        <v>5.2464186800367099</v>
      </c>
      <c r="I74">
        <v>3.69172285194899</v>
      </c>
      <c r="J74">
        <v>34.717273760760897</v>
      </c>
      <c r="K74">
        <v>210.090614075605</v>
      </c>
      <c r="L74">
        <v>15.0628190517424</v>
      </c>
      <c r="M74">
        <v>19.5938189736627</v>
      </c>
      <c r="N74">
        <v>85.7916585505439</v>
      </c>
      <c r="O74">
        <v>73.984501983366698</v>
      </c>
      <c r="P74">
        <v>285262.204090774</v>
      </c>
      <c r="Q74">
        <v>265099.50371980597</v>
      </c>
      <c r="R74">
        <v>777.48058414718002</v>
      </c>
      <c r="S74" s="37">
        <v>0</v>
      </c>
      <c r="T74" s="37">
        <v>0</v>
      </c>
      <c r="U74">
        <v>1.8733180614728201E-2</v>
      </c>
      <c r="V74">
        <v>1</v>
      </c>
      <c r="W74" s="37">
        <v>0</v>
      </c>
      <c r="X74">
        <v>0.76619444473884202</v>
      </c>
      <c r="Y74" s="37">
        <v>0</v>
      </c>
      <c r="Z74">
        <v>3.93557459393304E-4</v>
      </c>
      <c r="AA74">
        <v>5.5744886441279405E-4</v>
      </c>
      <c r="AB74">
        <v>4.0135355441274102E-3</v>
      </c>
      <c r="AC74">
        <v>2.998124646368E-4</v>
      </c>
      <c r="AD74">
        <v>4.3681799840299997E-2</v>
      </c>
      <c r="AE74">
        <v>0.120093667509478</v>
      </c>
      <c r="AF74">
        <v>0.14854476835838101</v>
      </c>
      <c r="AG74">
        <v>0.69660049824911896</v>
      </c>
      <c r="AH74">
        <v>0.85633042659728598</v>
      </c>
      <c r="AI74">
        <v>0.97462641676318995</v>
      </c>
      <c r="AJ74">
        <v>1</v>
      </c>
      <c r="AK74">
        <v>1</v>
      </c>
      <c r="AL74">
        <v>1</v>
      </c>
      <c r="AM74">
        <v>0</v>
      </c>
      <c r="AN74">
        <v>0</v>
      </c>
      <c r="AO74" t="s">
        <v>85</v>
      </c>
      <c r="AP74" t="s">
        <v>86</v>
      </c>
      <c r="AQ74">
        <v>109751194.54000001</v>
      </c>
      <c r="AR74">
        <v>414</v>
      </c>
      <c r="AS74" s="37">
        <v>0</v>
      </c>
      <c r="AT74" s="37">
        <v>0</v>
      </c>
      <c r="AU74" s="37">
        <v>0</v>
      </c>
      <c r="AV74">
        <v>100</v>
      </c>
      <c r="AW74" s="37">
        <v>0</v>
      </c>
      <c r="AX74">
        <v>100</v>
      </c>
    </row>
    <row r="75" spans="1:50" x14ac:dyDescent="0.25">
      <c r="A75">
        <v>4.3</v>
      </c>
      <c r="B75">
        <v>0.95106712329963905</v>
      </c>
      <c r="C75">
        <v>0.36622219306755499</v>
      </c>
      <c r="D75">
        <v>45.231098578728002</v>
      </c>
      <c r="E75">
        <v>3.0569862156209999E-4</v>
      </c>
      <c r="F75">
        <v>4.8932876700360402E-2</v>
      </c>
      <c r="G75" s="37">
        <v>0</v>
      </c>
      <c r="H75">
        <v>5.3142704746798097</v>
      </c>
      <c r="I75">
        <v>3.6726424055235101</v>
      </c>
      <c r="J75">
        <v>37.399005099148297</v>
      </c>
      <c r="K75">
        <v>234.928818371413</v>
      </c>
      <c r="L75">
        <v>14.685725801905299</v>
      </c>
      <c r="M75">
        <v>20.006515851593601</v>
      </c>
      <c r="N75">
        <v>88.220186954252696</v>
      </c>
      <c r="O75">
        <v>75.4436604361658</v>
      </c>
      <c r="P75">
        <v>291527.89096783998</v>
      </c>
      <c r="Q75">
        <v>271913.73197278898</v>
      </c>
      <c r="R75">
        <v>780.63111333434904</v>
      </c>
      <c r="S75" s="37">
        <v>0</v>
      </c>
      <c r="T75" s="37">
        <v>0</v>
      </c>
      <c r="U75">
        <v>2.8012040363361902E-2</v>
      </c>
      <c r="V75">
        <v>1</v>
      </c>
      <c r="W75" s="37">
        <v>0</v>
      </c>
      <c r="X75">
        <v>0.75461686920681104</v>
      </c>
      <c r="Y75" s="37">
        <v>0</v>
      </c>
      <c r="Z75">
        <v>3.96296718470781E-4</v>
      </c>
      <c r="AA75">
        <v>5.5646500274883601E-4</v>
      </c>
      <c r="AB75">
        <v>3.9214944734304504E-3</v>
      </c>
      <c r="AC75">
        <v>3.8539020046526802E-4</v>
      </c>
      <c r="AD75">
        <v>4.3673214883734601E-2</v>
      </c>
      <c r="AE75">
        <v>0.127046951028637</v>
      </c>
      <c r="AF75">
        <v>7.0359430424194194E-2</v>
      </c>
      <c r="AG75">
        <v>0.653377307897968</v>
      </c>
      <c r="AH75">
        <v>0.82154449340582902</v>
      </c>
      <c r="AI75">
        <v>0.98275269582925295</v>
      </c>
      <c r="AJ75">
        <v>1</v>
      </c>
      <c r="AK75">
        <v>1</v>
      </c>
      <c r="AL75">
        <v>1</v>
      </c>
      <c r="AM75">
        <v>0</v>
      </c>
      <c r="AN75">
        <v>0</v>
      </c>
      <c r="AO75" t="s">
        <v>87</v>
      </c>
      <c r="AP75" t="s">
        <v>88</v>
      </c>
      <c r="AQ75">
        <v>39971318.600000001</v>
      </c>
      <c r="AR75">
        <v>147</v>
      </c>
      <c r="AS75" s="37">
        <v>0</v>
      </c>
      <c r="AT75" s="37">
        <v>0</v>
      </c>
      <c r="AU75" s="37">
        <v>0</v>
      </c>
      <c r="AV75">
        <v>100</v>
      </c>
      <c r="AW75" s="37">
        <v>0</v>
      </c>
      <c r="AX75">
        <v>100</v>
      </c>
    </row>
    <row r="76" spans="1:50" x14ac:dyDescent="0.25">
      <c r="A76">
        <v>4.3</v>
      </c>
      <c r="B76">
        <v>0.95286034594978397</v>
      </c>
      <c r="C76">
        <v>34.576458281537199</v>
      </c>
      <c r="D76">
        <v>43.978975645168497</v>
      </c>
      <c r="E76">
        <v>3.4739567290702898E-2</v>
      </c>
      <c r="F76">
        <v>4.7139654050215501E-2</v>
      </c>
      <c r="G76" s="37">
        <v>0</v>
      </c>
      <c r="H76">
        <v>5.4833120084995297</v>
      </c>
      <c r="I76">
        <v>3.6729403220961898</v>
      </c>
      <c r="J76">
        <v>47.391439883256403</v>
      </c>
      <c r="K76">
        <v>265.60644549534697</v>
      </c>
      <c r="L76">
        <v>14.277030255506199</v>
      </c>
      <c r="M76">
        <v>20.573625950846299</v>
      </c>
      <c r="N76">
        <v>88.917567716743804</v>
      </c>
      <c r="O76">
        <v>76.022172327895106</v>
      </c>
      <c r="P76">
        <v>295376.62379078899</v>
      </c>
      <c r="Q76">
        <v>279697.78473684198</v>
      </c>
      <c r="R76">
        <v>783.97377999480602</v>
      </c>
      <c r="S76" s="37">
        <v>0</v>
      </c>
      <c r="T76" s="37">
        <v>0</v>
      </c>
      <c r="U76" s="37">
        <v>0</v>
      </c>
      <c r="V76">
        <v>1</v>
      </c>
      <c r="W76" s="37">
        <v>0</v>
      </c>
      <c r="X76">
        <v>0.94361767122689999</v>
      </c>
      <c r="Y76" s="37">
        <v>0</v>
      </c>
      <c r="Z76">
        <v>3.9082394423278299E-4</v>
      </c>
      <c r="AA76">
        <v>6.3181952604973702E-4</v>
      </c>
      <c r="AB76">
        <v>4.0903138794649999E-3</v>
      </c>
      <c r="AC76">
        <v>1.7462634454327701E-4</v>
      </c>
      <c r="AD76">
        <v>4.1852053064363202E-2</v>
      </c>
      <c r="AE76">
        <v>0.12851392145829801</v>
      </c>
      <c r="AF76">
        <v>9.9460969393059304E-2</v>
      </c>
      <c r="AG76">
        <v>0.56324577655534402</v>
      </c>
      <c r="AH76">
        <v>0.94738828172530298</v>
      </c>
      <c r="AI76">
        <v>1</v>
      </c>
      <c r="AJ76">
        <v>1</v>
      </c>
      <c r="AK76">
        <v>1</v>
      </c>
      <c r="AL76">
        <v>1</v>
      </c>
      <c r="AM76">
        <v>0</v>
      </c>
      <c r="AN76">
        <v>0</v>
      </c>
      <c r="AO76" t="s">
        <v>162</v>
      </c>
      <c r="AP76" t="s">
        <v>163</v>
      </c>
      <c r="AQ76">
        <v>15942773.73</v>
      </c>
      <c r="AR76">
        <v>57</v>
      </c>
      <c r="AS76" s="37">
        <v>0</v>
      </c>
      <c r="AT76" s="37">
        <v>0</v>
      </c>
      <c r="AU76" s="37">
        <v>0</v>
      </c>
      <c r="AV76">
        <v>100</v>
      </c>
      <c r="AW76" s="37">
        <v>0</v>
      </c>
      <c r="AX76">
        <v>100</v>
      </c>
    </row>
    <row r="80" spans="1:50" x14ac:dyDescent="0.25">
      <c r="D80" t="str">
        <f>C1</f>
        <v>BROKER</v>
      </c>
      <c r="H80" t="str">
        <f>C19</f>
        <v>CORRES</v>
      </c>
      <c r="L80" t="str">
        <f>C38</f>
        <v>CashWindow</v>
      </c>
      <c r="P80" t="str">
        <f>C59</f>
        <v>NonCashWindow</v>
      </c>
    </row>
    <row r="81" spans="4:25" x14ac:dyDescent="0.25">
      <c r="D81" t="str">
        <f>AO2</f>
        <v>groupByColumn</v>
      </c>
      <c r="E81" t="str">
        <f>E2</f>
        <v>PREPAY_SMM1</v>
      </c>
      <c r="F81" t="s">
        <v>166</v>
      </c>
      <c r="H81" t="str">
        <f t="shared" ref="H81:H96" si="0">AO20</f>
        <v>groupByColumn</v>
      </c>
      <c r="I81" t="str">
        <f t="shared" ref="I81:I96" si="1">E20</f>
        <v>PREPAY_SMM1</v>
      </c>
      <c r="J81" t="s">
        <v>166</v>
      </c>
      <c r="L81" t="str">
        <f t="shared" ref="L81:L97" si="2">AO39</f>
        <v>groupByColumn</v>
      </c>
      <c r="M81" t="str">
        <f t="shared" ref="M81:M97" si="3">E39</f>
        <v>PREPAY_SMM1</v>
      </c>
      <c r="N81" t="s">
        <v>166</v>
      </c>
      <c r="P81" t="str">
        <f t="shared" ref="P81:P96" si="4">AO60</f>
        <v>groupByColumn</v>
      </c>
      <c r="Q81" t="str">
        <f t="shared" ref="Q81:Q96" si="5">E60</f>
        <v>PREPAY_SMM1</v>
      </c>
      <c r="R81" t="s">
        <v>166</v>
      </c>
      <c r="U81" t="s">
        <v>59</v>
      </c>
      <c r="V81" t="s">
        <v>134</v>
      </c>
      <c r="W81" t="s">
        <v>164</v>
      </c>
      <c r="X81" t="s">
        <v>165</v>
      </c>
      <c r="Y81" t="s">
        <v>130</v>
      </c>
    </row>
    <row r="82" spans="4:25" x14ac:dyDescent="0.25">
      <c r="D82" t="str">
        <f t="shared" ref="D82:D94" si="6">AO3</f>
        <v>06:-75--50</v>
      </c>
      <c r="E82">
        <f t="shared" ref="E82:E94" si="7">E3</f>
        <v>2.9157422292598401E-3</v>
      </c>
      <c r="F82">
        <f>100*(1-(1-E82)^12)</f>
        <v>3.4433222093304794</v>
      </c>
      <c r="H82" t="str">
        <f t="shared" si="0"/>
        <v>04:-125--100</v>
      </c>
      <c r="I82">
        <f t="shared" si="1"/>
        <v>1.0083504526031401E-8</v>
      </c>
      <c r="J82">
        <f>100*(1-(1-I82)^12)</f>
        <v>1.2100204682674587E-5</v>
      </c>
      <c r="L82" t="str">
        <f t="shared" si="2"/>
        <v>03:-150--125</v>
      </c>
      <c r="M82">
        <f t="shared" si="3"/>
        <v>0</v>
      </c>
      <c r="N82">
        <f>100*(1-(1-M82)^12)</f>
        <v>0</v>
      </c>
      <c r="P82" t="str">
        <f t="shared" si="4"/>
        <v>04:-125--100</v>
      </c>
      <c r="Q82">
        <f t="shared" si="5"/>
        <v>0</v>
      </c>
      <c r="R82">
        <f>100*(1-(1-Q82)^12)</f>
        <v>0</v>
      </c>
      <c r="U82" t="s">
        <v>63</v>
      </c>
      <c r="V82" t="e">
        <f>VLOOKUP(U82,$D$81:$F$98,3,0)</f>
        <v>#N/A</v>
      </c>
      <c r="W82" t="e">
        <f>VLOOKUP(U82,$H$81:$J$98,3,0)</f>
        <v>#N/A</v>
      </c>
      <c r="X82">
        <f>VLOOKUP(U82,$L$81:$N$98,3,0)</f>
        <v>0</v>
      </c>
      <c r="Y82" t="e">
        <f>VLOOKUP(U82,$P$81:$R$98,3,0)</f>
        <v>#N/A</v>
      </c>
    </row>
    <row r="83" spans="4:25" x14ac:dyDescent="0.25">
      <c r="D83" t="str">
        <f t="shared" si="6"/>
        <v>07:-50--25</v>
      </c>
      <c r="E83">
        <f t="shared" si="7"/>
        <v>2.25752251921006E-3</v>
      </c>
      <c r="F83">
        <f t="shared" ref="F83:F94" si="8">100*(1-(1-E83)^12)</f>
        <v>2.6756425653229554</v>
      </c>
      <c r="H83" t="str">
        <f t="shared" si="0"/>
        <v>05:-100--75</v>
      </c>
      <c r="I83">
        <f t="shared" si="1"/>
        <v>6.8667181026693799E-3</v>
      </c>
      <c r="J83">
        <f t="shared" ref="J83:J96" si="9">100*(1-(1-I83)^12)</f>
        <v>7.9358739953947595</v>
      </c>
      <c r="L83" t="str">
        <f t="shared" si="2"/>
        <v>04:-125--100</v>
      </c>
      <c r="M83">
        <f t="shared" si="3"/>
        <v>0</v>
      </c>
      <c r="N83">
        <f t="shared" ref="N83:N97" si="10">100*(1-(1-M83)^12)</f>
        <v>0</v>
      </c>
      <c r="P83" t="str">
        <f t="shared" si="4"/>
        <v>05:-100--75</v>
      </c>
      <c r="Q83">
        <f t="shared" si="5"/>
        <v>1.8160552716067701E-3</v>
      </c>
      <c r="R83">
        <f t="shared" ref="R83:R96" si="11">100*(1-(1-Q83)^12)</f>
        <v>2.1576303824957122</v>
      </c>
      <c r="U83" t="s">
        <v>64</v>
      </c>
      <c r="V83" t="e">
        <f t="shared" ref="V83:V97" si="12">VLOOKUP(U83,$D$81:$F$98,3,0)</f>
        <v>#N/A</v>
      </c>
      <c r="W83">
        <f t="shared" ref="W83:W97" si="13">VLOOKUP(U83,$H$81:$J$98,3,0)</f>
        <v>1.2100204682674587E-5</v>
      </c>
      <c r="X83">
        <f t="shared" ref="X83:X97" si="14">VLOOKUP(U83,$L$81:$N$98,3,0)</f>
        <v>0</v>
      </c>
      <c r="Y83">
        <f t="shared" ref="Y83:Y97" si="15">VLOOKUP(U83,$P$81:$R$98,3,0)</f>
        <v>0</v>
      </c>
    </row>
    <row r="84" spans="4:25" x14ac:dyDescent="0.25">
      <c r="D84" t="str">
        <f t="shared" si="6"/>
        <v>08:-25-0</v>
      </c>
      <c r="E84">
        <f t="shared" si="7"/>
        <v>1.29844706370965E-2</v>
      </c>
      <c r="F84">
        <f t="shared" si="8"/>
        <v>14.515410770881477</v>
      </c>
      <c r="H84" t="str">
        <f t="shared" si="0"/>
        <v>06:-75--50</v>
      </c>
      <c r="I84">
        <f t="shared" si="1"/>
        <v>1.5380346705518499E-3</v>
      </c>
      <c r="J84">
        <f t="shared" si="9"/>
        <v>1.8301087366494606</v>
      </c>
      <c r="L84" t="str">
        <f t="shared" si="2"/>
        <v>05:-100--75</v>
      </c>
      <c r="M84">
        <f t="shared" si="3"/>
        <v>1.0697277709633701E-2</v>
      </c>
      <c r="N84">
        <f t="shared" si="10"/>
        <v>12.107776852550668</v>
      </c>
      <c r="P84" t="str">
        <f t="shared" si="4"/>
        <v>06:-75--50</v>
      </c>
      <c r="Q84">
        <f t="shared" si="5"/>
        <v>7.6879413060304503E-3</v>
      </c>
      <c r="R84">
        <f t="shared" si="11"/>
        <v>8.845266053677193</v>
      </c>
      <c r="U84" t="s">
        <v>65</v>
      </c>
      <c r="V84" t="e">
        <f t="shared" si="12"/>
        <v>#N/A</v>
      </c>
      <c r="W84">
        <f t="shared" si="13"/>
        <v>7.9358739953947595</v>
      </c>
      <c r="X84">
        <f t="shared" si="14"/>
        <v>12.107776852550668</v>
      </c>
      <c r="Y84">
        <f t="shared" si="15"/>
        <v>2.1576303824957122</v>
      </c>
    </row>
    <row r="85" spans="4:25" x14ac:dyDescent="0.25">
      <c r="D85" t="str">
        <f t="shared" si="6"/>
        <v>09:0-25</v>
      </c>
      <c r="E85">
        <f t="shared" si="7"/>
        <v>2.5939486473995702E-2</v>
      </c>
      <c r="F85">
        <f t="shared" si="8"/>
        <v>27.048998367252651</v>
      </c>
      <c r="H85" t="str">
        <f t="shared" si="0"/>
        <v>07:-50--25</v>
      </c>
      <c r="I85">
        <f t="shared" si="1"/>
        <v>2.88456049451831E-3</v>
      </c>
      <c r="J85">
        <f t="shared" si="9"/>
        <v>3.4070806667749864</v>
      </c>
      <c r="L85" t="str">
        <f t="shared" si="2"/>
        <v>06:-75--50</v>
      </c>
      <c r="M85">
        <f t="shared" si="3"/>
        <v>2.6366897999839999E-2</v>
      </c>
      <c r="N85">
        <f t="shared" si="10"/>
        <v>27.432197884991893</v>
      </c>
      <c r="P85" t="str">
        <f t="shared" si="4"/>
        <v>07:-50--25</v>
      </c>
      <c r="Q85">
        <f t="shared" si="5"/>
        <v>5.2393000986796501E-3</v>
      </c>
      <c r="R85">
        <f t="shared" si="11"/>
        <v>6.1091154215680232</v>
      </c>
      <c r="U85" t="s">
        <v>66</v>
      </c>
      <c r="V85">
        <f t="shared" si="12"/>
        <v>3.4433222093304794</v>
      </c>
      <c r="W85">
        <f t="shared" si="13"/>
        <v>1.8301087366494606</v>
      </c>
      <c r="X85">
        <f t="shared" si="14"/>
        <v>27.432197884991893</v>
      </c>
      <c r="Y85">
        <f t="shared" si="15"/>
        <v>8.845266053677193</v>
      </c>
    </row>
    <row r="86" spans="4:25" x14ac:dyDescent="0.25">
      <c r="D86" t="str">
        <f t="shared" si="6"/>
        <v>10:25-50</v>
      </c>
      <c r="E86">
        <f t="shared" si="7"/>
        <v>4.1027432936049102E-2</v>
      </c>
      <c r="F86">
        <f t="shared" si="8"/>
        <v>39.511306539507082</v>
      </c>
      <c r="H86" t="str">
        <f t="shared" si="0"/>
        <v>08:-25-0</v>
      </c>
      <c r="I86">
        <f t="shared" si="1"/>
        <v>7.5443497930416104E-3</v>
      </c>
      <c r="J86">
        <f t="shared" si="9"/>
        <v>8.6868545747934895</v>
      </c>
      <c r="L86" t="str">
        <f t="shared" si="2"/>
        <v>07:-50--25</v>
      </c>
      <c r="M86">
        <f t="shared" si="3"/>
        <v>2.2759411103495898E-3</v>
      </c>
      <c r="N86">
        <f t="shared" si="10"/>
        <v>2.6971999783365286</v>
      </c>
      <c r="P86" t="str">
        <f t="shared" si="4"/>
        <v>08:-25-0</v>
      </c>
      <c r="Q86">
        <f t="shared" si="5"/>
        <v>6.5183614926363001E-3</v>
      </c>
      <c r="R86">
        <f t="shared" si="11"/>
        <v>7.5476108074383212</v>
      </c>
      <c r="U86" t="s">
        <v>67</v>
      </c>
      <c r="V86">
        <f t="shared" si="12"/>
        <v>2.6756425653229554</v>
      </c>
      <c r="W86">
        <f t="shared" si="13"/>
        <v>3.4070806667749864</v>
      </c>
      <c r="X86">
        <f t="shared" si="14"/>
        <v>2.6971999783365286</v>
      </c>
      <c r="Y86">
        <f t="shared" si="15"/>
        <v>6.1091154215680232</v>
      </c>
    </row>
    <row r="87" spans="4:25" x14ac:dyDescent="0.25">
      <c r="D87" t="str">
        <f t="shared" si="6"/>
        <v>11:50-75</v>
      </c>
      <c r="E87">
        <f t="shared" si="7"/>
        <v>5.1853975470512799E-2</v>
      </c>
      <c r="F87">
        <f t="shared" si="8"/>
        <v>47.215946149876075</v>
      </c>
      <c r="H87" t="str">
        <f t="shared" si="0"/>
        <v>09:0-25</v>
      </c>
      <c r="I87">
        <f t="shared" si="1"/>
        <v>1.7027448300148799E-2</v>
      </c>
      <c r="J87">
        <f t="shared" si="9"/>
        <v>18.62393407251194</v>
      </c>
      <c r="L87" t="str">
        <f t="shared" si="2"/>
        <v>08:-25-0</v>
      </c>
      <c r="M87">
        <f t="shared" si="3"/>
        <v>8.9923175072531992E-3</v>
      </c>
      <c r="N87">
        <f t="shared" si="10"/>
        <v>10.272771210009758</v>
      </c>
      <c r="P87" t="str">
        <f t="shared" si="4"/>
        <v>09:0-25</v>
      </c>
      <c r="Q87">
        <f t="shared" si="5"/>
        <v>1.04068917875793E-2</v>
      </c>
      <c r="R87">
        <f t="shared" si="11"/>
        <v>11.797692900111823</v>
      </c>
      <c r="U87" t="s">
        <v>68</v>
      </c>
      <c r="V87">
        <f t="shared" si="12"/>
        <v>14.515410770881477</v>
      </c>
      <c r="W87">
        <f t="shared" si="13"/>
        <v>8.6868545747934895</v>
      </c>
      <c r="X87">
        <f t="shared" si="14"/>
        <v>10.272771210009758</v>
      </c>
      <c r="Y87">
        <f t="shared" si="15"/>
        <v>7.5476108074383212</v>
      </c>
    </row>
    <row r="88" spans="4:25" x14ac:dyDescent="0.25">
      <c r="D88" t="str">
        <f t="shared" si="6"/>
        <v>12:75-100</v>
      </c>
      <c r="E88">
        <f t="shared" si="7"/>
        <v>4.9717463343028401E-2</v>
      </c>
      <c r="F88">
        <f t="shared" si="8"/>
        <v>45.770827219617814</v>
      </c>
      <c r="H88" t="str">
        <f t="shared" si="0"/>
        <v>10:25-50</v>
      </c>
      <c r="I88">
        <f t="shared" si="1"/>
        <v>2.94853641310296E-2</v>
      </c>
      <c r="J88">
        <f t="shared" si="9"/>
        <v>30.1727288819705</v>
      </c>
      <c r="L88" t="str">
        <f t="shared" si="2"/>
        <v>09:0-25</v>
      </c>
      <c r="M88">
        <f t="shared" si="3"/>
        <v>1.6971761849218399E-2</v>
      </c>
      <c r="N88">
        <f t="shared" si="10"/>
        <v>18.56859633389023</v>
      </c>
      <c r="P88" t="str">
        <f t="shared" si="4"/>
        <v>10:25-50</v>
      </c>
      <c r="Q88">
        <f t="shared" si="5"/>
        <v>1.5962751643881098E-2</v>
      </c>
      <c r="R88">
        <f t="shared" si="11"/>
        <v>17.559910432581518</v>
      </c>
      <c r="U88" t="s">
        <v>69</v>
      </c>
      <c r="V88">
        <f t="shared" si="12"/>
        <v>27.048998367252651</v>
      </c>
      <c r="W88">
        <f t="shared" si="13"/>
        <v>18.62393407251194</v>
      </c>
      <c r="X88">
        <f t="shared" si="14"/>
        <v>18.56859633389023</v>
      </c>
      <c r="Y88">
        <f t="shared" si="15"/>
        <v>11.797692900111823</v>
      </c>
    </row>
    <row r="89" spans="4:25" x14ac:dyDescent="0.25">
      <c r="D89" t="str">
        <f t="shared" si="6"/>
        <v>13:100-125</v>
      </c>
      <c r="E89">
        <f t="shared" si="7"/>
        <v>4.9919768812099398E-2</v>
      </c>
      <c r="F89">
        <f t="shared" si="8"/>
        <v>45.909203181044674</v>
      </c>
      <c r="H89" t="str">
        <f t="shared" si="0"/>
        <v>11:50-75</v>
      </c>
      <c r="I89">
        <f t="shared" si="1"/>
        <v>3.9071235046389097E-2</v>
      </c>
      <c r="J89">
        <f t="shared" si="9"/>
        <v>38.013897829902064</v>
      </c>
      <c r="L89" t="str">
        <f t="shared" si="2"/>
        <v>10:25-50</v>
      </c>
      <c r="M89">
        <f t="shared" si="3"/>
        <v>2.9470389804280701E-2</v>
      </c>
      <c r="N89">
        <f t="shared" si="10"/>
        <v>30.159799183788238</v>
      </c>
      <c r="P89" t="str">
        <f t="shared" si="4"/>
        <v>11:50-75</v>
      </c>
      <c r="Q89">
        <f t="shared" si="5"/>
        <v>2.4424861373680599E-2</v>
      </c>
      <c r="R89">
        <f t="shared" si="11"/>
        <v>25.676065547610772</v>
      </c>
      <c r="U89" t="s">
        <v>71</v>
      </c>
      <c r="V89">
        <f t="shared" si="12"/>
        <v>39.511306539507082</v>
      </c>
      <c r="W89">
        <f t="shared" si="13"/>
        <v>30.1727288819705</v>
      </c>
      <c r="X89">
        <f t="shared" si="14"/>
        <v>30.159799183788238</v>
      </c>
      <c r="Y89">
        <f t="shared" si="15"/>
        <v>17.559910432581518</v>
      </c>
    </row>
    <row r="90" spans="4:25" x14ac:dyDescent="0.25">
      <c r="D90" t="str">
        <f t="shared" si="6"/>
        <v>14:125-150</v>
      </c>
      <c r="E90">
        <f t="shared" si="7"/>
        <v>5.0754696248407602E-2</v>
      </c>
      <c r="F90">
        <f t="shared" si="8"/>
        <v>46.476872003021043</v>
      </c>
      <c r="H90" t="str">
        <f t="shared" si="0"/>
        <v>12:75-100</v>
      </c>
      <c r="I90">
        <f t="shared" si="1"/>
        <v>4.4952399751599599E-2</v>
      </c>
      <c r="J90">
        <f t="shared" si="9"/>
        <v>42.416214440489064</v>
      </c>
      <c r="L90" t="str">
        <f t="shared" si="2"/>
        <v>11:50-75</v>
      </c>
      <c r="M90">
        <f t="shared" si="3"/>
        <v>4.1874132965458298E-2</v>
      </c>
      <c r="N90">
        <f t="shared" si="10"/>
        <v>40.14908663130624</v>
      </c>
      <c r="P90" t="str">
        <f t="shared" si="4"/>
        <v>12:75-100</v>
      </c>
      <c r="Q90">
        <f t="shared" si="5"/>
        <v>3.1043832062453099E-2</v>
      </c>
      <c r="R90">
        <f t="shared" si="11"/>
        <v>31.50646531209922</v>
      </c>
      <c r="U90" t="s">
        <v>73</v>
      </c>
      <c r="V90">
        <f t="shared" si="12"/>
        <v>47.215946149876075</v>
      </c>
      <c r="W90">
        <f t="shared" si="13"/>
        <v>38.013897829902064</v>
      </c>
      <c r="X90">
        <f t="shared" si="14"/>
        <v>40.14908663130624</v>
      </c>
      <c r="Y90">
        <f t="shared" si="15"/>
        <v>25.676065547610772</v>
      </c>
    </row>
    <row r="91" spans="4:25" x14ac:dyDescent="0.25">
      <c r="D91" t="str">
        <f t="shared" si="6"/>
        <v>15:150-175</v>
      </c>
      <c r="E91">
        <f t="shared" si="7"/>
        <v>4.7514462955103302E-2</v>
      </c>
      <c r="F91">
        <f t="shared" si="8"/>
        <v>44.242835662966016</v>
      </c>
      <c r="H91" t="str">
        <f t="shared" si="0"/>
        <v>13:100-125</v>
      </c>
      <c r="I91">
        <f t="shared" si="1"/>
        <v>4.5562890713052299E-2</v>
      </c>
      <c r="J91">
        <f t="shared" si="9"/>
        <v>42.85637323294408</v>
      </c>
      <c r="L91" t="str">
        <f t="shared" si="2"/>
        <v>12:75-100</v>
      </c>
      <c r="M91">
        <f t="shared" si="3"/>
        <v>4.5374116267844898E-2</v>
      </c>
      <c r="N91">
        <f t="shared" si="10"/>
        <v>42.720598979704036</v>
      </c>
      <c r="P91" t="str">
        <f t="shared" si="4"/>
        <v>13:100-125</v>
      </c>
      <c r="Q91">
        <f t="shared" si="5"/>
        <v>3.5513148980895901E-2</v>
      </c>
      <c r="R91">
        <f t="shared" si="11"/>
        <v>35.20287534090081</v>
      </c>
      <c r="U91" t="s">
        <v>75</v>
      </c>
      <c r="V91">
        <f t="shared" si="12"/>
        <v>45.770827219617814</v>
      </c>
      <c r="W91">
        <f t="shared" si="13"/>
        <v>42.416214440489064</v>
      </c>
      <c r="X91">
        <f t="shared" si="14"/>
        <v>42.720598979704036</v>
      </c>
      <c r="Y91">
        <f t="shared" si="15"/>
        <v>31.50646531209922</v>
      </c>
    </row>
    <row r="92" spans="4:25" x14ac:dyDescent="0.25">
      <c r="D92" t="str">
        <f t="shared" si="6"/>
        <v>16:175-200</v>
      </c>
      <c r="E92">
        <f t="shared" si="7"/>
        <v>6.1197489207662902E-2</v>
      </c>
      <c r="F92">
        <f t="shared" si="8"/>
        <v>53.130436470808448</v>
      </c>
      <c r="H92" t="str">
        <f t="shared" si="0"/>
        <v>14:125-150</v>
      </c>
      <c r="I92">
        <f t="shared" si="1"/>
        <v>4.8312694015717403E-2</v>
      </c>
      <c r="J92">
        <f t="shared" si="9"/>
        <v>44.800986208120854</v>
      </c>
      <c r="L92" t="str">
        <f t="shared" si="2"/>
        <v>13:100-125</v>
      </c>
      <c r="M92">
        <f t="shared" si="3"/>
        <v>4.6719362255706602E-2</v>
      </c>
      <c r="N92">
        <f t="shared" si="10"/>
        <v>43.681735268574954</v>
      </c>
      <c r="P92" t="str">
        <f t="shared" si="4"/>
        <v>14:125-150</v>
      </c>
      <c r="Q92">
        <f t="shared" si="5"/>
        <v>3.5624577813361397E-2</v>
      </c>
      <c r="R92">
        <f t="shared" si="11"/>
        <v>35.292651765802354</v>
      </c>
      <c r="U92" t="s">
        <v>77</v>
      </c>
      <c r="V92">
        <f t="shared" si="12"/>
        <v>45.909203181044674</v>
      </c>
      <c r="W92">
        <f t="shared" si="13"/>
        <v>42.85637323294408</v>
      </c>
      <c r="X92">
        <f t="shared" si="14"/>
        <v>43.681735268574954</v>
      </c>
      <c r="Y92">
        <f t="shared" si="15"/>
        <v>35.20287534090081</v>
      </c>
    </row>
    <row r="93" spans="4:25" x14ac:dyDescent="0.25">
      <c r="D93" t="str">
        <f t="shared" si="6"/>
        <v>17:200-225</v>
      </c>
      <c r="E93">
        <f t="shared" si="7"/>
        <v>5.2273954856408698E-2</v>
      </c>
      <c r="F93">
        <f t="shared" si="8"/>
        <v>47.495830730037483</v>
      </c>
      <c r="H93" t="str">
        <f t="shared" si="0"/>
        <v>15:150-175</v>
      </c>
      <c r="I93">
        <f t="shared" si="1"/>
        <v>4.4353499314622603E-2</v>
      </c>
      <c r="J93">
        <f t="shared" si="9"/>
        <v>41.981394455784212</v>
      </c>
      <c r="L93" t="str">
        <f t="shared" si="2"/>
        <v>14:125-150</v>
      </c>
      <c r="M93">
        <f t="shared" si="3"/>
        <v>4.45119217051353E-2</v>
      </c>
      <c r="N93">
        <f t="shared" si="10"/>
        <v>42.096705760367449</v>
      </c>
      <c r="P93" t="str">
        <f t="shared" si="4"/>
        <v>15:150-175</v>
      </c>
      <c r="Q93">
        <f t="shared" si="5"/>
        <v>3.4136214325988998E-2</v>
      </c>
      <c r="R93">
        <f t="shared" si="11"/>
        <v>34.084038108405224</v>
      </c>
      <c r="U93" t="s">
        <v>79</v>
      </c>
      <c r="V93">
        <f t="shared" si="12"/>
        <v>46.476872003021043</v>
      </c>
      <c r="W93">
        <f t="shared" si="13"/>
        <v>44.800986208120854</v>
      </c>
      <c r="X93">
        <f t="shared" si="14"/>
        <v>42.096705760367449</v>
      </c>
      <c r="Y93">
        <f t="shared" si="15"/>
        <v>35.292651765802354</v>
      </c>
    </row>
    <row r="94" spans="4:25" x14ac:dyDescent="0.25">
      <c r="D94" t="str">
        <f t="shared" si="6"/>
        <v>18:225-250</v>
      </c>
      <c r="E94">
        <f t="shared" si="7"/>
        <v>5.09258869416227E-2</v>
      </c>
      <c r="F94">
        <f t="shared" si="8"/>
        <v>46.59258807901702</v>
      </c>
      <c r="H94" t="str">
        <f t="shared" si="0"/>
        <v>16:175-200</v>
      </c>
      <c r="I94">
        <f t="shared" si="1"/>
        <v>5.4036720883535297E-2</v>
      </c>
      <c r="J94">
        <f t="shared" si="9"/>
        <v>48.655806463704451</v>
      </c>
      <c r="L94" t="str">
        <f t="shared" si="2"/>
        <v>15:150-175</v>
      </c>
      <c r="M94">
        <f t="shared" si="3"/>
        <v>4.7132848981646797E-2</v>
      </c>
      <c r="N94">
        <f t="shared" si="10"/>
        <v>43.974174414158249</v>
      </c>
      <c r="P94" t="str">
        <f t="shared" si="4"/>
        <v>16:175-200</v>
      </c>
      <c r="Q94">
        <f t="shared" si="5"/>
        <v>3.3626457099512501E-2</v>
      </c>
      <c r="R94">
        <f t="shared" si="11"/>
        <v>33.665359871941824</v>
      </c>
      <c r="U94" t="s">
        <v>81</v>
      </c>
      <c r="V94">
        <f t="shared" si="12"/>
        <v>44.242835662966016</v>
      </c>
      <c r="W94">
        <f t="shared" si="13"/>
        <v>41.981394455784212</v>
      </c>
      <c r="X94">
        <f t="shared" si="14"/>
        <v>43.974174414158249</v>
      </c>
      <c r="Y94">
        <f t="shared" si="15"/>
        <v>34.084038108405224</v>
      </c>
    </row>
    <row r="95" spans="4:25" x14ac:dyDescent="0.25">
      <c r="H95" t="str">
        <f t="shared" si="0"/>
        <v>17:200-225</v>
      </c>
      <c r="I95">
        <f t="shared" si="1"/>
        <v>3.9465442896729298E-2</v>
      </c>
      <c r="J95">
        <f t="shared" si="9"/>
        <v>38.318357648759196</v>
      </c>
      <c r="L95" t="str">
        <f t="shared" si="2"/>
        <v>16:175-200</v>
      </c>
      <c r="M95">
        <f t="shared" si="3"/>
        <v>6.4899798897641206E-2</v>
      </c>
      <c r="N95">
        <f t="shared" si="10"/>
        <v>55.301000258754321</v>
      </c>
      <c r="P95" t="str">
        <f t="shared" si="4"/>
        <v>17:200-225</v>
      </c>
      <c r="Q95">
        <f t="shared" si="5"/>
        <v>2.7298498426786399E-2</v>
      </c>
      <c r="R95">
        <f t="shared" si="11"/>
        <v>28.261046737152341</v>
      </c>
      <c r="U95" t="s">
        <v>83</v>
      </c>
      <c r="V95">
        <f t="shared" si="12"/>
        <v>53.130436470808448</v>
      </c>
      <c r="W95">
        <f t="shared" si="13"/>
        <v>48.655806463704451</v>
      </c>
      <c r="X95">
        <f t="shared" si="14"/>
        <v>55.301000258754321</v>
      </c>
      <c r="Y95">
        <f t="shared" si="15"/>
        <v>33.665359871941824</v>
      </c>
    </row>
    <row r="96" spans="4:25" x14ac:dyDescent="0.25">
      <c r="H96" t="str">
        <f t="shared" si="0"/>
        <v>18:225-250</v>
      </c>
      <c r="I96">
        <f t="shared" si="1"/>
        <v>2.1363410908492999E-2</v>
      </c>
      <c r="J96">
        <f t="shared" si="9"/>
        <v>22.828420602886045</v>
      </c>
      <c r="L96" t="str">
        <f t="shared" si="2"/>
        <v>17:200-225</v>
      </c>
      <c r="M96">
        <f t="shared" si="3"/>
        <v>6.22147879329044E-2</v>
      </c>
      <c r="N96">
        <f t="shared" si="10"/>
        <v>53.736278937248748</v>
      </c>
      <c r="P96" t="str">
        <f t="shared" si="4"/>
        <v>18:225-250</v>
      </c>
      <c r="Q96">
        <f t="shared" si="5"/>
        <v>3.0569862156209999E-4</v>
      </c>
      <c r="R96">
        <f t="shared" si="11"/>
        <v>0.36622219306756687</v>
      </c>
      <c r="U96" t="s">
        <v>85</v>
      </c>
      <c r="V96">
        <f t="shared" si="12"/>
        <v>47.495830730037483</v>
      </c>
      <c r="W96">
        <f t="shared" si="13"/>
        <v>38.318357648759196</v>
      </c>
      <c r="X96">
        <f t="shared" si="14"/>
        <v>53.736278937248748</v>
      </c>
      <c r="Y96">
        <f t="shared" si="15"/>
        <v>28.261046737152341</v>
      </c>
    </row>
    <row r="97" spans="12:25" x14ac:dyDescent="0.25">
      <c r="L97" t="str">
        <f t="shared" si="2"/>
        <v>18:225-250</v>
      </c>
      <c r="M97">
        <f t="shared" si="3"/>
        <v>0</v>
      </c>
      <c r="N97">
        <f t="shared" si="10"/>
        <v>0</v>
      </c>
      <c r="U97" t="s">
        <v>87</v>
      </c>
      <c r="V97">
        <f t="shared" si="12"/>
        <v>46.59258807901702</v>
      </c>
      <c r="W97">
        <f t="shared" si="13"/>
        <v>22.828420602886045</v>
      </c>
      <c r="X97">
        <f t="shared" si="14"/>
        <v>0</v>
      </c>
      <c r="Y97">
        <f t="shared" si="15"/>
        <v>0.36622219306756687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41"/>
  <sheetViews>
    <sheetView topLeftCell="T1" zoomScale="80" zoomScaleNormal="80" workbookViewId="0">
      <pane xSplit="27885" topLeftCell="AX1"/>
      <selection activeCell="AQ3" sqref="AQ3:AQ18"/>
      <selection pane="topRight" activeCell="BC222" sqref="BC222"/>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0" x14ac:dyDescent="0.25">
      <c r="A1" s="33" t="s">
        <v>122</v>
      </c>
      <c r="C1" t="s">
        <v>133</v>
      </c>
      <c r="AS1" s="17" t="s">
        <v>89</v>
      </c>
      <c r="AT1" s="17" t="s">
        <v>90</v>
      </c>
      <c r="AU1" s="17"/>
      <c r="AV1" s="17"/>
      <c r="AW1" s="17" t="s">
        <v>91</v>
      </c>
      <c r="AX1" s="17"/>
    </row>
    <row r="2" spans="1:50" x14ac:dyDescent="0.25">
      <c r="A2" t="s">
        <v>21</v>
      </c>
      <c r="B2" t="s">
        <v>22</v>
      </c>
      <c r="C2" t="s">
        <v>23</v>
      </c>
      <c r="D2" t="s">
        <v>24</v>
      </c>
      <c r="E2" t="s">
        <v>97</v>
      </c>
      <c r="F2" t="s">
        <v>98</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21" t="s">
        <v>124</v>
      </c>
      <c r="AT2" s="21" t="s">
        <v>125</v>
      </c>
      <c r="AU2" s="17" t="s">
        <v>126</v>
      </c>
      <c r="AV2" s="17" t="s">
        <v>127</v>
      </c>
      <c r="AW2" s="21" t="s">
        <v>128</v>
      </c>
      <c r="AX2" s="17" t="s">
        <v>129</v>
      </c>
    </row>
    <row r="3" spans="1:50" x14ac:dyDescent="0.25">
      <c r="A3">
        <v>96</v>
      </c>
      <c r="B3" s="4">
        <v>0.99661761999999998</v>
      </c>
      <c r="C3" s="4">
        <v>0</v>
      </c>
      <c r="D3" s="4">
        <v>3.9841936068485002</v>
      </c>
      <c r="E3" s="4">
        <v>0</v>
      </c>
      <c r="F3" s="5">
        <v>3.3823799999999999E-3</v>
      </c>
      <c r="G3" s="5">
        <v>0</v>
      </c>
      <c r="H3" s="4">
        <v>3.875</v>
      </c>
      <c r="I3" s="4">
        <v>4.1184719999999997</v>
      </c>
      <c r="J3" s="4">
        <v>-64.061899999999994</v>
      </c>
      <c r="K3" s="4">
        <v>-131.94999999999999</v>
      </c>
      <c r="L3" s="4">
        <v>13.16</v>
      </c>
      <c r="M3" s="4">
        <v>17</v>
      </c>
      <c r="N3" s="4">
        <v>80</v>
      </c>
      <c r="O3" s="4">
        <v>77.08</v>
      </c>
      <c r="P3" s="4">
        <v>303250.44</v>
      </c>
      <c r="Q3" s="4">
        <v>303250.44</v>
      </c>
      <c r="R3" s="4">
        <v>773</v>
      </c>
      <c r="S3" s="4">
        <v>0</v>
      </c>
      <c r="T3" s="4">
        <v>0</v>
      </c>
      <c r="U3" s="4">
        <v>0</v>
      </c>
      <c r="V3" s="4">
        <v>1</v>
      </c>
      <c r="W3" s="4">
        <v>0</v>
      </c>
      <c r="X3" s="4">
        <v>1</v>
      </c>
      <c r="Y3" s="4">
        <v>0</v>
      </c>
      <c r="Z3" s="5">
        <v>3.5183000000000002E-4</v>
      </c>
      <c r="AA3" s="5">
        <v>7.7919999999999999E-5</v>
      </c>
      <c r="AB3" s="10">
        <v>2.95262E-3</v>
      </c>
      <c r="AC3" s="10">
        <v>0</v>
      </c>
      <c r="AD3" s="10">
        <v>0</v>
      </c>
      <c r="AE3" s="4">
        <v>1.1207682833043501E-2</v>
      </c>
      <c r="AF3" s="4">
        <v>1</v>
      </c>
      <c r="AG3" s="4">
        <v>1</v>
      </c>
      <c r="AH3" s="4">
        <v>1</v>
      </c>
      <c r="AI3" s="4">
        <v>1</v>
      </c>
      <c r="AJ3" s="4">
        <v>1</v>
      </c>
      <c r="AK3" s="4">
        <v>1</v>
      </c>
      <c r="AL3" s="4">
        <v>1</v>
      </c>
      <c r="AM3" s="4">
        <v>0</v>
      </c>
      <c r="AN3" s="4">
        <v>0</v>
      </c>
      <c r="AO3" s="4" t="s">
        <v>63</v>
      </c>
      <c r="AP3" s="4">
        <f>-150--125</f>
        <v>-25</v>
      </c>
      <c r="AQ3" s="6">
        <v>303250.44</v>
      </c>
      <c r="AR3" s="4">
        <v>1</v>
      </c>
      <c r="AS3" s="15">
        <v>0</v>
      </c>
      <c r="AT3" s="15">
        <v>0</v>
      </c>
      <c r="AU3" s="15">
        <v>0</v>
      </c>
      <c r="AV3" s="15">
        <v>100</v>
      </c>
      <c r="AW3" s="15">
        <v>100</v>
      </c>
      <c r="AX3" s="15">
        <v>0</v>
      </c>
    </row>
    <row r="4" spans="1:50" x14ac:dyDescent="0.25">
      <c r="A4">
        <v>96</v>
      </c>
      <c r="B4" s="4">
        <v>0.99252822165548804</v>
      </c>
      <c r="C4" s="4">
        <v>5.6968752271124797E-6</v>
      </c>
      <c r="D4" s="4">
        <v>8.6066971229231193</v>
      </c>
      <c r="E4" s="4">
        <v>4.7473961991671797E-9</v>
      </c>
      <c r="F4" s="5">
        <v>7.4717783445110804E-3</v>
      </c>
      <c r="G4" s="5">
        <v>0</v>
      </c>
      <c r="H4" s="4">
        <v>3.9463144886133898</v>
      </c>
      <c r="I4" s="4">
        <v>3.9968994330355998</v>
      </c>
      <c r="J4" s="4">
        <v>-50.059634453509297</v>
      </c>
      <c r="K4" s="4">
        <v>-110.175225167985</v>
      </c>
      <c r="L4" s="4">
        <v>17.060621735254099</v>
      </c>
      <c r="M4" s="4">
        <v>16.808767110725899</v>
      </c>
      <c r="N4" s="4">
        <v>78.188744527266806</v>
      </c>
      <c r="O4" s="4">
        <v>75.620467298132695</v>
      </c>
      <c r="P4" s="4">
        <v>244109.932834418</v>
      </c>
      <c r="Q4" s="4">
        <v>234046.42111111101</v>
      </c>
      <c r="R4" s="4">
        <v>766.50334840269204</v>
      </c>
      <c r="S4" s="4">
        <v>0</v>
      </c>
      <c r="T4" s="4">
        <v>0</v>
      </c>
      <c r="U4" s="4">
        <v>0</v>
      </c>
      <c r="V4" s="4">
        <v>0.52919183710464102</v>
      </c>
      <c r="W4" s="4">
        <v>0</v>
      </c>
      <c r="X4" s="4">
        <v>0.62889958311641403</v>
      </c>
      <c r="Y4" s="4">
        <v>0</v>
      </c>
      <c r="Z4" s="5">
        <v>3.5219409994139799E-4</v>
      </c>
      <c r="AA4" s="5">
        <v>5.24156211963059E-5</v>
      </c>
      <c r="AB4" s="10">
        <v>3.0302850769913501E-3</v>
      </c>
      <c r="AC4" s="10">
        <v>0</v>
      </c>
      <c r="AD4" s="10">
        <v>4.0368678296956399E-3</v>
      </c>
      <c r="AE4" s="4">
        <v>7.9918490317015707E-3</v>
      </c>
      <c r="AF4" s="4">
        <v>1</v>
      </c>
      <c r="AG4" s="4">
        <v>1</v>
      </c>
      <c r="AH4" s="4">
        <v>1</v>
      </c>
      <c r="AI4" s="4">
        <v>1</v>
      </c>
      <c r="AJ4" s="4">
        <v>1</v>
      </c>
      <c r="AK4" s="4">
        <v>1</v>
      </c>
      <c r="AL4" s="4">
        <v>1</v>
      </c>
      <c r="AM4" s="4">
        <v>0</v>
      </c>
      <c r="AN4" s="4">
        <v>0</v>
      </c>
      <c r="AO4" s="4" t="s">
        <v>64</v>
      </c>
      <c r="AP4" s="4">
        <f>-125--100</f>
        <v>-25</v>
      </c>
      <c r="AQ4" s="6">
        <v>2106417.79</v>
      </c>
      <c r="AR4" s="4">
        <v>9</v>
      </c>
      <c r="AS4" s="15">
        <v>0</v>
      </c>
      <c r="AT4" s="15">
        <v>47.080816289535797</v>
      </c>
      <c r="AU4" s="15">
        <v>47.080816289535797</v>
      </c>
      <c r="AV4" s="15">
        <v>52.919183710464097</v>
      </c>
      <c r="AW4" s="15">
        <v>52.919183710464097</v>
      </c>
      <c r="AX4" s="15">
        <v>0</v>
      </c>
    </row>
    <row r="5" spans="1:50" x14ac:dyDescent="0.25">
      <c r="A5">
        <v>96</v>
      </c>
      <c r="B5" s="4">
        <v>0.98541460004606896</v>
      </c>
      <c r="C5" s="4">
        <v>6.7240516908860304</v>
      </c>
      <c r="D5" s="4">
        <v>16.164509296055598</v>
      </c>
      <c r="E5" s="4">
        <v>5.7838670076380098E-3</v>
      </c>
      <c r="F5" s="5">
        <v>1.4585399953930701E-2</v>
      </c>
      <c r="G5" s="5">
        <v>0</v>
      </c>
      <c r="H5" s="4">
        <v>4.2182657329545599</v>
      </c>
      <c r="I5" s="4">
        <v>4.0135729777376499</v>
      </c>
      <c r="J5" s="4">
        <v>-25.418889710374799</v>
      </c>
      <c r="K5" s="4">
        <v>-83.743458923963203</v>
      </c>
      <c r="L5" s="4">
        <v>15.5310152329918</v>
      </c>
      <c r="M5" s="4">
        <v>16.933544184274801</v>
      </c>
      <c r="N5" s="4">
        <v>77.580946680547598</v>
      </c>
      <c r="O5" s="4">
        <v>76.0582889771607</v>
      </c>
      <c r="P5" s="4">
        <v>294714.00150699803</v>
      </c>
      <c r="Q5" s="4">
        <v>232023.62599999999</v>
      </c>
      <c r="R5" s="4">
        <v>776.08752496897296</v>
      </c>
      <c r="S5" s="4">
        <v>0</v>
      </c>
      <c r="T5" s="4">
        <v>0</v>
      </c>
      <c r="U5" s="4">
        <v>0</v>
      </c>
      <c r="V5" s="4">
        <v>0.32998977584004002</v>
      </c>
      <c r="W5" s="4">
        <v>0</v>
      </c>
      <c r="X5" s="4">
        <v>0.59746948068699401</v>
      </c>
      <c r="Y5" s="4">
        <v>0</v>
      </c>
      <c r="Z5" s="5">
        <v>4.9507274330202599E-4</v>
      </c>
      <c r="AA5" s="5">
        <v>8.3120750126382901E-5</v>
      </c>
      <c r="AB5" s="10">
        <v>2.81623185825939E-3</v>
      </c>
      <c r="AC5" s="10">
        <v>0</v>
      </c>
      <c r="AD5" s="10">
        <v>1.11909610760307E-2</v>
      </c>
      <c r="AE5" s="4">
        <v>-1.6614366743066301E-2</v>
      </c>
      <c r="AF5" s="4">
        <v>1</v>
      </c>
      <c r="AG5" s="4">
        <v>1</v>
      </c>
      <c r="AH5" s="4">
        <v>1</v>
      </c>
      <c r="AI5" s="4">
        <v>1</v>
      </c>
      <c r="AJ5" s="4">
        <v>1</v>
      </c>
      <c r="AK5" s="4">
        <v>1</v>
      </c>
      <c r="AL5" s="4">
        <v>1</v>
      </c>
      <c r="AM5" s="4">
        <v>0</v>
      </c>
      <c r="AN5" s="4">
        <v>0</v>
      </c>
      <c r="AO5" s="4" t="s">
        <v>65</v>
      </c>
      <c r="AP5" s="4">
        <f>-100--75</f>
        <v>-25</v>
      </c>
      <c r="AQ5" s="6">
        <v>6960708.7800000003</v>
      </c>
      <c r="AR5" s="4">
        <v>30</v>
      </c>
      <c r="AS5" s="15">
        <v>0</v>
      </c>
      <c r="AT5" s="15">
        <v>67.001022415995905</v>
      </c>
      <c r="AU5" s="15">
        <v>67.001022415995905</v>
      </c>
      <c r="AV5" s="15">
        <v>32.998977584004002</v>
      </c>
      <c r="AW5" s="15">
        <v>32.998977584004002</v>
      </c>
      <c r="AX5" s="15">
        <v>0</v>
      </c>
    </row>
    <row r="6" spans="1:50" x14ac:dyDescent="0.25">
      <c r="A6">
        <v>96</v>
      </c>
      <c r="B6" s="4">
        <v>0.99302902227860601</v>
      </c>
      <c r="C6" s="4">
        <v>5.27863973798289</v>
      </c>
      <c r="D6" s="4">
        <v>8.0517862981395503</v>
      </c>
      <c r="E6" s="4">
        <v>4.5090248590070204E-3</v>
      </c>
      <c r="F6" s="5">
        <v>6.9709777213938897E-3</v>
      </c>
      <c r="G6" s="5">
        <v>0</v>
      </c>
      <c r="H6" s="4">
        <v>3.9477649052908799</v>
      </c>
      <c r="I6" s="4">
        <v>4.1009703465246199</v>
      </c>
      <c r="J6" s="4">
        <v>-54.9017468530459</v>
      </c>
      <c r="K6" s="4">
        <v>-56.696947071490101</v>
      </c>
      <c r="L6" s="4">
        <v>17.807147877747401</v>
      </c>
      <c r="M6" s="4">
        <v>16.269080384892501</v>
      </c>
      <c r="N6" s="4">
        <v>78.0499535778401</v>
      </c>
      <c r="O6" s="4">
        <v>76.132956186195401</v>
      </c>
      <c r="P6" s="4">
        <v>262092.08544572801</v>
      </c>
      <c r="Q6" s="4">
        <v>215006.83541338501</v>
      </c>
      <c r="R6" s="4">
        <v>779.43956408589997</v>
      </c>
      <c r="S6" s="4">
        <v>0</v>
      </c>
      <c r="T6" s="4">
        <v>0</v>
      </c>
      <c r="U6" s="4">
        <v>1.11210904892565E-2</v>
      </c>
      <c r="V6" s="4">
        <v>0.102695249423574</v>
      </c>
      <c r="W6" s="4">
        <v>0</v>
      </c>
      <c r="X6" s="4">
        <v>0.473959751848537</v>
      </c>
      <c r="Y6" s="4">
        <v>0</v>
      </c>
      <c r="Z6" s="5">
        <v>5.4578085844211497E-4</v>
      </c>
      <c r="AA6" s="5">
        <v>7.3191027169610499E-5</v>
      </c>
      <c r="AB6" s="10">
        <v>2.5300283099280001E-3</v>
      </c>
      <c r="AC6" s="10">
        <v>0</v>
      </c>
      <c r="AD6" s="10">
        <v>3.8219663099480598E-3</v>
      </c>
      <c r="AE6" s="4">
        <v>-2.0708407021482501E-2</v>
      </c>
      <c r="AF6" s="4">
        <v>0.99013983664468597</v>
      </c>
      <c r="AG6" s="4">
        <v>0.99958902487699897</v>
      </c>
      <c r="AH6" s="4">
        <v>1</v>
      </c>
      <c r="AI6" s="4">
        <v>1</v>
      </c>
      <c r="AJ6" s="4">
        <v>1</v>
      </c>
      <c r="AK6" s="4">
        <v>1</v>
      </c>
      <c r="AL6" s="4">
        <v>1</v>
      </c>
      <c r="AM6" s="4">
        <v>0</v>
      </c>
      <c r="AN6" s="4">
        <v>0</v>
      </c>
      <c r="AO6" s="4" t="s">
        <v>66</v>
      </c>
      <c r="AP6" s="4">
        <f>-75--50</f>
        <v>-25</v>
      </c>
      <c r="AQ6" s="6">
        <v>109223472.39</v>
      </c>
      <c r="AR6" s="4">
        <v>508</v>
      </c>
      <c r="AS6" s="15">
        <v>0</v>
      </c>
      <c r="AT6" s="15">
        <v>89.730475057642494</v>
      </c>
      <c r="AU6" s="15">
        <v>89.730475057642494</v>
      </c>
      <c r="AV6" s="15">
        <v>10.2695249423574</v>
      </c>
      <c r="AW6" s="15">
        <v>10.2695249423574</v>
      </c>
      <c r="AX6" s="15">
        <v>0</v>
      </c>
    </row>
    <row r="7" spans="1:50" x14ac:dyDescent="0.25">
      <c r="A7">
        <v>96</v>
      </c>
      <c r="B7" s="4">
        <v>0.99230135336463199</v>
      </c>
      <c r="C7" s="4">
        <v>3.49163006922883</v>
      </c>
      <c r="D7" s="4">
        <v>8.8570661748874002</v>
      </c>
      <c r="E7" s="4">
        <v>2.9573223459741001E-3</v>
      </c>
      <c r="F7" s="5">
        <v>7.6986466353673004E-3</v>
      </c>
      <c r="G7" s="5">
        <v>0</v>
      </c>
      <c r="H7" s="4">
        <v>3.8980515450698299</v>
      </c>
      <c r="I7" s="4">
        <v>4.1131380963322597</v>
      </c>
      <c r="J7" s="4">
        <v>-60.598699845342203</v>
      </c>
      <c r="K7" s="4">
        <v>-33.134226991627003</v>
      </c>
      <c r="L7" s="4">
        <v>16.339430788459499</v>
      </c>
      <c r="M7" s="4">
        <v>16.249136719254999</v>
      </c>
      <c r="N7" s="4">
        <v>74.4921516543953</v>
      </c>
      <c r="O7" s="4">
        <v>72.612312932595799</v>
      </c>
      <c r="P7" s="4">
        <v>269597.47958892799</v>
      </c>
      <c r="Q7" s="4">
        <v>241873.07083934499</v>
      </c>
      <c r="R7" s="4">
        <v>781.68626441609194</v>
      </c>
      <c r="S7" s="4">
        <v>0</v>
      </c>
      <c r="T7" s="4">
        <v>0</v>
      </c>
      <c r="U7" s="4">
        <v>1.5742685305998299E-3</v>
      </c>
      <c r="V7" s="4">
        <v>0.10414133216218099</v>
      </c>
      <c r="W7" s="4">
        <v>0</v>
      </c>
      <c r="X7" s="4">
        <v>0.56299853200100602</v>
      </c>
      <c r="Y7" s="4">
        <v>0</v>
      </c>
      <c r="Z7" s="5">
        <v>4.1375708952704903E-4</v>
      </c>
      <c r="AA7" s="5">
        <v>6.3290385556972402E-5</v>
      </c>
      <c r="AB7" s="10">
        <v>2.6439115079138699E-3</v>
      </c>
      <c r="AC7" s="10">
        <v>6.9562929474769504E-8</v>
      </c>
      <c r="AD7" s="10">
        <v>4.5776036165662299E-3</v>
      </c>
      <c r="AE7" s="4">
        <v>-1.1974574501336901E-2</v>
      </c>
      <c r="AF7" s="4">
        <v>0.97730545987982598</v>
      </c>
      <c r="AG7" s="4">
        <v>0.99838128174527396</v>
      </c>
      <c r="AH7" s="4">
        <v>0.99991916099467204</v>
      </c>
      <c r="AI7" s="4">
        <v>0.999944853034477</v>
      </c>
      <c r="AJ7" s="4">
        <v>1</v>
      </c>
      <c r="AK7" s="4">
        <v>1</v>
      </c>
      <c r="AL7" s="4">
        <v>1</v>
      </c>
      <c r="AM7" s="4">
        <v>0</v>
      </c>
      <c r="AN7" s="4">
        <v>0</v>
      </c>
      <c r="AO7" s="4" t="s">
        <v>67</v>
      </c>
      <c r="AP7" s="4">
        <f>-50--25</f>
        <v>-25</v>
      </c>
      <c r="AQ7" s="6">
        <v>1374564661.5799999</v>
      </c>
      <c r="AR7" s="4">
        <v>5683</v>
      </c>
      <c r="AS7" s="15">
        <v>0</v>
      </c>
      <c r="AT7" s="15">
        <v>89.585866783781796</v>
      </c>
      <c r="AU7" s="15">
        <v>89.585866783781796</v>
      </c>
      <c r="AV7" s="15">
        <v>10.414133216218101</v>
      </c>
      <c r="AW7" s="15">
        <v>10.414133216218101</v>
      </c>
      <c r="AX7" s="15">
        <v>0</v>
      </c>
    </row>
    <row r="8" spans="1:50" x14ac:dyDescent="0.25">
      <c r="A8">
        <v>96</v>
      </c>
      <c r="B8" s="4">
        <v>0.98517733755008696</v>
      </c>
      <c r="C8" s="4">
        <v>8.9858227991813404</v>
      </c>
      <c r="D8" s="4">
        <v>16.406413948823602</v>
      </c>
      <c r="E8" s="4">
        <v>7.8155401122370002E-3</v>
      </c>
      <c r="F8" s="5">
        <v>1.4822662449912E-2</v>
      </c>
      <c r="G8" s="5">
        <v>0</v>
      </c>
      <c r="H8" s="4">
        <v>4.0839912119617496</v>
      </c>
      <c r="I8" s="4">
        <v>4.0992865638707903</v>
      </c>
      <c r="J8" s="4">
        <v>-42.802674524069403</v>
      </c>
      <c r="K8" s="4">
        <v>-9.0774720346177702</v>
      </c>
      <c r="L8" s="4">
        <v>15.562580653045799</v>
      </c>
      <c r="M8" s="4">
        <v>16.684522879009801</v>
      </c>
      <c r="N8" s="4">
        <v>72.801901668286106</v>
      </c>
      <c r="O8" s="4">
        <v>71.302562771065595</v>
      </c>
      <c r="P8" s="4">
        <v>277573.092310048</v>
      </c>
      <c r="Q8" s="4">
        <v>255801.728552299</v>
      </c>
      <c r="R8" s="4">
        <v>781.63939581475495</v>
      </c>
      <c r="S8" s="4">
        <v>0</v>
      </c>
      <c r="T8" s="4">
        <v>0</v>
      </c>
      <c r="U8" s="4">
        <v>5.5783667460729503E-3</v>
      </c>
      <c r="V8" s="4">
        <v>0.17335331880014401</v>
      </c>
      <c r="W8" s="4">
        <v>0</v>
      </c>
      <c r="X8" s="4">
        <v>0.67387035452086397</v>
      </c>
      <c r="Y8" s="4">
        <v>0</v>
      </c>
      <c r="Z8" s="5">
        <v>3.7869677249568302E-4</v>
      </c>
      <c r="AA8" s="5">
        <v>6.7589305194971E-5</v>
      </c>
      <c r="AB8" s="10">
        <v>2.7038748926274002E-3</v>
      </c>
      <c r="AC8" s="10">
        <v>6.64071587634316E-8</v>
      </c>
      <c r="AD8" s="10">
        <v>1.16724206368467E-2</v>
      </c>
      <c r="AE8" s="4">
        <v>-1.09371311992396E-2</v>
      </c>
      <c r="AF8" s="4">
        <v>0.96415011063416001</v>
      </c>
      <c r="AG8" s="4">
        <v>0.99661693045308497</v>
      </c>
      <c r="AH8" s="4">
        <v>0.99981099197308598</v>
      </c>
      <c r="AI8" s="4">
        <v>0.99999290321767698</v>
      </c>
      <c r="AJ8" s="4">
        <v>1</v>
      </c>
      <c r="AK8" s="4">
        <v>1</v>
      </c>
      <c r="AL8" s="4">
        <v>1</v>
      </c>
      <c r="AM8" s="4">
        <v>0</v>
      </c>
      <c r="AN8" s="4">
        <v>0</v>
      </c>
      <c r="AO8" s="4" t="s">
        <v>68</v>
      </c>
      <c r="AP8" s="4">
        <f>-25-0</f>
        <v>-25</v>
      </c>
      <c r="AQ8" s="6">
        <v>9513266284.8600006</v>
      </c>
      <c r="AR8" s="4">
        <v>37190</v>
      </c>
      <c r="AS8" s="15">
        <v>0</v>
      </c>
      <c r="AT8" s="15">
        <v>82.664668119985507</v>
      </c>
      <c r="AU8" s="15">
        <v>82.664668119985507</v>
      </c>
      <c r="AV8" s="15">
        <v>17.335331880014401</v>
      </c>
      <c r="AW8" s="15">
        <v>17.335331880014401</v>
      </c>
      <c r="AX8" s="15">
        <v>0</v>
      </c>
    </row>
    <row r="9" spans="1:50" x14ac:dyDescent="0.25">
      <c r="A9">
        <v>96</v>
      </c>
      <c r="B9" s="4">
        <v>0.97895773417059395</v>
      </c>
      <c r="C9" s="4">
        <v>18.3886501606538</v>
      </c>
      <c r="D9" s="4">
        <v>22.523980089083398</v>
      </c>
      <c r="E9" s="4">
        <v>1.67909212333315E-2</v>
      </c>
      <c r="F9" s="5">
        <v>2.1042265829405601E-2</v>
      </c>
      <c r="G9" s="5">
        <v>0</v>
      </c>
      <c r="H9" s="4">
        <v>4.1856761824754498</v>
      </c>
      <c r="I9" s="4">
        <v>4.0349490519224602</v>
      </c>
      <c r="J9" s="4">
        <v>-31.482180480314302</v>
      </c>
      <c r="K9" s="4">
        <v>15.5564121542712</v>
      </c>
      <c r="L9" s="4">
        <v>15.4195360647253</v>
      </c>
      <c r="M9" s="4">
        <v>16.797044518205698</v>
      </c>
      <c r="N9" s="4">
        <v>70.287528178961395</v>
      </c>
      <c r="O9" s="4">
        <v>68.272531920643104</v>
      </c>
      <c r="P9" s="4">
        <v>278926.35102228198</v>
      </c>
      <c r="Q9" s="4">
        <v>258748.86115122499</v>
      </c>
      <c r="R9" s="4">
        <v>782.30504408150398</v>
      </c>
      <c r="S9" s="4">
        <v>0</v>
      </c>
      <c r="T9" s="4">
        <v>0</v>
      </c>
      <c r="U9" s="4">
        <v>1.86309462799421E-2</v>
      </c>
      <c r="V9" s="4">
        <v>0.225293976187742</v>
      </c>
      <c r="W9" s="4">
        <v>0</v>
      </c>
      <c r="X9" s="4">
        <v>0.76594690314634095</v>
      </c>
      <c r="Y9" s="4">
        <v>0</v>
      </c>
      <c r="Z9" s="5">
        <v>3.74704676366065E-4</v>
      </c>
      <c r="AA9" s="5">
        <v>7.2227262045938495E-5</v>
      </c>
      <c r="AB9" s="10">
        <v>2.8529875953809802E-3</v>
      </c>
      <c r="AC9" s="10">
        <v>7.4895963932703896E-7</v>
      </c>
      <c r="AD9" s="10">
        <v>1.7741583052352999E-2</v>
      </c>
      <c r="AE9" s="4">
        <v>-2.15836668234092E-3</v>
      </c>
      <c r="AF9" s="4">
        <v>0.90462043739556897</v>
      </c>
      <c r="AG9" s="4">
        <v>0.98731818536578098</v>
      </c>
      <c r="AH9" s="4">
        <v>0.99900210147625701</v>
      </c>
      <c r="AI9" s="4">
        <v>0.99976609911643</v>
      </c>
      <c r="AJ9" s="4">
        <v>1</v>
      </c>
      <c r="AK9" s="4">
        <v>1</v>
      </c>
      <c r="AL9" s="4">
        <v>1</v>
      </c>
      <c r="AM9" s="4">
        <v>0</v>
      </c>
      <c r="AN9" s="4">
        <v>0</v>
      </c>
      <c r="AO9" s="4" t="s">
        <v>69</v>
      </c>
      <c r="AP9" s="4" t="s">
        <v>70</v>
      </c>
      <c r="AQ9" s="6">
        <v>43439276307.790001</v>
      </c>
      <c r="AR9" s="4">
        <v>167882</v>
      </c>
      <c r="AS9" s="15">
        <v>0</v>
      </c>
      <c r="AT9" s="15">
        <v>77.470602381225703</v>
      </c>
      <c r="AU9" s="15">
        <v>77.470602381225703</v>
      </c>
      <c r="AV9" s="15">
        <v>22.529397618774201</v>
      </c>
      <c r="AW9" s="15">
        <v>22.529397618774201</v>
      </c>
      <c r="AX9" s="15">
        <v>0</v>
      </c>
    </row>
    <row r="10" spans="1:50" x14ac:dyDescent="0.25">
      <c r="A10">
        <v>96</v>
      </c>
      <c r="B10" s="4">
        <v>0.97148997751284605</v>
      </c>
      <c r="C10" s="4">
        <v>30.040524212296202</v>
      </c>
      <c r="D10" s="4">
        <v>29.325963880088899</v>
      </c>
      <c r="E10" s="4">
        <v>2.9332373092004201E-2</v>
      </c>
      <c r="F10" s="5">
        <v>2.85100224871533E-2</v>
      </c>
      <c r="G10" s="5">
        <v>0</v>
      </c>
      <c r="H10" s="4">
        <v>4.2143899274613696</v>
      </c>
      <c r="I10" s="4">
        <v>3.8971895028511598</v>
      </c>
      <c r="J10" s="4">
        <v>-25.950778982411201</v>
      </c>
      <c r="K10" s="4">
        <v>37.631503925369103</v>
      </c>
      <c r="L10" s="4">
        <v>14.7394256823682</v>
      </c>
      <c r="M10" s="4">
        <v>16.897771030478999</v>
      </c>
      <c r="N10" s="4">
        <v>67.7639856011196</v>
      </c>
      <c r="O10" s="4">
        <v>64.590285863581201</v>
      </c>
      <c r="P10" s="4">
        <v>291283.19002340699</v>
      </c>
      <c r="Q10" s="4">
        <v>270760.83978840598</v>
      </c>
      <c r="R10" s="4">
        <v>782.49323162832297</v>
      </c>
      <c r="S10" s="4">
        <v>0</v>
      </c>
      <c r="T10" s="4">
        <v>0</v>
      </c>
      <c r="U10" s="4">
        <v>2.6265112623197098E-2</v>
      </c>
      <c r="V10" s="4">
        <v>0.29598120862659899</v>
      </c>
      <c r="W10" s="4">
        <v>0</v>
      </c>
      <c r="X10" s="4">
        <v>0.77482505333707896</v>
      </c>
      <c r="Y10" s="4">
        <v>0</v>
      </c>
      <c r="Z10" s="5">
        <v>3.7210514688444798E-4</v>
      </c>
      <c r="AA10" s="5">
        <v>7.1539094974047894E-5</v>
      </c>
      <c r="AB10" s="10">
        <v>3.07835181121626E-3</v>
      </c>
      <c r="AC10" s="10">
        <v>3.8252827576758303E-6</v>
      </c>
      <c r="AD10" s="10">
        <v>2.4984186953224598E-2</v>
      </c>
      <c r="AE10" s="4">
        <v>1.86756805180083E-2</v>
      </c>
      <c r="AF10" s="4">
        <v>0.78093486842031401</v>
      </c>
      <c r="AG10" s="4">
        <v>0.95971893640804495</v>
      </c>
      <c r="AH10" s="4">
        <v>0.99639404127192499</v>
      </c>
      <c r="AI10" s="4">
        <v>0.99938140529812503</v>
      </c>
      <c r="AJ10" s="4">
        <v>1</v>
      </c>
      <c r="AK10" s="4">
        <v>1</v>
      </c>
      <c r="AL10" s="4">
        <v>1</v>
      </c>
      <c r="AM10" s="4">
        <v>0</v>
      </c>
      <c r="AN10" s="4">
        <v>0</v>
      </c>
      <c r="AO10" s="4" t="s">
        <v>71</v>
      </c>
      <c r="AP10" s="4" t="s">
        <v>72</v>
      </c>
      <c r="AQ10" s="6">
        <v>84135411073.330002</v>
      </c>
      <c r="AR10" s="4">
        <v>310737</v>
      </c>
      <c r="AS10" s="15">
        <v>0</v>
      </c>
      <c r="AT10" s="15">
        <v>70.401879137340003</v>
      </c>
      <c r="AU10" s="15">
        <v>70.401879137340003</v>
      </c>
      <c r="AV10" s="15">
        <v>29.598120862659901</v>
      </c>
      <c r="AW10" s="15">
        <v>29.598120862659901</v>
      </c>
      <c r="AX10" s="15">
        <v>0</v>
      </c>
    </row>
    <row r="11" spans="1:50" x14ac:dyDescent="0.25">
      <c r="A11">
        <v>96</v>
      </c>
      <c r="B11" s="4">
        <v>0.96304727846273697</v>
      </c>
      <c r="C11" s="4">
        <v>38.503458795560597</v>
      </c>
      <c r="D11" s="4">
        <v>36.353972906604703</v>
      </c>
      <c r="E11" s="4">
        <v>3.9705980511859799E-2</v>
      </c>
      <c r="F11" s="5">
        <v>3.6952721537262201E-2</v>
      </c>
      <c r="G11" s="5">
        <v>0</v>
      </c>
      <c r="H11" s="4">
        <v>4.4368641713258796</v>
      </c>
      <c r="I11" s="4">
        <v>3.8641721394105799</v>
      </c>
      <c r="J11" s="4">
        <v>-16.1514048340564</v>
      </c>
      <c r="K11" s="4">
        <v>62.402856606011298</v>
      </c>
      <c r="L11" s="4">
        <v>15.0061882420038</v>
      </c>
      <c r="M11" s="4">
        <v>17.333592495895601</v>
      </c>
      <c r="N11" s="4">
        <v>69.321680212614694</v>
      </c>
      <c r="O11" s="4">
        <v>65.791755433444905</v>
      </c>
      <c r="P11" s="4">
        <v>285956.08784864302</v>
      </c>
      <c r="Q11" s="4">
        <v>266022.72127596202</v>
      </c>
      <c r="R11" s="4">
        <v>781.36517725710803</v>
      </c>
      <c r="S11" s="4">
        <v>0</v>
      </c>
      <c r="T11" s="4">
        <v>0</v>
      </c>
      <c r="U11" s="4">
        <v>1.7246459387333098E-2</v>
      </c>
      <c r="V11" s="4">
        <v>0.26913712186043098</v>
      </c>
      <c r="W11" s="4">
        <v>0</v>
      </c>
      <c r="X11" s="4">
        <v>0.68911647454048697</v>
      </c>
      <c r="Y11" s="4">
        <v>0</v>
      </c>
      <c r="Z11" s="5">
        <v>3.7305398961580302E-4</v>
      </c>
      <c r="AA11" s="5">
        <v>9.3431203952344603E-5</v>
      </c>
      <c r="AB11" s="10">
        <v>3.2090482971724901E-3</v>
      </c>
      <c r="AC11" s="10">
        <v>6.5567070803700802E-6</v>
      </c>
      <c r="AD11" s="10">
        <v>3.3270616993553097E-2</v>
      </c>
      <c r="AE11" s="4">
        <v>2.28981885933136E-2</v>
      </c>
      <c r="AF11" s="4">
        <v>0.74905845062034404</v>
      </c>
      <c r="AG11" s="4">
        <v>0.96768233347860699</v>
      </c>
      <c r="AH11" s="4">
        <v>0.99533968691772401</v>
      </c>
      <c r="AI11" s="4">
        <v>0.99918040777276595</v>
      </c>
      <c r="AJ11" s="4">
        <v>1</v>
      </c>
      <c r="AK11" s="4">
        <v>1</v>
      </c>
      <c r="AL11" s="4">
        <v>1</v>
      </c>
      <c r="AM11" s="4">
        <v>0</v>
      </c>
      <c r="AN11" s="4">
        <v>0</v>
      </c>
      <c r="AO11" s="4" t="s">
        <v>73</v>
      </c>
      <c r="AP11" s="4" t="s">
        <v>74</v>
      </c>
      <c r="AQ11" s="6">
        <v>78589496410.229996</v>
      </c>
      <c r="AR11" s="4">
        <v>295424</v>
      </c>
      <c r="AS11" s="15">
        <v>0</v>
      </c>
      <c r="AT11" s="15">
        <v>73.086287813956801</v>
      </c>
      <c r="AU11" s="15">
        <v>73.086287813956801</v>
      </c>
      <c r="AV11" s="15">
        <v>26.913712186043099</v>
      </c>
      <c r="AW11" s="15">
        <v>26.913712186043099</v>
      </c>
      <c r="AX11" s="15">
        <v>0</v>
      </c>
    </row>
    <row r="12" spans="1:50" x14ac:dyDescent="0.25">
      <c r="A12">
        <v>96</v>
      </c>
      <c r="B12" s="4">
        <v>0.95601851155187401</v>
      </c>
      <c r="C12" s="4">
        <v>42.3210311476725</v>
      </c>
      <c r="D12" s="4">
        <v>41.709789975622897</v>
      </c>
      <c r="E12" s="4">
        <v>4.4820945243578401E-2</v>
      </c>
      <c r="F12" s="5">
        <v>4.3981488448125002E-2</v>
      </c>
      <c r="G12" s="5">
        <v>0</v>
      </c>
      <c r="H12" s="4">
        <v>4.6559703236680399</v>
      </c>
      <c r="I12" s="4">
        <v>3.8591563030924898</v>
      </c>
      <c r="J12" s="4">
        <v>-9.7638859491595493</v>
      </c>
      <c r="K12" s="4">
        <v>86.123757917958599</v>
      </c>
      <c r="L12" s="4">
        <v>14.9130431112739</v>
      </c>
      <c r="M12" s="4">
        <v>17.008799749972301</v>
      </c>
      <c r="N12" s="4">
        <v>69.232773558331701</v>
      </c>
      <c r="O12" s="4">
        <v>65.248224783773495</v>
      </c>
      <c r="P12" s="4">
        <v>287995.722581568</v>
      </c>
      <c r="Q12" s="4">
        <v>267721.992389391</v>
      </c>
      <c r="R12" s="4">
        <v>780.41618584034802</v>
      </c>
      <c r="S12" s="4">
        <v>0</v>
      </c>
      <c r="T12" s="4">
        <v>0</v>
      </c>
      <c r="U12" s="4">
        <v>2.0502104118909101E-2</v>
      </c>
      <c r="V12" s="4">
        <v>0.22821932835174</v>
      </c>
      <c r="W12" s="4">
        <v>0</v>
      </c>
      <c r="X12" s="4">
        <v>0.60331036965055396</v>
      </c>
      <c r="Y12" s="4">
        <v>0</v>
      </c>
      <c r="Z12" s="5">
        <v>3.7169275948912103E-4</v>
      </c>
      <c r="AA12" s="5">
        <v>1.13879137118769E-4</v>
      </c>
      <c r="AB12" s="10">
        <v>3.3322115727281798E-3</v>
      </c>
      <c r="AC12" s="10">
        <v>1.20104801558632E-5</v>
      </c>
      <c r="AD12" s="10">
        <v>4.0151679940387798E-2</v>
      </c>
      <c r="AE12" s="4">
        <v>3.0369194322367999E-2</v>
      </c>
      <c r="AF12" s="4">
        <v>0.66788664370428097</v>
      </c>
      <c r="AG12" s="4">
        <v>0.96158043602579402</v>
      </c>
      <c r="AH12" s="4">
        <v>0.99290722891656302</v>
      </c>
      <c r="AI12" s="4">
        <v>0.99891845690618797</v>
      </c>
      <c r="AJ12" s="4">
        <v>1</v>
      </c>
      <c r="AK12" s="4">
        <v>1</v>
      </c>
      <c r="AL12" s="4">
        <v>1</v>
      </c>
      <c r="AM12" s="4">
        <v>0</v>
      </c>
      <c r="AN12" s="4">
        <v>0</v>
      </c>
      <c r="AO12" s="4" t="s">
        <v>75</v>
      </c>
      <c r="AP12" s="4" t="s">
        <v>76</v>
      </c>
      <c r="AQ12" s="6">
        <v>56874592341.209999</v>
      </c>
      <c r="AR12" s="4">
        <v>212439</v>
      </c>
      <c r="AS12" s="15">
        <v>0</v>
      </c>
      <c r="AT12" s="15">
        <v>77.178067164825904</v>
      </c>
      <c r="AU12" s="15">
        <v>77.178067164825904</v>
      </c>
      <c r="AV12" s="15">
        <v>22.821932835174</v>
      </c>
      <c r="AW12" s="15">
        <v>22.821932835174</v>
      </c>
      <c r="AX12" s="15">
        <v>0</v>
      </c>
    </row>
    <row r="13" spans="1:50" x14ac:dyDescent="0.25">
      <c r="A13">
        <v>96</v>
      </c>
      <c r="B13" s="4">
        <v>0.95189660532709197</v>
      </c>
      <c r="C13" s="4">
        <v>43.122079732655401</v>
      </c>
      <c r="D13" s="4">
        <v>44.655134494506399</v>
      </c>
      <c r="E13" s="4">
        <v>4.5933509787433803E-2</v>
      </c>
      <c r="F13" s="5">
        <v>4.81033946729078E-2</v>
      </c>
      <c r="G13" s="5">
        <v>0</v>
      </c>
      <c r="H13" s="4">
        <v>4.8030412577117998</v>
      </c>
      <c r="I13" s="4">
        <v>3.7634675880698798</v>
      </c>
      <c r="J13" s="4">
        <v>-5.7722298414414599</v>
      </c>
      <c r="K13" s="4">
        <v>111.835033182882</v>
      </c>
      <c r="L13" s="4">
        <v>15.334443289829199</v>
      </c>
      <c r="M13" s="4">
        <v>18.015840728808701</v>
      </c>
      <c r="N13" s="4">
        <v>71.743210802182304</v>
      </c>
      <c r="O13" s="4">
        <v>66.415984056523001</v>
      </c>
      <c r="P13" s="4">
        <v>280024.33227187401</v>
      </c>
      <c r="Q13" s="4">
        <v>260387.67505051501</v>
      </c>
      <c r="R13" s="4">
        <v>779.64711228594899</v>
      </c>
      <c r="S13" s="4">
        <v>0</v>
      </c>
      <c r="T13" s="4">
        <v>0</v>
      </c>
      <c r="U13" s="4">
        <v>2.0326775771576201E-2</v>
      </c>
      <c r="V13" s="4">
        <v>0.19832742915829299</v>
      </c>
      <c r="W13" s="4">
        <v>0</v>
      </c>
      <c r="X13" s="4">
        <v>0.52391360390396402</v>
      </c>
      <c r="Y13" s="4">
        <v>0</v>
      </c>
      <c r="Z13" s="5">
        <v>3.7232536528620602E-4</v>
      </c>
      <c r="AA13" s="5">
        <v>1.52998309454734E-4</v>
      </c>
      <c r="AB13" s="10">
        <v>3.5511637042067098E-3</v>
      </c>
      <c r="AC13" s="10">
        <v>2.54559840911241E-5</v>
      </c>
      <c r="AD13" s="10">
        <v>4.4001436592352498E-2</v>
      </c>
      <c r="AE13" s="4">
        <v>4.8310600284918799E-2</v>
      </c>
      <c r="AF13" s="4">
        <v>0.52474890791421003</v>
      </c>
      <c r="AG13" s="4">
        <v>0.94444348191824301</v>
      </c>
      <c r="AH13" s="4">
        <v>0.988951680547978</v>
      </c>
      <c r="AI13" s="4">
        <v>0.99789175978806199</v>
      </c>
      <c r="AJ13" s="4">
        <v>1</v>
      </c>
      <c r="AK13" s="4">
        <v>1</v>
      </c>
      <c r="AL13" s="4">
        <v>1</v>
      </c>
      <c r="AM13" s="4">
        <v>0</v>
      </c>
      <c r="AN13" s="4">
        <v>0</v>
      </c>
      <c r="AO13" s="4" t="s">
        <v>77</v>
      </c>
      <c r="AP13" s="4" t="s">
        <v>78</v>
      </c>
      <c r="AQ13" s="6">
        <v>34432624597.980003</v>
      </c>
      <c r="AR13" s="4">
        <v>132236</v>
      </c>
      <c r="AS13" s="15">
        <v>0</v>
      </c>
      <c r="AT13" s="15">
        <v>80.1672570841706</v>
      </c>
      <c r="AU13" s="15">
        <v>80.1672570841706</v>
      </c>
      <c r="AV13" s="15">
        <v>19.8327429158293</v>
      </c>
      <c r="AW13" s="15">
        <v>19.8327429158293</v>
      </c>
      <c r="AX13" s="15">
        <v>0</v>
      </c>
    </row>
    <row r="14" spans="1:50" x14ac:dyDescent="0.25">
      <c r="A14">
        <v>96</v>
      </c>
      <c r="B14" s="4">
        <v>0.947830445024192</v>
      </c>
      <c r="C14" s="4">
        <v>44.269541027297699</v>
      </c>
      <c r="D14" s="4">
        <v>47.426383429893797</v>
      </c>
      <c r="E14" s="4">
        <v>4.7552488051938298E-2</v>
      </c>
      <c r="F14" s="5">
        <v>5.21695549758079E-2</v>
      </c>
      <c r="G14" s="5">
        <v>0</v>
      </c>
      <c r="H14" s="4">
        <v>4.8889523948049503</v>
      </c>
      <c r="I14" s="4">
        <v>3.6792057391908299</v>
      </c>
      <c r="J14" s="4">
        <v>-3.89864058887329</v>
      </c>
      <c r="K14" s="4">
        <v>134.42075607646501</v>
      </c>
      <c r="L14" s="4">
        <v>14.7705765964711</v>
      </c>
      <c r="M14" s="4">
        <v>19.531061506741299</v>
      </c>
      <c r="N14" s="4">
        <v>71.6126556875885</v>
      </c>
      <c r="O14" s="4">
        <v>64.954466336269803</v>
      </c>
      <c r="P14" s="4">
        <v>290001.43250144197</v>
      </c>
      <c r="Q14" s="4">
        <v>270333.94020925398</v>
      </c>
      <c r="R14" s="4">
        <v>778.97180067852605</v>
      </c>
      <c r="S14" s="4">
        <v>0</v>
      </c>
      <c r="T14" s="4">
        <v>0</v>
      </c>
      <c r="U14" s="4">
        <v>2.52211095840085E-2</v>
      </c>
      <c r="V14" s="4">
        <v>0.19016647086285701</v>
      </c>
      <c r="W14" s="4">
        <v>0</v>
      </c>
      <c r="X14" s="4">
        <v>0.54162081227148695</v>
      </c>
      <c r="Y14" s="4">
        <v>0</v>
      </c>
      <c r="Z14" s="5">
        <v>3.7264216774587699E-4</v>
      </c>
      <c r="AA14" s="5">
        <v>1.8728601283377801E-4</v>
      </c>
      <c r="AB14" s="10">
        <v>3.5043260438806199E-3</v>
      </c>
      <c r="AC14" s="10">
        <v>6.1669801474320595E-5</v>
      </c>
      <c r="AD14" s="10">
        <v>4.8043616129307798E-2</v>
      </c>
      <c r="AE14" s="4">
        <v>6.9205256425683606E-2</v>
      </c>
      <c r="AF14" s="4">
        <v>0.41271197225395401</v>
      </c>
      <c r="AG14" s="4">
        <v>0.90810373908748099</v>
      </c>
      <c r="AH14" s="4">
        <v>0.97485773267331399</v>
      </c>
      <c r="AI14" s="4">
        <v>0.99639125311712395</v>
      </c>
      <c r="AJ14" s="4">
        <v>1</v>
      </c>
      <c r="AK14" s="4">
        <v>1</v>
      </c>
      <c r="AL14" s="4">
        <v>1</v>
      </c>
      <c r="AM14" s="4">
        <v>0</v>
      </c>
      <c r="AN14" s="4">
        <v>0</v>
      </c>
      <c r="AO14" s="4" t="s">
        <v>79</v>
      </c>
      <c r="AP14" s="4" t="s">
        <v>80</v>
      </c>
      <c r="AQ14" s="6">
        <v>15644765787.790001</v>
      </c>
      <c r="AR14" s="4">
        <v>57872</v>
      </c>
      <c r="AS14" s="15">
        <v>0</v>
      </c>
      <c r="AT14" s="15">
        <v>80.983352913714199</v>
      </c>
      <c r="AU14" s="15">
        <v>80.983352913714199</v>
      </c>
      <c r="AV14" s="15">
        <v>19.016647086285701</v>
      </c>
      <c r="AW14" s="15">
        <v>19.016647086285701</v>
      </c>
      <c r="AX14" s="15">
        <v>0</v>
      </c>
    </row>
    <row r="15" spans="1:50" x14ac:dyDescent="0.25">
      <c r="A15">
        <v>96</v>
      </c>
      <c r="B15" s="4">
        <v>0.94467186806437398</v>
      </c>
      <c r="C15" s="4">
        <v>42.416445922188899</v>
      </c>
      <c r="D15" s="4">
        <v>49.490648881053502</v>
      </c>
      <c r="E15" s="4">
        <v>4.4952719686061501E-2</v>
      </c>
      <c r="F15" s="5">
        <v>5.5328131935625101E-2</v>
      </c>
      <c r="G15" s="5">
        <v>0</v>
      </c>
      <c r="H15" s="4">
        <v>5.0523344917955297</v>
      </c>
      <c r="I15" s="4">
        <v>3.6782355979591399</v>
      </c>
      <c r="J15" s="4">
        <v>10.451197934654401</v>
      </c>
      <c r="K15" s="4">
        <v>160.53489306501299</v>
      </c>
      <c r="L15" s="4">
        <v>15.0959431576141</v>
      </c>
      <c r="M15" s="4">
        <v>19.642717861319401</v>
      </c>
      <c r="N15" s="4">
        <v>78.397910257520493</v>
      </c>
      <c r="O15" s="4">
        <v>69.638816710014098</v>
      </c>
      <c r="P15" s="4">
        <v>283783.98905060103</v>
      </c>
      <c r="Q15" s="4">
        <v>264513.08017181</v>
      </c>
      <c r="R15" s="4">
        <v>777.32324789562904</v>
      </c>
      <c r="S15" s="4">
        <v>0</v>
      </c>
      <c r="T15" s="4">
        <v>0</v>
      </c>
      <c r="U15" s="4">
        <v>1.7271692402331399E-2</v>
      </c>
      <c r="V15" s="4">
        <v>0.20360917605142501</v>
      </c>
      <c r="W15" s="4">
        <v>0</v>
      </c>
      <c r="X15" s="4">
        <v>0.514651788735075</v>
      </c>
      <c r="Y15" s="4">
        <v>0</v>
      </c>
      <c r="Z15" s="5">
        <v>3.7609829025290998E-4</v>
      </c>
      <c r="AA15" s="5">
        <v>2.63293629031814E-4</v>
      </c>
      <c r="AB15" s="10">
        <v>3.74068428135648E-3</v>
      </c>
      <c r="AC15" s="10">
        <v>1.30962238038435E-4</v>
      </c>
      <c r="AD15" s="10">
        <v>5.0817078258691598E-2</v>
      </c>
      <c r="AE15" s="4">
        <v>8.9601935581410802E-2</v>
      </c>
      <c r="AF15" s="4">
        <v>0.30801846403469202</v>
      </c>
      <c r="AG15" s="4">
        <v>0.82214205081490999</v>
      </c>
      <c r="AH15" s="4">
        <v>0.94504783435381901</v>
      </c>
      <c r="AI15" s="4">
        <v>0.99151766745331504</v>
      </c>
      <c r="AJ15" s="4">
        <v>1</v>
      </c>
      <c r="AK15" s="4">
        <v>1</v>
      </c>
      <c r="AL15" s="4">
        <v>1</v>
      </c>
      <c r="AM15" s="4">
        <v>0</v>
      </c>
      <c r="AN15" s="4">
        <v>0</v>
      </c>
      <c r="AO15" s="4" t="s">
        <v>81</v>
      </c>
      <c r="AP15" s="4" t="s">
        <v>82</v>
      </c>
      <c r="AQ15" s="6">
        <v>3248485137.5900002</v>
      </c>
      <c r="AR15" s="4">
        <v>12281</v>
      </c>
      <c r="AS15" s="15">
        <v>0</v>
      </c>
      <c r="AT15" s="15">
        <v>79.639082394857397</v>
      </c>
      <c r="AU15" s="15">
        <v>79.639082394857397</v>
      </c>
      <c r="AV15" s="15">
        <v>20.3609176051425</v>
      </c>
      <c r="AW15" s="15">
        <v>20.3609176051425</v>
      </c>
      <c r="AX15" s="15">
        <v>0</v>
      </c>
    </row>
    <row r="16" spans="1:50" x14ac:dyDescent="0.25">
      <c r="A16">
        <v>96</v>
      </c>
      <c r="B16" s="4">
        <v>0.939124022266423</v>
      </c>
      <c r="C16" s="4">
        <v>49.699111470338003</v>
      </c>
      <c r="D16" s="4">
        <v>52.937456346072402</v>
      </c>
      <c r="E16" s="4">
        <v>5.5653652923624897E-2</v>
      </c>
      <c r="F16" s="5">
        <v>6.0875977733576302E-2</v>
      </c>
      <c r="G16" s="5">
        <v>0</v>
      </c>
      <c r="H16" s="4">
        <v>5.0877099711071798</v>
      </c>
      <c r="I16" s="4">
        <v>3.6602132139401999</v>
      </c>
      <c r="J16" s="4">
        <v>14.4336859682992</v>
      </c>
      <c r="K16" s="4">
        <v>183.23039087177801</v>
      </c>
      <c r="L16" s="4">
        <v>14.0662140716107</v>
      </c>
      <c r="M16" s="4">
        <v>20.006562964495199</v>
      </c>
      <c r="N16" s="4">
        <v>82.573290686215302</v>
      </c>
      <c r="O16" s="4">
        <v>70.812709628780695</v>
      </c>
      <c r="P16" s="4">
        <v>301542.66758052801</v>
      </c>
      <c r="Q16" s="4">
        <v>283874.48090749199</v>
      </c>
      <c r="R16" s="4">
        <v>776.71345601800101</v>
      </c>
      <c r="S16" s="4">
        <v>0</v>
      </c>
      <c r="T16" s="4">
        <v>0</v>
      </c>
      <c r="U16" s="4">
        <v>1.4774892795770401E-2</v>
      </c>
      <c r="V16" s="4">
        <v>0.14884715952323799</v>
      </c>
      <c r="W16" s="4">
        <v>0</v>
      </c>
      <c r="X16" s="4">
        <v>0.49026382056096801</v>
      </c>
      <c r="Y16" s="4">
        <v>0</v>
      </c>
      <c r="Z16" s="5">
        <v>3.7924852222569498E-4</v>
      </c>
      <c r="AA16" s="5">
        <v>3.23231571032479E-4</v>
      </c>
      <c r="AB16" s="10">
        <v>3.8561488634411699E-3</v>
      </c>
      <c r="AC16" s="10">
        <v>3.9488146076803801E-4</v>
      </c>
      <c r="AD16" s="10">
        <v>5.5922451161273E-2</v>
      </c>
      <c r="AE16" s="4">
        <v>0.125363415706362</v>
      </c>
      <c r="AF16" s="4">
        <v>0.180895122695268</v>
      </c>
      <c r="AG16" s="4">
        <v>0.64354096152160301</v>
      </c>
      <c r="AH16" s="4">
        <v>0.82094043855656296</v>
      </c>
      <c r="AI16" s="4">
        <v>0.96473360750190595</v>
      </c>
      <c r="AJ16" s="4">
        <v>1</v>
      </c>
      <c r="AK16" s="4">
        <v>1</v>
      </c>
      <c r="AL16" s="4">
        <v>1</v>
      </c>
      <c r="AM16" s="4">
        <v>0</v>
      </c>
      <c r="AN16" s="4">
        <v>0</v>
      </c>
      <c r="AO16" s="4" t="s">
        <v>83</v>
      </c>
      <c r="AP16" s="4" t="s">
        <v>84</v>
      </c>
      <c r="AQ16" s="6">
        <v>807055149.22000003</v>
      </c>
      <c r="AR16" s="4">
        <v>2843</v>
      </c>
      <c r="AS16" s="15">
        <v>0</v>
      </c>
      <c r="AT16" s="15">
        <v>85.115284047676099</v>
      </c>
      <c r="AU16" s="15">
        <v>85.115284047676099</v>
      </c>
      <c r="AV16" s="15">
        <v>14.8847159523238</v>
      </c>
      <c r="AW16" s="15">
        <v>14.8847159523238</v>
      </c>
      <c r="AX16" s="15">
        <v>0</v>
      </c>
    </row>
    <row r="17" spans="1:50" x14ac:dyDescent="0.25">
      <c r="A17">
        <v>96</v>
      </c>
      <c r="B17" s="4">
        <v>0.93745663704903504</v>
      </c>
      <c r="C17" s="4">
        <v>40.294314442018603</v>
      </c>
      <c r="D17" s="4">
        <v>53.930419475567199</v>
      </c>
      <c r="E17" s="4">
        <v>4.2068089227374698E-2</v>
      </c>
      <c r="F17" s="5">
        <v>6.2543362950964201E-2</v>
      </c>
      <c r="G17" s="5">
        <v>0</v>
      </c>
      <c r="H17" s="4">
        <v>5.1697090931426803</v>
      </c>
      <c r="I17" s="4">
        <v>3.6671451713052399</v>
      </c>
      <c r="J17" s="4">
        <v>19.100506732022399</v>
      </c>
      <c r="K17" s="4">
        <v>209.24279868250599</v>
      </c>
      <c r="L17" s="4">
        <v>14.6347427068328</v>
      </c>
      <c r="M17" s="4">
        <v>20.249615563019098</v>
      </c>
      <c r="N17" s="4">
        <v>89.7083232485369</v>
      </c>
      <c r="O17" s="4">
        <v>74.667694771328101</v>
      </c>
      <c r="P17" s="4">
        <v>293970.514071187</v>
      </c>
      <c r="Q17" s="4">
        <v>272848.93076320901</v>
      </c>
      <c r="R17" s="4">
        <v>775.48884230207295</v>
      </c>
      <c r="S17" s="4">
        <v>0</v>
      </c>
      <c r="T17" s="4">
        <v>0</v>
      </c>
      <c r="U17" s="4">
        <v>1.3949640235181001E-2</v>
      </c>
      <c r="V17" s="4">
        <v>0.114406282523387</v>
      </c>
      <c r="W17" s="4">
        <v>0</v>
      </c>
      <c r="X17" s="4">
        <v>0.31912774432535101</v>
      </c>
      <c r="Y17" s="4">
        <v>0</v>
      </c>
      <c r="Z17" s="5">
        <v>3.85837562288571E-4</v>
      </c>
      <c r="AA17" s="5">
        <v>4.1282419053151602E-4</v>
      </c>
      <c r="AB17" s="10">
        <v>4.2255694732678097E-3</v>
      </c>
      <c r="AC17" s="10">
        <v>6.87013082563266E-4</v>
      </c>
      <c r="AD17" s="10">
        <v>5.68321015113257E-2</v>
      </c>
      <c r="AE17" s="4">
        <v>0.158457438678862</v>
      </c>
      <c r="AF17" s="4">
        <v>4.7185181718086902E-2</v>
      </c>
      <c r="AG17" s="4">
        <v>0.443583887015361</v>
      </c>
      <c r="AH17" s="4">
        <v>0.70975847132076197</v>
      </c>
      <c r="AI17" s="4">
        <v>0.93055655926941205</v>
      </c>
      <c r="AJ17" s="4">
        <v>1</v>
      </c>
      <c r="AK17" s="4">
        <v>1</v>
      </c>
      <c r="AL17" s="4">
        <v>1</v>
      </c>
      <c r="AM17" s="4">
        <v>0</v>
      </c>
      <c r="AN17" s="4">
        <v>0</v>
      </c>
      <c r="AO17" s="4" t="s">
        <v>85</v>
      </c>
      <c r="AP17" s="4" t="s">
        <v>86</v>
      </c>
      <c r="AQ17" s="6">
        <v>139425803.62</v>
      </c>
      <c r="AR17" s="4">
        <v>511</v>
      </c>
      <c r="AS17" s="15">
        <v>0</v>
      </c>
      <c r="AT17" s="15">
        <v>88.559371747661203</v>
      </c>
      <c r="AU17" s="15">
        <v>88.559371747661203</v>
      </c>
      <c r="AV17" s="15">
        <v>11.4406282523387</v>
      </c>
      <c r="AW17" s="15">
        <v>11.4406282523387</v>
      </c>
      <c r="AX17" s="15">
        <v>0</v>
      </c>
    </row>
    <row r="18" spans="1:50" x14ac:dyDescent="0.25">
      <c r="A18">
        <v>96</v>
      </c>
      <c r="B18" s="4">
        <v>0.93452588327498498</v>
      </c>
      <c r="C18" s="4">
        <v>22.261828001566801</v>
      </c>
      <c r="D18" s="4">
        <v>55.629327325359199</v>
      </c>
      <c r="E18" s="4">
        <v>2.07666550977899E-2</v>
      </c>
      <c r="F18" s="5">
        <v>6.5474116725014006E-2</v>
      </c>
      <c r="G18" s="5">
        <v>0</v>
      </c>
      <c r="H18" s="4">
        <v>5.2637101262987303</v>
      </c>
      <c r="I18" s="4">
        <v>3.6463383432153802</v>
      </c>
      <c r="J18" s="4">
        <v>27.126595410824901</v>
      </c>
      <c r="K18" s="4">
        <v>231.85490425155001</v>
      </c>
      <c r="L18" s="4">
        <v>13.8911152553042</v>
      </c>
      <c r="M18" s="4">
        <v>20.806703938458899</v>
      </c>
      <c r="N18" s="4">
        <v>92.564126744827007</v>
      </c>
      <c r="O18" s="4">
        <v>74.572095920571002</v>
      </c>
      <c r="P18" s="4">
        <v>308393.02548904502</v>
      </c>
      <c r="Q18" s="4">
        <v>287462.076951219</v>
      </c>
      <c r="R18" s="4">
        <v>776.67353915919296</v>
      </c>
      <c r="S18" s="4">
        <v>0</v>
      </c>
      <c r="T18" s="4">
        <v>0</v>
      </c>
      <c r="U18" s="4">
        <v>0</v>
      </c>
      <c r="V18" s="4">
        <v>2.79335497213248E-2</v>
      </c>
      <c r="W18" s="4">
        <v>0</v>
      </c>
      <c r="X18" s="4">
        <v>0.14885188772965999</v>
      </c>
      <c r="Y18" s="4">
        <v>0</v>
      </c>
      <c r="Z18" s="5">
        <v>3.8200278312006499E-4</v>
      </c>
      <c r="AA18" s="5">
        <v>5.1270754253410905E-4</v>
      </c>
      <c r="AB18" s="10">
        <v>4.4189107308092498E-3</v>
      </c>
      <c r="AC18" s="10">
        <v>1.34643582287805E-3</v>
      </c>
      <c r="AD18" s="10">
        <v>5.8814042199973597E-2</v>
      </c>
      <c r="AE18" s="4">
        <v>0.19904467290679201</v>
      </c>
      <c r="AF18" s="4">
        <v>0</v>
      </c>
      <c r="AG18" s="4">
        <v>0.17152724396841099</v>
      </c>
      <c r="AH18" s="4">
        <v>0.37747711248364402</v>
      </c>
      <c r="AI18" s="4">
        <v>0.91231698294798302</v>
      </c>
      <c r="AJ18" s="4">
        <v>1</v>
      </c>
      <c r="AK18" s="4">
        <v>1</v>
      </c>
      <c r="AL18" s="4">
        <v>1</v>
      </c>
      <c r="AM18" s="4">
        <v>0</v>
      </c>
      <c r="AN18" s="4">
        <v>0</v>
      </c>
      <c r="AO18" s="4" t="s">
        <v>87</v>
      </c>
      <c r="AP18" s="4" t="s">
        <v>88</v>
      </c>
      <c r="AQ18" s="6">
        <v>23571890.309999999</v>
      </c>
      <c r="AR18" s="4">
        <v>82</v>
      </c>
      <c r="AS18" s="15">
        <v>0</v>
      </c>
      <c r="AT18" s="15">
        <v>97.206645027867495</v>
      </c>
      <c r="AU18" s="15">
        <v>97.206645027867495</v>
      </c>
      <c r="AV18" s="15">
        <v>2.7933549721324802</v>
      </c>
      <c r="AW18" s="15">
        <v>2.7933549721324802</v>
      </c>
      <c r="AX18" s="15">
        <v>0</v>
      </c>
    </row>
    <row r="25" spans="1:50" x14ac:dyDescent="0.25">
      <c r="K25" t="s">
        <v>102</v>
      </c>
      <c r="L25" t="s">
        <v>90</v>
      </c>
      <c r="M25" t="s">
        <v>91</v>
      </c>
      <c r="R25" t="s">
        <v>102</v>
      </c>
      <c r="W25" t="s">
        <v>90</v>
      </c>
      <c r="AB25" t="s">
        <v>91</v>
      </c>
    </row>
    <row r="26" spans="1:50" x14ac:dyDescent="0.25">
      <c r="A26" s="4" t="s">
        <v>95</v>
      </c>
      <c r="B26" t="str">
        <f>AQ2</f>
        <v>Balance</v>
      </c>
      <c r="C26" s="2" t="str">
        <f t="shared" ref="C26:C41" si="0">AO2</f>
        <v>groupByColumn</v>
      </c>
      <c r="D26" t="str">
        <f>E2</f>
        <v>PREPAY_SMM1</v>
      </c>
      <c r="E26" t="str">
        <f>F2</f>
        <v>PREPAY_TRACKING_SMM1</v>
      </c>
      <c r="F26" t="s">
        <v>92</v>
      </c>
      <c r="G26" t="str">
        <f>C2</f>
        <v>PREPAY_CPR1</v>
      </c>
      <c r="H26" t="str">
        <f>D2</f>
        <v>PREPAY_TRACKING_CPR1</v>
      </c>
      <c r="K26" t="s">
        <v>93</v>
      </c>
      <c r="L26" t="s">
        <v>93</v>
      </c>
      <c r="M26" t="s">
        <v>93</v>
      </c>
      <c r="N26" t="s">
        <v>100</v>
      </c>
      <c r="O26" t="s">
        <v>101</v>
      </c>
      <c r="P26" t="s">
        <v>92</v>
      </c>
      <c r="R26" t="s">
        <v>96</v>
      </c>
      <c r="T26" t="s">
        <v>94</v>
      </c>
      <c r="U26" t="s">
        <v>99</v>
      </c>
      <c r="W26" t="s">
        <v>96</v>
      </c>
      <c r="X26" t="s">
        <v>103</v>
      </c>
      <c r="Y26" t="s">
        <v>94</v>
      </c>
      <c r="Z26" t="s">
        <v>99</v>
      </c>
      <c r="AB26" t="s">
        <v>96</v>
      </c>
      <c r="AC26" t="s">
        <v>103</v>
      </c>
      <c r="AD26" t="s">
        <v>94</v>
      </c>
      <c r="AE26" t="s">
        <v>99</v>
      </c>
    </row>
    <row r="27" spans="1:50" s="17" customFormat="1" x14ac:dyDescent="0.25">
      <c r="A27" s="15">
        <f t="shared" ref="A27:A41" si="1">K3</f>
        <v>-131.94999999999999</v>
      </c>
      <c r="B27" s="22">
        <f t="shared" ref="B27:B41" si="2">AQ3/1000000000</f>
        <v>3.0325044E-4</v>
      </c>
      <c r="C27" s="23" t="str">
        <f t="shared" si="0"/>
        <v>03:-150--125</v>
      </c>
      <c r="D27" s="16">
        <f>E3</f>
        <v>0</v>
      </c>
      <c r="E27" s="16">
        <f t="shared" ref="E27:E41" si="3">Z3+AA3+AB3+AC3+AD3</f>
        <v>3.38237E-3</v>
      </c>
      <c r="F27" s="22">
        <f t="shared" ref="F27:F40" si="4">D27/E27</f>
        <v>0</v>
      </c>
      <c r="G27" s="23">
        <f t="shared" ref="G27:G41" si="5">(1-(1-D27)^12)*100</f>
        <v>0</v>
      </c>
      <c r="H27" s="23">
        <f t="shared" ref="H27:H41" si="6">(1-(1-E27)^12)*100</f>
        <v>3.9841820458473509</v>
      </c>
      <c r="K27" s="15">
        <v>1</v>
      </c>
      <c r="L27" s="15">
        <v>1</v>
      </c>
      <c r="M27" s="15">
        <v>1</v>
      </c>
      <c r="N27" s="16">
        <f t="shared" ref="N27:N41" si="7">Z3+AA3+AB3*K27+AC3*L27+AD3*M27</f>
        <v>3.38237E-3</v>
      </c>
      <c r="O27" s="23">
        <f t="shared" ref="O27:O41" si="8">100*(1-(1-N27)^12)</f>
        <v>3.9841820458473509</v>
      </c>
      <c r="P27" s="24">
        <f t="shared" ref="P27:P41" si="9">D27/N27</f>
        <v>0</v>
      </c>
      <c r="S27" s="18">
        <f>A27</f>
        <v>-131.94999999999999</v>
      </c>
      <c r="T27" s="16">
        <f>VLOOKUP(ROUNDDOWN(S27,0),'Spline Pre-Adj'!A:B,2,0)</f>
        <v>0.95832877400000005</v>
      </c>
      <c r="U27" s="16">
        <f>T27*K27</f>
        <v>0.95832877400000005</v>
      </c>
      <c r="Y27" s="16"/>
      <c r="Z27" s="16"/>
      <c r="AE27" s="16"/>
    </row>
    <row r="28" spans="1:50" s="17" customFormat="1" x14ac:dyDescent="0.25">
      <c r="A28" s="15">
        <f t="shared" si="1"/>
        <v>-110.175225167985</v>
      </c>
      <c r="B28" s="22">
        <f t="shared" si="2"/>
        <v>2.1064177900000001E-3</v>
      </c>
      <c r="C28" s="23" t="str">
        <f t="shared" si="0"/>
        <v>04:-125--100</v>
      </c>
      <c r="D28" s="16">
        <f>E4</f>
        <v>4.7473961991671797E-9</v>
      </c>
      <c r="E28" s="16">
        <f t="shared" si="3"/>
        <v>7.471762627824694E-3</v>
      </c>
      <c r="F28" s="22">
        <f t="shared" si="4"/>
        <v>6.3537834854227992E-7</v>
      </c>
      <c r="G28" s="23">
        <f t="shared" si="5"/>
        <v>5.6968753714414788E-6</v>
      </c>
      <c r="H28" s="23">
        <f t="shared" si="6"/>
        <v>8.6066797563638548</v>
      </c>
      <c r="K28" s="15">
        <v>1</v>
      </c>
      <c r="L28" s="15">
        <v>1</v>
      </c>
      <c r="M28" s="15">
        <v>1</v>
      </c>
      <c r="N28" s="16">
        <f t="shared" si="7"/>
        <v>7.471762627824694E-3</v>
      </c>
      <c r="O28" s="23">
        <f t="shared" si="8"/>
        <v>8.6066797563638548</v>
      </c>
      <c r="P28" s="24">
        <f t="shared" si="9"/>
        <v>6.3537834854227992E-7</v>
      </c>
      <c r="S28" s="18">
        <f t="shared" ref="S28:S35" si="10">A28</f>
        <v>-110.175225167985</v>
      </c>
      <c r="T28" s="16">
        <f>VLOOKUP(ROUNDDOWN(S28,0),'Spline Pre-Adj'!A:B,2,0)</f>
        <v>1.012994</v>
      </c>
      <c r="U28" s="16">
        <f t="shared" ref="U28:U35" si="11">T28*K28</f>
        <v>1.012994</v>
      </c>
      <c r="X28" s="18">
        <f>A28</f>
        <v>-110.175225167985</v>
      </c>
      <c r="Y28" s="16">
        <f>VLOOKUP(ROUNDDOWN(X28,0),'Spline Pre-Adj'!F:G,2,0)</f>
        <v>0</v>
      </c>
      <c r="Z28" s="16">
        <f t="shared" ref="Z28:Z41" si="12">Y28*L28</f>
        <v>0</v>
      </c>
      <c r="AE28" s="16"/>
    </row>
    <row r="29" spans="1:50" s="17" customFormat="1" x14ac:dyDescent="0.25">
      <c r="A29" s="15">
        <f t="shared" si="1"/>
        <v>-83.743458923963203</v>
      </c>
      <c r="B29" s="22">
        <f t="shared" si="2"/>
        <v>6.9607087799999998E-3</v>
      </c>
      <c r="C29" s="23" t="str">
        <f t="shared" si="0"/>
        <v>05:-100--75</v>
      </c>
      <c r="D29" s="16">
        <f>E5</f>
        <v>5.7838670076380098E-3</v>
      </c>
      <c r="E29" s="16">
        <f t="shared" si="3"/>
        <v>1.4585386427718498E-2</v>
      </c>
      <c r="F29" s="22">
        <f t="shared" si="4"/>
        <v>0.3965521953293043</v>
      </c>
      <c r="G29" s="23">
        <f t="shared" si="5"/>
        <v>6.7240516908860126</v>
      </c>
      <c r="H29" s="23">
        <f t="shared" si="6"/>
        <v>16.164495486923215</v>
      </c>
      <c r="K29" s="15">
        <v>1</v>
      </c>
      <c r="L29" s="15">
        <v>1</v>
      </c>
      <c r="M29" s="15">
        <v>1</v>
      </c>
      <c r="N29" s="16">
        <f t="shared" si="7"/>
        <v>1.4585386427718498E-2</v>
      </c>
      <c r="O29" s="23">
        <f t="shared" si="8"/>
        <v>16.164495486923215</v>
      </c>
      <c r="P29" s="24">
        <f t="shared" si="9"/>
        <v>0.3965521953293043</v>
      </c>
      <c r="S29" s="18">
        <f t="shared" si="10"/>
        <v>-83.743458923963203</v>
      </c>
      <c r="T29" s="16">
        <f>VLOOKUP(ROUNDDOWN(S29,0),'Spline Pre-Adj'!A:B,2,0)</f>
        <v>1.135228248</v>
      </c>
      <c r="U29" s="16">
        <f t="shared" si="11"/>
        <v>1.135228248</v>
      </c>
      <c r="X29" s="9">
        <f t="shared" ref="X29:X41" si="13">A29</f>
        <v>-83.743458923963203</v>
      </c>
      <c r="Y29" s="8">
        <f>VLOOKUP(ROUNDDOWN(X29,0),'Spline Pre-Adj'!F:G,2,0)</f>
        <v>3.1256266951590402E-2</v>
      </c>
      <c r="Z29" s="8">
        <f t="shared" si="12"/>
        <v>3.1256266951590402E-2</v>
      </c>
      <c r="AE29" s="16"/>
    </row>
    <row r="30" spans="1:50" s="17" customFormat="1" x14ac:dyDescent="0.25">
      <c r="A30" s="15">
        <f t="shared" si="1"/>
        <v>-56.696947071490101</v>
      </c>
      <c r="B30" s="22">
        <f t="shared" si="2"/>
        <v>0.10922347239000001</v>
      </c>
      <c r="C30" s="23" t="str">
        <f t="shared" si="0"/>
        <v>06:-75--50</v>
      </c>
      <c r="D30" s="16">
        <f>E6</f>
        <v>4.5090248590070204E-3</v>
      </c>
      <c r="E30" s="16">
        <f t="shared" si="3"/>
        <v>6.9709665054877856E-3</v>
      </c>
      <c r="F30" s="22">
        <f t="shared" si="4"/>
        <v>0.64682922453541558</v>
      </c>
      <c r="G30" s="23">
        <f t="shared" si="5"/>
        <v>5.2786397379830596</v>
      </c>
      <c r="H30" s="23">
        <f t="shared" si="6"/>
        <v>8.0517738358743642</v>
      </c>
      <c r="K30" s="15">
        <v>1</v>
      </c>
      <c r="L30" s="15">
        <v>1</v>
      </c>
      <c r="M30" s="15">
        <v>0.5</v>
      </c>
      <c r="N30" s="16">
        <f t="shared" si="7"/>
        <v>5.0599833505137557E-3</v>
      </c>
      <c r="O30" s="23">
        <f t="shared" si="8"/>
        <v>5.9058153494291332</v>
      </c>
      <c r="P30" s="24">
        <f t="shared" si="9"/>
        <v>0.89111456434915048</v>
      </c>
      <c r="S30" s="18">
        <f t="shared" si="10"/>
        <v>-56.696947071490101</v>
      </c>
      <c r="T30" s="16">
        <f>VLOOKUP(ROUNDDOWN(S30,0),'Spline Pre-Adj'!A:B,2,0)</f>
        <v>1.2795488639999999</v>
      </c>
      <c r="U30" s="16">
        <f t="shared" si="11"/>
        <v>1.2795488639999999</v>
      </c>
      <c r="X30" s="18">
        <f t="shared" si="13"/>
        <v>-56.696947071490101</v>
      </c>
      <c r="Y30" s="16">
        <f>VLOOKUP(ROUNDDOWN(X30,0),'Spline Pre-Adj'!F:G,2,0)</f>
        <v>0.18862313043478299</v>
      </c>
      <c r="Z30" s="16">
        <f t="shared" si="12"/>
        <v>0.18862313043478299</v>
      </c>
      <c r="AC30" s="18">
        <f t="shared" ref="AC30:AC41" si="14">A30</f>
        <v>-56.696947071490101</v>
      </c>
      <c r="AD30" s="16">
        <f>VLOOKUP(ROUNDDOWN(AC30,0),'Spline Pre-Adj'!K:L,2,0)</f>
        <v>0</v>
      </c>
      <c r="AE30" s="16">
        <f t="shared" ref="AE30:AE41" si="15">AD30*M30</f>
        <v>0</v>
      </c>
    </row>
    <row r="31" spans="1:50" x14ac:dyDescent="0.25">
      <c r="A31" s="4">
        <f t="shared" si="1"/>
        <v>-33.134226991627003</v>
      </c>
      <c r="B31" s="3">
        <f t="shared" si="2"/>
        <v>1.37456466158</v>
      </c>
      <c r="C31" s="2" t="str">
        <f t="shared" si="0"/>
        <v>07:-50--25</v>
      </c>
      <c r="D31" s="8">
        <f t="shared" ref="D31:D40" si="16">E7</f>
        <v>2.9573223459741001E-3</v>
      </c>
      <c r="E31" s="8">
        <f t="shared" si="3"/>
        <v>7.6986321624935962E-3</v>
      </c>
      <c r="F31" s="3">
        <f t="shared" si="4"/>
        <v>0.38413607554620716</v>
      </c>
      <c r="G31" s="2">
        <f t="shared" si="5"/>
        <v>3.4916300692288571</v>
      </c>
      <c r="H31" s="2">
        <f t="shared" si="6"/>
        <v>8.8570502228751185</v>
      </c>
      <c r="K31" s="4">
        <v>1</v>
      </c>
      <c r="L31" s="4">
        <v>1</v>
      </c>
      <c r="M31" s="4">
        <v>0.5</v>
      </c>
      <c r="N31" s="8">
        <f t="shared" si="7"/>
        <v>5.4098303542104813E-3</v>
      </c>
      <c r="O31" s="2">
        <f t="shared" si="8"/>
        <v>6.3020802083969212</v>
      </c>
      <c r="P31" s="7">
        <f t="shared" si="9"/>
        <v>0.54665713198795796</v>
      </c>
      <c r="S31" s="9">
        <f t="shared" si="10"/>
        <v>-33.134226991627003</v>
      </c>
      <c r="T31" s="8">
        <f>VLOOKUP(ROUNDDOWN(S31,0),'Spline Pre-Adj'!A:B,2,0)</f>
        <v>1.2869999999999999</v>
      </c>
      <c r="U31" s="8">
        <f t="shared" si="11"/>
        <v>1.2869999999999999</v>
      </c>
      <c r="X31" s="9">
        <f t="shared" si="13"/>
        <v>-33.134226991627003</v>
      </c>
      <c r="Y31" s="8">
        <f>VLOOKUP(ROUNDDOWN(X31,0),'Spline Pre-Adj'!F:G,2,0)</f>
        <v>0.30615060763888902</v>
      </c>
      <c r="Z31" s="8">
        <f t="shared" si="12"/>
        <v>0.30615060763888902</v>
      </c>
      <c r="AC31" s="9">
        <f t="shared" si="14"/>
        <v>-33.134226991627003</v>
      </c>
      <c r="AD31" s="8">
        <f>VLOOKUP(ROUNDDOWN(AC31,0),'Spline Pre-Adj'!K:L,2,0)</f>
        <v>0.39387319081357403</v>
      </c>
      <c r="AE31" s="8">
        <f t="shared" si="15"/>
        <v>0.19693659540678701</v>
      </c>
    </row>
    <row r="32" spans="1:50" x14ac:dyDescent="0.25">
      <c r="A32" s="4">
        <f t="shared" si="1"/>
        <v>-9.0774720346177702</v>
      </c>
      <c r="B32" s="3">
        <f t="shared" si="2"/>
        <v>9.5132662848600003</v>
      </c>
      <c r="C32" s="2" t="str">
        <f t="shared" si="0"/>
        <v>08:-25-0</v>
      </c>
      <c r="D32" s="8">
        <f t="shared" si="16"/>
        <v>7.8155401122370002E-3</v>
      </c>
      <c r="E32" s="8">
        <f t="shared" si="3"/>
        <v>1.4822648014323517E-2</v>
      </c>
      <c r="F32" s="3">
        <f t="shared" si="4"/>
        <v>0.52727016823745909</v>
      </c>
      <c r="G32" s="2">
        <f t="shared" si="5"/>
        <v>8.9858227991811859</v>
      </c>
      <c r="H32" s="2">
        <f t="shared" si="6"/>
        <v>16.406399250279613</v>
      </c>
      <c r="K32" s="4">
        <v>1</v>
      </c>
      <c r="L32" s="4">
        <v>1</v>
      </c>
      <c r="M32" s="4">
        <v>0.55000000000000004</v>
      </c>
      <c r="N32" s="8">
        <f t="shared" si="7"/>
        <v>9.5700587277425028E-3</v>
      </c>
      <c r="O32" s="2">
        <f t="shared" si="8"/>
        <v>10.898476435656889</v>
      </c>
      <c r="P32" s="7">
        <f t="shared" si="9"/>
        <v>0.81666584653035046</v>
      </c>
      <c r="S32" s="9">
        <f t="shared" si="10"/>
        <v>-9.0774720346177702</v>
      </c>
      <c r="T32" s="8">
        <f>VLOOKUP(ROUNDDOWN(S32,0),'Spline Pre-Adj'!A:B,2,0)</f>
        <v>1.2869999999999999</v>
      </c>
      <c r="U32" s="8">
        <f t="shared" si="11"/>
        <v>1.2869999999999999</v>
      </c>
      <c r="X32" s="9">
        <f t="shared" si="13"/>
        <v>-9.0774720346177702</v>
      </c>
      <c r="Y32" s="8">
        <f>VLOOKUP(ROUNDDOWN(X32,0),'Spline Pre-Adj'!F:G,2,0)</f>
        <v>0.51930077356521698</v>
      </c>
      <c r="Z32" s="8">
        <f t="shared" si="12"/>
        <v>0.51930077356521698</v>
      </c>
      <c r="AC32" s="9">
        <f t="shared" si="14"/>
        <v>-9.0774720346177702</v>
      </c>
      <c r="AD32" s="8">
        <f>VLOOKUP(ROUNDDOWN(AC32,0),'Spline Pre-Adj'!K:L,2,0)</f>
        <v>1.1530058138744601</v>
      </c>
      <c r="AE32" s="8">
        <f t="shared" si="15"/>
        <v>0.63415319763095312</v>
      </c>
    </row>
    <row r="33" spans="1:31" x14ac:dyDescent="0.25">
      <c r="A33" s="4">
        <f t="shared" si="1"/>
        <v>15.5564121542712</v>
      </c>
      <c r="B33" s="3">
        <f t="shared" si="2"/>
        <v>43.439276307790003</v>
      </c>
      <c r="C33" s="2" t="str">
        <f t="shared" si="0"/>
        <v>09:0-25</v>
      </c>
      <c r="D33" s="8">
        <f t="shared" si="16"/>
        <v>1.67909212333315E-2</v>
      </c>
      <c r="E33" s="8">
        <f t="shared" si="3"/>
        <v>2.1042251545785311E-2</v>
      </c>
      <c r="F33" s="3">
        <f t="shared" si="4"/>
        <v>0.79796219510048882</v>
      </c>
      <c r="G33" s="2">
        <f t="shared" si="5"/>
        <v>18.388650160653597</v>
      </c>
      <c r="H33" s="2">
        <f t="shared" si="6"/>
        <v>22.523966523985262</v>
      </c>
      <c r="K33" s="4">
        <v>1</v>
      </c>
      <c r="L33" s="4">
        <v>1</v>
      </c>
      <c r="M33" s="4">
        <v>0.8</v>
      </c>
      <c r="N33" s="8">
        <f t="shared" si="7"/>
        <v>1.749393493531471E-2</v>
      </c>
      <c r="O33" s="2">
        <f t="shared" si="8"/>
        <v>19.086147443281288</v>
      </c>
      <c r="P33" s="7">
        <f t="shared" si="9"/>
        <v>0.9598138609419401</v>
      </c>
      <c r="S33" s="9">
        <f t="shared" si="10"/>
        <v>15.5564121542712</v>
      </c>
      <c r="T33" s="8">
        <f>VLOOKUP(ROUNDDOWN(S33,0),'Spline Pre-Adj'!A:B,2,0)</f>
        <v>1.2869999999999999</v>
      </c>
      <c r="U33" s="8">
        <f t="shared" si="11"/>
        <v>1.2869999999999999</v>
      </c>
      <c r="X33" s="9">
        <f t="shared" si="13"/>
        <v>15.5564121542712</v>
      </c>
      <c r="Y33" s="8">
        <f>VLOOKUP(ROUNDDOWN(X33,0),'Spline Pre-Adj'!F:G,2,0)</f>
        <v>0.98856376263664003</v>
      </c>
      <c r="Z33" s="8">
        <f t="shared" si="12"/>
        <v>0.98856376263664003</v>
      </c>
      <c r="AC33" s="9">
        <f t="shared" si="14"/>
        <v>15.5564121542712</v>
      </c>
      <c r="AD33" s="8">
        <f>VLOOKUP(ROUNDDOWN(AC33,0),'Spline Pre-Adj'!K:L,2,0)</f>
        <v>1.7164152091598801</v>
      </c>
      <c r="AE33" s="8">
        <f t="shared" si="15"/>
        <v>1.3731321673279042</v>
      </c>
    </row>
    <row r="34" spans="1:31" x14ac:dyDescent="0.25">
      <c r="A34" s="4">
        <f t="shared" si="1"/>
        <v>37.631503925369103</v>
      </c>
      <c r="B34" s="3">
        <f t="shared" si="2"/>
        <v>84.135411073330005</v>
      </c>
      <c r="C34" s="2" t="str">
        <f t="shared" si="0"/>
        <v>10:25-50</v>
      </c>
      <c r="D34" s="8">
        <f t="shared" si="16"/>
        <v>2.9332373092004201E-2</v>
      </c>
      <c r="E34" s="8">
        <f t="shared" si="3"/>
        <v>2.8510008289057032E-2</v>
      </c>
      <c r="F34" s="3">
        <f t="shared" si="4"/>
        <v>1.028844776003198</v>
      </c>
      <c r="G34" s="2">
        <f t="shared" si="5"/>
        <v>30.040524212296106</v>
      </c>
      <c r="H34" s="2">
        <f t="shared" si="6"/>
        <v>29.325951485476097</v>
      </c>
      <c r="K34" s="4">
        <v>1</v>
      </c>
      <c r="L34" s="4">
        <v>1</v>
      </c>
      <c r="M34" s="4">
        <v>1.05</v>
      </c>
      <c r="N34" s="8">
        <f t="shared" si="7"/>
        <v>2.9759217636718259E-2</v>
      </c>
      <c r="O34" s="2">
        <f t="shared" si="8"/>
        <v>30.408803142235929</v>
      </c>
      <c r="P34" s="7">
        <f t="shared" si="9"/>
        <v>0.98565672828080675</v>
      </c>
      <c r="S34" s="9">
        <f t="shared" si="10"/>
        <v>37.631503925369103</v>
      </c>
      <c r="T34" s="8">
        <f>VLOOKUP(ROUNDDOWN(S34,0),'Spline Pre-Adj'!A:B,2,0)</f>
        <v>1.2869999999999999</v>
      </c>
      <c r="U34" s="8">
        <f t="shared" si="11"/>
        <v>1.2869999999999999</v>
      </c>
      <c r="X34" s="9">
        <f t="shared" si="13"/>
        <v>37.631503925369103</v>
      </c>
      <c r="Y34" s="8">
        <f>VLOOKUP(ROUNDDOWN(X34,0),'Spline Pre-Adj'!F:G,2,0)</f>
        <v>1.89537379409471</v>
      </c>
      <c r="Z34" s="8">
        <f t="shared" si="12"/>
        <v>1.89537379409471</v>
      </c>
      <c r="AC34" s="9">
        <f t="shared" si="14"/>
        <v>37.631503925369103</v>
      </c>
      <c r="AD34" s="8">
        <f>VLOOKUP(ROUNDDOWN(AC34,0),'Spline Pre-Adj'!K:L,2,0)</f>
        <v>2.4264029166777901</v>
      </c>
      <c r="AE34" s="8">
        <f t="shared" si="15"/>
        <v>2.5477230625116798</v>
      </c>
    </row>
    <row r="35" spans="1:31" x14ac:dyDescent="0.25">
      <c r="A35" s="4">
        <f t="shared" si="1"/>
        <v>62.402856606011298</v>
      </c>
      <c r="B35" s="3">
        <f t="shared" si="2"/>
        <v>78.589496410229998</v>
      </c>
      <c r="C35" s="2" t="str">
        <f t="shared" si="0"/>
        <v>11:50-75</v>
      </c>
      <c r="D35" s="8">
        <f t="shared" si="16"/>
        <v>3.9705980511859799E-2</v>
      </c>
      <c r="E35" s="8">
        <f t="shared" si="3"/>
        <v>3.6952707191374105E-2</v>
      </c>
      <c r="F35" s="3">
        <f t="shared" si="4"/>
        <v>1.0745080274153336</v>
      </c>
      <c r="G35" s="2">
        <f t="shared" si="5"/>
        <v>38.50345879556064</v>
      </c>
      <c r="H35" s="2">
        <f t="shared" si="6"/>
        <v>36.353961529482859</v>
      </c>
      <c r="K35" s="4">
        <v>1</v>
      </c>
      <c r="L35" s="4">
        <v>1</v>
      </c>
      <c r="M35" s="4">
        <v>1.1000000000000001</v>
      </c>
      <c r="N35" s="8">
        <f t="shared" si="7"/>
        <v>4.0279768890729421E-2</v>
      </c>
      <c r="O35" s="2">
        <f t="shared" si="8"/>
        <v>38.942952568519395</v>
      </c>
      <c r="P35" s="7">
        <f t="shared" si="9"/>
        <v>0.98575492375772589</v>
      </c>
      <c r="S35" s="9">
        <f t="shared" si="10"/>
        <v>62.402856606011298</v>
      </c>
      <c r="T35" s="8">
        <f>VLOOKUP(ROUNDDOWN(S35,0),'Spline Pre-Adj'!A:B,2,0)</f>
        <v>1.2869999999999999</v>
      </c>
      <c r="U35" s="8">
        <f t="shared" si="11"/>
        <v>1.2869999999999999</v>
      </c>
      <c r="X35" s="9">
        <f t="shared" si="13"/>
        <v>62.402856606011298</v>
      </c>
      <c r="Y35" s="8">
        <f>VLOOKUP(ROUNDDOWN(X35,0),'Spline Pre-Adj'!F:G,2,0)</f>
        <v>3.3799457765415402</v>
      </c>
      <c r="Z35" s="8">
        <f t="shared" si="12"/>
        <v>3.3799457765415402</v>
      </c>
      <c r="AC35" s="9">
        <f t="shared" si="14"/>
        <v>62.402856606011298</v>
      </c>
      <c r="AD35" s="8">
        <f>VLOOKUP(ROUNDDOWN(AC35,0),'Spline Pre-Adj'!K:L,2,0)</f>
        <v>3.3536482047599101</v>
      </c>
      <c r="AE35" s="8">
        <f t="shared" si="15"/>
        <v>3.6890130252359015</v>
      </c>
    </row>
    <row r="36" spans="1:31" x14ac:dyDescent="0.25">
      <c r="A36" s="4">
        <f t="shared" si="1"/>
        <v>86.123757917958599</v>
      </c>
      <c r="B36" s="3">
        <f t="shared" si="2"/>
        <v>56.874592341209997</v>
      </c>
      <c r="C36" s="2" t="str">
        <f t="shared" si="0"/>
        <v>12:75-100</v>
      </c>
      <c r="D36" s="8">
        <f t="shared" si="16"/>
        <v>4.4820945243578401E-2</v>
      </c>
      <c r="E36" s="8">
        <f t="shared" si="3"/>
        <v>4.3981473889879732E-2</v>
      </c>
      <c r="F36" s="3">
        <f t="shared" si="4"/>
        <v>1.0190869309155153</v>
      </c>
      <c r="G36" s="2">
        <f t="shared" si="5"/>
        <v>42.321031147672542</v>
      </c>
      <c r="H36" s="2">
        <f t="shared" si="6"/>
        <v>41.709779323905479</v>
      </c>
      <c r="K36" s="4">
        <v>1</v>
      </c>
      <c r="L36" s="4">
        <v>1</v>
      </c>
      <c r="M36" s="4">
        <v>1.02</v>
      </c>
      <c r="N36" s="8">
        <f t="shared" si="7"/>
        <v>4.4784507488687487E-2</v>
      </c>
      <c r="O36" s="2">
        <f t="shared" si="8"/>
        <v>42.294621860729961</v>
      </c>
      <c r="P36" s="7">
        <f t="shared" si="9"/>
        <v>1.0008136241065086</v>
      </c>
      <c r="S36" s="9">
        <f>A36</f>
        <v>86.123757917958599</v>
      </c>
      <c r="T36" s="8">
        <f>VLOOKUP(ROUNDDOWN(S36,0),'Spline Pre-Adj'!A:B,2,0)</f>
        <v>1.2869999999999999</v>
      </c>
      <c r="U36" s="8">
        <f>T36*K36</f>
        <v>1.2869999999999999</v>
      </c>
      <c r="X36" s="9">
        <f t="shared" si="13"/>
        <v>86.123757917958599</v>
      </c>
      <c r="Y36" s="8">
        <f>VLOOKUP(ROUNDDOWN(X36,0),'Spline Pre-Adj'!F:G,2,0)</f>
        <v>4.7646640542534699</v>
      </c>
      <c r="Z36" s="8">
        <f t="shared" si="12"/>
        <v>4.7646640542534699</v>
      </c>
      <c r="AC36" s="9">
        <f t="shared" si="14"/>
        <v>86.123757917958599</v>
      </c>
      <c r="AD36" s="8">
        <f>VLOOKUP(ROUNDDOWN(AC36,0),'Spline Pre-Adj'!K:L,2,0)</f>
        <v>4.1191352784208304</v>
      </c>
      <c r="AE36" s="8">
        <f t="shared" si="15"/>
        <v>4.2015179839892474</v>
      </c>
    </row>
    <row r="37" spans="1:31" x14ac:dyDescent="0.25">
      <c r="A37" s="4">
        <f t="shared" si="1"/>
        <v>111.835033182882</v>
      </c>
      <c r="B37" s="3">
        <f t="shared" si="2"/>
        <v>34.432624597980002</v>
      </c>
      <c r="C37" s="2" t="str">
        <f t="shared" si="0"/>
        <v>13:100-125</v>
      </c>
      <c r="D37" s="8">
        <f t="shared" si="16"/>
        <v>4.5933509787433803E-2</v>
      </c>
      <c r="E37" s="8">
        <f t="shared" si="3"/>
        <v>4.8103379955391275E-2</v>
      </c>
      <c r="F37" s="3">
        <f t="shared" si="4"/>
        <v>0.95489152383949516</v>
      </c>
      <c r="G37" s="2">
        <f t="shared" si="5"/>
        <v>43.122079732655472</v>
      </c>
      <c r="H37" s="2">
        <f t="shared" si="6"/>
        <v>44.655124226092283</v>
      </c>
      <c r="K37" s="4">
        <v>1</v>
      </c>
      <c r="L37" s="4">
        <v>1</v>
      </c>
      <c r="M37" s="4">
        <v>0.95</v>
      </c>
      <c r="N37" s="8">
        <f t="shared" si="7"/>
        <v>4.5903308125773645E-2</v>
      </c>
      <c r="O37" s="2">
        <f t="shared" si="8"/>
        <v>43.100469832283217</v>
      </c>
      <c r="P37" s="7">
        <f t="shared" si="9"/>
        <v>1.0006579408520495</v>
      </c>
      <c r="X37" s="9">
        <f t="shared" si="13"/>
        <v>111.835033182882</v>
      </c>
      <c r="Y37" s="8">
        <f>VLOOKUP(ROUNDDOWN(X37,0),'Spline Pre-Adj'!F:G,2,0)</f>
        <v>6.2168084690133298</v>
      </c>
      <c r="Z37" s="8">
        <f t="shared" si="12"/>
        <v>6.2168084690133298</v>
      </c>
      <c r="AC37" s="9">
        <f t="shared" si="14"/>
        <v>111.835033182882</v>
      </c>
      <c r="AD37" s="8">
        <f>VLOOKUP(ROUNDDOWN(AC37,0),'Spline Pre-Adj'!K:L,2,0)</f>
        <v>4.7299139704548203</v>
      </c>
      <c r="AE37" s="8">
        <f t="shared" si="15"/>
        <v>4.4934182719320788</v>
      </c>
    </row>
    <row r="38" spans="1:31" x14ac:dyDescent="0.25">
      <c r="A38" s="4">
        <f t="shared" si="1"/>
        <v>134.42075607646501</v>
      </c>
      <c r="B38" s="3">
        <f t="shared" si="2"/>
        <v>15.644765787790002</v>
      </c>
      <c r="C38" s="2" t="str">
        <f t="shared" si="0"/>
        <v>14:125-150</v>
      </c>
      <c r="D38" s="8">
        <f t="shared" si="16"/>
        <v>4.7552488051938298E-2</v>
      </c>
      <c r="E38" s="8">
        <f t="shared" si="3"/>
        <v>5.2169540155242396E-2</v>
      </c>
      <c r="F38" s="3">
        <f t="shared" si="4"/>
        <v>0.91149908376487498</v>
      </c>
      <c r="G38" s="2">
        <f t="shared" si="5"/>
        <v>44.269541027297777</v>
      </c>
      <c r="H38" s="2">
        <f t="shared" si="6"/>
        <v>47.426373565208067</v>
      </c>
      <c r="K38" s="4">
        <v>1</v>
      </c>
      <c r="L38" s="4">
        <v>1</v>
      </c>
      <c r="M38" s="4">
        <v>0.92</v>
      </c>
      <c r="N38" s="8">
        <f t="shared" si="7"/>
        <v>4.8326050864897774E-2</v>
      </c>
      <c r="O38" s="2">
        <f t="shared" si="8"/>
        <v>44.810282051252926</v>
      </c>
      <c r="P38" s="7">
        <f t="shared" si="9"/>
        <v>0.98399284031873246</v>
      </c>
      <c r="X38" s="9">
        <f t="shared" si="13"/>
        <v>134.42075607646501</v>
      </c>
      <c r="Y38" s="8">
        <f>VLOOKUP(ROUNDDOWN(X38,0),'Spline Pre-Adj'!F:G,2,0)</f>
        <v>7.60662891263856</v>
      </c>
      <c r="Z38" s="8">
        <f t="shared" si="12"/>
        <v>7.60662891263856</v>
      </c>
      <c r="AC38" s="9">
        <f t="shared" si="14"/>
        <v>134.42075607646501</v>
      </c>
      <c r="AD38" s="8">
        <f>VLOOKUP(ROUNDDOWN(AC38,0),'Spline Pre-Adj'!K:L,2,0)</f>
        <v>5.2051069926153799</v>
      </c>
      <c r="AE38" s="8">
        <f t="shared" si="15"/>
        <v>4.7886984332061493</v>
      </c>
    </row>
    <row r="39" spans="1:31" x14ac:dyDescent="0.25">
      <c r="A39" s="4">
        <f t="shared" si="1"/>
        <v>160.53489306501299</v>
      </c>
      <c r="B39" s="3">
        <f t="shared" si="2"/>
        <v>3.2484851375900003</v>
      </c>
      <c r="C39" s="2" t="str">
        <f t="shared" si="0"/>
        <v>15:150-175</v>
      </c>
      <c r="D39" s="8">
        <f t="shared" si="16"/>
        <v>4.4952719686061501E-2</v>
      </c>
      <c r="E39" s="8">
        <f t="shared" si="3"/>
        <v>5.5328116697371241E-2</v>
      </c>
      <c r="F39" s="3">
        <f t="shared" si="4"/>
        <v>0.8124751458998658</v>
      </c>
      <c r="G39" s="2">
        <f t="shared" si="5"/>
        <v>42.41644592218907</v>
      </c>
      <c r="H39" s="2">
        <f t="shared" si="6"/>
        <v>49.490639104015635</v>
      </c>
      <c r="K39" s="4">
        <v>1</v>
      </c>
      <c r="L39" s="4">
        <v>1</v>
      </c>
      <c r="M39" s="4">
        <v>0.9</v>
      </c>
      <c r="N39" s="8">
        <f t="shared" si="7"/>
        <v>5.0246408871502085E-2</v>
      </c>
      <c r="O39" s="2">
        <f t="shared" si="8"/>
        <v>46.13194037319596</v>
      </c>
      <c r="P39" s="7">
        <f t="shared" si="9"/>
        <v>0.89464542234294941</v>
      </c>
      <c r="X39" s="9">
        <f t="shared" si="13"/>
        <v>160.53489306501299</v>
      </c>
      <c r="Y39" s="8">
        <f>VLOOKUP(ROUNDDOWN(X39,0),'Spline Pre-Adj'!F:G,2,0)</f>
        <v>8.7434835551418502</v>
      </c>
      <c r="Z39" s="8">
        <f t="shared" si="12"/>
        <v>8.7434835551418502</v>
      </c>
      <c r="AC39" s="9">
        <f t="shared" si="14"/>
        <v>160.53489306501299</v>
      </c>
      <c r="AD39" s="8">
        <f>VLOOKUP(ROUNDDOWN(AC39,0),'Spline Pre-Adj'!K:L,2,0)</f>
        <v>5.6662697466415004</v>
      </c>
      <c r="AE39" s="8">
        <f t="shared" si="15"/>
        <v>5.0996427719773507</v>
      </c>
    </row>
    <row r="40" spans="1:31" x14ac:dyDescent="0.25">
      <c r="A40" s="4">
        <f t="shared" si="1"/>
        <v>183.23039087177801</v>
      </c>
      <c r="B40" s="3">
        <f t="shared" si="2"/>
        <v>0.80705514921999999</v>
      </c>
      <c r="C40" s="2" t="str">
        <f t="shared" si="0"/>
        <v>16:175-200</v>
      </c>
      <c r="D40" s="8">
        <f t="shared" si="16"/>
        <v>5.5653652923624897E-2</v>
      </c>
      <c r="E40" s="8">
        <f t="shared" si="3"/>
        <v>6.0875961578740381E-2</v>
      </c>
      <c r="F40" s="3">
        <f t="shared" si="4"/>
        <v>0.91421394390032495</v>
      </c>
      <c r="G40" s="2">
        <f t="shared" si="5"/>
        <v>49.699111470338032</v>
      </c>
      <c r="H40" s="2">
        <f t="shared" si="6"/>
        <v>52.937446631218286</v>
      </c>
      <c r="K40" s="4">
        <v>1</v>
      </c>
      <c r="L40" s="4">
        <v>1</v>
      </c>
      <c r="M40" s="4">
        <v>0.9</v>
      </c>
      <c r="N40" s="8">
        <f t="shared" si="7"/>
        <v>5.5283716462613083E-2</v>
      </c>
      <c r="O40" s="2">
        <f t="shared" si="8"/>
        <v>49.462144038083999</v>
      </c>
      <c r="P40" s="7">
        <f t="shared" si="9"/>
        <v>1.0066915989857881</v>
      </c>
      <c r="X40" s="9">
        <f t="shared" si="13"/>
        <v>183.23039087177801</v>
      </c>
      <c r="Y40" s="8">
        <f>VLOOKUP(ROUNDDOWN(X40,0),'Spline Pre-Adj'!F:G,2,0)</f>
        <v>8.8912890705385497</v>
      </c>
      <c r="Z40" s="8">
        <f t="shared" si="12"/>
        <v>8.8912890705385497</v>
      </c>
      <c r="AC40" s="9">
        <f t="shared" si="14"/>
        <v>183.23039087177801</v>
      </c>
      <c r="AD40" s="8">
        <f>VLOOKUP(ROUNDDOWN(AC40,0),'Spline Pre-Adj'!K:L,2,0)</f>
        <v>6.0276934430763003</v>
      </c>
      <c r="AE40" s="8">
        <f t="shared" si="15"/>
        <v>5.4249240987686704</v>
      </c>
    </row>
    <row r="41" spans="1:31" s="29" customFormat="1" x14ac:dyDescent="0.25">
      <c r="A41" s="26">
        <f t="shared" si="1"/>
        <v>209.24279868250599</v>
      </c>
      <c r="B41" s="27">
        <f t="shared" si="2"/>
        <v>0.13942580362000001</v>
      </c>
      <c r="C41" s="28" t="str">
        <f t="shared" si="0"/>
        <v>17:200-225</v>
      </c>
      <c r="D41" s="19">
        <f>E17</f>
        <v>4.2068089227374698E-2</v>
      </c>
      <c r="E41" s="19">
        <f t="shared" si="3"/>
        <v>6.2543345819976864E-2</v>
      </c>
      <c r="F41" s="27">
        <f>D41/E41</f>
        <v>0.67262294135114531</v>
      </c>
      <c r="G41" s="28">
        <f t="shared" si="5"/>
        <v>40.29431444201861</v>
      </c>
      <c r="H41" s="28">
        <f t="shared" si="6"/>
        <v>53.930409373116319</v>
      </c>
      <c r="K41" s="26">
        <v>1</v>
      </c>
      <c r="L41" s="26">
        <v>1</v>
      </c>
      <c r="M41" s="26">
        <v>1.05</v>
      </c>
      <c r="N41" s="19">
        <f t="shared" si="7"/>
        <v>6.5384950895543151E-2</v>
      </c>
      <c r="O41" s="28">
        <f t="shared" si="8"/>
        <v>55.578498239838581</v>
      </c>
      <c r="P41" s="30">
        <f t="shared" si="9"/>
        <v>0.64339100437012331</v>
      </c>
      <c r="X41" s="20">
        <f t="shared" si="13"/>
        <v>209.24279868250599</v>
      </c>
      <c r="Y41" s="19">
        <f>VLOOKUP(ROUNDDOWN(X41,0),'Spline Pre-Adj'!F:G,2,0)</f>
        <v>8.9</v>
      </c>
      <c r="Z41" s="19">
        <f t="shared" si="12"/>
        <v>8.9</v>
      </c>
      <c r="AC41" s="20">
        <f t="shared" si="14"/>
        <v>209.24279868250599</v>
      </c>
      <c r="AD41" s="19">
        <f>VLOOKUP(ROUNDDOWN(AC41,0),'Spline Pre-Adj'!K:L,2,0)</f>
        <v>6.3657668913125001</v>
      </c>
      <c r="AE41" s="19">
        <f t="shared" si="15"/>
        <v>6.6840552358781258</v>
      </c>
    </row>
    <row r="42" spans="1:31" x14ac:dyDescent="0.25">
      <c r="M42" s="15"/>
    </row>
    <row r="43" spans="1:31" x14ac:dyDescent="0.25">
      <c r="M43" s="15"/>
    </row>
    <row r="66" spans="1:50" s="31" customFormat="1" x14ac:dyDescent="0.25"/>
    <row r="67" spans="1:50" x14ac:dyDescent="0.25">
      <c r="A67" s="33" t="s">
        <v>122</v>
      </c>
      <c r="C67" t="s">
        <v>134</v>
      </c>
      <c r="AS67" s="17" t="s">
        <v>89</v>
      </c>
      <c r="AT67" s="17" t="s">
        <v>90</v>
      </c>
      <c r="AU67" s="17"/>
      <c r="AV67" s="17"/>
      <c r="AW67" s="17" t="s">
        <v>91</v>
      </c>
      <c r="AX67" s="17"/>
    </row>
    <row r="68" spans="1:50" x14ac:dyDescent="0.25">
      <c r="A68" t="s">
        <v>21</v>
      </c>
      <c r="B68" t="s">
        <v>22</v>
      </c>
      <c r="C68" t="s">
        <v>23</v>
      </c>
      <c r="D68" t="s">
        <v>24</v>
      </c>
      <c r="E68" t="s">
        <v>97</v>
      </c>
      <c r="F68" t="s">
        <v>98</v>
      </c>
      <c r="G68" t="s">
        <v>25</v>
      </c>
      <c r="H68" t="s">
        <v>26</v>
      </c>
      <c r="I68" t="s">
        <v>27</v>
      </c>
      <c r="J68" t="s">
        <v>28</v>
      </c>
      <c r="K68" t="s">
        <v>29</v>
      </c>
      <c r="L68" t="s">
        <v>30</v>
      </c>
      <c r="M68" t="s">
        <v>31</v>
      </c>
      <c r="N68" t="s">
        <v>32</v>
      </c>
      <c r="O68" t="s">
        <v>33</v>
      </c>
      <c r="P68" t="s">
        <v>34</v>
      </c>
      <c r="Q68" t="s">
        <v>35</v>
      </c>
      <c r="R68" t="s">
        <v>36</v>
      </c>
      <c r="S68" t="s">
        <v>37</v>
      </c>
      <c r="T68" t="s">
        <v>38</v>
      </c>
      <c r="U68" t="s">
        <v>39</v>
      </c>
      <c r="V68" t="s">
        <v>40</v>
      </c>
      <c r="W68" t="s">
        <v>41</v>
      </c>
      <c r="X68" t="s">
        <v>42</v>
      </c>
      <c r="Y68" t="s">
        <v>43</v>
      </c>
      <c r="Z68" t="s">
        <v>44</v>
      </c>
      <c r="AA68" t="s">
        <v>45</v>
      </c>
      <c r="AB68" s="1" t="s">
        <v>46</v>
      </c>
      <c r="AC68" s="1" t="s">
        <v>47</v>
      </c>
      <c r="AD68" s="1" t="s">
        <v>48</v>
      </c>
      <c r="AE68" t="s">
        <v>49</v>
      </c>
      <c r="AF68" t="s">
        <v>50</v>
      </c>
      <c r="AG68" t="s">
        <v>51</v>
      </c>
      <c r="AH68" t="s">
        <v>52</v>
      </c>
      <c r="AI68" t="s">
        <v>53</v>
      </c>
      <c r="AJ68" t="s">
        <v>54</v>
      </c>
      <c r="AK68" t="s">
        <v>55</v>
      </c>
      <c r="AL68" t="s">
        <v>56</v>
      </c>
      <c r="AM68" t="s">
        <v>57</v>
      </c>
      <c r="AN68" t="s">
        <v>58</v>
      </c>
      <c r="AO68" t="s">
        <v>59</v>
      </c>
      <c r="AP68" t="s">
        <v>60</v>
      </c>
      <c r="AQ68" t="s">
        <v>61</v>
      </c>
      <c r="AR68" t="s">
        <v>62</v>
      </c>
      <c r="AS68" s="34" t="s">
        <v>124</v>
      </c>
      <c r="AT68" s="34" t="s">
        <v>125</v>
      </c>
      <c r="AU68" s="34" t="s">
        <v>126</v>
      </c>
      <c r="AV68" s="34" t="s">
        <v>127</v>
      </c>
      <c r="AW68" s="34" t="s">
        <v>128</v>
      </c>
      <c r="AX68" s="34" t="s">
        <v>129</v>
      </c>
    </row>
    <row r="69" spans="1:50" x14ac:dyDescent="0.25">
      <c r="A69">
        <v>96</v>
      </c>
      <c r="B69" s="4">
        <v>0.99182842159518103</v>
      </c>
      <c r="C69" s="4">
        <v>3.8957921743366901</v>
      </c>
      <c r="D69" s="4">
        <v>9.37696765487674</v>
      </c>
      <c r="E69" s="4">
        <v>3.3059470385520201E-3</v>
      </c>
      <c r="F69" s="5">
        <v>8.1715784048180303E-3</v>
      </c>
      <c r="G69" s="5">
        <v>0</v>
      </c>
      <c r="H69" s="4">
        <v>3.9675064954486499</v>
      </c>
      <c r="I69" s="4">
        <v>4.12839362165849</v>
      </c>
      <c r="J69" s="4">
        <v>-54.678879213205398</v>
      </c>
      <c r="K69" s="4">
        <v>-56.6828166580963</v>
      </c>
      <c r="L69" s="4">
        <v>18.7672459376519</v>
      </c>
      <c r="M69" s="4">
        <v>16.2746108854769</v>
      </c>
      <c r="N69" s="4">
        <v>77.853085493118897</v>
      </c>
      <c r="O69" s="4">
        <v>75.2077313122753</v>
      </c>
      <c r="P69" s="4">
        <v>267569.16136997502</v>
      </c>
      <c r="Q69" s="4">
        <v>188541.29891304299</v>
      </c>
      <c r="R69" s="4">
        <v>773.89744065299396</v>
      </c>
      <c r="S69" s="4">
        <v>0</v>
      </c>
      <c r="T69" s="4">
        <v>0</v>
      </c>
      <c r="U69" s="4">
        <v>7.1689610501954604E-2</v>
      </c>
      <c r="V69" s="4">
        <v>0</v>
      </c>
      <c r="W69" s="4">
        <v>0</v>
      </c>
      <c r="X69" s="4">
        <v>0.54446710282797794</v>
      </c>
      <c r="Y69" s="4">
        <v>0</v>
      </c>
      <c r="Z69" s="5">
        <v>7.0368770447332704E-4</v>
      </c>
      <c r="AA69" s="5">
        <v>8.8031509407006497E-5</v>
      </c>
      <c r="AB69" s="10">
        <v>2.5907227451995901E-3</v>
      </c>
      <c r="AC69" s="10">
        <v>3.7428656078954403E-8</v>
      </c>
      <c r="AD69" s="10">
        <v>4.7890872845098202E-3</v>
      </c>
      <c r="AE69" s="4">
        <v>-2.2818133940858101E-2</v>
      </c>
      <c r="AF69" s="4">
        <v>0.98731298548677404</v>
      </c>
      <c r="AG69" s="4">
        <v>0.99644125311145204</v>
      </c>
      <c r="AH69" s="4">
        <v>1</v>
      </c>
      <c r="AI69" s="4">
        <v>1</v>
      </c>
      <c r="AJ69" s="4">
        <v>1</v>
      </c>
      <c r="AK69" s="4">
        <v>1</v>
      </c>
      <c r="AL69" s="4">
        <v>1</v>
      </c>
      <c r="AM69" s="4">
        <v>0</v>
      </c>
      <c r="AN69" s="4">
        <v>0</v>
      </c>
      <c r="AO69" s="4" t="s">
        <v>66</v>
      </c>
      <c r="AP69" s="4">
        <f>-75--50</f>
        <v>-25</v>
      </c>
      <c r="AQ69" s="6">
        <v>17345799.5</v>
      </c>
      <c r="AR69" s="4">
        <v>92</v>
      </c>
      <c r="AS69" s="35">
        <v>100</v>
      </c>
      <c r="AT69" s="35">
        <v>0</v>
      </c>
      <c r="AU69" s="35">
        <v>100</v>
      </c>
      <c r="AV69" s="35">
        <v>0</v>
      </c>
      <c r="AW69" s="35">
        <v>0</v>
      </c>
      <c r="AX69" s="35">
        <v>0</v>
      </c>
    </row>
    <row r="70" spans="1:50" x14ac:dyDescent="0.25">
      <c r="A70">
        <v>96</v>
      </c>
      <c r="B70" s="4">
        <v>0.99146676256765998</v>
      </c>
      <c r="C70" s="4">
        <v>2.5593301408861402</v>
      </c>
      <c r="D70" s="4">
        <v>9.7727093405095005</v>
      </c>
      <c r="E70" s="4">
        <v>2.15820999762718E-3</v>
      </c>
      <c r="F70" s="5">
        <v>8.5332374323394793E-3</v>
      </c>
      <c r="G70" s="5">
        <v>0</v>
      </c>
      <c r="H70" s="4">
        <v>3.8999139070951898</v>
      </c>
      <c r="I70" s="4">
        <v>4.1100911504459097</v>
      </c>
      <c r="J70" s="4">
        <v>-59.796143873627003</v>
      </c>
      <c r="K70" s="4">
        <v>-32.1513166220317</v>
      </c>
      <c r="L70" s="4">
        <v>15.2066874808463</v>
      </c>
      <c r="M70" s="4">
        <v>16.2776529699976</v>
      </c>
      <c r="N70" s="4">
        <v>74.240428233957203</v>
      </c>
      <c r="O70" s="4">
        <v>72.758628281579604</v>
      </c>
      <c r="P70" s="4">
        <v>291058.34678825003</v>
      </c>
      <c r="Q70" s="4">
        <v>258641.70793493601</v>
      </c>
      <c r="R70" s="4">
        <v>784.51618016335499</v>
      </c>
      <c r="S70" s="4">
        <v>0</v>
      </c>
      <c r="T70" s="4">
        <v>0</v>
      </c>
      <c r="U70" s="4">
        <v>6.7353074084885195E-2</v>
      </c>
      <c r="V70" s="4">
        <v>0</v>
      </c>
      <c r="W70" s="4">
        <v>0</v>
      </c>
      <c r="X70" s="4">
        <v>0.61981729889920001</v>
      </c>
      <c r="Y70" s="4">
        <v>0</v>
      </c>
      <c r="Z70" s="5">
        <v>4.4165101929071501E-4</v>
      </c>
      <c r="AA70" s="5">
        <v>6.5486899802512898E-5</v>
      </c>
      <c r="AB70" s="10">
        <v>2.5421345360253601E-3</v>
      </c>
      <c r="AC70" s="10">
        <v>2.70727691691438E-8</v>
      </c>
      <c r="AD70" s="10">
        <v>5.4839231550282003E-3</v>
      </c>
      <c r="AE70" s="4">
        <v>-1.7049303807712201E-2</v>
      </c>
      <c r="AF70" s="4">
        <v>0.97692522153211403</v>
      </c>
      <c r="AG70" s="4">
        <v>0.996250235908543</v>
      </c>
      <c r="AH70" s="4">
        <v>1</v>
      </c>
      <c r="AI70" s="4">
        <v>1</v>
      </c>
      <c r="AJ70" s="4">
        <v>1</v>
      </c>
      <c r="AK70" s="4">
        <v>1</v>
      </c>
      <c r="AL70" s="4">
        <v>1</v>
      </c>
      <c r="AM70" s="4">
        <v>0</v>
      </c>
      <c r="AN70" s="4">
        <v>0</v>
      </c>
      <c r="AO70" s="4" t="s">
        <v>67</v>
      </c>
      <c r="AP70" s="4">
        <f>-50--25</f>
        <v>-25</v>
      </c>
      <c r="AQ70" s="6">
        <v>182859687.50999999</v>
      </c>
      <c r="AR70" s="4">
        <v>707</v>
      </c>
      <c r="AS70" s="35">
        <v>100</v>
      </c>
      <c r="AT70" s="35">
        <v>0</v>
      </c>
      <c r="AU70" s="35">
        <v>100</v>
      </c>
      <c r="AV70" s="35">
        <v>0</v>
      </c>
      <c r="AW70" s="35">
        <v>0</v>
      </c>
      <c r="AX70" s="35">
        <v>0</v>
      </c>
    </row>
    <row r="71" spans="1:50" x14ac:dyDescent="0.25">
      <c r="A71">
        <v>96</v>
      </c>
      <c r="B71" s="4">
        <v>0.98853892120549303</v>
      </c>
      <c r="C71" s="4">
        <v>9.4220487220731997</v>
      </c>
      <c r="D71" s="4">
        <v>12.918624826888699</v>
      </c>
      <c r="E71" s="4">
        <v>8.2127037864756797E-3</v>
      </c>
      <c r="F71" s="5">
        <v>1.1461078794506901E-2</v>
      </c>
      <c r="G71" s="5">
        <v>0</v>
      </c>
      <c r="H71" s="4">
        <v>3.9787687047496401</v>
      </c>
      <c r="I71" s="4">
        <v>4.1163599565904399</v>
      </c>
      <c r="J71" s="4">
        <v>-52.1923481350454</v>
      </c>
      <c r="K71" s="4">
        <v>-22.234952986481101</v>
      </c>
      <c r="L71" s="4">
        <v>15.0584365876016</v>
      </c>
      <c r="M71" s="4">
        <v>16.1435488402294</v>
      </c>
      <c r="N71" s="4">
        <v>73.258944064072296</v>
      </c>
      <c r="O71" s="4">
        <v>71.898841960141596</v>
      </c>
      <c r="P71" s="4">
        <v>289927.420823636</v>
      </c>
      <c r="Q71" s="4">
        <v>263943.26724050601</v>
      </c>
      <c r="R71" s="4">
        <v>783.49569693038495</v>
      </c>
      <c r="S71" s="4">
        <v>0</v>
      </c>
      <c r="T71" s="4">
        <v>0</v>
      </c>
      <c r="U71" s="4">
        <v>0.128468735542971</v>
      </c>
      <c r="V71" s="4">
        <v>0</v>
      </c>
      <c r="W71" s="4">
        <v>0</v>
      </c>
      <c r="X71" s="4">
        <v>0.65047953003451697</v>
      </c>
      <c r="Y71" s="4">
        <v>0</v>
      </c>
      <c r="Z71" s="5">
        <v>3.8934545105584001E-4</v>
      </c>
      <c r="AA71" s="5">
        <v>5.35287183300325E-5</v>
      </c>
      <c r="AB71" s="10">
        <v>2.5274231919366801E-3</v>
      </c>
      <c r="AC71" s="10">
        <v>0</v>
      </c>
      <c r="AD71" s="10">
        <v>8.4907667730138806E-3</v>
      </c>
      <c r="AE71" s="4">
        <v>-1.3797444493466499E-2</v>
      </c>
      <c r="AF71" s="4">
        <v>0.98291915839954902</v>
      </c>
      <c r="AG71" s="4">
        <v>1</v>
      </c>
      <c r="AH71" s="4">
        <v>1</v>
      </c>
      <c r="AI71" s="4">
        <v>1</v>
      </c>
      <c r="AJ71" s="4">
        <v>1</v>
      </c>
      <c r="AK71" s="4">
        <v>1</v>
      </c>
      <c r="AL71" s="4">
        <v>1</v>
      </c>
      <c r="AM71" s="4">
        <v>0</v>
      </c>
      <c r="AN71" s="4">
        <v>0</v>
      </c>
      <c r="AO71" s="4" t="s">
        <v>145</v>
      </c>
      <c r="AP71" s="4">
        <f>-25--20</f>
        <v>-5</v>
      </c>
      <c r="AQ71" s="6">
        <v>104257590.56</v>
      </c>
      <c r="AR71" s="4">
        <v>395</v>
      </c>
      <c r="AS71" s="35">
        <v>100</v>
      </c>
      <c r="AT71" s="35">
        <v>0</v>
      </c>
      <c r="AU71" s="35">
        <v>100</v>
      </c>
      <c r="AV71" s="35">
        <v>0</v>
      </c>
      <c r="AW71" s="35">
        <v>0</v>
      </c>
      <c r="AX71" s="35">
        <v>0</v>
      </c>
    </row>
    <row r="72" spans="1:50" x14ac:dyDescent="0.25">
      <c r="A72">
        <v>96</v>
      </c>
      <c r="B72" s="4">
        <v>0.98664988601483194</v>
      </c>
      <c r="C72" s="4">
        <v>10.807500013660899</v>
      </c>
      <c r="D72" s="4">
        <v>14.894654217840699</v>
      </c>
      <c r="E72" s="4">
        <v>9.4858255699862594E-3</v>
      </c>
      <c r="F72" s="5">
        <v>1.33501139851673E-2</v>
      </c>
      <c r="G72" s="5">
        <v>0</v>
      </c>
      <c r="H72" s="4">
        <v>4.01236868629098</v>
      </c>
      <c r="I72" s="4">
        <v>4.1022851083155096</v>
      </c>
      <c r="J72" s="4">
        <v>-48.675926180338202</v>
      </c>
      <c r="K72" s="4">
        <v>-17.320366360484901</v>
      </c>
      <c r="L72" s="4">
        <v>14.771784185269199</v>
      </c>
      <c r="M72" s="4">
        <v>16.461218794736698</v>
      </c>
      <c r="N72" s="4">
        <v>73.185534357097197</v>
      </c>
      <c r="O72" s="4">
        <v>71.808847523079805</v>
      </c>
      <c r="P72" s="4">
        <v>293291.64763872599</v>
      </c>
      <c r="Q72" s="4">
        <v>268021.90535987698</v>
      </c>
      <c r="R72" s="4">
        <v>783.50073001067199</v>
      </c>
      <c r="S72" s="4">
        <v>0</v>
      </c>
      <c r="T72" s="4">
        <v>0</v>
      </c>
      <c r="U72" s="4">
        <v>0.129025292258545</v>
      </c>
      <c r="V72" s="4">
        <v>0</v>
      </c>
      <c r="W72" s="4">
        <v>0</v>
      </c>
      <c r="X72" s="4">
        <v>0.65217360470802599</v>
      </c>
      <c r="Y72" s="4">
        <v>0</v>
      </c>
      <c r="Z72" s="5">
        <v>3.8242703169776699E-4</v>
      </c>
      <c r="AA72" s="5">
        <v>6.5931188547505601E-5</v>
      </c>
      <c r="AB72" s="10">
        <v>2.6124490926009202E-3</v>
      </c>
      <c r="AC72" s="10">
        <v>4.1997688674896797E-8</v>
      </c>
      <c r="AD72" s="10">
        <v>1.02892496863049E-2</v>
      </c>
      <c r="AE72" s="4">
        <v>-1.21508544715305E-2</v>
      </c>
      <c r="AF72" s="4">
        <v>0.95700419127932501</v>
      </c>
      <c r="AG72" s="4">
        <v>0.99466205826716003</v>
      </c>
      <c r="AH72" s="4">
        <v>1</v>
      </c>
      <c r="AI72" s="4">
        <v>1</v>
      </c>
      <c r="AJ72" s="4">
        <v>1</v>
      </c>
      <c r="AK72" s="4">
        <v>1</v>
      </c>
      <c r="AL72" s="4">
        <v>1</v>
      </c>
      <c r="AM72" s="4">
        <v>0</v>
      </c>
      <c r="AN72" s="4">
        <v>0</v>
      </c>
      <c r="AO72" s="4" t="s">
        <v>146</v>
      </c>
      <c r="AP72" s="4">
        <f>-20--15</f>
        <v>-5</v>
      </c>
      <c r="AQ72" s="6">
        <v>175018304.19999999</v>
      </c>
      <c r="AR72" s="4">
        <v>653</v>
      </c>
      <c r="AS72" s="35">
        <v>100</v>
      </c>
      <c r="AT72" s="35">
        <v>0</v>
      </c>
      <c r="AU72" s="35">
        <v>100</v>
      </c>
      <c r="AV72" s="35">
        <v>0</v>
      </c>
      <c r="AW72" s="35">
        <v>0</v>
      </c>
      <c r="AX72" s="35">
        <v>0</v>
      </c>
    </row>
    <row r="73" spans="1:50" x14ac:dyDescent="0.25">
      <c r="A73">
        <v>96</v>
      </c>
      <c r="B73" s="4">
        <v>0.98525239007272603</v>
      </c>
      <c r="C73" s="4">
        <v>10.6028410799018</v>
      </c>
      <c r="D73" s="4">
        <v>16.329962263995</v>
      </c>
      <c r="E73" s="4">
        <v>9.2966236633027499E-3</v>
      </c>
      <c r="F73" s="5">
        <v>1.47476099272734E-2</v>
      </c>
      <c r="G73" s="5">
        <v>0</v>
      </c>
      <c r="H73" s="4">
        <v>4.05944794979413</v>
      </c>
      <c r="I73" s="4">
        <v>4.10194764115918</v>
      </c>
      <c r="J73" s="4">
        <v>-43.895944417409702</v>
      </c>
      <c r="K73" s="4">
        <v>-12.2652608626338</v>
      </c>
      <c r="L73" s="4">
        <v>14.8629926510228</v>
      </c>
      <c r="M73" s="4">
        <v>16.561958051903598</v>
      </c>
      <c r="N73" s="4">
        <v>72.892803379081499</v>
      </c>
      <c r="O73" s="4">
        <v>71.466896963969901</v>
      </c>
      <c r="P73" s="4">
        <v>290133.71319023101</v>
      </c>
      <c r="Q73" s="4">
        <v>267610.103967954</v>
      </c>
      <c r="R73" s="4">
        <v>782.54737187170701</v>
      </c>
      <c r="S73" s="4">
        <v>0</v>
      </c>
      <c r="T73" s="4">
        <v>0</v>
      </c>
      <c r="U73" s="4">
        <v>0.14817147079672099</v>
      </c>
      <c r="V73" s="4">
        <v>0</v>
      </c>
      <c r="W73" s="4">
        <v>0</v>
      </c>
      <c r="X73" s="4">
        <v>0.675364967224239</v>
      </c>
      <c r="Y73" s="4">
        <v>0</v>
      </c>
      <c r="Z73" s="5">
        <v>3.8339238180246598E-4</v>
      </c>
      <c r="AA73" s="5">
        <v>6.8300585774207603E-5</v>
      </c>
      <c r="AB73" s="10">
        <v>2.6511846579290602E-3</v>
      </c>
      <c r="AC73" s="10">
        <v>1.09388104568301E-7</v>
      </c>
      <c r="AD73" s="10">
        <v>1.1644608332008701E-2</v>
      </c>
      <c r="AE73" s="4">
        <v>-1.19896046733156E-2</v>
      </c>
      <c r="AF73" s="4">
        <v>0.95471591142640999</v>
      </c>
      <c r="AG73" s="4">
        <v>0.99739984698153406</v>
      </c>
      <c r="AH73" s="4">
        <v>0.99974737080067699</v>
      </c>
      <c r="AI73" s="4">
        <v>1</v>
      </c>
      <c r="AJ73" s="4">
        <v>1</v>
      </c>
      <c r="AK73" s="4">
        <v>1</v>
      </c>
      <c r="AL73" s="4">
        <v>1</v>
      </c>
      <c r="AM73" s="4">
        <v>0</v>
      </c>
      <c r="AN73" s="4">
        <v>0</v>
      </c>
      <c r="AO73" s="4" t="s">
        <v>147</v>
      </c>
      <c r="AP73" s="4">
        <f>-15--10</f>
        <v>-5</v>
      </c>
      <c r="AQ73" s="6">
        <v>283934320.31</v>
      </c>
      <c r="AR73" s="4">
        <v>1061</v>
      </c>
      <c r="AS73" s="35">
        <v>100</v>
      </c>
      <c r="AT73" s="35">
        <v>0</v>
      </c>
      <c r="AU73" s="35">
        <v>100</v>
      </c>
      <c r="AV73" s="35">
        <v>0</v>
      </c>
      <c r="AW73" s="35">
        <v>0</v>
      </c>
      <c r="AX73" s="35">
        <v>0</v>
      </c>
    </row>
    <row r="74" spans="1:50" x14ac:dyDescent="0.25">
      <c r="A74">
        <v>96</v>
      </c>
      <c r="B74" s="4">
        <v>0.98387571446414102</v>
      </c>
      <c r="C74" s="4">
        <v>15.810679217502701</v>
      </c>
      <c r="D74" s="4">
        <v>17.722158583353998</v>
      </c>
      <c r="E74" s="4">
        <v>1.42394877131182E-2</v>
      </c>
      <c r="F74" s="5">
        <v>1.61242855358587E-2</v>
      </c>
      <c r="G74" s="5">
        <v>0</v>
      </c>
      <c r="H74" s="4">
        <v>4.10773544017262</v>
      </c>
      <c r="I74" s="4">
        <v>4.0998160327633597</v>
      </c>
      <c r="J74" s="4">
        <v>-39.524502494363503</v>
      </c>
      <c r="K74" s="4">
        <v>-7.3224372973263501</v>
      </c>
      <c r="L74" s="4">
        <v>14.493311607118599</v>
      </c>
      <c r="M74" s="4">
        <v>16.3916436447516</v>
      </c>
      <c r="N74" s="4">
        <v>73.641289802071498</v>
      </c>
      <c r="O74" s="4">
        <v>72.295637353245695</v>
      </c>
      <c r="P74" s="4">
        <v>297162.779001521</v>
      </c>
      <c r="Q74" s="4">
        <v>274503.53776768298</v>
      </c>
      <c r="R74" s="4">
        <v>783.19251565754496</v>
      </c>
      <c r="S74" s="4">
        <v>0</v>
      </c>
      <c r="T74" s="4">
        <v>0</v>
      </c>
      <c r="U74" s="4">
        <v>0.154115116341836</v>
      </c>
      <c r="V74" s="4">
        <v>0</v>
      </c>
      <c r="W74" s="4">
        <v>0</v>
      </c>
      <c r="X74" s="4">
        <v>0.69552450694743295</v>
      </c>
      <c r="Y74" s="4">
        <v>0</v>
      </c>
      <c r="Z74" s="5">
        <v>3.7708944359454098E-4</v>
      </c>
      <c r="AA74" s="5">
        <v>7.1754159543478802E-5</v>
      </c>
      <c r="AB74" s="10">
        <v>2.5337215916445398E-3</v>
      </c>
      <c r="AC74" s="10">
        <v>1.60257967134015E-7</v>
      </c>
      <c r="AD74" s="10">
        <v>1.3141545751266101E-2</v>
      </c>
      <c r="AE74" s="4">
        <v>-1.1378593687509301E-2</v>
      </c>
      <c r="AF74" s="4">
        <v>0.94440567113021801</v>
      </c>
      <c r="AG74" s="4">
        <v>0.98798332332473104</v>
      </c>
      <c r="AH74" s="4">
        <v>0.99955536150096602</v>
      </c>
      <c r="AI74" s="4">
        <v>1</v>
      </c>
      <c r="AJ74" s="4">
        <v>1</v>
      </c>
      <c r="AK74" s="4">
        <v>1</v>
      </c>
      <c r="AL74" s="4">
        <v>1</v>
      </c>
      <c r="AM74" s="4">
        <v>0</v>
      </c>
      <c r="AN74" s="4">
        <v>0</v>
      </c>
      <c r="AO74" s="4" t="s">
        <v>148</v>
      </c>
      <c r="AP74" s="4">
        <f>-10--5</f>
        <v>-5</v>
      </c>
      <c r="AQ74" s="6">
        <v>423009951.69999999</v>
      </c>
      <c r="AR74" s="4">
        <v>1541</v>
      </c>
      <c r="AS74" s="35">
        <v>100</v>
      </c>
      <c r="AT74" s="35">
        <v>0</v>
      </c>
      <c r="AU74" s="35">
        <v>100</v>
      </c>
      <c r="AV74" s="35">
        <v>0</v>
      </c>
      <c r="AW74" s="35">
        <v>0</v>
      </c>
      <c r="AX74" s="35">
        <v>0</v>
      </c>
    </row>
    <row r="75" spans="1:50" x14ac:dyDescent="0.25">
      <c r="A75">
        <v>96</v>
      </c>
      <c r="B75" s="4">
        <v>0.98253860647473501</v>
      </c>
      <c r="C75" s="4">
        <v>14.3236143003755</v>
      </c>
      <c r="D75" s="4">
        <v>19.053982383137299</v>
      </c>
      <c r="E75" s="4">
        <v>1.28001180096661E-2</v>
      </c>
      <c r="F75" s="5">
        <v>1.7461393525264501E-2</v>
      </c>
      <c r="G75" s="5">
        <v>0</v>
      </c>
      <c r="H75" s="4">
        <v>4.1116633589547602</v>
      </c>
      <c r="I75" s="4">
        <v>4.0847325532327998</v>
      </c>
      <c r="J75" s="4">
        <v>-38.2159179779742</v>
      </c>
      <c r="K75" s="4">
        <v>-2.3387296965728201</v>
      </c>
      <c r="L75" s="4">
        <v>14.464719269129301</v>
      </c>
      <c r="M75" s="4">
        <v>16.539599621629801</v>
      </c>
      <c r="N75" s="4">
        <v>71.790473478098804</v>
      </c>
      <c r="O75" s="4">
        <v>70.257817751588703</v>
      </c>
      <c r="P75" s="4">
        <v>297861.70129313599</v>
      </c>
      <c r="Q75" s="4">
        <v>275125.008374125</v>
      </c>
      <c r="R75" s="4">
        <v>782.20966748387195</v>
      </c>
      <c r="S75" s="4">
        <v>0</v>
      </c>
      <c r="T75" s="4">
        <v>0</v>
      </c>
      <c r="U75" s="4">
        <v>0.17400611415669701</v>
      </c>
      <c r="V75" s="4">
        <v>0</v>
      </c>
      <c r="W75" s="4">
        <v>0</v>
      </c>
      <c r="X75" s="4">
        <v>0.71708806222948895</v>
      </c>
      <c r="Y75" s="4">
        <v>0</v>
      </c>
      <c r="Z75" s="5">
        <v>3.7544412997769501E-4</v>
      </c>
      <c r="AA75" s="5">
        <v>6.5077231691794697E-5</v>
      </c>
      <c r="AB75" s="10">
        <v>2.61842422060354E-3</v>
      </c>
      <c r="AC75" s="10">
        <v>2.1687115680944199E-7</v>
      </c>
      <c r="AD75" s="10">
        <v>1.44022169055127E-2</v>
      </c>
      <c r="AE75" s="4">
        <v>-8.8282285006560691E-3</v>
      </c>
      <c r="AF75" s="4">
        <v>0.94302178337834697</v>
      </c>
      <c r="AG75" s="4">
        <v>0.990261260864569</v>
      </c>
      <c r="AH75" s="4">
        <v>0.99944319411498905</v>
      </c>
      <c r="AI75" s="4">
        <v>1</v>
      </c>
      <c r="AJ75" s="4">
        <v>1</v>
      </c>
      <c r="AK75" s="4">
        <v>1</v>
      </c>
      <c r="AL75" s="4">
        <v>1</v>
      </c>
      <c r="AM75" s="4">
        <v>0</v>
      </c>
      <c r="AN75" s="4">
        <v>0</v>
      </c>
      <c r="AO75" s="4" t="s">
        <v>68</v>
      </c>
      <c r="AP75" s="4">
        <f>-25-0</f>
        <v>-25</v>
      </c>
      <c r="AQ75" s="6">
        <v>629486019.15999997</v>
      </c>
      <c r="AR75" s="4">
        <v>2288</v>
      </c>
      <c r="AS75" s="35">
        <v>100</v>
      </c>
      <c r="AT75" s="35">
        <v>0</v>
      </c>
      <c r="AU75" s="35">
        <v>100</v>
      </c>
      <c r="AV75" s="35">
        <v>0</v>
      </c>
      <c r="AW75" s="35">
        <v>0</v>
      </c>
      <c r="AX75" s="35">
        <v>0</v>
      </c>
    </row>
    <row r="76" spans="1:50" x14ac:dyDescent="0.25">
      <c r="A76">
        <v>96</v>
      </c>
      <c r="B76" s="4">
        <v>0.981242204852385</v>
      </c>
      <c r="C76" s="4">
        <v>19.451517440607201</v>
      </c>
      <c r="D76" s="4">
        <v>20.326364224618601</v>
      </c>
      <c r="E76" s="4">
        <v>1.7864414698057302E-2</v>
      </c>
      <c r="F76" s="5">
        <v>1.8757795147614099E-2</v>
      </c>
      <c r="G76" s="5">
        <v>0</v>
      </c>
      <c r="H76" s="4">
        <v>4.1335923595682198</v>
      </c>
      <c r="I76" s="4">
        <v>4.0727534881740102</v>
      </c>
      <c r="J76" s="4">
        <v>-35.041674951701999</v>
      </c>
      <c r="K76" s="4">
        <v>2.65358877799809</v>
      </c>
      <c r="L76" s="4">
        <v>14.474732148726201</v>
      </c>
      <c r="M76" s="4">
        <v>16.4624737595658</v>
      </c>
      <c r="N76" s="4">
        <v>71.886996158871696</v>
      </c>
      <c r="O76" s="4">
        <v>70.234034387684503</v>
      </c>
      <c r="P76" s="4">
        <v>297332.28043472703</v>
      </c>
      <c r="Q76" s="4">
        <v>275510.88557803398</v>
      </c>
      <c r="R76" s="4">
        <v>782.24488038055404</v>
      </c>
      <c r="S76" s="4">
        <v>0</v>
      </c>
      <c r="T76" s="4">
        <v>0</v>
      </c>
      <c r="U76" s="4">
        <v>0.218826066836874</v>
      </c>
      <c r="V76" s="4">
        <v>0</v>
      </c>
      <c r="W76" s="4">
        <v>0</v>
      </c>
      <c r="X76" s="4">
        <v>0.75782720281849303</v>
      </c>
      <c r="Y76" s="4">
        <v>0</v>
      </c>
      <c r="Z76" s="5">
        <v>3.7073437952135001E-4</v>
      </c>
      <c r="AA76" s="5">
        <v>6.3384511808044406E-5</v>
      </c>
      <c r="AB76" s="10">
        <v>2.64595116453067E-3</v>
      </c>
      <c r="AC76" s="10">
        <v>3.1561932513018103E-7</v>
      </c>
      <c r="AD76" s="10">
        <v>1.5677395081831299E-2</v>
      </c>
      <c r="AE76" s="4">
        <v>-5.5919343961191199E-3</v>
      </c>
      <c r="AF76" s="4">
        <v>0.92268659163050204</v>
      </c>
      <c r="AG76" s="4">
        <v>0.98776175983885295</v>
      </c>
      <c r="AH76" s="4">
        <v>0.99886647106739102</v>
      </c>
      <c r="AI76" s="4">
        <v>1</v>
      </c>
      <c r="AJ76" s="4">
        <v>1</v>
      </c>
      <c r="AK76" s="4">
        <v>1</v>
      </c>
      <c r="AL76" s="4">
        <v>1</v>
      </c>
      <c r="AM76" s="4">
        <v>0</v>
      </c>
      <c r="AN76" s="4">
        <v>0</v>
      </c>
      <c r="AO76" s="4" t="s">
        <v>149</v>
      </c>
      <c r="AP76" s="4" t="s">
        <v>135</v>
      </c>
      <c r="AQ76" s="6">
        <v>857940897.69000006</v>
      </c>
      <c r="AR76" s="4">
        <v>3114</v>
      </c>
      <c r="AS76" s="35">
        <v>100</v>
      </c>
      <c r="AT76" s="35">
        <v>0</v>
      </c>
      <c r="AU76" s="35">
        <v>100</v>
      </c>
      <c r="AV76" s="35">
        <v>0</v>
      </c>
      <c r="AW76" s="35">
        <v>0</v>
      </c>
      <c r="AX76" s="35">
        <v>0</v>
      </c>
    </row>
    <row r="77" spans="1:50" x14ac:dyDescent="0.25">
      <c r="A77">
        <v>96</v>
      </c>
      <c r="B77" s="4">
        <v>0.98008601443156096</v>
      </c>
      <c r="C77" s="4">
        <v>23.9450196880154</v>
      </c>
      <c r="D77" s="4">
        <v>21.445638374830999</v>
      </c>
      <c r="E77" s="4">
        <v>2.2551304094821999E-2</v>
      </c>
      <c r="F77" s="5">
        <v>1.9913985568438701E-2</v>
      </c>
      <c r="G77" s="5">
        <v>0</v>
      </c>
      <c r="H77" s="4">
        <v>4.1410750610857896</v>
      </c>
      <c r="I77" s="4">
        <v>4.0480439526194196</v>
      </c>
      <c r="J77" s="4">
        <v>-33.144410507672802</v>
      </c>
      <c r="K77" s="4">
        <v>7.6198852778356896</v>
      </c>
      <c r="L77" s="4">
        <v>14.8286896431719</v>
      </c>
      <c r="M77" s="4">
        <v>16.410128280764798</v>
      </c>
      <c r="N77" s="4">
        <v>71.889857332569306</v>
      </c>
      <c r="O77" s="4">
        <v>69.875992324492898</v>
      </c>
      <c r="P77" s="4">
        <v>290487.27302350098</v>
      </c>
      <c r="Q77" s="4">
        <v>268888.98451913998</v>
      </c>
      <c r="R77" s="4">
        <v>782.61242352092302</v>
      </c>
      <c r="S77" s="4">
        <v>0</v>
      </c>
      <c r="T77" s="4">
        <v>0</v>
      </c>
      <c r="U77" s="4">
        <v>0.23321860056688201</v>
      </c>
      <c r="V77" s="4">
        <v>0</v>
      </c>
      <c r="W77" s="4">
        <v>0</v>
      </c>
      <c r="X77" s="4">
        <v>0.77023482471890103</v>
      </c>
      <c r="Y77" s="4">
        <v>0</v>
      </c>
      <c r="Z77" s="5">
        <v>3.7079632397996699E-4</v>
      </c>
      <c r="AA77" s="5">
        <v>6.97161050820527E-5</v>
      </c>
      <c r="AB77" s="10">
        <v>2.7526028375266902E-3</v>
      </c>
      <c r="AC77" s="10">
        <v>1.5092874316502999E-6</v>
      </c>
      <c r="AD77" s="10">
        <v>1.6719346685483898E-2</v>
      </c>
      <c r="AE77" s="4">
        <v>3.1504852914115202E-4</v>
      </c>
      <c r="AF77" s="4">
        <v>0.88392053099645496</v>
      </c>
      <c r="AG77" s="4">
        <v>0.97579614513667201</v>
      </c>
      <c r="AH77" s="4">
        <v>0.99568268337099597</v>
      </c>
      <c r="AI77" s="4">
        <v>0.99968543510735997</v>
      </c>
      <c r="AJ77" s="4">
        <v>1</v>
      </c>
      <c r="AK77" s="4">
        <v>1</v>
      </c>
      <c r="AL77" s="4">
        <v>1</v>
      </c>
      <c r="AM77" s="4">
        <v>0</v>
      </c>
      <c r="AN77" s="4">
        <v>0</v>
      </c>
      <c r="AO77" s="4" t="s">
        <v>150</v>
      </c>
      <c r="AP77" s="4">
        <v>43230</v>
      </c>
      <c r="AQ77" s="6">
        <v>1151920409.6800001</v>
      </c>
      <c r="AR77" s="4">
        <v>4284</v>
      </c>
      <c r="AS77" s="35">
        <v>100</v>
      </c>
      <c r="AT77" s="35">
        <v>0</v>
      </c>
      <c r="AU77" s="35">
        <v>100</v>
      </c>
      <c r="AV77" s="35">
        <v>0</v>
      </c>
      <c r="AW77" s="35">
        <v>0</v>
      </c>
      <c r="AX77" s="35">
        <v>0</v>
      </c>
    </row>
    <row r="78" spans="1:50" x14ac:dyDescent="0.25">
      <c r="A78">
        <v>96</v>
      </c>
      <c r="B78" s="4">
        <v>0.97878732798381596</v>
      </c>
      <c r="C78" s="4">
        <v>20.863987202152899</v>
      </c>
      <c r="D78" s="4">
        <v>22.685659315351501</v>
      </c>
      <c r="E78" s="4">
        <v>1.9311279123002699E-2</v>
      </c>
      <c r="F78" s="5">
        <v>2.12126720161839E-2</v>
      </c>
      <c r="G78" s="5">
        <v>0</v>
      </c>
      <c r="H78" s="4">
        <v>4.12652527798378</v>
      </c>
      <c r="I78" s="4">
        <v>4.0203290156796898</v>
      </c>
      <c r="J78" s="4">
        <v>-32.434444226323102</v>
      </c>
      <c r="K78" s="4">
        <v>12.7027837487685</v>
      </c>
      <c r="L78" s="4">
        <v>14.9159672919724</v>
      </c>
      <c r="M78" s="4">
        <v>16.210358533753499</v>
      </c>
      <c r="N78" s="4">
        <v>69.936324702927607</v>
      </c>
      <c r="O78" s="4">
        <v>67.409519878617203</v>
      </c>
      <c r="P78" s="4">
        <v>287560.36722777499</v>
      </c>
      <c r="Q78" s="4">
        <v>267491.70188215701</v>
      </c>
      <c r="R78" s="4">
        <v>783.42409523981098</v>
      </c>
      <c r="S78" s="4">
        <v>0</v>
      </c>
      <c r="T78" s="4">
        <v>0</v>
      </c>
      <c r="U78" s="4">
        <v>0.24622891484250001</v>
      </c>
      <c r="V78" s="4">
        <v>0</v>
      </c>
      <c r="W78" s="4">
        <v>0</v>
      </c>
      <c r="X78" s="4">
        <v>0.78940181404236098</v>
      </c>
      <c r="Y78" s="4">
        <v>0</v>
      </c>
      <c r="Z78" s="5">
        <v>3.7264347530107202E-4</v>
      </c>
      <c r="AA78" s="5">
        <v>6.1615366214331496E-5</v>
      </c>
      <c r="AB78" s="10">
        <v>2.85578152903904E-3</v>
      </c>
      <c r="AC78" s="10">
        <v>1.69812229248302E-6</v>
      </c>
      <c r="AD78" s="10">
        <v>1.7920919365436098E-2</v>
      </c>
      <c r="AE78" s="4">
        <v>7.2628805990612201E-3</v>
      </c>
      <c r="AF78" s="4">
        <v>0.83756179077103998</v>
      </c>
      <c r="AG78" s="4">
        <v>0.96341909582053598</v>
      </c>
      <c r="AH78" s="4">
        <v>0.99677142633029903</v>
      </c>
      <c r="AI78" s="4">
        <v>0.999763562830293</v>
      </c>
      <c r="AJ78" s="4">
        <v>1</v>
      </c>
      <c r="AK78" s="4">
        <v>1</v>
      </c>
      <c r="AL78" s="4">
        <v>1</v>
      </c>
      <c r="AM78" s="4">
        <v>0</v>
      </c>
      <c r="AN78" s="4">
        <v>0</v>
      </c>
      <c r="AO78" s="4" t="s">
        <v>151</v>
      </c>
      <c r="AP78" s="4">
        <v>43388</v>
      </c>
      <c r="AQ78" s="6">
        <v>1611637503.8399999</v>
      </c>
      <c r="AR78" s="4">
        <v>6025</v>
      </c>
      <c r="AS78" s="35">
        <v>100</v>
      </c>
      <c r="AT78" s="35">
        <v>0</v>
      </c>
      <c r="AU78" s="35">
        <v>100</v>
      </c>
      <c r="AV78" s="35">
        <v>0</v>
      </c>
      <c r="AW78" s="35">
        <v>0</v>
      </c>
      <c r="AX78" s="35">
        <v>0</v>
      </c>
    </row>
    <row r="79" spans="1:50" x14ac:dyDescent="0.25">
      <c r="A79">
        <v>96</v>
      </c>
      <c r="B79" s="4">
        <v>0.97704960377490302</v>
      </c>
      <c r="C79" s="4">
        <v>23.8056782456527</v>
      </c>
      <c r="D79" s="4">
        <v>24.3168228305606</v>
      </c>
      <c r="E79" s="4">
        <v>2.2402196090709401E-2</v>
      </c>
      <c r="F79" s="5">
        <v>2.2950396225096498E-2</v>
      </c>
      <c r="G79" s="5">
        <v>0</v>
      </c>
      <c r="H79" s="4">
        <v>4.1249626798000003</v>
      </c>
      <c r="I79" s="4">
        <v>3.9968770389563599</v>
      </c>
      <c r="J79" s="4">
        <v>-30.839617950426401</v>
      </c>
      <c r="K79" s="4">
        <v>17.616235747790999</v>
      </c>
      <c r="L79" s="4">
        <v>14.585151986864</v>
      </c>
      <c r="M79" s="4">
        <v>15.9822098729736</v>
      </c>
      <c r="N79" s="4">
        <v>69.064700700782595</v>
      </c>
      <c r="O79" s="4">
        <v>66.273359183536797</v>
      </c>
      <c r="P79" s="4">
        <v>294113.95008790202</v>
      </c>
      <c r="Q79" s="4">
        <v>273704.231762674</v>
      </c>
      <c r="R79" s="4">
        <v>783.76650059733299</v>
      </c>
      <c r="S79" s="4">
        <v>0</v>
      </c>
      <c r="T79" s="4">
        <v>0</v>
      </c>
      <c r="U79" s="4">
        <v>0.25910043896838802</v>
      </c>
      <c r="V79" s="4">
        <v>0</v>
      </c>
      <c r="W79" s="4">
        <v>0</v>
      </c>
      <c r="X79" s="4">
        <v>0.81223350885349199</v>
      </c>
      <c r="Y79" s="4">
        <v>0</v>
      </c>
      <c r="Z79" s="5">
        <v>3.6983754426294502E-4</v>
      </c>
      <c r="AA79" s="5">
        <v>6.0334905664238403E-5</v>
      </c>
      <c r="AB79" s="10">
        <v>2.8946161341075502E-3</v>
      </c>
      <c r="AC79" s="10">
        <v>3.99129099910267E-6</v>
      </c>
      <c r="AD79" s="10">
        <v>1.9621601977535399E-2</v>
      </c>
      <c r="AE79" s="4">
        <v>1.3918083116062401E-2</v>
      </c>
      <c r="AF79" s="4">
        <v>0.790754276403002</v>
      </c>
      <c r="AG79" s="4">
        <v>0.93225233652566697</v>
      </c>
      <c r="AH79" s="4">
        <v>0.99252337413237302</v>
      </c>
      <c r="AI79" s="4">
        <v>0.99853655801968</v>
      </c>
      <c r="AJ79" s="4">
        <v>1</v>
      </c>
      <c r="AK79" s="4">
        <v>1</v>
      </c>
      <c r="AL79" s="4">
        <v>1</v>
      </c>
      <c r="AM79" s="4">
        <v>0</v>
      </c>
      <c r="AN79" s="4">
        <v>0</v>
      </c>
      <c r="AO79" s="4" t="s">
        <v>152</v>
      </c>
      <c r="AP79" s="4" t="s">
        <v>136</v>
      </c>
      <c r="AQ79" s="6">
        <v>2456495480.0700002</v>
      </c>
      <c r="AR79" s="4">
        <v>8975</v>
      </c>
      <c r="AS79" s="35">
        <v>100</v>
      </c>
      <c r="AT79" s="35">
        <v>0</v>
      </c>
      <c r="AU79" s="35">
        <v>100</v>
      </c>
      <c r="AV79" s="35">
        <v>0</v>
      </c>
      <c r="AW79" s="35">
        <v>0</v>
      </c>
      <c r="AX79" s="35">
        <v>0</v>
      </c>
    </row>
    <row r="80" spans="1:50" x14ac:dyDescent="0.25">
      <c r="A80">
        <v>96</v>
      </c>
      <c r="B80" s="4">
        <v>0.97500255094645505</v>
      </c>
      <c r="C80" s="4">
        <v>30.8793263446269</v>
      </c>
      <c r="D80" s="4">
        <v>26.1978483448978</v>
      </c>
      <c r="E80" s="4">
        <v>3.0307588786639399E-2</v>
      </c>
      <c r="F80" s="5">
        <v>2.49974490535444E-2</v>
      </c>
      <c r="G80" s="5">
        <v>0</v>
      </c>
      <c r="H80" s="4">
        <v>4.11795465709322</v>
      </c>
      <c r="I80" s="4">
        <v>3.9652869250489902</v>
      </c>
      <c r="J80" s="4">
        <v>-30.422156073968601</v>
      </c>
      <c r="K80" s="4">
        <v>22.590179235964602</v>
      </c>
      <c r="L80" s="4">
        <v>14.1652200518805</v>
      </c>
      <c r="M80" s="4">
        <v>15.924105421180601</v>
      </c>
      <c r="N80" s="4">
        <v>66.216865003913298</v>
      </c>
      <c r="O80" s="4">
        <v>63.242574976242103</v>
      </c>
      <c r="P80" s="4">
        <v>301198.07225883298</v>
      </c>
      <c r="Q80" s="4">
        <v>281802.722743658</v>
      </c>
      <c r="R80" s="4">
        <v>784.11376262156205</v>
      </c>
      <c r="S80" s="4">
        <v>0</v>
      </c>
      <c r="T80" s="4">
        <v>0</v>
      </c>
      <c r="U80" s="4">
        <v>0.26559685421721102</v>
      </c>
      <c r="V80" s="4">
        <v>0</v>
      </c>
      <c r="W80" s="4">
        <v>0</v>
      </c>
      <c r="X80" s="4">
        <v>0.84041247092732796</v>
      </c>
      <c r="Y80" s="4">
        <v>0</v>
      </c>
      <c r="Z80" s="5">
        <v>3.6890883654922202E-4</v>
      </c>
      <c r="AA80" s="5">
        <v>5.48121404451954E-5</v>
      </c>
      <c r="AB80" s="10">
        <v>2.9440370624924002E-3</v>
      </c>
      <c r="AC80" s="10">
        <v>5.5388258331304501E-6</v>
      </c>
      <c r="AD80" s="10">
        <v>2.1624137958783402E-2</v>
      </c>
      <c r="AE80" s="4">
        <v>1.97023682483865E-2</v>
      </c>
      <c r="AF80" s="4">
        <v>0.75383704865582402</v>
      </c>
      <c r="AG80" s="4">
        <v>0.92120140654705196</v>
      </c>
      <c r="AH80" s="4">
        <v>0.99290227417140797</v>
      </c>
      <c r="AI80" s="4">
        <v>0.99818661193979297</v>
      </c>
      <c r="AJ80" s="4">
        <v>1</v>
      </c>
      <c r="AK80" s="4">
        <v>1</v>
      </c>
      <c r="AL80" s="4">
        <v>1</v>
      </c>
      <c r="AM80" s="4">
        <v>0</v>
      </c>
      <c r="AN80" s="4">
        <v>0</v>
      </c>
      <c r="AO80" s="4" t="s">
        <v>69</v>
      </c>
      <c r="AP80" s="4" t="s">
        <v>70</v>
      </c>
      <c r="AQ80" s="6">
        <v>3377123829.3600001</v>
      </c>
      <c r="AR80" s="4">
        <v>11984</v>
      </c>
      <c r="AS80" s="35">
        <v>100</v>
      </c>
      <c r="AT80" s="35">
        <v>0</v>
      </c>
      <c r="AU80" s="35">
        <v>100</v>
      </c>
      <c r="AV80" s="35">
        <v>0</v>
      </c>
      <c r="AW80" s="35">
        <v>0</v>
      </c>
      <c r="AX80" s="35">
        <v>0</v>
      </c>
    </row>
    <row r="81" spans="1:50" x14ac:dyDescent="0.25">
      <c r="A81">
        <v>96</v>
      </c>
      <c r="B81" s="4">
        <v>0.97309601675153901</v>
      </c>
      <c r="C81" s="4">
        <v>35.002481917462902</v>
      </c>
      <c r="D81" s="4">
        <v>27.911110083543601</v>
      </c>
      <c r="E81" s="4">
        <v>3.5264934004911298E-2</v>
      </c>
      <c r="F81" s="5">
        <v>2.6903983248460099E-2</v>
      </c>
      <c r="G81" s="5">
        <v>0</v>
      </c>
      <c r="H81" s="4">
        <v>4.1320208105421301</v>
      </c>
      <c r="I81" s="4">
        <v>3.9390588873090802</v>
      </c>
      <c r="J81" s="4">
        <v>-29.076315836181699</v>
      </c>
      <c r="K81" s="4">
        <v>27.547268159078001</v>
      </c>
      <c r="L81" s="4">
        <v>13.9063613226923</v>
      </c>
      <c r="M81" s="4">
        <v>15.993033440087</v>
      </c>
      <c r="N81" s="4">
        <v>66.040052391162106</v>
      </c>
      <c r="O81" s="4">
        <v>62.599357960225603</v>
      </c>
      <c r="P81" s="4">
        <v>306080.19849940803</v>
      </c>
      <c r="Q81" s="4">
        <v>287059.90563547902</v>
      </c>
      <c r="R81" s="4">
        <v>783.65888221929401</v>
      </c>
      <c r="S81" s="4">
        <v>0</v>
      </c>
      <c r="T81" s="4">
        <v>0</v>
      </c>
      <c r="U81" s="4">
        <v>0.258862948788463</v>
      </c>
      <c r="V81" s="4">
        <v>0</v>
      </c>
      <c r="W81" s="4">
        <v>0</v>
      </c>
      <c r="X81" s="4">
        <v>0.83429079474257295</v>
      </c>
      <c r="Y81" s="4">
        <v>0</v>
      </c>
      <c r="Z81" s="5">
        <v>3.6785538516459102E-4</v>
      </c>
      <c r="AA81" s="5">
        <v>5.6192522587931499E-5</v>
      </c>
      <c r="AB81" s="10">
        <v>3.0018128537735301E-3</v>
      </c>
      <c r="AC81" s="10">
        <v>8.30684836859423E-6</v>
      </c>
      <c r="AD81" s="10">
        <v>2.3469801223354798E-2</v>
      </c>
      <c r="AE81" s="4">
        <v>2.59565847627087E-2</v>
      </c>
      <c r="AF81" s="4">
        <v>0.71356768844104101</v>
      </c>
      <c r="AG81" s="4">
        <v>0.90914448783013102</v>
      </c>
      <c r="AH81" s="4">
        <v>0.99017706108356496</v>
      </c>
      <c r="AI81" s="4">
        <v>0.997157891372486</v>
      </c>
      <c r="AJ81" s="4">
        <v>1</v>
      </c>
      <c r="AK81" s="4">
        <v>1</v>
      </c>
      <c r="AL81" s="4">
        <v>1</v>
      </c>
      <c r="AM81" s="4">
        <v>0</v>
      </c>
      <c r="AN81" s="4">
        <v>0</v>
      </c>
      <c r="AO81" s="4" t="s">
        <v>153</v>
      </c>
      <c r="AP81" s="4" t="s">
        <v>137</v>
      </c>
      <c r="AQ81" s="6">
        <v>3954824319.9400001</v>
      </c>
      <c r="AR81" s="4">
        <v>13777</v>
      </c>
      <c r="AS81" s="35">
        <v>100</v>
      </c>
      <c r="AT81" s="35">
        <v>0</v>
      </c>
      <c r="AU81" s="35">
        <v>100</v>
      </c>
      <c r="AV81" s="35">
        <v>0</v>
      </c>
      <c r="AW81" s="35">
        <v>0</v>
      </c>
      <c r="AX81" s="35">
        <v>0</v>
      </c>
    </row>
    <row r="82" spans="1:50" x14ac:dyDescent="0.25">
      <c r="A82">
        <v>96</v>
      </c>
      <c r="B82" s="4">
        <v>0.97091666766042095</v>
      </c>
      <c r="C82" s="4">
        <v>37.322085488339603</v>
      </c>
      <c r="D82" s="4">
        <v>29.824828953839098</v>
      </c>
      <c r="E82" s="4">
        <v>3.8182049388878203E-2</v>
      </c>
      <c r="F82" s="5">
        <v>2.9083332339578501E-2</v>
      </c>
      <c r="G82" s="5">
        <v>0</v>
      </c>
      <c r="H82" s="4">
        <v>4.1277906548543397</v>
      </c>
      <c r="I82" s="4">
        <v>3.8973418603523098</v>
      </c>
      <c r="J82" s="4">
        <v>-28.481970434030298</v>
      </c>
      <c r="K82" s="4">
        <v>32.542028407735103</v>
      </c>
      <c r="L82" s="4">
        <v>13.6691511627105</v>
      </c>
      <c r="M82" s="4">
        <v>16.0008163056245</v>
      </c>
      <c r="N82" s="4">
        <v>65.147319408371501</v>
      </c>
      <c r="O82" s="4">
        <v>61.4600643279324</v>
      </c>
      <c r="P82" s="4">
        <v>311128.70674513403</v>
      </c>
      <c r="Q82" s="4">
        <v>292033.55136215402</v>
      </c>
      <c r="R82" s="4">
        <v>784.22640410087001</v>
      </c>
      <c r="S82" s="4">
        <v>0</v>
      </c>
      <c r="T82" s="4">
        <v>0</v>
      </c>
      <c r="U82" s="4">
        <v>0.27340684021081102</v>
      </c>
      <c r="V82" s="4">
        <v>0</v>
      </c>
      <c r="W82" s="4">
        <v>0</v>
      </c>
      <c r="X82" s="4">
        <v>0.84854343371554997</v>
      </c>
      <c r="Y82" s="4">
        <v>0</v>
      </c>
      <c r="Z82" s="5">
        <v>3.6784593317103599E-4</v>
      </c>
      <c r="AA82" s="5">
        <v>5.5420989056981099E-5</v>
      </c>
      <c r="AB82" s="10">
        <v>3.0536813605661602E-3</v>
      </c>
      <c r="AC82" s="10">
        <v>1.0630445871794299E-5</v>
      </c>
      <c r="AD82" s="10">
        <v>2.5595739310223201E-2</v>
      </c>
      <c r="AE82" s="4">
        <v>3.4819176288783303E-2</v>
      </c>
      <c r="AF82" s="4">
        <v>0.67057977575977301</v>
      </c>
      <c r="AG82" s="4">
        <v>0.87480962339603097</v>
      </c>
      <c r="AH82" s="4">
        <v>0.990303506265099</v>
      </c>
      <c r="AI82" s="4">
        <v>0.99805258986355505</v>
      </c>
      <c r="AJ82" s="4">
        <v>1</v>
      </c>
      <c r="AK82" s="4">
        <v>1</v>
      </c>
      <c r="AL82" s="4">
        <v>1</v>
      </c>
      <c r="AM82" s="4">
        <v>0</v>
      </c>
      <c r="AN82" s="4">
        <v>0</v>
      </c>
      <c r="AO82" s="4" t="s">
        <v>154</v>
      </c>
      <c r="AP82" s="4" t="s">
        <v>138</v>
      </c>
      <c r="AQ82" s="6">
        <v>4390724444.7299995</v>
      </c>
      <c r="AR82" s="4">
        <v>15035</v>
      </c>
      <c r="AS82" s="35">
        <v>100</v>
      </c>
      <c r="AT82" s="35">
        <v>0</v>
      </c>
      <c r="AU82" s="35">
        <v>100</v>
      </c>
      <c r="AV82" s="35">
        <v>0</v>
      </c>
      <c r="AW82" s="35">
        <v>0</v>
      </c>
      <c r="AX82" s="35">
        <v>0</v>
      </c>
    </row>
    <row r="83" spans="1:50" x14ac:dyDescent="0.25">
      <c r="A83">
        <v>96</v>
      </c>
      <c r="B83" s="4">
        <v>0.96906111564206199</v>
      </c>
      <c r="C83" s="4">
        <v>39.012061454220301</v>
      </c>
      <c r="D83" s="4">
        <v>31.417389792319302</v>
      </c>
      <c r="E83" s="4">
        <v>4.03703394190894E-2</v>
      </c>
      <c r="F83" s="5">
        <v>3.0938884357937499E-2</v>
      </c>
      <c r="G83" s="5">
        <v>0</v>
      </c>
      <c r="H83" s="4">
        <v>4.1407287725094504</v>
      </c>
      <c r="I83" s="4">
        <v>3.8616034924579301</v>
      </c>
      <c r="J83" s="4">
        <v>-27.749282437373498</v>
      </c>
      <c r="K83" s="4">
        <v>37.486494006130997</v>
      </c>
      <c r="L83" s="4">
        <v>13.6665653308547</v>
      </c>
      <c r="M83" s="4">
        <v>16.088478416822198</v>
      </c>
      <c r="N83" s="4">
        <v>65.027498107169606</v>
      </c>
      <c r="O83" s="4">
        <v>60.962342027736597</v>
      </c>
      <c r="P83" s="4">
        <v>310640.52325058298</v>
      </c>
      <c r="Q83" s="4">
        <v>292099.19955239497</v>
      </c>
      <c r="R83" s="4">
        <v>783.91532349489398</v>
      </c>
      <c r="S83" s="4">
        <v>0</v>
      </c>
      <c r="T83" s="4">
        <v>0</v>
      </c>
      <c r="U83" s="4">
        <v>0.27413010306864899</v>
      </c>
      <c r="V83" s="4">
        <v>0</v>
      </c>
      <c r="W83" s="4">
        <v>0</v>
      </c>
      <c r="X83" s="4">
        <v>0.83728411381441503</v>
      </c>
      <c r="Y83" s="4">
        <v>0</v>
      </c>
      <c r="Z83" s="5">
        <v>3.6729239325433298E-4</v>
      </c>
      <c r="AA83" s="5">
        <v>5.4592608705812102E-5</v>
      </c>
      <c r="AB83" s="10">
        <v>3.1091512593137199E-3</v>
      </c>
      <c r="AC83" s="10">
        <v>1.15687351595425E-5</v>
      </c>
      <c r="AD83" s="10">
        <v>2.7396265166412501E-2</v>
      </c>
      <c r="AE83" s="4">
        <v>3.77246597768243E-2</v>
      </c>
      <c r="AF83" s="4">
        <v>0.644592725451407</v>
      </c>
      <c r="AG83" s="4">
        <v>0.899880180525504</v>
      </c>
      <c r="AH83" s="4">
        <v>0.98723352372402595</v>
      </c>
      <c r="AI83" s="4">
        <v>0.99853075538355995</v>
      </c>
      <c r="AJ83" s="4">
        <v>1</v>
      </c>
      <c r="AK83" s="4">
        <v>1</v>
      </c>
      <c r="AL83" s="4">
        <v>1</v>
      </c>
      <c r="AM83" s="4">
        <v>0</v>
      </c>
      <c r="AN83" s="4">
        <v>0</v>
      </c>
      <c r="AO83" s="4" t="s">
        <v>155</v>
      </c>
      <c r="AP83" s="4" t="s">
        <v>139</v>
      </c>
      <c r="AQ83" s="6">
        <v>4437571039.6000004</v>
      </c>
      <c r="AR83" s="4">
        <v>15192</v>
      </c>
      <c r="AS83" s="35">
        <v>100</v>
      </c>
      <c r="AT83" s="35">
        <v>0</v>
      </c>
      <c r="AU83" s="35">
        <v>100</v>
      </c>
      <c r="AV83" s="35">
        <v>0</v>
      </c>
      <c r="AW83" s="35">
        <v>0</v>
      </c>
      <c r="AX83" s="35">
        <v>0</v>
      </c>
    </row>
    <row r="84" spans="1:50" x14ac:dyDescent="0.25">
      <c r="A84">
        <v>96</v>
      </c>
      <c r="B84" s="4">
        <v>0.96673685760725103</v>
      </c>
      <c r="C84" s="4">
        <v>42.229079659815802</v>
      </c>
      <c r="D84" s="4">
        <v>33.365472771682398</v>
      </c>
      <c r="E84" s="4">
        <v>4.4694142778095303E-2</v>
      </c>
      <c r="F84" s="5">
        <v>3.3263142392748198E-2</v>
      </c>
      <c r="G84" s="5">
        <v>0</v>
      </c>
      <c r="H84" s="4">
        <v>4.1633655225229704</v>
      </c>
      <c r="I84" s="4">
        <v>3.8333468172786298</v>
      </c>
      <c r="J84" s="4">
        <v>-26.642684336029799</v>
      </c>
      <c r="K84" s="4">
        <v>42.421648053468502</v>
      </c>
      <c r="L84" s="4">
        <v>13.5343837545193</v>
      </c>
      <c r="M84" s="4">
        <v>16.218482120866302</v>
      </c>
      <c r="N84" s="4">
        <v>65.216203638752802</v>
      </c>
      <c r="O84" s="4">
        <v>60.830955032490699</v>
      </c>
      <c r="P84" s="4">
        <v>314000.987354532</v>
      </c>
      <c r="Q84" s="4">
        <v>294944.17438660102</v>
      </c>
      <c r="R84" s="4">
        <v>783.87257233366995</v>
      </c>
      <c r="S84" s="4">
        <v>0</v>
      </c>
      <c r="T84" s="4">
        <v>0</v>
      </c>
      <c r="U84" s="4">
        <v>0.28137818647006801</v>
      </c>
      <c r="V84" s="4">
        <v>0</v>
      </c>
      <c r="W84" s="4">
        <v>0</v>
      </c>
      <c r="X84" s="4">
        <v>0.84062485855171498</v>
      </c>
      <c r="Y84" s="4">
        <v>0</v>
      </c>
      <c r="Z84" s="5">
        <v>3.6878211234070901E-4</v>
      </c>
      <c r="AA84" s="5">
        <v>5.6210011715931697E-5</v>
      </c>
      <c r="AB84" s="10">
        <v>3.1894473592150199E-3</v>
      </c>
      <c r="AC84" s="10">
        <v>1.2788838234453799E-5</v>
      </c>
      <c r="AD84" s="10">
        <v>2.9635899726087701E-2</v>
      </c>
      <c r="AE84" s="4">
        <v>4.5297538123052601E-2</v>
      </c>
      <c r="AF84" s="4">
        <v>0.60042004757923895</v>
      </c>
      <c r="AG84" s="4">
        <v>0.88244543445099</v>
      </c>
      <c r="AH84" s="4">
        <v>0.98714773697073899</v>
      </c>
      <c r="AI84" s="4">
        <v>0.99890421664259799</v>
      </c>
      <c r="AJ84" s="4">
        <v>1</v>
      </c>
      <c r="AK84" s="4">
        <v>1</v>
      </c>
      <c r="AL84" s="4">
        <v>1</v>
      </c>
      <c r="AM84" s="4">
        <v>0</v>
      </c>
      <c r="AN84" s="4">
        <v>0</v>
      </c>
      <c r="AO84" s="4" t="s">
        <v>156</v>
      </c>
      <c r="AP84" s="4" t="s">
        <v>140</v>
      </c>
      <c r="AQ84" s="6">
        <v>4226550018.96</v>
      </c>
      <c r="AR84" s="4">
        <v>14330</v>
      </c>
      <c r="AS84" s="35">
        <v>100</v>
      </c>
      <c r="AT84" s="35">
        <v>0</v>
      </c>
      <c r="AU84" s="35">
        <v>100</v>
      </c>
      <c r="AV84" s="35">
        <v>0</v>
      </c>
      <c r="AW84" s="35">
        <v>0</v>
      </c>
      <c r="AX84" s="35">
        <v>0</v>
      </c>
    </row>
    <row r="85" spans="1:50" x14ac:dyDescent="0.25">
      <c r="A85">
        <v>96</v>
      </c>
      <c r="B85" s="4">
        <v>0.964272140418441</v>
      </c>
      <c r="C85" s="4">
        <v>42.385460776815897</v>
      </c>
      <c r="D85" s="4">
        <v>35.375762397119999</v>
      </c>
      <c r="E85" s="4">
        <v>4.4909905113372998E-2</v>
      </c>
      <c r="F85" s="5">
        <v>3.5727859581558899E-2</v>
      </c>
      <c r="G85" s="5">
        <v>0</v>
      </c>
      <c r="H85" s="4">
        <v>4.2053801609189403</v>
      </c>
      <c r="I85" s="4">
        <v>3.8264175193991901</v>
      </c>
      <c r="J85" s="4">
        <v>-24.852095193660801</v>
      </c>
      <c r="K85" s="4">
        <v>47.512004004398001</v>
      </c>
      <c r="L85" s="4">
        <v>13.408457823790201</v>
      </c>
      <c r="M85" s="4">
        <v>16.551012529525298</v>
      </c>
      <c r="N85" s="4">
        <v>63.837087495946001</v>
      </c>
      <c r="O85" s="4">
        <v>59.481398800996097</v>
      </c>
      <c r="P85" s="4">
        <v>317484.71882414498</v>
      </c>
      <c r="Q85" s="4">
        <v>297704.25685362902</v>
      </c>
      <c r="R85" s="4">
        <v>783.68171816037705</v>
      </c>
      <c r="S85" s="4">
        <v>0</v>
      </c>
      <c r="T85" s="4">
        <v>0</v>
      </c>
      <c r="U85" s="4">
        <v>0.26473141964220798</v>
      </c>
      <c r="V85" s="4">
        <v>0</v>
      </c>
      <c r="W85" s="4">
        <v>0</v>
      </c>
      <c r="X85" s="4">
        <v>0.83669716923017501</v>
      </c>
      <c r="Y85" s="4">
        <v>0</v>
      </c>
      <c r="Z85" s="5">
        <v>3.6870670940921502E-4</v>
      </c>
      <c r="AA85" s="5">
        <v>6.3072000003081799E-5</v>
      </c>
      <c r="AB85" s="10">
        <v>3.2262464285295299E-3</v>
      </c>
      <c r="AC85" s="10">
        <v>1.16924171216919E-5</v>
      </c>
      <c r="AD85" s="10">
        <v>3.2058127726745898E-2</v>
      </c>
      <c r="AE85" s="4">
        <v>4.8102620886945398E-2</v>
      </c>
      <c r="AF85" s="4">
        <v>0.59401179483035504</v>
      </c>
      <c r="AG85" s="4">
        <v>0.89459899843803903</v>
      </c>
      <c r="AH85" s="4">
        <v>0.98843401553078603</v>
      </c>
      <c r="AI85" s="4">
        <v>0.998771808478503</v>
      </c>
      <c r="AJ85" s="4">
        <v>1</v>
      </c>
      <c r="AK85" s="4">
        <v>1</v>
      </c>
      <c r="AL85" s="4">
        <v>1</v>
      </c>
      <c r="AM85" s="4">
        <v>0</v>
      </c>
      <c r="AN85" s="4">
        <v>0</v>
      </c>
      <c r="AO85" s="4" t="s">
        <v>71</v>
      </c>
      <c r="AP85" s="4" t="s">
        <v>72</v>
      </c>
      <c r="AQ85" s="6">
        <v>3970183969.4000001</v>
      </c>
      <c r="AR85" s="4">
        <v>13336</v>
      </c>
      <c r="AS85" s="35">
        <v>100</v>
      </c>
      <c r="AT85" s="35">
        <v>0</v>
      </c>
      <c r="AU85" s="35">
        <v>100</v>
      </c>
      <c r="AV85" s="35">
        <v>0</v>
      </c>
      <c r="AW85" s="35">
        <v>0</v>
      </c>
      <c r="AX85" s="35">
        <v>0</v>
      </c>
    </row>
    <row r="86" spans="1:50" x14ac:dyDescent="0.25">
      <c r="A86">
        <v>96</v>
      </c>
      <c r="B86" s="4">
        <v>0.96322011959276299</v>
      </c>
      <c r="C86" s="4">
        <v>45.948809763718003</v>
      </c>
      <c r="D86" s="4">
        <v>36.216764483823198</v>
      </c>
      <c r="E86" s="4">
        <v>4.9977760910394999E-2</v>
      </c>
      <c r="F86" s="5">
        <v>3.6779880407236003E-2</v>
      </c>
      <c r="G86" s="5">
        <v>0</v>
      </c>
      <c r="H86" s="4">
        <v>4.3069906356487202</v>
      </c>
      <c r="I86" s="4">
        <v>3.8478540885474</v>
      </c>
      <c r="J86" s="4">
        <v>-20.720568697417701</v>
      </c>
      <c r="K86" s="4">
        <v>52.525413841629998</v>
      </c>
      <c r="L86" s="4">
        <v>14.016152100195299</v>
      </c>
      <c r="M86" s="4">
        <v>17.198521962228899</v>
      </c>
      <c r="N86" s="4">
        <v>68.242988972036699</v>
      </c>
      <c r="O86" s="4">
        <v>64.029642353377596</v>
      </c>
      <c r="P86" s="4">
        <v>304170.71582627302</v>
      </c>
      <c r="Q86" s="4">
        <v>284836.95510968799</v>
      </c>
      <c r="R86" s="4">
        <v>782.53177917708001</v>
      </c>
      <c r="S86" s="4">
        <v>0</v>
      </c>
      <c r="T86" s="4">
        <v>0</v>
      </c>
      <c r="U86" s="4">
        <v>0.233358374600942</v>
      </c>
      <c r="V86" s="4">
        <v>0</v>
      </c>
      <c r="W86" s="4">
        <v>0</v>
      </c>
      <c r="X86" s="4">
        <v>0.78723007408053303</v>
      </c>
      <c r="Y86" s="4">
        <v>0</v>
      </c>
      <c r="Z86" s="5">
        <v>3.69392630652756E-4</v>
      </c>
      <c r="AA86" s="5">
        <v>7.3205629848621095E-5</v>
      </c>
      <c r="AB86" s="10">
        <v>3.2925119598334498E-3</v>
      </c>
      <c r="AC86" s="10">
        <v>9.5123652384303098E-6</v>
      </c>
      <c r="AD86" s="10">
        <v>3.3035243583283497E-2</v>
      </c>
      <c r="AE86" s="4">
        <v>3.6502936590110002E-2</v>
      </c>
      <c r="AF86" s="4">
        <v>0.64151773225083697</v>
      </c>
      <c r="AG86" s="4">
        <v>0.922908708253105</v>
      </c>
      <c r="AH86" s="4">
        <v>0.99178883200486301</v>
      </c>
      <c r="AI86" s="4">
        <v>0.999196051222632</v>
      </c>
      <c r="AJ86" s="4">
        <v>1</v>
      </c>
      <c r="AK86" s="4">
        <v>1</v>
      </c>
      <c r="AL86" s="4">
        <v>1</v>
      </c>
      <c r="AM86" s="4">
        <v>0</v>
      </c>
      <c r="AN86" s="4">
        <v>0</v>
      </c>
      <c r="AO86" s="4" t="s">
        <v>157</v>
      </c>
      <c r="AP86" s="4" t="s">
        <v>141</v>
      </c>
      <c r="AQ86" s="6">
        <v>3336864929.1100001</v>
      </c>
      <c r="AR86" s="4">
        <v>11715</v>
      </c>
      <c r="AS86" s="35">
        <v>100</v>
      </c>
      <c r="AT86" s="35">
        <v>0</v>
      </c>
      <c r="AU86" s="35">
        <v>100</v>
      </c>
      <c r="AV86" s="35">
        <v>0</v>
      </c>
      <c r="AW86" s="35">
        <v>0</v>
      </c>
      <c r="AX86" s="35">
        <v>0</v>
      </c>
    </row>
    <row r="87" spans="1:50" x14ac:dyDescent="0.25">
      <c r="A87">
        <v>96</v>
      </c>
      <c r="B87" s="4">
        <v>0.96136774970712602</v>
      </c>
      <c r="C87" s="4">
        <v>46.558380879578401</v>
      </c>
      <c r="D87" s="4">
        <v>37.673234560892702</v>
      </c>
      <c r="E87" s="4">
        <v>5.0875245342589602E-2</v>
      </c>
      <c r="F87" s="5">
        <v>3.8632250292873697E-2</v>
      </c>
      <c r="G87" s="5">
        <v>0</v>
      </c>
      <c r="H87" s="4">
        <v>4.3549524072522896</v>
      </c>
      <c r="I87" s="4">
        <v>3.8473488569891101</v>
      </c>
      <c r="J87" s="4">
        <v>-19.5649765361992</v>
      </c>
      <c r="K87" s="4">
        <v>57.496638767331</v>
      </c>
      <c r="L87" s="4">
        <v>14.1171503351526</v>
      </c>
      <c r="M87" s="4">
        <v>17.497986127698201</v>
      </c>
      <c r="N87" s="4">
        <v>67.040302305769302</v>
      </c>
      <c r="O87" s="4">
        <v>63.041882442314098</v>
      </c>
      <c r="P87" s="4">
        <v>301948.13647422602</v>
      </c>
      <c r="Q87" s="4">
        <v>282804.22769096598</v>
      </c>
      <c r="R87" s="4">
        <v>782.75079597684601</v>
      </c>
      <c r="S87" s="4">
        <v>0</v>
      </c>
      <c r="T87" s="4">
        <v>0</v>
      </c>
      <c r="U87" s="4">
        <v>0.23700386519653299</v>
      </c>
      <c r="V87" s="4">
        <v>0</v>
      </c>
      <c r="W87" s="4">
        <v>0</v>
      </c>
      <c r="X87" s="4">
        <v>0.79464469760760403</v>
      </c>
      <c r="Y87" s="4">
        <v>0</v>
      </c>
      <c r="Z87" s="5">
        <v>3.7049835795720698E-4</v>
      </c>
      <c r="AA87" s="5">
        <v>7.99622513884031E-5</v>
      </c>
      <c r="AB87" s="10">
        <v>3.2937244156829699E-3</v>
      </c>
      <c r="AC87" s="10">
        <v>9.5781815070005294E-6</v>
      </c>
      <c r="AD87" s="10">
        <v>3.48784728490475E-2</v>
      </c>
      <c r="AE87" s="4">
        <v>3.54956959580311E-2</v>
      </c>
      <c r="AF87" s="4">
        <v>0.64955834700380599</v>
      </c>
      <c r="AG87" s="4">
        <v>0.925745359848127</v>
      </c>
      <c r="AH87" s="4">
        <v>0.99177366302185999</v>
      </c>
      <c r="AI87" s="4">
        <v>0.99928007458866497</v>
      </c>
      <c r="AJ87" s="4">
        <v>1</v>
      </c>
      <c r="AK87" s="4">
        <v>1</v>
      </c>
      <c r="AL87" s="4">
        <v>1</v>
      </c>
      <c r="AM87" s="4">
        <v>0</v>
      </c>
      <c r="AN87" s="4">
        <v>0</v>
      </c>
      <c r="AO87" s="4" t="s">
        <v>158</v>
      </c>
      <c r="AP87" s="4" t="s">
        <v>142</v>
      </c>
      <c r="AQ87" s="6">
        <v>3243198883.1599998</v>
      </c>
      <c r="AR87" s="4">
        <v>11468</v>
      </c>
      <c r="AS87" s="35">
        <v>100</v>
      </c>
      <c r="AT87" s="35">
        <v>0</v>
      </c>
      <c r="AU87" s="35">
        <v>100</v>
      </c>
      <c r="AV87" s="35">
        <v>0</v>
      </c>
      <c r="AW87" s="35">
        <v>0</v>
      </c>
      <c r="AX87" s="35">
        <v>0</v>
      </c>
    </row>
    <row r="88" spans="1:50" x14ac:dyDescent="0.25">
      <c r="A88">
        <v>96</v>
      </c>
      <c r="B88" s="4">
        <v>0.95957318102783695</v>
      </c>
      <c r="C88" s="4">
        <v>48.369596377810801</v>
      </c>
      <c r="D88" s="4">
        <v>39.055121274209</v>
      </c>
      <c r="E88" s="4">
        <v>5.3598412706150102E-2</v>
      </c>
      <c r="F88" s="5">
        <v>4.0426818972162201E-2</v>
      </c>
      <c r="G88" s="5">
        <v>0</v>
      </c>
      <c r="H88" s="4">
        <v>4.4317836238113202</v>
      </c>
      <c r="I88" s="4">
        <v>3.8676265510077199</v>
      </c>
      <c r="J88" s="4">
        <v>-17.320993079209501</v>
      </c>
      <c r="K88" s="4">
        <v>62.446297286987999</v>
      </c>
      <c r="L88" s="4">
        <v>14.268626514130199</v>
      </c>
      <c r="M88" s="4">
        <v>17.6770671298809</v>
      </c>
      <c r="N88" s="4">
        <v>67.785287572241003</v>
      </c>
      <c r="O88" s="4">
        <v>63.9974492191526</v>
      </c>
      <c r="P88" s="4">
        <v>299854.45417159802</v>
      </c>
      <c r="Q88" s="4">
        <v>279810.88457727898</v>
      </c>
      <c r="R88" s="4">
        <v>782.07668044917295</v>
      </c>
      <c r="S88" s="4">
        <v>0</v>
      </c>
      <c r="T88" s="4">
        <v>0</v>
      </c>
      <c r="U88" s="4">
        <v>0.24171010615210201</v>
      </c>
      <c r="V88" s="4">
        <v>0</v>
      </c>
      <c r="W88" s="4">
        <v>0</v>
      </c>
      <c r="X88" s="4">
        <v>0.76156550492223696</v>
      </c>
      <c r="Y88" s="4">
        <v>0</v>
      </c>
      <c r="Z88" s="5">
        <v>3.7112524651046702E-4</v>
      </c>
      <c r="AA88" s="5">
        <v>8.7893186284856796E-5</v>
      </c>
      <c r="AB88" s="10">
        <v>3.2842944252717502E-3</v>
      </c>
      <c r="AC88" s="10">
        <v>9.3430350650583807E-6</v>
      </c>
      <c r="AD88" s="10">
        <v>3.6674148741526497E-2</v>
      </c>
      <c r="AE88" s="4">
        <v>2.9339692511398899E-2</v>
      </c>
      <c r="AF88" s="4">
        <v>0.67731442117311702</v>
      </c>
      <c r="AG88" s="4">
        <v>0.95454811772368897</v>
      </c>
      <c r="AH88" s="4">
        <v>0.99351979788783495</v>
      </c>
      <c r="AI88" s="4">
        <v>0.99882704648656895</v>
      </c>
      <c r="AJ88" s="4">
        <v>1</v>
      </c>
      <c r="AK88" s="4">
        <v>1</v>
      </c>
      <c r="AL88" s="4">
        <v>1</v>
      </c>
      <c r="AM88" s="4">
        <v>0</v>
      </c>
      <c r="AN88" s="4">
        <v>0</v>
      </c>
      <c r="AO88" s="4" t="s">
        <v>159</v>
      </c>
      <c r="AP88" s="4" t="s">
        <v>143</v>
      </c>
      <c r="AQ88" s="6">
        <v>3197119167.1799998</v>
      </c>
      <c r="AR88" s="4">
        <v>11426</v>
      </c>
      <c r="AS88" s="35">
        <v>100</v>
      </c>
      <c r="AT88" s="35">
        <v>0</v>
      </c>
      <c r="AU88" s="35">
        <v>100</v>
      </c>
      <c r="AV88" s="35">
        <v>0</v>
      </c>
      <c r="AW88" s="35">
        <v>0</v>
      </c>
      <c r="AX88" s="35">
        <v>0</v>
      </c>
    </row>
    <row r="89" spans="1:50" x14ac:dyDescent="0.25">
      <c r="A89">
        <v>96</v>
      </c>
      <c r="B89" s="4">
        <v>0.95829378591478398</v>
      </c>
      <c r="C89" s="4">
        <v>47.925493066856397</v>
      </c>
      <c r="D89" s="4">
        <v>40.023093270854702</v>
      </c>
      <c r="E89" s="4">
        <v>5.29226930557508E-2</v>
      </c>
      <c r="F89" s="5">
        <v>4.1706214085215097E-2</v>
      </c>
      <c r="G89" s="5">
        <v>0</v>
      </c>
      <c r="H89" s="4">
        <v>4.5097981219902499</v>
      </c>
      <c r="I89" s="4">
        <v>3.89482555539964</v>
      </c>
      <c r="J89" s="4">
        <v>-15.446203343831399</v>
      </c>
      <c r="K89" s="4">
        <v>67.445448915326594</v>
      </c>
      <c r="L89" s="4">
        <v>14.4160261251638</v>
      </c>
      <c r="M89" s="4">
        <v>17.6566881545854</v>
      </c>
      <c r="N89" s="4">
        <v>68.110467174541498</v>
      </c>
      <c r="O89" s="4">
        <v>64.532312241362405</v>
      </c>
      <c r="P89" s="4">
        <v>297098.96043434</v>
      </c>
      <c r="Q89" s="4">
        <v>276954.947166753</v>
      </c>
      <c r="R89" s="4">
        <v>781.66657902828899</v>
      </c>
      <c r="S89" s="4">
        <v>0</v>
      </c>
      <c r="T89" s="4">
        <v>0</v>
      </c>
      <c r="U89" s="4">
        <v>0.254228066517388</v>
      </c>
      <c r="V89" s="4">
        <v>0</v>
      </c>
      <c r="W89" s="4">
        <v>0</v>
      </c>
      <c r="X89" s="4">
        <v>0.73625999345059401</v>
      </c>
      <c r="Y89" s="4">
        <v>0</v>
      </c>
      <c r="Z89" s="5">
        <v>3.71989587502219E-4</v>
      </c>
      <c r="AA89" s="5">
        <v>9.4553738037643696E-5</v>
      </c>
      <c r="AB89" s="10">
        <v>3.2602506065126601E-3</v>
      </c>
      <c r="AC89" s="10">
        <v>9.7938789659327808E-6</v>
      </c>
      <c r="AD89" s="10">
        <v>3.7969611824120397E-2</v>
      </c>
      <c r="AE89" s="4">
        <v>2.5062073782654199E-2</v>
      </c>
      <c r="AF89" s="4">
        <v>0.69109474801161197</v>
      </c>
      <c r="AG89" s="4">
        <v>0.95240100606831402</v>
      </c>
      <c r="AH89" s="4">
        <v>0.99394660007275604</v>
      </c>
      <c r="AI89" s="4">
        <v>0.99890570270480505</v>
      </c>
      <c r="AJ89" s="4">
        <v>1</v>
      </c>
      <c r="AK89" s="4">
        <v>1</v>
      </c>
      <c r="AL89" s="4">
        <v>1</v>
      </c>
      <c r="AM89" s="4">
        <v>0</v>
      </c>
      <c r="AN89" s="4">
        <v>0</v>
      </c>
      <c r="AO89" s="4" t="s">
        <v>160</v>
      </c>
      <c r="AP89" s="4" t="s">
        <v>144</v>
      </c>
      <c r="AQ89" s="6">
        <v>3195506180.4099998</v>
      </c>
      <c r="AR89" s="4">
        <v>11538</v>
      </c>
      <c r="AS89" s="35">
        <v>100</v>
      </c>
      <c r="AT89" s="35">
        <v>0</v>
      </c>
      <c r="AU89" s="35">
        <v>100</v>
      </c>
      <c r="AV89" s="35">
        <v>0</v>
      </c>
      <c r="AW89" s="35">
        <v>0</v>
      </c>
      <c r="AX89" s="35">
        <v>0</v>
      </c>
    </row>
    <row r="90" spans="1:50" x14ac:dyDescent="0.25">
      <c r="A90">
        <v>96</v>
      </c>
      <c r="B90" s="4">
        <v>0.95612858148193902</v>
      </c>
      <c r="C90" s="4">
        <v>47.771931061699398</v>
      </c>
      <c r="D90" s="4">
        <v>41.629204961924898</v>
      </c>
      <c r="E90" s="4">
        <v>5.2690271438472103E-2</v>
      </c>
      <c r="F90" s="5">
        <v>4.387141851806E-2</v>
      </c>
      <c r="G90" s="5">
        <v>0</v>
      </c>
      <c r="H90" s="4">
        <v>4.5482527043260799</v>
      </c>
      <c r="I90" s="4">
        <v>3.8964831504162998</v>
      </c>
      <c r="J90" s="4">
        <v>-14.6742583087022</v>
      </c>
      <c r="K90" s="4">
        <v>72.479370373158204</v>
      </c>
      <c r="L90" s="4">
        <v>14.1543271269607</v>
      </c>
      <c r="M90" s="4">
        <v>17.524573656182401</v>
      </c>
      <c r="N90" s="4">
        <v>66.514624655402002</v>
      </c>
      <c r="O90" s="4">
        <v>62.894369051918702</v>
      </c>
      <c r="P90" s="4">
        <v>301721.93935377902</v>
      </c>
      <c r="Q90" s="4">
        <v>282076.08606686199</v>
      </c>
      <c r="R90" s="4">
        <v>781.79004564438196</v>
      </c>
      <c r="S90" s="4">
        <v>0</v>
      </c>
      <c r="T90" s="4">
        <v>0</v>
      </c>
      <c r="U90" s="4">
        <v>0.265100723287716</v>
      </c>
      <c r="V90" s="4">
        <v>0</v>
      </c>
      <c r="W90" s="4">
        <v>0</v>
      </c>
      <c r="X90" s="4">
        <v>0.73703351105243498</v>
      </c>
      <c r="Y90" s="4">
        <v>0</v>
      </c>
      <c r="Z90" s="5">
        <v>3.7079032808332799E-4</v>
      </c>
      <c r="AA90" s="5">
        <v>9.7058761672469106E-5</v>
      </c>
      <c r="AB90" s="10">
        <v>3.2567594894791301E-3</v>
      </c>
      <c r="AC90" s="10">
        <v>1.05672511319059E-5</v>
      </c>
      <c r="AD90" s="10">
        <v>4.0136228078034103E-2</v>
      </c>
      <c r="AE90" s="4">
        <v>2.7329152941787602E-2</v>
      </c>
      <c r="AF90" s="4">
        <v>0.66455656359524595</v>
      </c>
      <c r="AG90" s="4">
        <v>0.95302023455429097</v>
      </c>
      <c r="AH90" s="4">
        <v>0.99348429604954802</v>
      </c>
      <c r="AI90" s="4">
        <v>0.99899334945250096</v>
      </c>
      <c r="AJ90" s="4">
        <v>1</v>
      </c>
      <c r="AK90" s="4">
        <v>1</v>
      </c>
      <c r="AL90" s="4">
        <v>1</v>
      </c>
      <c r="AM90" s="4">
        <v>0</v>
      </c>
      <c r="AN90" s="4">
        <v>0</v>
      </c>
      <c r="AO90" s="4" t="s">
        <v>73</v>
      </c>
      <c r="AP90" s="4" t="s">
        <v>74</v>
      </c>
      <c r="AQ90" s="6">
        <v>3265312772.3099999</v>
      </c>
      <c r="AR90" s="4">
        <v>11576</v>
      </c>
      <c r="AS90" s="35">
        <v>100</v>
      </c>
      <c r="AT90" s="35">
        <v>0</v>
      </c>
      <c r="AU90" s="35">
        <v>100</v>
      </c>
      <c r="AV90" s="35">
        <v>0</v>
      </c>
      <c r="AW90" s="35">
        <v>0</v>
      </c>
      <c r="AX90" s="35">
        <v>0</v>
      </c>
    </row>
    <row r="91" spans="1:50" x14ac:dyDescent="0.25">
      <c r="A91">
        <v>96</v>
      </c>
      <c r="B91" s="4">
        <v>0.95275069395009004</v>
      </c>
      <c r="C91" s="4">
        <v>45.532111301893998</v>
      </c>
      <c r="D91" s="4">
        <v>44.056287258858802</v>
      </c>
      <c r="E91" s="4">
        <v>4.9369570691126699E-2</v>
      </c>
      <c r="F91" s="5">
        <v>4.7249306049909102E-2</v>
      </c>
      <c r="G91" s="5">
        <v>0</v>
      </c>
      <c r="H91" s="4">
        <v>4.6624007580622404</v>
      </c>
      <c r="I91" s="4">
        <v>3.8812023842119201</v>
      </c>
      <c r="J91" s="4">
        <v>-11.629400870704201</v>
      </c>
      <c r="K91" s="4">
        <v>85.725601298003895</v>
      </c>
      <c r="L91" s="4">
        <v>14.263678266267499</v>
      </c>
      <c r="M91" s="4">
        <v>17.4699581389937</v>
      </c>
      <c r="N91" s="4">
        <v>66.823052017655598</v>
      </c>
      <c r="O91" s="4">
        <v>62.793046378455699</v>
      </c>
      <c r="P91" s="4">
        <v>299820.92559729097</v>
      </c>
      <c r="Q91" s="4">
        <v>279923.05168022099</v>
      </c>
      <c r="R91" s="4">
        <v>780.87265150673898</v>
      </c>
      <c r="S91" s="4">
        <v>0</v>
      </c>
      <c r="T91" s="4">
        <v>0</v>
      </c>
      <c r="U91" s="4">
        <v>0.28361720342178698</v>
      </c>
      <c r="V91" s="4">
        <v>0</v>
      </c>
      <c r="W91" s="4">
        <v>0</v>
      </c>
      <c r="X91" s="4">
        <v>0.688800980239475</v>
      </c>
      <c r="Y91" s="4">
        <v>0</v>
      </c>
      <c r="Z91" s="5">
        <v>3.7133159837476101E-4</v>
      </c>
      <c r="AA91" s="5">
        <v>1.0226099067827399E-4</v>
      </c>
      <c r="AB91" s="10">
        <v>3.3912551685042502E-3</v>
      </c>
      <c r="AC91" s="10">
        <v>1.9811066113694899E-5</v>
      </c>
      <c r="AD91" s="10">
        <v>4.3364632449329303E-2</v>
      </c>
      <c r="AE91" s="4">
        <v>3.3047616990733303E-2</v>
      </c>
      <c r="AF91" s="4">
        <v>0.60805324553493101</v>
      </c>
      <c r="AG91" s="4">
        <v>0.94290455916940397</v>
      </c>
      <c r="AH91" s="4">
        <v>0.98815348994589602</v>
      </c>
      <c r="AI91" s="4">
        <v>0.99809253628560402</v>
      </c>
      <c r="AJ91" s="4">
        <v>1</v>
      </c>
      <c r="AK91" s="4">
        <v>1</v>
      </c>
      <c r="AL91" s="4">
        <v>1</v>
      </c>
      <c r="AM91" s="4">
        <v>0</v>
      </c>
      <c r="AN91" s="4">
        <v>0</v>
      </c>
      <c r="AO91" s="4" t="s">
        <v>75</v>
      </c>
      <c r="AP91" s="4" t="s">
        <v>76</v>
      </c>
      <c r="AQ91" s="6">
        <v>10600685967.129999</v>
      </c>
      <c r="AR91" s="4">
        <v>37870</v>
      </c>
      <c r="AS91" s="35">
        <v>100</v>
      </c>
      <c r="AT91" s="35">
        <v>0</v>
      </c>
      <c r="AU91" s="35">
        <v>100</v>
      </c>
      <c r="AV91" s="35">
        <v>0</v>
      </c>
      <c r="AW91" s="35">
        <v>0</v>
      </c>
      <c r="AX91" s="35">
        <v>0</v>
      </c>
    </row>
    <row r="92" spans="1:50" x14ac:dyDescent="0.25">
      <c r="A92">
        <v>96</v>
      </c>
      <c r="B92" s="4">
        <v>0.948526950702827</v>
      </c>
      <c r="C92" s="4">
        <v>45.976159814405499</v>
      </c>
      <c r="D92" s="4">
        <v>46.960905476136801</v>
      </c>
      <c r="E92" s="4">
        <v>5.0017829692396397E-2</v>
      </c>
      <c r="F92" s="5">
        <v>5.1473049297172502E-2</v>
      </c>
      <c r="G92" s="5">
        <v>0</v>
      </c>
      <c r="H92" s="4">
        <v>4.8098024627067</v>
      </c>
      <c r="I92" s="4">
        <v>3.7732139760537602</v>
      </c>
      <c r="J92" s="4">
        <v>-7.4414365237572202</v>
      </c>
      <c r="K92" s="4">
        <v>111.841127420033</v>
      </c>
      <c r="L92" s="4">
        <v>14.857223173012001</v>
      </c>
      <c r="M92" s="4">
        <v>18.525971858390701</v>
      </c>
      <c r="N92" s="4">
        <v>70.250322221143804</v>
      </c>
      <c r="O92" s="4">
        <v>64.563395961257299</v>
      </c>
      <c r="P92" s="4">
        <v>288498.39952982502</v>
      </c>
      <c r="Q92" s="4">
        <v>268749.73839493701</v>
      </c>
      <c r="R92" s="4">
        <v>779.33853848354897</v>
      </c>
      <c r="S92" s="4">
        <v>0</v>
      </c>
      <c r="T92" s="4">
        <v>0</v>
      </c>
      <c r="U92" s="4">
        <v>0.29596417766389199</v>
      </c>
      <c r="V92" s="4">
        <v>0</v>
      </c>
      <c r="W92" s="4">
        <v>0</v>
      </c>
      <c r="X92" s="4">
        <v>0.61203176448507202</v>
      </c>
      <c r="Y92" s="4">
        <v>0</v>
      </c>
      <c r="Z92" s="5">
        <v>3.7255201993142902E-4</v>
      </c>
      <c r="AA92" s="5">
        <v>1.4112414258563E-4</v>
      </c>
      <c r="AB92" s="10">
        <v>3.7132072796765702E-3</v>
      </c>
      <c r="AC92" s="10">
        <v>3.7525450168724303E-5</v>
      </c>
      <c r="AD92" s="10">
        <v>4.7208625628281903E-2</v>
      </c>
      <c r="AE92" s="4">
        <v>5.5389770163939998E-2</v>
      </c>
      <c r="AF92" s="4">
        <v>0.43412950139178902</v>
      </c>
      <c r="AG92" s="4">
        <v>0.91721411599384695</v>
      </c>
      <c r="AH92" s="4">
        <v>0.98471726834859197</v>
      </c>
      <c r="AI92" s="4">
        <v>0.99692893713279895</v>
      </c>
      <c r="AJ92" s="4">
        <v>1</v>
      </c>
      <c r="AK92" s="4">
        <v>1</v>
      </c>
      <c r="AL92" s="4">
        <v>1</v>
      </c>
      <c r="AM92" s="4">
        <v>0</v>
      </c>
      <c r="AN92" s="4">
        <v>0</v>
      </c>
      <c r="AO92" s="4" t="s">
        <v>77</v>
      </c>
      <c r="AP92" s="4" t="s">
        <v>78</v>
      </c>
      <c r="AQ92" s="6">
        <v>5605850793.1800003</v>
      </c>
      <c r="AR92" s="4">
        <v>20859</v>
      </c>
      <c r="AS92" s="35">
        <v>100</v>
      </c>
      <c r="AT92" s="35">
        <v>0</v>
      </c>
      <c r="AU92" s="35">
        <v>100</v>
      </c>
      <c r="AV92" s="35">
        <v>0</v>
      </c>
      <c r="AW92" s="35">
        <v>0</v>
      </c>
      <c r="AX92" s="35">
        <v>0</v>
      </c>
    </row>
    <row r="93" spans="1:50" x14ac:dyDescent="0.25">
      <c r="A93">
        <v>96</v>
      </c>
      <c r="B93" s="4">
        <v>0.944740410161098</v>
      </c>
      <c r="C93" s="4">
        <v>46.445828850119199</v>
      </c>
      <c r="D93" s="4">
        <v>49.446653938431801</v>
      </c>
      <c r="E93" s="4">
        <v>5.0708828636725899E-2</v>
      </c>
      <c r="F93" s="5">
        <v>5.5259589838901398E-2</v>
      </c>
      <c r="G93" s="5">
        <v>0</v>
      </c>
      <c r="H93" s="4">
        <v>4.8751132039323899</v>
      </c>
      <c r="I93" s="4">
        <v>3.67285178800002</v>
      </c>
      <c r="J93" s="4">
        <v>-6.6141340611155002</v>
      </c>
      <c r="K93" s="4">
        <v>134.38012833370499</v>
      </c>
      <c r="L93" s="4">
        <v>14.3457805216651</v>
      </c>
      <c r="M93" s="4">
        <v>20.089316977040401</v>
      </c>
      <c r="N93" s="4">
        <v>70.828108702004698</v>
      </c>
      <c r="O93" s="4">
        <v>63.203937214430603</v>
      </c>
      <c r="P93" s="4">
        <v>297191.68095627398</v>
      </c>
      <c r="Q93" s="4">
        <v>278333.37694116298</v>
      </c>
      <c r="R93" s="4">
        <v>778.26630445724504</v>
      </c>
      <c r="S93" s="4">
        <v>0</v>
      </c>
      <c r="T93" s="4">
        <v>0</v>
      </c>
      <c r="U93" s="4">
        <v>0.28990563164626798</v>
      </c>
      <c r="V93" s="4">
        <v>0</v>
      </c>
      <c r="W93" s="4">
        <v>0</v>
      </c>
      <c r="X93" s="4">
        <v>0.61239394662883295</v>
      </c>
      <c r="Y93" s="4">
        <v>0</v>
      </c>
      <c r="Z93" s="5">
        <v>3.7406374053973901E-4</v>
      </c>
      <c r="AA93" s="5">
        <v>1.6790868538940501E-4</v>
      </c>
      <c r="AB93" s="10">
        <v>3.6872171162979799E-3</v>
      </c>
      <c r="AC93" s="10">
        <v>8.6066983179524E-5</v>
      </c>
      <c r="AD93" s="10">
        <v>5.0944318200031001E-2</v>
      </c>
      <c r="AE93" s="4">
        <v>8.5651886847995795E-2</v>
      </c>
      <c r="AF93" s="4">
        <v>0.28122861923500297</v>
      </c>
      <c r="AG93" s="4">
        <v>0.86979568030750198</v>
      </c>
      <c r="AH93" s="4">
        <v>0.966142212100774</v>
      </c>
      <c r="AI93" s="4">
        <v>0.99609320606458096</v>
      </c>
      <c r="AJ93" s="4">
        <v>1</v>
      </c>
      <c r="AK93" s="4">
        <v>1</v>
      </c>
      <c r="AL93" s="4">
        <v>1</v>
      </c>
      <c r="AM93" s="4">
        <v>0</v>
      </c>
      <c r="AN93" s="4">
        <v>0</v>
      </c>
      <c r="AO93" s="4" t="s">
        <v>79</v>
      </c>
      <c r="AP93" s="4" t="s">
        <v>80</v>
      </c>
      <c r="AQ93" s="6">
        <v>2616055409.8699999</v>
      </c>
      <c r="AR93" s="4">
        <v>9399</v>
      </c>
      <c r="AS93" s="35">
        <v>100</v>
      </c>
      <c r="AT93" s="35">
        <v>0</v>
      </c>
      <c r="AU93" s="35">
        <v>100</v>
      </c>
      <c r="AV93" s="35">
        <v>0</v>
      </c>
      <c r="AW93" s="35">
        <v>0</v>
      </c>
      <c r="AX93" s="35">
        <v>0</v>
      </c>
    </row>
    <row r="94" spans="1:50" x14ac:dyDescent="0.25">
      <c r="A94">
        <v>96</v>
      </c>
      <c r="B94" s="4">
        <v>0.94026720549706999</v>
      </c>
      <c r="C94" s="4">
        <v>44.242835662966101</v>
      </c>
      <c r="D94" s="4">
        <v>52.245371668322299</v>
      </c>
      <c r="E94" s="4">
        <v>4.7514462955103302E-2</v>
      </c>
      <c r="F94" s="5">
        <v>5.9732794502929898E-2</v>
      </c>
      <c r="G94" s="5">
        <v>0</v>
      </c>
      <c r="H94" s="4">
        <v>5.0228990838490102</v>
      </c>
      <c r="I94" s="4">
        <v>3.6711342065528298</v>
      </c>
      <c r="J94" s="4">
        <v>6.8476451351644396</v>
      </c>
      <c r="K94" s="4">
        <v>160.18516166213001</v>
      </c>
      <c r="L94" s="4">
        <v>14.050935964014</v>
      </c>
      <c r="M94" s="4">
        <v>20.067577183632402</v>
      </c>
      <c r="N94" s="4">
        <v>78.702584894491594</v>
      </c>
      <c r="O94" s="4">
        <v>68.818308900589201</v>
      </c>
      <c r="P94" s="4">
        <v>302497.44945458398</v>
      </c>
      <c r="Q94" s="4">
        <v>284181.93619109102</v>
      </c>
      <c r="R94" s="4">
        <v>777.14943247241695</v>
      </c>
      <c r="S94" s="4">
        <v>0</v>
      </c>
      <c r="T94" s="4">
        <v>0</v>
      </c>
      <c r="U94" s="4">
        <v>0.23643044410942601</v>
      </c>
      <c r="V94" s="4">
        <v>0</v>
      </c>
      <c r="W94" s="4">
        <v>0</v>
      </c>
      <c r="X94" s="4">
        <v>0.52204473215818603</v>
      </c>
      <c r="Y94" s="4">
        <v>0</v>
      </c>
      <c r="Z94" s="5">
        <v>3.7364660821713198E-4</v>
      </c>
      <c r="AA94" s="5">
        <v>2.4360028836634701E-4</v>
      </c>
      <c r="AB94" s="10">
        <v>3.8902341285462E-3</v>
      </c>
      <c r="AC94" s="10">
        <v>1.3030684466215601E-4</v>
      </c>
      <c r="AD94" s="10">
        <v>5.5094991448347098E-2</v>
      </c>
      <c r="AE94" s="4">
        <v>0.107049235597792</v>
      </c>
      <c r="AF94" s="4">
        <v>0.157129082402062</v>
      </c>
      <c r="AG94" s="4">
        <v>0.78788788066198401</v>
      </c>
      <c r="AH94" s="4">
        <v>0.94414222667681402</v>
      </c>
      <c r="AI94" s="4">
        <v>0.98989339820335798</v>
      </c>
      <c r="AJ94" s="4">
        <v>1</v>
      </c>
      <c r="AK94" s="4">
        <v>1</v>
      </c>
      <c r="AL94" s="4">
        <v>1</v>
      </c>
      <c r="AM94" s="4">
        <v>0</v>
      </c>
      <c r="AN94" s="4">
        <v>0</v>
      </c>
      <c r="AO94" s="4" t="s">
        <v>81</v>
      </c>
      <c r="AP94" s="4" t="s">
        <v>82</v>
      </c>
      <c r="AQ94" s="6">
        <v>440197819.16000003</v>
      </c>
      <c r="AR94" s="4">
        <v>1549</v>
      </c>
      <c r="AS94" s="35">
        <v>100</v>
      </c>
      <c r="AT94" s="35">
        <v>0</v>
      </c>
      <c r="AU94" s="35">
        <v>100</v>
      </c>
      <c r="AV94" s="35">
        <v>0</v>
      </c>
      <c r="AW94" s="35">
        <v>0</v>
      </c>
      <c r="AX94" s="35">
        <v>0</v>
      </c>
    </row>
    <row r="95" spans="1:50" x14ac:dyDescent="0.25">
      <c r="A95">
        <v>96</v>
      </c>
      <c r="B95" s="4">
        <v>0.93666933124833895</v>
      </c>
      <c r="C95" s="4">
        <v>53.130436470808498</v>
      </c>
      <c r="D95" s="4">
        <v>54.392569214836101</v>
      </c>
      <c r="E95" s="4">
        <v>6.1197489207662902E-2</v>
      </c>
      <c r="F95" s="5">
        <v>6.3330668751660102E-2</v>
      </c>
      <c r="G95" s="5">
        <v>0</v>
      </c>
      <c r="H95" s="4">
        <v>5.0468119636960296</v>
      </c>
      <c r="I95" s="4">
        <v>3.6581714092980402</v>
      </c>
      <c r="J95" s="4">
        <v>6.4300908512944703</v>
      </c>
      <c r="K95" s="4">
        <v>183.94350489017</v>
      </c>
      <c r="L95" s="4">
        <v>13.8846846311134</v>
      </c>
      <c r="M95" s="4">
        <v>20.4863828371568</v>
      </c>
      <c r="N95" s="4">
        <v>85.498758550909699</v>
      </c>
      <c r="O95" s="4">
        <v>72.570640434086698</v>
      </c>
      <c r="P95" s="4">
        <v>305684.75228504901</v>
      </c>
      <c r="Q95" s="4">
        <v>287591.89741071401</v>
      </c>
      <c r="R95" s="4">
        <v>777.65331003001995</v>
      </c>
      <c r="S95" s="4">
        <v>0</v>
      </c>
      <c r="T95" s="4">
        <v>0</v>
      </c>
      <c r="U95" s="4">
        <v>0.23252351468115601</v>
      </c>
      <c r="V95" s="4">
        <v>0</v>
      </c>
      <c r="W95" s="4">
        <v>0</v>
      </c>
      <c r="X95" s="4">
        <v>0.402000486106938</v>
      </c>
      <c r="Y95" s="4">
        <v>0</v>
      </c>
      <c r="Z95" s="5">
        <v>3.7498083586438299E-4</v>
      </c>
      <c r="AA95" s="5">
        <v>3.2210145234887899E-4</v>
      </c>
      <c r="AB95" s="10">
        <v>4.1021818581568103E-3</v>
      </c>
      <c r="AC95" s="10">
        <v>3.5720283658052701E-4</v>
      </c>
      <c r="AD95" s="10">
        <v>5.8174185740315E-2</v>
      </c>
      <c r="AE95" s="4">
        <v>0.139428074325575</v>
      </c>
      <c r="AF95" s="4">
        <v>3.5231054369169602E-2</v>
      </c>
      <c r="AG95" s="4">
        <v>0.62060278239097899</v>
      </c>
      <c r="AH95" s="4">
        <v>0.85157551067931403</v>
      </c>
      <c r="AI95" s="4">
        <v>0.98674363275235299</v>
      </c>
      <c r="AJ95" s="4">
        <v>1</v>
      </c>
      <c r="AK95" s="4">
        <v>1</v>
      </c>
      <c r="AL95" s="4">
        <v>1</v>
      </c>
      <c r="AM95" s="4">
        <v>0</v>
      </c>
      <c r="AN95" s="4">
        <v>0</v>
      </c>
      <c r="AO95" s="4" t="s">
        <v>83</v>
      </c>
      <c r="AP95" s="4" t="s">
        <v>84</v>
      </c>
      <c r="AQ95" s="6">
        <v>96630877.530000001</v>
      </c>
      <c r="AR95" s="4">
        <v>336</v>
      </c>
      <c r="AS95" s="35">
        <v>100</v>
      </c>
      <c r="AT95" s="35">
        <v>0</v>
      </c>
      <c r="AU95" s="35">
        <v>100</v>
      </c>
      <c r="AV95" s="35">
        <v>0</v>
      </c>
      <c r="AW95" s="35">
        <v>0</v>
      </c>
      <c r="AX95" s="35">
        <v>0</v>
      </c>
    </row>
    <row r="96" spans="1:50" x14ac:dyDescent="0.25">
      <c r="A96">
        <v>96</v>
      </c>
      <c r="B96" s="4">
        <v>0.93636926990483904</v>
      </c>
      <c r="C96" s="4">
        <v>47.495830730037397</v>
      </c>
      <c r="D96" s="4">
        <v>54.567584327958102</v>
      </c>
      <c r="E96" s="4">
        <v>5.2273954856408698E-2</v>
      </c>
      <c r="F96" s="5">
        <v>6.3630730095160598E-2</v>
      </c>
      <c r="G96" s="5">
        <v>0</v>
      </c>
      <c r="H96" s="4">
        <v>5.1962175270796997</v>
      </c>
      <c r="I96" s="4">
        <v>3.6487087980292801</v>
      </c>
      <c r="J96" s="4">
        <v>17.288719989476</v>
      </c>
      <c r="K96" s="4">
        <v>209.552293094823</v>
      </c>
      <c r="L96" s="4">
        <v>14.525860365374999</v>
      </c>
      <c r="M96" s="4">
        <v>20.792683089257899</v>
      </c>
      <c r="N96" s="4">
        <v>90.1202353104606</v>
      </c>
      <c r="O96" s="4">
        <v>75.175750153318802</v>
      </c>
      <c r="P96" s="4">
        <v>294450.39719337702</v>
      </c>
      <c r="Q96" s="4">
        <v>274910.83289473603</v>
      </c>
      <c r="R96" s="4">
        <v>775.395165462573</v>
      </c>
      <c r="S96" s="4">
        <v>0</v>
      </c>
      <c r="T96" s="4">
        <v>0</v>
      </c>
      <c r="U96" s="4">
        <v>8.3777428444944596E-2</v>
      </c>
      <c r="V96" s="4">
        <v>0</v>
      </c>
      <c r="W96" s="4">
        <v>0</v>
      </c>
      <c r="X96" s="4">
        <v>0.28831944805759002</v>
      </c>
      <c r="Y96" s="4">
        <v>0</v>
      </c>
      <c r="Z96" s="5">
        <v>3.7198763570191602E-4</v>
      </c>
      <c r="AA96" s="5">
        <v>3.7985114570584198E-4</v>
      </c>
      <c r="AB96" s="10">
        <v>4.3843365412793598E-3</v>
      </c>
      <c r="AC96" s="10">
        <v>5.94536303158278E-4</v>
      </c>
      <c r="AD96" s="10">
        <v>5.79000011237982E-2</v>
      </c>
      <c r="AE96" s="4">
        <v>0.16459064505952101</v>
      </c>
      <c r="AF96" s="4">
        <v>0</v>
      </c>
      <c r="AG96" s="4">
        <v>0.467143527346496</v>
      </c>
      <c r="AH96" s="4">
        <v>0.67606014482217303</v>
      </c>
      <c r="AI96" s="4">
        <v>0.98161704517847104</v>
      </c>
      <c r="AJ96" s="4">
        <v>1</v>
      </c>
      <c r="AK96" s="4">
        <v>1</v>
      </c>
      <c r="AL96" s="4">
        <v>1</v>
      </c>
      <c r="AM96" s="4">
        <v>0</v>
      </c>
      <c r="AN96" s="4">
        <v>0</v>
      </c>
      <c r="AO96" s="4" t="s">
        <v>85</v>
      </c>
      <c r="AP96" s="4" t="s">
        <v>86</v>
      </c>
      <c r="AQ96" s="6">
        <v>20893223.300000001</v>
      </c>
      <c r="AR96" s="4">
        <v>76</v>
      </c>
      <c r="AS96" s="35">
        <v>100</v>
      </c>
      <c r="AT96" s="35">
        <v>0</v>
      </c>
      <c r="AU96" s="35">
        <v>100</v>
      </c>
      <c r="AV96" s="35">
        <v>0</v>
      </c>
      <c r="AW96" s="35">
        <v>0</v>
      </c>
      <c r="AX96" s="35">
        <v>0</v>
      </c>
    </row>
    <row r="97" spans="1:50" x14ac:dyDescent="0.25">
      <c r="B97" s="4"/>
      <c r="C97" s="4"/>
      <c r="D97" s="4"/>
      <c r="E97" s="4"/>
      <c r="F97" s="5"/>
      <c r="G97" s="5"/>
      <c r="H97" s="4"/>
      <c r="I97" s="4"/>
      <c r="J97" s="4"/>
      <c r="K97" s="4"/>
      <c r="L97" s="4"/>
      <c r="M97" s="4"/>
      <c r="N97" s="4"/>
      <c r="O97" s="4"/>
      <c r="P97" s="4"/>
      <c r="Q97" s="4"/>
      <c r="R97" s="4"/>
      <c r="S97" s="4"/>
      <c r="T97" s="4"/>
      <c r="U97" s="4"/>
      <c r="V97" s="4"/>
      <c r="W97" s="4"/>
      <c r="X97" s="4"/>
      <c r="Y97" s="4"/>
      <c r="Z97" s="5"/>
      <c r="AA97" s="5"/>
      <c r="AB97" s="10"/>
      <c r="AC97" s="10"/>
      <c r="AD97" s="10"/>
      <c r="AE97" s="4"/>
      <c r="AF97" s="4"/>
      <c r="AG97" s="4"/>
      <c r="AH97" s="4"/>
      <c r="AI97" s="4"/>
      <c r="AJ97" s="4"/>
      <c r="AK97" s="4"/>
      <c r="AL97" s="4"/>
      <c r="AM97" s="4"/>
      <c r="AN97" s="4"/>
      <c r="AO97" s="4"/>
      <c r="AP97" s="4"/>
      <c r="AQ97" s="6"/>
      <c r="AR97" s="4"/>
      <c r="AS97" s="35"/>
      <c r="AT97" s="35"/>
      <c r="AU97" s="35"/>
      <c r="AV97" s="35"/>
      <c r="AW97" s="35"/>
      <c r="AX97" s="35"/>
    </row>
    <row r="98" spans="1:50" x14ac:dyDescent="0.25">
      <c r="B98" s="4"/>
      <c r="C98" s="4"/>
      <c r="D98" s="4"/>
      <c r="E98" s="4"/>
      <c r="F98" s="5"/>
      <c r="G98" s="5"/>
      <c r="H98" s="4"/>
      <c r="I98" s="4"/>
      <c r="J98" s="4"/>
      <c r="K98" s="4"/>
      <c r="L98" s="4"/>
      <c r="M98" s="4"/>
      <c r="N98" s="4"/>
      <c r="O98" s="4"/>
      <c r="P98" s="4"/>
      <c r="Q98" s="4"/>
      <c r="R98" s="4"/>
      <c r="S98" s="4"/>
      <c r="T98" s="4"/>
      <c r="U98" s="4"/>
      <c r="V98" s="4"/>
      <c r="W98" s="4"/>
      <c r="X98" s="4"/>
      <c r="Y98" s="4"/>
      <c r="Z98" s="5"/>
      <c r="AA98" s="5"/>
      <c r="AB98" s="10"/>
      <c r="AC98" s="10"/>
      <c r="AD98" s="10"/>
      <c r="AE98" s="4"/>
      <c r="AF98" s="4"/>
      <c r="AG98" s="4"/>
      <c r="AH98" s="4"/>
      <c r="AI98" s="4"/>
      <c r="AJ98" s="4"/>
      <c r="AK98" s="4"/>
      <c r="AL98" s="4"/>
      <c r="AM98" s="4"/>
      <c r="AN98" s="4"/>
      <c r="AO98" s="4"/>
      <c r="AP98" s="4"/>
      <c r="AQ98" s="6"/>
      <c r="AR98" s="4"/>
      <c r="AS98" s="35"/>
      <c r="AT98" s="35"/>
      <c r="AU98" s="35"/>
      <c r="AV98" s="35"/>
      <c r="AW98" s="35"/>
      <c r="AX98" s="35"/>
    </row>
    <row r="99" spans="1:50" x14ac:dyDescent="0.25">
      <c r="B99" s="4"/>
      <c r="C99" s="4"/>
      <c r="D99" s="4"/>
      <c r="E99" s="4"/>
      <c r="F99" s="5"/>
      <c r="G99" s="5"/>
      <c r="H99" s="4"/>
      <c r="I99" s="4"/>
      <c r="J99" s="4"/>
      <c r="K99" s="4"/>
      <c r="L99" s="4" t="s">
        <v>168</v>
      </c>
      <c r="M99" s="36" t="s">
        <v>167</v>
      </c>
      <c r="N99" s="4"/>
      <c r="O99" s="4"/>
      <c r="P99" s="4"/>
      <c r="Q99" s="4"/>
      <c r="R99" s="4"/>
      <c r="S99" s="4"/>
      <c r="T99" s="4"/>
      <c r="U99" s="4"/>
      <c r="V99" s="4"/>
      <c r="W99" s="4"/>
      <c r="X99" s="4"/>
      <c r="Y99" s="4"/>
      <c r="Z99" s="5"/>
      <c r="AA99" s="5"/>
      <c r="AB99" s="10"/>
      <c r="AC99" s="10"/>
      <c r="AD99" s="10"/>
      <c r="AE99" s="4"/>
      <c r="AF99" s="4"/>
      <c r="AG99" s="4"/>
      <c r="AH99" s="4"/>
      <c r="AI99" s="4"/>
      <c r="AJ99" s="4"/>
      <c r="AK99" s="4"/>
      <c r="AL99" s="4"/>
      <c r="AM99" s="4"/>
      <c r="AN99" s="4"/>
      <c r="AO99" s="4"/>
      <c r="AP99" s="4"/>
      <c r="AQ99" s="6"/>
      <c r="AR99" s="4"/>
      <c r="AS99" s="35"/>
      <c r="AT99" s="35"/>
      <c r="AU99" s="35"/>
      <c r="AV99" s="35"/>
      <c r="AW99" s="35"/>
      <c r="AX99" s="35"/>
    </row>
    <row r="100" spans="1:50" x14ac:dyDescent="0.25">
      <c r="L100" t="s">
        <v>161</v>
      </c>
      <c r="M100" s="4">
        <v>1.05</v>
      </c>
    </row>
    <row r="101" spans="1:50" x14ac:dyDescent="0.25">
      <c r="M101" s="4"/>
    </row>
    <row r="102" spans="1:50" x14ac:dyDescent="0.25">
      <c r="K102" t="s">
        <v>102</v>
      </c>
      <c r="L102" t="s">
        <v>90</v>
      </c>
      <c r="M102" t="s">
        <v>91</v>
      </c>
      <c r="R102" t="s">
        <v>102</v>
      </c>
      <c r="W102" t="s">
        <v>90</v>
      </c>
      <c r="AB102" t="s">
        <v>91</v>
      </c>
    </row>
    <row r="103" spans="1:50" x14ac:dyDescent="0.25">
      <c r="A103" s="4" t="s">
        <v>95</v>
      </c>
      <c r="B103" t="str">
        <f>AQ68</f>
        <v>Balance</v>
      </c>
      <c r="C103" s="2" t="str">
        <f t="shared" ref="C103:C131" si="17">AO68</f>
        <v>groupByColumn</v>
      </c>
      <c r="D103" t="str">
        <f>E68</f>
        <v>PREPAY_SMM1</v>
      </c>
      <c r="E103" t="str">
        <f>F68</f>
        <v>PREPAY_TRACKING_SMM1</v>
      </c>
      <c r="F103" t="s">
        <v>92</v>
      </c>
      <c r="G103" t="str">
        <f>C68</f>
        <v>PREPAY_CPR1</v>
      </c>
      <c r="H103" t="str">
        <f>D68</f>
        <v>PREPAY_TRACKING_CPR1</v>
      </c>
      <c r="K103" t="s">
        <v>93</v>
      </c>
      <c r="L103" t="s">
        <v>93</v>
      </c>
      <c r="M103" t="s">
        <v>93</v>
      </c>
      <c r="N103" t="s">
        <v>100</v>
      </c>
      <c r="O103" t="s">
        <v>101</v>
      </c>
      <c r="P103" t="s">
        <v>92</v>
      </c>
      <c r="R103" t="s">
        <v>96</v>
      </c>
      <c r="T103" t="s">
        <v>94</v>
      </c>
      <c r="U103" t="s">
        <v>99</v>
      </c>
      <c r="W103" t="s">
        <v>96</v>
      </c>
      <c r="X103" t="s">
        <v>103</v>
      </c>
      <c r="Y103" t="s">
        <v>94</v>
      </c>
      <c r="Z103" t="s">
        <v>99</v>
      </c>
      <c r="AB103" t="s">
        <v>96</v>
      </c>
      <c r="AC103" t="s">
        <v>103</v>
      </c>
      <c r="AD103" t="s">
        <v>94</v>
      </c>
      <c r="AE103" t="s">
        <v>99</v>
      </c>
    </row>
    <row r="104" spans="1:50" s="17" customFormat="1" x14ac:dyDescent="0.25">
      <c r="A104" s="15">
        <f t="shared" ref="A104:A131" si="18">K69</f>
        <v>-56.6828166580963</v>
      </c>
      <c r="B104" s="22">
        <f t="shared" ref="B104:B131" si="19">AQ69/1000000000</f>
        <v>1.7345799499999998E-2</v>
      </c>
      <c r="C104" s="23" t="str">
        <f t="shared" si="17"/>
        <v>06:-75--50</v>
      </c>
      <c r="D104" s="16">
        <f>E69</f>
        <v>3.3059470385520201E-3</v>
      </c>
      <c r="E104" s="16">
        <f t="shared" ref="E104:E131" si="20">Z69+AA69+AB69+AC69+AD69</f>
        <v>8.1715666722458231E-3</v>
      </c>
      <c r="F104" s="22">
        <f t="shared" ref="F104:F106" si="21">D104/E104</f>
        <v>0.40456710091841347</v>
      </c>
      <c r="G104" s="23">
        <f t="shared" ref="G104:G106" si="22">(1-(1-D104)^12)*100</f>
        <v>3.8957921743367208</v>
      </c>
      <c r="H104" s="23">
        <f t="shared" ref="H104:H106" si="23">(1-(1-E104)^12)*100</f>
        <v>9.3769547908614257</v>
      </c>
      <c r="K104" s="15">
        <f t="shared" ref="K104:K105" si="24">VLOOKUP(C104,$C$26:$M$44,9,0)</f>
        <v>1</v>
      </c>
      <c r="L104" s="15">
        <f t="shared" ref="L104:L105" si="25">VLOOKUP(C104,$C$26:$M$44,10,0)</f>
        <v>1</v>
      </c>
      <c r="M104" s="15">
        <f t="shared" ref="M104:M105" si="26">VLOOKUP(C104,$C$26:$M$44,11,0)</f>
        <v>0.5</v>
      </c>
      <c r="N104" s="16">
        <f>Z69+AA69+AB69*K104+AC69*L104+AD69*M104*$M$100</f>
        <v>5.8967502121036585E-3</v>
      </c>
      <c r="O104" s="23">
        <f t="shared" ref="O104:O125" si="27">100*(1-(1-N104)^12)</f>
        <v>6.8510588660603666</v>
      </c>
      <c r="P104" s="24">
        <f t="shared" ref="P104:P106" si="28">D104/N104</f>
        <v>0.56063881284410511</v>
      </c>
      <c r="S104" s="18">
        <f t="shared" ref="S104:S106" si="29">A104</f>
        <v>-56.6828166580963</v>
      </c>
      <c r="T104" s="16">
        <f>VLOOKUP(ROUNDDOWN(S104,0),'Spline Pre-Adj'!A:B,2,0)</f>
        <v>1.2795488639999999</v>
      </c>
      <c r="U104" s="16">
        <f t="shared" ref="U104:U106" si="30">T104*K104</f>
        <v>1.2795488639999999</v>
      </c>
      <c r="X104" s="18">
        <f t="shared" ref="X104:X106" si="31">A104</f>
        <v>-56.6828166580963</v>
      </c>
      <c r="Y104" s="16">
        <f>VLOOKUP(ROUNDDOWN(X104,0),'Spline Pre-Adj'!F:G,2,0)</f>
        <v>0.18862313043478299</v>
      </c>
      <c r="Z104" s="16">
        <f t="shared" ref="Z104:Z106" si="32">Y104*L104</f>
        <v>0.18862313043478299</v>
      </c>
      <c r="AC104" s="18">
        <f t="shared" ref="AC104:AC106" si="33">A104</f>
        <v>-56.6828166580963</v>
      </c>
      <c r="AD104" s="16">
        <f>VLOOKUP(ROUNDDOWN(AC104,0),'Spline Pre-Adj'!K:L,2,0)</f>
        <v>0</v>
      </c>
      <c r="AE104" s="16">
        <f t="shared" ref="AE104:AE106" si="34">AD104*M104</f>
        <v>0</v>
      </c>
    </row>
    <row r="105" spans="1:50" s="17" customFormat="1" x14ac:dyDescent="0.25">
      <c r="A105" s="15">
        <f t="shared" si="18"/>
        <v>-32.1513166220317</v>
      </c>
      <c r="B105" s="22">
        <f t="shared" si="19"/>
        <v>0.18285968750999998</v>
      </c>
      <c r="C105" s="23" t="str">
        <f t="shared" si="17"/>
        <v>07:-50--25</v>
      </c>
      <c r="D105" s="16">
        <f>E70</f>
        <v>2.15820999762718E-3</v>
      </c>
      <c r="E105" s="16">
        <f t="shared" si="20"/>
        <v>8.5332226829159582E-3</v>
      </c>
      <c r="F105" s="22">
        <f t="shared" si="21"/>
        <v>0.25291851365229817</v>
      </c>
      <c r="G105" s="23">
        <f t="shared" si="22"/>
        <v>2.5593301408862734</v>
      </c>
      <c r="H105" s="23">
        <f t="shared" si="23"/>
        <v>9.7726932334566641</v>
      </c>
      <c r="K105" s="15">
        <f t="shared" si="24"/>
        <v>1</v>
      </c>
      <c r="L105" s="15">
        <f t="shared" si="25"/>
        <v>1</v>
      </c>
      <c r="M105" s="15">
        <f t="shared" si="26"/>
        <v>0.5</v>
      </c>
      <c r="N105" s="16">
        <f>Z70+AA70+AB70*K105+AC70*L105+AD70*M105*$M$100</f>
        <v>5.9283591842775631E-3</v>
      </c>
      <c r="O105" s="23">
        <f t="shared" si="27"/>
        <v>6.8865943390840512</v>
      </c>
      <c r="P105" s="24">
        <f t="shared" si="28"/>
        <v>0.36404845430939964</v>
      </c>
      <c r="S105" s="18">
        <f t="shared" si="29"/>
        <v>-32.1513166220317</v>
      </c>
      <c r="T105" s="16">
        <f>VLOOKUP(ROUNDDOWN(S105,0),'Spline Pre-Adj'!A:B,2,0)</f>
        <v>1.2869999999999999</v>
      </c>
      <c r="U105" s="16">
        <f t="shared" si="30"/>
        <v>1.2869999999999999</v>
      </c>
      <c r="X105" s="18">
        <f t="shared" si="31"/>
        <v>-32.1513166220317</v>
      </c>
      <c r="Y105" s="16">
        <f>VLOOKUP(ROUNDDOWN(X105,0),'Spline Pre-Adj'!F:G,2,0)</f>
        <v>0.3115</v>
      </c>
      <c r="Z105" s="16">
        <f t="shared" si="32"/>
        <v>0.3115</v>
      </c>
      <c r="AC105" s="18">
        <f t="shared" si="33"/>
        <v>-32.1513166220317</v>
      </c>
      <c r="AD105" s="16">
        <f>VLOOKUP(ROUNDDOWN(AC105,0),'Spline Pre-Adj'!K:L,2,0)</f>
        <v>0.43003693731507903</v>
      </c>
      <c r="AE105" s="16">
        <f t="shared" si="34"/>
        <v>0.21501846865753951</v>
      </c>
    </row>
    <row r="106" spans="1:50" x14ac:dyDescent="0.25">
      <c r="A106" s="4">
        <f t="shared" si="18"/>
        <v>-22.234952986481101</v>
      </c>
      <c r="B106" s="3">
        <f t="shared" si="19"/>
        <v>0.10425759056</v>
      </c>
      <c r="C106" s="2" t="str">
        <f t="shared" si="17"/>
        <v>08-1:-25--20</v>
      </c>
      <c r="D106" s="8">
        <f>E71</f>
        <v>8.2127037864756797E-3</v>
      </c>
      <c r="E106" s="8">
        <f t="shared" si="20"/>
        <v>1.1461064134336434E-2</v>
      </c>
      <c r="F106" s="3">
        <f t="shared" si="21"/>
        <v>0.71657428055664341</v>
      </c>
      <c r="G106" s="2">
        <f t="shared" si="22"/>
        <v>9.42204872207334</v>
      </c>
      <c r="H106" s="2">
        <f t="shared" si="23"/>
        <v>12.918609329739761</v>
      </c>
      <c r="J106">
        <v>1</v>
      </c>
      <c r="K106" s="14">
        <f t="shared" ref="K106" si="35">IF(ISNA(VLOOKUP(C106,$C$26:$M$44,9,0)),K107, VLOOKUP(C106,$C$26:$M$44,9,0))</f>
        <v>1</v>
      </c>
      <c r="L106" s="14">
        <f>IF(ISNA(VLOOKUP(C106,$C$26:$M$44,10,0)),L107, VLOOKUP(C106,$C$26:$M$44,10,0))</f>
        <v>1</v>
      </c>
      <c r="M106" s="14">
        <f>IF(ISNA(VLOOKUP(C106,$C$26:$M$44,11,0)),($M$111-$M$105)*J106/5+$M$105, VLOOKUP(C106,$C$26:$M$44,11,0))</f>
        <v>0.52</v>
      </c>
      <c r="N106" s="8">
        <f t="shared" ref="N106:N125" si="36">Z71+AA71+AB71*K106+AC71*L106+AD74*M109*$M$100</f>
        <v>1.0973498723843608E-2</v>
      </c>
      <c r="O106" s="2">
        <f t="shared" si="27"/>
        <v>12.401807360784833</v>
      </c>
      <c r="P106" s="7">
        <f t="shared" si="28"/>
        <v>0.74841251574858481</v>
      </c>
      <c r="S106" s="9">
        <f t="shared" si="29"/>
        <v>-22.234952986481101</v>
      </c>
      <c r="T106" s="8">
        <f>VLOOKUP(ROUNDDOWN(S106,0),'Spline Pre-Adj'!A:B,2,0)</f>
        <v>1.2869999999999999</v>
      </c>
      <c r="U106" s="8">
        <f t="shared" si="30"/>
        <v>1.2869999999999999</v>
      </c>
      <c r="X106" s="9">
        <f t="shared" si="31"/>
        <v>-22.234952986481101</v>
      </c>
      <c r="Y106" s="8">
        <f>VLOOKUP(ROUNDDOWN(X106,0),'Spline Pre-Adj'!F:G,2,0)</f>
        <v>0.38089236111111102</v>
      </c>
      <c r="Z106" s="8">
        <f t="shared" si="32"/>
        <v>0.38089236111111102</v>
      </c>
      <c r="AC106" s="9">
        <f t="shared" si="33"/>
        <v>-22.234952986481101</v>
      </c>
      <c r="AD106" s="8">
        <f>VLOOKUP(ROUNDDOWN(AC106,0),'Spline Pre-Adj'!K:L,2,0)</f>
        <v>0.79645948376475795</v>
      </c>
      <c r="AE106" s="8">
        <f t="shared" si="34"/>
        <v>0.41415893155767414</v>
      </c>
    </row>
    <row r="107" spans="1:50" x14ac:dyDescent="0.25">
      <c r="A107" s="4">
        <f t="shared" si="18"/>
        <v>-17.320366360484901</v>
      </c>
      <c r="B107" s="3">
        <f t="shared" si="19"/>
        <v>0.17501830419999997</v>
      </c>
      <c r="C107" s="2" t="str">
        <f t="shared" si="17"/>
        <v>08-2:-20--15</v>
      </c>
      <c r="D107" s="8">
        <f>E72</f>
        <v>9.4858255699862594E-3</v>
      </c>
      <c r="E107" s="8">
        <f t="shared" si="20"/>
        <v>1.3350098996839768E-2</v>
      </c>
      <c r="F107" s="3">
        <f t="shared" ref="F107:F117" si="37">D107/E107</f>
        <v>0.71054346280366476</v>
      </c>
      <c r="G107" s="2">
        <f t="shared" ref="G107:G117" si="38">(1-(1-D107)^12)*100</f>
        <v>10.807500013660931</v>
      </c>
      <c r="H107" s="2">
        <f t="shared" ref="H107:H117" si="39">(1-(1-E107)^12)*100</f>
        <v>14.894638703682062</v>
      </c>
      <c r="J107">
        <v>2</v>
      </c>
      <c r="K107" s="14">
        <f t="shared" ref="K107:K111" si="40">IF(ISNA(VLOOKUP(C107,$C$26:$M$44,9,0)),K108, VLOOKUP(C107,$C$26:$M$44,9,0))</f>
        <v>1</v>
      </c>
      <c r="L107" s="14">
        <f t="shared" ref="L107:L111" si="41">IF(ISNA(VLOOKUP(C107,$C$26:$M$44,10,0)),L108, VLOOKUP(C107,$C$26:$M$44,10,0))</f>
        <v>1</v>
      </c>
      <c r="M107" s="14">
        <f>IF(ISNA(VLOOKUP(C107,$C$26:$M$44,11,0)),($M$111-$M$105)*J107/5+$M$105, VLOOKUP(C107,$C$26:$M$44,11,0))</f>
        <v>0.54</v>
      </c>
      <c r="N107" s="8">
        <f t="shared" si="36"/>
        <v>1.1378129573468454E-2</v>
      </c>
      <c r="O107" s="2">
        <f t="shared" si="27"/>
        <v>12.830899397092422</v>
      </c>
      <c r="P107" s="7">
        <f t="shared" ref="P107:P117" si="42">D107/N107</f>
        <v>0.83368936069293209</v>
      </c>
      <c r="S107" s="9">
        <f t="shared" ref="S107:S112" si="43">A107</f>
        <v>-17.320366360484901</v>
      </c>
      <c r="T107" s="8">
        <f>VLOOKUP(ROUNDDOWN(S107,0),'Spline Pre-Adj'!A:B,2,0)</f>
        <v>1.2869999999999999</v>
      </c>
      <c r="U107" s="8">
        <f t="shared" ref="U107:U112" si="44">T107*K107</f>
        <v>1.2869999999999999</v>
      </c>
      <c r="X107" s="9">
        <f t="shared" ref="X107:X117" si="45">A107</f>
        <v>-17.320366360484901</v>
      </c>
      <c r="Y107" s="8">
        <f>VLOOKUP(ROUNDDOWN(X107,0),'Spline Pre-Adj'!F:G,2,0)</f>
        <v>0.43050424626087003</v>
      </c>
      <c r="Z107" s="8">
        <f t="shared" ref="Z107:Z117" si="46">Y107*L107</f>
        <v>0.43050424626087003</v>
      </c>
      <c r="AC107" s="9">
        <f t="shared" ref="AC107:AC117" si="47">A107</f>
        <v>-17.320366360484901</v>
      </c>
      <c r="AD107" s="8">
        <f>VLOOKUP(ROUNDDOWN(AC107,0),'Spline Pre-Adj'!K:L,2,0)</f>
        <v>0.95362938111262996</v>
      </c>
      <c r="AE107" s="8">
        <f t="shared" ref="AE107:AE117" si="48">AD107*M107</f>
        <v>0.5149598658008202</v>
      </c>
    </row>
    <row r="108" spans="1:50" x14ac:dyDescent="0.25">
      <c r="A108" s="4">
        <f t="shared" si="18"/>
        <v>-12.2652608626338</v>
      </c>
      <c r="B108" s="3">
        <f t="shared" si="19"/>
        <v>0.28393432030999999</v>
      </c>
      <c r="C108" s="2" t="str">
        <f t="shared" si="17"/>
        <v>08-3:-15--10</v>
      </c>
      <c r="D108" s="8">
        <f t="shared" ref="D108" si="49">E73</f>
        <v>9.2966236633027499E-3</v>
      </c>
      <c r="E108" s="8">
        <f t="shared" si="20"/>
        <v>1.4747595345619003E-2</v>
      </c>
      <c r="F108" s="3">
        <f t="shared" si="37"/>
        <v>0.63038233999717475</v>
      </c>
      <c r="G108" s="2">
        <f t="shared" si="38"/>
        <v>10.602841079902026</v>
      </c>
      <c r="H108" s="2">
        <f t="shared" si="39"/>
        <v>16.329947404277569</v>
      </c>
      <c r="J108">
        <v>3</v>
      </c>
      <c r="K108" s="14">
        <f t="shared" si="40"/>
        <v>1</v>
      </c>
      <c r="L108" s="14">
        <f t="shared" si="41"/>
        <v>1</v>
      </c>
      <c r="M108" s="14">
        <f>IF(ISNA(VLOOKUP(C108,$C$26:$M$44,11,0)),($M$111-$M$105)*J108/5+$M$105, VLOOKUP(C108,$C$26:$M$44,11,0))</f>
        <v>0.56000000000000005</v>
      </c>
      <c r="N108" s="8">
        <f t="shared" si="36"/>
        <v>1.2979745915164022E-2</v>
      </c>
      <c r="O108" s="2">
        <f t="shared" si="27"/>
        <v>14.510500191033371</v>
      </c>
      <c r="P108" s="7">
        <f t="shared" si="42"/>
        <v>0.7162408050254403</v>
      </c>
      <c r="S108" s="9">
        <f t="shared" si="43"/>
        <v>-12.2652608626338</v>
      </c>
      <c r="T108" s="8">
        <f>VLOOKUP(ROUNDDOWN(S108,0),'Spline Pre-Adj'!A:B,2,0)</f>
        <v>1.2869999999999999</v>
      </c>
      <c r="U108" s="8">
        <f t="shared" si="44"/>
        <v>1.2869999999999999</v>
      </c>
      <c r="X108" s="9">
        <f t="shared" si="45"/>
        <v>-12.2652608626338</v>
      </c>
      <c r="Y108" s="8">
        <f>VLOOKUP(ROUNDDOWN(X108,0),'Spline Pre-Adj'!F:G,2,0)</f>
        <v>0.48396474713043502</v>
      </c>
      <c r="Z108" s="8">
        <f t="shared" si="46"/>
        <v>0.48396474713043502</v>
      </c>
      <c r="AC108" s="9">
        <f t="shared" si="47"/>
        <v>-12.2652608626338</v>
      </c>
      <c r="AD108" s="8">
        <f>VLOOKUP(ROUNDDOWN(AC108,0),'Spline Pre-Adj'!K:L,2,0)</f>
        <v>1.08142635820954</v>
      </c>
      <c r="AE108" s="8">
        <f t="shared" si="48"/>
        <v>0.60559876059734252</v>
      </c>
    </row>
    <row r="109" spans="1:50" x14ac:dyDescent="0.25">
      <c r="A109" s="4">
        <f t="shared" si="18"/>
        <v>-7.3224372973263501</v>
      </c>
      <c r="B109" s="3">
        <f t="shared" si="19"/>
        <v>0.4230099517</v>
      </c>
      <c r="C109" s="2" t="str">
        <f t="shared" si="17"/>
        <v>08-4:-10--5</v>
      </c>
      <c r="D109" s="8">
        <f t="shared" ref="D109" si="50">E74</f>
        <v>1.42394877131182E-2</v>
      </c>
      <c r="E109" s="8">
        <f t="shared" si="20"/>
        <v>1.6124271204015793E-2</v>
      </c>
      <c r="F109" s="3">
        <f t="shared" si="37"/>
        <v>0.88310891902958177</v>
      </c>
      <c r="G109" s="2">
        <f t="shared" si="38"/>
        <v>15.810679217502754</v>
      </c>
      <c r="H109" s="2">
        <f t="shared" si="39"/>
        <v>17.722144201132739</v>
      </c>
      <c r="J109">
        <v>4</v>
      </c>
      <c r="K109" s="14">
        <f t="shared" si="40"/>
        <v>1</v>
      </c>
      <c r="L109" s="14">
        <f t="shared" si="41"/>
        <v>1</v>
      </c>
      <c r="M109" s="14">
        <f>IF(ISNA(VLOOKUP(C109,$C$26:$M$44,11,0)),($M$111-$M$105)*J109/5+$M$105, VLOOKUP(C109,$C$26:$M$44,11,0))</f>
        <v>0.58000000000000007</v>
      </c>
      <c r="N109" s="8">
        <f t="shared" si="36"/>
        <v>1.4393679565592456E-2</v>
      </c>
      <c r="O109" s="2">
        <f t="shared" si="27"/>
        <v>15.968569233576124</v>
      </c>
      <c r="P109" s="7">
        <f t="shared" si="42"/>
        <v>0.98928753056009078</v>
      </c>
      <c r="S109" s="9">
        <f t="shared" si="43"/>
        <v>-7.3224372973263501</v>
      </c>
      <c r="T109" s="8">
        <f>VLOOKUP(ROUNDDOWN(S109,0),'Spline Pre-Adj'!A:B,2,0)</f>
        <v>1.2869999999999999</v>
      </c>
      <c r="U109" s="8">
        <f t="shared" si="44"/>
        <v>1.2869999999999999</v>
      </c>
      <c r="X109" s="9">
        <f t="shared" si="45"/>
        <v>-7.3224372973263501</v>
      </c>
      <c r="Y109" s="8">
        <f>VLOOKUP(ROUNDDOWN(X109,0),'Spline Pre-Adj'!F:G,2,0)</f>
        <v>0.54485561321739095</v>
      </c>
      <c r="Z109" s="8">
        <f t="shared" si="46"/>
        <v>0.54485561321739095</v>
      </c>
      <c r="AC109" s="9">
        <f t="shared" si="47"/>
        <v>-7.3224372973263501</v>
      </c>
      <c r="AD109" s="8">
        <f>VLOOKUP(ROUNDDOWN(AC109,0),'Spline Pre-Adj'!K:L,2,0)</f>
        <v>1.1993277822989601</v>
      </c>
      <c r="AE109" s="8">
        <f t="shared" si="48"/>
        <v>0.69561011373339698</v>
      </c>
    </row>
    <row r="110" spans="1:50" x14ac:dyDescent="0.25">
      <c r="A110" s="4">
        <f t="shared" si="18"/>
        <v>-2.3387296965728201</v>
      </c>
      <c r="B110" s="3">
        <f t="shared" si="19"/>
        <v>0.62948601916000002</v>
      </c>
      <c r="C110" s="2" t="str">
        <f t="shared" si="17"/>
        <v>08:-25-0</v>
      </c>
      <c r="D110" s="8">
        <f t="shared" ref="D110" si="51">E75</f>
        <v>1.28001180096661E-2</v>
      </c>
      <c r="E110" s="8">
        <f t="shared" si="20"/>
        <v>1.7461379358942538E-2</v>
      </c>
      <c r="F110" s="3">
        <f t="shared" si="37"/>
        <v>0.73305308512816569</v>
      </c>
      <c r="G110" s="2">
        <f t="shared" si="38"/>
        <v>14.323614300375297</v>
      </c>
      <c r="H110" s="2">
        <f t="shared" si="39"/>
        <v>19.053968378100585</v>
      </c>
      <c r="K110" s="14">
        <f t="shared" si="40"/>
        <v>1</v>
      </c>
      <c r="L110" s="14">
        <f t="shared" si="41"/>
        <v>1</v>
      </c>
      <c r="M110" s="14">
        <f t="shared" ref="M110" si="52">IF(ISNA(VLOOKUP(C110,$C$26:$M$44,11,0)),M111, VLOOKUP(C110,$C$26:$M$44,11,0))</f>
        <v>0.55000000000000004</v>
      </c>
      <c r="N110" s="8">
        <f t="shared" si="36"/>
        <v>1.6231038187025371E-2</v>
      </c>
      <c r="O110" s="2">
        <f t="shared" si="27"/>
        <v>17.829222569801207</v>
      </c>
      <c r="P110" s="7">
        <f t="shared" si="42"/>
        <v>0.78861979512180247</v>
      </c>
      <c r="S110" s="9">
        <f t="shared" si="43"/>
        <v>-2.3387296965728201</v>
      </c>
      <c r="T110" s="8">
        <f>VLOOKUP(ROUNDDOWN(S110,0),'Spline Pre-Adj'!A:B,2,0)</f>
        <v>1.2869999999999999</v>
      </c>
      <c r="U110" s="8">
        <f t="shared" si="44"/>
        <v>1.2869999999999999</v>
      </c>
      <c r="X110" s="9">
        <f t="shared" si="45"/>
        <v>-2.3387296965728201</v>
      </c>
      <c r="Y110" s="8">
        <f>VLOOKUP(ROUNDDOWN(X110,0),'Spline Pre-Adj'!F:G,2,0)</f>
        <v>0.61797136626086902</v>
      </c>
      <c r="Z110" s="8">
        <f t="shared" si="46"/>
        <v>0.61797136626086902</v>
      </c>
      <c r="AC110" s="9">
        <f t="shared" si="47"/>
        <v>-2.3387296965728201</v>
      </c>
      <c r="AD110" s="8">
        <f>VLOOKUP(ROUNDDOWN(AC110,0),'Spline Pre-Adj'!K:L,2,0)</f>
        <v>1.3122379125033801</v>
      </c>
      <c r="AE110" s="8">
        <f t="shared" si="48"/>
        <v>0.72173085187685915</v>
      </c>
    </row>
    <row r="111" spans="1:50" x14ac:dyDescent="0.25">
      <c r="A111" s="4">
        <f t="shared" si="18"/>
        <v>2.65358877799809</v>
      </c>
      <c r="B111" s="3">
        <f t="shared" si="19"/>
        <v>0.85794089769000004</v>
      </c>
      <c r="C111" s="2" t="str">
        <f t="shared" si="17"/>
        <v>09-1:0-5</v>
      </c>
      <c r="D111" s="8">
        <f t="shared" ref="D111" si="53">E76</f>
        <v>1.7864414698057302E-2</v>
      </c>
      <c r="E111" s="8">
        <f t="shared" si="20"/>
        <v>1.8757780757016493E-2</v>
      </c>
      <c r="F111" s="3">
        <f t="shared" si="37"/>
        <v>0.95237357390345756</v>
      </c>
      <c r="G111" s="2">
        <f t="shared" si="38"/>
        <v>19.451517440607326</v>
      </c>
      <c r="H111" s="2">
        <f t="shared" si="39"/>
        <v>20.326350202988021</v>
      </c>
      <c r="J111">
        <v>1</v>
      </c>
      <c r="K111" s="14">
        <f t="shared" si="40"/>
        <v>1</v>
      </c>
      <c r="L111" s="14">
        <f t="shared" si="41"/>
        <v>1</v>
      </c>
      <c r="M111" s="14">
        <f>IF(ISNA(VLOOKUP(C111,$C$26:$M$44,11,0)),($M$115-$M$110)*J111/5+$M$110, VLOOKUP(C111,$C$26:$M$44,11,0))</f>
        <v>0.60000000000000009</v>
      </c>
      <c r="N111" s="8">
        <f t="shared" si="36"/>
        <v>1.8532397232494321E-2</v>
      </c>
      <c r="O111" s="2">
        <f t="shared" si="27"/>
        <v>20.106467726927789</v>
      </c>
      <c r="P111" s="7">
        <f t="shared" si="42"/>
        <v>0.96395595636889364</v>
      </c>
      <c r="S111" s="9">
        <f t="shared" si="43"/>
        <v>2.65358877799809</v>
      </c>
      <c r="T111" s="8">
        <f>VLOOKUP(ROUNDDOWN(S111,0),'Spline Pre-Adj'!A:B,2,0)</f>
        <v>1.2869999999999999</v>
      </c>
      <c r="U111" s="8">
        <f t="shared" si="44"/>
        <v>1.2869999999999999</v>
      </c>
      <c r="X111" s="9">
        <f t="shared" si="45"/>
        <v>2.65358877799809</v>
      </c>
      <c r="Y111" s="8">
        <f>VLOOKUP(ROUNDDOWN(X111,0),'Spline Pre-Adj'!F:G,2,0)</f>
        <v>0.68848780591304304</v>
      </c>
      <c r="Z111" s="8">
        <f t="shared" si="46"/>
        <v>0.68848780591304304</v>
      </c>
      <c r="AC111" s="9">
        <f t="shared" si="47"/>
        <v>2.65358877799809</v>
      </c>
      <c r="AD111" s="8">
        <f>VLOOKUP(ROUNDDOWN(AC111,0),'Spline Pre-Adj'!K:L,2,0)</f>
        <v>1.4018480364105399</v>
      </c>
      <c r="AE111" s="8">
        <f t="shared" si="48"/>
        <v>0.84110882184632407</v>
      </c>
    </row>
    <row r="112" spans="1:50" x14ac:dyDescent="0.25">
      <c r="A112" s="4">
        <f t="shared" si="18"/>
        <v>7.6198852778356896</v>
      </c>
      <c r="B112" s="3">
        <f t="shared" si="19"/>
        <v>1.15192040968</v>
      </c>
      <c r="C112" s="2" t="str">
        <f t="shared" si="17"/>
        <v>09-2:5-10</v>
      </c>
      <c r="D112" s="8">
        <f t="shared" ref="D112" si="54">E77</f>
        <v>2.2551304094821999E-2</v>
      </c>
      <c r="E112" s="8">
        <f t="shared" si="20"/>
        <v>1.9913971239504259E-2</v>
      </c>
      <c r="F112" s="3">
        <f t="shared" si="37"/>
        <v>1.1324363093427563</v>
      </c>
      <c r="G112" s="2">
        <f t="shared" si="38"/>
        <v>23.945019688015368</v>
      </c>
      <c r="H112" s="2">
        <f t="shared" si="39"/>
        <v>21.445624593178891</v>
      </c>
      <c r="J112">
        <v>2</v>
      </c>
      <c r="K112" s="14">
        <f t="shared" ref="K112:K125" si="55">IF(ISNA(VLOOKUP(C112,$C$26:$M$44,9,0)),K113, VLOOKUP(C112,$C$26:$M$44,9,0))</f>
        <v>1</v>
      </c>
      <c r="L112" s="14">
        <f t="shared" ref="L112:L125" si="56">IF(ISNA(VLOOKUP(C112,$C$26:$M$44,10,0)),L113, VLOOKUP(C112,$C$26:$M$44,10,0))</f>
        <v>1</v>
      </c>
      <c r="M112" s="14">
        <f>IF(ISNA(VLOOKUP(C112,$C$26:$M$44,11,0)),($M$115-$M$110)*J112/5+$M$110, VLOOKUP(C112,$C$26:$M$44,11,0))</f>
        <v>0.65</v>
      </c>
      <c r="N112" s="8">
        <f t="shared" si="36"/>
        <v>2.1358900439398421E-2</v>
      </c>
      <c r="O112" s="2">
        <f t="shared" si="27"/>
        <v>22.824152352325243</v>
      </c>
      <c r="P112" s="7">
        <f t="shared" si="42"/>
        <v>1.0558270150098215</v>
      </c>
      <c r="S112" s="9">
        <f t="shared" si="43"/>
        <v>7.6198852778356896</v>
      </c>
      <c r="T112" s="8">
        <f>VLOOKUP(ROUNDDOWN(S112,0),'Spline Pre-Adj'!A:B,2,0)</f>
        <v>1.2869999999999999</v>
      </c>
      <c r="U112" s="8">
        <f t="shared" si="44"/>
        <v>1.2869999999999999</v>
      </c>
      <c r="X112" s="9">
        <f t="shared" si="45"/>
        <v>7.6198852778356896</v>
      </c>
      <c r="Y112" s="8">
        <f>VLOOKUP(ROUNDDOWN(X112,0),'Spline Pre-Adj'!F:G,2,0)</f>
        <v>0.79418177251202804</v>
      </c>
      <c r="Z112" s="8">
        <f t="shared" si="46"/>
        <v>0.79418177251202804</v>
      </c>
      <c r="AC112" s="9">
        <f t="shared" si="47"/>
        <v>7.6198852778356896</v>
      </c>
      <c r="AD112" s="8">
        <f>VLOOKUP(ROUNDDOWN(AC112,0),'Spline Pre-Adj'!K:L,2,0)</f>
        <v>1.51655790515</v>
      </c>
      <c r="AE112" s="8">
        <f t="shared" si="48"/>
        <v>0.9857626383475</v>
      </c>
    </row>
    <row r="113" spans="1:31" x14ac:dyDescent="0.25">
      <c r="A113" s="4">
        <f t="shared" si="18"/>
        <v>12.7027837487685</v>
      </c>
      <c r="B113" s="3">
        <f t="shared" si="19"/>
        <v>1.6116375038399999</v>
      </c>
      <c r="C113" s="2" t="str">
        <f t="shared" si="17"/>
        <v>09-3:10-15</v>
      </c>
      <c r="D113" s="8">
        <f t="shared" ref="D113" si="57">E78</f>
        <v>1.9311279123002699E-2</v>
      </c>
      <c r="E113" s="8">
        <f t="shared" si="20"/>
        <v>2.1212657858283024E-2</v>
      </c>
      <c r="F113" s="3">
        <f t="shared" si="37"/>
        <v>0.91036584156577616</v>
      </c>
      <c r="G113" s="2">
        <f t="shared" si="38"/>
        <v>20.863987202152813</v>
      </c>
      <c r="H113" s="2">
        <f t="shared" si="39"/>
        <v>22.685645895371664</v>
      </c>
      <c r="J113">
        <v>3</v>
      </c>
      <c r="K113" s="14">
        <f t="shared" si="55"/>
        <v>1</v>
      </c>
      <c r="L113" s="14">
        <f t="shared" si="56"/>
        <v>1</v>
      </c>
      <c r="M113" s="14">
        <f>IF(ISNA(VLOOKUP(C113,$C$26:$M$44,11,0)),($M$115-$M$110)*J113/5+$M$110, VLOOKUP(C113,$C$26:$M$44,11,0))</f>
        <v>0.70000000000000007</v>
      </c>
      <c r="N113" s="8">
        <f t="shared" si="36"/>
        <v>2.4238536084691086E-2</v>
      </c>
      <c r="O113" s="2">
        <f t="shared" si="27"/>
        <v>25.5055447832795</v>
      </c>
      <c r="P113" s="7">
        <f t="shared" si="42"/>
        <v>0.79671804664802293</v>
      </c>
      <c r="S113" s="9">
        <f>A113</f>
        <v>12.7027837487685</v>
      </c>
      <c r="T113" s="8">
        <f>VLOOKUP(ROUNDDOWN(S113,0),'Spline Pre-Adj'!A:B,2,0)</f>
        <v>1.2869999999999999</v>
      </c>
      <c r="U113" s="8">
        <f>T113*K113</f>
        <v>1.2869999999999999</v>
      </c>
      <c r="X113" s="9">
        <f t="shared" si="45"/>
        <v>12.7027837487685</v>
      </c>
      <c r="Y113" s="8">
        <f>VLOOKUP(ROUNDDOWN(X113,0),'Spline Pre-Adj'!F:G,2,0)</f>
        <v>0.91120038717590501</v>
      </c>
      <c r="Z113" s="8">
        <f t="shared" si="46"/>
        <v>0.91120038717590501</v>
      </c>
      <c r="AC113" s="9">
        <f t="shared" si="47"/>
        <v>12.7027837487685</v>
      </c>
      <c r="AD113" s="8">
        <f>VLOOKUP(ROUNDDOWN(AC113,0),'Spline Pre-Adj'!K:L,2,0)</f>
        <v>1.6382587772578501</v>
      </c>
      <c r="AE113" s="8">
        <f t="shared" si="48"/>
        <v>1.1467811440804951</v>
      </c>
    </row>
    <row r="114" spans="1:31" x14ac:dyDescent="0.25">
      <c r="A114" s="4">
        <f t="shared" si="18"/>
        <v>17.616235747790999</v>
      </c>
      <c r="B114" s="3">
        <f t="shared" si="19"/>
        <v>2.4564954800700001</v>
      </c>
      <c r="C114" s="2" t="str">
        <f t="shared" si="17"/>
        <v>09-4:15-20</v>
      </c>
      <c r="D114" s="8">
        <f t="shared" ref="D114" si="58">E79</f>
        <v>2.2402196090709401E-2</v>
      </c>
      <c r="E114" s="8">
        <f t="shared" si="20"/>
        <v>2.2950381852569236E-2</v>
      </c>
      <c r="F114" s="3">
        <f t="shared" si="37"/>
        <v>0.97611430757965945</v>
      </c>
      <c r="G114" s="2">
        <f t="shared" si="38"/>
        <v>23.805678245652651</v>
      </c>
      <c r="H114" s="2">
        <f t="shared" si="39"/>
        <v>24.316809470846536</v>
      </c>
      <c r="J114">
        <v>4</v>
      </c>
      <c r="K114" s="14">
        <f t="shared" si="55"/>
        <v>1</v>
      </c>
      <c r="L114" s="14">
        <f t="shared" si="56"/>
        <v>1</v>
      </c>
      <c r="M114" s="14">
        <f>IF(ISNA(VLOOKUP(C114,$C$26:$M$44,11,0)),($M$115-$M$110)*J114/5+$M$110, VLOOKUP(C114,$C$26:$M$44,11,0))</f>
        <v>0.75</v>
      </c>
      <c r="N114" s="8">
        <f t="shared" si="36"/>
        <v>2.7516753523194763E-2</v>
      </c>
      <c r="O114" s="2">
        <f t="shared" si="27"/>
        <v>28.453970267170448</v>
      </c>
      <c r="P114" s="7">
        <f t="shared" si="42"/>
        <v>0.81412932931298976</v>
      </c>
      <c r="X114" s="9">
        <f t="shared" si="45"/>
        <v>17.616235747790999</v>
      </c>
      <c r="Y114" s="8">
        <f>VLOOKUP(ROUNDDOWN(X114,0),'Spline Pre-Adj'!F:G,2,0)</f>
        <v>1.0442240375289999</v>
      </c>
      <c r="Z114" s="8">
        <f t="shared" si="46"/>
        <v>1.0442240375289999</v>
      </c>
      <c r="AC114" s="9">
        <f t="shared" si="47"/>
        <v>17.616235747790999</v>
      </c>
      <c r="AD114" s="8">
        <f>VLOOKUP(ROUNDDOWN(AC114,0),'Spline Pre-Adj'!K:L,2,0)</f>
        <v>1.77123004461028</v>
      </c>
      <c r="AE114" s="8">
        <f t="shared" si="48"/>
        <v>1.32842253345771</v>
      </c>
    </row>
    <row r="115" spans="1:31" x14ac:dyDescent="0.25">
      <c r="A115" s="4">
        <f t="shared" si="18"/>
        <v>22.590179235964602</v>
      </c>
      <c r="B115" s="3">
        <f t="shared" si="19"/>
        <v>3.3771238293600003</v>
      </c>
      <c r="C115" s="2" t="str">
        <f t="shared" si="17"/>
        <v>09:0-25</v>
      </c>
      <c r="D115" s="8">
        <f t="shared" ref="D115" si="59">E80</f>
        <v>3.0307588786639399E-2</v>
      </c>
      <c r="E115" s="8">
        <f t="shared" si="20"/>
        <v>2.499743482410335E-2</v>
      </c>
      <c r="F115" s="3">
        <f t="shared" si="37"/>
        <v>1.2124279551042503</v>
      </c>
      <c r="G115" s="2">
        <f t="shared" si="38"/>
        <v>30.879326344626978</v>
      </c>
      <c r="H115" s="2">
        <f t="shared" si="39"/>
        <v>26.197835419842907</v>
      </c>
      <c r="K115" s="14">
        <f t="shared" si="55"/>
        <v>1</v>
      </c>
      <c r="L115" s="14">
        <f t="shared" si="56"/>
        <v>1</v>
      </c>
      <c r="M115" s="14">
        <f t="shared" ref="M115:M125" si="60">IF(ISNA(VLOOKUP(C115,$C$26:$M$44,11,0)),M116, VLOOKUP(C115,$C$26:$M$44,11,0))</f>
        <v>0.8</v>
      </c>
      <c r="N115" s="8">
        <f t="shared" si="36"/>
        <v>3.0701071368816422E-2</v>
      </c>
      <c r="O115" s="2">
        <f t="shared" si="27"/>
        <v>31.215150319410089</v>
      </c>
      <c r="P115" s="7">
        <f t="shared" si="42"/>
        <v>0.98718342505217294</v>
      </c>
      <c r="X115" s="9">
        <f t="shared" si="45"/>
        <v>22.590179235964602</v>
      </c>
      <c r="Y115" s="8">
        <f>VLOOKUP(ROUNDDOWN(X115,0),'Spline Pre-Adj'!F:G,2,0)</f>
        <v>1.20153726214034</v>
      </c>
      <c r="Z115" s="8">
        <f t="shared" si="46"/>
        <v>1.20153726214034</v>
      </c>
      <c r="AC115" s="9">
        <f t="shared" si="47"/>
        <v>22.590179235964602</v>
      </c>
      <c r="AD115" s="8">
        <f>VLOOKUP(ROUNDDOWN(AC115,0),'Spline Pre-Adj'!K:L,2,0)</f>
        <v>1.91883456513696</v>
      </c>
      <c r="AE115" s="8">
        <f t="shared" si="48"/>
        <v>1.5350676521095681</v>
      </c>
    </row>
    <row r="116" spans="1:31" x14ac:dyDescent="0.25">
      <c r="A116" s="4">
        <f t="shared" si="18"/>
        <v>27.547268159078001</v>
      </c>
      <c r="B116" s="3">
        <f t="shared" si="19"/>
        <v>3.9548243199400002</v>
      </c>
      <c r="C116" s="2" t="str">
        <f t="shared" si="17"/>
        <v>10-1:25-30</v>
      </c>
      <c r="D116" s="8">
        <f t="shared" ref="D116" si="61">E81</f>
        <v>3.5264934004911298E-2</v>
      </c>
      <c r="E116" s="8">
        <f t="shared" si="20"/>
        <v>2.6903968833249445E-2</v>
      </c>
      <c r="F116" s="3">
        <f t="shared" si="37"/>
        <v>1.3107706979398854</v>
      </c>
      <c r="G116" s="2">
        <f t="shared" si="38"/>
        <v>35.00248191746288</v>
      </c>
      <c r="H116" s="2">
        <f t="shared" si="39"/>
        <v>27.91109726865265</v>
      </c>
      <c r="J116">
        <v>1</v>
      </c>
      <c r="K116" s="14">
        <f t="shared" si="55"/>
        <v>1</v>
      </c>
      <c r="L116" s="14">
        <f t="shared" si="56"/>
        <v>1</v>
      </c>
      <c r="M116" s="14">
        <f>IF(ISNA(VLOOKUP(C116,$C$26:$M$44,11,0)),($M$120-$M$115)*J116/5+$M$115, VLOOKUP(C116,$C$26:$M$44,11,0))</f>
        <v>0.85000000000000009</v>
      </c>
      <c r="N116" s="8">
        <f t="shared" si="36"/>
        <v>3.4551862322286735E-2</v>
      </c>
      <c r="O116" s="2">
        <f t="shared" si="27"/>
        <v>34.423627404350107</v>
      </c>
      <c r="P116" s="7">
        <f t="shared" si="42"/>
        <v>1.0206377206523138</v>
      </c>
      <c r="X116" s="9">
        <f t="shared" si="45"/>
        <v>27.547268159078001</v>
      </c>
      <c r="Y116" s="8">
        <f>VLOOKUP(ROUNDDOWN(X116,0),'Spline Pre-Adj'!F:G,2,0)</f>
        <v>1.39142459957894</v>
      </c>
      <c r="Z116" s="8">
        <f t="shared" si="46"/>
        <v>1.39142459957894</v>
      </c>
      <c r="AC116" s="9">
        <f t="shared" si="47"/>
        <v>27.547268159078001</v>
      </c>
      <c r="AD116" s="8">
        <f>VLOOKUP(ROUNDDOWN(AC116,0),'Spline Pre-Adj'!K:L,2,0)</f>
        <v>2.0788177485891102</v>
      </c>
      <c r="AE116" s="8">
        <f t="shared" si="48"/>
        <v>1.7669950863007438</v>
      </c>
    </row>
    <row r="117" spans="1:31" x14ac:dyDescent="0.25">
      <c r="A117" s="4">
        <f t="shared" si="18"/>
        <v>32.542028407735103</v>
      </c>
      <c r="B117" s="3">
        <f t="shared" si="19"/>
        <v>4.3907244447299991</v>
      </c>
      <c r="C117" s="2" t="str">
        <f t="shared" si="17"/>
        <v>10-2:30-35</v>
      </c>
      <c r="D117" s="8">
        <f t="shared" ref="D117" si="62">E82</f>
        <v>3.8182049388878203E-2</v>
      </c>
      <c r="E117" s="8">
        <f t="shared" si="20"/>
        <v>2.9083318038889173E-2</v>
      </c>
      <c r="F117" s="3">
        <f t="shared" si="37"/>
        <v>1.3128505261271266</v>
      </c>
      <c r="G117" s="2">
        <f t="shared" si="38"/>
        <v>37.32208548833966</v>
      </c>
      <c r="H117" s="2">
        <f t="shared" si="39"/>
        <v>29.824816550466803</v>
      </c>
      <c r="J117">
        <v>2</v>
      </c>
      <c r="K117" s="14">
        <f t="shared" si="55"/>
        <v>1</v>
      </c>
      <c r="L117" s="14">
        <f t="shared" si="56"/>
        <v>1</v>
      </c>
      <c r="M117" s="14">
        <f>IF(ISNA(VLOOKUP(C117,$C$26:$M$44,11,0)),($M$120-$M$115)*2/5+$M$115, VLOOKUP(C117,$C$26:$M$44,11,0))</f>
        <v>0.9</v>
      </c>
      <c r="N117" s="8">
        <f t="shared" si="36"/>
        <v>3.8831664547403326E-2</v>
      </c>
      <c r="O117" s="2">
        <f t="shared" si="27"/>
        <v>37.828197226902162</v>
      </c>
      <c r="P117" s="7">
        <f t="shared" si="42"/>
        <v>0.98327099375994786</v>
      </c>
      <c r="X117" s="9">
        <f t="shared" si="45"/>
        <v>32.542028407735103</v>
      </c>
      <c r="Y117" s="8">
        <f>VLOOKUP(ROUNDDOWN(X117,0),'Spline Pre-Adj'!F:G,2,0)</f>
        <v>1.62333231153945</v>
      </c>
      <c r="Z117" s="8">
        <f t="shared" si="46"/>
        <v>1.62333231153945</v>
      </c>
      <c r="AC117" s="9">
        <f t="shared" si="47"/>
        <v>32.542028407735103</v>
      </c>
      <c r="AD117" s="8">
        <f>VLOOKUP(ROUNDDOWN(AC117,0),'Spline Pre-Adj'!K:L,2,0)</f>
        <v>2.2487416798578299</v>
      </c>
      <c r="AE117" s="8">
        <f t="shared" si="48"/>
        <v>2.0238675118720471</v>
      </c>
    </row>
    <row r="118" spans="1:31" s="17" customFormat="1" x14ac:dyDescent="0.25">
      <c r="A118" s="4">
        <f t="shared" si="18"/>
        <v>37.486494006130997</v>
      </c>
      <c r="B118" s="3">
        <f t="shared" si="19"/>
        <v>4.4375710396000008</v>
      </c>
      <c r="C118" s="2" t="str">
        <f t="shared" si="17"/>
        <v>10-3:35-40</v>
      </c>
      <c r="D118" s="8">
        <f t="shared" ref="D118:D131" si="63">E83</f>
        <v>4.03703394190894E-2</v>
      </c>
      <c r="E118" s="8">
        <f t="shared" si="20"/>
        <v>3.0938870162845911E-2</v>
      </c>
      <c r="F118" s="3">
        <f t="shared" ref="F118:F125" si="64">D118/E118</f>
        <v>1.3048420710452968</v>
      </c>
      <c r="G118" s="2">
        <f t="shared" ref="G118:G125" si="65">(1-(1-D118)^12)*100</f>
        <v>39.012061454220373</v>
      </c>
      <c r="H118" s="2">
        <f t="shared" ref="H118:H125" si="66">(1-(1-E118)^12)*100</f>
        <v>31.417377736899876</v>
      </c>
      <c r="I118"/>
      <c r="J118">
        <v>3</v>
      </c>
      <c r="K118" s="14">
        <f t="shared" si="55"/>
        <v>1</v>
      </c>
      <c r="L118" s="14">
        <f t="shared" si="56"/>
        <v>1</v>
      </c>
      <c r="M118" s="14">
        <f>IF(ISNA(VLOOKUP(C118,$C$26:$M$44,11,0)),($M$120-$M$115)*3/5+$M$115, VLOOKUP(C118,$C$26:$M$44,11,0))</f>
        <v>0.95000000000000007</v>
      </c>
      <c r="N118" s="8">
        <f t="shared" si="36"/>
        <v>4.1698311335125852E-2</v>
      </c>
      <c r="O118" s="2">
        <f t="shared" si="27"/>
        <v>40.017157671427086</v>
      </c>
      <c r="P118" s="7">
        <f t="shared" ref="P118:P125" si="67">D118/N118</f>
        <v>0.96815286102682541</v>
      </c>
      <c r="Q118"/>
      <c r="R118"/>
      <c r="S118"/>
      <c r="T118"/>
      <c r="U118"/>
      <c r="V118"/>
      <c r="W118"/>
      <c r="X118" s="9">
        <f t="shared" ref="X118:X125" si="68">A118</f>
        <v>37.486494006130997</v>
      </c>
      <c r="Y118" s="8">
        <f>VLOOKUP(ROUNDDOWN(X118,0),'Spline Pre-Adj'!F:G,2,0)</f>
        <v>1.89537379409471</v>
      </c>
      <c r="Z118" s="8">
        <f t="shared" ref="Z118:Z125" si="69">Y118*L118</f>
        <v>1.89537379409471</v>
      </c>
      <c r="AA118"/>
      <c r="AB118"/>
      <c r="AC118" s="9">
        <f t="shared" ref="AC118:AC125" si="70">A118</f>
        <v>37.486494006130997</v>
      </c>
      <c r="AD118" s="8">
        <f>VLOOKUP(ROUNDDOWN(AC118,0),'Spline Pre-Adj'!K:L,2,0)</f>
        <v>2.4264029166777901</v>
      </c>
      <c r="AE118" s="8">
        <f t="shared" ref="AE118:AE125" si="71">AD118*M118</f>
        <v>2.3050827708439008</v>
      </c>
    </row>
    <row r="119" spans="1:31" s="17" customFormat="1" x14ac:dyDescent="0.25">
      <c r="A119" s="4">
        <f t="shared" si="18"/>
        <v>42.421648053468502</v>
      </c>
      <c r="B119" s="3">
        <f t="shared" si="19"/>
        <v>4.2265500189600003</v>
      </c>
      <c r="C119" s="2" t="str">
        <f t="shared" si="17"/>
        <v>10-4:40-45</v>
      </c>
      <c r="D119" s="8">
        <f t="shared" si="63"/>
        <v>4.4694142778095303E-2</v>
      </c>
      <c r="E119" s="8">
        <f t="shared" si="20"/>
        <v>3.3263128047593814E-2</v>
      </c>
      <c r="F119" s="3">
        <f t="shared" si="64"/>
        <v>1.3436542322221072</v>
      </c>
      <c r="G119" s="2">
        <f t="shared" si="65"/>
        <v>42.229079659815824</v>
      </c>
      <c r="H119" s="2">
        <f t="shared" si="66"/>
        <v>33.365460906414356</v>
      </c>
      <c r="I119"/>
      <c r="J119">
        <v>4</v>
      </c>
      <c r="K119" s="14">
        <f t="shared" si="55"/>
        <v>1</v>
      </c>
      <c r="L119" s="14">
        <f t="shared" si="56"/>
        <v>1</v>
      </c>
      <c r="M119" s="14">
        <f>IF(ISNA(VLOOKUP(C119,$C$26:$M$44,11,0)),($M$120-$M$115)*4/5+$M$115, VLOOKUP(C119,$C$26:$M$44,11,0))</f>
        <v>1</v>
      </c>
      <c r="N119" s="8">
        <f t="shared" si="36"/>
        <v>4.3911864462155982E-2</v>
      </c>
      <c r="O119" s="2">
        <f t="shared" si="27"/>
        <v>41.658828333824026</v>
      </c>
      <c r="P119" s="7">
        <f t="shared" si="67"/>
        <v>1.0178147369855703</v>
      </c>
      <c r="Q119"/>
      <c r="R119"/>
      <c r="S119"/>
      <c r="T119"/>
      <c r="U119"/>
      <c r="V119"/>
      <c r="W119"/>
      <c r="X119" s="9">
        <f t="shared" si="68"/>
        <v>42.421648053468502</v>
      </c>
      <c r="Y119" s="8">
        <f>VLOOKUP(ROUNDDOWN(X119,0),'Spline Pre-Adj'!F:G,2,0)</f>
        <v>2.1927887580772198</v>
      </c>
      <c r="Z119" s="8">
        <f t="shared" si="69"/>
        <v>2.1927887580772198</v>
      </c>
      <c r="AA119"/>
      <c r="AB119"/>
      <c r="AC119" s="9">
        <f t="shared" si="70"/>
        <v>42.421648053468502</v>
      </c>
      <c r="AD119" s="8">
        <f>VLOOKUP(ROUNDDOWN(AC119,0),'Spline Pre-Adj'!K:L,2,0)</f>
        <v>2.6095980167836599</v>
      </c>
      <c r="AE119" s="8">
        <f t="shared" si="71"/>
        <v>2.6095980167836599</v>
      </c>
    </row>
    <row r="120" spans="1:31" s="17" customFormat="1" x14ac:dyDescent="0.25">
      <c r="A120" s="4">
        <f t="shared" si="18"/>
        <v>47.512004004398001</v>
      </c>
      <c r="B120" s="3">
        <f t="shared" si="19"/>
        <v>3.9701839694000003</v>
      </c>
      <c r="C120" s="2" t="str">
        <f t="shared" si="17"/>
        <v>10:25-50</v>
      </c>
      <c r="D120" s="8">
        <f t="shared" si="63"/>
        <v>4.4909905113372998E-2</v>
      </c>
      <c r="E120" s="8">
        <f t="shared" si="20"/>
        <v>3.5727845281809417E-2</v>
      </c>
      <c r="F120" s="3">
        <f t="shared" si="64"/>
        <v>1.2570001005976861</v>
      </c>
      <c r="G120" s="2">
        <f t="shared" si="65"/>
        <v>42.385460776815975</v>
      </c>
      <c r="H120" s="2">
        <f t="shared" si="66"/>
        <v>35.375750896916522</v>
      </c>
      <c r="I120"/>
      <c r="J120"/>
      <c r="K120" s="14">
        <f t="shared" si="55"/>
        <v>1</v>
      </c>
      <c r="L120" s="14">
        <f t="shared" si="56"/>
        <v>1</v>
      </c>
      <c r="M120" s="14">
        <f t="shared" si="60"/>
        <v>1.05</v>
      </c>
      <c r="N120" s="8">
        <f t="shared" si="36"/>
        <v>4.6028359351526632E-2</v>
      </c>
      <c r="O120" s="2">
        <f t="shared" si="27"/>
        <v>43.189897610801395</v>
      </c>
      <c r="P120" s="7">
        <f t="shared" si="67"/>
        <v>0.9757007580997662</v>
      </c>
      <c r="Q120"/>
      <c r="R120"/>
      <c r="S120"/>
      <c r="T120"/>
      <c r="U120"/>
      <c r="V120"/>
      <c r="W120"/>
      <c r="X120" s="9">
        <f t="shared" si="68"/>
        <v>47.512004004398001</v>
      </c>
      <c r="Y120" s="8">
        <f>VLOOKUP(ROUNDDOWN(X120,0),'Spline Pre-Adj'!F:G,2,0)</f>
        <v>2.5005891560507401</v>
      </c>
      <c r="Z120" s="8">
        <f t="shared" si="69"/>
        <v>2.5005891560507401</v>
      </c>
      <c r="AA120"/>
      <c r="AB120"/>
      <c r="AC120" s="9">
        <f t="shared" si="70"/>
        <v>47.512004004398001</v>
      </c>
      <c r="AD120" s="8">
        <f>VLOOKUP(ROUNDDOWN(AC120,0),'Spline Pre-Adj'!K:L,2,0)</f>
        <v>2.7961235379101401</v>
      </c>
      <c r="AE120" s="8">
        <f t="shared" si="71"/>
        <v>2.9359297148056474</v>
      </c>
    </row>
    <row r="121" spans="1:31" s="17" customFormat="1" x14ac:dyDescent="0.25">
      <c r="A121" s="4">
        <f t="shared" si="18"/>
        <v>52.525413841629998</v>
      </c>
      <c r="B121" s="3">
        <f t="shared" si="19"/>
        <v>3.3368649291100003</v>
      </c>
      <c r="C121" s="2" t="str">
        <f t="shared" si="17"/>
        <v>11-1:50-55</v>
      </c>
      <c r="D121" s="8">
        <f t="shared" si="63"/>
        <v>4.9977760910394999E-2</v>
      </c>
      <c r="E121" s="8">
        <f t="shared" si="20"/>
        <v>3.6779866168856756E-2</v>
      </c>
      <c r="F121" s="3">
        <f t="shared" si="64"/>
        <v>1.3588347679392461</v>
      </c>
      <c r="G121" s="2">
        <f t="shared" si="65"/>
        <v>45.948809763717968</v>
      </c>
      <c r="H121" s="2">
        <f t="shared" si="66"/>
        <v>36.216753169649728</v>
      </c>
      <c r="I121"/>
      <c r="J121"/>
      <c r="K121" s="14">
        <f t="shared" si="55"/>
        <v>1</v>
      </c>
      <c r="L121" s="14">
        <f t="shared" si="56"/>
        <v>1</v>
      </c>
      <c r="M121" s="14">
        <f t="shared" si="60"/>
        <v>1.1000000000000001</v>
      </c>
      <c r="N121" s="8">
        <f t="shared" si="36"/>
        <v>4.7599524242432328E-2</v>
      </c>
      <c r="O121" s="2">
        <f t="shared" si="27"/>
        <v>44.302558740982889</v>
      </c>
      <c r="P121" s="7">
        <f t="shared" si="67"/>
        <v>1.0499634545893759</v>
      </c>
      <c r="Q121"/>
      <c r="R121"/>
      <c r="S121"/>
      <c r="T121"/>
      <c r="U121"/>
      <c r="V121"/>
      <c r="W121"/>
      <c r="X121" s="9">
        <f t="shared" si="68"/>
        <v>52.525413841629998</v>
      </c>
      <c r="Y121" s="8">
        <f>VLOOKUP(ROUNDDOWN(X121,0),'Spline Pre-Adj'!F:G,2,0)</f>
        <v>2.8037869405790499</v>
      </c>
      <c r="Z121" s="8">
        <f t="shared" si="69"/>
        <v>2.8037869405790499</v>
      </c>
      <c r="AA121"/>
      <c r="AB121"/>
      <c r="AC121" s="9">
        <f t="shared" si="70"/>
        <v>52.525413841629998</v>
      </c>
      <c r="AD121" s="8">
        <f>VLOOKUP(ROUNDDOWN(AC121,0),'Spline Pre-Adj'!K:L,2,0)</f>
        <v>2.9837760377918898</v>
      </c>
      <c r="AE121" s="8">
        <f t="shared" si="71"/>
        <v>3.282153641571079</v>
      </c>
    </row>
    <row r="122" spans="1:31" s="17" customFormat="1" x14ac:dyDescent="0.25">
      <c r="A122" s="4">
        <f t="shared" si="18"/>
        <v>57.496638767331</v>
      </c>
      <c r="B122" s="3">
        <f t="shared" si="19"/>
        <v>3.2431988831599998</v>
      </c>
      <c r="C122" s="2" t="str">
        <f t="shared" si="17"/>
        <v>11-2:55-60</v>
      </c>
      <c r="D122" s="8">
        <f t="shared" si="63"/>
        <v>5.0875245342589602E-2</v>
      </c>
      <c r="E122" s="8">
        <f t="shared" si="20"/>
        <v>3.863223605558308E-2</v>
      </c>
      <c r="F122" s="3">
        <f t="shared" si="64"/>
        <v>1.3169117435861488</v>
      </c>
      <c r="G122" s="2">
        <f t="shared" si="65"/>
        <v>46.558380879578465</v>
      </c>
      <c r="H122" s="2">
        <f t="shared" si="66"/>
        <v>37.673223484619186</v>
      </c>
      <c r="I122"/>
      <c r="J122"/>
      <c r="K122" s="14">
        <f t="shared" si="55"/>
        <v>1</v>
      </c>
      <c r="L122" s="14">
        <f t="shared" si="56"/>
        <v>1</v>
      </c>
      <c r="M122" s="14">
        <f t="shared" si="60"/>
        <v>1.1000000000000001</v>
      </c>
      <c r="N122" s="8">
        <f t="shared" si="36"/>
        <v>5.011110663666498E-2</v>
      </c>
      <c r="O122" s="2">
        <f t="shared" si="27"/>
        <v>46.039779428930274</v>
      </c>
      <c r="P122" s="7">
        <f t="shared" si="67"/>
        <v>1.0152488890629592</v>
      </c>
      <c r="Q122"/>
      <c r="R122"/>
      <c r="S122"/>
      <c r="T122"/>
      <c r="U122"/>
      <c r="V122"/>
      <c r="W122"/>
      <c r="X122" s="9">
        <f t="shared" si="68"/>
        <v>57.496638767331</v>
      </c>
      <c r="Y122" s="8">
        <f>VLOOKUP(ROUNDDOWN(X122,0),'Spline Pre-Adj'!F:G,2,0)</f>
        <v>3.0926159826030801</v>
      </c>
      <c r="Z122" s="8">
        <f t="shared" si="69"/>
        <v>3.0926159826030801</v>
      </c>
      <c r="AA122"/>
      <c r="AB122"/>
      <c r="AC122" s="9">
        <f t="shared" si="70"/>
        <v>57.496638767331</v>
      </c>
      <c r="AD122" s="8">
        <f>VLOOKUP(ROUNDDOWN(AC122,0),'Spline Pre-Adj'!K:L,2,0)</f>
        <v>3.1703520741635902</v>
      </c>
      <c r="AE122" s="8">
        <f t="shared" si="71"/>
        <v>3.4873872815799496</v>
      </c>
    </row>
    <row r="123" spans="1:31" s="17" customFormat="1" x14ac:dyDescent="0.25">
      <c r="A123" s="4">
        <f t="shared" si="18"/>
        <v>62.446297286987999</v>
      </c>
      <c r="B123" s="3">
        <f t="shared" si="19"/>
        <v>3.1971191671799999</v>
      </c>
      <c r="C123" s="2" t="str">
        <f t="shared" si="17"/>
        <v>11-3:60-65</v>
      </c>
      <c r="D123" s="8">
        <f t="shared" si="63"/>
        <v>5.3598412706150102E-2</v>
      </c>
      <c r="E123" s="8">
        <f t="shared" si="20"/>
        <v>4.0426804634658628E-2</v>
      </c>
      <c r="F123" s="3">
        <f t="shared" si="64"/>
        <v>1.3258137315210714</v>
      </c>
      <c r="G123" s="2">
        <f t="shared" si="65"/>
        <v>48.369596377810822</v>
      </c>
      <c r="H123" s="2">
        <f t="shared" si="66"/>
        <v>39.055110346882024</v>
      </c>
      <c r="I123"/>
      <c r="J123"/>
      <c r="K123" s="14">
        <f t="shared" si="55"/>
        <v>1</v>
      </c>
      <c r="L123" s="14">
        <f t="shared" si="56"/>
        <v>1</v>
      </c>
      <c r="M123" s="14">
        <f t="shared" si="60"/>
        <v>1.1000000000000001</v>
      </c>
      <c r="N123" s="8">
        <f t="shared" si="36"/>
        <v>5.0196177246363813E-2</v>
      </c>
      <c r="O123" s="2">
        <f t="shared" si="27"/>
        <v>46.097742019568486</v>
      </c>
      <c r="P123" s="7">
        <f t="shared" si="67"/>
        <v>1.0677787761224933</v>
      </c>
      <c r="Q123"/>
      <c r="R123"/>
      <c r="S123"/>
      <c r="T123"/>
      <c r="U123"/>
      <c r="V123"/>
      <c r="W123"/>
      <c r="X123" s="9">
        <f t="shared" si="68"/>
        <v>62.446297286987999</v>
      </c>
      <c r="Y123" s="8">
        <f>VLOOKUP(ROUNDDOWN(X123,0),'Spline Pre-Adj'!F:G,2,0)</f>
        <v>3.3799457765415402</v>
      </c>
      <c r="Z123" s="8">
        <f t="shared" si="69"/>
        <v>3.3799457765415402</v>
      </c>
      <c r="AA123"/>
      <c r="AB123"/>
      <c r="AC123" s="9">
        <f t="shared" si="70"/>
        <v>62.446297286987999</v>
      </c>
      <c r="AD123" s="8">
        <f>VLOOKUP(ROUNDDOWN(AC123,0),'Spline Pre-Adj'!K:L,2,0)</f>
        <v>3.3536482047599101</v>
      </c>
      <c r="AE123" s="8">
        <f t="shared" si="71"/>
        <v>3.6890130252359015</v>
      </c>
    </row>
    <row r="124" spans="1:31" s="17" customFormat="1" x14ac:dyDescent="0.25">
      <c r="A124" s="4">
        <f t="shared" si="18"/>
        <v>67.445448915326594</v>
      </c>
      <c r="B124" s="3">
        <f t="shared" si="19"/>
        <v>3.1955061804099998</v>
      </c>
      <c r="C124" s="2" t="str">
        <f t="shared" si="17"/>
        <v>11-4:65-70</v>
      </c>
      <c r="D124" s="8">
        <f t="shared" si="63"/>
        <v>5.29226930557508E-2</v>
      </c>
      <c r="E124" s="8">
        <f t="shared" si="20"/>
        <v>4.1706199635138851E-2</v>
      </c>
      <c r="F124" s="3">
        <f t="shared" si="64"/>
        <v>1.2689406735386575</v>
      </c>
      <c r="G124" s="2">
        <f t="shared" si="65"/>
        <v>47.925493066856319</v>
      </c>
      <c r="H124" s="2">
        <f t="shared" si="66"/>
        <v>40.023082418179271</v>
      </c>
      <c r="I124"/>
      <c r="J124"/>
      <c r="K124" s="14">
        <f t="shared" si="55"/>
        <v>1</v>
      </c>
      <c r="L124" s="14">
        <f t="shared" si="56"/>
        <v>1</v>
      </c>
      <c r="M124" s="14">
        <f t="shared" si="60"/>
        <v>1.1000000000000001</v>
      </c>
      <c r="N124" s="8">
        <f t="shared" si="36"/>
        <v>5.0827191875229653E-2</v>
      </c>
      <c r="O124" s="2">
        <f t="shared" si="27"/>
        <v>46.525903332521509</v>
      </c>
      <c r="P124" s="7">
        <f t="shared" si="67"/>
        <v>1.0412279550218941</v>
      </c>
      <c r="Q124"/>
      <c r="R124"/>
      <c r="S124"/>
      <c r="T124"/>
      <c r="U124"/>
      <c r="V124"/>
      <c r="W124"/>
      <c r="X124" s="9">
        <f t="shared" si="68"/>
        <v>67.445448915326594</v>
      </c>
      <c r="Y124" s="8">
        <f>VLOOKUP(ROUNDDOWN(X124,0),'Spline Pre-Adj'!F:G,2,0)</f>
        <v>3.6676855284799998</v>
      </c>
      <c r="Z124" s="8">
        <f t="shared" si="69"/>
        <v>3.6676855284799998</v>
      </c>
      <c r="AA124"/>
      <c r="AB124"/>
      <c r="AC124" s="9">
        <f t="shared" si="70"/>
        <v>67.445448915326594</v>
      </c>
      <c r="AD124" s="8">
        <f>VLOOKUP(ROUNDDOWN(AC124,0),'Spline Pre-Adj'!K:L,2,0)</f>
        <v>3.5314609873155498</v>
      </c>
      <c r="AE124" s="8">
        <f t="shared" si="71"/>
        <v>3.8846070860471049</v>
      </c>
    </row>
    <row r="125" spans="1:31" s="17" customFormat="1" x14ac:dyDescent="0.25">
      <c r="A125" s="4">
        <f t="shared" si="18"/>
        <v>72.479370373158204</v>
      </c>
      <c r="B125" s="3">
        <f t="shared" si="19"/>
        <v>3.2653127723099997</v>
      </c>
      <c r="C125" s="2" t="str">
        <f t="shared" si="17"/>
        <v>11:50-75</v>
      </c>
      <c r="D125" s="8">
        <f t="shared" si="63"/>
        <v>5.2690271438472103E-2</v>
      </c>
      <c r="E125" s="8">
        <f t="shared" si="20"/>
        <v>4.3871403908400934E-2</v>
      </c>
      <c r="F125" s="3">
        <f t="shared" si="64"/>
        <v>1.2010163054841845</v>
      </c>
      <c r="G125" s="2">
        <f t="shared" si="65"/>
        <v>47.771931061699405</v>
      </c>
      <c r="H125" s="2">
        <f t="shared" si="66"/>
        <v>41.629194259044603</v>
      </c>
      <c r="I125"/>
      <c r="J125"/>
      <c r="K125" s="14">
        <f t="shared" si="55"/>
        <v>1</v>
      </c>
      <c r="L125" s="14">
        <f t="shared" si="56"/>
        <v>1</v>
      </c>
      <c r="M125" s="14">
        <f t="shared" si="60"/>
        <v>1.1000000000000001</v>
      </c>
      <c r="N125" s="8">
        <f t="shared" si="36"/>
        <v>5.294738721159678E-2</v>
      </c>
      <c r="O125" s="2">
        <f t="shared" si="27"/>
        <v>47.941784259776533</v>
      </c>
      <c r="P125" s="7">
        <f t="shared" si="67"/>
        <v>0.99514393841386073</v>
      </c>
      <c r="Q125"/>
      <c r="R125"/>
      <c r="S125"/>
      <c r="T125"/>
      <c r="U125"/>
      <c r="V125"/>
      <c r="W125"/>
      <c r="X125" s="9">
        <f t="shared" si="68"/>
        <v>72.479370373158204</v>
      </c>
      <c r="Y125" s="8">
        <f>VLOOKUP(ROUNDDOWN(X125,0),'Spline Pre-Adj'!F:G,2,0)</f>
        <v>3.9558229453415401</v>
      </c>
      <c r="Z125" s="8">
        <f t="shared" si="69"/>
        <v>3.9558229453415401</v>
      </c>
      <c r="AA125"/>
      <c r="AB125"/>
      <c r="AC125" s="9">
        <f t="shared" si="70"/>
        <v>72.479370373158204</v>
      </c>
      <c r="AD125" s="8">
        <f>VLOOKUP(ROUNDDOWN(AC125,0),'Spline Pre-Adj'!K:L,2,0)</f>
        <v>3.7015869795651599</v>
      </c>
      <c r="AE125" s="8">
        <f t="shared" si="71"/>
        <v>4.071745677521676</v>
      </c>
    </row>
    <row r="126" spans="1:31" s="17" customFormat="1" x14ac:dyDescent="0.25">
      <c r="A126" s="4">
        <f t="shared" si="18"/>
        <v>85.725601298003895</v>
      </c>
      <c r="B126" s="3">
        <f t="shared" si="19"/>
        <v>10.60068596713</v>
      </c>
      <c r="C126" s="2" t="str">
        <f t="shared" si="17"/>
        <v>12:75-100</v>
      </c>
      <c r="D126" s="8">
        <f t="shared" si="63"/>
        <v>4.9369570691126699E-2</v>
      </c>
      <c r="E126" s="8">
        <f t="shared" si="20"/>
        <v>4.7249291273000281E-2</v>
      </c>
      <c r="F126" s="3">
        <f t="shared" ref="F126:F131" si="72">D126/E126</f>
        <v>1.0448743115716956</v>
      </c>
      <c r="G126" s="2">
        <f t="shared" ref="G126:G131" si="73">(1-(1-D126)^12)*100</f>
        <v>45.532111301893998</v>
      </c>
      <c r="H126" s="2">
        <f t="shared" ref="H126:H131" si="74">(1-(1-E126)^12)*100</f>
        <v>44.056276846793438</v>
      </c>
      <c r="I126"/>
      <c r="J126"/>
      <c r="K126" s="14">
        <f t="shared" ref="K126:K131" si="75">IF(ISNA(VLOOKUP(C126,$C$26:$M$44,9,0)),K127, VLOOKUP(C126,$C$26:$M$44,9,0))</f>
        <v>1</v>
      </c>
      <c r="L126" s="14">
        <f t="shared" ref="L126:L131" si="76">IF(ISNA(VLOOKUP(C126,$C$26:$M$44,10,0)),L127, VLOOKUP(C126,$C$26:$M$44,10,0))</f>
        <v>1</v>
      </c>
      <c r="M126" s="14">
        <f t="shared" ref="M126:M131" si="77">IF(ISNA(VLOOKUP(C126,$C$26:$M$44,11,0)),M127, VLOOKUP(C126,$C$26:$M$44,11,0))</f>
        <v>1.02</v>
      </c>
      <c r="N126" s="8">
        <f t="shared" ref="N126:N131" si="78">Z91+AA91+AB91*K126+AC91*L126+AD91*M126*$M$100</f>
        <v>5.0328180176902659E-2</v>
      </c>
      <c r="O126" s="2">
        <f t="shared" ref="O126:O131" si="79">100*(1-(1-N126)^12)</f>
        <v>46.187568818330583</v>
      </c>
      <c r="P126" s="7">
        <f t="shared" ref="P126:P131" si="80">D126/N126</f>
        <v>0.98095282836759712</v>
      </c>
      <c r="Q126"/>
      <c r="R126"/>
      <c r="S126"/>
      <c r="T126"/>
      <c r="U126"/>
      <c r="V126"/>
      <c r="W126"/>
      <c r="X126" s="9">
        <f t="shared" ref="X126:X131" si="81">A126</f>
        <v>85.725601298003895</v>
      </c>
      <c r="Y126" s="8">
        <f>VLOOKUP(ROUNDDOWN(X126,0),'Spline Pre-Adj'!F:G,2,0)</f>
        <v>4.7067860187499999</v>
      </c>
      <c r="Z126" s="8">
        <f t="shared" ref="Z126:Z131" si="82">Y126*L126</f>
        <v>4.7067860187499999</v>
      </c>
      <c r="AA126"/>
      <c r="AB126"/>
      <c r="AC126" s="9">
        <f t="shared" ref="AC126:AC131" si="83">A126</f>
        <v>85.725601298003895</v>
      </c>
      <c r="AD126" s="8">
        <f>VLOOKUP(ROUNDDOWN(AC126,0),'Spline Pre-Adj'!K:L,2,0)</f>
        <v>4.0923365222828396</v>
      </c>
      <c r="AE126" s="8">
        <f t="shared" ref="AE126:AE131" si="84">AD126*M126</f>
        <v>4.1741832527284961</v>
      </c>
    </row>
    <row r="127" spans="1:31" s="17" customFormat="1" x14ac:dyDescent="0.25">
      <c r="A127" s="4">
        <f t="shared" si="18"/>
        <v>111.841127420033</v>
      </c>
      <c r="B127" s="3">
        <f t="shared" si="19"/>
        <v>5.6058507931800001</v>
      </c>
      <c r="C127" s="2" t="str">
        <f t="shared" si="17"/>
        <v>13:100-125</v>
      </c>
      <c r="D127" s="8">
        <f t="shared" si="63"/>
        <v>5.0017829692396397E-2</v>
      </c>
      <c r="E127" s="8">
        <f t="shared" si="20"/>
        <v>5.1473034520644258E-2</v>
      </c>
      <c r="F127" s="3">
        <f t="shared" si="72"/>
        <v>0.97172879272030832</v>
      </c>
      <c r="G127" s="2">
        <f t="shared" si="73"/>
        <v>45.976159814405584</v>
      </c>
      <c r="H127" s="2">
        <f t="shared" si="74"/>
        <v>46.960895560967877</v>
      </c>
      <c r="I127"/>
      <c r="J127"/>
      <c r="K127" s="14">
        <f t="shared" si="75"/>
        <v>1</v>
      </c>
      <c r="L127" s="14">
        <f t="shared" si="76"/>
        <v>1</v>
      </c>
      <c r="M127" s="14">
        <f t="shared" si="77"/>
        <v>0.95</v>
      </c>
      <c r="N127" s="8">
        <f t="shared" si="78"/>
        <v>5.1355012956573555E-2</v>
      </c>
      <c r="O127" s="2">
        <f t="shared" si="79"/>
        <v>46.881647920426403</v>
      </c>
      <c r="P127" s="7">
        <f t="shared" si="80"/>
        <v>0.97396197202193491</v>
      </c>
      <c r="Q127"/>
      <c r="R127"/>
      <c r="S127"/>
      <c r="T127"/>
      <c r="U127"/>
      <c r="V127"/>
      <c r="W127"/>
      <c r="X127" s="9">
        <f t="shared" si="81"/>
        <v>111.841127420033</v>
      </c>
      <c r="Y127" s="8">
        <f>VLOOKUP(ROUNDDOWN(X127,0),'Spline Pre-Adj'!F:G,2,0)</f>
        <v>6.2168084690133298</v>
      </c>
      <c r="Z127" s="8">
        <f t="shared" si="82"/>
        <v>6.2168084690133298</v>
      </c>
      <c r="AA127"/>
      <c r="AB127"/>
      <c r="AC127" s="9">
        <f t="shared" si="83"/>
        <v>111.841127420033</v>
      </c>
      <c r="AD127" s="8">
        <f>VLOOKUP(ROUNDDOWN(AC127,0),'Spline Pre-Adj'!K:L,2,0)</f>
        <v>4.7299139704548203</v>
      </c>
      <c r="AE127" s="8">
        <f t="shared" si="84"/>
        <v>4.4934182719320788</v>
      </c>
    </row>
    <row r="128" spans="1:31" s="17" customFormat="1" x14ac:dyDescent="0.25">
      <c r="A128" s="4">
        <f t="shared" si="18"/>
        <v>134.38012833370499</v>
      </c>
      <c r="B128" s="3">
        <f t="shared" si="19"/>
        <v>2.61605540987</v>
      </c>
      <c r="C128" s="2" t="str">
        <f t="shared" si="17"/>
        <v>14:125-150</v>
      </c>
      <c r="D128" s="8">
        <f t="shared" si="63"/>
        <v>5.0708828636725899E-2</v>
      </c>
      <c r="E128" s="8">
        <f t="shared" si="20"/>
        <v>5.5259574725437646E-2</v>
      </c>
      <c r="F128" s="3">
        <f t="shared" si="72"/>
        <v>0.91764782643872023</v>
      </c>
      <c r="G128" s="2">
        <f t="shared" si="73"/>
        <v>46.445828850119256</v>
      </c>
      <c r="H128" s="2">
        <f t="shared" si="74"/>
        <v>49.446644233718558</v>
      </c>
      <c r="I128"/>
      <c r="J128"/>
      <c r="K128" s="14">
        <f t="shared" si="75"/>
        <v>1</v>
      </c>
      <c r="L128" s="14">
        <f t="shared" si="76"/>
        <v>1</v>
      </c>
      <c r="M128" s="14">
        <f t="shared" si="77"/>
        <v>0.92</v>
      </c>
      <c r="N128" s="8">
        <f t="shared" si="78"/>
        <v>5.3527467906636594E-2</v>
      </c>
      <c r="O128" s="2">
        <f t="shared" si="79"/>
        <v>48.323132983095149</v>
      </c>
      <c r="P128" s="7">
        <f t="shared" si="80"/>
        <v>0.94734218934422587</v>
      </c>
      <c r="Q128"/>
      <c r="R128"/>
      <c r="S128"/>
      <c r="T128"/>
      <c r="U128"/>
      <c r="V128"/>
      <c r="W128"/>
      <c r="X128" s="9">
        <f t="shared" si="81"/>
        <v>134.38012833370499</v>
      </c>
      <c r="Y128" s="8">
        <f>VLOOKUP(ROUNDDOWN(X128,0),'Spline Pre-Adj'!F:G,2,0)</f>
        <v>7.60662891263856</v>
      </c>
      <c r="Z128" s="8">
        <f t="shared" si="82"/>
        <v>7.60662891263856</v>
      </c>
      <c r="AA128"/>
      <c r="AB128"/>
      <c r="AC128" s="9">
        <f t="shared" si="83"/>
        <v>134.38012833370499</v>
      </c>
      <c r="AD128" s="8">
        <f>VLOOKUP(ROUNDDOWN(AC128,0),'Spline Pre-Adj'!K:L,2,0)</f>
        <v>5.2051069926153799</v>
      </c>
      <c r="AE128" s="8">
        <f t="shared" si="84"/>
        <v>4.7886984332061493</v>
      </c>
    </row>
    <row r="129" spans="1:31" s="17" customFormat="1" x14ac:dyDescent="0.25">
      <c r="A129" s="4">
        <f t="shared" si="18"/>
        <v>160.18516166213001</v>
      </c>
      <c r="B129" s="3">
        <f t="shared" si="19"/>
        <v>0.44019781916</v>
      </c>
      <c r="C129" s="2" t="str">
        <f t="shared" si="17"/>
        <v>15:150-175</v>
      </c>
      <c r="D129" s="8">
        <f t="shared" si="63"/>
        <v>4.7514462955103302E-2</v>
      </c>
      <c r="E129" s="8">
        <f t="shared" si="20"/>
        <v>5.9732779318138932E-2</v>
      </c>
      <c r="F129" s="3">
        <f t="shared" si="72"/>
        <v>0.79545039587124455</v>
      </c>
      <c r="G129" s="2">
        <f t="shared" si="73"/>
        <v>44.242835662966016</v>
      </c>
      <c r="H129" s="2">
        <f t="shared" si="74"/>
        <v>52.245362413794041</v>
      </c>
      <c r="I129"/>
      <c r="J129"/>
      <c r="K129" s="14">
        <f t="shared" si="75"/>
        <v>1</v>
      </c>
      <c r="L129" s="14">
        <f t="shared" si="76"/>
        <v>1</v>
      </c>
      <c r="M129" s="14">
        <f t="shared" si="77"/>
        <v>0.9</v>
      </c>
      <c r="N129" s="8">
        <f t="shared" si="78"/>
        <v>5.6702554788479846E-2</v>
      </c>
      <c r="O129" s="2">
        <f t="shared" si="79"/>
        <v>50.365471740613629</v>
      </c>
      <c r="P129" s="7">
        <f t="shared" si="80"/>
        <v>0.83795982619034881</v>
      </c>
      <c r="Q129"/>
      <c r="R129"/>
      <c r="S129"/>
      <c r="T129"/>
      <c r="U129"/>
      <c r="V129"/>
      <c r="W129"/>
      <c r="X129" s="9">
        <f t="shared" si="81"/>
        <v>160.18516166213001</v>
      </c>
      <c r="Y129" s="8">
        <f>VLOOKUP(ROUNDDOWN(X129,0),'Spline Pre-Adj'!F:G,2,0)</f>
        <v>8.7434835551418502</v>
      </c>
      <c r="Z129" s="8">
        <f t="shared" si="82"/>
        <v>8.7434835551418502</v>
      </c>
      <c r="AA129"/>
      <c r="AB129"/>
      <c r="AC129" s="9">
        <f t="shared" si="83"/>
        <v>160.18516166213001</v>
      </c>
      <c r="AD129" s="8">
        <f>VLOOKUP(ROUNDDOWN(AC129,0),'Spline Pre-Adj'!K:L,2,0)</f>
        <v>5.6662697466415004</v>
      </c>
      <c r="AE129" s="8">
        <f t="shared" si="84"/>
        <v>5.0996427719773507</v>
      </c>
    </row>
    <row r="130" spans="1:31" s="17" customFormat="1" x14ac:dyDescent="0.25">
      <c r="A130" s="4">
        <f t="shared" si="18"/>
        <v>183.94350489017</v>
      </c>
      <c r="B130" s="3">
        <f t="shared" si="19"/>
        <v>9.6630877530000006E-2</v>
      </c>
      <c r="C130" s="2" t="str">
        <f t="shared" si="17"/>
        <v>16:175-200</v>
      </c>
      <c r="D130" s="8">
        <f t="shared" si="63"/>
        <v>6.1197489207662902E-2</v>
      </c>
      <c r="E130" s="8">
        <f t="shared" si="20"/>
        <v>6.3330652723265601E-2</v>
      </c>
      <c r="F130" s="3">
        <f t="shared" si="72"/>
        <v>0.96631704516099126</v>
      </c>
      <c r="G130" s="2">
        <f t="shared" si="73"/>
        <v>53.130436470808448</v>
      </c>
      <c r="H130" s="2">
        <f t="shared" si="74"/>
        <v>54.392559849559355</v>
      </c>
      <c r="I130"/>
      <c r="J130"/>
      <c r="K130" s="14">
        <f t="shared" si="75"/>
        <v>1</v>
      </c>
      <c r="L130" s="14">
        <f t="shared" si="76"/>
        <v>1</v>
      </c>
      <c r="M130" s="14">
        <f t="shared" si="77"/>
        <v>0.9</v>
      </c>
      <c r="N130" s="8">
        <f t="shared" si="78"/>
        <v>6.0131072507548275E-2</v>
      </c>
      <c r="O130" s="2">
        <f t="shared" si="79"/>
        <v>52.487541605163116</v>
      </c>
      <c r="P130" s="7">
        <f t="shared" si="80"/>
        <v>1.0177348691058314</v>
      </c>
      <c r="Q130"/>
      <c r="R130"/>
      <c r="S130"/>
      <c r="T130"/>
      <c r="U130"/>
      <c r="V130"/>
      <c r="W130"/>
      <c r="X130" s="9">
        <f t="shared" si="81"/>
        <v>183.94350489017</v>
      </c>
      <c r="Y130" s="8">
        <f>VLOOKUP(ROUNDDOWN(X130,0),'Spline Pre-Adj'!F:G,2,0)</f>
        <v>8.8912890705385497</v>
      </c>
      <c r="Z130" s="8">
        <f t="shared" si="82"/>
        <v>8.8912890705385497</v>
      </c>
      <c r="AA130"/>
      <c r="AB130"/>
      <c r="AC130" s="9">
        <f t="shared" si="83"/>
        <v>183.94350489017</v>
      </c>
      <c r="AD130" s="8">
        <f>VLOOKUP(ROUNDDOWN(AC130,0),'Spline Pre-Adj'!K:L,2,0)</f>
        <v>6.0276934430763003</v>
      </c>
      <c r="AE130" s="8">
        <f t="shared" si="84"/>
        <v>5.4249240987686704</v>
      </c>
    </row>
    <row r="131" spans="1:31" s="17" customFormat="1" x14ac:dyDescent="0.25">
      <c r="A131" s="4">
        <f t="shared" si="18"/>
        <v>209.552293094823</v>
      </c>
      <c r="B131" s="3">
        <f t="shared" si="19"/>
        <v>2.0893223299999999E-2</v>
      </c>
      <c r="C131" s="2" t="str">
        <f t="shared" si="17"/>
        <v>17:200-225</v>
      </c>
      <c r="D131" s="8">
        <f t="shared" si="63"/>
        <v>5.2273954856408698E-2</v>
      </c>
      <c r="E131" s="8">
        <f t="shared" si="20"/>
        <v>6.3630712749643603E-2</v>
      </c>
      <c r="F131" s="3">
        <f t="shared" si="72"/>
        <v>0.82152081278865585</v>
      </c>
      <c r="G131" s="2">
        <f t="shared" si="73"/>
        <v>47.495830730037483</v>
      </c>
      <c r="H131" s="2">
        <f t="shared" si="74"/>
        <v>54.567574228752449</v>
      </c>
      <c r="I131"/>
      <c r="J131"/>
      <c r="K131" s="14">
        <f t="shared" si="75"/>
        <v>1</v>
      </c>
      <c r="L131" s="14">
        <f t="shared" si="76"/>
        <v>1</v>
      </c>
      <c r="M131" s="14">
        <f t="shared" si="77"/>
        <v>1.05</v>
      </c>
      <c r="N131" s="8">
        <f t="shared" si="78"/>
        <v>6.9565462864832922E-2</v>
      </c>
      <c r="O131" s="2">
        <f t="shared" si="79"/>
        <v>57.90506211274122</v>
      </c>
      <c r="P131" s="7">
        <f t="shared" si="80"/>
        <v>0.75143544948415042</v>
      </c>
      <c r="Q131"/>
      <c r="R131"/>
      <c r="S131"/>
      <c r="T131"/>
      <c r="U131"/>
      <c r="V131"/>
      <c r="W131"/>
      <c r="X131" s="9">
        <f t="shared" si="81"/>
        <v>209.552293094823</v>
      </c>
      <c r="Y131" s="8">
        <f>VLOOKUP(ROUNDDOWN(X131,0),'Spline Pre-Adj'!F:G,2,0)</f>
        <v>8.9</v>
      </c>
      <c r="Z131" s="8">
        <f t="shared" si="82"/>
        <v>8.9</v>
      </c>
      <c r="AA131"/>
      <c r="AB131"/>
      <c r="AC131" s="9">
        <f t="shared" si="83"/>
        <v>209.552293094823</v>
      </c>
      <c r="AD131" s="8">
        <f>VLOOKUP(ROUNDDOWN(AC131,0),'Spline Pre-Adj'!K:L,2,0)</f>
        <v>6.3657668913125001</v>
      </c>
      <c r="AE131" s="8">
        <f t="shared" si="84"/>
        <v>6.6840552358781258</v>
      </c>
    </row>
    <row r="132" spans="1:31" s="17" customFormat="1" x14ac:dyDescent="0.25">
      <c r="A132" s="15"/>
      <c r="B132" s="22"/>
      <c r="C132" s="23"/>
      <c r="D132" s="16"/>
      <c r="E132" s="16"/>
      <c r="F132" s="22"/>
      <c r="G132" s="23"/>
      <c r="H132" s="23"/>
      <c r="K132" s="15"/>
      <c r="L132" s="15"/>
      <c r="M132" s="15"/>
      <c r="N132" s="16"/>
      <c r="O132" s="23"/>
      <c r="P132" s="24"/>
      <c r="X132" s="18"/>
      <c r="Y132" s="16"/>
      <c r="Z132" s="16"/>
      <c r="AC132" s="18"/>
      <c r="AD132" s="16"/>
      <c r="AE132" s="16"/>
    </row>
    <row r="133" spans="1:31" s="17" customFormat="1" x14ac:dyDescent="0.25">
      <c r="A133" s="15"/>
      <c r="B133" s="22"/>
      <c r="C133" s="23"/>
      <c r="D133" s="16"/>
      <c r="E133" s="16"/>
      <c r="F133" s="22"/>
      <c r="G133" s="23"/>
      <c r="H133" s="23"/>
      <c r="K133" s="15"/>
      <c r="L133" s="15"/>
      <c r="M133" s="26"/>
      <c r="N133" s="16"/>
      <c r="O133" s="23"/>
      <c r="P133" s="24"/>
      <c r="X133" s="18"/>
      <c r="Y133" s="16"/>
      <c r="Z133" s="16"/>
      <c r="AC133" s="18"/>
      <c r="AD133" s="16"/>
      <c r="AE133" s="16"/>
    </row>
    <row r="136" spans="1:31" x14ac:dyDescent="0.25">
      <c r="I136" t="s">
        <v>123</v>
      </c>
      <c r="K136" s="15">
        <v>0.75</v>
      </c>
      <c r="L136" s="15">
        <v>1</v>
      </c>
      <c r="M136" s="15">
        <v>1</v>
      </c>
    </row>
    <row r="137" spans="1:31" x14ac:dyDescent="0.25">
      <c r="K137" s="15">
        <v>0.75</v>
      </c>
      <c r="L137" s="15">
        <v>1</v>
      </c>
      <c r="M137" s="15">
        <v>1</v>
      </c>
    </row>
    <row r="138" spans="1:31" x14ac:dyDescent="0.25">
      <c r="K138" s="15">
        <v>0.75</v>
      </c>
      <c r="L138" s="15">
        <v>1</v>
      </c>
      <c r="M138" s="15">
        <v>1</v>
      </c>
    </row>
    <row r="139" spans="1:31" x14ac:dyDescent="0.25">
      <c r="K139" s="15">
        <v>0.64</v>
      </c>
      <c r="L139" s="15">
        <v>1</v>
      </c>
      <c r="M139" s="15">
        <v>1</v>
      </c>
    </row>
    <row r="140" spans="1:31" x14ac:dyDescent="0.25">
      <c r="K140" s="4">
        <v>0.64</v>
      </c>
      <c r="L140" s="4">
        <v>1</v>
      </c>
      <c r="M140" s="4">
        <v>0.32</v>
      </c>
    </row>
    <row r="141" spans="1:31" x14ac:dyDescent="0.25">
      <c r="K141" s="4">
        <v>0.75</v>
      </c>
      <c r="L141" s="4">
        <v>1</v>
      </c>
      <c r="M141" s="4">
        <v>0.67</v>
      </c>
    </row>
    <row r="142" spans="1:31" x14ac:dyDescent="0.25">
      <c r="K142" s="4">
        <v>0.75</v>
      </c>
      <c r="L142" s="4">
        <v>1</v>
      </c>
      <c r="M142" s="4">
        <v>1.1100000000000001</v>
      </c>
    </row>
    <row r="143" spans="1:31" x14ac:dyDescent="0.25">
      <c r="K143" s="4">
        <v>0.75</v>
      </c>
      <c r="L143" s="4">
        <v>1</v>
      </c>
      <c r="M143" s="4">
        <v>1.32</v>
      </c>
    </row>
    <row r="144" spans="1:31" x14ac:dyDescent="0.25">
      <c r="K144" s="4">
        <v>0.75</v>
      </c>
      <c r="L144" s="4">
        <v>1</v>
      </c>
      <c r="M144" s="4">
        <v>1.26</v>
      </c>
    </row>
    <row r="145" spans="1:50" x14ac:dyDescent="0.25">
      <c r="K145" s="4">
        <v>0.75</v>
      </c>
      <c r="L145" s="4">
        <v>1</v>
      </c>
      <c r="M145" s="4">
        <v>1.17</v>
      </c>
    </row>
    <row r="146" spans="1:50" x14ac:dyDescent="0.25">
      <c r="K146" s="4">
        <v>0.75</v>
      </c>
      <c r="L146" s="4">
        <v>1</v>
      </c>
      <c r="M146" s="4">
        <v>1.07</v>
      </c>
    </row>
    <row r="147" spans="1:50" x14ac:dyDescent="0.25">
      <c r="K147" s="4">
        <v>0.75</v>
      </c>
      <c r="L147" s="4">
        <v>1</v>
      </c>
      <c r="M147" s="4">
        <v>1</v>
      </c>
    </row>
    <row r="148" spans="1:50" x14ac:dyDescent="0.25">
      <c r="K148" s="4">
        <v>0.75</v>
      </c>
      <c r="L148" s="4">
        <v>1</v>
      </c>
      <c r="M148" s="4">
        <v>0.95</v>
      </c>
    </row>
    <row r="149" spans="1:50" x14ac:dyDescent="0.25">
      <c r="K149" s="4">
        <v>0.75</v>
      </c>
      <c r="L149" s="4">
        <v>1</v>
      </c>
      <c r="M149" s="4">
        <v>0.91</v>
      </c>
    </row>
    <row r="150" spans="1:50" x14ac:dyDescent="0.25">
      <c r="K150" s="26">
        <v>0.75</v>
      </c>
      <c r="L150" s="26">
        <v>1</v>
      </c>
      <c r="M150" s="26">
        <v>1.05</v>
      </c>
    </row>
    <row r="151" spans="1:50" x14ac:dyDescent="0.25">
      <c r="K151" s="15">
        <v>0.75</v>
      </c>
      <c r="L151" s="15">
        <v>1</v>
      </c>
      <c r="M151" s="15">
        <v>1</v>
      </c>
    </row>
    <row r="152" spans="1:50" x14ac:dyDescent="0.25">
      <c r="K152" s="15">
        <v>0.75</v>
      </c>
      <c r="L152" s="15">
        <v>1</v>
      </c>
      <c r="M152" s="15">
        <v>1</v>
      </c>
    </row>
    <row r="154" spans="1:50" s="31" customFormat="1" x14ac:dyDescent="0.25"/>
    <row r="155" spans="1:50" x14ac:dyDescent="0.25">
      <c r="A155" s="33" t="s">
        <v>122</v>
      </c>
      <c r="C155" t="s">
        <v>130</v>
      </c>
      <c r="AS155" s="17" t="s">
        <v>89</v>
      </c>
      <c r="AT155" s="17" t="s">
        <v>90</v>
      </c>
      <c r="AU155" s="17"/>
      <c r="AV155" s="17"/>
      <c r="AW155" s="17" t="s">
        <v>91</v>
      </c>
      <c r="AX155" s="17"/>
    </row>
    <row r="156" spans="1:50" x14ac:dyDescent="0.25">
      <c r="A156" t="s">
        <v>21</v>
      </c>
      <c r="B156" t="s">
        <v>22</v>
      </c>
      <c r="C156" t="s">
        <v>23</v>
      </c>
      <c r="D156" t="s">
        <v>24</v>
      </c>
      <c r="E156" t="s">
        <v>97</v>
      </c>
      <c r="F156" t="s">
        <v>98</v>
      </c>
      <c r="G156" t="s">
        <v>25</v>
      </c>
      <c r="H156" t="s">
        <v>26</v>
      </c>
      <c r="I156" t="s">
        <v>27</v>
      </c>
      <c r="J156" t="s">
        <v>28</v>
      </c>
      <c r="K156" t="s">
        <v>29</v>
      </c>
      <c r="L156" t="s">
        <v>30</v>
      </c>
      <c r="M156" t="s">
        <v>31</v>
      </c>
      <c r="N156" t="s">
        <v>32</v>
      </c>
      <c r="O156" t="s">
        <v>33</v>
      </c>
      <c r="P156" t="s">
        <v>34</v>
      </c>
      <c r="Q156" t="s">
        <v>35</v>
      </c>
      <c r="R156" t="s">
        <v>36</v>
      </c>
      <c r="S156" t="s">
        <v>37</v>
      </c>
      <c r="T156" t="s">
        <v>38</v>
      </c>
      <c r="U156" t="s">
        <v>39</v>
      </c>
      <c r="V156" t="s">
        <v>40</v>
      </c>
      <c r="W156" t="s">
        <v>41</v>
      </c>
      <c r="X156" t="s">
        <v>42</v>
      </c>
      <c r="Y156" t="s">
        <v>43</v>
      </c>
      <c r="Z156" t="s">
        <v>44</v>
      </c>
      <c r="AA156" t="s">
        <v>45</v>
      </c>
      <c r="AB156" s="1" t="s">
        <v>46</v>
      </c>
      <c r="AC156" s="1" t="s">
        <v>47</v>
      </c>
      <c r="AD156" s="1" t="s">
        <v>48</v>
      </c>
      <c r="AE156" t="s">
        <v>49</v>
      </c>
      <c r="AF156" t="s">
        <v>50</v>
      </c>
      <c r="AG156" t="s">
        <v>51</v>
      </c>
      <c r="AH156" t="s">
        <v>52</v>
      </c>
      <c r="AI156" t="s">
        <v>53</v>
      </c>
      <c r="AJ156" t="s">
        <v>54</v>
      </c>
      <c r="AK156" t="s">
        <v>55</v>
      </c>
      <c r="AL156" t="s">
        <v>56</v>
      </c>
      <c r="AM156" t="s">
        <v>57</v>
      </c>
      <c r="AN156" t="s">
        <v>58</v>
      </c>
      <c r="AO156" t="s">
        <v>59</v>
      </c>
      <c r="AP156" t="s">
        <v>60</v>
      </c>
      <c r="AQ156" t="s">
        <v>61</v>
      </c>
      <c r="AR156" t="s">
        <v>62</v>
      </c>
      <c r="AS156" s="34" t="s">
        <v>124</v>
      </c>
      <c r="AT156" s="34" t="s">
        <v>125</v>
      </c>
      <c r="AU156" s="34" t="s">
        <v>126</v>
      </c>
      <c r="AV156" s="34" t="s">
        <v>127</v>
      </c>
      <c r="AW156" s="34" t="s">
        <v>128</v>
      </c>
      <c r="AX156" s="34" t="s">
        <v>129</v>
      </c>
    </row>
    <row r="157" spans="1:50" x14ac:dyDescent="0.25">
      <c r="A157">
        <v>96</v>
      </c>
      <c r="B157" s="4">
        <v>0.9946114687666</v>
      </c>
      <c r="C157" s="4">
        <v>0</v>
      </c>
      <c r="D157" s="4">
        <v>6.27799891203132</v>
      </c>
      <c r="E157" s="4">
        <v>0</v>
      </c>
      <c r="F157" s="5">
        <v>5.3885312333990798E-3</v>
      </c>
      <c r="G157" s="5">
        <v>0</v>
      </c>
      <c r="H157" s="4">
        <v>4.125</v>
      </c>
      <c r="I157" s="4">
        <v>4.0914465832429299</v>
      </c>
      <c r="J157" s="4">
        <v>-39.292400000000001</v>
      </c>
      <c r="K157" s="4">
        <v>-107.582908254133</v>
      </c>
      <c r="L157" s="4">
        <v>22.464930692893201</v>
      </c>
      <c r="M157" s="4">
        <v>18.498074801809601</v>
      </c>
      <c r="N157" s="4">
        <v>80</v>
      </c>
      <c r="O157" s="4">
        <v>77.967109304621005</v>
      </c>
      <c r="P157" s="4">
        <v>177738.07201269601</v>
      </c>
      <c r="Q157" s="4">
        <v>177737.54500000001</v>
      </c>
      <c r="R157" s="4">
        <v>782</v>
      </c>
      <c r="S157" s="4">
        <v>0</v>
      </c>
      <c r="T157" s="4">
        <v>0</v>
      </c>
      <c r="U157" s="4">
        <v>0</v>
      </c>
      <c r="V157" s="4">
        <v>1</v>
      </c>
      <c r="W157" s="4">
        <v>0</v>
      </c>
      <c r="X157" s="4">
        <v>0</v>
      </c>
      <c r="Y157" s="4">
        <v>0</v>
      </c>
      <c r="Z157" s="5">
        <v>3.5354267024575401E-4</v>
      </c>
      <c r="AA157" s="5">
        <v>1.33949922462921E-5</v>
      </c>
      <c r="AB157" s="10">
        <v>3.8048393520865201E-3</v>
      </c>
      <c r="AC157" s="10">
        <v>0</v>
      </c>
      <c r="AD157" s="10">
        <v>1.2167417246027E-3</v>
      </c>
      <c r="AE157" s="4">
        <v>-1.2605143054186499E-3</v>
      </c>
      <c r="AF157" s="4">
        <v>1</v>
      </c>
      <c r="AG157" s="4">
        <v>1</v>
      </c>
      <c r="AH157" s="4">
        <v>1</v>
      </c>
      <c r="AI157" s="4">
        <v>1</v>
      </c>
      <c r="AJ157" s="4">
        <v>1</v>
      </c>
      <c r="AK157" s="4">
        <v>1</v>
      </c>
      <c r="AL157" s="4">
        <v>1</v>
      </c>
      <c r="AM157" s="4">
        <v>0</v>
      </c>
      <c r="AN157" s="4">
        <v>0</v>
      </c>
      <c r="AO157" s="4" t="s">
        <v>64</v>
      </c>
      <c r="AP157" s="4">
        <f>-125--100</f>
        <v>-25</v>
      </c>
      <c r="AQ157" s="6">
        <v>710950.18</v>
      </c>
      <c r="AR157" s="4">
        <v>4</v>
      </c>
      <c r="AS157" s="35">
        <v>0</v>
      </c>
      <c r="AT157" s="35">
        <v>0</v>
      </c>
      <c r="AU157" s="35">
        <v>0</v>
      </c>
      <c r="AV157" s="35">
        <v>100</v>
      </c>
      <c r="AW157" s="35">
        <v>0</v>
      </c>
      <c r="AX157" s="35">
        <v>100</v>
      </c>
    </row>
    <row r="158" spans="1:50" x14ac:dyDescent="0.25">
      <c r="A158">
        <v>96</v>
      </c>
      <c r="B158" s="4">
        <v>0.98847503283395599</v>
      </c>
      <c r="C158" s="4">
        <v>2.4367198017629601</v>
      </c>
      <c r="D158" s="4">
        <v>12.9861367068217</v>
      </c>
      <c r="E158" s="4">
        <v>2.0536376312162699E-3</v>
      </c>
      <c r="F158" s="5">
        <v>1.15249671660437E-2</v>
      </c>
      <c r="G158" s="5">
        <v>0</v>
      </c>
      <c r="H158" s="4">
        <v>4.2148495289267096</v>
      </c>
      <c r="I158" s="4">
        <v>4.0404120786487203</v>
      </c>
      <c r="J158" s="4">
        <v>-25.1640119418362</v>
      </c>
      <c r="K158" s="4">
        <v>-83.391670432831603</v>
      </c>
      <c r="L158" s="4">
        <v>18.668037023958899</v>
      </c>
      <c r="M158" s="4">
        <v>17.873161315619701</v>
      </c>
      <c r="N158" s="4">
        <v>76.690702539899902</v>
      </c>
      <c r="O158" s="4">
        <v>76.404421693503494</v>
      </c>
      <c r="P158" s="4">
        <v>229365.57495833901</v>
      </c>
      <c r="Q158" s="4">
        <v>199380.54</v>
      </c>
      <c r="R158" s="4">
        <v>780.925892323987</v>
      </c>
      <c r="S158" s="4">
        <v>0</v>
      </c>
      <c r="T158" s="4">
        <v>0</v>
      </c>
      <c r="U158" s="4">
        <v>0</v>
      </c>
      <c r="V158" s="4">
        <v>1</v>
      </c>
      <c r="W158" s="4">
        <v>0</v>
      </c>
      <c r="X158" s="4">
        <v>0.15226507214641999</v>
      </c>
      <c r="Y158" s="4">
        <v>0</v>
      </c>
      <c r="Z158" s="5">
        <v>3.8166174288388802E-4</v>
      </c>
      <c r="AA158" s="5">
        <v>4.0575340329101303E-5</v>
      </c>
      <c r="AB158" s="10">
        <v>3.1994935978764301E-3</v>
      </c>
      <c r="AC158" s="10">
        <v>0</v>
      </c>
      <c r="AD158" s="10">
        <v>7.9032233456665293E-3</v>
      </c>
      <c r="AE158" s="4">
        <v>-2.3944386923619401E-2</v>
      </c>
      <c r="AF158" s="4">
        <v>1</v>
      </c>
      <c r="AG158" s="4">
        <v>1</v>
      </c>
      <c r="AH158" s="4">
        <v>1</v>
      </c>
      <c r="AI158" s="4">
        <v>1</v>
      </c>
      <c r="AJ158" s="4">
        <v>1</v>
      </c>
      <c r="AK158" s="4">
        <v>1</v>
      </c>
      <c r="AL158" s="4">
        <v>1</v>
      </c>
      <c r="AM158" s="4">
        <v>0</v>
      </c>
      <c r="AN158" s="4">
        <v>0</v>
      </c>
      <c r="AO158" s="4" t="s">
        <v>65</v>
      </c>
      <c r="AP158" s="4">
        <f>-100--75</f>
        <v>-25</v>
      </c>
      <c r="AQ158" s="6">
        <v>2591947.02</v>
      </c>
      <c r="AR158" s="4">
        <v>13</v>
      </c>
      <c r="AS158" s="35">
        <v>0</v>
      </c>
      <c r="AT158" s="35">
        <v>0</v>
      </c>
      <c r="AU158" s="35">
        <v>0</v>
      </c>
      <c r="AV158" s="35">
        <v>100</v>
      </c>
      <c r="AW158" s="35">
        <v>0</v>
      </c>
      <c r="AX158" s="35">
        <v>100</v>
      </c>
    </row>
    <row r="159" spans="1:50" x14ac:dyDescent="0.25">
      <c r="A159">
        <v>96</v>
      </c>
      <c r="B159" s="4">
        <v>0.99458004049646997</v>
      </c>
      <c r="C159" s="4">
        <v>7.9509448571122698</v>
      </c>
      <c r="D159" s="4">
        <v>6.3135304771410796</v>
      </c>
      <c r="E159" s="4">
        <v>6.8802670803517303E-3</v>
      </c>
      <c r="F159" s="5">
        <v>5.4199595035292897E-3</v>
      </c>
      <c r="G159" s="5">
        <v>0</v>
      </c>
      <c r="H159" s="4">
        <v>3.8759826189473601</v>
      </c>
      <c r="I159" s="4">
        <v>4.1099292945670003</v>
      </c>
      <c r="J159" s="4">
        <v>-62.467049131280099</v>
      </c>
      <c r="K159" s="4">
        <v>-58.2184028779524</v>
      </c>
      <c r="L159" s="4">
        <v>21.081322425754099</v>
      </c>
      <c r="M159" s="4">
        <v>16.2466383970987</v>
      </c>
      <c r="N159" s="4">
        <v>79.024221587443293</v>
      </c>
      <c r="O159" s="4">
        <v>74.326223793917507</v>
      </c>
      <c r="P159" s="4">
        <v>255299.466929388</v>
      </c>
      <c r="Q159" s="4">
        <v>177326.034601769</v>
      </c>
      <c r="R159" s="4">
        <v>781.25638007117095</v>
      </c>
      <c r="S159" s="4">
        <v>0</v>
      </c>
      <c r="T159" s="4">
        <v>0</v>
      </c>
      <c r="U159" s="4">
        <v>0</v>
      </c>
      <c r="V159" s="4">
        <v>1</v>
      </c>
      <c r="W159" s="4">
        <v>0</v>
      </c>
      <c r="X159" s="4">
        <v>0.157494377846401</v>
      </c>
      <c r="Y159" s="4">
        <v>0</v>
      </c>
      <c r="Z159" s="5">
        <v>7.7995065928850298E-4</v>
      </c>
      <c r="AA159" s="5">
        <v>9.3363377004282793E-5</v>
      </c>
      <c r="AB159" s="10">
        <v>2.7276539176133499E-3</v>
      </c>
      <c r="AC159" s="10">
        <v>0</v>
      </c>
      <c r="AD159" s="10">
        <v>1.81898121889934E-3</v>
      </c>
      <c r="AE159" s="4">
        <v>-2.1130883315414E-2</v>
      </c>
      <c r="AF159" s="4">
        <v>0.99409685182010699</v>
      </c>
      <c r="AG159" s="4">
        <v>1</v>
      </c>
      <c r="AH159" s="4">
        <v>1</v>
      </c>
      <c r="AI159" s="4">
        <v>1</v>
      </c>
      <c r="AJ159" s="4">
        <v>1</v>
      </c>
      <c r="AK159" s="4">
        <v>1</v>
      </c>
      <c r="AL159" s="4">
        <v>1</v>
      </c>
      <c r="AM159" s="4">
        <v>0</v>
      </c>
      <c r="AN159" s="4">
        <v>0</v>
      </c>
      <c r="AO159" s="4" t="s">
        <v>66</v>
      </c>
      <c r="AP159" s="4">
        <f>-75--50</f>
        <v>-25</v>
      </c>
      <c r="AQ159" s="6">
        <v>40075683.82</v>
      </c>
      <c r="AR159" s="4">
        <v>226</v>
      </c>
      <c r="AS159" s="35">
        <v>0</v>
      </c>
      <c r="AT159" s="35">
        <v>0</v>
      </c>
      <c r="AU159" s="35">
        <v>0</v>
      </c>
      <c r="AV159" s="35">
        <v>100</v>
      </c>
      <c r="AW159" s="35">
        <v>0</v>
      </c>
      <c r="AX159" s="35">
        <v>100</v>
      </c>
    </row>
    <row r="160" spans="1:50" x14ac:dyDescent="0.25">
      <c r="A160">
        <v>96</v>
      </c>
      <c r="B160" s="4">
        <v>0.99278251508908699</v>
      </c>
      <c r="C160" s="4">
        <v>5.6770710057887701</v>
      </c>
      <c r="D160" s="4">
        <v>8.3253127500470505</v>
      </c>
      <c r="E160" s="4">
        <v>4.8586481012334003E-3</v>
      </c>
      <c r="F160" s="5">
        <v>7.2174849109122299E-3</v>
      </c>
      <c r="G160" s="5">
        <v>0</v>
      </c>
      <c r="H160" s="4">
        <v>3.9197077123777602</v>
      </c>
      <c r="I160" s="4">
        <v>4.1096797371058997</v>
      </c>
      <c r="J160" s="4">
        <v>-59.983153472617801</v>
      </c>
      <c r="K160" s="4">
        <v>-33.461505855893002</v>
      </c>
      <c r="L160" s="4">
        <v>17.112461506026602</v>
      </c>
      <c r="M160" s="4">
        <v>16.164421656480801</v>
      </c>
      <c r="N160" s="4">
        <v>74.769783811012601</v>
      </c>
      <c r="O160" s="4">
        <v>72.353366152785696</v>
      </c>
      <c r="P160" s="4">
        <v>262824.08973054099</v>
      </c>
      <c r="Q160" s="4">
        <v>227809.84352071001</v>
      </c>
      <c r="R160" s="4">
        <v>783.57177132687002</v>
      </c>
      <c r="S160" s="4">
        <v>0</v>
      </c>
      <c r="T160" s="4">
        <v>0</v>
      </c>
      <c r="U160" s="4">
        <v>2.41389331680537E-3</v>
      </c>
      <c r="V160" s="4">
        <v>1</v>
      </c>
      <c r="W160" s="4">
        <v>0</v>
      </c>
      <c r="X160" s="4">
        <v>0.27647904878832402</v>
      </c>
      <c r="Y160" s="4">
        <v>0</v>
      </c>
      <c r="Z160" s="5">
        <v>4.51264856561977E-4</v>
      </c>
      <c r="AA160" s="5">
        <v>7.0815301383298599E-5</v>
      </c>
      <c r="AB160" s="10">
        <v>2.8325923688232199E-3</v>
      </c>
      <c r="AC160" s="10">
        <v>9.8424819900204707E-9</v>
      </c>
      <c r="AD160" s="10">
        <v>3.8627880671811099E-3</v>
      </c>
      <c r="AE160" s="4">
        <v>-9.1723089974548692E-3</v>
      </c>
      <c r="AF160" s="4">
        <v>0.970000310758244</v>
      </c>
      <c r="AG160" s="4">
        <v>0.99843288728160895</v>
      </c>
      <c r="AH160" s="4">
        <v>1</v>
      </c>
      <c r="AI160" s="4">
        <v>1</v>
      </c>
      <c r="AJ160" s="4">
        <v>1</v>
      </c>
      <c r="AK160" s="4">
        <v>1</v>
      </c>
      <c r="AL160" s="4">
        <v>1</v>
      </c>
      <c r="AM160" s="4">
        <v>0</v>
      </c>
      <c r="AN160" s="4">
        <v>0</v>
      </c>
      <c r="AO160" s="4" t="s">
        <v>67</v>
      </c>
      <c r="AP160" s="4">
        <f>-50--25</f>
        <v>-25</v>
      </c>
      <c r="AQ160" s="6">
        <v>461998362.66000003</v>
      </c>
      <c r="AR160" s="4">
        <v>2028</v>
      </c>
      <c r="AS160" s="35">
        <v>0</v>
      </c>
      <c r="AT160" s="35">
        <v>0</v>
      </c>
      <c r="AU160" s="35">
        <v>0</v>
      </c>
      <c r="AV160" s="35">
        <v>100</v>
      </c>
      <c r="AW160" s="35">
        <v>0</v>
      </c>
      <c r="AX160" s="35">
        <v>100</v>
      </c>
    </row>
    <row r="161" spans="1:50" x14ac:dyDescent="0.25">
      <c r="A161">
        <v>96</v>
      </c>
      <c r="B161" s="4">
        <v>0.99015144677073497</v>
      </c>
      <c r="C161" s="4">
        <v>8.3799581727410501</v>
      </c>
      <c r="D161" s="4">
        <v>11.198660549834599</v>
      </c>
      <c r="E161" s="4">
        <v>7.2668131833503596E-3</v>
      </c>
      <c r="F161" s="5">
        <v>9.8485532292647594E-3</v>
      </c>
      <c r="G161" s="5">
        <v>0</v>
      </c>
      <c r="H161" s="4">
        <v>3.9957710555963</v>
      </c>
      <c r="I161" s="4">
        <v>4.1072106783279203</v>
      </c>
      <c r="J161" s="4">
        <v>-53.260737737015802</v>
      </c>
      <c r="K161" s="4">
        <v>-22.330523605828901</v>
      </c>
      <c r="L161" s="4">
        <v>16.800838972753599</v>
      </c>
      <c r="M161" s="4">
        <v>16.2161497228002</v>
      </c>
      <c r="N161" s="4">
        <v>73.544435207535599</v>
      </c>
      <c r="O161" s="4">
        <v>71.159782458147106</v>
      </c>
      <c r="P161" s="4">
        <v>262634.18329898</v>
      </c>
      <c r="Q161" s="4">
        <v>234955.50559290301</v>
      </c>
      <c r="R161" s="4">
        <v>783.81208203464303</v>
      </c>
      <c r="S161" s="4">
        <v>0</v>
      </c>
      <c r="T161" s="4">
        <v>0</v>
      </c>
      <c r="U161" s="4">
        <v>1.07895693460107E-3</v>
      </c>
      <c r="V161" s="4">
        <v>1</v>
      </c>
      <c r="W161" s="4">
        <v>0</v>
      </c>
      <c r="X161" s="4">
        <v>0.42315606544607798</v>
      </c>
      <c r="Y161" s="4">
        <v>0</v>
      </c>
      <c r="Z161" s="5">
        <v>4.1851511484416602E-4</v>
      </c>
      <c r="AA161" s="5">
        <v>6.0908591468631099E-5</v>
      </c>
      <c r="AB161" s="10">
        <v>2.8200782580206901E-3</v>
      </c>
      <c r="AC161" s="10">
        <v>0</v>
      </c>
      <c r="AD161" s="10">
        <v>6.5490366341134799E-3</v>
      </c>
      <c r="AE161" s="4">
        <v>-7.4681778860831698E-3</v>
      </c>
      <c r="AF161" s="4">
        <v>0.97046585423958298</v>
      </c>
      <c r="AG161" s="4">
        <v>0.999131175824854</v>
      </c>
      <c r="AH161" s="4">
        <v>1</v>
      </c>
      <c r="AI161" s="4">
        <v>1</v>
      </c>
      <c r="AJ161" s="4">
        <v>1</v>
      </c>
      <c r="AK161" s="4">
        <v>1</v>
      </c>
      <c r="AL161" s="4">
        <v>1</v>
      </c>
      <c r="AM161" s="4">
        <v>0</v>
      </c>
      <c r="AN161" s="4">
        <v>0</v>
      </c>
      <c r="AO161" s="4" t="s">
        <v>145</v>
      </c>
      <c r="AP161" s="4">
        <f>-25--20</f>
        <v>-5</v>
      </c>
      <c r="AQ161" s="6">
        <v>251637346.49000001</v>
      </c>
      <c r="AR161" s="4">
        <v>1071</v>
      </c>
      <c r="AS161" s="35">
        <v>0</v>
      </c>
      <c r="AT161" s="35">
        <v>0</v>
      </c>
      <c r="AU161" s="35">
        <v>0</v>
      </c>
      <c r="AV161" s="35">
        <v>100</v>
      </c>
      <c r="AW161" s="35">
        <v>0</v>
      </c>
      <c r="AX161" s="35">
        <v>100</v>
      </c>
    </row>
    <row r="162" spans="1:50" x14ac:dyDescent="0.25">
      <c r="A162">
        <v>96</v>
      </c>
      <c r="B162" s="4">
        <v>0.98877315602419102</v>
      </c>
      <c r="C162" s="4">
        <v>10.423293748870099</v>
      </c>
      <c r="D162" s="4">
        <v>12.670694149325399</v>
      </c>
      <c r="E162" s="4">
        <v>9.1309634628755198E-3</v>
      </c>
      <c r="F162" s="5">
        <v>1.1226843975808001E-2</v>
      </c>
      <c r="G162" s="5">
        <v>0</v>
      </c>
      <c r="H162" s="4">
        <v>4.05496496411424</v>
      </c>
      <c r="I162" s="4">
        <v>4.1044519661063603</v>
      </c>
      <c r="J162" s="4">
        <v>-47.114406090953501</v>
      </c>
      <c r="K162" s="4">
        <v>-17.340948323743898</v>
      </c>
      <c r="L162" s="4">
        <v>16.682808214261101</v>
      </c>
      <c r="M162" s="4">
        <v>16.3852208509158</v>
      </c>
      <c r="N162" s="4">
        <v>74.201380110762301</v>
      </c>
      <c r="O162" s="4">
        <v>71.803498232056199</v>
      </c>
      <c r="P162" s="4">
        <v>263835.69041981699</v>
      </c>
      <c r="Q162" s="4">
        <v>237154.247378325</v>
      </c>
      <c r="R162" s="4">
        <v>783.29101959119396</v>
      </c>
      <c r="S162" s="4">
        <v>0</v>
      </c>
      <c r="T162" s="4">
        <v>0</v>
      </c>
      <c r="U162" s="4">
        <v>1.72264384136108E-3</v>
      </c>
      <c r="V162" s="4">
        <v>1</v>
      </c>
      <c r="W162" s="4">
        <v>0</v>
      </c>
      <c r="X162" s="4">
        <v>0.44419970849387502</v>
      </c>
      <c r="Y162" s="4">
        <v>0</v>
      </c>
      <c r="Z162" s="5">
        <v>4.1628323707131802E-4</v>
      </c>
      <c r="AA162" s="5">
        <v>6.8957361626129402E-5</v>
      </c>
      <c r="AB162" s="10">
        <v>2.8385650344072899E-3</v>
      </c>
      <c r="AC162" s="10">
        <v>9.6392099140380807E-9</v>
      </c>
      <c r="AD162" s="10">
        <v>7.9030142944744794E-3</v>
      </c>
      <c r="AE162" s="4">
        <v>-7.9137385296674505E-3</v>
      </c>
      <c r="AF162" s="4">
        <v>0.96218648302750798</v>
      </c>
      <c r="AG162" s="4">
        <v>0.99645570527078398</v>
      </c>
      <c r="AH162" s="4">
        <v>1</v>
      </c>
      <c r="AI162" s="4">
        <v>1</v>
      </c>
      <c r="AJ162" s="4">
        <v>1</v>
      </c>
      <c r="AK162" s="4">
        <v>1</v>
      </c>
      <c r="AL162" s="4">
        <v>1</v>
      </c>
      <c r="AM162" s="4">
        <v>0</v>
      </c>
      <c r="AN162" s="4">
        <v>0</v>
      </c>
      <c r="AO162" s="4" t="s">
        <v>146</v>
      </c>
      <c r="AP162" s="4">
        <f>-20--15</f>
        <v>-5</v>
      </c>
      <c r="AQ162" s="6">
        <v>365454695.20999998</v>
      </c>
      <c r="AR162" s="4">
        <v>1541</v>
      </c>
      <c r="AS162" s="35">
        <v>0</v>
      </c>
      <c r="AT162" s="35">
        <v>0</v>
      </c>
      <c r="AU162" s="35">
        <v>0</v>
      </c>
      <c r="AV162" s="35">
        <v>100</v>
      </c>
      <c r="AW162" s="35">
        <v>0</v>
      </c>
      <c r="AX162" s="35">
        <v>100</v>
      </c>
    </row>
    <row r="163" spans="1:50" x14ac:dyDescent="0.25">
      <c r="A163">
        <v>96</v>
      </c>
      <c r="B163" s="4">
        <v>0.98774980189942996</v>
      </c>
      <c r="C163" s="4">
        <v>6.1295516587336998</v>
      </c>
      <c r="D163" s="4">
        <v>13.7491437833775</v>
      </c>
      <c r="E163" s="4">
        <v>5.2573451535049397E-3</v>
      </c>
      <c r="F163" s="5">
        <v>1.2250198100569E-2</v>
      </c>
      <c r="G163" s="5">
        <v>0</v>
      </c>
      <c r="H163" s="4">
        <v>4.09561206739314</v>
      </c>
      <c r="I163" s="4">
        <v>4.1087557623803601</v>
      </c>
      <c r="J163" s="4">
        <v>-44.119421077241903</v>
      </c>
      <c r="K163" s="4">
        <v>-12.3075783504489</v>
      </c>
      <c r="L163" s="4">
        <v>15.9867971058355</v>
      </c>
      <c r="M163" s="4">
        <v>16.3978006313829</v>
      </c>
      <c r="N163" s="4">
        <v>73.730867940300001</v>
      </c>
      <c r="O163" s="4">
        <v>71.952545795921594</v>
      </c>
      <c r="P163" s="4">
        <v>270969.31010612601</v>
      </c>
      <c r="Q163" s="4">
        <v>248255.90570171701</v>
      </c>
      <c r="R163" s="4">
        <v>783.56852131117398</v>
      </c>
      <c r="S163" s="4">
        <v>0</v>
      </c>
      <c r="T163" s="4">
        <v>0</v>
      </c>
      <c r="U163" s="4">
        <v>2.76856776108831E-3</v>
      </c>
      <c r="V163" s="4">
        <v>1</v>
      </c>
      <c r="W163" s="4">
        <v>0</v>
      </c>
      <c r="X163" s="4">
        <v>0.47414717632548598</v>
      </c>
      <c r="Y163" s="4">
        <v>0</v>
      </c>
      <c r="Z163" s="5">
        <v>3.8808984460012101E-4</v>
      </c>
      <c r="AA163" s="5">
        <v>7.68547810537123E-5</v>
      </c>
      <c r="AB163" s="10">
        <v>2.7768531421913101E-3</v>
      </c>
      <c r="AC163" s="10">
        <v>2.3613635362928E-8</v>
      </c>
      <c r="AD163" s="10">
        <v>9.0083621709968892E-3</v>
      </c>
      <c r="AE163" s="4">
        <v>-9.6099240986427508E-3</v>
      </c>
      <c r="AF163" s="4">
        <v>0.97287448185220804</v>
      </c>
      <c r="AG163" s="4">
        <v>0.99845400954344898</v>
      </c>
      <c r="AH163" s="4">
        <v>0.99961670870491903</v>
      </c>
      <c r="AI163" s="4">
        <v>1</v>
      </c>
      <c r="AJ163" s="4">
        <v>1</v>
      </c>
      <c r="AK163" s="4">
        <v>1</v>
      </c>
      <c r="AL163" s="4">
        <v>1</v>
      </c>
      <c r="AM163" s="4">
        <v>0</v>
      </c>
      <c r="AN163" s="4">
        <v>0</v>
      </c>
      <c r="AO163" s="4" t="s">
        <v>147</v>
      </c>
      <c r="AP163" s="4">
        <f>-15--10</f>
        <v>-5</v>
      </c>
      <c r="AQ163" s="6">
        <v>592586846.90999997</v>
      </c>
      <c r="AR163" s="4">
        <v>2387</v>
      </c>
      <c r="AS163" s="35">
        <v>0</v>
      </c>
      <c r="AT163" s="35">
        <v>0</v>
      </c>
      <c r="AU163" s="35">
        <v>0</v>
      </c>
      <c r="AV163" s="35">
        <v>100</v>
      </c>
      <c r="AW163" s="35">
        <v>0</v>
      </c>
      <c r="AX163" s="35">
        <v>100</v>
      </c>
    </row>
    <row r="164" spans="1:50" x14ac:dyDescent="0.25">
      <c r="A164">
        <v>96</v>
      </c>
      <c r="B164" s="4">
        <v>0.98670814885995695</v>
      </c>
      <c r="C164" s="4">
        <v>7.06646150219352</v>
      </c>
      <c r="D164" s="4">
        <v>14.8343277690312</v>
      </c>
      <c r="E164" s="4">
        <v>6.0885217157423104E-3</v>
      </c>
      <c r="F164" s="5">
        <v>1.32918511400429E-2</v>
      </c>
      <c r="G164" s="5">
        <v>0</v>
      </c>
      <c r="H164" s="4">
        <v>4.1296645592550396</v>
      </c>
      <c r="I164" s="4">
        <v>4.1106759429135202</v>
      </c>
      <c r="J164" s="4">
        <v>-40.030372230806002</v>
      </c>
      <c r="K164" s="4">
        <v>-7.2936691685875399</v>
      </c>
      <c r="L164" s="4">
        <v>15.554309823939001</v>
      </c>
      <c r="M164" s="4">
        <v>16.229888527805699</v>
      </c>
      <c r="N164" s="4">
        <v>73.791863374628505</v>
      </c>
      <c r="O164" s="4">
        <v>72.169609862273305</v>
      </c>
      <c r="P164" s="4">
        <v>278654.61830948101</v>
      </c>
      <c r="Q164" s="4">
        <v>256069.851538252</v>
      </c>
      <c r="R164" s="4">
        <v>782.87274987800197</v>
      </c>
      <c r="S164" s="4">
        <v>0</v>
      </c>
      <c r="T164" s="4">
        <v>0</v>
      </c>
      <c r="U164" s="4">
        <v>2.9463022642629601E-3</v>
      </c>
      <c r="V164" s="4">
        <v>1</v>
      </c>
      <c r="W164" s="4">
        <v>0</v>
      </c>
      <c r="X164" s="4">
        <v>0.54079948750120599</v>
      </c>
      <c r="Y164" s="4">
        <v>0</v>
      </c>
      <c r="Z164" s="5">
        <v>3.8804151127741802E-4</v>
      </c>
      <c r="AA164" s="5">
        <v>7.6468202246194402E-5</v>
      </c>
      <c r="AB164" s="10">
        <v>2.6813163824122299E-3</v>
      </c>
      <c r="AC164" s="10">
        <v>2.80967622039127E-8</v>
      </c>
      <c r="AD164" s="10">
        <v>1.0145982506261E-2</v>
      </c>
      <c r="AE164" s="4">
        <v>-1.34869534695501E-2</v>
      </c>
      <c r="AF164" s="4">
        <v>0.97562880843288002</v>
      </c>
      <c r="AG164" s="4">
        <v>0.99806439205814401</v>
      </c>
      <c r="AH164" s="4">
        <v>0.99974175884053096</v>
      </c>
      <c r="AI164" s="4">
        <v>1</v>
      </c>
      <c r="AJ164" s="4">
        <v>1</v>
      </c>
      <c r="AK164" s="4">
        <v>1</v>
      </c>
      <c r="AL164" s="4">
        <v>1</v>
      </c>
      <c r="AM164" s="4">
        <v>0</v>
      </c>
      <c r="AN164" s="4">
        <v>0</v>
      </c>
      <c r="AO164" s="4" t="s">
        <v>148</v>
      </c>
      <c r="AP164" s="4">
        <f>-10--5</f>
        <v>-5</v>
      </c>
      <c r="AQ164" s="6">
        <v>943873472.76999998</v>
      </c>
      <c r="AR164" s="4">
        <v>3686</v>
      </c>
      <c r="AS164" s="35">
        <v>0</v>
      </c>
      <c r="AT164" s="35">
        <v>0</v>
      </c>
      <c r="AU164" s="35">
        <v>0</v>
      </c>
      <c r="AV164" s="35">
        <v>100</v>
      </c>
      <c r="AW164" s="35">
        <v>0</v>
      </c>
      <c r="AX164" s="35">
        <v>100</v>
      </c>
    </row>
    <row r="165" spans="1:50" x14ac:dyDescent="0.25">
      <c r="A165">
        <v>96</v>
      </c>
      <c r="B165" s="4">
        <v>0.98543341605508805</v>
      </c>
      <c r="C165" s="4">
        <v>8.6206608161297495</v>
      </c>
      <c r="D165" s="4">
        <v>16.145297707067801</v>
      </c>
      <c r="E165" s="4">
        <v>7.4844163330891299E-3</v>
      </c>
      <c r="F165" s="5">
        <v>1.45665839449111E-2</v>
      </c>
      <c r="G165" s="5">
        <v>0</v>
      </c>
      <c r="H165" s="4">
        <v>4.1372710152374603</v>
      </c>
      <c r="I165" s="4">
        <v>4.1043309446209104</v>
      </c>
      <c r="J165" s="4">
        <v>-38.599143453634902</v>
      </c>
      <c r="K165" s="4">
        <v>-2.3690024011631201</v>
      </c>
      <c r="L165" s="4">
        <v>15.2221030609886</v>
      </c>
      <c r="M165" s="4">
        <v>16.3124774227296</v>
      </c>
      <c r="N165" s="4">
        <v>71.736165137463203</v>
      </c>
      <c r="O165" s="4">
        <v>70.160013082580093</v>
      </c>
      <c r="P165" s="4">
        <v>284202.20955189399</v>
      </c>
      <c r="Q165" s="4">
        <v>261257.91305509699</v>
      </c>
      <c r="R165" s="4">
        <v>783.28454823682796</v>
      </c>
      <c r="S165" s="4">
        <v>0</v>
      </c>
      <c r="T165" s="4">
        <v>0</v>
      </c>
      <c r="U165" s="4">
        <v>2.5740280441037102E-3</v>
      </c>
      <c r="V165" s="4">
        <v>1</v>
      </c>
      <c r="W165" s="4">
        <v>0</v>
      </c>
      <c r="X165" s="4">
        <v>0.64411947111205703</v>
      </c>
      <c r="Y165" s="4">
        <v>0</v>
      </c>
      <c r="Z165" s="5">
        <v>3.86152709988248E-4</v>
      </c>
      <c r="AA165" s="5">
        <v>7.11561508865034E-5</v>
      </c>
      <c r="AB165" s="10">
        <v>2.6943022659948702E-3</v>
      </c>
      <c r="AC165" s="10">
        <v>5.7793467367014997E-9</v>
      </c>
      <c r="AD165" s="10">
        <v>1.14149525469868E-2</v>
      </c>
      <c r="AE165" s="4">
        <v>-1.2955955192694E-2</v>
      </c>
      <c r="AF165" s="4">
        <v>0.97000868911781601</v>
      </c>
      <c r="AG165" s="4">
        <v>0.99873662066228897</v>
      </c>
      <c r="AH165" s="4">
        <v>1</v>
      </c>
      <c r="AI165" s="4">
        <v>1</v>
      </c>
      <c r="AJ165" s="4">
        <v>1</v>
      </c>
      <c r="AK165" s="4">
        <v>1</v>
      </c>
      <c r="AL165" s="4">
        <v>1</v>
      </c>
      <c r="AM165" s="4">
        <v>0</v>
      </c>
      <c r="AN165" s="4">
        <v>0</v>
      </c>
      <c r="AO165" s="4" t="s">
        <v>68</v>
      </c>
      <c r="AP165" s="4">
        <f>-25-0</f>
        <v>-25</v>
      </c>
      <c r="AQ165" s="6">
        <v>1427251979.02</v>
      </c>
      <c r="AR165" s="4">
        <v>5463</v>
      </c>
      <c r="AS165" s="35">
        <v>0</v>
      </c>
      <c r="AT165" s="35">
        <v>0</v>
      </c>
      <c r="AU165" s="35">
        <v>0</v>
      </c>
      <c r="AV165" s="35">
        <v>100</v>
      </c>
      <c r="AW165" s="35">
        <v>0</v>
      </c>
      <c r="AX165" s="35">
        <v>100</v>
      </c>
    </row>
    <row r="166" spans="1:50" x14ac:dyDescent="0.25">
      <c r="A166">
        <v>96</v>
      </c>
      <c r="B166" s="4">
        <v>0.98442079719919995</v>
      </c>
      <c r="C166" s="4">
        <v>11.3494073204869</v>
      </c>
      <c r="D166" s="4">
        <v>17.1734900148974</v>
      </c>
      <c r="E166" s="4">
        <v>9.9887335408712693E-3</v>
      </c>
      <c r="F166" s="5">
        <v>1.5579202800799699E-2</v>
      </c>
      <c r="G166" s="5">
        <v>0</v>
      </c>
      <c r="H166" s="4">
        <v>4.1656383932247003</v>
      </c>
      <c r="I166" s="4">
        <v>4.0966391650196501</v>
      </c>
      <c r="J166" s="4">
        <v>-35.473875415482702</v>
      </c>
      <c r="K166" s="4">
        <v>2.59002435886944</v>
      </c>
      <c r="L166" s="4">
        <v>15.352407053335501</v>
      </c>
      <c r="M166" s="4">
        <v>16.447367442632601</v>
      </c>
      <c r="N166" s="4">
        <v>70.661423822620193</v>
      </c>
      <c r="O166" s="4">
        <v>68.962803820001</v>
      </c>
      <c r="P166" s="4">
        <v>281401.61561972997</v>
      </c>
      <c r="Q166" s="4">
        <v>259577.53156913401</v>
      </c>
      <c r="R166" s="4">
        <v>784.23416658685403</v>
      </c>
      <c r="S166" s="4">
        <v>0</v>
      </c>
      <c r="T166" s="4">
        <v>0</v>
      </c>
      <c r="U166" s="4">
        <v>5.1457891645902698E-3</v>
      </c>
      <c r="V166" s="4">
        <v>1</v>
      </c>
      <c r="W166" s="4">
        <v>0</v>
      </c>
      <c r="X166" s="4">
        <v>0.67949423074929405</v>
      </c>
      <c r="Y166" s="4">
        <v>0</v>
      </c>
      <c r="Z166" s="5">
        <v>3.8323138911473999E-4</v>
      </c>
      <c r="AA166" s="5">
        <v>6.93533890988615E-5</v>
      </c>
      <c r="AB166" s="10">
        <v>2.7465660908118799E-3</v>
      </c>
      <c r="AC166" s="10">
        <v>8.2450898646014905E-8</v>
      </c>
      <c r="AD166" s="10">
        <v>1.23799550868917E-2</v>
      </c>
      <c r="AE166" s="4">
        <v>-1.0307666038947399E-2</v>
      </c>
      <c r="AF166" s="4">
        <v>0.96091785068195601</v>
      </c>
      <c r="AG166" s="4">
        <v>0.99749157115451403</v>
      </c>
      <c r="AH166" s="4">
        <v>0.99961599756186204</v>
      </c>
      <c r="AI166" s="4">
        <v>0.99972466153917205</v>
      </c>
      <c r="AJ166" s="4">
        <v>1</v>
      </c>
      <c r="AK166" s="4">
        <v>1</v>
      </c>
      <c r="AL166" s="4">
        <v>1</v>
      </c>
      <c r="AM166" s="4">
        <v>0</v>
      </c>
      <c r="AN166" s="4">
        <v>0</v>
      </c>
      <c r="AO166" s="4" t="s">
        <v>149</v>
      </c>
      <c r="AP166" s="4" t="s">
        <v>135</v>
      </c>
      <c r="AQ166" s="6">
        <v>1907375701.97</v>
      </c>
      <c r="AR166" s="4">
        <v>7348</v>
      </c>
      <c r="AS166" s="35">
        <v>0</v>
      </c>
      <c r="AT166" s="35">
        <v>0</v>
      </c>
      <c r="AU166" s="35">
        <v>0</v>
      </c>
      <c r="AV166" s="35">
        <v>100</v>
      </c>
      <c r="AW166" s="35">
        <v>0</v>
      </c>
      <c r="AX166" s="35">
        <v>100</v>
      </c>
    </row>
    <row r="167" spans="1:50" x14ac:dyDescent="0.25">
      <c r="A167">
        <v>96</v>
      </c>
      <c r="B167" s="4">
        <v>0.98359398924261099</v>
      </c>
      <c r="C167" s="4">
        <v>8.9300337352935095</v>
      </c>
      <c r="D167" s="4">
        <v>18.004429267027199</v>
      </c>
      <c r="E167" s="4">
        <v>7.7648726422118496E-3</v>
      </c>
      <c r="F167" s="5">
        <v>1.6406010757388401E-2</v>
      </c>
      <c r="G167" s="5">
        <v>0</v>
      </c>
      <c r="H167" s="4">
        <v>4.1892913016217497</v>
      </c>
      <c r="I167" s="4">
        <v>4.0879547435101502</v>
      </c>
      <c r="J167" s="4">
        <v>-32.957278871773802</v>
      </c>
      <c r="K167" s="4">
        <v>7.6405272530034596</v>
      </c>
      <c r="L167" s="4">
        <v>15.7026859779804</v>
      </c>
      <c r="M167" s="4">
        <v>16.440475558013599</v>
      </c>
      <c r="N167" s="4">
        <v>70.314773517154606</v>
      </c>
      <c r="O167" s="4">
        <v>68.511236057922005</v>
      </c>
      <c r="P167" s="4">
        <v>274177.45326233603</v>
      </c>
      <c r="Q167" s="4">
        <v>253931.173755647</v>
      </c>
      <c r="R167" s="4">
        <v>784.37875939479397</v>
      </c>
      <c r="S167" s="4">
        <v>0</v>
      </c>
      <c r="T167" s="4">
        <v>0</v>
      </c>
      <c r="U167" s="4">
        <v>7.1878957043566803E-3</v>
      </c>
      <c r="V167" s="4">
        <v>1</v>
      </c>
      <c r="W167" s="4">
        <v>0</v>
      </c>
      <c r="X167" s="4">
        <v>0.70574256926199297</v>
      </c>
      <c r="Y167" s="4">
        <v>0</v>
      </c>
      <c r="Z167" s="5">
        <v>3.8321151420989998E-4</v>
      </c>
      <c r="AA167" s="5">
        <v>6.9139535446205701E-5</v>
      </c>
      <c r="AB167" s="10">
        <v>2.79635305300183E-3</v>
      </c>
      <c r="AC167" s="10">
        <v>1.8290395187130101E-7</v>
      </c>
      <c r="AD167" s="10">
        <v>1.3157109049714301E-2</v>
      </c>
      <c r="AE167" s="4">
        <v>-9.0455229994471902E-3</v>
      </c>
      <c r="AF167" s="4">
        <v>0.95222939935468498</v>
      </c>
      <c r="AG167" s="4">
        <v>0.99509003675846297</v>
      </c>
      <c r="AH167" s="4">
        <v>0.99960784443874195</v>
      </c>
      <c r="AI167" s="4">
        <v>1</v>
      </c>
      <c r="AJ167" s="4">
        <v>1</v>
      </c>
      <c r="AK167" s="4">
        <v>1</v>
      </c>
      <c r="AL167" s="4">
        <v>1</v>
      </c>
      <c r="AM167" s="4">
        <v>0</v>
      </c>
      <c r="AN167" s="4">
        <v>0</v>
      </c>
      <c r="AO167" s="4" t="s">
        <v>150</v>
      </c>
      <c r="AP167" s="4">
        <v>43230</v>
      </c>
      <c r="AQ167" s="6">
        <v>2641646000.5799999</v>
      </c>
      <c r="AR167" s="4">
        <v>10403</v>
      </c>
      <c r="AS167" s="35">
        <v>0</v>
      </c>
      <c r="AT167" s="35">
        <v>0</v>
      </c>
      <c r="AU167" s="35">
        <v>0</v>
      </c>
      <c r="AV167" s="35">
        <v>100</v>
      </c>
      <c r="AW167" s="35">
        <v>0</v>
      </c>
      <c r="AX167" s="35">
        <v>100</v>
      </c>
    </row>
    <row r="168" spans="1:50" x14ac:dyDescent="0.25">
      <c r="A168">
        <v>96</v>
      </c>
      <c r="B168" s="4">
        <v>0.98242204108428999</v>
      </c>
      <c r="C168" s="4">
        <v>12.3581232482224</v>
      </c>
      <c r="D168" s="4">
        <v>19.1691454900906</v>
      </c>
      <c r="E168" s="4">
        <v>1.09324068628528E-2</v>
      </c>
      <c r="F168" s="5">
        <v>1.7577958915709398E-2</v>
      </c>
      <c r="G168" s="5">
        <v>0</v>
      </c>
      <c r="H168" s="4">
        <v>4.2132069180040199</v>
      </c>
      <c r="I168" s="4">
        <v>4.0808966105854596</v>
      </c>
      <c r="J168" s="4">
        <v>-31.1177232378197</v>
      </c>
      <c r="K168" s="4">
        <v>12.6307763154631</v>
      </c>
      <c r="L168" s="4">
        <v>15.569756362039699</v>
      </c>
      <c r="M168" s="4">
        <v>16.412035894837501</v>
      </c>
      <c r="N168" s="4">
        <v>69.310838919211207</v>
      </c>
      <c r="O168" s="4">
        <v>67.387779991999096</v>
      </c>
      <c r="P168" s="4">
        <v>275650.75818485097</v>
      </c>
      <c r="Q168" s="4">
        <v>256215.57055350201</v>
      </c>
      <c r="R168" s="4">
        <v>784.14073836817499</v>
      </c>
      <c r="S168" s="4">
        <v>0</v>
      </c>
      <c r="T168" s="4">
        <v>0</v>
      </c>
      <c r="U168" s="4">
        <v>9.1159986021083304E-3</v>
      </c>
      <c r="V168" s="4">
        <v>1</v>
      </c>
      <c r="W168" s="4">
        <v>0</v>
      </c>
      <c r="X168" s="4">
        <v>0.73216885120266795</v>
      </c>
      <c r="Y168" s="4">
        <v>0</v>
      </c>
      <c r="Z168" s="5">
        <v>3.7823026868014699E-4</v>
      </c>
      <c r="AA168" s="5">
        <v>7.2021512262258905E-5</v>
      </c>
      <c r="AB168" s="10">
        <v>2.8227077949014999E-3</v>
      </c>
      <c r="AC168" s="10">
        <v>4.0478964625672197E-7</v>
      </c>
      <c r="AD168" s="10">
        <v>1.4304580061168399E-2</v>
      </c>
      <c r="AE168" s="4">
        <v>-5.6425596463224401E-3</v>
      </c>
      <c r="AF168" s="4">
        <v>0.93905038658893503</v>
      </c>
      <c r="AG168" s="4">
        <v>0.99417183561023803</v>
      </c>
      <c r="AH168" s="4">
        <v>0.998942422479148</v>
      </c>
      <c r="AI168" s="4">
        <v>0.99966279348896603</v>
      </c>
      <c r="AJ168" s="4">
        <v>1</v>
      </c>
      <c r="AK168" s="4">
        <v>1</v>
      </c>
      <c r="AL168" s="4">
        <v>1</v>
      </c>
      <c r="AM168" s="4">
        <v>0</v>
      </c>
      <c r="AN168" s="4">
        <v>0</v>
      </c>
      <c r="AO168" s="4" t="s">
        <v>151</v>
      </c>
      <c r="AP168" s="4">
        <v>43388</v>
      </c>
      <c r="AQ168" s="6">
        <v>3605977939.9699998</v>
      </c>
      <c r="AR168" s="4">
        <v>14074</v>
      </c>
      <c r="AS168" s="35">
        <v>0</v>
      </c>
      <c r="AT168" s="35">
        <v>0</v>
      </c>
      <c r="AU168" s="35">
        <v>0</v>
      </c>
      <c r="AV168" s="35">
        <v>100</v>
      </c>
      <c r="AW168" s="35">
        <v>0</v>
      </c>
      <c r="AX168" s="35">
        <v>100</v>
      </c>
    </row>
    <row r="169" spans="1:50" x14ac:dyDescent="0.25">
      <c r="A169">
        <v>96</v>
      </c>
      <c r="B169" s="4">
        <v>0.98119151804702598</v>
      </c>
      <c r="C169" s="4">
        <v>11.611540077245101</v>
      </c>
      <c r="D169" s="4">
        <v>20.375737415982002</v>
      </c>
      <c r="E169" s="4">
        <v>1.0233013498787901E-2</v>
      </c>
      <c r="F169" s="5">
        <v>1.8808481952973501E-2</v>
      </c>
      <c r="G169" s="5">
        <v>0</v>
      </c>
      <c r="H169" s="4">
        <v>4.2381877920775102</v>
      </c>
      <c r="I169" s="4">
        <v>4.0727899476755001</v>
      </c>
      <c r="J169" s="4">
        <v>-28.541214650344799</v>
      </c>
      <c r="K169" s="4">
        <v>17.622381253042899</v>
      </c>
      <c r="L169" s="4">
        <v>15.521506572842499</v>
      </c>
      <c r="M169" s="4">
        <v>16.397316960644499</v>
      </c>
      <c r="N169" s="4">
        <v>68.670630004487904</v>
      </c>
      <c r="O169" s="4">
        <v>66.703613679853007</v>
      </c>
      <c r="P169" s="4">
        <v>276578.66618131602</v>
      </c>
      <c r="Q169" s="4">
        <v>257113.62654859401</v>
      </c>
      <c r="R169" s="4">
        <v>784.84657547929601</v>
      </c>
      <c r="S169" s="4">
        <v>0</v>
      </c>
      <c r="T169" s="4">
        <v>0</v>
      </c>
      <c r="U169" s="4">
        <v>1.12266950759641E-2</v>
      </c>
      <c r="V169" s="4">
        <v>1</v>
      </c>
      <c r="W169" s="4">
        <v>0</v>
      </c>
      <c r="X169" s="4">
        <v>0.76442962201170905</v>
      </c>
      <c r="Y169" s="4">
        <v>0</v>
      </c>
      <c r="Z169" s="5">
        <v>3.7748299090447599E-4</v>
      </c>
      <c r="AA169" s="5">
        <v>7.5107201873865305E-5</v>
      </c>
      <c r="AB169" s="10">
        <v>2.8382715264423501E-3</v>
      </c>
      <c r="AC169" s="10">
        <v>4.5849673427794899E-7</v>
      </c>
      <c r="AD169" s="10">
        <v>1.5517147262278101E-2</v>
      </c>
      <c r="AE169" s="4">
        <v>-4.7014382171129002E-3</v>
      </c>
      <c r="AF169" s="4">
        <v>0.92357604694708795</v>
      </c>
      <c r="AG169" s="4">
        <v>0.99128473839379005</v>
      </c>
      <c r="AH169" s="4">
        <v>0.99912240269432895</v>
      </c>
      <c r="AI169" s="4">
        <v>0.99964101279554196</v>
      </c>
      <c r="AJ169" s="4">
        <v>1</v>
      </c>
      <c r="AK169" s="4">
        <v>1</v>
      </c>
      <c r="AL169" s="4">
        <v>1</v>
      </c>
      <c r="AM169" s="4">
        <v>0</v>
      </c>
      <c r="AN169" s="4">
        <v>0</v>
      </c>
      <c r="AO169" s="4" t="s">
        <v>152</v>
      </c>
      <c r="AP169" s="4" t="s">
        <v>136</v>
      </c>
      <c r="AQ169" s="6">
        <v>4957664947.1099997</v>
      </c>
      <c r="AR169" s="4">
        <v>19282</v>
      </c>
      <c r="AS169" s="35">
        <v>0</v>
      </c>
      <c r="AT169" s="35">
        <v>0</v>
      </c>
      <c r="AU169" s="35">
        <v>0</v>
      </c>
      <c r="AV169" s="35">
        <v>100</v>
      </c>
      <c r="AW169" s="35">
        <v>0</v>
      </c>
      <c r="AX169" s="35">
        <v>100</v>
      </c>
    </row>
    <row r="170" spans="1:50" x14ac:dyDescent="0.25">
      <c r="A170">
        <v>96</v>
      </c>
      <c r="B170" s="4">
        <v>0.97957244036112301</v>
      </c>
      <c r="C170" s="4">
        <v>13.266258665496199</v>
      </c>
      <c r="D170" s="4">
        <v>21.938175726305001</v>
      </c>
      <c r="E170" s="4">
        <v>1.17905407112762E-2</v>
      </c>
      <c r="F170" s="5">
        <v>2.0427559638876099E-2</v>
      </c>
      <c r="G170" s="5">
        <v>0</v>
      </c>
      <c r="H170" s="4">
        <v>4.2549206752414399</v>
      </c>
      <c r="I170" s="4">
        <v>4.0568307311246103</v>
      </c>
      <c r="J170" s="4">
        <v>-26.483088968211401</v>
      </c>
      <c r="K170" s="4">
        <v>22.560662303897001</v>
      </c>
      <c r="L170" s="4">
        <v>15.1934949041979</v>
      </c>
      <c r="M170" s="4">
        <v>16.577250186473702</v>
      </c>
      <c r="N170" s="4">
        <v>66.710047908501593</v>
      </c>
      <c r="O170" s="4">
        <v>64.743855924856106</v>
      </c>
      <c r="P170" s="4">
        <v>282194.80240064103</v>
      </c>
      <c r="Q170" s="4">
        <v>262628.818777918</v>
      </c>
      <c r="R170" s="4">
        <v>784.94975437892697</v>
      </c>
      <c r="S170" s="4">
        <v>0</v>
      </c>
      <c r="T170" s="4">
        <v>0</v>
      </c>
      <c r="U170" s="4">
        <v>1.2422202214947799E-2</v>
      </c>
      <c r="V170" s="4">
        <v>1</v>
      </c>
      <c r="W170" s="4">
        <v>0</v>
      </c>
      <c r="X170" s="4">
        <v>0.79129511904363703</v>
      </c>
      <c r="Y170" s="4">
        <v>0</v>
      </c>
      <c r="Z170" s="5">
        <v>3.7566460265975999E-4</v>
      </c>
      <c r="AA170" s="5">
        <v>7.5656554559522701E-5</v>
      </c>
      <c r="AB170" s="10">
        <v>2.8918844928532599E-3</v>
      </c>
      <c r="AC170" s="10">
        <v>8.1915699737795901E-7</v>
      </c>
      <c r="AD170" s="10">
        <v>1.7083520463910599E-2</v>
      </c>
      <c r="AE170" s="4">
        <v>-3.1761773469567499E-3</v>
      </c>
      <c r="AF170" s="4">
        <v>0.91411625235112004</v>
      </c>
      <c r="AG170" s="4">
        <v>0.98936882371500501</v>
      </c>
      <c r="AH170" s="4">
        <v>0.99863981146754399</v>
      </c>
      <c r="AI170" s="4">
        <v>0.99978704226275605</v>
      </c>
      <c r="AJ170" s="4">
        <v>1</v>
      </c>
      <c r="AK170" s="4">
        <v>1</v>
      </c>
      <c r="AL170" s="4">
        <v>1</v>
      </c>
      <c r="AM170" s="4">
        <v>0</v>
      </c>
      <c r="AN170" s="4">
        <v>0</v>
      </c>
      <c r="AO170" s="4" t="s">
        <v>69</v>
      </c>
      <c r="AP170" s="4" t="s">
        <v>70</v>
      </c>
      <c r="AQ170" s="6">
        <v>6408405807</v>
      </c>
      <c r="AR170" s="4">
        <v>24401</v>
      </c>
      <c r="AS170" s="35">
        <v>0</v>
      </c>
      <c r="AT170" s="35">
        <v>0</v>
      </c>
      <c r="AU170" s="35">
        <v>0</v>
      </c>
      <c r="AV170" s="35">
        <v>100</v>
      </c>
      <c r="AW170" s="35">
        <v>0</v>
      </c>
      <c r="AX170" s="35">
        <v>100</v>
      </c>
    </row>
    <row r="171" spans="1:50" x14ac:dyDescent="0.25">
      <c r="A171">
        <v>96</v>
      </c>
      <c r="B171" s="4">
        <v>0.97803354455664004</v>
      </c>
      <c r="C171" s="4">
        <v>14.7483304285025</v>
      </c>
      <c r="D171" s="4">
        <v>23.397136296275001</v>
      </c>
      <c r="E171" s="4">
        <v>1.32088609042242E-2</v>
      </c>
      <c r="F171" s="5">
        <v>2.1966455443359699E-2</v>
      </c>
      <c r="G171" s="5">
        <v>0</v>
      </c>
      <c r="H171" s="4">
        <v>4.28706442635574</v>
      </c>
      <c r="I171" s="4">
        <v>4.0431304358518299</v>
      </c>
      <c r="J171" s="4">
        <v>-23.8549476916929</v>
      </c>
      <c r="K171" s="4">
        <v>27.5693575745095</v>
      </c>
      <c r="L171" s="4">
        <v>15.158883945972599</v>
      </c>
      <c r="M171" s="4">
        <v>16.737369730752299</v>
      </c>
      <c r="N171" s="4">
        <v>66.022735955514094</v>
      </c>
      <c r="O171" s="4">
        <v>63.9227693556536</v>
      </c>
      <c r="P171" s="4">
        <v>283196.92229478701</v>
      </c>
      <c r="Q171" s="4">
        <v>263294.751656815</v>
      </c>
      <c r="R171" s="4">
        <v>785.17276113447201</v>
      </c>
      <c r="S171" s="4">
        <v>0</v>
      </c>
      <c r="T171" s="4">
        <v>0</v>
      </c>
      <c r="U171" s="4">
        <v>1.30576335950916E-2</v>
      </c>
      <c r="V171" s="4">
        <v>1</v>
      </c>
      <c r="W171" s="4">
        <v>0</v>
      </c>
      <c r="X171" s="4">
        <v>0.81652762850287897</v>
      </c>
      <c r="Y171" s="4">
        <v>0</v>
      </c>
      <c r="Z171" s="5">
        <v>3.75202646711806E-4</v>
      </c>
      <c r="AA171" s="5">
        <v>7.7359798298001694E-5</v>
      </c>
      <c r="AB171" s="10">
        <v>2.9434733126664902E-3</v>
      </c>
      <c r="AC171" s="10">
        <v>1.12863420518326E-6</v>
      </c>
      <c r="AD171" s="10">
        <v>1.8569276635107199E-2</v>
      </c>
      <c r="AE171" s="4">
        <v>-9.1006882698451796E-4</v>
      </c>
      <c r="AF171" s="4">
        <v>0.89429181736202801</v>
      </c>
      <c r="AG171" s="4">
        <v>0.98460410631426498</v>
      </c>
      <c r="AH171" s="4">
        <v>0.99873488027346402</v>
      </c>
      <c r="AI171" s="4">
        <v>0.99963313774444895</v>
      </c>
      <c r="AJ171" s="4">
        <v>1</v>
      </c>
      <c r="AK171" s="4">
        <v>1</v>
      </c>
      <c r="AL171" s="4">
        <v>1</v>
      </c>
      <c r="AM171" s="4">
        <v>0</v>
      </c>
      <c r="AN171" s="4">
        <v>0</v>
      </c>
      <c r="AO171" s="4" t="s">
        <v>153</v>
      </c>
      <c r="AP171" s="4" t="s">
        <v>137</v>
      </c>
      <c r="AQ171" s="6">
        <v>7572357057.6499996</v>
      </c>
      <c r="AR171" s="4">
        <v>28760</v>
      </c>
      <c r="AS171" s="35">
        <v>0</v>
      </c>
      <c r="AT171" s="35">
        <v>0</v>
      </c>
      <c r="AU171" s="35">
        <v>0</v>
      </c>
      <c r="AV171" s="35">
        <v>100</v>
      </c>
      <c r="AW171" s="35">
        <v>0</v>
      </c>
      <c r="AX171" s="35">
        <v>100</v>
      </c>
    </row>
    <row r="172" spans="1:50" x14ac:dyDescent="0.25">
      <c r="A172">
        <v>96</v>
      </c>
      <c r="B172" s="4">
        <v>0.97628208208389999</v>
      </c>
      <c r="C172" s="4">
        <v>16.263458105646599</v>
      </c>
      <c r="D172" s="4">
        <v>25.027183856952501</v>
      </c>
      <c r="E172" s="4">
        <v>1.46823739871639E-2</v>
      </c>
      <c r="F172" s="5">
        <v>2.3717917916099601E-2</v>
      </c>
      <c r="G172" s="5">
        <v>0</v>
      </c>
      <c r="H172" s="4">
        <v>4.3087805213832597</v>
      </c>
      <c r="I172" s="4">
        <v>4.0199887514042798</v>
      </c>
      <c r="J172" s="4">
        <v>-21.226951719953099</v>
      </c>
      <c r="K172" s="4">
        <v>32.521652477581597</v>
      </c>
      <c r="L172" s="4">
        <v>14.8980784826489</v>
      </c>
      <c r="M172" s="4">
        <v>16.9725859569484</v>
      </c>
      <c r="N172" s="4">
        <v>66.044916276151199</v>
      </c>
      <c r="O172" s="4">
        <v>63.842349609159903</v>
      </c>
      <c r="P172" s="4">
        <v>287335.49355663703</v>
      </c>
      <c r="Q172" s="4">
        <v>267920.730777452</v>
      </c>
      <c r="R172" s="4">
        <v>785.05991888534595</v>
      </c>
      <c r="S172" s="4">
        <v>0</v>
      </c>
      <c r="T172" s="4">
        <v>0</v>
      </c>
      <c r="U172" s="4">
        <v>1.3330873979919999E-2</v>
      </c>
      <c r="V172" s="4">
        <v>1</v>
      </c>
      <c r="W172" s="4">
        <v>0</v>
      </c>
      <c r="X172" s="4">
        <v>0.82544827365370399</v>
      </c>
      <c r="Y172" s="4">
        <v>0</v>
      </c>
      <c r="Z172" s="5">
        <v>3.74529076326925E-4</v>
      </c>
      <c r="AA172" s="5">
        <v>7.8322130109758999E-5</v>
      </c>
      <c r="AB172" s="10">
        <v>3.00322721701086E-3</v>
      </c>
      <c r="AC172" s="10">
        <v>1.6022144580242701E-6</v>
      </c>
      <c r="AD172" s="10">
        <v>2.02602228885621E-2</v>
      </c>
      <c r="AE172" s="4">
        <v>1.15171060463304E-3</v>
      </c>
      <c r="AF172" s="4">
        <v>0.88101997673478005</v>
      </c>
      <c r="AG172" s="4">
        <v>0.98120096681297897</v>
      </c>
      <c r="AH172" s="4">
        <v>0.99839442206238804</v>
      </c>
      <c r="AI172" s="4">
        <v>0.99955372707787404</v>
      </c>
      <c r="AJ172" s="4">
        <v>1</v>
      </c>
      <c r="AK172" s="4">
        <v>1</v>
      </c>
      <c r="AL172" s="4">
        <v>1</v>
      </c>
      <c r="AM172" s="4">
        <v>0</v>
      </c>
      <c r="AN172" s="4">
        <v>0</v>
      </c>
      <c r="AO172" s="4" t="s">
        <v>154</v>
      </c>
      <c r="AP172" s="4" t="s">
        <v>138</v>
      </c>
      <c r="AQ172" s="6">
        <v>8146665660.75</v>
      </c>
      <c r="AR172" s="4">
        <v>30407</v>
      </c>
      <c r="AS172" s="35">
        <v>0</v>
      </c>
      <c r="AT172" s="35">
        <v>0</v>
      </c>
      <c r="AU172" s="35">
        <v>0</v>
      </c>
      <c r="AV172" s="35">
        <v>100</v>
      </c>
      <c r="AW172" s="35">
        <v>0</v>
      </c>
      <c r="AX172" s="35">
        <v>100</v>
      </c>
    </row>
    <row r="173" spans="1:50" x14ac:dyDescent="0.25">
      <c r="A173">
        <v>96</v>
      </c>
      <c r="B173" s="4">
        <v>0.97471722144515305</v>
      </c>
      <c r="C173" s="4">
        <v>17.513986888302401</v>
      </c>
      <c r="D173" s="4">
        <v>26.456605457948498</v>
      </c>
      <c r="E173" s="4">
        <v>1.5917083182671599E-2</v>
      </c>
      <c r="F173" s="5">
        <v>2.52827785548469E-2</v>
      </c>
      <c r="G173" s="5">
        <v>0</v>
      </c>
      <c r="H173" s="4">
        <v>4.3258871759904904</v>
      </c>
      <c r="I173" s="4">
        <v>3.99106023583612</v>
      </c>
      <c r="J173" s="4">
        <v>-19.5598768767995</v>
      </c>
      <c r="K173" s="4">
        <v>37.529892332128099</v>
      </c>
      <c r="L173" s="4">
        <v>14.990931322929599</v>
      </c>
      <c r="M173" s="4">
        <v>17.170812210330901</v>
      </c>
      <c r="N173" s="4">
        <v>65.270536838091502</v>
      </c>
      <c r="O173" s="4">
        <v>62.800060820536899</v>
      </c>
      <c r="P173" s="4">
        <v>286223.97079592099</v>
      </c>
      <c r="Q173" s="4">
        <v>266293.99897385202</v>
      </c>
      <c r="R173" s="4">
        <v>785.05803949870904</v>
      </c>
      <c r="S173" s="4">
        <v>0</v>
      </c>
      <c r="T173" s="4">
        <v>0</v>
      </c>
      <c r="U173" s="4">
        <v>1.3305182233503901E-2</v>
      </c>
      <c r="V173" s="4">
        <v>1</v>
      </c>
      <c r="W173" s="4">
        <v>0</v>
      </c>
      <c r="X173" s="4">
        <v>0.829734935880175</v>
      </c>
      <c r="Y173" s="4">
        <v>0</v>
      </c>
      <c r="Z173" s="5">
        <v>3.7428709907746401E-4</v>
      </c>
      <c r="AA173" s="5">
        <v>8.2459187465381303E-5</v>
      </c>
      <c r="AB173" s="10">
        <v>3.08539032964331E-3</v>
      </c>
      <c r="AC173" s="10">
        <v>2.1624778804226401E-6</v>
      </c>
      <c r="AD173" s="10">
        <v>2.1738465162918701E-2</v>
      </c>
      <c r="AE173" s="4">
        <v>5.5674210872549796E-3</v>
      </c>
      <c r="AF173" s="4">
        <v>0.85650391718741903</v>
      </c>
      <c r="AG173" s="4">
        <v>0.97977517276523995</v>
      </c>
      <c r="AH173" s="4">
        <v>0.99769103480226196</v>
      </c>
      <c r="AI173" s="4">
        <v>0.99940928568355503</v>
      </c>
      <c r="AJ173" s="4">
        <v>1</v>
      </c>
      <c r="AK173" s="4">
        <v>1</v>
      </c>
      <c r="AL173" s="4">
        <v>1</v>
      </c>
      <c r="AM173" s="4">
        <v>0</v>
      </c>
      <c r="AN173" s="4">
        <v>0</v>
      </c>
      <c r="AO173" s="4" t="s">
        <v>155</v>
      </c>
      <c r="AP173" s="4" t="s">
        <v>139</v>
      </c>
      <c r="AQ173" s="6">
        <v>8493713391.2700005</v>
      </c>
      <c r="AR173" s="4">
        <v>31896</v>
      </c>
      <c r="AS173" s="35">
        <v>0</v>
      </c>
      <c r="AT173" s="35">
        <v>0</v>
      </c>
      <c r="AU173" s="35">
        <v>0</v>
      </c>
      <c r="AV173" s="35">
        <v>100</v>
      </c>
      <c r="AW173" s="35">
        <v>0</v>
      </c>
      <c r="AX173" s="35">
        <v>100</v>
      </c>
    </row>
    <row r="174" spans="1:50" x14ac:dyDescent="0.25">
      <c r="A174">
        <v>96</v>
      </c>
      <c r="B174" s="4">
        <v>0.97333939636248201</v>
      </c>
      <c r="C174" s="4">
        <v>19.218846128225099</v>
      </c>
      <c r="D174" s="4">
        <v>27.694451657918599</v>
      </c>
      <c r="E174" s="4">
        <v>1.76283117670561E-2</v>
      </c>
      <c r="F174" s="5">
        <v>2.6660603637517499E-2</v>
      </c>
      <c r="G174" s="5">
        <v>0</v>
      </c>
      <c r="H174" s="4">
        <v>4.3654815738471404</v>
      </c>
      <c r="I174" s="4">
        <v>3.9736513520407102</v>
      </c>
      <c r="J174" s="4">
        <v>-16.4081904736056</v>
      </c>
      <c r="K174" s="4">
        <v>42.500046610637099</v>
      </c>
      <c r="L174" s="4">
        <v>15.2841666859072</v>
      </c>
      <c r="M174" s="4">
        <v>17.4184376770746</v>
      </c>
      <c r="N174" s="4">
        <v>66.322928107446501</v>
      </c>
      <c r="O174" s="4">
        <v>63.759714699937199</v>
      </c>
      <c r="P174" s="4">
        <v>280926.36932444898</v>
      </c>
      <c r="Q174" s="4">
        <v>261151.58878201601</v>
      </c>
      <c r="R174" s="4">
        <v>785.23482721366702</v>
      </c>
      <c r="S174" s="4">
        <v>0</v>
      </c>
      <c r="T174" s="4">
        <v>0</v>
      </c>
      <c r="U174" s="4">
        <v>1.18107025902117E-2</v>
      </c>
      <c r="V174" s="4">
        <v>1</v>
      </c>
      <c r="W174" s="4">
        <v>0</v>
      </c>
      <c r="X174" s="4">
        <v>0.83446487665467395</v>
      </c>
      <c r="Y174" s="4">
        <v>0</v>
      </c>
      <c r="Z174" s="5">
        <v>3.7547104198952898E-4</v>
      </c>
      <c r="AA174" s="5">
        <v>8.9142530869624906E-5</v>
      </c>
      <c r="AB174" s="10">
        <v>3.1376825079052098E-3</v>
      </c>
      <c r="AC174" s="10">
        <v>2.8030372101229699E-6</v>
      </c>
      <c r="AD174" s="10">
        <v>2.30554901793514E-2</v>
      </c>
      <c r="AE174" s="4">
        <v>6.5024193056143703E-3</v>
      </c>
      <c r="AF174" s="4">
        <v>0.844605553466383</v>
      </c>
      <c r="AG174" s="4">
        <v>0.97721041382343499</v>
      </c>
      <c r="AH174" s="4">
        <v>0.997321748157042</v>
      </c>
      <c r="AI174" s="4">
        <v>0.99922105701306596</v>
      </c>
      <c r="AJ174" s="4">
        <v>1</v>
      </c>
      <c r="AK174" s="4">
        <v>1</v>
      </c>
      <c r="AL174" s="4">
        <v>1</v>
      </c>
      <c r="AM174" s="4">
        <v>0</v>
      </c>
      <c r="AN174" s="4">
        <v>0</v>
      </c>
      <c r="AO174" s="4" t="s">
        <v>156</v>
      </c>
      <c r="AP174" s="4" t="s">
        <v>140</v>
      </c>
      <c r="AQ174" s="6">
        <v>9043940671.1100006</v>
      </c>
      <c r="AR174" s="4">
        <v>34631</v>
      </c>
      <c r="AS174" s="35">
        <v>0</v>
      </c>
      <c r="AT174" s="35">
        <v>0</v>
      </c>
      <c r="AU174" s="35">
        <v>0</v>
      </c>
      <c r="AV174" s="35">
        <v>100</v>
      </c>
      <c r="AW174" s="35">
        <v>0</v>
      </c>
      <c r="AX174" s="35">
        <v>100</v>
      </c>
    </row>
    <row r="175" spans="1:50" x14ac:dyDescent="0.25">
      <c r="A175">
        <v>96</v>
      </c>
      <c r="B175" s="4">
        <v>0.97170261125573199</v>
      </c>
      <c r="C175" s="4">
        <v>19.9951377348028</v>
      </c>
      <c r="D175" s="4">
        <v>29.140115888275702</v>
      </c>
      <c r="E175" s="4">
        <v>1.8418498717442899E-2</v>
      </c>
      <c r="F175" s="5">
        <v>2.8297388744267699E-2</v>
      </c>
      <c r="G175" s="5">
        <v>0</v>
      </c>
      <c r="H175" s="4">
        <v>4.40010609188682</v>
      </c>
      <c r="I175" s="4">
        <v>3.9597193573826099</v>
      </c>
      <c r="J175" s="4">
        <v>-14.6990289332304</v>
      </c>
      <c r="K175" s="4">
        <v>47.5599904408217</v>
      </c>
      <c r="L175" s="4">
        <v>15.2798363216202</v>
      </c>
      <c r="M175" s="4">
        <v>17.668053621558698</v>
      </c>
      <c r="N175" s="4">
        <v>66.065920692440002</v>
      </c>
      <c r="O175" s="4">
        <v>63.424926157989901</v>
      </c>
      <c r="P175" s="4">
        <v>280267.00727472798</v>
      </c>
      <c r="Q175" s="4">
        <v>261242.303871985</v>
      </c>
      <c r="R175" s="4">
        <v>785.02796113675299</v>
      </c>
      <c r="S175" s="4">
        <v>0</v>
      </c>
      <c r="T175" s="4">
        <v>0</v>
      </c>
      <c r="U175" s="4">
        <v>9.5124564068815708E-3</v>
      </c>
      <c r="V175" s="4">
        <v>1</v>
      </c>
      <c r="W175" s="4">
        <v>0</v>
      </c>
      <c r="X175" s="4">
        <v>0.83046581639066297</v>
      </c>
      <c r="Y175" s="4">
        <v>0</v>
      </c>
      <c r="Z175" s="5">
        <v>3.7637476171108902E-4</v>
      </c>
      <c r="AA175" s="5">
        <v>9.4115878781523505E-5</v>
      </c>
      <c r="AB175" s="10">
        <v>3.18614981290514E-3</v>
      </c>
      <c r="AC175" s="10">
        <v>2.7886195417078302E-6</v>
      </c>
      <c r="AD175" s="10">
        <v>2.4637945384474402E-2</v>
      </c>
      <c r="AE175" s="4">
        <v>7.8890725518511295E-3</v>
      </c>
      <c r="AF175" s="4">
        <v>0.83736319682408</v>
      </c>
      <c r="AG175" s="4">
        <v>0.97822909957108894</v>
      </c>
      <c r="AH175" s="4">
        <v>0.99747966200145499</v>
      </c>
      <c r="AI175" s="4">
        <v>0.99955369708117903</v>
      </c>
      <c r="AJ175" s="4">
        <v>1</v>
      </c>
      <c r="AK175" s="4">
        <v>1</v>
      </c>
      <c r="AL175" s="4">
        <v>1</v>
      </c>
      <c r="AM175" s="4">
        <v>0</v>
      </c>
      <c r="AN175" s="4">
        <v>0</v>
      </c>
      <c r="AO175" s="4" t="s">
        <v>71</v>
      </c>
      <c r="AP175" s="4" t="s">
        <v>72</v>
      </c>
      <c r="AQ175" s="6">
        <v>9848573613.6700001</v>
      </c>
      <c r="AR175" s="4">
        <v>37699</v>
      </c>
      <c r="AS175" s="35">
        <v>0</v>
      </c>
      <c r="AT175" s="35">
        <v>0</v>
      </c>
      <c r="AU175" s="35">
        <v>0</v>
      </c>
      <c r="AV175" s="35">
        <v>100</v>
      </c>
      <c r="AW175" s="35">
        <v>0</v>
      </c>
      <c r="AX175" s="35">
        <v>100</v>
      </c>
    </row>
    <row r="176" spans="1:50" x14ac:dyDescent="0.25">
      <c r="A176">
        <v>96</v>
      </c>
      <c r="B176" s="4">
        <v>0.97026771917419796</v>
      </c>
      <c r="C176" s="4">
        <v>22.230135510407401</v>
      </c>
      <c r="D176" s="4">
        <v>30.3856148630605</v>
      </c>
      <c r="E176" s="4">
        <v>2.0733393288809202E-2</v>
      </c>
      <c r="F176" s="5">
        <v>2.9732280825801399E-2</v>
      </c>
      <c r="G176" s="5">
        <v>0</v>
      </c>
      <c r="H176" s="4">
        <v>4.4427950980569397</v>
      </c>
      <c r="I176" s="4">
        <v>3.9469138229288698</v>
      </c>
      <c r="J176" s="4">
        <v>-11.985927273222799</v>
      </c>
      <c r="K176" s="4">
        <v>52.556852645500399</v>
      </c>
      <c r="L176" s="4">
        <v>15.4293580313178</v>
      </c>
      <c r="M176" s="4">
        <v>17.937635460294999</v>
      </c>
      <c r="N176" s="4">
        <v>67.1498762094715</v>
      </c>
      <c r="O176" s="4">
        <v>64.363522979964301</v>
      </c>
      <c r="P176" s="4">
        <v>277459.69369587902</v>
      </c>
      <c r="Q176" s="4">
        <v>258732.078135597</v>
      </c>
      <c r="R176" s="4">
        <v>784.95226986127898</v>
      </c>
      <c r="S176" s="4">
        <v>0</v>
      </c>
      <c r="T176" s="4">
        <v>0</v>
      </c>
      <c r="U176" s="4">
        <v>8.2439718311150701E-3</v>
      </c>
      <c r="V176" s="4">
        <v>1</v>
      </c>
      <c r="W176" s="4">
        <v>0</v>
      </c>
      <c r="X176" s="4">
        <v>0.82412387656153696</v>
      </c>
      <c r="Y176" s="4">
        <v>0</v>
      </c>
      <c r="Z176" s="5">
        <v>3.7687453361792201E-4</v>
      </c>
      <c r="AA176" s="5">
        <v>1.01625060204158E-4</v>
      </c>
      <c r="AB176" s="10">
        <v>3.2309206986318598E-3</v>
      </c>
      <c r="AC176" s="10">
        <v>3.1540426890131002E-6</v>
      </c>
      <c r="AD176" s="10">
        <v>2.6019692123279099E-2</v>
      </c>
      <c r="AE176" s="4">
        <v>8.5764762315440994E-3</v>
      </c>
      <c r="AF176" s="4">
        <v>0.82637097592364295</v>
      </c>
      <c r="AG176" s="4">
        <v>0.97926050008959997</v>
      </c>
      <c r="AH176" s="4">
        <v>0.99730770386114598</v>
      </c>
      <c r="AI176" s="4">
        <v>0.99935835102451698</v>
      </c>
      <c r="AJ176" s="4">
        <v>1</v>
      </c>
      <c r="AK176" s="4">
        <v>1</v>
      </c>
      <c r="AL176" s="4">
        <v>1</v>
      </c>
      <c r="AM176" s="4">
        <v>0</v>
      </c>
      <c r="AN176" s="4">
        <v>0</v>
      </c>
      <c r="AO176" s="4" t="s">
        <v>157</v>
      </c>
      <c r="AP176" s="4" t="s">
        <v>141</v>
      </c>
      <c r="AQ176" s="6">
        <v>10193008950.23</v>
      </c>
      <c r="AR176" s="4">
        <v>39396</v>
      </c>
      <c r="AS176" s="35">
        <v>0</v>
      </c>
      <c r="AT176" s="35">
        <v>0</v>
      </c>
      <c r="AU176" s="35">
        <v>0</v>
      </c>
      <c r="AV176" s="35">
        <v>100</v>
      </c>
      <c r="AW176" s="35">
        <v>0</v>
      </c>
      <c r="AX176" s="35">
        <v>100</v>
      </c>
    </row>
    <row r="177" spans="1:50" x14ac:dyDescent="0.25">
      <c r="A177">
        <v>96</v>
      </c>
      <c r="B177" s="4">
        <v>0.968780503341514</v>
      </c>
      <c r="C177" s="4">
        <v>23.198296364425701</v>
      </c>
      <c r="D177" s="4">
        <v>31.655325287034302</v>
      </c>
      <c r="E177" s="4">
        <v>2.17551479150901E-2</v>
      </c>
      <c r="F177" s="5">
        <v>3.1219496658485401E-2</v>
      </c>
      <c r="G177" s="5">
        <v>0</v>
      </c>
      <c r="H177" s="4">
        <v>4.4725273473857001</v>
      </c>
      <c r="I177" s="4">
        <v>3.9296360371183701</v>
      </c>
      <c r="J177" s="4">
        <v>-11.0432856049677</v>
      </c>
      <c r="K177" s="4">
        <v>57.503638390357402</v>
      </c>
      <c r="L177" s="4">
        <v>15.4357937379001</v>
      </c>
      <c r="M177" s="4">
        <v>18.041259555694701</v>
      </c>
      <c r="N177" s="4">
        <v>67.2242530557685</v>
      </c>
      <c r="O177" s="4">
        <v>64.266259029600803</v>
      </c>
      <c r="P177" s="4">
        <v>277303.156389296</v>
      </c>
      <c r="Q177" s="4">
        <v>258608.50465877101</v>
      </c>
      <c r="R177" s="4">
        <v>784.77369334700495</v>
      </c>
      <c r="S177" s="4">
        <v>0</v>
      </c>
      <c r="T177" s="4">
        <v>0</v>
      </c>
      <c r="U177" s="4">
        <v>8.2406439806904496E-3</v>
      </c>
      <c r="V177" s="4">
        <v>1</v>
      </c>
      <c r="W177" s="4">
        <v>0</v>
      </c>
      <c r="X177" s="4">
        <v>0.81423256411217104</v>
      </c>
      <c r="Y177" s="4">
        <v>0</v>
      </c>
      <c r="Z177" s="5">
        <v>3.7753339527346001E-4</v>
      </c>
      <c r="AA177" s="5">
        <v>1.07828434541E-4</v>
      </c>
      <c r="AB177" s="10">
        <v>3.2670686810555901E-3</v>
      </c>
      <c r="AC177" s="10">
        <v>3.7963638348443399E-6</v>
      </c>
      <c r="AD177" s="10">
        <v>2.7463255421527801E-2</v>
      </c>
      <c r="AE177" s="4">
        <v>1.1980402927872801E-2</v>
      </c>
      <c r="AF177" s="4">
        <v>0.80674776704296303</v>
      </c>
      <c r="AG177" s="4">
        <v>0.97553152444943703</v>
      </c>
      <c r="AH177" s="4">
        <v>0.997217352103273</v>
      </c>
      <c r="AI177" s="4">
        <v>0.99941202724747502</v>
      </c>
      <c r="AJ177" s="4">
        <v>1</v>
      </c>
      <c r="AK177" s="4">
        <v>1</v>
      </c>
      <c r="AL177" s="4">
        <v>1</v>
      </c>
      <c r="AM177" s="4">
        <v>0</v>
      </c>
      <c r="AN177" s="4">
        <v>0</v>
      </c>
      <c r="AO177" s="4" t="s">
        <v>158</v>
      </c>
      <c r="AP177" s="4" t="s">
        <v>142</v>
      </c>
      <c r="AQ177" s="6">
        <v>10394251627.75</v>
      </c>
      <c r="AR177" s="4">
        <v>40193</v>
      </c>
      <c r="AS177" s="35">
        <v>0</v>
      </c>
      <c r="AT177" s="35">
        <v>0</v>
      </c>
      <c r="AU177" s="35">
        <v>0</v>
      </c>
      <c r="AV177" s="35">
        <v>100</v>
      </c>
      <c r="AW177" s="35">
        <v>0</v>
      </c>
      <c r="AX177" s="35">
        <v>100</v>
      </c>
    </row>
    <row r="178" spans="1:50" x14ac:dyDescent="0.25">
      <c r="A178">
        <v>96</v>
      </c>
      <c r="B178" s="4">
        <v>0.96730860295572596</v>
      </c>
      <c r="C178" s="4">
        <v>26.051910026550299</v>
      </c>
      <c r="D178" s="4">
        <v>32.891025351853898</v>
      </c>
      <c r="E178" s="4">
        <v>2.4836928174829399E-2</v>
      </c>
      <c r="F178" s="5">
        <v>3.2691397044273401E-2</v>
      </c>
      <c r="G178" s="5">
        <v>0</v>
      </c>
      <c r="H178" s="4">
        <v>4.5069519168714303</v>
      </c>
      <c r="I178" s="4">
        <v>3.9160147071068998</v>
      </c>
      <c r="J178" s="4">
        <v>-9.5140961556121599</v>
      </c>
      <c r="K178" s="4">
        <v>62.498118249727199</v>
      </c>
      <c r="L178" s="4">
        <v>15.5257161165342</v>
      </c>
      <c r="M178" s="4">
        <v>18.105261787165599</v>
      </c>
      <c r="N178" s="4">
        <v>67.299390484308006</v>
      </c>
      <c r="O178" s="4">
        <v>64.161380577566007</v>
      </c>
      <c r="P178" s="4">
        <v>276146.15538428398</v>
      </c>
      <c r="Q178" s="4">
        <v>257142.16144846199</v>
      </c>
      <c r="R178" s="4">
        <v>784.434938780994</v>
      </c>
      <c r="S178" s="4">
        <v>0</v>
      </c>
      <c r="T178" s="4">
        <v>0</v>
      </c>
      <c r="U178" s="4">
        <v>8.5881078950394499E-3</v>
      </c>
      <c r="V178" s="4">
        <v>1</v>
      </c>
      <c r="W178" s="4">
        <v>0</v>
      </c>
      <c r="X178" s="4">
        <v>0.807787428288262</v>
      </c>
      <c r="Y178" s="4">
        <v>0</v>
      </c>
      <c r="Z178" s="5">
        <v>3.7669519215487499E-4</v>
      </c>
      <c r="AA178" s="5">
        <v>1.1544911098131301E-4</v>
      </c>
      <c r="AB178" s="10">
        <v>3.31182718242855E-3</v>
      </c>
      <c r="AC178" s="10">
        <v>4.9395627897146304E-6</v>
      </c>
      <c r="AD178" s="10">
        <v>2.8882471554271601E-2</v>
      </c>
      <c r="AE178" s="4">
        <v>1.46353771445638E-2</v>
      </c>
      <c r="AF178" s="4">
        <v>0.787102579826224</v>
      </c>
      <c r="AG178" s="4">
        <v>0.97613553066700998</v>
      </c>
      <c r="AH178" s="4">
        <v>0.99651135371305899</v>
      </c>
      <c r="AI178" s="4">
        <v>0.99927307881014305</v>
      </c>
      <c r="AJ178" s="4">
        <v>1</v>
      </c>
      <c r="AK178" s="4">
        <v>1</v>
      </c>
      <c r="AL178" s="4">
        <v>1</v>
      </c>
      <c r="AM178" s="4">
        <v>0</v>
      </c>
      <c r="AN178" s="4">
        <v>0</v>
      </c>
      <c r="AO178" s="4" t="s">
        <v>159</v>
      </c>
      <c r="AP178" s="4" t="s">
        <v>143</v>
      </c>
      <c r="AQ178" s="6">
        <v>11043998692.049999</v>
      </c>
      <c r="AR178" s="4">
        <v>42949</v>
      </c>
      <c r="AS178" s="35">
        <v>0</v>
      </c>
      <c r="AT178" s="35">
        <v>0</v>
      </c>
      <c r="AU178" s="35">
        <v>0</v>
      </c>
      <c r="AV178" s="35">
        <v>100</v>
      </c>
      <c r="AW178" s="35">
        <v>0</v>
      </c>
      <c r="AX178" s="35">
        <v>100</v>
      </c>
    </row>
    <row r="179" spans="1:50" x14ac:dyDescent="0.25">
      <c r="A179">
        <v>96</v>
      </c>
      <c r="B179" s="4">
        <v>0.96615564268899201</v>
      </c>
      <c r="C179" s="4">
        <v>27.7216854480492</v>
      </c>
      <c r="D179" s="4">
        <v>33.844624961726304</v>
      </c>
      <c r="E179" s="4">
        <v>2.6691159496877399E-2</v>
      </c>
      <c r="F179" s="5">
        <v>3.3844357311007198E-2</v>
      </c>
      <c r="G179" s="5">
        <v>0</v>
      </c>
      <c r="H179" s="4">
        <v>4.5524956940363497</v>
      </c>
      <c r="I179" s="4">
        <v>3.9140480427089201</v>
      </c>
      <c r="J179" s="4">
        <v>-7.6167625438644198</v>
      </c>
      <c r="K179" s="4">
        <v>67.486941816233099</v>
      </c>
      <c r="L179" s="4">
        <v>15.6974332534858</v>
      </c>
      <c r="M179" s="4">
        <v>18.038166775636402</v>
      </c>
      <c r="N179" s="4">
        <v>67.459401035678198</v>
      </c>
      <c r="O179" s="4">
        <v>64.282811555883001</v>
      </c>
      <c r="P179" s="4">
        <v>273215.97273744899</v>
      </c>
      <c r="Q179" s="4">
        <v>254335.23667848099</v>
      </c>
      <c r="R179" s="4">
        <v>784.37315681605298</v>
      </c>
      <c r="S179" s="4">
        <v>0</v>
      </c>
      <c r="T179" s="4">
        <v>0</v>
      </c>
      <c r="U179" s="4">
        <v>1.0453235618407599E-2</v>
      </c>
      <c r="V179" s="4">
        <v>1</v>
      </c>
      <c r="W179" s="4">
        <v>0</v>
      </c>
      <c r="X179" s="4">
        <v>0.80210314483160805</v>
      </c>
      <c r="Y179" s="4">
        <v>0</v>
      </c>
      <c r="Z179" s="5">
        <v>3.7787427240982998E-4</v>
      </c>
      <c r="AA179" s="5">
        <v>1.2079921763130099E-4</v>
      </c>
      <c r="AB179" s="10">
        <v>3.32093089827232E-3</v>
      </c>
      <c r="AC179" s="10">
        <v>5.3821558200169696E-6</v>
      </c>
      <c r="AD179" s="10">
        <v>3.0019356322918699E-2</v>
      </c>
      <c r="AE179" s="4">
        <v>1.53033696141146E-2</v>
      </c>
      <c r="AF179" s="4">
        <v>0.77638876639947296</v>
      </c>
      <c r="AG179" s="4">
        <v>0.97303603038335895</v>
      </c>
      <c r="AH179" s="4">
        <v>0.99657813529541495</v>
      </c>
      <c r="AI179" s="4">
        <v>0.99912129242495396</v>
      </c>
      <c r="AJ179" s="4">
        <v>1</v>
      </c>
      <c r="AK179" s="4">
        <v>1</v>
      </c>
      <c r="AL179" s="4">
        <v>1</v>
      </c>
      <c r="AM179" s="4">
        <v>0</v>
      </c>
      <c r="AN179" s="4">
        <v>0</v>
      </c>
      <c r="AO179" s="4" t="s">
        <v>160</v>
      </c>
      <c r="AP179" s="4" t="s">
        <v>144</v>
      </c>
      <c r="AQ179" s="6">
        <v>11409224382.16</v>
      </c>
      <c r="AR179" s="4">
        <v>44859</v>
      </c>
      <c r="AS179" s="35">
        <v>0</v>
      </c>
      <c r="AT179" s="35">
        <v>0</v>
      </c>
      <c r="AU179" s="35">
        <v>0</v>
      </c>
      <c r="AV179" s="35">
        <v>100</v>
      </c>
      <c r="AW179" s="35">
        <v>0</v>
      </c>
      <c r="AX179" s="35">
        <v>100</v>
      </c>
    </row>
    <row r="180" spans="1:50" x14ac:dyDescent="0.25">
      <c r="A180">
        <v>96</v>
      </c>
      <c r="B180" s="4">
        <v>0.96457886204613597</v>
      </c>
      <c r="C180" s="4">
        <v>28.206016589357102</v>
      </c>
      <c r="D180" s="4">
        <v>35.1286574801141</v>
      </c>
      <c r="E180" s="4">
        <v>2.7236341241245399E-2</v>
      </c>
      <c r="F180" s="5">
        <v>3.5421137953863299E-2</v>
      </c>
      <c r="G180" s="5">
        <v>0</v>
      </c>
      <c r="H180" s="4">
        <v>4.5874248737592396</v>
      </c>
      <c r="I180" s="4">
        <v>3.90831133834237</v>
      </c>
      <c r="J180" s="4">
        <v>-6.2328008043788401</v>
      </c>
      <c r="K180" s="4">
        <v>72.520422224818901</v>
      </c>
      <c r="L180" s="4">
        <v>15.4731539395778</v>
      </c>
      <c r="M180" s="4">
        <v>17.908908792246599</v>
      </c>
      <c r="N180" s="4">
        <v>66.996625564220594</v>
      </c>
      <c r="O180" s="4">
        <v>63.736894004086601</v>
      </c>
      <c r="P180" s="4">
        <v>277199.18539608602</v>
      </c>
      <c r="Q180" s="4">
        <v>258027.453116736</v>
      </c>
      <c r="R180" s="4">
        <v>784.12022789956995</v>
      </c>
      <c r="S180" s="4">
        <v>0</v>
      </c>
      <c r="T180" s="4">
        <v>0</v>
      </c>
      <c r="U180" s="4">
        <v>1.12468329895659E-2</v>
      </c>
      <c r="V180" s="4">
        <v>1</v>
      </c>
      <c r="W180" s="4">
        <v>0</v>
      </c>
      <c r="X180" s="4">
        <v>0.80134045249476504</v>
      </c>
      <c r="Y180" s="4">
        <v>0</v>
      </c>
      <c r="Z180" s="5">
        <v>3.7726433794969398E-4</v>
      </c>
      <c r="AA180" s="5">
        <v>1.27217658305949E-4</v>
      </c>
      <c r="AB180" s="10">
        <v>3.30899291816413E-3</v>
      </c>
      <c r="AC180" s="10">
        <v>7.2848894388049502E-6</v>
      </c>
      <c r="AD180" s="10">
        <v>3.16003636580139E-2</v>
      </c>
      <c r="AE180" s="4">
        <v>1.7869904263578502E-2</v>
      </c>
      <c r="AF180" s="4">
        <v>0.75463347803042002</v>
      </c>
      <c r="AG180" s="4">
        <v>0.96939890360274095</v>
      </c>
      <c r="AH180" s="4">
        <v>0.99572221584519305</v>
      </c>
      <c r="AI180" s="4">
        <v>0.99892143700799496</v>
      </c>
      <c r="AJ180" s="4">
        <v>1</v>
      </c>
      <c r="AK180" s="4">
        <v>1</v>
      </c>
      <c r="AL180" s="4">
        <v>1</v>
      </c>
      <c r="AM180" s="4">
        <v>0</v>
      </c>
      <c r="AN180" s="4">
        <v>0</v>
      </c>
      <c r="AO180" s="4" t="s">
        <v>73</v>
      </c>
      <c r="AP180" s="4" t="s">
        <v>74</v>
      </c>
      <c r="AQ180" s="6">
        <v>12099423331.549999</v>
      </c>
      <c r="AR180" s="4">
        <v>46892</v>
      </c>
      <c r="AS180" s="35">
        <v>0</v>
      </c>
      <c r="AT180" s="35">
        <v>0</v>
      </c>
      <c r="AU180" s="35">
        <v>0</v>
      </c>
      <c r="AV180" s="35">
        <v>100</v>
      </c>
      <c r="AW180" s="35">
        <v>0</v>
      </c>
      <c r="AX180" s="35">
        <v>100</v>
      </c>
    </row>
    <row r="181" spans="1:50" x14ac:dyDescent="0.25">
      <c r="A181">
        <v>96</v>
      </c>
      <c r="B181" s="4">
        <v>0.96120712865680802</v>
      </c>
      <c r="C181" s="4">
        <v>31.348324507307801</v>
      </c>
      <c r="D181" s="4">
        <v>37.798079144837402</v>
      </c>
      <c r="E181" s="4">
        <v>3.0857598433368199E-2</v>
      </c>
      <c r="F181" s="5">
        <v>3.8792871343191801E-2</v>
      </c>
      <c r="G181" s="5">
        <v>0</v>
      </c>
      <c r="H181" s="4">
        <v>4.6887188793160304</v>
      </c>
      <c r="I181" s="4">
        <v>3.8814174021809902</v>
      </c>
      <c r="J181" s="4">
        <v>-1.7698531541717299</v>
      </c>
      <c r="K181" s="4">
        <v>86.348471629290103</v>
      </c>
      <c r="L181" s="4">
        <v>15.323140314847899</v>
      </c>
      <c r="M181" s="4">
        <v>17.835483559498499</v>
      </c>
      <c r="N181" s="4">
        <v>66.368006537699102</v>
      </c>
      <c r="O181" s="4">
        <v>62.854036956707503</v>
      </c>
      <c r="P181" s="4">
        <v>279814.18189404602</v>
      </c>
      <c r="Q181" s="4">
        <v>260566.63168222399</v>
      </c>
      <c r="R181" s="4">
        <v>783.75945994289702</v>
      </c>
      <c r="S181" s="4">
        <v>0</v>
      </c>
      <c r="T181" s="4">
        <v>0</v>
      </c>
      <c r="U181" s="4">
        <v>1.12142967793097E-2</v>
      </c>
      <c r="V181" s="4">
        <v>1</v>
      </c>
      <c r="W181" s="4">
        <v>0</v>
      </c>
      <c r="X181" s="4">
        <v>0.80062388717423505</v>
      </c>
      <c r="Y181" s="4">
        <v>0</v>
      </c>
      <c r="Z181" s="5">
        <v>3.7696730625059902E-4</v>
      </c>
      <c r="AA181" s="5">
        <v>1.39904046445743E-4</v>
      </c>
      <c r="AB181" s="10">
        <v>3.37418830740264E-3</v>
      </c>
      <c r="AC181" s="10">
        <v>1.05482459160018E-5</v>
      </c>
      <c r="AD181" s="10">
        <v>3.48912488554593E-2</v>
      </c>
      <c r="AE181" s="4">
        <v>2.30422037566318E-2</v>
      </c>
      <c r="AF181" s="4">
        <v>0.70095622551968595</v>
      </c>
      <c r="AG181" s="4">
        <v>0.96365103034301303</v>
      </c>
      <c r="AH181" s="4">
        <v>0.99396716117161099</v>
      </c>
      <c r="AI181" s="4">
        <v>0.99895540111917902</v>
      </c>
      <c r="AJ181" s="4">
        <v>1</v>
      </c>
      <c r="AK181" s="4">
        <v>1</v>
      </c>
      <c r="AL181" s="4">
        <v>1</v>
      </c>
      <c r="AM181" s="4">
        <v>0</v>
      </c>
      <c r="AN181" s="4">
        <v>0</v>
      </c>
      <c r="AO181" s="4" t="s">
        <v>75</v>
      </c>
      <c r="AP181" s="4" t="s">
        <v>76</v>
      </c>
      <c r="AQ181" s="6">
        <v>49936292128.739998</v>
      </c>
      <c r="AR181" s="4">
        <v>191645</v>
      </c>
      <c r="AS181" s="35">
        <v>0</v>
      </c>
      <c r="AT181" s="35">
        <v>0</v>
      </c>
      <c r="AU181" s="35">
        <v>0</v>
      </c>
      <c r="AV181" s="35">
        <v>100</v>
      </c>
      <c r="AW181" s="35">
        <v>0</v>
      </c>
      <c r="AX181" s="35">
        <v>100</v>
      </c>
    </row>
    <row r="182" spans="1:50" x14ac:dyDescent="0.25">
      <c r="A182">
        <v>96</v>
      </c>
      <c r="B182" s="4">
        <v>0.95749600921074096</v>
      </c>
      <c r="C182" s="4">
        <v>34.969997259688597</v>
      </c>
      <c r="D182" s="4">
        <v>40.619524583599599</v>
      </c>
      <c r="E182" s="4">
        <v>3.5224763353119297E-2</v>
      </c>
      <c r="F182" s="5">
        <v>4.2503990789258699E-2</v>
      </c>
      <c r="G182" s="5">
        <v>0</v>
      </c>
      <c r="H182" s="4">
        <v>4.8597172848100803</v>
      </c>
      <c r="I182" s="4">
        <v>3.8075341911235201</v>
      </c>
      <c r="J182" s="4">
        <v>2.3467121983467698</v>
      </c>
      <c r="K182" s="4">
        <v>111.718332385794</v>
      </c>
      <c r="L182" s="4">
        <v>15.609537520280201</v>
      </c>
      <c r="M182" s="4">
        <v>18.360632804295602</v>
      </c>
      <c r="N182" s="4">
        <v>68.372332900325802</v>
      </c>
      <c r="O182" s="4">
        <v>63.806703257611197</v>
      </c>
      <c r="P182" s="4">
        <v>274481.78470711602</v>
      </c>
      <c r="Q182" s="4">
        <v>255800.935888373</v>
      </c>
      <c r="R182" s="4">
        <v>782.15642568202497</v>
      </c>
      <c r="S182" s="4">
        <v>0</v>
      </c>
      <c r="T182" s="4">
        <v>0</v>
      </c>
      <c r="U182" s="4">
        <v>1.11788570934895E-2</v>
      </c>
      <c r="V182" s="4">
        <v>1</v>
      </c>
      <c r="W182" s="4">
        <v>0</v>
      </c>
      <c r="X182" s="4">
        <v>0.74839940688531004</v>
      </c>
      <c r="Y182" s="4">
        <v>0</v>
      </c>
      <c r="Z182" s="5">
        <v>3.7762443781750698E-4</v>
      </c>
      <c r="AA182" s="5">
        <v>1.9029094691430499E-4</v>
      </c>
      <c r="AB182" s="10">
        <v>3.54457126874572E-3</v>
      </c>
      <c r="AC182" s="10">
        <v>2.3406507255109101E-5</v>
      </c>
      <c r="AD182" s="10">
        <v>3.8368082799113801E-2</v>
      </c>
      <c r="AE182" s="4">
        <v>3.8431665484224102E-2</v>
      </c>
      <c r="AF182" s="4">
        <v>0.56928648910705304</v>
      </c>
      <c r="AG182" s="4">
        <v>0.94776989127977396</v>
      </c>
      <c r="AH182" s="4">
        <v>0.99006057017879101</v>
      </c>
      <c r="AI182" s="4">
        <v>0.99796503786011304</v>
      </c>
      <c r="AJ182" s="4">
        <v>1</v>
      </c>
      <c r="AK182" s="4">
        <v>1</v>
      </c>
      <c r="AL182" s="4">
        <v>1</v>
      </c>
      <c r="AM182" s="4">
        <v>0</v>
      </c>
      <c r="AN182" s="4">
        <v>0</v>
      </c>
      <c r="AO182" s="4" t="s">
        <v>77</v>
      </c>
      <c r="AP182" s="4" t="s">
        <v>78</v>
      </c>
      <c r="AQ182" s="6">
        <v>29043382459.830002</v>
      </c>
      <c r="AR182" s="4">
        <v>113539</v>
      </c>
      <c r="AS182" s="35">
        <v>0</v>
      </c>
      <c r="AT182" s="35">
        <v>0</v>
      </c>
      <c r="AU182" s="35">
        <v>0</v>
      </c>
      <c r="AV182" s="35">
        <v>100</v>
      </c>
      <c r="AW182" s="35">
        <v>0</v>
      </c>
      <c r="AX182" s="35">
        <v>100</v>
      </c>
    </row>
    <row r="183" spans="1:50" x14ac:dyDescent="0.25">
      <c r="A183">
        <v>96</v>
      </c>
      <c r="B183" s="4">
        <v>0.95421680318173097</v>
      </c>
      <c r="C183" s="4">
        <v>35.363464857130197</v>
      </c>
      <c r="D183" s="4">
        <v>43.014453255159701</v>
      </c>
      <c r="E183" s="4">
        <v>3.5712569728593102E-2</v>
      </c>
      <c r="F183" s="5">
        <v>4.5783196818268097E-2</v>
      </c>
      <c r="G183" s="5">
        <v>0</v>
      </c>
      <c r="H183" s="4">
        <v>4.9450030381875898</v>
      </c>
      <c r="I183" s="4">
        <v>3.7077365461627299</v>
      </c>
      <c r="J183" s="4">
        <v>3.9858020641635599</v>
      </c>
      <c r="K183" s="4">
        <v>134.94959605790601</v>
      </c>
      <c r="L183" s="4">
        <v>15.242478735253499</v>
      </c>
      <c r="M183" s="4">
        <v>19.3444711337055</v>
      </c>
      <c r="N183" s="4">
        <v>68.389186079473703</v>
      </c>
      <c r="O183" s="4">
        <v>62.209584603525101</v>
      </c>
      <c r="P183" s="4">
        <v>281109.43572930701</v>
      </c>
      <c r="Q183" s="4">
        <v>261967.813408355</v>
      </c>
      <c r="R183" s="4">
        <v>781.45192660900204</v>
      </c>
      <c r="S183" s="4">
        <v>0</v>
      </c>
      <c r="T183" s="4">
        <v>0</v>
      </c>
      <c r="U183" s="4">
        <v>1.20351386686957E-2</v>
      </c>
      <c r="V183" s="4">
        <v>1</v>
      </c>
      <c r="W183" s="4">
        <v>0</v>
      </c>
      <c r="X183" s="4">
        <v>0.77551051584054098</v>
      </c>
      <c r="Y183" s="4">
        <v>0</v>
      </c>
      <c r="Z183" s="5">
        <v>3.7689782254611201E-4</v>
      </c>
      <c r="AA183" s="5">
        <v>2.4125895605089099E-4</v>
      </c>
      <c r="AB183" s="10">
        <v>3.5661538914699498E-3</v>
      </c>
      <c r="AC183" s="10">
        <v>5.0610502355256099E-5</v>
      </c>
      <c r="AD183" s="10">
        <v>4.1548260747660298E-2</v>
      </c>
      <c r="AE183" s="4">
        <v>6.5643278159381493E-2</v>
      </c>
      <c r="AF183" s="4">
        <v>0.41864636992499499</v>
      </c>
      <c r="AG183" s="4">
        <v>0.90922643682012105</v>
      </c>
      <c r="AH183" s="4">
        <v>0.97972825428733101</v>
      </c>
      <c r="AI183" s="4">
        <v>0.99712600159133402</v>
      </c>
      <c r="AJ183" s="4">
        <v>1</v>
      </c>
      <c r="AK183" s="4">
        <v>1</v>
      </c>
      <c r="AL183" s="4">
        <v>1</v>
      </c>
      <c r="AM183" s="4">
        <v>0</v>
      </c>
      <c r="AN183" s="4">
        <v>0</v>
      </c>
      <c r="AO183" s="4" t="s">
        <v>79</v>
      </c>
      <c r="AP183" s="4" t="s">
        <v>80</v>
      </c>
      <c r="AQ183" s="6">
        <v>14002441594.49</v>
      </c>
      <c r="AR183" s="4">
        <v>53451</v>
      </c>
      <c r="AS183" s="35">
        <v>0</v>
      </c>
      <c r="AT183" s="35">
        <v>0</v>
      </c>
      <c r="AU183" s="35">
        <v>0</v>
      </c>
      <c r="AV183" s="35">
        <v>100</v>
      </c>
      <c r="AW183" s="35">
        <v>0</v>
      </c>
      <c r="AX183" s="35">
        <v>100</v>
      </c>
    </row>
    <row r="184" spans="1:50" x14ac:dyDescent="0.25">
      <c r="A184">
        <v>96</v>
      </c>
      <c r="B184" s="4">
        <v>0.951744729435402</v>
      </c>
      <c r="C184" s="4">
        <v>34.060939837629199</v>
      </c>
      <c r="D184" s="4">
        <v>44.761005387050901</v>
      </c>
      <c r="E184" s="4">
        <v>3.4108014023335402E-2</v>
      </c>
      <c r="F184" s="5">
        <v>4.8255270564597899E-2</v>
      </c>
      <c r="G184" s="5">
        <v>0</v>
      </c>
      <c r="H184" s="4">
        <v>5.1455181913607104</v>
      </c>
      <c r="I184" s="4">
        <v>3.6847746475008698</v>
      </c>
      <c r="J184" s="4">
        <v>19.381254278638799</v>
      </c>
      <c r="K184" s="4">
        <v>160.59824035554701</v>
      </c>
      <c r="L184" s="4">
        <v>15.6413326919357</v>
      </c>
      <c r="M184" s="4">
        <v>19.607610148146499</v>
      </c>
      <c r="N184" s="4">
        <v>73.207688316741596</v>
      </c>
      <c r="O184" s="4">
        <v>65.653641187798996</v>
      </c>
      <c r="P184" s="4">
        <v>273691.58868901798</v>
      </c>
      <c r="Q184" s="4">
        <v>255296.974786128</v>
      </c>
      <c r="R184" s="4">
        <v>779.35582634059199</v>
      </c>
      <c r="S184" s="4">
        <v>0</v>
      </c>
      <c r="T184" s="4">
        <v>0</v>
      </c>
      <c r="U184" s="4">
        <v>1.12718137888329E-2</v>
      </c>
      <c r="V184" s="4">
        <v>1</v>
      </c>
      <c r="W184" s="4">
        <v>0</v>
      </c>
      <c r="X184" s="4">
        <v>0.86940680807805004</v>
      </c>
      <c r="Y184" s="4">
        <v>0</v>
      </c>
      <c r="Z184" s="5">
        <v>3.8341513655392698E-4</v>
      </c>
      <c r="AA184" s="5">
        <v>3.5416186608108502E-4</v>
      </c>
      <c r="AB184" s="10">
        <v>3.66902967177623E-3</v>
      </c>
      <c r="AC184" s="10">
        <v>6.9248418231417894E-5</v>
      </c>
      <c r="AD184" s="10">
        <v>4.3779400499691097E-2</v>
      </c>
      <c r="AE184" s="4">
        <v>7.96934398973944E-2</v>
      </c>
      <c r="AF184" s="4">
        <v>0.330112221543855</v>
      </c>
      <c r="AG184" s="4">
        <v>0.87402537406590997</v>
      </c>
      <c r="AH184" s="4">
        <v>0.97211051004056803</v>
      </c>
      <c r="AI184" s="4">
        <v>0.99549818805450396</v>
      </c>
      <c r="AJ184" s="4">
        <v>1</v>
      </c>
      <c r="AK184" s="4">
        <v>1</v>
      </c>
      <c r="AL184" s="4">
        <v>1</v>
      </c>
      <c r="AM184" s="4">
        <v>0</v>
      </c>
      <c r="AN184" s="4">
        <v>0</v>
      </c>
      <c r="AO184" s="4" t="s">
        <v>81</v>
      </c>
      <c r="AP184" s="4" t="s">
        <v>82</v>
      </c>
      <c r="AQ184" s="6">
        <v>3437829062.4699998</v>
      </c>
      <c r="AR184" s="4">
        <v>13466</v>
      </c>
      <c r="AS184" s="35">
        <v>0</v>
      </c>
      <c r="AT184" s="35">
        <v>0</v>
      </c>
      <c r="AU184" s="35">
        <v>0</v>
      </c>
      <c r="AV184" s="35">
        <v>100</v>
      </c>
      <c r="AW184" s="35">
        <v>0</v>
      </c>
      <c r="AX184" s="35">
        <v>100</v>
      </c>
    </row>
    <row r="185" spans="1:50" x14ac:dyDescent="0.25">
      <c r="A185">
        <v>96</v>
      </c>
      <c r="B185" s="4">
        <v>0.94900398913830097</v>
      </c>
      <c r="C185" s="4">
        <v>33.5104002869463</v>
      </c>
      <c r="D185" s="4">
        <v>46.639921986521003</v>
      </c>
      <c r="E185" s="4">
        <v>3.3438535237560199E-2</v>
      </c>
      <c r="F185" s="5">
        <v>5.0996010861698401E-2</v>
      </c>
      <c r="G185" s="5">
        <v>0</v>
      </c>
      <c r="H185" s="4">
        <v>5.2295565845155902</v>
      </c>
      <c r="I185" s="4">
        <v>3.6582408974710998</v>
      </c>
      <c r="J185" s="4">
        <v>27.484909675729099</v>
      </c>
      <c r="K185" s="4">
        <v>182.546269462124</v>
      </c>
      <c r="L185" s="4">
        <v>14.765315529349801</v>
      </c>
      <c r="M185" s="4">
        <v>20.164867875834901</v>
      </c>
      <c r="N185" s="4">
        <v>75.8901173496414</v>
      </c>
      <c r="O185" s="4">
        <v>66.853163099153406</v>
      </c>
      <c r="P185" s="4">
        <v>289399.696586031</v>
      </c>
      <c r="Q185" s="4">
        <v>270441.83997710899</v>
      </c>
      <c r="R185" s="4">
        <v>778.12815816868795</v>
      </c>
      <c r="S185" s="4">
        <v>0</v>
      </c>
      <c r="T185" s="4">
        <v>0</v>
      </c>
      <c r="U185" s="4">
        <v>1.36249513874674E-2</v>
      </c>
      <c r="V185" s="4">
        <v>1</v>
      </c>
      <c r="W185" s="4">
        <v>0</v>
      </c>
      <c r="X185" s="4">
        <v>0.85207095435706903</v>
      </c>
      <c r="Y185" s="4">
        <v>0</v>
      </c>
      <c r="Z185" s="5">
        <v>3.88076599694377E-4</v>
      </c>
      <c r="AA185" s="5">
        <v>5.2750401576679904E-4</v>
      </c>
      <c r="AB185" s="10">
        <v>3.6357123963425401E-3</v>
      </c>
      <c r="AC185" s="10">
        <v>1.3072099238497199E-4</v>
      </c>
      <c r="AD185" s="10">
        <v>4.6313981509704699E-2</v>
      </c>
      <c r="AE185" s="4">
        <v>9.6691987713019997E-2</v>
      </c>
      <c r="AF185" s="4">
        <v>0.25462041582266198</v>
      </c>
      <c r="AG185" s="4">
        <v>0.81610755655949696</v>
      </c>
      <c r="AH185" s="4">
        <v>0.94224385621223705</v>
      </c>
      <c r="AI185" s="4">
        <v>0.99202584623349499</v>
      </c>
      <c r="AJ185" s="4">
        <v>1</v>
      </c>
      <c r="AK185" s="4">
        <v>1</v>
      </c>
      <c r="AL185" s="4">
        <v>1</v>
      </c>
      <c r="AM185" s="4">
        <v>0</v>
      </c>
      <c r="AN185" s="4">
        <v>0</v>
      </c>
      <c r="AO185" s="4" t="s">
        <v>83</v>
      </c>
      <c r="AP185" s="4" t="s">
        <v>84</v>
      </c>
      <c r="AQ185" s="6">
        <v>827011146.64999998</v>
      </c>
      <c r="AR185" s="4">
        <v>3058</v>
      </c>
      <c r="AS185" s="35">
        <v>0</v>
      </c>
      <c r="AT185" s="35">
        <v>0</v>
      </c>
      <c r="AU185" s="35">
        <v>0</v>
      </c>
      <c r="AV185" s="35">
        <v>100</v>
      </c>
      <c r="AW185" s="35">
        <v>0</v>
      </c>
      <c r="AX185" s="35">
        <v>100</v>
      </c>
    </row>
    <row r="186" spans="1:50" x14ac:dyDescent="0.25">
      <c r="A186">
        <v>96</v>
      </c>
      <c r="B186" s="4">
        <v>0.94713730669162299</v>
      </c>
      <c r="C186" s="4">
        <v>28.261046737152199</v>
      </c>
      <c r="D186" s="4">
        <v>47.885890646016101</v>
      </c>
      <c r="E186" s="4">
        <v>2.7298498426786399E-2</v>
      </c>
      <c r="F186" s="5">
        <v>5.2862693308376098E-2</v>
      </c>
      <c r="G186" s="5">
        <v>0</v>
      </c>
      <c r="H186" s="4">
        <v>5.2464186800367099</v>
      </c>
      <c r="I186" s="4">
        <v>3.69172285194899</v>
      </c>
      <c r="J186" s="4">
        <v>34.717273760760897</v>
      </c>
      <c r="K186" s="4">
        <v>210.090614075605</v>
      </c>
      <c r="L186" s="4">
        <v>15.0628190517424</v>
      </c>
      <c r="M186" s="4">
        <v>19.5938189736627</v>
      </c>
      <c r="N186" s="4">
        <v>85.7916585505439</v>
      </c>
      <c r="O186" s="4">
        <v>73.984501983366698</v>
      </c>
      <c r="P186" s="4">
        <v>285262.204090774</v>
      </c>
      <c r="Q186" s="4">
        <v>265099.50371980597</v>
      </c>
      <c r="R186" s="4">
        <v>777.48058414718002</v>
      </c>
      <c r="S186" s="4">
        <v>0</v>
      </c>
      <c r="T186" s="4">
        <v>0</v>
      </c>
      <c r="U186" s="4">
        <v>1.8733180614728201E-2</v>
      </c>
      <c r="V186" s="4">
        <v>1</v>
      </c>
      <c r="W186" s="4">
        <v>0</v>
      </c>
      <c r="X186" s="4">
        <v>0.76619444473884202</v>
      </c>
      <c r="Y186" s="4">
        <v>0</v>
      </c>
      <c r="Z186" s="5">
        <v>3.93557459393304E-4</v>
      </c>
      <c r="AA186" s="5">
        <v>5.5744886441279405E-4</v>
      </c>
      <c r="AB186" s="10">
        <v>4.0135355441274102E-3</v>
      </c>
      <c r="AC186" s="10">
        <v>2.998124646368E-4</v>
      </c>
      <c r="AD186" s="10">
        <v>4.75983229634456E-2</v>
      </c>
      <c r="AE186" s="4">
        <v>0.120093667509478</v>
      </c>
      <c r="AF186" s="4">
        <v>0.14854476835838101</v>
      </c>
      <c r="AG186" s="4">
        <v>0.69660049824911896</v>
      </c>
      <c r="AH186" s="4">
        <v>0.85633042659728598</v>
      </c>
      <c r="AI186" s="4">
        <v>0.97462641676318995</v>
      </c>
      <c r="AJ186" s="4">
        <v>1</v>
      </c>
      <c r="AK186" s="4">
        <v>1</v>
      </c>
      <c r="AL186" s="4">
        <v>1</v>
      </c>
      <c r="AM186" s="4">
        <v>0</v>
      </c>
      <c r="AN186" s="4">
        <v>0</v>
      </c>
      <c r="AO186" s="4" t="s">
        <v>85</v>
      </c>
      <c r="AP186" s="4" t="s">
        <v>86</v>
      </c>
      <c r="AQ186" s="6">
        <v>109751194.54000001</v>
      </c>
      <c r="AR186" s="4">
        <v>414</v>
      </c>
      <c r="AS186" s="35">
        <v>0</v>
      </c>
      <c r="AT186" s="35">
        <v>0</v>
      </c>
      <c r="AU186" s="35">
        <v>0</v>
      </c>
      <c r="AV186" s="35">
        <v>100</v>
      </c>
      <c r="AW186" s="35">
        <v>0</v>
      </c>
      <c r="AX186" s="35">
        <v>100</v>
      </c>
    </row>
    <row r="187" spans="1:50" x14ac:dyDescent="0.25">
      <c r="B187" s="4"/>
      <c r="C187" s="4"/>
      <c r="D187" s="4"/>
      <c r="E187" s="4"/>
      <c r="F187" s="5"/>
      <c r="G187" s="5"/>
      <c r="H187" s="4"/>
      <c r="I187" s="4"/>
      <c r="J187" s="4"/>
      <c r="K187" s="4"/>
      <c r="L187" s="4"/>
      <c r="M187" s="4"/>
      <c r="N187" s="4"/>
      <c r="O187" s="4"/>
      <c r="P187" s="4"/>
      <c r="Q187" s="4"/>
      <c r="R187" s="4"/>
      <c r="S187" s="4"/>
      <c r="T187" s="4"/>
      <c r="U187" s="4"/>
      <c r="V187" s="4"/>
      <c r="W187" s="4"/>
      <c r="X187" s="4"/>
      <c r="Y187" s="4"/>
      <c r="Z187" s="5"/>
      <c r="AA187" s="5"/>
      <c r="AB187" s="10"/>
      <c r="AC187" s="10"/>
      <c r="AD187" s="10"/>
      <c r="AE187" s="4"/>
      <c r="AF187" s="4"/>
      <c r="AG187" s="4"/>
      <c r="AH187" s="4"/>
      <c r="AI187" s="4"/>
      <c r="AJ187" s="4"/>
      <c r="AK187" s="4"/>
      <c r="AL187" s="4"/>
      <c r="AM187" s="4"/>
      <c r="AN187" s="4"/>
      <c r="AO187" s="4"/>
      <c r="AP187" s="4"/>
      <c r="AQ187" s="6"/>
      <c r="AR187" s="4"/>
      <c r="AS187" s="35"/>
      <c r="AT187" s="35"/>
      <c r="AU187" s="35"/>
      <c r="AV187" s="35"/>
      <c r="AW187" s="35"/>
      <c r="AX187" s="35"/>
    </row>
    <row r="188" spans="1:50" x14ac:dyDescent="0.25">
      <c r="B188" s="4"/>
      <c r="C188" s="4"/>
      <c r="D188" s="4"/>
      <c r="E188" s="4"/>
      <c r="F188" s="5"/>
      <c r="G188" s="5"/>
      <c r="H188" s="4"/>
      <c r="I188" s="4"/>
      <c r="J188" s="4"/>
      <c r="K188" s="4"/>
      <c r="L188" s="4" t="s">
        <v>168</v>
      </c>
      <c r="M188" s="36" t="s">
        <v>169</v>
      </c>
      <c r="N188" s="4"/>
      <c r="O188" s="4"/>
      <c r="P188" s="4"/>
      <c r="Q188" s="4"/>
      <c r="R188" s="4"/>
      <c r="S188" s="4"/>
      <c r="T188" s="4"/>
      <c r="U188" s="4"/>
      <c r="V188" s="4"/>
      <c r="W188" s="4"/>
      <c r="X188" s="4"/>
      <c r="Y188" s="4"/>
      <c r="Z188" s="5"/>
      <c r="AA188" s="5"/>
      <c r="AB188" s="10"/>
      <c r="AC188" s="10"/>
      <c r="AD188" s="10"/>
      <c r="AE188" s="4"/>
      <c r="AF188" s="4"/>
      <c r="AG188" s="4"/>
      <c r="AH188" s="4"/>
      <c r="AI188" s="4"/>
      <c r="AJ188" s="4"/>
      <c r="AK188" s="4"/>
      <c r="AL188" s="4"/>
      <c r="AM188" s="4"/>
      <c r="AN188" s="4"/>
      <c r="AO188" s="4"/>
      <c r="AP188" s="4"/>
      <c r="AQ188" s="6"/>
      <c r="AR188" s="4"/>
      <c r="AS188" s="35"/>
      <c r="AT188" s="35"/>
      <c r="AU188" s="35"/>
      <c r="AV188" s="35"/>
      <c r="AW188" s="35"/>
      <c r="AX188" s="35"/>
    </row>
    <row r="189" spans="1:50" x14ac:dyDescent="0.25">
      <c r="B189" s="4"/>
      <c r="C189" s="4"/>
      <c r="D189" s="4"/>
      <c r="E189" s="4"/>
      <c r="F189" s="5"/>
      <c r="G189" s="5"/>
      <c r="H189" s="4"/>
      <c r="I189" s="4"/>
      <c r="J189" s="4"/>
      <c r="K189" s="4"/>
      <c r="L189" t="s">
        <v>161</v>
      </c>
      <c r="M189" s="4">
        <v>0.89</v>
      </c>
      <c r="N189" s="4"/>
      <c r="O189" s="4"/>
      <c r="P189" s="4"/>
      <c r="Q189" s="4"/>
      <c r="R189" s="4"/>
      <c r="S189" s="4"/>
      <c r="T189" s="4"/>
      <c r="U189" s="4"/>
      <c r="V189" s="4"/>
      <c r="W189" s="4"/>
      <c r="X189" s="4"/>
      <c r="Y189" s="4"/>
      <c r="Z189" s="5"/>
      <c r="AA189" s="5"/>
      <c r="AB189" s="10"/>
      <c r="AC189" s="10"/>
      <c r="AD189" s="10"/>
      <c r="AE189" s="4"/>
      <c r="AF189" s="4"/>
      <c r="AG189" s="4"/>
      <c r="AH189" s="4"/>
      <c r="AI189" s="4"/>
      <c r="AJ189" s="4"/>
      <c r="AK189" s="4"/>
      <c r="AL189" s="4"/>
      <c r="AM189" s="4"/>
      <c r="AN189" s="4"/>
      <c r="AO189" s="4"/>
      <c r="AP189" s="4"/>
      <c r="AQ189" s="6"/>
      <c r="AR189" s="4"/>
      <c r="AS189" s="35"/>
      <c r="AT189" s="35"/>
      <c r="AU189" s="35"/>
      <c r="AV189" s="35"/>
      <c r="AW189" s="35"/>
      <c r="AX189" s="35"/>
    </row>
    <row r="191" spans="1:50" x14ac:dyDescent="0.25">
      <c r="K191" t="s">
        <v>102</v>
      </c>
      <c r="L191" t="s">
        <v>90</v>
      </c>
      <c r="M191" t="s">
        <v>91</v>
      </c>
      <c r="R191" t="s">
        <v>102</v>
      </c>
      <c r="W191" t="s">
        <v>90</v>
      </c>
      <c r="AB191" t="s">
        <v>91</v>
      </c>
    </row>
    <row r="192" spans="1:50" x14ac:dyDescent="0.25">
      <c r="A192" s="4" t="s">
        <v>95</v>
      </c>
      <c r="B192" t="str">
        <f>AQ156</f>
        <v>Balance</v>
      </c>
      <c r="C192" s="2" t="str">
        <f t="shared" ref="C192:C220" si="85">AO156</f>
        <v>groupByColumn</v>
      </c>
      <c r="D192" t="str">
        <f>E156</f>
        <v>PREPAY_SMM1</v>
      </c>
      <c r="E192" t="str">
        <f>F156</f>
        <v>PREPAY_TRACKING_SMM1</v>
      </c>
      <c r="F192" t="s">
        <v>92</v>
      </c>
      <c r="G192" t="str">
        <f>C156</f>
        <v>PREPAY_CPR1</v>
      </c>
      <c r="H192" t="str">
        <f>D156</f>
        <v>PREPAY_TRACKING_CPR1</v>
      </c>
      <c r="K192" t="s">
        <v>93</v>
      </c>
      <c r="L192" t="s">
        <v>93</v>
      </c>
      <c r="M192" t="s">
        <v>93</v>
      </c>
      <c r="N192" t="s">
        <v>100</v>
      </c>
      <c r="O192" t="s">
        <v>101</v>
      </c>
      <c r="P192" t="s">
        <v>92</v>
      </c>
      <c r="R192" t="s">
        <v>96</v>
      </c>
      <c r="T192" t="s">
        <v>94</v>
      </c>
      <c r="U192" t="s">
        <v>99</v>
      </c>
      <c r="W192" t="s">
        <v>96</v>
      </c>
      <c r="X192" t="s">
        <v>103</v>
      </c>
      <c r="Y192" t="s">
        <v>94</v>
      </c>
      <c r="Z192" t="s">
        <v>99</v>
      </c>
      <c r="AB192" t="s">
        <v>96</v>
      </c>
      <c r="AC192" t="s">
        <v>103</v>
      </c>
      <c r="AD192" t="s">
        <v>94</v>
      </c>
      <c r="AE192" t="s">
        <v>99</v>
      </c>
    </row>
    <row r="193" spans="1:31" s="17" customFormat="1" x14ac:dyDescent="0.25">
      <c r="A193" s="15">
        <f t="shared" ref="A193:A220" si="86">K157</f>
        <v>-107.582908254133</v>
      </c>
      <c r="B193" s="22">
        <f t="shared" ref="B193:B220" si="87">AQ157/1000000000</f>
        <v>7.1095018000000005E-4</v>
      </c>
      <c r="C193" s="23" t="str">
        <f t="shared" si="85"/>
        <v>04:-125--100</v>
      </c>
      <c r="D193" s="16">
        <f t="shared" ref="D193:D220" si="88">E157</f>
        <v>0</v>
      </c>
      <c r="E193" s="16">
        <f t="shared" ref="E193:E220" si="89">Z157+AA157+AB157+AC157+AD157</f>
        <v>5.3885187391812667E-3</v>
      </c>
      <c r="F193" s="22">
        <f t="shared" ref="F193:F220" si="90">D193/E193</f>
        <v>0</v>
      </c>
      <c r="G193" s="23">
        <f t="shared" ref="G193:G220" si="91">(1-(1-D193)^12)*100</f>
        <v>0</v>
      </c>
      <c r="H193" s="23">
        <f t="shared" ref="H193:H220" si="92">(1-(1-E193)^12)*100</f>
        <v>6.2779847841043956</v>
      </c>
      <c r="K193" s="15">
        <f t="shared" ref="K193:K194" si="93">VLOOKUP(C193,$C$26:$M$44,9,0)</f>
        <v>1</v>
      </c>
      <c r="L193" s="15">
        <f t="shared" ref="L193:L194" si="94">VLOOKUP(C193,$C$26:$M$44,10,0)</f>
        <v>1</v>
      </c>
      <c r="M193" s="15">
        <f t="shared" ref="M193:M194" si="95">VLOOKUP(C193,$C$26:$M$44,11,0)</f>
        <v>1</v>
      </c>
      <c r="N193" s="16">
        <f>Z157+AA157+AB157*K193+AC157*L193+AD157*M193*$M$189</f>
        <v>5.2546771494749699E-3</v>
      </c>
      <c r="O193" s="23">
        <f t="shared" ref="O193:O220" si="96">100*(1-(1-N193)^12)</f>
        <v>6.1265303696262485</v>
      </c>
      <c r="P193" s="24">
        <f t="shared" ref="P193:P220" si="97">D193/N193</f>
        <v>0</v>
      </c>
      <c r="S193" s="18">
        <f t="shared" ref="S193:S201" si="98">A193</f>
        <v>-107.582908254133</v>
      </c>
      <c r="T193" s="16">
        <f>VLOOKUP(ROUNDDOWN(S193,0),'Spline Pre-Adj'!A:B,2,0)</f>
        <v>1.022147702</v>
      </c>
      <c r="U193" s="16">
        <f t="shared" ref="U193:U201" si="99">T193*K193</f>
        <v>1.022147702</v>
      </c>
      <c r="X193" s="18">
        <f t="shared" ref="X193:X220" si="100">A193</f>
        <v>-107.582908254133</v>
      </c>
      <c r="Y193" s="16">
        <f>VLOOKUP(ROUNDDOWN(X193,0),'Spline Pre-Adj'!F:G,2,0)</f>
        <v>0</v>
      </c>
      <c r="Z193" s="16">
        <f t="shared" ref="Z193:Z220" si="101">Y193*L193</f>
        <v>0</v>
      </c>
      <c r="AC193" s="18">
        <f t="shared" ref="AC193:AC220" si="102">A193</f>
        <v>-107.582908254133</v>
      </c>
      <c r="AD193" s="16">
        <f>VLOOKUP(ROUNDDOWN(AC193,0),'Spline Pre-Adj'!K:L,2,0)</f>
        <v>0</v>
      </c>
      <c r="AE193" s="16">
        <f t="shared" ref="AE193:AE220" si="103">AD193*M193</f>
        <v>0</v>
      </c>
    </row>
    <row r="194" spans="1:31" s="17" customFormat="1" x14ac:dyDescent="0.25">
      <c r="A194" s="15">
        <f t="shared" si="86"/>
        <v>-83.391670432831603</v>
      </c>
      <c r="B194" s="22">
        <f t="shared" si="87"/>
        <v>2.5919470200000002E-3</v>
      </c>
      <c r="C194" s="23" t="str">
        <f t="shared" si="85"/>
        <v>05:-100--75</v>
      </c>
      <c r="D194" s="16">
        <f t="shared" si="88"/>
        <v>2.0536376312162699E-3</v>
      </c>
      <c r="E194" s="16">
        <f t="shared" si="89"/>
        <v>1.1524954026755949E-2</v>
      </c>
      <c r="F194" s="22">
        <f t="shared" si="90"/>
        <v>0.17819052695990051</v>
      </c>
      <c r="G194" s="23">
        <f t="shared" si="91"/>
        <v>2.4367198017628544</v>
      </c>
      <c r="H194" s="23">
        <f t="shared" si="92"/>
        <v>12.98612282725693</v>
      </c>
      <c r="K194" s="15">
        <f t="shared" si="93"/>
        <v>1</v>
      </c>
      <c r="L194" s="15">
        <f t="shared" si="94"/>
        <v>1</v>
      </c>
      <c r="M194" s="15">
        <f t="shared" si="95"/>
        <v>1</v>
      </c>
      <c r="N194" s="16">
        <f t="shared" ref="N194" si="104">Z158+AA158+AB158*K194+AC158*L194+AD158*M194*$M$189</f>
        <v>1.065559945873263E-2</v>
      </c>
      <c r="O194" s="23">
        <f t="shared" si="96"/>
        <v>12.063332906804758</v>
      </c>
      <c r="P194" s="24">
        <f t="shared" si="97"/>
        <v>0.19272849351832977</v>
      </c>
      <c r="S194" s="18">
        <f t="shared" si="98"/>
        <v>-83.391670432831603</v>
      </c>
      <c r="T194" s="16">
        <f>VLOOKUP(ROUNDDOWN(S194,0),'Spline Pre-Adj'!A:B,2,0)</f>
        <v>1.135228248</v>
      </c>
      <c r="U194" s="16">
        <f t="shared" si="99"/>
        <v>1.135228248</v>
      </c>
      <c r="X194" s="18">
        <f t="shared" si="100"/>
        <v>-83.391670432831603</v>
      </c>
      <c r="Y194" s="16">
        <f>VLOOKUP(ROUNDDOWN(X194,0),'Spline Pre-Adj'!F:G,2,0)</f>
        <v>3.1256266951590402E-2</v>
      </c>
      <c r="Z194" s="16">
        <f t="shared" si="101"/>
        <v>3.1256266951590402E-2</v>
      </c>
      <c r="AC194" s="18">
        <f t="shared" si="102"/>
        <v>-83.391670432831603</v>
      </c>
      <c r="AD194" s="16">
        <f>VLOOKUP(ROUNDDOWN(AC194,0),'Spline Pre-Adj'!K:L,2,0)</f>
        <v>0</v>
      </c>
      <c r="AE194" s="16">
        <f t="shared" si="103"/>
        <v>0</v>
      </c>
    </row>
    <row r="195" spans="1:31" x14ac:dyDescent="0.25">
      <c r="A195" s="4">
        <f t="shared" si="86"/>
        <v>-58.2184028779524</v>
      </c>
      <c r="B195" s="3">
        <f t="shared" si="87"/>
        <v>4.0075683819999999E-2</v>
      </c>
      <c r="C195" s="2" t="str">
        <f t="shared" si="85"/>
        <v>06:-75--50</v>
      </c>
      <c r="D195" s="8">
        <f t="shared" si="88"/>
        <v>6.8802670803517303E-3</v>
      </c>
      <c r="E195" s="8">
        <f t="shared" si="89"/>
        <v>5.4199491728054751E-3</v>
      </c>
      <c r="F195" s="3">
        <f t="shared" si="90"/>
        <v>1.2694338749288243</v>
      </c>
      <c r="G195" s="2">
        <f t="shared" si="91"/>
        <v>7.9509448571122965</v>
      </c>
      <c r="H195" s="2">
        <f t="shared" si="92"/>
        <v>6.3135187996606446</v>
      </c>
      <c r="K195" s="14">
        <f t="shared" ref="K195" si="105">IF(ISNA(VLOOKUP(C195,$C$26:$M$44,9,0)),K196, VLOOKUP(C195,$C$26:$M$44,9,0))</f>
        <v>1</v>
      </c>
      <c r="L195" s="14">
        <f>IF(ISNA(VLOOKUP(C195,$C$26:$M$44,10,0)),L196, VLOOKUP(C195,$C$26:$M$44,10,0))</f>
        <v>1</v>
      </c>
      <c r="M195" s="14">
        <f>IF(ISNA(VLOOKUP(C195,$C$26:$M$44,11,0)),M196/5, VLOOKUP(C195,$C$26:$M$44,11,0))</f>
        <v>0.5</v>
      </c>
      <c r="N195" s="40">
        <f t="shared" ref="N195:N196" si="106">Z159+AA159+AB159*K195+AC159*L195+AD158*M194*$M$189</f>
        <v>1.0634836731549347E-2</v>
      </c>
      <c r="O195" s="2">
        <f t="shared" si="96"/>
        <v>12.041184715108388</v>
      </c>
      <c r="P195" s="7">
        <f t="shared" si="97"/>
        <v>0.64695559076527276</v>
      </c>
      <c r="S195" s="9">
        <f t="shared" si="98"/>
        <v>-58.2184028779524</v>
      </c>
      <c r="T195" s="8">
        <f>VLOOKUP(ROUNDDOWN(S195,0),'Spline Pre-Adj'!A:B,2,0)</f>
        <v>1.2740740479999999</v>
      </c>
      <c r="U195" s="8">
        <f t="shared" si="99"/>
        <v>1.2740740479999999</v>
      </c>
      <c r="X195" s="9">
        <f t="shared" si="100"/>
        <v>-58.2184028779524</v>
      </c>
      <c r="Y195" s="8">
        <f>VLOOKUP(ROUNDDOWN(X195,0),'Spline Pre-Adj'!F:G,2,0)</f>
        <v>0.17905591304347801</v>
      </c>
      <c r="Z195" s="8">
        <f t="shared" si="101"/>
        <v>0.17905591304347801</v>
      </c>
      <c r="AC195" s="9">
        <f t="shared" si="102"/>
        <v>-58.2184028779524</v>
      </c>
      <c r="AD195" s="8">
        <f>VLOOKUP(ROUNDDOWN(AC195,0),'Spline Pre-Adj'!K:L,2,0)</f>
        <v>0</v>
      </c>
      <c r="AE195" s="8">
        <f t="shared" si="103"/>
        <v>0</v>
      </c>
    </row>
    <row r="196" spans="1:31" x14ac:dyDescent="0.25">
      <c r="A196" s="4">
        <f t="shared" si="86"/>
        <v>-33.461505855893002</v>
      </c>
      <c r="B196" s="3">
        <f t="shared" si="87"/>
        <v>0.46199836266000005</v>
      </c>
      <c r="C196" s="2" t="str">
        <f t="shared" si="85"/>
        <v>07:-50--25</v>
      </c>
      <c r="D196" s="8">
        <f t="shared" si="88"/>
        <v>4.8586481012334003E-3</v>
      </c>
      <c r="E196" s="8">
        <f t="shared" si="89"/>
        <v>7.2174704364315959E-3</v>
      </c>
      <c r="F196" s="3">
        <f t="shared" si="90"/>
        <v>0.67317880191215229</v>
      </c>
      <c r="G196" s="2">
        <f t="shared" si="91"/>
        <v>5.6770710057886138</v>
      </c>
      <c r="H196" s="2">
        <f t="shared" si="92"/>
        <v>8.3252967109620268</v>
      </c>
      <c r="K196" s="14">
        <f t="shared" ref="K196:K220" si="107">IF(ISNA(VLOOKUP(C196,$C$26:$M$44,9,0)),K197, VLOOKUP(C196,$C$26:$M$44,9,0))</f>
        <v>1</v>
      </c>
      <c r="L196" s="14">
        <f t="shared" ref="L196:L220" si="108">IF(ISNA(VLOOKUP(C196,$C$26:$M$44,10,0)),L197, VLOOKUP(C196,$C$26:$M$44,10,0))</f>
        <v>1</v>
      </c>
      <c r="M196" s="14">
        <f t="shared" ref="M196" si="109">VLOOKUP(C196,$C$26:$M$44,11,0)</f>
        <v>0.5</v>
      </c>
      <c r="N196" s="40">
        <f t="shared" si="106"/>
        <v>4.1641290116606923E-3</v>
      </c>
      <c r="O196" s="2">
        <f t="shared" si="96"/>
        <v>4.8840847536996908</v>
      </c>
      <c r="P196" s="7">
        <f t="shared" si="97"/>
        <v>1.1667861604738627</v>
      </c>
      <c r="S196" s="9">
        <f t="shared" si="98"/>
        <v>-33.461505855893002</v>
      </c>
      <c r="T196" s="8">
        <f>VLOOKUP(ROUNDDOWN(S196,0),'Spline Pre-Adj'!A:B,2,0)</f>
        <v>1.2869999999999999</v>
      </c>
      <c r="U196" s="8">
        <f t="shared" si="99"/>
        <v>1.2869999999999999</v>
      </c>
      <c r="X196" s="9">
        <f t="shared" si="100"/>
        <v>-33.461505855893002</v>
      </c>
      <c r="Y196" s="8">
        <f>VLOOKUP(ROUNDDOWN(X196,0),'Spline Pre-Adj'!F:G,2,0)</f>
        <v>0.30615060763888902</v>
      </c>
      <c r="Z196" s="8">
        <f t="shared" si="101"/>
        <v>0.30615060763888902</v>
      </c>
      <c r="AC196" s="9">
        <f t="shared" si="102"/>
        <v>-33.461505855893002</v>
      </c>
      <c r="AD196" s="8">
        <f>VLOOKUP(ROUNDDOWN(AC196,0),'Spline Pre-Adj'!K:L,2,0)</f>
        <v>0.39387319081357403</v>
      </c>
      <c r="AE196" s="8">
        <f>AD196*M196</f>
        <v>0.19693659540678701</v>
      </c>
    </row>
    <row r="197" spans="1:31" x14ac:dyDescent="0.25">
      <c r="A197" s="4">
        <f t="shared" si="86"/>
        <v>-22.330523605828901</v>
      </c>
      <c r="B197" s="3">
        <f t="shared" si="87"/>
        <v>0.25163734649000002</v>
      </c>
      <c r="C197" s="2" t="str">
        <f t="shared" si="85"/>
        <v>08-1:-25--20</v>
      </c>
      <c r="D197" s="8">
        <f t="shared" si="88"/>
        <v>7.2668131833503596E-3</v>
      </c>
      <c r="E197" s="8">
        <f t="shared" si="89"/>
        <v>9.848538598446966E-3</v>
      </c>
      <c r="F197" s="3">
        <f t="shared" si="90"/>
        <v>0.73785700393114939</v>
      </c>
      <c r="G197" s="2">
        <f t="shared" si="91"/>
        <v>8.3799581727410306</v>
      </c>
      <c r="H197" s="2">
        <f t="shared" si="92"/>
        <v>11.198644803924163</v>
      </c>
      <c r="J197">
        <v>1</v>
      </c>
      <c r="K197" s="14">
        <f t="shared" si="107"/>
        <v>1</v>
      </c>
      <c r="L197" s="14">
        <f t="shared" si="108"/>
        <v>1</v>
      </c>
      <c r="M197" s="14">
        <f>IF(ISNA(VLOOKUP(C197,$C$26:$M$44,11,0)),($M$201-$M$196)*J197/5+$M$196, VLOOKUP(C197,$C$26:$M$44,11,0))</f>
        <v>0.51</v>
      </c>
      <c r="N197" s="40">
        <f>Z161+AA161+AB161*K197+AC161*L197+AD160*M196*$M$189</f>
        <v>5.0184426542290812E-3</v>
      </c>
      <c r="O197" s="2">
        <f t="shared" si="96"/>
        <v>5.8586611219301199</v>
      </c>
      <c r="P197" s="7">
        <f t="shared" si="97"/>
        <v>1.4480215644641388</v>
      </c>
      <c r="S197" s="9">
        <f t="shared" si="98"/>
        <v>-22.330523605828901</v>
      </c>
      <c r="T197" s="8">
        <f>VLOOKUP(ROUNDDOWN(S197,0),'Spline Pre-Adj'!A:B,2,0)</f>
        <v>1.2869999999999999</v>
      </c>
      <c r="U197" s="8">
        <f t="shared" si="99"/>
        <v>1.2869999999999999</v>
      </c>
      <c r="X197" s="9">
        <f t="shared" si="100"/>
        <v>-22.330523605828901</v>
      </c>
      <c r="Y197" s="8">
        <f>VLOOKUP(ROUNDDOWN(X197,0),'Spline Pre-Adj'!F:G,2,0)</f>
        <v>0.38089236111111102</v>
      </c>
      <c r="Z197" s="8">
        <f t="shared" si="101"/>
        <v>0.38089236111111102</v>
      </c>
      <c r="AC197" s="9">
        <f t="shared" si="102"/>
        <v>-22.330523605828901</v>
      </c>
      <c r="AD197" s="8">
        <f>VLOOKUP(ROUNDDOWN(AC197,0),'Spline Pre-Adj'!K:L,2,0)</f>
        <v>0.79645948376475795</v>
      </c>
      <c r="AE197" s="8">
        <f>AD197*M197</f>
        <v>0.40619433672002658</v>
      </c>
    </row>
    <row r="198" spans="1:31" x14ac:dyDescent="0.25">
      <c r="A198" s="4">
        <f t="shared" si="86"/>
        <v>-17.340948323743898</v>
      </c>
      <c r="B198" s="3">
        <f t="shared" si="87"/>
        <v>0.36545469520999996</v>
      </c>
      <c r="C198" s="2" t="str">
        <f t="shared" si="85"/>
        <v>08-2:-20--15</v>
      </c>
      <c r="D198" s="8">
        <f t="shared" si="88"/>
        <v>9.1309634628755198E-3</v>
      </c>
      <c r="E198" s="8">
        <f t="shared" si="89"/>
        <v>1.122682956678913E-2</v>
      </c>
      <c r="F198" s="3">
        <f t="shared" si="90"/>
        <v>0.81331629811914674</v>
      </c>
      <c r="G198" s="2">
        <f t="shared" si="91"/>
        <v>10.423293748869987</v>
      </c>
      <c r="H198" s="2">
        <f t="shared" si="92"/>
        <v>12.670678877919173</v>
      </c>
      <c r="J198">
        <v>2</v>
      </c>
      <c r="K198" s="14">
        <f t="shared" si="107"/>
        <v>1</v>
      </c>
      <c r="L198" s="14">
        <f t="shared" si="108"/>
        <v>1</v>
      </c>
      <c r="M198" s="14">
        <f>IF(ISNA(VLOOKUP(C198,$C$26:$M$44,11,0)),($M$201-$M$196)*J198/5+$M$196, VLOOKUP(C198,$C$26:$M$44,11,0))</f>
        <v>0.52</v>
      </c>
      <c r="N198" s="40">
        <f t="shared" ref="N198:N199" si="110">Z162+AA162+AB162*K198+AC162*L198+AD159*M195*$M$189</f>
        <v>4.1332619147248575E-3</v>
      </c>
      <c r="O198" s="2">
        <f t="shared" si="96"/>
        <v>4.8486999739627112</v>
      </c>
      <c r="P198" s="7">
        <f t="shared" si="97"/>
        <v>2.2091422346951242</v>
      </c>
      <c r="S198" s="9">
        <f t="shared" si="98"/>
        <v>-17.340948323743898</v>
      </c>
      <c r="T198" s="8">
        <f>VLOOKUP(ROUNDDOWN(S198,0),'Spline Pre-Adj'!A:B,2,0)</f>
        <v>1.2869999999999999</v>
      </c>
      <c r="U198" s="8">
        <f t="shared" si="99"/>
        <v>1.2869999999999999</v>
      </c>
      <c r="X198" s="9">
        <f t="shared" si="100"/>
        <v>-17.340948323743898</v>
      </c>
      <c r="Y198" s="8">
        <f>VLOOKUP(ROUNDDOWN(X198,0),'Spline Pre-Adj'!F:G,2,0)</f>
        <v>0.43050424626087003</v>
      </c>
      <c r="Z198" s="8">
        <f t="shared" si="101"/>
        <v>0.43050424626087003</v>
      </c>
      <c r="AC198" s="9">
        <f t="shared" si="102"/>
        <v>-17.340948323743898</v>
      </c>
      <c r="AD198" s="8">
        <f>VLOOKUP(ROUNDDOWN(AC198,0),'Spline Pre-Adj'!K:L,2,0)</f>
        <v>0.95362938111262996</v>
      </c>
      <c r="AE198" s="8">
        <f t="shared" si="103"/>
        <v>0.49588727817856759</v>
      </c>
    </row>
    <row r="199" spans="1:31" x14ac:dyDescent="0.25">
      <c r="A199" s="4">
        <f t="shared" si="86"/>
        <v>-12.3075783504489</v>
      </c>
      <c r="B199" s="3">
        <f t="shared" si="87"/>
        <v>0.59258684690999996</v>
      </c>
      <c r="C199" s="2" t="str">
        <f t="shared" si="85"/>
        <v>08-3:-15--10</v>
      </c>
      <c r="D199" s="8">
        <f t="shared" si="88"/>
        <v>5.2573451535049397E-3</v>
      </c>
      <c r="E199" s="8">
        <f t="shared" si="89"/>
        <v>1.2250183552477395E-2</v>
      </c>
      <c r="F199" s="3">
        <f t="shared" si="90"/>
        <v>0.42916460239011922</v>
      </c>
      <c r="G199" s="2">
        <f t="shared" si="91"/>
        <v>6.1295516587338224</v>
      </c>
      <c r="H199" s="2">
        <f t="shared" si="92"/>
        <v>13.749128539207911</v>
      </c>
      <c r="J199">
        <v>3</v>
      </c>
      <c r="K199" s="14">
        <f t="shared" si="107"/>
        <v>1</v>
      </c>
      <c r="L199" s="14">
        <f t="shared" si="108"/>
        <v>1</v>
      </c>
      <c r="M199" s="14">
        <f>IF(ISNA(VLOOKUP(C199,$C$26:$M$44,11,0)),($M$201-$M$196)*J199/5+$M$196, VLOOKUP(C199,$C$26:$M$44,11,0))</f>
        <v>0.53</v>
      </c>
      <c r="N199" s="40">
        <f t="shared" si="110"/>
        <v>4.9607620713761008E-3</v>
      </c>
      <c r="O199" s="2">
        <f t="shared" si="96"/>
        <v>5.79315005047828</v>
      </c>
      <c r="P199" s="7">
        <f t="shared" si="97"/>
        <v>1.0597857905421713</v>
      </c>
      <c r="S199" s="9">
        <f t="shared" si="98"/>
        <v>-12.3075783504489</v>
      </c>
      <c r="T199" s="8">
        <f>VLOOKUP(ROUNDDOWN(S199,0),'Spline Pre-Adj'!A:B,2,0)</f>
        <v>1.2869999999999999</v>
      </c>
      <c r="U199" s="8">
        <f t="shared" si="99"/>
        <v>1.2869999999999999</v>
      </c>
      <c r="X199" s="9">
        <f t="shared" si="100"/>
        <v>-12.3075783504489</v>
      </c>
      <c r="Y199" s="8">
        <f>VLOOKUP(ROUNDDOWN(X199,0),'Spline Pre-Adj'!F:G,2,0)</f>
        <v>0.48396474713043502</v>
      </c>
      <c r="Z199" s="8">
        <f t="shared" si="101"/>
        <v>0.48396474713043502</v>
      </c>
      <c r="AC199" s="9">
        <f t="shared" si="102"/>
        <v>-12.3075783504489</v>
      </c>
      <c r="AD199" s="8">
        <f>VLOOKUP(ROUNDDOWN(AC199,0),'Spline Pre-Adj'!K:L,2,0)</f>
        <v>1.08142635820954</v>
      </c>
      <c r="AE199" s="8">
        <f t="shared" si="103"/>
        <v>0.57315596985105621</v>
      </c>
    </row>
    <row r="200" spans="1:31" x14ac:dyDescent="0.25">
      <c r="A200" s="4">
        <f t="shared" si="86"/>
        <v>-7.2936691685875399</v>
      </c>
      <c r="B200" s="3">
        <f t="shared" si="87"/>
        <v>0.94387347277</v>
      </c>
      <c r="C200" s="2" t="str">
        <f t="shared" si="85"/>
        <v>08-4:-10--5</v>
      </c>
      <c r="D200" s="8">
        <f t="shared" si="88"/>
        <v>6.0885217157423104E-3</v>
      </c>
      <c r="E200" s="8">
        <f t="shared" si="89"/>
        <v>1.3291836698959045E-2</v>
      </c>
      <c r="F200" s="3">
        <f t="shared" si="90"/>
        <v>0.45806473955695942</v>
      </c>
      <c r="G200" s="2">
        <f t="shared" si="91"/>
        <v>7.0664615021935218</v>
      </c>
      <c r="H200" s="2">
        <f t="shared" si="92"/>
        <v>14.834312811602812</v>
      </c>
      <c r="J200">
        <v>4</v>
      </c>
      <c r="K200" s="14">
        <f t="shared" si="107"/>
        <v>1</v>
      </c>
      <c r="L200" s="14">
        <f t="shared" si="108"/>
        <v>1</v>
      </c>
      <c r="M200" s="14">
        <f>IF(ISNA(VLOOKUP(C200,$C$26:$M$44,11,0)),($M$201-$M$196)*J200/5+$M$196, VLOOKUP(C200,$C$26:$M$44,11,0))</f>
        <v>0.54</v>
      </c>
      <c r="N200" s="40">
        <f t="shared" ref="N200:N216" si="111">Z164+AA164+AB164*K200+AC164*L200+AD161*M197*$M$189</f>
        <v>6.1184619209221549E-3</v>
      </c>
      <c r="O200" s="2">
        <f t="shared" si="96"/>
        <v>7.10004986480266</v>
      </c>
      <c r="P200" s="7">
        <f t="shared" si="97"/>
        <v>0.99510657979622896</v>
      </c>
      <c r="S200" s="9">
        <f t="shared" si="98"/>
        <v>-7.2936691685875399</v>
      </c>
      <c r="T200" s="8">
        <f>VLOOKUP(ROUNDDOWN(S200,0),'Spline Pre-Adj'!A:B,2,0)</f>
        <v>1.2869999999999999</v>
      </c>
      <c r="U200" s="8">
        <f t="shared" si="99"/>
        <v>1.2869999999999999</v>
      </c>
      <c r="X200" s="9">
        <f t="shared" si="100"/>
        <v>-7.2936691685875399</v>
      </c>
      <c r="Y200" s="8">
        <f>VLOOKUP(ROUNDDOWN(X200,0),'Spline Pre-Adj'!F:G,2,0)</f>
        <v>0.54485561321739095</v>
      </c>
      <c r="Z200" s="8">
        <f t="shared" si="101"/>
        <v>0.54485561321739095</v>
      </c>
      <c r="AC200" s="9">
        <f t="shared" si="102"/>
        <v>-7.2936691685875399</v>
      </c>
      <c r="AD200" s="8">
        <f>VLOOKUP(ROUNDDOWN(AC200,0),'Spline Pre-Adj'!K:L,2,0)</f>
        <v>1.1993277822989601</v>
      </c>
      <c r="AE200" s="8">
        <f t="shared" si="103"/>
        <v>0.64763700244143851</v>
      </c>
    </row>
    <row r="201" spans="1:31" x14ac:dyDescent="0.25">
      <c r="A201" s="4">
        <f t="shared" si="86"/>
        <v>-2.3690024011631201</v>
      </c>
      <c r="B201" s="3">
        <f t="shared" si="87"/>
        <v>1.42725197902</v>
      </c>
      <c r="C201" s="2" t="str">
        <f t="shared" si="85"/>
        <v>08:-25-0</v>
      </c>
      <c r="D201" s="8">
        <f t="shared" si="88"/>
        <v>7.4844163330891299E-3</v>
      </c>
      <c r="E201" s="8">
        <f t="shared" si="89"/>
        <v>1.4566569453203159E-2</v>
      </c>
      <c r="F201" s="3">
        <f t="shared" si="90"/>
        <v>0.51380775392131339</v>
      </c>
      <c r="G201" s="2">
        <f t="shared" si="91"/>
        <v>8.6206608161297549</v>
      </c>
      <c r="H201" s="2">
        <f t="shared" si="92"/>
        <v>16.145282909137094</v>
      </c>
      <c r="K201" s="14">
        <f t="shared" si="107"/>
        <v>1</v>
      </c>
      <c r="L201" s="14">
        <f t="shared" si="108"/>
        <v>1</v>
      </c>
      <c r="M201" s="14">
        <f>IF(ISNA(VLOOKUP(C201,$C$26:$M$44,11,0)),($M$202-$M$197)*J200/5+$M$197, VLOOKUP(C201,$C$26:$M$44,11,0))</f>
        <v>0.55000000000000004</v>
      </c>
      <c r="N201" s="40">
        <f t="shared" si="111"/>
        <v>6.8091319216991471E-3</v>
      </c>
      <c r="O201" s="2">
        <f t="shared" si="96"/>
        <v>7.8717942275912334</v>
      </c>
      <c r="P201" s="7">
        <f t="shared" si="97"/>
        <v>1.0991733482557455</v>
      </c>
      <c r="S201" s="9">
        <f t="shared" si="98"/>
        <v>-2.3690024011631201</v>
      </c>
      <c r="T201" s="8">
        <f>VLOOKUP(ROUNDDOWN(S201,0),'Spline Pre-Adj'!A:B,2,0)</f>
        <v>1.2869999999999999</v>
      </c>
      <c r="U201" s="8">
        <f t="shared" si="99"/>
        <v>1.2869999999999999</v>
      </c>
      <c r="X201" s="9">
        <f t="shared" si="100"/>
        <v>-2.3690024011631201</v>
      </c>
      <c r="Y201" s="8">
        <f>VLOOKUP(ROUNDDOWN(X201,0),'Spline Pre-Adj'!F:G,2,0)</f>
        <v>0.61797136626086902</v>
      </c>
      <c r="Z201" s="8">
        <f t="shared" si="101"/>
        <v>0.61797136626086902</v>
      </c>
      <c r="AC201" s="9">
        <f t="shared" si="102"/>
        <v>-2.3690024011631201</v>
      </c>
      <c r="AD201" s="8">
        <f>VLOOKUP(ROUNDDOWN(AC201,0),'Spline Pre-Adj'!K:L,2,0)</f>
        <v>1.3122379125033801</v>
      </c>
      <c r="AE201" s="8">
        <f t="shared" si="103"/>
        <v>0.72173085187685915</v>
      </c>
    </row>
    <row r="202" spans="1:31" x14ac:dyDescent="0.25">
      <c r="A202" s="4">
        <f t="shared" si="86"/>
        <v>2.59002435886944</v>
      </c>
      <c r="B202" s="3">
        <f t="shared" si="87"/>
        <v>1.9073757019699999</v>
      </c>
      <c r="C202" s="2" t="str">
        <f t="shared" si="85"/>
        <v>09-1:0-5</v>
      </c>
      <c r="D202" s="8">
        <f t="shared" si="88"/>
        <v>9.9887335408712693E-3</v>
      </c>
      <c r="E202" s="8">
        <f t="shared" si="89"/>
        <v>1.5579188406815828E-2</v>
      </c>
      <c r="F202" s="3">
        <f t="shared" si="90"/>
        <v>0.64115878696872564</v>
      </c>
      <c r="G202" s="2">
        <f t="shared" si="91"/>
        <v>11.349407320487003</v>
      </c>
      <c r="H202" s="2">
        <f t="shared" si="92"/>
        <v>17.173475482044687</v>
      </c>
      <c r="J202">
        <v>1</v>
      </c>
      <c r="K202" s="14">
        <f t="shared" si="107"/>
        <v>1</v>
      </c>
      <c r="L202" s="14">
        <f t="shared" si="108"/>
        <v>1</v>
      </c>
      <c r="M202" s="14">
        <f>IF(ISNA(VLOOKUP(C202,$C$26:$M$44,11,0)),($M$206-$M$201)*J202/5+$M$201, VLOOKUP(C202,$C$26:$M$44,11,0))</f>
        <v>0.60000000000000009</v>
      </c>
      <c r="N202" s="40">
        <f t="shared" si="111"/>
        <v>7.4484777559833595E-3</v>
      </c>
      <c r="O202" s="2">
        <f t="shared" si="96"/>
        <v>8.5809472125998099</v>
      </c>
      <c r="P202" s="7">
        <f t="shared" si="97"/>
        <v>1.3410436156364061</v>
      </c>
      <c r="S202" s="9">
        <f>A202</f>
        <v>2.59002435886944</v>
      </c>
      <c r="T202" s="8">
        <f>VLOOKUP(ROUNDDOWN(S202,0),'Spline Pre-Adj'!A:B,2,0)</f>
        <v>1.2869999999999999</v>
      </c>
      <c r="U202" s="8">
        <f>T202*K202</f>
        <v>1.2869999999999999</v>
      </c>
      <c r="X202" s="9">
        <f t="shared" si="100"/>
        <v>2.59002435886944</v>
      </c>
      <c r="Y202" s="8">
        <f>VLOOKUP(ROUNDDOWN(X202,0),'Spline Pre-Adj'!F:G,2,0)</f>
        <v>0.68848780591304304</v>
      </c>
      <c r="Z202" s="8">
        <f t="shared" si="101"/>
        <v>0.68848780591304304</v>
      </c>
      <c r="AC202" s="9">
        <f t="shared" si="102"/>
        <v>2.59002435886944</v>
      </c>
      <c r="AD202" s="8">
        <f>VLOOKUP(ROUNDDOWN(AC202,0),'Spline Pre-Adj'!K:L,2,0)</f>
        <v>1.4018480364105399</v>
      </c>
      <c r="AE202" s="8">
        <f t="shared" si="103"/>
        <v>0.84110882184632407</v>
      </c>
    </row>
    <row r="203" spans="1:31" x14ac:dyDescent="0.25">
      <c r="A203" s="4">
        <f t="shared" si="86"/>
        <v>7.6405272530034596</v>
      </c>
      <c r="B203" s="3">
        <f t="shared" si="87"/>
        <v>2.6416460005799998</v>
      </c>
      <c r="C203" s="2" t="str">
        <f t="shared" si="85"/>
        <v>09-2:5-10</v>
      </c>
      <c r="D203" s="8">
        <f t="shared" si="88"/>
        <v>7.7648726422118496E-3</v>
      </c>
      <c r="E203" s="8">
        <f t="shared" si="89"/>
        <v>1.6405996056324108E-2</v>
      </c>
      <c r="F203" s="3">
        <f t="shared" si="90"/>
        <v>0.47329480121499129</v>
      </c>
      <c r="G203" s="2">
        <f t="shared" si="91"/>
        <v>8.9300337352935308</v>
      </c>
      <c r="H203" s="2">
        <f t="shared" si="92"/>
        <v>18.004414560687753</v>
      </c>
      <c r="J203">
        <v>2</v>
      </c>
      <c r="K203" s="14">
        <f t="shared" si="107"/>
        <v>1</v>
      </c>
      <c r="L203" s="14">
        <f t="shared" si="108"/>
        <v>1</v>
      </c>
      <c r="M203" s="14">
        <f>IF(ISNA(VLOOKUP(C203,$C$26:$M$44,11,0)),($M$206-$M$201)*J203/5+$M$201, VLOOKUP(C203,$C$26:$M$44,11,0))</f>
        <v>0.65</v>
      </c>
      <c r="N203" s="40">
        <f t="shared" si="111"/>
        <v>8.1250461991188433E-3</v>
      </c>
      <c r="O203" s="2">
        <f t="shared" si="96"/>
        <v>9.3259349024144669</v>
      </c>
      <c r="P203" s="7">
        <f t="shared" si="97"/>
        <v>0.95567119889779162</v>
      </c>
      <c r="X203" s="9">
        <f t="shared" si="100"/>
        <v>7.6405272530034596</v>
      </c>
      <c r="Y203" s="8">
        <f>VLOOKUP(ROUNDDOWN(X203,0),'Spline Pre-Adj'!F:G,2,0)</f>
        <v>0.79418177251202804</v>
      </c>
      <c r="Z203" s="8">
        <f t="shared" si="101"/>
        <v>0.79418177251202804</v>
      </c>
      <c r="AC203" s="9">
        <f t="shared" si="102"/>
        <v>7.6405272530034596</v>
      </c>
      <c r="AD203" s="8">
        <f>VLOOKUP(ROUNDDOWN(AC203,0),'Spline Pre-Adj'!K:L,2,0)</f>
        <v>1.51655790515</v>
      </c>
      <c r="AE203" s="8">
        <f t="shared" si="103"/>
        <v>0.9857626383475</v>
      </c>
    </row>
    <row r="204" spans="1:31" x14ac:dyDescent="0.25">
      <c r="A204" s="4">
        <f t="shared" si="86"/>
        <v>12.6307763154631</v>
      </c>
      <c r="B204" s="3">
        <f t="shared" si="87"/>
        <v>3.6059779399699998</v>
      </c>
      <c r="C204" s="2" t="str">
        <f t="shared" si="85"/>
        <v>09-3:10-15</v>
      </c>
      <c r="D204" s="8">
        <f t="shared" si="88"/>
        <v>1.09324068628528E-2</v>
      </c>
      <c r="E204" s="8">
        <f t="shared" si="89"/>
        <v>1.7577944426658561E-2</v>
      </c>
      <c r="F204" s="3">
        <f t="shared" si="90"/>
        <v>0.62193886824859934</v>
      </c>
      <c r="G204" s="2">
        <f t="shared" si="91"/>
        <v>12.358123248222263</v>
      </c>
      <c r="H204" s="2">
        <f t="shared" si="92"/>
        <v>19.169131184681365</v>
      </c>
      <c r="J204">
        <v>3</v>
      </c>
      <c r="K204" s="14">
        <f t="shared" si="107"/>
        <v>1</v>
      </c>
      <c r="L204" s="14">
        <f t="shared" si="108"/>
        <v>1</v>
      </c>
      <c r="M204" s="14">
        <f>IF(ISNA(VLOOKUP(C204,$C$26:$M$44,11,0)),($M$206-$M$201)*J204/5+$M$201, VLOOKUP(C204,$C$26:$M$44,11,0))</f>
        <v>0.70000000000000007</v>
      </c>
      <c r="N204" s="40">
        <f t="shared" si="111"/>
        <v>8.8609836372402009E-3</v>
      </c>
      <c r="O204" s="2">
        <f t="shared" si="96"/>
        <v>10.12997331710338</v>
      </c>
      <c r="P204" s="7">
        <f t="shared" si="97"/>
        <v>1.2337689934226934</v>
      </c>
      <c r="X204" s="9">
        <f t="shared" si="100"/>
        <v>12.6307763154631</v>
      </c>
      <c r="Y204" s="8">
        <f>VLOOKUP(ROUNDDOWN(X204,0),'Spline Pre-Adj'!F:G,2,0)</f>
        <v>0.91120038717590501</v>
      </c>
      <c r="Z204" s="8">
        <f t="shared" si="101"/>
        <v>0.91120038717590501</v>
      </c>
      <c r="AC204" s="9">
        <f t="shared" si="102"/>
        <v>12.6307763154631</v>
      </c>
      <c r="AD204" s="8">
        <f>VLOOKUP(ROUNDDOWN(AC204,0),'Spline Pre-Adj'!K:L,2,0)</f>
        <v>1.6382587772578501</v>
      </c>
      <c r="AE204" s="8">
        <f t="shared" si="103"/>
        <v>1.1467811440804951</v>
      </c>
    </row>
    <row r="205" spans="1:31" x14ac:dyDescent="0.25">
      <c r="A205" s="4">
        <f t="shared" si="86"/>
        <v>17.622381253042899</v>
      </c>
      <c r="B205" s="3">
        <f t="shared" si="87"/>
        <v>4.9576649471099996</v>
      </c>
      <c r="C205" s="2" t="str">
        <f t="shared" si="85"/>
        <v>09-4:15-20</v>
      </c>
      <c r="D205" s="8">
        <f t="shared" si="88"/>
        <v>1.0233013498787901E-2</v>
      </c>
      <c r="E205" s="8">
        <f t="shared" si="89"/>
        <v>1.880846747823307E-2</v>
      </c>
      <c r="F205" s="3">
        <f t="shared" si="90"/>
        <v>0.54406418335946338</v>
      </c>
      <c r="G205" s="2">
        <f t="shared" si="91"/>
        <v>11.611540077245241</v>
      </c>
      <c r="H205" s="2">
        <f t="shared" si="92"/>
        <v>20.375723320377681</v>
      </c>
      <c r="J205">
        <v>4</v>
      </c>
      <c r="K205" s="14">
        <f t="shared" si="107"/>
        <v>1</v>
      </c>
      <c r="L205" s="14">
        <f t="shared" si="108"/>
        <v>1</v>
      </c>
      <c r="M205" s="14">
        <f>IF(ISNA(VLOOKUP(C205,$C$26:$M$44,11,0)),($M$206-$M$201)*J205/5+$M$201, VLOOKUP(C205,$C$26:$M$44,11,0))</f>
        <v>0.75</v>
      </c>
      <c r="N205" s="40">
        <f t="shared" si="111"/>
        <v>9.9022162323551387E-3</v>
      </c>
      <c r="O205" s="2">
        <f t="shared" si="96"/>
        <v>11.256396279379766</v>
      </c>
      <c r="P205" s="7">
        <f t="shared" si="97"/>
        <v>1.0334063868805343</v>
      </c>
      <c r="X205" s="9">
        <f t="shared" si="100"/>
        <v>17.622381253042899</v>
      </c>
      <c r="Y205" s="8">
        <f>VLOOKUP(ROUNDDOWN(X205,0),'Spline Pre-Adj'!F:G,2,0)</f>
        <v>1.0442240375289999</v>
      </c>
      <c r="Z205" s="8">
        <f t="shared" si="101"/>
        <v>1.0442240375289999</v>
      </c>
      <c r="AC205" s="9">
        <f t="shared" si="102"/>
        <v>17.622381253042899</v>
      </c>
      <c r="AD205" s="8">
        <f>VLOOKUP(ROUNDDOWN(AC205,0),'Spline Pre-Adj'!K:L,2,0)</f>
        <v>1.77123004461028</v>
      </c>
      <c r="AE205" s="8">
        <f t="shared" si="103"/>
        <v>1.32842253345771</v>
      </c>
    </row>
    <row r="206" spans="1:31" x14ac:dyDescent="0.25">
      <c r="A206" s="4">
        <f t="shared" si="86"/>
        <v>22.560662303897001</v>
      </c>
      <c r="B206" s="3">
        <f t="shared" si="87"/>
        <v>6.4084058070000003</v>
      </c>
      <c r="C206" s="2" t="str">
        <f t="shared" si="85"/>
        <v>09:0-25</v>
      </c>
      <c r="D206" s="8">
        <f t="shared" si="88"/>
        <v>1.17905407112762E-2</v>
      </c>
      <c r="E206" s="8">
        <f t="shared" si="89"/>
        <v>2.0427545270980521E-2</v>
      </c>
      <c r="F206" s="3">
        <f t="shared" si="90"/>
        <v>0.57718832854703817</v>
      </c>
      <c r="G206" s="2">
        <f t="shared" si="91"/>
        <v>13.266258665496222</v>
      </c>
      <c r="H206" s="2">
        <f t="shared" si="92"/>
        <v>21.938161986626202</v>
      </c>
      <c r="K206" s="14">
        <f t="shared" si="107"/>
        <v>1</v>
      </c>
      <c r="L206" s="14">
        <f t="shared" si="108"/>
        <v>1</v>
      </c>
      <c r="M206" s="14">
        <f>IF(ISNA(VLOOKUP(C206,$C$26:$M$44,11,0)),($M$207-$M$202)*J205/5+$M$202, VLOOKUP(C206,$C$26:$M$44,11,0))</f>
        <v>0.8</v>
      </c>
      <c r="N206" s="40">
        <f t="shared" si="111"/>
        <v>1.0955412392329644E-2</v>
      </c>
      <c r="O206" s="2">
        <f t="shared" si="96"/>
        <v>12.382582525341235</v>
      </c>
      <c r="P206" s="7">
        <f t="shared" si="97"/>
        <v>1.0762297473649887</v>
      </c>
      <c r="X206" s="9">
        <f t="shared" si="100"/>
        <v>22.560662303897001</v>
      </c>
      <c r="Y206" s="8">
        <f>VLOOKUP(ROUNDDOWN(X206,0),'Spline Pre-Adj'!F:G,2,0)</f>
        <v>1.20153726214034</v>
      </c>
      <c r="Z206" s="8">
        <f t="shared" si="101"/>
        <v>1.20153726214034</v>
      </c>
      <c r="AC206" s="9">
        <f t="shared" si="102"/>
        <v>22.560662303897001</v>
      </c>
      <c r="AD206" s="8">
        <f>VLOOKUP(ROUNDDOWN(AC206,0),'Spline Pre-Adj'!K:L,2,0)</f>
        <v>1.91883456513696</v>
      </c>
      <c r="AE206" s="8">
        <f t="shared" si="103"/>
        <v>1.5350676521095681</v>
      </c>
    </row>
    <row r="207" spans="1:31" s="17" customFormat="1" x14ac:dyDescent="0.25">
      <c r="A207" s="4">
        <f t="shared" si="86"/>
        <v>27.5693575745095</v>
      </c>
      <c r="B207" s="3">
        <f t="shared" si="87"/>
        <v>7.5723570576499997</v>
      </c>
      <c r="C207" s="2" t="str">
        <f t="shared" si="85"/>
        <v>10-1:25-30</v>
      </c>
      <c r="D207" s="8">
        <f t="shared" si="88"/>
        <v>1.32088609042242E-2</v>
      </c>
      <c r="E207" s="8">
        <f t="shared" si="89"/>
        <v>2.1966441026988678E-2</v>
      </c>
      <c r="F207" s="3">
        <f t="shared" si="90"/>
        <v>0.60132002667138329</v>
      </c>
      <c r="G207" s="2">
        <f t="shared" si="91"/>
        <v>14.748330428502598</v>
      </c>
      <c r="H207" s="2">
        <f t="shared" si="92"/>
        <v>23.397122746612254</v>
      </c>
      <c r="I207"/>
      <c r="J207">
        <v>1</v>
      </c>
      <c r="K207" s="14">
        <f t="shared" si="107"/>
        <v>1</v>
      </c>
      <c r="L207" s="14">
        <f t="shared" si="108"/>
        <v>1</v>
      </c>
      <c r="M207" s="14">
        <f>IF(ISNA(VLOOKUP(C207,$C$26:$M$44,11,0)),($M$211-$M$206)*J207/5+$M$206, VLOOKUP(C207,$C$26:$M$44,11,0))</f>
        <v>0.85000000000000009</v>
      </c>
      <c r="N207" s="40">
        <f t="shared" si="111"/>
        <v>1.2308917769989394E-2</v>
      </c>
      <c r="O207" s="2">
        <f t="shared" si="96"/>
        <v>13.810652875691243</v>
      </c>
      <c r="P207" s="7">
        <f t="shared" si="97"/>
        <v>1.0731130998721086</v>
      </c>
      <c r="Q207"/>
      <c r="R207"/>
      <c r="S207"/>
      <c r="T207"/>
      <c r="U207"/>
      <c r="V207"/>
      <c r="W207"/>
      <c r="X207" s="9">
        <f t="shared" si="100"/>
        <v>27.5693575745095</v>
      </c>
      <c r="Y207" s="8">
        <f>VLOOKUP(ROUNDDOWN(X207,0),'Spline Pre-Adj'!F:G,2,0)</f>
        <v>1.39142459957894</v>
      </c>
      <c r="Z207" s="8">
        <f t="shared" si="101"/>
        <v>1.39142459957894</v>
      </c>
      <c r="AA207"/>
      <c r="AB207"/>
      <c r="AC207" s="9">
        <f t="shared" si="102"/>
        <v>27.5693575745095</v>
      </c>
      <c r="AD207" s="8">
        <f>VLOOKUP(ROUNDDOWN(AC207,0),'Spline Pre-Adj'!K:L,2,0)</f>
        <v>2.0788177485891102</v>
      </c>
      <c r="AE207" s="8">
        <f t="shared" si="103"/>
        <v>1.7669950863007438</v>
      </c>
    </row>
    <row r="208" spans="1:31" s="17" customFormat="1" x14ac:dyDescent="0.25">
      <c r="A208" s="4">
        <f t="shared" si="86"/>
        <v>32.521652477581597</v>
      </c>
      <c r="B208" s="3">
        <f t="shared" si="87"/>
        <v>8.1466656607499992</v>
      </c>
      <c r="C208" s="2" t="str">
        <f t="shared" si="85"/>
        <v>10-2:30-35</v>
      </c>
      <c r="D208" s="8">
        <f t="shared" si="88"/>
        <v>1.46823739871639E-2</v>
      </c>
      <c r="E208" s="8">
        <f t="shared" si="89"/>
        <v>2.3717903526467667E-2</v>
      </c>
      <c r="F208" s="3">
        <f t="shared" si="90"/>
        <v>0.61904181247635603</v>
      </c>
      <c r="G208" s="2">
        <f t="shared" si="91"/>
        <v>16.263458105646599</v>
      </c>
      <c r="H208" s="2">
        <f t="shared" si="92"/>
        <v>25.027170596465474</v>
      </c>
      <c r="I208"/>
      <c r="J208">
        <v>2</v>
      </c>
      <c r="K208" s="14">
        <f t="shared" si="107"/>
        <v>1</v>
      </c>
      <c r="L208" s="14">
        <f t="shared" si="108"/>
        <v>1</v>
      </c>
      <c r="M208" s="14">
        <f>IF(ISNA(VLOOKUP(C208,$C$26:$M$44,11,0)),($M$211-$M$206)*J208/5+$M$206, VLOOKUP(C208,$C$26:$M$44,11,0))</f>
        <v>0.9</v>
      </c>
      <c r="N208" s="40">
        <f t="shared" si="111"/>
        <v>1.3815376435476201E-2</v>
      </c>
      <c r="O208" s="2">
        <f t="shared" si="96"/>
        <v>15.374992231668994</v>
      </c>
      <c r="P208" s="7">
        <f t="shared" si="97"/>
        <v>1.0627559846622314</v>
      </c>
      <c r="Q208"/>
      <c r="R208"/>
      <c r="S208"/>
      <c r="T208"/>
      <c r="U208"/>
      <c r="V208"/>
      <c r="W208"/>
      <c r="X208" s="9">
        <f t="shared" si="100"/>
        <v>32.521652477581597</v>
      </c>
      <c r="Y208" s="8">
        <f>VLOOKUP(ROUNDDOWN(X208,0),'Spline Pre-Adj'!F:G,2,0)</f>
        <v>1.62333231153945</v>
      </c>
      <c r="Z208" s="8">
        <f t="shared" si="101"/>
        <v>1.62333231153945</v>
      </c>
      <c r="AA208"/>
      <c r="AB208"/>
      <c r="AC208" s="9">
        <f t="shared" si="102"/>
        <v>32.521652477581597</v>
      </c>
      <c r="AD208" s="8">
        <f>VLOOKUP(ROUNDDOWN(AC208,0),'Spline Pre-Adj'!K:L,2,0)</f>
        <v>2.2487416798578299</v>
      </c>
      <c r="AE208" s="8">
        <f t="shared" si="103"/>
        <v>2.0238675118720471</v>
      </c>
    </row>
    <row r="209" spans="1:31" s="17" customFormat="1" x14ac:dyDescent="0.25">
      <c r="A209" s="4">
        <f t="shared" si="86"/>
        <v>37.529892332128099</v>
      </c>
      <c r="B209" s="3">
        <f t="shared" si="87"/>
        <v>8.4937133912700009</v>
      </c>
      <c r="C209" s="2" t="str">
        <f t="shared" si="85"/>
        <v>10-3:35-40</v>
      </c>
      <c r="D209" s="8">
        <f t="shared" si="88"/>
        <v>1.5917083182671599E-2</v>
      </c>
      <c r="E209" s="8">
        <f t="shared" si="89"/>
        <v>2.528276425698528E-2</v>
      </c>
      <c r="F209" s="3">
        <f t="shared" si="90"/>
        <v>0.62956261510344658</v>
      </c>
      <c r="G209" s="2">
        <f t="shared" si="91"/>
        <v>17.51398688830248</v>
      </c>
      <c r="H209" s="2">
        <f t="shared" si="92"/>
        <v>26.456592512491007</v>
      </c>
      <c r="I209"/>
      <c r="J209">
        <v>3</v>
      </c>
      <c r="K209" s="14">
        <f t="shared" si="107"/>
        <v>1</v>
      </c>
      <c r="L209" s="14">
        <f t="shared" si="108"/>
        <v>1</v>
      </c>
      <c r="M209" s="14">
        <f>IF(ISNA(VLOOKUP(C209,$C$26:$M$44,11,0)),($M$211-$M$206)*J209/5+$M$206, VLOOKUP(C209,$C$26:$M$44,11,0))</f>
        <v>0.95000000000000007</v>
      </c>
      <c r="N209" s="40">
        <f t="shared" si="111"/>
        <v>1.5707765664370925E-2</v>
      </c>
      <c r="O209" s="2">
        <f t="shared" si="96"/>
        <v>17.303200009508323</v>
      </c>
      <c r="P209" s="7">
        <f t="shared" si="97"/>
        <v>1.0133257347208493</v>
      </c>
      <c r="Q209"/>
      <c r="R209"/>
      <c r="S209"/>
      <c r="T209"/>
      <c r="U209"/>
      <c r="V209"/>
      <c r="W209"/>
      <c r="X209" s="9">
        <f t="shared" si="100"/>
        <v>37.529892332128099</v>
      </c>
      <c r="Y209" s="8">
        <f>VLOOKUP(ROUNDDOWN(X209,0),'Spline Pre-Adj'!F:G,2,0)</f>
        <v>1.89537379409471</v>
      </c>
      <c r="Z209" s="8">
        <f t="shared" si="101"/>
        <v>1.89537379409471</v>
      </c>
      <c r="AA209"/>
      <c r="AB209"/>
      <c r="AC209" s="9">
        <f t="shared" si="102"/>
        <v>37.529892332128099</v>
      </c>
      <c r="AD209" s="8">
        <f>VLOOKUP(ROUNDDOWN(AC209,0),'Spline Pre-Adj'!K:L,2,0)</f>
        <v>2.4264029166777901</v>
      </c>
      <c r="AE209" s="8">
        <f t="shared" si="103"/>
        <v>2.3050827708439008</v>
      </c>
    </row>
    <row r="210" spans="1:31" s="17" customFormat="1" x14ac:dyDescent="0.25">
      <c r="A210" s="4">
        <f t="shared" si="86"/>
        <v>42.500046610637099</v>
      </c>
      <c r="B210" s="3">
        <f t="shared" si="87"/>
        <v>9.0439406711100006</v>
      </c>
      <c r="C210" s="2" t="str">
        <f t="shared" si="85"/>
        <v>10-4:40-45</v>
      </c>
      <c r="D210" s="8">
        <f t="shared" si="88"/>
        <v>1.76283117670561E-2</v>
      </c>
      <c r="E210" s="8">
        <f t="shared" si="89"/>
        <v>2.6660589297325885E-2</v>
      </c>
      <c r="F210" s="3">
        <f t="shared" si="90"/>
        <v>0.66121238245938763</v>
      </c>
      <c r="G210" s="2">
        <f t="shared" si="91"/>
        <v>19.218846128225152</v>
      </c>
      <c r="H210" s="2">
        <f t="shared" si="92"/>
        <v>27.694438874601591</v>
      </c>
      <c r="I210"/>
      <c r="J210">
        <v>4</v>
      </c>
      <c r="K210" s="14">
        <f t="shared" si="107"/>
        <v>1</v>
      </c>
      <c r="L210" s="14">
        <f t="shared" si="108"/>
        <v>1</v>
      </c>
      <c r="M210" s="14">
        <f>IF(ISNA(VLOOKUP(C210,$C$26:$M$44,11,0)),($M$211-$M$206)*J210/5+$M$206, VLOOKUP(C210,$C$26:$M$44,11,0))</f>
        <v>1</v>
      </c>
      <c r="N210" s="40">
        <f t="shared" si="111"/>
        <v>1.7652756892433084E-2</v>
      </c>
      <c r="O210" s="2">
        <f t="shared" si="96"/>
        <v>19.242964517068273</v>
      </c>
      <c r="P210" s="7">
        <f t="shared" si="97"/>
        <v>0.99861522335995789</v>
      </c>
      <c r="Q210"/>
      <c r="R210"/>
      <c r="S210"/>
      <c r="T210"/>
      <c r="U210"/>
      <c r="V210"/>
      <c r="W210"/>
      <c r="X210" s="9">
        <f t="shared" si="100"/>
        <v>42.500046610637099</v>
      </c>
      <c r="Y210" s="8">
        <f>VLOOKUP(ROUNDDOWN(X210,0),'Spline Pre-Adj'!F:G,2,0)</f>
        <v>2.1927887580772198</v>
      </c>
      <c r="Z210" s="8">
        <f t="shared" si="101"/>
        <v>2.1927887580772198</v>
      </c>
      <c r="AA210"/>
      <c r="AB210"/>
      <c r="AC210" s="9">
        <f t="shared" si="102"/>
        <v>42.500046610637099</v>
      </c>
      <c r="AD210" s="8">
        <f>VLOOKUP(ROUNDDOWN(AC210,0),'Spline Pre-Adj'!K:L,2,0)</f>
        <v>2.6095980167836599</v>
      </c>
      <c r="AE210" s="8">
        <f t="shared" si="103"/>
        <v>2.6095980167836599</v>
      </c>
    </row>
    <row r="211" spans="1:31" s="17" customFormat="1" x14ac:dyDescent="0.25">
      <c r="A211" s="4">
        <f t="shared" si="86"/>
        <v>47.5599904408217</v>
      </c>
      <c r="B211" s="3">
        <f t="shared" si="87"/>
        <v>9.8485736136700002</v>
      </c>
      <c r="C211" s="2" t="str">
        <f t="shared" si="85"/>
        <v>10:25-50</v>
      </c>
      <c r="D211" s="8">
        <f t="shared" si="88"/>
        <v>1.8418498717442899E-2</v>
      </c>
      <c r="E211" s="8">
        <f t="shared" si="89"/>
        <v>2.8297374457413864E-2</v>
      </c>
      <c r="F211" s="3">
        <f t="shared" si="90"/>
        <v>0.65089072999199338</v>
      </c>
      <c r="G211" s="2">
        <f t="shared" si="91"/>
        <v>19.995137734802981</v>
      </c>
      <c r="H211" s="2">
        <f t="shared" si="92"/>
        <v>29.140103386118643</v>
      </c>
      <c r="I211"/>
      <c r="J211"/>
      <c r="K211" s="14">
        <f t="shared" si="107"/>
        <v>1</v>
      </c>
      <c r="L211" s="14">
        <f t="shared" si="108"/>
        <v>1</v>
      </c>
      <c r="M211" s="14">
        <f>IF(ISNA(VLOOKUP(C211,$C$26:$M$44,11,0)),($M$212-$M$207)*J210/5+$M$207, VLOOKUP(C211,$C$26:$M$44,11,0))</f>
        <v>1.05</v>
      </c>
      <c r="N211" s="40">
        <f t="shared" si="111"/>
        <v>1.9887867606677705E-2</v>
      </c>
      <c r="O211" s="2">
        <f t="shared" si="96"/>
        <v>21.420514287525748</v>
      </c>
      <c r="P211" s="7">
        <f t="shared" si="97"/>
        <v>0.92611732347104725</v>
      </c>
      <c r="Q211"/>
      <c r="R211"/>
      <c r="S211"/>
      <c r="T211"/>
      <c r="U211"/>
      <c r="V211"/>
      <c r="W211"/>
      <c r="X211" s="9">
        <f t="shared" si="100"/>
        <v>47.5599904408217</v>
      </c>
      <c r="Y211" s="8">
        <f>VLOOKUP(ROUNDDOWN(X211,0),'Spline Pre-Adj'!F:G,2,0)</f>
        <v>2.5005891560507401</v>
      </c>
      <c r="Z211" s="8">
        <f t="shared" si="101"/>
        <v>2.5005891560507401</v>
      </c>
      <c r="AA211"/>
      <c r="AB211"/>
      <c r="AC211" s="9">
        <f t="shared" si="102"/>
        <v>47.5599904408217</v>
      </c>
      <c r="AD211" s="8">
        <f>VLOOKUP(ROUNDDOWN(AC211,0),'Spline Pre-Adj'!K:L,2,0)</f>
        <v>2.7961235379101401</v>
      </c>
      <c r="AE211" s="8">
        <f t="shared" si="103"/>
        <v>2.9359297148056474</v>
      </c>
    </row>
    <row r="212" spans="1:31" s="17" customFormat="1" x14ac:dyDescent="0.25">
      <c r="A212" s="4">
        <f t="shared" si="86"/>
        <v>52.556852645500399</v>
      </c>
      <c r="B212" s="3">
        <f t="shared" si="87"/>
        <v>10.19300895023</v>
      </c>
      <c r="C212" s="2" t="str">
        <f t="shared" si="85"/>
        <v>11-1:50-55</v>
      </c>
      <c r="D212" s="8">
        <f t="shared" si="88"/>
        <v>2.0733393288809202E-2</v>
      </c>
      <c r="E212" s="8">
        <f t="shared" si="89"/>
        <v>2.9732266458422051E-2</v>
      </c>
      <c r="F212" s="3">
        <f t="shared" si="90"/>
        <v>0.69733645491853169</v>
      </c>
      <c r="G212" s="2">
        <f t="shared" si="91"/>
        <v>22.230135510407312</v>
      </c>
      <c r="H212" s="2">
        <f t="shared" si="92"/>
        <v>30.385602493158814</v>
      </c>
      <c r="I212"/>
      <c r="J212">
        <v>1</v>
      </c>
      <c r="K212" s="14">
        <f t="shared" si="107"/>
        <v>1</v>
      </c>
      <c r="L212" s="14">
        <f t="shared" si="108"/>
        <v>1</v>
      </c>
      <c r="M212" s="14">
        <f t="shared" ref="M212:M220" si="112">IF(ISNA(VLOOKUP(C212,$C$26:$M$44,11,0)),M213, VLOOKUP(C212,$C$26:$M$44,11,0))</f>
        <v>1.1000000000000001</v>
      </c>
      <c r="N212" s="40">
        <f t="shared" si="111"/>
        <v>2.2092446630390714E-2</v>
      </c>
      <c r="O212" s="2">
        <f t="shared" si="96"/>
        <v>23.515469054518523</v>
      </c>
      <c r="P212" s="7">
        <f t="shared" si="97"/>
        <v>0.9384833484349363</v>
      </c>
      <c r="Q212"/>
      <c r="R212"/>
      <c r="S212"/>
      <c r="T212"/>
      <c r="U212"/>
      <c r="V212"/>
      <c r="W212"/>
      <c r="X212" s="9">
        <f t="shared" si="100"/>
        <v>52.556852645500399</v>
      </c>
      <c r="Y212" s="8">
        <f>VLOOKUP(ROUNDDOWN(X212,0),'Spline Pre-Adj'!F:G,2,0)</f>
        <v>2.8037869405790499</v>
      </c>
      <c r="Z212" s="8">
        <f t="shared" si="101"/>
        <v>2.8037869405790499</v>
      </c>
      <c r="AA212"/>
      <c r="AB212"/>
      <c r="AC212" s="9">
        <f t="shared" si="102"/>
        <v>52.556852645500399</v>
      </c>
      <c r="AD212" s="8">
        <f>VLOOKUP(ROUNDDOWN(AC212,0),'Spline Pre-Adj'!K:L,2,0)</f>
        <v>2.9837760377918898</v>
      </c>
      <c r="AE212" s="8">
        <f t="shared" si="103"/>
        <v>3.282153641571079</v>
      </c>
    </row>
    <row r="213" spans="1:31" s="17" customFormat="1" x14ac:dyDescent="0.25">
      <c r="A213" s="4">
        <f t="shared" si="86"/>
        <v>57.503638390357402</v>
      </c>
      <c r="B213" s="3">
        <f t="shared" si="87"/>
        <v>10.39425162775</v>
      </c>
      <c r="C213" s="2" t="str">
        <f t="shared" si="85"/>
        <v>11-2:55-60</v>
      </c>
      <c r="D213" s="8">
        <f t="shared" si="88"/>
        <v>2.17551479150901E-2</v>
      </c>
      <c r="E213" s="8">
        <f t="shared" si="89"/>
        <v>3.1219482296232694E-2</v>
      </c>
      <c r="F213" s="3">
        <f t="shared" si="90"/>
        <v>0.69684524902308609</v>
      </c>
      <c r="G213" s="2">
        <f t="shared" si="91"/>
        <v>23.19829636442585</v>
      </c>
      <c r="H213" s="2">
        <f t="shared" si="92"/>
        <v>31.655313128446494</v>
      </c>
      <c r="I213"/>
      <c r="J213">
        <v>2</v>
      </c>
      <c r="K213" s="14">
        <f t="shared" si="107"/>
        <v>1</v>
      </c>
      <c r="L213" s="14">
        <f t="shared" si="108"/>
        <v>1</v>
      </c>
      <c r="M213" s="14">
        <f t="shared" si="112"/>
        <v>1.1000000000000001</v>
      </c>
      <c r="N213" s="40">
        <f t="shared" si="111"/>
        <v>2.4275613134327641E-2</v>
      </c>
      <c r="O213" s="2">
        <f t="shared" si="96"/>
        <v>25.539505429028431</v>
      </c>
      <c r="P213" s="7">
        <f t="shared" si="97"/>
        <v>0.89617295327245916</v>
      </c>
      <c r="Q213"/>
      <c r="R213"/>
      <c r="S213"/>
      <c r="T213"/>
      <c r="U213"/>
      <c r="V213"/>
      <c r="W213"/>
      <c r="X213" s="9">
        <f t="shared" si="100"/>
        <v>57.503638390357402</v>
      </c>
      <c r="Y213" s="8">
        <f>VLOOKUP(ROUNDDOWN(X213,0),'Spline Pre-Adj'!F:G,2,0)</f>
        <v>3.0926159826030801</v>
      </c>
      <c r="Z213" s="8">
        <f t="shared" si="101"/>
        <v>3.0926159826030801</v>
      </c>
      <c r="AA213"/>
      <c r="AB213"/>
      <c r="AC213" s="9">
        <f t="shared" si="102"/>
        <v>57.503638390357402</v>
      </c>
      <c r="AD213" s="8">
        <f>VLOOKUP(ROUNDDOWN(AC213,0),'Spline Pre-Adj'!K:L,2,0)</f>
        <v>3.1703520741635902</v>
      </c>
      <c r="AE213" s="8">
        <f t="shared" si="103"/>
        <v>3.4873872815799496</v>
      </c>
    </row>
    <row r="214" spans="1:31" s="17" customFormat="1" x14ac:dyDescent="0.25">
      <c r="A214" s="4">
        <f t="shared" si="86"/>
        <v>62.498118249727199</v>
      </c>
      <c r="B214" s="3">
        <f t="shared" si="87"/>
        <v>11.04399869205</v>
      </c>
      <c r="C214" s="2" t="str">
        <f t="shared" si="85"/>
        <v>11-3:60-65</v>
      </c>
      <c r="D214" s="8">
        <f t="shared" si="88"/>
        <v>2.4836928174829399E-2</v>
      </c>
      <c r="E214" s="8">
        <f t="shared" si="89"/>
        <v>3.2691382602626051E-2</v>
      </c>
      <c r="F214" s="3">
        <f t="shared" si="90"/>
        <v>0.75973930123207101</v>
      </c>
      <c r="G214" s="2">
        <f t="shared" si="91"/>
        <v>26.051910026550363</v>
      </c>
      <c r="H214" s="2">
        <f t="shared" si="92"/>
        <v>32.891013328833793</v>
      </c>
      <c r="I214"/>
      <c r="J214">
        <v>3</v>
      </c>
      <c r="K214" s="14">
        <f t="shared" si="107"/>
        <v>1</v>
      </c>
      <c r="L214" s="14">
        <f t="shared" si="108"/>
        <v>1</v>
      </c>
      <c r="M214" s="14">
        <f t="shared" si="112"/>
        <v>1.1000000000000001</v>
      </c>
      <c r="N214" s="40">
        <f t="shared" si="111"/>
        <v>2.6833071010145784E-2</v>
      </c>
      <c r="O214" s="2">
        <f t="shared" si="96"/>
        <v>27.848044973787335</v>
      </c>
      <c r="P214" s="7">
        <f t="shared" si="97"/>
        <v>0.92560885652776648</v>
      </c>
      <c r="Q214"/>
      <c r="R214"/>
      <c r="S214"/>
      <c r="T214"/>
      <c r="U214"/>
      <c r="V214"/>
      <c r="W214"/>
      <c r="X214" s="9">
        <f t="shared" si="100"/>
        <v>62.498118249727199</v>
      </c>
      <c r="Y214" s="8">
        <f>VLOOKUP(ROUNDDOWN(X214,0),'Spline Pre-Adj'!F:G,2,0)</f>
        <v>3.3799457765415402</v>
      </c>
      <c r="Z214" s="8">
        <f t="shared" si="101"/>
        <v>3.3799457765415402</v>
      </c>
      <c r="AA214"/>
      <c r="AB214"/>
      <c r="AC214" s="9">
        <f t="shared" si="102"/>
        <v>62.498118249727199</v>
      </c>
      <c r="AD214" s="8">
        <f>VLOOKUP(ROUNDDOWN(AC214,0),'Spline Pre-Adj'!K:L,2,0)</f>
        <v>3.3536482047599101</v>
      </c>
      <c r="AE214" s="8">
        <f t="shared" si="103"/>
        <v>3.6890130252359015</v>
      </c>
    </row>
    <row r="215" spans="1:31" s="41" customFormat="1" x14ac:dyDescent="0.25">
      <c r="A215" s="14">
        <f t="shared" si="86"/>
        <v>67.486941816233099</v>
      </c>
      <c r="B215" s="38">
        <f t="shared" si="87"/>
        <v>11.40922438216</v>
      </c>
      <c r="C215" s="39" t="str">
        <f t="shared" si="85"/>
        <v>11-4:65-70</v>
      </c>
      <c r="D215" s="40">
        <f t="shared" si="88"/>
        <v>2.6691159496877399E-2</v>
      </c>
      <c r="E215" s="40">
        <f t="shared" si="89"/>
        <v>3.3844342867052166E-2</v>
      </c>
      <c r="F215" s="38">
        <f t="shared" si="90"/>
        <v>0.7886446370587249</v>
      </c>
      <c r="G215" s="39">
        <f t="shared" si="91"/>
        <v>27.721685448049239</v>
      </c>
      <c r="H215" s="39">
        <f t="shared" si="92"/>
        <v>33.844613093510148</v>
      </c>
      <c r="J215" s="41">
        <v>4</v>
      </c>
      <c r="K215" s="14">
        <f t="shared" si="107"/>
        <v>1</v>
      </c>
      <c r="L215" s="14">
        <f t="shared" si="108"/>
        <v>1</v>
      </c>
      <c r="M215" s="14">
        <f t="shared" si="112"/>
        <v>1.1000000000000001</v>
      </c>
      <c r="N215" s="40">
        <f t="shared" si="111"/>
        <v>2.9298265132823707E-2</v>
      </c>
      <c r="O215" s="39">
        <f t="shared" si="96"/>
        <v>30.011019124159855</v>
      </c>
      <c r="P215" s="42">
        <f t="shared" si="97"/>
        <v>0.91101501661866346</v>
      </c>
      <c r="X215" s="43">
        <f t="shared" si="100"/>
        <v>67.486941816233099</v>
      </c>
      <c r="Y215" s="40">
        <f>VLOOKUP(ROUNDDOWN(X215,0),'Spline Pre-Adj'!F:G,2,0)</f>
        <v>3.6676855284799998</v>
      </c>
      <c r="Z215" s="40">
        <f t="shared" si="101"/>
        <v>3.6676855284799998</v>
      </c>
      <c r="AC215" s="43">
        <f t="shared" si="102"/>
        <v>67.486941816233099</v>
      </c>
      <c r="AD215" s="40">
        <f>VLOOKUP(ROUNDDOWN(AC215,0),'Spline Pre-Adj'!K:L,2,0)</f>
        <v>3.5314609873155498</v>
      </c>
      <c r="AE215" s="40">
        <f t="shared" si="103"/>
        <v>3.8846070860471049</v>
      </c>
    </row>
    <row r="216" spans="1:31" s="41" customFormat="1" x14ac:dyDescent="0.25">
      <c r="A216" s="14">
        <f t="shared" si="86"/>
        <v>72.520422224818901</v>
      </c>
      <c r="B216" s="38">
        <f t="shared" si="87"/>
        <v>12.09942333155</v>
      </c>
      <c r="C216" s="39" t="str">
        <f t="shared" si="85"/>
        <v>11:50-75</v>
      </c>
      <c r="D216" s="40">
        <f t="shared" si="88"/>
        <v>2.7236341241245399E-2</v>
      </c>
      <c r="E216" s="40">
        <f t="shared" si="89"/>
        <v>3.5421123461872477E-2</v>
      </c>
      <c r="F216" s="38">
        <f t="shared" si="90"/>
        <v>0.7689293443942502</v>
      </c>
      <c r="G216" s="39">
        <f t="shared" si="91"/>
        <v>28.206016589357084</v>
      </c>
      <c r="H216" s="39">
        <f t="shared" si="92"/>
        <v>35.128645784460986</v>
      </c>
      <c r="K216" s="14">
        <f t="shared" si="107"/>
        <v>1</v>
      </c>
      <c r="L216" s="14">
        <f t="shared" si="108"/>
        <v>1</v>
      </c>
      <c r="M216" s="14">
        <f t="shared" si="112"/>
        <v>1.1000000000000001</v>
      </c>
      <c r="N216" s="40">
        <f t="shared" si="111"/>
        <v>3.0707286861534296E-2</v>
      </c>
      <c r="O216" s="39">
        <f t="shared" si="96"/>
        <v>31.220443010551847</v>
      </c>
      <c r="P216" s="42">
        <f t="shared" si="97"/>
        <v>0.88696671132359783</v>
      </c>
      <c r="X216" s="43">
        <f t="shared" si="100"/>
        <v>72.520422224818901</v>
      </c>
      <c r="Y216" s="40">
        <f>VLOOKUP(ROUNDDOWN(X216,0),'Spline Pre-Adj'!F:G,2,0)</f>
        <v>3.9558229453415401</v>
      </c>
      <c r="Z216" s="40">
        <f t="shared" si="101"/>
        <v>3.9558229453415401</v>
      </c>
      <c r="AC216" s="43">
        <f t="shared" si="102"/>
        <v>72.520422224818901</v>
      </c>
      <c r="AD216" s="40">
        <f>VLOOKUP(ROUNDDOWN(AC216,0),'Spline Pre-Adj'!K:L,2,0)</f>
        <v>3.7015869795651599</v>
      </c>
      <c r="AE216" s="40">
        <f t="shared" si="103"/>
        <v>4.071745677521676</v>
      </c>
    </row>
    <row r="217" spans="1:31" s="41" customFormat="1" x14ac:dyDescent="0.25">
      <c r="A217" s="14">
        <f t="shared" si="86"/>
        <v>86.348471629290103</v>
      </c>
      <c r="B217" s="38">
        <f t="shared" si="87"/>
        <v>49.93629212874</v>
      </c>
      <c r="C217" s="39" t="str">
        <f t="shared" si="85"/>
        <v>12:75-100</v>
      </c>
      <c r="D217" s="40">
        <f t="shared" si="88"/>
        <v>3.0857598433368199E-2</v>
      </c>
      <c r="E217" s="40">
        <f t="shared" si="89"/>
        <v>3.8792856761474287E-2</v>
      </c>
      <c r="F217" s="38">
        <f t="shared" si="90"/>
        <v>0.79544537343826915</v>
      </c>
      <c r="G217" s="39">
        <f t="shared" si="91"/>
        <v>31.348324507307769</v>
      </c>
      <c r="H217" s="39">
        <f t="shared" si="92"/>
        <v>37.798067821439382</v>
      </c>
      <c r="K217" s="14">
        <f t="shared" si="107"/>
        <v>1</v>
      </c>
      <c r="L217" s="14">
        <f t="shared" si="108"/>
        <v>1</v>
      </c>
      <c r="M217" s="14">
        <f t="shared" si="112"/>
        <v>1.02</v>
      </c>
      <c r="N217" s="40">
        <f>Z181+AA181+AB181*K217+AC181*L217+AD180*M216*$M$189</f>
        <v>3.4838363927210597E-2</v>
      </c>
      <c r="O217" s="39">
        <f t="shared" si="96"/>
        <v>34.656768070775115</v>
      </c>
      <c r="P217" s="42">
        <f t="shared" si="97"/>
        <v>0.88573615276080142</v>
      </c>
      <c r="X217" s="43">
        <f t="shared" si="100"/>
        <v>86.348471629290103</v>
      </c>
      <c r="Y217" s="40">
        <f>VLOOKUP(ROUNDDOWN(X217,0),'Spline Pre-Adj'!F:G,2,0)</f>
        <v>4.7646640542534699</v>
      </c>
      <c r="Z217" s="40">
        <f t="shared" si="101"/>
        <v>4.7646640542534699</v>
      </c>
      <c r="AC217" s="43">
        <f t="shared" si="102"/>
        <v>86.348471629290103</v>
      </c>
      <c r="AD217" s="40">
        <f>VLOOKUP(ROUNDDOWN(AC217,0),'Spline Pre-Adj'!K:L,2,0)</f>
        <v>4.1191352784208304</v>
      </c>
      <c r="AE217" s="40">
        <f t="shared" si="103"/>
        <v>4.2015179839892474</v>
      </c>
    </row>
    <row r="218" spans="1:31" s="41" customFormat="1" x14ac:dyDescent="0.25">
      <c r="A218" s="14">
        <f t="shared" si="86"/>
        <v>111.718332385794</v>
      </c>
      <c r="B218" s="38">
        <f t="shared" si="87"/>
        <v>29.043382459830003</v>
      </c>
      <c r="C218" s="39" t="str">
        <f t="shared" si="85"/>
        <v>13:100-125</v>
      </c>
      <c r="D218" s="40">
        <f t="shared" si="88"/>
        <v>3.5224763353119297E-2</v>
      </c>
      <c r="E218" s="40">
        <f t="shared" si="89"/>
        <v>4.2503975959846438E-2</v>
      </c>
      <c r="F218" s="38">
        <f t="shared" si="90"/>
        <v>0.82874043092806604</v>
      </c>
      <c r="G218" s="39">
        <f t="shared" si="91"/>
        <v>34.969997259688633</v>
      </c>
      <c r="H218" s="39">
        <f t="shared" si="92"/>
        <v>40.619513547593819</v>
      </c>
      <c r="K218" s="14">
        <f t="shared" si="107"/>
        <v>1</v>
      </c>
      <c r="L218" s="14">
        <f t="shared" si="108"/>
        <v>1</v>
      </c>
      <c r="M218" s="14">
        <f t="shared" si="112"/>
        <v>0.95</v>
      </c>
      <c r="N218" s="40">
        <f t="shared" ref="N218:N220" si="113">Z182+AA182+AB182*K218+AC182*L218+AD181*M217*$M$189</f>
        <v>3.581016887171859E-2</v>
      </c>
      <c r="O218" s="39">
        <f t="shared" si="96"/>
        <v>35.441926440175521</v>
      </c>
      <c r="P218" s="42">
        <f t="shared" si="97"/>
        <v>0.98365253398562935</v>
      </c>
      <c r="X218" s="43">
        <f t="shared" si="100"/>
        <v>111.718332385794</v>
      </c>
      <c r="Y218" s="40">
        <f>VLOOKUP(ROUNDDOWN(X218,0),'Spline Pre-Adj'!F:G,2,0)</f>
        <v>6.2168084690133298</v>
      </c>
      <c r="Z218" s="40">
        <f t="shared" si="101"/>
        <v>6.2168084690133298</v>
      </c>
      <c r="AC218" s="43">
        <f t="shared" si="102"/>
        <v>111.718332385794</v>
      </c>
      <c r="AD218" s="40">
        <f>VLOOKUP(ROUNDDOWN(AC218,0),'Spline Pre-Adj'!K:L,2,0)</f>
        <v>4.7299139704548203</v>
      </c>
      <c r="AE218" s="40">
        <f t="shared" si="103"/>
        <v>4.4934182719320788</v>
      </c>
    </row>
    <row r="219" spans="1:31" s="41" customFormat="1" x14ac:dyDescent="0.25">
      <c r="A219" s="14">
        <f t="shared" si="86"/>
        <v>134.94959605790601</v>
      </c>
      <c r="B219" s="38">
        <f t="shared" si="87"/>
        <v>14.00244159449</v>
      </c>
      <c r="C219" s="39" t="str">
        <f t="shared" si="85"/>
        <v>14:125-150</v>
      </c>
      <c r="D219" s="40">
        <f t="shared" si="88"/>
        <v>3.5712569728593102E-2</v>
      </c>
      <c r="E219" s="40">
        <f t="shared" si="89"/>
        <v>4.5783181920082509E-2</v>
      </c>
      <c r="F219" s="38">
        <f t="shared" si="90"/>
        <v>0.78003686574104203</v>
      </c>
      <c r="G219" s="39">
        <f t="shared" si="91"/>
        <v>35.363464857130268</v>
      </c>
      <c r="H219" s="39">
        <f t="shared" si="92"/>
        <v>43.014442578575654</v>
      </c>
      <c r="K219" s="14">
        <f t="shared" si="107"/>
        <v>1</v>
      </c>
      <c r="L219" s="14">
        <f t="shared" si="108"/>
        <v>1</v>
      </c>
      <c r="M219" s="14">
        <f t="shared" si="112"/>
        <v>0.92</v>
      </c>
      <c r="N219" s="40">
        <f t="shared" si="113"/>
        <v>3.6675135179072928E-2</v>
      </c>
      <c r="O219" s="39">
        <f t="shared" si="96"/>
        <v>36.133481503151273</v>
      </c>
      <c r="P219" s="42">
        <f t="shared" si="97"/>
        <v>0.97375427668419146</v>
      </c>
      <c r="X219" s="43">
        <f t="shared" si="100"/>
        <v>134.94959605790601</v>
      </c>
      <c r="Y219" s="40">
        <f>VLOOKUP(ROUNDDOWN(X219,0),'Spline Pre-Adj'!F:G,2,0)</f>
        <v>7.60662891263856</v>
      </c>
      <c r="Z219" s="40">
        <f t="shared" si="101"/>
        <v>7.60662891263856</v>
      </c>
      <c r="AC219" s="43">
        <f t="shared" si="102"/>
        <v>134.94959605790601</v>
      </c>
      <c r="AD219" s="40">
        <f>VLOOKUP(ROUNDDOWN(AC219,0),'Spline Pre-Adj'!K:L,2,0)</f>
        <v>5.2051069926153799</v>
      </c>
      <c r="AE219" s="40">
        <f t="shared" si="103"/>
        <v>4.7886984332061493</v>
      </c>
    </row>
    <row r="220" spans="1:31" s="41" customFormat="1" x14ac:dyDescent="0.25">
      <c r="A220" s="14">
        <f t="shared" si="86"/>
        <v>160.59824035554701</v>
      </c>
      <c r="B220" s="38">
        <f t="shared" si="87"/>
        <v>3.4378290624699996</v>
      </c>
      <c r="C220" s="39" t="str">
        <f t="shared" si="85"/>
        <v>15:150-175</v>
      </c>
      <c r="D220" s="40">
        <f t="shared" si="88"/>
        <v>3.4108014023335402E-2</v>
      </c>
      <c r="E220" s="40">
        <f t="shared" si="89"/>
        <v>4.8255255592333755E-2</v>
      </c>
      <c r="F220" s="38">
        <f t="shared" si="90"/>
        <v>0.70682485471601342</v>
      </c>
      <c r="G220" s="39">
        <f t="shared" si="91"/>
        <v>34.060939837629299</v>
      </c>
      <c r="H220" s="39">
        <f t="shared" si="92"/>
        <v>44.760994959218372</v>
      </c>
      <c r="K220" s="14">
        <f t="shared" si="107"/>
        <v>1</v>
      </c>
      <c r="L220" s="14">
        <f t="shared" si="108"/>
        <v>1</v>
      </c>
      <c r="M220" s="14">
        <f t="shared" si="112"/>
        <v>0.9</v>
      </c>
      <c r="N220" s="40">
        <f t="shared" si="113"/>
        <v>3.8495570992826911E-2</v>
      </c>
      <c r="O220" s="39">
        <f t="shared" si="96"/>
        <v>37.566818138503692</v>
      </c>
      <c r="P220" s="42">
        <f t="shared" si="97"/>
        <v>0.88602436965257469</v>
      </c>
      <c r="X220" s="43">
        <f t="shared" si="100"/>
        <v>160.59824035554701</v>
      </c>
      <c r="Y220" s="40">
        <f>VLOOKUP(ROUNDDOWN(X220,0),'Spline Pre-Adj'!F:G,2,0)</f>
        <v>8.7434835551418502</v>
      </c>
      <c r="Z220" s="40">
        <f t="shared" si="101"/>
        <v>8.7434835551418502</v>
      </c>
      <c r="AC220" s="43">
        <f t="shared" si="102"/>
        <v>160.59824035554701</v>
      </c>
      <c r="AD220" s="40">
        <f>VLOOKUP(ROUNDDOWN(AC220,0),'Spline Pre-Adj'!K:L,2,0)</f>
        <v>5.6662697466415004</v>
      </c>
      <c r="AE220" s="40">
        <f t="shared" si="103"/>
        <v>5.0996427719773507</v>
      </c>
    </row>
    <row r="221" spans="1:31" s="17" customFormat="1" x14ac:dyDescent="0.25">
      <c r="A221" s="15"/>
      <c r="B221" s="22"/>
      <c r="C221" s="23"/>
      <c r="D221" s="16"/>
      <c r="E221" s="16"/>
      <c r="F221" s="22"/>
      <c r="G221" s="23"/>
      <c r="H221" s="23"/>
      <c r="K221" s="15"/>
      <c r="L221" s="15"/>
      <c r="M221" s="15"/>
      <c r="N221" s="16"/>
      <c r="O221" s="23"/>
      <c r="P221" s="24"/>
      <c r="X221" s="18"/>
      <c r="Y221" s="16"/>
      <c r="Z221" s="16"/>
      <c r="AC221" s="18"/>
      <c r="AD221" s="16"/>
      <c r="AE221" s="16"/>
    </row>
    <row r="222" spans="1:31" s="17" customFormat="1" x14ac:dyDescent="0.25">
      <c r="A222" s="15"/>
      <c r="B222" s="22"/>
      <c r="C222" s="23"/>
      <c r="D222" s="16"/>
      <c r="E222" s="16"/>
      <c r="F222" s="22"/>
      <c r="G222" s="23"/>
      <c r="H222" s="23"/>
      <c r="K222" s="15"/>
      <c r="L222" s="15"/>
      <c r="M222" s="26"/>
      <c r="N222" s="16"/>
      <c r="O222" s="23"/>
      <c r="P222" s="24"/>
      <c r="X222" s="18"/>
      <c r="Y222" s="16"/>
      <c r="Z222" s="16"/>
      <c r="AC222" s="18"/>
      <c r="AD222" s="16"/>
      <c r="AE222" s="16"/>
    </row>
    <row r="225" spans="9:13" x14ac:dyDescent="0.25">
      <c r="I225" t="s">
        <v>123</v>
      </c>
      <c r="K225" s="15">
        <v>0.75</v>
      </c>
      <c r="L225" s="15">
        <v>1</v>
      </c>
      <c r="M225" s="15">
        <v>1</v>
      </c>
    </row>
    <row r="226" spans="9:13" x14ac:dyDescent="0.25">
      <c r="K226" s="15">
        <v>0.75</v>
      </c>
      <c r="L226" s="15">
        <v>1</v>
      </c>
      <c r="M226" s="15">
        <v>1</v>
      </c>
    </row>
    <row r="227" spans="9:13" x14ac:dyDescent="0.25">
      <c r="K227" s="15">
        <v>0.75</v>
      </c>
      <c r="L227" s="15">
        <v>1</v>
      </c>
      <c r="M227" s="15">
        <v>1</v>
      </c>
    </row>
    <row r="228" spans="9:13" x14ac:dyDescent="0.25">
      <c r="K228" s="15">
        <v>0.64</v>
      </c>
      <c r="L228" s="15">
        <v>1</v>
      </c>
      <c r="M228" s="15">
        <v>1</v>
      </c>
    </row>
    <row r="229" spans="9:13" x14ac:dyDescent="0.25">
      <c r="K229" s="4">
        <v>0.64</v>
      </c>
      <c r="L229" s="4">
        <v>1</v>
      </c>
      <c r="M229" s="4">
        <v>0.32</v>
      </c>
    </row>
    <row r="230" spans="9:13" x14ac:dyDescent="0.25">
      <c r="K230" s="4">
        <v>0.75</v>
      </c>
      <c r="L230" s="4">
        <v>1</v>
      </c>
      <c r="M230" s="4">
        <v>0.67</v>
      </c>
    </row>
    <row r="231" spans="9:13" x14ac:dyDescent="0.25">
      <c r="K231" s="4">
        <v>0.75</v>
      </c>
      <c r="L231" s="4">
        <v>1</v>
      </c>
      <c r="M231" s="4">
        <v>1.1100000000000001</v>
      </c>
    </row>
    <row r="232" spans="9:13" x14ac:dyDescent="0.25">
      <c r="K232" s="4">
        <v>0.75</v>
      </c>
      <c r="L232" s="4">
        <v>1</v>
      </c>
      <c r="M232" s="4">
        <v>1.32</v>
      </c>
    </row>
    <row r="233" spans="9:13" x14ac:dyDescent="0.25">
      <c r="K233" s="4">
        <v>0.75</v>
      </c>
      <c r="L233" s="4">
        <v>1</v>
      </c>
      <c r="M233" s="4">
        <v>1.26</v>
      </c>
    </row>
    <row r="234" spans="9:13" x14ac:dyDescent="0.25">
      <c r="K234" s="4">
        <v>0.75</v>
      </c>
      <c r="L234" s="4">
        <v>1</v>
      </c>
      <c r="M234" s="4">
        <v>1.17</v>
      </c>
    </row>
    <row r="235" spans="9:13" x14ac:dyDescent="0.25">
      <c r="K235" s="4">
        <v>0.75</v>
      </c>
      <c r="L235" s="4">
        <v>1</v>
      </c>
      <c r="M235" s="4">
        <v>1.07</v>
      </c>
    </row>
    <row r="236" spans="9:13" x14ac:dyDescent="0.25">
      <c r="K236" s="4">
        <v>0.75</v>
      </c>
      <c r="L236" s="4">
        <v>1</v>
      </c>
      <c r="M236" s="4">
        <v>1</v>
      </c>
    </row>
    <row r="237" spans="9:13" x14ac:dyDescent="0.25">
      <c r="K237" s="4">
        <v>0.75</v>
      </c>
      <c r="L237" s="4">
        <v>1</v>
      </c>
      <c r="M237" s="4">
        <v>0.95</v>
      </c>
    </row>
    <row r="238" spans="9:13" x14ac:dyDescent="0.25">
      <c r="K238" s="4">
        <v>0.75</v>
      </c>
      <c r="L238" s="4">
        <v>1</v>
      </c>
      <c r="M238" s="4">
        <v>0.91</v>
      </c>
    </row>
    <row r="239" spans="9:13" x14ac:dyDescent="0.25">
      <c r="K239" s="26">
        <v>0.75</v>
      </c>
      <c r="L239" s="26">
        <v>1</v>
      </c>
      <c r="M239" s="26">
        <v>1.05</v>
      </c>
    </row>
    <row r="240" spans="9:13" x14ac:dyDescent="0.25">
      <c r="K240" s="15">
        <v>0.75</v>
      </c>
      <c r="L240" s="15">
        <v>1</v>
      </c>
      <c r="M240" s="15">
        <v>1</v>
      </c>
    </row>
    <row r="241" spans="11:13" x14ac:dyDescent="0.25">
      <c r="K241" s="15">
        <v>0.75</v>
      </c>
      <c r="L241" s="15">
        <v>1</v>
      </c>
      <c r="M241" s="15">
        <v>1</v>
      </c>
    </row>
  </sheetData>
  <conditionalFormatting sqref="F104:F132">
    <cfRule type="colorScale" priority="44">
      <colorScale>
        <cfvo type="min"/>
        <cfvo type="num" val="1"/>
        <cfvo type="max"/>
        <color rgb="FFF8696B"/>
        <color theme="0"/>
        <color theme="4"/>
      </colorScale>
    </cfRule>
  </conditionalFormatting>
  <conditionalFormatting sqref="P104:P132">
    <cfRule type="colorScale" priority="43">
      <colorScale>
        <cfvo type="min"/>
        <cfvo type="num" val="1"/>
        <cfvo type="max"/>
        <color rgb="FFF8696B"/>
        <color theme="0"/>
        <color theme="4"/>
      </colorScale>
    </cfRule>
  </conditionalFormatting>
  <conditionalFormatting sqref="AQ68">
    <cfRule type="dataBar" priority="48">
      <dataBar>
        <cfvo type="min"/>
        <cfvo type="max"/>
        <color rgb="FF638EC6"/>
      </dataBar>
      <extLst>
        <ext xmlns:x14="http://schemas.microsoft.com/office/spreadsheetml/2009/9/main" uri="{B025F937-C7B1-47D3-B67F-A62EFF666E3E}">
          <x14:id>{7F887866-3709-4557-B367-E276FB81D8F0}</x14:id>
        </ext>
      </extLst>
    </cfRule>
  </conditionalFormatting>
  <conditionalFormatting sqref="B104:B133">
    <cfRule type="dataBar" priority="49">
      <dataBar>
        <cfvo type="min"/>
        <cfvo type="max"/>
        <color rgb="FF638EC6"/>
      </dataBar>
      <extLst>
        <ext xmlns:x14="http://schemas.microsoft.com/office/spreadsheetml/2009/9/main" uri="{B025F937-C7B1-47D3-B67F-A62EFF666E3E}">
          <x14:id>{3BB78279-90DE-4177-B88A-2B785057A913}</x14:id>
        </ext>
      </extLst>
    </cfRule>
  </conditionalFormatting>
  <conditionalFormatting sqref="F31:F40">
    <cfRule type="colorScale" priority="40">
      <colorScale>
        <cfvo type="min"/>
        <cfvo type="num" val="1"/>
        <cfvo type="max"/>
        <color rgb="FFF8696B"/>
        <color theme="0"/>
        <color theme="4"/>
      </colorScale>
    </cfRule>
  </conditionalFormatting>
  <conditionalFormatting sqref="P31:P40">
    <cfRule type="colorScale" priority="39">
      <colorScale>
        <cfvo type="min"/>
        <cfvo type="num" val="1"/>
        <cfvo type="max"/>
        <color rgb="FFF8696B"/>
        <color theme="0"/>
        <color theme="4"/>
      </colorScale>
    </cfRule>
  </conditionalFormatting>
  <conditionalFormatting sqref="AQ2:AQ17">
    <cfRule type="dataBar" priority="41">
      <dataBar>
        <cfvo type="min"/>
        <cfvo type="max"/>
        <color rgb="FF638EC6"/>
      </dataBar>
      <extLst>
        <ext xmlns:x14="http://schemas.microsoft.com/office/spreadsheetml/2009/9/main" uri="{B025F937-C7B1-47D3-B67F-A62EFF666E3E}">
          <x14:id>{9599D91F-38C6-4B2E-840A-5A1DEA62A1D2}</x14:id>
        </ext>
      </extLst>
    </cfRule>
  </conditionalFormatting>
  <conditionalFormatting sqref="B27:B41">
    <cfRule type="dataBar" priority="42">
      <dataBar>
        <cfvo type="min"/>
        <cfvo type="max"/>
        <color rgb="FF638EC6"/>
      </dataBar>
      <extLst>
        <ext xmlns:x14="http://schemas.microsoft.com/office/spreadsheetml/2009/9/main" uri="{B025F937-C7B1-47D3-B67F-A62EFF666E3E}">
          <x14:id>{42A8A8F2-34A5-4828-A1A9-7E42C16B17B3}</x14:id>
        </ext>
      </extLst>
    </cfRule>
  </conditionalFormatting>
  <conditionalFormatting sqref="AQ69:AQ97">
    <cfRule type="dataBar" priority="34">
      <dataBar>
        <cfvo type="min"/>
        <cfvo type="max"/>
        <color rgb="FF638EC6"/>
      </dataBar>
      <extLst>
        <ext xmlns:x14="http://schemas.microsoft.com/office/spreadsheetml/2009/9/main" uri="{B025F937-C7B1-47D3-B67F-A62EFF666E3E}">
          <x14:id>{D7E0C1F3-B4BB-4E85-9243-C78DCE4A164C}</x14:id>
        </ext>
      </extLst>
    </cfRule>
  </conditionalFormatting>
  <conditionalFormatting sqref="AQ18">
    <cfRule type="dataBar" priority="17">
      <dataBar>
        <cfvo type="min"/>
        <cfvo type="max"/>
        <color rgb="FF638EC6"/>
      </dataBar>
      <extLst>
        <ext xmlns:x14="http://schemas.microsoft.com/office/spreadsheetml/2009/9/main" uri="{B025F937-C7B1-47D3-B67F-A62EFF666E3E}">
          <x14:id>{60796FA4-41BB-412A-BDCC-24173974CAC6}</x14:id>
        </ext>
      </extLst>
    </cfRule>
  </conditionalFormatting>
  <conditionalFormatting sqref="AQ86:AQ95">
    <cfRule type="dataBar" priority="16">
      <dataBar>
        <cfvo type="min"/>
        <cfvo type="max"/>
        <color rgb="FF638EC6"/>
      </dataBar>
      <extLst>
        <ext xmlns:x14="http://schemas.microsoft.com/office/spreadsheetml/2009/9/main" uri="{B025F937-C7B1-47D3-B67F-A62EFF666E3E}">
          <x14:id>{4194DD61-D1C7-494E-A48F-B346E44001B1}</x14:id>
        </ext>
      </extLst>
    </cfRule>
  </conditionalFormatting>
  <conditionalFormatting sqref="AQ96:AQ99">
    <cfRule type="dataBar" priority="15">
      <dataBar>
        <cfvo type="min"/>
        <cfvo type="max"/>
        <color rgb="FF638EC6"/>
      </dataBar>
      <extLst>
        <ext xmlns:x14="http://schemas.microsoft.com/office/spreadsheetml/2009/9/main" uri="{B025F937-C7B1-47D3-B67F-A62EFF666E3E}">
          <x14:id>{DE3AA7FA-72C4-4038-B11F-C5B74588139F}</x14:id>
        </ext>
      </extLst>
    </cfRule>
  </conditionalFormatting>
  <conditionalFormatting sqref="F193:F221">
    <cfRule type="colorScale" priority="9">
      <colorScale>
        <cfvo type="min"/>
        <cfvo type="num" val="1"/>
        <cfvo type="max"/>
        <color rgb="FFF8696B"/>
        <color theme="0"/>
        <color theme="4"/>
      </colorScale>
    </cfRule>
  </conditionalFormatting>
  <conditionalFormatting sqref="P193:P221">
    <cfRule type="colorScale" priority="8">
      <colorScale>
        <cfvo type="min"/>
        <cfvo type="num" val="1"/>
        <cfvo type="max"/>
        <color rgb="FFF8696B"/>
        <color theme="0"/>
        <color theme="4"/>
      </colorScale>
    </cfRule>
  </conditionalFormatting>
  <conditionalFormatting sqref="B193:B220">
    <cfRule type="dataBar" priority="11">
      <dataBar>
        <cfvo type="min"/>
        <cfvo type="max"/>
        <color rgb="FF638EC6"/>
      </dataBar>
      <extLst>
        <ext xmlns:x14="http://schemas.microsoft.com/office/spreadsheetml/2009/9/main" uri="{B025F937-C7B1-47D3-B67F-A62EFF666E3E}">
          <x14:id>{4681FB07-945C-421F-893C-260455127E39}</x14:id>
        </ext>
      </extLst>
    </cfRule>
  </conditionalFormatting>
  <conditionalFormatting sqref="AQ174:AQ183">
    <cfRule type="dataBar" priority="2">
      <dataBar>
        <cfvo type="min"/>
        <cfvo type="max"/>
        <color rgb="FF638EC6"/>
      </dataBar>
      <extLst>
        <ext xmlns:x14="http://schemas.microsoft.com/office/spreadsheetml/2009/9/main" uri="{B025F937-C7B1-47D3-B67F-A62EFF666E3E}">
          <x14:id>{CAD0B186-385C-4427-AC0B-93C6A93ACD2C}</x14:id>
        </ext>
      </extLst>
    </cfRule>
  </conditionalFormatting>
  <conditionalFormatting sqref="AQ186:AQ189">
    <cfRule type="dataBar" priority="5">
      <dataBar>
        <cfvo type="min"/>
        <cfvo type="max"/>
        <color rgb="FF638EC6"/>
      </dataBar>
      <extLst>
        <ext xmlns:x14="http://schemas.microsoft.com/office/spreadsheetml/2009/9/main" uri="{B025F937-C7B1-47D3-B67F-A62EFF666E3E}">
          <x14:id>{62C33089-E03E-4BD9-9B47-CA7009F4785B}</x14:id>
        </ext>
      </extLst>
    </cfRule>
  </conditionalFormatting>
  <conditionalFormatting sqref="AQ156">
    <cfRule type="dataBar" priority="4">
      <dataBar>
        <cfvo type="min"/>
        <cfvo type="max"/>
        <color rgb="FF638EC6"/>
      </dataBar>
      <extLst>
        <ext xmlns:x14="http://schemas.microsoft.com/office/spreadsheetml/2009/9/main" uri="{B025F937-C7B1-47D3-B67F-A62EFF666E3E}">
          <x14:id>{1A988B80-4AA7-4324-A013-327ACE466733}</x14:id>
        </ext>
      </extLst>
    </cfRule>
  </conditionalFormatting>
  <conditionalFormatting sqref="AQ157:AQ185">
    <cfRule type="dataBar" priority="3">
      <dataBar>
        <cfvo type="min"/>
        <cfvo type="max"/>
        <color rgb="FF638EC6"/>
      </dataBar>
      <extLst>
        <ext xmlns:x14="http://schemas.microsoft.com/office/spreadsheetml/2009/9/main" uri="{B025F937-C7B1-47D3-B67F-A62EFF666E3E}">
          <x14:id>{CF04E280-2727-4313-A31E-BD8D2F10727C}</x14:id>
        </ext>
      </extLst>
    </cfRule>
  </conditionalFormatting>
  <conditionalFormatting sqref="AQ184:AQ185">
    <cfRule type="dataBar" priority="1">
      <dataBar>
        <cfvo type="min"/>
        <cfvo type="max"/>
        <color rgb="FF638EC6"/>
      </dataBar>
      <extLst>
        <ext xmlns:x14="http://schemas.microsoft.com/office/spreadsheetml/2009/9/main" uri="{B025F937-C7B1-47D3-B67F-A62EFF666E3E}">
          <x14:id>{AF94569B-8F7C-4CE9-A2EE-32898D115F75}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7F887866-3709-4557-B367-E276FB81D8F0}">
            <x14:dataBar minLength="0" maxLength="100" border="1" negativeBarBorderColorSameAsPositive="0">
              <x14:cfvo type="autoMin"/>
              <x14:cfvo type="autoMax"/>
              <x14:borderColor rgb="FF638EC6"/>
              <x14:negativeFillColor rgb="FFFF0000"/>
              <x14:negativeBorderColor rgb="FFFF0000"/>
              <x14:axisColor rgb="FF000000"/>
            </x14:dataBar>
          </x14:cfRule>
          <xm:sqref>AQ68</xm:sqref>
        </x14:conditionalFormatting>
        <x14:conditionalFormatting xmlns:xm="http://schemas.microsoft.com/office/excel/2006/main">
          <x14:cfRule type="dataBar" id="{3BB78279-90DE-4177-B88A-2B785057A913}">
            <x14:dataBar minLength="0" maxLength="100" border="1" negativeBarBorderColorSameAsPositive="0">
              <x14:cfvo type="autoMin"/>
              <x14:cfvo type="autoMax"/>
              <x14:borderColor rgb="FF638EC6"/>
              <x14:negativeFillColor rgb="FFFF0000"/>
              <x14:negativeBorderColor rgb="FFFF0000"/>
              <x14:axisColor rgb="FF000000"/>
            </x14:dataBar>
          </x14:cfRule>
          <xm:sqref>B104:B133</xm:sqref>
        </x14:conditionalFormatting>
        <x14:conditionalFormatting xmlns:xm="http://schemas.microsoft.com/office/excel/2006/main">
          <x14:cfRule type="dataBar" id="{9599D91F-38C6-4B2E-840A-5A1DEA62A1D2}">
            <x14:dataBar minLength="0" maxLength="100" border="1" negativeBarBorderColorSameAsPositive="0">
              <x14:cfvo type="autoMin"/>
              <x14:cfvo type="autoMax"/>
              <x14:borderColor rgb="FF638EC6"/>
              <x14:negativeFillColor rgb="FFFF0000"/>
              <x14:negativeBorderColor rgb="FFFF0000"/>
              <x14:axisColor rgb="FF000000"/>
            </x14:dataBar>
          </x14:cfRule>
          <xm:sqref>AQ2:AQ17</xm:sqref>
        </x14:conditionalFormatting>
        <x14:conditionalFormatting xmlns:xm="http://schemas.microsoft.com/office/excel/2006/main">
          <x14:cfRule type="dataBar" id="{42A8A8F2-34A5-4828-A1A9-7E42C16B17B3}">
            <x14:dataBar minLength="0" maxLength="100" border="1" negativeBarBorderColorSameAsPositive="0">
              <x14:cfvo type="autoMin"/>
              <x14:cfvo type="autoMax"/>
              <x14:borderColor rgb="FF638EC6"/>
              <x14:negativeFillColor rgb="FFFF0000"/>
              <x14:negativeBorderColor rgb="FFFF0000"/>
              <x14:axisColor rgb="FF000000"/>
            </x14:dataBar>
          </x14:cfRule>
          <xm:sqref>B27:B41</xm:sqref>
        </x14:conditionalFormatting>
        <x14:conditionalFormatting xmlns:xm="http://schemas.microsoft.com/office/excel/2006/main">
          <x14:cfRule type="dataBar" id="{D7E0C1F3-B4BB-4E85-9243-C78DCE4A164C}">
            <x14:dataBar minLength="0" maxLength="100" border="1" negativeBarBorderColorSameAsPositive="0">
              <x14:cfvo type="autoMin"/>
              <x14:cfvo type="autoMax"/>
              <x14:borderColor rgb="FF638EC6"/>
              <x14:negativeFillColor rgb="FFFF0000"/>
              <x14:negativeBorderColor rgb="FFFF0000"/>
              <x14:axisColor rgb="FF000000"/>
            </x14:dataBar>
          </x14:cfRule>
          <xm:sqref>AQ69:AQ97</xm:sqref>
        </x14:conditionalFormatting>
        <x14:conditionalFormatting xmlns:xm="http://schemas.microsoft.com/office/excel/2006/main">
          <x14:cfRule type="dataBar" id="{60796FA4-41BB-412A-BDCC-24173974CAC6}">
            <x14:dataBar minLength="0" maxLength="100" border="1" negativeBarBorderColorSameAsPositive="0">
              <x14:cfvo type="autoMin"/>
              <x14:cfvo type="autoMax"/>
              <x14:borderColor rgb="FF638EC6"/>
              <x14:negativeFillColor rgb="FFFF0000"/>
              <x14:negativeBorderColor rgb="FFFF0000"/>
              <x14:axisColor rgb="FF000000"/>
            </x14:dataBar>
          </x14:cfRule>
          <xm:sqref>AQ18</xm:sqref>
        </x14:conditionalFormatting>
        <x14:conditionalFormatting xmlns:xm="http://schemas.microsoft.com/office/excel/2006/main">
          <x14:cfRule type="dataBar" id="{4194DD61-D1C7-494E-A48F-B346E44001B1}">
            <x14:dataBar minLength="0" maxLength="100" border="1" negativeBarBorderColorSameAsPositive="0">
              <x14:cfvo type="autoMin"/>
              <x14:cfvo type="autoMax"/>
              <x14:borderColor rgb="FF638EC6"/>
              <x14:negativeFillColor rgb="FFFF0000"/>
              <x14:negativeBorderColor rgb="FFFF0000"/>
              <x14:axisColor rgb="FF000000"/>
            </x14:dataBar>
          </x14:cfRule>
          <xm:sqref>AQ86:AQ95</xm:sqref>
        </x14:conditionalFormatting>
        <x14:conditionalFormatting xmlns:xm="http://schemas.microsoft.com/office/excel/2006/main">
          <x14:cfRule type="dataBar" id="{DE3AA7FA-72C4-4038-B11F-C5B74588139F}">
            <x14:dataBar minLength="0" maxLength="100" border="1" negativeBarBorderColorSameAsPositive="0">
              <x14:cfvo type="autoMin"/>
              <x14:cfvo type="autoMax"/>
              <x14:borderColor rgb="FF638EC6"/>
              <x14:negativeFillColor rgb="FFFF0000"/>
              <x14:negativeBorderColor rgb="FFFF0000"/>
              <x14:axisColor rgb="FF000000"/>
            </x14:dataBar>
          </x14:cfRule>
          <xm:sqref>AQ96:AQ99</xm:sqref>
        </x14:conditionalFormatting>
        <x14:conditionalFormatting xmlns:xm="http://schemas.microsoft.com/office/excel/2006/main">
          <x14:cfRule type="dataBar" id="{4681FB07-945C-421F-893C-260455127E39}">
            <x14:dataBar minLength="0" maxLength="100" border="1" negativeBarBorderColorSameAsPositive="0">
              <x14:cfvo type="autoMin"/>
              <x14:cfvo type="autoMax"/>
              <x14:borderColor rgb="FF638EC6"/>
              <x14:negativeFillColor rgb="FFFF0000"/>
              <x14:negativeBorderColor rgb="FFFF0000"/>
              <x14:axisColor rgb="FF000000"/>
            </x14:dataBar>
          </x14:cfRule>
          <xm:sqref>B193:B220</xm:sqref>
        </x14:conditionalFormatting>
        <x14:conditionalFormatting xmlns:xm="http://schemas.microsoft.com/office/excel/2006/main">
          <x14:cfRule type="dataBar" id="{CAD0B186-385C-4427-AC0B-93C6A93ACD2C}">
            <x14:dataBar minLength="0" maxLength="100" border="1" negativeBarBorderColorSameAsPositive="0">
              <x14:cfvo type="autoMin"/>
              <x14:cfvo type="autoMax"/>
              <x14:borderColor rgb="FF638EC6"/>
              <x14:negativeFillColor rgb="FFFF0000"/>
              <x14:negativeBorderColor rgb="FFFF0000"/>
              <x14:axisColor rgb="FF000000"/>
            </x14:dataBar>
          </x14:cfRule>
          <xm:sqref>AQ174:AQ183</xm:sqref>
        </x14:conditionalFormatting>
        <x14:conditionalFormatting xmlns:xm="http://schemas.microsoft.com/office/excel/2006/main">
          <x14:cfRule type="dataBar" id="{62C33089-E03E-4BD9-9B47-CA7009F4785B}">
            <x14:dataBar minLength="0" maxLength="100" border="1" negativeBarBorderColorSameAsPositive="0">
              <x14:cfvo type="autoMin"/>
              <x14:cfvo type="autoMax"/>
              <x14:borderColor rgb="FF638EC6"/>
              <x14:negativeFillColor rgb="FFFF0000"/>
              <x14:negativeBorderColor rgb="FFFF0000"/>
              <x14:axisColor rgb="FF000000"/>
            </x14:dataBar>
          </x14:cfRule>
          <xm:sqref>AQ186:AQ189</xm:sqref>
        </x14:conditionalFormatting>
        <x14:conditionalFormatting xmlns:xm="http://schemas.microsoft.com/office/excel/2006/main">
          <x14:cfRule type="dataBar" id="{1A988B80-4AA7-4324-A013-327ACE466733}">
            <x14:dataBar minLength="0" maxLength="100" border="1" negativeBarBorderColorSameAsPositive="0">
              <x14:cfvo type="autoMin"/>
              <x14:cfvo type="autoMax"/>
              <x14:borderColor rgb="FF638EC6"/>
              <x14:negativeFillColor rgb="FFFF0000"/>
              <x14:negativeBorderColor rgb="FFFF0000"/>
              <x14:axisColor rgb="FF000000"/>
            </x14:dataBar>
          </x14:cfRule>
          <xm:sqref>AQ156</xm:sqref>
        </x14:conditionalFormatting>
        <x14:conditionalFormatting xmlns:xm="http://schemas.microsoft.com/office/excel/2006/main">
          <x14:cfRule type="dataBar" id="{CF04E280-2727-4313-A31E-BD8D2F10727C}">
            <x14:dataBar minLength="0" maxLength="100" border="1" negativeBarBorderColorSameAsPositive="0">
              <x14:cfvo type="autoMin"/>
              <x14:cfvo type="autoMax"/>
              <x14:borderColor rgb="FF638EC6"/>
              <x14:negativeFillColor rgb="FFFF0000"/>
              <x14:negativeBorderColor rgb="FFFF0000"/>
              <x14:axisColor rgb="FF000000"/>
            </x14:dataBar>
          </x14:cfRule>
          <xm:sqref>AQ157:AQ185</xm:sqref>
        </x14:conditionalFormatting>
        <x14:conditionalFormatting xmlns:xm="http://schemas.microsoft.com/office/excel/2006/main">
          <x14:cfRule type="dataBar" id="{AF94569B-8F7C-4CE9-A2EE-32898D115F75}">
            <x14:dataBar minLength="0" maxLength="100" border="1" negativeBarBorderColorSameAsPositive="0">
              <x14:cfvo type="autoMin"/>
              <x14:cfvo type="autoMax"/>
              <x14:borderColor rgb="FF638EC6"/>
              <x14:negativeFillColor rgb="FFFF0000"/>
              <x14:negativeBorderColor rgb="FFFF0000"/>
              <x14:axisColor rgb="FF000000"/>
            </x14:dataBar>
          </x14:cfRule>
          <xm:sqref>AQ184:AQ185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59"/>
  <sheetViews>
    <sheetView zoomScale="80" zoomScaleNormal="80" workbookViewId="0">
      <pane xSplit="27885" topLeftCell="AV1"/>
      <selection activeCell="AE65" sqref="AE65"/>
      <selection pane="topRight" activeCell="AX58" sqref="AX58"/>
    </sheetView>
  </sheetViews>
  <sheetFormatPr defaultRowHeight="15" x14ac:dyDescent="0.25"/>
  <cols>
    <col min="2" max="4" width="9.42578125" bestFit="1" customWidth="1"/>
    <col min="5" max="6" width="9.42578125" customWidth="1"/>
    <col min="7" max="13" width="9.42578125" bestFit="1" customWidth="1"/>
    <col min="14" max="17" width="12.28515625" bestFit="1" customWidth="1"/>
    <col min="18" max="21" width="9.42578125" bestFit="1" customWidth="1"/>
    <col min="22" max="22" width="13.85546875" bestFit="1" customWidth="1"/>
    <col min="23" max="38" width="9.42578125" bestFit="1" customWidth="1"/>
    <col min="39" max="40" width="10.140625" bestFit="1" customWidth="1"/>
    <col min="41" max="41" width="16.28515625" bestFit="1" customWidth="1"/>
    <col min="42" max="42" width="10.140625" bestFit="1" customWidth="1"/>
    <col min="43" max="43" width="20.140625" bestFit="1" customWidth="1"/>
    <col min="44" max="44" width="13.85546875" bestFit="1" customWidth="1"/>
    <col min="45" max="46" width="9.42578125" bestFit="1" customWidth="1"/>
    <col min="47" max="48" width="9.28515625" bestFit="1" customWidth="1"/>
    <col min="49" max="49" width="9.42578125" bestFit="1" customWidth="1"/>
    <col min="50" max="50" width="9.28515625" bestFit="1" customWidth="1"/>
  </cols>
  <sheetData>
    <row r="1" spans="1:51" x14ac:dyDescent="0.25">
      <c r="A1" s="33" t="s">
        <v>122</v>
      </c>
      <c r="C1" t="s">
        <v>133</v>
      </c>
      <c r="F1" t="s">
        <v>173</v>
      </c>
      <c r="AS1" s="17" t="s">
        <v>89</v>
      </c>
      <c r="AT1" s="17" t="s">
        <v>90</v>
      </c>
      <c r="AU1" s="17"/>
      <c r="AV1" s="17"/>
      <c r="AW1" s="17" t="s">
        <v>91</v>
      </c>
      <c r="AX1" s="17"/>
    </row>
    <row r="2" spans="1:51" x14ac:dyDescent="0.25">
      <c r="A2" t="s">
        <v>21</v>
      </c>
      <c r="B2" t="s">
        <v>22</v>
      </c>
      <c r="C2" t="s">
        <v>23</v>
      </c>
      <c r="D2" t="s">
        <v>24</v>
      </c>
      <c r="E2" t="s">
        <v>97</v>
      </c>
      <c r="F2" t="s">
        <v>98</v>
      </c>
      <c r="G2" t="s">
        <v>25</v>
      </c>
      <c r="H2" t="s">
        <v>26</v>
      </c>
      <c r="I2" t="s">
        <v>27</v>
      </c>
      <c r="J2" t="s">
        <v>28</v>
      </c>
      <c r="K2" t="s">
        <v>29</v>
      </c>
      <c r="L2" t="s">
        <v>30</v>
      </c>
      <c r="M2" t="s">
        <v>31</v>
      </c>
      <c r="N2" t="s">
        <v>32</v>
      </c>
      <c r="O2" t="s">
        <v>33</v>
      </c>
      <c r="P2" t="s">
        <v>34</v>
      </c>
      <c r="Q2" t="s">
        <v>35</v>
      </c>
      <c r="R2" t="s">
        <v>36</v>
      </c>
      <c r="S2" t="s">
        <v>37</v>
      </c>
      <c r="T2" t="s">
        <v>38</v>
      </c>
      <c r="U2" t="s">
        <v>39</v>
      </c>
      <c r="V2" t="s">
        <v>40</v>
      </c>
      <c r="W2" t="s">
        <v>41</v>
      </c>
      <c r="X2" t="s">
        <v>42</v>
      </c>
      <c r="Y2" t="s">
        <v>43</v>
      </c>
      <c r="Z2" t="s">
        <v>44</v>
      </c>
      <c r="AA2" t="s">
        <v>45</v>
      </c>
      <c r="AB2" s="1" t="s">
        <v>46</v>
      </c>
      <c r="AC2" s="1" t="s">
        <v>47</v>
      </c>
      <c r="AD2" s="1" t="s">
        <v>48</v>
      </c>
      <c r="AE2" t="s">
        <v>49</v>
      </c>
      <c r="AF2" t="s">
        <v>50</v>
      </c>
      <c r="AG2" t="s">
        <v>51</v>
      </c>
      <c r="AH2" t="s">
        <v>52</v>
      </c>
      <c r="AI2" t="s">
        <v>53</v>
      </c>
      <c r="AJ2" t="s">
        <v>54</v>
      </c>
      <c r="AK2" t="s">
        <v>55</v>
      </c>
      <c r="AL2" t="s">
        <v>56</v>
      </c>
      <c r="AM2" t="s">
        <v>57</v>
      </c>
      <c r="AN2" t="s">
        <v>58</v>
      </c>
      <c r="AO2" t="s">
        <v>59</v>
      </c>
      <c r="AP2" t="s">
        <v>60</v>
      </c>
      <c r="AQ2" t="s">
        <v>61</v>
      </c>
      <c r="AR2" t="s">
        <v>62</v>
      </c>
      <c r="AS2" s="21" t="s">
        <v>124</v>
      </c>
      <c r="AT2" s="21" t="s">
        <v>125</v>
      </c>
      <c r="AU2" s="17" t="s">
        <v>126</v>
      </c>
      <c r="AV2" s="17" t="s">
        <v>127</v>
      </c>
      <c r="AW2" s="21" t="s">
        <v>128</v>
      </c>
      <c r="AX2" s="17" t="s">
        <v>129</v>
      </c>
      <c r="AY2" t="s">
        <v>170</v>
      </c>
    </row>
    <row r="3" spans="1:51" x14ac:dyDescent="0.25">
      <c r="A3">
        <v>96</v>
      </c>
      <c r="B3" s="4">
        <v>0.99661761999999998</v>
      </c>
      <c r="C3" s="4">
        <v>0</v>
      </c>
      <c r="D3" s="4">
        <v>3.9841936068485002</v>
      </c>
      <c r="E3" s="4">
        <v>0</v>
      </c>
      <c r="F3" s="5">
        <v>3.3823799999999999E-3</v>
      </c>
      <c r="G3" s="5">
        <v>0</v>
      </c>
      <c r="H3" s="4">
        <v>3.875</v>
      </c>
      <c r="I3" s="4">
        <v>4.1184719999999997</v>
      </c>
      <c r="J3" s="4">
        <v>-64.061899999999994</v>
      </c>
      <c r="K3" s="4">
        <v>-131.94999999999999</v>
      </c>
      <c r="L3" s="4">
        <v>13.16</v>
      </c>
      <c r="M3" s="4">
        <v>17</v>
      </c>
      <c r="N3" s="4">
        <v>80</v>
      </c>
      <c r="O3" s="4">
        <v>77.08</v>
      </c>
      <c r="P3" s="4">
        <v>303250.44</v>
      </c>
      <c r="Q3" s="4">
        <v>303250.44</v>
      </c>
      <c r="R3" s="4">
        <v>773</v>
      </c>
      <c r="S3" s="4">
        <v>0</v>
      </c>
      <c r="T3" s="4">
        <v>0</v>
      </c>
      <c r="U3" s="4">
        <v>0</v>
      </c>
      <c r="V3" s="4">
        <v>1</v>
      </c>
      <c r="W3" s="4">
        <v>0</v>
      </c>
      <c r="X3" s="4">
        <v>1</v>
      </c>
      <c r="Y3" s="4">
        <v>0</v>
      </c>
      <c r="Z3" s="5">
        <v>3.5183000000000002E-4</v>
      </c>
      <c r="AA3" s="5">
        <v>7.7919999999999999E-5</v>
      </c>
      <c r="AB3" s="10">
        <v>2.95262E-3</v>
      </c>
      <c r="AC3" s="10">
        <v>0</v>
      </c>
      <c r="AD3" s="10">
        <v>0</v>
      </c>
      <c r="AE3" s="4">
        <v>1.1207682833043501E-2</v>
      </c>
      <c r="AF3" s="4">
        <v>1</v>
      </c>
      <c r="AG3" s="4">
        <v>1</v>
      </c>
      <c r="AH3" s="4">
        <v>1</v>
      </c>
      <c r="AI3" s="4">
        <v>1</v>
      </c>
      <c r="AJ3" s="4">
        <v>1</v>
      </c>
      <c r="AK3" s="4">
        <v>1</v>
      </c>
      <c r="AL3" s="4">
        <v>1</v>
      </c>
      <c r="AM3" s="4">
        <v>0</v>
      </c>
      <c r="AN3" s="4">
        <v>0</v>
      </c>
      <c r="AO3" s="4" t="s">
        <v>63</v>
      </c>
      <c r="AP3" s="4">
        <f>-150--125</f>
        <v>-25</v>
      </c>
      <c r="AQ3" s="6">
        <v>303250.44</v>
      </c>
      <c r="AR3" s="4">
        <v>1</v>
      </c>
      <c r="AS3" s="15">
        <v>0</v>
      </c>
      <c r="AT3" s="15">
        <v>0</v>
      </c>
      <c r="AU3" s="15">
        <v>0</v>
      </c>
      <c r="AV3" s="15">
        <v>100</v>
      </c>
      <c r="AW3" s="15">
        <v>100</v>
      </c>
      <c r="AX3" s="15">
        <v>0</v>
      </c>
      <c r="AY3" s="37">
        <v>0</v>
      </c>
    </row>
    <row r="4" spans="1:51" x14ac:dyDescent="0.25">
      <c r="A4">
        <v>96</v>
      </c>
      <c r="B4" s="4">
        <v>0.99252822165548804</v>
      </c>
      <c r="C4" s="4">
        <v>5.6968752271124797E-6</v>
      </c>
      <c r="D4" s="4">
        <v>8.6066971229231193</v>
      </c>
      <c r="E4" s="4">
        <v>4.7473961991671797E-9</v>
      </c>
      <c r="F4" s="5">
        <v>7.4717783445110804E-3</v>
      </c>
      <c r="G4" s="5">
        <v>0</v>
      </c>
      <c r="H4" s="4">
        <v>3.9463144886133898</v>
      </c>
      <c r="I4" s="4">
        <v>3.9968994330355998</v>
      </c>
      <c r="J4" s="4">
        <v>-50.059634453509297</v>
      </c>
      <c r="K4" s="4">
        <v>-110.175225167985</v>
      </c>
      <c r="L4" s="4">
        <v>17.060621735254099</v>
      </c>
      <c r="M4" s="4">
        <v>16.808767110725899</v>
      </c>
      <c r="N4" s="4">
        <v>78.188744527266806</v>
      </c>
      <c r="O4" s="4">
        <v>75.620467298132695</v>
      </c>
      <c r="P4" s="4">
        <v>244109.932834418</v>
      </c>
      <c r="Q4" s="4">
        <v>234046.42111111101</v>
      </c>
      <c r="R4" s="4">
        <v>766.50334840269204</v>
      </c>
      <c r="S4" s="4">
        <v>0</v>
      </c>
      <c r="T4" s="4">
        <v>0</v>
      </c>
      <c r="U4" s="4">
        <v>0</v>
      </c>
      <c r="V4" s="4">
        <v>0.52919183710464102</v>
      </c>
      <c r="W4" s="4">
        <v>0</v>
      </c>
      <c r="X4" s="4">
        <v>0.62889958311641403</v>
      </c>
      <c r="Y4" s="4">
        <v>0</v>
      </c>
      <c r="Z4" s="5">
        <v>3.5219409994139799E-4</v>
      </c>
      <c r="AA4" s="5">
        <v>5.24156211963059E-5</v>
      </c>
      <c r="AB4" s="10">
        <v>3.0302850769913501E-3</v>
      </c>
      <c r="AC4" s="10">
        <v>0</v>
      </c>
      <c r="AD4" s="10">
        <v>4.0368678296956399E-3</v>
      </c>
      <c r="AE4" s="4">
        <v>7.9918490317015707E-3</v>
      </c>
      <c r="AF4" s="4">
        <v>1</v>
      </c>
      <c r="AG4" s="4">
        <v>1</v>
      </c>
      <c r="AH4" s="4">
        <v>1</v>
      </c>
      <c r="AI4" s="4">
        <v>1</v>
      </c>
      <c r="AJ4" s="4">
        <v>1</v>
      </c>
      <c r="AK4" s="4">
        <v>1</v>
      </c>
      <c r="AL4" s="4">
        <v>1</v>
      </c>
      <c r="AM4" s="4">
        <v>0</v>
      </c>
      <c r="AN4" s="4">
        <v>0</v>
      </c>
      <c r="AO4" s="4" t="s">
        <v>64</v>
      </c>
      <c r="AP4" s="4">
        <f>-125--100</f>
        <v>-25</v>
      </c>
      <c r="AQ4" s="6">
        <v>2106417.79</v>
      </c>
      <c r="AR4" s="4">
        <v>9</v>
      </c>
      <c r="AS4" s="15">
        <v>0</v>
      </c>
      <c r="AT4" s="15">
        <v>47.080816289535797</v>
      </c>
      <c r="AU4" s="15">
        <v>47.080816289535797</v>
      </c>
      <c r="AV4" s="15">
        <v>52.919183710464097</v>
      </c>
      <c r="AW4" s="15">
        <v>52.919183710464097</v>
      </c>
      <c r="AX4" s="15">
        <v>0</v>
      </c>
      <c r="AY4" s="37">
        <v>0</v>
      </c>
    </row>
    <row r="5" spans="1:51" x14ac:dyDescent="0.25">
      <c r="A5">
        <v>96</v>
      </c>
      <c r="B5" s="4">
        <v>0.98541460004606896</v>
      </c>
      <c r="C5" s="4">
        <v>6.7240516908860304</v>
      </c>
      <c r="D5" s="4">
        <v>16.164509296055598</v>
      </c>
      <c r="E5" s="4">
        <v>5.7838670076380098E-3</v>
      </c>
      <c r="F5" s="5">
        <v>1.4585399953930701E-2</v>
      </c>
      <c r="G5" s="5">
        <v>0</v>
      </c>
      <c r="H5" s="4">
        <v>4.2182657329545599</v>
      </c>
      <c r="I5" s="4">
        <v>4.0135729777376499</v>
      </c>
      <c r="J5" s="4">
        <v>-25.418889710374799</v>
      </c>
      <c r="K5" s="4">
        <v>-83.743458923963203</v>
      </c>
      <c r="L5" s="4">
        <v>15.5310152329918</v>
      </c>
      <c r="M5" s="4">
        <v>16.933544184274801</v>
      </c>
      <c r="N5" s="4">
        <v>77.580946680547598</v>
      </c>
      <c r="O5" s="4">
        <v>76.0582889771607</v>
      </c>
      <c r="P5" s="4">
        <v>294714.00150699803</v>
      </c>
      <c r="Q5" s="4">
        <v>232023.62599999999</v>
      </c>
      <c r="R5" s="4">
        <v>776.08752496897296</v>
      </c>
      <c r="S5" s="4">
        <v>0</v>
      </c>
      <c r="T5" s="4">
        <v>0</v>
      </c>
      <c r="U5" s="4">
        <v>0</v>
      </c>
      <c r="V5" s="4">
        <v>0.32998977584004002</v>
      </c>
      <c r="W5" s="4">
        <v>0</v>
      </c>
      <c r="X5" s="4">
        <v>0.59746948068699401</v>
      </c>
      <c r="Y5" s="4">
        <v>0</v>
      </c>
      <c r="Z5" s="5">
        <v>4.9507274330202599E-4</v>
      </c>
      <c r="AA5" s="5">
        <v>8.3120750126382901E-5</v>
      </c>
      <c r="AB5" s="10">
        <v>2.81623185825939E-3</v>
      </c>
      <c r="AC5" s="10">
        <v>0</v>
      </c>
      <c r="AD5" s="10">
        <v>1.11909610760307E-2</v>
      </c>
      <c r="AE5" s="4">
        <v>-1.6614366743066301E-2</v>
      </c>
      <c r="AF5" s="4">
        <v>1</v>
      </c>
      <c r="AG5" s="4">
        <v>1</v>
      </c>
      <c r="AH5" s="4">
        <v>1</v>
      </c>
      <c r="AI5" s="4">
        <v>1</v>
      </c>
      <c r="AJ5" s="4">
        <v>1</v>
      </c>
      <c r="AK5" s="4">
        <v>1</v>
      </c>
      <c r="AL5" s="4">
        <v>1</v>
      </c>
      <c r="AM5" s="4">
        <v>0</v>
      </c>
      <c r="AN5" s="4">
        <v>0</v>
      </c>
      <c r="AO5" s="4" t="s">
        <v>65</v>
      </c>
      <c r="AP5" s="4">
        <f>-100--75</f>
        <v>-25</v>
      </c>
      <c r="AQ5" s="6">
        <v>6960708.7800000003</v>
      </c>
      <c r="AR5" s="4">
        <v>30</v>
      </c>
      <c r="AS5" s="15">
        <v>0</v>
      </c>
      <c r="AT5" s="15">
        <v>67.001022415995905</v>
      </c>
      <c r="AU5" s="15">
        <v>67.001022415995905</v>
      </c>
      <c r="AV5" s="15">
        <v>32.998977584004002</v>
      </c>
      <c r="AW5" s="15">
        <v>32.998977584004002</v>
      </c>
      <c r="AX5" s="15">
        <v>0</v>
      </c>
      <c r="AY5" s="37">
        <v>0</v>
      </c>
    </row>
    <row r="6" spans="1:51" x14ac:dyDescent="0.25">
      <c r="A6">
        <v>96</v>
      </c>
      <c r="B6" s="4">
        <v>0.99302902227860601</v>
      </c>
      <c r="C6" s="4">
        <v>5.27863973798289</v>
      </c>
      <c r="D6" s="4">
        <v>8.0517862981395503</v>
      </c>
      <c r="E6" s="4">
        <v>4.5090248590070204E-3</v>
      </c>
      <c r="F6" s="5">
        <v>6.9709777213938897E-3</v>
      </c>
      <c r="G6" s="5">
        <v>0</v>
      </c>
      <c r="H6" s="4">
        <v>3.9477649052908799</v>
      </c>
      <c r="I6" s="4">
        <v>4.1009703465246199</v>
      </c>
      <c r="J6" s="4">
        <v>-54.9017468530459</v>
      </c>
      <c r="K6" s="4">
        <v>-56.696947071490101</v>
      </c>
      <c r="L6" s="4">
        <v>17.807147877747401</v>
      </c>
      <c r="M6" s="4">
        <v>16.269080384892501</v>
      </c>
      <c r="N6" s="4">
        <v>78.0499535778401</v>
      </c>
      <c r="O6" s="4">
        <v>76.132956186195401</v>
      </c>
      <c r="P6" s="4">
        <v>262092.08544572801</v>
      </c>
      <c r="Q6" s="4">
        <v>215006.83541338501</v>
      </c>
      <c r="R6" s="4">
        <v>779.43956408589997</v>
      </c>
      <c r="S6" s="4">
        <v>0</v>
      </c>
      <c r="T6" s="4">
        <v>0</v>
      </c>
      <c r="U6" s="4">
        <v>1.11210904892565E-2</v>
      </c>
      <c r="V6" s="4">
        <v>0.102695249423574</v>
      </c>
      <c r="W6" s="4">
        <v>0</v>
      </c>
      <c r="X6" s="4">
        <v>0.473959751848537</v>
      </c>
      <c r="Y6" s="4">
        <v>0</v>
      </c>
      <c r="Z6" s="5">
        <v>5.4578085844211497E-4</v>
      </c>
      <c r="AA6" s="5">
        <v>7.3191027169610499E-5</v>
      </c>
      <c r="AB6" s="10">
        <v>2.5300283099280001E-3</v>
      </c>
      <c r="AC6" s="10">
        <v>0</v>
      </c>
      <c r="AD6" s="10">
        <v>3.8219663099480598E-3</v>
      </c>
      <c r="AE6" s="4">
        <v>-2.0708407021482501E-2</v>
      </c>
      <c r="AF6" s="4">
        <v>0.99013983664468597</v>
      </c>
      <c r="AG6" s="4">
        <v>0.99958902487699897</v>
      </c>
      <c r="AH6" s="4">
        <v>1</v>
      </c>
      <c r="AI6" s="4">
        <v>1</v>
      </c>
      <c r="AJ6" s="4">
        <v>1</v>
      </c>
      <c r="AK6" s="4">
        <v>1</v>
      </c>
      <c r="AL6" s="4">
        <v>1</v>
      </c>
      <c r="AM6" s="4">
        <v>0</v>
      </c>
      <c r="AN6" s="4">
        <v>0</v>
      </c>
      <c r="AO6" s="4" t="s">
        <v>66</v>
      </c>
      <c r="AP6" s="4">
        <f>-75--50</f>
        <v>-25</v>
      </c>
      <c r="AQ6" s="6">
        <v>109223472.39</v>
      </c>
      <c r="AR6" s="4">
        <v>508</v>
      </c>
      <c r="AS6" s="15">
        <v>0</v>
      </c>
      <c r="AT6" s="15">
        <v>89.730475057642494</v>
      </c>
      <c r="AU6" s="15">
        <v>89.730475057642494</v>
      </c>
      <c r="AV6" s="15">
        <v>10.2695249423574</v>
      </c>
      <c r="AW6" s="15">
        <v>10.2695249423574</v>
      </c>
      <c r="AX6" s="15">
        <v>0</v>
      </c>
      <c r="AY6">
        <v>0.36724483050469597</v>
      </c>
    </row>
    <row r="7" spans="1:51" x14ac:dyDescent="0.25">
      <c r="A7">
        <v>96</v>
      </c>
      <c r="B7" s="4">
        <v>0.99230135336463199</v>
      </c>
      <c r="C7" s="4">
        <v>3.49163006922883</v>
      </c>
      <c r="D7" s="4">
        <v>8.8570661748874002</v>
      </c>
      <c r="E7" s="4">
        <v>2.9573223459741001E-3</v>
      </c>
      <c r="F7" s="5">
        <v>7.6986466353673004E-3</v>
      </c>
      <c r="G7" s="5">
        <v>0</v>
      </c>
      <c r="H7" s="4">
        <v>3.8980515450698299</v>
      </c>
      <c r="I7" s="4">
        <v>4.1131380963322597</v>
      </c>
      <c r="J7" s="4">
        <v>-60.598699845342203</v>
      </c>
      <c r="K7" s="4">
        <v>-33.134226991627003</v>
      </c>
      <c r="L7" s="4">
        <v>16.339430788459499</v>
      </c>
      <c r="M7" s="4">
        <v>16.249136719254999</v>
      </c>
      <c r="N7" s="4">
        <v>74.4921516543953</v>
      </c>
      <c r="O7" s="4">
        <v>72.612312932595799</v>
      </c>
      <c r="P7" s="4">
        <v>269597.47958892799</v>
      </c>
      <c r="Q7" s="4">
        <v>241873.07083934499</v>
      </c>
      <c r="R7" s="4">
        <v>781.68626441609194</v>
      </c>
      <c r="S7" s="4">
        <v>0</v>
      </c>
      <c r="T7" s="4">
        <v>0</v>
      </c>
      <c r="U7" s="4">
        <v>1.5742685305998299E-3</v>
      </c>
      <c r="V7" s="4">
        <v>0.10414133216218099</v>
      </c>
      <c r="W7" s="4">
        <v>0</v>
      </c>
      <c r="X7" s="4">
        <v>0.56299853200100602</v>
      </c>
      <c r="Y7" s="4">
        <v>0</v>
      </c>
      <c r="Z7" s="5">
        <v>4.1375708952704903E-4</v>
      </c>
      <c r="AA7" s="5">
        <v>6.3290385556972402E-5</v>
      </c>
      <c r="AB7" s="10">
        <v>2.6439115079138699E-3</v>
      </c>
      <c r="AC7" s="10">
        <v>6.9562929474769504E-8</v>
      </c>
      <c r="AD7" s="10">
        <v>4.5776036165662299E-3</v>
      </c>
      <c r="AE7" s="4">
        <v>-1.1974574501336901E-2</v>
      </c>
      <c r="AF7" s="4">
        <v>0.97730545987982598</v>
      </c>
      <c r="AG7" s="4">
        <v>0.99838128174527396</v>
      </c>
      <c r="AH7" s="4">
        <v>0.99991916099467204</v>
      </c>
      <c r="AI7" s="4">
        <v>0.999944853034477</v>
      </c>
      <c r="AJ7" s="4">
        <v>1</v>
      </c>
      <c r="AK7" s="4">
        <v>1</v>
      </c>
      <c r="AL7" s="4">
        <v>1</v>
      </c>
      <c r="AM7" s="4">
        <v>0</v>
      </c>
      <c r="AN7" s="4">
        <v>0</v>
      </c>
      <c r="AO7" s="4" t="s">
        <v>67</v>
      </c>
      <c r="AP7" s="4">
        <f>-50--25</f>
        <v>-25</v>
      </c>
      <c r="AQ7" s="6">
        <v>1374564661.5799999</v>
      </c>
      <c r="AR7" s="4">
        <v>5683</v>
      </c>
      <c r="AS7" s="15">
        <v>0</v>
      </c>
      <c r="AT7" s="15">
        <v>89.585866783781796</v>
      </c>
      <c r="AU7" s="15">
        <v>89.585866783781796</v>
      </c>
      <c r="AV7" s="15">
        <v>10.414133216218101</v>
      </c>
      <c r="AW7" s="15">
        <v>10.414133216218101</v>
      </c>
      <c r="AX7" s="15">
        <v>0</v>
      </c>
      <c r="AY7">
        <v>0.125264274303823</v>
      </c>
    </row>
    <row r="8" spans="1:51" x14ac:dyDescent="0.25">
      <c r="A8">
        <v>96</v>
      </c>
      <c r="B8" s="4">
        <v>0.98878450915721205</v>
      </c>
      <c r="C8" s="4">
        <v>6.6623896197389696</v>
      </c>
      <c r="D8" s="4">
        <v>12.6586607663282</v>
      </c>
      <c r="E8" s="4">
        <v>5.72911293305096E-3</v>
      </c>
      <c r="F8" s="5">
        <v>1.1215490842787E-2</v>
      </c>
      <c r="G8" s="5">
        <v>0</v>
      </c>
      <c r="H8" s="4">
        <v>3.95687287504661</v>
      </c>
      <c r="I8" s="4">
        <v>4.1092162833112198</v>
      </c>
      <c r="J8" s="4">
        <v>-54.589526523503899</v>
      </c>
      <c r="K8" s="4">
        <v>-22.3528913123363</v>
      </c>
      <c r="L8" s="4">
        <v>15.718117880082</v>
      </c>
      <c r="M8" s="4">
        <v>16.506546452551699</v>
      </c>
      <c r="N8" s="4">
        <v>71.855521780839695</v>
      </c>
      <c r="O8" s="4">
        <v>70.237482545924905</v>
      </c>
      <c r="P8" s="4">
        <v>276120.46861882298</v>
      </c>
      <c r="Q8" s="4">
        <v>253281.980592662</v>
      </c>
      <c r="R8" s="4">
        <v>781.769537715105</v>
      </c>
      <c r="S8" s="4">
        <v>0</v>
      </c>
      <c r="T8" s="4">
        <v>0</v>
      </c>
      <c r="U8" s="4">
        <v>3.7905841595377199E-3</v>
      </c>
      <c r="V8" s="4">
        <v>0.14317714462068801</v>
      </c>
      <c r="W8" s="4">
        <v>0</v>
      </c>
      <c r="X8" s="4">
        <v>0.64851243697008398</v>
      </c>
      <c r="Y8" s="4">
        <v>0</v>
      </c>
      <c r="Z8" s="5">
        <v>3.8414881886653102E-4</v>
      </c>
      <c r="AA8" s="5">
        <v>5.7327613965195499E-5</v>
      </c>
      <c r="AB8" s="10">
        <v>2.7048945215742601E-3</v>
      </c>
      <c r="AC8" s="10">
        <v>8.5436358121940703E-8</v>
      </c>
      <c r="AD8" s="10">
        <v>8.0690199356748607E-3</v>
      </c>
      <c r="AE8" s="4">
        <v>-1.09059796366164E-2</v>
      </c>
      <c r="AF8" s="4">
        <v>0.97076008328897301</v>
      </c>
      <c r="AG8" s="4">
        <v>0.99784320766115797</v>
      </c>
      <c r="AH8" s="4">
        <v>0.99964417783479897</v>
      </c>
      <c r="AI8" s="4">
        <v>1</v>
      </c>
      <c r="AJ8" s="4">
        <v>1</v>
      </c>
      <c r="AK8" s="4">
        <v>1</v>
      </c>
      <c r="AL8" s="4">
        <v>1</v>
      </c>
      <c r="AM8" s="4">
        <v>0</v>
      </c>
      <c r="AN8" s="4">
        <v>0</v>
      </c>
      <c r="AO8" s="4" t="s">
        <v>145</v>
      </c>
      <c r="AP8" s="4">
        <f>-25--20</f>
        <v>-5</v>
      </c>
      <c r="AQ8" s="6">
        <v>807716236.11000001</v>
      </c>
      <c r="AR8" s="4">
        <v>3189</v>
      </c>
      <c r="AS8" s="15">
        <v>0</v>
      </c>
      <c r="AT8" s="15">
        <v>85.682285537931094</v>
      </c>
      <c r="AU8" s="15">
        <v>85.682285537931094</v>
      </c>
      <c r="AV8" s="15">
        <v>14.3177144620688</v>
      </c>
      <c r="AW8" s="15">
        <v>14.3177144620688</v>
      </c>
      <c r="AX8" s="15">
        <v>0</v>
      </c>
      <c r="AY8">
        <v>0.150443082323965</v>
      </c>
    </row>
    <row r="9" spans="1:51" x14ac:dyDescent="0.25">
      <c r="A9">
        <v>96</v>
      </c>
      <c r="B9" s="4">
        <v>0.98727314621513995</v>
      </c>
      <c r="C9" s="4">
        <v>5.1089784518729999</v>
      </c>
      <c r="D9" s="4">
        <v>14.2472823209685</v>
      </c>
      <c r="E9" s="4">
        <v>4.3605562507573999E-3</v>
      </c>
      <c r="F9" s="5">
        <v>1.2726853784859601E-2</v>
      </c>
      <c r="G9" s="5">
        <v>0</v>
      </c>
      <c r="H9" s="4">
        <v>4.0128715507036503</v>
      </c>
      <c r="I9" s="4">
        <v>4.10724464590675</v>
      </c>
      <c r="J9" s="4">
        <v>-49.551293475498099</v>
      </c>
      <c r="K9" s="4">
        <v>-17.273661782883298</v>
      </c>
      <c r="L9" s="4">
        <v>15.9673936180608</v>
      </c>
      <c r="M9" s="4">
        <v>16.495946097078001</v>
      </c>
      <c r="N9" s="4">
        <v>72.569876190338803</v>
      </c>
      <c r="O9" s="4">
        <v>70.951852646937098</v>
      </c>
      <c r="P9" s="4">
        <v>272739.60809494997</v>
      </c>
      <c r="Q9" s="4">
        <v>248738.71360211601</v>
      </c>
      <c r="R9" s="4">
        <v>781.89197208215205</v>
      </c>
      <c r="S9" s="4">
        <v>0</v>
      </c>
      <c r="T9" s="4">
        <v>0</v>
      </c>
      <c r="U9" s="4">
        <v>5.1545806447366302E-3</v>
      </c>
      <c r="V9" s="4">
        <v>0.15004176441294001</v>
      </c>
      <c r="W9" s="4">
        <v>0</v>
      </c>
      <c r="X9" s="4">
        <v>0.643255642551257</v>
      </c>
      <c r="Y9" s="4">
        <v>0</v>
      </c>
      <c r="Z9" s="5">
        <v>3.8537960805472803E-4</v>
      </c>
      <c r="AA9" s="5">
        <v>6.10809018446276E-5</v>
      </c>
      <c r="AB9" s="10">
        <v>2.69789165941365E-3</v>
      </c>
      <c r="AC9" s="10">
        <v>6.7257931609919395E-8</v>
      </c>
      <c r="AD9" s="10">
        <v>9.5824199569123306E-3</v>
      </c>
      <c r="AE9" s="4">
        <v>-1.07564416138502E-2</v>
      </c>
      <c r="AF9" s="4">
        <v>0.96667300711001103</v>
      </c>
      <c r="AG9" s="4">
        <v>0.99780784018802704</v>
      </c>
      <c r="AH9" s="4">
        <v>0.99962972560488905</v>
      </c>
      <c r="AI9" s="4">
        <v>1</v>
      </c>
      <c r="AJ9" s="4">
        <v>1</v>
      </c>
      <c r="AK9" s="4">
        <v>1</v>
      </c>
      <c r="AL9" s="4">
        <v>1</v>
      </c>
      <c r="AM9" s="4">
        <v>0</v>
      </c>
      <c r="AN9" s="4">
        <v>0</v>
      </c>
      <c r="AO9" s="4" t="s">
        <v>146</v>
      </c>
      <c r="AP9" s="4">
        <f>-20--15</f>
        <v>-5</v>
      </c>
      <c r="AQ9" s="6">
        <v>1175290421.77</v>
      </c>
      <c r="AR9" s="4">
        <v>4725</v>
      </c>
      <c r="AS9" s="15">
        <v>0</v>
      </c>
      <c r="AT9" s="15">
        <v>84.995823558705894</v>
      </c>
      <c r="AU9" s="15">
        <v>84.995823558705894</v>
      </c>
      <c r="AV9" s="15">
        <v>15.004176441294</v>
      </c>
      <c r="AW9" s="15">
        <v>15.004176441294</v>
      </c>
      <c r="AX9" s="15">
        <v>0</v>
      </c>
      <c r="AY9">
        <v>0.27417562631175801</v>
      </c>
    </row>
    <row r="10" spans="1:51" x14ac:dyDescent="0.25">
      <c r="A10">
        <v>96</v>
      </c>
      <c r="B10" s="4">
        <v>0.98596850810190995</v>
      </c>
      <c r="C10" s="4">
        <v>7.3931325863316797</v>
      </c>
      <c r="D10" s="4">
        <v>15.5972639460973</v>
      </c>
      <c r="E10" s="4">
        <v>6.3801337063707497E-3</v>
      </c>
      <c r="F10" s="5">
        <v>1.40314918980897E-2</v>
      </c>
      <c r="G10" s="5">
        <v>0</v>
      </c>
      <c r="H10" s="4">
        <v>4.0622342211468903</v>
      </c>
      <c r="I10" s="4">
        <v>4.1048272213914796</v>
      </c>
      <c r="J10" s="4">
        <v>-44.839479471647401</v>
      </c>
      <c r="K10" s="4">
        <v>-12.3219535563337</v>
      </c>
      <c r="L10" s="4">
        <v>15.781596075569301</v>
      </c>
      <c r="M10" s="4">
        <v>16.629436025625399</v>
      </c>
      <c r="N10" s="4">
        <v>72.508353574379399</v>
      </c>
      <c r="O10" s="4">
        <v>71.015891344899202</v>
      </c>
      <c r="P10" s="4">
        <v>273438.55425781303</v>
      </c>
      <c r="Q10" s="4">
        <v>252116.254750566</v>
      </c>
      <c r="R10" s="4">
        <v>781.66661681124106</v>
      </c>
      <c r="S10" s="4">
        <v>0</v>
      </c>
      <c r="T10" s="4">
        <v>0</v>
      </c>
      <c r="U10" s="4">
        <v>2.6982241524787002E-3</v>
      </c>
      <c r="V10" s="4">
        <v>0.17055763727782799</v>
      </c>
      <c r="W10" s="4">
        <v>0</v>
      </c>
      <c r="X10" s="4">
        <v>0.66300265654081203</v>
      </c>
      <c r="Y10" s="4">
        <v>0</v>
      </c>
      <c r="Z10" s="5">
        <v>3.80453090070954E-4</v>
      </c>
      <c r="AA10" s="5">
        <v>6.7120327260352899E-5</v>
      </c>
      <c r="AB10" s="10">
        <v>2.7136846737635801E-3</v>
      </c>
      <c r="AC10" s="10">
        <v>5.7859638300249199E-8</v>
      </c>
      <c r="AD10" s="10">
        <v>1.08701615853166E-2</v>
      </c>
      <c r="AE10" s="4">
        <v>-1.12873608352688E-2</v>
      </c>
      <c r="AF10" s="4">
        <v>0.96718736343556899</v>
      </c>
      <c r="AG10" s="4">
        <v>0.99763981060701701</v>
      </c>
      <c r="AH10" s="4">
        <v>0.99972537709738596</v>
      </c>
      <c r="AI10" s="4">
        <v>1</v>
      </c>
      <c r="AJ10" s="4">
        <v>1</v>
      </c>
      <c r="AK10" s="4">
        <v>1</v>
      </c>
      <c r="AL10" s="4">
        <v>1</v>
      </c>
      <c r="AM10" s="4">
        <v>0</v>
      </c>
      <c r="AN10" s="4">
        <v>0</v>
      </c>
      <c r="AO10" s="4" t="s">
        <v>147</v>
      </c>
      <c r="AP10" s="4">
        <f>-15--10</f>
        <v>-5</v>
      </c>
      <c r="AQ10" s="6">
        <v>1778932293.52</v>
      </c>
      <c r="AR10" s="4">
        <v>7056</v>
      </c>
      <c r="AS10" s="15">
        <v>0</v>
      </c>
      <c r="AT10" s="15">
        <v>82.944236272217097</v>
      </c>
      <c r="AU10" s="15">
        <v>82.944236272217097</v>
      </c>
      <c r="AV10" s="15">
        <v>17.0557637277828</v>
      </c>
      <c r="AW10" s="15">
        <v>17.0557637277828</v>
      </c>
      <c r="AX10" s="15">
        <v>0</v>
      </c>
      <c r="AY10">
        <v>0.351215937089837</v>
      </c>
    </row>
    <row r="11" spans="1:51" x14ac:dyDescent="0.25">
      <c r="A11">
        <v>96</v>
      </c>
      <c r="B11" s="4">
        <v>0.98471012955498705</v>
      </c>
      <c r="C11" s="4">
        <v>10.612968246596999</v>
      </c>
      <c r="D11" s="4">
        <v>16.880893604632401</v>
      </c>
      <c r="E11" s="4">
        <v>9.3059766257122603E-3</v>
      </c>
      <c r="F11" s="5">
        <v>1.52898704450122E-2</v>
      </c>
      <c r="G11" s="5">
        <v>0</v>
      </c>
      <c r="H11" s="4">
        <v>4.1080795155116796</v>
      </c>
      <c r="I11" s="4">
        <v>4.1008714871874297</v>
      </c>
      <c r="J11" s="4">
        <v>-40.420923564873299</v>
      </c>
      <c r="K11" s="4">
        <v>-7.3847568245913697</v>
      </c>
      <c r="L11" s="4">
        <v>15.4619255513966</v>
      </c>
      <c r="M11" s="4">
        <v>16.671281631003598</v>
      </c>
      <c r="N11" s="4">
        <v>73.302989571504398</v>
      </c>
      <c r="O11" s="4">
        <v>71.854220350188299</v>
      </c>
      <c r="P11" s="4">
        <v>279151.17815891898</v>
      </c>
      <c r="Q11" s="4">
        <v>257733.10460105501</v>
      </c>
      <c r="R11" s="4">
        <v>781.82462043799796</v>
      </c>
      <c r="S11" s="4">
        <v>0</v>
      </c>
      <c r="T11" s="4">
        <v>0</v>
      </c>
      <c r="U11" s="4">
        <v>5.3504584445893599E-3</v>
      </c>
      <c r="V11" s="4">
        <v>0.17142798777559401</v>
      </c>
      <c r="W11" s="4">
        <v>0</v>
      </c>
      <c r="X11" s="4">
        <v>0.675400446776659</v>
      </c>
      <c r="Y11" s="4">
        <v>0</v>
      </c>
      <c r="Z11" s="5">
        <v>3.7539892167305899E-4</v>
      </c>
      <c r="AA11" s="5">
        <v>6.9326727146539602E-5</v>
      </c>
      <c r="AB11" s="10">
        <v>2.6784442203715499E-3</v>
      </c>
      <c r="AC11" s="10">
        <v>6.7687264548777804E-8</v>
      </c>
      <c r="AD11" s="10">
        <v>1.2166618455715201E-2</v>
      </c>
      <c r="AE11" s="4">
        <v>-1.1297561861434401E-2</v>
      </c>
      <c r="AF11" s="4">
        <v>0.96169927355938101</v>
      </c>
      <c r="AG11" s="4">
        <v>0.99673292982123596</v>
      </c>
      <c r="AH11" s="4">
        <v>0.99987008122493404</v>
      </c>
      <c r="AI11" s="4">
        <v>1</v>
      </c>
      <c r="AJ11" s="4">
        <v>1</v>
      </c>
      <c r="AK11" s="4">
        <v>1</v>
      </c>
      <c r="AL11" s="4">
        <v>1</v>
      </c>
      <c r="AM11" s="4">
        <v>0</v>
      </c>
      <c r="AN11" s="4">
        <v>0</v>
      </c>
      <c r="AO11" s="4" t="s">
        <v>148</v>
      </c>
      <c r="AP11" s="4">
        <f>-10--5</f>
        <v>-5</v>
      </c>
      <c r="AQ11" s="6">
        <v>2490474989.7600002</v>
      </c>
      <c r="AR11" s="4">
        <v>9663</v>
      </c>
      <c r="AS11" s="15">
        <v>0</v>
      </c>
      <c r="AT11" s="15">
        <v>82.857201222440494</v>
      </c>
      <c r="AU11" s="15">
        <v>82.857201222440494</v>
      </c>
      <c r="AV11" s="15">
        <v>17.142798777559399</v>
      </c>
      <c r="AW11" s="15">
        <v>17.142798777559399</v>
      </c>
      <c r="AX11" s="15">
        <v>0</v>
      </c>
      <c r="AY11">
        <v>0.37692889945944102</v>
      </c>
    </row>
    <row r="12" spans="1:51" x14ac:dyDescent="0.25">
      <c r="A12">
        <v>96</v>
      </c>
      <c r="B12" s="4">
        <v>0.98345367043839704</v>
      </c>
      <c r="C12" s="4">
        <v>10.5224051034326</v>
      </c>
      <c r="D12" s="4">
        <v>18.1446883250056</v>
      </c>
      <c r="E12" s="4">
        <v>9.2223713504604801E-3</v>
      </c>
      <c r="F12" s="5">
        <v>1.6546329561602301E-2</v>
      </c>
      <c r="G12" s="5">
        <v>0</v>
      </c>
      <c r="H12" s="4">
        <v>4.1345837196728397</v>
      </c>
      <c r="I12" s="4">
        <v>4.08972553000907</v>
      </c>
      <c r="J12" s="4">
        <v>-38.158592470875703</v>
      </c>
      <c r="K12" s="4">
        <v>-2.35784147556687</v>
      </c>
      <c r="L12" s="4">
        <v>15.3355426701472</v>
      </c>
      <c r="M12" s="4">
        <v>16.836740661962601</v>
      </c>
      <c r="N12" s="4">
        <v>72.897385604065605</v>
      </c>
      <c r="O12" s="4">
        <v>71.427851637647095</v>
      </c>
      <c r="P12" s="4">
        <v>280725.315802656</v>
      </c>
      <c r="Q12" s="4">
        <v>259684.02832682899</v>
      </c>
      <c r="R12" s="4">
        <v>781.359809467677</v>
      </c>
      <c r="S12" s="4">
        <v>0</v>
      </c>
      <c r="T12" s="4">
        <v>0</v>
      </c>
      <c r="U12" s="4">
        <v>7.9192489932551693E-3</v>
      </c>
      <c r="V12" s="4">
        <v>0.192225669595565</v>
      </c>
      <c r="W12" s="4">
        <v>0</v>
      </c>
      <c r="X12" s="4">
        <v>0.69594600047881905</v>
      </c>
      <c r="Y12" s="4">
        <v>0</v>
      </c>
      <c r="Z12" s="5">
        <v>3.7649822644098799E-4</v>
      </c>
      <c r="AA12" s="5">
        <v>7.1405814346253094E-5</v>
      </c>
      <c r="AB12" s="10">
        <v>2.7198498516602101E-3</v>
      </c>
      <c r="AC12" s="10">
        <v>6.5072320732754304E-8</v>
      </c>
      <c r="AD12" s="10">
        <v>1.33784961264542E-2</v>
      </c>
      <c r="AE12" s="4">
        <v>-1.05436285618187E-2</v>
      </c>
      <c r="AF12" s="4">
        <v>0.96181837765498801</v>
      </c>
      <c r="AG12" s="4">
        <v>0.99523732892413697</v>
      </c>
      <c r="AH12" s="4">
        <v>0.99991922192045601</v>
      </c>
      <c r="AI12" s="4">
        <v>0.99997929572612099</v>
      </c>
      <c r="AJ12" s="4">
        <v>1</v>
      </c>
      <c r="AK12" s="4">
        <v>1</v>
      </c>
      <c r="AL12" s="4">
        <v>1</v>
      </c>
      <c r="AM12" s="4">
        <v>0</v>
      </c>
      <c r="AN12" s="4">
        <v>0</v>
      </c>
      <c r="AO12" s="4" t="s">
        <v>68</v>
      </c>
      <c r="AP12" s="4">
        <f>-25-0</f>
        <v>-25</v>
      </c>
      <c r="AQ12" s="6">
        <v>3260852343.6999998</v>
      </c>
      <c r="AR12" s="4">
        <v>12557</v>
      </c>
      <c r="AS12" s="15">
        <v>0</v>
      </c>
      <c r="AT12" s="15">
        <v>80.777433040443398</v>
      </c>
      <c r="AU12" s="15">
        <v>80.777433040443398</v>
      </c>
      <c r="AV12" s="15">
        <v>19.222566959556499</v>
      </c>
      <c r="AW12" s="15">
        <v>19.222566959556499</v>
      </c>
      <c r="AX12" s="15">
        <v>0</v>
      </c>
      <c r="AY12">
        <v>1.20919774282593</v>
      </c>
    </row>
    <row r="13" spans="1:51" x14ac:dyDescent="0.25">
      <c r="A13">
        <v>96</v>
      </c>
      <c r="B13" s="4">
        <v>0.98234257529994795</v>
      </c>
      <c r="C13" s="4">
        <v>12.754742691622701</v>
      </c>
      <c r="D13" s="4">
        <v>19.247569183575301</v>
      </c>
      <c r="E13" s="4">
        <v>1.1306181245041199E-2</v>
      </c>
      <c r="F13" s="5">
        <v>1.7657424700051098E-2</v>
      </c>
      <c r="G13" s="5">
        <v>0</v>
      </c>
      <c r="H13" s="4">
        <v>4.1628262741109197</v>
      </c>
      <c r="I13" s="4">
        <v>4.08070876632208</v>
      </c>
      <c r="J13" s="4">
        <v>-35.226232032611897</v>
      </c>
      <c r="K13" s="4">
        <v>2.6131291582139702</v>
      </c>
      <c r="L13" s="4">
        <v>15.429782938088399</v>
      </c>
      <c r="M13" s="4">
        <v>16.9388166420039</v>
      </c>
      <c r="N13" s="4">
        <v>72.581448382412205</v>
      </c>
      <c r="O13" s="4">
        <v>70.945411827735001</v>
      </c>
      <c r="P13" s="4">
        <v>280374.74957008299</v>
      </c>
      <c r="Q13" s="4">
        <v>258474.512808887</v>
      </c>
      <c r="R13" s="4">
        <v>781.62572030258104</v>
      </c>
      <c r="S13" s="4">
        <v>0</v>
      </c>
      <c r="T13" s="4">
        <v>0</v>
      </c>
      <c r="U13" s="4">
        <v>1.11879642277187E-2</v>
      </c>
      <c r="V13" s="4">
        <v>0.20985740626223201</v>
      </c>
      <c r="W13" s="4">
        <v>0</v>
      </c>
      <c r="X13" s="4">
        <v>0.71000911368002295</v>
      </c>
      <c r="Y13" s="4">
        <v>0</v>
      </c>
      <c r="Z13" s="5">
        <v>3.7656909507752099E-4</v>
      </c>
      <c r="AA13" s="5">
        <v>7.3983316629981999E-5</v>
      </c>
      <c r="AB13" s="10">
        <v>2.7538581225434902E-3</v>
      </c>
      <c r="AC13" s="10">
        <v>6.6610695158901097E-8</v>
      </c>
      <c r="AD13" s="10">
        <v>1.44529332684306E-2</v>
      </c>
      <c r="AE13" s="4">
        <v>-8.8857186948075699E-3</v>
      </c>
      <c r="AF13" s="4">
        <v>0.95336181755396499</v>
      </c>
      <c r="AG13" s="4">
        <v>0.99544836295522898</v>
      </c>
      <c r="AH13" s="4">
        <v>0.99988983051122504</v>
      </c>
      <c r="AI13" s="4">
        <v>1</v>
      </c>
      <c r="AJ13" s="4">
        <v>1</v>
      </c>
      <c r="AK13" s="4">
        <v>1</v>
      </c>
      <c r="AL13" s="4">
        <v>1</v>
      </c>
      <c r="AM13" s="4">
        <v>0</v>
      </c>
      <c r="AN13" s="4">
        <v>0</v>
      </c>
      <c r="AO13" s="4" t="s">
        <v>149</v>
      </c>
      <c r="AP13" s="4" t="s">
        <v>135</v>
      </c>
      <c r="AQ13" s="6">
        <v>4292744708.73</v>
      </c>
      <c r="AR13" s="4">
        <v>16608</v>
      </c>
      <c r="AS13" s="15">
        <v>0</v>
      </c>
      <c r="AT13" s="15">
        <v>79.014259373776696</v>
      </c>
      <c r="AU13" s="15">
        <v>79.014259373776696</v>
      </c>
      <c r="AV13" s="15">
        <v>20.985740626223201</v>
      </c>
      <c r="AW13" s="15">
        <v>20.985740626223201</v>
      </c>
      <c r="AX13" s="15">
        <v>0</v>
      </c>
      <c r="AY13">
        <v>3.7828712433317802</v>
      </c>
    </row>
    <row r="14" spans="1:51" x14ac:dyDescent="0.25">
      <c r="A14">
        <v>96</v>
      </c>
      <c r="B14" s="4">
        <v>0.98146619002489199</v>
      </c>
      <c r="C14" s="4">
        <v>15.401937752549999</v>
      </c>
      <c r="D14" s="4">
        <v>20.107847718731399</v>
      </c>
      <c r="E14" s="4">
        <v>1.3841547912357199E-2</v>
      </c>
      <c r="F14" s="5">
        <v>1.8533809975107E-2</v>
      </c>
      <c r="G14" s="5">
        <v>0</v>
      </c>
      <c r="H14" s="4">
        <v>4.1805802253524602</v>
      </c>
      <c r="I14" s="4">
        <v>4.0649852068115102</v>
      </c>
      <c r="J14" s="4">
        <v>-33.302997252392998</v>
      </c>
      <c r="K14" s="4">
        <v>7.6208417326585698</v>
      </c>
      <c r="L14" s="4">
        <v>15.8909388337563</v>
      </c>
      <c r="M14" s="4">
        <v>16.908031943366101</v>
      </c>
      <c r="N14" s="4">
        <v>73.201799039295196</v>
      </c>
      <c r="O14" s="4">
        <v>71.356821822570595</v>
      </c>
      <c r="P14" s="4">
        <v>271742.55586036702</v>
      </c>
      <c r="Q14" s="4">
        <v>250925.12294418499</v>
      </c>
      <c r="R14" s="4">
        <v>781.85830258152203</v>
      </c>
      <c r="S14" s="4">
        <v>0</v>
      </c>
      <c r="T14" s="4">
        <v>0</v>
      </c>
      <c r="U14" s="4">
        <v>1.19991353418864E-2</v>
      </c>
      <c r="V14" s="4">
        <v>0.22121343971276999</v>
      </c>
      <c r="W14" s="4">
        <v>0</v>
      </c>
      <c r="X14" s="4">
        <v>0.72554375044415598</v>
      </c>
      <c r="Y14" s="4">
        <v>0</v>
      </c>
      <c r="Z14" s="5">
        <v>3.7655784610812803E-4</v>
      </c>
      <c r="AA14" s="5">
        <v>7.4509211773941795E-5</v>
      </c>
      <c r="AB14" s="10">
        <v>2.8023688267946002E-3</v>
      </c>
      <c r="AC14" s="10">
        <v>1.7636511896312499E-7</v>
      </c>
      <c r="AD14" s="10">
        <v>1.52801833544837E-2</v>
      </c>
      <c r="AE14" s="4">
        <v>-6.2269186327701303E-3</v>
      </c>
      <c r="AF14" s="4">
        <v>0.93668200142549796</v>
      </c>
      <c r="AG14" s="4">
        <v>0.99379073034933496</v>
      </c>
      <c r="AH14" s="4">
        <v>0.99966901835602995</v>
      </c>
      <c r="AI14" s="4">
        <v>0.99993793496831895</v>
      </c>
      <c r="AJ14" s="4">
        <v>1</v>
      </c>
      <c r="AK14" s="4">
        <v>1</v>
      </c>
      <c r="AL14" s="4">
        <v>1</v>
      </c>
      <c r="AM14" s="4">
        <v>0</v>
      </c>
      <c r="AN14" s="4">
        <v>0</v>
      </c>
      <c r="AO14" s="4" t="s">
        <v>150</v>
      </c>
      <c r="AP14" s="4">
        <v>43230</v>
      </c>
      <c r="AQ14" s="6">
        <v>5543186890.96</v>
      </c>
      <c r="AR14" s="4">
        <v>22091</v>
      </c>
      <c r="AS14" s="15">
        <v>0</v>
      </c>
      <c r="AT14" s="15">
        <v>77.878656028722901</v>
      </c>
      <c r="AU14" s="15">
        <v>77.878656028722901</v>
      </c>
      <c r="AV14" s="15">
        <v>22.121343971277</v>
      </c>
      <c r="AW14" s="15">
        <v>22.121343971277</v>
      </c>
      <c r="AX14" s="15">
        <v>0</v>
      </c>
      <c r="AY14">
        <v>10.815940286051299</v>
      </c>
    </row>
    <row r="15" spans="1:51" x14ac:dyDescent="0.25">
      <c r="A15">
        <v>96</v>
      </c>
      <c r="B15" s="4">
        <v>0.98018091698386101</v>
      </c>
      <c r="C15" s="4">
        <v>16.442332293616801</v>
      </c>
      <c r="D15" s="4">
        <v>21.354311929241199</v>
      </c>
      <c r="E15" s="4">
        <v>1.48579451707907E-2</v>
      </c>
      <c r="F15" s="5">
        <v>1.9819083016138401E-2</v>
      </c>
      <c r="G15" s="5">
        <v>0</v>
      </c>
      <c r="H15" s="4">
        <v>4.1875187292059</v>
      </c>
      <c r="I15" s="4">
        <v>4.0509204059491202</v>
      </c>
      <c r="J15" s="4">
        <v>-31.967102408442901</v>
      </c>
      <c r="K15" s="4">
        <v>12.667451193363499</v>
      </c>
      <c r="L15" s="4">
        <v>15.837243743876</v>
      </c>
      <c r="M15" s="4">
        <v>16.8152120665846</v>
      </c>
      <c r="N15" s="4">
        <v>71.493224916532796</v>
      </c>
      <c r="O15" s="4">
        <v>69.573122531251201</v>
      </c>
      <c r="P15" s="4">
        <v>270933.08703035902</v>
      </c>
      <c r="Q15" s="4">
        <v>251919.43148231399</v>
      </c>
      <c r="R15" s="4">
        <v>782.13664919646999</v>
      </c>
      <c r="S15" s="4">
        <v>0</v>
      </c>
      <c r="T15" s="4">
        <v>0</v>
      </c>
      <c r="U15" s="4">
        <v>1.7577292635036001E-2</v>
      </c>
      <c r="V15" s="4">
        <v>0.218771220306058</v>
      </c>
      <c r="W15" s="4">
        <v>0</v>
      </c>
      <c r="X15" s="4">
        <v>0.75643770621070605</v>
      </c>
      <c r="Y15" s="4">
        <v>0</v>
      </c>
      <c r="Z15" s="5">
        <v>3.7476734577748599E-4</v>
      </c>
      <c r="AA15" s="5">
        <v>7.3934695029761704E-5</v>
      </c>
      <c r="AB15" s="10">
        <v>2.83392888805402E-3</v>
      </c>
      <c r="AC15" s="10">
        <v>4.5990811072869902E-7</v>
      </c>
      <c r="AD15" s="10">
        <v>1.6535977872892401E-2</v>
      </c>
      <c r="AE15" s="4">
        <v>-4.1864068580349002E-3</v>
      </c>
      <c r="AF15" s="4">
        <v>0.92243166742715499</v>
      </c>
      <c r="AG15" s="4">
        <v>0.99177151785052897</v>
      </c>
      <c r="AH15" s="4">
        <v>0.99905168847751502</v>
      </c>
      <c r="AI15" s="4">
        <v>0.99978989418349395</v>
      </c>
      <c r="AJ15" s="4">
        <v>1</v>
      </c>
      <c r="AK15" s="4">
        <v>1</v>
      </c>
      <c r="AL15" s="4">
        <v>1</v>
      </c>
      <c r="AM15" s="4">
        <v>0</v>
      </c>
      <c r="AN15" s="4">
        <v>0</v>
      </c>
      <c r="AO15" s="4" t="s">
        <v>151</v>
      </c>
      <c r="AP15" s="4">
        <v>43388</v>
      </c>
      <c r="AQ15" s="6">
        <v>8062429485.1599998</v>
      </c>
      <c r="AR15" s="4">
        <v>32004</v>
      </c>
      <c r="AS15" s="15">
        <v>0</v>
      </c>
      <c r="AT15" s="15">
        <v>78.122877969394096</v>
      </c>
      <c r="AU15" s="15">
        <v>78.122877969394096</v>
      </c>
      <c r="AV15" s="15">
        <v>21.877122030605801</v>
      </c>
      <c r="AW15" s="15">
        <v>21.877122030605801</v>
      </c>
      <c r="AX15" s="15">
        <v>0</v>
      </c>
      <c r="AY15">
        <v>24.243654272697398</v>
      </c>
    </row>
    <row r="16" spans="1:51" x14ac:dyDescent="0.25">
      <c r="A16">
        <v>96</v>
      </c>
      <c r="B16" s="4">
        <v>0.97850392692426202</v>
      </c>
      <c r="C16" s="4">
        <v>18.2854142007691</v>
      </c>
      <c r="D16" s="4">
        <v>22.953861890216199</v>
      </c>
      <c r="E16" s="4">
        <v>1.6687337058894001E-2</v>
      </c>
      <c r="F16" s="5">
        <v>2.1496073075737601E-2</v>
      </c>
      <c r="G16" s="5">
        <v>0</v>
      </c>
      <c r="H16" s="4">
        <v>4.1924203184195798</v>
      </c>
      <c r="I16" s="4">
        <v>4.03350554183264</v>
      </c>
      <c r="J16" s="4">
        <v>-30.754922549145601</v>
      </c>
      <c r="K16" s="4">
        <v>17.609577118213998</v>
      </c>
      <c r="L16" s="4">
        <v>15.456462411452801</v>
      </c>
      <c r="M16" s="4">
        <v>16.719237483129</v>
      </c>
      <c r="N16" s="4">
        <v>69.8691230145335</v>
      </c>
      <c r="O16" s="4">
        <v>67.866257933974694</v>
      </c>
      <c r="P16" s="4">
        <v>278066.51718307199</v>
      </c>
      <c r="Q16" s="4">
        <v>258212.17071165299</v>
      </c>
      <c r="R16" s="4">
        <v>782.4129903196</v>
      </c>
      <c r="S16" s="4">
        <v>0</v>
      </c>
      <c r="T16" s="4">
        <v>0</v>
      </c>
      <c r="U16" s="4">
        <v>1.9426320675244298E-2</v>
      </c>
      <c r="V16" s="4">
        <v>0.21838488466738901</v>
      </c>
      <c r="W16" s="4">
        <v>0</v>
      </c>
      <c r="X16" s="4">
        <v>0.78302349795581905</v>
      </c>
      <c r="Y16" s="4">
        <v>0</v>
      </c>
      <c r="Z16" s="5">
        <v>3.7496468585967898E-4</v>
      </c>
      <c r="AA16" s="5">
        <v>7.1991075166711298E-5</v>
      </c>
      <c r="AB16" s="10">
        <v>2.84959927657205E-3</v>
      </c>
      <c r="AC16" s="10">
        <v>7.1193200592298498E-7</v>
      </c>
      <c r="AD16" s="10">
        <v>1.8198791839568001E-2</v>
      </c>
      <c r="AE16" s="4">
        <v>-2.38294611489281E-3</v>
      </c>
      <c r="AF16" s="4">
        <v>0.90133159745487001</v>
      </c>
      <c r="AG16" s="4">
        <v>0.98690978838606702</v>
      </c>
      <c r="AH16" s="4">
        <v>0.99902718001407698</v>
      </c>
      <c r="AI16" s="4">
        <v>0.99980175400012194</v>
      </c>
      <c r="AJ16" s="4">
        <v>1</v>
      </c>
      <c r="AK16" s="4">
        <v>1</v>
      </c>
      <c r="AL16" s="4">
        <v>1</v>
      </c>
      <c r="AM16" s="4">
        <v>0</v>
      </c>
      <c r="AN16" s="4">
        <v>0</v>
      </c>
      <c r="AO16" s="4" t="s">
        <v>152</v>
      </c>
      <c r="AP16" s="4" t="s">
        <v>136</v>
      </c>
      <c r="AQ16" s="6">
        <v>11349457751.459999</v>
      </c>
      <c r="AR16" s="4">
        <v>43954</v>
      </c>
      <c r="AS16" s="15">
        <v>0</v>
      </c>
      <c r="AT16" s="15">
        <v>78.161511533261006</v>
      </c>
      <c r="AU16" s="15">
        <v>78.161511533261006</v>
      </c>
      <c r="AV16" s="15">
        <v>21.838488466738902</v>
      </c>
      <c r="AW16" s="15">
        <v>21.838488466738902</v>
      </c>
      <c r="AX16" s="15">
        <v>0</v>
      </c>
      <c r="AY16">
        <v>44.4330401219691</v>
      </c>
    </row>
    <row r="17" spans="1:51" x14ac:dyDescent="0.25">
      <c r="A17">
        <v>96</v>
      </c>
      <c r="B17" s="4">
        <v>0.97662207149940505</v>
      </c>
      <c r="C17" s="4">
        <v>22.277413176116799</v>
      </c>
      <c r="D17" s="4">
        <v>24.713272410464999</v>
      </c>
      <c r="E17" s="4">
        <v>2.07830165634032E-2</v>
      </c>
      <c r="F17" s="5">
        <v>2.33779285005947E-2</v>
      </c>
      <c r="G17" s="5">
        <v>0</v>
      </c>
      <c r="H17" s="4">
        <v>4.1881381548953103</v>
      </c>
      <c r="I17" s="4">
        <v>4.0014559697850398</v>
      </c>
      <c r="J17" s="4">
        <v>-29.9445617485421</v>
      </c>
      <c r="K17" s="4">
        <v>22.570511639541699</v>
      </c>
      <c r="L17" s="4">
        <v>14.9654675805913</v>
      </c>
      <c r="M17" s="4">
        <v>16.7627124211803</v>
      </c>
      <c r="N17" s="4">
        <v>68.104966232941393</v>
      </c>
      <c r="O17" s="4">
        <v>65.845317017619394</v>
      </c>
      <c r="P17" s="4">
        <v>286522.98366595898</v>
      </c>
      <c r="Q17" s="4">
        <v>266631.422667543</v>
      </c>
      <c r="R17" s="4">
        <v>782.69436813877599</v>
      </c>
      <c r="S17" s="4">
        <v>0</v>
      </c>
      <c r="T17" s="4">
        <v>0</v>
      </c>
      <c r="U17" s="4">
        <v>2.34352540497248E-2</v>
      </c>
      <c r="V17" s="4">
        <v>0.24078837711611201</v>
      </c>
      <c r="W17" s="4">
        <v>0</v>
      </c>
      <c r="X17" s="4">
        <v>0.79039442837650997</v>
      </c>
      <c r="Y17" s="4">
        <v>0</v>
      </c>
      <c r="Z17" s="5">
        <v>3.7317332031639502E-4</v>
      </c>
      <c r="AA17" s="5">
        <v>7.0023610100370903E-5</v>
      </c>
      <c r="AB17" s="10">
        <v>2.9162821429173798E-3</v>
      </c>
      <c r="AC17" s="10">
        <v>1.3728454808167399E-6</v>
      </c>
      <c r="AD17" s="10">
        <v>2.0017062332377E-2</v>
      </c>
      <c r="AE17" s="4">
        <v>2.7975255806369798E-3</v>
      </c>
      <c r="AF17" s="4">
        <v>0.86986482611236604</v>
      </c>
      <c r="AG17" s="4">
        <v>0.98012731730995395</v>
      </c>
      <c r="AH17" s="4">
        <v>0.998424848678514</v>
      </c>
      <c r="AI17" s="4">
        <v>0.99958619478500998</v>
      </c>
      <c r="AJ17" s="4">
        <v>1</v>
      </c>
      <c r="AK17" s="4">
        <v>1</v>
      </c>
      <c r="AL17" s="4">
        <v>1</v>
      </c>
      <c r="AM17" s="4">
        <v>0</v>
      </c>
      <c r="AN17" s="4">
        <v>0</v>
      </c>
      <c r="AO17" s="4" t="s">
        <v>69</v>
      </c>
      <c r="AP17" s="4" t="s">
        <v>70</v>
      </c>
      <c r="AQ17" s="6">
        <v>14191457471.48</v>
      </c>
      <c r="AR17" s="4">
        <v>53225</v>
      </c>
      <c r="AS17" s="15">
        <v>0</v>
      </c>
      <c r="AT17" s="15">
        <v>75.9211622883887</v>
      </c>
      <c r="AU17" s="15">
        <v>75.9211622883887</v>
      </c>
      <c r="AV17" s="15">
        <v>24.0788377116112</v>
      </c>
      <c r="AW17" s="15">
        <v>24.0788377116112</v>
      </c>
      <c r="AX17" s="15">
        <v>0</v>
      </c>
      <c r="AY17">
        <v>68.122693769158801</v>
      </c>
    </row>
    <row r="18" spans="1:51" x14ac:dyDescent="0.25">
      <c r="A18">
        <v>96</v>
      </c>
      <c r="B18" s="4">
        <v>0.97488156614822497</v>
      </c>
      <c r="C18" s="4">
        <v>24.486386002077001</v>
      </c>
      <c r="D18" s="4">
        <v>26.307667714870099</v>
      </c>
      <c r="E18" s="4">
        <v>2.3133001750481001E-2</v>
      </c>
      <c r="F18" s="5">
        <v>2.5118433851774299E-2</v>
      </c>
      <c r="G18" s="5">
        <v>0</v>
      </c>
      <c r="H18" s="4">
        <v>4.1887030195827801</v>
      </c>
      <c r="I18" s="4">
        <v>3.96559366220173</v>
      </c>
      <c r="J18" s="4">
        <v>-28.7130580261829</v>
      </c>
      <c r="K18" s="4">
        <v>27.5304555569031</v>
      </c>
      <c r="L18" s="4">
        <v>14.797287269779099</v>
      </c>
      <c r="M18" s="4">
        <v>16.788894261544101</v>
      </c>
      <c r="N18" s="4">
        <v>67.431069194802305</v>
      </c>
      <c r="O18" s="4">
        <v>64.763070074777602</v>
      </c>
      <c r="P18" s="4">
        <v>290761.15653559298</v>
      </c>
      <c r="Q18" s="4">
        <v>269719.81369923003</v>
      </c>
      <c r="R18" s="4">
        <v>782.48222085356701</v>
      </c>
      <c r="S18" s="4">
        <v>0</v>
      </c>
      <c r="T18" s="4">
        <v>0</v>
      </c>
      <c r="U18" s="4">
        <v>2.5560262926635401E-2</v>
      </c>
      <c r="V18" s="4">
        <v>0.25777518263253602</v>
      </c>
      <c r="W18" s="4">
        <v>0</v>
      </c>
      <c r="X18" s="4">
        <v>0.79426982631908005</v>
      </c>
      <c r="Y18" s="4">
        <v>0</v>
      </c>
      <c r="Z18" s="5">
        <v>3.7253833600507397E-4</v>
      </c>
      <c r="AA18" s="5">
        <v>6.9641809862503603E-5</v>
      </c>
      <c r="AB18" s="10">
        <v>2.9781599569388799E-3</v>
      </c>
      <c r="AC18" s="10">
        <v>1.9759146418744201E-6</v>
      </c>
      <c r="AD18" s="10">
        <v>2.16961036301569E-2</v>
      </c>
      <c r="AE18" s="4">
        <v>9.3208967144634697E-3</v>
      </c>
      <c r="AF18" s="4">
        <v>0.83003463412452305</v>
      </c>
      <c r="AG18" s="4">
        <v>0.96806172702721405</v>
      </c>
      <c r="AH18" s="4">
        <v>0.99831000193742603</v>
      </c>
      <c r="AI18" s="4">
        <v>0.99940986296516399</v>
      </c>
      <c r="AJ18" s="4">
        <v>1</v>
      </c>
      <c r="AK18" s="4">
        <v>1</v>
      </c>
      <c r="AL18" s="4">
        <v>1</v>
      </c>
      <c r="AM18" s="4">
        <v>0</v>
      </c>
      <c r="AN18" s="4">
        <v>0</v>
      </c>
      <c r="AO18" s="4" t="s">
        <v>153</v>
      </c>
      <c r="AP18" s="4" t="s">
        <v>137</v>
      </c>
      <c r="AQ18" s="6">
        <v>15991148314.6</v>
      </c>
      <c r="AR18" s="4">
        <v>59288</v>
      </c>
      <c r="AS18" s="15">
        <v>0</v>
      </c>
      <c r="AT18" s="15">
        <v>74.222481736746303</v>
      </c>
      <c r="AU18" s="15">
        <v>74.222481736746303</v>
      </c>
      <c r="AV18" s="15">
        <v>25.777518263253601</v>
      </c>
      <c r="AW18" s="15">
        <v>25.777518263253601</v>
      </c>
      <c r="AX18" s="15">
        <v>0</v>
      </c>
      <c r="AY18">
        <v>92.621793980879502</v>
      </c>
    </row>
    <row r="19" spans="1:51" x14ac:dyDescent="0.25">
      <c r="A19">
        <v>96</v>
      </c>
      <c r="B19" s="4">
        <v>0.97338306240642403</v>
      </c>
      <c r="C19" s="4">
        <v>26.780573150169001</v>
      </c>
      <c r="D19" s="4">
        <v>27.655516711907701</v>
      </c>
      <c r="E19" s="4">
        <v>2.5641315453432099E-2</v>
      </c>
      <c r="F19" s="5">
        <v>2.6616937593575599E-2</v>
      </c>
      <c r="G19" s="5">
        <v>0</v>
      </c>
      <c r="H19" s="4">
        <v>4.1910954846958504</v>
      </c>
      <c r="I19" s="4">
        <v>3.9228203936764201</v>
      </c>
      <c r="J19" s="4">
        <v>-27.726625060306901</v>
      </c>
      <c r="K19" s="4">
        <v>32.526474136467399</v>
      </c>
      <c r="L19" s="4">
        <v>14.8068956279128</v>
      </c>
      <c r="M19" s="4">
        <v>16.807832299621701</v>
      </c>
      <c r="N19" s="4">
        <v>67.804178139073599</v>
      </c>
      <c r="O19" s="4">
        <v>64.897532243238302</v>
      </c>
      <c r="P19" s="4">
        <v>289439.723784831</v>
      </c>
      <c r="Q19" s="4">
        <v>269506.96291913599</v>
      </c>
      <c r="R19" s="4">
        <v>782.66510816576204</v>
      </c>
      <c r="S19" s="4">
        <v>0</v>
      </c>
      <c r="T19" s="4">
        <v>0</v>
      </c>
      <c r="U19" s="4">
        <v>2.9080957042865799E-2</v>
      </c>
      <c r="V19" s="4">
        <v>0.28643378634658001</v>
      </c>
      <c r="W19" s="4">
        <v>0</v>
      </c>
      <c r="X19" s="4">
        <v>0.78955450575489705</v>
      </c>
      <c r="Y19" s="4">
        <v>0</v>
      </c>
      <c r="Z19" s="5">
        <v>3.72524612586924E-4</v>
      </c>
      <c r="AA19" s="5">
        <v>7.03814635211999E-5</v>
      </c>
      <c r="AB19" s="10">
        <v>3.0329287856780299E-3</v>
      </c>
      <c r="AC19" s="10">
        <v>3.3191713571249201E-6</v>
      </c>
      <c r="AD19" s="10">
        <v>2.3137769315153101E-2</v>
      </c>
      <c r="AE19" s="4">
        <v>1.4600890504836799E-2</v>
      </c>
      <c r="AF19" s="4">
        <v>0.80224945931201097</v>
      </c>
      <c r="AG19" s="4">
        <v>0.95796141752543895</v>
      </c>
      <c r="AH19" s="4">
        <v>0.99691452025953398</v>
      </c>
      <c r="AI19" s="4">
        <v>0.99933708099681295</v>
      </c>
      <c r="AJ19" s="4">
        <v>1</v>
      </c>
      <c r="AK19" s="4">
        <v>1</v>
      </c>
      <c r="AL19" s="4">
        <v>1</v>
      </c>
      <c r="AM19" s="4">
        <v>0</v>
      </c>
      <c r="AN19" s="4">
        <v>0</v>
      </c>
      <c r="AO19" s="4" t="s">
        <v>154</v>
      </c>
      <c r="AP19" s="4" t="s">
        <v>138</v>
      </c>
      <c r="AQ19" s="6">
        <v>16730992258.02</v>
      </c>
      <c r="AR19" s="4">
        <v>62080</v>
      </c>
      <c r="AS19" s="15">
        <v>0</v>
      </c>
      <c r="AT19" s="15">
        <v>71.356621365341894</v>
      </c>
      <c r="AU19" s="15">
        <v>71.356621365341894</v>
      </c>
      <c r="AV19" s="15">
        <v>28.643378634657999</v>
      </c>
      <c r="AW19" s="15">
        <v>28.643378634657999</v>
      </c>
      <c r="AX19" s="15">
        <v>0</v>
      </c>
      <c r="AY19" s="37">
        <v>114.467113105792</v>
      </c>
    </row>
    <row r="20" spans="1:51" x14ac:dyDescent="0.25">
      <c r="A20">
        <v>96</v>
      </c>
      <c r="B20" s="4">
        <v>0.97160197952295702</v>
      </c>
      <c r="C20" s="4">
        <v>29.650913239599799</v>
      </c>
      <c r="D20" s="4">
        <v>29.228126676162301</v>
      </c>
      <c r="E20" s="4">
        <v>2.8883040505116302E-2</v>
      </c>
      <c r="F20" s="5">
        <v>2.83980204770422E-2</v>
      </c>
      <c r="G20" s="5">
        <v>0</v>
      </c>
      <c r="H20" s="4">
        <v>4.2023836599492297</v>
      </c>
      <c r="I20" s="4">
        <v>3.8899201889075998</v>
      </c>
      <c r="J20" s="4">
        <v>-26.2829714930587</v>
      </c>
      <c r="K20" s="4">
        <v>37.490679398684499</v>
      </c>
      <c r="L20" s="4">
        <v>14.684921749999599</v>
      </c>
      <c r="M20" s="4">
        <v>16.8553693672776</v>
      </c>
      <c r="N20" s="4">
        <v>67.536390732040104</v>
      </c>
      <c r="O20" s="4">
        <v>64.290187236536994</v>
      </c>
      <c r="P20" s="4">
        <v>291894.022843218</v>
      </c>
      <c r="Q20" s="4">
        <v>271777.10858862603</v>
      </c>
      <c r="R20" s="4">
        <v>782.54763289122502</v>
      </c>
      <c r="S20" s="4">
        <v>0</v>
      </c>
      <c r="T20" s="4">
        <v>0</v>
      </c>
      <c r="U20" s="4">
        <v>2.7634649556860701E-2</v>
      </c>
      <c r="V20" s="4">
        <v>0.30171239687533802</v>
      </c>
      <c r="W20" s="4">
        <v>0</v>
      </c>
      <c r="X20" s="4">
        <v>0.77721950990417199</v>
      </c>
      <c r="Y20" s="4">
        <v>0</v>
      </c>
      <c r="Z20" s="5">
        <v>3.71721977024772E-4</v>
      </c>
      <c r="AA20" s="5">
        <v>7.0502528558189306E-5</v>
      </c>
      <c r="AB20" s="10">
        <v>3.08223476594836E-3</v>
      </c>
      <c r="AC20" s="10">
        <v>3.7272300358173701E-6</v>
      </c>
      <c r="AD20" s="10">
        <v>2.4869819842534901E-2</v>
      </c>
      <c r="AE20" s="4">
        <v>1.9489362495359399E-2</v>
      </c>
      <c r="AF20" s="4">
        <v>0.77539906383203905</v>
      </c>
      <c r="AG20" s="4">
        <v>0.95985567682836703</v>
      </c>
      <c r="AH20" s="4">
        <v>0.99635305218227299</v>
      </c>
      <c r="AI20" s="4">
        <v>0.999172504352423</v>
      </c>
      <c r="AJ20" s="4">
        <v>1</v>
      </c>
      <c r="AK20" s="4">
        <v>1</v>
      </c>
      <c r="AL20" s="4">
        <v>1</v>
      </c>
      <c r="AM20" s="4">
        <v>0</v>
      </c>
      <c r="AN20" s="4">
        <v>0</v>
      </c>
      <c r="AO20" s="4" t="s">
        <v>155</v>
      </c>
      <c r="AP20" s="4" t="s">
        <v>139</v>
      </c>
      <c r="AQ20" s="6">
        <v>17563595642.540001</v>
      </c>
      <c r="AR20" s="4">
        <v>64625</v>
      </c>
      <c r="AS20" s="15">
        <v>0</v>
      </c>
      <c r="AT20" s="15">
        <v>69.828760312466102</v>
      </c>
      <c r="AU20" s="15">
        <v>69.828760312466102</v>
      </c>
      <c r="AV20" s="15">
        <v>30.171239687533799</v>
      </c>
      <c r="AW20" s="15">
        <v>30.171239687533799</v>
      </c>
      <c r="AX20" s="15">
        <v>0</v>
      </c>
      <c r="AY20" s="37">
        <v>135.82953514119501</v>
      </c>
    </row>
    <row r="21" spans="1:51" x14ac:dyDescent="0.25">
      <c r="A21">
        <v>96</v>
      </c>
      <c r="B21" s="4">
        <v>0.969891092696054</v>
      </c>
      <c r="C21" s="4">
        <v>33.811491023671998</v>
      </c>
      <c r="D21" s="4">
        <v>30.709188052328699</v>
      </c>
      <c r="E21" s="4">
        <v>3.38040416212834E-2</v>
      </c>
      <c r="F21" s="5">
        <v>3.0108907303945401E-2</v>
      </c>
      <c r="G21" s="5">
        <v>0</v>
      </c>
      <c r="H21" s="4">
        <v>4.2261171342738297</v>
      </c>
      <c r="I21" s="4">
        <v>3.8631290986642299</v>
      </c>
      <c r="J21" s="4">
        <v>-24.508398260137799</v>
      </c>
      <c r="K21" s="4">
        <v>42.4456490599459</v>
      </c>
      <c r="L21" s="4">
        <v>14.754612611209501</v>
      </c>
      <c r="M21" s="4">
        <v>16.903331758886999</v>
      </c>
      <c r="N21" s="4">
        <v>68.159844786200793</v>
      </c>
      <c r="O21" s="4">
        <v>64.656052456106707</v>
      </c>
      <c r="P21" s="4">
        <v>291571.38743540202</v>
      </c>
      <c r="Q21" s="4">
        <v>270480.18345679599</v>
      </c>
      <c r="R21" s="4">
        <v>782.47171416559399</v>
      </c>
      <c r="S21" s="4">
        <v>0</v>
      </c>
      <c r="T21" s="4">
        <v>0</v>
      </c>
      <c r="U21" s="4">
        <v>2.6428519521848201E-2</v>
      </c>
      <c r="V21" s="4">
        <v>0.31945948465506302</v>
      </c>
      <c r="W21" s="4">
        <v>0</v>
      </c>
      <c r="X21" s="4">
        <v>0.76618658283539398</v>
      </c>
      <c r="Y21" s="4">
        <v>0</v>
      </c>
      <c r="Z21" s="5">
        <v>3.7218995340904901E-4</v>
      </c>
      <c r="AA21" s="5">
        <v>7.1639303276824101E-5</v>
      </c>
      <c r="AB21" s="10">
        <v>3.1279945907057099E-3</v>
      </c>
      <c r="AC21" s="10">
        <v>4.8245270809826397E-6</v>
      </c>
      <c r="AD21" s="10">
        <v>2.6532244743026699E-2</v>
      </c>
      <c r="AE21" s="4">
        <v>2.4240609039917101E-2</v>
      </c>
      <c r="AF21" s="4">
        <v>0.75050975619152405</v>
      </c>
      <c r="AG21" s="4">
        <v>0.95404854092540603</v>
      </c>
      <c r="AH21" s="4">
        <v>0.99534452045608501</v>
      </c>
      <c r="AI21" s="4">
        <v>0.99944527622197599</v>
      </c>
      <c r="AJ21" s="4">
        <v>1</v>
      </c>
      <c r="AK21" s="4">
        <v>1</v>
      </c>
      <c r="AL21" s="4">
        <v>1</v>
      </c>
      <c r="AM21" s="4">
        <v>0</v>
      </c>
      <c r="AN21" s="4">
        <v>0</v>
      </c>
      <c r="AO21" s="4" t="s">
        <v>156</v>
      </c>
      <c r="AP21" s="4" t="s">
        <v>140</v>
      </c>
      <c r="AQ21" s="6">
        <v>16869037601.65</v>
      </c>
      <c r="AR21" s="4">
        <v>62367</v>
      </c>
      <c r="AS21" s="15">
        <v>0</v>
      </c>
      <c r="AT21" s="15">
        <v>68.054051534493595</v>
      </c>
      <c r="AU21" s="15">
        <v>68.054051534493595</v>
      </c>
      <c r="AV21" s="15">
        <v>31.945948465506302</v>
      </c>
      <c r="AW21" s="15">
        <v>31.945948465506302</v>
      </c>
      <c r="AX21" s="15">
        <v>0</v>
      </c>
      <c r="AY21" s="37">
        <v>160.243550689562</v>
      </c>
    </row>
    <row r="22" spans="1:51" x14ac:dyDescent="0.25">
      <c r="A22">
        <v>96</v>
      </c>
      <c r="B22" s="4">
        <v>0.96790329848601098</v>
      </c>
      <c r="C22" s="4">
        <v>34.649792134356602</v>
      </c>
      <c r="D22" s="4">
        <v>32.394249463400101</v>
      </c>
      <c r="E22" s="4">
        <v>3.4829777757708298E-2</v>
      </c>
      <c r="F22" s="5">
        <v>3.2096701513988302E-2</v>
      </c>
      <c r="G22" s="5">
        <v>0</v>
      </c>
      <c r="H22" s="4">
        <v>4.26230031020983</v>
      </c>
      <c r="I22" s="4">
        <v>3.8488727199518999</v>
      </c>
      <c r="J22" s="4">
        <v>-22.689028536192001</v>
      </c>
      <c r="K22" s="4">
        <v>47.537078355553902</v>
      </c>
      <c r="L22" s="4">
        <v>14.6597457394573</v>
      </c>
      <c r="M22" s="4">
        <v>17.1272530128856</v>
      </c>
      <c r="N22" s="4">
        <v>67.880051643365803</v>
      </c>
      <c r="O22" s="4">
        <v>64.369907624859394</v>
      </c>
      <c r="P22" s="4">
        <v>292673.06134012301</v>
      </c>
      <c r="Q22" s="4">
        <v>272225.93674783898</v>
      </c>
      <c r="R22" s="4">
        <v>782.29935828120006</v>
      </c>
      <c r="S22" s="4">
        <v>0</v>
      </c>
      <c r="T22" s="4">
        <v>0</v>
      </c>
      <c r="U22" s="4">
        <v>2.2575555850991798E-2</v>
      </c>
      <c r="V22" s="4">
        <v>0.312116049633826</v>
      </c>
      <c r="W22" s="4">
        <v>0</v>
      </c>
      <c r="X22" s="4">
        <v>0.74810549155464401</v>
      </c>
      <c r="Y22" s="4">
        <v>0</v>
      </c>
      <c r="Z22" s="5">
        <v>3.7159597677847398E-4</v>
      </c>
      <c r="AA22" s="5">
        <v>7.5439037316956498E-5</v>
      </c>
      <c r="AB22" s="10">
        <v>3.16412777519254E-3</v>
      </c>
      <c r="AC22" s="10">
        <v>5.1742977387752399E-6</v>
      </c>
      <c r="AD22" s="10">
        <v>2.8480350202106701E-2</v>
      </c>
      <c r="AE22" s="4">
        <v>2.5130258402384E-2</v>
      </c>
      <c r="AF22" s="4">
        <v>0.74964600174309104</v>
      </c>
      <c r="AG22" s="4">
        <v>0.95908566770288595</v>
      </c>
      <c r="AH22" s="4">
        <v>0.99516191912830199</v>
      </c>
      <c r="AI22" s="4">
        <v>0.99955090008491398</v>
      </c>
      <c r="AJ22" s="4">
        <v>1</v>
      </c>
      <c r="AK22" s="4">
        <v>1</v>
      </c>
      <c r="AL22" s="4">
        <v>1</v>
      </c>
      <c r="AM22" s="4">
        <v>0</v>
      </c>
      <c r="AN22" s="4">
        <v>0</v>
      </c>
      <c r="AO22" s="4" t="s">
        <v>71</v>
      </c>
      <c r="AP22" s="4" t="s">
        <v>72</v>
      </c>
      <c r="AQ22" s="6">
        <v>16980637256.52</v>
      </c>
      <c r="AR22" s="4">
        <v>62377</v>
      </c>
      <c r="AS22" s="15">
        <v>0</v>
      </c>
      <c r="AT22" s="15">
        <v>68.788395036617302</v>
      </c>
      <c r="AU22" s="15">
        <v>68.788395036617302</v>
      </c>
      <c r="AV22" s="15">
        <v>31.211604963382602</v>
      </c>
      <c r="AW22" s="15">
        <v>31.211604963382602</v>
      </c>
      <c r="AX22" s="15">
        <v>0</v>
      </c>
      <c r="AY22">
        <v>186.39755487964399</v>
      </c>
    </row>
    <row r="23" spans="1:51" x14ac:dyDescent="0.25">
      <c r="A23">
        <v>96</v>
      </c>
      <c r="B23" s="4">
        <v>0.96643117346851803</v>
      </c>
      <c r="C23" s="4">
        <v>35.1024653333724</v>
      </c>
      <c r="D23" s="4">
        <v>33.617873176916603</v>
      </c>
      <c r="E23" s="4">
        <v>3.5388689474517197E-2</v>
      </c>
      <c r="F23" s="5">
        <v>3.3568826531481702E-2</v>
      </c>
      <c r="G23" s="5">
        <v>0</v>
      </c>
      <c r="H23" s="4">
        <v>4.3239010536915901</v>
      </c>
      <c r="I23" s="4">
        <v>3.84929563297269</v>
      </c>
      <c r="J23" s="4">
        <v>-19.908963330177698</v>
      </c>
      <c r="K23" s="4">
        <v>52.527591880495201</v>
      </c>
      <c r="L23" s="4">
        <v>14.9422292470008</v>
      </c>
      <c r="M23" s="4">
        <v>17.374516991351499</v>
      </c>
      <c r="N23" s="4">
        <v>69.604905847183204</v>
      </c>
      <c r="O23" s="4">
        <v>65.998659378439001</v>
      </c>
      <c r="P23" s="4">
        <v>287444.704557246</v>
      </c>
      <c r="Q23" s="4">
        <v>267126.96910924499</v>
      </c>
      <c r="R23" s="4">
        <v>781.86846385772799</v>
      </c>
      <c r="S23" s="4">
        <v>0</v>
      </c>
      <c r="T23" s="4">
        <v>0</v>
      </c>
      <c r="U23" s="4">
        <v>1.7533301486386401E-2</v>
      </c>
      <c r="V23" s="4">
        <v>0.30242970177606698</v>
      </c>
      <c r="W23" s="4">
        <v>0</v>
      </c>
      <c r="X23" s="4">
        <v>0.724294967783633</v>
      </c>
      <c r="Y23" s="4">
        <v>0</v>
      </c>
      <c r="Z23" s="5">
        <v>3.7362789558395402E-4</v>
      </c>
      <c r="AA23" s="5">
        <v>8.2215569967202095E-5</v>
      </c>
      <c r="AB23" s="10">
        <v>3.2006136864070498E-3</v>
      </c>
      <c r="AC23" s="10">
        <v>4.8821119693483897E-6</v>
      </c>
      <c r="AD23" s="10">
        <v>2.9907472984548E-2</v>
      </c>
      <c r="AE23" s="4">
        <v>2.31599085845033E-2</v>
      </c>
      <c r="AF23" s="4">
        <v>0.75402078693796404</v>
      </c>
      <c r="AG23" s="4">
        <v>0.96399253447856403</v>
      </c>
      <c r="AH23" s="4">
        <v>0.99582469623598602</v>
      </c>
      <c r="AI23" s="4">
        <v>0.99957643101911398</v>
      </c>
      <c r="AJ23" s="4">
        <v>1</v>
      </c>
      <c r="AK23" s="4">
        <v>1</v>
      </c>
      <c r="AL23" s="4">
        <v>1</v>
      </c>
      <c r="AM23" s="4">
        <v>0</v>
      </c>
      <c r="AN23" s="4">
        <v>0</v>
      </c>
      <c r="AO23" s="4" t="s">
        <v>157</v>
      </c>
      <c r="AP23" s="4" t="s">
        <v>141</v>
      </c>
      <c r="AQ23" s="6">
        <v>16104016459.719999</v>
      </c>
      <c r="AR23" s="4">
        <v>60286</v>
      </c>
      <c r="AS23" s="15">
        <v>0</v>
      </c>
      <c r="AT23" s="15">
        <v>69.757029822393207</v>
      </c>
      <c r="AU23" s="15">
        <v>69.757029822393207</v>
      </c>
      <c r="AV23" s="15">
        <v>30.242970177606701</v>
      </c>
      <c r="AW23" s="15">
        <v>30.242970177606701</v>
      </c>
      <c r="AX23" s="15">
        <v>0</v>
      </c>
      <c r="AY23">
        <v>214.41358311591</v>
      </c>
    </row>
    <row r="24" spans="1:51" x14ac:dyDescent="0.25">
      <c r="A24">
        <v>96</v>
      </c>
      <c r="B24" s="4">
        <v>0.96469786963814796</v>
      </c>
      <c r="C24" s="4">
        <v>38.093886516507403</v>
      </c>
      <c r="D24" s="4">
        <v>35.0325480984949</v>
      </c>
      <c r="E24" s="4">
        <v>3.91746304383686E-2</v>
      </c>
      <c r="F24" s="5">
        <v>3.5302130361851897E-2</v>
      </c>
      <c r="G24" s="5">
        <v>0</v>
      </c>
      <c r="H24" s="4">
        <v>4.3722982013252203</v>
      </c>
      <c r="I24" s="4">
        <v>3.8479663989442101</v>
      </c>
      <c r="J24" s="4">
        <v>-18.077082137556001</v>
      </c>
      <c r="K24" s="4">
        <v>57.4881298184252</v>
      </c>
      <c r="L24" s="4">
        <v>14.959448605585999</v>
      </c>
      <c r="M24" s="4">
        <v>17.485138066488101</v>
      </c>
      <c r="N24" s="4">
        <v>69.149612266937794</v>
      </c>
      <c r="O24" s="4">
        <v>65.599925651235495</v>
      </c>
      <c r="P24" s="4">
        <v>286599.54009725299</v>
      </c>
      <c r="Q24" s="4">
        <v>266819.00513206603</v>
      </c>
      <c r="R24" s="4">
        <v>781.657809321586</v>
      </c>
      <c r="S24" s="4">
        <v>0</v>
      </c>
      <c r="T24" s="4">
        <v>0</v>
      </c>
      <c r="U24" s="4">
        <v>1.6651952219927699E-2</v>
      </c>
      <c r="V24" s="4">
        <v>0.28527361397003198</v>
      </c>
      <c r="W24" s="4">
        <v>0</v>
      </c>
      <c r="X24" s="4">
        <v>0.70960705224236098</v>
      </c>
      <c r="Y24" s="4">
        <v>0</v>
      </c>
      <c r="Z24" s="5">
        <v>3.7326347171687198E-4</v>
      </c>
      <c r="AA24" s="5">
        <v>8.7802542359887006E-5</v>
      </c>
      <c r="AB24" s="10">
        <v>3.2092900933814398E-3</v>
      </c>
      <c r="AC24" s="10">
        <v>5.90643075199616E-6</v>
      </c>
      <c r="AD24" s="10">
        <v>3.1625853521141403E-2</v>
      </c>
      <c r="AE24" s="4">
        <v>2.3763034216154801E-2</v>
      </c>
      <c r="AF24" s="4">
        <v>0.74997961167482496</v>
      </c>
      <c r="AG24" s="4">
        <v>0.96513723724702805</v>
      </c>
      <c r="AH24" s="4">
        <v>0.99553024784407096</v>
      </c>
      <c r="AI24" s="4">
        <v>0.99910915734668504</v>
      </c>
      <c r="AJ24" s="4">
        <v>1</v>
      </c>
      <c r="AK24" s="4">
        <v>1</v>
      </c>
      <c r="AL24" s="4">
        <v>1</v>
      </c>
      <c r="AM24" s="4">
        <v>0</v>
      </c>
      <c r="AN24" s="4">
        <v>0</v>
      </c>
      <c r="AO24" s="4" t="s">
        <v>158</v>
      </c>
      <c r="AP24" s="4" t="s">
        <v>142</v>
      </c>
      <c r="AQ24" s="6">
        <v>15768736384.299999</v>
      </c>
      <c r="AR24" s="4">
        <v>59099</v>
      </c>
      <c r="AS24" s="15">
        <v>0</v>
      </c>
      <c r="AT24" s="15">
        <v>71.472638602996696</v>
      </c>
      <c r="AU24" s="15">
        <v>71.472638602996696</v>
      </c>
      <c r="AV24" s="15">
        <v>28.527361397003201</v>
      </c>
      <c r="AW24" s="15">
        <v>28.527361397003201</v>
      </c>
      <c r="AX24" s="15">
        <v>0</v>
      </c>
      <c r="AY24">
        <v>251.92832318275799</v>
      </c>
    </row>
    <row r="25" spans="1:51" x14ac:dyDescent="0.25">
      <c r="A25">
        <v>96</v>
      </c>
      <c r="B25" s="4">
        <v>0.96278706605352105</v>
      </c>
      <c r="C25" s="4">
        <v>39.617046923149999</v>
      </c>
      <c r="D25" s="4">
        <v>36.5600300357967</v>
      </c>
      <c r="E25" s="4">
        <v>4.1167243448448999E-2</v>
      </c>
      <c r="F25" s="5">
        <v>3.7212933946478802E-2</v>
      </c>
      <c r="G25" s="5">
        <v>0</v>
      </c>
      <c r="H25" s="4">
        <v>4.4371723968347503</v>
      </c>
      <c r="I25" s="4">
        <v>3.8616982251104601</v>
      </c>
      <c r="J25" s="4">
        <v>-15.8633963091326</v>
      </c>
      <c r="K25" s="4">
        <v>62.467221643182199</v>
      </c>
      <c r="L25" s="4">
        <v>14.979527330908599</v>
      </c>
      <c r="M25" s="4">
        <v>17.465519647426401</v>
      </c>
      <c r="N25" s="4">
        <v>69.393148214042398</v>
      </c>
      <c r="O25" s="4">
        <v>65.862824687342794</v>
      </c>
      <c r="P25" s="4">
        <v>286480.47209582699</v>
      </c>
      <c r="Q25" s="4">
        <v>266521.29652918701</v>
      </c>
      <c r="R25" s="4">
        <v>781.30490866923697</v>
      </c>
      <c r="S25" s="4">
        <v>0</v>
      </c>
      <c r="T25" s="4">
        <v>0</v>
      </c>
      <c r="U25" s="4">
        <v>1.66619508498075E-2</v>
      </c>
      <c r="V25" s="4">
        <v>0.26601560540741198</v>
      </c>
      <c r="W25" s="4">
        <v>0</v>
      </c>
      <c r="X25" s="4">
        <v>0.69248720874849501</v>
      </c>
      <c r="Y25" s="4">
        <v>0</v>
      </c>
      <c r="Z25" s="5">
        <v>3.7274987275308803E-4</v>
      </c>
      <c r="AA25" s="5">
        <v>9.4473642665059693E-5</v>
      </c>
      <c r="AB25" s="10">
        <v>3.2155764132013498E-3</v>
      </c>
      <c r="AC25" s="10">
        <v>6.0232040279748702E-6</v>
      </c>
      <c r="AD25" s="10">
        <v>3.3524096496720203E-2</v>
      </c>
      <c r="AE25" s="4">
        <v>2.28373932656551E-2</v>
      </c>
      <c r="AF25" s="4">
        <v>0.75158122899263802</v>
      </c>
      <c r="AG25" s="4">
        <v>0.971774141688306</v>
      </c>
      <c r="AH25" s="4">
        <v>0.995832540266815</v>
      </c>
      <c r="AI25" s="4">
        <v>0.99913458959815205</v>
      </c>
      <c r="AJ25" s="4">
        <v>1</v>
      </c>
      <c r="AK25" s="4">
        <v>1</v>
      </c>
      <c r="AL25" s="4">
        <v>1</v>
      </c>
      <c r="AM25" s="4">
        <v>0</v>
      </c>
      <c r="AN25" s="4">
        <v>0</v>
      </c>
      <c r="AO25" s="4" t="s">
        <v>159</v>
      </c>
      <c r="AP25" s="4" t="s">
        <v>143</v>
      </c>
      <c r="AQ25" s="6">
        <v>15806312011.959999</v>
      </c>
      <c r="AR25" s="4">
        <v>59306</v>
      </c>
      <c r="AS25" s="15">
        <v>0</v>
      </c>
      <c r="AT25" s="15">
        <v>73.398439459258697</v>
      </c>
      <c r="AU25" s="15">
        <v>73.398439459258697</v>
      </c>
      <c r="AV25" s="15">
        <v>26.6015605407412</v>
      </c>
      <c r="AW25" s="15">
        <v>26.6015605407412</v>
      </c>
      <c r="AX25" s="15">
        <v>0</v>
      </c>
      <c r="AY25">
        <v>296.593404779759</v>
      </c>
    </row>
    <row r="26" spans="1:51" x14ac:dyDescent="0.25">
      <c r="A26">
        <v>96</v>
      </c>
      <c r="B26" s="4">
        <v>0.96163608762010799</v>
      </c>
      <c r="C26" s="4">
        <v>39.540370002320699</v>
      </c>
      <c r="D26" s="4">
        <v>37.4641532829014</v>
      </c>
      <c r="E26" s="4">
        <v>4.1065838464927298E-2</v>
      </c>
      <c r="F26" s="5">
        <v>3.8363912379891299E-2</v>
      </c>
      <c r="G26" s="5">
        <v>0</v>
      </c>
      <c r="H26" s="4">
        <v>4.5061567619526404</v>
      </c>
      <c r="I26" s="4">
        <v>3.8794297826099799</v>
      </c>
      <c r="J26" s="4">
        <v>-13.8886669733932</v>
      </c>
      <c r="K26" s="4">
        <v>67.469097316700896</v>
      </c>
      <c r="L26" s="4">
        <v>15.238526727512999</v>
      </c>
      <c r="M26" s="4">
        <v>17.279486217836599</v>
      </c>
      <c r="N26" s="4">
        <v>69.679927188239205</v>
      </c>
      <c r="O26" s="4">
        <v>66.245577774765906</v>
      </c>
      <c r="P26" s="4">
        <v>281978.42767546303</v>
      </c>
      <c r="Q26" s="4">
        <v>261990.19694358599</v>
      </c>
      <c r="R26" s="4">
        <v>781.01539271609499</v>
      </c>
      <c r="S26" s="4">
        <v>0</v>
      </c>
      <c r="T26" s="4">
        <v>0</v>
      </c>
      <c r="U26" s="4">
        <v>1.7466345649885501E-2</v>
      </c>
      <c r="V26" s="4">
        <v>0.25400472486747599</v>
      </c>
      <c r="W26" s="4">
        <v>0</v>
      </c>
      <c r="X26" s="4">
        <v>0.66829004052734398</v>
      </c>
      <c r="Y26" s="4">
        <v>0</v>
      </c>
      <c r="Z26" s="5">
        <v>3.7305242910703101E-4</v>
      </c>
      <c r="AA26" s="5">
        <v>1.00025927168695E-4</v>
      </c>
      <c r="AB26" s="10">
        <v>3.20077494486383E-3</v>
      </c>
      <c r="AC26" s="10">
        <v>7.2855021525818101E-6</v>
      </c>
      <c r="AD26" s="10">
        <v>3.4682759155051902E-2</v>
      </c>
      <c r="AE26" s="4">
        <v>2.1093980556698699E-2</v>
      </c>
      <c r="AF26" s="4">
        <v>0.75538424536687498</v>
      </c>
      <c r="AG26" s="4">
        <v>0.97051407609636997</v>
      </c>
      <c r="AH26" s="4">
        <v>0.99518829176613799</v>
      </c>
      <c r="AI26" s="4">
        <v>0.99896052296457605</v>
      </c>
      <c r="AJ26" s="4">
        <v>1</v>
      </c>
      <c r="AK26" s="4">
        <v>1</v>
      </c>
      <c r="AL26" s="4">
        <v>1</v>
      </c>
      <c r="AM26" s="4">
        <v>0</v>
      </c>
      <c r="AN26" s="4">
        <v>0</v>
      </c>
      <c r="AO26" s="4" t="s">
        <v>160</v>
      </c>
      <c r="AP26" s="4" t="s">
        <v>144</v>
      </c>
      <c r="AQ26" s="6">
        <v>15260404991.57</v>
      </c>
      <c r="AR26" s="4">
        <v>58248</v>
      </c>
      <c r="AS26" s="15">
        <v>0</v>
      </c>
      <c r="AT26" s="15">
        <v>74.599527513252298</v>
      </c>
      <c r="AU26" s="15">
        <v>74.599527513252298</v>
      </c>
      <c r="AV26" s="15">
        <v>25.400472486747599</v>
      </c>
      <c r="AW26" s="15">
        <v>25.400472486747599</v>
      </c>
      <c r="AX26" s="15">
        <v>0</v>
      </c>
      <c r="AY26">
        <v>348.62058353656602</v>
      </c>
    </row>
    <row r="27" spans="1:51" x14ac:dyDescent="0.25">
      <c r="A27">
        <v>96</v>
      </c>
      <c r="B27" s="4">
        <v>0.95954097798035798</v>
      </c>
      <c r="C27" s="4">
        <v>40.155009676080198</v>
      </c>
      <c r="D27" s="4">
        <v>39.079660291927397</v>
      </c>
      <c r="E27" s="4">
        <v>4.1882034933191099E-2</v>
      </c>
      <c r="F27" s="5">
        <v>4.0459022019641501E-2</v>
      </c>
      <c r="G27" s="5">
        <v>0</v>
      </c>
      <c r="H27" s="4">
        <v>4.5502811520900401</v>
      </c>
      <c r="I27" s="4">
        <v>3.88342969143691</v>
      </c>
      <c r="J27" s="4">
        <v>-12.841849244994499</v>
      </c>
      <c r="K27" s="4">
        <v>72.511478292652697</v>
      </c>
      <c r="L27" s="4">
        <v>14.9194697316151</v>
      </c>
      <c r="M27" s="4">
        <v>17.058300381327498</v>
      </c>
      <c r="N27" s="4">
        <v>68.782101852412694</v>
      </c>
      <c r="O27" s="4">
        <v>65.257831304924807</v>
      </c>
      <c r="P27" s="4">
        <v>287124.96684072597</v>
      </c>
      <c r="Q27" s="4">
        <v>267590.43451619998</v>
      </c>
      <c r="R27" s="4">
        <v>780.95438589538799</v>
      </c>
      <c r="S27" s="4">
        <v>0</v>
      </c>
      <c r="T27" s="4">
        <v>0</v>
      </c>
      <c r="U27" s="4">
        <v>1.79262465923864E-2</v>
      </c>
      <c r="V27" s="4">
        <v>0.23652822030137799</v>
      </c>
      <c r="W27" s="4">
        <v>0</v>
      </c>
      <c r="X27" s="4">
        <v>0.64917503361797502</v>
      </c>
      <c r="Y27" s="4">
        <v>0</v>
      </c>
      <c r="Z27" s="5">
        <v>3.7256103970676998E-4</v>
      </c>
      <c r="AA27" s="5">
        <v>1.03160157184831E-4</v>
      </c>
      <c r="AB27" s="10">
        <v>3.21895802846686E-3</v>
      </c>
      <c r="AC27" s="10">
        <v>8.7632688928827598E-6</v>
      </c>
      <c r="AD27" s="10">
        <v>3.6755565115790201E-2</v>
      </c>
      <c r="AE27" s="4">
        <v>2.3578163768905501E-2</v>
      </c>
      <c r="AF27" s="4">
        <v>0.73430773422610995</v>
      </c>
      <c r="AG27" s="4">
        <v>0.96714965699892297</v>
      </c>
      <c r="AH27" s="4">
        <v>0.99429845254813898</v>
      </c>
      <c r="AI27" s="4">
        <v>0.99910537351652795</v>
      </c>
      <c r="AJ27" s="4">
        <v>1</v>
      </c>
      <c r="AK27" s="4">
        <v>1</v>
      </c>
      <c r="AL27" s="4">
        <v>1</v>
      </c>
      <c r="AM27" s="4">
        <v>0</v>
      </c>
      <c r="AN27" s="4">
        <v>0</v>
      </c>
      <c r="AO27" s="4" t="s">
        <v>73</v>
      </c>
      <c r="AP27" s="4" t="s">
        <v>74</v>
      </c>
      <c r="AQ27" s="6">
        <v>15650026562.68</v>
      </c>
      <c r="AR27" s="4">
        <v>58485</v>
      </c>
      <c r="AS27" s="15">
        <v>0</v>
      </c>
      <c r="AT27" s="15">
        <v>76.347177969862102</v>
      </c>
      <c r="AU27" s="15">
        <v>76.347177969862102</v>
      </c>
      <c r="AV27" s="15">
        <v>23.652822030137798</v>
      </c>
      <c r="AW27" s="15">
        <v>23.652822030137798</v>
      </c>
      <c r="AX27" s="15">
        <v>0</v>
      </c>
      <c r="AY27">
        <v>403.56445707423802</v>
      </c>
    </row>
    <row r="28" spans="1:51" x14ac:dyDescent="0.25">
      <c r="A28">
        <v>96</v>
      </c>
      <c r="B28" s="4">
        <v>0.95601850298484303</v>
      </c>
      <c r="C28" s="4">
        <v>42.321042818036901</v>
      </c>
      <c r="D28" s="4">
        <v>41.709796243794401</v>
      </c>
      <c r="E28" s="4">
        <v>4.4820961348941202E-2</v>
      </c>
      <c r="F28" s="5">
        <v>4.3981497015156003E-2</v>
      </c>
      <c r="G28" s="5">
        <v>0</v>
      </c>
      <c r="H28" s="4">
        <v>4.6559701102158799</v>
      </c>
      <c r="I28" s="4">
        <v>3.8591563620699998</v>
      </c>
      <c r="J28" s="4">
        <v>-9.76389624098735</v>
      </c>
      <c r="K28" s="4">
        <v>86.123755253086799</v>
      </c>
      <c r="L28" s="4">
        <v>14.913012537052399</v>
      </c>
      <c r="M28" s="4">
        <v>17.0087975971595</v>
      </c>
      <c r="N28" s="4">
        <v>69.232769689353702</v>
      </c>
      <c r="O28" s="4">
        <v>65.248245994333701</v>
      </c>
      <c r="P28" s="4">
        <v>287995.81872332102</v>
      </c>
      <c r="Q28" s="4">
        <v>267723.15642455599</v>
      </c>
      <c r="R28" s="4">
        <v>780.41618024062996</v>
      </c>
      <c r="S28" s="4">
        <v>0</v>
      </c>
      <c r="T28" s="4">
        <v>0</v>
      </c>
      <c r="U28" s="4">
        <v>2.0502111485912199E-2</v>
      </c>
      <c r="V28" s="4">
        <v>0.228219410357591</v>
      </c>
      <c r="W28" s="4">
        <v>0</v>
      </c>
      <c r="X28" s="4">
        <v>0.60331058643753999</v>
      </c>
      <c r="Y28" s="4">
        <v>0</v>
      </c>
      <c r="Z28" s="5">
        <v>3.7168895450373198E-4</v>
      </c>
      <c r="AA28" s="5">
        <v>1.13879079248504E-4</v>
      </c>
      <c r="AB28" s="10">
        <v>3.3322105740453199E-3</v>
      </c>
      <c r="AC28" s="10">
        <v>1.2009892943977399E-5</v>
      </c>
      <c r="AD28" s="10">
        <v>4.0151693956174697E-2</v>
      </c>
      <c r="AE28" s="4">
        <v>3.03691197159973E-2</v>
      </c>
      <c r="AF28" s="4">
        <v>0.66788688369540306</v>
      </c>
      <c r="AG28" s="4">
        <v>0.96158078154964799</v>
      </c>
      <c r="AH28" s="4">
        <v>0.99290758569704596</v>
      </c>
      <c r="AI28" s="4">
        <v>0.99891845651755795</v>
      </c>
      <c r="AJ28" s="4">
        <v>1</v>
      </c>
      <c r="AK28" s="4">
        <v>1</v>
      </c>
      <c r="AL28" s="4">
        <v>1</v>
      </c>
      <c r="AM28" s="4">
        <v>0</v>
      </c>
      <c r="AN28" s="4">
        <v>0</v>
      </c>
      <c r="AO28" s="4" t="s">
        <v>75</v>
      </c>
      <c r="AP28" s="4" t="s">
        <v>76</v>
      </c>
      <c r="AQ28" s="6">
        <v>56874571904.519997</v>
      </c>
      <c r="AR28" s="4">
        <v>212438</v>
      </c>
      <c r="AS28" s="15">
        <v>0</v>
      </c>
      <c r="AT28" s="15">
        <v>77.178058964240805</v>
      </c>
      <c r="AU28" s="15">
        <v>77.178058964240805</v>
      </c>
      <c r="AV28" s="15">
        <v>22.821941035759099</v>
      </c>
      <c r="AW28" s="15">
        <v>22.821941035759099</v>
      </c>
      <c r="AX28" s="15">
        <v>0</v>
      </c>
      <c r="AY28">
        <v>558.71865454536703</v>
      </c>
    </row>
    <row r="29" spans="1:51" x14ac:dyDescent="0.25">
      <c r="A29">
        <v>96</v>
      </c>
      <c r="B29" s="4">
        <v>0.95189654538152602</v>
      </c>
      <c r="C29" s="4">
        <v>43.121585578601902</v>
      </c>
      <c r="D29" s="4">
        <v>44.6551763185211</v>
      </c>
      <c r="E29" s="4">
        <v>4.5932819047887402E-2</v>
      </c>
      <c r="F29" s="5">
        <v>4.8103454618473901E-2</v>
      </c>
      <c r="G29" s="5">
        <v>0</v>
      </c>
      <c r="H29" s="4">
        <v>4.8030414345294403</v>
      </c>
      <c r="I29" s="4">
        <v>3.7634674658184801</v>
      </c>
      <c r="J29" s="4">
        <v>-5.7720526364474702</v>
      </c>
      <c r="K29" s="4">
        <v>111.83503563462099</v>
      </c>
      <c r="L29" s="4">
        <v>15.334363959155301</v>
      </c>
      <c r="M29" s="4">
        <v>18.0157766940114</v>
      </c>
      <c r="N29" s="4">
        <v>71.742846956451601</v>
      </c>
      <c r="O29" s="4">
        <v>66.415989099733906</v>
      </c>
      <c r="P29" s="4">
        <v>280024.718978655</v>
      </c>
      <c r="Q29" s="4">
        <v>260389.05856064599</v>
      </c>
      <c r="R29" s="4">
        <v>779.64669904188395</v>
      </c>
      <c r="S29" s="4">
        <v>0</v>
      </c>
      <c r="T29" s="4">
        <v>0</v>
      </c>
      <c r="U29" s="4">
        <v>2.0327128926206001E-2</v>
      </c>
      <c r="V29" s="4">
        <v>0.19833087487199699</v>
      </c>
      <c r="W29" s="4">
        <v>0</v>
      </c>
      <c r="X29" s="4">
        <v>0.52392270630745896</v>
      </c>
      <c r="Y29" s="4">
        <v>0</v>
      </c>
      <c r="Z29" s="5">
        <v>3.7231377654703797E-4</v>
      </c>
      <c r="AA29" s="5">
        <v>1.5300016058540601E-4</v>
      </c>
      <c r="AB29" s="10">
        <v>3.5511497690558099E-3</v>
      </c>
      <c r="AC29" s="10">
        <v>2.5456426359919699E-5</v>
      </c>
      <c r="AD29" s="10">
        <v>4.4001519768397397E-2</v>
      </c>
      <c r="AE29" s="4">
        <v>4.8309995803279403E-2</v>
      </c>
      <c r="AF29" s="4">
        <v>0.52475653540228495</v>
      </c>
      <c r="AG29" s="4">
        <v>0.94444251668687595</v>
      </c>
      <c r="AH29" s="4">
        <v>0.98895148859598303</v>
      </c>
      <c r="AI29" s="4">
        <v>0.99789172315978403</v>
      </c>
      <c r="AJ29" s="4">
        <v>1</v>
      </c>
      <c r="AK29" s="4">
        <v>1</v>
      </c>
      <c r="AL29" s="4">
        <v>1</v>
      </c>
      <c r="AM29" s="4">
        <v>0</v>
      </c>
      <c r="AN29" s="4">
        <v>0</v>
      </c>
      <c r="AO29" s="4" t="s">
        <v>77</v>
      </c>
      <c r="AP29" s="4" t="s">
        <v>78</v>
      </c>
      <c r="AQ29" s="6">
        <v>34432026380.650002</v>
      </c>
      <c r="AR29" s="4">
        <v>132233</v>
      </c>
      <c r="AS29" s="15">
        <v>0</v>
      </c>
      <c r="AT29" s="15">
        <v>80.166912512800195</v>
      </c>
      <c r="AU29" s="15">
        <v>80.166912512800195</v>
      </c>
      <c r="AV29" s="15">
        <v>19.833087487199698</v>
      </c>
      <c r="AW29" s="15">
        <v>19.833087487199698</v>
      </c>
      <c r="AX29" s="15">
        <v>0</v>
      </c>
      <c r="AY29">
        <v>881.98047321755996</v>
      </c>
    </row>
    <row r="30" spans="1:51" x14ac:dyDescent="0.25">
      <c r="A30">
        <v>96</v>
      </c>
      <c r="B30" s="4">
        <v>0.947823637180226</v>
      </c>
      <c r="C30" s="4">
        <v>44.361344655485098</v>
      </c>
      <c r="D30" s="4">
        <v>47.430914605378199</v>
      </c>
      <c r="E30" s="4">
        <v>4.7683332453849397E-2</v>
      </c>
      <c r="F30" s="5">
        <v>5.2176362819773801E-2</v>
      </c>
      <c r="G30" s="5">
        <v>0</v>
      </c>
      <c r="H30" s="4">
        <v>4.8882807222839402</v>
      </c>
      <c r="I30" s="4">
        <v>3.6787565249374099</v>
      </c>
      <c r="J30" s="4">
        <v>-3.9286829640799401</v>
      </c>
      <c r="K30" s="4">
        <v>134.390769582535</v>
      </c>
      <c r="L30" s="4">
        <v>14.7683092354488</v>
      </c>
      <c r="M30" s="4">
        <v>19.520914750903799</v>
      </c>
      <c r="N30" s="4">
        <v>71.633102749300704</v>
      </c>
      <c r="O30" s="4">
        <v>64.9756581660085</v>
      </c>
      <c r="P30" s="4">
        <v>290036.80868190603</v>
      </c>
      <c r="Q30" s="4">
        <v>270375.49014448002</v>
      </c>
      <c r="R30" s="4">
        <v>778.96803171460999</v>
      </c>
      <c r="S30" s="4">
        <v>0</v>
      </c>
      <c r="T30" s="4">
        <v>0</v>
      </c>
      <c r="U30" s="4">
        <v>2.5230484265975201E-2</v>
      </c>
      <c r="V30" s="4">
        <v>0.18942480228919001</v>
      </c>
      <c r="W30" s="4">
        <v>0</v>
      </c>
      <c r="X30" s="4">
        <v>0.54110512713871195</v>
      </c>
      <c r="Y30" s="4">
        <v>0</v>
      </c>
      <c r="Z30" s="5">
        <v>3.7257172832617198E-4</v>
      </c>
      <c r="AA30" s="5">
        <v>1.8724608482435901E-4</v>
      </c>
      <c r="AB30" s="10">
        <v>3.5027105673854498E-3</v>
      </c>
      <c r="AC30" s="10">
        <v>6.1534508989080102E-5</v>
      </c>
      <c r="AD30" s="10">
        <v>4.8052285117961301E-2</v>
      </c>
      <c r="AE30" s="4">
        <v>6.9180652755616703E-2</v>
      </c>
      <c r="AF30" s="4">
        <v>0.41238773144236002</v>
      </c>
      <c r="AG30" s="4">
        <v>0.90870318946712703</v>
      </c>
      <c r="AH30" s="4">
        <v>0.97488865664706403</v>
      </c>
      <c r="AI30" s="4">
        <v>0.996455342788924</v>
      </c>
      <c r="AJ30" s="4">
        <v>1</v>
      </c>
      <c r="AK30" s="4">
        <v>1</v>
      </c>
      <c r="AL30" s="4">
        <v>1</v>
      </c>
      <c r="AM30" s="4">
        <v>0</v>
      </c>
      <c r="AN30" s="4">
        <v>0</v>
      </c>
      <c r="AO30" s="4" t="s">
        <v>79</v>
      </c>
      <c r="AP30" s="4" t="s">
        <v>80</v>
      </c>
      <c r="AQ30" s="6">
        <v>15588498884.280001</v>
      </c>
      <c r="AR30" s="4">
        <v>57655</v>
      </c>
      <c r="AS30" s="15">
        <v>0</v>
      </c>
      <c r="AT30" s="15">
        <v>81.057519771080905</v>
      </c>
      <c r="AU30" s="15">
        <v>81.057519771080905</v>
      </c>
      <c r="AV30" s="15">
        <v>18.942480228918999</v>
      </c>
      <c r="AW30" s="15">
        <v>18.942480228918999</v>
      </c>
      <c r="AX30" s="15">
        <v>0</v>
      </c>
      <c r="AY30">
        <v>1233.7790933271899</v>
      </c>
    </row>
    <row r="31" spans="1:51" x14ac:dyDescent="0.25">
      <c r="A31">
        <v>96</v>
      </c>
      <c r="B31" s="4">
        <v>0.94414888419655396</v>
      </c>
      <c r="C31" s="4">
        <v>42.121643727900299</v>
      </c>
      <c r="D31" s="4">
        <v>49.825181444812202</v>
      </c>
      <c r="E31" s="4">
        <v>4.4546221186465701E-2</v>
      </c>
      <c r="F31" s="5">
        <v>5.5851115803444998E-2</v>
      </c>
      <c r="G31" s="5">
        <v>0</v>
      </c>
      <c r="H31" s="4">
        <v>5.0356939099281801</v>
      </c>
      <c r="I31" s="4">
        <v>3.6746070796671102</v>
      </c>
      <c r="J31" s="4">
        <v>9.5824652198134999</v>
      </c>
      <c r="K31" s="4">
        <v>159.996430867318</v>
      </c>
      <c r="L31" s="4">
        <v>14.979354149395601</v>
      </c>
      <c r="M31" s="4">
        <v>19.392274582581599</v>
      </c>
      <c r="N31" s="4">
        <v>79.042338988084495</v>
      </c>
      <c r="O31" s="4">
        <v>70.164721385910397</v>
      </c>
      <c r="P31" s="4">
        <v>285676.05087393703</v>
      </c>
      <c r="Q31" s="4">
        <v>266574.66787545098</v>
      </c>
      <c r="R31" s="4">
        <v>777.36752348387199</v>
      </c>
      <c r="S31" s="4">
        <v>0</v>
      </c>
      <c r="T31" s="4">
        <v>0</v>
      </c>
      <c r="U31" s="4">
        <v>1.7804369466470901E-2</v>
      </c>
      <c r="V31" s="4">
        <v>0.20198344052731401</v>
      </c>
      <c r="W31" s="4">
        <v>0</v>
      </c>
      <c r="X31" s="4">
        <v>0.496689772650378</v>
      </c>
      <c r="Y31" s="4">
        <v>0</v>
      </c>
      <c r="Z31" s="5">
        <v>3.73747221170845E-4</v>
      </c>
      <c r="AA31" s="5">
        <v>2.4933356643889299E-4</v>
      </c>
      <c r="AB31" s="10">
        <v>3.77078147528915E-3</v>
      </c>
      <c r="AC31" s="10">
        <v>1.3377219947463499E-4</v>
      </c>
      <c r="AD31" s="10">
        <v>5.1323466153258598E-2</v>
      </c>
      <c r="AE31" s="4">
        <v>9.0939448036623793E-2</v>
      </c>
      <c r="AF31" s="4">
        <v>0.29303710486071699</v>
      </c>
      <c r="AG31" s="4">
        <v>0.82321446287656497</v>
      </c>
      <c r="AH31" s="4">
        <v>0.94289444137610301</v>
      </c>
      <c r="AI31" s="4">
        <v>0.99231254134310798</v>
      </c>
      <c r="AJ31" s="4">
        <v>1</v>
      </c>
      <c r="AK31" s="4">
        <v>1</v>
      </c>
      <c r="AL31" s="4">
        <v>1</v>
      </c>
      <c r="AM31" s="4">
        <v>0</v>
      </c>
      <c r="AN31" s="4">
        <v>0</v>
      </c>
      <c r="AO31" s="4" t="s">
        <v>81</v>
      </c>
      <c r="AP31" s="4" t="s">
        <v>82</v>
      </c>
      <c r="AQ31" s="6">
        <v>2953647320.0599999</v>
      </c>
      <c r="AR31" s="4">
        <v>11080</v>
      </c>
      <c r="AS31" s="15">
        <v>0</v>
      </c>
      <c r="AT31" s="15">
        <v>79.8016559472685</v>
      </c>
      <c r="AU31" s="15">
        <v>79.8016559472685</v>
      </c>
      <c r="AV31" s="15">
        <v>20.1983440527314</v>
      </c>
      <c r="AW31" s="15">
        <v>20.1983440527314</v>
      </c>
      <c r="AX31" s="15">
        <v>0</v>
      </c>
      <c r="AY31">
        <v>1474.89938742769</v>
      </c>
    </row>
    <row r="32" spans="1:51" x14ac:dyDescent="0.25">
      <c r="A32">
        <v>96</v>
      </c>
      <c r="B32" s="4">
        <v>0.93735074024592602</v>
      </c>
      <c r="C32" s="4">
        <v>47.8333999083479</v>
      </c>
      <c r="D32" s="4">
        <v>53.992829932216502</v>
      </c>
      <c r="E32" s="4">
        <v>5.2783231463130201E-2</v>
      </c>
      <c r="F32" s="5">
        <v>6.2649259754073303E-2</v>
      </c>
      <c r="G32" s="5">
        <v>0</v>
      </c>
      <c r="H32" s="4">
        <v>4.9947907944779599</v>
      </c>
      <c r="I32" s="4">
        <v>3.6610519285304899</v>
      </c>
      <c r="J32" s="4">
        <v>7.6280528703207304</v>
      </c>
      <c r="K32" s="4">
        <v>183.47821155776799</v>
      </c>
      <c r="L32" s="4">
        <v>13.997840125731701</v>
      </c>
      <c r="M32" s="4">
        <v>19.3335733071806</v>
      </c>
      <c r="N32" s="4">
        <v>88.168444015617595</v>
      </c>
      <c r="O32" s="4">
        <v>74.550228717161801</v>
      </c>
      <c r="P32" s="4">
        <v>303087.44878402899</v>
      </c>
      <c r="Q32" s="4">
        <v>285255.108815293</v>
      </c>
      <c r="R32" s="4">
        <v>776.11634913930095</v>
      </c>
      <c r="S32" s="4">
        <v>0</v>
      </c>
      <c r="T32" s="4">
        <v>0</v>
      </c>
      <c r="U32" s="4">
        <v>1.169664005897E-2</v>
      </c>
      <c r="V32" s="4">
        <v>0.123461768280546</v>
      </c>
      <c r="W32" s="4">
        <v>0</v>
      </c>
      <c r="X32" s="4">
        <v>0.36093017743250899</v>
      </c>
      <c r="Y32" s="4">
        <v>0</v>
      </c>
      <c r="Z32" s="5">
        <v>3.7904293543195798E-4</v>
      </c>
      <c r="AA32" s="5">
        <v>2.5952861425130002E-4</v>
      </c>
      <c r="AB32" s="10">
        <v>4.0998810747583997E-3</v>
      </c>
      <c r="AC32" s="10">
        <v>4.8764752002060201E-4</v>
      </c>
      <c r="AD32" s="10">
        <v>5.7423143114050397E-2</v>
      </c>
      <c r="AE32" s="4">
        <v>0.14307398397621801</v>
      </c>
      <c r="AF32" s="4">
        <v>8.3463878160227295E-2</v>
      </c>
      <c r="AG32" s="4">
        <v>0.55803984271928198</v>
      </c>
      <c r="AH32" s="4">
        <v>0.76584757572279405</v>
      </c>
      <c r="AI32" s="4">
        <v>0.96701643565292394</v>
      </c>
      <c r="AJ32" s="4">
        <v>1</v>
      </c>
      <c r="AK32" s="4">
        <v>1</v>
      </c>
      <c r="AL32" s="4">
        <v>1</v>
      </c>
      <c r="AM32" s="4">
        <v>0</v>
      </c>
      <c r="AN32" s="4">
        <v>0</v>
      </c>
      <c r="AO32" s="4" t="s">
        <v>83</v>
      </c>
      <c r="AP32" s="4" t="s">
        <v>84</v>
      </c>
      <c r="AQ32" s="6">
        <v>529718737.06999999</v>
      </c>
      <c r="AR32" s="4">
        <v>1857</v>
      </c>
      <c r="AS32" s="15">
        <v>0</v>
      </c>
      <c r="AT32" s="15">
        <v>87.653823171945305</v>
      </c>
      <c r="AU32" s="15">
        <v>87.653823171945305</v>
      </c>
      <c r="AV32" s="15">
        <v>12.346176828054601</v>
      </c>
      <c r="AW32" s="15">
        <v>12.346176828054601</v>
      </c>
      <c r="AX32" s="15">
        <v>0</v>
      </c>
      <c r="AY32">
        <v>1572.1954401119799</v>
      </c>
    </row>
    <row r="33" spans="1:51" x14ac:dyDescent="0.25">
      <c r="A33">
        <v>96</v>
      </c>
      <c r="B33" s="4">
        <v>0.93456705859366995</v>
      </c>
      <c r="C33" s="4">
        <v>26.997387060608599</v>
      </c>
      <c r="D33" s="4">
        <v>55.605861915772401</v>
      </c>
      <c r="E33" s="4">
        <v>2.5882077801669599E-2</v>
      </c>
      <c r="F33" s="5">
        <v>6.5432941406329603E-2</v>
      </c>
      <c r="G33" s="5">
        <v>0</v>
      </c>
      <c r="H33" s="4">
        <v>5.1085998106454698</v>
      </c>
      <c r="I33" s="4">
        <v>3.6549050019282099</v>
      </c>
      <c r="J33" s="4">
        <v>15.904782964980001</v>
      </c>
      <c r="K33" s="4">
        <v>207.05739442970801</v>
      </c>
      <c r="L33" s="4">
        <v>14.396504522826699</v>
      </c>
      <c r="M33" s="4">
        <v>19.191676967482898</v>
      </c>
      <c r="N33" s="4">
        <v>91.748226649348297</v>
      </c>
      <c r="O33" s="4">
        <v>75.328631688115195</v>
      </c>
      <c r="P33" s="4">
        <v>299765.12944769999</v>
      </c>
      <c r="Q33" s="4">
        <v>277346.02491935401</v>
      </c>
      <c r="R33" s="4">
        <v>775.65020953580699</v>
      </c>
      <c r="S33" s="4">
        <v>0</v>
      </c>
      <c r="T33" s="4">
        <v>0</v>
      </c>
      <c r="U33" s="4">
        <v>1.4947682352626101E-2</v>
      </c>
      <c r="V33" s="4">
        <v>7.0202159358047897E-2</v>
      </c>
      <c r="W33" s="4">
        <v>0</v>
      </c>
      <c r="X33" s="4">
        <v>0.209773983603292</v>
      </c>
      <c r="Y33" s="4">
        <v>0</v>
      </c>
      <c r="Z33" s="5">
        <v>3.9790283886289798E-4</v>
      </c>
      <c r="AA33" s="5">
        <v>3.4356062145316998E-4</v>
      </c>
      <c r="AB33" s="10">
        <v>4.4889720734183599E-3</v>
      </c>
      <c r="AC33" s="10">
        <v>7.7292467014398601E-4</v>
      </c>
      <c r="AD33" s="10">
        <v>5.9429563853545898E-2</v>
      </c>
      <c r="AE33" s="4">
        <v>0.16878628292567799</v>
      </c>
      <c r="AF33" s="4">
        <v>2.2039157560353798E-2</v>
      </c>
      <c r="AG33" s="4">
        <v>0.37519466675398999</v>
      </c>
      <c r="AH33" s="4">
        <v>0.62253335289970602</v>
      </c>
      <c r="AI33" s="4">
        <v>0.96413111809549501</v>
      </c>
      <c r="AJ33" s="4">
        <v>1</v>
      </c>
      <c r="AK33" s="4">
        <v>1</v>
      </c>
      <c r="AL33" s="4">
        <v>1</v>
      </c>
      <c r="AM33" s="4">
        <v>0</v>
      </c>
      <c r="AN33" s="4">
        <v>0</v>
      </c>
      <c r="AO33" s="4" t="s">
        <v>85</v>
      </c>
      <c r="AP33" s="4" t="s">
        <v>86</v>
      </c>
      <c r="AQ33" s="6">
        <v>68781814.180000007</v>
      </c>
      <c r="AR33" s="4">
        <v>248</v>
      </c>
      <c r="AS33" s="15">
        <v>0</v>
      </c>
      <c r="AT33" s="15">
        <v>92.979784064195201</v>
      </c>
      <c r="AU33" s="15">
        <v>92.979784064195201</v>
      </c>
      <c r="AV33" s="15">
        <v>7.0202159358047904</v>
      </c>
      <c r="AW33" s="15">
        <v>7.0202159358047904</v>
      </c>
      <c r="AX33" s="15">
        <v>0</v>
      </c>
      <c r="AY33">
        <v>1743.40613988115</v>
      </c>
    </row>
    <row r="34" spans="1:51" x14ac:dyDescent="0.25">
      <c r="A34">
        <v>96</v>
      </c>
      <c r="B34" s="4">
        <v>0.93579988512779699</v>
      </c>
      <c r="C34" s="4">
        <v>72.064021892024698</v>
      </c>
      <c r="D34" s="4">
        <v>54.897994816468902</v>
      </c>
      <c r="E34" s="4">
        <v>0.100819272037442</v>
      </c>
      <c r="F34" s="5">
        <v>6.4200114872202299E-2</v>
      </c>
      <c r="G34" s="5">
        <v>0</v>
      </c>
      <c r="H34" s="4">
        <v>5.2463029800382301</v>
      </c>
      <c r="I34" s="4">
        <v>3.6353262115529401</v>
      </c>
      <c r="J34" s="4">
        <v>29.9639751512393</v>
      </c>
      <c r="K34" s="4">
        <v>228.46733735600299</v>
      </c>
      <c r="L34" s="4">
        <v>15.859310102152</v>
      </c>
      <c r="M34" s="4">
        <v>18.8762725967952</v>
      </c>
      <c r="N34" s="4">
        <v>94.608967443254002</v>
      </c>
      <c r="O34" s="4">
        <v>76.376759625854902</v>
      </c>
      <c r="P34" s="4">
        <v>271524.00335983798</v>
      </c>
      <c r="Q34" s="4">
        <v>251811.35090908999</v>
      </c>
      <c r="R34" s="4">
        <v>773.36716754836402</v>
      </c>
      <c r="S34" s="4">
        <v>0</v>
      </c>
      <c r="T34" s="4">
        <v>0</v>
      </c>
      <c r="U34" s="4">
        <v>0</v>
      </c>
      <c r="V34" s="4">
        <v>0</v>
      </c>
      <c r="W34" s="4">
        <v>0</v>
      </c>
      <c r="X34" s="4">
        <v>0</v>
      </c>
      <c r="Y34" s="4">
        <v>0</v>
      </c>
      <c r="Z34" s="5">
        <v>3.5681575738335999E-4</v>
      </c>
      <c r="AA34" s="5">
        <v>5.1280013894600704E-4</v>
      </c>
      <c r="AB34" s="10">
        <v>5.3758671538640199E-3</v>
      </c>
      <c r="AC34" s="10">
        <v>1.1187778056881599E-3</v>
      </c>
      <c r="AD34" s="10">
        <v>5.6835838565944603E-2</v>
      </c>
      <c r="AE34" s="4">
        <v>0.208761698078053</v>
      </c>
      <c r="AF34" s="4">
        <v>0</v>
      </c>
      <c r="AG34" s="4">
        <v>0</v>
      </c>
      <c r="AH34" s="4">
        <v>0.23427027908619799</v>
      </c>
      <c r="AI34" s="4">
        <v>1</v>
      </c>
      <c r="AJ34" s="4">
        <v>1</v>
      </c>
      <c r="AK34" s="4">
        <v>1</v>
      </c>
      <c r="AL34" s="4">
        <v>1</v>
      </c>
      <c r="AM34" s="4">
        <v>0</v>
      </c>
      <c r="AN34" s="4">
        <v>0</v>
      </c>
      <c r="AO34" s="4" t="s">
        <v>87</v>
      </c>
      <c r="AP34" s="4" t="s">
        <v>88</v>
      </c>
      <c r="AQ34" s="6">
        <v>2769924.86</v>
      </c>
      <c r="AR34" s="4">
        <v>11</v>
      </c>
      <c r="AS34" s="15">
        <v>0</v>
      </c>
      <c r="AT34" s="15">
        <v>100</v>
      </c>
      <c r="AU34" s="15">
        <v>100</v>
      </c>
      <c r="AV34" s="15">
        <v>0</v>
      </c>
      <c r="AW34" s="15">
        <v>0</v>
      </c>
      <c r="AX34" s="15">
        <v>0</v>
      </c>
      <c r="AY34">
        <v>1892.0535921630301</v>
      </c>
    </row>
    <row r="40" spans="1:51" x14ac:dyDescent="0.25">
      <c r="K40" t="s">
        <v>171</v>
      </c>
    </row>
    <row r="41" spans="1:51" x14ac:dyDescent="0.25">
      <c r="K41" s="44">
        <v>1</v>
      </c>
    </row>
    <row r="43" spans="1:51" x14ac:dyDescent="0.25">
      <c r="K43" t="s">
        <v>102</v>
      </c>
      <c r="L43" t="s">
        <v>90</v>
      </c>
      <c r="M43" t="s">
        <v>91</v>
      </c>
    </row>
    <row r="44" spans="1:51" x14ac:dyDescent="0.25">
      <c r="A44" s="4" t="s">
        <v>95</v>
      </c>
      <c r="B44" t="str">
        <f>AQ2</f>
        <v>Balance</v>
      </c>
      <c r="C44" s="2" t="str">
        <f>AO2</f>
        <v>groupByColumn</v>
      </c>
      <c r="D44" t="str">
        <f>E2</f>
        <v>PREPAY_SMM1</v>
      </c>
      <c r="E44" t="str">
        <f>F2</f>
        <v>PREPAY_TRACKING_SMM1</v>
      </c>
      <c r="F44" t="s">
        <v>92</v>
      </c>
      <c r="G44" t="str">
        <f>C2</f>
        <v>PREPAY_CPR1</v>
      </c>
      <c r="H44" t="str">
        <f>D2</f>
        <v>PREPAY_TRACKING_CPR1</v>
      </c>
      <c r="K44" t="s">
        <v>93</v>
      </c>
      <c r="L44" t="s">
        <v>93</v>
      </c>
      <c r="M44" t="s">
        <v>93</v>
      </c>
      <c r="N44" t="s">
        <v>100</v>
      </c>
      <c r="O44" t="s">
        <v>101</v>
      </c>
      <c r="P44" t="s">
        <v>92</v>
      </c>
    </row>
    <row r="45" spans="1:51" s="41" customFormat="1" x14ac:dyDescent="0.25">
      <c r="A45" s="14">
        <f>K3</f>
        <v>-131.94999999999999</v>
      </c>
      <c r="B45" s="38">
        <f>AQ3/1000000000</f>
        <v>3.0325044E-4</v>
      </c>
      <c r="C45" s="39" t="str">
        <f>AO3</f>
        <v>03:-150--125</v>
      </c>
      <c r="D45" s="40">
        <f>E3</f>
        <v>0</v>
      </c>
      <c r="E45" s="40">
        <f>Z3+AA3+AB3+AC3+AD3</f>
        <v>3.38237E-3</v>
      </c>
      <c r="F45" s="38">
        <f t="shared" ref="F45:F58" si="0">D45/E45</f>
        <v>0</v>
      </c>
      <c r="G45" s="39">
        <f t="shared" ref="G45:H59" si="1">(1-(1-D45)^12)*100</f>
        <v>0</v>
      </c>
      <c r="H45" s="39">
        <f t="shared" si="1"/>
        <v>3.9841820458473509</v>
      </c>
      <c r="K45" s="14">
        <v>1</v>
      </c>
      <c r="L45" s="14">
        <v>1</v>
      </c>
      <c r="M45" s="14" t="e">
        <f>VLOOKUP($C45,'Refi Adj'!$B$2:$E$30,4,0)</f>
        <v>#N/A</v>
      </c>
      <c r="N45" s="40" t="e">
        <f>Z3+AA3+AB3*K45+AC3*L45+AD3*M45*$K$41</f>
        <v>#N/A</v>
      </c>
      <c r="O45" s="39" t="e">
        <f t="shared" ref="O45:O59" si="2">100*(1-(1-N45)^12)</f>
        <v>#N/A</v>
      </c>
      <c r="P45" s="42" t="e">
        <f t="shared" ref="P45:P59" si="3">D45/N45</f>
        <v>#N/A</v>
      </c>
      <c r="S45" s="43"/>
      <c r="T45" s="40"/>
      <c r="U45" s="40"/>
      <c r="Y45" s="40"/>
      <c r="Z45" s="40"/>
      <c r="AE45" s="40"/>
    </row>
    <row r="46" spans="1:51" s="41" customFormat="1" x14ac:dyDescent="0.25">
      <c r="A46" s="14">
        <f>K4</f>
        <v>-110.175225167985</v>
      </c>
      <c r="B46" s="38">
        <f>AQ4/1000000000</f>
        <v>2.1064177900000001E-3</v>
      </c>
      <c r="C46" s="39" t="str">
        <f>AO4</f>
        <v>04:-125--100</v>
      </c>
      <c r="D46" s="40">
        <f>E4</f>
        <v>4.7473961991671797E-9</v>
      </c>
      <c r="E46" s="40">
        <f>Z4+AA4+AB4+AC4+AD4</f>
        <v>7.471762627824694E-3</v>
      </c>
      <c r="F46" s="38">
        <f t="shared" si="0"/>
        <v>6.3537834854227992E-7</v>
      </c>
      <c r="G46" s="39">
        <f t="shared" si="1"/>
        <v>5.6968753714414788E-6</v>
      </c>
      <c r="H46" s="39">
        <f t="shared" si="1"/>
        <v>8.6066797563638548</v>
      </c>
      <c r="K46" s="14">
        <v>1</v>
      </c>
      <c r="L46" s="14">
        <v>1</v>
      </c>
      <c r="M46" s="14">
        <f>VLOOKUP($C46,'Refi Adj'!$B$2:$E$30,4,0)</f>
        <v>1</v>
      </c>
      <c r="N46" s="40">
        <f t="shared" ref="N46:N76" si="4">Z4+AA4+AB4*K46+AC4*L46+AD4*M46*$K$41</f>
        <v>7.471762627824694E-3</v>
      </c>
      <c r="O46" s="39">
        <f t="shared" si="2"/>
        <v>8.6066797563638548</v>
      </c>
      <c r="P46" s="42">
        <f t="shared" si="3"/>
        <v>6.3537834854227992E-7</v>
      </c>
      <c r="S46" s="43"/>
      <c r="T46" s="40"/>
      <c r="U46" s="40"/>
      <c r="X46" s="43"/>
      <c r="Y46" s="40"/>
      <c r="Z46" s="40"/>
      <c r="AE46" s="40"/>
    </row>
    <row r="47" spans="1:51" s="41" customFormat="1" x14ac:dyDescent="0.25">
      <c r="A47" s="14">
        <f>K5</f>
        <v>-83.743458923963203</v>
      </c>
      <c r="B47" s="38">
        <f>AQ5/1000000000</f>
        <v>6.9607087799999998E-3</v>
      </c>
      <c r="C47" s="39" t="str">
        <f>AO5</f>
        <v>05:-100--75</v>
      </c>
      <c r="D47" s="40">
        <f>E5</f>
        <v>5.7838670076380098E-3</v>
      </c>
      <c r="E47" s="40">
        <f>Z5+AA5+AB5+AC5+AD5</f>
        <v>1.4585386427718498E-2</v>
      </c>
      <c r="F47" s="38">
        <f t="shared" si="0"/>
        <v>0.3965521953293043</v>
      </c>
      <c r="G47" s="39">
        <f t="shared" si="1"/>
        <v>6.7240516908860126</v>
      </c>
      <c r="H47" s="39">
        <f t="shared" si="1"/>
        <v>16.164495486923215</v>
      </c>
      <c r="K47" s="14">
        <v>1</v>
      </c>
      <c r="L47" s="14">
        <v>1</v>
      </c>
      <c r="M47" s="14">
        <f>VLOOKUP($C47,'Refi Adj'!$B$2:$E$30,4,0)</f>
        <v>1</v>
      </c>
      <c r="N47" s="40">
        <f t="shared" si="4"/>
        <v>1.4585386427718498E-2</v>
      </c>
      <c r="O47" s="39">
        <f t="shared" si="2"/>
        <v>16.164495486923215</v>
      </c>
      <c r="P47" s="42">
        <f t="shared" si="3"/>
        <v>0.3965521953293043</v>
      </c>
      <c r="S47" s="43"/>
      <c r="T47" s="40"/>
      <c r="U47" s="40"/>
      <c r="X47" s="43"/>
      <c r="Y47" s="40"/>
      <c r="Z47" s="40"/>
      <c r="AE47" s="40"/>
    </row>
    <row r="48" spans="1:51" s="41" customFormat="1" x14ac:dyDescent="0.25">
      <c r="A48" s="14">
        <f>K6</f>
        <v>-56.696947071490101</v>
      </c>
      <c r="B48" s="38">
        <f>AQ6/1000000000</f>
        <v>0.10922347239000001</v>
      </c>
      <c r="C48" s="39" t="str">
        <f>AO6</f>
        <v>06:-75--50</v>
      </c>
      <c r="D48" s="40">
        <f>E6</f>
        <v>4.5090248590070204E-3</v>
      </c>
      <c r="E48" s="40">
        <f>Z6+AA6+AB6+AC6+AD6</f>
        <v>6.9709665054877856E-3</v>
      </c>
      <c r="F48" s="38">
        <f t="shared" si="0"/>
        <v>0.64682922453541558</v>
      </c>
      <c r="G48" s="39">
        <f t="shared" si="1"/>
        <v>5.2786397379830596</v>
      </c>
      <c r="H48" s="39">
        <f t="shared" si="1"/>
        <v>8.0517738358743642</v>
      </c>
      <c r="K48" s="14">
        <v>1</v>
      </c>
      <c r="L48" s="14">
        <v>1</v>
      </c>
      <c r="M48" s="14">
        <f>VLOOKUP($C48,'Refi Adj'!$B$2:$E$30,4,0)</f>
        <v>0.5</v>
      </c>
      <c r="N48" s="40">
        <f t="shared" si="4"/>
        <v>5.0599833505137557E-3</v>
      </c>
      <c r="O48" s="39">
        <f t="shared" si="2"/>
        <v>5.9058153494291332</v>
      </c>
      <c r="P48" s="42">
        <f t="shared" si="3"/>
        <v>0.89111456434915048</v>
      </c>
      <c r="S48" s="43"/>
      <c r="T48" s="40"/>
      <c r="U48" s="40"/>
      <c r="X48" s="43"/>
      <c r="Y48" s="40"/>
      <c r="Z48" s="40"/>
      <c r="AC48" s="43"/>
      <c r="AD48" s="40"/>
      <c r="AE48" s="40"/>
    </row>
    <row r="49" spans="1:31" x14ac:dyDescent="0.25">
      <c r="A49" s="4">
        <f>K7</f>
        <v>-33.134226991627003</v>
      </c>
      <c r="B49" s="3">
        <f>AQ7/1000000000</f>
        <v>1.37456466158</v>
      </c>
      <c r="C49" s="2" t="str">
        <f>AO7</f>
        <v>07:-50--25</v>
      </c>
      <c r="D49" s="8">
        <f>E7</f>
        <v>2.9573223459741001E-3</v>
      </c>
      <c r="E49" s="8">
        <f>Z7+AA7+AB7+AC7+AD7</f>
        <v>7.6986321624935962E-3</v>
      </c>
      <c r="F49" s="3">
        <f t="shared" si="0"/>
        <v>0.38413607554620716</v>
      </c>
      <c r="G49" s="2">
        <f t="shared" si="1"/>
        <v>3.4916300692288571</v>
      </c>
      <c r="H49" s="2">
        <f t="shared" si="1"/>
        <v>8.8570502228751185</v>
      </c>
      <c r="K49" s="4">
        <v>1</v>
      </c>
      <c r="L49" s="4">
        <v>1</v>
      </c>
      <c r="M49" s="14">
        <f>VLOOKUP($C49,'Refi Adj'!$B$2:$E$30,4,0)</f>
        <v>0.5</v>
      </c>
      <c r="N49" s="40">
        <f t="shared" si="4"/>
        <v>5.4098303542104813E-3</v>
      </c>
      <c r="O49" s="2">
        <f t="shared" si="2"/>
        <v>6.3020802083969212</v>
      </c>
      <c r="P49" s="7">
        <f t="shared" si="3"/>
        <v>0.54665713198795796</v>
      </c>
      <c r="S49" s="9"/>
      <c r="T49" s="8"/>
      <c r="U49" s="8"/>
      <c r="X49" s="9"/>
      <c r="Y49" s="8"/>
      <c r="Z49" s="8"/>
      <c r="AC49" s="9"/>
      <c r="AD49" s="8"/>
      <c r="AE49" s="8"/>
    </row>
    <row r="50" spans="1:31" x14ac:dyDescent="0.25">
      <c r="A50" s="4">
        <f>K8</f>
        <v>-22.3528913123363</v>
      </c>
      <c r="B50" s="3">
        <f>AQ8/1000000000</f>
        <v>0.80771623610999999</v>
      </c>
      <c r="C50" s="2" t="str">
        <f>AO8</f>
        <v>08-1:-25--20</v>
      </c>
      <c r="D50" s="8">
        <f>E8</f>
        <v>5.72911293305096E-3</v>
      </c>
      <c r="E50" s="8">
        <f>Z8+AA8+AB8+AC8+AD8</f>
        <v>1.1215476326438968E-2</v>
      </c>
      <c r="F50" s="3">
        <f t="shared" si="0"/>
        <v>0.51082207891120512</v>
      </c>
      <c r="G50" s="2">
        <f t="shared" si="1"/>
        <v>6.6623896197391286</v>
      </c>
      <c r="H50" s="2">
        <f t="shared" si="1"/>
        <v>12.658645379225508</v>
      </c>
      <c r="K50" s="4">
        <v>1</v>
      </c>
      <c r="L50" s="4">
        <v>1</v>
      </c>
      <c r="M50" s="14">
        <f>VLOOKUP($C50,'Refi Adj'!$B$2:$E$30,4,0)</f>
        <v>0.51</v>
      </c>
      <c r="N50" s="40">
        <f t="shared" si="4"/>
        <v>7.2616565579582872E-3</v>
      </c>
      <c r="O50" s="2">
        <f t="shared" si="2"/>
        <v>8.3742471067096318</v>
      </c>
      <c r="P50" s="7">
        <f t="shared" si="3"/>
        <v>0.78895399242921194</v>
      </c>
      <c r="S50" s="9"/>
      <c r="T50" s="8"/>
      <c r="U50" s="8"/>
      <c r="X50" s="9"/>
      <c r="Y50" s="8"/>
      <c r="Z50" s="8"/>
      <c r="AC50" s="9"/>
      <c r="AD50" s="8"/>
      <c r="AE50" s="8"/>
    </row>
    <row r="51" spans="1:31" x14ac:dyDescent="0.25">
      <c r="A51" s="4">
        <f>K9</f>
        <v>-17.273661782883298</v>
      </c>
      <c r="B51" s="3">
        <f>AQ9/1000000000</f>
        <v>1.17529042177</v>
      </c>
      <c r="C51" s="2" t="str">
        <f>AO9</f>
        <v>08-2:-20--15</v>
      </c>
      <c r="D51" s="8">
        <f>E9</f>
        <v>4.3605562507573999E-3</v>
      </c>
      <c r="E51" s="8">
        <f>Z9+AA9+AB9+AC9+AD9</f>
        <v>1.2726839384156946E-2</v>
      </c>
      <c r="F51" s="3">
        <f t="shared" si="0"/>
        <v>0.34262679987818928</v>
      </c>
      <c r="G51" s="2">
        <f t="shared" si="1"/>
        <v>5.1089784518731696</v>
      </c>
      <c r="H51" s="2">
        <f t="shared" si="1"/>
        <v>14.247267311146828</v>
      </c>
      <c r="K51" s="4">
        <v>1</v>
      </c>
      <c r="L51" s="4">
        <v>1</v>
      </c>
      <c r="M51" s="14">
        <f>VLOOKUP($C51,'Refi Adj'!$B$2:$E$30,4,0)</f>
        <v>0.52</v>
      </c>
      <c r="N51" s="40">
        <f t="shared" si="4"/>
        <v>8.1272778048390275E-3</v>
      </c>
      <c r="O51" s="2">
        <f t="shared" si="2"/>
        <v>9.3283829479990708</v>
      </c>
      <c r="P51" s="7">
        <f t="shared" si="3"/>
        <v>0.53653343166897771</v>
      </c>
      <c r="S51" s="9"/>
      <c r="T51" s="8"/>
      <c r="U51" s="8"/>
      <c r="X51" s="9"/>
      <c r="Y51" s="8"/>
      <c r="Z51" s="8"/>
      <c r="AC51" s="9"/>
      <c r="AD51" s="8"/>
      <c r="AE51" s="8"/>
    </row>
    <row r="52" spans="1:31" x14ac:dyDescent="0.25">
      <c r="A52" s="4">
        <f>K10</f>
        <v>-12.3219535563337</v>
      </c>
      <c r="B52" s="3">
        <f>AQ10/1000000000</f>
        <v>1.77893229352</v>
      </c>
      <c r="C52" s="2" t="str">
        <f>AO10</f>
        <v>08-3:-15--10</v>
      </c>
      <c r="D52" s="8">
        <f>E10</f>
        <v>6.3801337063707497E-3</v>
      </c>
      <c r="E52" s="8">
        <f>Z10+AA10+AB10+AC10+AD10</f>
        <v>1.4031477536049788E-2</v>
      </c>
      <c r="F52" s="3">
        <f t="shared" si="0"/>
        <v>0.45470148742203786</v>
      </c>
      <c r="G52" s="2">
        <f t="shared" si="1"/>
        <v>7.3931325863314186</v>
      </c>
      <c r="H52" s="2">
        <f t="shared" si="1"/>
        <v>15.597249192739039</v>
      </c>
      <c r="K52" s="4">
        <v>1</v>
      </c>
      <c r="L52" s="4">
        <v>1</v>
      </c>
      <c r="M52" s="14">
        <f>VLOOKUP($C52,'Refi Adj'!$B$2:$E$30,4,0)</f>
        <v>0.53</v>
      </c>
      <c r="N52" s="40">
        <f t="shared" si="4"/>
        <v>8.9225015909509854E-3</v>
      </c>
      <c r="O52" s="2">
        <f t="shared" si="2"/>
        <v>10.196887036959835</v>
      </c>
      <c r="P52" s="7">
        <f t="shared" si="3"/>
        <v>0.71506108923996692</v>
      </c>
      <c r="S52" s="9"/>
      <c r="T52" s="8"/>
      <c r="U52" s="8"/>
      <c r="X52" s="9"/>
      <c r="Y52" s="8"/>
      <c r="Z52" s="8"/>
      <c r="AC52" s="9"/>
      <c r="AD52" s="8"/>
      <c r="AE52" s="8"/>
    </row>
    <row r="53" spans="1:31" x14ac:dyDescent="0.25">
      <c r="A53" s="4">
        <f>K11</f>
        <v>-7.3847568245913697</v>
      </c>
      <c r="B53" s="3">
        <f>AQ11/1000000000</f>
        <v>2.49047498976</v>
      </c>
      <c r="C53" s="2" t="str">
        <f>AO11</f>
        <v>08-4:-10--5</v>
      </c>
      <c r="D53" s="8">
        <f>E11</f>
        <v>9.3059766257122603E-3</v>
      </c>
      <c r="E53" s="8">
        <f>Z11+AA11+AB11+AC11+AD11</f>
        <v>1.5289856012170897E-2</v>
      </c>
      <c r="F53" s="3">
        <f t="shared" si="0"/>
        <v>0.60863729640780129</v>
      </c>
      <c r="G53" s="2">
        <f t="shared" si="1"/>
        <v>10.612968246597177</v>
      </c>
      <c r="H53" s="2">
        <f t="shared" si="1"/>
        <v>16.880878985366177</v>
      </c>
      <c r="K53" s="4">
        <v>1</v>
      </c>
      <c r="L53" s="4">
        <v>1</v>
      </c>
      <c r="M53" s="14">
        <f>VLOOKUP($C53,'Refi Adj'!$B$2:$E$30,4,0)</f>
        <v>0.54</v>
      </c>
      <c r="N53" s="40">
        <f t="shared" si="4"/>
        <v>9.6932115225419058E-3</v>
      </c>
      <c r="O53" s="2">
        <f t="shared" si="2"/>
        <v>11.031335105920903</v>
      </c>
      <c r="P53" s="7">
        <f t="shared" si="3"/>
        <v>0.96005091852900182</v>
      </c>
      <c r="S53" s="9"/>
      <c r="T53" s="8"/>
      <c r="U53" s="8"/>
      <c r="X53" s="9"/>
      <c r="Y53" s="8"/>
      <c r="Z53" s="8"/>
      <c r="AC53" s="9"/>
      <c r="AD53" s="8"/>
      <c r="AE53" s="8"/>
    </row>
    <row r="54" spans="1:31" x14ac:dyDescent="0.25">
      <c r="A54" s="4">
        <f>K12</f>
        <v>-2.35784147556687</v>
      </c>
      <c r="B54" s="3">
        <f>AQ12/1000000000</f>
        <v>3.2608523436999999</v>
      </c>
      <c r="C54" s="2" t="str">
        <f>AO12</f>
        <v>08:-25-0</v>
      </c>
      <c r="D54" s="8">
        <f>E12</f>
        <v>9.2223713504604801E-3</v>
      </c>
      <c r="E54" s="8">
        <f>Z12+AA12+AB12+AC12+AD12</f>
        <v>1.6546315091222383E-2</v>
      </c>
      <c r="F54" s="3">
        <f t="shared" si="0"/>
        <v>0.55736708140852675</v>
      </c>
      <c r="G54" s="2">
        <f t="shared" si="1"/>
        <v>10.522405103432675</v>
      </c>
      <c r="H54" s="2">
        <f t="shared" si="1"/>
        <v>18.144673872132987</v>
      </c>
      <c r="K54" s="4">
        <v>1</v>
      </c>
      <c r="L54" s="4">
        <v>1</v>
      </c>
      <c r="M54" s="14">
        <f>VLOOKUP($C54,'Refi Adj'!$B$2:$E$30,4,0)</f>
        <v>0.55000000000000004</v>
      </c>
      <c r="N54" s="40">
        <f t="shared" si="4"/>
        <v>1.0525991834317995E-2</v>
      </c>
      <c r="O54" s="2">
        <f t="shared" si="2"/>
        <v>11.924993076287516</v>
      </c>
      <c r="P54" s="7">
        <f t="shared" si="3"/>
        <v>0.87615224252717849</v>
      </c>
      <c r="S54" s="9"/>
      <c r="T54" s="8"/>
      <c r="U54" s="8"/>
      <c r="X54" s="9"/>
      <c r="Y54" s="8"/>
      <c r="Z54" s="8"/>
      <c r="AC54" s="9"/>
      <c r="AD54" s="8"/>
      <c r="AE54" s="8"/>
    </row>
    <row r="55" spans="1:31" x14ac:dyDescent="0.25">
      <c r="A55" s="4">
        <f>K13</f>
        <v>2.6131291582139702</v>
      </c>
      <c r="B55" s="3">
        <f>AQ13/1000000000</f>
        <v>4.2927447087299999</v>
      </c>
      <c r="C55" s="2" t="str">
        <f>AO13</f>
        <v>09-1:0-5</v>
      </c>
      <c r="D55" s="8">
        <f>E13</f>
        <v>1.1306181245041199E-2</v>
      </c>
      <c r="E55" s="8">
        <f>Z13+AA13+AB13+AC13+AD13</f>
        <v>1.7657410413376751E-2</v>
      </c>
      <c r="F55" s="3">
        <f t="shared" si="0"/>
        <v>0.64030800555419831</v>
      </c>
      <c r="G55" s="2">
        <f t="shared" si="1"/>
        <v>12.754742691622701</v>
      </c>
      <c r="H55" s="2">
        <f t="shared" si="1"/>
        <v>19.247555090523093</v>
      </c>
      <c r="K55" s="4">
        <v>1</v>
      </c>
      <c r="L55" s="4">
        <v>1</v>
      </c>
      <c r="M55" s="14">
        <f>VLOOKUP($C55,'Refi Adj'!$B$2:$E$30,4,0)</f>
        <v>0.60000000000000009</v>
      </c>
      <c r="N55" s="40">
        <f t="shared" si="4"/>
        <v>1.1876237106004512E-2</v>
      </c>
      <c r="O55" s="2">
        <f t="shared" si="2"/>
        <v>13.356473040211835</v>
      </c>
      <c r="P55" s="7">
        <f t="shared" si="3"/>
        <v>0.95200029640069261</v>
      </c>
      <c r="X55" s="9"/>
      <c r="Y55" s="8"/>
      <c r="Z55" s="8"/>
      <c r="AC55" s="9"/>
      <c r="AD55" s="8"/>
      <c r="AE55" s="8"/>
    </row>
    <row r="56" spans="1:31" x14ac:dyDescent="0.25">
      <c r="A56" s="4">
        <f>K14</f>
        <v>7.6208417326585698</v>
      </c>
      <c r="B56" s="3">
        <f>AQ14/1000000000</f>
        <v>5.5431868909600004</v>
      </c>
      <c r="C56" s="2" t="str">
        <f>AO14</f>
        <v>09-2:5-10</v>
      </c>
      <c r="D56" s="8">
        <f>E14</f>
        <v>1.3841547912357199E-2</v>
      </c>
      <c r="E56" s="8">
        <f>Z14+AA14+AB14+AC14+AD14</f>
        <v>1.8533795604279334E-2</v>
      </c>
      <c r="F56" s="3">
        <f t="shared" si="0"/>
        <v>0.74682748250235775</v>
      </c>
      <c r="G56" s="2">
        <f t="shared" si="1"/>
        <v>15.401937752550076</v>
      </c>
      <c r="H56" s="2">
        <f t="shared" si="1"/>
        <v>20.107833681164657</v>
      </c>
      <c r="K56" s="4">
        <v>1</v>
      </c>
      <c r="L56" s="4">
        <v>1</v>
      </c>
      <c r="M56" s="14">
        <f>VLOOKUP($C56,'Refi Adj'!$B$2:$E$30,4,0)</f>
        <v>0.65</v>
      </c>
      <c r="N56" s="40">
        <f t="shared" si="4"/>
        <v>1.3185731430210039E-2</v>
      </c>
      <c r="O56" s="2">
        <f t="shared" si="2"/>
        <v>14.724348691144984</v>
      </c>
      <c r="P56" s="7">
        <f t="shared" si="3"/>
        <v>1.0497368299679311</v>
      </c>
      <c r="X56" s="9"/>
      <c r="Y56" s="8"/>
      <c r="Z56" s="8"/>
      <c r="AC56" s="9"/>
      <c r="AD56" s="8"/>
      <c r="AE56" s="8"/>
    </row>
    <row r="57" spans="1:31" x14ac:dyDescent="0.25">
      <c r="A57" s="4">
        <f>K15</f>
        <v>12.667451193363499</v>
      </c>
      <c r="B57" s="3">
        <f>AQ15/1000000000</f>
        <v>8.0624294851599991</v>
      </c>
      <c r="C57" s="2" t="str">
        <f>AO15</f>
        <v>09-3:10-15</v>
      </c>
      <c r="D57" s="8">
        <f>E15</f>
        <v>1.48579451707907E-2</v>
      </c>
      <c r="E57" s="8">
        <f>Z15+AA15+AB15+AC15+AD15</f>
        <v>1.9819068709864399E-2</v>
      </c>
      <c r="F57" s="3">
        <f t="shared" si="0"/>
        <v>0.74967928051006583</v>
      </c>
      <c r="G57" s="2">
        <f t="shared" si="1"/>
        <v>16.442332293616978</v>
      </c>
      <c r="H57" s="2">
        <f t="shared" si="1"/>
        <v>21.354298154720695</v>
      </c>
      <c r="K57" s="4">
        <v>1</v>
      </c>
      <c r="L57" s="4">
        <v>1</v>
      </c>
      <c r="M57" s="14">
        <f>VLOOKUP($C57,'Refi Adj'!$B$2:$E$30,4,0)</f>
        <v>0.70000000000000007</v>
      </c>
      <c r="N57" s="40">
        <f t="shared" si="4"/>
        <v>1.4858275347996677E-2</v>
      </c>
      <c r="O57" s="2">
        <f t="shared" si="2"/>
        <v>16.442668352193699</v>
      </c>
      <c r="P57" s="7">
        <f t="shared" si="3"/>
        <v>0.99997777822807532</v>
      </c>
      <c r="X57" s="9"/>
      <c r="Y57" s="8"/>
      <c r="Z57" s="8"/>
      <c r="AC57" s="9"/>
      <c r="AD57" s="8"/>
      <c r="AE57" s="8"/>
    </row>
    <row r="58" spans="1:31" x14ac:dyDescent="0.25">
      <c r="A58" s="4">
        <f>K16</f>
        <v>17.609577118213998</v>
      </c>
      <c r="B58" s="3">
        <f>AQ16/1000000000</f>
        <v>11.349457751459999</v>
      </c>
      <c r="C58" s="2" t="str">
        <f>AO16</f>
        <v>09-4:15-20</v>
      </c>
      <c r="D58" s="8">
        <f>E16</f>
        <v>1.6687337058894001E-2</v>
      </c>
      <c r="E58" s="8">
        <f>Z16+AA16+AB16+AC16+AD16</f>
        <v>2.1496058809172363E-2</v>
      </c>
      <c r="F58" s="3">
        <f t="shared" si="0"/>
        <v>0.77629751607180741</v>
      </c>
      <c r="G58" s="2">
        <f t="shared" si="1"/>
        <v>18.285414200769178</v>
      </c>
      <c r="H58" s="2">
        <f t="shared" si="1"/>
        <v>22.953848410243772</v>
      </c>
      <c r="K58" s="4">
        <v>1</v>
      </c>
      <c r="L58" s="4">
        <v>1</v>
      </c>
      <c r="M58" s="14">
        <f>VLOOKUP($C58,'Refi Adj'!$B$2:$E$30,4,0)</f>
        <v>0.75</v>
      </c>
      <c r="N58" s="40">
        <f t="shared" si="4"/>
        <v>1.6946360849280362E-2</v>
      </c>
      <c r="O58" s="2">
        <f t="shared" si="2"/>
        <v>18.54334294255262</v>
      </c>
      <c r="P58" s="7">
        <f t="shared" si="3"/>
        <v>0.98471507878947584</v>
      </c>
      <c r="S58" s="9"/>
      <c r="T58" s="8"/>
      <c r="U58" s="8"/>
      <c r="X58" s="9"/>
      <c r="Y58" s="8"/>
      <c r="Z58" s="8"/>
      <c r="AC58" s="9"/>
      <c r="AD58" s="8"/>
      <c r="AE58" s="8"/>
    </row>
    <row r="59" spans="1:31" x14ac:dyDescent="0.25">
      <c r="A59" s="4">
        <f>K17</f>
        <v>22.570511639541699</v>
      </c>
      <c r="B59" s="3">
        <f>AQ17/1000000000</f>
        <v>14.19145747148</v>
      </c>
      <c r="C59" s="2" t="str">
        <f>AO17</f>
        <v>09:0-25</v>
      </c>
      <c r="D59" s="8">
        <f>E17</f>
        <v>2.07830165634032E-2</v>
      </c>
      <c r="E59" s="8">
        <f>Z17+AA17+AB17+AC17+AD17</f>
        <v>2.3377914251191963E-2</v>
      </c>
      <c r="F59" s="3">
        <f>D59/E59</f>
        <v>0.88900217273846593</v>
      </c>
      <c r="G59" s="2">
        <f t="shared" si="1"/>
        <v>22.27741317611671</v>
      </c>
      <c r="H59" s="2">
        <f t="shared" si="1"/>
        <v>24.713259228813477</v>
      </c>
      <c r="K59" s="4">
        <v>1</v>
      </c>
      <c r="L59" s="4">
        <v>1</v>
      </c>
      <c r="M59" s="14">
        <f>VLOOKUP($C59,'Refi Adj'!$B$2:$E$30,4,0)</f>
        <v>0.8</v>
      </c>
      <c r="N59" s="40">
        <f t="shared" si="4"/>
        <v>1.9374501784716565E-2</v>
      </c>
      <c r="O59" s="2">
        <f t="shared" si="2"/>
        <v>20.925186018669649</v>
      </c>
      <c r="P59" s="7">
        <f t="shared" si="3"/>
        <v>1.0726994063815221</v>
      </c>
      <c r="S59" s="9"/>
      <c r="T59" s="8"/>
      <c r="U59" s="8"/>
      <c r="X59" s="9"/>
      <c r="Y59" s="8"/>
      <c r="Z59" s="8"/>
      <c r="AC59" s="9"/>
      <c r="AD59" s="8"/>
      <c r="AE59" s="8"/>
    </row>
    <row r="60" spans="1:31" x14ac:dyDescent="0.25">
      <c r="A60" s="4">
        <f t="shared" ref="A60:A76" si="5">K18</f>
        <v>27.5304555569031</v>
      </c>
      <c r="B60" s="3">
        <f t="shared" ref="B60:B76" si="6">AQ18/1000000000</f>
        <v>15.9911483146</v>
      </c>
      <c r="C60" s="2" t="str">
        <f t="shared" ref="C60:C76" si="7">AO18</f>
        <v>10-1:25-30</v>
      </c>
      <c r="D60" s="8">
        <f t="shared" ref="D60:D76" si="8">E18</f>
        <v>2.3133001750481001E-2</v>
      </c>
      <c r="E60" s="8">
        <f t="shared" ref="E60:E76" si="9">Z18+AA18+AB18+AC18+AD18</f>
        <v>2.5118419647605233E-2</v>
      </c>
      <c r="F60" s="3">
        <f t="shared" ref="F60:F76" si="10">D60/E60</f>
        <v>0.92095769061197608</v>
      </c>
      <c r="G60" s="2">
        <f t="shared" ref="G60:G76" si="11">(1-(1-D60)^12)*100</f>
        <v>24.486386002077122</v>
      </c>
      <c r="H60" s="2">
        <f t="shared" ref="H60:H76" si="12">(1-(1-E60)^12)*100</f>
        <v>26.307654830370463</v>
      </c>
      <c r="K60" s="4">
        <v>1</v>
      </c>
      <c r="L60" s="4">
        <v>1</v>
      </c>
      <c r="M60" s="14">
        <f>VLOOKUP($C60,'Refi Adj'!$B$2:$E$30,4,0)</f>
        <v>0.85000000000000009</v>
      </c>
      <c r="N60" s="40">
        <f t="shared" si="4"/>
        <v>2.1864004103081699E-2</v>
      </c>
      <c r="O60" s="2">
        <f t="shared" ref="O60:O76" si="13">100*(1-(1-N60)^12)</f>
        <v>23.300788813125305</v>
      </c>
      <c r="P60" s="7">
        <f t="shared" ref="P60:P76" si="14">D60/N60</f>
        <v>1.0580404962154411</v>
      </c>
      <c r="S60" s="9"/>
      <c r="T60" s="8"/>
      <c r="U60" s="8"/>
      <c r="X60" s="9"/>
      <c r="Y60" s="8"/>
      <c r="Z60" s="8"/>
      <c r="AC60" s="9"/>
      <c r="AD60" s="8"/>
      <c r="AE60" s="8"/>
    </row>
    <row r="61" spans="1:31" x14ac:dyDescent="0.25">
      <c r="A61" s="4">
        <f t="shared" si="5"/>
        <v>32.526474136467399</v>
      </c>
      <c r="B61" s="3">
        <f t="shared" si="6"/>
        <v>16.730992258019999</v>
      </c>
      <c r="C61" s="2" t="str">
        <f t="shared" si="7"/>
        <v>10-2:30-35</v>
      </c>
      <c r="D61" s="8">
        <f t="shared" si="8"/>
        <v>2.5641315453432099E-2</v>
      </c>
      <c r="E61" s="8">
        <f t="shared" si="9"/>
        <v>2.6616923348296379E-2</v>
      </c>
      <c r="F61" s="3">
        <f t="shared" si="10"/>
        <v>0.96334633112557977</v>
      </c>
      <c r="G61" s="2">
        <f t="shared" si="11"/>
        <v>26.780573150169097</v>
      </c>
      <c r="H61" s="2">
        <f t="shared" si="12"/>
        <v>27.65550400693062</v>
      </c>
      <c r="K61" s="4">
        <v>1</v>
      </c>
      <c r="L61" s="4">
        <v>1</v>
      </c>
      <c r="M61" s="14">
        <f>VLOOKUP($C61,'Refi Adj'!$B$2:$E$30,4,0)</f>
        <v>0.9</v>
      </c>
      <c r="N61" s="40">
        <f t="shared" si="4"/>
        <v>2.4303146416781069E-2</v>
      </c>
      <c r="O61" s="2">
        <f t="shared" si="13"/>
        <v>25.564715298161524</v>
      </c>
      <c r="P61" s="7">
        <f t="shared" si="14"/>
        <v>1.0550615551460876</v>
      </c>
      <c r="S61" s="9"/>
      <c r="T61" s="8"/>
      <c r="U61" s="8"/>
      <c r="X61" s="9"/>
      <c r="Y61" s="8"/>
      <c r="Z61" s="8"/>
      <c r="AC61" s="9"/>
      <c r="AD61" s="8"/>
      <c r="AE61" s="8"/>
    </row>
    <row r="62" spans="1:31" x14ac:dyDescent="0.25">
      <c r="A62" s="4">
        <f t="shared" si="5"/>
        <v>37.490679398684499</v>
      </c>
      <c r="B62" s="3">
        <f t="shared" si="6"/>
        <v>17.563595642540001</v>
      </c>
      <c r="C62" s="2" t="str">
        <f t="shared" si="7"/>
        <v>10-3:35-40</v>
      </c>
      <c r="D62" s="8">
        <f t="shared" si="8"/>
        <v>2.8883040505116302E-2</v>
      </c>
      <c r="E62" s="8">
        <f t="shared" si="9"/>
        <v>2.8398006344102038E-2</v>
      </c>
      <c r="F62" s="3">
        <f t="shared" si="10"/>
        <v>1.0170798666334899</v>
      </c>
      <c r="G62" s="2">
        <f t="shared" si="11"/>
        <v>29.650913239599863</v>
      </c>
      <c r="H62" s="2">
        <f t="shared" si="12"/>
        <v>29.228114322773845</v>
      </c>
      <c r="K62" s="4">
        <v>1</v>
      </c>
      <c r="L62" s="4">
        <v>1</v>
      </c>
      <c r="M62" s="14">
        <f>VLOOKUP($C62,'Refi Adj'!$B$2:$E$30,4,0)</f>
        <v>0.95000000000000007</v>
      </c>
      <c r="N62" s="40">
        <f t="shared" si="4"/>
        <v>2.7154515351975297E-2</v>
      </c>
      <c r="O62" s="2">
        <f t="shared" si="13"/>
        <v>28.133513981856229</v>
      </c>
      <c r="P62" s="7">
        <f t="shared" si="14"/>
        <v>1.0636551649232535</v>
      </c>
      <c r="S62" s="9"/>
      <c r="T62" s="8"/>
      <c r="U62" s="8"/>
      <c r="X62" s="9"/>
      <c r="Y62" s="8"/>
      <c r="Z62" s="8"/>
      <c r="AC62" s="9"/>
      <c r="AD62" s="8"/>
      <c r="AE62" s="8"/>
    </row>
    <row r="63" spans="1:31" x14ac:dyDescent="0.25">
      <c r="A63" s="4">
        <f t="shared" si="5"/>
        <v>42.4456490599459</v>
      </c>
      <c r="B63" s="3">
        <f t="shared" si="6"/>
        <v>16.86903760165</v>
      </c>
      <c r="C63" s="2" t="str">
        <f t="shared" si="7"/>
        <v>10-4:40-45</v>
      </c>
      <c r="D63" s="8">
        <f t="shared" si="8"/>
        <v>3.38040416212834E-2</v>
      </c>
      <c r="E63" s="8">
        <f t="shared" si="9"/>
        <v>3.0108893117499265E-2</v>
      </c>
      <c r="F63" s="3">
        <f t="shared" si="10"/>
        <v>1.1227261490272626</v>
      </c>
      <c r="G63" s="2">
        <f t="shared" si="11"/>
        <v>33.811491023672112</v>
      </c>
      <c r="H63" s="2">
        <f t="shared" si="12"/>
        <v>30.709175890256656</v>
      </c>
      <c r="K63" s="4">
        <v>1</v>
      </c>
      <c r="L63" s="4">
        <v>1</v>
      </c>
      <c r="M63" s="14">
        <f>VLOOKUP($C63,'Refi Adj'!$B$2:$E$30,4,0)</f>
        <v>1</v>
      </c>
      <c r="N63" s="40">
        <f t="shared" si="4"/>
        <v>3.0108893117499265E-2</v>
      </c>
      <c r="O63" s="2">
        <f t="shared" si="13"/>
        <v>30.709175890256656</v>
      </c>
      <c r="P63" s="7">
        <f t="shared" si="14"/>
        <v>1.1227261490272626</v>
      </c>
      <c r="S63" s="9"/>
      <c r="T63" s="8"/>
      <c r="U63" s="8"/>
      <c r="X63" s="9"/>
      <c r="Y63" s="8"/>
      <c r="Z63" s="8"/>
      <c r="AC63" s="9"/>
      <c r="AD63" s="8"/>
      <c r="AE63" s="8"/>
    </row>
    <row r="64" spans="1:31" x14ac:dyDescent="0.25">
      <c r="A64" s="4">
        <f t="shared" si="5"/>
        <v>47.537078355553902</v>
      </c>
      <c r="B64" s="3">
        <f t="shared" si="6"/>
        <v>16.980637256520001</v>
      </c>
      <c r="C64" s="2" t="str">
        <f t="shared" si="7"/>
        <v>10:25-50</v>
      </c>
      <c r="D64" s="8">
        <f t="shared" si="8"/>
        <v>3.4829777757708298E-2</v>
      </c>
      <c r="E64" s="8">
        <f t="shared" si="9"/>
        <v>3.2096687289133445E-2</v>
      </c>
      <c r="F64" s="3">
        <f t="shared" si="10"/>
        <v>1.0851517928923513</v>
      </c>
      <c r="G64" s="2">
        <f t="shared" si="11"/>
        <v>34.649792134356602</v>
      </c>
      <c r="H64" s="2">
        <f t="shared" si="12"/>
        <v>32.394237540530533</v>
      </c>
      <c r="K64" s="4">
        <v>1</v>
      </c>
      <c r="L64" s="4">
        <v>1</v>
      </c>
      <c r="M64" s="14">
        <f>VLOOKUP($C64,'Refi Adj'!$B$2:$E$30,4,0)</f>
        <v>1.05</v>
      </c>
      <c r="N64" s="40">
        <f t="shared" si="4"/>
        <v>3.3520704799238785E-2</v>
      </c>
      <c r="O64" s="2">
        <f t="shared" si="13"/>
        <v>33.578197744262695</v>
      </c>
      <c r="P64" s="7">
        <f t="shared" si="14"/>
        <v>1.0390526680840924</v>
      </c>
      <c r="X64" s="9"/>
      <c r="Y64" s="8"/>
      <c r="Z64" s="8"/>
      <c r="AC64" s="9"/>
      <c r="AD64" s="8"/>
      <c r="AE64" s="8"/>
    </row>
    <row r="65" spans="1:31" x14ac:dyDescent="0.25">
      <c r="A65" s="4">
        <f t="shared" si="5"/>
        <v>52.527591880495201</v>
      </c>
      <c r="B65" s="3">
        <f t="shared" si="6"/>
        <v>16.10401645972</v>
      </c>
      <c r="C65" s="2" t="str">
        <f t="shared" si="7"/>
        <v>11-1:50-55</v>
      </c>
      <c r="D65" s="8">
        <f t="shared" si="8"/>
        <v>3.5388689474517197E-2</v>
      </c>
      <c r="E65" s="8">
        <f t="shared" si="9"/>
        <v>3.3568812248475556E-2</v>
      </c>
      <c r="F65" s="3">
        <f t="shared" si="10"/>
        <v>1.0542133338698716</v>
      </c>
      <c r="G65" s="2">
        <f t="shared" si="11"/>
        <v>35.102465333372535</v>
      </c>
      <c r="H65" s="2">
        <f t="shared" si="12"/>
        <v>33.617861404079349</v>
      </c>
      <c r="K65" s="4">
        <v>1</v>
      </c>
      <c r="L65" s="4">
        <v>1</v>
      </c>
      <c r="M65" s="14">
        <f>VLOOKUP($C65,'Refi Adj'!$B$2:$E$30,4,0)</f>
        <v>1.1000000000000001</v>
      </c>
      <c r="N65" s="40">
        <f t="shared" si="4"/>
        <v>3.6559559546930354E-2</v>
      </c>
      <c r="O65" s="2">
        <f t="shared" si="13"/>
        <v>36.041471596028828</v>
      </c>
      <c r="P65" s="7">
        <f t="shared" si="14"/>
        <v>0.96797362750199034</v>
      </c>
      <c r="X65" s="9"/>
      <c r="Y65" s="8"/>
      <c r="Z65" s="8"/>
      <c r="AC65" s="9"/>
      <c r="AD65" s="8"/>
      <c r="AE65" s="8"/>
    </row>
    <row r="66" spans="1:31" x14ac:dyDescent="0.25">
      <c r="A66" s="4">
        <f t="shared" si="5"/>
        <v>57.4881298184252</v>
      </c>
      <c r="B66" s="3">
        <f t="shared" si="6"/>
        <v>15.768736384299999</v>
      </c>
      <c r="C66" s="2" t="str">
        <f t="shared" si="7"/>
        <v>11-2:55-60</v>
      </c>
      <c r="D66" s="8">
        <f t="shared" si="8"/>
        <v>3.91746304383686E-2</v>
      </c>
      <c r="E66" s="8">
        <f t="shared" si="9"/>
        <v>3.5302116059351601E-2</v>
      </c>
      <c r="F66" s="3">
        <f t="shared" si="10"/>
        <v>1.1096963811604479</v>
      </c>
      <c r="G66" s="2">
        <f t="shared" si="11"/>
        <v>38.093886516507325</v>
      </c>
      <c r="H66" s="2">
        <f t="shared" si="12"/>
        <v>35.032536540093886</v>
      </c>
      <c r="K66" s="4">
        <v>1</v>
      </c>
      <c r="L66" s="4">
        <v>1</v>
      </c>
      <c r="M66" s="14">
        <f>VLOOKUP($C66,'Refi Adj'!$B$2:$E$30,4,0)</f>
        <v>1.1000000000000001</v>
      </c>
      <c r="N66" s="40">
        <f t="shared" si="4"/>
        <v>3.846470141146574E-2</v>
      </c>
      <c r="O66" s="2">
        <f t="shared" si="13"/>
        <v>37.542760507740049</v>
      </c>
      <c r="P66" s="7">
        <f t="shared" si="14"/>
        <v>1.0184566368865986</v>
      </c>
      <c r="X66" s="9"/>
      <c r="Y66" s="8"/>
      <c r="Z66" s="8"/>
      <c r="AC66" s="9"/>
      <c r="AD66" s="8"/>
      <c r="AE66" s="8"/>
    </row>
    <row r="67" spans="1:31" x14ac:dyDescent="0.25">
      <c r="A67" s="4">
        <f t="shared" si="5"/>
        <v>62.467221643182199</v>
      </c>
      <c r="B67" s="3">
        <f t="shared" si="6"/>
        <v>15.806312011959999</v>
      </c>
      <c r="C67" s="2" t="str">
        <f t="shared" si="7"/>
        <v>11-3:60-65</v>
      </c>
      <c r="D67" s="8">
        <f t="shared" si="8"/>
        <v>4.1167243448448999E-2</v>
      </c>
      <c r="E67" s="8">
        <f t="shared" si="9"/>
        <v>3.7212919629367673E-2</v>
      </c>
      <c r="F67" s="3">
        <f t="shared" si="10"/>
        <v>1.1062621223614137</v>
      </c>
      <c r="G67" s="2">
        <f t="shared" si="11"/>
        <v>39.617046923149999</v>
      </c>
      <c r="H67" s="2">
        <f t="shared" si="12"/>
        <v>36.560018715198083</v>
      </c>
      <c r="K67" s="4">
        <v>1</v>
      </c>
      <c r="L67" s="4">
        <v>1</v>
      </c>
      <c r="M67" s="14">
        <f>VLOOKUP($C67,'Refi Adj'!$B$2:$E$30,4,0)</f>
        <v>1.1000000000000001</v>
      </c>
      <c r="N67" s="40">
        <f t="shared" si="4"/>
        <v>4.0565329279039698E-2</v>
      </c>
      <c r="O67" s="2">
        <f t="shared" si="13"/>
        <v>39.160603113797741</v>
      </c>
      <c r="P67" s="7">
        <f t="shared" si="14"/>
        <v>1.0148381433136873</v>
      </c>
      <c r="S67" s="9"/>
      <c r="T67" s="8"/>
      <c r="U67" s="8"/>
      <c r="X67" s="9"/>
      <c r="Y67" s="8"/>
      <c r="Z67" s="8"/>
      <c r="AC67" s="9"/>
      <c r="AD67" s="8"/>
      <c r="AE67" s="8"/>
    </row>
    <row r="68" spans="1:31" x14ac:dyDescent="0.25">
      <c r="A68" s="4">
        <f t="shared" si="5"/>
        <v>67.469097316700896</v>
      </c>
      <c r="B68" s="3">
        <f t="shared" si="6"/>
        <v>15.260404991569999</v>
      </c>
      <c r="C68" s="2" t="str">
        <f t="shared" si="7"/>
        <v>11-4:65-70</v>
      </c>
      <c r="D68" s="8">
        <f t="shared" si="8"/>
        <v>4.1065838464927298E-2</v>
      </c>
      <c r="E68" s="8">
        <f t="shared" si="9"/>
        <v>3.8363897958344037E-2</v>
      </c>
      <c r="F68" s="3">
        <f t="shared" si="10"/>
        <v>1.0704292486002611</v>
      </c>
      <c r="G68" s="2">
        <f t="shared" si="11"/>
        <v>39.540370002320699</v>
      </c>
      <c r="H68" s="2">
        <f t="shared" si="12"/>
        <v>37.46414202878465</v>
      </c>
      <c r="K68" s="4">
        <v>1</v>
      </c>
      <c r="L68" s="4">
        <v>1</v>
      </c>
      <c r="M68" s="14">
        <f>VLOOKUP($C68,'Refi Adj'!$B$2:$E$30,4,0)</f>
        <v>1.1000000000000001</v>
      </c>
      <c r="N68" s="40">
        <f t="shared" si="4"/>
        <v>4.1832173873849229E-2</v>
      </c>
      <c r="O68" s="2">
        <f t="shared" si="13"/>
        <v>40.117626527746943</v>
      </c>
      <c r="P68" s="7">
        <f t="shared" si="14"/>
        <v>0.9816807175445168</v>
      </c>
      <c r="S68" s="9"/>
      <c r="T68" s="8"/>
      <c r="U68" s="8"/>
      <c r="X68" s="9"/>
      <c r="Y68" s="8"/>
      <c r="Z68" s="8"/>
      <c r="AC68" s="9"/>
      <c r="AD68" s="8"/>
      <c r="AE68" s="8"/>
    </row>
    <row r="69" spans="1:31" x14ac:dyDescent="0.25">
      <c r="A69" s="4">
        <f t="shared" si="5"/>
        <v>72.511478292652697</v>
      </c>
      <c r="B69" s="3">
        <f t="shared" si="6"/>
        <v>15.650026562680001</v>
      </c>
      <c r="C69" s="2" t="str">
        <f t="shared" si="7"/>
        <v>11:50-75</v>
      </c>
      <c r="D69" s="8">
        <f t="shared" si="8"/>
        <v>4.1882034933191099E-2</v>
      </c>
      <c r="E69" s="8">
        <f t="shared" si="9"/>
        <v>4.0459007610041543E-2</v>
      </c>
      <c r="F69" s="3">
        <f t="shared" si="10"/>
        <v>1.0351720768058674</v>
      </c>
      <c r="G69" s="2">
        <f t="shared" si="11"/>
        <v>40.155009676080276</v>
      </c>
      <c r="H69" s="2">
        <f t="shared" si="12"/>
        <v>39.079649313705644</v>
      </c>
      <c r="K69" s="4">
        <v>1</v>
      </c>
      <c r="L69" s="4">
        <v>1</v>
      </c>
      <c r="M69" s="14">
        <f>VLOOKUP($C69,'Refi Adj'!$B$2:$E$30,4,0)</f>
        <v>1.1000000000000001</v>
      </c>
      <c r="N69" s="40">
        <f t="shared" si="4"/>
        <v>4.4134564121620569E-2</v>
      </c>
      <c r="O69" s="2">
        <f t="shared" si="13"/>
        <v>41.821691066000909</v>
      </c>
      <c r="P69" s="7">
        <f t="shared" si="14"/>
        <v>0.94896224233183257</v>
      </c>
      <c r="S69" s="9"/>
      <c r="T69" s="8"/>
      <c r="U69" s="8"/>
      <c r="X69" s="9"/>
      <c r="Y69" s="8"/>
      <c r="Z69" s="8"/>
      <c r="AC69" s="9"/>
      <c r="AD69" s="8"/>
      <c r="AE69" s="8"/>
    </row>
    <row r="70" spans="1:31" x14ac:dyDescent="0.25">
      <c r="A70" s="4">
        <f t="shared" si="5"/>
        <v>86.123755253086799</v>
      </c>
      <c r="B70" s="3">
        <f t="shared" si="6"/>
        <v>56.874571904519996</v>
      </c>
      <c r="C70" s="2" t="str">
        <f t="shared" si="7"/>
        <v>12:75-100</v>
      </c>
      <c r="D70" s="8">
        <f t="shared" si="8"/>
        <v>4.4820961348941202E-2</v>
      </c>
      <c r="E70" s="8">
        <f t="shared" si="9"/>
        <v>4.3981482456916229E-2</v>
      </c>
      <c r="F70" s="3">
        <f t="shared" si="10"/>
        <v>1.0190870985953535</v>
      </c>
      <c r="G70" s="2">
        <f t="shared" si="11"/>
        <v>42.321042818036901</v>
      </c>
      <c r="H70" s="2">
        <f t="shared" si="12"/>
        <v>41.709785592082227</v>
      </c>
      <c r="K70" s="4">
        <v>1</v>
      </c>
      <c r="L70" s="4">
        <v>1</v>
      </c>
      <c r="M70" s="14">
        <f>VLOOKUP($C70,'Refi Adj'!$B$2:$E$30,4,0)</f>
        <v>1.02</v>
      </c>
      <c r="N70" s="40">
        <f t="shared" si="4"/>
        <v>4.4784516336039727E-2</v>
      </c>
      <c r="O70" s="2">
        <f t="shared" si="13"/>
        <v>42.294628274442346</v>
      </c>
      <c r="P70" s="7">
        <f t="shared" si="14"/>
        <v>1.0008137860109509</v>
      </c>
      <c r="S70" s="9"/>
      <c r="T70" s="8"/>
      <c r="U70" s="8"/>
      <c r="X70" s="9"/>
      <c r="Y70" s="8"/>
      <c r="Z70" s="8"/>
      <c r="AC70" s="9"/>
      <c r="AD70" s="8"/>
      <c r="AE70" s="8"/>
    </row>
    <row r="71" spans="1:31" x14ac:dyDescent="0.25">
      <c r="A71" s="4">
        <f t="shared" si="5"/>
        <v>111.83503563462099</v>
      </c>
      <c r="B71" s="3">
        <f t="shared" si="6"/>
        <v>34.432026380650001</v>
      </c>
      <c r="C71" s="2" t="str">
        <f t="shared" si="7"/>
        <v>13:100-125</v>
      </c>
      <c r="D71" s="8">
        <f t="shared" si="8"/>
        <v>4.5932819047887402E-2</v>
      </c>
      <c r="E71" s="8">
        <f t="shared" si="9"/>
        <v>4.8103439900945573E-2</v>
      </c>
      <c r="F71" s="3">
        <f t="shared" si="10"/>
        <v>0.95487597440998184</v>
      </c>
      <c r="G71" s="2">
        <f t="shared" si="11"/>
        <v>43.121585578601916</v>
      </c>
      <c r="H71" s="2">
        <f t="shared" si="12"/>
        <v>44.655166050105969</v>
      </c>
      <c r="K71" s="4">
        <v>1</v>
      </c>
      <c r="L71" s="4">
        <v>1</v>
      </c>
      <c r="M71" s="14">
        <f>VLOOKUP($C71,'Refi Adj'!$B$2:$E$30,4,0)</f>
        <v>0.95</v>
      </c>
      <c r="N71" s="40">
        <f t="shared" si="4"/>
        <v>4.5903363912525703E-2</v>
      </c>
      <c r="O71" s="2">
        <f t="shared" si="13"/>
        <v>43.100509755770943</v>
      </c>
      <c r="P71" s="7">
        <f t="shared" si="14"/>
        <v>1.0006416770548194</v>
      </c>
      <c r="S71" s="9"/>
      <c r="T71" s="8"/>
      <c r="U71" s="8"/>
      <c r="X71" s="9"/>
      <c r="Y71" s="8"/>
      <c r="Z71" s="8"/>
      <c r="AC71" s="9"/>
      <c r="AD71" s="8"/>
      <c r="AE71" s="8"/>
    </row>
    <row r="72" spans="1:31" x14ac:dyDescent="0.25">
      <c r="A72" s="4">
        <f t="shared" si="5"/>
        <v>134.390769582535</v>
      </c>
      <c r="B72" s="3">
        <f t="shared" si="6"/>
        <v>15.58849888428</v>
      </c>
      <c r="C72" s="2" t="str">
        <f t="shared" si="7"/>
        <v>14:125-150</v>
      </c>
      <c r="D72" s="8">
        <f t="shared" si="8"/>
        <v>4.7683332453849397E-2</v>
      </c>
      <c r="E72" s="8">
        <f t="shared" si="9"/>
        <v>5.2176348007486363E-2</v>
      </c>
      <c r="F72" s="3">
        <f t="shared" si="10"/>
        <v>0.91388788741994176</v>
      </c>
      <c r="G72" s="2">
        <f t="shared" si="11"/>
        <v>44.361344655484992</v>
      </c>
      <c r="H72" s="2">
        <f t="shared" si="12"/>
        <v>47.430904746981383</v>
      </c>
      <c r="K72" s="4">
        <v>1</v>
      </c>
      <c r="L72" s="4">
        <v>1</v>
      </c>
      <c r="M72" s="14">
        <f>VLOOKUP($C72,'Refi Adj'!$B$2:$E$30,4,0)</f>
        <v>0.92</v>
      </c>
      <c r="N72" s="40">
        <f t="shared" si="4"/>
        <v>4.8332165198049462E-2</v>
      </c>
      <c r="O72" s="2">
        <f t="shared" si="13"/>
        <v>44.814536908476789</v>
      </c>
      <c r="P72" s="7">
        <f t="shared" si="14"/>
        <v>0.98657554981157247</v>
      </c>
      <c r="S72" s="9"/>
      <c r="T72" s="8"/>
      <c r="U72" s="8"/>
      <c r="X72" s="9"/>
      <c r="Y72" s="8"/>
      <c r="Z72" s="8"/>
      <c r="AC72" s="9"/>
      <c r="AD72" s="8"/>
      <c r="AE72" s="8"/>
    </row>
    <row r="73" spans="1:31" x14ac:dyDescent="0.25">
      <c r="A73" s="4">
        <f t="shared" si="5"/>
        <v>159.996430867318</v>
      </c>
      <c r="B73" s="3">
        <f t="shared" si="6"/>
        <v>2.95364732006</v>
      </c>
      <c r="C73" s="2" t="str">
        <f t="shared" si="7"/>
        <v>15:150-175</v>
      </c>
      <c r="D73" s="8">
        <f t="shared" si="8"/>
        <v>4.4546221186465701E-2</v>
      </c>
      <c r="E73" s="8">
        <f t="shared" si="9"/>
        <v>5.5851100615632122E-2</v>
      </c>
      <c r="F73" s="3">
        <f t="shared" si="10"/>
        <v>0.79758895877510594</v>
      </c>
      <c r="G73" s="2">
        <f t="shared" si="11"/>
        <v>42.121643727900285</v>
      </c>
      <c r="H73" s="2">
        <f t="shared" si="12"/>
        <v>49.825171759316525</v>
      </c>
      <c r="K73" s="4">
        <v>1</v>
      </c>
      <c r="L73" s="4">
        <v>1</v>
      </c>
      <c r="M73" s="14">
        <f>VLOOKUP($C73,'Refi Adj'!$B$2:$E$30,4,0)</f>
        <v>0.9</v>
      </c>
      <c r="N73" s="40">
        <f t="shared" si="4"/>
        <v>5.0718754000306267E-2</v>
      </c>
      <c r="O73" s="2">
        <f t="shared" si="13"/>
        <v>46.452547725047168</v>
      </c>
      <c r="P73" s="7">
        <f t="shared" si="14"/>
        <v>0.87829880809368277</v>
      </c>
      <c r="X73" s="9"/>
      <c r="Y73" s="8"/>
      <c r="Z73" s="8"/>
      <c r="AC73" s="9"/>
      <c r="AD73" s="8"/>
      <c r="AE73" s="8"/>
    </row>
    <row r="74" spans="1:31" x14ac:dyDescent="0.25">
      <c r="A74" s="4"/>
      <c r="B74" s="3"/>
      <c r="C74" s="2"/>
      <c r="D74" s="8"/>
      <c r="E74" s="8"/>
      <c r="F74" s="3"/>
      <c r="G74" s="2"/>
      <c r="H74" s="2"/>
      <c r="K74" s="4"/>
      <c r="L74" s="4"/>
      <c r="M74" s="14"/>
      <c r="N74" s="40"/>
      <c r="O74" s="2"/>
      <c r="P74" s="7"/>
      <c r="X74" s="9"/>
      <c r="Y74" s="8"/>
      <c r="Z74" s="8"/>
      <c r="AC74" s="9"/>
      <c r="AD74" s="8"/>
      <c r="AE74" s="8"/>
    </row>
    <row r="75" spans="1:31" x14ac:dyDescent="0.25">
      <c r="A75" s="4"/>
      <c r="B75" s="3"/>
      <c r="C75" s="2"/>
      <c r="D75" s="8"/>
      <c r="E75" s="8"/>
      <c r="F75" s="3"/>
      <c r="G75" s="2"/>
      <c r="H75" s="2"/>
      <c r="K75" s="4"/>
      <c r="L75" s="4"/>
      <c r="M75" s="14"/>
      <c r="N75" s="40"/>
      <c r="O75" s="2"/>
      <c r="P75" s="7"/>
      <c r="X75" s="9"/>
      <c r="Y75" s="8"/>
      <c r="Z75" s="8"/>
      <c r="AC75" s="9"/>
      <c r="AD75" s="8"/>
      <c r="AE75" s="8"/>
    </row>
    <row r="76" spans="1:31" x14ac:dyDescent="0.25">
      <c r="A76" s="4"/>
      <c r="B76" s="3"/>
      <c r="C76" s="2"/>
      <c r="D76" s="8"/>
      <c r="E76" s="8"/>
      <c r="F76" s="3"/>
      <c r="G76" s="2"/>
      <c r="H76" s="2"/>
      <c r="K76" s="4"/>
      <c r="L76" s="4"/>
      <c r="M76" s="14"/>
      <c r="N76" s="40"/>
      <c r="O76" s="2"/>
      <c r="P76" s="7"/>
      <c r="S76" s="9"/>
      <c r="T76" s="8"/>
      <c r="U76" s="8"/>
      <c r="X76" s="9"/>
      <c r="Y76" s="8"/>
      <c r="Z76" s="8"/>
      <c r="AC76" s="9"/>
      <c r="AD76" s="8"/>
      <c r="AE76" s="8"/>
    </row>
    <row r="84" spans="1:50" s="31" customFormat="1" x14ac:dyDescent="0.25"/>
    <row r="85" spans="1:50" x14ac:dyDescent="0.25">
      <c r="A85" s="33" t="s">
        <v>122</v>
      </c>
      <c r="C85" t="s">
        <v>134</v>
      </c>
      <c r="AS85" s="17" t="s">
        <v>89</v>
      </c>
      <c r="AT85" s="17" t="s">
        <v>90</v>
      </c>
      <c r="AU85" s="17"/>
      <c r="AV85" s="17"/>
      <c r="AW85" s="17" t="s">
        <v>91</v>
      </c>
      <c r="AX85" s="17"/>
    </row>
    <row r="86" spans="1:50" x14ac:dyDescent="0.25">
      <c r="A86" t="s">
        <v>21</v>
      </c>
      <c r="B86" t="s">
        <v>22</v>
      </c>
      <c r="C86" t="s">
        <v>23</v>
      </c>
      <c r="D86" t="s">
        <v>24</v>
      </c>
      <c r="E86" t="s">
        <v>97</v>
      </c>
      <c r="F86" t="s">
        <v>98</v>
      </c>
      <c r="G86" t="s">
        <v>25</v>
      </c>
      <c r="H86" t="s">
        <v>26</v>
      </c>
      <c r="I86" t="s">
        <v>27</v>
      </c>
      <c r="J86" t="s">
        <v>28</v>
      </c>
      <c r="K86" t="s">
        <v>29</v>
      </c>
      <c r="L86" t="s">
        <v>30</v>
      </c>
      <c r="M86" t="s">
        <v>31</v>
      </c>
      <c r="N86" t="s">
        <v>32</v>
      </c>
      <c r="O86" t="s">
        <v>33</v>
      </c>
      <c r="P86" t="s">
        <v>34</v>
      </c>
      <c r="Q86" t="s">
        <v>35</v>
      </c>
      <c r="R86" t="s">
        <v>36</v>
      </c>
      <c r="S86" t="s">
        <v>37</v>
      </c>
      <c r="T86" t="s">
        <v>38</v>
      </c>
      <c r="U86" t="s">
        <v>39</v>
      </c>
      <c r="V86" t="s">
        <v>40</v>
      </c>
      <c r="W86" t="s">
        <v>41</v>
      </c>
      <c r="X86" t="s">
        <v>42</v>
      </c>
      <c r="Y86" t="s">
        <v>43</v>
      </c>
      <c r="Z86" t="s">
        <v>44</v>
      </c>
      <c r="AA86" t="s">
        <v>45</v>
      </c>
      <c r="AB86" s="1" t="s">
        <v>46</v>
      </c>
      <c r="AC86" s="1" t="s">
        <v>47</v>
      </c>
      <c r="AD86" s="1" t="s">
        <v>48</v>
      </c>
      <c r="AE86" t="s">
        <v>49</v>
      </c>
      <c r="AF86" t="s">
        <v>50</v>
      </c>
      <c r="AG86" t="s">
        <v>51</v>
      </c>
      <c r="AH86" t="s">
        <v>52</v>
      </c>
      <c r="AI86" t="s">
        <v>53</v>
      </c>
      <c r="AJ86" t="s">
        <v>54</v>
      </c>
      <c r="AK86" t="s">
        <v>55</v>
      </c>
      <c r="AL86" t="s">
        <v>56</v>
      </c>
      <c r="AM86" t="s">
        <v>57</v>
      </c>
      <c r="AN86" t="s">
        <v>58</v>
      </c>
      <c r="AO86" t="s">
        <v>59</v>
      </c>
      <c r="AP86" t="s">
        <v>60</v>
      </c>
      <c r="AQ86" t="s">
        <v>61</v>
      </c>
      <c r="AR86" t="s">
        <v>62</v>
      </c>
      <c r="AS86" s="34" t="s">
        <v>124</v>
      </c>
      <c r="AT86" s="34" t="s">
        <v>125</v>
      </c>
      <c r="AU86" s="34" t="s">
        <v>126</v>
      </c>
      <c r="AV86" s="34" t="s">
        <v>127</v>
      </c>
      <c r="AW86" s="34" t="s">
        <v>128</v>
      </c>
      <c r="AX86" s="34" t="s">
        <v>129</v>
      </c>
    </row>
    <row r="87" spans="1:50" x14ac:dyDescent="0.25">
      <c r="A87">
        <v>96</v>
      </c>
      <c r="B87" s="4">
        <v>0.99182842159518103</v>
      </c>
      <c r="C87" s="4">
        <v>3.8957921743366901</v>
      </c>
      <c r="D87" s="4">
        <v>9.37696765487674</v>
      </c>
      <c r="E87" s="4">
        <v>3.3059470385520201E-3</v>
      </c>
      <c r="F87" s="5">
        <v>8.1715784048180303E-3</v>
      </c>
      <c r="G87" s="5">
        <v>0</v>
      </c>
      <c r="H87" s="4">
        <v>3.9675064954486499</v>
      </c>
      <c r="I87" s="4">
        <v>4.12839362165849</v>
      </c>
      <c r="J87" s="4">
        <v>-54.678879213205398</v>
      </c>
      <c r="K87" s="4">
        <v>-56.6828166580963</v>
      </c>
      <c r="L87" s="4">
        <v>18.7672459376519</v>
      </c>
      <c r="M87" s="4">
        <v>16.2746108854769</v>
      </c>
      <c r="N87" s="4">
        <v>77.853085493118897</v>
      </c>
      <c r="O87" s="4">
        <v>75.2077313122753</v>
      </c>
      <c r="P87" s="4">
        <v>267569.16136997502</v>
      </c>
      <c r="Q87" s="4">
        <v>188541.29891304299</v>
      </c>
      <c r="R87" s="4">
        <v>773.89744065299396</v>
      </c>
      <c r="S87" s="4">
        <v>0</v>
      </c>
      <c r="T87" s="4">
        <v>0</v>
      </c>
      <c r="U87" s="4">
        <v>7.1689610501954604E-2</v>
      </c>
      <c r="V87" s="4">
        <v>0</v>
      </c>
      <c r="W87" s="4">
        <v>0</v>
      </c>
      <c r="X87" s="4">
        <v>0.54446710282797794</v>
      </c>
      <c r="Y87" s="4">
        <v>0</v>
      </c>
      <c r="Z87" s="5">
        <v>7.0368770447332704E-4</v>
      </c>
      <c r="AA87" s="5">
        <v>8.8031509407006497E-5</v>
      </c>
      <c r="AB87" s="10">
        <v>2.5907227451995901E-3</v>
      </c>
      <c r="AC87" s="10">
        <v>3.7428656078954403E-8</v>
      </c>
      <c r="AD87" s="10">
        <v>4.7890872845098202E-3</v>
      </c>
      <c r="AE87" s="4">
        <v>-2.2818133940858101E-2</v>
      </c>
      <c r="AF87" s="4">
        <v>0.98731298548677404</v>
      </c>
      <c r="AG87" s="4">
        <v>0.99644125311145204</v>
      </c>
      <c r="AH87" s="4">
        <v>1</v>
      </c>
      <c r="AI87" s="4">
        <v>1</v>
      </c>
      <c r="AJ87" s="4">
        <v>1</v>
      </c>
      <c r="AK87" s="4">
        <v>1</v>
      </c>
      <c r="AL87" s="4">
        <v>1</v>
      </c>
      <c r="AM87" s="4">
        <v>0</v>
      </c>
      <c r="AN87" s="4">
        <v>0</v>
      </c>
      <c r="AO87" s="4" t="s">
        <v>66</v>
      </c>
      <c r="AP87" s="4">
        <f>-75--50</f>
        <v>-25</v>
      </c>
      <c r="AQ87" s="6">
        <v>17345799.5</v>
      </c>
      <c r="AR87" s="4">
        <v>92</v>
      </c>
      <c r="AS87" s="35">
        <v>100</v>
      </c>
      <c r="AT87" s="35">
        <v>0</v>
      </c>
      <c r="AU87" s="35">
        <v>100</v>
      </c>
      <c r="AV87" s="35">
        <v>0</v>
      </c>
      <c r="AW87" s="35">
        <v>0</v>
      </c>
      <c r="AX87" s="35">
        <v>0</v>
      </c>
    </row>
    <row r="88" spans="1:50" x14ac:dyDescent="0.25">
      <c r="A88">
        <v>96</v>
      </c>
      <c r="B88" s="4">
        <v>0.99146676256765998</v>
      </c>
      <c r="C88" s="4">
        <v>2.5593301408861402</v>
      </c>
      <c r="D88" s="4">
        <v>9.7727093405095005</v>
      </c>
      <c r="E88" s="4">
        <v>2.15820999762718E-3</v>
      </c>
      <c r="F88" s="5">
        <v>8.5332374323394793E-3</v>
      </c>
      <c r="G88" s="5">
        <v>0</v>
      </c>
      <c r="H88" s="4">
        <v>3.8999139070951898</v>
      </c>
      <c r="I88" s="4">
        <v>4.1100911504459097</v>
      </c>
      <c r="J88" s="4">
        <v>-59.796143873627003</v>
      </c>
      <c r="K88" s="4">
        <v>-32.1513166220317</v>
      </c>
      <c r="L88" s="4">
        <v>15.2066874808463</v>
      </c>
      <c r="M88" s="4">
        <v>16.2776529699976</v>
      </c>
      <c r="N88" s="4">
        <v>74.240428233957203</v>
      </c>
      <c r="O88" s="4">
        <v>72.758628281579604</v>
      </c>
      <c r="P88" s="4">
        <v>291058.34678825003</v>
      </c>
      <c r="Q88" s="4">
        <v>258641.70793493601</v>
      </c>
      <c r="R88" s="4">
        <v>784.51618016335499</v>
      </c>
      <c r="S88" s="4">
        <v>0</v>
      </c>
      <c r="T88" s="4">
        <v>0</v>
      </c>
      <c r="U88" s="4">
        <v>6.7353074084885195E-2</v>
      </c>
      <c r="V88" s="4">
        <v>0</v>
      </c>
      <c r="W88" s="4">
        <v>0</v>
      </c>
      <c r="X88" s="4">
        <v>0.61981729889920001</v>
      </c>
      <c r="Y88" s="4">
        <v>0</v>
      </c>
      <c r="Z88" s="5">
        <v>4.4165101929071501E-4</v>
      </c>
      <c r="AA88" s="5">
        <v>6.5486899802512898E-5</v>
      </c>
      <c r="AB88" s="10">
        <v>2.5421345360253601E-3</v>
      </c>
      <c r="AC88" s="10">
        <v>2.70727691691438E-8</v>
      </c>
      <c r="AD88" s="10">
        <v>5.4839231550282003E-3</v>
      </c>
      <c r="AE88" s="4">
        <v>-1.7049303807712201E-2</v>
      </c>
      <c r="AF88" s="4">
        <v>0.97692522153211403</v>
      </c>
      <c r="AG88" s="4">
        <v>0.996250235908543</v>
      </c>
      <c r="AH88" s="4">
        <v>1</v>
      </c>
      <c r="AI88" s="4">
        <v>1</v>
      </c>
      <c r="AJ88" s="4">
        <v>1</v>
      </c>
      <c r="AK88" s="4">
        <v>1</v>
      </c>
      <c r="AL88" s="4">
        <v>1</v>
      </c>
      <c r="AM88" s="4">
        <v>0</v>
      </c>
      <c r="AN88" s="4">
        <v>0</v>
      </c>
      <c r="AO88" s="4" t="s">
        <v>67</v>
      </c>
      <c r="AP88" s="4">
        <f>-50--25</f>
        <v>-25</v>
      </c>
      <c r="AQ88" s="6">
        <v>182859687.50999999</v>
      </c>
      <c r="AR88" s="4">
        <v>707</v>
      </c>
      <c r="AS88" s="35">
        <v>100</v>
      </c>
      <c r="AT88" s="35">
        <v>0</v>
      </c>
      <c r="AU88" s="35">
        <v>100</v>
      </c>
      <c r="AV88" s="35">
        <v>0</v>
      </c>
      <c r="AW88" s="35">
        <v>0</v>
      </c>
      <c r="AX88" s="35">
        <v>0</v>
      </c>
    </row>
    <row r="89" spans="1:50" x14ac:dyDescent="0.25">
      <c r="A89">
        <v>96</v>
      </c>
      <c r="B89" s="4">
        <v>0.98853892120549303</v>
      </c>
      <c r="C89" s="4">
        <v>9.4220487220731997</v>
      </c>
      <c r="D89" s="4">
        <v>12.918624826888699</v>
      </c>
      <c r="E89" s="4">
        <v>8.2127037864756797E-3</v>
      </c>
      <c r="F89" s="5">
        <v>1.1461078794506901E-2</v>
      </c>
      <c r="G89" s="5">
        <v>0</v>
      </c>
      <c r="H89" s="4">
        <v>3.9787687047496401</v>
      </c>
      <c r="I89" s="4">
        <v>4.1163599565904399</v>
      </c>
      <c r="J89" s="4">
        <v>-52.1923481350454</v>
      </c>
      <c r="K89" s="4">
        <v>-22.234952986481101</v>
      </c>
      <c r="L89" s="4">
        <v>15.0584365876016</v>
      </c>
      <c r="M89" s="4">
        <v>16.1435488402294</v>
      </c>
      <c r="N89" s="4">
        <v>73.258944064072296</v>
      </c>
      <c r="O89" s="4">
        <v>71.898841960141596</v>
      </c>
      <c r="P89" s="4">
        <v>289927.420823636</v>
      </c>
      <c r="Q89" s="4">
        <v>263943.26724050601</v>
      </c>
      <c r="R89" s="4">
        <v>783.49569693038495</v>
      </c>
      <c r="S89" s="4">
        <v>0</v>
      </c>
      <c r="T89" s="4">
        <v>0</v>
      </c>
      <c r="U89" s="4">
        <v>0.128468735542971</v>
      </c>
      <c r="V89" s="4">
        <v>0</v>
      </c>
      <c r="W89" s="4">
        <v>0</v>
      </c>
      <c r="X89" s="4">
        <v>0.65047953003451697</v>
      </c>
      <c r="Y89" s="4">
        <v>0</v>
      </c>
      <c r="Z89" s="5">
        <v>3.8934545105584001E-4</v>
      </c>
      <c r="AA89" s="5">
        <v>5.35287183300325E-5</v>
      </c>
      <c r="AB89" s="10">
        <v>2.5274231919366801E-3</v>
      </c>
      <c r="AC89" s="10">
        <v>0</v>
      </c>
      <c r="AD89" s="10">
        <v>8.4907667730138806E-3</v>
      </c>
      <c r="AE89" s="4">
        <v>-1.3797444493466499E-2</v>
      </c>
      <c r="AF89" s="4">
        <v>0.98291915839954902</v>
      </c>
      <c r="AG89" s="4">
        <v>1</v>
      </c>
      <c r="AH89" s="4">
        <v>1</v>
      </c>
      <c r="AI89" s="4">
        <v>1</v>
      </c>
      <c r="AJ89" s="4">
        <v>1</v>
      </c>
      <c r="AK89" s="4">
        <v>1</v>
      </c>
      <c r="AL89" s="4">
        <v>1</v>
      </c>
      <c r="AM89" s="4">
        <v>0</v>
      </c>
      <c r="AN89" s="4">
        <v>0</v>
      </c>
      <c r="AO89" s="4" t="s">
        <v>145</v>
      </c>
      <c r="AP89" s="4">
        <f>-25--20</f>
        <v>-5</v>
      </c>
      <c r="AQ89" s="6">
        <v>104257590.56</v>
      </c>
      <c r="AR89" s="4">
        <v>395</v>
      </c>
      <c r="AS89" s="35">
        <v>100</v>
      </c>
      <c r="AT89" s="35">
        <v>0</v>
      </c>
      <c r="AU89" s="35">
        <v>100</v>
      </c>
      <c r="AV89" s="35">
        <v>0</v>
      </c>
      <c r="AW89" s="35">
        <v>0</v>
      </c>
      <c r="AX89" s="35">
        <v>0</v>
      </c>
    </row>
    <row r="90" spans="1:50" x14ac:dyDescent="0.25">
      <c r="A90">
        <v>96</v>
      </c>
      <c r="B90" s="4">
        <v>0.98664988601483194</v>
      </c>
      <c r="C90" s="4">
        <v>10.807500013660899</v>
      </c>
      <c r="D90" s="4">
        <v>14.894654217840699</v>
      </c>
      <c r="E90" s="4">
        <v>9.4858255699862594E-3</v>
      </c>
      <c r="F90" s="5">
        <v>1.33501139851673E-2</v>
      </c>
      <c r="G90" s="5">
        <v>0</v>
      </c>
      <c r="H90" s="4">
        <v>4.01236868629098</v>
      </c>
      <c r="I90" s="4">
        <v>4.1022851083155096</v>
      </c>
      <c r="J90" s="4">
        <v>-48.675926180338202</v>
      </c>
      <c r="K90" s="4">
        <v>-17.320366360484901</v>
      </c>
      <c r="L90" s="4">
        <v>14.771784185269199</v>
      </c>
      <c r="M90" s="4">
        <v>16.461218794736698</v>
      </c>
      <c r="N90" s="4">
        <v>73.185534357097197</v>
      </c>
      <c r="O90" s="4">
        <v>71.808847523079805</v>
      </c>
      <c r="P90" s="4">
        <v>293291.64763872599</v>
      </c>
      <c r="Q90" s="4">
        <v>268021.90535987698</v>
      </c>
      <c r="R90" s="4">
        <v>783.50073001067199</v>
      </c>
      <c r="S90" s="4">
        <v>0</v>
      </c>
      <c r="T90" s="4">
        <v>0</v>
      </c>
      <c r="U90" s="4">
        <v>0.129025292258545</v>
      </c>
      <c r="V90" s="4">
        <v>0</v>
      </c>
      <c r="W90" s="4">
        <v>0</v>
      </c>
      <c r="X90" s="4">
        <v>0.65217360470802599</v>
      </c>
      <c r="Y90" s="4">
        <v>0</v>
      </c>
      <c r="Z90" s="5">
        <v>3.8242703169776699E-4</v>
      </c>
      <c r="AA90" s="5">
        <v>6.5931188547505601E-5</v>
      </c>
      <c r="AB90" s="10">
        <v>2.6124490926009202E-3</v>
      </c>
      <c r="AC90" s="10">
        <v>4.1997688674896797E-8</v>
      </c>
      <c r="AD90" s="10">
        <v>1.02892496863049E-2</v>
      </c>
      <c r="AE90" s="4">
        <v>-1.21508544715305E-2</v>
      </c>
      <c r="AF90" s="4">
        <v>0.95700419127932501</v>
      </c>
      <c r="AG90" s="4">
        <v>0.99466205826716003</v>
      </c>
      <c r="AH90" s="4">
        <v>1</v>
      </c>
      <c r="AI90" s="4">
        <v>1</v>
      </c>
      <c r="AJ90" s="4">
        <v>1</v>
      </c>
      <c r="AK90" s="4">
        <v>1</v>
      </c>
      <c r="AL90" s="4">
        <v>1</v>
      </c>
      <c r="AM90" s="4">
        <v>0</v>
      </c>
      <c r="AN90" s="4">
        <v>0</v>
      </c>
      <c r="AO90" s="4" t="s">
        <v>146</v>
      </c>
      <c r="AP90" s="4">
        <f>-20--15</f>
        <v>-5</v>
      </c>
      <c r="AQ90" s="6">
        <v>175018304.19999999</v>
      </c>
      <c r="AR90" s="4">
        <v>653</v>
      </c>
      <c r="AS90" s="35">
        <v>100</v>
      </c>
      <c r="AT90" s="35">
        <v>0</v>
      </c>
      <c r="AU90" s="35">
        <v>100</v>
      </c>
      <c r="AV90" s="35">
        <v>0</v>
      </c>
      <c r="AW90" s="35">
        <v>0</v>
      </c>
      <c r="AX90" s="35">
        <v>0</v>
      </c>
    </row>
    <row r="91" spans="1:50" x14ac:dyDescent="0.25">
      <c r="A91">
        <v>96</v>
      </c>
      <c r="B91" s="4">
        <v>0.98525239007272603</v>
      </c>
      <c r="C91" s="4">
        <v>10.6028410799018</v>
      </c>
      <c r="D91" s="4">
        <v>16.329962263995</v>
      </c>
      <c r="E91" s="4">
        <v>9.2966236633027499E-3</v>
      </c>
      <c r="F91" s="5">
        <v>1.47476099272734E-2</v>
      </c>
      <c r="G91" s="5">
        <v>0</v>
      </c>
      <c r="H91" s="4">
        <v>4.05944794979413</v>
      </c>
      <c r="I91" s="4">
        <v>4.10194764115918</v>
      </c>
      <c r="J91" s="4">
        <v>-43.895944417409702</v>
      </c>
      <c r="K91" s="4">
        <v>-12.2652608626338</v>
      </c>
      <c r="L91" s="4">
        <v>14.8629926510228</v>
      </c>
      <c r="M91" s="4">
        <v>16.561958051903598</v>
      </c>
      <c r="N91" s="4">
        <v>72.892803379081499</v>
      </c>
      <c r="O91" s="4">
        <v>71.466896963969901</v>
      </c>
      <c r="P91" s="4">
        <v>290133.71319023101</v>
      </c>
      <c r="Q91" s="4">
        <v>267610.103967954</v>
      </c>
      <c r="R91" s="4">
        <v>782.54737187170701</v>
      </c>
      <c r="S91" s="4">
        <v>0</v>
      </c>
      <c r="T91" s="4">
        <v>0</v>
      </c>
      <c r="U91" s="4">
        <v>0.14817147079672099</v>
      </c>
      <c r="V91" s="4">
        <v>0</v>
      </c>
      <c r="W91" s="4">
        <v>0</v>
      </c>
      <c r="X91" s="4">
        <v>0.675364967224239</v>
      </c>
      <c r="Y91" s="4">
        <v>0</v>
      </c>
      <c r="Z91" s="5">
        <v>3.8339238180246598E-4</v>
      </c>
      <c r="AA91" s="5">
        <v>6.8300585774207603E-5</v>
      </c>
      <c r="AB91" s="10">
        <v>2.6511846579290602E-3</v>
      </c>
      <c r="AC91" s="10">
        <v>1.09388104568301E-7</v>
      </c>
      <c r="AD91" s="10">
        <v>1.1644608332008701E-2</v>
      </c>
      <c r="AE91" s="4">
        <v>-1.19896046733156E-2</v>
      </c>
      <c r="AF91" s="4">
        <v>0.95471591142640999</v>
      </c>
      <c r="AG91" s="4">
        <v>0.99739984698153406</v>
      </c>
      <c r="AH91" s="4">
        <v>0.99974737080067699</v>
      </c>
      <c r="AI91" s="4">
        <v>1</v>
      </c>
      <c r="AJ91" s="4">
        <v>1</v>
      </c>
      <c r="AK91" s="4">
        <v>1</v>
      </c>
      <c r="AL91" s="4">
        <v>1</v>
      </c>
      <c r="AM91" s="4">
        <v>0</v>
      </c>
      <c r="AN91" s="4">
        <v>0</v>
      </c>
      <c r="AO91" s="4" t="s">
        <v>147</v>
      </c>
      <c r="AP91" s="4">
        <f>-15--10</f>
        <v>-5</v>
      </c>
      <c r="AQ91" s="6">
        <v>283934320.31</v>
      </c>
      <c r="AR91" s="4">
        <v>1061</v>
      </c>
      <c r="AS91" s="35">
        <v>100</v>
      </c>
      <c r="AT91" s="35">
        <v>0</v>
      </c>
      <c r="AU91" s="35">
        <v>100</v>
      </c>
      <c r="AV91" s="35">
        <v>0</v>
      </c>
      <c r="AW91" s="35">
        <v>0</v>
      </c>
      <c r="AX91" s="35">
        <v>0</v>
      </c>
    </row>
    <row r="92" spans="1:50" x14ac:dyDescent="0.25">
      <c r="A92">
        <v>96</v>
      </c>
      <c r="B92" s="4">
        <v>0.98387571446414102</v>
      </c>
      <c r="C92" s="4">
        <v>15.810679217502701</v>
      </c>
      <c r="D92" s="4">
        <v>17.722158583353998</v>
      </c>
      <c r="E92" s="4">
        <v>1.42394877131182E-2</v>
      </c>
      <c r="F92" s="5">
        <v>1.61242855358587E-2</v>
      </c>
      <c r="G92" s="5">
        <v>0</v>
      </c>
      <c r="H92" s="4">
        <v>4.10773544017262</v>
      </c>
      <c r="I92" s="4">
        <v>4.0998160327633597</v>
      </c>
      <c r="J92" s="4">
        <v>-39.524502494363503</v>
      </c>
      <c r="K92" s="4">
        <v>-7.3224372973263501</v>
      </c>
      <c r="L92" s="4">
        <v>14.493311607118599</v>
      </c>
      <c r="M92" s="4">
        <v>16.3916436447516</v>
      </c>
      <c r="N92" s="4">
        <v>73.641289802071498</v>
      </c>
      <c r="O92" s="4">
        <v>72.295637353245695</v>
      </c>
      <c r="P92" s="4">
        <v>297162.779001521</v>
      </c>
      <c r="Q92" s="4">
        <v>274503.53776768298</v>
      </c>
      <c r="R92" s="4">
        <v>783.19251565754496</v>
      </c>
      <c r="S92" s="4">
        <v>0</v>
      </c>
      <c r="T92" s="4">
        <v>0</v>
      </c>
      <c r="U92" s="4">
        <v>0.154115116341836</v>
      </c>
      <c r="V92" s="4">
        <v>0</v>
      </c>
      <c r="W92" s="4">
        <v>0</v>
      </c>
      <c r="X92" s="4">
        <v>0.69552450694743295</v>
      </c>
      <c r="Y92" s="4">
        <v>0</v>
      </c>
      <c r="Z92" s="5">
        <v>3.7708944359454098E-4</v>
      </c>
      <c r="AA92" s="5">
        <v>7.1754159543478802E-5</v>
      </c>
      <c r="AB92" s="10">
        <v>2.5337215916445398E-3</v>
      </c>
      <c r="AC92" s="10">
        <v>1.60257967134015E-7</v>
      </c>
      <c r="AD92" s="10">
        <v>1.3141545751266101E-2</v>
      </c>
      <c r="AE92" s="4">
        <v>-1.1378593687509301E-2</v>
      </c>
      <c r="AF92" s="4">
        <v>0.94440567113021801</v>
      </c>
      <c r="AG92" s="4">
        <v>0.98798332332473104</v>
      </c>
      <c r="AH92" s="4">
        <v>0.99955536150096602</v>
      </c>
      <c r="AI92" s="4">
        <v>1</v>
      </c>
      <c r="AJ92" s="4">
        <v>1</v>
      </c>
      <c r="AK92" s="4">
        <v>1</v>
      </c>
      <c r="AL92" s="4">
        <v>1</v>
      </c>
      <c r="AM92" s="4">
        <v>0</v>
      </c>
      <c r="AN92" s="4">
        <v>0</v>
      </c>
      <c r="AO92" s="4" t="s">
        <v>148</v>
      </c>
      <c r="AP92" s="4">
        <f>-10--5</f>
        <v>-5</v>
      </c>
      <c r="AQ92" s="6">
        <v>423009951.69999999</v>
      </c>
      <c r="AR92" s="4">
        <v>1541</v>
      </c>
      <c r="AS92" s="35">
        <v>100</v>
      </c>
      <c r="AT92" s="35">
        <v>0</v>
      </c>
      <c r="AU92" s="35">
        <v>100</v>
      </c>
      <c r="AV92" s="35">
        <v>0</v>
      </c>
      <c r="AW92" s="35">
        <v>0</v>
      </c>
      <c r="AX92" s="35">
        <v>0</v>
      </c>
    </row>
    <row r="93" spans="1:50" x14ac:dyDescent="0.25">
      <c r="A93">
        <v>96</v>
      </c>
      <c r="B93" s="4">
        <v>0.98253860647473501</v>
      </c>
      <c r="C93" s="4">
        <v>14.3236143003755</v>
      </c>
      <c r="D93" s="4">
        <v>19.053982383137299</v>
      </c>
      <c r="E93" s="4">
        <v>1.28001180096661E-2</v>
      </c>
      <c r="F93" s="5">
        <v>1.7461393525264501E-2</v>
      </c>
      <c r="G93" s="5">
        <v>0</v>
      </c>
      <c r="H93" s="4">
        <v>4.1116633589547602</v>
      </c>
      <c r="I93" s="4">
        <v>4.0847325532327998</v>
      </c>
      <c r="J93" s="4">
        <v>-38.2159179779742</v>
      </c>
      <c r="K93" s="4">
        <v>-2.3387296965728201</v>
      </c>
      <c r="L93" s="4">
        <v>14.464719269129301</v>
      </c>
      <c r="M93" s="4">
        <v>16.539599621629801</v>
      </c>
      <c r="N93" s="4">
        <v>71.790473478098804</v>
      </c>
      <c r="O93" s="4">
        <v>70.257817751588703</v>
      </c>
      <c r="P93" s="4">
        <v>297861.70129313599</v>
      </c>
      <c r="Q93" s="4">
        <v>275125.008374125</v>
      </c>
      <c r="R93" s="4">
        <v>782.20966748387195</v>
      </c>
      <c r="S93" s="4">
        <v>0</v>
      </c>
      <c r="T93" s="4">
        <v>0</v>
      </c>
      <c r="U93" s="4">
        <v>0.17400611415669701</v>
      </c>
      <c r="V93" s="4">
        <v>0</v>
      </c>
      <c r="W93" s="4">
        <v>0</v>
      </c>
      <c r="X93" s="4">
        <v>0.71708806222948895</v>
      </c>
      <c r="Y93" s="4">
        <v>0</v>
      </c>
      <c r="Z93" s="5">
        <v>3.7544412997769501E-4</v>
      </c>
      <c r="AA93" s="5">
        <v>6.5077231691794697E-5</v>
      </c>
      <c r="AB93" s="10">
        <v>2.61842422060354E-3</v>
      </c>
      <c r="AC93" s="10">
        <v>2.1687115680944199E-7</v>
      </c>
      <c r="AD93" s="10">
        <v>1.44022169055127E-2</v>
      </c>
      <c r="AE93" s="4">
        <v>-8.8282285006560691E-3</v>
      </c>
      <c r="AF93" s="4">
        <v>0.94302178337834697</v>
      </c>
      <c r="AG93" s="4">
        <v>0.990261260864569</v>
      </c>
      <c r="AH93" s="4">
        <v>0.99944319411498905</v>
      </c>
      <c r="AI93" s="4">
        <v>1</v>
      </c>
      <c r="AJ93" s="4">
        <v>1</v>
      </c>
      <c r="AK93" s="4">
        <v>1</v>
      </c>
      <c r="AL93" s="4">
        <v>1</v>
      </c>
      <c r="AM93" s="4">
        <v>0</v>
      </c>
      <c r="AN93" s="4">
        <v>0</v>
      </c>
      <c r="AO93" s="4" t="s">
        <v>68</v>
      </c>
      <c r="AP93" s="4">
        <f>-25-0</f>
        <v>-25</v>
      </c>
      <c r="AQ93" s="6">
        <v>629486019.15999997</v>
      </c>
      <c r="AR93" s="4">
        <v>2288</v>
      </c>
      <c r="AS93" s="35">
        <v>100</v>
      </c>
      <c r="AT93" s="35">
        <v>0</v>
      </c>
      <c r="AU93" s="35">
        <v>100</v>
      </c>
      <c r="AV93" s="35">
        <v>0</v>
      </c>
      <c r="AW93" s="35">
        <v>0</v>
      </c>
      <c r="AX93" s="35">
        <v>0</v>
      </c>
    </row>
    <row r="94" spans="1:50" x14ac:dyDescent="0.25">
      <c r="A94">
        <v>96</v>
      </c>
      <c r="B94" s="4">
        <v>0.981242204852385</v>
      </c>
      <c r="C94" s="4">
        <v>19.451517440607201</v>
      </c>
      <c r="D94" s="4">
        <v>20.326364224618601</v>
      </c>
      <c r="E94" s="4">
        <v>1.7864414698057302E-2</v>
      </c>
      <c r="F94" s="5">
        <v>1.8757795147614099E-2</v>
      </c>
      <c r="G94" s="5">
        <v>0</v>
      </c>
      <c r="H94" s="4">
        <v>4.1335923595682198</v>
      </c>
      <c r="I94" s="4">
        <v>4.0727534881740102</v>
      </c>
      <c r="J94" s="4">
        <v>-35.041674951701999</v>
      </c>
      <c r="K94" s="4">
        <v>2.65358877799809</v>
      </c>
      <c r="L94" s="4">
        <v>14.474732148726201</v>
      </c>
      <c r="M94" s="4">
        <v>16.4624737595658</v>
      </c>
      <c r="N94" s="4">
        <v>71.886996158871696</v>
      </c>
      <c r="O94" s="4">
        <v>70.234034387684503</v>
      </c>
      <c r="P94" s="4">
        <v>297332.28043472703</v>
      </c>
      <c r="Q94" s="4">
        <v>275510.88557803398</v>
      </c>
      <c r="R94" s="4">
        <v>782.24488038055404</v>
      </c>
      <c r="S94" s="4">
        <v>0</v>
      </c>
      <c r="T94" s="4">
        <v>0</v>
      </c>
      <c r="U94" s="4">
        <v>0.218826066836874</v>
      </c>
      <c r="V94" s="4">
        <v>0</v>
      </c>
      <c r="W94" s="4">
        <v>0</v>
      </c>
      <c r="X94" s="4">
        <v>0.75782720281849303</v>
      </c>
      <c r="Y94" s="4">
        <v>0</v>
      </c>
      <c r="Z94" s="5">
        <v>3.7073437952135001E-4</v>
      </c>
      <c r="AA94" s="5">
        <v>6.3384511808044406E-5</v>
      </c>
      <c r="AB94" s="10">
        <v>2.64595116453067E-3</v>
      </c>
      <c r="AC94" s="10">
        <v>3.1561932513018103E-7</v>
      </c>
      <c r="AD94" s="10">
        <v>1.5677395081831299E-2</v>
      </c>
      <c r="AE94" s="4">
        <v>-5.5919343961191199E-3</v>
      </c>
      <c r="AF94" s="4">
        <v>0.92268659163050204</v>
      </c>
      <c r="AG94" s="4">
        <v>0.98776175983885295</v>
      </c>
      <c r="AH94" s="4">
        <v>0.99886647106739102</v>
      </c>
      <c r="AI94" s="4">
        <v>1</v>
      </c>
      <c r="AJ94" s="4">
        <v>1</v>
      </c>
      <c r="AK94" s="4">
        <v>1</v>
      </c>
      <c r="AL94" s="4">
        <v>1</v>
      </c>
      <c r="AM94" s="4">
        <v>0</v>
      </c>
      <c r="AN94" s="4">
        <v>0</v>
      </c>
      <c r="AO94" s="4" t="s">
        <v>149</v>
      </c>
      <c r="AP94" s="4" t="s">
        <v>135</v>
      </c>
      <c r="AQ94" s="6">
        <v>857940897.69000006</v>
      </c>
      <c r="AR94" s="4">
        <v>3114</v>
      </c>
      <c r="AS94" s="35">
        <v>100</v>
      </c>
      <c r="AT94" s="35">
        <v>0</v>
      </c>
      <c r="AU94" s="35">
        <v>100</v>
      </c>
      <c r="AV94" s="35">
        <v>0</v>
      </c>
      <c r="AW94" s="35">
        <v>0</v>
      </c>
      <c r="AX94" s="35">
        <v>0</v>
      </c>
    </row>
    <row r="95" spans="1:50" x14ac:dyDescent="0.25">
      <c r="A95">
        <v>96</v>
      </c>
      <c r="B95" s="4">
        <v>0.98008601443156096</v>
      </c>
      <c r="C95" s="4">
        <v>23.9450196880154</v>
      </c>
      <c r="D95" s="4">
        <v>21.445638374830999</v>
      </c>
      <c r="E95" s="4">
        <v>2.2551304094821999E-2</v>
      </c>
      <c r="F95" s="5">
        <v>1.9913985568438701E-2</v>
      </c>
      <c r="G95" s="5">
        <v>0</v>
      </c>
      <c r="H95" s="4">
        <v>4.1410750610857896</v>
      </c>
      <c r="I95" s="4">
        <v>4.0480439526194196</v>
      </c>
      <c r="J95" s="4">
        <v>-33.144410507672802</v>
      </c>
      <c r="K95" s="4">
        <v>7.6198852778356896</v>
      </c>
      <c r="L95" s="4">
        <v>14.8286896431719</v>
      </c>
      <c r="M95" s="4">
        <v>16.410128280764798</v>
      </c>
      <c r="N95" s="4">
        <v>71.889857332569306</v>
      </c>
      <c r="O95" s="4">
        <v>69.875992324492898</v>
      </c>
      <c r="P95" s="4">
        <v>290487.27302350098</v>
      </c>
      <c r="Q95" s="4">
        <v>268888.98451913998</v>
      </c>
      <c r="R95" s="4">
        <v>782.61242352092302</v>
      </c>
      <c r="S95" s="4">
        <v>0</v>
      </c>
      <c r="T95" s="4">
        <v>0</v>
      </c>
      <c r="U95" s="4">
        <v>0.23321860056688201</v>
      </c>
      <c r="V95" s="4">
        <v>0</v>
      </c>
      <c r="W95" s="4">
        <v>0</v>
      </c>
      <c r="X95" s="4">
        <v>0.77023482471890103</v>
      </c>
      <c r="Y95" s="4">
        <v>0</v>
      </c>
      <c r="Z95" s="5">
        <v>3.7079632397996699E-4</v>
      </c>
      <c r="AA95" s="5">
        <v>6.97161050820527E-5</v>
      </c>
      <c r="AB95" s="10">
        <v>2.7526028375266902E-3</v>
      </c>
      <c r="AC95" s="10">
        <v>1.5092874316502999E-6</v>
      </c>
      <c r="AD95" s="10">
        <v>1.6719346685483898E-2</v>
      </c>
      <c r="AE95" s="4">
        <v>3.1504852914115202E-4</v>
      </c>
      <c r="AF95" s="4">
        <v>0.88392053099645496</v>
      </c>
      <c r="AG95" s="4">
        <v>0.97579614513667201</v>
      </c>
      <c r="AH95" s="4">
        <v>0.99568268337099597</v>
      </c>
      <c r="AI95" s="4">
        <v>0.99968543510735997</v>
      </c>
      <c r="AJ95" s="4">
        <v>1</v>
      </c>
      <c r="AK95" s="4">
        <v>1</v>
      </c>
      <c r="AL95" s="4">
        <v>1</v>
      </c>
      <c r="AM95" s="4">
        <v>0</v>
      </c>
      <c r="AN95" s="4">
        <v>0</v>
      </c>
      <c r="AO95" s="4" t="s">
        <v>150</v>
      </c>
      <c r="AP95" s="4">
        <v>43230</v>
      </c>
      <c r="AQ95" s="6">
        <v>1151920409.6800001</v>
      </c>
      <c r="AR95" s="4">
        <v>4284</v>
      </c>
      <c r="AS95" s="35">
        <v>100</v>
      </c>
      <c r="AT95" s="35">
        <v>0</v>
      </c>
      <c r="AU95" s="35">
        <v>100</v>
      </c>
      <c r="AV95" s="35">
        <v>0</v>
      </c>
      <c r="AW95" s="35">
        <v>0</v>
      </c>
      <c r="AX95" s="35">
        <v>0</v>
      </c>
    </row>
    <row r="96" spans="1:50" x14ac:dyDescent="0.25">
      <c r="A96">
        <v>96</v>
      </c>
      <c r="B96" s="4">
        <v>0.97878732798381596</v>
      </c>
      <c r="C96" s="4">
        <v>20.863987202152899</v>
      </c>
      <c r="D96" s="4">
        <v>22.685659315351501</v>
      </c>
      <c r="E96" s="4">
        <v>1.9311279123002699E-2</v>
      </c>
      <c r="F96" s="5">
        <v>2.12126720161839E-2</v>
      </c>
      <c r="G96" s="5">
        <v>0</v>
      </c>
      <c r="H96" s="4">
        <v>4.12652527798378</v>
      </c>
      <c r="I96" s="4">
        <v>4.0203290156796898</v>
      </c>
      <c r="J96" s="4">
        <v>-32.434444226323102</v>
      </c>
      <c r="K96" s="4">
        <v>12.7027837487685</v>
      </c>
      <c r="L96" s="4">
        <v>14.9159672919724</v>
      </c>
      <c r="M96" s="4">
        <v>16.210358533753499</v>
      </c>
      <c r="N96" s="4">
        <v>69.936324702927607</v>
      </c>
      <c r="O96" s="4">
        <v>67.409519878617203</v>
      </c>
      <c r="P96" s="4">
        <v>287560.36722777499</v>
      </c>
      <c r="Q96" s="4">
        <v>267491.70188215701</v>
      </c>
      <c r="R96" s="4">
        <v>783.42409523981098</v>
      </c>
      <c r="S96" s="4">
        <v>0</v>
      </c>
      <c r="T96" s="4">
        <v>0</v>
      </c>
      <c r="U96" s="4">
        <v>0.24622891484250001</v>
      </c>
      <c r="V96" s="4">
        <v>0</v>
      </c>
      <c r="W96" s="4">
        <v>0</v>
      </c>
      <c r="X96" s="4">
        <v>0.78940181404236098</v>
      </c>
      <c r="Y96" s="4">
        <v>0</v>
      </c>
      <c r="Z96" s="5">
        <v>3.7264347530107202E-4</v>
      </c>
      <c r="AA96" s="5">
        <v>6.1615366214331496E-5</v>
      </c>
      <c r="AB96" s="10">
        <v>2.85578152903904E-3</v>
      </c>
      <c r="AC96" s="10">
        <v>1.69812229248302E-6</v>
      </c>
      <c r="AD96" s="10">
        <v>1.7920919365436098E-2</v>
      </c>
      <c r="AE96" s="4">
        <v>7.2628805990612201E-3</v>
      </c>
      <c r="AF96" s="4">
        <v>0.83756179077103998</v>
      </c>
      <c r="AG96" s="4">
        <v>0.96341909582053598</v>
      </c>
      <c r="AH96" s="4">
        <v>0.99677142633029903</v>
      </c>
      <c r="AI96" s="4">
        <v>0.999763562830293</v>
      </c>
      <c r="AJ96" s="4">
        <v>1</v>
      </c>
      <c r="AK96" s="4">
        <v>1</v>
      </c>
      <c r="AL96" s="4">
        <v>1</v>
      </c>
      <c r="AM96" s="4">
        <v>0</v>
      </c>
      <c r="AN96" s="4">
        <v>0</v>
      </c>
      <c r="AO96" s="4" t="s">
        <v>151</v>
      </c>
      <c r="AP96" s="4">
        <v>43388</v>
      </c>
      <c r="AQ96" s="6">
        <v>1611637503.8399999</v>
      </c>
      <c r="AR96" s="4">
        <v>6025</v>
      </c>
      <c r="AS96" s="35">
        <v>100</v>
      </c>
      <c r="AT96" s="35">
        <v>0</v>
      </c>
      <c r="AU96" s="35">
        <v>100</v>
      </c>
      <c r="AV96" s="35">
        <v>0</v>
      </c>
      <c r="AW96" s="35">
        <v>0</v>
      </c>
      <c r="AX96" s="35">
        <v>0</v>
      </c>
    </row>
    <row r="97" spans="1:50" x14ac:dyDescent="0.25">
      <c r="A97">
        <v>96</v>
      </c>
      <c r="B97" s="4">
        <v>0.97704960377490302</v>
      </c>
      <c r="C97" s="4">
        <v>23.8056782456527</v>
      </c>
      <c r="D97" s="4">
        <v>24.3168228305606</v>
      </c>
      <c r="E97" s="4">
        <v>2.2402196090709401E-2</v>
      </c>
      <c r="F97" s="5">
        <v>2.2950396225096498E-2</v>
      </c>
      <c r="G97" s="5">
        <v>0</v>
      </c>
      <c r="H97" s="4">
        <v>4.1249626798000003</v>
      </c>
      <c r="I97" s="4">
        <v>3.9968770389563599</v>
      </c>
      <c r="J97" s="4">
        <v>-30.839617950426401</v>
      </c>
      <c r="K97" s="4">
        <v>17.616235747790999</v>
      </c>
      <c r="L97" s="4">
        <v>14.585151986864</v>
      </c>
      <c r="M97" s="4">
        <v>15.9822098729736</v>
      </c>
      <c r="N97" s="4">
        <v>69.064700700782595</v>
      </c>
      <c r="O97" s="4">
        <v>66.273359183536797</v>
      </c>
      <c r="P97" s="4">
        <v>294113.95008790202</v>
      </c>
      <c r="Q97" s="4">
        <v>273704.231762674</v>
      </c>
      <c r="R97" s="4">
        <v>783.76650059733299</v>
      </c>
      <c r="S97" s="4">
        <v>0</v>
      </c>
      <c r="T97" s="4">
        <v>0</v>
      </c>
      <c r="U97" s="4">
        <v>0.25910043896838802</v>
      </c>
      <c r="V97" s="4">
        <v>0</v>
      </c>
      <c r="W97" s="4">
        <v>0</v>
      </c>
      <c r="X97" s="4">
        <v>0.81223350885349199</v>
      </c>
      <c r="Y97" s="4">
        <v>0</v>
      </c>
      <c r="Z97" s="5">
        <v>3.6983754426294502E-4</v>
      </c>
      <c r="AA97" s="5">
        <v>6.0334905664238403E-5</v>
      </c>
      <c r="AB97" s="10">
        <v>2.8946161341075502E-3</v>
      </c>
      <c r="AC97" s="10">
        <v>3.99129099910267E-6</v>
      </c>
      <c r="AD97" s="10">
        <v>1.9621601977535399E-2</v>
      </c>
      <c r="AE97" s="4">
        <v>1.3918083116062401E-2</v>
      </c>
      <c r="AF97" s="4">
        <v>0.790754276403002</v>
      </c>
      <c r="AG97" s="4">
        <v>0.93225233652566697</v>
      </c>
      <c r="AH97" s="4">
        <v>0.99252337413237302</v>
      </c>
      <c r="AI97" s="4">
        <v>0.99853655801968</v>
      </c>
      <c r="AJ97" s="4">
        <v>1</v>
      </c>
      <c r="AK97" s="4">
        <v>1</v>
      </c>
      <c r="AL97" s="4">
        <v>1</v>
      </c>
      <c r="AM97" s="4">
        <v>0</v>
      </c>
      <c r="AN97" s="4">
        <v>0</v>
      </c>
      <c r="AO97" s="4" t="s">
        <v>152</v>
      </c>
      <c r="AP97" s="4" t="s">
        <v>136</v>
      </c>
      <c r="AQ97" s="6">
        <v>2456495480.0700002</v>
      </c>
      <c r="AR97" s="4">
        <v>8975</v>
      </c>
      <c r="AS97" s="35">
        <v>100</v>
      </c>
      <c r="AT97" s="35">
        <v>0</v>
      </c>
      <c r="AU97" s="35">
        <v>100</v>
      </c>
      <c r="AV97" s="35">
        <v>0</v>
      </c>
      <c r="AW97" s="35">
        <v>0</v>
      </c>
      <c r="AX97" s="35">
        <v>0</v>
      </c>
    </row>
    <row r="98" spans="1:50" x14ac:dyDescent="0.25">
      <c r="A98">
        <v>96</v>
      </c>
      <c r="B98" s="4">
        <v>0.97500255094645505</v>
      </c>
      <c r="C98" s="4">
        <v>30.8793263446269</v>
      </c>
      <c r="D98" s="4">
        <v>26.1978483448978</v>
      </c>
      <c r="E98" s="4">
        <v>3.0307588786639399E-2</v>
      </c>
      <c r="F98" s="5">
        <v>2.49974490535444E-2</v>
      </c>
      <c r="G98" s="5">
        <v>0</v>
      </c>
      <c r="H98" s="4">
        <v>4.11795465709322</v>
      </c>
      <c r="I98" s="4">
        <v>3.9652869250489902</v>
      </c>
      <c r="J98" s="4">
        <v>-30.422156073968601</v>
      </c>
      <c r="K98" s="4">
        <v>22.590179235964602</v>
      </c>
      <c r="L98" s="4">
        <v>14.1652200518805</v>
      </c>
      <c r="M98" s="4">
        <v>15.924105421180601</v>
      </c>
      <c r="N98" s="4">
        <v>66.216865003913298</v>
      </c>
      <c r="O98" s="4">
        <v>63.242574976242103</v>
      </c>
      <c r="P98" s="4">
        <v>301198.07225883298</v>
      </c>
      <c r="Q98" s="4">
        <v>281802.722743658</v>
      </c>
      <c r="R98" s="4">
        <v>784.11376262156205</v>
      </c>
      <c r="S98" s="4">
        <v>0</v>
      </c>
      <c r="T98" s="4">
        <v>0</v>
      </c>
      <c r="U98" s="4">
        <v>0.26559685421721102</v>
      </c>
      <c r="V98" s="4">
        <v>0</v>
      </c>
      <c r="W98" s="4">
        <v>0</v>
      </c>
      <c r="X98" s="4">
        <v>0.84041247092732796</v>
      </c>
      <c r="Y98" s="4">
        <v>0</v>
      </c>
      <c r="Z98" s="5">
        <v>3.6890883654922202E-4</v>
      </c>
      <c r="AA98" s="5">
        <v>5.48121404451954E-5</v>
      </c>
      <c r="AB98" s="10">
        <v>2.9440370624924002E-3</v>
      </c>
      <c r="AC98" s="10">
        <v>5.5388258331304501E-6</v>
      </c>
      <c r="AD98" s="10">
        <v>2.1624137958783402E-2</v>
      </c>
      <c r="AE98" s="4">
        <v>1.97023682483865E-2</v>
      </c>
      <c r="AF98" s="4">
        <v>0.75383704865582402</v>
      </c>
      <c r="AG98" s="4">
        <v>0.92120140654705196</v>
      </c>
      <c r="AH98" s="4">
        <v>0.99290227417140797</v>
      </c>
      <c r="AI98" s="4">
        <v>0.99818661193979297</v>
      </c>
      <c r="AJ98" s="4">
        <v>1</v>
      </c>
      <c r="AK98" s="4">
        <v>1</v>
      </c>
      <c r="AL98" s="4">
        <v>1</v>
      </c>
      <c r="AM98" s="4">
        <v>0</v>
      </c>
      <c r="AN98" s="4">
        <v>0</v>
      </c>
      <c r="AO98" s="4" t="s">
        <v>69</v>
      </c>
      <c r="AP98" s="4" t="s">
        <v>70</v>
      </c>
      <c r="AQ98" s="6">
        <v>3377123829.3600001</v>
      </c>
      <c r="AR98" s="4">
        <v>11984</v>
      </c>
      <c r="AS98" s="35">
        <v>100</v>
      </c>
      <c r="AT98" s="35">
        <v>0</v>
      </c>
      <c r="AU98" s="35">
        <v>100</v>
      </c>
      <c r="AV98" s="35">
        <v>0</v>
      </c>
      <c r="AW98" s="35">
        <v>0</v>
      </c>
      <c r="AX98" s="35">
        <v>0</v>
      </c>
    </row>
    <row r="99" spans="1:50" x14ac:dyDescent="0.25">
      <c r="A99">
        <v>96</v>
      </c>
      <c r="B99" s="4">
        <v>0.97309601675153901</v>
      </c>
      <c r="C99" s="4">
        <v>35.002481917462902</v>
      </c>
      <c r="D99" s="4">
        <v>27.911110083543601</v>
      </c>
      <c r="E99" s="4">
        <v>3.5264934004911298E-2</v>
      </c>
      <c r="F99" s="5">
        <v>2.6903983248460099E-2</v>
      </c>
      <c r="G99" s="5">
        <v>0</v>
      </c>
      <c r="H99" s="4">
        <v>4.1320208105421301</v>
      </c>
      <c r="I99" s="4">
        <v>3.9390588873090802</v>
      </c>
      <c r="J99" s="4">
        <v>-29.076315836181699</v>
      </c>
      <c r="K99" s="4">
        <v>27.547268159078001</v>
      </c>
      <c r="L99" s="4">
        <v>13.9063613226923</v>
      </c>
      <c r="M99" s="4">
        <v>15.993033440087</v>
      </c>
      <c r="N99" s="4">
        <v>66.040052391162106</v>
      </c>
      <c r="O99" s="4">
        <v>62.599357960225603</v>
      </c>
      <c r="P99" s="4">
        <v>306080.19849940803</v>
      </c>
      <c r="Q99" s="4">
        <v>287059.90563547902</v>
      </c>
      <c r="R99" s="4">
        <v>783.65888221929401</v>
      </c>
      <c r="S99" s="4">
        <v>0</v>
      </c>
      <c r="T99" s="4">
        <v>0</v>
      </c>
      <c r="U99" s="4">
        <v>0.258862948788463</v>
      </c>
      <c r="V99" s="4">
        <v>0</v>
      </c>
      <c r="W99" s="4">
        <v>0</v>
      </c>
      <c r="X99" s="4">
        <v>0.83429079474257295</v>
      </c>
      <c r="Y99" s="4">
        <v>0</v>
      </c>
      <c r="Z99" s="5">
        <v>3.6785538516459102E-4</v>
      </c>
      <c r="AA99" s="5">
        <v>5.6192522587931499E-5</v>
      </c>
      <c r="AB99" s="10">
        <v>3.0018128537735301E-3</v>
      </c>
      <c r="AC99" s="10">
        <v>8.30684836859423E-6</v>
      </c>
      <c r="AD99" s="10">
        <v>2.3469801223354798E-2</v>
      </c>
      <c r="AE99" s="4">
        <v>2.59565847627087E-2</v>
      </c>
      <c r="AF99" s="4">
        <v>0.71356768844104101</v>
      </c>
      <c r="AG99" s="4">
        <v>0.90914448783013102</v>
      </c>
      <c r="AH99" s="4">
        <v>0.99017706108356496</v>
      </c>
      <c r="AI99" s="4">
        <v>0.997157891372486</v>
      </c>
      <c r="AJ99" s="4">
        <v>1</v>
      </c>
      <c r="AK99" s="4">
        <v>1</v>
      </c>
      <c r="AL99" s="4">
        <v>1</v>
      </c>
      <c r="AM99" s="4">
        <v>0</v>
      </c>
      <c r="AN99" s="4">
        <v>0</v>
      </c>
      <c r="AO99" s="4" t="s">
        <v>153</v>
      </c>
      <c r="AP99" s="4" t="s">
        <v>137</v>
      </c>
      <c r="AQ99" s="6">
        <v>3954824319.9400001</v>
      </c>
      <c r="AR99" s="4">
        <v>13777</v>
      </c>
      <c r="AS99" s="35">
        <v>100</v>
      </c>
      <c r="AT99" s="35">
        <v>0</v>
      </c>
      <c r="AU99" s="35">
        <v>100</v>
      </c>
      <c r="AV99" s="35">
        <v>0</v>
      </c>
      <c r="AW99" s="35">
        <v>0</v>
      </c>
      <c r="AX99" s="35">
        <v>0</v>
      </c>
    </row>
    <row r="100" spans="1:50" x14ac:dyDescent="0.25">
      <c r="A100">
        <v>96</v>
      </c>
      <c r="B100" s="4">
        <v>0.97091666766042095</v>
      </c>
      <c r="C100" s="4">
        <v>37.322085488339603</v>
      </c>
      <c r="D100" s="4">
        <v>29.824828953839098</v>
      </c>
      <c r="E100" s="4">
        <v>3.8182049388878203E-2</v>
      </c>
      <c r="F100" s="5">
        <v>2.9083332339578501E-2</v>
      </c>
      <c r="G100" s="5">
        <v>0</v>
      </c>
      <c r="H100" s="4">
        <v>4.1277906548543397</v>
      </c>
      <c r="I100" s="4">
        <v>3.8973418603523098</v>
      </c>
      <c r="J100" s="4">
        <v>-28.481970434030298</v>
      </c>
      <c r="K100" s="4">
        <v>32.542028407735103</v>
      </c>
      <c r="L100" s="4">
        <v>13.6691511627105</v>
      </c>
      <c r="M100" s="4">
        <v>16.0008163056245</v>
      </c>
      <c r="N100" s="4">
        <v>65.147319408371501</v>
      </c>
      <c r="O100" s="4">
        <v>61.4600643279324</v>
      </c>
      <c r="P100" s="4">
        <v>311128.70674513403</v>
      </c>
      <c r="Q100" s="4">
        <v>292033.55136215402</v>
      </c>
      <c r="R100" s="4">
        <v>784.22640410087001</v>
      </c>
      <c r="S100" s="4">
        <v>0</v>
      </c>
      <c r="T100" s="4">
        <v>0</v>
      </c>
      <c r="U100" s="4">
        <v>0.27340684021081102</v>
      </c>
      <c r="V100" s="4">
        <v>0</v>
      </c>
      <c r="W100" s="4">
        <v>0</v>
      </c>
      <c r="X100" s="4">
        <v>0.84854343371554997</v>
      </c>
      <c r="Y100" s="4">
        <v>0</v>
      </c>
      <c r="Z100" s="5">
        <v>3.6784593317103599E-4</v>
      </c>
      <c r="AA100" s="5">
        <v>5.5420989056981099E-5</v>
      </c>
      <c r="AB100" s="10">
        <v>3.0536813605661602E-3</v>
      </c>
      <c r="AC100" s="10">
        <v>1.0630445871794299E-5</v>
      </c>
      <c r="AD100" s="10">
        <v>2.5595739310223201E-2</v>
      </c>
      <c r="AE100" s="4">
        <v>3.4819176288783303E-2</v>
      </c>
      <c r="AF100" s="4">
        <v>0.67057977575977301</v>
      </c>
      <c r="AG100" s="4">
        <v>0.87480962339603097</v>
      </c>
      <c r="AH100" s="4">
        <v>0.990303506265099</v>
      </c>
      <c r="AI100" s="4">
        <v>0.99805258986355505</v>
      </c>
      <c r="AJ100" s="4">
        <v>1</v>
      </c>
      <c r="AK100" s="4">
        <v>1</v>
      </c>
      <c r="AL100" s="4">
        <v>1</v>
      </c>
      <c r="AM100" s="4">
        <v>0</v>
      </c>
      <c r="AN100" s="4">
        <v>0</v>
      </c>
      <c r="AO100" s="4" t="s">
        <v>154</v>
      </c>
      <c r="AP100" s="4" t="s">
        <v>138</v>
      </c>
      <c r="AQ100" s="6">
        <v>4390724444.7299995</v>
      </c>
      <c r="AR100" s="4">
        <v>15035</v>
      </c>
      <c r="AS100" s="35">
        <v>100</v>
      </c>
      <c r="AT100" s="35">
        <v>0</v>
      </c>
      <c r="AU100" s="35">
        <v>100</v>
      </c>
      <c r="AV100" s="35">
        <v>0</v>
      </c>
      <c r="AW100" s="35">
        <v>0</v>
      </c>
      <c r="AX100" s="35">
        <v>0</v>
      </c>
    </row>
    <row r="101" spans="1:50" x14ac:dyDescent="0.25">
      <c r="A101">
        <v>96</v>
      </c>
      <c r="B101" s="4">
        <v>0.96906111564206199</v>
      </c>
      <c r="C101" s="4">
        <v>39.012061454220301</v>
      </c>
      <c r="D101" s="4">
        <v>31.417389792319302</v>
      </c>
      <c r="E101" s="4">
        <v>4.03703394190894E-2</v>
      </c>
      <c r="F101" s="5">
        <v>3.0938884357937499E-2</v>
      </c>
      <c r="G101" s="5">
        <v>0</v>
      </c>
      <c r="H101" s="4">
        <v>4.1407287725094504</v>
      </c>
      <c r="I101" s="4">
        <v>3.8616034924579301</v>
      </c>
      <c r="J101" s="4">
        <v>-27.749282437373498</v>
      </c>
      <c r="K101" s="4">
        <v>37.486494006130997</v>
      </c>
      <c r="L101" s="4">
        <v>13.6665653308547</v>
      </c>
      <c r="M101" s="4">
        <v>16.088478416822198</v>
      </c>
      <c r="N101" s="4">
        <v>65.027498107169606</v>
      </c>
      <c r="O101" s="4">
        <v>60.962342027736597</v>
      </c>
      <c r="P101" s="4">
        <v>310640.52325058298</v>
      </c>
      <c r="Q101" s="4">
        <v>292099.19955239497</v>
      </c>
      <c r="R101" s="4">
        <v>783.91532349489398</v>
      </c>
      <c r="S101" s="4">
        <v>0</v>
      </c>
      <c r="T101" s="4">
        <v>0</v>
      </c>
      <c r="U101" s="4">
        <v>0.27413010306864899</v>
      </c>
      <c r="V101" s="4">
        <v>0</v>
      </c>
      <c r="W101" s="4">
        <v>0</v>
      </c>
      <c r="X101" s="4">
        <v>0.83728411381441503</v>
      </c>
      <c r="Y101" s="4">
        <v>0</v>
      </c>
      <c r="Z101" s="5">
        <v>3.6729239325433298E-4</v>
      </c>
      <c r="AA101" s="5">
        <v>5.4592608705812102E-5</v>
      </c>
      <c r="AB101" s="10">
        <v>3.1091512593137199E-3</v>
      </c>
      <c r="AC101" s="10">
        <v>1.15687351595425E-5</v>
      </c>
      <c r="AD101" s="10">
        <v>2.7396265166412501E-2</v>
      </c>
      <c r="AE101" s="4">
        <v>3.77246597768243E-2</v>
      </c>
      <c r="AF101" s="4">
        <v>0.644592725451407</v>
      </c>
      <c r="AG101" s="4">
        <v>0.899880180525504</v>
      </c>
      <c r="AH101" s="4">
        <v>0.98723352372402595</v>
      </c>
      <c r="AI101" s="4">
        <v>0.99853075538355995</v>
      </c>
      <c r="AJ101" s="4">
        <v>1</v>
      </c>
      <c r="AK101" s="4">
        <v>1</v>
      </c>
      <c r="AL101" s="4">
        <v>1</v>
      </c>
      <c r="AM101" s="4">
        <v>0</v>
      </c>
      <c r="AN101" s="4">
        <v>0</v>
      </c>
      <c r="AO101" s="4" t="s">
        <v>155</v>
      </c>
      <c r="AP101" s="4" t="s">
        <v>139</v>
      </c>
      <c r="AQ101" s="6">
        <v>4437571039.6000004</v>
      </c>
      <c r="AR101" s="4">
        <v>15192</v>
      </c>
      <c r="AS101" s="35">
        <v>100</v>
      </c>
      <c r="AT101" s="35">
        <v>0</v>
      </c>
      <c r="AU101" s="35">
        <v>100</v>
      </c>
      <c r="AV101" s="35">
        <v>0</v>
      </c>
      <c r="AW101" s="35">
        <v>0</v>
      </c>
      <c r="AX101" s="35">
        <v>0</v>
      </c>
    </row>
    <row r="102" spans="1:50" x14ac:dyDescent="0.25">
      <c r="A102">
        <v>96</v>
      </c>
      <c r="B102" s="4">
        <v>0.96673685760725103</v>
      </c>
      <c r="C102" s="4">
        <v>42.229079659815802</v>
      </c>
      <c r="D102" s="4">
        <v>33.365472771682398</v>
      </c>
      <c r="E102" s="4">
        <v>4.4694142778095303E-2</v>
      </c>
      <c r="F102" s="5">
        <v>3.3263142392748198E-2</v>
      </c>
      <c r="G102" s="5">
        <v>0</v>
      </c>
      <c r="H102" s="4">
        <v>4.1633655225229704</v>
      </c>
      <c r="I102" s="4">
        <v>3.8333468172786298</v>
      </c>
      <c r="J102" s="4">
        <v>-26.642684336029799</v>
      </c>
      <c r="K102" s="4">
        <v>42.421648053468502</v>
      </c>
      <c r="L102" s="4">
        <v>13.5343837545193</v>
      </c>
      <c r="M102" s="4">
        <v>16.218482120866302</v>
      </c>
      <c r="N102" s="4">
        <v>65.216203638752802</v>
      </c>
      <c r="O102" s="4">
        <v>60.830955032490699</v>
      </c>
      <c r="P102" s="4">
        <v>314000.987354532</v>
      </c>
      <c r="Q102" s="4">
        <v>294944.17438660102</v>
      </c>
      <c r="R102" s="4">
        <v>783.87257233366995</v>
      </c>
      <c r="S102" s="4">
        <v>0</v>
      </c>
      <c r="T102" s="4">
        <v>0</v>
      </c>
      <c r="U102" s="4">
        <v>0.28137818647006801</v>
      </c>
      <c r="V102" s="4">
        <v>0</v>
      </c>
      <c r="W102" s="4">
        <v>0</v>
      </c>
      <c r="X102" s="4">
        <v>0.84062485855171498</v>
      </c>
      <c r="Y102" s="4">
        <v>0</v>
      </c>
      <c r="Z102" s="5">
        <v>3.6878211234070901E-4</v>
      </c>
      <c r="AA102" s="5">
        <v>5.6210011715931697E-5</v>
      </c>
      <c r="AB102" s="10">
        <v>3.1894473592150199E-3</v>
      </c>
      <c r="AC102" s="10">
        <v>1.2788838234453799E-5</v>
      </c>
      <c r="AD102" s="10">
        <v>2.9635899726087701E-2</v>
      </c>
      <c r="AE102" s="4">
        <v>4.5297538123052601E-2</v>
      </c>
      <c r="AF102" s="4">
        <v>0.60042004757923895</v>
      </c>
      <c r="AG102" s="4">
        <v>0.88244543445099</v>
      </c>
      <c r="AH102" s="4">
        <v>0.98714773697073899</v>
      </c>
      <c r="AI102" s="4">
        <v>0.99890421664259799</v>
      </c>
      <c r="AJ102" s="4">
        <v>1</v>
      </c>
      <c r="AK102" s="4">
        <v>1</v>
      </c>
      <c r="AL102" s="4">
        <v>1</v>
      </c>
      <c r="AM102" s="4">
        <v>0</v>
      </c>
      <c r="AN102" s="4">
        <v>0</v>
      </c>
      <c r="AO102" s="4" t="s">
        <v>156</v>
      </c>
      <c r="AP102" s="4" t="s">
        <v>140</v>
      </c>
      <c r="AQ102" s="6">
        <v>4226550018.96</v>
      </c>
      <c r="AR102" s="4">
        <v>14330</v>
      </c>
      <c r="AS102" s="35">
        <v>100</v>
      </c>
      <c r="AT102" s="35">
        <v>0</v>
      </c>
      <c r="AU102" s="35">
        <v>100</v>
      </c>
      <c r="AV102" s="35">
        <v>0</v>
      </c>
      <c r="AW102" s="35">
        <v>0</v>
      </c>
      <c r="AX102" s="35">
        <v>0</v>
      </c>
    </row>
    <row r="103" spans="1:50" x14ac:dyDescent="0.25">
      <c r="A103">
        <v>96</v>
      </c>
      <c r="B103" s="4">
        <v>0.964272140418441</v>
      </c>
      <c r="C103" s="4">
        <v>42.385460776815897</v>
      </c>
      <c r="D103" s="4">
        <v>35.375762397119999</v>
      </c>
      <c r="E103" s="4">
        <v>4.4909905113372998E-2</v>
      </c>
      <c r="F103" s="5">
        <v>3.5727859581558899E-2</v>
      </c>
      <c r="G103" s="5">
        <v>0</v>
      </c>
      <c r="H103" s="4">
        <v>4.2053801609189403</v>
      </c>
      <c r="I103" s="4">
        <v>3.8264175193991901</v>
      </c>
      <c r="J103" s="4">
        <v>-24.852095193660801</v>
      </c>
      <c r="K103" s="4">
        <v>47.512004004398001</v>
      </c>
      <c r="L103" s="4">
        <v>13.408457823790201</v>
      </c>
      <c r="M103" s="4">
        <v>16.551012529525298</v>
      </c>
      <c r="N103" s="4">
        <v>63.837087495946001</v>
      </c>
      <c r="O103" s="4">
        <v>59.481398800996097</v>
      </c>
      <c r="P103" s="4">
        <v>317484.71882414498</v>
      </c>
      <c r="Q103" s="4">
        <v>297704.25685362902</v>
      </c>
      <c r="R103" s="4">
        <v>783.68171816037705</v>
      </c>
      <c r="S103" s="4">
        <v>0</v>
      </c>
      <c r="T103" s="4">
        <v>0</v>
      </c>
      <c r="U103" s="4">
        <v>0.26473141964220798</v>
      </c>
      <c r="V103" s="4">
        <v>0</v>
      </c>
      <c r="W103" s="4">
        <v>0</v>
      </c>
      <c r="X103" s="4">
        <v>0.83669716923017501</v>
      </c>
      <c r="Y103" s="4">
        <v>0</v>
      </c>
      <c r="Z103" s="5">
        <v>3.6870670940921502E-4</v>
      </c>
      <c r="AA103" s="5">
        <v>6.3072000003081799E-5</v>
      </c>
      <c r="AB103" s="10">
        <v>3.2262464285295299E-3</v>
      </c>
      <c r="AC103" s="10">
        <v>1.16924171216919E-5</v>
      </c>
      <c r="AD103" s="10">
        <v>3.2058127726745898E-2</v>
      </c>
      <c r="AE103" s="4">
        <v>4.8102620886945398E-2</v>
      </c>
      <c r="AF103" s="4">
        <v>0.59401179483035504</v>
      </c>
      <c r="AG103" s="4">
        <v>0.89459899843803903</v>
      </c>
      <c r="AH103" s="4">
        <v>0.98843401553078603</v>
      </c>
      <c r="AI103" s="4">
        <v>0.998771808478503</v>
      </c>
      <c r="AJ103" s="4">
        <v>1</v>
      </c>
      <c r="AK103" s="4">
        <v>1</v>
      </c>
      <c r="AL103" s="4">
        <v>1</v>
      </c>
      <c r="AM103" s="4">
        <v>0</v>
      </c>
      <c r="AN103" s="4">
        <v>0</v>
      </c>
      <c r="AO103" s="4" t="s">
        <v>71</v>
      </c>
      <c r="AP103" s="4" t="s">
        <v>72</v>
      </c>
      <c r="AQ103" s="6">
        <v>3970183969.4000001</v>
      </c>
      <c r="AR103" s="4">
        <v>13336</v>
      </c>
      <c r="AS103" s="35">
        <v>100</v>
      </c>
      <c r="AT103" s="35">
        <v>0</v>
      </c>
      <c r="AU103" s="35">
        <v>100</v>
      </c>
      <c r="AV103" s="35">
        <v>0</v>
      </c>
      <c r="AW103" s="35">
        <v>0</v>
      </c>
      <c r="AX103" s="35">
        <v>0</v>
      </c>
    </row>
    <row r="104" spans="1:50" x14ac:dyDescent="0.25">
      <c r="A104">
        <v>96</v>
      </c>
      <c r="B104" s="4">
        <v>0.96322011959276299</v>
      </c>
      <c r="C104" s="4">
        <v>45.948809763718003</v>
      </c>
      <c r="D104" s="4">
        <v>36.216764483823198</v>
      </c>
      <c r="E104" s="4">
        <v>4.9977760910394999E-2</v>
      </c>
      <c r="F104" s="5">
        <v>3.6779880407236003E-2</v>
      </c>
      <c r="G104" s="5">
        <v>0</v>
      </c>
      <c r="H104" s="4">
        <v>4.3069906356487202</v>
      </c>
      <c r="I104" s="4">
        <v>3.8478540885474</v>
      </c>
      <c r="J104" s="4">
        <v>-20.720568697417701</v>
      </c>
      <c r="K104" s="4">
        <v>52.525413841629998</v>
      </c>
      <c r="L104" s="4">
        <v>14.016152100195299</v>
      </c>
      <c r="M104" s="4">
        <v>17.198521962228899</v>
      </c>
      <c r="N104" s="4">
        <v>68.242988972036699</v>
      </c>
      <c r="O104" s="4">
        <v>64.029642353377596</v>
      </c>
      <c r="P104" s="4">
        <v>304170.71582627302</v>
      </c>
      <c r="Q104" s="4">
        <v>284836.95510968799</v>
      </c>
      <c r="R104" s="4">
        <v>782.53177917708001</v>
      </c>
      <c r="S104" s="4">
        <v>0</v>
      </c>
      <c r="T104" s="4">
        <v>0</v>
      </c>
      <c r="U104" s="4">
        <v>0.233358374600942</v>
      </c>
      <c r="V104" s="4">
        <v>0</v>
      </c>
      <c r="W104" s="4">
        <v>0</v>
      </c>
      <c r="X104" s="4">
        <v>0.78723007408053303</v>
      </c>
      <c r="Y104" s="4">
        <v>0</v>
      </c>
      <c r="Z104" s="5">
        <v>3.69392630652756E-4</v>
      </c>
      <c r="AA104" s="5">
        <v>7.3205629848621095E-5</v>
      </c>
      <c r="AB104" s="10">
        <v>3.2925119598334498E-3</v>
      </c>
      <c r="AC104" s="10">
        <v>9.5123652384303098E-6</v>
      </c>
      <c r="AD104" s="10">
        <v>3.3035243583283497E-2</v>
      </c>
      <c r="AE104" s="4">
        <v>3.6502936590110002E-2</v>
      </c>
      <c r="AF104" s="4">
        <v>0.64151773225083697</v>
      </c>
      <c r="AG104" s="4">
        <v>0.922908708253105</v>
      </c>
      <c r="AH104" s="4">
        <v>0.99178883200486301</v>
      </c>
      <c r="AI104" s="4">
        <v>0.999196051222632</v>
      </c>
      <c r="AJ104" s="4">
        <v>1</v>
      </c>
      <c r="AK104" s="4">
        <v>1</v>
      </c>
      <c r="AL104" s="4">
        <v>1</v>
      </c>
      <c r="AM104" s="4">
        <v>0</v>
      </c>
      <c r="AN104" s="4">
        <v>0</v>
      </c>
      <c r="AO104" s="4" t="s">
        <v>157</v>
      </c>
      <c r="AP104" s="4" t="s">
        <v>141</v>
      </c>
      <c r="AQ104" s="6">
        <v>3336864929.1100001</v>
      </c>
      <c r="AR104" s="4">
        <v>11715</v>
      </c>
      <c r="AS104" s="35">
        <v>100</v>
      </c>
      <c r="AT104" s="35">
        <v>0</v>
      </c>
      <c r="AU104" s="35">
        <v>100</v>
      </c>
      <c r="AV104" s="35">
        <v>0</v>
      </c>
      <c r="AW104" s="35">
        <v>0</v>
      </c>
      <c r="AX104" s="35">
        <v>0</v>
      </c>
    </row>
    <row r="105" spans="1:50" x14ac:dyDescent="0.25">
      <c r="A105">
        <v>96</v>
      </c>
      <c r="B105" s="4">
        <v>0.96136774970712602</v>
      </c>
      <c r="C105" s="4">
        <v>46.558380879578401</v>
      </c>
      <c r="D105" s="4">
        <v>37.673234560892702</v>
      </c>
      <c r="E105" s="4">
        <v>5.0875245342589602E-2</v>
      </c>
      <c r="F105" s="5">
        <v>3.8632250292873697E-2</v>
      </c>
      <c r="G105" s="5">
        <v>0</v>
      </c>
      <c r="H105" s="4">
        <v>4.3549524072522896</v>
      </c>
      <c r="I105" s="4">
        <v>3.8473488569891101</v>
      </c>
      <c r="J105" s="4">
        <v>-19.5649765361992</v>
      </c>
      <c r="K105" s="4">
        <v>57.496638767331</v>
      </c>
      <c r="L105" s="4">
        <v>14.1171503351526</v>
      </c>
      <c r="M105" s="4">
        <v>17.497986127698201</v>
      </c>
      <c r="N105" s="4">
        <v>67.040302305769302</v>
      </c>
      <c r="O105" s="4">
        <v>63.041882442314098</v>
      </c>
      <c r="P105" s="4">
        <v>301948.13647422602</v>
      </c>
      <c r="Q105" s="4">
        <v>282804.22769096598</v>
      </c>
      <c r="R105" s="4">
        <v>782.75079597684601</v>
      </c>
      <c r="S105" s="4">
        <v>0</v>
      </c>
      <c r="T105" s="4">
        <v>0</v>
      </c>
      <c r="U105" s="4">
        <v>0.23700386519653299</v>
      </c>
      <c r="V105" s="4">
        <v>0</v>
      </c>
      <c r="W105" s="4">
        <v>0</v>
      </c>
      <c r="X105" s="4">
        <v>0.79464469760760403</v>
      </c>
      <c r="Y105" s="4">
        <v>0</v>
      </c>
      <c r="Z105" s="5">
        <v>3.7049835795720698E-4</v>
      </c>
      <c r="AA105" s="5">
        <v>7.99622513884031E-5</v>
      </c>
      <c r="AB105" s="10">
        <v>3.2937244156829699E-3</v>
      </c>
      <c r="AC105" s="10">
        <v>9.5781815070005294E-6</v>
      </c>
      <c r="AD105" s="10">
        <v>3.48784728490475E-2</v>
      </c>
      <c r="AE105" s="4">
        <v>3.54956959580311E-2</v>
      </c>
      <c r="AF105" s="4">
        <v>0.64955834700380599</v>
      </c>
      <c r="AG105" s="4">
        <v>0.925745359848127</v>
      </c>
      <c r="AH105" s="4">
        <v>0.99177366302185999</v>
      </c>
      <c r="AI105" s="4">
        <v>0.99928007458866497</v>
      </c>
      <c r="AJ105" s="4">
        <v>1</v>
      </c>
      <c r="AK105" s="4">
        <v>1</v>
      </c>
      <c r="AL105" s="4">
        <v>1</v>
      </c>
      <c r="AM105" s="4">
        <v>0</v>
      </c>
      <c r="AN105" s="4">
        <v>0</v>
      </c>
      <c r="AO105" s="4" t="s">
        <v>158</v>
      </c>
      <c r="AP105" s="4" t="s">
        <v>142</v>
      </c>
      <c r="AQ105" s="6">
        <v>3243198883.1599998</v>
      </c>
      <c r="AR105" s="4">
        <v>11468</v>
      </c>
      <c r="AS105" s="35">
        <v>100</v>
      </c>
      <c r="AT105" s="35">
        <v>0</v>
      </c>
      <c r="AU105" s="35">
        <v>100</v>
      </c>
      <c r="AV105" s="35">
        <v>0</v>
      </c>
      <c r="AW105" s="35">
        <v>0</v>
      </c>
      <c r="AX105" s="35">
        <v>0</v>
      </c>
    </row>
    <row r="106" spans="1:50" x14ac:dyDescent="0.25">
      <c r="A106">
        <v>96</v>
      </c>
      <c r="B106" s="4">
        <v>0.95957318102783695</v>
      </c>
      <c r="C106" s="4">
        <v>48.369596377810801</v>
      </c>
      <c r="D106" s="4">
        <v>39.055121274209</v>
      </c>
      <c r="E106" s="4">
        <v>5.3598412706150102E-2</v>
      </c>
      <c r="F106" s="5">
        <v>4.0426818972162201E-2</v>
      </c>
      <c r="G106" s="5">
        <v>0</v>
      </c>
      <c r="H106" s="4">
        <v>4.4317836238113202</v>
      </c>
      <c r="I106" s="4">
        <v>3.8676265510077199</v>
      </c>
      <c r="J106" s="4">
        <v>-17.320993079209501</v>
      </c>
      <c r="K106" s="4">
        <v>62.446297286987999</v>
      </c>
      <c r="L106" s="4">
        <v>14.268626514130199</v>
      </c>
      <c r="M106" s="4">
        <v>17.6770671298809</v>
      </c>
      <c r="N106" s="4">
        <v>67.785287572241003</v>
      </c>
      <c r="O106" s="4">
        <v>63.9974492191526</v>
      </c>
      <c r="P106" s="4">
        <v>299854.45417159802</v>
      </c>
      <c r="Q106" s="4">
        <v>279810.88457727898</v>
      </c>
      <c r="R106" s="4">
        <v>782.07668044917295</v>
      </c>
      <c r="S106" s="4">
        <v>0</v>
      </c>
      <c r="T106" s="4">
        <v>0</v>
      </c>
      <c r="U106" s="4">
        <v>0.24171010615210201</v>
      </c>
      <c r="V106" s="4">
        <v>0</v>
      </c>
      <c r="W106" s="4">
        <v>0</v>
      </c>
      <c r="X106" s="4">
        <v>0.76156550492223696</v>
      </c>
      <c r="Y106" s="4">
        <v>0</v>
      </c>
      <c r="Z106" s="5">
        <v>3.7112524651046702E-4</v>
      </c>
      <c r="AA106" s="5">
        <v>8.7893186284856796E-5</v>
      </c>
      <c r="AB106" s="10">
        <v>3.2842944252717502E-3</v>
      </c>
      <c r="AC106" s="10">
        <v>9.3430350650583807E-6</v>
      </c>
      <c r="AD106" s="10">
        <v>3.6674148741526497E-2</v>
      </c>
      <c r="AE106" s="4">
        <v>2.9339692511398899E-2</v>
      </c>
      <c r="AF106" s="4">
        <v>0.67731442117311702</v>
      </c>
      <c r="AG106" s="4">
        <v>0.95454811772368897</v>
      </c>
      <c r="AH106" s="4">
        <v>0.99351979788783495</v>
      </c>
      <c r="AI106" s="4">
        <v>0.99882704648656895</v>
      </c>
      <c r="AJ106" s="4">
        <v>1</v>
      </c>
      <c r="AK106" s="4">
        <v>1</v>
      </c>
      <c r="AL106" s="4">
        <v>1</v>
      </c>
      <c r="AM106" s="4">
        <v>0</v>
      </c>
      <c r="AN106" s="4">
        <v>0</v>
      </c>
      <c r="AO106" s="4" t="s">
        <v>159</v>
      </c>
      <c r="AP106" s="4" t="s">
        <v>143</v>
      </c>
      <c r="AQ106" s="6">
        <v>3197119167.1799998</v>
      </c>
      <c r="AR106" s="4">
        <v>11426</v>
      </c>
      <c r="AS106" s="35">
        <v>100</v>
      </c>
      <c r="AT106" s="35">
        <v>0</v>
      </c>
      <c r="AU106" s="35">
        <v>100</v>
      </c>
      <c r="AV106" s="35">
        <v>0</v>
      </c>
      <c r="AW106" s="35">
        <v>0</v>
      </c>
      <c r="AX106" s="35">
        <v>0</v>
      </c>
    </row>
    <row r="107" spans="1:50" x14ac:dyDescent="0.25">
      <c r="A107">
        <v>96</v>
      </c>
      <c r="B107" s="4">
        <v>0.95829378591478398</v>
      </c>
      <c r="C107" s="4">
        <v>47.925493066856397</v>
      </c>
      <c r="D107" s="4">
        <v>40.023093270854702</v>
      </c>
      <c r="E107" s="4">
        <v>5.29226930557508E-2</v>
      </c>
      <c r="F107" s="5">
        <v>4.1706214085215097E-2</v>
      </c>
      <c r="G107" s="5">
        <v>0</v>
      </c>
      <c r="H107" s="4">
        <v>4.5097981219902499</v>
      </c>
      <c r="I107" s="4">
        <v>3.89482555539964</v>
      </c>
      <c r="J107" s="4">
        <v>-15.446203343831399</v>
      </c>
      <c r="K107" s="4">
        <v>67.445448915326594</v>
      </c>
      <c r="L107" s="4">
        <v>14.4160261251638</v>
      </c>
      <c r="M107" s="4">
        <v>17.6566881545854</v>
      </c>
      <c r="N107" s="4">
        <v>68.110467174541498</v>
      </c>
      <c r="O107" s="4">
        <v>64.532312241362405</v>
      </c>
      <c r="P107" s="4">
        <v>297098.96043434</v>
      </c>
      <c r="Q107" s="4">
        <v>276954.947166753</v>
      </c>
      <c r="R107" s="4">
        <v>781.66657902828899</v>
      </c>
      <c r="S107" s="4">
        <v>0</v>
      </c>
      <c r="T107" s="4">
        <v>0</v>
      </c>
      <c r="U107" s="4">
        <v>0.254228066517388</v>
      </c>
      <c r="V107" s="4">
        <v>0</v>
      </c>
      <c r="W107" s="4">
        <v>0</v>
      </c>
      <c r="X107" s="4">
        <v>0.73625999345059401</v>
      </c>
      <c r="Y107" s="4">
        <v>0</v>
      </c>
      <c r="Z107" s="5">
        <v>3.71989587502219E-4</v>
      </c>
      <c r="AA107" s="5">
        <v>9.4553738037643696E-5</v>
      </c>
      <c r="AB107" s="10">
        <v>3.2602506065126601E-3</v>
      </c>
      <c r="AC107" s="10">
        <v>9.7938789659327808E-6</v>
      </c>
      <c r="AD107" s="10">
        <v>3.7969611824120397E-2</v>
      </c>
      <c r="AE107" s="4">
        <v>2.5062073782654199E-2</v>
      </c>
      <c r="AF107" s="4">
        <v>0.69109474801161197</v>
      </c>
      <c r="AG107" s="4">
        <v>0.95240100606831402</v>
      </c>
      <c r="AH107" s="4">
        <v>0.99394660007275604</v>
      </c>
      <c r="AI107" s="4">
        <v>0.99890570270480505</v>
      </c>
      <c r="AJ107" s="4">
        <v>1</v>
      </c>
      <c r="AK107" s="4">
        <v>1</v>
      </c>
      <c r="AL107" s="4">
        <v>1</v>
      </c>
      <c r="AM107" s="4">
        <v>0</v>
      </c>
      <c r="AN107" s="4">
        <v>0</v>
      </c>
      <c r="AO107" s="4" t="s">
        <v>160</v>
      </c>
      <c r="AP107" s="4" t="s">
        <v>144</v>
      </c>
      <c r="AQ107" s="6">
        <v>3195506180.4099998</v>
      </c>
      <c r="AR107" s="4">
        <v>11538</v>
      </c>
      <c r="AS107" s="35">
        <v>100</v>
      </c>
      <c r="AT107" s="35">
        <v>0</v>
      </c>
      <c r="AU107" s="35">
        <v>100</v>
      </c>
      <c r="AV107" s="35">
        <v>0</v>
      </c>
      <c r="AW107" s="35">
        <v>0</v>
      </c>
      <c r="AX107" s="35">
        <v>0</v>
      </c>
    </row>
    <row r="108" spans="1:50" x14ac:dyDescent="0.25">
      <c r="A108">
        <v>96</v>
      </c>
      <c r="B108" s="4">
        <v>0.95612858148193902</v>
      </c>
      <c r="C108" s="4">
        <v>47.771931061699398</v>
      </c>
      <c r="D108" s="4">
        <v>41.629204961924898</v>
      </c>
      <c r="E108" s="4">
        <v>5.2690271438472103E-2</v>
      </c>
      <c r="F108" s="5">
        <v>4.387141851806E-2</v>
      </c>
      <c r="G108" s="5">
        <v>0</v>
      </c>
      <c r="H108" s="4">
        <v>4.5482527043260799</v>
      </c>
      <c r="I108" s="4">
        <v>3.8964831504162998</v>
      </c>
      <c r="J108" s="4">
        <v>-14.6742583087022</v>
      </c>
      <c r="K108" s="4">
        <v>72.479370373158204</v>
      </c>
      <c r="L108" s="4">
        <v>14.1543271269607</v>
      </c>
      <c r="M108" s="4">
        <v>17.524573656182401</v>
      </c>
      <c r="N108" s="4">
        <v>66.514624655402002</v>
      </c>
      <c r="O108" s="4">
        <v>62.894369051918702</v>
      </c>
      <c r="P108" s="4">
        <v>301721.93935377902</v>
      </c>
      <c r="Q108" s="4">
        <v>282076.08606686199</v>
      </c>
      <c r="R108" s="4">
        <v>781.79004564438196</v>
      </c>
      <c r="S108" s="4">
        <v>0</v>
      </c>
      <c r="T108" s="4">
        <v>0</v>
      </c>
      <c r="U108" s="4">
        <v>0.265100723287716</v>
      </c>
      <c r="V108" s="4">
        <v>0</v>
      </c>
      <c r="W108" s="4">
        <v>0</v>
      </c>
      <c r="X108" s="4">
        <v>0.73703351105243498</v>
      </c>
      <c r="Y108" s="4">
        <v>0</v>
      </c>
      <c r="Z108" s="5">
        <v>3.7079032808332799E-4</v>
      </c>
      <c r="AA108" s="5">
        <v>9.7058761672469106E-5</v>
      </c>
      <c r="AB108" s="10">
        <v>3.2567594894791301E-3</v>
      </c>
      <c r="AC108" s="10">
        <v>1.05672511319059E-5</v>
      </c>
      <c r="AD108" s="10">
        <v>4.0136228078034103E-2</v>
      </c>
      <c r="AE108" s="4">
        <v>2.7329152941787602E-2</v>
      </c>
      <c r="AF108" s="4">
        <v>0.66455656359524595</v>
      </c>
      <c r="AG108" s="4">
        <v>0.95302023455429097</v>
      </c>
      <c r="AH108" s="4">
        <v>0.99348429604954802</v>
      </c>
      <c r="AI108" s="4">
        <v>0.99899334945250096</v>
      </c>
      <c r="AJ108" s="4">
        <v>1</v>
      </c>
      <c r="AK108" s="4">
        <v>1</v>
      </c>
      <c r="AL108" s="4">
        <v>1</v>
      </c>
      <c r="AM108" s="4">
        <v>0</v>
      </c>
      <c r="AN108" s="4">
        <v>0</v>
      </c>
      <c r="AO108" s="4" t="s">
        <v>73</v>
      </c>
      <c r="AP108" s="4" t="s">
        <v>74</v>
      </c>
      <c r="AQ108" s="6">
        <v>3265312772.3099999</v>
      </c>
      <c r="AR108" s="4">
        <v>11576</v>
      </c>
      <c r="AS108" s="35">
        <v>100</v>
      </c>
      <c r="AT108" s="35">
        <v>0</v>
      </c>
      <c r="AU108" s="35">
        <v>100</v>
      </c>
      <c r="AV108" s="35">
        <v>0</v>
      </c>
      <c r="AW108" s="35">
        <v>0</v>
      </c>
      <c r="AX108" s="35">
        <v>0</v>
      </c>
    </row>
    <row r="109" spans="1:50" x14ac:dyDescent="0.25">
      <c r="A109">
        <v>96</v>
      </c>
      <c r="B109" s="4">
        <v>0.95275069395009004</v>
      </c>
      <c r="C109" s="4">
        <v>45.532111301893998</v>
      </c>
      <c r="D109" s="4">
        <v>44.056287258858802</v>
      </c>
      <c r="E109" s="4">
        <v>4.9369570691126699E-2</v>
      </c>
      <c r="F109" s="5">
        <v>4.7249306049909102E-2</v>
      </c>
      <c r="G109" s="5">
        <v>0</v>
      </c>
      <c r="H109" s="4">
        <v>4.6624007580622404</v>
      </c>
      <c r="I109" s="4">
        <v>3.8812023842119201</v>
      </c>
      <c r="J109" s="4">
        <v>-11.629400870704201</v>
      </c>
      <c r="K109" s="4">
        <v>85.725601298003895</v>
      </c>
      <c r="L109" s="4">
        <v>14.263678266267499</v>
      </c>
      <c r="M109" s="4">
        <v>17.4699581389937</v>
      </c>
      <c r="N109" s="4">
        <v>66.823052017655598</v>
      </c>
      <c r="O109" s="4">
        <v>62.793046378455699</v>
      </c>
      <c r="P109" s="4">
        <v>299820.92559729097</v>
      </c>
      <c r="Q109" s="4">
        <v>279923.05168022099</v>
      </c>
      <c r="R109" s="4">
        <v>780.87265150673898</v>
      </c>
      <c r="S109" s="4">
        <v>0</v>
      </c>
      <c r="T109" s="4">
        <v>0</v>
      </c>
      <c r="U109" s="4">
        <v>0.28361720342178698</v>
      </c>
      <c r="V109" s="4">
        <v>0</v>
      </c>
      <c r="W109" s="4">
        <v>0</v>
      </c>
      <c r="X109" s="4">
        <v>0.688800980239475</v>
      </c>
      <c r="Y109" s="4">
        <v>0</v>
      </c>
      <c r="Z109" s="5">
        <v>3.7133159837476101E-4</v>
      </c>
      <c r="AA109" s="5">
        <v>1.0226099067827399E-4</v>
      </c>
      <c r="AB109" s="10">
        <v>3.3912551685042502E-3</v>
      </c>
      <c r="AC109" s="10">
        <v>1.9811066113694899E-5</v>
      </c>
      <c r="AD109" s="10">
        <v>4.3364632449329303E-2</v>
      </c>
      <c r="AE109" s="4">
        <v>3.3047616990733303E-2</v>
      </c>
      <c r="AF109" s="4">
        <v>0.60805324553493101</v>
      </c>
      <c r="AG109" s="4">
        <v>0.94290455916940397</v>
      </c>
      <c r="AH109" s="4">
        <v>0.98815348994589602</v>
      </c>
      <c r="AI109" s="4">
        <v>0.99809253628560402</v>
      </c>
      <c r="AJ109" s="4">
        <v>1</v>
      </c>
      <c r="AK109" s="4">
        <v>1</v>
      </c>
      <c r="AL109" s="4">
        <v>1</v>
      </c>
      <c r="AM109" s="4">
        <v>0</v>
      </c>
      <c r="AN109" s="4">
        <v>0</v>
      </c>
      <c r="AO109" s="4" t="s">
        <v>75</v>
      </c>
      <c r="AP109" s="4" t="s">
        <v>76</v>
      </c>
      <c r="AQ109" s="6">
        <v>10600685967.129999</v>
      </c>
      <c r="AR109" s="4">
        <v>37870</v>
      </c>
      <c r="AS109" s="35">
        <v>100</v>
      </c>
      <c r="AT109" s="35">
        <v>0</v>
      </c>
      <c r="AU109" s="35">
        <v>100</v>
      </c>
      <c r="AV109" s="35">
        <v>0</v>
      </c>
      <c r="AW109" s="35">
        <v>0</v>
      </c>
      <c r="AX109" s="35">
        <v>0</v>
      </c>
    </row>
    <row r="110" spans="1:50" x14ac:dyDescent="0.25">
      <c r="A110">
        <v>96</v>
      </c>
      <c r="B110" s="4">
        <v>0.948526950702827</v>
      </c>
      <c r="C110" s="4">
        <v>45.976159814405499</v>
      </c>
      <c r="D110" s="4">
        <v>46.960905476136801</v>
      </c>
      <c r="E110" s="4">
        <v>5.0017829692396397E-2</v>
      </c>
      <c r="F110" s="5">
        <v>5.1473049297172502E-2</v>
      </c>
      <c r="G110" s="5">
        <v>0</v>
      </c>
      <c r="H110" s="4">
        <v>4.8098024627067</v>
      </c>
      <c r="I110" s="4">
        <v>3.7732139760537602</v>
      </c>
      <c r="J110" s="4">
        <v>-7.4414365237572202</v>
      </c>
      <c r="K110" s="4">
        <v>111.841127420033</v>
      </c>
      <c r="L110" s="4">
        <v>14.857223173012001</v>
      </c>
      <c r="M110" s="4">
        <v>18.525971858390701</v>
      </c>
      <c r="N110" s="4">
        <v>70.250322221143804</v>
      </c>
      <c r="O110" s="4">
        <v>64.563395961257299</v>
      </c>
      <c r="P110" s="4">
        <v>288498.39952982502</v>
      </c>
      <c r="Q110" s="4">
        <v>268749.73839493701</v>
      </c>
      <c r="R110" s="4">
        <v>779.33853848354897</v>
      </c>
      <c r="S110" s="4">
        <v>0</v>
      </c>
      <c r="T110" s="4">
        <v>0</v>
      </c>
      <c r="U110" s="4">
        <v>0.29596417766389199</v>
      </c>
      <c r="V110" s="4">
        <v>0</v>
      </c>
      <c r="W110" s="4">
        <v>0</v>
      </c>
      <c r="X110" s="4">
        <v>0.61203176448507202</v>
      </c>
      <c r="Y110" s="4">
        <v>0</v>
      </c>
      <c r="Z110" s="5">
        <v>3.7255201993142902E-4</v>
      </c>
      <c r="AA110" s="5">
        <v>1.4112414258563E-4</v>
      </c>
      <c r="AB110" s="10">
        <v>3.7132072796765702E-3</v>
      </c>
      <c r="AC110" s="10">
        <v>3.7525450168724303E-5</v>
      </c>
      <c r="AD110" s="10">
        <v>4.7208625628281903E-2</v>
      </c>
      <c r="AE110" s="4">
        <v>5.5389770163939998E-2</v>
      </c>
      <c r="AF110" s="4">
        <v>0.43412950139178902</v>
      </c>
      <c r="AG110" s="4">
        <v>0.91721411599384695</v>
      </c>
      <c r="AH110" s="4">
        <v>0.98471726834859197</v>
      </c>
      <c r="AI110" s="4">
        <v>0.99692893713279895</v>
      </c>
      <c r="AJ110" s="4">
        <v>1</v>
      </c>
      <c r="AK110" s="4">
        <v>1</v>
      </c>
      <c r="AL110" s="4">
        <v>1</v>
      </c>
      <c r="AM110" s="4">
        <v>0</v>
      </c>
      <c r="AN110" s="4">
        <v>0</v>
      </c>
      <c r="AO110" s="4" t="s">
        <v>77</v>
      </c>
      <c r="AP110" s="4" t="s">
        <v>78</v>
      </c>
      <c r="AQ110" s="6">
        <v>5605850793.1800003</v>
      </c>
      <c r="AR110" s="4">
        <v>20859</v>
      </c>
      <c r="AS110" s="35">
        <v>100</v>
      </c>
      <c r="AT110" s="35">
        <v>0</v>
      </c>
      <c r="AU110" s="35">
        <v>100</v>
      </c>
      <c r="AV110" s="35">
        <v>0</v>
      </c>
      <c r="AW110" s="35">
        <v>0</v>
      </c>
      <c r="AX110" s="35">
        <v>0</v>
      </c>
    </row>
    <row r="111" spans="1:50" x14ac:dyDescent="0.25">
      <c r="A111">
        <v>96</v>
      </c>
      <c r="B111" s="4">
        <v>0.944740410161098</v>
      </c>
      <c r="C111" s="4">
        <v>46.445828850119199</v>
      </c>
      <c r="D111" s="4">
        <v>49.446653938431801</v>
      </c>
      <c r="E111" s="4">
        <v>5.0708828636725899E-2</v>
      </c>
      <c r="F111" s="5">
        <v>5.5259589838901398E-2</v>
      </c>
      <c r="G111" s="5">
        <v>0</v>
      </c>
      <c r="H111" s="4">
        <v>4.8751132039323899</v>
      </c>
      <c r="I111" s="4">
        <v>3.67285178800002</v>
      </c>
      <c r="J111" s="4">
        <v>-6.6141340611155002</v>
      </c>
      <c r="K111" s="4">
        <v>134.38012833370499</v>
      </c>
      <c r="L111" s="4">
        <v>14.3457805216651</v>
      </c>
      <c r="M111" s="4">
        <v>20.089316977040401</v>
      </c>
      <c r="N111" s="4">
        <v>70.828108702004698</v>
      </c>
      <c r="O111" s="4">
        <v>63.203937214430603</v>
      </c>
      <c r="P111" s="4">
        <v>297191.68095627398</v>
      </c>
      <c r="Q111" s="4">
        <v>278333.37694116298</v>
      </c>
      <c r="R111" s="4">
        <v>778.26630445724504</v>
      </c>
      <c r="S111" s="4">
        <v>0</v>
      </c>
      <c r="T111" s="4">
        <v>0</v>
      </c>
      <c r="U111" s="4">
        <v>0.28990563164626798</v>
      </c>
      <c r="V111" s="4">
        <v>0</v>
      </c>
      <c r="W111" s="4">
        <v>0</v>
      </c>
      <c r="X111" s="4">
        <v>0.61239394662883295</v>
      </c>
      <c r="Y111" s="4">
        <v>0</v>
      </c>
      <c r="Z111" s="5">
        <v>3.7406374053973901E-4</v>
      </c>
      <c r="AA111" s="5">
        <v>1.6790868538940501E-4</v>
      </c>
      <c r="AB111" s="10">
        <v>3.6872171162979799E-3</v>
      </c>
      <c r="AC111" s="10">
        <v>8.6066983179524E-5</v>
      </c>
      <c r="AD111" s="10">
        <v>5.0944318200031001E-2</v>
      </c>
      <c r="AE111" s="4">
        <v>8.5651886847995795E-2</v>
      </c>
      <c r="AF111" s="4">
        <v>0.28122861923500297</v>
      </c>
      <c r="AG111" s="4">
        <v>0.86979568030750198</v>
      </c>
      <c r="AH111" s="4">
        <v>0.966142212100774</v>
      </c>
      <c r="AI111" s="4">
        <v>0.99609320606458096</v>
      </c>
      <c r="AJ111" s="4">
        <v>1</v>
      </c>
      <c r="AK111" s="4">
        <v>1</v>
      </c>
      <c r="AL111" s="4">
        <v>1</v>
      </c>
      <c r="AM111" s="4">
        <v>0</v>
      </c>
      <c r="AN111" s="4">
        <v>0</v>
      </c>
      <c r="AO111" s="4" t="s">
        <v>79</v>
      </c>
      <c r="AP111" s="4" t="s">
        <v>80</v>
      </c>
      <c r="AQ111" s="6">
        <v>2616055409.8699999</v>
      </c>
      <c r="AR111" s="4">
        <v>9399</v>
      </c>
      <c r="AS111" s="35">
        <v>100</v>
      </c>
      <c r="AT111" s="35">
        <v>0</v>
      </c>
      <c r="AU111" s="35">
        <v>100</v>
      </c>
      <c r="AV111" s="35">
        <v>0</v>
      </c>
      <c r="AW111" s="35">
        <v>0</v>
      </c>
      <c r="AX111" s="35">
        <v>0</v>
      </c>
    </row>
    <row r="112" spans="1:50" x14ac:dyDescent="0.25">
      <c r="A112">
        <v>96</v>
      </c>
      <c r="B112" s="4">
        <v>0.94026720549706999</v>
      </c>
      <c r="C112" s="4">
        <v>44.242835662966101</v>
      </c>
      <c r="D112" s="4">
        <v>52.245371668322299</v>
      </c>
      <c r="E112" s="4">
        <v>4.7514462955103302E-2</v>
      </c>
      <c r="F112" s="5">
        <v>5.9732794502929898E-2</v>
      </c>
      <c r="G112" s="5">
        <v>0</v>
      </c>
      <c r="H112" s="4">
        <v>5.0228990838490102</v>
      </c>
      <c r="I112" s="4">
        <v>3.6711342065528298</v>
      </c>
      <c r="J112" s="4">
        <v>6.8476451351644396</v>
      </c>
      <c r="K112" s="4">
        <v>160.18516166213001</v>
      </c>
      <c r="L112" s="4">
        <v>14.050935964014</v>
      </c>
      <c r="M112" s="4">
        <v>20.067577183632402</v>
      </c>
      <c r="N112" s="4">
        <v>78.702584894491594</v>
      </c>
      <c r="O112" s="4">
        <v>68.818308900589201</v>
      </c>
      <c r="P112" s="4">
        <v>302497.44945458398</v>
      </c>
      <c r="Q112" s="4">
        <v>284181.93619109102</v>
      </c>
      <c r="R112" s="4">
        <v>777.14943247241695</v>
      </c>
      <c r="S112" s="4">
        <v>0</v>
      </c>
      <c r="T112" s="4">
        <v>0</v>
      </c>
      <c r="U112" s="4">
        <v>0.23643044410942601</v>
      </c>
      <c r="V112" s="4">
        <v>0</v>
      </c>
      <c r="W112" s="4">
        <v>0</v>
      </c>
      <c r="X112" s="4">
        <v>0.52204473215818603</v>
      </c>
      <c r="Y112" s="4">
        <v>0</v>
      </c>
      <c r="Z112" s="5">
        <v>3.7364660821713198E-4</v>
      </c>
      <c r="AA112" s="5">
        <v>2.4360028836634701E-4</v>
      </c>
      <c r="AB112" s="10">
        <v>3.8902341285462E-3</v>
      </c>
      <c r="AC112" s="10">
        <v>1.3030684466215601E-4</v>
      </c>
      <c r="AD112" s="10">
        <v>5.5094991448347098E-2</v>
      </c>
      <c r="AE112" s="4">
        <v>0.107049235597792</v>
      </c>
      <c r="AF112" s="4">
        <v>0.157129082402062</v>
      </c>
      <c r="AG112" s="4">
        <v>0.78788788066198401</v>
      </c>
      <c r="AH112" s="4">
        <v>0.94414222667681402</v>
      </c>
      <c r="AI112" s="4">
        <v>0.98989339820335798</v>
      </c>
      <c r="AJ112" s="4">
        <v>1</v>
      </c>
      <c r="AK112" s="4">
        <v>1</v>
      </c>
      <c r="AL112" s="4">
        <v>1</v>
      </c>
      <c r="AM112" s="4">
        <v>0</v>
      </c>
      <c r="AN112" s="4">
        <v>0</v>
      </c>
      <c r="AO112" s="4" t="s">
        <v>81</v>
      </c>
      <c r="AP112" s="4" t="s">
        <v>82</v>
      </c>
      <c r="AQ112" s="6">
        <v>440197819.16000003</v>
      </c>
      <c r="AR112" s="4">
        <v>1549</v>
      </c>
      <c r="AS112" s="35">
        <v>100</v>
      </c>
      <c r="AT112" s="35">
        <v>0</v>
      </c>
      <c r="AU112" s="35">
        <v>100</v>
      </c>
      <c r="AV112" s="35">
        <v>0</v>
      </c>
      <c r="AW112" s="35">
        <v>0</v>
      </c>
      <c r="AX112" s="35">
        <v>0</v>
      </c>
    </row>
    <row r="113" spans="1:50" x14ac:dyDescent="0.25">
      <c r="A113">
        <v>96</v>
      </c>
      <c r="B113" s="4">
        <v>0.93666933124833895</v>
      </c>
      <c r="C113" s="4">
        <v>53.130436470808498</v>
      </c>
      <c r="D113" s="4">
        <v>54.392569214836101</v>
      </c>
      <c r="E113" s="4">
        <v>6.1197489207662902E-2</v>
      </c>
      <c r="F113" s="5">
        <v>6.3330668751660102E-2</v>
      </c>
      <c r="G113" s="5">
        <v>0</v>
      </c>
      <c r="H113" s="4">
        <v>5.0468119636960296</v>
      </c>
      <c r="I113" s="4">
        <v>3.6581714092980402</v>
      </c>
      <c r="J113" s="4">
        <v>6.4300908512944703</v>
      </c>
      <c r="K113" s="4">
        <v>183.94350489017</v>
      </c>
      <c r="L113" s="4">
        <v>13.8846846311134</v>
      </c>
      <c r="M113" s="4">
        <v>20.4863828371568</v>
      </c>
      <c r="N113" s="4">
        <v>85.498758550909699</v>
      </c>
      <c r="O113" s="4">
        <v>72.570640434086698</v>
      </c>
      <c r="P113" s="4">
        <v>305684.75228504901</v>
      </c>
      <c r="Q113" s="4">
        <v>287591.89741071401</v>
      </c>
      <c r="R113" s="4">
        <v>777.65331003001995</v>
      </c>
      <c r="S113" s="4">
        <v>0</v>
      </c>
      <c r="T113" s="4">
        <v>0</v>
      </c>
      <c r="U113" s="4">
        <v>0.23252351468115601</v>
      </c>
      <c r="V113" s="4">
        <v>0</v>
      </c>
      <c r="W113" s="4">
        <v>0</v>
      </c>
      <c r="X113" s="4">
        <v>0.402000486106938</v>
      </c>
      <c r="Y113" s="4">
        <v>0</v>
      </c>
      <c r="Z113" s="5">
        <v>3.7498083586438299E-4</v>
      </c>
      <c r="AA113" s="5">
        <v>3.2210145234887899E-4</v>
      </c>
      <c r="AB113" s="10">
        <v>4.1021818581568103E-3</v>
      </c>
      <c r="AC113" s="10">
        <v>3.5720283658052701E-4</v>
      </c>
      <c r="AD113" s="10">
        <v>5.8174185740315E-2</v>
      </c>
      <c r="AE113" s="4">
        <v>0.139428074325575</v>
      </c>
      <c r="AF113" s="4">
        <v>3.5231054369169602E-2</v>
      </c>
      <c r="AG113" s="4">
        <v>0.62060278239097899</v>
      </c>
      <c r="AH113" s="4">
        <v>0.85157551067931403</v>
      </c>
      <c r="AI113" s="4">
        <v>0.98674363275235299</v>
      </c>
      <c r="AJ113" s="4">
        <v>1</v>
      </c>
      <c r="AK113" s="4">
        <v>1</v>
      </c>
      <c r="AL113" s="4">
        <v>1</v>
      </c>
      <c r="AM113" s="4">
        <v>0</v>
      </c>
      <c r="AN113" s="4">
        <v>0</v>
      </c>
      <c r="AO113" s="4" t="s">
        <v>83</v>
      </c>
      <c r="AP113" s="4" t="s">
        <v>84</v>
      </c>
      <c r="AQ113" s="6">
        <v>96630877.530000001</v>
      </c>
      <c r="AR113" s="4">
        <v>336</v>
      </c>
      <c r="AS113" s="35">
        <v>100</v>
      </c>
      <c r="AT113" s="35">
        <v>0</v>
      </c>
      <c r="AU113" s="35">
        <v>100</v>
      </c>
      <c r="AV113" s="35">
        <v>0</v>
      </c>
      <c r="AW113" s="35">
        <v>0</v>
      </c>
      <c r="AX113" s="35">
        <v>0</v>
      </c>
    </row>
    <row r="114" spans="1:50" x14ac:dyDescent="0.25">
      <c r="A114">
        <v>96</v>
      </c>
      <c r="B114" s="4">
        <v>0.93636926990483904</v>
      </c>
      <c r="C114" s="4">
        <v>47.495830730037397</v>
      </c>
      <c r="D114" s="4">
        <v>54.567584327958102</v>
      </c>
      <c r="E114" s="4">
        <v>5.2273954856408698E-2</v>
      </c>
      <c r="F114" s="5">
        <v>6.3630730095160598E-2</v>
      </c>
      <c r="G114" s="5">
        <v>0</v>
      </c>
      <c r="H114" s="4">
        <v>5.1962175270796997</v>
      </c>
      <c r="I114" s="4">
        <v>3.6487087980292801</v>
      </c>
      <c r="J114" s="4">
        <v>17.288719989476</v>
      </c>
      <c r="K114" s="4">
        <v>209.552293094823</v>
      </c>
      <c r="L114" s="4">
        <v>14.525860365374999</v>
      </c>
      <c r="M114" s="4">
        <v>20.792683089257899</v>
      </c>
      <c r="N114" s="4">
        <v>90.1202353104606</v>
      </c>
      <c r="O114" s="4">
        <v>75.175750153318802</v>
      </c>
      <c r="P114" s="4">
        <v>294450.39719337702</v>
      </c>
      <c r="Q114" s="4">
        <v>274910.83289473603</v>
      </c>
      <c r="R114" s="4">
        <v>775.395165462573</v>
      </c>
      <c r="S114" s="4">
        <v>0</v>
      </c>
      <c r="T114" s="4">
        <v>0</v>
      </c>
      <c r="U114" s="4">
        <v>8.3777428444944596E-2</v>
      </c>
      <c r="V114" s="4">
        <v>0</v>
      </c>
      <c r="W114" s="4">
        <v>0</v>
      </c>
      <c r="X114" s="4">
        <v>0.28831944805759002</v>
      </c>
      <c r="Y114" s="4">
        <v>0</v>
      </c>
      <c r="Z114" s="5">
        <v>3.7198763570191602E-4</v>
      </c>
      <c r="AA114" s="5">
        <v>3.7985114570584198E-4</v>
      </c>
      <c r="AB114" s="10">
        <v>4.3843365412793598E-3</v>
      </c>
      <c r="AC114" s="10">
        <v>5.94536303158278E-4</v>
      </c>
      <c r="AD114" s="10">
        <v>5.79000011237982E-2</v>
      </c>
      <c r="AE114" s="4">
        <v>0.16459064505952101</v>
      </c>
      <c r="AF114" s="4">
        <v>0</v>
      </c>
      <c r="AG114" s="4">
        <v>0.467143527346496</v>
      </c>
      <c r="AH114" s="4">
        <v>0.67606014482217303</v>
      </c>
      <c r="AI114" s="4">
        <v>0.98161704517847104</v>
      </c>
      <c r="AJ114" s="4">
        <v>1</v>
      </c>
      <c r="AK114" s="4">
        <v>1</v>
      </c>
      <c r="AL114" s="4">
        <v>1</v>
      </c>
      <c r="AM114" s="4">
        <v>0</v>
      </c>
      <c r="AN114" s="4">
        <v>0</v>
      </c>
      <c r="AO114" s="4" t="s">
        <v>85</v>
      </c>
      <c r="AP114" s="4" t="s">
        <v>86</v>
      </c>
      <c r="AQ114" s="6">
        <v>20893223.300000001</v>
      </c>
      <c r="AR114" s="4">
        <v>76</v>
      </c>
      <c r="AS114" s="35">
        <v>100</v>
      </c>
      <c r="AT114" s="35">
        <v>0</v>
      </c>
      <c r="AU114" s="35">
        <v>100</v>
      </c>
      <c r="AV114" s="35">
        <v>0</v>
      </c>
      <c r="AW114" s="35">
        <v>0</v>
      </c>
      <c r="AX114" s="35">
        <v>0</v>
      </c>
    </row>
    <row r="115" spans="1:50" x14ac:dyDescent="0.25">
      <c r="B115" s="4"/>
      <c r="C115" s="4"/>
      <c r="D115" s="4"/>
      <c r="E115" s="4"/>
      <c r="F115" s="5"/>
      <c r="G115" s="5"/>
      <c r="H115" s="4"/>
      <c r="I115" s="4"/>
      <c r="J115" s="4"/>
      <c r="K115" s="4"/>
      <c r="L115" s="4"/>
      <c r="M115" s="4"/>
      <c r="N115" s="4"/>
      <c r="O115" s="4"/>
      <c r="P115" s="4"/>
      <c r="Q115" s="4"/>
      <c r="R115" s="4"/>
      <c r="S115" s="4"/>
      <c r="T115" s="4"/>
      <c r="U115" s="4"/>
      <c r="V115" s="4"/>
      <c r="W115" s="4"/>
      <c r="X115" s="4"/>
      <c r="Y115" s="4"/>
      <c r="Z115" s="5"/>
      <c r="AA115" s="5"/>
      <c r="AB115" s="10"/>
      <c r="AC115" s="10"/>
      <c r="AD115" s="10"/>
      <c r="AE115" s="4"/>
      <c r="AF115" s="4"/>
      <c r="AG115" s="4"/>
      <c r="AH115" s="4"/>
      <c r="AI115" s="4"/>
      <c r="AJ115" s="4"/>
      <c r="AK115" s="4"/>
      <c r="AL115" s="4"/>
      <c r="AM115" s="4"/>
      <c r="AN115" s="4"/>
      <c r="AO115" s="4"/>
      <c r="AP115" s="4"/>
      <c r="AQ115" s="6"/>
      <c r="AR115" s="4"/>
      <c r="AS115" s="35"/>
      <c r="AT115" s="35"/>
      <c r="AU115" s="35"/>
      <c r="AV115" s="35"/>
      <c r="AW115" s="35"/>
      <c r="AX115" s="35"/>
    </row>
    <row r="116" spans="1:50" x14ac:dyDescent="0.25">
      <c r="B116" s="4"/>
      <c r="C116" s="4"/>
      <c r="D116" s="4"/>
      <c r="E116" s="4"/>
      <c r="F116" s="5"/>
      <c r="G116" s="5"/>
      <c r="H116" s="4"/>
      <c r="I116" s="4"/>
      <c r="J116" s="4"/>
      <c r="K116" s="4"/>
      <c r="L116" s="4"/>
      <c r="M116" s="4"/>
      <c r="N116" s="4"/>
      <c r="O116" s="4"/>
      <c r="P116" s="4"/>
      <c r="Q116" s="4"/>
      <c r="R116" s="4"/>
      <c r="S116" s="4"/>
      <c r="T116" s="4"/>
      <c r="U116" s="4"/>
      <c r="V116" s="4"/>
      <c r="W116" s="4"/>
      <c r="X116" s="4"/>
      <c r="Y116" s="4"/>
      <c r="Z116" s="5"/>
      <c r="AA116" s="5"/>
      <c r="AB116" s="10"/>
      <c r="AC116" s="10"/>
      <c r="AD116" s="10"/>
      <c r="AE116" s="4"/>
      <c r="AF116" s="4"/>
      <c r="AG116" s="4"/>
      <c r="AH116" s="4"/>
      <c r="AI116" s="4"/>
      <c r="AJ116" s="4"/>
      <c r="AK116" s="4"/>
      <c r="AL116" s="4"/>
      <c r="AM116" s="4"/>
      <c r="AN116" s="4"/>
      <c r="AO116" s="4"/>
      <c r="AP116" s="4"/>
      <c r="AQ116" s="6"/>
      <c r="AR116" s="4"/>
      <c r="AS116" s="35"/>
      <c r="AT116" s="35"/>
      <c r="AU116" s="35"/>
      <c r="AV116" s="35"/>
      <c r="AW116" s="35"/>
      <c r="AX116" s="35"/>
    </row>
    <row r="117" spans="1:50" x14ac:dyDescent="0.25">
      <c r="B117" s="4"/>
      <c r="C117" s="4"/>
      <c r="D117" s="4"/>
      <c r="E117" s="4"/>
      <c r="F117" s="5"/>
      <c r="G117" s="5"/>
      <c r="H117" s="4"/>
      <c r="I117" s="4"/>
      <c r="J117" s="4"/>
      <c r="K117" s="4"/>
      <c r="L117" s="4" t="s">
        <v>168</v>
      </c>
      <c r="M117" s="36" t="s">
        <v>167</v>
      </c>
      <c r="N117" s="4"/>
      <c r="O117" s="4"/>
      <c r="P117" s="4"/>
      <c r="Q117" s="4"/>
      <c r="R117" s="4"/>
      <c r="S117" s="4"/>
      <c r="T117" s="4"/>
      <c r="U117" s="4"/>
      <c r="V117" s="4"/>
      <c r="W117" s="4"/>
      <c r="X117" s="4"/>
      <c r="Y117" s="4"/>
      <c r="Z117" s="5"/>
      <c r="AA117" s="5"/>
      <c r="AB117" s="10"/>
      <c r="AC117" s="10"/>
      <c r="AD117" s="10"/>
      <c r="AE117" s="4"/>
      <c r="AF117" s="4"/>
      <c r="AG117" s="4"/>
      <c r="AH117" s="4"/>
      <c r="AI117" s="4"/>
      <c r="AJ117" s="4"/>
      <c r="AK117" s="4"/>
      <c r="AL117" s="4"/>
      <c r="AM117" s="4"/>
      <c r="AN117" s="4"/>
      <c r="AO117" s="4"/>
      <c r="AP117" s="4"/>
      <c r="AQ117" s="6"/>
      <c r="AR117" s="4"/>
      <c r="AS117" s="35"/>
      <c r="AT117" s="35"/>
      <c r="AU117" s="35"/>
      <c r="AV117" s="35"/>
      <c r="AW117" s="35"/>
      <c r="AX117" s="35"/>
    </row>
    <row r="118" spans="1:50" x14ac:dyDescent="0.25">
      <c r="L118" t="s">
        <v>161</v>
      </c>
      <c r="M118" s="4">
        <v>1.05</v>
      </c>
    </row>
    <row r="119" spans="1:50" x14ac:dyDescent="0.25">
      <c r="M119" s="4"/>
    </row>
    <row r="120" spans="1:50" x14ac:dyDescent="0.25">
      <c r="K120" t="s">
        <v>102</v>
      </c>
      <c r="L120" t="s">
        <v>90</v>
      </c>
      <c r="M120" t="s">
        <v>91</v>
      </c>
      <c r="R120" t="s">
        <v>102</v>
      </c>
      <c r="W120" t="s">
        <v>90</v>
      </c>
      <c r="AB120" t="s">
        <v>91</v>
      </c>
    </row>
    <row r="121" spans="1:50" x14ac:dyDescent="0.25">
      <c r="A121" s="4" t="s">
        <v>95</v>
      </c>
      <c r="B121" t="str">
        <f>AQ86</f>
        <v>Balance</v>
      </c>
      <c r="C121" s="2" t="str">
        <f t="shared" ref="C121:C149" si="15">AO86</f>
        <v>groupByColumn</v>
      </c>
      <c r="D121" t="str">
        <f>E86</f>
        <v>PREPAY_SMM1</v>
      </c>
      <c r="E121" t="str">
        <f>F86</f>
        <v>PREPAY_TRACKING_SMM1</v>
      </c>
      <c r="F121" t="s">
        <v>92</v>
      </c>
      <c r="G121" t="str">
        <f>C86</f>
        <v>PREPAY_CPR1</v>
      </c>
      <c r="H121" t="str">
        <f>D86</f>
        <v>PREPAY_TRACKING_CPR1</v>
      </c>
      <c r="K121" t="s">
        <v>93</v>
      </c>
      <c r="L121" t="s">
        <v>93</v>
      </c>
      <c r="M121" t="s">
        <v>93</v>
      </c>
      <c r="N121" t="s">
        <v>100</v>
      </c>
      <c r="O121" t="s">
        <v>101</v>
      </c>
      <c r="P121" t="s">
        <v>92</v>
      </c>
      <c r="R121" t="s">
        <v>96</v>
      </c>
      <c r="T121" t="s">
        <v>94</v>
      </c>
      <c r="U121" t="s">
        <v>99</v>
      </c>
      <c r="W121" t="s">
        <v>96</v>
      </c>
      <c r="X121" t="s">
        <v>103</v>
      </c>
      <c r="Y121" t="s">
        <v>94</v>
      </c>
      <c r="Z121" t="s">
        <v>99</v>
      </c>
      <c r="AB121" t="s">
        <v>96</v>
      </c>
      <c r="AC121" t="s">
        <v>103</v>
      </c>
      <c r="AD121" t="s">
        <v>94</v>
      </c>
      <c r="AE121" t="s">
        <v>99</v>
      </c>
    </row>
    <row r="122" spans="1:50" s="17" customFormat="1" x14ac:dyDescent="0.25">
      <c r="A122" s="15">
        <f t="shared" ref="A122:A149" si="16">K87</f>
        <v>-56.6828166580963</v>
      </c>
      <c r="B122" s="22">
        <f t="shared" ref="B122:B149" si="17">AQ87/1000000000</f>
        <v>1.7345799499999998E-2</v>
      </c>
      <c r="C122" s="23" t="str">
        <f t="shared" si="15"/>
        <v>06:-75--50</v>
      </c>
      <c r="D122" s="16">
        <f>E87</f>
        <v>3.3059470385520201E-3</v>
      </c>
      <c r="E122" s="16">
        <f t="shared" ref="E122:E149" si="18">Z87+AA87+AB87+AC87+AD87</f>
        <v>8.1715666722458231E-3</v>
      </c>
      <c r="F122" s="22">
        <f t="shared" ref="F122:F149" si="19">D122/E122</f>
        <v>0.40456710091841347</v>
      </c>
      <c r="G122" s="23">
        <f t="shared" ref="G122:H137" si="20">(1-(1-D122)^12)*100</f>
        <v>3.8957921743367208</v>
      </c>
      <c r="H122" s="23">
        <f t="shared" si="20"/>
        <v>9.3769547908614257</v>
      </c>
      <c r="K122" s="15">
        <f t="shared" ref="K122:K123" si="21">VLOOKUP(C122,$C$44:$M$62,9,0)</f>
        <v>1</v>
      </c>
      <c r="L122" s="15">
        <f t="shared" ref="L122:L123" si="22">VLOOKUP(C122,$C$44:$M$62,10,0)</f>
        <v>1</v>
      </c>
      <c r="M122" s="15">
        <f t="shared" ref="M122:M123" si="23">VLOOKUP(C122,$C$44:$M$62,11,0)</f>
        <v>0.5</v>
      </c>
      <c r="N122" s="16">
        <f>Z87+AA87+AB87*K122+AC87*L122+AD87*M122*$M$118</f>
        <v>5.8967502121036585E-3</v>
      </c>
      <c r="O122" s="23">
        <f t="shared" ref="O122:O149" si="24">100*(1-(1-N122)^12)</f>
        <v>6.8510588660603666</v>
      </c>
      <c r="P122" s="24">
        <f t="shared" ref="P122:P149" si="25">D122/N122</f>
        <v>0.56063881284410511</v>
      </c>
      <c r="S122" s="18">
        <f t="shared" ref="S122:S130" si="26">A122</f>
        <v>-56.6828166580963</v>
      </c>
      <c r="T122" s="16">
        <f>VLOOKUP(ROUNDDOWN(S122,0),'Spline Pre-Adj'!A:B,2,0)</f>
        <v>1.2795488639999999</v>
      </c>
      <c r="U122" s="16">
        <f t="shared" ref="U122:U130" si="27">T122*K122</f>
        <v>1.2795488639999999</v>
      </c>
      <c r="X122" s="18">
        <f t="shared" ref="X122:X149" si="28">A122</f>
        <v>-56.6828166580963</v>
      </c>
      <c r="Y122" s="16">
        <f>VLOOKUP(ROUNDDOWN(X122,0),'Spline Pre-Adj'!F:G,2,0)</f>
        <v>0.18862313043478299</v>
      </c>
      <c r="Z122" s="16">
        <f t="shared" ref="Z122:Z149" si="29">Y122*L122</f>
        <v>0.18862313043478299</v>
      </c>
      <c r="AC122" s="18">
        <f t="shared" ref="AC122:AC149" si="30">A122</f>
        <v>-56.6828166580963</v>
      </c>
      <c r="AD122" s="16">
        <f>VLOOKUP(ROUNDDOWN(AC122,0),'Spline Pre-Adj'!K:L,2,0)</f>
        <v>0</v>
      </c>
      <c r="AE122" s="16">
        <f t="shared" ref="AE122:AE149" si="31">AD122*M122</f>
        <v>0</v>
      </c>
    </row>
    <row r="123" spans="1:50" s="17" customFormat="1" x14ac:dyDescent="0.25">
      <c r="A123" s="15">
        <f t="shared" si="16"/>
        <v>-32.1513166220317</v>
      </c>
      <c r="B123" s="22">
        <f t="shared" si="17"/>
        <v>0.18285968750999998</v>
      </c>
      <c r="C123" s="23" t="str">
        <f t="shared" si="15"/>
        <v>07:-50--25</v>
      </c>
      <c r="D123" s="16">
        <f>E88</f>
        <v>2.15820999762718E-3</v>
      </c>
      <c r="E123" s="16">
        <f t="shared" si="18"/>
        <v>8.5332226829159582E-3</v>
      </c>
      <c r="F123" s="22">
        <f t="shared" si="19"/>
        <v>0.25291851365229817</v>
      </c>
      <c r="G123" s="23">
        <f t="shared" si="20"/>
        <v>2.5593301408862734</v>
      </c>
      <c r="H123" s="23">
        <f t="shared" si="20"/>
        <v>9.7726932334566641</v>
      </c>
      <c r="K123" s="15">
        <f t="shared" si="21"/>
        <v>1</v>
      </c>
      <c r="L123" s="15">
        <f t="shared" si="22"/>
        <v>1</v>
      </c>
      <c r="M123" s="15">
        <f t="shared" si="23"/>
        <v>0.5</v>
      </c>
      <c r="N123" s="16">
        <f>Z88+AA88+AB88*K123+AC88*L123+AD88*M123*$M$118</f>
        <v>5.9283591842775631E-3</v>
      </c>
      <c r="O123" s="23">
        <f t="shared" si="24"/>
        <v>6.8865943390840512</v>
      </c>
      <c r="P123" s="24">
        <f t="shared" si="25"/>
        <v>0.36404845430939964</v>
      </c>
      <c r="S123" s="18">
        <f t="shared" si="26"/>
        <v>-32.1513166220317</v>
      </c>
      <c r="T123" s="16">
        <f>VLOOKUP(ROUNDDOWN(S123,0),'Spline Pre-Adj'!A:B,2,0)</f>
        <v>1.2869999999999999</v>
      </c>
      <c r="U123" s="16">
        <f t="shared" si="27"/>
        <v>1.2869999999999999</v>
      </c>
      <c r="X123" s="18">
        <f t="shared" si="28"/>
        <v>-32.1513166220317</v>
      </c>
      <c r="Y123" s="16">
        <f>VLOOKUP(ROUNDDOWN(X123,0),'Spline Pre-Adj'!F:G,2,0)</f>
        <v>0.3115</v>
      </c>
      <c r="Z123" s="16">
        <f t="shared" si="29"/>
        <v>0.3115</v>
      </c>
      <c r="AC123" s="18">
        <f t="shared" si="30"/>
        <v>-32.1513166220317</v>
      </c>
      <c r="AD123" s="16">
        <f>VLOOKUP(ROUNDDOWN(AC123,0),'Spline Pre-Adj'!K:L,2,0)</f>
        <v>0.43003693731507903</v>
      </c>
      <c r="AE123" s="16">
        <f t="shared" si="31"/>
        <v>0.21501846865753951</v>
      </c>
    </row>
    <row r="124" spans="1:50" x14ac:dyDescent="0.25">
      <c r="A124" s="4">
        <f t="shared" si="16"/>
        <v>-22.234952986481101</v>
      </c>
      <c r="B124" s="3">
        <f t="shared" si="17"/>
        <v>0.10425759056</v>
      </c>
      <c r="C124" s="2" t="str">
        <f t="shared" si="15"/>
        <v>08-1:-25--20</v>
      </c>
      <c r="D124" s="8">
        <f>E89</f>
        <v>8.2127037864756797E-3</v>
      </c>
      <c r="E124" s="8">
        <f t="shared" si="18"/>
        <v>1.1461064134336434E-2</v>
      </c>
      <c r="F124" s="3">
        <f t="shared" si="19"/>
        <v>0.71657428055664341</v>
      </c>
      <c r="G124" s="2">
        <f t="shared" si="20"/>
        <v>9.42204872207334</v>
      </c>
      <c r="H124" s="2">
        <f t="shared" si="20"/>
        <v>12.918609329739761</v>
      </c>
      <c r="J124">
        <v>1</v>
      </c>
      <c r="K124" s="14">
        <f t="shared" ref="K124:K149" si="32">IF(ISNA(VLOOKUP(C124,$C$44:$M$62,9,0)),K125, VLOOKUP(C124,$C$44:$M$62,9,0))</f>
        <v>1</v>
      </c>
      <c r="L124" s="14">
        <f>IF(ISNA(VLOOKUP(C124,$C$44:$M$62,10,0)),L125, VLOOKUP(C124,$C$44:$M$62,10,0))</f>
        <v>1</v>
      </c>
      <c r="M124" s="14">
        <f>IF(ISNA(VLOOKUP(C124,$C$44:$M$62,11,0)),($M$129-$M$123)*J124/5+$M$123, VLOOKUP(C124,$C$44:$M$62,11,0))</f>
        <v>0.51</v>
      </c>
      <c r="N124" s="8">
        <f t="shared" ref="N124:N143" si="33">Z89+AA89+AB89*K124+AC89*L124+AD92*M127*$M$118</f>
        <v>1.0421553802290432E-2</v>
      </c>
      <c r="O124" s="2">
        <f t="shared" si="24"/>
        <v>11.813373504211523</v>
      </c>
      <c r="P124" s="7">
        <f t="shared" si="25"/>
        <v>0.78804983808371309</v>
      </c>
      <c r="S124" s="9">
        <f t="shared" si="26"/>
        <v>-22.234952986481101</v>
      </c>
      <c r="T124" s="8">
        <f>VLOOKUP(ROUNDDOWN(S124,0),'Spline Pre-Adj'!A:B,2,0)</f>
        <v>1.2869999999999999</v>
      </c>
      <c r="U124" s="8">
        <f t="shared" si="27"/>
        <v>1.2869999999999999</v>
      </c>
      <c r="X124" s="9">
        <f t="shared" si="28"/>
        <v>-22.234952986481101</v>
      </c>
      <c r="Y124" s="8">
        <f>VLOOKUP(ROUNDDOWN(X124,0),'Spline Pre-Adj'!F:G,2,0)</f>
        <v>0.38089236111111102</v>
      </c>
      <c r="Z124" s="8">
        <f t="shared" si="29"/>
        <v>0.38089236111111102</v>
      </c>
      <c r="AC124" s="9">
        <f t="shared" si="30"/>
        <v>-22.234952986481101</v>
      </c>
      <c r="AD124" s="8">
        <f>VLOOKUP(ROUNDDOWN(AC124,0),'Spline Pre-Adj'!K:L,2,0)</f>
        <v>0.79645948376475795</v>
      </c>
      <c r="AE124" s="8">
        <f t="shared" si="31"/>
        <v>0.40619433672002658</v>
      </c>
    </row>
    <row r="125" spans="1:50" x14ac:dyDescent="0.25">
      <c r="A125" s="4">
        <f t="shared" si="16"/>
        <v>-17.320366360484901</v>
      </c>
      <c r="B125" s="3">
        <f t="shared" si="17"/>
        <v>0.17501830419999997</v>
      </c>
      <c r="C125" s="2" t="str">
        <f t="shared" si="15"/>
        <v>08-2:-20--15</v>
      </c>
      <c r="D125" s="8">
        <f>E90</f>
        <v>9.4858255699862594E-3</v>
      </c>
      <c r="E125" s="8">
        <f t="shared" si="18"/>
        <v>1.3350098996839768E-2</v>
      </c>
      <c r="F125" s="3">
        <f t="shared" si="19"/>
        <v>0.71054346280366476</v>
      </c>
      <c r="G125" s="2">
        <f t="shared" si="20"/>
        <v>10.807500013660931</v>
      </c>
      <c r="H125" s="2">
        <f t="shared" si="20"/>
        <v>14.894638703682062</v>
      </c>
      <c r="J125">
        <v>2</v>
      </c>
      <c r="K125" s="14">
        <f t="shared" si="32"/>
        <v>1</v>
      </c>
      <c r="L125" s="14">
        <f t="shared" ref="L125:L149" si="34">IF(ISNA(VLOOKUP(C125,$C$44:$M$62,10,0)),L126, VLOOKUP(C125,$C$44:$M$62,10,0))</f>
        <v>1</v>
      </c>
      <c r="M125" s="14">
        <f>IF(ISNA(VLOOKUP(C125,$C$44:$M$62,11,0)),($M$129-$M$123)*J125/5+$M$123, VLOOKUP(C125,$C$44:$M$62,11,0))</f>
        <v>0.52</v>
      </c>
      <c r="N125" s="8">
        <f t="shared" si="33"/>
        <v>1.1378129573468454E-2</v>
      </c>
      <c r="O125" s="2">
        <f t="shared" si="24"/>
        <v>12.830899397092422</v>
      </c>
      <c r="P125" s="7">
        <f t="shared" si="25"/>
        <v>0.83368936069293209</v>
      </c>
      <c r="S125" s="9">
        <f t="shared" si="26"/>
        <v>-17.320366360484901</v>
      </c>
      <c r="T125" s="8">
        <f>VLOOKUP(ROUNDDOWN(S125,0),'Spline Pre-Adj'!A:B,2,0)</f>
        <v>1.2869999999999999</v>
      </c>
      <c r="U125" s="8">
        <f t="shared" si="27"/>
        <v>1.2869999999999999</v>
      </c>
      <c r="X125" s="9">
        <f t="shared" si="28"/>
        <v>-17.320366360484901</v>
      </c>
      <c r="Y125" s="8">
        <f>VLOOKUP(ROUNDDOWN(X125,0),'Spline Pre-Adj'!F:G,2,0)</f>
        <v>0.43050424626087003</v>
      </c>
      <c r="Z125" s="8">
        <f t="shared" si="29"/>
        <v>0.43050424626087003</v>
      </c>
      <c r="AC125" s="9">
        <f t="shared" si="30"/>
        <v>-17.320366360484901</v>
      </c>
      <c r="AD125" s="8">
        <f>VLOOKUP(ROUNDDOWN(AC125,0),'Spline Pre-Adj'!K:L,2,0)</f>
        <v>0.95362938111262996</v>
      </c>
      <c r="AE125" s="8">
        <f t="shared" si="31"/>
        <v>0.49588727817856759</v>
      </c>
    </row>
    <row r="126" spans="1:50" x14ac:dyDescent="0.25">
      <c r="A126" s="4">
        <f t="shared" si="16"/>
        <v>-12.2652608626338</v>
      </c>
      <c r="B126" s="3">
        <f t="shared" si="17"/>
        <v>0.28393432030999999</v>
      </c>
      <c r="C126" s="2" t="str">
        <f t="shared" si="15"/>
        <v>08-3:-15--10</v>
      </c>
      <c r="D126" s="8">
        <f t="shared" ref="D126:D149" si="35">E91</f>
        <v>9.2966236633027499E-3</v>
      </c>
      <c r="E126" s="8">
        <f t="shared" si="18"/>
        <v>1.4747595345619003E-2</v>
      </c>
      <c r="F126" s="3">
        <f t="shared" si="19"/>
        <v>0.63038233999717475</v>
      </c>
      <c r="G126" s="2">
        <f t="shared" si="20"/>
        <v>10.602841079902026</v>
      </c>
      <c r="H126" s="2">
        <f t="shared" si="20"/>
        <v>16.329947404277569</v>
      </c>
      <c r="J126">
        <v>3</v>
      </c>
      <c r="K126" s="14">
        <f t="shared" si="32"/>
        <v>1</v>
      </c>
      <c r="L126" s="14">
        <f t="shared" si="34"/>
        <v>1</v>
      </c>
      <c r="M126" s="14">
        <f>IF(ISNA(VLOOKUP(C126,$C$44:$M$62,11,0)),($M$129-$M$123)*J126/5+$M$123, VLOOKUP(C126,$C$44:$M$62,11,0))</f>
        <v>0.53</v>
      </c>
      <c r="N126" s="8">
        <f t="shared" si="33"/>
        <v>1.2979745915164022E-2</v>
      </c>
      <c r="O126" s="2">
        <f t="shared" si="24"/>
        <v>14.510500191033371</v>
      </c>
      <c r="P126" s="7">
        <f t="shared" si="25"/>
        <v>0.7162408050254403</v>
      </c>
      <c r="S126" s="9">
        <f t="shared" si="26"/>
        <v>-12.2652608626338</v>
      </c>
      <c r="T126" s="8">
        <f>VLOOKUP(ROUNDDOWN(S126,0),'Spline Pre-Adj'!A:B,2,0)</f>
        <v>1.2869999999999999</v>
      </c>
      <c r="U126" s="8">
        <f t="shared" si="27"/>
        <v>1.2869999999999999</v>
      </c>
      <c r="X126" s="9">
        <f t="shared" si="28"/>
        <v>-12.2652608626338</v>
      </c>
      <c r="Y126" s="8">
        <f>VLOOKUP(ROUNDDOWN(X126,0),'Spline Pre-Adj'!F:G,2,0)</f>
        <v>0.48396474713043502</v>
      </c>
      <c r="Z126" s="8">
        <f t="shared" si="29"/>
        <v>0.48396474713043502</v>
      </c>
      <c r="AC126" s="9">
        <f t="shared" si="30"/>
        <v>-12.2652608626338</v>
      </c>
      <c r="AD126" s="8">
        <f>VLOOKUP(ROUNDDOWN(AC126,0),'Spline Pre-Adj'!K:L,2,0)</f>
        <v>1.08142635820954</v>
      </c>
      <c r="AE126" s="8">
        <f t="shared" si="31"/>
        <v>0.57315596985105621</v>
      </c>
    </row>
    <row r="127" spans="1:50" x14ac:dyDescent="0.25">
      <c r="A127" s="4">
        <f t="shared" si="16"/>
        <v>-7.3224372973263501</v>
      </c>
      <c r="B127" s="3">
        <f t="shared" si="17"/>
        <v>0.4230099517</v>
      </c>
      <c r="C127" s="2" t="str">
        <f t="shared" si="15"/>
        <v>08-4:-10--5</v>
      </c>
      <c r="D127" s="8">
        <f t="shared" si="35"/>
        <v>1.42394877131182E-2</v>
      </c>
      <c r="E127" s="8">
        <f t="shared" si="18"/>
        <v>1.6124271204015793E-2</v>
      </c>
      <c r="F127" s="3">
        <f t="shared" si="19"/>
        <v>0.88310891902958177</v>
      </c>
      <c r="G127" s="2">
        <f t="shared" si="20"/>
        <v>15.810679217502754</v>
      </c>
      <c r="H127" s="2">
        <f t="shared" si="20"/>
        <v>17.722144201132739</v>
      </c>
      <c r="J127">
        <v>4</v>
      </c>
      <c r="K127" s="14">
        <f t="shared" si="32"/>
        <v>1</v>
      </c>
      <c r="L127" s="14">
        <f t="shared" si="34"/>
        <v>1</v>
      </c>
      <c r="M127" s="14">
        <f>IF(ISNA(VLOOKUP(C127,$C$44:$M$62,11,0)),($M$129-$M$123)*J127/5+$M$123, VLOOKUP(C127,$C$44:$M$62,11,0))</f>
        <v>0.54</v>
      </c>
      <c r="N127" s="8">
        <f t="shared" si="33"/>
        <v>1.4393679565592456E-2</v>
      </c>
      <c r="O127" s="2">
        <f t="shared" si="24"/>
        <v>15.968569233576124</v>
      </c>
      <c r="P127" s="7">
        <f t="shared" si="25"/>
        <v>0.98928753056009078</v>
      </c>
      <c r="S127" s="9">
        <f t="shared" si="26"/>
        <v>-7.3224372973263501</v>
      </c>
      <c r="T127" s="8">
        <f>VLOOKUP(ROUNDDOWN(S127,0),'Spline Pre-Adj'!A:B,2,0)</f>
        <v>1.2869999999999999</v>
      </c>
      <c r="U127" s="8">
        <f t="shared" si="27"/>
        <v>1.2869999999999999</v>
      </c>
      <c r="X127" s="9">
        <f t="shared" si="28"/>
        <v>-7.3224372973263501</v>
      </c>
      <c r="Y127" s="8">
        <f>VLOOKUP(ROUNDDOWN(X127,0),'Spline Pre-Adj'!F:G,2,0)</f>
        <v>0.54485561321739095</v>
      </c>
      <c r="Z127" s="8">
        <f t="shared" si="29"/>
        <v>0.54485561321739095</v>
      </c>
      <c r="AC127" s="9">
        <f t="shared" si="30"/>
        <v>-7.3224372973263501</v>
      </c>
      <c r="AD127" s="8">
        <f>VLOOKUP(ROUNDDOWN(AC127,0),'Spline Pre-Adj'!K:L,2,0)</f>
        <v>1.1993277822989601</v>
      </c>
      <c r="AE127" s="8">
        <f t="shared" si="31"/>
        <v>0.64763700244143851</v>
      </c>
    </row>
    <row r="128" spans="1:50" x14ac:dyDescent="0.25">
      <c r="A128" s="4">
        <f t="shared" si="16"/>
        <v>-2.3387296965728201</v>
      </c>
      <c r="B128" s="3">
        <f t="shared" si="17"/>
        <v>0.62948601916000002</v>
      </c>
      <c r="C128" s="2" t="str">
        <f t="shared" si="15"/>
        <v>08:-25-0</v>
      </c>
      <c r="D128" s="8">
        <f t="shared" si="35"/>
        <v>1.28001180096661E-2</v>
      </c>
      <c r="E128" s="8">
        <f t="shared" si="18"/>
        <v>1.7461379358942538E-2</v>
      </c>
      <c r="F128" s="3">
        <f t="shared" si="19"/>
        <v>0.73305308512816569</v>
      </c>
      <c r="G128" s="2">
        <f t="shared" si="20"/>
        <v>14.323614300375297</v>
      </c>
      <c r="H128" s="2">
        <f t="shared" si="20"/>
        <v>19.053968378100585</v>
      </c>
      <c r="K128" s="14">
        <f t="shared" si="32"/>
        <v>1</v>
      </c>
      <c r="L128" s="14">
        <f t="shared" si="34"/>
        <v>1</v>
      </c>
      <c r="M128" s="14">
        <f t="shared" ref="M128" si="36">IF(ISNA(VLOOKUP(C128,$C$44:$M$62,11,0)),M129, VLOOKUP(C128,$C$44:$M$62,11,0))</f>
        <v>0.55000000000000004</v>
      </c>
      <c r="N128" s="8">
        <f t="shared" si="33"/>
        <v>1.6231038187025371E-2</v>
      </c>
      <c r="O128" s="2">
        <f t="shared" si="24"/>
        <v>17.829222569801207</v>
      </c>
      <c r="P128" s="7">
        <f t="shared" si="25"/>
        <v>0.78861979512180247</v>
      </c>
      <c r="S128" s="9">
        <f t="shared" si="26"/>
        <v>-2.3387296965728201</v>
      </c>
      <c r="T128" s="8">
        <f>VLOOKUP(ROUNDDOWN(S128,0),'Spline Pre-Adj'!A:B,2,0)</f>
        <v>1.2869999999999999</v>
      </c>
      <c r="U128" s="8">
        <f t="shared" si="27"/>
        <v>1.2869999999999999</v>
      </c>
      <c r="X128" s="9">
        <f t="shared" si="28"/>
        <v>-2.3387296965728201</v>
      </c>
      <c r="Y128" s="8">
        <f>VLOOKUP(ROUNDDOWN(X128,0),'Spline Pre-Adj'!F:G,2,0)</f>
        <v>0.61797136626086902</v>
      </c>
      <c r="Z128" s="8">
        <f t="shared" si="29"/>
        <v>0.61797136626086902</v>
      </c>
      <c r="AC128" s="9">
        <f t="shared" si="30"/>
        <v>-2.3387296965728201</v>
      </c>
      <c r="AD128" s="8">
        <f>VLOOKUP(ROUNDDOWN(AC128,0),'Spline Pre-Adj'!K:L,2,0)</f>
        <v>1.3122379125033801</v>
      </c>
      <c r="AE128" s="8">
        <f t="shared" si="31"/>
        <v>0.72173085187685915</v>
      </c>
    </row>
    <row r="129" spans="1:31" x14ac:dyDescent="0.25">
      <c r="A129" s="4">
        <f t="shared" si="16"/>
        <v>2.65358877799809</v>
      </c>
      <c r="B129" s="3">
        <f t="shared" si="17"/>
        <v>0.85794089769000004</v>
      </c>
      <c r="C129" s="2" t="str">
        <f t="shared" si="15"/>
        <v>09-1:0-5</v>
      </c>
      <c r="D129" s="8">
        <f t="shared" si="35"/>
        <v>1.7864414698057302E-2</v>
      </c>
      <c r="E129" s="8">
        <f t="shared" si="18"/>
        <v>1.8757780757016493E-2</v>
      </c>
      <c r="F129" s="3">
        <f t="shared" si="19"/>
        <v>0.95237357390345756</v>
      </c>
      <c r="G129" s="2">
        <f t="shared" si="20"/>
        <v>19.451517440607326</v>
      </c>
      <c r="H129" s="2">
        <f t="shared" si="20"/>
        <v>20.326350202988021</v>
      </c>
      <c r="J129">
        <v>1</v>
      </c>
      <c r="K129" s="14">
        <f t="shared" si="32"/>
        <v>1</v>
      </c>
      <c r="L129" s="14">
        <f t="shared" si="34"/>
        <v>1</v>
      </c>
      <c r="M129" s="14">
        <f>IF(ISNA(VLOOKUP(C129,$C$44:$M$62,11,0)),($M$133-$M$128)*J129/5+$M$128, VLOOKUP(C129,$C$44:$M$62,11,0))</f>
        <v>0.60000000000000009</v>
      </c>
      <c r="N129" s="8">
        <f t="shared" si="33"/>
        <v>1.8532397232494321E-2</v>
      </c>
      <c r="O129" s="2">
        <f t="shared" si="24"/>
        <v>20.106467726927789</v>
      </c>
      <c r="P129" s="7">
        <f t="shared" si="25"/>
        <v>0.96395595636889364</v>
      </c>
      <c r="S129" s="9">
        <f t="shared" si="26"/>
        <v>2.65358877799809</v>
      </c>
      <c r="T129" s="8">
        <f>VLOOKUP(ROUNDDOWN(S129,0),'Spline Pre-Adj'!A:B,2,0)</f>
        <v>1.2869999999999999</v>
      </c>
      <c r="U129" s="8">
        <f t="shared" si="27"/>
        <v>1.2869999999999999</v>
      </c>
      <c r="X129" s="9">
        <f t="shared" si="28"/>
        <v>2.65358877799809</v>
      </c>
      <c r="Y129" s="8">
        <f>VLOOKUP(ROUNDDOWN(X129,0),'Spline Pre-Adj'!F:G,2,0)</f>
        <v>0.68848780591304304</v>
      </c>
      <c r="Z129" s="8">
        <f t="shared" si="29"/>
        <v>0.68848780591304304</v>
      </c>
      <c r="AC129" s="9">
        <f t="shared" si="30"/>
        <v>2.65358877799809</v>
      </c>
      <c r="AD129" s="8">
        <f>VLOOKUP(ROUNDDOWN(AC129,0),'Spline Pre-Adj'!K:L,2,0)</f>
        <v>1.4018480364105399</v>
      </c>
      <c r="AE129" s="8">
        <f t="shared" si="31"/>
        <v>0.84110882184632407</v>
      </c>
    </row>
    <row r="130" spans="1:31" x14ac:dyDescent="0.25">
      <c r="A130" s="4">
        <f t="shared" si="16"/>
        <v>7.6198852778356896</v>
      </c>
      <c r="B130" s="3">
        <f t="shared" si="17"/>
        <v>1.15192040968</v>
      </c>
      <c r="C130" s="2" t="str">
        <f t="shared" si="15"/>
        <v>09-2:5-10</v>
      </c>
      <c r="D130" s="8">
        <f t="shared" si="35"/>
        <v>2.2551304094821999E-2</v>
      </c>
      <c r="E130" s="8">
        <f t="shared" si="18"/>
        <v>1.9913971239504259E-2</v>
      </c>
      <c r="F130" s="3">
        <f t="shared" si="19"/>
        <v>1.1324363093427563</v>
      </c>
      <c r="G130" s="2">
        <f t="shared" si="20"/>
        <v>23.945019688015368</v>
      </c>
      <c r="H130" s="2">
        <f t="shared" si="20"/>
        <v>21.445624593178891</v>
      </c>
      <c r="J130">
        <v>2</v>
      </c>
      <c r="K130" s="14">
        <f t="shared" si="32"/>
        <v>1</v>
      </c>
      <c r="L130" s="14">
        <f t="shared" si="34"/>
        <v>1</v>
      </c>
      <c r="M130" s="14">
        <f>IF(ISNA(VLOOKUP(C130,$C$44:$M$62,11,0)),($M$133-$M$128)*J130/5+$M$128, VLOOKUP(C130,$C$44:$M$62,11,0))</f>
        <v>0.65</v>
      </c>
      <c r="N130" s="8">
        <f t="shared" si="33"/>
        <v>2.1358900439398421E-2</v>
      </c>
      <c r="O130" s="2">
        <f t="shared" si="24"/>
        <v>22.824152352325243</v>
      </c>
      <c r="P130" s="7">
        <f t="shared" si="25"/>
        <v>1.0558270150098215</v>
      </c>
      <c r="S130" s="9">
        <f t="shared" si="26"/>
        <v>7.6198852778356896</v>
      </c>
      <c r="T130" s="8">
        <f>VLOOKUP(ROUNDDOWN(S130,0),'Spline Pre-Adj'!A:B,2,0)</f>
        <v>1.2869999999999999</v>
      </c>
      <c r="U130" s="8">
        <f t="shared" si="27"/>
        <v>1.2869999999999999</v>
      </c>
      <c r="X130" s="9">
        <f t="shared" si="28"/>
        <v>7.6198852778356896</v>
      </c>
      <c r="Y130" s="8">
        <f>VLOOKUP(ROUNDDOWN(X130,0),'Spline Pre-Adj'!F:G,2,0)</f>
        <v>0.79418177251202804</v>
      </c>
      <c r="Z130" s="8">
        <f t="shared" si="29"/>
        <v>0.79418177251202804</v>
      </c>
      <c r="AC130" s="9">
        <f t="shared" si="30"/>
        <v>7.6198852778356896</v>
      </c>
      <c r="AD130" s="8">
        <f>VLOOKUP(ROUNDDOWN(AC130,0),'Spline Pre-Adj'!K:L,2,0)</f>
        <v>1.51655790515</v>
      </c>
      <c r="AE130" s="8">
        <f t="shared" si="31"/>
        <v>0.9857626383475</v>
      </c>
    </row>
    <row r="131" spans="1:31" x14ac:dyDescent="0.25">
      <c r="A131" s="4">
        <f t="shared" si="16"/>
        <v>12.7027837487685</v>
      </c>
      <c r="B131" s="3">
        <f t="shared" si="17"/>
        <v>1.6116375038399999</v>
      </c>
      <c r="C131" s="2" t="str">
        <f t="shared" si="15"/>
        <v>09-3:10-15</v>
      </c>
      <c r="D131" s="8">
        <f t="shared" si="35"/>
        <v>1.9311279123002699E-2</v>
      </c>
      <c r="E131" s="8">
        <f t="shared" si="18"/>
        <v>2.1212657858283024E-2</v>
      </c>
      <c r="F131" s="3">
        <f t="shared" si="19"/>
        <v>0.91036584156577616</v>
      </c>
      <c r="G131" s="2">
        <f t="shared" si="20"/>
        <v>20.863987202152813</v>
      </c>
      <c r="H131" s="2">
        <f t="shared" si="20"/>
        <v>22.685645895371664</v>
      </c>
      <c r="J131">
        <v>3</v>
      </c>
      <c r="K131" s="14">
        <f t="shared" si="32"/>
        <v>1</v>
      </c>
      <c r="L131" s="14">
        <f t="shared" si="34"/>
        <v>1</v>
      </c>
      <c r="M131" s="14">
        <f>IF(ISNA(VLOOKUP(C131,$C$44:$M$62,11,0)),($M$133-$M$128)*J131/5+$M$128, VLOOKUP(C131,$C$44:$M$62,11,0))</f>
        <v>0.70000000000000007</v>
      </c>
      <c r="N131" s="8">
        <f t="shared" si="33"/>
        <v>2.4238536084691086E-2</v>
      </c>
      <c r="O131" s="2">
        <f t="shared" si="24"/>
        <v>25.5055447832795</v>
      </c>
      <c r="P131" s="7">
        <f t="shared" si="25"/>
        <v>0.79671804664802293</v>
      </c>
      <c r="S131" s="9">
        <f>A131</f>
        <v>12.7027837487685</v>
      </c>
      <c r="T131" s="8">
        <f>VLOOKUP(ROUNDDOWN(S131,0),'Spline Pre-Adj'!A:B,2,0)</f>
        <v>1.2869999999999999</v>
      </c>
      <c r="U131" s="8">
        <f>T131*K131</f>
        <v>1.2869999999999999</v>
      </c>
      <c r="X131" s="9">
        <f t="shared" si="28"/>
        <v>12.7027837487685</v>
      </c>
      <c r="Y131" s="8">
        <f>VLOOKUP(ROUNDDOWN(X131,0),'Spline Pre-Adj'!F:G,2,0)</f>
        <v>0.91120038717590501</v>
      </c>
      <c r="Z131" s="8">
        <f t="shared" si="29"/>
        <v>0.91120038717590501</v>
      </c>
      <c r="AC131" s="9">
        <f t="shared" si="30"/>
        <v>12.7027837487685</v>
      </c>
      <c r="AD131" s="8">
        <f>VLOOKUP(ROUNDDOWN(AC131,0),'Spline Pre-Adj'!K:L,2,0)</f>
        <v>1.6382587772578501</v>
      </c>
      <c r="AE131" s="8">
        <f t="shared" si="31"/>
        <v>1.1467811440804951</v>
      </c>
    </row>
    <row r="132" spans="1:31" x14ac:dyDescent="0.25">
      <c r="A132" s="4">
        <f t="shared" si="16"/>
        <v>17.616235747790999</v>
      </c>
      <c r="B132" s="3">
        <f t="shared" si="17"/>
        <v>2.4564954800700001</v>
      </c>
      <c r="C132" s="2" t="str">
        <f t="shared" si="15"/>
        <v>09-4:15-20</v>
      </c>
      <c r="D132" s="8">
        <f t="shared" si="35"/>
        <v>2.2402196090709401E-2</v>
      </c>
      <c r="E132" s="8">
        <f t="shared" si="18"/>
        <v>2.2950381852569236E-2</v>
      </c>
      <c r="F132" s="3">
        <f t="shared" si="19"/>
        <v>0.97611430757965945</v>
      </c>
      <c r="G132" s="2">
        <f t="shared" si="20"/>
        <v>23.805678245652651</v>
      </c>
      <c r="H132" s="2">
        <f t="shared" si="20"/>
        <v>24.316809470846536</v>
      </c>
      <c r="J132">
        <v>4</v>
      </c>
      <c r="K132" s="14">
        <f t="shared" si="32"/>
        <v>1</v>
      </c>
      <c r="L132" s="14">
        <f t="shared" si="34"/>
        <v>1</v>
      </c>
      <c r="M132" s="14">
        <f>IF(ISNA(VLOOKUP(C132,$C$44:$M$62,11,0)),($M$133-$M$128)*J132/5+$M$128, VLOOKUP(C132,$C$44:$M$62,11,0))</f>
        <v>0.75</v>
      </c>
      <c r="N132" s="8">
        <f t="shared" si="33"/>
        <v>2.7516753523194763E-2</v>
      </c>
      <c r="O132" s="2">
        <f t="shared" si="24"/>
        <v>28.453970267170448</v>
      </c>
      <c r="P132" s="7">
        <f t="shared" si="25"/>
        <v>0.81412932931298976</v>
      </c>
      <c r="X132" s="9">
        <f t="shared" si="28"/>
        <v>17.616235747790999</v>
      </c>
      <c r="Y132" s="8">
        <f>VLOOKUP(ROUNDDOWN(X132,0),'Spline Pre-Adj'!F:G,2,0)</f>
        <v>1.0442240375289999</v>
      </c>
      <c r="Z132" s="8">
        <f t="shared" si="29"/>
        <v>1.0442240375289999</v>
      </c>
      <c r="AC132" s="9">
        <f t="shared" si="30"/>
        <v>17.616235747790999</v>
      </c>
      <c r="AD132" s="8">
        <f>VLOOKUP(ROUNDDOWN(AC132,0),'Spline Pre-Adj'!K:L,2,0)</f>
        <v>1.77123004461028</v>
      </c>
      <c r="AE132" s="8">
        <f t="shared" si="31"/>
        <v>1.32842253345771</v>
      </c>
    </row>
    <row r="133" spans="1:31" x14ac:dyDescent="0.25">
      <c r="A133" s="4">
        <f t="shared" si="16"/>
        <v>22.590179235964602</v>
      </c>
      <c r="B133" s="3">
        <f t="shared" si="17"/>
        <v>3.3771238293600003</v>
      </c>
      <c r="C133" s="2" t="str">
        <f t="shared" si="15"/>
        <v>09:0-25</v>
      </c>
      <c r="D133" s="8">
        <f t="shared" si="35"/>
        <v>3.0307588786639399E-2</v>
      </c>
      <c r="E133" s="8">
        <f t="shared" si="18"/>
        <v>2.499743482410335E-2</v>
      </c>
      <c r="F133" s="3">
        <f t="shared" si="19"/>
        <v>1.2124279551042503</v>
      </c>
      <c r="G133" s="2">
        <f t="shared" si="20"/>
        <v>30.879326344626978</v>
      </c>
      <c r="H133" s="2">
        <f t="shared" si="20"/>
        <v>26.197835419842907</v>
      </c>
      <c r="K133" s="14">
        <f t="shared" si="32"/>
        <v>1</v>
      </c>
      <c r="L133" s="14">
        <f t="shared" si="34"/>
        <v>1</v>
      </c>
      <c r="M133" s="14">
        <f t="shared" ref="M133:M149" si="37">IF(ISNA(VLOOKUP(C133,$C$44:$M$62,11,0)),M134, VLOOKUP(C133,$C$44:$M$62,11,0))</f>
        <v>0.8</v>
      </c>
      <c r="N133" s="8">
        <f t="shared" si="33"/>
        <v>3.0701071368816422E-2</v>
      </c>
      <c r="O133" s="2">
        <f t="shared" si="24"/>
        <v>31.215150319410089</v>
      </c>
      <c r="P133" s="7">
        <f t="shared" si="25"/>
        <v>0.98718342505217294</v>
      </c>
      <c r="X133" s="9">
        <f t="shared" si="28"/>
        <v>22.590179235964602</v>
      </c>
      <c r="Y133" s="8">
        <f>VLOOKUP(ROUNDDOWN(X133,0),'Spline Pre-Adj'!F:G,2,0)</f>
        <v>1.20153726214034</v>
      </c>
      <c r="Z133" s="8">
        <f t="shared" si="29"/>
        <v>1.20153726214034</v>
      </c>
      <c r="AC133" s="9">
        <f t="shared" si="30"/>
        <v>22.590179235964602</v>
      </c>
      <c r="AD133" s="8">
        <f>VLOOKUP(ROUNDDOWN(AC133,0),'Spline Pre-Adj'!K:L,2,0)</f>
        <v>1.91883456513696</v>
      </c>
      <c r="AE133" s="8">
        <f t="shared" si="31"/>
        <v>1.5350676521095681</v>
      </c>
    </row>
    <row r="134" spans="1:31" x14ac:dyDescent="0.25">
      <c r="A134" s="4">
        <f t="shared" si="16"/>
        <v>27.547268159078001</v>
      </c>
      <c r="B134" s="3">
        <f t="shared" si="17"/>
        <v>3.9548243199400002</v>
      </c>
      <c r="C134" s="2" t="str">
        <f t="shared" si="15"/>
        <v>10-1:25-30</v>
      </c>
      <c r="D134" s="8">
        <f t="shared" si="35"/>
        <v>3.5264934004911298E-2</v>
      </c>
      <c r="E134" s="8">
        <f t="shared" si="18"/>
        <v>2.6903968833249445E-2</v>
      </c>
      <c r="F134" s="3">
        <f t="shared" si="19"/>
        <v>1.3107706979398854</v>
      </c>
      <c r="G134" s="2">
        <f t="shared" si="20"/>
        <v>35.00248191746288</v>
      </c>
      <c r="H134" s="2">
        <f t="shared" si="20"/>
        <v>27.91109726865265</v>
      </c>
      <c r="J134">
        <v>1</v>
      </c>
      <c r="K134" s="14">
        <f t="shared" si="32"/>
        <v>1</v>
      </c>
      <c r="L134" s="14">
        <f t="shared" si="34"/>
        <v>1</v>
      </c>
      <c r="M134" s="14">
        <f>IF(ISNA(VLOOKUP(C134,$C$44:$M$62,11,0)),($M$138-$M$133)*J134/5+$M$133, VLOOKUP(C134,$C$44:$M$62,11,0))</f>
        <v>0.85000000000000009</v>
      </c>
      <c r="N134" s="8">
        <f t="shared" si="33"/>
        <v>8.4129987638773811E-3</v>
      </c>
      <c r="O134" s="2">
        <f t="shared" si="24"/>
        <v>9.6413155450494337</v>
      </c>
      <c r="P134" s="7">
        <f t="shared" si="25"/>
        <v>4.1917198605005384</v>
      </c>
      <c r="X134" s="9">
        <f t="shared" si="28"/>
        <v>27.547268159078001</v>
      </c>
      <c r="Y134" s="8">
        <f>VLOOKUP(ROUNDDOWN(X134,0),'Spline Pre-Adj'!F:G,2,0)</f>
        <v>1.39142459957894</v>
      </c>
      <c r="Z134" s="8">
        <f t="shared" si="29"/>
        <v>1.39142459957894</v>
      </c>
      <c r="AC134" s="9">
        <f t="shared" si="30"/>
        <v>27.547268159078001</v>
      </c>
      <c r="AD134" s="8">
        <f>VLOOKUP(ROUNDDOWN(AC134,0),'Spline Pre-Adj'!K:L,2,0)</f>
        <v>2.0788177485891102</v>
      </c>
      <c r="AE134" s="8">
        <f t="shared" si="31"/>
        <v>1.7669950863007438</v>
      </c>
    </row>
    <row r="135" spans="1:31" x14ac:dyDescent="0.25">
      <c r="A135" s="4">
        <f t="shared" si="16"/>
        <v>32.542028407735103</v>
      </c>
      <c r="B135" s="3">
        <f t="shared" si="17"/>
        <v>4.3907244447299991</v>
      </c>
      <c r="C135" s="2" t="str">
        <f t="shared" si="15"/>
        <v>10-2:30-35</v>
      </c>
      <c r="D135" s="8">
        <f t="shared" si="35"/>
        <v>3.8182049388878203E-2</v>
      </c>
      <c r="E135" s="8">
        <f t="shared" si="18"/>
        <v>2.9083318038889173E-2</v>
      </c>
      <c r="F135" s="3">
        <f t="shared" si="19"/>
        <v>1.3128505261271266</v>
      </c>
      <c r="G135" s="2">
        <f t="shared" si="20"/>
        <v>37.32208548833966</v>
      </c>
      <c r="H135" s="2">
        <f t="shared" si="20"/>
        <v>29.824816550466803</v>
      </c>
      <c r="J135">
        <v>2</v>
      </c>
      <c r="K135" s="14">
        <f t="shared" si="32"/>
        <v>1</v>
      </c>
      <c r="L135" s="14">
        <f t="shared" si="34"/>
        <v>1</v>
      </c>
      <c r="M135" s="14">
        <f>IF(ISNA(VLOOKUP(C135,$C$44:$M$62,11,0)),($M$138-$M$133)*2/5+$M$133, VLOOKUP(C135,$C$44:$M$62,11,0))</f>
        <v>0.9</v>
      </c>
      <c r="N135" s="8">
        <f t="shared" si="33"/>
        <v>3.4875787286659716E-3</v>
      </c>
      <c r="O135" s="2">
        <f t="shared" si="24"/>
        <v>4.1057432793268012</v>
      </c>
      <c r="P135" s="7">
        <f t="shared" si="25"/>
        <v>10.948010743110352</v>
      </c>
      <c r="X135" s="9">
        <f t="shared" si="28"/>
        <v>32.542028407735103</v>
      </c>
      <c r="Y135" s="8">
        <f>VLOOKUP(ROUNDDOWN(X135,0),'Spline Pre-Adj'!F:G,2,0)</f>
        <v>1.62333231153945</v>
      </c>
      <c r="Z135" s="8">
        <f t="shared" si="29"/>
        <v>1.62333231153945</v>
      </c>
      <c r="AC135" s="9">
        <f t="shared" si="30"/>
        <v>32.542028407735103</v>
      </c>
      <c r="AD135" s="8">
        <f>VLOOKUP(ROUNDDOWN(AC135,0),'Spline Pre-Adj'!K:L,2,0)</f>
        <v>2.2487416798578299</v>
      </c>
      <c r="AE135" s="8">
        <f t="shared" si="31"/>
        <v>2.0238675118720471</v>
      </c>
    </row>
    <row r="136" spans="1:31" s="17" customFormat="1" x14ac:dyDescent="0.25">
      <c r="A136" s="4">
        <f t="shared" si="16"/>
        <v>37.486494006130997</v>
      </c>
      <c r="B136" s="3">
        <f t="shared" si="17"/>
        <v>4.4375710396000008</v>
      </c>
      <c r="C136" s="2" t="str">
        <f t="shared" si="15"/>
        <v>10-3:35-40</v>
      </c>
      <c r="D136" s="8">
        <f t="shared" si="35"/>
        <v>4.03703394190894E-2</v>
      </c>
      <c r="E136" s="8">
        <f t="shared" si="18"/>
        <v>3.0938870162845911E-2</v>
      </c>
      <c r="F136" s="3">
        <f t="shared" si="19"/>
        <v>1.3048420710452968</v>
      </c>
      <c r="G136" s="2">
        <f t="shared" si="20"/>
        <v>39.012061454220373</v>
      </c>
      <c r="H136" s="2">
        <f t="shared" si="20"/>
        <v>31.417377736899876</v>
      </c>
      <c r="I136"/>
      <c r="J136">
        <v>3</v>
      </c>
      <c r="K136" s="14">
        <f t="shared" si="32"/>
        <v>1</v>
      </c>
      <c r="L136" s="14">
        <f t="shared" si="34"/>
        <v>1</v>
      </c>
      <c r="M136" s="14">
        <f>IF(ISNA(VLOOKUP(C136,$C$44:$M$62,11,0)),($M$138-$M$133)*3/5+$M$133, VLOOKUP(C136,$C$44:$M$62,11,0))</f>
        <v>0.95000000000000007</v>
      </c>
      <c r="N136" s="8">
        <f t="shared" si="33"/>
        <v>3.5426049964334076E-3</v>
      </c>
      <c r="O136" s="2">
        <f t="shared" si="24"/>
        <v>4.169266029381391</v>
      </c>
      <c r="P136" s="7">
        <f t="shared" si="25"/>
        <v>11.395664901882398</v>
      </c>
      <c r="Q136"/>
      <c r="R136"/>
      <c r="S136"/>
      <c r="T136"/>
      <c r="U136"/>
      <c r="V136"/>
      <c r="W136"/>
      <c r="X136" s="9">
        <f t="shared" si="28"/>
        <v>37.486494006130997</v>
      </c>
      <c r="Y136" s="8">
        <f>VLOOKUP(ROUNDDOWN(X136,0),'Spline Pre-Adj'!F:G,2,0)</f>
        <v>1.89537379409471</v>
      </c>
      <c r="Z136" s="8">
        <f t="shared" si="29"/>
        <v>1.89537379409471</v>
      </c>
      <c r="AA136"/>
      <c r="AB136"/>
      <c r="AC136" s="9">
        <f t="shared" si="30"/>
        <v>37.486494006130997</v>
      </c>
      <c r="AD136" s="8">
        <f>VLOOKUP(ROUNDDOWN(AC136,0),'Spline Pre-Adj'!K:L,2,0)</f>
        <v>2.4264029166777901</v>
      </c>
      <c r="AE136" s="8">
        <f t="shared" si="31"/>
        <v>2.3050827708439008</v>
      </c>
    </row>
    <row r="137" spans="1:31" s="17" customFormat="1" x14ac:dyDescent="0.25">
      <c r="A137" s="4">
        <f t="shared" si="16"/>
        <v>42.421648053468502</v>
      </c>
      <c r="B137" s="3">
        <f t="shared" si="17"/>
        <v>4.2265500189600003</v>
      </c>
      <c r="C137" s="2" t="str">
        <f t="shared" si="15"/>
        <v>10-4:40-45</v>
      </c>
      <c r="D137" s="8">
        <f t="shared" si="35"/>
        <v>4.4694142778095303E-2</v>
      </c>
      <c r="E137" s="8">
        <f t="shared" si="18"/>
        <v>3.3263128047593814E-2</v>
      </c>
      <c r="F137" s="3">
        <f t="shared" si="19"/>
        <v>1.3436542322221072</v>
      </c>
      <c r="G137" s="2">
        <f t="shared" si="20"/>
        <v>42.229079659815824</v>
      </c>
      <c r="H137" s="2">
        <f t="shared" si="20"/>
        <v>33.365460906414356</v>
      </c>
      <c r="I137"/>
      <c r="J137">
        <v>4</v>
      </c>
      <c r="K137" s="14">
        <f t="shared" si="32"/>
        <v>0</v>
      </c>
      <c r="L137" s="14">
        <f t="shared" si="34"/>
        <v>0</v>
      </c>
      <c r="M137" s="14">
        <f>IF(ISNA(VLOOKUP(C137,$C$44:$M$62,11,0)),($M$138-$M$133)*4/5+$M$133, VLOOKUP(C137,$C$44:$M$62,11,0))</f>
        <v>0.16000000000000003</v>
      </c>
      <c r="N137" s="8">
        <f t="shared" si="33"/>
        <v>4.2499212405664073E-4</v>
      </c>
      <c r="O137" s="2">
        <f t="shared" si="24"/>
        <v>0.50880015518772748</v>
      </c>
      <c r="P137" s="7">
        <f t="shared" si="25"/>
        <v>105.16463776194286</v>
      </c>
      <c r="Q137"/>
      <c r="R137"/>
      <c r="S137"/>
      <c r="T137"/>
      <c r="U137"/>
      <c r="V137"/>
      <c r="W137"/>
      <c r="X137" s="9">
        <f t="shared" si="28"/>
        <v>42.421648053468502</v>
      </c>
      <c r="Y137" s="8">
        <f>VLOOKUP(ROUNDDOWN(X137,0),'Spline Pre-Adj'!F:G,2,0)</f>
        <v>2.1927887580772198</v>
      </c>
      <c r="Z137" s="8">
        <f t="shared" si="29"/>
        <v>0</v>
      </c>
      <c r="AA137"/>
      <c r="AB137"/>
      <c r="AC137" s="9">
        <f t="shared" si="30"/>
        <v>42.421648053468502</v>
      </c>
      <c r="AD137" s="8">
        <f>VLOOKUP(ROUNDDOWN(AC137,0),'Spline Pre-Adj'!K:L,2,0)</f>
        <v>2.6095980167836599</v>
      </c>
      <c r="AE137" s="8">
        <f t="shared" si="31"/>
        <v>0.41753568268538566</v>
      </c>
    </row>
    <row r="138" spans="1:31" s="17" customFormat="1" x14ac:dyDescent="0.25">
      <c r="A138" s="4">
        <f t="shared" si="16"/>
        <v>47.512004004398001</v>
      </c>
      <c r="B138" s="3">
        <f t="shared" si="17"/>
        <v>3.9701839694000003</v>
      </c>
      <c r="C138" s="2" t="str">
        <f t="shared" si="15"/>
        <v>10:25-50</v>
      </c>
      <c r="D138" s="8">
        <f t="shared" si="35"/>
        <v>4.4909905113372998E-2</v>
      </c>
      <c r="E138" s="8">
        <f t="shared" si="18"/>
        <v>3.5727845281809417E-2</v>
      </c>
      <c r="F138" s="3">
        <f t="shared" si="19"/>
        <v>1.2570001005976861</v>
      </c>
      <c r="G138" s="2">
        <f t="shared" ref="G138:H149" si="38">(1-(1-D138)^12)*100</f>
        <v>42.385460776815975</v>
      </c>
      <c r="H138" s="2">
        <f t="shared" si="38"/>
        <v>35.375750896916522</v>
      </c>
      <c r="I138"/>
      <c r="J138"/>
      <c r="K138" s="14">
        <f t="shared" si="32"/>
        <v>0</v>
      </c>
      <c r="L138" s="14">
        <f t="shared" si="34"/>
        <v>0</v>
      </c>
      <c r="M138" s="14">
        <f t="shared" si="37"/>
        <v>0</v>
      </c>
      <c r="N138" s="8">
        <f t="shared" si="33"/>
        <v>4.3177870941229682E-4</v>
      </c>
      <c r="O138" s="2">
        <f t="shared" si="24"/>
        <v>0.51690576368985663</v>
      </c>
      <c r="P138" s="7">
        <f t="shared" si="25"/>
        <v>104.01139318448755</v>
      </c>
      <c r="Q138"/>
      <c r="R138"/>
      <c r="S138"/>
      <c r="T138"/>
      <c r="U138"/>
      <c r="V138"/>
      <c r="W138"/>
      <c r="X138" s="9">
        <f t="shared" si="28"/>
        <v>47.512004004398001</v>
      </c>
      <c r="Y138" s="8">
        <f>VLOOKUP(ROUNDDOWN(X138,0),'Spline Pre-Adj'!F:G,2,0)</f>
        <v>2.5005891560507401</v>
      </c>
      <c r="Z138" s="8">
        <f t="shared" si="29"/>
        <v>0</v>
      </c>
      <c r="AA138"/>
      <c r="AB138"/>
      <c r="AC138" s="9">
        <f t="shared" si="30"/>
        <v>47.512004004398001</v>
      </c>
      <c r="AD138" s="8">
        <f>VLOOKUP(ROUNDDOWN(AC138,0),'Spline Pre-Adj'!K:L,2,0)</f>
        <v>2.7961235379101401</v>
      </c>
      <c r="AE138" s="8">
        <f t="shared" si="31"/>
        <v>0</v>
      </c>
    </row>
    <row r="139" spans="1:31" s="17" customFormat="1" x14ac:dyDescent="0.25">
      <c r="A139" s="4">
        <f t="shared" si="16"/>
        <v>52.525413841629998</v>
      </c>
      <c r="B139" s="3">
        <f t="shared" si="17"/>
        <v>3.3368649291100003</v>
      </c>
      <c r="C139" s="2" t="str">
        <f t="shared" si="15"/>
        <v>11-1:50-55</v>
      </c>
      <c r="D139" s="8">
        <f t="shared" si="35"/>
        <v>4.9977760910394999E-2</v>
      </c>
      <c r="E139" s="8">
        <f t="shared" si="18"/>
        <v>3.6779866168856756E-2</v>
      </c>
      <c r="F139" s="3">
        <f t="shared" si="19"/>
        <v>1.3588347679392461</v>
      </c>
      <c r="G139" s="2">
        <f t="shared" si="38"/>
        <v>45.948809763717968</v>
      </c>
      <c r="H139" s="2">
        <f t="shared" si="38"/>
        <v>36.216753169649728</v>
      </c>
      <c r="I139"/>
      <c r="J139"/>
      <c r="K139" s="14">
        <f t="shared" si="32"/>
        <v>0</v>
      </c>
      <c r="L139" s="14">
        <f t="shared" si="34"/>
        <v>0</v>
      </c>
      <c r="M139" s="14">
        <f t="shared" si="37"/>
        <v>0</v>
      </c>
      <c r="N139" s="8">
        <f t="shared" si="33"/>
        <v>4.4259826050137708E-4</v>
      </c>
      <c r="O139" s="2">
        <f t="shared" si="24"/>
        <v>0.5298269228941721</v>
      </c>
      <c r="P139" s="7">
        <f t="shared" si="25"/>
        <v>112.91901792334203</v>
      </c>
      <c r="Q139"/>
      <c r="R139"/>
      <c r="S139"/>
      <c r="T139"/>
      <c r="U139"/>
      <c r="V139"/>
      <c r="W139"/>
      <c r="X139" s="9">
        <f t="shared" si="28"/>
        <v>52.525413841629998</v>
      </c>
      <c r="Y139" s="8">
        <f>VLOOKUP(ROUNDDOWN(X139,0),'Spline Pre-Adj'!F:G,2,0)</f>
        <v>2.8037869405790499</v>
      </c>
      <c r="Z139" s="8">
        <f t="shared" si="29"/>
        <v>0</v>
      </c>
      <c r="AA139"/>
      <c r="AB139"/>
      <c r="AC139" s="9">
        <f t="shared" si="30"/>
        <v>52.525413841629998</v>
      </c>
      <c r="AD139" s="8">
        <f>VLOOKUP(ROUNDDOWN(AC139,0),'Spline Pre-Adj'!K:L,2,0)</f>
        <v>2.9837760377918898</v>
      </c>
      <c r="AE139" s="8">
        <f t="shared" si="31"/>
        <v>0</v>
      </c>
    </row>
    <row r="140" spans="1:31" s="17" customFormat="1" x14ac:dyDescent="0.25">
      <c r="A140" s="4">
        <f t="shared" si="16"/>
        <v>57.496638767331</v>
      </c>
      <c r="B140" s="3">
        <f t="shared" si="17"/>
        <v>3.2431988831599998</v>
      </c>
      <c r="C140" s="2" t="str">
        <f t="shared" si="15"/>
        <v>11-2:55-60</v>
      </c>
      <c r="D140" s="8">
        <f t="shared" si="35"/>
        <v>5.0875245342589602E-2</v>
      </c>
      <c r="E140" s="8">
        <f t="shared" si="18"/>
        <v>3.863223605558308E-2</v>
      </c>
      <c r="F140" s="3">
        <f t="shared" si="19"/>
        <v>1.3169117435861488</v>
      </c>
      <c r="G140" s="2">
        <f t="shared" si="38"/>
        <v>46.558380879578465</v>
      </c>
      <c r="H140" s="2">
        <f t="shared" si="38"/>
        <v>37.673223484619186</v>
      </c>
      <c r="I140"/>
      <c r="J140"/>
      <c r="K140" s="14">
        <f t="shared" si="32"/>
        <v>0</v>
      </c>
      <c r="L140" s="14">
        <f t="shared" si="34"/>
        <v>0</v>
      </c>
      <c r="M140" s="14">
        <f t="shared" si="37"/>
        <v>0</v>
      </c>
      <c r="N140" s="8">
        <f t="shared" si="33"/>
        <v>4.5046060934561007E-4</v>
      </c>
      <c r="O140" s="2">
        <f t="shared" si="24"/>
        <v>0.53921550267065355</v>
      </c>
      <c r="P140" s="7">
        <f t="shared" si="25"/>
        <v>112.94049754205307</v>
      </c>
      <c r="Q140"/>
      <c r="R140"/>
      <c r="S140"/>
      <c r="T140"/>
      <c r="U140"/>
      <c r="V140"/>
      <c r="W140"/>
      <c r="X140" s="9">
        <f t="shared" si="28"/>
        <v>57.496638767331</v>
      </c>
      <c r="Y140" s="8">
        <f>VLOOKUP(ROUNDDOWN(X140,0),'Spline Pre-Adj'!F:G,2,0)</f>
        <v>3.0926159826030801</v>
      </c>
      <c r="Z140" s="8">
        <f t="shared" si="29"/>
        <v>0</v>
      </c>
      <c r="AA140"/>
      <c r="AB140"/>
      <c r="AC140" s="9">
        <f t="shared" si="30"/>
        <v>57.496638767331</v>
      </c>
      <c r="AD140" s="8">
        <f>VLOOKUP(ROUNDDOWN(AC140,0),'Spline Pre-Adj'!K:L,2,0)</f>
        <v>3.1703520741635902</v>
      </c>
      <c r="AE140" s="8">
        <f t="shared" si="31"/>
        <v>0</v>
      </c>
    </row>
    <row r="141" spans="1:31" s="17" customFormat="1" x14ac:dyDescent="0.25">
      <c r="A141" s="4">
        <f t="shared" si="16"/>
        <v>62.446297286987999</v>
      </c>
      <c r="B141" s="3">
        <f t="shared" si="17"/>
        <v>3.1971191671799999</v>
      </c>
      <c r="C141" s="2" t="str">
        <f t="shared" si="15"/>
        <v>11-3:60-65</v>
      </c>
      <c r="D141" s="8">
        <f t="shared" si="35"/>
        <v>5.3598412706150102E-2</v>
      </c>
      <c r="E141" s="8">
        <f t="shared" si="18"/>
        <v>4.0426804634658628E-2</v>
      </c>
      <c r="F141" s="3">
        <f t="shared" si="19"/>
        <v>1.3258137315210714</v>
      </c>
      <c r="G141" s="2">
        <f t="shared" si="38"/>
        <v>48.369596377810822</v>
      </c>
      <c r="H141" s="2">
        <f t="shared" si="38"/>
        <v>39.055110346882024</v>
      </c>
      <c r="I141"/>
      <c r="J141"/>
      <c r="K141" s="14">
        <f t="shared" si="32"/>
        <v>0</v>
      </c>
      <c r="L141" s="14">
        <f t="shared" si="34"/>
        <v>0</v>
      </c>
      <c r="M141" s="14">
        <f t="shared" si="37"/>
        <v>0</v>
      </c>
      <c r="N141" s="8">
        <f t="shared" si="33"/>
        <v>4.5901843279532383E-4</v>
      </c>
      <c r="O141" s="2">
        <f t="shared" si="24"/>
        <v>0.5494336385886367</v>
      </c>
      <c r="P141" s="7">
        <f t="shared" si="25"/>
        <v>116.76745175514469</v>
      </c>
      <c r="Q141"/>
      <c r="R141"/>
      <c r="S141"/>
      <c r="T141"/>
      <c r="U141"/>
      <c r="V141"/>
      <c r="W141"/>
      <c r="X141" s="9">
        <f t="shared" si="28"/>
        <v>62.446297286987999</v>
      </c>
      <c r="Y141" s="8">
        <f>VLOOKUP(ROUNDDOWN(X141,0),'Spline Pre-Adj'!F:G,2,0)</f>
        <v>3.3799457765415402</v>
      </c>
      <c r="Z141" s="8">
        <f t="shared" si="29"/>
        <v>0</v>
      </c>
      <c r="AA141"/>
      <c r="AB141"/>
      <c r="AC141" s="9">
        <f t="shared" si="30"/>
        <v>62.446297286987999</v>
      </c>
      <c r="AD141" s="8">
        <f>VLOOKUP(ROUNDDOWN(AC141,0),'Spline Pre-Adj'!K:L,2,0)</f>
        <v>3.3536482047599101</v>
      </c>
      <c r="AE141" s="8">
        <f t="shared" si="31"/>
        <v>0</v>
      </c>
    </row>
    <row r="142" spans="1:31" s="17" customFormat="1" x14ac:dyDescent="0.25">
      <c r="A142" s="4">
        <f t="shared" si="16"/>
        <v>67.445448915326594</v>
      </c>
      <c r="B142" s="3">
        <f t="shared" si="17"/>
        <v>3.1955061804099998</v>
      </c>
      <c r="C142" s="2" t="str">
        <f t="shared" si="15"/>
        <v>11-4:65-70</v>
      </c>
      <c r="D142" s="8">
        <f t="shared" si="35"/>
        <v>5.29226930557508E-2</v>
      </c>
      <c r="E142" s="8">
        <f t="shared" si="18"/>
        <v>4.1706199635138851E-2</v>
      </c>
      <c r="F142" s="3">
        <f t="shared" si="19"/>
        <v>1.2689406735386575</v>
      </c>
      <c r="G142" s="2">
        <f t="shared" si="38"/>
        <v>47.925493066856319</v>
      </c>
      <c r="H142" s="2">
        <f t="shared" si="38"/>
        <v>40.023082418179271</v>
      </c>
      <c r="I142"/>
      <c r="J142"/>
      <c r="K142" s="14">
        <f t="shared" si="32"/>
        <v>0</v>
      </c>
      <c r="L142" s="14">
        <f t="shared" si="34"/>
        <v>0</v>
      </c>
      <c r="M142" s="14">
        <f t="shared" si="37"/>
        <v>0</v>
      </c>
      <c r="N142" s="8">
        <f t="shared" si="33"/>
        <v>4.6654332553986268E-4</v>
      </c>
      <c r="O142" s="2">
        <f t="shared" si="24"/>
        <v>0.5584176487315462</v>
      </c>
      <c r="P142" s="7">
        <f t="shared" si="25"/>
        <v>113.43575217695178</v>
      </c>
      <c r="Q142"/>
      <c r="R142"/>
      <c r="S142"/>
      <c r="T142"/>
      <c r="U142"/>
      <c r="V142"/>
      <c r="W142"/>
      <c r="X142" s="9">
        <f t="shared" si="28"/>
        <v>67.445448915326594</v>
      </c>
      <c r="Y142" s="8">
        <f>VLOOKUP(ROUNDDOWN(X142,0),'Spline Pre-Adj'!F:G,2,0)</f>
        <v>3.6676855284799998</v>
      </c>
      <c r="Z142" s="8">
        <f t="shared" si="29"/>
        <v>0</v>
      </c>
      <c r="AA142"/>
      <c r="AB142"/>
      <c r="AC142" s="9">
        <f t="shared" si="30"/>
        <v>67.445448915326594</v>
      </c>
      <c r="AD142" s="8">
        <f>VLOOKUP(ROUNDDOWN(AC142,0),'Spline Pre-Adj'!K:L,2,0)</f>
        <v>3.5314609873155498</v>
      </c>
      <c r="AE142" s="8">
        <f t="shared" si="31"/>
        <v>0</v>
      </c>
    </row>
    <row r="143" spans="1:31" s="17" customFormat="1" x14ac:dyDescent="0.25">
      <c r="A143" s="4">
        <f t="shared" si="16"/>
        <v>72.479370373158204</v>
      </c>
      <c r="B143" s="3">
        <f t="shared" si="17"/>
        <v>3.2653127723099997</v>
      </c>
      <c r="C143" s="2" t="str">
        <f t="shared" si="15"/>
        <v>11:50-75</v>
      </c>
      <c r="D143" s="8">
        <f t="shared" si="35"/>
        <v>5.2690271438472103E-2</v>
      </c>
      <c r="E143" s="8">
        <f t="shared" si="18"/>
        <v>4.3871403908400934E-2</v>
      </c>
      <c r="F143" s="3">
        <f t="shared" si="19"/>
        <v>1.2010163054841845</v>
      </c>
      <c r="G143" s="2">
        <f t="shared" si="38"/>
        <v>47.771931061699405</v>
      </c>
      <c r="H143" s="2">
        <f t="shared" si="38"/>
        <v>41.629194259044603</v>
      </c>
      <c r="I143"/>
      <c r="J143"/>
      <c r="K143" s="14">
        <f t="shared" si="32"/>
        <v>0</v>
      </c>
      <c r="L143" s="14">
        <f t="shared" si="34"/>
        <v>0</v>
      </c>
      <c r="M143" s="14">
        <f t="shared" si="37"/>
        <v>0</v>
      </c>
      <c r="N143" s="8">
        <f t="shared" si="33"/>
        <v>4.6784908975579709E-4</v>
      </c>
      <c r="O143" s="2">
        <f t="shared" si="24"/>
        <v>0.559976531940376</v>
      </c>
      <c r="P143" s="7">
        <f t="shared" si="25"/>
        <v>112.62236604109845</v>
      </c>
      <c r="Q143"/>
      <c r="R143"/>
      <c r="S143"/>
      <c r="T143"/>
      <c r="U143"/>
      <c r="V143"/>
      <c r="W143"/>
      <c r="X143" s="9">
        <f t="shared" si="28"/>
        <v>72.479370373158204</v>
      </c>
      <c r="Y143" s="8">
        <f>VLOOKUP(ROUNDDOWN(X143,0),'Spline Pre-Adj'!F:G,2,0)</f>
        <v>3.9558229453415401</v>
      </c>
      <c r="Z143" s="8">
        <f t="shared" si="29"/>
        <v>0</v>
      </c>
      <c r="AA143"/>
      <c r="AB143"/>
      <c r="AC143" s="9">
        <f t="shared" si="30"/>
        <v>72.479370373158204</v>
      </c>
      <c r="AD143" s="8">
        <f>VLOOKUP(ROUNDDOWN(AC143,0),'Spline Pre-Adj'!K:L,2,0)</f>
        <v>3.7015869795651599</v>
      </c>
      <c r="AE143" s="8">
        <f t="shared" si="31"/>
        <v>0</v>
      </c>
    </row>
    <row r="144" spans="1:31" s="17" customFormat="1" x14ac:dyDescent="0.25">
      <c r="A144" s="4">
        <f t="shared" si="16"/>
        <v>85.725601298003895</v>
      </c>
      <c r="B144" s="3">
        <f t="shared" si="17"/>
        <v>10.60068596713</v>
      </c>
      <c r="C144" s="2" t="str">
        <f t="shared" si="15"/>
        <v>12:75-100</v>
      </c>
      <c r="D144" s="8">
        <f t="shared" si="35"/>
        <v>4.9369570691126699E-2</v>
      </c>
      <c r="E144" s="8">
        <f t="shared" si="18"/>
        <v>4.7249291273000281E-2</v>
      </c>
      <c r="F144" s="3">
        <f t="shared" si="19"/>
        <v>1.0448743115716956</v>
      </c>
      <c r="G144" s="2">
        <f t="shared" si="38"/>
        <v>45.532111301893998</v>
      </c>
      <c r="H144" s="2">
        <f t="shared" si="38"/>
        <v>44.056276846793438</v>
      </c>
      <c r="I144"/>
      <c r="J144"/>
      <c r="K144" s="14">
        <f t="shared" si="32"/>
        <v>0</v>
      </c>
      <c r="L144" s="14">
        <f t="shared" si="34"/>
        <v>0</v>
      </c>
      <c r="M144" s="14">
        <f t="shared" si="37"/>
        <v>0</v>
      </c>
      <c r="N144" s="8">
        <f t="shared" ref="N144:N149" si="39">Z109+AA109+AB109*K144+AC109*L144+AD109*M144*$M$118</f>
        <v>4.7359258905303498E-4</v>
      </c>
      <c r="O144" s="2">
        <f t="shared" si="24"/>
        <v>0.56683312765383187</v>
      </c>
      <c r="P144" s="7">
        <f t="shared" si="25"/>
        <v>104.24481259270313</v>
      </c>
      <c r="Q144"/>
      <c r="R144"/>
      <c r="S144"/>
      <c r="T144"/>
      <c r="U144"/>
      <c r="V144"/>
      <c r="W144"/>
      <c r="X144" s="9">
        <f t="shared" si="28"/>
        <v>85.725601298003895</v>
      </c>
      <c r="Y144" s="8">
        <f>VLOOKUP(ROUNDDOWN(X144,0),'Spline Pre-Adj'!F:G,2,0)</f>
        <v>4.7067860187499999</v>
      </c>
      <c r="Z144" s="8">
        <f t="shared" si="29"/>
        <v>0</v>
      </c>
      <c r="AA144"/>
      <c r="AB144"/>
      <c r="AC144" s="9">
        <f t="shared" si="30"/>
        <v>85.725601298003895</v>
      </c>
      <c r="AD144" s="8">
        <f>VLOOKUP(ROUNDDOWN(AC144,0),'Spline Pre-Adj'!K:L,2,0)</f>
        <v>4.0923365222828396</v>
      </c>
      <c r="AE144" s="8">
        <f t="shared" si="31"/>
        <v>0</v>
      </c>
    </row>
    <row r="145" spans="1:31" s="17" customFormat="1" x14ac:dyDescent="0.25">
      <c r="A145" s="4">
        <f t="shared" si="16"/>
        <v>111.841127420033</v>
      </c>
      <c r="B145" s="3">
        <f t="shared" si="17"/>
        <v>5.6058507931800001</v>
      </c>
      <c r="C145" s="2" t="str">
        <f t="shared" si="15"/>
        <v>13:100-125</v>
      </c>
      <c r="D145" s="8">
        <f t="shared" si="35"/>
        <v>5.0017829692396397E-2</v>
      </c>
      <c r="E145" s="8">
        <f t="shared" si="18"/>
        <v>5.1473034520644258E-2</v>
      </c>
      <c r="F145" s="3">
        <f t="shared" si="19"/>
        <v>0.97172879272030832</v>
      </c>
      <c r="G145" s="2">
        <f t="shared" si="38"/>
        <v>45.976159814405584</v>
      </c>
      <c r="H145" s="2">
        <f t="shared" si="38"/>
        <v>46.960895560967877</v>
      </c>
      <c r="I145"/>
      <c r="J145"/>
      <c r="K145" s="14">
        <f t="shared" si="32"/>
        <v>0</v>
      </c>
      <c r="L145" s="14">
        <f t="shared" si="34"/>
        <v>0</v>
      </c>
      <c r="M145" s="14">
        <f t="shared" si="37"/>
        <v>0</v>
      </c>
      <c r="N145" s="8">
        <f t="shared" si="39"/>
        <v>5.1367616251705907E-4</v>
      </c>
      <c r="O145" s="2">
        <f t="shared" si="24"/>
        <v>0.61467287634252576</v>
      </c>
      <c r="P145" s="7">
        <f t="shared" si="25"/>
        <v>97.372300570274788</v>
      </c>
      <c r="Q145"/>
      <c r="R145"/>
      <c r="S145"/>
      <c r="T145"/>
      <c r="U145"/>
      <c r="V145"/>
      <c r="W145"/>
      <c r="X145" s="9">
        <f t="shared" si="28"/>
        <v>111.841127420033</v>
      </c>
      <c r="Y145" s="8">
        <f>VLOOKUP(ROUNDDOWN(X145,0),'Spline Pre-Adj'!F:G,2,0)</f>
        <v>6.2168084690133298</v>
      </c>
      <c r="Z145" s="8">
        <f t="shared" si="29"/>
        <v>0</v>
      </c>
      <c r="AA145"/>
      <c r="AB145"/>
      <c r="AC145" s="9">
        <f t="shared" si="30"/>
        <v>111.841127420033</v>
      </c>
      <c r="AD145" s="8">
        <f>VLOOKUP(ROUNDDOWN(AC145,0),'Spline Pre-Adj'!K:L,2,0)</f>
        <v>4.7299139704548203</v>
      </c>
      <c r="AE145" s="8">
        <f t="shared" si="31"/>
        <v>0</v>
      </c>
    </row>
    <row r="146" spans="1:31" s="17" customFormat="1" x14ac:dyDescent="0.25">
      <c r="A146" s="4">
        <f t="shared" si="16"/>
        <v>134.38012833370499</v>
      </c>
      <c r="B146" s="3">
        <f t="shared" si="17"/>
        <v>2.61605540987</v>
      </c>
      <c r="C146" s="2" t="str">
        <f t="shared" si="15"/>
        <v>14:125-150</v>
      </c>
      <c r="D146" s="8">
        <f t="shared" si="35"/>
        <v>5.0708828636725899E-2</v>
      </c>
      <c r="E146" s="8">
        <f t="shared" si="18"/>
        <v>5.5259574725437646E-2</v>
      </c>
      <c r="F146" s="3">
        <f t="shared" si="19"/>
        <v>0.91764782643872023</v>
      </c>
      <c r="G146" s="2">
        <f t="shared" si="38"/>
        <v>46.445828850119256</v>
      </c>
      <c r="H146" s="2">
        <f t="shared" si="38"/>
        <v>49.446644233718558</v>
      </c>
      <c r="I146"/>
      <c r="J146"/>
      <c r="K146" s="14">
        <f t="shared" si="32"/>
        <v>0</v>
      </c>
      <c r="L146" s="14">
        <f t="shared" si="34"/>
        <v>0</v>
      </c>
      <c r="M146" s="14">
        <f t="shared" si="37"/>
        <v>0</v>
      </c>
      <c r="N146" s="8">
        <f t="shared" si="39"/>
        <v>5.41972425929144E-4</v>
      </c>
      <c r="O146" s="2">
        <f t="shared" si="24"/>
        <v>0.6484317640260584</v>
      </c>
      <c r="P146" s="7">
        <f t="shared" si="25"/>
        <v>93.563484433349075</v>
      </c>
      <c r="Q146"/>
      <c r="R146"/>
      <c r="S146"/>
      <c r="T146"/>
      <c r="U146"/>
      <c r="V146"/>
      <c r="W146"/>
      <c r="X146" s="9">
        <f t="shared" si="28"/>
        <v>134.38012833370499</v>
      </c>
      <c r="Y146" s="8">
        <f>VLOOKUP(ROUNDDOWN(X146,0),'Spline Pre-Adj'!F:G,2,0)</f>
        <v>7.60662891263856</v>
      </c>
      <c r="Z146" s="8">
        <f t="shared" si="29"/>
        <v>0</v>
      </c>
      <c r="AA146"/>
      <c r="AB146"/>
      <c r="AC146" s="9">
        <f t="shared" si="30"/>
        <v>134.38012833370499</v>
      </c>
      <c r="AD146" s="8">
        <f>VLOOKUP(ROUNDDOWN(AC146,0),'Spline Pre-Adj'!K:L,2,0)</f>
        <v>5.2051069926153799</v>
      </c>
      <c r="AE146" s="8">
        <f t="shared" si="31"/>
        <v>0</v>
      </c>
    </row>
    <row r="147" spans="1:31" s="17" customFormat="1" x14ac:dyDescent="0.25">
      <c r="A147" s="4">
        <f t="shared" si="16"/>
        <v>160.18516166213001</v>
      </c>
      <c r="B147" s="3">
        <f t="shared" si="17"/>
        <v>0.44019781916</v>
      </c>
      <c r="C147" s="2" t="str">
        <f t="shared" si="15"/>
        <v>15:150-175</v>
      </c>
      <c r="D147" s="8">
        <f t="shared" si="35"/>
        <v>4.7514462955103302E-2</v>
      </c>
      <c r="E147" s="8">
        <f t="shared" si="18"/>
        <v>5.9732779318138932E-2</v>
      </c>
      <c r="F147" s="3">
        <f t="shared" si="19"/>
        <v>0.79545039587124455</v>
      </c>
      <c r="G147" s="2">
        <f t="shared" si="38"/>
        <v>44.242835662966016</v>
      </c>
      <c r="H147" s="2">
        <f t="shared" si="38"/>
        <v>52.245362413794041</v>
      </c>
      <c r="I147"/>
      <c r="J147"/>
      <c r="K147" s="14">
        <f t="shared" si="32"/>
        <v>0</v>
      </c>
      <c r="L147" s="14">
        <f t="shared" si="34"/>
        <v>0</v>
      </c>
      <c r="M147" s="14">
        <f t="shared" si="37"/>
        <v>0</v>
      </c>
      <c r="N147" s="8">
        <f t="shared" si="39"/>
        <v>6.1724689658347901E-4</v>
      </c>
      <c r="O147" s="2">
        <f t="shared" si="24"/>
        <v>0.73818688377355057</v>
      </c>
      <c r="P147" s="7">
        <f t="shared" si="25"/>
        <v>76.978050789887206</v>
      </c>
      <c r="Q147"/>
      <c r="R147"/>
      <c r="S147"/>
      <c r="T147"/>
      <c r="U147"/>
      <c r="V147"/>
      <c r="W147"/>
      <c r="X147" s="9">
        <f t="shared" si="28"/>
        <v>160.18516166213001</v>
      </c>
      <c r="Y147" s="8">
        <f>VLOOKUP(ROUNDDOWN(X147,0),'Spline Pre-Adj'!F:G,2,0)</f>
        <v>8.7434835551418502</v>
      </c>
      <c r="Z147" s="8">
        <f t="shared" si="29"/>
        <v>0</v>
      </c>
      <c r="AA147"/>
      <c r="AB147"/>
      <c r="AC147" s="9">
        <f t="shared" si="30"/>
        <v>160.18516166213001</v>
      </c>
      <c r="AD147" s="8">
        <f>VLOOKUP(ROUNDDOWN(AC147,0),'Spline Pre-Adj'!K:L,2,0)</f>
        <v>5.6662697466415004</v>
      </c>
      <c r="AE147" s="8">
        <f t="shared" si="31"/>
        <v>0</v>
      </c>
    </row>
    <row r="148" spans="1:31" s="17" customFormat="1" x14ac:dyDescent="0.25">
      <c r="A148" s="4">
        <f t="shared" si="16"/>
        <v>183.94350489017</v>
      </c>
      <c r="B148" s="3">
        <f t="shared" si="17"/>
        <v>9.6630877530000006E-2</v>
      </c>
      <c r="C148" s="2" t="str">
        <f t="shared" si="15"/>
        <v>16:175-200</v>
      </c>
      <c r="D148" s="8">
        <f t="shared" si="35"/>
        <v>6.1197489207662902E-2</v>
      </c>
      <c r="E148" s="8">
        <f t="shared" si="18"/>
        <v>6.3330652723265601E-2</v>
      </c>
      <c r="F148" s="3">
        <f t="shared" si="19"/>
        <v>0.96631704516099126</v>
      </c>
      <c r="G148" s="2">
        <f t="shared" si="38"/>
        <v>53.130436470808448</v>
      </c>
      <c r="H148" s="2">
        <f t="shared" si="38"/>
        <v>54.392559849559355</v>
      </c>
      <c r="I148"/>
      <c r="J148"/>
      <c r="K148" s="14">
        <f t="shared" si="32"/>
        <v>0</v>
      </c>
      <c r="L148" s="14">
        <f t="shared" si="34"/>
        <v>0</v>
      </c>
      <c r="M148" s="14">
        <f t="shared" si="37"/>
        <v>0</v>
      </c>
      <c r="N148" s="8">
        <f t="shared" si="39"/>
        <v>6.9708228821326198E-4</v>
      </c>
      <c r="O148" s="2">
        <f t="shared" si="24"/>
        <v>0.83329908968576838</v>
      </c>
      <c r="P148" s="7">
        <f t="shared" si="25"/>
        <v>87.790911119721983</v>
      </c>
      <c r="Q148"/>
      <c r="R148"/>
      <c r="S148"/>
      <c r="T148"/>
      <c r="U148"/>
      <c r="V148"/>
      <c r="W148"/>
      <c r="X148" s="9">
        <f t="shared" si="28"/>
        <v>183.94350489017</v>
      </c>
      <c r="Y148" s="8">
        <f>VLOOKUP(ROUNDDOWN(X148,0),'Spline Pre-Adj'!F:G,2,0)</f>
        <v>8.8912890705385497</v>
      </c>
      <c r="Z148" s="8">
        <f t="shared" si="29"/>
        <v>0</v>
      </c>
      <c r="AA148"/>
      <c r="AB148"/>
      <c r="AC148" s="9">
        <f t="shared" si="30"/>
        <v>183.94350489017</v>
      </c>
      <c r="AD148" s="8">
        <f>VLOOKUP(ROUNDDOWN(AC148,0),'Spline Pre-Adj'!K:L,2,0)</f>
        <v>6.0276934430763003</v>
      </c>
      <c r="AE148" s="8">
        <f t="shared" si="31"/>
        <v>0</v>
      </c>
    </row>
    <row r="149" spans="1:31" s="17" customFormat="1" x14ac:dyDescent="0.25">
      <c r="A149" s="4">
        <f t="shared" si="16"/>
        <v>209.552293094823</v>
      </c>
      <c r="B149" s="3">
        <f t="shared" si="17"/>
        <v>2.0893223299999999E-2</v>
      </c>
      <c r="C149" s="2" t="str">
        <f t="shared" si="15"/>
        <v>17:200-225</v>
      </c>
      <c r="D149" s="8">
        <f t="shared" si="35"/>
        <v>5.2273954856408698E-2</v>
      </c>
      <c r="E149" s="8">
        <f t="shared" si="18"/>
        <v>6.3630712749643603E-2</v>
      </c>
      <c r="F149" s="3">
        <f t="shared" si="19"/>
        <v>0.82152081278865585</v>
      </c>
      <c r="G149" s="2">
        <f t="shared" si="38"/>
        <v>47.495830730037483</v>
      </c>
      <c r="H149" s="2">
        <f t="shared" si="38"/>
        <v>54.567574228752449</v>
      </c>
      <c r="I149"/>
      <c r="J149"/>
      <c r="K149" s="14">
        <f t="shared" si="32"/>
        <v>0</v>
      </c>
      <c r="L149" s="14">
        <f t="shared" si="34"/>
        <v>0</v>
      </c>
      <c r="M149" s="14">
        <f t="shared" si="37"/>
        <v>0</v>
      </c>
      <c r="N149" s="8">
        <f t="shared" si="39"/>
        <v>7.5183878140775806E-4</v>
      </c>
      <c r="O149" s="2">
        <f t="shared" si="24"/>
        <v>0.89848514532293589</v>
      </c>
      <c r="P149" s="7">
        <f t="shared" si="25"/>
        <v>69.528143731199791</v>
      </c>
      <c r="Q149"/>
      <c r="R149"/>
      <c r="S149"/>
      <c r="T149"/>
      <c r="U149"/>
      <c r="V149"/>
      <c r="W149"/>
      <c r="X149" s="9">
        <f t="shared" si="28"/>
        <v>209.552293094823</v>
      </c>
      <c r="Y149" s="8">
        <f>VLOOKUP(ROUNDDOWN(X149,0),'Spline Pre-Adj'!F:G,2,0)</f>
        <v>8.9</v>
      </c>
      <c r="Z149" s="8">
        <f t="shared" si="29"/>
        <v>0</v>
      </c>
      <c r="AA149"/>
      <c r="AB149"/>
      <c r="AC149" s="9">
        <f t="shared" si="30"/>
        <v>209.552293094823</v>
      </c>
      <c r="AD149" s="8">
        <f>VLOOKUP(ROUNDDOWN(AC149,0),'Spline Pre-Adj'!K:L,2,0)</f>
        <v>6.3657668913125001</v>
      </c>
      <c r="AE149" s="8">
        <f t="shared" si="31"/>
        <v>0</v>
      </c>
    </row>
    <row r="150" spans="1:31" s="17" customFormat="1" x14ac:dyDescent="0.25">
      <c r="A150" s="15"/>
      <c r="B150" s="22"/>
      <c r="C150" s="23"/>
      <c r="D150" s="16"/>
      <c r="E150" s="16"/>
      <c r="F150" s="22"/>
      <c r="G150" s="23"/>
      <c r="H150" s="23"/>
      <c r="K150" s="15"/>
      <c r="L150" s="15"/>
      <c r="M150" s="15"/>
      <c r="N150" s="16"/>
      <c r="O150" s="23"/>
      <c r="P150" s="24"/>
      <c r="X150" s="18"/>
      <c r="Y150" s="16"/>
      <c r="Z150" s="16"/>
      <c r="AC150" s="18"/>
      <c r="AD150" s="16"/>
      <c r="AE150" s="16"/>
    </row>
    <row r="151" spans="1:31" s="17" customFormat="1" x14ac:dyDescent="0.25">
      <c r="A151" s="15"/>
      <c r="B151" s="22"/>
      <c r="C151" s="23"/>
      <c r="D151" s="16"/>
      <c r="E151" s="16"/>
      <c r="F151" s="22"/>
      <c r="G151" s="23"/>
      <c r="H151" s="23"/>
      <c r="K151" s="15"/>
      <c r="L151" s="15"/>
      <c r="M151" s="26"/>
      <c r="N151" s="16"/>
      <c r="O151" s="23"/>
      <c r="P151" s="24"/>
      <c r="X151" s="18"/>
      <c r="Y151" s="16"/>
      <c r="Z151" s="16"/>
      <c r="AC151" s="18"/>
      <c r="AD151" s="16"/>
      <c r="AE151" s="16"/>
    </row>
    <row r="154" spans="1:31" x14ac:dyDescent="0.25">
      <c r="I154" t="s">
        <v>123</v>
      </c>
      <c r="K154" s="15">
        <v>0.75</v>
      </c>
      <c r="L154" s="15">
        <v>1</v>
      </c>
      <c r="M154" s="15">
        <v>1</v>
      </c>
    </row>
    <row r="155" spans="1:31" x14ac:dyDescent="0.25">
      <c r="K155" s="15">
        <v>0.75</v>
      </c>
      <c r="L155" s="15">
        <v>1</v>
      </c>
      <c r="M155" s="15">
        <v>1</v>
      </c>
    </row>
    <row r="156" spans="1:31" x14ac:dyDescent="0.25">
      <c r="K156" s="15">
        <v>0.75</v>
      </c>
      <c r="L156" s="15">
        <v>1</v>
      </c>
      <c r="M156" s="15">
        <v>1</v>
      </c>
    </row>
    <row r="157" spans="1:31" x14ac:dyDescent="0.25">
      <c r="K157" s="15">
        <v>0.64</v>
      </c>
      <c r="L157" s="15">
        <v>1</v>
      </c>
      <c r="M157" s="15">
        <v>1</v>
      </c>
    </row>
    <row r="158" spans="1:31" x14ac:dyDescent="0.25">
      <c r="K158" s="4">
        <v>0.64</v>
      </c>
      <c r="L158" s="4">
        <v>1</v>
      </c>
      <c r="M158" s="4">
        <v>0.32</v>
      </c>
    </row>
    <row r="159" spans="1:31" x14ac:dyDescent="0.25">
      <c r="K159" s="4">
        <v>0.75</v>
      </c>
      <c r="L159" s="4">
        <v>1</v>
      </c>
      <c r="M159" s="4">
        <v>0.67</v>
      </c>
    </row>
    <row r="160" spans="1:31" x14ac:dyDescent="0.25">
      <c r="K160" s="4">
        <v>0.75</v>
      </c>
      <c r="L160" s="4">
        <v>1</v>
      </c>
      <c r="M160" s="4">
        <v>1.1100000000000001</v>
      </c>
    </row>
    <row r="161" spans="1:50" x14ac:dyDescent="0.25">
      <c r="K161" s="4">
        <v>0.75</v>
      </c>
      <c r="L161" s="4">
        <v>1</v>
      </c>
      <c r="M161" s="4">
        <v>1.32</v>
      </c>
    </row>
    <row r="162" spans="1:50" x14ac:dyDescent="0.25">
      <c r="K162" s="4">
        <v>0.75</v>
      </c>
      <c r="L162" s="4">
        <v>1</v>
      </c>
      <c r="M162" s="4">
        <v>1.26</v>
      </c>
    </row>
    <row r="163" spans="1:50" x14ac:dyDescent="0.25">
      <c r="K163" s="4">
        <v>0.75</v>
      </c>
      <c r="L163" s="4">
        <v>1</v>
      </c>
      <c r="M163" s="4">
        <v>1.17</v>
      </c>
    </row>
    <row r="164" spans="1:50" x14ac:dyDescent="0.25">
      <c r="K164" s="4">
        <v>0.75</v>
      </c>
      <c r="L164" s="4">
        <v>1</v>
      </c>
      <c r="M164" s="4">
        <v>1.07</v>
      </c>
    </row>
    <row r="165" spans="1:50" x14ac:dyDescent="0.25">
      <c r="K165" s="4">
        <v>0.75</v>
      </c>
      <c r="L165" s="4">
        <v>1</v>
      </c>
      <c r="M165" s="4">
        <v>1</v>
      </c>
    </row>
    <row r="166" spans="1:50" x14ac:dyDescent="0.25">
      <c r="K166" s="4">
        <v>0.75</v>
      </c>
      <c r="L166" s="4">
        <v>1</v>
      </c>
      <c r="M166" s="4">
        <v>0.95</v>
      </c>
    </row>
    <row r="167" spans="1:50" x14ac:dyDescent="0.25">
      <c r="K167" s="4">
        <v>0.75</v>
      </c>
      <c r="L167" s="4">
        <v>1</v>
      </c>
      <c r="M167" s="4">
        <v>0.91</v>
      </c>
    </row>
    <row r="168" spans="1:50" x14ac:dyDescent="0.25">
      <c r="K168" s="26">
        <v>0.75</v>
      </c>
      <c r="L168" s="26">
        <v>1</v>
      </c>
      <c r="M168" s="26">
        <v>1.05</v>
      </c>
    </row>
    <row r="169" spans="1:50" x14ac:dyDescent="0.25">
      <c r="K169" s="15">
        <v>0.75</v>
      </c>
      <c r="L169" s="15">
        <v>1</v>
      </c>
      <c r="M169" s="15">
        <v>1</v>
      </c>
    </row>
    <row r="170" spans="1:50" x14ac:dyDescent="0.25">
      <c r="K170" s="15">
        <v>0.75</v>
      </c>
      <c r="L170" s="15">
        <v>1</v>
      </c>
      <c r="M170" s="15">
        <v>1</v>
      </c>
    </row>
    <row r="172" spans="1:50" s="31" customFormat="1" x14ac:dyDescent="0.25"/>
    <row r="173" spans="1:50" x14ac:dyDescent="0.25">
      <c r="A173" s="33" t="s">
        <v>122</v>
      </c>
      <c r="C173" t="s">
        <v>130</v>
      </c>
      <c r="AS173" s="17" t="s">
        <v>89</v>
      </c>
      <c r="AT173" s="17" t="s">
        <v>90</v>
      </c>
      <c r="AU173" s="17"/>
      <c r="AV173" s="17"/>
      <c r="AW173" s="17" t="s">
        <v>91</v>
      </c>
      <c r="AX173" s="17"/>
    </row>
    <row r="174" spans="1:50" x14ac:dyDescent="0.25">
      <c r="A174" t="s">
        <v>21</v>
      </c>
      <c r="B174" t="s">
        <v>22</v>
      </c>
      <c r="C174" t="s">
        <v>23</v>
      </c>
      <c r="D174" t="s">
        <v>24</v>
      </c>
      <c r="E174" t="s">
        <v>97</v>
      </c>
      <c r="F174" t="s">
        <v>98</v>
      </c>
      <c r="G174" t="s">
        <v>25</v>
      </c>
      <c r="H174" t="s">
        <v>26</v>
      </c>
      <c r="I174" t="s">
        <v>27</v>
      </c>
      <c r="J174" t="s">
        <v>28</v>
      </c>
      <c r="K174" t="s">
        <v>29</v>
      </c>
      <c r="L174" t="s">
        <v>30</v>
      </c>
      <c r="M174" t="s">
        <v>31</v>
      </c>
      <c r="N174" t="s">
        <v>32</v>
      </c>
      <c r="O174" t="s">
        <v>33</v>
      </c>
      <c r="P174" t="s">
        <v>34</v>
      </c>
      <c r="Q174" t="s">
        <v>35</v>
      </c>
      <c r="R174" t="s">
        <v>36</v>
      </c>
      <c r="S174" t="s">
        <v>37</v>
      </c>
      <c r="T174" t="s">
        <v>38</v>
      </c>
      <c r="U174" t="s">
        <v>39</v>
      </c>
      <c r="V174" t="s">
        <v>40</v>
      </c>
      <c r="W174" t="s">
        <v>41</v>
      </c>
      <c r="X174" t="s">
        <v>42</v>
      </c>
      <c r="Y174" t="s">
        <v>43</v>
      </c>
      <c r="Z174" t="s">
        <v>44</v>
      </c>
      <c r="AA174" t="s">
        <v>45</v>
      </c>
      <c r="AB174" s="1" t="s">
        <v>46</v>
      </c>
      <c r="AC174" s="1" t="s">
        <v>47</v>
      </c>
      <c r="AD174" s="1" t="s">
        <v>48</v>
      </c>
      <c r="AE174" t="s">
        <v>49</v>
      </c>
      <c r="AF174" t="s">
        <v>50</v>
      </c>
      <c r="AG174" t="s">
        <v>51</v>
      </c>
      <c r="AH174" t="s">
        <v>52</v>
      </c>
      <c r="AI174" t="s">
        <v>53</v>
      </c>
      <c r="AJ174" t="s">
        <v>54</v>
      </c>
      <c r="AK174" t="s">
        <v>55</v>
      </c>
      <c r="AL174" t="s">
        <v>56</v>
      </c>
      <c r="AM174" t="s">
        <v>57</v>
      </c>
      <c r="AN174" t="s">
        <v>58</v>
      </c>
      <c r="AO174" t="s">
        <v>59</v>
      </c>
      <c r="AP174" t="s">
        <v>60</v>
      </c>
      <c r="AQ174" t="s">
        <v>61</v>
      </c>
      <c r="AR174" t="s">
        <v>62</v>
      </c>
      <c r="AS174" s="34" t="s">
        <v>124</v>
      </c>
      <c r="AT174" s="34" t="s">
        <v>125</v>
      </c>
      <c r="AU174" s="34" t="s">
        <v>126</v>
      </c>
      <c r="AV174" s="34" t="s">
        <v>127</v>
      </c>
      <c r="AW174" s="34" t="s">
        <v>128</v>
      </c>
      <c r="AX174" s="34" t="s">
        <v>129</v>
      </c>
    </row>
    <row r="175" spans="1:50" x14ac:dyDescent="0.25">
      <c r="A175">
        <v>96</v>
      </c>
      <c r="B175" s="4">
        <v>0.9946114687666</v>
      </c>
      <c r="C175" s="4">
        <v>0</v>
      </c>
      <c r="D175" s="4">
        <v>6.27799891203132</v>
      </c>
      <c r="E175" s="4">
        <v>0</v>
      </c>
      <c r="F175" s="5">
        <v>5.3885312333990798E-3</v>
      </c>
      <c r="G175" s="5">
        <v>0</v>
      </c>
      <c r="H175" s="4">
        <v>4.125</v>
      </c>
      <c r="I175" s="4">
        <v>4.0914465832429299</v>
      </c>
      <c r="J175" s="4">
        <v>-39.292400000000001</v>
      </c>
      <c r="K175" s="4">
        <v>-107.582908254133</v>
      </c>
      <c r="L175" s="4">
        <v>22.464930692893201</v>
      </c>
      <c r="M175" s="4">
        <v>18.498074801809601</v>
      </c>
      <c r="N175" s="4">
        <v>80</v>
      </c>
      <c r="O175" s="4">
        <v>77.967109304621005</v>
      </c>
      <c r="P175" s="4">
        <v>177738.07201269601</v>
      </c>
      <c r="Q175" s="4">
        <v>177737.54500000001</v>
      </c>
      <c r="R175" s="4">
        <v>782</v>
      </c>
      <c r="S175" s="4">
        <v>0</v>
      </c>
      <c r="T175" s="4">
        <v>0</v>
      </c>
      <c r="U175" s="4">
        <v>0</v>
      </c>
      <c r="V175" s="4">
        <v>1</v>
      </c>
      <c r="W175" s="4">
        <v>0</v>
      </c>
      <c r="X175" s="4">
        <v>0</v>
      </c>
      <c r="Y175" s="4">
        <v>0</v>
      </c>
      <c r="Z175" s="5">
        <v>3.5354267024575401E-4</v>
      </c>
      <c r="AA175" s="5">
        <v>1.33949922462921E-5</v>
      </c>
      <c r="AB175" s="10">
        <v>3.8048393520865201E-3</v>
      </c>
      <c r="AC175" s="10">
        <v>0</v>
      </c>
      <c r="AD175" s="10">
        <v>1.2167417246027E-3</v>
      </c>
      <c r="AE175" s="4">
        <v>-1.2605143054186499E-3</v>
      </c>
      <c r="AF175" s="4">
        <v>1</v>
      </c>
      <c r="AG175" s="4">
        <v>1</v>
      </c>
      <c r="AH175" s="4">
        <v>1</v>
      </c>
      <c r="AI175" s="4">
        <v>1</v>
      </c>
      <c r="AJ175" s="4">
        <v>1</v>
      </c>
      <c r="AK175" s="4">
        <v>1</v>
      </c>
      <c r="AL175" s="4">
        <v>1</v>
      </c>
      <c r="AM175" s="4">
        <v>0</v>
      </c>
      <c r="AN175" s="4">
        <v>0</v>
      </c>
      <c r="AO175" s="4" t="s">
        <v>64</v>
      </c>
      <c r="AP175" s="4">
        <f>-125--100</f>
        <v>-25</v>
      </c>
      <c r="AQ175" s="6">
        <v>710950.18</v>
      </c>
      <c r="AR175" s="4">
        <v>4</v>
      </c>
      <c r="AS175" s="35">
        <v>0</v>
      </c>
      <c r="AT175" s="35">
        <v>0</v>
      </c>
      <c r="AU175" s="35">
        <v>0</v>
      </c>
      <c r="AV175" s="35">
        <v>100</v>
      </c>
      <c r="AW175" s="35">
        <v>0</v>
      </c>
      <c r="AX175" s="35">
        <v>100</v>
      </c>
    </row>
    <row r="176" spans="1:50" x14ac:dyDescent="0.25">
      <c r="A176">
        <v>96</v>
      </c>
      <c r="B176" s="4">
        <v>0.98847503283395599</v>
      </c>
      <c r="C176" s="4">
        <v>2.4367198017629601</v>
      </c>
      <c r="D176" s="4">
        <v>12.9861367068217</v>
      </c>
      <c r="E176" s="4">
        <v>2.0536376312162699E-3</v>
      </c>
      <c r="F176" s="5">
        <v>1.15249671660437E-2</v>
      </c>
      <c r="G176" s="5">
        <v>0</v>
      </c>
      <c r="H176" s="4">
        <v>4.2148495289267096</v>
      </c>
      <c r="I176" s="4">
        <v>4.0404120786487203</v>
      </c>
      <c r="J176" s="4">
        <v>-25.1640119418362</v>
      </c>
      <c r="K176" s="4">
        <v>-83.391670432831603</v>
      </c>
      <c r="L176" s="4">
        <v>18.668037023958899</v>
      </c>
      <c r="M176" s="4">
        <v>17.873161315619701</v>
      </c>
      <c r="N176" s="4">
        <v>76.690702539899902</v>
      </c>
      <c r="O176" s="4">
        <v>76.404421693503494</v>
      </c>
      <c r="P176" s="4">
        <v>229365.57495833901</v>
      </c>
      <c r="Q176" s="4">
        <v>199380.54</v>
      </c>
      <c r="R176" s="4">
        <v>780.925892323987</v>
      </c>
      <c r="S176" s="4">
        <v>0</v>
      </c>
      <c r="T176" s="4">
        <v>0</v>
      </c>
      <c r="U176" s="4">
        <v>0</v>
      </c>
      <c r="V176" s="4">
        <v>1</v>
      </c>
      <c r="W176" s="4">
        <v>0</v>
      </c>
      <c r="X176" s="4">
        <v>0.15226507214641999</v>
      </c>
      <c r="Y176" s="4">
        <v>0</v>
      </c>
      <c r="Z176" s="5">
        <v>3.8166174288388802E-4</v>
      </c>
      <c r="AA176" s="5">
        <v>4.0575340329101303E-5</v>
      </c>
      <c r="AB176" s="10">
        <v>3.1994935978764301E-3</v>
      </c>
      <c r="AC176" s="10">
        <v>0</v>
      </c>
      <c r="AD176" s="10">
        <v>7.9032233456665293E-3</v>
      </c>
      <c r="AE176" s="4">
        <v>-2.3944386923619401E-2</v>
      </c>
      <c r="AF176" s="4">
        <v>1</v>
      </c>
      <c r="AG176" s="4">
        <v>1</v>
      </c>
      <c r="AH176" s="4">
        <v>1</v>
      </c>
      <c r="AI176" s="4">
        <v>1</v>
      </c>
      <c r="AJ176" s="4">
        <v>1</v>
      </c>
      <c r="AK176" s="4">
        <v>1</v>
      </c>
      <c r="AL176" s="4">
        <v>1</v>
      </c>
      <c r="AM176" s="4">
        <v>0</v>
      </c>
      <c r="AN176" s="4">
        <v>0</v>
      </c>
      <c r="AO176" s="4" t="s">
        <v>65</v>
      </c>
      <c r="AP176" s="4">
        <f>-100--75</f>
        <v>-25</v>
      </c>
      <c r="AQ176" s="6">
        <v>2591947.02</v>
      </c>
      <c r="AR176" s="4">
        <v>13</v>
      </c>
      <c r="AS176" s="35">
        <v>0</v>
      </c>
      <c r="AT176" s="35">
        <v>0</v>
      </c>
      <c r="AU176" s="35">
        <v>0</v>
      </c>
      <c r="AV176" s="35">
        <v>100</v>
      </c>
      <c r="AW176" s="35">
        <v>0</v>
      </c>
      <c r="AX176" s="35">
        <v>100</v>
      </c>
    </row>
    <row r="177" spans="1:50" x14ac:dyDescent="0.25">
      <c r="A177">
        <v>96</v>
      </c>
      <c r="B177" s="4">
        <v>0.99458004049646997</v>
      </c>
      <c r="C177" s="4">
        <v>7.9509448571122698</v>
      </c>
      <c r="D177" s="4">
        <v>6.3135304771410796</v>
      </c>
      <c r="E177" s="4">
        <v>6.8802670803517303E-3</v>
      </c>
      <c r="F177" s="5">
        <v>5.4199595035292897E-3</v>
      </c>
      <c r="G177" s="5">
        <v>0</v>
      </c>
      <c r="H177" s="4">
        <v>3.8759826189473601</v>
      </c>
      <c r="I177" s="4">
        <v>4.1099292945670003</v>
      </c>
      <c r="J177" s="4">
        <v>-62.467049131280099</v>
      </c>
      <c r="K177" s="4">
        <v>-58.2184028779524</v>
      </c>
      <c r="L177" s="4">
        <v>21.081322425754099</v>
      </c>
      <c r="M177" s="4">
        <v>16.2466383970987</v>
      </c>
      <c r="N177" s="4">
        <v>79.024221587443293</v>
      </c>
      <c r="O177" s="4">
        <v>74.326223793917507</v>
      </c>
      <c r="P177" s="4">
        <v>255299.466929388</v>
      </c>
      <c r="Q177" s="4">
        <v>177326.034601769</v>
      </c>
      <c r="R177" s="4">
        <v>781.25638007117095</v>
      </c>
      <c r="S177" s="4">
        <v>0</v>
      </c>
      <c r="T177" s="4">
        <v>0</v>
      </c>
      <c r="U177" s="4">
        <v>0</v>
      </c>
      <c r="V177" s="4">
        <v>1</v>
      </c>
      <c r="W177" s="4">
        <v>0</v>
      </c>
      <c r="X177" s="4">
        <v>0.157494377846401</v>
      </c>
      <c r="Y177" s="4">
        <v>0</v>
      </c>
      <c r="Z177" s="5">
        <v>7.7995065928850298E-4</v>
      </c>
      <c r="AA177" s="5">
        <v>9.3363377004282793E-5</v>
      </c>
      <c r="AB177" s="10">
        <v>2.7276539176133499E-3</v>
      </c>
      <c r="AC177" s="10">
        <v>0</v>
      </c>
      <c r="AD177" s="10">
        <v>1.81898121889934E-3</v>
      </c>
      <c r="AE177" s="4">
        <v>-2.1130883315414E-2</v>
      </c>
      <c r="AF177" s="4">
        <v>0.99409685182010699</v>
      </c>
      <c r="AG177" s="4">
        <v>1</v>
      </c>
      <c r="AH177" s="4">
        <v>1</v>
      </c>
      <c r="AI177" s="4">
        <v>1</v>
      </c>
      <c r="AJ177" s="4">
        <v>1</v>
      </c>
      <c r="AK177" s="4">
        <v>1</v>
      </c>
      <c r="AL177" s="4">
        <v>1</v>
      </c>
      <c r="AM177" s="4">
        <v>0</v>
      </c>
      <c r="AN177" s="4">
        <v>0</v>
      </c>
      <c r="AO177" s="4" t="s">
        <v>66</v>
      </c>
      <c r="AP177" s="4">
        <f>-75--50</f>
        <v>-25</v>
      </c>
      <c r="AQ177" s="6">
        <v>40075683.82</v>
      </c>
      <c r="AR177" s="4">
        <v>226</v>
      </c>
      <c r="AS177" s="35">
        <v>0</v>
      </c>
      <c r="AT177" s="35">
        <v>0</v>
      </c>
      <c r="AU177" s="35">
        <v>0</v>
      </c>
      <c r="AV177" s="35">
        <v>100</v>
      </c>
      <c r="AW177" s="35">
        <v>0</v>
      </c>
      <c r="AX177" s="35">
        <v>100</v>
      </c>
    </row>
    <row r="178" spans="1:50" x14ac:dyDescent="0.25">
      <c r="A178">
        <v>96</v>
      </c>
      <c r="B178" s="4">
        <v>0.99278251508908699</v>
      </c>
      <c r="C178" s="4">
        <v>5.6770710057887701</v>
      </c>
      <c r="D178" s="4">
        <v>8.3253127500470505</v>
      </c>
      <c r="E178" s="4">
        <v>4.8586481012334003E-3</v>
      </c>
      <c r="F178" s="5">
        <v>7.2174849109122299E-3</v>
      </c>
      <c r="G178" s="5">
        <v>0</v>
      </c>
      <c r="H178" s="4">
        <v>3.9197077123777602</v>
      </c>
      <c r="I178" s="4">
        <v>4.1096797371058997</v>
      </c>
      <c r="J178" s="4">
        <v>-59.983153472617801</v>
      </c>
      <c r="K178" s="4">
        <v>-33.461505855893002</v>
      </c>
      <c r="L178" s="4">
        <v>17.112461506026602</v>
      </c>
      <c r="M178" s="4">
        <v>16.164421656480801</v>
      </c>
      <c r="N178" s="4">
        <v>74.769783811012601</v>
      </c>
      <c r="O178" s="4">
        <v>72.353366152785696</v>
      </c>
      <c r="P178" s="4">
        <v>262824.08973054099</v>
      </c>
      <c r="Q178" s="4">
        <v>227809.84352071001</v>
      </c>
      <c r="R178" s="4">
        <v>783.57177132687002</v>
      </c>
      <c r="S178" s="4">
        <v>0</v>
      </c>
      <c r="T178" s="4">
        <v>0</v>
      </c>
      <c r="U178" s="4">
        <v>2.41389331680537E-3</v>
      </c>
      <c r="V178" s="4">
        <v>1</v>
      </c>
      <c r="W178" s="4">
        <v>0</v>
      </c>
      <c r="X178" s="4">
        <v>0.27647904878832402</v>
      </c>
      <c r="Y178" s="4">
        <v>0</v>
      </c>
      <c r="Z178" s="5">
        <v>4.51264856561977E-4</v>
      </c>
      <c r="AA178" s="5">
        <v>7.0815301383298599E-5</v>
      </c>
      <c r="AB178" s="10">
        <v>2.8325923688232199E-3</v>
      </c>
      <c r="AC178" s="10">
        <v>9.8424819900204707E-9</v>
      </c>
      <c r="AD178" s="10">
        <v>3.8627880671811099E-3</v>
      </c>
      <c r="AE178" s="4">
        <v>-9.1723089974548692E-3</v>
      </c>
      <c r="AF178" s="4">
        <v>0.970000310758244</v>
      </c>
      <c r="AG178" s="4">
        <v>0.99843288728160895</v>
      </c>
      <c r="AH178" s="4">
        <v>1</v>
      </c>
      <c r="AI178" s="4">
        <v>1</v>
      </c>
      <c r="AJ178" s="4">
        <v>1</v>
      </c>
      <c r="AK178" s="4">
        <v>1</v>
      </c>
      <c r="AL178" s="4">
        <v>1</v>
      </c>
      <c r="AM178" s="4">
        <v>0</v>
      </c>
      <c r="AN178" s="4">
        <v>0</v>
      </c>
      <c r="AO178" s="4" t="s">
        <v>67</v>
      </c>
      <c r="AP178" s="4">
        <f>-50--25</f>
        <v>-25</v>
      </c>
      <c r="AQ178" s="6">
        <v>461998362.66000003</v>
      </c>
      <c r="AR178" s="4">
        <v>2028</v>
      </c>
      <c r="AS178" s="35">
        <v>0</v>
      </c>
      <c r="AT178" s="35">
        <v>0</v>
      </c>
      <c r="AU178" s="35">
        <v>0</v>
      </c>
      <c r="AV178" s="35">
        <v>100</v>
      </c>
      <c r="AW178" s="35">
        <v>0</v>
      </c>
      <c r="AX178" s="35">
        <v>100</v>
      </c>
    </row>
    <row r="179" spans="1:50" x14ac:dyDescent="0.25">
      <c r="A179">
        <v>96</v>
      </c>
      <c r="B179" s="4">
        <v>0.99015144677073497</v>
      </c>
      <c r="C179" s="4">
        <v>8.3799581727410501</v>
      </c>
      <c r="D179" s="4">
        <v>11.198660549834599</v>
      </c>
      <c r="E179" s="4">
        <v>7.2668131833503596E-3</v>
      </c>
      <c r="F179" s="5">
        <v>9.8485532292647594E-3</v>
      </c>
      <c r="G179" s="5">
        <v>0</v>
      </c>
      <c r="H179" s="4">
        <v>3.9957710555963</v>
      </c>
      <c r="I179" s="4">
        <v>4.1072106783279203</v>
      </c>
      <c r="J179" s="4">
        <v>-53.260737737015802</v>
      </c>
      <c r="K179" s="4">
        <v>-22.330523605828901</v>
      </c>
      <c r="L179" s="4">
        <v>16.800838972753599</v>
      </c>
      <c r="M179" s="4">
        <v>16.2161497228002</v>
      </c>
      <c r="N179" s="4">
        <v>73.544435207535599</v>
      </c>
      <c r="O179" s="4">
        <v>71.159782458147106</v>
      </c>
      <c r="P179" s="4">
        <v>262634.18329898</v>
      </c>
      <c r="Q179" s="4">
        <v>234955.50559290301</v>
      </c>
      <c r="R179" s="4">
        <v>783.81208203464303</v>
      </c>
      <c r="S179" s="4">
        <v>0</v>
      </c>
      <c r="T179" s="4">
        <v>0</v>
      </c>
      <c r="U179" s="4">
        <v>1.07895693460107E-3</v>
      </c>
      <c r="V179" s="4">
        <v>1</v>
      </c>
      <c r="W179" s="4">
        <v>0</v>
      </c>
      <c r="X179" s="4">
        <v>0.42315606544607798</v>
      </c>
      <c r="Y179" s="4">
        <v>0</v>
      </c>
      <c r="Z179" s="5">
        <v>4.1851511484416602E-4</v>
      </c>
      <c r="AA179" s="5">
        <v>6.0908591468631099E-5</v>
      </c>
      <c r="AB179" s="10">
        <v>2.8200782580206901E-3</v>
      </c>
      <c r="AC179" s="10">
        <v>0</v>
      </c>
      <c r="AD179" s="10">
        <v>6.5490366341134799E-3</v>
      </c>
      <c r="AE179" s="4">
        <v>-7.4681778860831698E-3</v>
      </c>
      <c r="AF179" s="4">
        <v>0.97046585423958298</v>
      </c>
      <c r="AG179" s="4">
        <v>0.999131175824854</v>
      </c>
      <c r="AH179" s="4">
        <v>1</v>
      </c>
      <c r="AI179" s="4">
        <v>1</v>
      </c>
      <c r="AJ179" s="4">
        <v>1</v>
      </c>
      <c r="AK179" s="4">
        <v>1</v>
      </c>
      <c r="AL179" s="4">
        <v>1</v>
      </c>
      <c r="AM179" s="4">
        <v>0</v>
      </c>
      <c r="AN179" s="4">
        <v>0</v>
      </c>
      <c r="AO179" s="4" t="s">
        <v>145</v>
      </c>
      <c r="AP179" s="4">
        <f>-25--20</f>
        <v>-5</v>
      </c>
      <c r="AQ179" s="6">
        <v>251637346.49000001</v>
      </c>
      <c r="AR179" s="4">
        <v>1071</v>
      </c>
      <c r="AS179" s="35">
        <v>0</v>
      </c>
      <c r="AT179" s="35">
        <v>0</v>
      </c>
      <c r="AU179" s="35">
        <v>0</v>
      </c>
      <c r="AV179" s="35">
        <v>100</v>
      </c>
      <c r="AW179" s="35">
        <v>0</v>
      </c>
      <c r="AX179" s="35">
        <v>100</v>
      </c>
    </row>
    <row r="180" spans="1:50" x14ac:dyDescent="0.25">
      <c r="A180">
        <v>96</v>
      </c>
      <c r="B180" s="4">
        <v>0.98877315602419102</v>
      </c>
      <c r="C180" s="4">
        <v>10.423293748870099</v>
      </c>
      <c r="D180" s="4">
        <v>12.670694149325399</v>
      </c>
      <c r="E180" s="4">
        <v>9.1309634628755198E-3</v>
      </c>
      <c r="F180" s="5">
        <v>1.1226843975808001E-2</v>
      </c>
      <c r="G180" s="5">
        <v>0</v>
      </c>
      <c r="H180" s="4">
        <v>4.05496496411424</v>
      </c>
      <c r="I180" s="4">
        <v>4.1044519661063603</v>
      </c>
      <c r="J180" s="4">
        <v>-47.114406090953501</v>
      </c>
      <c r="K180" s="4">
        <v>-17.340948323743898</v>
      </c>
      <c r="L180" s="4">
        <v>16.682808214261101</v>
      </c>
      <c r="M180" s="4">
        <v>16.3852208509158</v>
      </c>
      <c r="N180" s="4">
        <v>74.201380110762301</v>
      </c>
      <c r="O180" s="4">
        <v>71.803498232056199</v>
      </c>
      <c r="P180" s="4">
        <v>263835.69041981699</v>
      </c>
      <c r="Q180" s="4">
        <v>237154.247378325</v>
      </c>
      <c r="R180" s="4">
        <v>783.29101959119396</v>
      </c>
      <c r="S180" s="4">
        <v>0</v>
      </c>
      <c r="T180" s="4">
        <v>0</v>
      </c>
      <c r="U180" s="4">
        <v>1.72264384136108E-3</v>
      </c>
      <c r="V180" s="4">
        <v>1</v>
      </c>
      <c r="W180" s="4">
        <v>0</v>
      </c>
      <c r="X180" s="4">
        <v>0.44419970849387502</v>
      </c>
      <c r="Y180" s="4">
        <v>0</v>
      </c>
      <c r="Z180" s="5">
        <v>4.1628323707131802E-4</v>
      </c>
      <c r="AA180" s="5">
        <v>6.8957361626129402E-5</v>
      </c>
      <c r="AB180" s="10">
        <v>2.8385650344072899E-3</v>
      </c>
      <c r="AC180" s="10">
        <v>9.6392099140380807E-9</v>
      </c>
      <c r="AD180" s="10">
        <v>7.9030142944744794E-3</v>
      </c>
      <c r="AE180" s="4">
        <v>-7.9137385296674505E-3</v>
      </c>
      <c r="AF180" s="4">
        <v>0.96218648302750798</v>
      </c>
      <c r="AG180" s="4">
        <v>0.99645570527078398</v>
      </c>
      <c r="AH180" s="4">
        <v>1</v>
      </c>
      <c r="AI180" s="4">
        <v>1</v>
      </c>
      <c r="AJ180" s="4">
        <v>1</v>
      </c>
      <c r="AK180" s="4">
        <v>1</v>
      </c>
      <c r="AL180" s="4">
        <v>1</v>
      </c>
      <c r="AM180" s="4">
        <v>0</v>
      </c>
      <c r="AN180" s="4">
        <v>0</v>
      </c>
      <c r="AO180" s="4" t="s">
        <v>146</v>
      </c>
      <c r="AP180" s="4">
        <f>-20--15</f>
        <v>-5</v>
      </c>
      <c r="AQ180" s="6">
        <v>365454695.20999998</v>
      </c>
      <c r="AR180" s="4">
        <v>1541</v>
      </c>
      <c r="AS180" s="35">
        <v>0</v>
      </c>
      <c r="AT180" s="35">
        <v>0</v>
      </c>
      <c r="AU180" s="35">
        <v>0</v>
      </c>
      <c r="AV180" s="35">
        <v>100</v>
      </c>
      <c r="AW180" s="35">
        <v>0</v>
      </c>
      <c r="AX180" s="35">
        <v>100</v>
      </c>
    </row>
    <row r="181" spans="1:50" x14ac:dyDescent="0.25">
      <c r="A181">
        <v>96</v>
      </c>
      <c r="B181" s="4">
        <v>0.98774980189942996</v>
      </c>
      <c r="C181" s="4">
        <v>6.1295516587336998</v>
      </c>
      <c r="D181" s="4">
        <v>13.7491437833775</v>
      </c>
      <c r="E181" s="4">
        <v>5.2573451535049397E-3</v>
      </c>
      <c r="F181" s="5">
        <v>1.2250198100569E-2</v>
      </c>
      <c r="G181" s="5">
        <v>0</v>
      </c>
      <c r="H181" s="4">
        <v>4.09561206739314</v>
      </c>
      <c r="I181" s="4">
        <v>4.1087557623803601</v>
      </c>
      <c r="J181" s="4">
        <v>-44.119421077241903</v>
      </c>
      <c r="K181" s="4">
        <v>-12.3075783504489</v>
      </c>
      <c r="L181" s="4">
        <v>15.9867971058355</v>
      </c>
      <c r="M181" s="4">
        <v>16.3978006313829</v>
      </c>
      <c r="N181" s="4">
        <v>73.730867940300001</v>
      </c>
      <c r="O181" s="4">
        <v>71.952545795921594</v>
      </c>
      <c r="P181" s="4">
        <v>270969.31010612601</v>
      </c>
      <c r="Q181" s="4">
        <v>248255.90570171701</v>
      </c>
      <c r="R181" s="4">
        <v>783.56852131117398</v>
      </c>
      <c r="S181" s="4">
        <v>0</v>
      </c>
      <c r="T181" s="4">
        <v>0</v>
      </c>
      <c r="U181" s="4">
        <v>2.76856776108831E-3</v>
      </c>
      <c r="V181" s="4">
        <v>1</v>
      </c>
      <c r="W181" s="4">
        <v>0</v>
      </c>
      <c r="X181" s="4">
        <v>0.47414717632548598</v>
      </c>
      <c r="Y181" s="4">
        <v>0</v>
      </c>
      <c r="Z181" s="5">
        <v>3.8808984460012101E-4</v>
      </c>
      <c r="AA181" s="5">
        <v>7.68547810537123E-5</v>
      </c>
      <c r="AB181" s="10">
        <v>2.7768531421913101E-3</v>
      </c>
      <c r="AC181" s="10">
        <v>2.3613635362928E-8</v>
      </c>
      <c r="AD181" s="10">
        <v>9.0083621709968892E-3</v>
      </c>
      <c r="AE181" s="4">
        <v>-9.6099240986427508E-3</v>
      </c>
      <c r="AF181" s="4">
        <v>0.97287448185220804</v>
      </c>
      <c r="AG181" s="4">
        <v>0.99845400954344898</v>
      </c>
      <c r="AH181" s="4">
        <v>0.99961670870491903</v>
      </c>
      <c r="AI181" s="4">
        <v>1</v>
      </c>
      <c r="AJ181" s="4">
        <v>1</v>
      </c>
      <c r="AK181" s="4">
        <v>1</v>
      </c>
      <c r="AL181" s="4">
        <v>1</v>
      </c>
      <c r="AM181" s="4">
        <v>0</v>
      </c>
      <c r="AN181" s="4">
        <v>0</v>
      </c>
      <c r="AO181" s="4" t="s">
        <v>147</v>
      </c>
      <c r="AP181" s="4">
        <f>-15--10</f>
        <v>-5</v>
      </c>
      <c r="AQ181" s="6">
        <v>592586846.90999997</v>
      </c>
      <c r="AR181" s="4">
        <v>2387</v>
      </c>
      <c r="AS181" s="35">
        <v>0</v>
      </c>
      <c r="AT181" s="35">
        <v>0</v>
      </c>
      <c r="AU181" s="35">
        <v>0</v>
      </c>
      <c r="AV181" s="35">
        <v>100</v>
      </c>
      <c r="AW181" s="35">
        <v>0</v>
      </c>
      <c r="AX181" s="35">
        <v>100</v>
      </c>
    </row>
    <row r="182" spans="1:50" x14ac:dyDescent="0.25">
      <c r="A182">
        <v>96</v>
      </c>
      <c r="B182" s="4">
        <v>0.98670814885995695</v>
      </c>
      <c r="C182" s="4">
        <v>7.06646150219352</v>
      </c>
      <c r="D182" s="4">
        <v>14.8343277690312</v>
      </c>
      <c r="E182" s="4">
        <v>6.0885217157423104E-3</v>
      </c>
      <c r="F182" s="5">
        <v>1.32918511400429E-2</v>
      </c>
      <c r="G182" s="5">
        <v>0</v>
      </c>
      <c r="H182" s="4">
        <v>4.1296645592550396</v>
      </c>
      <c r="I182" s="4">
        <v>4.1106759429135202</v>
      </c>
      <c r="J182" s="4">
        <v>-40.030372230806002</v>
      </c>
      <c r="K182" s="4">
        <v>-7.2936691685875399</v>
      </c>
      <c r="L182" s="4">
        <v>15.554309823939001</v>
      </c>
      <c r="M182" s="4">
        <v>16.229888527805699</v>
      </c>
      <c r="N182" s="4">
        <v>73.791863374628505</v>
      </c>
      <c r="O182" s="4">
        <v>72.169609862273305</v>
      </c>
      <c r="P182" s="4">
        <v>278654.61830948101</v>
      </c>
      <c r="Q182" s="4">
        <v>256069.851538252</v>
      </c>
      <c r="R182" s="4">
        <v>782.87274987800197</v>
      </c>
      <c r="S182" s="4">
        <v>0</v>
      </c>
      <c r="T182" s="4">
        <v>0</v>
      </c>
      <c r="U182" s="4">
        <v>2.9463022642629601E-3</v>
      </c>
      <c r="V182" s="4">
        <v>1</v>
      </c>
      <c r="W182" s="4">
        <v>0</v>
      </c>
      <c r="X182" s="4">
        <v>0.54079948750120599</v>
      </c>
      <c r="Y182" s="4">
        <v>0</v>
      </c>
      <c r="Z182" s="5">
        <v>3.8804151127741802E-4</v>
      </c>
      <c r="AA182" s="5">
        <v>7.6468202246194402E-5</v>
      </c>
      <c r="AB182" s="10">
        <v>2.6813163824122299E-3</v>
      </c>
      <c r="AC182" s="10">
        <v>2.80967622039127E-8</v>
      </c>
      <c r="AD182" s="10">
        <v>1.0145982506261E-2</v>
      </c>
      <c r="AE182" s="4">
        <v>-1.34869534695501E-2</v>
      </c>
      <c r="AF182" s="4">
        <v>0.97562880843288002</v>
      </c>
      <c r="AG182" s="4">
        <v>0.99806439205814401</v>
      </c>
      <c r="AH182" s="4">
        <v>0.99974175884053096</v>
      </c>
      <c r="AI182" s="4">
        <v>1</v>
      </c>
      <c r="AJ182" s="4">
        <v>1</v>
      </c>
      <c r="AK182" s="4">
        <v>1</v>
      </c>
      <c r="AL182" s="4">
        <v>1</v>
      </c>
      <c r="AM182" s="4">
        <v>0</v>
      </c>
      <c r="AN182" s="4">
        <v>0</v>
      </c>
      <c r="AO182" s="4" t="s">
        <v>148</v>
      </c>
      <c r="AP182" s="4">
        <f>-10--5</f>
        <v>-5</v>
      </c>
      <c r="AQ182" s="6">
        <v>943873472.76999998</v>
      </c>
      <c r="AR182" s="4">
        <v>3686</v>
      </c>
      <c r="AS182" s="35">
        <v>0</v>
      </c>
      <c r="AT182" s="35">
        <v>0</v>
      </c>
      <c r="AU182" s="35">
        <v>0</v>
      </c>
      <c r="AV182" s="35">
        <v>100</v>
      </c>
      <c r="AW182" s="35">
        <v>0</v>
      </c>
      <c r="AX182" s="35">
        <v>100</v>
      </c>
    </row>
    <row r="183" spans="1:50" x14ac:dyDescent="0.25">
      <c r="A183">
        <v>96</v>
      </c>
      <c r="B183" s="4">
        <v>0.98543341605508805</v>
      </c>
      <c r="C183" s="4">
        <v>8.6206608161297495</v>
      </c>
      <c r="D183" s="4">
        <v>16.145297707067801</v>
      </c>
      <c r="E183" s="4">
        <v>7.4844163330891299E-3</v>
      </c>
      <c r="F183" s="5">
        <v>1.45665839449111E-2</v>
      </c>
      <c r="G183" s="5">
        <v>0</v>
      </c>
      <c r="H183" s="4">
        <v>4.1372710152374603</v>
      </c>
      <c r="I183" s="4">
        <v>4.1043309446209104</v>
      </c>
      <c r="J183" s="4">
        <v>-38.599143453634902</v>
      </c>
      <c r="K183" s="4">
        <v>-2.3690024011631201</v>
      </c>
      <c r="L183" s="4">
        <v>15.2221030609886</v>
      </c>
      <c r="M183" s="4">
        <v>16.3124774227296</v>
      </c>
      <c r="N183" s="4">
        <v>71.736165137463203</v>
      </c>
      <c r="O183" s="4">
        <v>70.160013082580093</v>
      </c>
      <c r="P183" s="4">
        <v>284202.20955189399</v>
      </c>
      <c r="Q183" s="4">
        <v>261257.91305509699</v>
      </c>
      <c r="R183" s="4">
        <v>783.28454823682796</v>
      </c>
      <c r="S183" s="4">
        <v>0</v>
      </c>
      <c r="T183" s="4">
        <v>0</v>
      </c>
      <c r="U183" s="4">
        <v>2.5740280441037102E-3</v>
      </c>
      <c r="V183" s="4">
        <v>1</v>
      </c>
      <c r="W183" s="4">
        <v>0</v>
      </c>
      <c r="X183" s="4">
        <v>0.64411947111205703</v>
      </c>
      <c r="Y183" s="4">
        <v>0</v>
      </c>
      <c r="Z183" s="5">
        <v>3.86152709988248E-4</v>
      </c>
      <c r="AA183" s="5">
        <v>7.11561508865034E-5</v>
      </c>
      <c r="AB183" s="10">
        <v>2.6943022659948702E-3</v>
      </c>
      <c r="AC183" s="10">
        <v>5.7793467367014997E-9</v>
      </c>
      <c r="AD183" s="10">
        <v>1.14149525469868E-2</v>
      </c>
      <c r="AE183" s="4">
        <v>-1.2955955192694E-2</v>
      </c>
      <c r="AF183" s="4">
        <v>0.97000868911781601</v>
      </c>
      <c r="AG183" s="4">
        <v>0.99873662066228897</v>
      </c>
      <c r="AH183" s="4">
        <v>1</v>
      </c>
      <c r="AI183" s="4">
        <v>1</v>
      </c>
      <c r="AJ183" s="4">
        <v>1</v>
      </c>
      <c r="AK183" s="4">
        <v>1</v>
      </c>
      <c r="AL183" s="4">
        <v>1</v>
      </c>
      <c r="AM183" s="4">
        <v>0</v>
      </c>
      <c r="AN183" s="4">
        <v>0</v>
      </c>
      <c r="AO183" s="4" t="s">
        <v>68</v>
      </c>
      <c r="AP183" s="4">
        <f>-25-0</f>
        <v>-25</v>
      </c>
      <c r="AQ183" s="6">
        <v>1427251979.02</v>
      </c>
      <c r="AR183" s="4">
        <v>5463</v>
      </c>
      <c r="AS183" s="35">
        <v>0</v>
      </c>
      <c r="AT183" s="35">
        <v>0</v>
      </c>
      <c r="AU183" s="35">
        <v>0</v>
      </c>
      <c r="AV183" s="35">
        <v>100</v>
      </c>
      <c r="AW183" s="35">
        <v>0</v>
      </c>
      <c r="AX183" s="35">
        <v>100</v>
      </c>
    </row>
    <row r="184" spans="1:50" x14ac:dyDescent="0.25">
      <c r="A184">
        <v>96</v>
      </c>
      <c r="B184" s="4">
        <v>0.98442079719919995</v>
      </c>
      <c r="C184" s="4">
        <v>11.3494073204869</v>
      </c>
      <c r="D184" s="4">
        <v>17.1734900148974</v>
      </c>
      <c r="E184" s="4">
        <v>9.9887335408712693E-3</v>
      </c>
      <c r="F184" s="5">
        <v>1.5579202800799699E-2</v>
      </c>
      <c r="G184" s="5">
        <v>0</v>
      </c>
      <c r="H184" s="4">
        <v>4.1656383932247003</v>
      </c>
      <c r="I184" s="4">
        <v>4.0966391650196501</v>
      </c>
      <c r="J184" s="4">
        <v>-35.473875415482702</v>
      </c>
      <c r="K184" s="4">
        <v>2.59002435886944</v>
      </c>
      <c r="L184" s="4">
        <v>15.352407053335501</v>
      </c>
      <c r="M184" s="4">
        <v>16.447367442632601</v>
      </c>
      <c r="N184" s="4">
        <v>70.661423822620193</v>
      </c>
      <c r="O184" s="4">
        <v>68.962803820001</v>
      </c>
      <c r="P184" s="4">
        <v>281401.61561972997</v>
      </c>
      <c r="Q184" s="4">
        <v>259577.53156913401</v>
      </c>
      <c r="R184" s="4">
        <v>784.23416658685403</v>
      </c>
      <c r="S184" s="4">
        <v>0</v>
      </c>
      <c r="T184" s="4">
        <v>0</v>
      </c>
      <c r="U184" s="4">
        <v>5.1457891645902698E-3</v>
      </c>
      <c r="V184" s="4">
        <v>1</v>
      </c>
      <c r="W184" s="4">
        <v>0</v>
      </c>
      <c r="X184" s="4">
        <v>0.67949423074929405</v>
      </c>
      <c r="Y184" s="4">
        <v>0</v>
      </c>
      <c r="Z184" s="5">
        <v>3.8323138911473999E-4</v>
      </c>
      <c r="AA184" s="5">
        <v>6.93533890988615E-5</v>
      </c>
      <c r="AB184" s="10">
        <v>2.7465660908118799E-3</v>
      </c>
      <c r="AC184" s="10">
        <v>8.2450898646014905E-8</v>
      </c>
      <c r="AD184" s="10">
        <v>1.23799550868917E-2</v>
      </c>
      <c r="AE184" s="4">
        <v>-1.0307666038947399E-2</v>
      </c>
      <c r="AF184" s="4">
        <v>0.96091785068195601</v>
      </c>
      <c r="AG184" s="4">
        <v>0.99749157115451403</v>
      </c>
      <c r="AH184" s="4">
        <v>0.99961599756186204</v>
      </c>
      <c r="AI184" s="4">
        <v>0.99972466153917205</v>
      </c>
      <c r="AJ184" s="4">
        <v>1</v>
      </c>
      <c r="AK184" s="4">
        <v>1</v>
      </c>
      <c r="AL184" s="4">
        <v>1</v>
      </c>
      <c r="AM184" s="4">
        <v>0</v>
      </c>
      <c r="AN184" s="4">
        <v>0</v>
      </c>
      <c r="AO184" s="4" t="s">
        <v>149</v>
      </c>
      <c r="AP184" s="4" t="s">
        <v>135</v>
      </c>
      <c r="AQ184" s="6">
        <v>1907375701.97</v>
      </c>
      <c r="AR184" s="4">
        <v>7348</v>
      </c>
      <c r="AS184" s="35">
        <v>0</v>
      </c>
      <c r="AT184" s="35">
        <v>0</v>
      </c>
      <c r="AU184" s="35">
        <v>0</v>
      </c>
      <c r="AV184" s="35">
        <v>100</v>
      </c>
      <c r="AW184" s="35">
        <v>0</v>
      </c>
      <c r="AX184" s="35">
        <v>100</v>
      </c>
    </row>
    <row r="185" spans="1:50" x14ac:dyDescent="0.25">
      <c r="A185">
        <v>96</v>
      </c>
      <c r="B185" s="4">
        <v>0.98359398924261099</v>
      </c>
      <c r="C185" s="4">
        <v>8.9300337352935095</v>
      </c>
      <c r="D185" s="4">
        <v>18.004429267027199</v>
      </c>
      <c r="E185" s="4">
        <v>7.7648726422118496E-3</v>
      </c>
      <c r="F185" s="5">
        <v>1.6406010757388401E-2</v>
      </c>
      <c r="G185" s="5">
        <v>0</v>
      </c>
      <c r="H185" s="4">
        <v>4.1892913016217497</v>
      </c>
      <c r="I185" s="4">
        <v>4.0879547435101502</v>
      </c>
      <c r="J185" s="4">
        <v>-32.957278871773802</v>
      </c>
      <c r="K185" s="4">
        <v>7.6405272530034596</v>
      </c>
      <c r="L185" s="4">
        <v>15.7026859779804</v>
      </c>
      <c r="M185" s="4">
        <v>16.440475558013599</v>
      </c>
      <c r="N185" s="4">
        <v>70.314773517154606</v>
      </c>
      <c r="O185" s="4">
        <v>68.511236057922005</v>
      </c>
      <c r="P185" s="4">
        <v>274177.45326233603</v>
      </c>
      <c r="Q185" s="4">
        <v>253931.173755647</v>
      </c>
      <c r="R185" s="4">
        <v>784.37875939479397</v>
      </c>
      <c r="S185" s="4">
        <v>0</v>
      </c>
      <c r="T185" s="4">
        <v>0</v>
      </c>
      <c r="U185" s="4">
        <v>7.1878957043566803E-3</v>
      </c>
      <c r="V185" s="4">
        <v>1</v>
      </c>
      <c r="W185" s="4">
        <v>0</v>
      </c>
      <c r="X185" s="4">
        <v>0.70574256926199297</v>
      </c>
      <c r="Y185" s="4">
        <v>0</v>
      </c>
      <c r="Z185" s="5">
        <v>3.8321151420989998E-4</v>
      </c>
      <c r="AA185" s="5">
        <v>6.9139535446205701E-5</v>
      </c>
      <c r="AB185" s="10">
        <v>2.79635305300183E-3</v>
      </c>
      <c r="AC185" s="10">
        <v>1.8290395187130101E-7</v>
      </c>
      <c r="AD185" s="10">
        <v>1.3157109049714301E-2</v>
      </c>
      <c r="AE185" s="4">
        <v>-9.0455229994471902E-3</v>
      </c>
      <c r="AF185" s="4">
        <v>0.95222939935468498</v>
      </c>
      <c r="AG185" s="4">
        <v>0.99509003675846297</v>
      </c>
      <c r="AH185" s="4">
        <v>0.99960784443874195</v>
      </c>
      <c r="AI185" s="4">
        <v>1</v>
      </c>
      <c r="AJ185" s="4">
        <v>1</v>
      </c>
      <c r="AK185" s="4">
        <v>1</v>
      </c>
      <c r="AL185" s="4">
        <v>1</v>
      </c>
      <c r="AM185" s="4">
        <v>0</v>
      </c>
      <c r="AN185" s="4">
        <v>0</v>
      </c>
      <c r="AO185" s="4" t="s">
        <v>150</v>
      </c>
      <c r="AP185" s="4">
        <v>43230</v>
      </c>
      <c r="AQ185" s="6">
        <v>2641646000.5799999</v>
      </c>
      <c r="AR185" s="4">
        <v>10403</v>
      </c>
      <c r="AS185" s="35">
        <v>0</v>
      </c>
      <c r="AT185" s="35">
        <v>0</v>
      </c>
      <c r="AU185" s="35">
        <v>0</v>
      </c>
      <c r="AV185" s="35">
        <v>100</v>
      </c>
      <c r="AW185" s="35">
        <v>0</v>
      </c>
      <c r="AX185" s="35">
        <v>100</v>
      </c>
    </row>
    <row r="186" spans="1:50" x14ac:dyDescent="0.25">
      <c r="A186">
        <v>96</v>
      </c>
      <c r="B186" s="4">
        <v>0.98242204108428999</v>
      </c>
      <c r="C186" s="4">
        <v>12.3581232482224</v>
      </c>
      <c r="D186" s="4">
        <v>19.1691454900906</v>
      </c>
      <c r="E186" s="4">
        <v>1.09324068628528E-2</v>
      </c>
      <c r="F186" s="5">
        <v>1.7577958915709398E-2</v>
      </c>
      <c r="G186" s="5">
        <v>0</v>
      </c>
      <c r="H186" s="4">
        <v>4.2132069180040199</v>
      </c>
      <c r="I186" s="4">
        <v>4.0808966105854596</v>
      </c>
      <c r="J186" s="4">
        <v>-31.1177232378197</v>
      </c>
      <c r="K186" s="4">
        <v>12.6307763154631</v>
      </c>
      <c r="L186" s="4">
        <v>15.569756362039699</v>
      </c>
      <c r="M186" s="4">
        <v>16.412035894837501</v>
      </c>
      <c r="N186" s="4">
        <v>69.310838919211207</v>
      </c>
      <c r="O186" s="4">
        <v>67.387779991999096</v>
      </c>
      <c r="P186" s="4">
        <v>275650.75818485097</v>
      </c>
      <c r="Q186" s="4">
        <v>256215.57055350201</v>
      </c>
      <c r="R186" s="4">
        <v>784.14073836817499</v>
      </c>
      <c r="S186" s="4">
        <v>0</v>
      </c>
      <c r="T186" s="4">
        <v>0</v>
      </c>
      <c r="U186" s="4">
        <v>9.1159986021083304E-3</v>
      </c>
      <c r="V186" s="4">
        <v>1</v>
      </c>
      <c r="W186" s="4">
        <v>0</v>
      </c>
      <c r="X186" s="4">
        <v>0.73216885120266795</v>
      </c>
      <c r="Y186" s="4">
        <v>0</v>
      </c>
      <c r="Z186" s="5">
        <v>3.7823026868014699E-4</v>
      </c>
      <c r="AA186" s="5">
        <v>7.2021512262258905E-5</v>
      </c>
      <c r="AB186" s="10">
        <v>2.8227077949014999E-3</v>
      </c>
      <c r="AC186" s="10">
        <v>4.0478964625672197E-7</v>
      </c>
      <c r="AD186" s="10">
        <v>1.4304580061168399E-2</v>
      </c>
      <c r="AE186" s="4">
        <v>-5.6425596463224401E-3</v>
      </c>
      <c r="AF186" s="4">
        <v>0.93905038658893503</v>
      </c>
      <c r="AG186" s="4">
        <v>0.99417183561023803</v>
      </c>
      <c r="AH186" s="4">
        <v>0.998942422479148</v>
      </c>
      <c r="AI186" s="4">
        <v>0.99966279348896603</v>
      </c>
      <c r="AJ186" s="4">
        <v>1</v>
      </c>
      <c r="AK186" s="4">
        <v>1</v>
      </c>
      <c r="AL186" s="4">
        <v>1</v>
      </c>
      <c r="AM186" s="4">
        <v>0</v>
      </c>
      <c r="AN186" s="4">
        <v>0</v>
      </c>
      <c r="AO186" s="4" t="s">
        <v>151</v>
      </c>
      <c r="AP186" s="4">
        <v>43388</v>
      </c>
      <c r="AQ186" s="6">
        <v>3605977939.9699998</v>
      </c>
      <c r="AR186" s="4">
        <v>14074</v>
      </c>
      <c r="AS186" s="35">
        <v>0</v>
      </c>
      <c r="AT186" s="35">
        <v>0</v>
      </c>
      <c r="AU186" s="35">
        <v>0</v>
      </c>
      <c r="AV186" s="35">
        <v>100</v>
      </c>
      <c r="AW186" s="35">
        <v>0</v>
      </c>
      <c r="AX186" s="35">
        <v>100</v>
      </c>
    </row>
    <row r="187" spans="1:50" x14ac:dyDescent="0.25">
      <c r="A187">
        <v>96</v>
      </c>
      <c r="B187" s="4">
        <v>0.98119151804702598</v>
      </c>
      <c r="C187" s="4">
        <v>11.611540077245101</v>
      </c>
      <c r="D187" s="4">
        <v>20.375737415982002</v>
      </c>
      <c r="E187" s="4">
        <v>1.0233013498787901E-2</v>
      </c>
      <c r="F187" s="5">
        <v>1.8808481952973501E-2</v>
      </c>
      <c r="G187" s="5">
        <v>0</v>
      </c>
      <c r="H187" s="4">
        <v>4.2381877920775102</v>
      </c>
      <c r="I187" s="4">
        <v>4.0727899476755001</v>
      </c>
      <c r="J187" s="4">
        <v>-28.541214650344799</v>
      </c>
      <c r="K187" s="4">
        <v>17.622381253042899</v>
      </c>
      <c r="L187" s="4">
        <v>15.521506572842499</v>
      </c>
      <c r="M187" s="4">
        <v>16.397316960644499</v>
      </c>
      <c r="N187" s="4">
        <v>68.670630004487904</v>
      </c>
      <c r="O187" s="4">
        <v>66.703613679853007</v>
      </c>
      <c r="P187" s="4">
        <v>276578.66618131602</v>
      </c>
      <c r="Q187" s="4">
        <v>257113.62654859401</v>
      </c>
      <c r="R187" s="4">
        <v>784.84657547929601</v>
      </c>
      <c r="S187" s="4">
        <v>0</v>
      </c>
      <c r="T187" s="4">
        <v>0</v>
      </c>
      <c r="U187" s="4">
        <v>1.12266950759641E-2</v>
      </c>
      <c r="V187" s="4">
        <v>1</v>
      </c>
      <c r="W187" s="4">
        <v>0</v>
      </c>
      <c r="X187" s="4">
        <v>0.76442962201170905</v>
      </c>
      <c r="Y187" s="4">
        <v>0</v>
      </c>
      <c r="Z187" s="5">
        <v>3.7748299090447599E-4</v>
      </c>
      <c r="AA187" s="5">
        <v>7.5107201873865305E-5</v>
      </c>
      <c r="AB187" s="10">
        <v>2.8382715264423501E-3</v>
      </c>
      <c r="AC187" s="10">
        <v>4.5849673427794899E-7</v>
      </c>
      <c r="AD187" s="10">
        <v>1.5517147262278101E-2</v>
      </c>
      <c r="AE187" s="4">
        <v>-4.7014382171129002E-3</v>
      </c>
      <c r="AF187" s="4">
        <v>0.92357604694708795</v>
      </c>
      <c r="AG187" s="4">
        <v>0.99128473839379005</v>
      </c>
      <c r="AH187" s="4">
        <v>0.99912240269432895</v>
      </c>
      <c r="AI187" s="4">
        <v>0.99964101279554196</v>
      </c>
      <c r="AJ187" s="4">
        <v>1</v>
      </c>
      <c r="AK187" s="4">
        <v>1</v>
      </c>
      <c r="AL187" s="4">
        <v>1</v>
      </c>
      <c r="AM187" s="4">
        <v>0</v>
      </c>
      <c r="AN187" s="4">
        <v>0</v>
      </c>
      <c r="AO187" s="4" t="s">
        <v>152</v>
      </c>
      <c r="AP187" s="4" t="s">
        <v>136</v>
      </c>
      <c r="AQ187" s="6">
        <v>4957664947.1099997</v>
      </c>
      <c r="AR187" s="4">
        <v>19282</v>
      </c>
      <c r="AS187" s="35">
        <v>0</v>
      </c>
      <c r="AT187" s="35">
        <v>0</v>
      </c>
      <c r="AU187" s="35">
        <v>0</v>
      </c>
      <c r="AV187" s="35">
        <v>100</v>
      </c>
      <c r="AW187" s="35">
        <v>0</v>
      </c>
      <c r="AX187" s="35">
        <v>100</v>
      </c>
    </row>
    <row r="188" spans="1:50" x14ac:dyDescent="0.25">
      <c r="A188">
        <v>96</v>
      </c>
      <c r="B188" s="4">
        <v>0.97957244036112301</v>
      </c>
      <c r="C188" s="4">
        <v>13.266258665496199</v>
      </c>
      <c r="D188" s="4">
        <v>21.938175726305001</v>
      </c>
      <c r="E188" s="4">
        <v>1.17905407112762E-2</v>
      </c>
      <c r="F188" s="5">
        <v>2.0427559638876099E-2</v>
      </c>
      <c r="G188" s="5">
        <v>0</v>
      </c>
      <c r="H188" s="4">
        <v>4.2549206752414399</v>
      </c>
      <c r="I188" s="4">
        <v>4.0568307311246103</v>
      </c>
      <c r="J188" s="4">
        <v>-26.483088968211401</v>
      </c>
      <c r="K188" s="4">
        <v>22.560662303897001</v>
      </c>
      <c r="L188" s="4">
        <v>15.1934949041979</v>
      </c>
      <c r="M188" s="4">
        <v>16.577250186473702</v>
      </c>
      <c r="N188" s="4">
        <v>66.710047908501593</v>
      </c>
      <c r="O188" s="4">
        <v>64.743855924856106</v>
      </c>
      <c r="P188" s="4">
        <v>282194.80240064103</v>
      </c>
      <c r="Q188" s="4">
        <v>262628.818777918</v>
      </c>
      <c r="R188" s="4">
        <v>784.94975437892697</v>
      </c>
      <c r="S188" s="4">
        <v>0</v>
      </c>
      <c r="T188" s="4">
        <v>0</v>
      </c>
      <c r="U188" s="4">
        <v>1.2422202214947799E-2</v>
      </c>
      <c r="V188" s="4">
        <v>1</v>
      </c>
      <c r="W188" s="4">
        <v>0</v>
      </c>
      <c r="X188" s="4">
        <v>0.79129511904363703</v>
      </c>
      <c r="Y188" s="4">
        <v>0</v>
      </c>
      <c r="Z188" s="5">
        <v>3.7566460265975999E-4</v>
      </c>
      <c r="AA188" s="5">
        <v>7.5656554559522701E-5</v>
      </c>
      <c r="AB188" s="10">
        <v>2.8918844928532599E-3</v>
      </c>
      <c r="AC188" s="10">
        <v>8.1915699737795901E-7</v>
      </c>
      <c r="AD188" s="10">
        <v>1.7083520463910599E-2</v>
      </c>
      <c r="AE188" s="4">
        <v>-3.1761773469567499E-3</v>
      </c>
      <c r="AF188" s="4">
        <v>0.91411625235112004</v>
      </c>
      <c r="AG188" s="4">
        <v>0.98936882371500501</v>
      </c>
      <c r="AH188" s="4">
        <v>0.99863981146754399</v>
      </c>
      <c r="AI188" s="4">
        <v>0.99978704226275605</v>
      </c>
      <c r="AJ188" s="4">
        <v>1</v>
      </c>
      <c r="AK188" s="4">
        <v>1</v>
      </c>
      <c r="AL188" s="4">
        <v>1</v>
      </c>
      <c r="AM188" s="4">
        <v>0</v>
      </c>
      <c r="AN188" s="4">
        <v>0</v>
      </c>
      <c r="AO188" s="4" t="s">
        <v>69</v>
      </c>
      <c r="AP188" s="4" t="s">
        <v>70</v>
      </c>
      <c r="AQ188" s="6">
        <v>6408405807</v>
      </c>
      <c r="AR188" s="4">
        <v>24401</v>
      </c>
      <c r="AS188" s="35">
        <v>0</v>
      </c>
      <c r="AT188" s="35">
        <v>0</v>
      </c>
      <c r="AU188" s="35">
        <v>0</v>
      </c>
      <c r="AV188" s="35">
        <v>100</v>
      </c>
      <c r="AW188" s="35">
        <v>0</v>
      </c>
      <c r="AX188" s="35">
        <v>100</v>
      </c>
    </row>
    <row r="189" spans="1:50" x14ac:dyDescent="0.25">
      <c r="A189">
        <v>96</v>
      </c>
      <c r="B189" s="4">
        <v>0.97803354455664004</v>
      </c>
      <c r="C189" s="4">
        <v>14.7483304285025</v>
      </c>
      <c r="D189" s="4">
        <v>23.397136296275001</v>
      </c>
      <c r="E189" s="4">
        <v>1.32088609042242E-2</v>
      </c>
      <c r="F189" s="5">
        <v>2.1966455443359699E-2</v>
      </c>
      <c r="G189" s="5">
        <v>0</v>
      </c>
      <c r="H189" s="4">
        <v>4.28706442635574</v>
      </c>
      <c r="I189" s="4">
        <v>4.0431304358518299</v>
      </c>
      <c r="J189" s="4">
        <v>-23.8549476916929</v>
      </c>
      <c r="K189" s="4">
        <v>27.5693575745095</v>
      </c>
      <c r="L189" s="4">
        <v>15.158883945972599</v>
      </c>
      <c r="M189" s="4">
        <v>16.737369730752299</v>
      </c>
      <c r="N189" s="4">
        <v>66.022735955514094</v>
      </c>
      <c r="O189" s="4">
        <v>63.9227693556536</v>
      </c>
      <c r="P189" s="4">
        <v>283196.92229478701</v>
      </c>
      <c r="Q189" s="4">
        <v>263294.751656815</v>
      </c>
      <c r="R189" s="4">
        <v>785.17276113447201</v>
      </c>
      <c r="S189" s="4">
        <v>0</v>
      </c>
      <c r="T189" s="4">
        <v>0</v>
      </c>
      <c r="U189" s="4">
        <v>1.30576335950916E-2</v>
      </c>
      <c r="V189" s="4">
        <v>1</v>
      </c>
      <c r="W189" s="4">
        <v>0</v>
      </c>
      <c r="X189" s="4">
        <v>0.81652762850287897</v>
      </c>
      <c r="Y189" s="4">
        <v>0</v>
      </c>
      <c r="Z189" s="5">
        <v>3.75202646711806E-4</v>
      </c>
      <c r="AA189" s="5">
        <v>7.7359798298001694E-5</v>
      </c>
      <c r="AB189" s="10">
        <v>2.9434733126664902E-3</v>
      </c>
      <c r="AC189" s="10">
        <v>1.12863420518326E-6</v>
      </c>
      <c r="AD189" s="10">
        <v>1.8569276635107199E-2</v>
      </c>
      <c r="AE189" s="4">
        <v>-9.1006882698451796E-4</v>
      </c>
      <c r="AF189" s="4">
        <v>0.89429181736202801</v>
      </c>
      <c r="AG189" s="4">
        <v>0.98460410631426498</v>
      </c>
      <c r="AH189" s="4">
        <v>0.99873488027346402</v>
      </c>
      <c r="AI189" s="4">
        <v>0.99963313774444895</v>
      </c>
      <c r="AJ189" s="4">
        <v>1</v>
      </c>
      <c r="AK189" s="4">
        <v>1</v>
      </c>
      <c r="AL189" s="4">
        <v>1</v>
      </c>
      <c r="AM189" s="4">
        <v>0</v>
      </c>
      <c r="AN189" s="4">
        <v>0</v>
      </c>
      <c r="AO189" s="4" t="s">
        <v>153</v>
      </c>
      <c r="AP189" s="4" t="s">
        <v>137</v>
      </c>
      <c r="AQ189" s="6">
        <v>7572357057.6499996</v>
      </c>
      <c r="AR189" s="4">
        <v>28760</v>
      </c>
      <c r="AS189" s="35">
        <v>0</v>
      </c>
      <c r="AT189" s="35">
        <v>0</v>
      </c>
      <c r="AU189" s="35">
        <v>0</v>
      </c>
      <c r="AV189" s="35">
        <v>100</v>
      </c>
      <c r="AW189" s="35">
        <v>0</v>
      </c>
      <c r="AX189" s="35">
        <v>100</v>
      </c>
    </row>
    <row r="190" spans="1:50" x14ac:dyDescent="0.25">
      <c r="A190">
        <v>96</v>
      </c>
      <c r="B190" s="4">
        <v>0.97628208208389999</v>
      </c>
      <c r="C190" s="4">
        <v>16.263458105646599</v>
      </c>
      <c r="D190" s="4">
        <v>25.027183856952501</v>
      </c>
      <c r="E190" s="4">
        <v>1.46823739871639E-2</v>
      </c>
      <c r="F190" s="5">
        <v>2.3717917916099601E-2</v>
      </c>
      <c r="G190" s="5">
        <v>0</v>
      </c>
      <c r="H190" s="4">
        <v>4.3087805213832597</v>
      </c>
      <c r="I190" s="4">
        <v>4.0199887514042798</v>
      </c>
      <c r="J190" s="4">
        <v>-21.226951719953099</v>
      </c>
      <c r="K190" s="4">
        <v>32.521652477581597</v>
      </c>
      <c r="L190" s="4">
        <v>14.8980784826489</v>
      </c>
      <c r="M190" s="4">
        <v>16.9725859569484</v>
      </c>
      <c r="N190" s="4">
        <v>66.044916276151199</v>
      </c>
      <c r="O190" s="4">
        <v>63.842349609159903</v>
      </c>
      <c r="P190" s="4">
        <v>287335.49355663703</v>
      </c>
      <c r="Q190" s="4">
        <v>267920.730777452</v>
      </c>
      <c r="R190" s="4">
        <v>785.05991888534595</v>
      </c>
      <c r="S190" s="4">
        <v>0</v>
      </c>
      <c r="T190" s="4">
        <v>0</v>
      </c>
      <c r="U190" s="4">
        <v>1.3330873979919999E-2</v>
      </c>
      <c r="V190" s="4">
        <v>1</v>
      </c>
      <c r="W190" s="4">
        <v>0</v>
      </c>
      <c r="X190" s="4">
        <v>0.82544827365370399</v>
      </c>
      <c r="Y190" s="4">
        <v>0</v>
      </c>
      <c r="Z190" s="5">
        <v>3.74529076326925E-4</v>
      </c>
      <c r="AA190" s="5">
        <v>7.8322130109758999E-5</v>
      </c>
      <c r="AB190" s="10">
        <v>3.00322721701086E-3</v>
      </c>
      <c r="AC190" s="10">
        <v>1.6022144580242701E-6</v>
      </c>
      <c r="AD190" s="10">
        <v>2.02602228885621E-2</v>
      </c>
      <c r="AE190" s="4">
        <v>1.15171060463304E-3</v>
      </c>
      <c r="AF190" s="4">
        <v>0.88101997673478005</v>
      </c>
      <c r="AG190" s="4">
        <v>0.98120096681297897</v>
      </c>
      <c r="AH190" s="4">
        <v>0.99839442206238804</v>
      </c>
      <c r="AI190" s="4">
        <v>0.99955372707787404</v>
      </c>
      <c r="AJ190" s="4">
        <v>1</v>
      </c>
      <c r="AK190" s="4">
        <v>1</v>
      </c>
      <c r="AL190" s="4">
        <v>1</v>
      </c>
      <c r="AM190" s="4">
        <v>0</v>
      </c>
      <c r="AN190" s="4">
        <v>0</v>
      </c>
      <c r="AO190" s="4" t="s">
        <v>154</v>
      </c>
      <c r="AP190" s="4" t="s">
        <v>138</v>
      </c>
      <c r="AQ190" s="6">
        <v>8146665660.75</v>
      </c>
      <c r="AR190" s="4">
        <v>30407</v>
      </c>
      <c r="AS190" s="35">
        <v>0</v>
      </c>
      <c r="AT190" s="35">
        <v>0</v>
      </c>
      <c r="AU190" s="35">
        <v>0</v>
      </c>
      <c r="AV190" s="35">
        <v>100</v>
      </c>
      <c r="AW190" s="35">
        <v>0</v>
      </c>
      <c r="AX190" s="35">
        <v>100</v>
      </c>
    </row>
    <row r="191" spans="1:50" x14ac:dyDescent="0.25">
      <c r="A191">
        <v>96</v>
      </c>
      <c r="B191" s="4">
        <v>0.97471722144515305</v>
      </c>
      <c r="C191" s="4">
        <v>17.513986888302401</v>
      </c>
      <c r="D191" s="4">
        <v>26.456605457948498</v>
      </c>
      <c r="E191" s="4">
        <v>1.5917083182671599E-2</v>
      </c>
      <c r="F191" s="5">
        <v>2.52827785548469E-2</v>
      </c>
      <c r="G191" s="5">
        <v>0</v>
      </c>
      <c r="H191" s="4">
        <v>4.3258871759904904</v>
      </c>
      <c r="I191" s="4">
        <v>3.99106023583612</v>
      </c>
      <c r="J191" s="4">
        <v>-19.5598768767995</v>
      </c>
      <c r="K191" s="4">
        <v>37.529892332128099</v>
      </c>
      <c r="L191" s="4">
        <v>14.990931322929599</v>
      </c>
      <c r="M191" s="4">
        <v>17.170812210330901</v>
      </c>
      <c r="N191" s="4">
        <v>65.270536838091502</v>
      </c>
      <c r="O191" s="4">
        <v>62.800060820536899</v>
      </c>
      <c r="P191" s="4">
        <v>286223.97079592099</v>
      </c>
      <c r="Q191" s="4">
        <v>266293.99897385202</v>
      </c>
      <c r="R191" s="4">
        <v>785.05803949870904</v>
      </c>
      <c r="S191" s="4">
        <v>0</v>
      </c>
      <c r="T191" s="4">
        <v>0</v>
      </c>
      <c r="U191" s="4">
        <v>1.3305182233503901E-2</v>
      </c>
      <c r="V191" s="4">
        <v>1</v>
      </c>
      <c r="W191" s="4">
        <v>0</v>
      </c>
      <c r="X191" s="4">
        <v>0.829734935880175</v>
      </c>
      <c r="Y191" s="4">
        <v>0</v>
      </c>
      <c r="Z191" s="5">
        <v>3.7428709907746401E-4</v>
      </c>
      <c r="AA191" s="5">
        <v>8.2459187465381303E-5</v>
      </c>
      <c r="AB191" s="10">
        <v>3.08539032964331E-3</v>
      </c>
      <c r="AC191" s="10">
        <v>2.1624778804226401E-6</v>
      </c>
      <c r="AD191" s="10">
        <v>2.1738465162918701E-2</v>
      </c>
      <c r="AE191" s="4">
        <v>5.5674210872549796E-3</v>
      </c>
      <c r="AF191" s="4">
        <v>0.85650391718741903</v>
      </c>
      <c r="AG191" s="4">
        <v>0.97977517276523995</v>
      </c>
      <c r="AH191" s="4">
        <v>0.99769103480226196</v>
      </c>
      <c r="AI191" s="4">
        <v>0.99940928568355503</v>
      </c>
      <c r="AJ191" s="4">
        <v>1</v>
      </c>
      <c r="AK191" s="4">
        <v>1</v>
      </c>
      <c r="AL191" s="4">
        <v>1</v>
      </c>
      <c r="AM191" s="4">
        <v>0</v>
      </c>
      <c r="AN191" s="4">
        <v>0</v>
      </c>
      <c r="AO191" s="4" t="s">
        <v>155</v>
      </c>
      <c r="AP191" s="4" t="s">
        <v>139</v>
      </c>
      <c r="AQ191" s="6">
        <v>8493713391.2700005</v>
      </c>
      <c r="AR191" s="4">
        <v>31896</v>
      </c>
      <c r="AS191" s="35">
        <v>0</v>
      </c>
      <c r="AT191" s="35">
        <v>0</v>
      </c>
      <c r="AU191" s="35">
        <v>0</v>
      </c>
      <c r="AV191" s="35">
        <v>100</v>
      </c>
      <c r="AW191" s="35">
        <v>0</v>
      </c>
      <c r="AX191" s="35">
        <v>100</v>
      </c>
    </row>
    <row r="192" spans="1:50" x14ac:dyDescent="0.25">
      <c r="A192">
        <v>96</v>
      </c>
      <c r="B192" s="4">
        <v>0.97333939636248201</v>
      </c>
      <c r="C192" s="4">
        <v>19.218846128225099</v>
      </c>
      <c r="D192" s="4">
        <v>27.694451657918599</v>
      </c>
      <c r="E192" s="4">
        <v>1.76283117670561E-2</v>
      </c>
      <c r="F192" s="5">
        <v>2.6660603637517499E-2</v>
      </c>
      <c r="G192" s="5">
        <v>0</v>
      </c>
      <c r="H192" s="4">
        <v>4.3654815738471404</v>
      </c>
      <c r="I192" s="4">
        <v>3.9736513520407102</v>
      </c>
      <c r="J192" s="4">
        <v>-16.4081904736056</v>
      </c>
      <c r="K192" s="4">
        <v>42.500046610637099</v>
      </c>
      <c r="L192" s="4">
        <v>15.2841666859072</v>
      </c>
      <c r="M192" s="4">
        <v>17.4184376770746</v>
      </c>
      <c r="N192" s="4">
        <v>66.322928107446501</v>
      </c>
      <c r="O192" s="4">
        <v>63.759714699937199</v>
      </c>
      <c r="P192" s="4">
        <v>280926.36932444898</v>
      </c>
      <c r="Q192" s="4">
        <v>261151.58878201601</v>
      </c>
      <c r="R192" s="4">
        <v>785.23482721366702</v>
      </c>
      <c r="S192" s="4">
        <v>0</v>
      </c>
      <c r="T192" s="4">
        <v>0</v>
      </c>
      <c r="U192" s="4">
        <v>1.18107025902117E-2</v>
      </c>
      <c r="V192" s="4">
        <v>1</v>
      </c>
      <c r="W192" s="4">
        <v>0</v>
      </c>
      <c r="X192" s="4">
        <v>0.83446487665467395</v>
      </c>
      <c r="Y192" s="4">
        <v>0</v>
      </c>
      <c r="Z192" s="5">
        <v>3.7547104198952898E-4</v>
      </c>
      <c r="AA192" s="5">
        <v>8.9142530869624906E-5</v>
      </c>
      <c r="AB192" s="10">
        <v>3.1376825079052098E-3</v>
      </c>
      <c r="AC192" s="10">
        <v>2.8030372101229699E-6</v>
      </c>
      <c r="AD192" s="10">
        <v>2.30554901793514E-2</v>
      </c>
      <c r="AE192" s="4">
        <v>6.5024193056143703E-3</v>
      </c>
      <c r="AF192" s="4">
        <v>0.844605553466383</v>
      </c>
      <c r="AG192" s="4">
        <v>0.97721041382343499</v>
      </c>
      <c r="AH192" s="4">
        <v>0.997321748157042</v>
      </c>
      <c r="AI192" s="4">
        <v>0.99922105701306596</v>
      </c>
      <c r="AJ192" s="4">
        <v>1</v>
      </c>
      <c r="AK192" s="4">
        <v>1</v>
      </c>
      <c r="AL192" s="4">
        <v>1</v>
      </c>
      <c r="AM192" s="4">
        <v>0</v>
      </c>
      <c r="AN192" s="4">
        <v>0</v>
      </c>
      <c r="AO192" s="4" t="s">
        <v>156</v>
      </c>
      <c r="AP192" s="4" t="s">
        <v>140</v>
      </c>
      <c r="AQ192" s="6">
        <v>9043940671.1100006</v>
      </c>
      <c r="AR192" s="4">
        <v>34631</v>
      </c>
      <c r="AS192" s="35">
        <v>0</v>
      </c>
      <c r="AT192" s="35">
        <v>0</v>
      </c>
      <c r="AU192" s="35">
        <v>0</v>
      </c>
      <c r="AV192" s="35">
        <v>100</v>
      </c>
      <c r="AW192" s="35">
        <v>0</v>
      </c>
      <c r="AX192" s="35">
        <v>100</v>
      </c>
    </row>
    <row r="193" spans="1:50" x14ac:dyDescent="0.25">
      <c r="A193">
        <v>96</v>
      </c>
      <c r="B193" s="4">
        <v>0.97170261125573199</v>
      </c>
      <c r="C193" s="4">
        <v>19.9951377348028</v>
      </c>
      <c r="D193" s="4">
        <v>29.140115888275702</v>
      </c>
      <c r="E193" s="4">
        <v>1.8418498717442899E-2</v>
      </c>
      <c r="F193" s="5">
        <v>2.8297388744267699E-2</v>
      </c>
      <c r="G193" s="5">
        <v>0</v>
      </c>
      <c r="H193" s="4">
        <v>4.40010609188682</v>
      </c>
      <c r="I193" s="4">
        <v>3.9597193573826099</v>
      </c>
      <c r="J193" s="4">
        <v>-14.6990289332304</v>
      </c>
      <c r="K193" s="4">
        <v>47.5599904408217</v>
      </c>
      <c r="L193" s="4">
        <v>15.2798363216202</v>
      </c>
      <c r="M193" s="4">
        <v>17.668053621558698</v>
      </c>
      <c r="N193" s="4">
        <v>66.065920692440002</v>
      </c>
      <c r="O193" s="4">
        <v>63.424926157989901</v>
      </c>
      <c r="P193" s="4">
        <v>280267.00727472798</v>
      </c>
      <c r="Q193" s="4">
        <v>261242.303871985</v>
      </c>
      <c r="R193" s="4">
        <v>785.02796113675299</v>
      </c>
      <c r="S193" s="4">
        <v>0</v>
      </c>
      <c r="T193" s="4">
        <v>0</v>
      </c>
      <c r="U193" s="4">
        <v>9.5124564068815708E-3</v>
      </c>
      <c r="V193" s="4">
        <v>1</v>
      </c>
      <c r="W193" s="4">
        <v>0</v>
      </c>
      <c r="X193" s="4">
        <v>0.83046581639066297</v>
      </c>
      <c r="Y193" s="4">
        <v>0</v>
      </c>
      <c r="Z193" s="5">
        <v>3.7637476171108902E-4</v>
      </c>
      <c r="AA193" s="5">
        <v>9.4115878781523505E-5</v>
      </c>
      <c r="AB193" s="10">
        <v>3.18614981290514E-3</v>
      </c>
      <c r="AC193" s="10">
        <v>2.7886195417078302E-6</v>
      </c>
      <c r="AD193" s="10">
        <v>2.4637945384474402E-2</v>
      </c>
      <c r="AE193" s="4">
        <v>7.8890725518511295E-3</v>
      </c>
      <c r="AF193" s="4">
        <v>0.83736319682408</v>
      </c>
      <c r="AG193" s="4">
        <v>0.97822909957108894</v>
      </c>
      <c r="AH193" s="4">
        <v>0.99747966200145499</v>
      </c>
      <c r="AI193" s="4">
        <v>0.99955369708117903</v>
      </c>
      <c r="AJ193" s="4">
        <v>1</v>
      </c>
      <c r="AK193" s="4">
        <v>1</v>
      </c>
      <c r="AL193" s="4">
        <v>1</v>
      </c>
      <c r="AM193" s="4">
        <v>0</v>
      </c>
      <c r="AN193" s="4">
        <v>0</v>
      </c>
      <c r="AO193" s="4" t="s">
        <v>71</v>
      </c>
      <c r="AP193" s="4" t="s">
        <v>72</v>
      </c>
      <c r="AQ193" s="6">
        <v>9848573613.6700001</v>
      </c>
      <c r="AR193" s="4">
        <v>37699</v>
      </c>
      <c r="AS193" s="35">
        <v>0</v>
      </c>
      <c r="AT193" s="35">
        <v>0</v>
      </c>
      <c r="AU193" s="35">
        <v>0</v>
      </c>
      <c r="AV193" s="35">
        <v>100</v>
      </c>
      <c r="AW193" s="35">
        <v>0</v>
      </c>
      <c r="AX193" s="35">
        <v>100</v>
      </c>
    </row>
    <row r="194" spans="1:50" x14ac:dyDescent="0.25">
      <c r="A194">
        <v>96</v>
      </c>
      <c r="B194" s="4">
        <v>0.97026771917419796</v>
      </c>
      <c r="C194" s="4">
        <v>22.230135510407401</v>
      </c>
      <c r="D194" s="4">
        <v>30.3856148630605</v>
      </c>
      <c r="E194" s="4">
        <v>2.0733393288809202E-2</v>
      </c>
      <c r="F194" s="5">
        <v>2.9732280825801399E-2</v>
      </c>
      <c r="G194" s="5">
        <v>0</v>
      </c>
      <c r="H194" s="4">
        <v>4.4427950980569397</v>
      </c>
      <c r="I194" s="4">
        <v>3.9469138229288698</v>
      </c>
      <c r="J194" s="4">
        <v>-11.985927273222799</v>
      </c>
      <c r="K194" s="4">
        <v>52.556852645500399</v>
      </c>
      <c r="L194" s="4">
        <v>15.4293580313178</v>
      </c>
      <c r="M194" s="4">
        <v>17.937635460294999</v>
      </c>
      <c r="N194" s="4">
        <v>67.1498762094715</v>
      </c>
      <c r="O194" s="4">
        <v>64.363522979964301</v>
      </c>
      <c r="P194" s="4">
        <v>277459.69369587902</v>
      </c>
      <c r="Q194" s="4">
        <v>258732.078135597</v>
      </c>
      <c r="R194" s="4">
        <v>784.95226986127898</v>
      </c>
      <c r="S194" s="4">
        <v>0</v>
      </c>
      <c r="T194" s="4">
        <v>0</v>
      </c>
      <c r="U194" s="4">
        <v>8.2439718311150701E-3</v>
      </c>
      <c r="V194" s="4">
        <v>1</v>
      </c>
      <c r="W194" s="4">
        <v>0</v>
      </c>
      <c r="X194" s="4">
        <v>0.82412387656153696</v>
      </c>
      <c r="Y194" s="4">
        <v>0</v>
      </c>
      <c r="Z194" s="5">
        <v>3.7687453361792201E-4</v>
      </c>
      <c r="AA194" s="5">
        <v>1.01625060204158E-4</v>
      </c>
      <c r="AB194" s="10">
        <v>3.2309206986318598E-3</v>
      </c>
      <c r="AC194" s="10">
        <v>3.1540426890131002E-6</v>
      </c>
      <c r="AD194" s="10">
        <v>2.6019692123279099E-2</v>
      </c>
      <c r="AE194" s="4">
        <v>8.5764762315440994E-3</v>
      </c>
      <c r="AF194" s="4">
        <v>0.82637097592364295</v>
      </c>
      <c r="AG194" s="4">
        <v>0.97926050008959997</v>
      </c>
      <c r="AH194" s="4">
        <v>0.99730770386114598</v>
      </c>
      <c r="AI194" s="4">
        <v>0.99935835102451698</v>
      </c>
      <c r="AJ194" s="4">
        <v>1</v>
      </c>
      <c r="AK194" s="4">
        <v>1</v>
      </c>
      <c r="AL194" s="4">
        <v>1</v>
      </c>
      <c r="AM194" s="4">
        <v>0</v>
      </c>
      <c r="AN194" s="4">
        <v>0</v>
      </c>
      <c r="AO194" s="4" t="s">
        <v>157</v>
      </c>
      <c r="AP194" s="4" t="s">
        <v>141</v>
      </c>
      <c r="AQ194" s="6">
        <v>10193008950.23</v>
      </c>
      <c r="AR194" s="4">
        <v>39396</v>
      </c>
      <c r="AS194" s="35">
        <v>0</v>
      </c>
      <c r="AT194" s="35">
        <v>0</v>
      </c>
      <c r="AU194" s="35">
        <v>0</v>
      </c>
      <c r="AV194" s="35">
        <v>100</v>
      </c>
      <c r="AW194" s="35">
        <v>0</v>
      </c>
      <c r="AX194" s="35">
        <v>100</v>
      </c>
    </row>
    <row r="195" spans="1:50" x14ac:dyDescent="0.25">
      <c r="A195">
        <v>96</v>
      </c>
      <c r="B195" s="4">
        <v>0.968780503341514</v>
      </c>
      <c r="C195" s="4">
        <v>23.198296364425701</v>
      </c>
      <c r="D195" s="4">
        <v>31.655325287034302</v>
      </c>
      <c r="E195" s="4">
        <v>2.17551479150901E-2</v>
      </c>
      <c r="F195" s="5">
        <v>3.1219496658485401E-2</v>
      </c>
      <c r="G195" s="5">
        <v>0</v>
      </c>
      <c r="H195" s="4">
        <v>4.4725273473857001</v>
      </c>
      <c r="I195" s="4">
        <v>3.9296360371183701</v>
      </c>
      <c r="J195" s="4">
        <v>-11.0432856049677</v>
      </c>
      <c r="K195" s="4">
        <v>57.503638390357402</v>
      </c>
      <c r="L195" s="4">
        <v>15.4357937379001</v>
      </c>
      <c r="M195" s="4">
        <v>18.041259555694701</v>
      </c>
      <c r="N195" s="4">
        <v>67.2242530557685</v>
      </c>
      <c r="O195" s="4">
        <v>64.266259029600803</v>
      </c>
      <c r="P195" s="4">
        <v>277303.156389296</v>
      </c>
      <c r="Q195" s="4">
        <v>258608.50465877101</v>
      </c>
      <c r="R195" s="4">
        <v>784.77369334700495</v>
      </c>
      <c r="S195" s="4">
        <v>0</v>
      </c>
      <c r="T195" s="4">
        <v>0</v>
      </c>
      <c r="U195" s="4">
        <v>8.2406439806904496E-3</v>
      </c>
      <c r="V195" s="4">
        <v>1</v>
      </c>
      <c r="W195" s="4">
        <v>0</v>
      </c>
      <c r="X195" s="4">
        <v>0.81423256411217104</v>
      </c>
      <c r="Y195" s="4">
        <v>0</v>
      </c>
      <c r="Z195" s="5">
        <v>3.7753339527346001E-4</v>
      </c>
      <c r="AA195" s="5">
        <v>1.07828434541E-4</v>
      </c>
      <c r="AB195" s="10">
        <v>3.2670686810555901E-3</v>
      </c>
      <c r="AC195" s="10">
        <v>3.7963638348443399E-6</v>
      </c>
      <c r="AD195" s="10">
        <v>2.7463255421527801E-2</v>
      </c>
      <c r="AE195" s="4">
        <v>1.1980402927872801E-2</v>
      </c>
      <c r="AF195" s="4">
        <v>0.80674776704296303</v>
      </c>
      <c r="AG195" s="4">
        <v>0.97553152444943703</v>
      </c>
      <c r="AH195" s="4">
        <v>0.997217352103273</v>
      </c>
      <c r="AI195" s="4">
        <v>0.99941202724747502</v>
      </c>
      <c r="AJ195" s="4">
        <v>1</v>
      </c>
      <c r="AK195" s="4">
        <v>1</v>
      </c>
      <c r="AL195" s="4">
        <v>1</v>
      </c>
      <c r="AM195" s="4">
        <v>0</v>
      </c>
      <c r="AN195" s="4">
        <v>0</v>
      </c>
      <c r="AO195" s="4" t="s">
        <v>158</v>
      </c>
      <c r="AP195" s="4" t="s">
        <v>142</v>
      </c>
      <c r="AQ195" s="6">
        <v>10394251627.75</v>
      </c>
      <c r="AR195" s="4">
        <v>40193</v>
      </c>
      <c r="AS195" s="35">
        <v>0</v>
      </c>
      <c r="AT195" s="35">
        <v>0</v>
      </c>
      <c r="AU195" s="35">
        <v>0</v>
      </c>
      <c r="AV195" s="35">
        <v>100</v>
      </c>
      <c r="AW195" s="35">
        <v>0</v>
      </c>
      <c r="AX195" s="35">
        <v>100</v>
      </c>
    </row>
    <row r="196" spans="1:50" x14ac:dyDescent="0.25">
      <c r="A196">
        <v>96</v>
      </c>
      <c r="B196" s="4">
        <v>0.96730860295572596</v>
      </c>
      <c r="C196" s="4">
        <v>26.051910026550299</v>
      </c>
      <c r="D196" s="4">
        <v>32.891025351853898</v>
      </c>
      <c r="E196" s="4">
        <v>2.4836928174829399E-2</v>
      </c>
      <c r="F196" s="5">
        <v>3.2691397044273401E-2</v>
      </c>
      <c r="G196" s="5">
        <v>0</v>
      </c>
      <c r="H196" s="4">
        <v>4.5069519168714303</v>
      </c>
      <c r="I196" s="4">
        <v>3.9160147071068998</v>
      </c>
      <c r="J196" s="4">
        <v>-9.5140961556121599</v>
      </c>
      <c r="K196" s="4">
        <v>62.498118249727199</v>
      </c>
      <c r="L196" s="4">
        <v>15.5257161165342</v>
      </c>
      <c r="M196" s="4">
        <v>18.105261787165599</v>
      </c>
      <c r="N196" s="4">
        <v>67.299390484308006</v>
      </c>
      <c r="O196" s="4">
        <v>64.161380577566007</v>
      </c>
      <c r="P196" s="4">
        <v>276146.15538428398</v>
      </c>
      <c r="Q196" s="4">
        <v>257142.16144846199</v>
      </c>
      <c r="R196" s="4">
        <v>784.434938780994</v>
      </c>
      <c r="S196" s="4">
        <v>0</v>
      </c>
      <c r="T196" s="4">
        <v>0</v>
      </c>
      <c r="U196" s="4">
        <v>8.5881078950394499E-3</v>
      </c>
      <c r="V196" s="4">
        <v>1</v>
      </c>
      <c r="W196" s="4">
        <v>0</v>
      </c>
      <c r="X196" s="4">
        <v>0.807787428288262</v>
      </c>
      <c r="Y196" s="4">
        <v>0</v>
      </c>
      <c r="Z196" s="5">
        <v>3.7669519215487499E-4</v>
      </c>
      <c r="AA196" s="5">
        <v>1.1544911098131301E-4</v>
      </c>
      <c r="AB196" s="10">
        <v>3.31182718242855E-3</v>
      </c>
      <c r="AC196" s="10">
        <v>4.9395627897146304E-6</v>
      </c>
      <c r="AD196" s="10">
        <v>2.8882471554271601E-2</v>
      </c>
      <c r="AE196" s="4">
        <v>1.46353771445638E-2</v>
      </c>
      <c r="AF196" s="4">
        <v>0.787102579826224</v>
      </c>
      <c r="AG196" s="4">
        <v>0.97613553066700998</v>
      </c>
      <c r="AH196" s="4">
        <v>0.99651135371305899</v>
      </c>
      <c r="AI196" s="4">
        <v>0.99927307881014305</v>
      </c>
      <c r="AJ196" s="4">
        <v>1</v>
      </c>
      <c r="AK196" s="4">
        <v>1</v>
      </c>
      <c r="AL196" s="4">
        <v>1</v>
      </c>
      <c r="AM196" s="4">
        <v>0</v>
      </c>
      <c r="AN196" s="4">
        <v>0</v>
      </c>
      <c r="AO196" s="4" t="s">
        <v>159</v>
      </c>
      <c r="AP196" s="4" t="s">
        <v>143</v>
      </c>
      <c r="AQ196" s="6">
        <v>11043998692.049999</v>
      </c>
      <c r="AR196" s="4">
        <v>42949</v>
      </c>
      <c r="AS196" s="35">
        <v>0</v>
      </c>
      <c r="AT196" s="35">
        <v>0</v>
      </c>
      <c r="AU196" s="35">
        <v>0</v>
      </c>
      <c r="AV196" s="35">
        <v>100</v>
      </c>
      <c r="AW196" s="35">
        <v>0</v>
      </c>
      <c r="AX196" s="35">
        <v>100</v>
      </c>
    </row>
    <row r="197" spans="1:50" x14ac:dyDescent="0.25">
      <c r="A197">
        <v>96</v>
      </c>
      <c r="B197" s="4">
        <v>0.96615564268899201</v>
      </c>
      <c r="C197" s="4">
        <v>27.7216854480492</v>
      </c>
      <c r="D197" s="4">
        <v>33.844624961726304</v>
      </c>
      <c r="E197" s="4">
        <v>2.6691159496877399E-2</v>
      </c>
      <c r="F197" s="5">
        <v>3.3844357311007198E-2</v>
      </c>
      <c r="G197" s="5">
        <v>0</v>
      </c>
      <c r="H197" s="4">
        <v>4.5524956940363497</v>
      </c>
      <c r="I197" s="4">
        <v>3.9140480427089201</v>
      </c>
      <c r="J197" s="4">
        <v>-7.6167625438644198</v>
      </c>
      <c r="K197" s="4">
        <v>67.486941816233099</v>
      </c>
      <c r="L197" s="4">
        <v>15.6974332534858</v>
      </c>
      <c r="M197" s="4">
        <v>18.038166775636402</v>
      </c>
      <c r="N197" s="4">
        <v>67.459401035678198</v>
      </c>
      <c r="O197" s="4">
        <v>64.282811555883001</v>
      </c>
      <c r="P197" s="4">
        <v>273215.97273744899</v>
      </c>
      <c r="Q197" s="4">
        <v>254335.23667848099</v>
      </c>
      <c r="R197" s="4">
        <v>784.37315681605298</v>
      </c>
      <c r="S197" s="4">
        <v>0</v>
      </c>
      <c r="T197" s="4">
        <v>0</v>
      </c>
      <c r="U197" s="4">
        <v>1.0453235618407599E-2</v>
      </c>
      <c r="V197" s="4">
        <v>1</v>
      </c>
      <c r="W197" s="4">
        <v>0</v>
      </c>
      <c r="X197" s="4">
        <v>0.80210314483160805</v>
      </c>
      <c r="Y197" s="4">
        <v>0</v>
      </c>
      <c r="Z197" s="5">
        <v>3.7787427240982998E-4</v>
      </c>
      <c r="AA197" s="5">
        <v>1.2079921763130099E-4</v>
      </c>
      <c r="AB197" s="10">
        <v>3.32093089827232E-3</v>
      </c>
      <c r="AC197" s="10">
        <v>5.3821558200169696E-6</v>
      </c>
      <c r="AD197" s="10">
        <v>3.0019356322918699E-2</v>
      </c>
      <c r="AE197" s="4">
        <v>1.53033696141146E-2</v>
      </c>
      <c r="AF197" s="4">
        <v>0.77638876639947296</v>
      </c>
      <c r="AG197" s="4">
        <v>0.97303603038335895</v>
      </c>
      <c r="AH197" s="4">
        <v>0.99657813529541495</v>
      </c>
      <c r="AI197" s="4">
        <v>0.99912129242495396</v>
      </c>
      <c r="AJ197" s="4">
        <v>1</v>
      </c>
      <c r="AK197" s="4">
        <v>1</v>
      </c>
      <c r="AL197" s="4">
        <v>1</v>
      </c>
      <c r="AM197" s="4">
        <v>0</v>
      </c>
      <c r="AN197" s="4">
        <v>0</v>
      </c>
      <c r="AO197" s="4" t="s">
        <v>160</v>
      </c>
      <c r="AP197" s="4" t="s">
        <v>144</v>
      </c>
      <c r="AQ197" s="6">
        <v>11409224382.16</v>
      </c>
      <c r="AR197" s="4">
        <v>44859</v>
      </c>
      <c r="AS197" s="35">
        <v>0</v>
      </c>
      <c r="AT197" s="35">
        <v>0</v>
      </c>
      <c r="AU197" s="35">
        <v>0</v>
      </c>
      <c r="AV197" s="35">
        <v>100</v>
      </c>
      <c r="AW197" s="35">
        <v>0</v>
      </c>
      <c r="AX197" s="35">
        <v>100</v>
      </c>
    </row>
    <row r="198" spans="1:50" x14ac:dyDescent="0.25">
      <c r="A198">
        <v>96</v>
      </c>
      <c r="B198" s="4">
        <v>0.96457886204613597</v>
      </c>
      <c r="C198" s="4">
        <v>28.206016589357102</v>
      </c>
      <c r="D198" s="4">
        <v>35.1286574801141</v>
      </c>
      <c r="E198" s="4">
        <v>2.7236341241245399E-2</v>
      </c>
      <c r="F198" s="5">
        <v>3.5421137953863299E-2</v>
      </c>
      <c r="G198" s="5">
        <v>0</v>
      </c>
      <c r="H198" s="4">
        <v>4.5874248737592396</v>
      </c>
      <c r="I198" s="4">
        <v>3.90831133834237</v>
      </c>
      <c r="J198" s="4">
        <v>-6.2328008043788401</v>
      </c>
      <c r="K198" s="4">
        <v>72.520422224818901</v>
      </c>
      <c r="L198" s="4">
        <v>15.4731539395778</v>
      </c>
      <c r="M198" s="4">
        <v>17.908908792246599</v>
      </c>
      <c r="N198" s="4">
        <v>66.996625564220594</v>
      </c>
      <c r="O198" s="4">
        <v>63.736894004086601</v>
      </c>
      <c r="P198" s="4">
        <v>277199.18539608602</v>
      </c>
      <c r="Q198" s="4">
        <v>258027.453116736</v>
      </c>
      <c r="R198" s="4">
        <v>784.12022789956995</v>
      </c>
      <c r="S198" s="4">
        <v>0</v>
      </c>
      <c r="T198" s="4">
        <v>0</v>
      </c>
      <c r="U198" s="4">
        <v>1.12468329895659E-2</v>
      </c>
      <c r="V198" s="4">
        <v>1</v>
      </c>
      <c r="W198" s="4">
        <v>0</v>
      </c>
      <c r="X198" s="4">
        <v>0.80134045249476504</v>
      </c>
      <c r="Y198" s="4">
        <v>0</v>
      </c>
      <c r="Z198" s="5">
        <v>3.7726433794969398E-4</v>
      </c>
      <c r="AA198" s="5">
        <v>1.27217658305949E-4</v>
      </c>
      <c r="AB198" s="10">
        <v>3.30899291816413E-3</v>
      </c>
      <c r="AC198" s="10">
        <v>7.2848894388049502E-6</v>
      </c>
      <c r="AD198" s="10">
        <v>3.16003636580139E-2</v>
      </c>
      <c r="AE198" s="4">
        <v>1.7869904263578502E-2</v>
      </c>
      <c r="AF198" s="4">
        <v>0.75463347803042002</v>
      </c>
      <c r="AG198" s="4">
        <v>0.96939890360274095</v>
      </c>
      <c r="AH198" s="4">
        <v>0.99572221584519305</v>
      </c>
      <c r="AI198" s="4">
        <v>0.99892143700799496</v>
      </c>
      <c r="AJ198" s="4">
        <v>1</v>
      </c>
      <c r="AK198" s="4">
        <v>1</v>
      </c>
      <c r="AL198" s="4">
        <v>1</v>
      </c>
      <c r="AM198" s="4">
        <v>0</v>
      </c>
      <c r="AN198" s="4">
        <v>0</v>
      </c>
      <c r="AO198" s="4" t="s">
        <v>73</v>
      </c>
      <c r="AP198" s="4" t="s">
        <v>74</v>
      </c>
      <c r="AQ198" s="6">
        <v>12099423331.549999</v>
      </c>
      <c r="AR198" s="4">
        <v>46892</v>
      </c>
      <c r="AS198" s="35">
        <v>0</v>
      </c>
      <c r="AT198" s="35">
        <v>0</v>
      </c>
      <c r="AU198" s="35">
        <v>0</v>
      </c>
      <c r="AV198" s="35">
        <v>100</v>
      </c>
      <c r="AW198" s="35">
        <v>0</v>
      </c>
      <c r="AX198" s="35">
        <v>100</v>
      </c>
    </row>
    <row r="199" spans="1:50" x14ac:dyDescent="0.25">
      <c r="A199">
        <v>96</v>
      </c>
      <c r="B199" s="4">
        <v>0.96120712865680802</v>
      </c>
      <c r="C199" s="4">
        <v>31.348324507307801</v>
      </c>
      <c r="D199" s="4">
        <v>37.798079144837402</v>
      </c>
      <c r="E199" s="4">
        <v>3.0857598433368199E-2</v>
      </c>
      <c r="F199" s="5">
        <v>3.8792871343191801E-2</v>
      </c>
      <c r="G199" s="5">
        <v>0</v>
      </c>
      <c r="H199" s="4">
        <v>4.6887188793160304</v>
      </c>
      <c r="I199" s="4">
        <v>3.8814174021809902</v>
      </c>
      <c r="J199" s="4">
        <v>-1.7698531541717299</v>
      </c>
      <c r="K199" s="4">
        <v>86.348471629290103</v>
      </c>
      <c r="L199" s="4">
        <v>15.323140314847899</v>
      </c>
      <c r="M199" s="4">
        <v>17.835483559498499</v>
      </c>
      <c r="N199" s="4">
        <v>66.368006537699102</v>
      </c>
      <c r="O199" s="4">
        <v>62.854036956707503</v>
      </c>
      <c r="P199" s="4">
        <v>279814.18189404602</v>
      </c>
      <c r="Q199" s="4">
        <v>260566.63168222399</v>
      </c>
      <c r="R199" s="4">
        <v>783.75945994289702</v>
      </c>
      <c r="S199" s="4">
        <v>0</v>
      </c>
      <c r="T199" s="4">
        <v>0</v>
      </c>
      <c r="U199" s="4">
        <v>1.12142967793097E-2</v>
      </c>
      <c r="V199" s="4">
        <v>1</v>
      </c>
      <c r="W199" s="4">
        <v>0</v>
      </c>
      <c r="X199" s="4">
        <v>0.80062388717423505</v>
      </c>
      <c r="Y199" s="4">
        <v>0</v>
      </c>
      <c r="Z199" s="5">
        <v>3.7696730625059902E-4</v>
      </c>
      <c r="AA199" s="5">
        <v>1.39904046445743E-4</v>
      </c>
      <c r="AB199" s="10">
        <v>3.37418830740264E-3</v>
      </c>
      <c r="AC199" s="10">
        <v>1.05482459160018E-5</v>
      </c>
      <c r="AD199" s="10">
        <v>3.48912488554593E-2</v>
      </c>
      <c r="AE199" s="4">
        <v>2.30422037566318E-2</v>
      </c>
      <c r="AF199" s="4">
        <v>0.70095622551968595</v>
      </c>
      <c r="AG199" s="4">
        <v>0.96365103034301303</v>
      </c>
      <c r="AH199" s="4">
        <v>0.99396716117161099</v>
      </c>
      <c r="AI199" s="4">
        <v>0.99895540111917902</v>
      </c>
      <c r="AJ199" s="4">
        <v>1</v>
      </c>
      <c r="AK199" s="4">
        <v>1</v>
      </c>
      <c r="AL199" s="4">
        <v>1</v>
      </c>
      <c r="AM199" s="4">
        <v>0</v>
      </c>
      <c r="AN199" s="4">
        <v>0</v>
      </c>
      <c r="AO199" s="4" t="s">
        <v>75</v>
      </c>
      <c r="AP199" s="4" t="s">
        <v>76</v>
      </c>
      <c r="AQ199" s="6">
        <v>49936292128.739998</v>
      </c>
      <c r="AR199" s="4">
        <v>191645</v>
      </c>
      <c r="AS199" s="35">
        <v>0</v>
      </c>
      <c r="AT199" s="35">
        <v>0</v>
      </c>
      <c r="AU199" s="35">
        <v>0</v>
      </c>
      <c r="AV199" s="35">
        <v>100</v>
      </c>
      <c r="AW199" s="35">
        <v>0</v>
      </c>
      <c r="AX199" s="35">
        <v>100</v>
      </c>
    </row>
    <row r="200" spans="1:50" x14ac:dyDescent="0.25">
      <c r="A200">
        <v>96</v>
      </c>
      <c r="B200" s="4">
        <v>0.95749600921074096</v>
      </c>
      <c r="C200" s="4">
        <v>34.969997259688597</v>
      </c>
      <c r="D200" s="4">
        <v>40.619524583599599</v>
      </c>
      <c r="E200" s="4">
        <v>3.5224763353119297E-2</v>
      </c>
      <c r="F200" s="5">
        <v>4.2503990789258699E-2</v>
      </c>
      <c r="G200" s="5">
        <v>0</v>
      </c>
      <c r="H200" s="4">
        <v>4.8597172848100803</v>
      </c>
      <c r="I200" s="4">
        <v>3.8075341911235201</v>
      </c>
      <c r="J200" s="4">
        <v>2.3467121983467698</v>
      </c>
      <c r="K200" s="4">
        <v>111.718332385794</v>
      </c>
      <c r="L200" s="4">
        <v>15.609537520280201</v>
      </c>
      <c r="M200" s="4">
        <v>18.360632804295602</v>
      </c>
      <c r="N200" s="4">
        <v>68.372332900325802</v>
      </c>
      <c r="O200" s="4">
        <v>63.806703257611197</v>
      </c>
      <c r="P200" s="4">
        <v>274481.78470711602</v>
      </c>
      <c r="Q200" s="4">
        <v>255800.935888373</v>
      </c>
      <c r="R200" s="4">
        <v>782.15642568202497</v>
      </c>
      <c r="S200" s="4">
        <v>0</v>
      </c>
      <c r="T200" s="4">
        <v>0</v>
      </c>
      <c r="U200" s="4">
        <v>1.11788570934895E-2</v>
      </c>
      <c r="V200" s="4">
        <v>1</v>
      </c>
      <c r="W200" s="4">
        <v>0</v>
      </c>
      <c r="X200" s="4">
        <v>0.74839940688531004</v>
      </c>
      <c r="Y200" s="4">
        <v>0</v>
      </c>
      <c r="Z200" s="5">
        <v>3.7762443781750698E-4</v>
      </c>
      <c r="AA200" s="5">
        <v>1.9029094691430499E-4</v>
      </c>
      <c r="AB200" s="10">
        <v>3.54457126874572E-3</v>
      </c>
      <c r="AC200" s="10">
        <v>2.3406507255109101E-5</v>
      </c>
      <c r="AD200" s="10">
        <v>3.8368082799113801E-2</v>
      </c>
      <c r="AE200" s="4">
        <v>3.8431665484224102E-2</v>
      </c>
      <c r="AF200" s="4">
        <v>0.56928648910705304</v>
      </c>
      <c r="AG200" s="4">
        <v>0.94776989127977396</v>
      </c>
      <c r="AH200" s="4">
        <v>0.99006057017879101</v>
      </c>
      <c r="AI200" s="4">
        <v>0.99796503786011304</v>
      </c>
      <c r="AJ200" s="4">
        <v>1</v>
      </c>
      <c r="AK200" s="4">
        <v>1</v>
      </c>
      <c r="AL200" s="4">
        <v>1</v>
      </c>
      <c r="AM200" s="4">
        <v>0</v>
      </c>
      <c r="AN200" s="4">
        <v>0</v>
      </c>
      <c r="AO200" s="4" t="s">
        <v>77</v>
      </c>
      <c r="AP200" s="4" t="s">
        <v>78</v>
      </c>
      <c r="AQ200" s="6">
        <v>29043382459.830002</v>
      </c>
      <c r="AR200" s="4">
        <v>113539</v>
      </c>
      <c r="AS200" s="35">
        <v>0</v>
      </c>
      <c r="AT200" s="35">
        <v>0</v>
      </c>
      <c r="AU200" s="35">
        <v>0</v>
      </c>
      <c r="AV200" s="35">
        <v>100</v>
      </c>
      <c r="AW200" s="35">
        <v>0</v>
      </c>
      <c r="AX200" s="35">
        <v>100</v>
      </c>
    </row>
    <row r="201" spans="1:50" x14ac:dyDescent="0.25">
      <c r="A201">
        <v>96</v>
      </c>
      <c r="B201" s="4">
        <v>0.95421680318173097</v>
      </c>
      <c r="C201" s="4">
        <v>35.363464857130197</v>
      </c>
      <c r="D201" s="4">
        <v>43.014453255159701</v>
      </c>
      <c r="E201" s="4">
        <v>3.5712569728593102E-2</v>
      </c>
      <c r="F201" s="5">
        <v>4.5783196818268097E-2</v>
      </c>
      <c r="G201" s="5">
        <v>0</v>
      </c>
      <c r="H201" s="4">
        <v>4.9450030381875898</v>
      </c>
      <c r="I201" s="4">
        <v>3.7077365461627299</v>
      </c>
      <c r="J201" s="4">
        <v>3.9858020641635599</v>
      </c>
      <c r="K201" s="4">
        <v>134.94959605790601</v>
      </c>
      <c r="L201" s="4">
        <v>15.242478735253499</v>
      </c>
      <c r="M201" s="4">
        <v>19.3444711337055</v>
      </c>
      <c r="N201" s="4">
        <v>68.389186079473703</v>
      </c>
      <c r="O201" s="4">
        <v>62.209584603525101</v>
      </c>
      <c r="P201" s="4">
        <v>281109.43572930701</v>
      </c>
      <c r="Q201" s="4">
        <v>261967.813408355</v>
      </c>
      <c r="R201" s="4">
        <v>781.45192660900204</v>
      </c>
      <c r="S201" s="4">
        <v>0</v>
      </c>
      <c r="T201" s="4">
        <v>0</v>
      </c>
      <c r="U201" s="4">
        <v>1.20351386686957E-2</v>
      </c>
      <c r="V201" s="4">
        <v>1</v>
      </c>
      <c r="W201" s="4">
        <v>0</v>
      </c>
      <c r="X201" s="4">
        <v>0.77551051584054098</v>
      </c>
      <c r="Y201" s="4">
        <v>0</v>
      </c>
      <c r="Z201" s="5">
        <v>3.7689782254611201E-4</v>
      </c>
      <c r="AA201" s="5">
        <v>2.4125895605089099E-4</v>
      </c>
      <c r="AB201" s="10">
        <v>3.5661538914699498E-3</v>
      </c>
      <c r="AC201" s="10">
        <v>5.0610502355256099E-5</v>
      </c>
      <c r="AD201" s="10">
        <v>4.1548260747660298E-2</v>
      </c>
      <c r="AE201" s="4">
        <v>6.5643278159381493E-2</v>
      </c>
      <c r="AF201" s="4">
        <v>0.41864636992499499</v>
      </c>
      <c r="AG201" s="4">
        <v>0.90922643682012105</v>
      </c>
      <c r="AH201" s="4">
        <v>0.97972825428733101</v>
      </c>
      <c r="AI201" s="4">
        <v>0.99712600159133402</v>
      </c>
      <c r="AJ201" s="4">
        <v>1</v>
      </c>
      <c r="AK201" s="4">
        <v>1</v>
      </c>
      <c r="AL201" s="4">
        <v>1</v>
      </c>
      <c r="AM201" s="4">
        <v>0</v>
      </c>
      <c r="AN201" s="4">
        <v>0</v>
      </c>
      <c r="AO201" s="4" t="s">
        <v>79</v>
      </c>
      <c r="AP201" s="4" t="s">
        <v>80</v>
      </c>
      <c r="AQ201" s="6">
        <v>14002441594.49</v>
      </c>
      <c r="AR201" s="4">
        <v>53451</v>
      </c>
      <c r="AS201" s="35">
        <v>0</v>
      </c>
      <c r="AT201" s="35">
        <v>0</v>
      </c>
      <c r="AU201" s="35">
        <v>0</v>
      </c>
      <c r="AV201" s="35">
        <v>100</v>
      </c>
      <c r="AW201" s="35">
        <v>0</v>
      </c>
      <c r="AX201" s="35">
        <v>100</v>
      </c>
    </row>
    <row r="202" spans="1:50" x14ac:dyDescent="0.25">
      <c r="A202">
        <v>96</v>
      </c>
      <c r="B202" s="4">
        <v>0.951744729435402</v>
      </c>
      <c r="C202" s="4">
        <v>34.060939837629199</v>
      </c>
      <c r="D202" s="4">
        <v>44.761005387050901</v>
      </c>
      <c r="E202" s="4">
        <v>3.4108014023335402E-2</v>
      </c>
      <c r="F202" s="5">
        <v>4.8255270564597899E-2</v>
      </c>
      <c r="G202" s="5">
        <v>0</v>
      </c>
      <c r="H202" s="4">
        <v>5.1455181913607104</v>
      </c>
      <c r="I202" s="4">
        <v>3.6847746475008698</v>
      </c>
      <c r="J202" s="4">
        <v>19.381254278638799</v>
      </c>
      <c r="K202" s="4">
        <v>160.59824035554701</v>
      </c>
      <c r="L202" s="4">
        <v>15.6413326919357</v>
      </c>
      <c r="M202" s="4">
        <v>19.607610148146499</v>
      </c>
      <c r="N202" s="4">
        <v>73.207688316741596</v>
      </c>
      <c r="O202" s="4">
        <v>65.653641187798996</v>
      </c>
      <c r="P202" s="4">
        <v>273691.58868901798</v>
      </c>
      <c r="Q202" s="4">
        <v>255296.974786128</v>
      </c>
      <c r="R202" s="4">
        <v>779.35582634059199</v>
      </c>
      <c r="S202" s="4">
        <v>0</v>
      </c>
      <c r="T202" s="4">
        <v>0</v>
      </c>
      <c r="U202" s="4">
        <v>1.12718137888329E-2</v>
      </c>
      <c r="V202" s="4">
        <v>1</v>
      </c>
      <c r="W202" s="4">
        <v>0</v>
      </c>
      <c r="X202" s="4">
        <v>0.86940680807805004</v>
      </c>
      <c r="Y202" s="4">
        <v>0</v>
      </c>
      <c r="Z202" s="5">
        <v>3.8341513655392698E-4</v>
      </c>
      <c r="AA202" s="5">
        <v>3.5416186608108502E-4</v>
      </c>
      <c r="AB202" s="10">
        <v>3.66902967177623E-3</v>
      </c>
      <c r="AC202" s="10">
        <v>6.9248418231417894E-5</v>
      </c>
      <c r="AD202" s="10">
        <v>4.3779400499691097E-2</v>
      </c>
      <c r="AE202" s="4">
        <v>7.96934398973944E-2</v>
      </c>
      <c r="AF202" s="4">
        <v>0.330112221543855</v>
      </c>
      <c r="AG202" s="4">
        <v>0.87402537406590997</v>
      </c>
      <c r="AH202" s="4">
        <v>0.97211051004056803</v>
      </c>
      <c r="AI202" s="4">
        <v>0.99549818805450396</v>
      </c>
      <c r="AJ202" s="4">
        <v>1</v>
      </c>
      <c r="AK202" s="4">
        <v>1</v>
      </c>
      <c r="AL202" s="4">
        <v>1</v>
      </c>
      <c r="AM202" s="4">
        <v>0</v>
      </c>
      <c r="AN202" s="4">
        <v>0</v>
      </c>
      <c r="AO202" s="4" t="s">
        <v>81</v>
      </c>
      <c r="AP202" s="4" t="s">
        <v>82</v>
      </c>
      <c r="AQ202" s="6">
        <v>3437829062.4699998</v>
      </c>
      <c r="AR202" s="4">
        <v>13466</v>
      </c>
      <c r="AS202" s="35">
        <v>0</v>
      </c>
      <c r="AT202" s="35">
        <v>0</v>
      </c>
      <c r="AU202" s="35">
        <v>0</v>
      </c>
      <c r="AV202" s="35">
        <v>100</v>
      </c>
      <c r="AW202" s="35">
        <v>0</v>
      </c>
      <c r="AX202" s="35">
        <v>100</v>
      </c>
    </row>
    <row r="203" spans="1:50" x14ac:dyDescent="0.25">
      <c r="A203">
        <v>96</v>
      </c>
      <c r="B203" s="4">
        <v>0.94900398913830097</v>
      </c>
      <c r="C203" s="4">
        <v>33.5104002869463</v>
      </c>
      <c r="D203" s="4">
        <v>46.639921986521003</v>
      </c>
      <c r="E203" s="4">
        <v>3.3438535237560199E-2</v>
      </c>
      <c r="F203" s="5">
        <v>5.0996010861698401E-2</v>
      </c>
      <c r="G203" s="5">
        <v>0</v>
      </c>
      <c r="H203" s="4">
        <v>5.2295565845155902</v>
      </c>
      <c r="I203" s="4">
        <v>3.6582408974710998</v>
      </c>
      <c r="J203" s="4">
        <v>27.484909675729099</v>
      </c>
      <c r="K203" s="4">
        <v>182.546269462124</v>
      </c>
      <c r="L203" s="4">
        <v>14.765315529349801</v>
      </c>
      <c r="M203" s="4">
        <v>20.164867875834901</v>
      </c>
      <c r="N203" s="4">
        <v>75.8901173496414</v>
      </c>
      <c r="O203" s="4">
        <v>66.853163099153406</v>
      </c>
      <c r="P203" s="4">
        <v>289399.696586031</v>
      </c>
      <c r="Q203" s="4">
        <v>270441.83997710899</v>
      </c>
      <c r="R203" s="4">
        <v>778.12815816868795</v>
      </c>
      <c r="S203" s="4">
        <v>0</v>
      </c>
      <c r="T203" s="4">
        <v>0</v>
      </c>
      <c r="U203" s="4">
        <v>1.36249513874674E-2</v>
      </c>
      <c r="V203" s="4">
        <v>1</v>
      </c>
      <c r="W203" s="4">
        <v>0</v>
      </c>
      <c r="X203" s="4">
        <v>0.85207095435706903</v>
      </c>
      <c r="Y203" s="4">
        <v>0</v>
      </c>
      <c r="Z203" s="5">
        <v>3.88076599694377E-4</v>
      </c>
      <c r="AA203" s="5">
        <v>5.2750401576679904E-4</v>
      </c>
      <c r="AB203" s="10">
        <v>3.6357123963425401E-3</v>
      </c>
      <c r="AC203" s="10">
        <v>1.3072099238497199E-4</v>
      </c>
      <c r="AD203" s="10">
        <v>4.6313981509704699E-2</v>
      </c>
      <c r="AE203" s="4">
        <v>9.6691987713019997E-2</v>
      </c>
      <c r="AF203" s="4">
        <v>0.25462041582266198</v>
      </c>
      <c r="AG203" s="4">
        <v>0.81610755655949696</v>
      </c>
      <c r="AH203" s="4">
        <v>0.94224385621223705</v>
      </c>
      <c r="AI203" s="4">
        <v>0.99202584623349499</v>
      </c>
      <c r="AJ203" s="4">
        <v>1</v>
      </c>
      <c r="AK203" s="4">
        <v>1</v>
      </c>
      <c r="AL203" s="4">
        <v>1</v>
      </c>
      <c r="AM203" s="4">
        <v>0</v>
      </c>
      <c r="AN203" s="4">
        <v>0</v>
      </c>
      <c r="AO203" s="4" t="s">
        <v>83</v>
      </c>
      <c r="AP203" s="4" t="s">
        <v>84</v>
      </c>
      <c r="AQ203" s="6">
        <v>827011146.64999998</v>
      </c>
      <c r="AR203" s="4">
        <v>3058</v>
      </c>
      <c r="AS203" s="35">
        <v>0</v>
      </c>
      <c r="AT203" s="35">
        <v>0</v>
      </c>
      <c r="AU203" s="35">
        <v>0</v>
      </c>
      <c r="AV203" s="35">
        <v>100</v>
      </c>
      <c r="AW203" s="35">
        <v>0</v>
      </c>
      <c r="AX203" s="35">
        <v>100</v>
      </c>
    </row>
    <row r="204" spans="1:50" x14ac:dyDescent="0.25">
      <c r="A204">
        <v>96</v>
      </c>
      <c r="B204" s="4">
        <v>0.94713730669162299</v>
      </c>
      <c r="C204" s="4">
        <v>28.261046737152199</v>
      </c>
      <c r="D204" s="4">
        <v>47.885890646016101</v>
      </c>
      <c r="E204" s="4">
        <v>2.7298498426786399E-2</v>
      </c>
      <c r="F204" s="5">
        <v>5.2862693308376098E-2</v>
      </c>
      <c r="G204" s="5">
        <v>0</v>
      </c>
      <c r="H204" s="4">
        <v>5.2464186800367099</v>
      </c>
      <c r="I204" s="4">
        <v>3.69172285194899</v>
      </c>
      <c r="J204" s="4">
        <v>34.717273760760897</v>
      </c>
      <c r="K204" s="4">
        <v>210.090614075605</v>
      </c>
      <c r="L204" s="4">
        <v>15.0628190517424</v>
      </c>
      <c r="M204" s="4">
        <v>19.5938189736627</v>
      </c>
      <c r="N204" s="4">
        <v>85.7916585505439</v>
      </c>
      <c r="O204" s="4">
        <v>73.984501983366698</v>
      </c>
      <c r="P204" s="4">
        <v>285262.204090774</v>
      </c>
      <c r="Q204" s="4">
        <v>265099.50371980597</v>
      </c>
      <c r="R204" s="4">
        <v>777.48058414718002</v>
      </c>
      <c r="S204" s="4">
        <v>0</v>
      </c>
      <c r="T204" s="4">
        <v>0</v>
      </c>
      <c r="U204" s="4">
        <v>1.8733180614728201E-2</v>
      </c>
      <c r="V204" s="4">
        <v>1</v>
      </c>
      <c r="W204" s="4">
        <v>0</v>
      </c>
      <c r="X204" s="4">
        <v>0.76619444473884202</v>
      </c>
      <c r="Y204" s="4">
        <v>0</v>
      </c>
      <c r="Z204" s="5">
        <v>3.93557459393304E-4</v>
      </c>
      <c r="AA204" s="5">
        <v>5.5744886441279405E-4</v>
      </c>
      <c r="AB204" s="10">
        <v>4.0135355441274102E-3</v>
      </c>
      <c r="AC204" s="10">
        <v>2.998124646368E-4</v>
      </c>
      <c r="AD204" s="10">
        <v>4.75983229634456E-2</v>
      </c>
      <c r="AE204" s="4">
        <v>0.120093667509478</v>
      </c>
      <c r="AF204" s="4">
        <v>0.14854476835838101</v>
      </c>
      <c r="AG204" s="4">
        <v>0.69660049824911896</v>
      </c>
      <c r="AH204" s="4">
        <v>0.85633042659728598</v>
      </c>
      <c r="AI204" s="4">
        <v>0.97462641676318995</v>
      </c>
      <c r="AJ204" s="4">
        <v>1</v>
      </c>
      <c r="AK204" s="4">
        <v>1</v>
      </c>
      <c r="AL204" s="4">
        <v>1</v>
      </c>
      <c r="AM204" s="4">
        <v>0</v>
      </c>
      <c r="AN204" s="4">
        <v>0</v>
      </c>
      <c r="AO204" s="4" t="s">
        <v>85</v>
      </c>
      <c r="AP204" s="4" t="s">
        <v>86</v>
      </c>
      <c r="AQ204" s="6">
        <v>109751194.54000001</v>
      </c>
      <c r="AR204" s="4">
        <v>414</v>
      </c>
      <c r="AS204" s="35">
        <v>0</v>
      </c>
      <c r="AT204" s="35">
        <v>0</v>
      </c>
      <c r="AU204" s="35">
        <v>0</v>
      </c>
      <c r="AV204" s="35">
        <v>100</v>
      </c>
      <c r="AW204" s="35">
        <v>0</v>
      </c>
      <c r="AX204" s="35">
        <v>100</v>
      </c>
    </row>
    <row r="205" spans="1:50" x14ac:dyDescent="0.25">
      <c r="B205" s="4"/>
      <c r="C205" s="4"/>
      <c r="D205" s="4"/>
      <c r="E205" s="4"/>
      <c r="F205" s="5"/>
      <c r="G205" s="5"/>
      <c r="H205" s="4"/>
      <c r="I205" s="4"/>
      <c r="J205" s="4"/>
      <c r="K205" s="4"/>
      <c r="L205" s="4"/>
      <c r="M205" s="4"/>
      <c r="N205" s="4"/>
      <c r="O205" s="4"/>
      <c r="P205" s="4"/>
      <c r="Q205" s="4"/>
      <c r="R205" s="4"/>
      <c r="S205" s="4"/>
      <c r="T205" s="4"/>
      <c r="U205" s="4"/>
      <c r="V205" s="4"/>
      <c r="W205" s="4"/>
      <c r="X205" s="4"/>
      <c r="Y205" s="4"/>
      <c r="Z205" s="5"/>
      <c r="AA205" s="5"/>
      <c r="AB205" s="10"/>
      <c r="AC205" s="10"/>
      <c r="AD205" s="10"/>
      <c r="AE205" s="4"/>
      <c r="AF205" s="4"/>
      <c r="AG205" s="4"/>
      <c r="AH205" s="4"/>
      <c r="AI205" s="4"/>
      <c r="AJ205" s="4"/>
      <c r="AK205" s="4"/>
      <c r="AL205" s="4"/>
      <c r="AM205" s="4"/>
      <c r="AN205" s="4"/>
      <c r="AO205" s="4"/>
      <c r="AP205" s="4"/>
      <c r="AQ205" s="6"/>
      <c r="AR205" s="4"/>
      <c r="AS205" s="35"/>
      <c r="AT205" s="35"/>
      <c r="AU205" s="35"/>
      <c r="AV205" s="35"/>
      <c r="AW205" s="35"/>
      <c r="AX205" s="35"/>
    </row>
    <row r="206" spans="1:50" x14ac:dyDescent="0.25">
      <c r="B206" s="4"/>
      <c r="C206" s="4"/>
      <c r="D206" s="4"/>
      <c r="E206" s="4"/>
      <c r="F206" s="5"/>
      <c r="G206" s="5"/>
      <c r="H206" s="4"/>
      <c r="I206" s="4"/>
      <c r="J206" s="4"/>
      <c r="K206" s="4"/>
      <c r="L206" s="4" t="s">
        <v>168</v>
      </c>
      <c r="M206" s="36" t="s">
        <v>169</v>
      </c>
      <c r="N206" s="4"/>
      <c r="O206" s="4"/>
      <c r="P206" s="4"/>
      <c r="Q206" s="4"/>
      <c r="R206" s="4"/>
      <c r="S206" s="4"/>
      <c r="T206" s="4"/>
      <c r="U206" s="4"/>
      <c r="V206" s="4"/>
      <c r="W206" s="4"/>
      <c r="X206" s="4"/>
      <c r="Y206" s="4"/>
      <c r="Z206" s="5"/>
      <c r="AA206" s="5"/>
      <c r="AB206" s="10"/>
      <c r="AC206" s="10"/>
      <c r="AD206" s="10"/>
      <c r="AE206" s="4"/>
      <c r="AF206" s="4"/>
      <c r="AG206" s="4"/>
      <c r="AH206" s="4"/>
      <c r="AI206" s="4"/>
      <c r="AJ206" s="4"/>
      <c r="AK206" s="4"/>
      <c r="AL206" s="4"/>
      <c r="AM206" s="4"/>
      <c r="AN206" s="4"/>
      <c r="AO206" s="4"/>
      <c r="AP206" s="4"/>
      <c r="AQ206" s="6"/>
      <c r="AR206" s="4"/>
      <c r="AS206" s="35"/>
      <c r="AT206" s="35"/>
      <c r="AU206" s="35"/>
      <c r="AV206" s="35"/>
      <c r="AW206" s="35"/>
      <c r="AX206" s="35"/>
    </row>
    <row r="207" spans="1:50" x14ac:dyDescent="0.25">
      <c r="B207" s="4"/>
      <c r="C207" s="4"/>
      <c r="D207" s="4"/>
      <c r="E207" s="4"/>
      <c r="F207" s="5"/>
      <c r="G207" s="5"/>
      <c r="H207" s="4"/>
      <c r="I207" s="4"/>
      <c r="J207" s="4"/>
      <c r="K207" s="4"/>
      <c r="L207" t="s">
        <v>161</v>
      </c>
      <c r="M207" s="4">
        <v>0.89</v>
      </c>
      <c r="N207" s="4"/>
      <c r="O207" s="4"/>
      <c r="P207" s="4"/>
      <c r="Q207" s="4"/>
      <c r="R207" s="4"/>
      <c r="S207" s="4"/>
      <c r="T207" s="4"/>
      <c r="U207" s="4"/>
      <c r="V207" s="4"/>
      <c r="W207" s="4"/>
      <c r="X207" s="4"/>
      <c r="Y207" s="4"/>
      <c r="Z207" s="5"/>
      <c r="AA207" s="5"/>
      <c r="AB207" s="10"/>
      <c r="AC207" s="10"/>
      <c r="AD207" s="10"/>
      <c r="AE207" s="4"/>
      <c r="AF207" s="4"/>
      <c r="AG207" s="4"/>
      <c r="AH207" s="4"/>
      <c r="AI207" s="4"/>
      <c r="AJ207" s="4"/>
      <c r="AK207" s="4"/>
      <c r="AL207" s="4"/>
      <c r="AM207" s="4"/>
      <c r="AN207" s="4"/>
      <c r="AO207" s="4"/>
      <c r="AP207" s="4"/>
      <c r="AQ207" s="6"/>
      <c r="AR207" s="4"/>
      <c r="AS207" s="35"/>
      <c r="AT207" s="35"/>
      <c r="AU207" s="35"/>
      <c r="AV207" s="35"/>
      <c r="AW207" s="35"/>
      <c r="AX207" s="35"/>
    </row>
    <row r="209" spans="1:31" x14ac:dyDescent="0.25">
      <c r="K209" t="s">
        <v>102</v>
      </c>
      <c r="L209" t="s">
        <v>90</v>
      </c>
      <c r="M209" t="s">
        <v>91</v>
      </c>
      <c r="R209" t="s">
        <v>102</v>
      </c>
      <c r="W209" t="s">
        <v>90</v>
      </c>
      <c r="AB209" t="s">
        <v>91</v>
      </c>
    </row>
    <row r="210" spans="1:31" x14ac:dyDescent="0.25">
      <c r="A210" s="4" t="s">
        <v>95</v>
      </c>
      <c r="B210" t="str">
        <f>AQ174</f>
        <v>Balance</v>
      </c>
      <c r="C210" s="2" t="str">
        <f t="shared" ref="C210:C238" si="40">AO174</f>
        <v>groupByColumn</v>
      </c>
      <c r="D210" t="str">
        <f>E174</f>
        <v>PREPAY_SMM1</v>
      </c>
      <c r="E210" t="str">
        <f>F174</f>
        <v>PREPAY_TRACKING_SMM1</v>
      </c>
      <c r="F210" t="s">
        <v>92</v>
      </c>
      <c r="G210" t="str">
        <f>C174</f>
        <v>PREPAY_CPR1</v>
      </c>
      <c r="H210" t="str">
        <f>D174</f>
        <v>PREPAY_TRACKING_CPR1</v>
      </c>
      <c r="K210" t="s">
        <v>93</v>
      </c>
      <c r="L210" t="s">
        <v>93</v>
      </c>
      <c r="M210" t="s">
        <v>93</v>
      </c>
      <c r="N210" t="s">
        <v>100</v>
      </c>
      <c r="O210" t="s">
        <v>101</v>
      </c>
      <c r="P210" t="s">
        <v>92</v>
      </c>
      <c r="R210" t="s">
        <v>96</v>
      </c>
      <c r="T210" t="s">
        <v>94</v>
      </c>
      <c r="U210" t="s">
        <v>99</v>
      </c>
      <c r="W210" t="s">
        <v>96</v>
      </c>
      <c r="X210" t="s">
        <v>103</v>
      </c>
      <c r="Y210" t="s">
        <v>94</v>
      </c>
      <c r="Z210" t="s">
        <v>99</v>
      </c>
      <c r="AB210" t="s">
        <v>96</v>
      </c>
      <c r="AC210" t="s">
        <v>103</v>
      </c>
      <c r="AD210" t="s">
        <v>94</v>
      </c>
      <c r="AE210" t="s">
        <v>99</v>
      </c>
    </row>
    <row r="211" spans="1:31" s="17" customFormat="1" x14ac:dyDescent="0.25">
      <c r="A211" s="15">
        <f t="shared" ref="A211:A238" si="41">K175</f>
        <v>-107.582908254133</v>
      </c>
      <c r="B211" s="22">
        <f t="shared" ref="B211:B238" si="42">AQ175/1000000000</f>
        <v>7.1095018000000005E-4</v>
      </c>
      <c r="C211" s="23" t="str">
        <f t="shared" si="40"/>
        <v>04:-125--100</v>
      </c>
      <c r="D211" s="16">
        <f t="shared" ref="D211:D238" si="43">E175</f>
        <v>0</v>
      </c>
      <c r="E211" s="16">
        <f t="shared" ref="E211:E238" si="44">Z175+AA175+AB175+AC175+AD175</f>
        <v>5.3885187391812667E-3</v>
      </c>
      <c r="F211" s="22">
        <f t="shared" ref="F211:F238" si="45">D211/E211</f>
        <v>0</v>
      </c>
      <c r="G211" s="23">
        <f t="shared" ref="G211:H238" si="46">(1-(1-D211)^12)*100</f>
        <v>0</v>
      </c>
      <c r="H211" s="23">
        <f t="shared" si="46"/>
        <v>6.2779847841043956</v>
      </c>
      <c r="K211" s="15">
        <f t="shared" ref="K211:K212" si="47">VLOOKUP(C211,$C$44:$M$62,9,0)</f>
        <v>1</v>
      </c>
      <c r="L211" s="15">
        <f t="shared" ref="L211:L212" si="48">VLOOKUP(C211,$C$44:$M$62,10,0)</f>
        <v>1</v>
      </c>
      <c r="M211" s="15">
        <f t="shared" ref="M211:M212" si="49">VLOOKUP(C211,$C$44:$M$62,11,0)</f>
        <v>1</v>
      </c>
      <c r="N211" s="16">
        <f>Z175+AA175+AB175*K211+AC175*L211+AD175*M211*$M$207</f>
        <v>5.2546771494749699E-3</v>
      </c>
      <c r="O211" s="23">
        <f t="shared" ref="O211:O238" si="50">100*(1-(1-N211)^12)</f>
        <v>6.1265303696262485</v>
      </c>
      <c r="P211" s="24">
        <f t="shared" ref="P211:P238" si="51">D211/N211</f>
        <v>0</v>
      </c>
      <c r="S211" s="18">
        <f t="shared" ref="S211:S219" si="52">A211</f>
        <v>-107.582908254133</v>
      </c>
      <c r="T211" s="16">
        <f>VLOOKUP(ROUNDDOWN(S211,0),'Spline Pre-Adj'!A:B,2,0)</f>
        <v>1.022147702</v>
      </c>
      <c r="U211" s="16">
        <f t="shared" ref="U211:U219" si="53">T211*K211</f>
        <v>1.022147702</v>
      </c>
      <c r="X211" s="18">
        <f t="shared" ref="X211:X238" si="54">A211</f>
        <v>-107.582908254133</v>
      </c>
      <c r="Y211" s="16">
        <f>VLOOKUP(ROUNDDOWN(X211,0),'Spline Pre-Adj'!F:G,2,0)</f>
        <v>0</v>
      </c>
      <c r="Z211" s="16">
        <f t="shared" ref="Z211:Z238" si="55">Y211*L211</f>
        <v>0</v>
      </c>
      <c r="AC211" s="18">
        <f t="shared" ref="AC211:AC238" si="56">A211</f>
        <v>-107.582908254133</v>
      </c>
      <c r="AD211" s="16">
        <f>VLOOKUP(ROUNDDOWN(AC211,0),'Spline Pre-Adj'!K:L,2,0)</f>
        <v>0</v>
      </c>
      <c r="AE211" s="16">
        <f t="shared" ref="AE211:AE238" si="57">AD211*M211</f>
        <v>0</v>
      </c>
    </row>
    <row r="212" spans="1:31" s="17" customFormat="1" x14ac:dyDescent="0.25">
      <c r="A212" s="15">
        <f t="shared" si="41"/>
        <v>-83.391670432831603</v>
      </c>
      <c r="B212" s="22">
        <f t="shared" si="42"/>
        <v>2.5919470200000002E-3</v>
      </c>
      <c r="C212" s="23" t="str">
        <f t="shared" si="40"/>
        <v>05:-100--75</v>
      </c>
      <c r="D212" s="16">
        <f t="shared" si="43"/>
        <v>2.0536376312162699E-3</v>
      </c>
      <c r="E212" s="16">
        <f t="shared" si="44"/>
        <v>1.1524954026755949E-2</v>
      </c>
      <c r="F212" s="22">
        <f t="shared" si="45"/>
        <v>0.17819052695990051</v>
      </c>
      <c r="G212" s="23">
        <f t="shared" si="46"/>
        <v>2.4367198017628544</v>
      </c>
      <c r="H212" s="23">
        <f t="shared" si="46"/>
        <v>12.98612282725693</v>
      </c>
      <c r="K212" s="15">
        <f t="shared" si="47"/>
        <v>1</v>
      </c>
      <c r="L212" s="15">
        <f t="shared" si="48"/>
        <v>1</v>
      </c>
      <c r="M212" s="15">
        <f t="shared" si="49"/>
        <v>1</v>
      </c>
      <c r="N212" s="16">
        <f t="shared" ref="N212" si="58">Z176+AA176+AB176*K212+AC176*L212+AD176*M212*$M$207</f>
        <v>1.065559945873263E-2</v>
      </c>
      <c r="O212" s="23">
        <f t="shared" si="50"/>
        <v>12.063332906804758</v>
      </c>
      <c r="P212" s="24">
        <f t="shared" si="51"/>
        <v>0.19272849351832977</v>
      </c>
      <c r="S212" s="18">
        <f t="shared" si="52"/>
        <v>-83.391670432831603</v>
      </c>
      <c r="T212" s="16">
        <f>VLOOKUP(ROUNDDOWN(S212,0),'Spline Pre-Adj'!A:B,2,0)</f>
        <v>1.135228248</v>
      </c>
      <c r="U212" s="16">
        <f t="shared" si="53"/>
        <v>1.135228248</v>
      </c>
      <c r="X212" s="18">
        <f t="shared" si="54"/>
        <v>-83.391670432831603</v>
      </c>
      <c r="Y212" s="16">
        <f>VLOOKUP(ROUNDDOWN(X212,0),'Spline Pre-Adj'!F:G,2,0)</f>
        <v>3.1256266951590402E-2</v>
      </c>
      <c r="Z212" s="16">
        <f t="shared" si="55"/>
        <v>3.1256266951590402E-2</v>
      </c>
      <c r="AC212" s="18">
        <f t="shared" si="56"/>
        <v>-83.391670432831603</v>
      </c>
      <c r="AD212" s="16">
        <f>VLOOKUP(ROUNDDOWN(AC212,0),'Spline Pre-Adj'!K:L,2,0)</f>
        <v>0</v>
      </c>
      <c r="AE212" s="16">
        <f t="shared" si="57"/>
        <v>0</v>
      </c>
    </row>
    <row r="213" spans="1:31" x14ac:dyDescent="0.25">
      <c r="A213" s="4">
        <f t="shared" si="41"/>
        <v>-58.2184028779524</v>
      </c>
      <c r="B213" s="3">
        <f t="shared" si="42"/>
        <v>4.0075683819999999E-2</v>
      </c>
      <c r="C213" s="2" t="str">
        <f t="shared" si="40"/>
        <v>06:-75--50</v>
      </c>
      <c r="D213" s="8">
        <f t="shared" si="43"/>
        <v>6.8802670803517303E-3</v>
      </c>
      <c r="E213" s="8">
        <f t="shared" si="44"/>
        <v>5.4199491728054751E-3</v>
      </c>
      <c r="F213" s="3">
        <f t="shared" si="45"/>
        <v>1.2694338749288243</v>
      </c>
      <c r="G213" s="2">
        <f t="shared" si="46"/>
        <v>7.9509448571122965</v>
      </c>
      <c r="H213" s="2">
        <f t="shared" si="46"/>
        <v>6.3135187996606446</v>
      </c>
      <c r="K213" s="14">
        <f t="shared" ref="K213:K238" si="59">IF(ISNA(VLOOKUP(C213,$C$44:$M$62,9,0)),K214, VLOOKUP(C213,$C$44:$M$62,9,0))</f>
        <v>1</v>
      </c>
      <c r="L213" s="14">
        <f>IF(ISNA(VLOOKUP(C213,$C$44:$M$62,10,0)),L214, VLOOKUP(C213,$C$44:$M$62,10,0))</f>
        <v>1</v>
      </c>
      <c r="M213" s="14">
        <f>IF(ISNA(VLOOKUP(C213,$C$44:$M$62,11,0)),M214/5, VLOOKUP(C213,$C$44:$M$62,11,0))</f>
        <v>0.5</v>
      </c>
      <c r="N213" s="40">
        <f t="shared" ref="N213:N214" si="60">Z177+AA177+AB177*K213+AC177*L213+AD176*M212*$M$207</f>
        <v>1.0634836731549347E-2</v>
      </c>
      <c r="O213" s="2">
        <f t="shared" si="50"/>
        <v>12.041184715108388</v>
      </c>
      <c r="P213" s="7">
        <f t="shared" si="51"/>
        <v>0.64695559076527276</v>
      </c>
      <c r="S213" s="9">
        <f t="shared" si="52"/>
        <v>-58.2184028779524</v>
      </c>
      <c r="T213" s="8">
        <f>VLOOKUP(ROUNDDOWN(S213,0),'Spline Pre-Adj'!A:B,2,0)</f>
        <v>1.2740740479999999</v>
      </c>
      <c r="U213" s="8">
        <f t="shared" si="53"/>
        <v>1.2740740479999999</v>
      </c>
      <c r="X213" s="9">
        <f t="shared" si="54"/>
        <v>-58.2184028779524</v>
      </c>
      <c r="Y213" s="8">
        <f>VLOOKUP(ROUNDDOWN(X213,0),'Spline Pre-Adj'!F:G,2,0)</f>
        <v>0.17905591304347801</v>
      </c>
      <c r="Z213" s="8">
        <f t="shared" si="55"/>
        <v>0.17905591304347801</v>
      </c>
      <c r="AC213" s="9">
        <f t="shared" si="56"/>
        <v>-58.2184028779524</v>
      </c>
      <c r="AD213" s="8">
        <f>VLOOKUP(ROUNDDOWN(AC213,0),'Spline Pre-Adj'!K:L,2,0)</f>
        <v>0</v>
      </c>
      <c r="AE213" s="8">
        <f t="shared" si="57"/>
        <v>0</v>
      </c>
    </row>
    <row r="214" spans="1:31" x14ac:dyDescent="0.25">
      <c r="A214" s="4">
        <f t="shared" si="41"/>
        <v>-33.461505855893002</v>
      </c>
      <c r="B214" s="3">
        <f t="shared" si="42"/>
        <v>0.46199836266000005</v>
      </c>
      <c r="C214" s="2" t="str">
        <f t="shared" si="40"/>
        <v>07:-50--25</v>
      </c>
      <c r="D214" s="8">
        <f t="shared" si="43"/>
        <v>4.8586481012334003E-3</v>
      </c>
      <c r="E214" s="8">
        <f t="shared" si="44"/>
        <v>7.2174704364315959E-3</v>
      </c>
      <c r="F214" s="3">
        <f t="shared" si="45"/>
        <v>0.67317880191215229</v>
      </c>
      <c r="G214" s="2">
        <f t="shared" si="46"/>
        <v>5.6770710057886138</v>
      </c>
      <c r="H214" s="2">
        <f t="shared" si="46"/>
        <v>8.3252967109620268</v>
      </c>
      <c r="K214" s="14">
        <f t="shared" si="59"/>
        <v>1</v>
      </c>
      <c r="L214" s="14">
        <f t="shared" ref="L214:L238" si="61">IF(ISNA(VLOOKUP(C214,$C$44:$M$62,10,0)),L215, VLOOKUP(C214,$C$44:$M$62,10,0))</f>
        <v>1</v>
      </c>
      <c r="M214" s="14">
        <f t="shared" ref="M214" si="62">VLOOKUP(C214,$C$44:$M$62,11,0)</f>
        <v>0.5</v>
      </c>
      <c r="N214" s="40">
        <f t="shared" si="60"/>
        <v>4.1641290116606923E-3</v>
      </c>
      <c r="O214" s="2">
        <f t="shared" si="50"/>
        <v>4.8840847536996908</v>
      </c>
      <c r="P214" s="7">
        <f t="shared" si="51"/>
        <v>1.1667861604738627</v>
      </c>
      <c r="S214" s="9">
        <f t="shared" si="52"/>
        <v>-33.461505855893002</v>
      </c>
      <c r="T214" s="8">
        <f>VLOOKUP(ROUNDDOWN(S214,0),'Spline Pre-Adj'!A:B,2,0)</f>
        <v>1.2869999999999999</v>
      </c>
      <c r="U214" s="8">
        <f t="shared" si="53"/>
        <v>1.2869999999999999</v>
      </c>
      <c r="X214" s="9">
        <f t="shared" si="54"/>
        <v>-33.461505855893002</v>
      </c>
      <c r="Y214" s="8">
        <f>VLOOKUP(ROUNDDOWN(X214,0),'Spline Pre-Adj'!F:G,2,0)</f>
        <v>0.30615060763888902</v>
      </c>
      <c r="Z214" s="8">
        <f t="shared" si="55"/>
        <v>0.30615060763888902</v>
      </c>
      <c r="AC214" s="9">
        <f t="shared" si="56"/>
        <v>-33.461505855893002</v>
      </c>
      <c r="AD214" s="8">
        <f>VLOOKUP(ROUNDDOWN(AC214,0),'Spline Pre-Adj'!K:L,2,0)</f>
        <v>0.39387319081357403</v>
      </c>
      <c r="AE214" s="8">
        <f>AD214*M214</f>
        <v>0.19693659540678701</v>
      </c>
    </row>
    <row r="215" spans="1:31" x14ac:dyDescent="0.25">
      <c r="A215" s="4">
        <f t="shared" si="41"/>
        <v>-22.330523605828901</v>
      </c>
      <c r="B215" s="3">
        <f t="shared" si="42"/>
        <v>0.25163734649000002</v>
      </c>
      <c r="C215" s="2" t="str">
        <f t="shared" si="40"/>
        <v>08-1:-25--20</v>
      </c>
      <c r="D215" s="8">
        <f t="shared" si="43"/>
        <v>7.2668131833503596E-3</v>
      </c>
      <c r="E215" s="8">
        <f t="shared" si="44"/>
        <v>9.848538598446966E-3</v>
      </c>
      <c r="F215" s="3">
        <f t="shared" si="45"/>
        <v>0.73785700393114939</v>
      </c>
      <c r="G215" s="2">
        <f t="shared" si="46"/>
        <v>8.3799581727410306</v>
      </c>
      <c r="H215" s="2">
        <f t="shared" si="46"/>
        <v>11.198644803924163</v>
      </c>
      <c r="J215">
        <v>1</v>
      </c>
      <c r="K215" s="14">
        <f t="shared" si="59"/>
        <v>1</v>
      </c>
      <c r="L215" s="14">
        <f t="shared" si="61"/>
        <v>1</v>
      </c>
      <c r="M215" s="14">
        <f>IF(ISNA(VLOOKUP(C215,$C$44:$M$62,11,0)),($M$219-$M$214)*J215/5+$M$214, VLOOKUP(C215,$C$44:$M$62,11,0))</f>
        <v>0.51</v>
      </c>
      <c r="N215" s="40">
        <f>Z179+AA179+AB179*K215+AC179*L215+AD178*M214*$M$207</f>
        <v>5.0184426542290812E-3</v>
      </c>
      <c r="O215" s="2">
        <f t="shared" si="50"/>
        <v>5.8586611219301199</v>
      </c>
      <c r="P215" s="7">
        <f t="shared" si="51"/>
        <v>1.4480215644641388</v>
      </c>
      <c r="S215" s="9">
        <f t="shared" si="52"/>
        <v>-22.330523605828901</v>
      </c>
      <c r="T215" s="8">
        <f>VLOOKUP(ROUNDDOWN(S215,0),'Spline Pre-Adj'!A:B,2,0)</f>
        <v>1.2869999999999999</v>
      </c>
      <c r="U215" s="8">
        <f t="shared" si="53"/>
        <v>1.2869999999999999</v>
      </c>
      <c r="X215" s="9">
        <f t="shared" si="54"/>
        <v>-22.330523605828901</v>
      </c>
      <c r="Y215" s="8">
        <f>VLOOKUP(ROUNDDOWN(X215,0),'Spline Pre-Adj'!F:G,2,0)</f>
        <v>0.38089236111111102</v>
      </c>
      <c r="Z215" s="8">
        <f t="shared" si="55"/>
        <v>0.38089236111111102</v>
      </c>
      <c r="AC215" s="9">
        <f t="shared" si="56"/>
        <v>-22.330523605828901</v>
      </c>
      <c r="AD215" s="8">
        <f>VLOOKUP(ROUNDDOWN(AC215,0),'Spline Pre-Adj'!K:L,2,0)</f>
        <v>0.79645948376475795</v>
      </c>
      <c r="AE215" s="8">
        <f>AD215*M215</f>
        <v>0.40619433672002658</v>
      </c>
    </row>
    <row r="216" spans="1:31" x14ac:dyDescent="0.25">
      <c r="A216" s="4">
        <f t="shared" si="41"/>
        <v>-17.340948323743898</v>
      </c>
      <c r="B216" s="3">
        <f t="shared" si="42"/>
        <v>0.36545469520999996</v>
      </c>
      <c r="C216" s="2" t="str">
        <f t="shared" si="40"/>
        <v>08-2:-20--15</v>
      </c>
      <c r="D216" s="8">
        <f t="shared" si="43"/>
        <v>9.1309634628755198E-3</v>
      </c>
      <c r="E216" s="8">
        <f t="shared" si="44"/>
        <v>1.122682956678913E-2</v>
      </c>
      <c r="F216" s="3">
        <f t="shared" si="45"/>
        <v>0.81331629811914674</v>
      </c>
      <c r="G216" s="2">
        <f t="shared" si="46"/>
        <v>10.423293748869987</v>
      </c>
      <c r="H216" s="2">
        <f t="shared" si="46"/>
        <v>12.670678877919173</v>
      </c>
      <c r="J216">
        <v>2</v>
      </c>
      <c r="K216" s="14">
        <f t="shared" si="59"/>
        <v>1</v>
      </c>
      <c r="L216" s="14">
        <f t="shared" si="61"/>
        <v>1</v>
      </c>
      <c r="M216" s="14">
        <f>IF(ISNA(VLOOKUP(C216,$C$44:$M$62,11,0)),($M$219-$M$214)*J216/5+$M$214, VLOOKUP(C216,$C$44:$M$62,11,0))</f>
        <v>0.52</v>
      </c>
      <c r="N216" s="40">
        <f t="shared" ref="N216:N234" si="63">Z180+AA180+AB180*K216+AC180*L216+AD177*M213*$M$207</f>
        <v>4.1332619147248575E-3</v>
      </c>
      <c r="O216" s="2">
        <f t="shared" si="50"/>
        <v>4.8486999739627112</v>
      </c>
      <c r="P216" s="7">
        <f t="shared" si="51"/>
        <v>2.2091422346951242</v>
      </c>
      <c r="S216" s="9">
        <f t="shared" si="52"/>
        <v>-17.340948323743898</v>
      </c>
      <c r="T216" s="8">
        <f>VLOOKUP(ROUNDDOWN(S216,0),'Spline Pre-Adj'!A:B,2,0)</f>
        <v>1.2869999999999999</v>
      </c>
      <c r="U216" s="8">
        <f t="shared" si="53"/>
        <v>1.2869999999999999</v>
      </c>
      <c r="X216" s="9">
        <f t="shared" si="54"/>
        <v>-17.340948323743898</v>
      </c>
      <c r="Y216" s="8">
        <f>VLOOKUP(ROUNDDOWN(X216,0),'Spline Pre-Adj'!F:G,2,0)</f>
        <v>0.43050424626087003</v>
      </c>
      <c r="Z216" s="8">
        <f t="shared" si="55"/>
        <v>0.43050424626087003</v>
      </c>
      <c r="AC216" s="9">
        <f t="shared" si="56"/>
        <v>-17.340948323743898</v>
      </c>
      <c r="AD216" s="8">
        <f>VLOOKUP(ROUNDDOWN(AC216,0),'Spline Pre-Adj'!K:L,2,0)</f>
        <v>0.95362938111262996</v>
      </c>
      <c r="AE216" s="8">
        <f t="shared" si="57"/>
        <v>0.49588727817856759</v>
      </c>
    </row>
    <row r="217" spans="1:31" x14ac:dyDescent="0.25">
      <c r="A217" s="4">
        <f t="shared" si="41"/>
        <v>-12.3075783504489</v>
      </c>
      <c r="B217" s="3">
        <f t="shared" si="42"/>
        <v>0.59258684690999996</v>
      </c>
      <c r="C217" s="2" t="str">
        <f t="shared" si="40"/>
        <v>08-3:-15--10</v>
      </c>
      <c r="D217" s="8">
        <f t="shared" si="43"/>
        <v>5.2573451535049397E-3</v>
      </c>
      <c r="E217" s="8">
        <f t="shared" si="44"/>
        <v>1.2250183552477395E-2</v>
      </c>
      <c r="F217" s="3">
        <f t="shared" si="45"/>
        <v>0.42916460239011922</v>
      </c>
      <c r="G217" s="2">
        <f t="shared" si="46"/>
        <v>6.1295516587338224</v>
      </c>
      <c r="H217" s="2">
        <f t="shared" si="46"/>
        <v>13.749128539207911</v>
      </c>
      <c r="J217">
        <v>3</v>
      </c>
      <c r="K217" s="14">
        <f t="shared" si="59"/>
        <v>1</v>
      </c>
      <c r="L217" s="14">
        <f t="shared" si="61"/>
        <v>1</v>
      </c>
      <c r="M217" s="14">
        <f>IF(ISNA(VLOOKUP(C217,$C$44:$M$62,11,0)),($M$219-$M$214)*J217/5+$M$214, VLOOKUP(C217,$C$44:$M$62,11,0))</f>
        <v>0.53</v>
      </c>
      <c r="N217" s="40">
        <f t="shared" si="63"/>
        <v>4.9607620713761008E-3</v>
      </c>
      <c r="O217" s="2">
        <f t="shared" si="50"/>
        <v>5.79315005047828</v>
      </c>
      <c r="P217" s="7">
        <f t="shared" si="51"/>
        <v>1.0597857905421713</v>
      </c>
      <c r="S217" s="9">
        <f t="shared" si="52"/>
        <v>-12.3075783504489</v>
      </c>
      <c r="T217" s="8">
        <f>VLOOKUP(ROUNDDOWN(S217,0),'Spline Pre-Adj'!A:B,2,0)</f>
        <v>1.2869999999999999</v>
      </c>
      <c r="U217" s="8">
        <f t="shared" si="53"/>
        <v>1.2869999999999999</v>
      </c>
      <c r="X217" s="9">
        <f t="shared" si="54"/>
        <v>-12.3075783504489</v>
      </c>
      <c r="Y217" s="8">
        <f>VLOOKUP(ROUNDDOWN(X217,0),'Spline Pre-Adj'!F:G,2,0)</f>
        <v>0.48396474713043502</v>
      </c>
      <c r="Z217" s="8">
        <f t="shared" si="55"/>
        <v>0.48396474713043502</v>
      </c>
      <c r="AC217" s="9">
        <f t="shared" si="56"/>
        <v>-12.3075783504489</v>
      </c>
      <c r="AD217" s="8">
        <f>VLOOKUP(ROUNDDOWN(AC217,0),'Spline Pre-Adj'!K:L,2,0)</f>
        <v>1.08142635820954</v>
      </c>
      <c r="AE217" s="8">
        <f t="shared" si="57"/>
        <v>0.57315596985105621</v>
      </c>
    </row>
    <row r="218" spans="1:31" x14ac:dyDescent="0.25">
      <c r="A218" s="4">
        <f t="shared" si="41"/>
        <v>-7.2936691685875399</v>
      </c>
      <c r="B218" s="3">
        <f t="shared" si="42"/>
        <v>0.94387347277</v>
      </c>
      <c r="C218" s="2" t="str">
        <f t="shared" si="40"/>
        <v>08-4:-10--5</v>
      </c>
      <c r="D218" s="8">
        <f t="shared" si="43"/>
        <v>6.0885217157423104E-3</v>
      </c>
      <c r="E218" s="8">
        <f t="shared" si="44"/>
        <v>1.3291836698959045E-2</v>
      </c>
      <c r="F218" s="3">
        <f t="shared" si="45"/>
        <v>0.45806473955695942</v>
      </c>
      <c r="G218" s="2">
        <f t="shared" si="46"/>
        <v>7.0664615021935218</v>
      </c>
      <c r="H218" s="2">
        <f t="shared" si="46"/>
        <v>14.834312811602812</v>
      </c>
      <c r="J218">
        <v>4</v>
      </c>
      <c r="K218" s="14">
        <f t="shared" si="59"/>
        <v>1</v>
      </c>
      <c r="L218" s="14">
        <f t="shared" si="61"/>
        <v>1</v>
      </c>
      <c r="M218" s="14">
        <f>IF(ISNA(VLOOKUP(C218,$C$44:$M$62,11,0)),($M$219-$M$214)*J218/5+$M$214, VLOOKUP(C218,$C$44:$M$62,11,0))</f>
        <v>0.54</v>
      </c>
      <c r="N218" s="40">
        <f t="shared" si="63"/>
        <v>6.1184619209221549E-3</v>
      </c>
      <c r="O218" s="2">
        <f t="shared" si="50"/>
        <v>7.10004986480266</v>
      </c>
      <c r="P218" s="7">
        <f t="shared" si="51"/>
        <v>0.99510657979622896</v>
      </c>
      <c r="S218" s="9">
        <f t="shared" si="52"/>
        <v>-7.2936691685875399</v>
      </c>
      <c r="T218" s="8">
        <f>VLOOKUP(ROUNDDOWN(S218,0),'Spline Pre-Adj'!A:B,2,0)</f>
        <v>1.2869999999999999</v>
      </c>
      <c r="U218" s="8">
        <f t="shared" si="53"/>
        <v>1.2869999999999999</v>
      </c>
      <c r="X218" s="9">
        <f t="shared" si="54"/>
        <v>-7.2936691685875399</v>
      </c>
      <c r="Y218" s="8">
        <f>VLOOKUP(ROUNDDOWN(X218,0),'Spline Pre-Adj'!F:G,2,0)</f>
        <v>0.54485561321739095</v>
      </c>
      <c r="Z218" s="8">
        <f t="shared" si="55"/>
        <v>0.54485561321739095</v>
      </c>
      <c r="AC218" s="9">
        <f t="shared" si="56"/>
        <v>-7.2936691685875399</v>
      </c>
      <c r="AD218" s="8">
        <f>VLOOKUP(ROUNDDOWN(AC218,0),'Spline Pre-Adj'!K:L,2,0)</f>
        <v>1.1993277822989601</v>
      </c>
      <c r="AE218" s="8">
        <f t="shared" si="57"/>
        <v>0.64763700244143851</v>
      </c>
    </row>
    <row r="219" spans="1:31" x14ac:dyDescent="0.25">
      <c r="A219" s="4">
        <f t="shared" si="41"/>
        <v>-2.3690024011631201</v>
      </c>
      <c r="B219" s="3">
        <f t="shared" si="42"/>
        <v>1.42725197902</v>
      </c>
      <c r="C219" s="2" t="str">
        <f t="shared" si="40"/>
        <v>08:-25-0</v>
      </c>
      <c r="D219" s="8">
        <f t="shared" si="43"/>
        <v>7.4844163330891299E-3</v>
      </c>
      <c r="E219" s="8">
        <f t="shared" si="44"/>
        <v>1.4566569453203159E-2</v>
      </c>
      <c r="F219" s="3">
        <f t="shared" si="45"/>
        <v>0.51380775392131339</v>
      </c>
      <c r="G219" s="2">
        <f t="shared" si="46"/>
        <v>8.6206608161297549</v>
      </c>
      <c r="H219" s="2">
        <f t="shared" si="46"/>
        <v>16.145282909137094</v>
      </c>
      <c r="K219" s="14">
        <f t="shared" si="59"/>
        <v>1</v>
      </c>
      <c r="L219" s="14">
        <f t="shared" si="61"/>
        <v>1</v>
      </c>
      <c r="M219" s="14">
        <f>IF(ISNA(VLOOKUP(C219,$C$44:$M$62,11,0)),($M$220-$M$215)*J218/5+$M$215, VLOOKUP(C219,$C$44:$M$62,11,0))</f>
        <v>0.55000000000000004</v>
      </c>
      <c r="N219" s="40">
        <f t="shared" si="63"/>
        <v>6.8091319216991471E-3</v>
      </c>
      <c r="O219" s="2">
        <f t="shared" si="50"/>
        <v>7.8717942275912334</v>
      </c>
      <c r="P219" s="7">
        <f t="shared" si="51"/>
        <v>1.0991733482557455</v>
      </c>
      <c r="S219" s="9">
        <f t="shared" si="52"/>
        <v>-2.3690024011631201</v>
      </c>
      <c r="T219" s="8">
        <f>VLOOKUP(ROUNDDOWN(S219,0),'Spline Pre-Adj'!A:B,2,0)</f>
        <v>1.2869999999999999</v>
      </c>
      <c r="U219" s="8">
        <f t="shared" si="53"/>
        <v>1.2869999999999999</v>
      </c>
      <c r="X219" s="9">
        <f t="shared" si="54"/>
        <v>-2.3690024011631201</v>
      </c>
      <c r="Y219" s="8">
        <f>VLOOKUP(ROUNDDOWN(X219,0),'Spline Pre-Adj'!F:G,2,0)</f>
        <v>0.61797136626086902</v>
      </c>
      <c r="Z219" s="8">
        <f t="shared" si="55"/>
        <v>0.61797136626086902</v>
      </c>
      <c r="AC219" s="9">
        <f t="shared" si="56"/>
        <v>-2.3690024011631201</v>
      </c>
      <c r="AD219" s="8">
        <f>VLOOKUP(ROUNDDOWN(AC219,0),'Spline Pre-Adj'!K:L,2,0)</f>
        <v>1.3122379125033801</v>
      </c>
      <c r="AE219" s="8">
        <f t="shared" si="57"/>
        <v>0.72173085187685915</v>
      </c>
    </row>
    <row r="220" spans="1:31" x14ac:dyDescent="0.25">
      <c r="A220" s="4">
        <f t="shared" si="41"/>
        <v>2.59002435886944</v>
      </c>
      <c r="B220" s="3">
        <f t="shared" si="42"/>
        <v>1.9073757019699999</v>
      </c>
      <c r="C220" s="2" t="str">
        <f t="shared" si="40"/>
        <v>09-1:0-5</v>
      </c>
      <c r="D220" s="8">
        <f t="shared" si="43"/>
        <v>9.9887335408712693E-3</v>
      </c>
      <c r="E220" s="8">
        <f t="shared" si="44"/>
        <v>1.5579188406815828E-2</v>
      </c>
      <c r="F220" s="3">
        <f t="shared" si="45"/>
        <v>0.64115878696872564</v>
      </c>
      <c r="G220" s="2">
        <f t="shared" si="46"/>
        <v>11.349407320487003</v>
      </c>
      <c r="H220" s="2">
        <f t="shared" si="46"/>
        <v>17.173475482044687</v>
      </c>
      <c r="J220">
        <v>1</v>
      </c>
      <c r="K220" s="14">
        <f t="shared" si="59"/>
        <v>1</v>
      </c>
      <c r="L220" s="14">
        <f t="shared" si="61"/>
        <v>1</v>
      </c>
      <c r="M220" s="14">
        <f>IF(ISNA(VLOOKUP(C220,$C$44:$M$62,11,0)),($M$224-$M$219)*J220/5+$M$219, VLOOKUP(C220,$C$44:$M$62,11,0))</f>
        <v>0.60000000000000009</v>
      </c>
      <c r="N220" s="40">
        <f t="shared" si="63"/>
        <v>7.4484777559833595E-3</v>
      </c>
      <c r="O220" s="2">
        <f t="shared" si="50"/>
        <v>8.5809472125998099</v>
      </c>
      <c r="P220" s="7">
        <f t="shared" si="51"/>
        <v>1.3410436156364061</v>
      </c>
      <c r="S220" s="9">
        <f>A220</f>
        <v>2.59002435886944</v>
      </c>
      <c r="T220" s="8">
        <f>VLOOKUP(ROUNDDOWN(S220,0),'Spline Pre-Adj'!A:B,2,0)</f>
        <v>1.2869999999999999</v>
      </c>
      <c r="U220" s="8">
        <f>T220*K220</f>
        <v>1.2869999999999999</v>
      </c>
      <c r="X220" s="9">
        <f t="shared" si="54"/>
        <v>2.59002435886944</v>
      </c>
      <c r="Y220" s="8">
        <f>VLOOKUP(ROUNDDOWN(X220,0),'Spline Pre-Adj'!F:G,2,0)</f>
        <v>0.68848780591304304</v>
      </c>
      <c r="Z220" s="8">
        <f t="shared" si="55"/>
        <v>0.68848780591304304</v>
      </c>
      <c r="AC220" s="9">
        <f t="shared" si="56"/>
        <v>2.59002435886944</v>
      </c>
      <c r="AD220" s="8">
        <f>VLOOKUP(ROUNDDOWN(AC220,0),'Spline Pre-Adj'!K:L,2,0)</f>
        <v>1.4018480364105399</v>
      </c>
      <c r="AE220" s="8">
        <f t="shared" si="57"/>
        <v>0.84110882184632407</v>
      </c>
    </row>
    <row r="221" spans="1:31" x14ac:dyDescent="0.25">
      <c r="A221" s="4">
        <f t="shared" si="41"/>
        <v>7.6405272530034596</v>
      </c>
      <c r="B221" s="3">
        <f t="shared" si="42"/>
        <v>2.6416460005799998</v>
      </c>
      <c r="C221" s="2" t="str">
        <f t="shared" si="40"/>
        <v>09-2:5-10</v>
      </c>
      <c r="D221" s="8">
        <f t="shared" si="43"/>
        <v>7.7648726422118496E-3</v>
      </c>
      <c r="E221" s="8">
        <f t="shared" si="44"/>
        <v>1.6405996056324108E-2</v>
      </c>
      <c r="F221" s="3">
        <f t="shared" si="45"/>
        <v>0.47329480121499129</v>
      </c>
      <c r="G221" s="2">
        <f t="shared" si="46"/>
        <v>8.9300337352935308</v>
      </c>
      <c r="H221" s="2">
        <f t="shared" si="46"/>
        <v>18.004414560687753</v>
      </c>
      <c r="J221">
        <v>2</v>
      </c>
      <c r="K221" s="14">
        <f t="shared" si="59"/>
        <v>1</v>
      </c>
      <c r="L221" s="14">
        <f t="shared" si="61"/>
        <v>1</v>
      </c>
      <c r="M221" s="14">
        <f>IF(ISNA(VLOOKUP(C221,$C$44:$M$62,11,0)),($M$224-$M$219)*J221/5+$M$219, VLOOKUP(C221,$C$44:$M$62,11,0))</f>
        <v>0.65</v>
      </c>
      <c r="N221" s="40">
        <f t="shared" si="63"/>
        <v>8.1250461991188433E-3</v>
      </c>
      <c r="O221" s="2">
        <f t="shared" si="50"/>
        <v>9.3259349024144669</v>
      </c>
      <c r="P221" s="7">
        <f t="shared" si="51"/>
        <v>0.95567119889779162</v>
      </c>
      <c r="X221" s="9">
        <f t="shared" si="54"/>
        <v>7.6405272530034596</v>
      </c>
      <c r="Y221" s="8">
        <f>VLOOKUP(ROUNDDOWN(X221,0),'Spline Pre-Adj'!F:G,2,0)</f>
        <v>0.79418177251202804</v>
      </c>
      <c r="Z221" s="8">
        <f t="shared" si="55"/>
        <v>0.79418177251202804</v>
      </c>
      <c r="AC221" s="9">
        <f t="shared" si="56"/>
        <v>7.6405272530034596</v>
      </c>
      <c r="AD221" s="8">
        <f>VLOOKUP(ROUNDDOWN(AC221,0),'Spline Pre-Adj'!K:L,2,0)</f>
        <v>1.51655790515</v>
      </c>
      <c r="AE221" s="8">
        <f t="shared" si="57"/>
        <v>0.9857626383475</v>
      </c>
    </row>
    <row r="222" spans="1:31" x14ac:dyDescent="0.25">
      <c r="A222" s="4">
        <f t="shared" si="41"/>
        <v>12.6307763154631</v>
      </c>
      <c r="B222" s="3">
        <f t="shared" si="42"/>
        <v>3.6059779399699998</v>
      </c>
      <c r="C222" s="2" t="str">
        <f t="shared" si="40"/>
        <v>09-3:10-15</v>
      </c>
      <c r="D222" s="8">
        <f t="shared" si="43"/>
        <v>1.09324068628528E-2</v>
      </c>
      <c r="E222" s="8">
        <f t="shared" si="44"/>
        <v>1.7577944426658561E-2</v>
      </c>
      <c r="F222" s="3">
        <f t="shared" si="45"/>
        <v>0.62193886824859934</v>
      </c>
      <c r="G222" s="2">
        <f t="shared" si="46"/>
        <v>12.358123248222263</v>
      </c>
      <c r="H222" s="2">
        <f t="shared" si="46"/>
        <v>19.169131184681365</v>
      </c>
      <c r="J222">
        <v>3</v>
      </c>
      <c r="K222" s="14">
        <f t="shared" si="59"/>
        <v>1</v>
      </c>
      <c r="L222" s="14">
        <f t="shared" si="61"/>
        <v>1</v>
      </c>
      <c r="M222" s="14">
        <f>IF(ISNA(VLOOKUP(C222,$C$44:$M$62,11,0)),($M$224-$M$219)*J222/5+$M$219, VLOOKUP(C222,$C$44:$M$62,11,0))</f>
        <v>0.70000000000000007</v>
      </c>
      <c r="N222" s="40">
        <f t="shared" si="63"/>
        <v>8.8609836372402009E-3</v>
      </c>
      <c r="O222" s="2">
        <f t="shared" si="50"/>
        <v>10.12997331710338</v>
      </c>
      <c r="P222" s="7">
        <f t="shared" si="51"/>
        <v>1.2337689934226934</v>
      </c>
      <c r="X222" s="9">
        <f t="shared" si="54"/>
        <v>12.6307763154631</v>
      </c>
      <c r="Y222" s="8">
        <f>VLOOKUP(ROUNDDOWN(X222,0),'Spline Pre-Adj'!F:G,2,0)</f>
        <v>0.91120038717590501</v>
      </c>
      <c r="Z222" s="8">
        <f t="shared" si="55"/>
        <v>0.91120038717590501</v>
      </c>
      <c r="AC222" s="9">
        <f t="shared" si="56"/>
        <v>12.6307763154631</v>
      </c>
      <c r="AD222" s="8">
        <f>VLOOKUP(ROUNDDOWN(AC222,0),'Spline Pre-Adj'!K:L,2,0)</f>
        <v>1.6382587772578501</v>
      </c>
      <c r="AE222" s="8">
        <f t="shared" si="57"/>
        <v>1.1467811440804951</v>
      </c>
    </row>
    <row r="223" spans="1:31" x14ac:dyDescent="0.25">
      <c r="A223" s="4">
        <f t="shared" si="41"/>
        <v>17.622381253042899</v>
      </c>
      <c r="B223" s="3">
        <f t="shared" si="42"/>
        <v>4.9576649471099996</v>
      </c>
      <c r="C223" s="2" t="str">
        <f t="shared" si="40"/>
        <v>09-4:15-20</v>
      </c>
      <c r="D223" s="8">
        <f t="shared" si="43"/>
        <v>1.0233013498787901E-2</v>
      </c>
      <c r="E223" s="8">
        <f t="shared" si="44"/>
        <v>1.880846747823307E-2</v>
      </c>
      <c r="F223" s="3">
        <f t="shared" si="45"/>
        <v>0.54406418335946338</v>
      </c>
      <c r="G223" s="2">
        <f t="shared" si="46"/>
        <v>11.611540077245241</v>
      </c>
      <c r="H223" s="2">
        <f t="shared" si="46"/>
        <v>20.375723320377681</v>
      </c>
      <c r="J223">
        <v>4</v>
      </c>
      <c r="K223" s="14">
        <f t="shared" si="59"/>
        <v>1</v>
      </c>
      <c r="L223" s="14">
        <f t="shared" si="61"/>
        <v>1</v>
      </c>
      <c r="M223" s="14">
        <f>IF(ISNA(VLOOKUP(C223,$C$44:$M$62,11,0)),($M$224-$M$219)*J223/5+$M$219, VLOOKUP(C223,$C$44:$M$62,11,0))</f>
        <v>0.75</v>
      </c>
      <c r="N223" s="40">
        <f t="shared" si="63"/>
        <v>9.9022162323551387E-3</v>
      </c>
      <c r="O223" s="2">
        <f t="shared" si="50"/>
        <v>11.256396279379766</v>
      </c>
      <c r="P223" s="7">
        <f t="shared" si="51"/>
        <v>1.0334063868805343</v>
      </c>
      <c r="X223" s="9">
        <f t="shared" si="54"/>
        <v>17.622381253042899</v>
      </c>
      <c r="Y223" s="8">
        <f>VLOOKUP(ROUNDDOWN(X223,0),'Spline Pre-Adj'!F:G,2,0)</f>
        <v>1.0442240375289999</v>
      </c>
      <c r="Z223" s="8">
        <f t="shared" si="55"/>
        <v>1.0442240375289999</v>
      </c>
      <c r="AC223" s="9">
        <f t="shared" si="56"/>
        <v>17.622381253042899</v>
      </c>
      <c r="AD223" s="8">
        <f>VLOOKUP(ROUNDDOWN(AC223,0),'Spline Pre-Adj'!K:L,2,0)</f>
        <v>1.77123004461028</v>
      </c>
      <c r="AE223" s="8">
        <f t="shared" si="57"/>
        <v>1.32842253345771</v>
      </c>
    </row>
    <row r="224" spans="1:31" x14ac:dyDescent="0.25">
      <c r="A224" s="4">
        <f t="shared" si="41"/>
        <v>22.560662303897001</v>
      </c>
      <c r="B224" s="3">
        <f t="shared" si="42"/>
        <v>6.4084058070000003</v>
      </c>
      <c r="C224" s="2" t="str">
        <f t="shared" si="40"/>
        <v>09:0-25</v>
      </c>
      <c r="D224" s="8">
        <f t="shared" si="43"/>
        <v>1.17905407112762E-2</v>
      </c>
      <c r="E224" s="8">
        <f t="shared" si="44"/>
        <v>2.0427545270980521E-2</v>
      </c>
      <c r="F224" s="3">
        <f t="shared" si="45"/>
        <v>0.57718832854703817</v>
      </c>
      <c r="G224" s="2">
        <f t="shared" si="46"/>
        <v>13.266258665496222</v>
      </c>
      <c r="H224" s="2">
        <f t="shared" si="46"/>
        <v>21.938161986626202</v>
      </c>
      <c r="K224" s="14">
        <f t="shared" si="59"/>
        <v>1</v>
      </c>
      <c r="L224" s="14">
        <f t="shared" si="61"/>
        <v>1</v>
      </c>
      <c r="M224" s="14">
        <f>IF(ISNA(VLOOKUP(C224,$C$44:$M$62,11,0)),($M$225-$M$220)*J223/5+$M$220, VLOOKUP(C224,$C$44:$M$62,11,0))</f>
        <v>0.8</v>
      </c>
      <c r="N224" s="40">
        <f t="shared" si="63"/>
        <v>1.0955412392329644E-2</v>
      </c>
      <c r="O224" s="2">
        <f t="shared" si="50"/>
        <v>12.382582525341235</v>
      </c>
      <c r="P224" s="7">
        <f t="shared" si="51"/>
        <v>1.0762297473649887</v>
      </c>
      <c r="X224" s="9">
        <f t="shared" si="54"/>
        <v>22.560662303897001</v>
      </c>
      <c r="Y224" s="8">
        <f>VLOOKUP(ROUNDDOWN(X224,0),'Spline Pre-Adj'!F:G,2,0)</f>
        <v>1.20153726214034</v>
      </c>
      <c r="Z224" s="8">
        <f t="shared" si="55"/>
        <v>1.20153726214034</v>
      </c>
      <c r="AC224" s="9">
        <f t="shared" si="56"/>
        <v>22.560662303897001</v>
      </c>
      <c r="AD224" s="8">
        <f>VLOOKUP(ROUNDDOWN(AC224,0),'Spline Pre-Adj'!K:L,2,0)</f>
        <v>1.91883456513696</v>
      </c>
      <c r="AE224" s="8">
        <f t="shared" si="57"/>
        <v>1.5350676521095681</v>
      </c>
    </row>
    <row r="225" spans="1:31" s="17" customFormat="1" x14ac:dyDescent="0.25">
      <c r="A225" s="4">
        <f t="shared" si="41"/>
        <v>27.5693575745095</v>
      </c>
      <c r="B225" s="3">
        <f t="shared" si="42"/>
        <v>7.5723570576499997</v>
      </c>
      <c r="C225" s="2" t="str">
        <f t="shared" si="40"/>
        <v>10-1:25-30</v>
      </c>
      <c r="D225" s="8">
        <f t="shared" si="43"/>
        <v>1.32088609042242E-2</v>
      </c>
      <c r="E225" s="8">
        <f t="shared" si="44"/>
        <v>2.1966441026988678E-2</v>
      </c>
      <c r="F225" s="3">
        <f t="shared" si="45"/>
        <v>0.60132002667138329</v>
      </c>
      <c r="G225" s="2">
        <f t="shared" si="46"/>
        <v>14.748330428502598</v>
      </c>
      <c r="H225" s="2">
        <f t="shared" si="46"/>
        <v>23.397122746612254</v>
      </c>
      <c r="I225"/>
      <c r="J225">
        <v>1</v>
      </c>
      <c r="K225" s="14">
        <f t="shared" si="59"/>
        <v>1</v>
      </c>
      <c r="L225" s="14">
        <f t="shared" si="61"/>
        <v>1</v>
      </c>
      <c r="M225" s="14">
        <f>IF(ISNA(VLOOKUP(C225,$C$44:$M$62,11,0)),($M$229-$M$224)*J225/5+$M$224, VLOOKUP(C225,$C$44:$M$62,11,0))</f>
        <v>0.85000000000000009</v>
      </c>
      <c r="N225" s="40">
        <f t="shared" si="63"/>
        <v>1.2308917769989394E-2</v>
      </c>
      <c r="O225" s="2">
        <f t="shared" si="50"/>
        <v>13.810652875691243</v>
      </c>
      <c r="P225" s="7">
        <f t="shared" si="51"/>
        <v>1.0731130998721086</v>
      </c>
      <c r="Q225"/>
      <c r="R225"/>
      <c r="S225"/>
      <c r="T225"/>
      <c r="U225"/>
      <c r="V225"/>
      <c r="W225"/>
      <c r="X225" s="9">
        <f t="shared" si="54"/>
        <v>27.5693575745095</v>
      </c>
      <c r="Y225" s="8">
        <f>VLOOKUP(ROUNDDOWN(X225,0),'Spline Pre-Adj'!F:G,2,0)</f>
        <v>1.39142459957894</v>
      </c>
      <c r="Z225" s="8">
        <f t="shared" si="55"/>
        <v>1.39142459957894</v>
      </c>
      <c r="AA225"/>
      <c r="AB225"/>
      <c r="AC225" s="9">
        <f t="shared" si="56"/>
        <v>27.5693575745095</v>
      </c>
      <c r="AD225" s="8">
        <f>VLOOKUP(ROUNDDOWN(AC225,0),'Spline Pre-Adj'!K:L,2,0)</f>
        <v>2.0788177485891102</v>
      </c>
      <c r="AE225" s="8">
        <f t="shared" si="57"/>
        <v>1.7669950863007438</v>
      </c>
    </row>
    <row r="226" spans="1:31" s="17" customFormat="1" x14ac:dyDescent="0.25">
      <c r="A226" s="4">
        <f t="shared" si="41"/>
        <v>32.521652477581597</v>
      </c>
      <c r="B226" s="3">
        <f t="shared" si="42"/>
        <v>8.1466656607499992</v>
      </c>
      <c r="C226" s="2" t="str">
        <f t="shared" si="40"/>
        <v>10-2:30-35</v>
      </c>
      <c r="D226" s="8">
        <f t="shared" si="43"/>
        <v>1.46823739871639E-2</v>
      </c>
      <c r="E226" s="8">
        <f t="shared" si="44"/>
        <v>2.3717903526467667E-2</v>
      </c>
      <c r="F226" s="3">
        <f t="shared" si="45"/>
        <v>0.61904181247635603</v>
      </c>
      <c r="G226" s="2">
        <f t="shared" si="46"/>
        <v>16.263458105646599</v>
      </c>
      <c r="H226" s="2">
        <f t="shared" si="46"/>
        <v>25.027170596465474</v>
      </c>
      <c r="I226"/>
      <c r="J226">
        <v>2</v>
      </c>
      <c r="K226" s="14">
        <f t="shared" si="59"/>
        <v>1</v>
      </c>
      <c r="L226" s="14">
        <f t="shared" si="61"/>
        <v>1</v>
      </c>
      <c r="M226" s="14">
        <f>IF(ISNA(VLOOKUP(C226,$C$44:$M$62,11,0)),($M$229-$M$224)*J226/5+$M$224, VLOOKUP(C226,$C$44:$M$62,11,0))</f>
        <v>0.9</v>
      </c>
      <c r="N226" s="40">
        <f t="shared" si="63"/>
        <v>1.3815376435476201E-2</v>
      </c>
      <c r="O226" s="2">
        <f t="shared" si="50"/>
        <v>15.374992231668994</v>
      </c>
      <c r="P226" s="7">
        <f t="shared" si="51"/>
        <v>1.0627559846622314</v>
      </c>
      <c r="Q226"/>
      <c r="R226"/>
      <c r="S226"/>
      <c r="T226"/>
      <c r="U226"/>
      <c r="V226"/>
      <c r="W226"/>
      <c r="X226" s="9">
        <f t="shared" si="54"/>
        <v>32.521652477581597</v>
      </c>
      <c r="Y226" s="8">
        <f>VLOOKUP(ROUNDDOWN(X226,0),'Spline Pre-Adj'!F:G,2,0)</f>
        <v>1.62333231153945</v>
      </c>
      <c r="Z226" s="8">
        <f t="shared" si="55"/>
        <v>1.62333231153945</v>
      </c>
      <c r="AA226"/>
      <c r="AB226"/>
      <c r="AC226" s="9">
        <f t="shared" si="56"/>
        <v>32.521652477581597</v>
      </c>
      <c r="AD226" s="8">
        <f>VLOOKUP(ROUNDDOWN(AC226,0),'Spline Pre-Adj'!K:L,2,0)</f>
        <v>2.2487416798578299</v>
      </c>
      <c r="AE226" s="8">
        <f t="shared" si="57"/>
        <v>2.0238675118720471</v>
      </c>
    </row>
    <row r="227" spans="1:31" s="17" customFormat="1" x14ac:dyDescent="0.25">
      <c r="A227" s="4">
        <f t="shared" si="41"/>
        <v>37.529892332128099</v>
      </c>
      <c r="B227" s="3">
        <f t="shared" si="42"/>
        <v>8.4937133912700009</v>
      </c>
      <c r="C227" s="2" t="str">
        <f t="shared" si="40"/>
        <v>10-3:35-40</v>
      </c>
      <c r="D227" s="8">
        <f t="shared" si="43"/>
        <v>1.5917083182671599E-2</v>
      </c>
      <c r="E227" s="8">
        <f t="shared" si="44"/>
        <v>2.528276425698528E-2</v>
      </c>
      <c r="F227" s="3">
        <f t="shared" si="45"/>
        <v>0.62956261510344658</v>
      </c>
      <c r="G227" s="2">
        <f t="shared" si="46"/>
        <v>17.51398688830248</v>
      </c>
      <c r="H227" s="2">
        <f t="shared" si="46"/>
        <v>26.456592512491007</v>
      </c>
      <c r="I227"/>
      <c r="J227">
        <v>3</v>
      </c>
      <c r="K227" s="14">
        <f t="shared" si="59"/>
        <v>1</v>
      </c>
      <c r="L227" s="14">
        <f t="shared" si="61"/>
        <v>1</v>
      </c>
      <c r="M227" s="14">
        <f>IF(ISNA(VLOOKUP(C227,$C$44:$M$62,11,0)),($M$229-$M$224)*J227/5+$M$224, VLOOKUP(C227,$C$44:$M$62,11,0))</f>
        <v>0.95000000000000007</v>
      </c>
      <c r="N227" s="40">
        <f t="shared" si="63"/>
        <v>1.5707765664370925E-2</v>
      </c>
      <c r="O227" s="2">
        <f t="shared" si="50"/>
        <v>17.303200009508323</v>
      </c>
      <c r="P227" s="7">
        <f t="shared" si="51"/>
        <v>1.0133257347208493</v>
      </c>
      <c r="Q227"/>
      <c r="R227"/>
      <c r="S227"/>
      <c r="T227"/>
      <c r="U227"/>
      <c r="V227"/>
      <c r="W227"/>
      <c r="X227" s="9">
        <f t="shared" si="54"/>
        <v>37.529892332128099</v>
      </c>
      <c r="Y227" s="8">
        <f>VLOOKUP(ROUNDDOWN(X227,0),'Spline Pre-Adj'!F:G,2,0)</f>
        <v>1.89537379409471</v>
      </c>
      <c r="Z227" s="8">
        <f t="shared" si="55"/>
        <v>1.89537379409471</v>
      </c>
      <c r="AA227"/>
      <c r="AB227"/>
      <c r="AC227" s="9">
        <f t="shared" si="56"/>
        <v>37.529892332128099</v>
      </c>
      <c r="AD227" s="8">
        <f>VLOOKUP(ROUNDDOWN(AC227,0),'Spline Pre-Adj'!K:L,2,0)</f>
        <v>2.4264029166777901</v>
      </c>
      <c r="AE227" s="8">
        <f t="shared" si="57"/>
        <v>2.3050827708439008</v>
      </c>
    </row>
    <row r="228" spans="1:31" s="17" customFormat="1" x14ac:dyDescent="0.25">
      <c r="A228" s="4">
        <f t="shared" si="41"/>
        <v>42.500046610637099</v>
      </c>
      <c r="B228" s="3">
        <f t="shared" si="42"/>
        <v>9.0439406711100006</v>
      </c>
      <c r="C228" s="2" t="str">
        <f t="shared" si="40"/>
        <v>10-4:40-45</v>
      </c>
      <c r="D228" s="8">
        <f t="shared" si="43"/>
        <v>1.76283117670561E-2</v>
      </c>
      <c r="E228" s="8">
        <f t="shared" si="44"/>
        <v>2.6660589297325885E-2</v>
      </c>
      <c r="F228" s="3">
        <f t="shared" si="45"/>
        <v>0.66121238245938763</v>
      </c>
      <c r="G228" s="2">
        <f t="shared" si="46"/>
        <v>19.218846128225152</v>
      </c>
      <c r="H228" s="2">
        <f t="shared" si="46"/>
        <v>27.694438874601591</v>
      </c>
      <c r="I228"/>
      <c r="J228">
        <v>4</v>
      </c>
      <c r="K228" s="14">
        <f t="shared" si="59"/>
        <v>0</v>
      </c>
      <c r="L228" s="14">
        <f t="shared" si="61"/>
        <v>0</v>
      </c>
      <c r="M228" s="14">
        <f>IF(ISNA(VLOOKUP(C228,$C$44:$M$62,11,0)),($M$229-$M$224)*J228/5+$M$224, VLOOKUP(C228,$C$44:$M$62,11,0))</f>
        <v>0.29600000000000004</v>
      </c>
      <c r="N228" s="40">
        <f t="shared" si="63"/>
        <v>1.4512271347317749E-2</v>
      </c>
      <c r="O228" s="2">
        <f t="shared" si="50"/>
        <v>16.089820624975694</v>
      </c>
      <c r="P228" s="7">
        <f t="shared" si="51"/>
        <v>1.2147176238069912</v>
      </c>
      <c r="Q228"/>
      <c r="R228"/>
      <c r="S228"/>
      <c r="T228"/>
      <c r="U228"/>
      <c r="V228"/>
      <c r="W228"/>
      <c r="X228" s="9">
        <f t="shared" si="54"/>
        <v>42.500046610637099</v>
      </c>
      <c r="Y228" s="8">
        <f>VLOOKUP(ROUNDDOWN(X228,0),'Spline Pre-Adj'!F:G,2,0)</f>
        <v>2.1927887580772198</v>
      </c>
      <c r="Z228" s="8">
        <f t="shared" si="55"/>
        <v>0</v>
      </c>
      <c r="AA228"/>
      <c r="AB228"/>
      <c r="AC228" s="9">
        <f t="shared" si="56"/>
        <v>42.500046610637099</v>
      </c>
      <c r="AD228" s="8">
        <f>VLOOKUP(ROUNDDOWN(AC228,0),'Spline Pre-Adj'!K:L,2,0)</f>
        <v>2.6095980167836599</v>
      </c>
      <c r="AE228" s="8">
        <f t="shared" si="57"/>
        <v>0.77244101296796341</v>
      </c>
    </row>
    <row r="229" spans="1:31" s="17" customFormat="1" x14ac:dyDescent="0.25">
      <c r="A229" s="4">
        <f t="shared" si="41"/>
        <v>47.5599904408217</v>
      </c>
      <c r="B229" s="3">
        <f t="shared" si="42"/>
        <v>9.8485736136700002</v>
      </c>
      <c r="C229" s="2" t="str">
        <f t="shared" si="40"/>
        <v>10:25-50</v>
      </c>
      <c r="D229" s="8">
        <f t="shared" si="43"/>
        <v>1.8418498717442899E-2</v>
      </c>
      <c r="E229" s="8">
        <f t="shared" si="44"/>
        <v>2.8297374457413864E-2</v>
      </c>
      <c r="F229" s="3">
        <f t="shared" si="45"/>
        <v>0.65089072999199338</v>
      </c>
      <c r="G229" s="2">
        <f t="shared" si="46"/>
        <v>19.995137734802981</v>
      </c>
      <c r="H229" s="2">
        <f t="shared" si="46"/>
        <v>29.140103386118643</v>
      </c>
      <c r="I229"/>
      <c r="J229"/>
      <c r="K229" s="14">
        <f t="shared" si="59"/>
        <v>0</v>
      </c>
      <c r="L229" s="14">
        <f t="shared" si="61"/>
        <v>0</v>
      </c>
      <c r="M229" s="14">
        <f>IF(ISNA(VLOOKUP(C229,$C$44:$M$62,11,0)),($M$230-$M$225)*J228/5+$M$225, VLOOKUP(C229,$C$44:$M$62,11,0))</f>
        <v>0.17000000000000004</v>
      </c>
      <c r="N229" s="40">
        <f t="shared" si="63"/>
        <v>1.6698929174230853E-2</v>
      </c>
      <c r="O229" s="2">
        <f t="shared" si="50"/>
        <v>18.296973293090659</v>
      </c>
      <c r="P229" s="7">
        <f t="shared" si="51"/>
        <v>1.1029748390013905</v>
      </c>
      <c r="Q229"/>
      <c r="R229"/>
      <c r="S229"/>
      <c r="T229"/>
      <c r="U229"/>
      <c r="V229"/>
      <c r="W229"/>
      <c r="X229" s="9">
        <f t="shared" si="54"/>
        <v>47.5599904408217</v>
      </c>
      <c r="Y229" s="8">
        <f>VLOOKUP(ROUNDDOWN(X229,0),'Spline Pre-Adj'!F:G,2,0)</f>
        <v>2.5005891560507401</v>
      </c>
      <c r="Z229" s="8">
        <f t="shared" si="55"/>
        <v>0</v>
      </c>
      <c r="AA229"/>
      <c r="AB229"/>
      <c r="AC229" s="9">
        <f t="shared" si="56"/>
        <v>47.5599904408217</v>
      </c>
      <c r="AD229" s="8">
        <f>VLOOKUP(ROUNDDOWN(AC229,0),'Spline Pre-Adj'!K:L,2,0)</f>
        <v>2.7961235379101401</v>
      </c>
      <c r="AE229" s="8">
        <f t="shared" si="57"/>
        <v>0.47534100144472391</v>
      </c>
    </row>
    <row r="230" spans="1:31" s="17" customFormat="1" x14ac:dyDescent="0.25">
      <c r="A230" s="4">
        <f t="shared" si="41"/>
        <v>52.556852645500399</v>
      </c>
      <c r="B230" s="3">
        <f t="shared" si="42"/>
        <v>10.19300895023</v>
      </c>
      <c r="C230" s="2" t="str">
        <f t="shared" si="40"/>
        <v>11-1:50-55</v>
      </c>
      <c r="D230" s="8">
        <f t="shared" si="43"/>
        <v>2.0733393288809202E-2</v>
      </c>
      <c r="E230" s="8">
        <f t="shared" si="44"/>
        <v>2.9732266458422051E-2</v>
      </c>
      <c r="F230" s="3">
        <f t="shared" si="45"/>
        <v>0.69733645491853169</v>
      </c>
      <c r="G230" s="2">
        <f t="shared" si="46"/>
        <v>22.230135510407312</v>
      </c>
      <c r="H230" s="2">
        <f t="shared" si="46"/>
        <v>30.385602493158814</v>
      </c>
      <c r="I230"/>
      <c r="J230">
        <v>1</v>
      </c>
      <c r="K230" s="14">
        <f t="shared" si="59"/>
        <v>0</v>
      </c>
      <c r="L230" s="14">
        <f t="shared" si="61"/>
        <v>0</v>
      </c>
      <c r="M230" s="14">
        <f t="shared" ref="M230:M238" si="64">IF(ISNA(VLOOKUP(C230,$C$44:$M$62,11,0)),M231, VLOOKUP(C230,$C$44:$M$62,11,0))</f>
        <v>0</v>
      </c>
      <c r="N230" s="40">
        <f t="shared" si="63"/>
        <v>1.8858371889069841E-2</v>
      </c>
      <c r="O230" s="2">
        <f t="shared" si="50"/>
        <v>20.424306999886653</v>
      </c>
      <c r="P230" s="7">
        <f t="shared" si="51"/>
        <v>1.0994264728031007</v>
      </c>
      <c r="Q230"/>
      <c r="R230"/>
      <c r="S230"/>
      <c r="T230"/>
      <c r="U230"/>
      <c r="V230"/>
      <c r="W230"/>
      <c r="X230" s="9">
        <f t="shared" si="54"/>
        <v>52.556852645500399</v>
      </c>
      <c r="Y230" s="8">
        <f>VLOOKUP(ROUNDDOWN(X230,0),'Spline Pre-Adj'!F:G,2,0)</f>
        <v>2.8037869405790499</v>
      </c>
      <c r="Z230" s="8">
        <f t="shared" si="55"/>
        <v>0</v>
      </c>
      <c r="AA230"/>
      <c r="AB230"/>
      <c r="AC230" s="9">
        <f t="shared" si="56"/>
        <v>52.556852645500399</v>
      </c>
      <c r="AD230" s="8">
        <f>VLOOKUP(ROUNDDOWN(AC230,0),'Spline Pre-Adj'!K:L,2,0)</f>
        <v>2.9837760377918898</v>
      </c>
      <c r="AE230" s="8">
        <f t="shared" si="57"/>
        <v>0</v>
      </c>
    </row>
    <row r="231" spans="1:31" s="17" customFormat="1" x14ac:dyDescent="0.25">
      <c r="A231" s="4">
        <f t="shared" si="41"/>
        <v>57.503638390357402</v>
      </c>
      <c r="B231" s="3">
        <f t="shared" si="42"/>
        <v>10.39425162775</v>
      </c>
      <c r="C231" s="2" t="str">
        <f t="shared" si="40"/>
        <v>11-2:55-60</v>
      </c>
      <c r="D231" s="8">
        <f t="shared" si="43"/>
        <v>2.17551479150901E-2</v>
      </c>
      <c r="E231" s="8">
        <f t="shared" si="44"/>
        <v>3.1219482296232694E-2</v>
      </c>
      <c r="F231" s="3">
        <f t="shared" si="45"/>
        <v>0.69684524902308609</v>
      </c>
      <c r="G231" s="2">
        <f t="shared" si="46"/>
        <v>23.19829636442585</v>
      </c>
      <c r="H231" s="2">
        <f t="shared" si="46"/>
        <v>31.655313128446494</v>
      </c>
      <c r="I231"/>
      <c r="J231">
        <v>2</v>
      </c>
      <c r="K231" s="14">
        <f t="shared" si="59"/>
        <v>0</v>
      </c>
      <c r="L231" s="14">
        <f t="shared" si="61"/>
        <v>0</v>
      </c>
      <c r="M231" s="14">
        <f t="shared" si="64"/>
        <v>0</v>
      </c>
      <c r="N231" s="40">
        <f t="shared" si="63"/>
        <v>6.5591001626627938E-3</v>
      </c>
      <c r="O231" s="2">
        <f t="shared" si="50"/>
        <v>7.5930937382075232</v>
      </c>
      <c r="P231" s="7">
        <f t="shared" si="51"/>
        <v>3.3167884885993533</v>
      </c>
      <c r="Q231"/>
      <c r="R231"/>
      <c r="S231"/>
      <c r="T231"/>
      <c r="U231"/>
      <c r="V231"/>
      <c r="W231"/>
      <c r="X231" s="9">
        <f t="shared" si="54"/>
        <v>57.503638390357402</v>
      </c>
      <c r="Y231" s="8">
        <f>VLOOKUP(ROUNDDOWN(X231,0),'Spline Pre-Adj'!F:G,2,0)</f>
        <v>3.0926159826030801</v>
      </c>
      <c r="Z231" s="8">
        <f t="shared" si="55"/>
        <v>0</v>
      </c>
      <c r="AA231"/>
      <c r="AB231"/>
      <c r="AC231" s="9">
        <f t="shared" si="56"/>
        <v>57.503638390357402</v>
      </c>
      <c r="AD231" s="8">
        <f>VLOOKUP(ROUNDDOWN(AC231,0),'Spline Pre-Adj'!K:L,2,0)</f>
        <v>3.1703520741635902</v>
      </c>
      <c r="AE231" s="8">
        <f t="shared" si="57"/>
        <v>0</v>
      </c>
    </row>
    <row r="232" spans="1:31" s="17" customFormat="1" x14ac:dyDescent="0.25">
      <c r="A232" s="4">
        <f t="shared" si="41"/>
        <v>62.498118249727199</v>
      </c>
      <c r="B232" s="3">
        <f t="shared" si="42"/>
        <v>11.04399869205</v>
      </c>
      <c r="C232" s="2" t="str">
        <f t="shared" si="40"/>
        <v>11-3:60-65</v>
      </c>
      <c r="D232" s="8">
        <f t="shared" si="43"/>
        <v>2.4836928174829399E-2</v>
      </c>
      <c r="E232" s="8">
        <f t="shared" si="44"/>
        <v>3.2691382602626051E-2</v>
      </c>
      <c r="F232" s="3">
        <f t="shared" si="45"/>
        <v>0.75973930123207101</v>
      </c>
      <c r="G232" s="2">
        <f t="shared" si="46"/>
        <v>26.051910026550363</v>
      </c>
      <c r="H232" s="2">
        <f t="shared" si="46"/>
        <v>32.891013328833793</v>
      </c>
      <c r="I232"/>
      <c r="J232">
        <v>3</v>
      </c>
      <c r="K232" s="14">
        <f t="shared" si="59"/>
        <v>0</v>
      </c>
      <c r="L232" s="14">
        <f t="shared" si="61"/>
        <v>0</v>
      </c>
      <c r="M232" s="14">
        <f t="shared" si="64"/>
        <v>0</v>
      </c>
      <c r="N232" s="40">
        <f t="shared" si="63"/>
        <v>4.2198654398071661E-3</v>
      </c>
      <c r="O232" s="2">
        <f t="shared" si="50"/>
        <v>4.9479481659700619</v>
      </c>
      <c r="P232" s="7">
        <f t="shared" si="51"/>
        <v>5.8857156772194053</v>
      </c>
      <c r="Q232"/>
      <c r="R232"/>
      <c r="S232"/>
      <c r="T232"/>
      <c r="U232"/>
      <c r="V232"/>
      <c r="W232"/>
      <c r="X232" s="9">
        <f t="shared" si="54"/>
        <v>62.498118249727199</v>
      </c>
      <c r="Y232" s="8">
        <f>VLOOKUP(ROUNDDOWN(X232,0),'Spline Pre-Adj'!F:G,2,0)</f>
        <v>3.3799457765415402</v>
      </c>
      <c r="Z232" s="8">
        <f t="shared" si="55"/>
        <v>0</v>
      </c>
      <c r="AA232"/>
      <c r="AB232"/>
      <c r="AC232" s="9">
        <f t="shared" si="56"/>
        <v>62.498118249727199</v>
      </c>
      <c r="AD232" s="8">
        <f>VLOOKUP(ROUNDDOWN(AC232,0),'Spline Pre-Adj'!K:L,2,0)</f>
        <v>3.3536482047599101</v>
      </c>
      <c r="AE232" s="8">
        <f t="shared" si="57"/>
        <v>0</v>
      </c>
    </row>
    <row r="233" spans="1:31" s="41" customFormat="1" x14ac:dyDescent="0.25">
      <c r="A233" s="14">
        <f t="shared" si="41"/>
        <v>67.486941816233099</v>
      </c>
      <c r="B233" s="38">
        <f t="shared" si="42"/>
        <v>11.40922438216</v>
      </c>
      <c r="C233" s="39" t="str">
        <f t="shared" si="40"/>
        <v>11-4:65-70</v>
      </c>
      <c r="D233" s="40">
        <f t="shared" si="43"/>
        <v>2.6691159496877399E-2</v>
      </c>
      <c r="E233" s="40">
        <f t="shared" si="44"/>
        <v>3.3844342867052166E-2</v>
      </c>
      <c r="F233" s="38">
        <f t="shared" si="45"/>
        <v>0.7886446370587249</v>
      </c>
      <c r="G233" s="39">
        <f t="shared" si="46"/>
        <v>27.721685448049239</v>
      </c>
      <c r="H233" s="39">
        <f t="shared" si="46"/>
        <v>33.844613093510148</v>
      </c>
      <c r="J233" s="41">
        <v>4</v>
      </c>
      <c r="K233" s="14">
        <f t="shared" si="59"/>
        <v>0</v>
      </c>
      <c r="L233" s="14">
        <f t="shared" si="61"/>
        <v>0</v>
      </c>
      <c r="M233" s="14">
        <f t="shared" si="64"/>
        <v>0</v>
      </c>
      <c r="N233" s="40">
        <f t="shared" si="63"/>
        <v>4.9867349004113098E-4</v>
      </c>
      <c r="O233" s="39">
        <f t="shared" si="50"/>
        <v>0.59676965651360714</v>
      </c>
      <c r="P233" s="42">
        <f t="shared" si="51"/>
        <v>53.524320081013116</v>
      </c>
      <c r="X233" s="43">
        <f t="shared" si="54"/>
        <v>67.486941816233099</v>
      </c>
      <c r="Y233" s="40">
        <f>VLOOKUP(ROUNDDOWN(X233,0),'Spline Pre-Adj'!F:G,2,0)</f>
        <v>3.6676855284799998</v>
      </c>
      <c r="Z233" s="40">
        <f t="shared" si="55"/>
        <v>0</v>
      </c>
      <c r="AC233" s="43">
        <f t="shared" si="56"/>
        <v>67.486941816233099</v>
      </c>
      <c r="AD233" s="40">
        <f>VLOOKUP(ROUNDDOWN(AC233,0),'Spline Pre-Adj'!K:L,2,0)</f>
        <v>3.5314609873155498</v>
      </c>
      <c r="AE233" s="40">
        <f t="shared" si="57"/>
        <v>0</v>
      </c>
    </row>
    <row r="234" spans="1:31" s="41" customFormat="1" x14ac:dyDescent="0.25">
      <c r="A234" s="14">
        <f t="shared" si="41"/>
        <v>72.520422224818901</v>
      </c>
      <c r="B234" s="38">
        <f t="shared" si="42"/>
        <v>12.09942333155</v>
      </c>
      <c r="C234" s="39" t="str">
        <f t="shared" si="40"/>
        <v>11:50-75</v>
      </c>
      <c r="D234" s="40">
        <f t="shared" si="43"/>
        <v>2.7236341241245399E-2</v>
      </c>
      <c r="E234" s="40">
        <f t="shared" si="44"/>
        <v>3.5421123461872477E-2</v>
      </c>
      <c r="F234" s="38">
        <f t="shared" si="45"/>
        <v>0.7689293443942502</v>
      </c>
      <c r="G234" s="39">
        <f t="shared" si="46"/>
        <v>28.206016589357084</v>
      </c>
      <c r="H234" s="39">
        <f t="shared" si="46"/>
        <v>35.128645784460986</v>
      </c>
      <c r="K234" s="14">
        <f t="shared" si="59"/>
        <v>0</v>
      </c>
      <c r="L234" s="14">
        <f t="shared" si="61"/>
        <v>0</v>
      </c>
      <c r="M234" s="14">
        <f t="shared" si="64"/>
        <v>0</v>
      </c>
      <c r="N234" s="40">
        <f t="shared" si="63"/>
        <v>5.0448199625564296E-4</v>
      </c>
      <c r="O234" s="39">
        <f t="shared" si="50"/>
        <v>0.60370150316302329</v>
      </c>
      <c r="P234" s="42">
        <f t="shared" si="51"/>
        <v>53.988727929635694</v>
      </c>
      <c r="X234" s="43">
        <f t="shared" si="54"/>
        <v>72.520422224818901</v>
      </c>
      <c r="Y234" s="40">
        <f>VLOOKUP(ROUNDDOWN(X234,0),'Spline Pre-Adj'!F:G,2,0)</f>
        <v>3.9558229453415401</v>
      </c>
      <c r="Z234" s="40">
        <f t="shared" si="55"/>
        <v>0</v>
      </c>
      <c r="AC234" s="43">
        <f t="shared" si="56"/>
        <v>72.520422224818901</v>
      </c>
      <c r="AD234" s="40">
        <f>VLOOKUP(ROUNDDOWN(AC234,0),'Spline Pre-Adj'!K:L,2,0)</f>
        <v>3.7015869795651599</v>
      </c>
      <c r="AE234" s="40">
        <f t="shared" si="57"/>
        <v>0</v>
      </c>
    </row>
    <row r="235" spans="1:31" s="41" customFormat="1" x14ac:dyDescent="0.25">
      <c r="A235" s="14">
        <f t="shared" si="41"/>
        <v>86.348471629290103</v>
      </c>
      <c r="B235" s="38">
        <f t="shared" si="42"/>
        <v>49.93629212874</v>
      </c>
      <c r="C235" s="39" t="str">
        <f t="shared" si="40"/>
        <v>12:75-100</v>
      </c>
      <c r="D235" s="40">
        <f t="shared" si="43"/>
        <v>3.0857598433368199E-2</v>
      </c>
      <c r="E235" s="40">
        <f t="shared" si="44"/>
        <v>3.8792856761474287E-2</v>
      </c>
      <c r="F235" s="38">
        <f t="shared" si="45"/>
        <v>0.79544537343826915</v>
      </c>
      <c r="G235" s="39">
        <f t="shared" si="46"/>
        <v>31.348324507307769</v>
      </c>
      <c r="H235" s="39">
        <f t="shared" si="46"/>
        <v>37.798067821439382</v>
      </c>
      <c r="K235" s="14">
        <f t="shared" si="59"/>
        <v>0</v>
      </c>
      <c r="L235" s="14">
        <f t="shared" si="61"/>
        <v>0</v>
      </c>
      <c r="M235" s="14">
        <f t="shared" si="64"/>
        <v>0</v>
      </c>
      <c r="N235" s="40">
        <f>Z199+AA199+AB199*K235+AC199*L235+AD198*M234*$M$207</f>
        <v>5.1687135269634199E-4</v>
      </c>
      <c r="O235" s="39">
        <f t="shared" si="50"/>
        <v>0.6184854280131602</v>
      </c>
      <c r="P235" s="42">
        <f t="shared" si="51"/>
        <v>59.70073263374843</v>
      </c>
      <c r="X235" s="43">
        <f t="shared" si="54"/>
        <v>86.348471629290103</v>
      </c>
      <c r="Y235" s="40">
        <f>VLOOKUP(ROUNDDOWN(X235,0),'Spline Pre-Adj'!F:G,2,0)</f>
        <v>4.7646640542534699</v>
      </c>
      <c r="Z235" s="40">
        <f t="shared" si="55"/>
        <v>0</v>
      </c>
      <c r="AC235" s="43">
        <f t="shared" si="56"/>
        <v>86.348471629290103</v>
      </c>
      <c r="AD235" s="40">
        <f>VLOOKUP(ROUNDDOWN(AC235,0),'Spline Pre-Adj'!K:L,2,0)</f>
        <v>4.1191352784208304</v>
      </c>
      <c r="AE235" s="40">
        <f t="shared" si="57"/>
        <v>0</v>
      </c>
    </row>
    <row r="236" spans="1:31" s="41" customFormat="1" x14ac:dyDescent="0.25">
      <c r="A236" s="14">
        <f t="shared" si="41"/>
        <v>111.718332385794</v>
      </c>
      <c r="B236" s="38">
        <f t="shared" si="42"/>
        <v>29.043382459830003</v>
      </c>
      <c r="C236" s="39" t="str">
        <f t="shared" si="40"/>
        <v>13:100-125</v>
      </c>
      <c r="D236" s="40">
        <f t="shared" si="43"/>
        <v>3.5224763353119297E-2</v>
      </c>
      <c r="E236" s="40">
        <f t="shared" si="44"/>
        <v>4.2503975959846438E-2</v>
      </c>
      <c r="F236" s="38">
        <f t="shared" si="45"/>
        <v>0.82874043092806604</v>
      </c>
      <c r="G236" s="39">
        <f t="shared" si="46"/>
        <v>34.969997259688633</v>
      </c>
      <c r="H236" s="39">
        <f t="shared" si="46"/>
        <v>40.619513547593819</v>
      </c>
      <c r="K236" s="14">
        <f t="shared" si="59"/>
        <v>0</v>
      </c>
      <c r="L236" s="14">
        <f t="shared" si="61"/>
        <v>0</v>
      </c>
      <c r="M236" s="14">
        <f t="shared" si="64"/>
        <v>0</v>
      </c>
      <c r="N236" s="40">
        <f t="shared" ref="N236:N238" si="65">Z200+AA200+AB200*K236+AC200*L236+AD199*M235*$M$207</f>
        <v>5.6791538473181195E-4</v>
      </c>
      <c r="O236" s="39">
        <f t="shared" si="50"/>
        <v>0.67937380220585153</v>
      </c>
      <c r="P236" s="42">
        <f t="shared" si="51"/>
        <v>62.024668287078669</v>
      </c>
      <c r="X236" s="43">
        <f t="shared" si="54"/>
        <v>111.718332385794</v>
      </c>
      <c r="Y236" s="40">
        <f>VLOOKUP(ROUNDDOWN(X236,0),'Spline Pre-Adj'!F:G,2,0)</f>
        <v>6.2168084690133298</v>
      </c>
      <c r="Z236" s="40">
        <f t="shared" si="55"/>
        <v>0</v>
      </c>
      <c r="AC236" s="43">
        <f t="shared" si="56"/>
        <v>111.718332385794</v>
      </c>
      <c r="AD236" s="40">
        <f>VLOOKUP(ROUNDDOWN(AC236,0),'Spline Pre-Adj'!K:L,2,0)</f>
        <v>4.7299139704548203</v>
      </c>
      <c r="AE236" s="40">
        <f t="shared" si="57"/>
        <v>0</v>
      </c>
    </row>
    <row r="237" spans="1:31" s="41" customFormat="1" x14ac:dyDescent="0.25">
      <c r="A237" s="14">
        <f t="shared" si="41"/>
        <v>134.94959605790601</v>
      </c>
      <c r="B237" s="38">
        <f t="shared" si="42"/>
        <v>14.00244159449</v>
      </c>
      <c r="C237" s="39" t="str">
        <f t="shared" si="40"/>
        <v>14:125-150</v>
      </c>
      <c r="D237" s="40">
        <f t="shared" si="43"/>
        <v>3.5712569728593102E-2</v>
      </c>
      <c r="E237" s="40">
        <f t="shared" si="44"/>
        <v>4.5783181920082509E-2</v>
      </c>
      <c r="F237" s="38">
        <f t="shared" si="45"/>
        <v>0.78003686574104203</v>
      </c>
      <c r="G237" s="39">
        <f t="shared" si="46"/>
        <v>35.363464857130268</v>
      </c>
      <c r="H237" s="39">
        <f t="shared" si="46"/>
        <v>43.014442578575654</v>
      </c>
      <c r="K237" s="14">
        <f t="shared" si="59"/>
        <v>0</v>
      </c>
      <c r="L237" s="14">
        <f t="shared" si="61"/>
        <v>0</v>
      </c>
      <c r="M237" s="14">
        <f t="shared" si="64"/>
        <v>0</v>
      </c>
      <c r="N237" s="40">
        <f t="shared" si="65"/>
        <v>6.1815677859700297E-4</v>
      </c>
      <c r="O237" s="39">
        <f t="shared" si="50"/>
        <v>0.73927134618816392</v>
      </c>
      <c r="P237" s="42">
        <f t="shared" si="51"/>
        <v>57.772673478802567</v>
      </c>
      <c r="X237" s="43">
        <f t="shared" si="54"/>
        <v>134.94959605790601</v>
      </c>
      <c r="Y237" s="40">
        <f>VLOOKUP(ROUNDDOWN(X237,0),'Spline Pre-Adj'!F:G,2,0)</f>
        <v>7.60662891263856</v>
      </c>
      <c r="Z237" s="40">
        <f t="shared" si="55"/>
        <v>0</v>
      </c>
      <c r="AC237" s="43">
        <f t="shared" si="56"/>
        <v>134.94959605790601</v>
      </c>
      <c r="AD237" s="40">
        <f>VLOOKUP(ROUNDDOWN(AC237,0),'Spline Pre-Adj'!K:L,2,0)</f>
        <v>5.2051069926153799</v>
      </c>
      <c r="AE237" s="40">
        <f t="shared" si="57"/>
        <v>0</v>
      </c>
    </row>
    <row r="238" spans="1:31" s="41" customFormat="1" x14ac:dyDescent="0.25">
      <c r="A238" s="14">
        <f t="shared" si="41"/>
        <v>160.59824035554701</v>
      </c>
      <c r="B238" s="38">
        <f t="shared" si="42"/>
        <v>3.4378290624699996</v>
      </c>
      <c r="C238" s="39" t="str">
        <f t="shared" si="40"/>
        <v>15:150-175</v>
      </c>
      <c r="D238" s="40">
        <f t="shared" si="43"/>
        <v>3.4108014023335402E-2</v>
      </c>
      <c r="E238" s="40">
        <f t="shared" si="44"/>
        <v>4.8255255592333755E-2</v>
      </c>
      <c r="F238" s="38">
        <f t="shared" si="45"/>
        <v>0.70682485471601342</v>
      </c>
      <c r="G238" s="39">
        <f t="shared" si="46"/>
        <v>34.060939837629299</v>
      </c>
      <c r="H238" s="39">
        <f t="shared" si="46"/>
        <v>44.760994959218372</v>
      </c>
      <c r="K238" s="14">
        <f t="shared" si="59"/>
        <v>0</v>
      </c>
      <c r="L238" s="14">
        <f t="shared" si="61"/>
        <v>0</v>
      </c>
      <c r="M238" s="14">
        <f t="shared" si="64"/>
        <v>0</v>
      </c>
      <c r="N238" s="40">
        <f t="shared" si="65"/>
        <v>7.37577002635012E-4</v>
      </c>
      <c r="O238" s="39">
        <f t="shared" si="50"/>
        <v>0.88151068526298726</v>
      </c>
      <c r="P238" s="42">
        <f t="shared" si="51"/>
        <v>46.24332632590724</v>
      </c>
      <c r="X238" s="43">
        <f t="shared" si="54"/>
        <v>160.59824035554701</v>
      </c>
      <c r="Y238" s="40">
        <f>VLOOKUP(ROUNDDOWN(X238,0),'Spline Pre-Adj'!F:G,2,0)</f>
        <v>8.7434835551418502</v>
      </c>
      <c r="Z238" s="40">
        <f t="shared" si="55"/>
        <v>0</v>
      </c>
      <c r="AC238" s="43">
        <f t="shared" si="56"/>
        <v>160.59824035554701</v>
      </c>
      <c r="AD238" s="40">
        <f>VLOOKUP(ROUNDDOWN(AC238,0),'Spline Pre-Adj'!K:L,2,0)</f>
        <v>5.6662697466415004</v>
      </c>
      <c r="AE238" s="40">
        <f t="shared" si="57"/>
        <v>0</v>
      </c>
    </row>
    <row r="239" spans="1:31" s="17" customFormat="1" x14ac:dyDescent="0.25">
      <c r="A239" s="15"/>
      <c r="B239" s="22"/>
      <c r="C239" s="23"/>
      <c r="D239" s="16"/>
      <c r="E239" s="16"/>
      <c r="F239" s="22"/>
      <c r="G239" s="23"/>
      <c r="H239" s="23"/>
      <c r="K239" s="15"/>
      <c r="L239" s="15"/>
      <c r="M239" s="15"/>
      <c r="N239" s="16"/>
      <c r="O239" s="23"/>
      <c r="P239" s="24"/>
      <c r="X239" s="18"/>
      <c r="Y239" s="16"/>
      <c r="Z239" s="16"/>
      <c r="AC239" s="18"/>
      <c r="AD239" s="16"/>
      <c r="AE239" s="16"/>
    </row>
    <row r="240" spans="1:31" s="17" customFormat="1" x14ac:dyDescent="0.25">
      <c r="A240" s="15"/>
      <c r="B240" s="22"/>
      <c r="C240" s="23"/>
      <c r="D240" s="16"/>
      <c r="E240" s="16"/>
      <c r="F240" s="22"/>
      <c r="G240" s="23"/>
      <c r="H240" s="23"/>
      <c r="K240" s="15"/>
      <c r="L240" s="15"/>
      <c r="M240" s="26"/>
      <c r="N240" s="16"/>
      <c r="O240" s="23"/>
      <c r="P240" s="24"/>
      <c r="X240" s="18"/>
      <c r="Y240" s="16"/>
      <c r="Z240" s="16"/>
      <c r="AC240" s="18"/>
      <c r="AD240" s="16"/>
      <c r="AE240" s="16"/>
    </row>
    <row r="243" spans="9:13" x14ac:dyDescent="0.25">
      <c r="I243" t="s">
        <v>123</v>
      </c>
      <c r="K243" s="15">
        <v>0.75</v>
      </c>
      <c r="L243" s="15">
        <v>1</v>
      </c>
      <c r="M243" s="15">
        <v>1</v>
      </c>
    </row>
    <row r="244" spans="9:13" x14ac:dyDescent="0.25">
      <c r="K244" s="15">
        <v>0.75</v>
      </c>
      <c r="L244" s="15">
        <v>1</v>
      </c>
      <c r="M244" s="15">
        <v>1</v>
      </c>
    </row>
    <row r="245" spans="9:13" x14ac:dyDescent="0.25">
      <c r="K245" s="15">
        <v>0.75</v>
      </c>
      <c r="L245" s="15">
        <v>1</v>
      </c>
      <c r="M245" s="15">
        <v>1</v>
      </c>
    </row>
    <row r="246" spans="9:13" x14ac:dyDescent="0.25">
      <c r="K246" s="15">
        <v>0.64</v>
      </c>
      <c r="L246" s="15">
        <v>1</v>
      </c>
      <c r="M246" s="15">
        <v>1</v>
      </c>
    </row>
    <row r="247" spans="9:13" x14ac:dyDescent="0.25">
      <c r="K247" s="4">
        <v>0.64</v>
      </c>
      <c r="L247" s="4">
        <v>1</v>
      </c>
      <c r="M247" s="4">
        <v>0.32</v>
      </c>
    </row>
    <row r="248" spans="9:13" x14ac:dyDescent="0.25">
      <c r="K248" s="4">
        <v>0.75</v>
      </c>
      <c r="L248" s="4">
        <v>1</v>
      </c>
      <c r="M248" s="4">
        <v>0.67</v>
      </c>
    </row>
    <row r="249" spans="9:13" x14ac:dyDescent="0.25">
      <c r="K249" s="4">
        <v>0.75</v>
      </c>
      <c r="L249" s="4">
        <v>1</v>
      </c>
      <c r="M249" s="4">
        <v>1.1100000000000001</v>
      </c>
    </row>
    <row r="250" spans="9:13" x14ac:dyDescent="0.25">
      <c r="K250" s="4">
        <v>0.75</v>
      </c>
      <c r="L250" s="4">
        <v>1</v>
      </c>
      <c r="M250" s="4">
        <v>1.32</v>
      </c>
    </row>
    <row r="251" spans="9:13" x14ac:dyDescent="0.25">
      <c r="K251" s="4">
        <v>0.75</v>
      </c>
      <c r="L251" s="4">
        <v>1</v>
      </c>
      <c r="M251" s="4">
        <v>1.26</v>
      </c>
    </row>
    <row r="252" spans="9:13" x14ac:dyDescent="0.25">
      <c r="K252" s="4">
        <v>0.75</v>
      </c>
      <c r="L252" s="4">
        <v>1</v>
      </c>
      <c r="M252" s="4">
        <v>1.17</v>
      </c>
    </row>
    <row r="253" spans="9:13" x14ac:dyDescent="0.25">
      <c r="K253" s="4">
        <v>0.75</v>
      </c>
      <c r="L253" s="4">
        <v>1</v>
      </c>
      <c r="M253" s="4">
        <v>1.07</v>
      </c>
    </row>
    <row r="254" spans="9:13" x14ac:dyDescent="0.25">
      <c r="K254" s="4">
        <v>0.75</v>
      </c>
      <c r="L254" s="4">
        <v>1</v>
      </c>
      <c r="M254" s="4">
        <v>1</v>
      </c>
    </row>
    <row r="255" spans="9:13" x14ac:dyDescent="0.25">
      <c r="K255" s="4">
        <v>0.75</v>
      </c>
      <c r="L255" s="4">
        <v>1</v>
      </c>
      <c r="M255" s="4">
        <v>0.95</v>
      </c>
    </row>
    <row r="256" spans="9:13" x14ac:dyDescent="0.25">
      <c r="K256" s="4">
        <v>0.75</v>
      </c>
      <c r="L256" s="4">
        <v>1</v>
      </c>
      <c r="M256" s="4">
        <v>0.91</v>
      </c>
    </row>
    <row r="257" spans="11:13" x14ac:dyDescent="0.25">
      <c r="K257" s="26">
        <v>0.75</v>
      </c>
      <c r="L257" s="26">
        <v>1</v>
      </c>
      <c r="M257" s="26">
        <v>1.05</v>
      </c>
    </row>
    <row r="258" spans="11:13" x14ac:dyDescent="0.25">
      <c r="K258" s="15">
        <v>0.75</v>
      </c>
      <c r="L258" s="15">
        <v>1</v>
      </c>
      <c r="M258" s="15">
        <v>1</v>
      </c>
    </row>
    <row r="259" spans="11:13" x14ac:dyDescent="0.25">
      <c r="K259" s="15">
        <v>0.75</v>
      </c>
      <c r="L259" s="15">
        <v>1</v>
      </c>
      <c r="M259" s="15">
        <v>1</v>
      </c>
    </row>
  </sheetData>
  <conditionalFormatting sqref="F122:F150">
    <cfRule type="colorScale" priority="18">
      <colorScale>
        <cfvo type="min"/>
        <cfvo type="num" val="1"/>
        <cfvo type="max"/>
        <color rgb="FFF8696B"/>
        <color theme="0"/>
        <color theme="4"/>
      </colorScale>
    </cfRule>
  </conditionalFormatting>
  <conditionalFormatting sqref="P122:P150">
    <cfRule type="colorScale" priority="17">
      <colorScale>
        <cfvo type="min"/>
        <cfvo type="num" val="1"/>
        <cfvo type="max"/>
        <color rgb="FFF8696B"/>
        <color theme="0"/>
        <color theme="4"/>
      </colorScale>
    </cfRule>
  </conditionalFormatting>
  <conditionalFormatting sqref="AQ86">
    <cfRule type="dataBar" priority="19">
      <dataBar>
        <cfvo type="min"/>
        <cfvo type="max"/>
        <color rgb="FF638EC6"/>
      </dataBar>
      <extLst>
        <ext xmlns:x14="http://schemas.microsoft.com/office/spreadsheetml/2009/9/main" uri="{B025F937-C7B1-47D3-B67F-A62EFF666E3E}">
          <x14:id>{AF4D30FC-34CA-47D5-985F-9A656B4F00C5}</x14:id>
        </ext>
      </extLst>
    </cfRule>
  </conditionalFormatting>
  <conditionalFormatting sqref="B122:B151">
    <cfRule type="dataBar" priority="20">
      <dataBar>
        <cfvo type="min"/>
        <cfvo type="max"/>
        <color rgb="FF638EC6"/>
      </dataBar>
      <extLst>
        <ext xmlns:x14="http://schemas.microsoft.com/office/spreadsheetml/2009/9/main" uri="{B025F937-C7B1-47D3-B67F-A62EFF666E3E}">
          <x14:id>{DF5AE9CD-CD67-498F-AF70-4B89CE7EAA26}</x14:id>
        </ext>
      </extLst>
    </cfRule>
  </conditionalFormatting>
  <conditionalFormatting sqref="F49:F76">
    <cfRule type="colorScale" priority="14">
      <colorScale>
        <cfvo type="min"/>
        <cfvo type="num" val="1"/>
        <cfvo type="max"/>
        <color rgb="FFF8696B"/>
        <color theme="0"/>
        <color theme="4"/>
      </colorScale>
    </cfRule>
  </conditionalFormatting>
  <conditionalFormatting sqref="P49:P76">
    <cfRule type="colorScale" priority="13">
      <colorScale>
        <cfvo type="min"/>
        <cfvo type="num" val="1"/>
        <cfvo type="max"/>
        <color rgb="FFF8696B"/>
        <color theme="0"/>
        <color theme="4"/>
      </colorScale>
    </cfRule>
  </conditionalFormatting>
  <conditionalFormatting sqref="AQ2:AQ17 AQ19:AQ33">
    <cfRule type="dataBar" priority="15">
      <dataBar>
        <cfvo type="min"/>
        <cfvo type="max"/>
        <color rgb="FF638EC6"/>
      </dataBar>
      <extLst>
        <ext xmlns:x14="http://schemas.microsoft.com/office/spreadsheetml/2009/9/main" uri="{B025F937-C7B1-47D3-B67F-A62EFF666E3E}">
          <x14:id>{1E79DFFD-6C4E-45CB-BAD4-3495340BD11F}</x14:id>
        </ext>
      </extLst>
    </cfRule>
  </conditionalFormatting>
  <conditionalFormatting sqref="B45:B76">
    <cfRule type="dataBar" priority="16">
      <dataBar>
        <cfvo type="min"/>
        <cfvo type="max"/>
        <color rgb="FF638EC6"/>
      </dataBar>
      <extLst>
        <ext xmlns:x14="http://schemas.microsoft.com/office/spreadsheetml/2009/9/main" uri="{B025F937-C7B1-47D3-B67F-A62EFF666E3E}">
          <x14:id>{882ADF9E-DB48-49F1-B7CC-8F5EF999FD3D}</x14:id>
        </ext>
      </extLst>
    </cfRule>
  </conditionalFormatting>
  <conditionalFormatting sqref="AQ87:AQ115">
    <cfRule type="dataBar" priority="12">
      <dataBar>
        <cfvo type="min"/>
        <cfvo type="max"/>
        <color rgb="FF638EC6"/>
      </dataBar>
      <extLst>
        <ext xmlns:x14="http://schemas.microsoft.com/office/spreadsheetml/2009/9/main" uri="{B025F937-C7B1-47D3-B67F-A62EFF666E3E}">
          <x14:id>{AEA10B53-EE44-4CBD-8293-B97FDFB33F16}</x14:id>
        </ext>
      </extLst>
    </cfRule>
  </conditionalFormatting>
  <conditionalFormatting sqref="AQ18 AQ34">
    <cfRule type="dataBar" priority="11">
      <dataBar>
        <cfvo type="min"/>
        <cfvo type="max"/>
        <color rgb="FF638EC6"/>
      </dataBar>
      <extLst>
        <ext xmlns:x14="http://schemas.microsoft.com/office/spreadsheetml/2009/9/main" uri="{B025F937-C7B1-47D3-B67F-A62EFF666E3E}">
          <x14:id>{C39B3BFF-E191-47C3-B139-0083B92162B9}</x14:id>
        </ext>
      </extLst>
    </cfRule>
  </conditionalFormatting>
  <conditionalFormatting sqref="AQ104:AQ113">
    <cfRule type="dataBar" priority="10">
      <dataBar>
        <cfvo type="min"/>
        <cfvo type="max"/>
        <color rgb="FF638EC6"/>
      </dataBar>
      <extLst>
        <ext xmlns:x14="http://schemas.microsoft.com/office/spreadsheetml/2009/9/main" uri="{B025F937-C7B1-47D3-B67F-A62EFF666E3E}">
          <x14:id>{1150314A-E7AD-4F44-8DDF-DD1329291F64}</x14:id>
        </ext>
      </extLst>
    </cfRule>
  </conditionalFormatting>
  <conditionalFormatting sqref="AQ114:AQ117">
    <cfRule type="dataBar" priority="9">
      <dataBar>
        <cfvo type="min"/>
        <cfvo type="max"/>
        <color rgb="FF638EC6"/>
      </dataBar>
      <extLst>
        <ext xmlns:x14="http://schemas.microsoft.com/office/spreadsheetml/2009/9/main" uri="{B025F937-C7B1-47D3-B67F-A62EFF666E3E}">
          <x14:id>{D7448FE7-C67E-4EF2-BD69-1E704E6AB468}</x14:id>
        </ext>
      </extLst>
    </cfRule>
  </conditionalFormatting>
  <conditionalFormatting sqref="F211:F239">
    <cfRule type="colorScale" priority="7">
      <colorScale>
        <cfvo type="min"/>
        <cfvo type="num" val="1"/>
        <cfvo type="max"/>
        <color rgb="FFF8696B"/>
        <color theme="0"/>
        <color theme="4"/>
      </colorScale>
    </cfRule>
  </conditionalFormatting>
  <conditionalFormatting sqref="P211:P239">
    <cfRule type="colorScale" priority="6">
      <colorScale>
        <cfvo type="min"/>
        <cfvo type="num" val="1"/>
        <cfvo type="max"/>
        <color rgb="FFF8696B"/>
        <color theme="0"/>
        <color theme="4"/>
      </colorScale>
    </cfRule>
  </conditionalFormatting>
  <conditionalFormatting sqref="B211:B238">
    <cfRule type="dataBar" priority="8">
      <dataBar>
        <cfvo type="min"/>
        <cfvo type="max"/>
        <color rgb="FF638EC6"/>
      </dataBar>
      <extLst>
        <ext xmlns:x14="http://schemas.microsoft.com/office/spreadsheetml/2009/9/main" uri="{B025F937-C7B1-47D3-B67F-A62EFF666E3E}">
          <x14:id>{C835209A-6880-4A3F-AFDD-7E943F06FD6C}</x14:id>
        </ext>
      </extLst>
    </cfRule>
  </conditionalFormatting>
  <conditionalFormatting sqref="AQ192:AQ201">
    <cfRule type="dataBar" priority="2">
      <dataBar>
        <cfvo type="min"/>
        <cfvo type="max"/>
        <color rgb="FF638EC6"/>
      </dataBar>
      <extLst>
        <ext xmlns:x14="http://schemas.microsoft.com/office/spreadsheetml/2009/9/main" uri="{B025F937-C7B1-47D3-B67F-A62EFF666E3E}">
          <x14:id>{372AABC9-6554-43C9-8B17-872270538273}</x14:id>
        </ext>
      </extLst>
    </cfRule>
  </conditionalFormatting>
  <conditionalFormatting sqref="AQ204:AQ207">
    <cfRule type="dataBar" priority="5">
      <dataBar>
        <cfvo type="min"/>
        <cfvo type="max"/>
        <color rgb="FF638EC6"/>
      </dataBar>
      <extLst>
        <ext xmlns:x14="http://schemas.microsoft.com/office/spreadsheetml/2009/9/main" uri="{B025F937-C7B1-47D3-B67F-A62EFF666E3E}">
          <x14:id>{24FEF340-5EDE-425B-82E6-A8D65AECA5E4}</x14:id>
        </ext>
      </extLst>
    </cfRule>
  </conditionalFormatting>
  <conditionalFormatting sqref="AQ174">
    <cfRule type="dataBar" priority="4">
      <dataBar>
        <cfvo type="min"/>
        <cfvo type="max"/>
        <color rgb="FF638EC6"/>
      </dataBar>
      <extLst>
        <ext xmlns:x14="http://schemas.microsoft.com/office/spreadsheetml/2009/9/main" uri="{B025F937-C7B1-47D3-B67F-A62EFF666E3E}">
          <x14:id>{76DDC782-8E96-4152-AD98-7BAC7DD86638}</x14:id>
        </ext>
      </extLst>
    </cfRule>
  </conditionalFormatting>
  <conditionalFormatting sqref="AQ175:AQ203">
    <cfRule type="dataBar" priority="3">
      <dataBar>
        <cfvo type="min"/>
        <cfvo type="max"/>
        <color rgb="FF638EC6"/>
      </dataBar>
      <extLst>
        <ext xmlns:x14="http://schemas.microsoft.com/office/spreadsheetml/2009/9/main" uri="{B025F937-C7B1-47D3-B67F-A62EFF666E3E}">
          <x14:id>{00542559-7F8A-4D0B-AC08-A235CE12ADB7}</x14:id>
        </ext>
      </extLst>
    </cfRule>
  </conditionalFormatting>
  <conditionalFormatting sqref="AQ202:AQ203">
    <cfRule type="dataBar" priority="1">
      <dataBar>
        <cfvo type="min"/>
        <cfvo type="max"/>
        <color rgb="FF638EC6"/>
      </dataBar>
      <extLst>
        <ext xmlns:x14="http://schemas.microsoft.com/office/spreadsheetml/2009/9/main" uri="{B025F937-C7B1-47D3-B67F-A62EFF666E3E}">
          <x14:id>{824F3E89-4253-4498-BC15-A852B44E99B1}</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AF4D30FC-34CA-47D5-985F-9A656B4F00C5}">
            <x14:dataBar minLength="0" maxLength="100" border="1" negativeBarBorderColorSameAsPositive="0">
              <x14:cfvo type="autoMin"/>
              <x14:cfvo type="autoMax"/>
              <x14:borderColor rgb="FF638EC6"/>
              <x14:negativeFillColor rgb="FFFF0000"/>
              <x14:negativeBorderColor rgb="FFFF0000"/>
              <x14:axisColor rgb="FF000000"/>
            </x14:dataBar>
          </x14:cfRule>
          <xm:sqref>AQ86</xm:sqref>
        </x14:conditionalFormatting>
        <x14:conditionalFormatting xmlns:xm="http://schemas.microsoft.com/office/excel/2006/main">
          <x14:cfRule type="dataBar" id="{DF5AE9CD-CD67-498F-AF70-4B89CE7EAA26}">
            <x14:dataBar minLength="0" maxLength="100" border="1" negativeBarBorderColorSameAsPositive="0">
              <x14:cfvo type="autoMin"/>
              <x14:cfvo type="autoMax"/>
              <x14:borderColor rgb="FF638EC6"/>
              <x14:negativeFillColor rgb="FFFF0000"/>
              <x14:negativeBorderColor rgb="FFFF0000"/>
              <x14:axisColor rgb="FF000000"/>
            </x14:dataBar>
          </x14:cfRule>
          <xm:sqref>B122:B151</xm:sqref>
        </x14:conditionalFormatting>
        <x14:conditionalFormatting xmlns:xm="http://schemas.microsoft.com/office/excel/2006/main">
          <x14:cfRule type="dataBar" id="{1E79DFFD-6C4E-45CB-BAD4-3495340BD11F}">
            <x14:dataBar minLength="0" maxLength="100" border="1" negativeBarBorderColorSameAsPositive="0">
              <x14:cfvo type="autoMin"/>
              <x14:cfvo type="autoMax"/>
              <x14:borderColor rgb="FF638EC6"/>
              <x14:negativeFillColor rgb="FFFF0000"/>
              <x14:negativeBorderColor rgb="FFFF0000"/>
              <x14:axisColor rgb="FF000000"/>
            </x14:dataBar>
          </x14:cfRule>
          <xm:sqref>AQ2:AQ17 AQ19:AQ33</xm:sqref>
        </x14:conditionalFormatting>
        <x14:conditionalFormatting xmlns:xm="http://schemas.microsoft.com/office/excel/2006/main">
          <x14:cfRule type="dataBar" id="{882ADF9E-DB48-49F1-B7CC-8F5EF999FD3D}">
            <x14:dataBar minLength="0" maxLength="100" border="1" negativeBarBorderColorSameAsPositive="0">
              <x14:cfvo type="autoMin"/>
              <x14:cfvo type="autoMax"/>
              <x14:borderColor rgb="FF638EC6"/>
              <x14:negativeFillColor rgb="FFFF0000"/>
              <x14:negativeBorderColor rgb="FFFF0000"/>
              <x14:axisColor rgb="FF000000"/>
            </x14:dataBar>
          </x14:cfRule>
          <xm:sqref>B45:B76</xm:sqref>
        </x14:conditionalFormatting>
        <x14:conditionalFormatting xmlns:xm="http://schemas.microsoft.com/office/excel/2006/main">
          <x14:cfRule type="dataBar" id="{AEA10B53-EE44-4CBD-8293-B97FDFB33F16}">
            <x14:dataBar minLength="0" maxLength="100" border="1" negativeBarBorderColorSameAsPositive="0">
              <x14:cfvo type="autoMin"/>
              <x14:cfvo type="autoMax"/>
              <x14:borderColor rgb="FF638EC6"/>
              <x14:negativeFillColor rgb="FFFF0000"/>
              <x14:negativeBorderColor rgb="FFFF0000"/>
              <x14:axisColor rgb="FF000000"/>
            </x14:dataBar>
          </x14:cfRule>
          <xm:sqref>AQ87:AQ115</xm:sqref>
        </x14:conditionalFormatting>
        <x14:conditionalFormatting xmlns:xm="http://schemas.microsoft.com/office/excel/2006/main">
          <x14:cfRule type="dataBar" id="{C39B3BFF-E191-47C3-B139-0083B92162B9}">
            <x14:dataBar minLength="0" maxLength="100" border="1" negativeBarBorderColorSameAsPositive="0">
              <x14:cfvo type="autoMin"/>
              <x14:cfvo type="autoMax"/>
              <x14:borderColor rgb="FF638EC6"/>
              <x14:negativeFillColor rgb="FFFF0000"/>
              <x14:negativeBorderColor rgb="FFFF0000"/>
              <x14:axisColor rgb="FF000000"/>
            </x14:dataBar>
          </x14:cfRule>
          <xm:sqref>AQ18 AQ34</xm:sqref>
        </x14:conditionalFormatting>
        <x14:conditionalFormatting xmlns:xm="http://schemas.microsoft.com/office/excel/2006/main">
          <x14:cfRule type="dataBar" id="{1150314A-E7AD-4F44-8DDF-DD1329291F64}">
            <x14:dataBar minLength="0" maxLength="100" border="1" negativeBarBorderColorSameAsPositive="0">
              <x14:cfvo type="autoMin"/>
              <x14:cfvo type="autoMax"/>
              <x14:borderColor rgb="FF638EC6"/>
              <x14:negativeFillColor rgb="FFFF0000"/>
              <x14:negativeBorderColor rgb="FFFF0000"/>
              <x14:axisColor rgb="FF000000"/>
            </x14:dataBar>
          </x14:cfRule>
          <xm:sqref>AQ104:AQ113</xm:sqref>
        </x14:conditionalFormatting>
        <x14:conditionalFormatting xmlns:xm="http://schemas.microsoft.com/office/excel/2006/main">
          <x14:cfRule type="dataBar" id="{D7448FE7-C67E-4EF2-BD69-1E704E6AB468}">
            <x14:dataBar minLength="0" maxLength="100" border="1" negativeBarBorderColorSameAsPositive="0">
              <x14:cfvo type="autoMin"/>
              <x14:cfvo type="autoMax"/>
              <x14:borderColor rgb="FF638EC6"/>
              <x14:negativeFillColor rgb="FFFF0000"/>
              <x14:negativeBorderColor rgb="FFFF0000"/>
              <x14:axisColor rgb="FF000000"/>
            </x14:dataBar>
          </x14:cfRule>
          <xm:sqref>AQ114:AQ117</xm:sqref>
        </x14:conditionalFormatting>
        <x14:conditionalFormatting xmlns:xm="http://schemas.microsoft.com/office/excel/2006/main">
          <x14:cfRule type="dataBar" id="{C835209A-6880-4A3F-AFDD-7E943F06FD6C}">
            <x14:dataBar minLength="0" maxLength="100" border="1" negativeBarBorderColorSameAsPositive="0">
              <x14:cfvo type="autoMin"/>
              <x14:cfvo type="autoMax"/>
              <x14:borderColor rgb="FF638EC6"/>
              <x14:negativeFillColor rgb="FFFF0000"/>
              <x14:negativeBorderColor rgb="FFFF0000"/>
              <x14:axisColor rgb="FF000000"/>
            </x14:dataBar>
          </x14:cfRule>
          <xm:sqref>B211:B238</xm:sqref>
        </x14:conditionalFormatting>
        <x14:conditionalFormatting xmlns:xm="http://schemas.microsoft.com/office/excel/2006/main">
          <x14:cfRule type="dataBar" id="{372AABC9-6554-43C9-8B17-872270538273}">
            <x14:dataBar minLength="0" maxLength="100" border="1" negativeBarBorderColorSameAsPositive="0">
              <x14:cfvo type="autoMin"/>
              <x14:cfvo type="autoMax"/>
              <x14:borderColor rgb="FF638EC6"/>
              <x14:negativeFillColor rgb="FFFF0000"/>
              <x14:negativeBorderColor rgb="FFFF0000"/>
              <x14:axisColor rgb="FF000000"/>
            </x14:dataBar>
          </x14:cfRule>
          <xm:sqref>AQ192:AQ201</xm:sqref>
        </x14:conditionalFormatting>
        <x14:conditionalFormatting xmlns:xm="http://schemas.microsoft.com/office/excel/2006/main">
          <x14:cfRule type="dataBar" id="{24FEF340-5EDE-425B-82E6-A8D65AECA5E4}">
            <x14:dataBar minLength="0" maxLength="100" border="1" negativeBarBorderColorSameAsPositive="0">
              <x14:cfvo type="autoMin"/>
              <x14:cfvo type="autoMax"/>
              <x14:borderColor rgb="FF638EC6"/>
              <x14:negativeFillColor rgb="FFFF0000"/>
              <x14:negativeBorderColor rgb="FFFF0000"/>
              <x14:axisColor rgb="FF000000"/>
            </x14:dataBar>
          </x14:cfRule>
          <xm:sqref>AQ204:AQ207</xm:sqref>
        </x14:conditionalFormatting>
        <x14:conditionalFormatting xmlns:xm="http://schemas.microsoft.com/office/excel/2006/main">
          <x14:cfRule type="dataBar" id="{76DDC782-8E96-4152-AD98-7BAC7DD86638}">
            <x14:dataBar minLength="0" maxLength="100" border="1" negativeBarBorderColorSameAsPositive="0">
              <x14:cfvo type="autoMin"/>
              <x14:cfvo type="autoMax"/>
              <x14:borderColor rgb="FF638EC6"/>
              <x14:negativeFillColor rgb="FFFF0000"/>
              <x14:negativeBorderColor rgb="FFFF0000"/>
              <x14:axisColor rgb="FF000000"/>
            </x14:dataBar>
          </x14:cfRule>
          <xm:sqref>AQ174</xm:sqref>
        </x14:conditionalFormatting>
        <x14:conditionalFormatting xmlns:xm="http://schemas.microsoft.com/office/excel/2006/main">
          <x14:cfRule type="dataBar" id="{00542559-7F8A-4D0B-AC08-A235CE12ADB7}">
            <x14:dataBar minLength="0" maxLength="100" border="1" negativeBarBorderColorSameAsPositive="0">
              <x14:cfvo type="autoMin"/>
              <x14:cfvo type="autoMax"/>
              <x14:borderColor rgb="FF638EC6"/>
              <x14:negativeFillColor rgb="FFFF0000"/>
              <x14:negativeBorderColor rgb="FFFF0000"/>
              <x14:axisColor rgb="FF000000"/>
            </x14:dataBar>
          </x14:cfRule>
          <xm:sqref>AQ175:AQ203</xm:sqref>
        </x14:conditionalFormatting>
        <x14:conditionalFormatting xmlns:xm="http://schemas.microsoft.com/office/excel/2006/main">
          <x14:cfRule type="dataBar" id="{824F3E89-4253-4498-BC15-A852B44E99B1}">
            <x14:dataBar minLength="0" maxLength="100" border="1" negativeBarBorderColorSameAsPositive="0">
              <x14:cfvo type="autoMin"/>
              <x14:cfvo type="autoMax"/>
              <x14:borderColor rgb="FF638EC6"/>
              <x14:negativeFillColor rgb="FFFF0000"/>
              <x14:negativeBorderColor rgb="FFFF0000"/>
              <x14:axisColor rgb="FF000000"/>
            </x14:dataBar>
          </x14:cfRule>
          <xm:sqref>AQ202:AQ203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5"/>
  <sheetViews>
    <sheetView workbookViewId="0">
      <selection activeCell="L4" sqref="L4"/>
    </sheetView>
  </sheetViews>
  <sheetFormatPr defaultRowHeight="15" x14ac:dyDescent="0.25"/>
  <sheetData>
    <row r="1" spans="1:12" x14ac:dyDescent="0.25">
      <c r="A1" s="13" t="s">
        <v>108</v>
      </c>
      <c r="B1" t="s">
        <v>109</v>
      </c>
      <c r="F1" s="13" t="s">
        <v>108</v>
      </c>
      <c r="G1" t="s">
        <v>107</v>
      </c>
      <c r="K1" s="13" t="s">
        <v>108</v>
      </c>
      <c r="L1" t="s">
        <v>110</v>
      </c>
    </row>
    <row r="3" spans="1:12" x14ac:dyDescent="0.25">
      <c r="A3" s="13" t="s">
        <v>104</v>
      </c>
      <c r="B3" t="s">
        <v>105</v>
      </c>
      <c r="F3" s="13" t="s">
        <v>104</v>
      </c>
      <c r="G3" t="s">
        <v>105</v>
      </c>
      <c r="K3" s="13" t="s">
        <v>104</v>
      </c>
      <c r="L3" t="s">
        <v>105</v>
      </c>
    </row>
    <row r="4" spans="1:12" x14ac:dyDescent="0.25">
      <c r="A4" s="11">
        <v>-730</v>
      </c>
      <c r="B4" s="12">
        <v>0.73140000000000005</v>
      </c>
      <c r="F4" s="11">
        <v>-404</v>
      </c>
      <c r="G4" s="12">
        <v>0</v>
      </c>
      <c r="K4" s="11">
        <v>-196</v>
      </c>
      <c r="L4" s="12">
        <v>0</v>
      </c>
    </row>
    <row r="5" spans="1:12" x14ac:dyDescent="0.25">
      <c r="A5" s="11">
        <v>-729</v>
      </c>
      <c r="B5" s="12">
        <v>0.73141999999999996</v>
      </c>
      <c r="F5" s="11">
        <v>-403</v>
      </c>
      <c r="G5" s="12">
        <v>0</v>
      </c>
      <c r="K5" s="11">
        <v>-195</v>
      </c>
      <c r="L5" s="12">
        <v>0</v>
      </c>
    </row>
    <row r="6" spans="1:12" x14ac:dyDescent="0.25">
      <c r="A6" s="11">
        <v>-728</v>
      </c>
      <c r="B6" s="12">
        <v>0.73143999999999998</v>
      </c>
      <c r="F6" s="11">
        <v>-402</v>
      </c>
      <c r="G6" s="12">
        <v>0</v>
      </c>
      <c r="K6" s="11">
        <v>-194</v>
      </c>
      <c r="L6" s="12">
        <v>0</v>
      </c>
    </row>
    <row r="7" spans="1:12" x14ac:dyDescent="0.25">
      <c r="A7" s="11">
        <v>-727</v>
      </c>
      <c r="B7" s="12">
        <v>0.73146</v>
      </c>
      <c r="F7" s="11">
        <v>-401</v>
      </c>
      <c r="G7" s="12">
        <v>0</v>
      </c>
      <c r="K7" s="11">
        <v>-193</v>
      </c>
      <c r="L7" s="12">
        <v>0</v>
      </c>
    </row>
    <row r="8" spans="1:12" x14ac:dyDescent="0.25">
      <c r="A8" s="11">
        <v>-726</v>
      </c>
      <c r="B8" s="12">
        <v>0.73148000000000002</v>
      </c>
      <c r="F8" s="11">
        <v>-400</v>
      </c>
      <c r="G8" s="12">
        <v>0</v>
      </c>
      <c r="K8" s="11">
        <v>-192</v>
      </c>
      <c r="L8" s="12">
        <v>0</v>
      </c>
    </row>
    <row r="9" spans="1:12" x14ac:dyDescent="0.25">
      <c r="A9" s="11">
        <v>-725</v>
      </c>
      <c r="B9" s="12">
        <v>0.73150000000000004</v>
      </c>
      <c r="F9" s="11">
        <v>-399</v>
      </c>
      <c r="G9" s="12">
        <v>0</v>
      </c>
      <c r="K9" s="11">
        <v>-191</v>
      </c>
      <c r="L9" s="12">
        <v>0</v>
      </c>
    </row>
    <row r="10" spans="1:12" x14ac:dyDescent="0.25">
      <c r="A10" s="11">
        <v>-724</v>
      </c>
      <c r="B10" s="12">
        <v>0.73151999999999995</v>
      </c>
      <c r="F10" s="11">
        <v>-398</v>
      </c>
      <c r="G10" s="12">
        <v>0</v>
      </c>
      <c r="K10" s="11">
        <v>-190</v>
      </c>
      <c r="L10" s="12">
        <v>0</v>
      </c>
    </row>
    <row r="11" spans="1:12" x14ac:dyDescent="0.25">
      <c r="A11" s="11">
        <v>-723</v>
      </c>
      <c r="B11" s="12">
        <v>0.73153999999999997</v>
      </c>
      <c r="F11" s="11">
        <v>-397</v>
      </c>
      <c r="G11" s="12">
        <v>0</v>
      </c>
      <c r="K11" s="11">
        <v>-189</v>
      </c>
      <c r="L11" s="12">
        <v>0</v>
      </c>
    </row>
    <row r="12" spans="1:12" x14ac:dyDescent="0.25">
      <c r="A12" s="11">
        <v>-722</v>
      </c>
      <c r="B12" s="12">
        <v>0.73155999999999999</v>
      </c>
      <c r="F12" s="11">
        <v>-396</v>
      </c>
      <c r="G12" s="12">
        <v>0</v>
      </c>
      <c r="K12" s="11">
        <v>-188</v>
      </c>
      <c r="L12" s="12">
        <v>0</v>
      </c>
    </row>
    <row r="13" spans="1:12" x14ac:dyDescent="0.25">
      <c r="A13" s="11">
        <v>-721</v>
      </c>
      <c r="B13" s="12">
        <v>0.73158000000000001</v>
      </c>
      <c r="F13" s="11">
        <v>-395</v>
      </c>
      <c r="G13" s="12">
        <v>0</v>
      </c>
      <c r="K13" s="11">
        <v>-187</v>
      </c>
      <c r="L13" s="12">
        <v>0</v>
      </c>
    </row>
    <row r="14" spans="1:12" x14ac:dyDescent="0.25">
      <c r="A14" s="11">
        <v>-720</v>
      </c>
      <c r="B14" s="12">
        <v>0.73160000000000003</v>
      </c>
      <c r="F14" s="11">
        <v>-394</v>
      </c>
      <c r="G14" s="12">
        <v>0</v>
      </c>
      <c r="K14" s="11">
        <v>-186</v>
      </c>
      <c r="L14" s="12">
        <v>0</v>
      </c>
    </row>
    <row r="15" spans="1:12" x14ac:dyDescent="0.25">
      <c r="A15" s="11">
        <v>-719</v>
      </c>
      <c r="B15" s="12">
        <v>0.73162000000000005</v>
      </c>
      <c r="F15" s="11">
        <v>-393</v>
      </c>
      <c r="G15" s="12">
        <v>0</v>
      </c>
      <c r="K15" s="11">
        <v>-185</v>
      </c>
      <c r="L15" s="12">
        <v>0</v>
      </c>
    </row>
    <row r="16" spans="1:12" x14ac:dyDescent="0.25">
      <c r="A16" s="11">
        <v>-718</v>
      </c>
      <c r="B16" s="12">
        <v>0.73163999999999996</v>
      </c>
      <c r="F16" s="11">
        <v>-392</v>
      </c>
      <c r="G16" s="12">
        <v>0</v>
      </c>
      <c r="K16" s="11">
        <v>-184</v>
      </c>
      <c r="L16" s="12">
        <v>0</v>
      </c>
    </row>
    <row r="17" spans="1:12" x14ac:dyDescent="0.25">
      <c r="A17" s="11">
        <v>-717</v>
      </c>
      <c r="B17" s="12">
        <v>0.73165999999999998</v>
      </c>
      <c r="F17" s="11">
        <v>-391</v>
      </c>
      <c r="G17" s="12">
        <v>0</v>
      </c>
      <c r="K17" s="11">
        <v>-183</v>
      </c>
      <c r="L17" s="12">
        <v>0</v>
      </c>
    </row>
    <row r="18" spans="1:12" x14ac:dyDescent="0.25">
      <c r="A18" s="11">
        <v>-716</v>
      </c>
      <c r="B18" s="12">
        <v>0.73168</v>
      </c>
      <c r="F18" s="11">
        <v>-390</v>
      </c>
      <c r="G18" s="12">
        <v>0</v>
      </c>
      <c r="K18" s="11">
        <v>-182</v>
      </c>
      <c r="L18" s="12">
        <v>0</v>
      </c>
    </row>
    <row r="19" spans="1:12" x14ac:dyDescent="0.25">
      <c r="A19" s="11">
        <v>-715</v>
      </c>
      <c r="B19" s="12">
        <v>0.73170000000000002</v>
      </c>
      <c r="F19" s="11">
        <v>-389</v>
      </c>
      <c r="G19" s="12">
        <v>0</v>
      </c>
      <c r="K19" s="11">
        <v>-181</v>
      </c>
      <c r="L19" s="12">
        <v>0</v>
      </c>
    </row>
    <row r="20" spans="1:12" x14ac:dyDescent="0.25">
      <c r="A20" s="11">
        <v>-714</v>
      </c>
      <c r="B20" s="12">
        <v>0.73172000000000004</v>
      </c>
      <c r="F20" s="11">
        <v>-388</v>
      </c>
      <c r="G20" s="12">
        <v>0</v>
      </c>
      <c r="K20" s="11">
        <v>-180</v>
      </c>
      <c r="L20" s="12">
        <v>0</v>
      </c>
    </row>
    <row r="21" spans="1:12" x14ac:dyDescent="0.25">
      <c r="A21" s="11">
        <v>-713</v>
      </c>
      <c r="B21" s="12">
        <v>0.73173999999999995</v>
      </c>
      <c r="F21" s="11">
        <v>-387</v>
      </c>
      <c r="G21" s="12">
        <v>0</v>
      </c>
      <c r="K21" s="11">
        <v>-179</v>
      </c>
      <c r="L21" s="12">
        <v>0</v>
      </c>
    </row>
    <row r="22" spans="1:12" x14ac:dyDescent="0.25">
      <c r="A22" s="11">
        <v>-712</v>
      </c>
      <c r="B22" s="12">
        <v>0.73175999999999997</v>
      </c>
      <c r="F22" s="11">
        <v>-386</v>
      </c>
      <c r="G22" s="12">
        <v>0</v>
      </c>
      <c r="K22" s="11">
        <v>-178</v>
      </c>
      <c r="L22" s="12">
        <v>0</v>
      </c>
    </row>
    <row r="23" spans="1:12" x14ac:dyDescent="0.25">
      <c r="A23" s="11">
        <v>-711</v>
      </c>
      <c r="B23" s="12">
        <v>0.73177999999999999</v>
      </c>
      <c r="F23" s="11">
        <v>-385</v>
      </c>
      <c r="G23" s="12">
        <v>0</v>
      </c>
      <c r="K23" s="11">
        <v>-177</v>
      </c>
      <c r="L23" s="12">
        <v>0</v>
      </c>
    </row>
    <row r="24" spans="1:12" x14ac:dyDescent="0.25">
      <c r="A24" s="11">
        <v>-710</v>
      </c>
      <c r="B24" s="12">
        <v>0.73180000000000001</v>
      </c>
      <c r="F24" s="11">
        <v>-384</v>
      </c>
      <c r="G24" s="12">
        <v>0</v>
      </c>
      <c r="K24" s="11">
        <v>-176</v>
      </c>
      <c r="L24" s="12">
        <v>0</v>
      </c>
    </row>
    <row r="25" spans="1:12" x14ac:dyDescent="0.25">
      <c r="A25" s="11">
        <v>-709</v>
      </c>
      <c r="B25" s="12">
        <v>0.73182000000000003</v>
      </c>
      <c r="F25" s="11">
        <v>-383</v>
      </c>
      <c r="G25" s="12">
        <v>0</v>
      </c>
      <c r="K25" s="11">
        <v>-175</v>
      </c>
      <c r="L25" s="12">
        <v>0</v>
      </c>
    </row>
    <row r="26" spans="1:12" x14ac:dyDescent="0.25">
      <c r="A26" s="11">
        <v>-708</v>
      </c>
      <c r="B26" s="12">
        <v>0.73184000000000005</v>
      </c>
      <c r="F26" s="11">
        <v>-382</v>
      </c>
      <c r="G26" s="12">
        <v>0</v>
      </c>
      <c r="K26" s="11">
        <v>-174</v>
      </c>
      <c r="L26" s="12">
        <v>0</v>
      </c>
    </row>
    <row r="27" spans="1:12" x14ac:dyDescent="0.25">
      <c r="A27" s="11">
        <v>-707</v>
      </c>
      <c r="B27" s="12">
        <v>0.73185999999999996</v>
      </c>
      <c r="F27" s="11">
        <v>-381</v>
      </c>
      <c r="G27" s="12">
        <v>0</v>
      </c>
      <c r="K27" s="11">
        <v>-173</v>
      </c>
      <c r="L27" s="12">
        <v>0</v>
      </c>
    </row>
    <row r="28" spans="1:12" x14ac:dyDescent="0.25">
      <c r="A28" s="11">
        <v>-706</v>
      </c>
      <c r="B28" s="12">
        <v>0.73187999999999998</v>
      </c>
      <c r="F28" s="11">
        <v>-380</v>
      </c>
      <c r="G28" s="12">
        <v>0</v>
      </c>
      <c r="K28" s="11">
        <v>-172</v>
      </c>
      <c r="L28" s="12">
        <v>0</v>
      </c>
    </row>
    <row r="29" spans="1:12" x14ac:dyDescent="0.25">
      <c r="A29" s="11">
        <v>-705</v>
      </c>
      <c r="B29" s="12">
        <v>0.7319</v>
      </c>
      <c r="F29" s="11">
        <v>-379</v>
      </c>
      <c r="G29" s="12">
        <v>0</v>
      </c>
      <c r="K29" s="11">
        <v>-171</v>
      </c>
      <c r="L29" s="12">
        <v>0</v>
      </c>
    </row>
    <row r="30" spans="1:12" x14ac:dyDescent="0.25">
      <c r="A30" s="11">
        <v>-704</v>
      </c>
      <c r="B30" s="12">
        <v>0.73192000000000002</v>
      </c>
      <c r="F30" s="11">
        <v>-378</v>
      </c>
      <c r="G30" s="12">
        <v>0</v>
      </c>
      <c r="K30" s="11">
        <v>-170</v>
      </c>
      <c r="L30" s="12">
        <v>0</v>
      </c>
    </row>
    <row r="31" spans="1:12" x14ac:dyDescent="0.25">
      <c r="A31" s="11">
        <v>-703</v>
      </c>
      <c r="B31" s="12">
        <v>0.73194000000000004</v>
      </c>
      <c r="F31" s="11">
        <v>-377</v>
      </c>
      <c r="G31" s="12">
        <v>0</v>
      </c>
      <c r="K31" s="11">
        <v>-169</v>
      </c>
      <c r="L31" s="12">
        <v>0</v>
      </c>
    </row>
    <row r="32" spans="1:12" x14ac:dyDescent="0.25">
      <c r="A32" s="11">
        <v>-702</v>
      </c>
      <c r="B32" s="12">
        <v>0.73196000000000006</v>
      </c>
      <c r="F32" s="11">
        <v>-376</v>
      </c>
      <c r="G32" s="12">
        <v>0</v>
      </c>
      <c r="K32" s="11">
        <v>-168</v>
      </c>
      <c r="L32" s="12">
        <v>0</v>
      </c>
    </row>
    <row r="33" spans="1:12" x14ac:dyDescent="0.25">
      <c r="A33" s="11">
        <v>-701</v>
      </c>
      <c r="B33" s="12">
        <v>0.73197999999999996</v>
      </c>
      <c r="F33" s="11">
        <v>-375</v>
      </c>
      <c r="G33" s="12">
        <v>0</v>
      </c>
      <c r="K33" s="11">
        <v>-167</v>
      </c>
      <c r="L33" s="12">
        <v>0</v>
      </c>
    </row>
    <row r="34" spans="1:12" x14ac:dyDescent="0.25">
      <c r="A34" s="11">
        <v>-700</v>
      </c>
      <c r="B34" s="12">
        <v>0.73199999999999998</v>
      </c>
      <c r="F34" s="11">
        <v>-374</v>
      </c>
      <c r="G34" s="12">
        <v>0</v>
      </c>
      <c r="K34" s="11">
        <v>-166</v>
      </c>
      <c r="L34" s="12">
        <v>0</v>
      </c>
    </row>
    <row r="35" spans="1:12" x14ac:dyDescent="0.25">
      <c r="A35" s="11">
        <v>-699</v>
      </c>
      <c r="B35" s="12">
        <v>0.73202</v>
      </c>
      <c r="F35" s="11">
        <v>-373</v>
      </c>
      <c r="G35" s="12">
        <v>0</v>
      </c>
      <c r="K35" s="11">
        <v>-165</v>
      </c>
      <c r="L35" s="12">
        <v>0</v>
      </c>
    </row>
    <row r="36" spans="1:12" x14ac:dyDescent="0.25">
      <c r="A36" s="11">
        <v>-698</v>
      </c>
      <c r="B36" s="12">
        <v>0.73204000000000002</v>
      </c>
      <c r="F36" s="11">
        <v>-372</v>
      </c>
      <c r="G36" s="12">
        <v>0</v>
      </c>
      <c r="K36" s="11">
        <v>-164</v>
      </c>
      <c r="L36" s="12">
        <v>0</v>
      </c>
    </row>
    <row r="37" spans="1:12" x14ac:dyDescent="0.25">
      <c r="A37" s="11">
        <v>-697</v>
      </c>
      <c r="B37" s="12">
        <v>0.73206000000000004</v>
      </c>
      <c r="F37" s="11">
        <v>-371</v>
      </c>
      <c r="G37" s="12">
        <v>0</v>
      </c>
      <c r="K37" s="11">
        <v>-163</v>
      </c>
      <c r="L37" s="12">
        <v>0</v>
      </c>
    </row>
    <row r="38" spans="1:12" x14ac:dyDescent="0.25">
      <c r="A38" s="11">
        <v>-696</v>
      </c>
      <c r="B38" s="12">
        <v>0.73207999999999995</v>
      </c>
      <c r="F38" s="11">
        <v>-370</v>
      </c>
      <c r="G38" s="12">
        <v>0</v>
      </c>
      <c r="K38" s="11">
        <v>-162</v>
      </c>
      <c r="L38" s="12">
        <v>0</v>
      </c>
    </row>
    <row r="39" spans="1:12" x14ac:dyDescent="0.25">
      <c r="A39" s="11">
        <v>-695</v>
      </c>
      <c r="B39" s="12">
        <v>0.73209999999999997</v>
      </c>
      <c r="F39" s="11">
        <v>-369</v>
      </c>
      <c r="G39" s="12">
        <v>0</v>
      </c>
      <c r="K39" s="11">
        <v>-161</v>
      </c>
      <c r="L39" s="12">
        <v>0</v>
      </c>
    </row>
    <row r="40" spans="1:12" x14ac:dyDescent="0.25">
      <c r="A40" s="11">
        <v>-694</v>
      </c>
      <c r="B40" s="12">
        <v>0.73211999999999999</v>
      </c>
      <c r="F40" s="11">
        <v>-368</v>
      </c>
      <c r="G40" s="12">
        <v>0</v>
      </c>
      <c r="K40" s="11">
        <v>-160</v>
      </c>
      <c r="L40" s="12">
        <v>0</v>
      </c>
    </row>
    <row r="41" spans="1:12" x14ac:dyDescent="0.25">
      <c r="A41" s="11">
        <v>-693</v>
      </c>
      <c r="B41" s="12">
        <v>0.73214000000000001</v>
      </c>
      <c r="F41" s="11">
        <v>-367</v>
      </c>
      <c r="G41" s="12">
        <v>0</v>
      </c>
      <c r="K41" s="11">
        <v>-159</v>
      </c>
      <c r="L41" s="12">
        <v>0</v>
      </c>
    </row>
    <row r="42" spans="1:12" x14ac:dyDescent="0.25">
      <c r="A42" s="11">
        <v>-692</v>
      </c>
      <c r="B42" s="12">
        <v>0.73216000000000003</v>
      </c>
      <c r="F42" s="11">
        <v>-366</v>
      </c>
      <c r="G42" s="12">
        <v>0</v>
      </c>
      <c r="K42" s="11">
        <v>-158</v>
      </c>
      <c r="L42" s="12">
        <v>0</v>
      </c>
    </row>
    <row r="43" spans="1:12" x14ac:dyDescent="0.25">
      <c r="A43" s="11">
        <v>-691</v>
      </c>
      <c r="B43" s="12">
        <v>0.73218000000000005</v>
      </c>
      <c r="F43" s="11">
        <v>-365</v>
      </c>
      <c r="G43" s="12">
        <v>0</v>
      </c>
      <c r="K43" s="11">
        <v>-157</v>
      </c>
      <c r="L43" s="12">
        <v>0</v>
      </c>
    </row>
    <row r="44" spans="1:12" x14ac:dyDescent="0.25">
      <c r="A44" s="11">
        <v>-690</v>
      </c>
      <c r="B44" s="12">
        <v>0.73219999999999996</v>
      </c>
      <c r="F44" s="11">
        <v>-364</v>
      </c>
      <c r="G44" s="12">
        <v>0</v>
      </c>
      <c r="K44" s="11">
        <v>-156</v>
      </c>
      <c r="L44" s="12">
        <v>0</v>
      </c>
    </row>
    <row r="45" spans="1:12" x14ac:dyDescent="0.25">
      <c r="A45" s="11">
        <v>-689</v>
      </c>
      <c r="B45" s="12">
        <v>0.73221999999999998</v>
      </c>
      <c r="F45" s="11">
        <v>-363</v>
      </c>
      <c r="G45" s="12">
        <v>0</v>
      </c>
      <c r="K45" s="11">
        <v>-155</v>
      </c>
      <c r="L45" s="12">
        <v>0</v>
      </c>
    </row>
    <row r="46" spans="1:12" x14ac:dyDescent="0.25">
      <c r="A46" s="11">
        <v>-688</v>
      </c>
      <c r="B46" s="12">
        <v>0.73224</v>
      </c>
      <c r="F46" s="11">
        <v>-362</v>
      </c>
      <c r="G46" s="12">
        <v>0</v>
      </c>
      <c r="K46" s="11">
        <v>-154</v>
      </c>
      <c r="L46" s="12">
        <v>0</v>
      </c>
    </row>
    <row r="47" spans="1:12" x14ac:dyDescent="0.25">
      <c r="A47" s="11">
        <v>-687</v>
      </c>
      <c r="B47" s="12">
        <v>0.73226000000000002</v>
      </c>
      <c r="F47" s="11">
        <v>-361</v>
      </c>
      <c r="G47" s="12">
        <v>0</v>
      </c>
      <c r="K47" s="11">
        <v>-153</v>
      </c>
      <c r="L47" s="12">
        <v>0</v>
      </c>
    </row>
    <row r="48" spans="1:12" x14ac:dyDescent="0.25">
      <c r="A48" s="11">
        <v>-686</v>
      </c>
      <c r="B48" s="12">
        <v>0.73228000000000004</v>
      </c>
      <c r="F48" s="11">
        <v>-360</v>
      </c>
      <c r="G48" s="12">
        <v>0</v>
      </c>
      <c r="K48" s="11">
        <v>-152</v>
      </c>
      <c r="L48" s="12">
        <v>0</v>
      </c>
    </row>
    <row r="49" spans="1:12" x14ac:dyDescent="0.25">
      <c r="A49" s="11">
        <v>-685</v>
      </c>
      <c r="B49" s="12">
        <v>0.73229999999999995</v>
      </c>
      <c r="F49" s="11">
        <v>-359</v>
      </c>
      <c r="G49" s="12">
        <v>0</v>
      </c>
      <c r="K49" s="11">
        <v>-151</v>
      </c>
      <c r="L49" s="12">
        <v>0</v>
      </c>
    </row>
    <row r="50" spans="1:12" x14ac:dyDescent="0.25">
      <c r="A50" s="11">
        <v>-684</v>
      </c>
      <c r="B50" s="12">
        <v>0.73231999999999997</v>
      </c>
      <c r="F50" s="11">
        <v>-358</v>
      </c>
      <c r="G50" s="12">
        <v>0</v>
      </c>
      <c r="K50" s="11">
        <v>-150</v>
      </c>
      <c r="L50" s="12">
        <v>0</v>
      </c>
    </row>
    <row r="51" spans="1:12" x14ac:dyDescent="0.25">
      <c r="A51" s="11">
        <v>-683</v>
      </c>
      <c r="B51" s="12">
        <v>0.73233999999999999</v>
      </c>
      <c r="F51" s="11">
        <v>-357</v>
      </c>
      <c r="G51" s="12">
        <v>0</v>
      </c>
      <c r="K51" s="11">
        <v>-149</v>
      </c>
      <c r="L51" s="12">
        <v>0</v>
      </c>
    </row>
    <row r="52" spans="1:12" x14ac:dyDescent="0.25">
      <c r="A52" s="11">
        <v>-682</v>
      </c>
      <c r="B52" s="12">
        <v>0.73236000000000001</v>
      </c>
      <c r="F52" s="11">
        <v>-356</v>
      </c>
      <c r="G52" s="12">
        <v>0</v>
      </c>
      <c r="K52" s="11">
        <v>-148</v>
      </c>
      <c r="L52" s="12">
        <v>0</v>
      </c>
    </row>
    <row r="53" spans="1:12" x14ac:dyDescent="0.25">
      <c r="A53" s="11">
        <v>-681</v>
      </c>
      <c r="B53" s="12">
        <v>0.73238000000000003</v>
      </c>
      <c r="F53" s="11">
        <v>-355</v>
      </c>
      <c r="G53" s="12">
        <v>0</v>
      </c>
      <c r="K53" s="11">
        <v>-147</v>
      </c>
      <c r="L53" s="12">
        <v>0</v>
      </c>
    </row>
    <row r="54" spans="1:12" x14ac:dyDescent="0.25">
      <c r="A54" s="11">
        <v>-680</v>
      </c>
      <c r="B54" s="12">
        <v>0.73240000000000005</v>
      </c>
      <c r="F54" s="11">
        <v>-354</v>
      </c>
      <c r="G54" s="12">
        <v>0</v>
      </c>
      <c r="K54" s="11">
        <v>-146</v>
      </c>
      <c r="L54" s="12">
        <v>0</v>
      </c>
    </row>
    <row r="55" spans="1:12" x14ac:dyDescent="0.25">
      <c r="A55" s="11">
        <v>-679</v>
      </c>
      <c r="B55" s="12">
        <v>0.73241999999999996</v>
      </c>
      <c r="F55" s="11">
        <v>-353</v>
      </c>
      <c r="G55" s="12">
        <v>0</v>
      </c>
      <c r="K55" s="11">
        <v>-145</v>
      </c>
      <c r="L55" s="12">
        <v>0</v>
      </c>
    </row>
    <row r="56" spans="1:12" x14ac:dyDescent="0.25">
      <c r="A56" s="11">
        <v>-678</v>
      </c>
      <c r="B56" s="12">
        <v>0.73243999999999998</v>
      </c>
      <c r="F56" s="11">
        <v>-352</v>
      </c>
      <c r="G56" s="12">
        <v>0</v>
      </c>
      <c r="K56" s="11">
        <v>-144</v>
      </c>
      <c r="L56" s="12">
        <v>0</v>
      </c>
    </row>
    <row r="57" spans="1:12" x14ac:dyDescent="0.25">
      <c r="A57" s="11">
        <v>-677</v>
      </c>
      <c r="B57" s="12">
        <v>0.73246</v>
      </c>
      <c r="F57" s="11">
        <v>-351</v>
      </c>
      <c r="G57" s="12">
        <v>0</v>
      </c>
      <c r="K57" s="11">
        <v>-143</v>
      </c>
      <c r="L57" s="12">
        <v>0</v>
      </c>
    </row>
    <row r="58" spans="1:12" x14ac:dyDescent="0.25">
      <c r="A58" s="11">
        <v>-676</v>
      </c>
      <c r="B58" s="12">
        <v>0.73248000000000002</v>
      </c>
      <c r="F58" s="11">
        <v>-350</v>
      </c>
      <c r="G58" s="12">
        <v>0</v>
      </c>
      <c r="K58" s="11">
        <v>-142</v>
      </c>
      <c r="L58" s="12">
        <v>0</v>
      </c>
    </row>
    <row r="59" spans="1:12" x14ac:dyDescent="0.25">
      <c r="A59" s="11">
        <v>-675</v>
      </c>
      <c r="B59" s="12">
        <v>0.73250000000000004</v>
      </c>
      <c r="F59" s="11">
        <v>-349</v>
      </c>
      <c r="G59" s="12">
        <v>0</v>
      </c>
      <c r="K59" s="11">
        <v>-141</v>
      </c>
      <c r="L59" s="12">
        <v>0</v>
      </c>
    </row>
    <row r="60" spans="1:12" x14ac:dyDescent="0.25">
      <c r="A60" s="11">
        <v>-674</v>
      </c>
      <c r="B60" s="12">
        <v>0.73251999999999995</v>
      </c>
      <c r="F60" s="11">
        <v>-348</v>
      </c>
      <c r="G60" s="12">
        <v>0</v>
      </c>
      <c r="K60" s="11">
        <v>-140</v>
      </c>
      <c r="L60" s="12">
        <v>0</v>
      </c>
    </row>
    <row r="61" spans="1:12" x14ac:dyDescent="0.25">
      <c r="A61" s="11">
        <v>-673</v>
      </c>
      <c r="B61" s="12">
        <v>0.73253999999999997</v>
      </c>
      <c r="F61" s="11">
        <v>-347</v>
      </c>
      <c r="G61" s="12">
        <v>0</v>
      </c>
      <c r="K61" s="11">
        <v>-139</v>
      </c>
      <c r="L61" s="12">
        <v>0</v>
      </c>
    </row>
    <row r="62" spans="1:12" x14ac:dyDescent="0.25">
      <c r="A62" s="11">
        <v>-672</v>
      </c>
      <c r="B62" s="12">
        <v>0.73255999999999999</v>
      </c>
      <c r="F62" s="11">
        <v>-346</v>
      </c>
      <c r="G62" s="12">
        <v>0</v>
      </c>
      <c r="K62" s="11">
        <v>-138</v>
      </c>
      <c r="L62" s="12">
        <v>0</v>
      </c>
    </row>
    <row r="63" spans="1:12" x14ac:dyDescent="0.25">
      <c r="A63" s="11">
        <v>-671</v>
      </c>
      <c r="B63" s="12">
        <v>0.73258000000000001</v>
      </c>
      <c r="F63" s="11">
        <v>-345</v>
      </c>
      <c r="G63" s="12">
        <v>0</v>
      </c>
      <c r="K63" s="11">
        <v>-137</v>
      </c>
      <c r="L63" s="12">
        <v>0</v>
      </c>
    </row>
    <row r="64" spans="1:12" x14ac:dyDescent="0.25">
      <c r="A64" s="11">
        <v>-670</v>
      </c>
      <c r="B64" s="12">
        <v>0.73260000000000003</v>
      </c>
      <c r="F64" s="11">
        <v>-344</v>
      </c>
      <c r="G64" s="12">
        <v>0</v>
      </c>
      <c r="K64" s="11">
        <v>-136</v>
      </c>
      <c r="L64" s="12">
        <v>0</v>
      </c>
    </row>
    <row r="65" spans="1:12" x14ac:dyDescent="0.25">
      <c r="A65" s="11">
        <v>-669</v>
      </c>
      <c r="B65" s="12">
        <v>0.73262000000000005</v>
      </c>
      <c r="F65" s="11">
        <v>-343</v>
      </c>
      <c r="G65" s="12">
        <v>0</v>
      </c>
      <c r="K65" s="11">
        <v>-135</v>
      </c>
      <c r="L65" s="12">
        <v>0</v>
      </c>
    </row>
    <row r="66" spans="1:12" x14ac:dyDescent="0.25">
      <c r="A66" s="11">
        <v>-668</v>
      </c>
      <c r="B66" s="12">
        <v>0.73263999999999996</v>
      </c>
      <c r="F66" s="11">
        <v>-342</v>
      </c>
      <c r="G66" s="12">
        <v>0</v>
      </c>
      <c r="K66" s="11">
        <v>-134</v>
      </c>
      <c r="L66" s="12">
        <v>0</v>
      </c>
    </row>
    <row r="67" spans="1:12" x14ac:dyDescent="0.25">
      <c r="A67" s="11">
        <v>-667</v>
      </c>
      <c r="B67" s="12">
        <v>0.73265999999999998</v>
      </c>
      <c r="F67" s="11">
        <v>-341</v>
      </c>
      <c r="G67" s="12">
        <v>0</v>
      </c>
      <c r="K67" s="11">
        <v>-133</v>
      </c>
      <c r="L67" s="12">
        <v>0</v>
      </c>
    </row>
    <row r="68" spans="1:12" x14ac:dyDescent="0.25">
      <c r="A68" s="11">
        <v>-666</v>
      </c>
      <c r="B68" s="12">
        <v>0.73268</v>
      </c>
      <c r="F68" s="11">
        <v>-340</v>
      </c>
      <c r="G68" s="12">
        <v>0</v>
      </c>
      <c r="K68" s="11">
        <v>-132</v>
      </c>
      <c r="L68" s="12">
        <v>0</v>
      </c>
    </row>
    <row r="69" spans="1:12" x14ac:dyDescent="0.25">
      <c r="A69" s="11">
        <v>-665</v>
      </c>
      <c r="B69" s="12">
        <v>0.73270000000000002</v>
      </c>
      <c r="F69" s="11">
        <v>-339</v>
      </c>
      <c r="G69" s="12">
        <v>0</v>
      </c>
      <c r="K69" s="11">
        <v>-131</v>
      </c>
      <c r="L69" s="12">
        <v>0</v>
      </c>
    </row>
    <row r="70" spans="1:12" x14ac:dyDescent="0.25">
      <c r="A70" s="11">
        <v>-664</v>
      </c>
      <c r="B70" s="12">
        <v>0.73272000000000004</v>
      </c>
      <c r="F70" s="11">
        <v>-338</v>
      </c>
      <c r="G70" s="12">
        <v>0</v>
      </c>
      <c r="K70" s="11">
        <v>-130</v>
      </c>
      <c r="L70" s="12">
        <v>0</v>
      </c>
    </row>
    <row r="71" spans="1:12" x14ac:dyDescent="0.25">
      <c r="A71" s="11">
        <v>-663</v>
      </c>
      <c r="B71" s="12">
        <v>0.73273999999999995</v>
      </c>
      <c r="F71" s="11">
        <v>-337</v>
      </c>
      <c r="G71" s="12">
        <v>0</v>
      </c>
      <c r="K71" s="11">
        <v>-129</v>
      </c>
      <c r="L71" s="12">
        <v>0</v>
      </c>
    </row>
    <row r="72" spans="1:12" x14ac:dyDescent="0.25">
      <c r="A72" s="11">
        <v>-662</v>
      </c>
      <c r="B72" s="12">
        <v>0.73275999999999997</v>
      </c>
      <c r="F72" s="11">
        <v>-336</v>
      </c>
      <c r="G72" s="12">
        <v>0</v>
      </c>
      <c r="K72" s="11">
        <v>-128</v>
      </c>
      <c r="L72" s="12">
        <v>0</v>
      </c>
    </row>
    <row r="73" spans="1:12" x14ac:dyDescent="0.25">
      <c r="A73" s="11">
        <v>-661</v>
      </c>
      <c r="B73" s="12">
        <v>0.73277999999999999</v>
      </c>
      <c r="F73" s="11">
        <v>-335</v>
      </c>
      <c r="G73" s="12">
        <v>0</v>
      </c>
      <c r="K73" s="11">
        <v>-127</v>
      </c>
      <c r="L73" s="12">
        <v>0</v>
      </c>
    </row>
    <row r="74" spans="1:12" x14ac:dyDescent="0.25">
      <c r="A74" s="11">
        <v>-660</v>
      </c>
      <c r="B74" s="12">
        <v>0.73280000000000001</v>
      </c>
      <c r="F74" s="11">
        <v>-334</v>
      </c>
      <c r="G74" s="12">
        <v>0</v>
      </c>
      <c r="K74" s="11">
        <v>-126</v>
      </c>
      <c r="L74" s="12">
        <v>0</v>
      </c>
    </row>
    <row r="75" spans="1:12" x14ac:dyDescent="0.25">
      <c r="A75" s="11">
        <v>-659</v>
      </c>
      <c r="B75" s="12">
        <v>0.73282000000000003</v>
      </c>
      <c r="F75" s="11">
        <v>-333</v>
      </c>
      <c r="G75" s="12">
        <v>0</v>
      </c>
      <c r="K75" s="11">
        <v>-125</v>
      </c>
      <c r="L75" s="12">
        <v>0</v>
      </c>
    </row>
    <row r="76" spans="1:12" x14ac:dyDescent="0.25">
      <c r="A76" s="11">
        <v>-658</v>
      </c>
      <c r="B76" s="12">
        <v>0.73284000000000005</v>
      </c>
      <c r="F76" s="11">
        <v>-332</v>
      </c>
      <c r="G76" s="12">
        <v>0</v>
      </c>
      <c r="K76" s="11">
        <v>-124</v>
      </c>
      <c r="L76" s="12">
        <v>0</v>
      </c>
    </row>
    <row r="77" spans="1:12" x14ac:dyDescent="0.25">
      <c r="A77" s="11">
        <v>-657</v>
      </c>
      <c r="B77" s="12">
        <v>0.73285999999999996</v>
      </c>
      <c r="F77" s="11">
        <v>-331</v>
      </c>
      <c r="G77" s="12">
        <v>0</v>
      </c>
      <c r="K77" s="11">
        <v>-123</v>
      </c>
      <c r="L77" s="12">
        <v>0</v>
      </c>
    </row>
    <row r="78" spans="1:12" x14ac:dyDescent="0.25">
      <c r="A78" s="11">
        <v>-656</v>
      </c>
      <c r="B78" s="12">
        <v>0.73287999999999998</v>
      </c>
      <c r="F78" s="11">
        <v>-330</v>
      </c>
      <c r="G78" s="12">
        <v>0</v>
      </c>
      <c r="K78" s="11">
        <v>-122</v>
      </c>
      <c r="L78" s="12">
        <v>0</v>
      </c>
    </row>
    <row r="79" spans="1:12" x14ac:dyDescent="0.25">
      <c r="A79" s="11">
        <v>-655</v>
      </c>
      <c r="B79" s="12">
        <v>0.7329</v>
      </c>
      <c r="F79" s="11">
        <v>-329</v>
      </c>
      <c r="G79" s="12">
        <v>0</v>
      </c>
      <c r="K79" s="11">
        <v>-121</v>
      </c>
      <c r="L79" s="12">
        <v>0</v>
      </c>
    </row>
    <row r="80" spans="1:12" x14ac:dyDescent="0.25">
      <c r="A80" s="11">
        <v>-654</v>
      </c>
      <c r="B80" s="12">
        <v>0.73292000000000002</v>
      </c>
      <c r="F80" s="11">
        <v>-328</v>
      </c>
      <c r="G80" s="12">
        <v>0</v>
      </c>
      <c r="K80" s="11">
        <v>-120</v>
      </c>
      <c r="L80" s="12">
        <v>0</v>
      </c>
    </row>
    <row r="81" spans="1:12" x14ac:dyDescent="0.25">
      <c r="A81" s="11">
        <v>-653</v>
      </c>
      <c r="B81" s="12">
        <v>0.73294000000000004</v>
      </c>
      <c r="F81" s="11">
        <v>-327</v>
      </c>
      <c r="G81" s="12">
        <v>0</v>
      </c>
      <c r="K81" s="11">
        <v>-119</v>
      </c>
      <c r="L81" s="12">
        <v>0</v>
      </c>
    </row>
    <row r="82" spans="1:12" x14ac:dyDescent="0.25">
      <c r="A82" s="11">
        <v>-652</v>
      </c>
      <c r="B82" s="12">
        <v>0.73295999999999994</v>
      </c>
      <c r="F82" s="11">
        <v>-326</v>
      </c>
      <c r="G82" s="12">
        <v>0</v>
      </c>
      <c r="K82" s="11">
        <v>-118</v>
      </c>
      <c r="L82" s="12">
        <v>0</v>
      </c>
    </row>
    <row r="83" spans="1:12" x14ac:dyDescent="0.25">
      <c r="A83" s="11">
        <v>-651</v>
      </c>
      <c r="B83" s="12">
        <v>0.73297999999999996</v>
      </c>
      <c r="F83" s="11">
        <v>-325</v>
      </c>
      <c r="G83" s="12">
        <v>0</v>
      </c>
      <c r="K83" s="11">
        <v>-117</v>
      </c>
      <c r="L83" s="12">
        <v>0</v>
      </c>
    </row>
    <row r="84" spans="1:12" x14ac:dyDescent="0.25">
      <c r="A84" s="11">
        <v>-650</v>
      </c>
      <c r="B84" s="12">
        <v>0.73299999999999998</v>
      </c>
      <c r="F84" s="11">
        <v>-324</v>
      </c>
      <c r="G84" s="12">
        <v>0</v>
      </c>
      <c r="K84" s="11">
        <v>-116</v>
      </c>
      <c r="L84" s="12">
        <v>0</v>
      </c>
    </row>
    <row r="85" spans="1:12" x14ac:dyDescent="0.25">
      <c r="A85" s="11">
        <v>-649</v>
      </c>
      <c r="B85" s="12">
        <v>0.73302</v>
      </c>
      <c r="F85" s="11">
        <v>-323</v>
      </c>
      <c r="G85" s="12">
        <v>0</v>
      </c>
      <c r="K85" s="11">
        <v>-115</v>
      </c>
      <c r="L85" s="12">
        <v>0</v>
      </c>
    </row>
    <row r="86" spans="1:12" x14ac:dyDescent="0.25">
      <c r="A86" s="11">
        <v>-648</v>
      </c>
      <c r="B86" s="12">
        <v>0.73304000000000002</v>
      </c>
      <c r="F86" s="11">
        <v>-322</v>
      </c>
      <c r="G86" s="12">
        <v>0</v>
      </c>
      <c r="K86" s="11">
        <v>-114</v>
      </c>
      <c r="L86" s="12">
        <v>0</v>
      </c>
    </row>
    <row r="87" spans="1:12" x14ac:dyDescent="0.25">
      <c r="A87" s="11">
        <v>-647</v>
      </c>
      <c r="B87" s="12">
        <v>0.73306000000000004</v>
      </c>
      <c r="F87" s="11">
        <v>-321</v>
      </c>
      <c r="G87" s="12">
        <v>0</v>
      </c>
      <c r="K87" s="11">
        <v>-113</v>
      </c>
      <c r="L87" s="12">
        <v>0</v>
      </c>
    </row>
    <row r="88" spans="1:12" x14ac:dyDescent="0.25">
      <c r="A88" s="11">
        <v>-646</v>
      </c>
      <c r="B88" s="12">
        <v>0.73307999999999995</v>
      </c>
      <c r="F88" s="11">
        <v>-320</v>
      </c>
      <c r="G88" s="12">
        <v>0</v>
      </c>
      <c r="K88" s="11">
        <v>-112</v>
      </c>
      <c r="L88" s="12">
        <v>0</v>
      </c>
    </row>
    <row r="89" spans="1:12" x14ac:dyDescent="0.25">
      <c r="A89" s="11">
        <v>-645</v>
      </c>
      <c r="B89" s="12">
        <v>0.73309999999999997</v>
      </c>
      <c r="F89" s="11">
        <v>-319</v>
      </c>
      <c r="G89" s="12">
        <v>0</v>
      </c>
      <c r="K89" s="11">
        <v>-111</v>
      </c>
      <c r="L89" s="12">
        <v>0</v>
      </c>
    </row>
    <row r="90" spans="1:12" x14ac:dyDescent="0.25">
      <c r="A90" s="11">
        <v>-644</v>
      </c>
      <c r="B90" s="12">
        <v>0.73311999999999999</v>
      </c>
      <c r="F90" s="11">
        <v>-318</v>
      </c>
      <c r="G90" s="12">
        <v>0</v>
      </c>
      <c r="K90" s="11">
        <v>-110</v>
      </c>
      <c r="L90" s="12">
        <v>0</v>
      </c>
    </row>
    <row r="91" spans="1:12" x14ac:dyDescent="0.25">
      <c r="A91" s="11">
        <v>-643</v>
      </c>
      <c r="B91" s="12">
        <v>0.73314000000000001</v>
      </c>
      <c r="F91" s="11">
        <v>-317</v>
      </c>
      <c r="G91" s="12">
        <v>0</v>
      </c>
      <c r="K91" s="11">
        <v>-109</v>
      </c>
      <c r="L91" s="12">
        <v>0</v>
      </c>
    </row>
    <row r="92" spans="1:12" x14ac:dyDescent="0.25">
      <c r="A92" s="11">
        <v>-642</v>
      </c>
      <c r="B92" s="12">
        <v>0.73316000000000003</v>
      </c>
      <c r="F92" s="11">
        <v>-316</v>
      </c>
      <c r="G92" s="12">
        <v>0</v>
      </c>
      <c r="K92" s="11">
        <v>-108</v>
      </c>
      <c r="L92" s="12">
        <v>0</v>
      </c>
    </row>
    <row r="93" spans="1:12" x14ac:dyDescent="0.25">
      <c r="A93" s="11">
        <v>-641</v>
      </c>
      <c r="B93" s="12">
        <v>0.73318000000000005</v>
      </c>
      <c r="F93" s="11">
        <v>-315</v>
      </c>
      <c r="G93" s="12">
        <v>0</v>
      </c>
      <c r="K93" s="11">
        <v>-107</v>
      </c>
      <c r="L93" s="12">
        <v>0</v>
      </c>
    </row>
    <row r="94" spans="1:12" x14ac:dyDescent="0.25">
      <c r="A94" s="11">
        <v>-640</v>
      </c>
      <c r="B94" s="12">
        <v>0.73319999999999996</v>
      </c>
      <c r="F94" s="11">
        <v>-314</v>
      </c>
      <c r="G94" s="12">
        <v>0</v>
      </c>
      <c r="K94" s="11">
        <v>-106</v>
      </c>
      <c r="L94" s="12">
        <v>0</v>
      </c>
    </row>
    <row r="95" spans="1:12" x14ac:dyDescent="0.25">
      <c r="A95" s="11">
        <v>-639</v>
      </c>
      <c r="B95" s="12">
        <v>0.73321999999999998</v>
      </c>
      <c r="F95" s="11">
        <v>-313</v>
      </c>
      <c r="G95" s="12">
        <v>0</v>
      </c>
      <c r="K95" s="11">
        <v>-105</v>
      </c>
      <c r="L95" s="12">
        <v>0</v>
      </c>
    </row>
    <row r="96" spans="1:12" x14ac:dyDescent="0.25">
      <c r="A96" s="11">
        <v>-638</v>
      </c>
      <c r="B96" s="12">
        <v>0.73324</v>
      </c>
      <c r="F96" s="11">
        <v>-312</v>
      </c>
      <c r="G96" s="12">
        <v>0</v>
      </c>
      <c r="K96" s="11">
        <v>-104</v>
      </c>
      <c r="L96" s="12">
        <v>0</v>
      </c>
    </row>
    <row r="97" spans="1:12" x14ac:dyDescent="0.25">
      <c r="A97" s="11">
        <v>-637</v>
      </c>
      <c r="B97" s="12">
        <v>0.73326000000000002</v>
      </c>
      <c r="F97" s="11">
        <v>-311</v>
      </c>
      <c r="G97" s="12">
        <v>0</v>
      </c>
      <c r="K97" s="11">
        <v>-103</v>
      </c>
      <c r="L97" s="12">
        <v>0</v>
      </c>
    </row>
    <row r="98" spans="1:12" x14ac:dyDescent="0.25">
      <c r="A98" s="11">
        <v>-636</v>
      </c>
      <c r="B98" s="12">
        <v>0.73328000000000004</v>
      </c>
      <c r="F98" s="11">
        <v>-310</v>
      </c>
      <c r="G98" s="12">
        <v>0</v>
      </c>
      <c r="K98" s="11">
        <v>-102</v>
      </c>
      <c r="L98" s="12">
        <v>0</v>
      </c>
    </row>
    <row r="99" spans="1:12" x14ac:dyDescent="0.25">
      <c r="A99" s="11">
        <v>-635</v>
      </c>
      <c r="B99" s="12">
        <v>0.73329999999999995</v>
      </c>
      <c r="F99" s="11">
        <v>-309</v>
      </c>
      <c r="G99" s="12">
        <v>0</v>
      </c>
      <c r="K99" s="11">
        <v>-101</v>
      </c>
      <c r="L99" s="12">
        <v>0</v>
      </c>
    </row>
    <row r="100" spans="1:12" x14ac:dyDescent="0.25">
      <c r="A100" s="11">
        <v>-634</v>
      </c>
      <c r="B100" s="12">
        <v>0.73331999999999997</v>
      </c>
      <c r="F100" s="11">
        <v>-308</v>
      </c>
      <c r="G100" s="12">
        <v>0</v>
      </c>
      <c r="K100" s="11">
        <v>-100</v>
      </c>
      <c r="L100" s="12">
        <v>0</v>
      </c>
    </row>
    <row r="101" spans="1:12" x14ac:dyDescent="0.25">
      <c r="A101" s="11">
        <v>-633</v>
      </c>
      <c r="B101" s="12">
        <v>0.73333999999999999</v>
      </c>
      <c r="F101" s="11">
        <v>-307</v>
      </c>
      <c r="G101" s="12">
        <v>0</v>
      </c>
      <c r="K101" s="11">
        <v>-99</v>
      </c>
      <c r="L101" s="12">
        <v>0</v>
      </c>
    </row>
    <row r="102" spans="1:12" x14ac:dyDescent="0.25">
      <c r="A102" s="11">
        <v>-632</v>
      </c>
      <c r="B102" s="12">
        <v>0.73336000000000001</v>
      </c>
      <c r="F102" s="11">
        <v>-306</v>
      </c>
      <c r="G102" s="12">
        <v>0</v>
      </c>
      <c r="K102" s="11">
        <v>-98</v>
      </c>
      <c r="L102" s="12">
        <v>0</v>
      </c>
    </row>
    <row r="103" spans="1:12" x14ac:dyDescent="0.25">
      <c r="A103" s="11">
        <v>-631</v>
      </c>
      <c r="B103" s="12">
        <v>0.73338000000000003</v>
      </c>
      <c r="F103" s="11">
        <v>-305</v>
      </c>
      <c r="G103" s="12">
        <v>0</v>
      </c>
      <c r="K103" s="11">
        <v>-97</v>
      </c>
      <c r="L103" s="12">
        <v>0</v>
      </c>
    </row>
    <row r="104" spans="1:12" x14ac:dyDescent="0.25">
      <c r="A104" s="11">
        <v>-630</v>
      </c>
      <c r="B104" s="12">
        <v>0.73340000000000005</v>
      </c>
      <c r="F104" s="11">
        <v>-304</v>
      </c>
      <c r="G104" s="12">
        <v>0</v>
      </c>
      <c r="K104" s="11">
        <v>-96</v>
      </c>
      <c r="L104" s="12">
        <v>0</v>
      </c>
    </row>
    <row r="105" spans="1:12" x14ac:dyDescent="0.25">
      <c r="A105" s="11">
        <v>-629</v>
      </c>
      <c r="B105" s="12">
        <v>0.73341999999999996</v>
      </c>
      <c r="F105" s="11">
        <v>-303</v>
      </c>
      <c r="G105" s="12">
        <v>0</v>
      </c>
      <c r="K105" s="11">
        <v>-95</v>
      </c>
      <c r="L105" s="12">
        <v>0</v>
      </c>
    </row>
    <row r="106" spans="1:12" x14ac:dyDescent="0.25">
      <c r="A106" s="11">
        <v>-628</v>
      </c>
      <c r="B106" s="12">
        <v>0.73343999999999998</v>
      </c>
      <c r="F106" s="11">
        <v>-302</v>
      </c>
      <c r="G106" s="12">
        <v>0</v>
      </c>
      <c r="K106" s="11">
        <v>-94</v>
      </c>
      <c r="L106" s="12">
        <v>0</v>
      </c>
    </row>
    <row r="107" spans="1:12" x14ac:dyDescent="0.25">
      <c r="A107" s="11">
        <v>-627</v>
      </c>
      <c r="B107" s="12">
        <v>0.73346</v>
      </c>
      <c r="F107" s="11">
        <v>-301</v>
      </c>
      <c r="G107" s="12">
        <v>0</v>
      </c>
      <c r="K107" s="11">
        <v>-93</v>
      </c>
      <c r="L107" s="12">
        <v>0</v>
      </c>
    </row>
    <row r="108" spans="1:12" x14ac:dyDescent="0.25">
      <c r="A108" s="11">
        <v>-626</v>
      </c>
      <c r="B108" s="12">
        <v>0.73348000000000002</v>
      </c>
      <c r="F108" s="11">
        <v>-300</v>
      </c>
      <c r="G108" s="12">
        <v>0</v>
      </c>
      <c r="K108" s="11">
        <v>-92</v>
      </c>
      <c r="L108" s="12">
        <v>0</v>
      </c>
    </row>
    <row r="109" spans="1:12" x14ac:dyDescent="0.25">
      <c r="A109" s="11">
        <v>-625</v>
      </c>
      <c r="B109" s="12">
        <v>0.73350000000000004</v>
      </c>
      <c r="F109" s="11">
        <v>-299</v>
      </c>
      <c r="G109" s="12">
        <v>0</v>
      </c>
      <c r="K109" s="11">
        <v>-91</v>
      </c>
      <c r="L109" s="12">
        <v>0</v>
      </c>
    </row>
    <row r="110" spans="1:12" x14ac:dyDescent="0.25">
      <c r="A110" s="11">
        <v>-624</v>
      </c>
      <c r="B110" s="12">
        <v>0.73351999999999995</v>
      </c>
      <c r="F110" s="11">
        <v>-298</v>
      </c>
      <c r="G110" s="12">
        <v>0</v>
      </c>
      <c r="K110" s="11">
        <v>-90</v>
      </c>
      <c r="L110" s="12">
        <v>0</v>
      </c>
    </row>
    <row r="111" spans="1:12" x14ac:dyDescent="0.25">
      <c r="A111" s="11">
        <v>-623</v>
      </c>
      <c r="B111" s="12">
        <v>0.73353999999999997</v>
      </c>
      <c r="F111" s="11">
        <v>-297</v>
      </c>
      <c r="G111" s="12">
        <v>0</v>
      </c>
      <c r="K111" s="11">
        <v>-89</v>
      </c>
      <c r="L111" s="12">
        <v>0</v>
      </c>
    </row>
    <row r="112" spans="1:12" x14ac:dyDescent="0.25">
      <c r="A112" s="11">
        <v>-622</v>
      </c>
      <c r="B112" s="12">
        <v>0.73355999999999999</v>
      </c>
      <c r="F112" s="11">
        <v>-296</v>
      </c>
      <c r="G112" s="12">
        <v>0</v>
      </c>
      <c r="K112" s="11">
        <v>-88</v>
      </c>
      <c r="L112" s="12">
        <v>0</v>
      </c>
    </row>
    <row r="113" spans="1:12" x14ac:dyDescent="0.25">
      <c r="A113" s="11">
        <v>-621</v>
      </c>
      <c r="B113" s="12">
        <v>0.73358000000000001</v>
      </c>
      <c r="F113" s="11">
        <v>-295</v>
      </c>
      <c r="G113" s="12">
        <v>0</v>
      </c>
      <c r="K113" s="11">
        <v>-87</v>
      </c>
      <c r="L113" s="12">
        <v>0</v>
      </c>
    </row>
    <row r="114" spans="1:12" x14ac:dyDescent="0.25">
      <c r="A114" s="11">
        <v>-620</v>
      </c>
      <c r="B114" s="12">
        <v>0.73360000000000003</v>
      </c>
      <c r="F114" s="11">
        <v>-294</v>
      </c>
      <c r="G114" s="12">
        <v>0</v>
      </c>
      <c r="K114" s="11">
        <v>-86</v>
      </c>
      <c r="L114" s="12">
        <v>0</v>
      </c>
    </row>
    <row r="115" spans="1:12" x14ac:dyDescent="0.25">
      <c r="A115" s="11">
        <v>-619</v>
      </c>
      <c r="B115" s="12">
        <v>0.73362000000000005</v>
      </c>
      <c r="F115" s="11">
        <v>-293</v>
      </c>
      <c r="G115" s="12">
        <v>0</v>
      </c>
      <c r="K115" s="11">
        <v>-85</v>
      </c>
      <c r="L115" s="12">
        <v>0</v>
      </c>
    </row>
    <row r="116" spans="1:12" x14ac:dyDescent="0.25">
      <c r="A116" s="11">
        <v>-618</v>
      </c>
      <c r="B116" s="12">
        <v>0.73363999999999996</v>
      </c>
      <c r="F116" s="11">
        <v>-292</v>
      </c>
      <c r="G116" s="12">
        <v>0</v>
      </c>
      <c r="K116" s="11">
        <v>-84</v>
      </c>
      <c r="L116" s="12">
        <v>0</v>
      </c>
    </row>
    <row r="117" spans="1:12" x14ac:dyDescent="0.25">
      <c r="A117" s="11">
        <v>-617</v>
      </c>
      <c r="B117" s="12">
        <v>0.73365999999999998</v>
      </c>
      <c r="F117" s="11">
        <v>-291</v>
      </c>
      <c r="G117" s="12">
        <v>0</v>
      </c>
      <c r="K117" s="11">
        <v>-83</v>
      </c>
      <c r="L117" s="12">
        <v>0</v>
      </c>
    </row>
    <row r="118" spans="1:12" x14ac:dyDescent="0.25">
      <c r="A118" s="11">
        <v>-616</v>
      </c>
      <c r="B118" s="12">
        <v>0.73368</v>
      </c>
      <c r="F118" s="11">
        <v>-290</v>
      </c>
      <c r="G118" s="12">
        <v>0</v>
      </c>
      <c r="K118" s="11">
        <v>-82</v>
      </c>
      <c r="L118" s="12">
        <v>0</v>
      </c>
    </row>
    <row r="119" spans="1:12" x14ac:dyDescent="0.25">
      <c r="A119" s="11">
        <v>-615</v>
      </c>
      <c r="B119" s="12">
        <v>0.73370000000000002</v>
      </c>
      <c r="F119" s="11">
        <v>-289</v>
      </c>
      <c r="G119" s="12">
        <v>0</v>
      </c>
      <c r="K119" s="11">
        <v>-81</v>
      </c>
      <c r="L119" s="12">
        <v>0</v>
      </c>
    </row>
    <row r="120" spans="1:12" x14ac:dyDescent="0.25">
      <c r="A120" s="11">
        <v>-614</v>
      </c>
      <c r="B120" s="12">
        <v>0.73372000000000004</v>
      </c>
      <c r="F120" s="11">
        <v>-288</v>
      </c>
      <c r="G120" s="12">
        <v>0</v>
      </c>
      <c r="K120" s="11">
        <v>-80</v>
      </c>
      <c r="L120" s="12">
        <v>0</v>
      </c>
    </row>
    <row r="121" spans="1:12" x14ac:dyDescent="0.25">
      <c r="A121" s="11">
        <v>-613</v>
      </c>
      <c r="B121" s="12">
        <v>0.73373999999999995</v>
      </c>
      <c r="F121" s="11">
        <v>-287</v>
      </c>
      <c r="G121" s="12">
        <v>0</v>
      </c>
      <c r="K121" s="11">
        <v>-79</v>
      </c>
      <c r="L121" s="12">
        <v>0</v>
      </c>
    </row>
    <row r="122" spans="1:12" x14ac:dyDescent="0.25">
      <c r="A122" s="11">
        <v>-612</v>
      </c>
      <c r="B122" s="12">
        <v>0.73375999999999997</v>
      </c>
      <c r="F122" s="11">
        <v>-286</v>
      </c>
      <c r="G122" s="12">
        <v>0</v>
      </c>
      <c r="K122" s="11">
        <v>-78</v>
      </c>
      <c r="L122" s="12">
        <v>0</v>
      </c>
    </row>
    <row r="123" spans="1:12" x14ac:dyDescent="0.25">
      <c r="A123" s="11">
        <v>-611</v>
      </c>
      <c r="B123" s="12">
        <v>0.73377999999999999</v>
      </c>
      <c r="F123" s="11">
        <v>-285</v>
      </c>
      <c r="G123" s="12">
        <v>0</v>
      </c>
      <c r="K123" s="11">
        <v>-77</v>
      </c>
      <c r="L123" s="12">
        <v>0</v>
      </c>
    </row>
    <row r="124" spans="1:12" x14ac:dyDescent="0.25">
      <c r="A124" s="11">
        <v>-610</v>
      </c>
      <c r="B124" s="12">
        <v>0.73380000000000001</v>
      </c>
      <c r="F124" s="11">
        <v>-284</v>
      </c>
      <c r="G124" s="12">
        <v>0</v>
      </c>
      <c r="K124" s="11">
        <v>-76</v>
      </c>
      <c r="L124" s="12">
        <v>0</v>
      </c>
    </row>
    <row r="125" spans="1:12" x14ac:dyDescent="0.25">
      <c r="A125" s="11">
        <v>-609</v>
      </c>
      <c r="B125" s="12">
        <v>0.73382000000000003</v>
      </c>
      <c r="F125" s="11">
        <v>-283</v>
      </c>
      <c r="G125" s="12">
        <v>0</v>
      </c>
      <c r="K125" s="11">
        <v>-75</v>
      </c>
      <c r="L125" s="12">
        <v>0</v>
      </c>
    </row>
    <row r="126" spans="1:12" x14ac:dyDescent="0.25">
      <c r="A126" s="11">
        <v>-608</v>
      </c>
      <c r="B126" s="12">
        <v>0.73384000000000005</v>
      </c>
      <c r="F126" s="11">
        <v>-282</v>
      </c>
      <c r="G126" s="12">
        <v>0</v>
      </c>
      <c r="K126" s="11">
        <v>-74</v>
      </c>
      <c r="L126" s="12">
        <v>0</v>
      </c>
    </row>
    <row r="127" spans="1:12" x14ac:dyDescent="0.25">
      <c r="A127" s="11">
        <v>-607</v>
      </c>
      <c r="B127" s="12">
        <v>0.73385999999999996</v>
      </c>
      <c r="F127" s="11">
        <v>-281</v>
      </c>
      <c r="G127" s="12">
        <v>0</v>
      </c>
      <c r="K127" s="11">
        <v>-73</v>
      </c>
      <c r="L127" s="12">
        <v>0</v>
      </c>
    </row>
    <row r="128" spans="1:12" x14ac:dyDescent="0.25">
      <c r="A128" s="11">
        <v>-606</v>
      </c>
      <c r="B128" s="12">
        <v>0.73387999999999998</v>
      </c>
      <c r="F128" s="11">
        <v>-280</v>
      </c>
      <c r="G128" s="12">
        <v>0</v>
      </c>
      <c r="K128" s="11">
        <v>-72</v>
      </c>
      <c r="L128" s="12">
        <v>0</v>
      </c>
    </row>
    <row r="129" spans="1:12" x14ac:dyDescent="0.25">
      <c r="A129" s="11">
        <v>-605</v>
      </c>
      <c r="B129" s="12">
        <v>0.7339</v>
      </c>
      <c r="F129" s="11">
        <v>-279</v>
      </c>
      <c r="G129" s="12">
        <v>0</v>
      </c>
      <c r="K129" s="11">
        <v>-71</v>
      </c>
      <c r="L129" s="12">
        <v>0</v>
      </c>
    </row>
    <row r="130" spans="1:12" x14ac:dyDescent="0.25">
      <c r="A130" s="11">
        <v>-604</v>
      </c>
      <c r="B130" s="12">
        <v>0.73392000000000002</v>
      </c>
      <c r="F130" s="11">
        <v>-278</v>
      </c>
      <c r="G130" s="12">
        <v>0</v>
      </c>
      <c r="K130" s="11">
        <v>-70</v>
      </c>
      <c r="L130" s="12">
        <v>0</v>
      </c>
    </row>
    <row r="131" spans="1:12" x14ac:dyDescent="0.25">
      <c r="A131" s="11">
        <v>-603</v>
      </c>
      <c r="B131" s="12">
        <v>0.73394000000000004</v>
      </c>
      <c r="F131" s="11">
        <v>-277</v>
      </c>
      <c r="G131" s="12">
        <v>0</v>
      </c>
      <c r="K131" s="11">
        <v>-69</v>
      </c>
      <c r="L131" s="12">
        <v>0</v>
      </c>
    </row>
    <row r="132" spans="1:12" x14ac:dyDescent="0.25">
      <c r="A132" s="11">
        <v>-602</v>
      </c>
      <c r="B132" s="12">
        <v>0.73395999999999995</v>
      </c>
      <c r="F132" s="11">
        <v>-276</v>
      </c>
      <c r="G132" s="12">
        <v>0</v>
      </c>
      <c r="K132" s="11">
        <v>-68</v>
      </c>
      <c r="L132" s="12">
        <v>0</v>
      </c>
    </row>
    <row r="133" spans="1:12" x14ac:dyDescent="0.25">
      <c r="A133" s="11">
        <v>-601</v>
      </c>
      <c r="B133" s="12">
        <v>0.73397999999999997</v>
      </c>
      <c r="F133" s="11">
        <v>-275</v>
      </c>
      <c r="G133" s="12">
        <v>0</v>
      </c>
      <c r="K133" s="11">
        <v>-67</v>
      </c>
      <c r="L133" s="12">
        <v>0</v>
      </c>
    </row>
    <row r="134" spans="1:12" x14ac:dyDescent="0.25">
      <c r="A134" s="11">
        <v>-600</v>
      </c>
      <c r="B134" s="12">
        <v>0.73399999999999999</v>
      </c>
      <c r="F134" s="11">
        <v>-274</v>
      </c>
      <c r="G134" s="12">
        <v>0</v>
      </c>
      <c r="K134" s="11">
        <v>-66</v>
      </c>
      <c r="L134" s="12">
        <v>0</v>
      </c>
    </row>
    <row r="135" spans="1:12" x14ac:dyDescent="0.25">
      <c r="A135" s="11">
        <v>-599</v>
      </c>
      <c r="B135" s="12">
        <v>0.73401990100000003</v>
      </c>
      <c r="F135" s="11">
        <v>-273</v>
      </c>
      <c r="G135" s="12">
        <v>0</v>
      </c>
      <c r="K135" s="11">
        <v>-65</v>
      </c>
      <c r="L135" s="12">
        <v>0</v>
      </c>
    </row>
    <row r="136" spans="1:12" x14ac:dyDescent="0.25">
      <c r="A136" s="11">
        <v>-598</v>
      </c>
      <c r="B136" s="12">
        <v>0.73403960800000001</v>
      </c>
      <c r="F136" s="11">
        <v>-272</v>
      </c>
      <c r="G136" s="12">
        <v>0</v>
      </c>
      <c r="K136" s="11">
        <v>-64</v>
      </c>
      <c r="L136" s="12">
        <v>0</v>
      </c>
    </row>
    <row r="137" spans="1:12" x14ac:dyDescent="0.25">
      <c r="A137" s="11">
        <v>-597</v>
      </c>
      <c r="B137" s="12">
        <v>0.73405912699999998</v>
      </c>
      <c r="F137" s="11">
        <v>-271</v>
      </c>
      <c r="G137" s="12">
        <v>0</v>
      </c>
      <c r="K137" s="11">
        <v>-63</v>
      </c>
      <c r="L137" s="12">
        <v>0</v>
      </c>
    </row>
    <row r="138" spans="1:12" x14ac:dyDescent="0.25">
      <c r="A138" s="11">
        <v>-596</v>
      </c>
      <c r="B138" s="12">
        <v>0.73407846399999999</v>
      </c>
      <c r="F138" s="11">
        <v>-270</v>
      </c>
      <c r="G138" s="12">
        <v>0</v>
      </c>
      <c r="K138" s="11">
        <v>-62</v>
      </c>
      <c r="L138" s="12">
        <v>0</v>
      </c>
    </row>
    <row r="139" spans="1:12" x14ac:dyDescent="0.25">
      <c r="A139" s="11">
        <v>-595</v>
      </c>
      <c r="B139" s="12">
        <v>0.73409762499999998</v>
      </c>
      <c r="F139" s="11">
        <v>-269</v>
      </c>
      <c r="G139" s="12">
        <v>0</v>
      </c>
      <c r="K139" s="11">
        <v>-61</v>
      </c>
      <c r="L139" s="12">
        <v>0</v>
      </c>
    </row>
    <row r="140" spans="1:12" x14ac:dyDescent="0.25">
      <c r="A140" s="11">
        <v>-594</v>
      </c>
      <c r="B140" s="12">
        <v>0.734116616</v>
      </c>
      <c r="F140" s="11">
        <v>-268</v>
      </c>
      <c r="G140" s="12">
        <v>0</v>
      </c>
      <c r="K140" s="11">
        <v>-60</v>
      </c>
      <c r="L140" s="12">
        <v>0</v>
      </c>
    </row>
    <row r="141" spans="1:12" x14ac:dyDescent="0.25">
      <c r="A141" s="11">
        <v>-593</v>
      </c>
      <c r="B141" s="12">
        <v>0.734135443</v>
      </c>
      <c r="F141" s="11">
        <v>-267</v>
      </c>
      <c r="G141" s="12">
        <v>0</v>
      </c>
      <c r="K141" s="11">
        <v>-59</v>
      </c>
      <c r="L141" s="12">
        <v>0</v>
      </c>
    </row>
    <row r="142" spans="1:12" x14ac:dyDescent="0.25">
      <c r="A142" s="11">
        <v>-592</v>
      </c>
      <c r="B142" s="12">
        <v>0.73415411200000003</v>
      </c>
      <c r="F142" s="11">
        <v>-266</v>
      </c>
      <c r="G142" s="12">
        <v>0</v>
      </c>
      <c r="K142" s="11">
        <v>-58</v>
      </c>
      <c r="L142" s="12">
        <v>0</v>
      </c>
    </row>
    <row r="143" spans="1:12" x14ac:dyDescent="0.25">
      <c r="A143" s="11">
        <v>-591</v>
      </c>
      <c r="B143" s="12">
        <v>0.73417262900000002</v>
      </c>
      <c r="F143" s="11">
        <v>-265</v>
      </c>
      <c r="G143" s="12">
        <v>0</v>
      </c>
      <c r="K143" s="11">
        <v>-57</v>
      </c>
      <c r="L143" s="12">
        <v>0</v>
      </c>
    </row>
    <row r="144" spans="1:12" x14ac:dyDescent="0.25">
      <c r="A144" s="11">
        <v>-590</v>
      </c>
      <c r="B144" s="12">
        <v>0.73419100000000004</v>
      </c>
      <c r="F144" s="11">
        <v>-264</v>
      </c>
      <c r="G144" s="12">
        <v>0</v>
      </c>
      <c r="K144" s="11">
        <v>-56</v>
      </c>
      <c r="L144" s="12">
        <v>0</v>
      </c>
    </row>
    <row r="145" spans="1:12" x14ac:dyDescent="0.25">
      <c r="A145" s="11">
        <v>-589</v>
      </c>
      <c r="B145" s="12">
        <v>0.73420923100000002</v>
      </c>
      <c r="F145" s="11">
        <v>-263</v>
      </c>
      <c r="G145" s="12">
        <v>0</v>
      </c>
      <c r="K145" s="11">
        <v>-55</v>
      </c>
      <c r="L145" s="12">
        <v>0</v>
      </c>
    </row>
    <row r="146" spans="1:12" x14ac:dyDescent="0.25">
      <c r="A146" s="11">
        <v>-588</v>
      </c>
      <c r="B146" s="12">
        <v>0.73422732800000001</v>
      </c>
      <c r="F146" s="11">
        <v>-262</v>
      </c>
      <c r="G146" s="12">
        <v>0</v>
      </c>
      <c r="K146" s="11">
        <v>-54</v>
      </c>
      <c r="L146" s="12">
        <v>0</v>
      </c>
    </row>
    <row r="147" spans="1:12" x14ac:dyDescent="0.25">
      <c r="A147" s="11">
        <v>-587</v>
      </c>
      <c r="B147" s="12">
        <v>0.73424529699999996</v>
      </c>
      <c r="F147" s="11">
        <v>-261</v>
      </c>
      <c r="G147" s="12">
        <v>0</v>
      </c>
      <c r="K147" s="11">
        <v>-53</v>
      </c>
      <c r="L147" s="12">
        <v>0</v>
      </c>
    </row>
    <row r="148" spans="1:12" x14ac:dyDescent="0.25">
      <c r="A148" s="11">
        <v>-586</v>
      </c>
      <c r="B148" s="12">
        <v>0.73426314400000003</v>
      </c>
      <c r="F148" s="11">
        <v>-260</v>
      </c>
      <c r="G148" s="12">
        <v>0</v>
      </c>
      <c r="K148" s="11">
        <v>-52</v>
      </c>
      <c r="L148" s="12">
        <v>0</v>
      </c>
    </row>
    <row r="149" spans="1:12" x14ac:dyDescent="0.25">
      <c r="A149" s="11">
        <v>-585</v>
      </c>
      <c r="B149" s="12">
        <v>0.73428087500000006</v>
      </c>
      <c r="F149" s="11">
        <v>-259</v>
      </c>
      <c r="G149" s="12">
        <v>0</v>
      </c>
      <c r="K149" s="11">
        <v>-51</v>
      </c>
      <c r="L149" s="12">
        <v>0</v>
      </c>
    </row>
    <row r="150" spans="1:12" x14ac:dyDescent="0.25">
      <c r="A150" s="11">
        <v>-584</v>
      </c>
      <c r="B150" s="12">
        <v>0.73429849599999997</v>
      </c>
      <c r="F150" s="11">
        <v>-258</v>
      </c>
      <c r="G150" s="12">
        <v>0</v>
      </c>
      <c r="K150" s="11">
        <v>-50</v>
      </c>
      <c r="L150" s="12">
        <v>1.6307970245131201E-3</v>
      </c>
    </row>
    <row r="151" spans="1:12" x14ac:dyDescent="0.25">
      <c r="A151" s="11">
        <v>-583</v>
      </c>
      <c r="B151" s="12">
        <v>0.73431601300000005</v>
      </c>
      <c r="F151" s="11">
        <v>-257</v>
      </c>
      <c r="G151" s="12">
        <v>0</v>
      </c>
      <c r="K151" s="11">
        <v>-49</v>
      </c>
      <c r="L151" s="12">
        <v>6.4255083267172001E-3</v>
      </c>
    </row>
    <row r="152" spans="1:12" x14ac:dyDescent="0.25">
      <c r="A152" s="11">
        <v>-582</v>
      </c>
      <c r="B152" s="12">
        <v>0.73433343200000001</v>
      </c>
      <c r="F152" s="11">
        <v>-256</v>
      </c>
      <c r="G152" s="12">
        <v>0</v>
      </c>
      <c r="K152" s="11">
        <v>-48</v>
      </c>
      <c r="L152" s="12">
        <v>1.4237614249609299E-2</v>
      </c>
    </row>
    <row r="153" spans="1:12" x14ac:dyDescent="0.25">
      <c r="A153" s="11">
        <v>-581</v>
      </c>
      <c r="B153" s="12">
        <v>0.73435075900000002</v>
      </c>
      <c r="F153" s="11">
        <v>-255</v>
      </c>
      <c r="G153" s="12">
        <v>0</v>
      </c>
      <c r="K153" s="11">
        <v>-47</v>
      </c>
      <c r="L153" s="12">
        <v>2.49205951361866E-2</v>
      </c>
    </row>
    <row r="154" spans="1:12" x14ac:dyDescent="0.25">
      <c r="A154" s="11">
        <v>-580</v>
      </c>
      <c r="B154" s="12">
        <v>0.73436800000000002</v>
      </c>
      <c r="F154" s="11">
        <v>-254</v>
      </c>
      <c r="G154" s="12">
        <v>0</v>
      </c>
      <c r="K154" s="11">
        <v>-46</v>
      </c>
      <c r="L154" s="12">
        <v>3.8327931329446098E-2</v>
      </c>
    </row>
    <row r="155" spans="1:12" x14ac:dyDescent="0.25">
      <c r="A155" s="11">
        <v>-579</v>
      </c>
      <c r="B155" s="12">
        <v>0.73438516099999995</v>
      </c>
      <c r="F155" s="11">
        <v>-253</v>
      </c>
      <c r="G155" s="12">
        <v>0</v>
      </c>
      <c r="K155" s="11">
        <v>-45</v>
      </c>
      <c r="L155" s="12">
        <v>5.4313103172384802E-2</v>
      </c>
    </row>
    <row r="156" spans="1:12" x14ac:dyDescent="0.25">
      <c r="A156" s="11">
        <v>-578</v>
      </c>
      <c r="B156" s="12">
        <v>0.73440224799999998</v>
      </c>
      <c r="F156" s="11">
        <v>-252</v>
      </c>
      <c r="G156" s="12">
        <v>0</v>
      </c>
      <c r="K156" s="11">
        <v>-44</v>
      </c>
      <c r="L156" s="12">
        <v>7.2729591008E-2</v>
      </c>
    </row>
    <row r="157" spans="1:12" x14ac:dyDescent="0.25">
      <c r="A157" s="11">
        <v>-577</v>
      </c>
      <c r="B157" s="12">
        <v>0.73441926700000004</v>
      </c>
      <c r="F157" s="11">
        <v>-251</v>
      </c>
      <c r="G157" s="12">
        <v>0</v>
      </c>
      <c r="K157" s="11">
        <v>-43</v>
      </c>
      <c r="L157" s="12">
        <v>9.3430875179288594E-2</v>
      </c>
    </row>
    <row r="158" spans="1:12" x14ac:dyDescent="0.25">
      <c r="A158" s="11">
        <v>-576</v>
      </c>
      <c r="B158" s="12">
        <v>0.73443622399999997</v>
      </c>
      <c r="F158" s="11">
        <v>-250</v>
      </c>
      <c r="G158" s="12">
        <v>0</v>
      </c>
      <c r="K158" s="11">
        <v>-42</v>
      </c>
      <c r="L158" s="12">
        <v>0.116270436029248</v>
      </c>
    </row>
    <row r="159" spans="1:12" x14ac:dyDescent="0.25">
      <c r="A159" s="11">
        <v>-575</v>
      </c>
      <c r="B159" s="12">
        <v>0.73445312500000004</v>
      </c>
      <c r="F159" s="11">
        <v>-249</v>
      </c>
      <c r="G159" s="12">
        <v>0</v>
      </c>
      <c r="K159" s="11">
        <v>-41</v>
      </c>
      <c r="L159" s="12">
        <v>0.14110175390087501</v>
      </c>
    </row>
    <row r="160" spans="1:12" x14ac:dyDescent="0.25">
      <c r="A160" s="11">
        <v>-574</v>
      </c>
      <c r="B160" s="12">
        <v>0.73446997599999997</v>
      </c>
      <c r="F160" s="11">
        <v>-248</v>
      </c>
      <c r="G160" s="12">
        <v>0</v>
      </c>
      <c r="K160" s="11">
        <v>-40</v>
      </c>
      <c r="L160" s="12">
        <v>0.16777830913716599</v>
      </c>
    </row>
    <row r="161" spans="1:12" x14ac:dyDescent="0.25">
      <c r="A161" s="11">
        <v>-573</v>
      </c>
      <c r="B161" s="12">
        <v>0.73448678300000003</v>
      </c>
      <c r="F161" s="11">
        <v>-247</v>
      </c>
      <c r="G161" s="12">
        <v>0</v>
      </c>
      <c r="K161" s="11">
        <v>-39</v>
      </c>
      <c r="L161" s="12">
        <v>0.19615358208111899</v>
      </c>
    </row>
    <row r="162" spans="1:12" x14ac:dyDescent="0.25">
      <c r="A162" s="11">
        <v>-572</v>
      </c>
      <c r="B162" s="12">
        <v>0.73450355199999995</v>
      </c>
      <c r="F162" s="11">
        <v>-246</v>
      </c>
      <c r="G162" s="12">
        <v>0</v>
      </c>
      <c r="K162" s="11">
        <v>-38</v>
      </c>
      <c r="L162" s="12">
        <v>0.22608105307573201</v>
      </c>
    </row>
    <row r="163" spans="1:12" x14ac:dyDescent="0.25">
      <c r="A163" s="11">
        <v>-571</v>
      </c>
      <c r="B163" s="12">
        <v>0.73452028899999999</v>
      </c>
      <c r="F163" s="11">
        <v>-245</v>
      </c>
      <c r="G163" s="12">
        <v>0</v>
      </c>
      <c r="K163" s="11">
        <v>-37</v>
      </c>
      <c r="L163" s="12">
        <v>0.25741420246399999</v>
      </c>
    </row>
    <row r="164" spans="1:12" x14ac:dyDescent="0.25">
      <c r="A164" s="11">
        <v>-570</v>
      </c>
      <c r="B164" s="12">
        <v>0.734537</v>
      </c>
      <c r="F164" s="11">
        <v>-244</v>
      </c>
      <c r="G164" s="12">
        <v>0</v>
      </c>
      <c r="K164" s="11">
        <v>-36</v>
      </c>
      <c r="L164" s="12">
        <v>0.29000651058892102</v>
      </c>
    </row>
    <row r="165" spans="1:12" x14ac:dyDescent="0.25">
      <c r="A165" s="11">
        <v>-569</v>
      </c>
      <c r="B165" s="12">
        <v>0.73455369100000001</v>
      </c>
      <c r="F165" s="11">
        <v>-243</v>
      </c>
      <c r="G165" s="12">
        <v>0</v>
      </c>
      <c r="K165" s="11">
        <v>-35</v>
      </c>
      <c r="L165" s="12">
        <v>0.32371145779349297</v>
      </c>
    </row>
    <row r="166" spans="1:12" x14ac:dyDescent="0.25">
      <c r="A166" s="11">
        <v>-568</v>
      </c>
      <c r="B166" s="12">
        <v>0.73457036799999997</v>
      </c>
      <c r="F166" s="11">
        <v>-242</v>
      </c>
      <c r="G166" s="12">
        <v>0</v>
      </c>
      <c r="K166" s="11">
        <v>-34</v>
      </c>
      <c r="L166" s="12">
        <v>0.358382524420711</v>
      </c>
    </row>
    <row r="167" spans="1:12" x14ac:dyDescent="0.25">
      <c r="A167" s="11">
        <v>-567</v>
      </c>
      <c r="B167" s="12">
        <v>0.73458703700000005</v>
      </c>
      <c r="F167" s="11">
        <v>-241</v>
      </c>
      <c r="G167" s="12">
        <v>0</v>
      </c>
      <c r="K167" s="11">
        <v>-33</v>
      </c>
      <c r="L167" s="12">
        <v>0.39387319081357403</v>
      </c>
    </row>
    <row r="168" spans="1:12" x14ac:dyDescent="0.25">
      <c r="A168" s="11">
        <v>-566</v>
      </c>
      <c r="B168" s="12">
        <v>0.73460370399999997</v>
      </c>
      <c r="F168" s="11">
        <v>-240</v>
      </c>
      <c r="G168" s="12">
        <v>0</v>
      </c>
      <c r="K168" s="11">
        <v>-32</v>
      </c>
      <c r="L168" s="12">
        <v>0.43003693731507903</v>
      </c>
    </row>
    <row r="169" spans="1:12" x14ac:dyDescent="0.25">
      <c r="A169" s="11">
        <v>-565</v>
      </c>
      <c r="B169" s="12">
        <v>0.73462037499999999</v>
      </c>
      <c r="F169" s="11">
        <v>-239</v>
      </c>
      <c r="G169" s="12">
        <v>0</v>
      </c>
      <c r="K169" s="11">
        <v>-31</v>
      </c>
      <c r="L169" s="12">
        <v>0.46672724426822199</v>
      </c>
    </row>
    <row r="170" spans="1:12" x14ac:dyDescent="0.25">
      <c r="A170" s="11">
        <v>-564</v>
      </c>
      <c r="B170" s="12">
        <v>0.73463705599999995</v>
      </c>
      <c r="F170" s="11">
        <v>-238</v>
      </c>
      <c r="G170" s="12">
        <v>0</v>
      </c>
      <c r="K170" s="11">
        <v>-30</v>
      </c>
      <c r="L170" s="12">
        <v>0.50379759201600005</v>
      </c>
    </row>
    <row r="171" spans="1:12" x14ac:dyDescent="0.25">
      <c r="A171" s="11">
        <v>-563</v>
      </c>
      <c r="B171" s="12">
        <v>0.73465375300000002</v>
      </c>
      <c r="F171" s="11">
        <v>-237</v>
      </c>
      <c r="G171" s="12">
        <v>0</v>
      </c>
      <c r="K171" s="11">
        <v>-29</v>
      </c>
      <c r="L171" s="12">
        <v>0.54110146090141098</v>
      </c>
    </row>
    <row r="172" spans="1:12" x14ac:dyDescent="0.25">
      <c r="A172" s="11">
        <v>-562</v>
      </c>
      <c r="B172" s="12">
        <v>0.73467047200000002</v>
      </c>
      <c r="F172" s="11">
        <v>-236</v>
      </c>
      <c r="G172" s="12">
        <v>0</v>
      </c>
      <c r="K172" s="11">
        <v>-28</v>
      </c>
      <c r="L172" s="12">
        <v>0.57849233126745203</v>
      </c>
    </row>
    <row r="173" spans="1:12" x14ac:dyDescent="0.25">
      <c r="A173" s="11">
        <v>-561</v>
      </c>
      <c r="B173" s="12">
        <v>0.734687219</v>
      </c>
      <c r="F173" s="11">
        <v>-235</v>
      </c>
      <c r="G173" s="12">
        <v>0</v>
      </c>
      <c r="K173" s="11">
        <v>-27</v>
      </c>
      <c r="L173" s="12">
        <v>0.61582368345712002</v>
      </c>
    </row>
    <row r="174" spans="1:12" x14ac:dyDescent="0.25">
      <c r="A174" s="11">
        <v>-560</v>
      </c>
      <c r="B174" s="12">
        <v>0.73470400000000002</v>
      </c>
      <c r="F174" s="11">
        <v>-234</v>
      </c>
      <c r="G174" s="12">
        <v>0</v>
      </c>
      <c r="K174" s="11">
        <v>-26</v>
      </c>
      <c r="L174" s="12">
        <v>0.65294899781341098</v>
      </c>
    </row>
    <row r="175" spans="1:12" x14ac:dyDescent="0.25">
      <c r="A175" s="11">
        <v>-559</v>
      </c>
      <c r="B175" s="12">
        <v>0.73472082100000002</v>
      </c>
      <c r="F175" s="11">
        <v>-233</v>
      </c>
      <c r="G175" s="12">
        <v>0</v>
      </c>
      <c r="K175" s="11">
        <v>-25</v>
      </c>
      <c r="L175" s="12">
        <v>0.68972175467932395</v>
      </c>
    </row>
    <row r="176" spans="1:12" x14ac:dyDescent="0.25">
      <c r="A176" s="11">
        <v>-558</v>
      </c>
      <c r="B176" s="12">
        <v>0.73473768800000006</v>
      </c>
      <c r="F176" s="11">
        <v>-232</v>
      </c>
      <c r="G176" s="12">
        <v>0</v>
      </c>
      <c r="K176" s="11">
        <v>-24</v>
      </c>
      <c r="L176" s="12">
        <v>0.72599543439785397</v>
      </c>
    </row>
    <row r="177" spans="1:12" x14ac:dyDescent="0.25">
      <c r="A177" s="11">
        <v>-557</v>
      </c>
      <c r="B177" s="12">
        <v>0.73475460699999995</v>
      </c>
      <c r="F177" s="11">
        <v>-231</v>
      </c>
      <c r="G177" s="12">
        <v>0</v>
      </c>
      <c r="K177" s="11">
        <v>-23</v>
      </c>
      <c r="L177" s="12">
        <v>0.76162351731199995</v>
      </c>
    </row>
    <row r="178" spans="1:12" x14ac:dyDescent="0.25">
      <c r="A178" s="11">
        <v>-556</v>
      </c>
      <c r="B178" s="12">
        <v>0.73477158399999998</v>
      </c>
      <c r="F178" s="11">
        <v>-230</v>
      </c>
      <c r="G178" s="12">
        <v>0</v>
      </c>
      <c r="K178" s="11">
        <v>-22</v>
      </c>
      <c r="L178" s="12">
        <v>0.79645948376475795</v>
      </c>
    </row>
    <row r="179" spans="1:12" x14ac:dyDescent="0.25">
      <c r="A179" s="11">
        <v>-555</v>
      </c>
      <c r="B179" s="12">
        <v>0.73478862499999997</v>
      </c>
      <c r="F179" s="11">
        <v>-229</v>
      </c>
      <c r="G179" s="12">
        <v>0</v>
      </c>
      <c r="K179" s="11">
        <v>-21</v>
      </c>
      <c r="L179" s="12">
        <v>0.83035681409912498</v>
      </c>
    </row>
    <row r="180" spans="1:12" x14ac:dyDescent="0.25">
      <c r="A180" s="11">
        <v>-554</v>
      </c>
      <c r="B180" s="12">
        <v>0.73480573599999999</v>
      </c>
      <c r="F180" s="11">
        <v>-228</v>
      </c>
      <c r="G180" s="12">
        <v>0</v>
      </c>
      <c r="K180" s="11">
        <v>-20</v>
      </c>
      <c r="L180" s="12">
        <v>0.86316898865809899</v>
      </c>
    </row>
    <row r="181" spans="1:12" x14ac:dyDescent="0.25">
      <c r="A181" s="11">
        <v>-553</v>
      </c>
      <c r="B181" s="12">
        <v>0.73482292299999996</v>
      </c>
      <c r="F181" s="11">
        <v>-227</v>
      </c>
      <c r="G181" s="12">
        <v>0</v>
      </c>
      <c r="K181" s="11">
        <v>-19</v>
      </c>
      <c r="L181" s="12">
        <v>0.894749487784676</v>
      </c>
    </row>
    <row r="182" spans="1:12" x14ac:dyDescent="0.25">
      <c r="A182" s="11">
        <v>-552</v>
      </c>
      <c r="B182" s="12">
        <v>0.73484019199999995</v>
      </c>
      <c r="F182" s="11">
        <v>-226</v>
      </c>
      <c r="G182" s="12">
        <v>0</v>
      </c>
      <c r="K182" s="11">
        <v>-18</v>
      </c>
      <c r="L182" s="12">
        <v>0.92495179182185405</v>
      </c>
    </row>
    <row r="183" spans="1:12" x14ac:dyDescent="0.25">
      <c r="A183" s="11">
        <v>-551</v>
      </c>
      <c r="B183" s="12">
        <v>0.734857549</v>
      </c>
      <c r="F183" s="11">
        <v>-225</v>
      </c>
      <c r="G183" s="12">
        <v>0</v>
      </c>
      <c r="K183" s="11">
        <v>-17</v>
      </c>
      <c r="L183" s="12">
        <v>0.95362938111262996</v>
      </c>
    </row>
    <row r="184" spans="1:12" x14ac:dyDescent="0.25">
      <c r="A184" s="11">
        <v>-550</v>
      </c>
      <c r="B184" s="12">
        <v>0.73487499999999994</v>
      </c>
      <c r="F184" s="11">
        <v>-224</v>
      </c>
      <c r="G184" s="12">
        <v>0</v>
      </c>
      <c r="K184" s="11">
        <v>-16</v>
      </c>
      <c r="L184" s="12">
        <v>0.98063573599999998</v>
      </c>
    </row>
    <row r="185" spans="1:12" x14ac:dyDescent="0.25">
      <c r="A185" s="11">
        <v>-549</v>
      </c>
      <c r="B185" s="12">
        <v>0.73489255099999995</v>
      </c>
      <c r="F185" s="11">
        <v>-223</v>
      </c>
      <c r="G185" s="12">
        <v>0</v>
      </c>
      <c r="K185" s="11">
        <v>-15</v>
      </c>
      <c r="L185" s="12">
        <v>1.00650945567059</v>
      </c>
    </row>
    <row r="186" spans="1:12" x14ac:dyDescent="0.25">
      <c r="A186" s="11">
        <v>-548</v>
      </c>
      <c r="B186" s="12">
        <v>0.73491020799999995</v>
      </c>
      <c r="F186" s="11">
        <v>-222</v>
      </c>
      <c r="G186" s="12">
        <v>0</v>
      </c>
      <c r="K186" s="11">
        <v>-14</v>
      </c>
      <c r="L186" s="12">
        <v>1.0319096425057099</v>
      </c>
    </row>
    <row r="187" spans="1:12" x14ac:dyDescent="0.25">
      <c r="A187" s="11">
        <v>-547</v>
      </c>
      <c r="B187" s="12">
        <v>0.73492797700000001</v>
      </c>
      <c r="F187" s="11">
        <v>-221</v>
      </c>
      <c r="G187" s="12">
        <v>0</v>
      </c>
      <c r="K187" s="11">
        <v>-13</v>
      </c>
      <c r="L187" s="12">
        <v>1.0568705316403499</v>
      </c>
    </row>
    <row r="188" spans="1:12" x14ac:dyDescent="0.25">
      <c r="A188" s="11">
        <v>-546</v>
      </c>
      <c r="B188" s="12">
        <v>0.73494586399999995</v>
      </c>
      <c r="F188" s="11">
        <v>-220</v>
      </c>
      <c r="G188" s="12">
        <v>0</v>
      </c>
      <c r="K188" s="11">
        <v>-12</v>
      </c>
      <c r="L188" s="12">
        <v>1.08142635820954</v>
      </c>
    </row>
    <row r="189" spans="1:12" x14ac:dyDescent="0.25">
      <c r="A189" s="11">
        <v>-545</v>
      </c>
      <c r="B189" s="12">
        <v>0.73496387500000004</v>
      </c>
      <c r="F189" s="11">
        <v>-219</v>
      </c>
      <c r="G189" s="12">
        <v>0</v>
      </c>
      <c r="K189" s="11">
        <v>-11</v>
      </c>
      <c r="L189" s="12">
        <v>1.10561135734828</v>
      </c>
    </row>
    <row r="190" spans="1:12" x14ac:dyDescent="0.25">
      <c r="A190" s="11">
        <v>-544</v>
      </c>
      <c r="B190" s="12">
        <v>0.73498201600000002</v>
      </c>
      <c r="F190" s="11">
        <v>-218</v>
      </c>
      <c r="G190" s="12">
        <v>0</v>
      </c>
      <c r="K190" s="11">
        <v>-10</v>
      </c>
      <c r="L190" s="12">
        <v>1.12945976419159</v>
      </c>
    </row>
    <row r="191" spans="1:12" x14ac:dyDescent="0.25">
      <c r="A191" s="11">
        <v>-543</v>
      </c>
      <c r="B191" s="12">
        <v>0.73500029300000003</v>
      </c>
      <c r="F191" s="11">
        <v>-217</v>
      </c>
      <c r="G191" s="12">
        <v>0</v>
      </c>
      <c r="K191" s="11">
        <v>-9</v>
      </c>
      <c r="L191" s="12">
        <v>1.1530058138744601</v>
      </c>
    </row>
    <row r="192" spans="1:12" x14ac:dyDescent="0.25">
      <c r="A192" s="11">
        <v>-542</v>
      </c>
      <c r="B192" s="12">
        <v>0.73501871200000002</v>
      </c>
      <c r="F192" s="11">
        <v>-216</v>
      </c>
      <c r="G192" s="12">
        <v>0</v>
      </c>
      <c r="K192" s="11">
        <v>-8</v>
      </c>
      <c r="L192" s="12">
        <v>1.1762837415319201</v>
      </c>
    </row>
    <row r="193" spans="1:12" x14ac:dyDescent="0.25">
      <c r="A193" s="11">
        <v>-541</v>
      </c>
      <c r="B193" s="12">
        <v>0.73503727900000004</v>
      </c>
      <c r="F193" s="11">
        <v>-215</v>
      </c>
      <c r="G193" s="12">
        <v>0</v>
      </c>
      <c r="K193" s="11">
        <v>-7</v>
      </c>
      <c r="L193" s="12">
        <v>1.1993277822989601</v>
      </c>
    </row>
    <row r="194" spans="1:12" x14ac:dyDescent="0.25">
      <c r="A194" s="11">
        <v>-540</v>
      </c>
      <c r="B194" s="12">
        <v>0.73505600000000004</v>
      </c>
      <c r="F194" s="11">
        <v>-214</v>
      </c>
      <c r="G194" s="12">
        <v>0</v>
      </c>
      <c r="K194" s="11">
        <v>-6</v>
      </c>
      <c r="L194" s="12">
        <v>1.22217217131061</v>
      </c>
    </row>
    <row r="195" spans="1:12" x14ac:dyDescent="0.25">
      <c r="A195" s="11">
        <v>-539</v>
      </c>
      <c r="B195" s="12">
        <v>0.73507488099999996</v>
      </c>
      <c r="F195" s="11">
        <v>-213</v>
      </c>
      <c r="G195" s="12">
        <v>0</v>
      </c>
      <c r="K195" s="11">
        <v>-5</v>
      </c>
      <c r="L195" s="12">
        <v>1.2448511437018599</v>
      </c>
    </row>
    <row r="196" spans="1:12" x14ac:dyDescent="0.25">
      <c r="A196" s="11">
        <v>-538</v>
      </c>
      <c r="B196" s="12">
        <v>0.73509392799999995</v>
      </c>
      <c r="F196" s="11">
        <v>-212</v>
      </c>
      <c r="G196" s="12">
        <v>0</v>
      </c>
      <c r="K196" s="11">
        <v>-4</v>
      </c>
      <c r="L196" s="12">
        <v>1.2673989346077399</v>
      </c>
    </row>
    <row r="197" spans="1:12" x14ac:dyDescent="0.25">
      <c r="A197" s="11">
        <v>-537</v>
      </c>
      <c r="B197" s="12">
        <v>0.73511314699999997</v>
      </c>
      <c r="F197" s="11">
        <v>-211</v>
      </c>
      <c r="G197" s="12">
        <v>0</v>
      </c>
      <c r="K197" s="11">
        <v>-3</v>
      </c>
      <c r="L197" s="12">
        <v>1.28984977916324</v>
      </c>
    </row>
    <row r="198" spans="1:12" x14ac:dyDescent="0.25">
      <c r="A198" s="11">
        <v>-536</v>
      </c>
      <c r="B198" s="12">
        <v>0.73513254400000005</v>
      </c>
      <c r="F198" s="11">
        <v>-210</v>
      </c>
      <c r="G198" s="12">
        <v>0</v>
      </c>
      <c r="K198" s="11">
        <v>-2</v>
      </c>
      <c r="L198" s="12">
        <v>1.3122379125033801</v>
      </c>
    </row>
    <row r="199" spans="1:12" x14ac:dyDescent="0.25">
      <c r="A199" s="11">
        <v>-535</v>
      </c>
      <c r="B199" s="12">
        <v>0.73515212500000005</v>
      </c>
      <c r="F199" s="11">
        <v>-209</v>
      </c>
      <c r="G199" s="12">
        <v>0</v>
      </c>
      <c r="K199" s="11">
        <v>-1</v>
      </c>
      <c r="L199" s="12">
        <v>1.33459756976318</v>
      </c>
    </row>
    <row r="200" spans="1:12" x14ac:dyDescent="0.25">
      <c r="A200" s="11">
        <v>-534</v>
      </c>
      <c r="B200" s="12">
        <v>0.73517189599999999</v>
      </c>
      <c r="F200" s="11">
        <v>-208</v>
      </c>
      <c r="G200" s="12">
        <v>0</v>
      </c>
      <c r="K200" s="11">
        <v>0</v>
      </c>
      <c r="L200" s="12">
        <v>1.35696298607762</v>
      </c>
    </row>
    <row r="201" spans="1:12" x14ac:dyDescent="0.25">
      <c r="A201" s="11">
        <v>-533</v>
      </c>
      <c r="B201" s="12">
        <v>0.73519186299999995</v>
      </c>
      <c r="F201" s="11">
        <v>-207</v>
      </c>
      <c r="G201" s="12">
        <v>0</v>
      </c>
      <c r="K201" s="11">
        <v>1</v>
      </c>
      <c r="L201" s="12">
        <v>1.37936839658174</v>
      </c>
    </row>
    <row r="202" spans="1:12" x14ac:dyDescent="0.25">
      <c r="A202" s="11">
        <v>-532</v>
      </c>
      <c r="B202" s="12">
        <v>0.73521203199999996</v>
      </c>
      <c r="F202" s="11">
        <v>-206</v>
      </c>
      <c r="G202" s="12">
        <v>0</v>
      </c>
      <c r="K202" s="11">
        <v>2</v>
      </c>
      <c r="L202" s="12">
        <v>1.4018480364105399</v>
      </c>
    </row>
    <row r="203" spans="1:12" x14ac:dyDescent="0.25">
      <c r="A203" s="11">
        <v>-531</v>
      </c>
      <c r="B203" s="12">
        <v>0.73523240899999998</v>
      </c>
      <c r="F203" s="11">
        <v>-205</v>
      </c>
      <c r="G203" s="12">
        <v>0</v>
      </c>
      <c r="K203" s="11">
        <v>3</v>
      </c>
      <c r="L203" s="12">
        <v>1.42443614069902</v>
      </c>
    </row>
    <row r="204" spans="1:12" x14ac:dyDescent="0.25">
      <c r="A204" s="11">
        <v>-530</v>
      </c>
      <c r="B204" s="12">
        <v>0.73525300000000005</v>
      </c>
      <c r="F204" s="11">
        <v>-204</v>
      </c>
      <c r="G204" s="12">
        <v>0</v>
      </c>
      <c r="K204" s="11">
        <v>4</v>
      </c>
      <c r="L204" s="12">
        <v>1.44716694458219</v>
      </c>
    </row>
    <row r="205" spans="1:12" x14ac:dyDescent="0.25">
      <c r="A205" s="11">
        <v>-529</v>
      </c>
      <c r="B205" s="12">
        <v>0.735273811</v>
      </c>
      <c r="F205" s="11">
        <v>-203</v>
      </c>
      <c r="G205" s="12">
        <v>0</v>
      </c>
      <c r="K205" s="11">
        <v>5</v>
      </c>
      <c r="L205" s="12">
        <v>1.4700746831950799</v>
      </c>
    </row>
    <row r="206" spans="1:12" x14ac:dyDescent="0.25">
      <c r="A206" s="11">
        <v>-528</v>
      </c>
      <c r="B206" s="12">
        <v>0.735294848</v>
      </c>
      <c r="F206" s="11">
        <v>-202</v>
      </c>
      <c r="G206" s="12">
        <v>0</v>
      </c>
      <c r="K206" s="11">
        <v>6</v>
      </c>
      <c r="L206" s="12">
        <v>1.49319359167268</v>
      </c>
    </row>
    <row r="207" spans="1:12" x14ac:dyDescent="0.25">
      <c r="A207" s="11">
        <v>-527</v>
      </c>
      <c r="B207" s="12">
        <v>0.73531611699999999</v>
      </c>
      <c r="F207" s="11">
        <v>-201</v>
      </c>
      <c r="G207" s="12">
        <v>0</v>
      </c>
      <c r="K207" s="11">
        <v>7</v>
      </c>
      <c r="L207" s="12">
        <v>1.51655790515</v>
      </c>
    </row>
    <row r="208" spans="1:12" x14ac:dyDescent="0.25">
      <c r="A208" s="11">
        <v>-526</v>
      </c>
      <c r="B208" s="12">
        <v>0.73533762400000002</v>
      </c>
      <c r="F208" s="11">
        <v>-200</v>
      </c>
      <c r="G208" s="12">
        <v>0</v>
      </c>
      <c r="K208" s="11">
        <v>8</v>
      </c>
      <c r="L208" s="12">
        <v>1.5402018587620601</v>
      </c>
    </row>
    <row r="209" spans="1:12" x14ac:dyDescent="0.25">
      <c r="A209" s="11">
        <v>-525</v>
      </c>
      <c r="B209" s="12">
        <v>0.73535937500000004</v>
      </c>
      <c r="F209" s="11">
        <v>-199</v>
      </c>
      <c r="G209" s="12">
        <v>0</v>
      </c>
      <c r="K209" s="11">
        <v>9</v>
      </c>
      <c r="L209" s="12">
        <v>1.5641596876438699</v>
      </c>
    </row>
    <row r="210" spans="1:12" x14ac:dyDescent="0.25">
      <c r="A210" s="11">
        <v>-524</v>
      </c>
      <c r="B210" s="12">
        <v>0.73538137599999998</v>
      </c>
      <c r="F210" s="11">
        <v>-198</v>
      </c>
      <c r="G210" s="12">
        <v>0</v>
      </c>
      <c r="K210" s="11">
        <v>10</v>
      </c>
      <c r="L210" s="12">
        <v>1.58846562693043</v>
      </c>
    </row>
    <row r="211" spans="1:12" x14ac:dyDescent="0.25">
      <c r="A211" s="11">
        <v>-523</v>
      </c>
      <c r="B211" s="12">
        <v>0.735403633</v>
      </c>
      <c r="F211" s="11">
        <v>-197</v>
      </c>
      <c r="G211" s="12">
        <v>0</v>
      </c>
      <c r="K211" s="11">
        <v>11</v>
      </c>
      <c r="L211" s="12">
        <v>1.6131539117567499</v>
      </c>
    </row>
    <row r="212" spans="1:12" x14ac:dyDescent="0.25">
      <c r="A212" s="11">
        <v>-522</v>
      </c>
      <c r="B212" s="12">
        <v>0.73542615200000006</v>
      </c>
      <c r="F212" s="11">
        <v>-196</v>
      </c>
      <c r="G212" s="12">
        <v>0</v>
      </c>
      <c r="K212" s="11">
        <v>12</v>
      </c>
      <c r="L212" s="12">
        <v>1.6382587772578501</v>
      </c>
    </row>
    <row r="213" spans="1:12" x14ac:dyDescent="0.25">
      <c r="A213" s="11">
        <v>-521</v>
      </c>
      <c r="B213" s="12">
        <v>0.73544893899999997</v>
      </c>
      <c r="F213" s="11">
        <v>-195</v>
      </c>
      <c r="G213" s="12">
        <v>0</v>
      </c>
      <c r="K213" s="11">
        <v>13</v>
      </c>
      <c r="L213" s="12">
        <v>1.66381445856873</v>
      </c>
    </row>
    <row r="214" spans="1:12" x14ac:dyDescent="0.25">
      <c r="A214" s="11">
        <v>-520</v>
      </c>
      <c r="B214" s="12">
        <v>0.73547200000000001</v>
      </c>
      <c r="F214" s="11">
        <v>-194</v>
      </c>
      <c r="G214" s="12">
        <v>0</v>
      </c>
      <c r="K214" s="11">
        <v>14</v>
      </c>
      <c r="L214" s="12">
        <v>1.6898551908243999</v>
      </c>
    </row>
    <row r="215" spans="1:12" x14ac:dyDescent="0.25">
      <c r="A215" s="11">
        <v>-519</v>
      </c>
      <c r="B215" s="12">
        <v>0.73549534100000002</v>
      </c>
      <c r="F215" s="11">
        <v>-193</v>
      </c>
      <c r="G215" s="12">
        <v>0</v>
      </c>
      <c r="K215" s="11">
        <v>15</v>
      </c>
      <c r="L215" s="12">
        <v>1.7164152091598801</v>
      </c>
    </row>
    <row r="216" spans="1:12" x14ac:dyDescent="0.25">
      <c r="A216" s="11">
        <v>-518</v>
      </c>
      <c r="B216" s="12">
        <v>0.73551896800000005</v>
      </c>
      <c r="F216" s="11">
        <v>-192</v>
      </c>
      <c r="G216" s="12">
        <v>0</v>
      </c>
      <c r="K216" s="11">
        <v>16</v>
      </c>
      <c r="L216" s="12">
        <v>1.7435287487101601</v>
      </c>
    </row>
    <row r="217" spans="1:12" x14ac:dyDescent="0.25">
      <c r="A217" s="11">
        <v>-517</v>
      </c>
      <c r="B217" s="12">
        <v>0.73554288700000003</v>
      </c>
      <c r="F217" s="11">
        <v>-191</v>
      </c>
      <c r="G217" s="12">
        <v>0</v>
      </c>
      <c r="K217" s="11">
        <v>17</v>
      </c>
      <c r="L217" s="12">
        <v>1.77123004461028</v>
      </c>
    </row>
    <row r="218" spans="1:12" x14ac:dyDescent="0.25">
      <c r="A218" s="11">
        <v>-516</v>
      </c>
      <c r="B218" s="12">
        <v>0.73556710400000003</v>
      </c>
      <c r="F218" s="11">
        <v>-190</v>
      </c>
      <c r="G218" s="12">
        <v>0</v>
      </c>
      <c r="K218" s="11">
        <v>18</v>
      </c>
      <c r="L218" s="12">
        <v>1.7995533319952199</v>
      </c>
    </row>
    <row r="219" spans="1:12" x14ac:dyDescent="0.25">
      <c r="A219" s="11">
        <v>-515</v>
      </c>
      <c r="B219" s="12">
        <v>0.73559162499999997</v>
      </c>
      <c r="F219" s="11">
        <v>-189</v>
      </c>
      <c r="G219" s="12">
        <v>0</v>
      </c>
      <c r="K219" s="11">
        <v>19</v>
      </c>
      <c r="L219" s="12">
        <v>1.8285328460000001</v>
      </c>
    </row>
    <row r="220" spans="1:12" x14ac:dyDescent="0.25">
      <c r="A220" s="11">
        <v>-514</v>
      </c>
      <c r="B220" s="12">
        <v>0.73561645600000003</v>
      </c>
      <c r="F220" s="11">
        <v>-188</v>
      </c>
      <c r="G220" s="12">
        <v>0</v>
      </c>
      <c r="K220" s="11">
        <v>20</v>
      </c>
      <c r="L220" s="12">
        <v>1.8581182722121701</v>
      </c>
    </row>
    <row r="221" spans="1:12" x14ac:dyDescent="0.25">
      <c r="A221" s="11">
        <v>-513</v>
      </c>
      <c r="B221" s="12">
        <v>0.73564160300000003</v>
      </c>
      <c r="F221" s="11">
        <v>-187</v>
      </c>
      <c r="G221" s="12">
        <v>0</v>
      </c>
      <c r="K221" s="11">
        <v>21</v>
      </c>
      <c r="L221" s="12">
        <v>1.8882247211038701</v>
      </c>
    </row>
    <row r="222" spans="1:12" x14ac:dyDescent="0.25">
      <c r="A222" s="11">
        <v>-512</v>
      </c>
      <c r="B222" s="12">
        <v>0.73566707200000003</v>
      </c>
      <c r="F222" s="11">
        <v>-186</v>
      </c>
      <c r="G222" s="12">
        <v>0</v>
      </c>
      <c r="K222" s="11">
        <v>22</v>
      </c>
      <c r="L222" s="12">
        <v>1.91883456513696</v>
      </c>
    </row>
    <row r="223" spans="1:12" x14ac:dyDescent="0.25">
      <c r="A223" s="11">
        <v>-511</v>
      </c>
      <c r="B223" s="12">
        <v>0.73569286899999997</v>
      </c>
      <c r="F223" s="11">
        <v>-185</v>
      </c>
      <c r="G223" s="12">
        <v>0</v>
      </c>
      <c r="K223" s="11">
        <v>23</v>
      </c>
      <c r="L223" s="12">
        <v>1.9499301767733299</v>
      </c>
    </row>
    <row r="224" spans="1:12" x14ac:dyDescent="0.25">
      <c r="A224" s="11">
        <v>-510</v>
      </c>
      <c r="B224" s="12">
        <v>0.73571900000000001</v>
      </c>
      <c r="F224" s="11">
        <v>-184</v>
      </c>
      <c r="G224" s="12">
        <v>0</v>
      </c>
      <c r="K224" s="11">
        <v>24</v>
      </c>
      <c r="L224" s="12">
        <v>1.9814939284748601</v>
      </c>
    </row>
    <row r="225" spans="1:12" x14ac:dyDescent="0.25">
      <c r="A225" s="11">
        <v>-509</v>
      </c>
      <c r="B225" s="12">
        <v>0.73574547099999998</v>
      </c>
      <c r="F225" s="11">
        <v>-183</v>
      </c>
      <c r="G225" s="12">
        <v>0</v>
      </c>
      <c r="K225" s="11">
        <v>25</v>
      </c>
      <c r="L225" s="12">
        <v>2.01350819270341</v>
      </c>
    </row>
    <row r="226" spans="1:12" x14ac:dyDescent="0.25">
      <c r="A226" s="11">
        <v>-508</v>
      </c>
      <c r="B226" s="12">
        <v>0.73577228800000005</v>
      </c>
      <c r="F226" s="11">
        <v>-182</v>
      </c>
      <c r="G226" s="12">
        <v>0</v>
      </c>
      <c r="K226" s="11">
        <v>26</v>
      </c>
      <c r="L226" s="12">
        <v>2.04595534192087</v>
      </c>
    </row>
    <row r="227" spans="1:12" x14ac:dyDescent="0.25">
      <c r="A227" s="11">
        <v>-507</v>
      </c>
      <c r="B227" s="12">
        <v>0.73579945700000005</v>
      </c>
      <c r="F227" s="11">
        <v>-181</v>
      </c>
      <c r="G227" s="12">
        <v>0</v>
      </c>
      <c r="K227" s="11">
        <v>27</v>
      </c>
      <c r="L227" s="12">
        <v>2.0788177485891102</v>
      </c>
    </row>
    <row r="228" spans="1:12" x14ac:dyDescent="0.25">
      <c r="A228" s="11">
        <v>-506</v>
      </c>
      <c r="B228" s="12">
        <v>0.73582698400000002</v>
      </c>
      <c r="F228" s="11">
        <v>-180</v>
      </c>
      <c r="G228" s="12">
        <v>0</v>
      </c>
      <c r="K228" s="11">
        <v>28</v>
      </c>
      <c r="L228" s="12">
        <v>2.1120777851700199</v>
      </c>
    </row>
    <row r="229" spans="1:12" x14ac:dyDescent="0.25">
      <c r="A229" s="11">
        <v>-505</v>
      </c>
      <c r="B229" s="12">
        <v>0.73585487500000002</v>
      </c>
      <c r="F229" s="11">
        <v>-179</v>
      </c>
      <c r="G229" s="12">
        <v>0</v>
      </c>
      <c r="K229" s="11">
        <v>29</v>
      </c>
      <c r="L229" s="12">
        <v>2.14571782412547</v>
      </c>
    </row>
    <row r="230" spans="1:12" x14ac:dyDescent="0.25">
      <c r="A230" s="11">
        <v>-504</v>
      </c>
      <c r="B230" s="12">
        <v>0.73588313599999999</v>
      </c>
      <c r="F230" s="11">
        <v>-178</v>
      </c>
      <c r="G230" s="12">
        <v>0</v>
      </c>
      <c r="K230" s="11">
        <v>30</v>
      </c>
      <c r="L230" s="12">
        <v>2.1797202379173402</v>
      </c>
    </row>
    <row r="231" spans="1:12" x14ac:dyDescent="0.25">
      <c r="A231" s="11">
        <v>-503</v>
      </c>
      <c r="B231" s="12">
        <v>0.73591177299999999</v>
      </c>
      <c r="F231" s="11">
        <v>-177</v>
      </c>
      <c r="G231" s="12">
        <v>0</v>
      </c>
      <c r="K231" s="11">
        <v>31</v>
      </c>
      <c r="L231" s="12">
        <v>2.2140673990074999</v>
      </c>
    </row>
    <row r="232" spans="1:12" x14ac:dyDescent="0.25">
      <c r="A232" s="11">
        <v>-502</v>
      </c>
      <c r="B232" s="12">
        <v>0.73594079199999995</v>
      </c>
      <c r="F232" s="11">
        <v>-176</v>
      </c>
      <c r="G232" s="12">
        <v>0</v>
      </c>
      <c r="K232" s="11">
        <v>32</v>
      </c>
      <c r="L232" s="12">
        <v>2.2487416798578299</v>
      </c>
    </row>
    <row r="233" spans="1:12" x14ac:dyDescent="0.25">
      <c r="A233" s="11">
        <v>-501</v>
      </c>
      <c r="B233" s="12">
        <v>0.73597019900000005</v>
      </c>
      <c r="F233" s="11">
        <v>-175</v>
      </c>
      <c r="G233" s="12">
        <v>0</v>
      </c>
      <c r="K233" s="11">
        <v>33</v>
      </c>
      <c r="L233" s="12">
        <v>2.2837254529302098</v>
      </c>
    </row>
    <row r="234" spans="1:12" x14ac:dyDescent="0.25">
      <c r="A234" s="11">
        <v>-500</v>
      </c>
      <c r="B234" s="12">
        <v>0.73599999999999999</v>
      </c>
      <c r="F234" s="11">
        <v>-174</v>
      </c>
      <c r="G234" s="12">
        <v>0</v>
      </c>
      <c r="K234" s="11">
        <v>34</v>
      </c>
      <c r="L234" s="12">
        <v>2.3190010906865202</v>
      </c>
    </row>
    <row r="235" spans="1:12" x14ac:dyDescent="0.25">
      <c r="A235" s="11">
        <v>-499</v>
      </c>
      <c r="B235" s="12">
        <v>0.73602955550000004</v>
      </c>
      <c r="F235" s="11">
        <v>-173</v>
      </c>
      <c r="G235" s="12">
        <v>0</v>
      </c>
      <c r="K235" s="11">
        <v>35</v>
      </c>
      <c r="L235" s="12">
        <v>2.3545509655886301</v>
      </c>
    </row>
    <row r="236" spans="1:12" x14ac:dyDescent="0.25">
      <c r="A236" s="11">
        <v>-498</v>
      </c>
      <c r="B236" s="12">
        <v>0.73605824399999997</v>
      </c>
      <c r="F236" s="11">
        <v>-172</v>
      </c>
      <c r="G236" s="12">
        <v>0</v>
      </c>
      <c r="K236" s="11">
        <v>36</v>
      </c>
      <c r="L236" s="12">
        <v>2.3903574500984299</v>
      </c>
    </row>
    <row r="237" spans="1:12" x14ac:dyDescent="0.25">
      <c r="A237" s="11">
        <v>-497</v>
      </c>
      <c r="B237" s="12">
        <v>0.73608609849999995</v>
      </c>
      <c r="F237" s="11">
        <v>-171</v>
      </c>
      <c r="G237" s="12">
        <v>0</v>
      </c>
      <c r="K237" s="11">
        <v>37</v>
      </c>
      <c r="L237" s="12">
        <v>2.4264029166777901</v>
      </c>
    </row>
    <row r="238" spans="1:12" x14ac:dyDescent="0.25">
      <c r="A238" s="11">
        <v>-496</v>
      </c>
      <c r="B238" s="12">
        <v>0.73611315200000005</v>
      </c>
      <c r="F238" s="11">
        <v>-170</v>
      </c>
      <c r="G238" s="12">
        <v>0</v>
      </c>
      <c r="K238" s="11">
        <v>38</v>
      </c>
      <c r="L238" s="12">
        <v>2.46266973778858</v>
      </c>
    </row>
    <row r="239" spans="1:12" x14ac:dyDescent="0.25">
      <c r="A239" s="11">
        <v>-495</v>
      </c>
      <c r="B239" s="12">
        <v>0.73613943749999999</v>
      </c>
      <c r="F239" s="11">
        <v>-169</v>
      </c>
      <c r="G239" s="12">
        <v>0</v>
      </c>
      <c r="K239" s="11">
        <v>39</v>
      </c>
      <c r="L239" s="12">
        <v>2.4991402858926799</v>
      </c>
    </row>
    <row r="240" spans="1:12" x14ac:dyDescent="0.25">
      <c r="A240" s="11">
        <v>-494</v>
      </c>
      <c r="B240" s="12">
        <v>0.73616498799999996</v>
      </c>
      <c r="F240" s="11">
        <v>-168</v>
      </c>
      <c r="G240" s="12">
        <v>0</v>
      </c>
      <c r="K240" s="11">
        <v>40</v>
      </c>
      <c r="L240" s="12">
        <v>2.5357969334519801</v>
      </c>
    </row>
    <row r="241" spans="1:12" x14ac:dyDescent="0.25">
      <c r="A241" s="11">
        <v>-493</v>
      </c>
      <c r="B241" s="12">
        <v>0.73618983650000003</v>
      </c>
      <c r="F241" s="11">
        <v>-167</v>
      </c>
      <c r="G241" s="12">
        <v>0</v>
      </c>
      <c r="K241" s="11">
        <v>41</v>
      </c>
      <c r="L241" s="12">
        <v>2.5726220529283501</v>
      </c>
    </row>
    <row r="242" spans="1:12" x14ac:dyDescent="0.25">
      <c r="A242" s="11">
        <v>-492</v>
      </c>
      <c r="B242" s="12">
        <v>0.73621401600000003</v>
      </c>
      <c r="F242" s="11">
        <v>-166</v>
      </c>
      <c r="G242" s="12">
        <v>0</v>
      </c>
      <c r="K242" s="11">
        <v>42</v>
      </c>
      <c r="L242" s="12">
        <v>2.6095980167836599</v>
      </c>
    </row>
    <row r="243" spans="1:12" x14ac:dyDescent="0.25">
      <c r="A243" s="11">
        <v>-491</v>
      </c>
      <c r="B243" s="12">
        <v>0.73623755950000003</v>
      </c>
      <c r="F243" s="11">
        <v>-165</v>
      </c>
      <c r="G243" s="12">
        <v>0</v>
      </c>
      <c r="K243" s="11">
        <v>43</v>
      </c>
      <c r="L243" s="12">
        <v>2.6467071974798002</v>
      </c>
    </row>
    <row r="244" spans="1:12" x14ac:dyDescent="0.25">
      <c r="A244" s="11">
        <v>-490</v>
      </c>
      <c r="B244" s="12">
        <v>0.73626049999999998</v>
      </c>
      <c r="F244" s="11">
        <v>-164</v>
      </c>
      <c r="G244" s="12">
        <v>0</v>
      </c>
      <c r="K244" s="11">
        <v>44</v>
      </c>
      <c r="L244" s="12">
        <v>2.6839319674786402</v>
      </c>
    </row>
    <row r="245" spans="1:12" x14ac:dyDescent="0.25">
      <c r="A245" s="11">
        <v>-489</v>
      </c>
      <c r="B245" s="12">
        <v>0.73628287049999996</v>
      </c>
      <c r="F245" s="11">
        <v>-163</v>
      </c>
      <c r="G245" s="12">
        <v>0</v>
      </c>
      <c r="K245" s="11">
        <v>45</v>
      </c>
      <c r="L245" s="12">
        <v>2.7212546992420599</v>
      </c>
    </row>
    <row r="246" spans="1:12" x14ac:dyDescent="0.25">
      <c r="A246" s="11">
        <v>-488</v>
      </c>
      <c r="B246" s="12">
        <v>0.73630470400000003</v>
      </c>
      <c r="F246" s="11">
        <v>-162</v>
      </c>
      <c r="G246" s="12">
        <v>0</v>
      </c>
      <c r="K246" s="11">
        <v>46</v>
      </c>
      <c r="L246" s="12">
        <v>2.7586577652319302</v>
      </c>
    </row>
    <row r="247" spans="1:12" x14ac:dyDescent="0.25">
      <c r="A247" s="11">
        <v>-487</v>
      </c>
      <c r="B247" s="12">
        <v>0.73632603350000003</v>
      </c>
      <c r="F247" s="11">
        <v>-161</v>
      </c>
      <c r="G247" s="12">
        <v>0</v>
      </c>
      <c r="K247" s="11">
        <v>47</v>
      </c>
      <c r="L247" s="12">
        <v>2.7961235379101401</v>
      </c>
    </row>
    <row r="248" spans="1:12" x14ac:dyDescent="0.25">
      <c r="A248" s="11">
        <v>-486</v>
      </c>
      <c r="B248" s="12">
        <v>0.73634689200000003</v>
      </c>
      <c r="F248" s="11">
        <v>-160</v>
      </c>
      <c r="G248" s="12">
        <v>0</v>
      </c>
      <c r="K248" s="11">
        <v>48</v>
      </c>
      <c r="L248" s="12">
        <v>2.8336343897385601</v>
      </c>
    </row>
    <row r="249" spans="1:12" x14ac:dyDescent="0.25">
      <c r="A249" s="11">
        <v>-485</v>
      </c>
      <c r="B249" s="12">
        <v>0.73636731249999998</v>
      </c>
      <c r="F249" s="11">
        <v>-159</v>
      </c>
      <c r="G249" s="12">
        <v>0</v>
      </c>
      <c r="K249" s="11">
        <v>49</v>
      </c>
      <c r="L249" s="12">
        <v>2.87117269317906</v>
      </c>
    </row>
    <row r="250" spans="1:12" x14ac:dyDescent="0.25">
      <c r="A250" s="11">
        <v>-484</v>
      </c>
      <c r="B250" s="12">
        <v>0.73638732799999995</v>
      </c>
      <c r="F250" s="11">
        <v>-158</v>
      </c>
      <c r="G250" s="12">
        <v>0</v>
      </c>
      <c r="K250" s="11">
        <v>50</v>
      </c>
      <c r="L250" s="12">
        <v>2.9087208206935302</v>
      </c>
    </row>
    <row r="251" spans="1:12" x14ac:dyDescent="0.25">
      <c r="A251" s="11">
        <v>-483</v>
      </c>
      <c r="B251" s="12">
        <v>0.73640697150000001</v>
      </c>
      <c r="F251" s="11">
        <v>-157</v>
      </c>
      <c r="G251" s="12">
        <v>0</v>
      </c>
      <c r="K251" s="11">
        <v>51</v>
      </c>
      <c r="L251" s="12">
        <v>2.94626114474385</v>
      </c>
    </row>
    <row r="252" spans="1:12" x14ac:dyDescent="0.25">
      <c r="A252" s="11">
        <v>-482</v>
      </c>
      <c r="B252" s="12">
        <v>0.73642627599999999</v>
      </c>
      <c r="F252" s="11">
        <v>-156</v>
      </c>
      <c r="G252" s="12">
        <v>0</v>
      </c>
      <c r="K252" s="11">
        <v>52</v>
      </c>
      <c r="L252" s="12">
        <v>2.9837760377918898</v>
      </c>
    </row>
    <row r="253" spans="1:12" x14ac:dyDescent="0.25">
      <c r="A253" s="11">
        <v>-481</v>
      </c>
      <c r="B253" s="12">
        <v>0.73644527449999997</v>
      </c>
      <c r="F253" s="11">
        <v>-155</v>
      </c>
      <c r="G253" s="12">
        <v>0</v>
      </c>
      <c r="K253" s="11">
        <v>53</v>
      </c>
      <c r="L253" s="12">
        <v>3.02124787229952</v>
      </c>
    </row>
    <row r="254" spans="1:12" x14ac:dyDescent="0.25">
      <c r="A254" s="11">
        <v>-480</v>
      </c>
      <c r="B254" s="12">
        <v>0.73646400000000001</v>
      </c>
      <c r="F254" s="11">
        <v>-154</v>
      </c>
      <c r="G254" s="12">
        <v>0</v>
      </c>
      <c r="K254" s="11">
        <v>54</v>
      </c>
      <c r="L254" s="12">
        <v>3.0586590207286299</v>
      </c>
    </row>
    <row r="255" spans="1:12" x14ac:dyDescent="0.25">
      <c r="A255" s="11">
        <v>-479</v>
      </c>
      <c r="B255" s="12">
        <v>0.73648248549999995</v>
      </c>
      <c r="F255" s="11">
        <v>-153</v>
      </c>
      <c r="G255" s="12">
        <v>0</v>
      </c>
      <c r="K255" s="11">
        <v>55</v>
      </c>
      <c r="L255" s="12">
        <v>3.0959918555410901</v>
      </c>
    </row>
    <row r="256" spans="1:12" x14ac:dyDescent="0.25">
      <c r="A256" s="11">
        <v>-478</v>
      </c>
      <c r="B256" s="12">
        <v>0.73650076399999997</v>
      </c>
      <c r="F256" s="11">
        <v>-152</v>
      </c>
      <c r="G256" s="12">
        <v>0</v>
      </c>
      <c r="K256" s="11">
        <v>56</v>
      </c>
      <c r="L256" s="12">
        <v>3.13322874919879</v>
      </c>
    </row>
    <row r="257" spans="1:12" x14ac:dyDescent="0.25">
      <c r="A257" s="11">
        <v>-477</v>
      </c>
      <c r="B257" s="12">
        <v>0.73651886850000003</v>
      </c>
      <c r="F257" s="11">
        <v>-151</v>
      </c>
      <c r="G257" s="12">
        <v>0</v>
      </c>
      <c r="K257" s="11">
        <v>57</v>
      </c>
      <c r="L257" s="12">
        <v>3.1703520741635902</v>
      </c>
    </row>
    <row r="258" spans="1:12" x14ac:dyDescent="0.25">
      <c r="A258" s="11">
        <v>-476</v>
      </c>
      <c r="B258" s="12">
        <v>0.73653683199999997</v>
      </c>
      <c r="F258" s="11">
        <v>-150</v>
      </c>
      <c r="G258" s="12">
        <v>0</v>
      </c>
      <c r="K258" s="11">
        <v>58</v>
      </c>
      <c r="L258" s="12">
        <v>3.20734420289737</v>
      </c>
    </row>
    <row r="259" spans="1:12" x14ac:dyDescent="0.25">
      <c r="A259" s="11">
        <v>-475</v>
      </c>
      <c r="B259" s="12">
        <v>0.73655468749999997</v>
      </c>
      <c r="F259" s="11">
        <v>-149</v>
      </c>
      <c r="G259" s="12">
        <v>0</v>
      </c>
      <c r="K259" s="11">
        <v>59</v>
      </c>
      <c r="L259" s="12">
        <v>3.2441875078620201</v>
      </c>
    </row>
    <row r="260" spans="1:12" x14ac:dyDescent="0.25">
      <c r="A260" s="11">
        <v>-474</v>
      </c>
      <c r="B260" s="12">
        <v>0.73657246799999998</v>
      </c>
      <c r="F260" s="11">
        <v>-148</v>
      </c>
      <c r="G260" s="12">
        <v>0</v>
      </c>
      <c r="K260" s="11">
        <v>60</v>
      </c>
      <c r="L260" s="12">
        <v>3.2808643615194102</v>
      </c>
    </row>
    <row r="261" spans="1:12" x14ac:dyDescent="0.25">
      <c r="A261" s="11">
        <v>-473</v>
      </c>
      <c r="B261" s="12">
        <v>0.73659020649999996</v>
      </c>
      <c r="F261" s="11">
        <v>-147</v>
      </c>
      <c r="G261" s="12">
        <v>0</v>
      </c>
      <c r="K261" s="11">
        <v>61</v>
      </c>
      <c r="L261" s="12">
        <v>3.3173571363314101</v>
      </c>
    </row>
    <row r="262" spans="1:12" x14ac:dyDescent="0.25">
      <c r="A262" s="11">
        <v>-472</v>
      </c>
      <c r="B262" s="12">
        <v>0.73660793599999996</v>
      </c>
      <c r="F262" s="11">
        <v>-146</v>
      </c>
      <c r="G262" s="12">
        <v>0</v>
      </c>
      <c r="K262" s="11">
        <v>62</v>
      </c>
      <c r="L262" s="12">
        <v>3.3536482047599101</v>
      </c>
    </row>
    <row r="263" spans="1:12" x14ac:dyDescent="0.25">
      <c r="A263" s="11">
        <v>-471</v>
      </c>
      <c r="B263" s="12">
        <v>0.73662568949999996</v>
      </c>
      <c r="F263" s="11">
        <v>-145</v>
      </c>
      <c r="G263" s="12">
        <v>0</v>
      </c>
      <c r="K263" s="11">
        <v>63</v>
      </c>
      <c r="L263" s="12">
        <v>3.38971993926679</v>
      </c>
    </row>
    <row r="264" spans="1:12" x14ac:dyDescent="0.25">
      <c r="A264" s="11">
        <v>-470</v>
      </c>
      <c r="B264" s="12">
        <v>0.73664350000000001</v>
      </c>
      <c r="F264" s="11">
        <v>-144</v>
      </c>
      <c r="G264" s="12">
        <v>0</v>
      </c>
      <c r="K264" s="11">
        <v>64</v>
      </c>
      <c r="L264" s="12">
        <v>3.4255547123139101</v>
      </c>
    </row>
    <row r="265" spans="1:12" x14ac:dyDescent="0.25">
      <c r="A265" s="11">
        <v>-469</v>
      </c>
      <c r="B265" s="12">
        <v>0.73666140049999995</v>
      </c>
      <c r="F265" s="11">
        <v>-143</v>
      </c>
      <c r="G265" s="12">
        <v>0</v>
      </c>
      <c r="K265" s="11">
        <v>65</v>
      </c>
      <c r="L265" s="12">
        <v>3.4611348963631601</v>
      </c>
    </row>
    <row r="266" spans="1:12" x14ac:dyDescent="0.25">
      <c r="A266" s="11">
        <v>-468</v>
      </c>
      <c r="B266" s="12">
        <v>0.73667942399999997</v>
      </c>
      <c r="F266" s="11">
        <v>-142</v>
      </c>
      <c r="G266" s="12">
        <v>0</v>
      </c>
      <c r="K266" s="11">
        <v>66</v>
      </c>
      <c r="L266" s="12">
        <v>3.49644286387641</v>
      </c>
    </row>
    <row r="267" spans="1:12" x14ac:dyDescent="0.25">
      <c r="A267" s="11">
        <v>-467</v>
      </c>
      <c r="B267" s="12">
        <v>0.73669760350000002</v>
      </c>
      <c r="F267" s="11">
        <v>-141</v>
      </c>
      <c r="G267" s="12">
        <v>0</v>
      </c>
      <c r="K267" s="11">
        <v>67</v>
      </c>
      <c r="L267" s="12">
        <v>3.5314609873155498</v>
      </c>
    </row>
    <row r="268" spans="1:12" x14ac:dyDescent="0.25">
      <c r="A268" s="11">
        <v>-466</v>
      </c>
      <c r="B268" s="12">
        <v>0.73671597200000005</v>
      </c>
      <c r="F268" s="11">
        <v>-140</v>
      </c>
      <c r="G268" s="12">
        <v>0</v>
      </c>
      <c r="K268" s="11">
        <v>68</v>
      </c>
      <c r="L268" s="12">
        <v>3.5661716391424401</v>
      </c>
    </row>
    <row r="269" spans="1:12" x14ac:dyDescent="0.25">
      <c r="A269" s="11">
        <v>-465</v>
      </c>
      <c r="B269" s="12">
        <v>0.73673456250000002</v>
      </c>
      <c r="F269" s="11">
        <v>-139</v>
      </c>
      <c r="G269" s="12">
        <v>0</v>
      </c>
      <c r="K269" s="11">
        <v>69</v>
      </c>
      <c r="L269" s="12">
        <v>3.6005571918189698</v>
      </c>
    </row>
    <row r="270" spans="1:12" x14ac:dyDescent="0.25">
      <c r="A270" s="11">
        <v>-464</v>
      </c>
      <c r="B270" s="12">
        <v>0.736753408</v>
      </c>
      <c r="F270" s="11">
        <v>-138</v>
      </c>
      <c r="G270" s="12">
        <v>0</v>
      </c>
      <c r="K270" s="11">
        <v>70</v>
      </c>
      <c r="L270" s="12">
        <v>3.6346000178070201</v>
      </c>
    </row>
    <row r="271" spans="1:12" x14ac:dyDescent="0.25">
      <c r="A271" s="11">
        <v>-463</v>
      </c>
      <c r="B271" s="12">
        <v>0.73677254150000004</v>
      </c>
      <c r="F271" s="11">
        <v>-137</v>
      </c>
      <c r="G271" s="12">
        <v>0</v>
      </c>
      <c r="K271" s="11">
        <v>71</v>
      </c>
      <c r="L271" s="12">
        <v>3.66828248956846</v>
      </c>
    </row>
    <row r="272" spans="1:12" x14ac:dyDescent="0.25">
      <c r="A272" s="11">
        <v>-462</v>
      </c>
      <c r="B272" s="12">
        <v>0.736791996</v>
      </c>
      <c r="F272" s="11">
        <v>-136</v>
      </c>
      <c r="G272" s="12">
        <v>0</v>
      </c>
      <c r="K272" s="11">
        <v>72</v>
      </c>
      <c r="L272" s="12">
        <v>3.7015869795651599</v>
      </c>
    </row>
    <row r="273" spans="1:12" x14ac:dyDescent="0.25">
      <c r="A273" s="11">
        <v>-461</v>
      </c>
      <c r="B273" s="12">
        <v>0.73681180449999994</v>
      </c>
      <c r="F273" s="11">
        <v>-135</v>
      </c>
      <c r="G273" s="12">
        <v>0</v>
      </c>
      <c r="K273" s="11">
        <v>73</v>
      </c>
      <c r="L273" s="12">
        <v>3.7344958602590199</v>
      </c>
    </row>
    <row r="274" spans="1:12" x14ac:dyDescent="0.25">
      <c r="A274" s="11">
        <v>-460</v>
      </c>
      <c r="B274" s="12">
        <v>0.73683200000000004</v>
      </c>
      <c r="F274" s="11">
        <v>-134</v>
      </c>
      <c r="G274" s="12">
        <v>0</v>
      </c>
      <c r="K274" s="11">
        <v>74</v>
      </c>
      <c r="L274" s="12">
        <v>3.76699150411189</v>
      </c>
    </row>
    <row r="275" spans="1:12" x14ac:dyDescent="0.25">
      <c r="A275" s="11">
        <v>-459</v>
      </c>
      <c r="B275" s="12">
        <v>0.73685261550000003</v>
      </c>
      <c r="F275" s="11">
        <v>-133</v>
      </c>
      <c r="G275" s="12">
        <v>0</v>
      </c>
      <c r="K275" s="11">
        <v>75</v>
      </c>
      <c r="L275" s="12">
        <v>3.7990562835856698</v>
      </c>
    </row>
    <row r="276" spans="1:12" x14ac:dyDescent="0.25">
      <c r="A276" s="11">
        <v>-458</v>
      </c>
      <c r="B276" s="12">
        <v>0.73687368399999997</v>
      </c>
      <c r="F276" s="11">
        <v>-132</v>
      </c>
      <c r="G276" s="12">
        <v>0</v>
      </c>
      <c r="K276" s="11">
        <v>76</v>
      </c>
      <c r="L276" s="12">
        <v>3.8306725711422298</v>
      </c>
    </row>
    <row r="277" spans="1:12" x14ac:dyDescent="0.25">
      <c r="A277" s="11">
        <v>-457</v>
      </c>
      <c r="B277" s="12">
        <v>0.73689523850000005</v>
      </c>
      <c r="F277" s="11">
        <v>-131</v>
      </c>
      <c r="G277" s="12">
        <v>0</v>
      </c>
      <c r="K277" s="11">
        <v>77</v>
      </c>
      <c r="L277" s="12">
        <v>3.8618227392434399</v>
      </c>
    </row>
    <row r="278" spans="1:12" x14ac:dyDescent="0.25">
      <c r="A278" s="11">
        <v>-456</v>
      </c>
      <c r="B278" s="12">
        <v>0.73691731199999999</v>
      </c>
      <c r="F278" s="11">
        <v>-130</v>
      </c>
      <c r="G278" s="12">
        <v>0</v>
      </c>
      <c r="K278" s="11">
        <v>78</v>
      </c>
      <c r="L278" s="12">
        <v>3.89248916035119</v>
      </c>
    </row>
    <row r="279" spans="1:12" x14ac:dyDescent="0.25">
      <c r="A279" s="11">
        <v>-455</v>
      </c>
      <c r="B279" s="12">
        <v>0.73693993749999998</v>
      </c>
      <c r="F279" s="11">
        <v>-129</v>
      </c>
      <c r="G279" s="12">
        <v>0</v>
      </c>
      <c r="K279" s="11">
        <v>79</v>
      </c>
      <c r="L279" s="12">
        <v>3.9226542069273398</v>
      </c>
    </row>
    <row r="280" spans="1:12" x14ac:dyDescent="0.25">
      <c r="A280" s="11">
        <v>-454</v>
      </c>
      <c r="B280" s="12">
        <v>0.73696314799999996</v>
      </c>
      <c r="F280" s="11">
        <v>-128</v>
      </c>
      <c r="G280" s="12">
        <v>0</v>
      </c>
      <c r="K280" s="11">
        <v>80</v>
      </c>
      <c r="L280" s="12">
        <v>3.9523002514337899</v>
      </c>
    </row>
    <row r="281" spans="1:12" x14ac:dyDescent="0.25">
      <c r="A281" s="11">
        <v>-453</v>
      </c>
      <c r="B281" s="12">
        <v>0.7369869765</v>
      </c>
      <c r="F281" s="11">
        <v>-127</v>
      </c>
      <c r="G281" s="12">
        <v>0</v>
      </c>
      <c r="K281" s="11">
        <v>81</v>
      </c>
      <c r="L281" s="12">
        <v>3.9814096663324001</v>
      </c>
    </row>
    <row r="282" spans="1:12" x14ac:dyDescent="0.25">
      <c r="A282" s="11">
        <v>-452</v>
      </c>
      <c r="B282" s="12">
        <v>0.73701145599999995</v>
      </c>
      <c r="F282" s="11">
        <v>-126</v>
      </c>
      <c r="G282" s="12">
        <v>0</v>
      </c>
      <c r="K282" s="11">
        <v>82</v>
      </c>
      <c r="L282" s="12">
        <v>4.0099648240850501</v>
      </c>
    </row>
    <row r="283" spans="1:12" x14ac:dyDescent="0.25">
      <c r="A283" s="11">
        <v>-451</v>
      </c>
      <c r="B283" s="12">
        <v>0.73703661949999999</v>
      </c>
      <c r="F283" s="11">
        <v>-125</v>
      </c>
      <c r="G283" s="12">
        <v>0</v>
      </c>
      <c r="K283" s="11">
        <v>83</v>
      </c>
      <c r="L283" s="12">
        <v>4.0379480971536301</v>
      </c>
    </row>
    <row r="284" spans="1:12" x14ac:dyDescent="0.25">
      <c r="A284" s="11">
        <v>-450</v>
      </c>
      <c r="B284" s="12">
        <v>0.73706249999999995</v>
      </c>
      <c r="F284" s="11">
        <v>-124</v>
      </c>
      <c r="G284" s="12">
        <v>0</v>
      </c>
      <c r="K284" s="11">
        <v>84</v>
      </c>
      <c r="L284" s="12">
        <v>4.065341858</v>
      </c>
    </row>
    <row r="285" spans="1:12" x14ac:dyDescent="0.25">
      <c r="A285" s="11">
        <v>-449</v>
      </c>
      <c r="B285" s="12">
        <v>0.73708913050000002</v>
      </c>
      <c r="F285" s="11">
        <v>-123</v>
      </c>
      <c r="G285" s="12">
        <v>0</v>
      </c>
      <c r="K285" s="11">
        <v>85</v>
      </c>
      <c r="L285" s="12">
        <v>4.0923365222828396</v>
      </c>
    </row>
    <row r="286" spans="1:12" x14ac:dyDescent="0.25">
      <c r="A286" s="11">
        <v>-448</v>
      </c>
      <c r="B286" s="12">
        <v>0.73711654400000004</v>
      </c>
      <c r="F286" s="11">
        <v>-122</v>
      </c>
      <c r="G286" s="12">
        <v>0</v>
      </c>
      <c r="K286" s="11">
        <v>86</v>
      </c>
      <c r="L286" s="12">
        <v>4.1191352784208304</v>
      </c>
    </row>
    <row r="287" spans="1:12" x14ac:dyDescent="0.25">
      <c r="A287" s="11">
        <v>-447</v>
      </c>
      <c r="B287" s="12">
        <v>0.73714477349999996</v>
      </c>
      <c r="F287" s="11">
        <v>-121</v>
      </c>
      <c r="G287" s="12">
        <v>0</v>
      </c>
      <c r="K287" s="11">
        <v>87</v>
      </c>
      <c r="L287" s="12">
        <v>4.1457396580159296</v>
      </c>
    </row>
    <row r="288" spans="1:12" x14ac:dyDescent="0.25">
      <c r="A288" s="11">
        <v>-446</v>
      </c>
      <c r="B288" s="12">
        <v>0.73717385199999996</v>
      </c>
      <c r="F288" s="11">
        <v>-120</v>
      </c>
      <c r="G288" s="12">
        <v>0</v>
      </c>
      <c r="K288" s="11">
        <v>88</v>
      </c>
      <c r="L288" s="12">
        <v>4.1721511926700598</v>
      </c>
    </row>
    <row r="289" spans="1:12" x14ac:dyDescent="0.25">
      <c r="A289" s="11">
        <v>-445</v>
      </c>
      <c r="B289" s="12">
        <v>0.7372038125</v>
      </c>
      <c r="F289" s="11">
        <v>-119</v>
      </c>
      <c r="G289" s="12">
        <v>0</v>
      </c>
      <c r="K289" s="11">
        <v>89</v>
      </c>
      <c r="L289" s="12">
        <v>4.19837141398515</v>
      </c>
    </row>
    <row r="290" spans="1:12" x14ac:dyDescent="0.25">
      <c r="A290" s="11">
        <v>-444</v>
      </c>
      <c r="B290" s="12">
        <v>0.73723468800000003</v>
      </c>
      <c r="F290" s="11">
        <v>-118</v>
      </c>
      <c r="G290" s="12">
        <v>0</v>
      </c>
      <c r="K290" s="11">
        <v>90</v>
      </c>
      <c r="L290" s="12">
        <v>4.2244018535631502</v>
      </c>
    </row>
    <row r="291" spans="1:12" x14ac:dyDescent="0.25">
      <c r="A291" s="11">
        <v>-443</v>
      </c>
      <c r="B291" s="12">
        <v>0.7372665115</v>
      </c>
      <c r="F291" s="11">
        <v>-117</v>
      </c>
      <c r="G291" s="12">
        <v>0</v>
      </c>
      <c r="K291" s="11">
        <v>91</v>
      </c>
      <c r="L291" s="12">
        <v>4.2502440430059698</v>
      </c>
    </row>
    <row r="292" spans="1:12" x14ac:dyDescent="0.25">
      <c r="A292" s="11">
        <v>-442</v>
      </c>
      <c r="B292" s="12">
        <v>0.73729931599999998</v>
      </c>
      <c r="F292" s="11">
        <v>-116</v>
      </c>
      <c r="G292" s="12">
        <v>0</v>
      </c>
      <c r="K292" s="11">
        <v>92</v>
      </c>
      <c r="L292" s="12">
        <v>4.2758995139155598</v>
      </c>
    </row>
    <row r="293" spans="1:12" x14ac:dyDescent="0.25">
      <c r="A293" s="11">
        <v>-441</v>
      </c>
      <c r="B293" s="12">
        <v>0.73733313450000004</v>
      </c>
      <c r="F293" s="11">
        <v>-115</v>
      </c>
      <c r="G293" s="12">
        <v>0</v>
      </c>
      <c r="K293" s="11">
        <v>93</v>
      </c>
      <c r="L293" s="12">
        <v>4.3013697978938499</v>
      </c>
    </row>
    <row r="294" spans="1:12" x14ac:dyDescent="0.25">
      <c r="A294" s="11">
        <v>-440</v>
      </c>
      <c r="B294" s="12">
        <v>0.73736800000000002</v>
      </c>
      <c r="F294" s="11">
        <v>-114</v>
      </c>
      <c r="G294" s="12">
        <v>0</v>
      </c>
      <c r="K294" s="11">
        <v>94</v>
      </c>
      <c r="L294" s="12">
        <v>4.3266564265427698</v>
      </c>
    </row>
    <row r="295" spans="1:12" x14ac:dyDescent="0.25">
      <c r="A295" s="11">
        <v>-439</v>
      </c>
      <c r="B295" s="12">
        <v>0.73740394549999999</v>
      </c>
      <c r="F295" s="11">
        <v>-113</v>
      </c>
      <c r="G295" s="12">
        <v>0</v>
      </c>
      <c r="K295" s="11">
        <v>95</v>
      </c>
      <c r="L295" s="12">
        <v>4.35176093146426</v>
      </c>
    </row>
    <row r="296" spans="1:12" x14ac:dyDescent="0.25">
      <c r="A296" s="11">
        <v>-438</v>
      </c>
      <c r="B296" s="12">
        <v>0.73744100400000001</v>
      </c>
      <c r="F296" s="11">
        <v>-112</v>
      </c>
      <c r="G296" s="12">
        <v>0</v>
      </c>
      <c r="K296" s="11">
        <v>96</v>
      </c>
      <c r="L296" s="12">
        <v>4.3766848442602404</v>
      </c>
    </row>
    <row r="297" spans="1:12" x14ac:dyDescent="0.25">
      <c r="A297" s="11">
        <v>-437</v>
      </c>
      <c r="B297" s="12">
        <v>0.73747920850000004</v>
      </c>
      <c r="F297" s="11">
        <v>-111</v>
      </c>
      <c r="G297" s="12">
        <v>0</v>
      </c>
      <c r="K297" s="11">
        <v>97</v>
      </c>
      <c r="L297" s="12">
        <v>4.4014296965326603</v>
      </c>
    </row>
    <row r="298" spans="1:12" x14ac:dyDescent="0.25">
      <c r="A298" s="11">
        <v>-436</v>
      </c>
      <c r="B298" s="12">
        <v>0.73751859200000003</v>
      </c>
      <c r="F298" s="11">
        <v>-110</v>
      </c>
      <c r="G298" s="12">
        <v>0</v>
      </c>
      <c r="K298" s="11">
        <v>98</v>
      </c>
      <c r="L298" s="12">
        <v>4.4259970198834502</v>
      </c>
    </row>
    <row r="299" spans="1:12" x14ac:dyDescent="0.25">
      <c r="A299" s="11">
        <v>-435</v>
      </c>
      <c r="B299" s="12">
        <v>0.73755918750000005</v>
      </c>
      <c r="F299" s="11">
        <v>-109</v>
      </c>
      <c r="G299" s="12">
        <v>0</v>
      </c>
      <c r="K299" s="11">
        <v>99</v>
      </c>
      <c r="L299" s="12">
        <v>4.4503883459145399</v>
      </c>
    </row>
    <row r="300" spans="1:12" x14ac:dyDescent="0.25">
      <c r="A300" s="11">
        <v>-434</v>
      </c>
      <c r="B300" s="12">
        <v>0.73760102800000005</v>
      </c>
      <c r="F300" s="11">
        <v>-108</v>
      </c>
      <c r="G300" s="12">
        <v>0</v>
      </c>
      <c r="K300" s="11">
        <v>100</v>
      </c>
      <c r="L300" s="12">
        <v>4.4746052062278601</v>
      </c>
    </row>
    <row r="301" spans="1:12" x14ac:dyDescent="0.25">
      <c r="A301" s="11">
        <v>-433</v>
      </c>
      <c r="B301" s="12">
        <v>0.73764414649999999</v>
      </c>
      <c r="F301" s="11">
        <v>-107</v>
      </c>
      <c r="G301" s="12">
        <v>0</v>
      </c>
      <c r="K301" s="11">
        <v>101</v>
      </c>
      <c r="L301" s="12">
        <v>4.4986491324253501</v>
      </c>
    </row>
    <row r="302" spans="1:12" x14ac:dyDescent="0.25">
      <c r="A302" s="11">
        <v>-432</v>
      </c>
      <c r="B302" s="12">
        <v>0.73768857600000004</v>
      </c>
      <c r="F302" s="11">
        <v>-106</v>
      </c>
      <c r="G302" s="12">
        <v>0</v>
      </c>
      <c r="K302" s="11">
        <v>102</v>
      </c>
      <c r="L302" s="12">
        <v>4.5225216561089399</v>
      </c>
    </row>
    <row r="303" spans="1:12" x14ac:dyDescent="0.25">
      <c r="A303" s="11">
        <v>-431</v>
      </c>
      <c r="B303" s="12">
        <v>0.73773434950000005</v>
      </c>
      <c r="F303" s="11">
        <v>-105</v>
      </c>
      <c r="G303" s="12">
        <v>0</v>
      </c>
      <c r="K303" s="11">
        <v>103</v>
      </c>
      <c r="L303" s="12">
        <v>4.5462243088805598</v>
      </c>
    </row>
    <row r="304" spans="1:12" x14ac:dyDescent="0.25">
      <c r="A304" s="11">
        <v>-430</v>
      </c>
      <c r="B304" s="12">
        <v>0.73778149999999998</v>
      </c>
      <c r="F304" s="11">
        <v>-104</v>
      </c>
      <c r="G304" s="12">
        <v>0</v>
      </c>
      <c r="K304" s="11">
        <v>104</v>
      </c>
      <c r="L304" s="12">
        <v>4.5697586223421496</v>
      </c>
    </row>
    <row r="305" spans="1:12" x14ac:dyDescent="0.25">
      <c r="A305" s="11">
        <v>-429</v>
      </c>
      <c r="B305" s="12">
        <v>0.7378300605</v>
      </c>
      <c r="F305" s="11">
        <v>-103</v>
      </c>
      <c r="G305" s="12">
        <v>0</v>
      </c>
      <c r="K305" s="11">
        <v>105</v>
      </c>
      <c r="L305" s="12">
        <v>4.5931261280956504</v>
      </c>
    </row>
    <row r="306" spans="1:12" x14ac:dyDescent="0.25">
      <c r="A306" s="11">
        <v>-428</v>
      </c>
      <c r="B306" s="12">
        <v>0.73788006399999995</v>
      </c>
      <c r="F306" s="11">
        <v>-102</v>
      </c>
      <c r="G306" s="12">
        <v>0</v>
      </c>
      <c r="K306" s="11">
        <v>106</v>
      </c>
      <c r="L306" s="12">
        <v>4.6163283577429803</v>
      </c>
    </row>
    <row r="307" spans="1:12" x14ac:dyDescent="0.25">
      <c r="A307" s="11">
        <v>-427</v>
      </c>
      <c r="B307" s="12">
        <v>0.73793154350000001</v>
      </c>
      <c r="F307" s="11">
        <v>-101</v>
      </c>
      <c r="G307" s="12">
        <v>0</v>
      </c>
      <c r="K307" s="11">
        <v>107</v>
      </c>
      <c r="L307" s="12">
        <v>4.6393668428860702</v>
      </c>
    </row>
    <row r="308" spans="1:12" x14ac:dyDescent="0.25">
      <c r="A308" s="11">
        <v>-426</v>
      </c>
      <c r="B308" s="12">
        <v>0.73798453200000003</v>
      </c>
      <c r="F308" s="11">
        <v>-100</v>
      </c>
      <c r="G308" s="12">
        <v>0</v>
      </c>
      <c r="K308" s="11">
        <v>108</v>
      </c>
      <c r="L308" s="12">
        <v>4.66224311512687</v>
      </c>
    </row>
    <row r="309" spans="1:12" x14ac:dyDescent="0.25">
      <c r="A309" s="11">
        <v>-425</v>
      </c>
      <c r="B309" s="12">
        <v>0.73803906249999995</v>
      </c>
      <c r="F309" s="11">
        <v>-99</v>
      </c>
      <c r="G309" s="12">
        <v>0</v>
      </c>
      <c r="K309" s="11">
        <v>109</v>
      </c>
      <c r="L309" s="12">
        <v>4.6849587060673104</v>
      </c>
    </row>
    <row r="310" spans="1:12" x14ac:dyDescent="0.25">
      <c r="A310" s="11">
        <v>-424</v>
      </c>
      <c r="B310" s="12">
        <v>0.73809516799999997</v>
      </c>
      <c r="F310" s="11">
        <v>-98</v>
      </c>
      <c r="G310" s="12">
        <v>0</v>
      </c>
      <c r="K310" s="11">
        <v>110</v>
      </c>
      <c r="L310" s="12">
        <v>4.7075151473093104</v>
      </c>
    </row>
    <row r="311" spans="1:12" x14ac:dyDescent="0.25">
      <c r="A311" s="11">
        <v>-423</v>
      </c>
      <c r="B311" s="12">
        <v>0.73815288150000002</v>
      </c>
      <c r="F311" s="11">
        <v>-97</v>
      </c>
      <c r="G311" s="12">
        <v>0</v>
      </c>
      <c r="K311" s="11">
        <v>111</v>
      </c>
      <c r="L311" s="12">
        <v>4.7299139704548203</v>
      </c>
    </row>
    <row r="312" spans="1:12" x14ac:dyDescent="0.25">
      <c r="A312" s="11">
        <v>-422</v>
      </c>
      <c r="B312" s="12">
        <v>0.73821223599999997</v>
      </c>
      <c r="F312" s="11">
        <v>-96</v>
      </c>
      <c r="G312" s="12">
        <v>0</v>
      </c>
      <c r="K312" s="11">
        <v>112</v>
      </c>
      <c r="L312" s="12">
        <v>4.75215670710576</v>
      </c>
    </row>
    <row r="313" spans="1:12" x14ac:dyDescent="0.25">
      <c r="A313" s="11">
        <v>-421</v>
      </c>
      <c r="B313" s="12">
        <v>0.73827326449999997</v>
      </c>
      <c r="F313" s="11">
        <v>-95</v>
      </c>
      <c r="G313" s="12">
        <v>0</v>
      </c>
      <c r="K313" s="11">
        <v>113</v>
      </c>
      <c r="L313" s="12">
        <v>4.7742448888640796</v>
      </c>
    </row>
    <row r="314" spans="1:12" x14ac:dyDescent="0.25">
      <c r="A314" s="11">
        <v>-420</v>
      </c>
      <c r="B314" s="12">
        <v>0.73833599999999999</v>
      </c>
      <c r="F314" s="11">
        <v>-94</v>
      </c>
      <c r="G314" s="12">
        <v>0</v>
      </c>
      <c r="K314" s="11">
        <v>114</v>
      </c>
      <c r="L314" s="12">
        <v>4.7961800473316902</v>
      </c>
    </row>
    <row r="315" spans="1:12" x14ac:dyDescent="0.25">
      <c r="A315" s="11">
        <v>-419</v>
      </c>
      <c r="B315" s="12">
        <v>0.73840047549999999</v>
      </c>
      <c r="F315" s="11">
        <v>-93</v>
      </c>
      <c r="G315" s="12">
        <v>0</v>
      </c>
      <c r="K315" s="11">
        <v>115</v>
      </c>
      <c r="L315" s="12">
        <v>4.81796371411055</v>
      </c>
    </row>
    <row r="316" spans="1:12" x14ac:dyDescent="0.25">
      <c r="A316" s="11">
        <v>-418</v>
      </c>
      <c r="B316" s="12">
        <v>0.73846672400000002</v>
      </c>
      <c r="F316" s="11">
        <v>-92</v>
      </c>
      <c r="G316" s="12">
        <v>0</v>
      </c>
      <c r="K316" s="11">
        <v>116</v>
      </c>
      <c r="L316" s="12">
        <v>4.83959742080257</v>
      </c>
    </row>
    <row r="317" spans="1:12" x14ac:dyDescent="0.25">
      <c r="A317" s="11">
        <v>-417</v>
      </c>
      <c r="B317" s="12">
        <v>0.73853477850000004</v>
      </c>
      <c r="F317" s="11">
        <v>-91</v>
      </c>
      <c r="G317" s="12">
        <v>4.7135694912468101E-4</v>
      </c>
      <c r="K317" s="11">
        <v>117</v>
      </c>
      <c r="L317" s="12">
        <v>4.8610826990096996</v>
      </c>
    </row>
    <row r="318" spans="1:12" x14ac:dyDescent="0.25">
      <c r="A318" s="11">
        <v>-416</v>
      </c>
      <c r="B318" s="12">
        <v>0.73860467200000002</v>
      </c>
      <c r="F318" s="11">
        <v>-90</v>
      </c>
      <c r="G318" s="12">
        <v>1.8426892413906501E-3</v>
      </c>
      <c r="K318" s="11">
        <v>118</v>
      </c>
      <c r="L318" s="12">
        <v>4.8824210803338604</v>
      </c>
    </row>
    <row r="319" spans="1:12" x14ac:dyDescent="0.25">
      <c r="A319" s="11">
        <v>-415</v>
      </c>
      <c r="B319" s="12">
        <v>0.7386764375</v>
      </c>
      <c r="F319" s="11">
        <v>-89</v>
      </c>
      <c r="G319" s="12">
        <v>4.0498890441357802E-3</v>
      </c>
      <c r="K319" s="11">
        <v>119</v>
      </c>
      <c r="L319" s="12">
        <v>4.9036140963769999</v>
      </c>
    </row>
    <row r="320" spans="1:12" x14ac:dyDescent="0.25">
      <c r="A320" s="11">
        <v>-414</v>
      </c>
      <c r="B320" s="12">
        <v>0.73875010799999996</v>
      </c>
      <c r="F320" s="11">
        <v>-88</v>
      </c>
      <c r="G320" s="12">
        <v>7.0288485246979499E-3</v>
      </c>
      <c r="K320" s="11">
        <v>120</v>
      </c>
      <c r="L320" s="12">
        <v>4.9246632787410398</v>
      </c>
    </row>
    <row r="321" spans="1:12" x14ac:dyDescent="0.25">
      <c r="A321" s="11">
        <v>-413</v>
      </c>
      <c r="B321" s="12">
        <v>0.73882571649999995</v>
      </c>
      <c r="F321" s="11">
        <v>-87</v>
      </c>
      <c r="G321" s="12">
        <v>1.07154598504151E-2</v>
      </c>
      <c r="K321" s="11">
        <v>121</v>
      </c>
      <c r="L321" s="12">
        <v>4.9455701590279197</v>
      </c>
    </row>
    <row r="322" spans="1:12" x14ac:dyDescent="0.25">
      <c r="A322" s="11">
        <v>-412</v>
      </c>
      <c r="B322" s="12">
        <v>0.73890329600000004</v>
      </c>
      <c r="F322" s="11">
        <v>-86</v>
      </c>
      <c r="G322" s="12">
        <v>1.5045615188624999E-2</v>
      </c>
      <c r="K322" s="11">
        <v>122</v>
      </c>
      <c r="L322" s="12">
        <v>4.9663362688395702</v>
      </c>
    </row>
    <row r="323" spans="1:12" x14ac:dyDescent="0.25">
      <c r="A323" s="11">
        <v>-411</v>
      </c>
      <c r="B323" s="12">
        <v>0.73898287949999997</v>
      </c>
      <c r="F323" s="11">
        <v>-85</v>
      </c>
      <c r="G323" s="12">
        <v>1.9955206706665601E-2</v>
      </c>
      <c r="K323" s="11">
        <v>123</v>
      </c>
      <c r="L323" s="12">
        <v>4.9869631397779299</v>
      </c>
    </row>
    <row r="324" spans="1:12" x14ac:dyDescent="0.25">
      <c r="A324" s="11">
        <v>-410</v>
      </c>
      <c r="B324" s="12">
        <v>0.73906450000000001</v>
      </c>
      <c r="F324" s="11">
        <v>-84</v>
      </c>
      <c r="G324" s="12">
        <v>2.53801265718747E-2</v>
      </c>
      <c r="K324" s="11">
        <v>124</v>
      </c>
      <c r="L324" s="12">
        <v>5.0074523034449197</v>
      </c>
    </row>
    <row r="325" spans="1:12" x14ac:dyDescent="0.25">
      <c r="A325" s="11">
        <v>-409</v>
      </c>
      <c r="B325" s="12">
        <v>0.73914819050000002</v>
      </c>
      <c r="F325" s="11">
        <v>-83</v>
      </c>
      <c r="G325" s="12">
        <v>3.1256266951590402E-2</v>
      </c>
      <c r="K325" s="11">
        <v>125</v>
      </c>
      <c r="L325" s="12">
        <v>5.0278052914424904</v>
      </c>
    </row>
    <row r="326" spans="1:12" x14ac:dyDescent="0.25">
      <c r="A326" s="11">
        <v>-408</v>
      </c>
      <c r="B326" s="12">
        <v>0.73923398399999996</v>
      </c>
      <c r="F326" s="11">
        <v>-82</v>
      </c>
      <c r="G326" s="12">
        <v>3.7519520013150301E-2</v>
      </c>
      <c r="K326" s="11">
        <v>126</v>
      </c>
      <c r="L326" s="12">
        <v>5.0480236353725596</v>
      </c>
    </row>
    <row r="327" spans="1:12" x14ac:dyDescent="0.25">
      <c r="A327" s="11">
        <v>-407</v>
      </c>
      <c r="B327" s="12">
        <v>0.73932191349999998</v>
      </c>
      <c r="F327" s="11">
        <v>-81</v>
      </c>
      <c r="G327" s="12">
        <v>4.4105777923892503E-2</v>
      </c>
      <c r="K327" s="11">
        <v>127</v>
      </c>
      <c r="L327" s="12">
        <v>5.06810886683708</v>
      </c>
    </row>
    <row r="328" spans="1:12" x14ac:dyDescent="0.25">
      <c r="A328" s="11">
        <v>-406</v>
      </c>
      <c r="B328" s="12">
        <v>0.73941201199999995</v>
      </c>
      <c r="F328" s="11">
        <v>-80</v>
      </c>
      <c r="G328" s="12">
        <v>5.0950932851154797E-2</v>
      </c>
      <c r="K328" s="11">
        <v>128</v>
      </c>
      <c r="L328" s="12">
        <v>5.0880625174379599</v>
      </c>
    </row>
    <row r="329" spans="1:12" x14ac:dyDescent="0.25">
      <c r="A329" s="11">
        <v>-405</v>
      </c>
      <c r="B329" s="12">
        <v>0.73950431250000004</v>
      </c>
      <c r="F329" s="11">
        <v>-79</v>
      </c>
      <c r="G329" s="12">
        <v>5.7990876962274999E-2</v>
      </c>
      <c r="K329" s="11">
        <v>129</v>
      </c>
      <c r="L329" s="12">
        <v>5.1078861187771496</v>
      </c>
    </row>
    <row r="330" spans="1:12" x14ac:dyDescent="0.25">
      <c r="A330" s="11">
        <v>-404</v>
      </c>
      <c r="B330" s="12">
        <v>0.73959884799999998</v>
      </c>
      <c r="F330" s="11">
        <v>-78</v>
      </c>
      <c r="G330" s="12">
        <v>6.5161502424591095E-2</v>
      </c>
      <c r="K330" s="11">
        <v>130</v>
      </c>
      <c r="L330" s="12">
        <v>5.1275812024565903</v>
      </c>
    </row>
    <row r="331" spans="1:12" x14ac:dyDescent="0.25">
      <c r="A331" s="11">
        <v>-403</v>
      </c>
      <c r="B331" s="12">
        <v>0.73969565150000005</v>
      </c>
      <c r="F331" s="11">
        <v>-77</v>
      </c>
      <c r="G331" s="12">
        <v>7.2398701405440899E-2</v>
      </c>
      <c r="K331" s="11">
        <v>131</v>
      </c>
      <c r="L331" s="12">
        <v>5.1471493000781896</v>
      </c>
    </row>
    <row r="332" spans="1:12" x14ac:dyDescent="0.25">
      <c r="A332" s="11">
        <v>-402</v>
      </c>
      <c r="B332" s="12">
        <v>0.739794756</v>
      </c>
      <c r="F332" s="11">
        <v>-76</v>
      </c>
      <c r="G332" s="12">
        <v>7.9638366072162403E-2</v>
      </c>
      <c r="K332" s="11">
        <v>132</v>
      </c>
      <c r="L332" s="12">
        <v>5.1665919432439003</v>
      </c>
    </row>
    <row r="333" spans="1:12" x14ac:dyDescent="0.25">
      <c r="A333" s="11">
        <v>-401</v>
      </c>
      <c r="B333" s="12">
        <v>0.73989619449999999</v>
      </c>
      <c r="F333" s="11">
        <v>-75</v>
      </c>
      <c r="G333" s="12">
        <v>8.6816388592093299E-2</v>
      </c>
      <c r="K333" s="11">
        <v>133</v>
      </c>
      <c r="L333" s="12">
        <v>5.18591066355566</v>
      </c>
    </row>
    <row r="334" spans="1:12" x14ac:dyDescent="0.25">
      <c r="A334" s="11">
        <v>-400</v>
      </c>
      <c r="B334" s="12">
        <v>0.74</v>
      </c>
      <c r="F334" s="11">
        <v>-74</v>
      </c>
      <c r="G334" s="12">
        <v>9.3868661132571696E-2</v>
      </c>
      <c r="K334" s="11">
        <v>134</v>
      </c>
      <c r="L334" s="12">
        <v>5.2051069926153799</v>
      </c>
    </row>
    <row r="335" spans="1:12" x14ac:dyDescent="0.25">
      <c r="A335" s="11">
        <v>-399</v>
      </c>
      <c r="B335" s="12">
        <v>0.74010277899999999</v>
      </c>
      <c r="F335" s="11">
        <v>-73</v>
      </c>
      <c r="G335" s="12">
        <v>0.10073107586093499</v>
      </c>
      <c r="K335" s="11">
        <v>135</v>
      </c>
      <c r="L335" s="12">
        <v>5.2241824620250199</v>
      </c>
    </row>
    <row r="336" spans="1:12" x14ac:dyDescent="0.25">
      <c r="A336" s="11">
        <v>-398</v>
      </c>
      <c r="B336" s="12">
        <v>0.74020123199999999</v>
      </c>
      <c r="F336" s="11">
        <v>-72</v>
      </c>
      <c r="G336" s="12">
        <v>0.10733952494452199</v>
      </c>
      <c r="K336" s="11">
        <v>136</v>
      </c>
      <c r="L336" s="12">
        <v>5.2431386033865</v>
      </c>
    </row>
    <row r="337" spans="1:12" x14ac:dyDescent="0.25">
      <c r="A337" s="11">
        <v>-397</v>
      </c>
      <c r="B337" s="12">
        <v>0.74029553299999995</v>
      </c>
      <c r="F337" s="11">
        <v>-71</v>
      </c>
      <c r="G337" s="12">
        <v>0.11362990055067</v>
      </c>
      <c r="K337" s="11">
        <v>137</v>
      </c>
      <c r="L337" s="12">
        <v>5.2619769483017498</v>
      </c>
    </row>
    <row r="338" spans="1:12" x14ac:dyDescent="0.25">
      <c r="A338" s="11">
        <v>-396</v>
      </c>
      <c r="B338" s="12">
        <v>0.74038585599999995</v>
      </c>
      <c r="F338" s="11">
        <v>-70</v>
      </c>
      <c r="G338" s="12">
        <v>0.119538094846717</v>
      </c>
      <c r="K338" s="11">
        <v>138</v>
      </c>
      <c r="L338" s="12">
        <v>5.2806990283727098</v>
      </c>
    </row>
    <row r="339" spans="1:12" x14ac:dyDescent="0.25">
      <c r="A339" s="11">
        <v>-395</v>
      </c>
      <c r="B339" s="12">
        <v>0.74047237499999996</v>
      </c>
      <c r="F339" s="11">
        <v>-69</v>
      </c>
      <c r="G339" s="12">
        <v>0.125</v>
      </c>
      <c r="K339" s="11">
        <v>139</v>
      </c>
      <c r="L339" s="12">
        <v>5.2993063752013096</v>
      </c>
    </row>
    <row r="340" spans="1:12" x14ac:dyDescent="0.25">
      <c r="A340" s="11">
        <v>-394</v>
      </c>
      <c r="B340" s="12">
        <v>0.74055526400000005</v>
      </c>
      <c r="F340" s="11">
        <v>-68</v>
      </c>
      <c r="G340" s="12">
        <v>0.130176347826087</v>
      </c>
      <c r="K340" s="11">
        <v>140</v>
      </c>
      <c r="L340" s="12">
        <v>5.31780052038948</v>
      </c>
    </row>
    <row r="341" spans="1:12" x14ac:dyDescent="0.25">
      <c r="A341" s="11">
        <v>-393</v>
      </c>
      <c r="B341" s="12">
        <v>0.74063469699999995</v>
      </c>
      <c r="F341" s="11">
        <v>-67</v>
      </c>
      <c r="G341" s="12">
        <v>0.13527600000000001</v>
      </c>
      <c r="K341" s="11">
        <v>141</v>
      </c>
      <c r="L341" s="12">
        <v>5.3361829955391702</v>
      </c>
    </row>
    <row r="342" spans="1:12" x14ac:dyDescent="0.25">
      <c r="A342" s="11">
        <v>-392</v>
      </c>
      <c r="B342" s="12">
        <v>0.74071084799999998</v>
      </c>
      <c r="F342" s="11">
        <v>-66</v>
      </c>
      <c r="G342" s="12">
        <v>0.14030704347826101</v>
      </c>
      <c r="K342" s="11">
        <v>142</v>
      </c>
      <c r="L342" s="12">
        <v>5.3544553322523001</v>
      </c>
    </row>
    <row r="343" spans="1:12" x14ac:dyDescent="0.25">
      <c r="A343" s="11">
        <v>-391</v>
      </c>
      <c r="B343" s="12">
        <v>0.74078389099999997</v>
      </c>
      <c r="F343" s="11">
        <v>-65</v>
      </c>
      <c r="G343" s="12">
        <v>0.14527756521739099</v>
      </c>
      <c r="K343" s="11">
        <v>143</v>
      </c>
      <c r="L343" s="12">
        <v>5.3726190621308003</v>
      </c>
    </row>
    <row r="344" spans="1:12" x14ac:dyDescent="0.25">
      <c r="A344" s="11">
        <v>-390</v>
      </c>
      <c r="B344" s="12">
        <v>0.74085400000000001</v>
      </c>
      <c r="F344" s="11">
        <v>-64</v>
      </c>
      <c r="G344" s="12">
        <v>0.15019565217391301</v>
      </c>
      <c r="K344" s="11">
        <v>144</v>
      </c>
      <c r="L344" s="12">
        <v>5.3906757167766202</v>
      </c>
    </row>
    <row r="345" spans="1:12" x14ac:dyDescent="0.25">
      <c r="A345" s="11">
        <v>-389</v>
      </c>
      <c r="B345" s="12">
        <v>0.74092134899999995</v>
      </c>
      <c r="F345" s="11">
        <v>-63</v>
      </c>
      <c r="G345" s="12">
        <v>0.15506939130434799</v>
      </c>
      <c r="K345" s="11">
        <v>145</v>
      </c>
      <c r="L345" s="12">
        <v>5.4086268277916698</v>
      </c>
    </row>
    <row r="346" spans="1:12" x14ac:dyDescent="0.25">
      <c r="A346" s="11">
        <v>-388</v>
      </c>
      <c r="B346" s="12">
        <v>0.74098611199999997</v>
      </c>
      <c r="F346" s="11">
        <v>-62</v>
      </c>
      <c r="G346" s="12">
        <v>0.15990686956521699</v>
      </c>
      <c r="K346" s="11">
        <v>146</v>
      </c>
      <c r="L346" s="12">
        <v>5.4264739267779101</v>
      </c>
    </row>
    <row r="347" spans="1:12" x14ac:dyDescent="0.25">
      <c r="A347" s="11">
        <v>-387</v>
      </c>
      <c r="B347" s="12">
        <v>0.74104846300000005</v>
      </c>
      <c r="F347" s="11">
        <v>-61</v>
      </c>
      <c r="G347" s="12">
        <v>0.164716173913043</v>
      </c>
      <c r="K347" s="11">
        <v>147</v>
      </c>
      <c r="L347" s="12">
        <v>5.4442185453372502</v>
      </c>
    </row>
    <row r="348" spans="1:12" x14ac:dyDescent="0.25">
      <c r="A348" s="11">
        <v>-386</v>
      </c>
      <c r="B348" s="12">
        <v>0.74110857600000002</v>
      </c>
      <c r="F348" s="11">
        <v>-60</v>
      </c>
      <c r="G348" s="12">
        <v>0.169505391304348</v>
      </c>
      <c r="K348" s="11">
        <v>148</v>
      </c>
      <c r="L348" s="12">
        <v>5.4618622150716396</v>
      </c>
    </row>
    <row r="349" spans="1:12" x14ac:dyDescent="0.25">
      <c r="A349" s="11">
        <v>-385</v>
      </c>
      <c r="B349" s="12">
        <v>0.74116662499999997</v>
      </c>
      <c r="F349" s="11">
        <v>-59</v>
      </c>
      <c r="G349" s="12">
        <v>0.17428260869565201</v>
      </c>
      <c r="K349" s="11">
        <v>149</v>
      </c>
      <c r="L349" s="12">
        <v>5.4794064675829999</v>
      </c>
    </row>
    <row r="350" spans="1:12" x14ac:dyDescent="0.25">
      <c r="A350" s="11">
        <v>-384</v>
      </c>
      <c r="B350" s="12">
        <v>0.74122278399999997</v>
      </c>
      <c r="F350" s="11">
        <v>-58</v>
      </c>
      <c r="G350" s="12">
        <v>0.17905591304347801</v>
      </c>
      <c r="K350" s="11">
        <v>150</v>
      </c>
      <c r="L350" s="12">
        <v>5.4968528344732697</v>
      </c>
    </row>
    <row r="351" spans="1:12" x14ac:dyDescent="0.25">
      <c r="A351" s="11">
        <v>-383</v>
      </c>
      <c r="B351" s="12">
        <v>0.74127722699999998</v>
      </c>
      <c r="F351" s="11">
        <v>-57</v>
      </c>
      <c r="G351" s="12">
        <v>0.183833391304348</v>
      </c>
      <c r="K351" s="11">
        <v>151</v>
      </c>
      <c r="L351" s="12">
        <v>5.5142028473443903</v>
      </c>
    </row>
    <row r="352" spans="1:12" x14ac:dyDescent="0.25">
      <c r="A352" s="11">
        <v>-382</v>
      </c>
      <c r="B352" s="12">
        <v>0.74133012799999998</v>
      </c>
      <c r="F352" s="11">
        <v>-56</v>
      </c>
      <c r="G352" s="12">
        <v>0.18862313043478299</v>
      </c>
      <c r="K352" s="11">
        <v>152</v>
      </c>
      <c r="L352" s="12">
        <v>5.5314580377982896</v>
      </c>
    </row>
    <row r="353" spans="1:12" x14ac:dyDescent="0.25">
      <c r="A353" s="11">
        <v>-381</v>
      </c>
      <c r="B353" s="12">
        <v>0.74138166100000003</v>
      </c>
      <c r="F353" s="11">
        <v>-55</v>
      </c>
      <c r="G353" s="12">
        <v>0.19343321739130401</v>
      </c>
      <c r="K353" s="11">
        <v>153</v>
      </c>
      <c r="L353" s="12">
        <v>5.5486199374369001</v>
      </c>
    </row>
    <row r="354" spans="1:12" x14ac:dyDescent="0.25">
      <c r="A354" s="11">
        <v>-380</v>
      </c>
      <c r="B354" s="12">
        <v>0.74143199999999998</v>
      </c>
      <c r="F354" s="11">
        <v>-54</v>
      </c>
      <c r="G354" s="12">
        <v>0.198271739130435</v>
      </c>
      <c r="K354" s="11">
        <v>154</v>
      </c>
      <c r="L354" s="12">
        <v>5.5656900778621496</v>
      </c>
    </row>
    <row r="355" spans="1:12" x14ac:dyDescent="0.25">
      <c r="A355" s="11">
        <v>-379</v>
      </c>
      <c r="B355" s="12">
        <v>0.74148131900000003</v>
      </c>
      <c r="F355" s="11">
        <v>-53</v>
      </c>
      <c r="G355" s="12">
        <v>0.20314678260869601</v>
      </c>
      <c r="K355" s="11">
        <v>155</v>
      </c>
      <c r="L355" s="12">
        <v>5.5826699906759902</v>
      </c>
    </row>
    <row r="356" spans="1:12" x14ac:dyDescent="0.25">
      <c r="A356" s="11">
        <v>-378</v>
      </c>
      <c r="B356" s="12">
        <v>0.74152979200000002</v>
      </c>
      <c r="F356" s="11">
        <v>-52</v>
      </c>
      <c r="G356" s="12">
        <v>0.208066434782609</v>
      </c>
      <c r="K356" s="11">
        <v>156</v>
      </c>
      <c r="L356" s="12">
        <v>5.5995612074803303</v>
      </c>
    </row>
    <row r="357" spans="1:12" x14ac:dyDescent="0.25">
      <c r="A357" s="11">
        <v>-377</v>
      </c>
      <c r="B357" s="12">
        <v>0.74157759300000003</v>
      </c>
      <c r="F357" s="11">
        <v>-51</v>
      </c>
      <c r="G357" s="12">
        <v>0.21303878260869599</v>
      </c>
      <c r="K357" s="11">
        <v>157</v>
      </c>
      <c r="L357" s="12">
        <v>5.6163652598771199</v>
      </c>
    </row>
    <row r="358" spans="1:12" x14ac:dyDescent="0.25">
      <c r="A358" s="11">
        <v>-376</v>
      </c>
      <c r="B358" s="12">
        <v>0.74162489600000003</v>
      </c>
      <c r="F358" s="11">
        <v>-50</v>
      </c>
      <c r="G358" s="12">
        <v>0.21807191304347801</v>
      </c>
      <c r="K358" s="11">
        <v>158</v>
      </c>
      <c r="L358" s="12">
        <v>5.6330836794682897</v>
      </c>
    </row>
    <row r="359" spans="1:12" x14ac:dyDescent="0.25">
      <c r="A359" s="11">
        <v>-375</v>
      </c>
      <c r="B359" s="12">
        <v>0.74167187499999998</v>
      </c>
      <c r="F359" s="11">
        <v>-49</v>
      </c>
      <c r="G359" s="12">
        <v>0.223173913043478</v>
      </c>
      <c r="K359" s="11">
        <v>159</v>
      </c>
      <c r="L359" s="12">
        <v>5.6497179978557703</v>
      </c>
    </row>
    <row r="360" spans="1:12" x14ac:dyDescent="0.25">
      <c r="A360" s="11">
        <v>-374</v>
      </c>
      <c r="B360" s="12">
        <v>0.74171870399999995</v>
      </c>
      <c r="F360" s="11">
        <v>-48</v>
      </c>
      <c r="G360" s="12">
        <v>0.228352869565217</v>
      </c>
      <c r="K360" s="11">
        <v>160</v>
      </c>
      <c r="L360" s="12">
        <v>5.6662697466415004</v>
      </c>
    </row>
    <row r="361" spans="1:12" x14ac:dyDescent="0.25">
      <c r="A361" s="11">
        <v>-373</v>
      </c>
      <c r="B361" s="12">
        <v>0.74176555700000002</v>
      </c>
      <c r="F361" s="11">
        <v>-47</v>
      </c>
      <c r="G361" s="12">
        <v>0.23361686956521699</v>
      </c>
      <c r="K361" s="11">
        <v>161</v>
      </c>
      <c r="L361" s="12">
        <v>5.6827404574273999</v>
      </c>
    </row>
    <row r="362" spans="1:12" x14ac:dyDescent="0.25">
      <c r="A362" s="11">
        <v>-372</v>
      </c>
      <c r="B362" s="12">
        <v>0.74181260800000004</v>
      </c>
      <c r="F362" s="11">
        <v>-46</v>
      </c>
      <c r="G362" s="12">
        <v>0.23897399999999999</v>
      </c>
      <c r="K362" s="11">
        <v>162</v>
      </c>
      <c r="L362" s="12">
        <v>5.6991316618154197</v>
      </c>
    </row>
    <row r="363" spans="1:12" x14ac:dyDescent="0.25">
      <c r="A363" s="11">
        <v>-371</v>
      </c>
      <c r="B363" s="12">
        <v>0.74186003099999998</v>
      </c>
      <c r="F363" s="11">
        <v>-45</v>
      </c>
      <c r="G363" s="12">
        <v>0.244432347826087</v>
      </c>
      <c r="K363" s="11">
        <v>163</v>
      </c>
      <c r="L363" s="12">
        <v>5.7154448914074898</v>
      </c>
    </row>
    <row r="364" spans="1:12" x14ac:dyDescent="0.25">
      <c r="A364" s="11">
        <v>-370</v>
      </c>
      <c r="B364" s="12">
        <v>0.74190800000000001</v>
      </c>
      <c r="F364" s="11">
        <v>-44</v>
      </c>
      <c r="G364" s="12">
        <v>0.25</v>
      </c>
      <c r="K364" s="11">
        <v>164</v>
      </c>
      <c r="L364" s="12">
        <v>5.7316816778055397</v>
      </c>
    </row>
    <row r="365" spans="1:12" x14ac:dyDescent="0.25">
      <c r="A365" s="11">
        <v>-369</v>
      </c>
      <c r="B365" s="12">
        <v>0.741956689</v>
      </c>
      <c r="F365" s="11">
        <v>-43</v>
      </c>
      <c r="G365" s="12">
        <v>0.25552126736111103</v>
      </c>
      <c r="K365" s="11">
        <v>165</v>
      </c>
      <c r="L365" s="12">
        <v>5.7478435526115002</v>
      </c>
    </row>
    <row r="366" spans="1:12" x14ac:dyDescent="0.25">
      <c r="A366" s="11">
        <v>-368</v>
      </c>
      <c r="B366" s="12">
        <v>0.74200627200000002</v>
      </c>
      <c r="F366" s="11">
        <v>-42</v>
      </c>
      <c r="G366" s="12">
        <v>0.26085763888888902</v>
      </c>
      <c r="K366" s="11">
        <v>166</v>
      </c>
      <c r="L366" s="12">
        <v>5.7639320474273097</v>
      </c>
    </row>
    <row r="367" spans="1:12" x14ac:dyDescent="0.25">
      <c r="A367" s="11">
        <v>-367</v>
      </c>
      <c r="B367" s="12">
        <v>0.74205692300000003</v>
      </c>
      <c r="F367" s="11">
        <v>-41</v>
      </c>
      <c r="G367" s="12">
        <v>0.26604296875</v>
      </c>
      <c r="K367" s="11">
        <v>167</v>
      </c>
      <c r="L367" s="12">
        <v>5.7799486938548998</v>
      </c>
    </row>
    <row r="368" spans="1:12" x14ac:dyDescent="0.25">
      <c r="A368" s="11">
        <v>-366</v>
      </c>
      <c r="B368" s="12">
        <v>0.742108816</v>
      </c>
      <c r="F368" s="11">
        <v>-40</v>
      </c>
      <c r="G368" s="12">
        <v>0.27111111111111103</v>
      </c>
      <c r="K368" s="11">
        <v>168</v>
      </c>
      <c r="L368" s="12">
        <v>5.7958950234962003</v>
      </c>
    </row>
    <row r="369" spans="1:12" x14ac:dyDescent="0.25">
      <c r="A369" s="11">
        <v>-365</v>
      </c>
      <c r="B369" s="12">
        <v>0.74216212500000001</v>
      </c>
      <c r="F369" s="11">
        <v>-39</v>
      </c>
      <c r="G369" s="12">
        <v>0.27609592013888901</v>
      </c>
      <c r="K369" s="11">
        <v>169</v>
      </c>
      <c r="L369" s="12">
        <v>5.8117725679531498</v>
      </c>
    </row>
    <row r="370" spans="1:12" x14ac:dyDescent="0.25">
      <c r="A370" s="11">
        <v>-364</v>
      </c>
      <c r="B370" s="12">
        <v>0.742217024</v>
      </c>
      <c r="F370" s="11">
        <v>-38</v>
      </c>
      <c r="G370" s="12">
        <v>0.28103125000000001</v>
      </c>
      <c r="K370" s="11">
        <v>170</v>
      </c>
      <c r="L370" s="12">
        <v>5.8275828588276903</v>
      </c>
    </row>
    <row r="371" spans="1:12" x14ac:dyDescent="0.25">
      <c r="A371" s="11">
        <v>-363</v>
      </c>
      <c r="B371" s="12">
        <v>0.74227368699999996</v>
      </c>
      <c r="F371" s="11">
        <v>-37</v>
      </c>
      <c r="G371" s="12">
        <v>0.285950954861111</v>
      </c>
      <c r="K371" s="11">
        <v>171</v>
      </c>
      <c r="L371" s="12">
        <v>5.8433274277217402</v>
      </c>
    </row>
    <row r="372" spans="1:12" x14ac:dyDescent="0.25">
      <c r="A372" s="11">
        <v>-362</v>
      </c>
      <c r="B372" s="12">
        <v>0.74233228799999995</v>
      </c>
      <c r="F372" s="11">
        <v>-36</v>
      </c>
      <c r="G372" s="12">
        <v>0.29088888888888897</v>
      </c>
      <c r="K372" s="11">
        <v>172</v>
      </c>
      <c r="L372" s="12">
        <v>5.8590078062372299</v>
      </c>
    </row>
    <row r="373" spans="1:12" x14ac:dyDescent="0.25">
      <c r="A373" s="11">
        <v>-361</v>
      </c>
      <c r="B373" s="12">
        <v>0.74239300100000005</v>
      </c>
      <c r="F373" s="11">
        <v>-35</v>
      </c>
      <c r="G373" s="12">
        <v>0.29587890625000002</v>
      </c>
      <c r="K373" s="11">
        <v>173</v>
      </c>
      <c r="L373" s="12">
        <v>5.8746255259761098</v>
      </c>
    </row>
    <row r="374" spans="1:12" x14ac:dyDescent="0.25">
      <c r="A374" s="11">
        <v>-360</v>
      </c>
      <c r="B374" s="12">
        <v>0.742456</v>
      </c>
      <c r="F374" s="11">
        <v>-34</v>
      </c>
      <c r="G374" s="12">
        <v>0.30095486111111103</v>
      </c>
      <c r="K374" s="11">
        <v>174</v>
      </c>
      <c r="L374" s="12">
        <v>5.8901821185403103</v>
      </c>
    </row>
    <row r="375" spans="1:12" x14ac:dyDescent="0.25">
      <c r="A375" s="11">
        <v>-359</v>
      </c>
      <c r="B375" s="12">
        <v>0.74252145899999999</v>
      </c>
      <c r="F375" s="11">
        <v>-33</v>
      </c>
      <c r="G375" s="12">
        <v>0.30615060763888902</v>
      </c>
      <c r="K375" s="11">
        <v>175</v>
      </c>
      <c r="L375" s="12">
        <v>5.9056791155317496</v>
      </c>
    </row>
    <row r="376" spans="1:12" x14ac:dyDescent="0.25">
      <c r="A376" s="11">
        <v>-358</v>
      </c>
      <c r="B376" s="12">
        <v>0.74258955199999999</v>
      </c>
      <c r="F376" s="11">
        <v>-32</v>
      </c>
      <c r="G376" s="12">
        <v>0.3115</v>
      </c>
      <c r="K376" s="11">
        <v>176</v>
      </c>
      <c r="L376" s="12">
        <v>5.9211180485523798</v>
      </c>
    </row>
    <row r="377" spans="1:12" x14ac:dyDescent="0.25">
      <c r="A377" s="11">
        <v>-357</v>
      </c>
      <c r="B377" s="12">
        <v>0.74266045300000005</v>
      </c>
      <c r="F377" s="11">
        <v>-31</v>
      </c>
      <c r="G377" s="12">
        <v>0.31703689236111099</v>
      </c>
      <c r="K377" s="11">
        <v>177</v>
      </c>
      <c r="L377" s="12">
        <v>5.9365004492041198</v>
      </c>
    </row>
    <row r="378" spans="1:12" x14ac:dyDescent="0.25">
      <c r="A378" s="11">
        <v>-356</v>
      </c>
      <c r="B378" s="12">
        <v>0.74273433600000005</v>
      </c>
      <c r="F378" s="11">
        <v>-30</v>
      </c>
      <c r="G378" s="12">
        <v>0.322795138888889</v>
      </c>
      <c r="K378" s="11">
        <v>178</v>
      </c>
      <c r="L378" s="12">
        <v>5.9518278490889198</v>
      </c>
    </row>
    <row r="379" spans="1:12" x14ac:dyDescent="0.25">
      <c r="A379" s="11">
        <v>-355</v>
      </c>
      <c r="B379" s="12">
        <v>0.74281137500000005</v>
      </c>
      <c r="F379" s="11">
        <v>-29</v>
      </c>
      <c r="G379" s="12">
        <v>0.32880859374999999</v>
      </c>
      <c r="K379" s="11">
        <v>179</v>
      </c>
      <c r="L379" s="12">
        <v>5.9671017798086901</v>
      </c>
    </row>
    <row r="380" spans="1:12" x14ac:dyDescent="0.25">
      <c r="A380" s="11">
        <v>-354</v>
      </c>
      <c r="B380" s="12">
        <v>0.74289174400000002</v>
      </c>
      <c r="F380" s="11">
        <v>-28</v>
      </c>
      <c r="G380" s="12">
        <v>0.33511111111111103</v>
      </c>
      <c r="K380" s="11">
        <v>180</v>
      </c>
      <c r="L380" s="12">
        <v>5.9823237729653904</v>
      </c>
    </row>
    <row r="381" spans="1:12" x14ac:dyDescent="0.25">
      <c r="A381" s="11">
        <v>-353</v>
      </c>
      <c r="B381" s="12">
        <v>0.74297561700000003</v>
      </c>
      <c r="F381" s="11">
        <v>-27</v>
      </c>
      <c r="G381" s="12">
        <v>0.34173654513888901</v>
      </c>
      <c r="K381" s="11">
        <v>181</v>
      </c>
      <c r="L381" s="12">
        <v>5.9974953601609302</v>
      </c>
    </row>
    <row r="382" spans="1:12" x14ac:dyDescent="0.25">
      <c r="A382" s="11">
        <v>-352</v>
      </c>
      <c r="B382" s="12">
        <v>0.74306316800000005</v>
      </c>
      <c r="F382" s="11">
        <v>-26</v>
      </c>
      <c r="G382" s="12">
        <v>0.34871875000000002</v>
      </c>
      <c r="K382" s="11">
        <v>182</v>
      </c>
      <c r="L382" s="12">
        <v>6.0126180729972596</v>
      </c>
    </row>
    <row r="383" spans="1:12" x14ac:dyDescent="0.25">
      <c r="A383" s="11">
        <v>-351</v>
      </c>
      <c r="B383" s="12">
        <v>0.74315457100000004</v>
      </c>
      <c r="F383" s="11">
        <v>-25</v>
      </c>
      <c r="G383" s="12">
        <v>0.35609157986111101</v>
      </c>
      <c r="K383" s="11">
        <v>183</v>
      </c>
      <c r="L383" s="12">
        <v>6.0276934430763003</v>
      </c>
    </row>
    <row r="384" spans="1:12" x14ac:dyDescent="0.25">
      <c r="A384" s="11">
        <v>-350</v>
      </c>
      <c r="B384" s="12">
        <v>0.74324999999999997</v>
      </c>
      <c r="F384" s="11">
        <v>-24</v>
      </c>
      <c r="G384" s="12">
        <v>0.36388888888888898</v>
      </c>
      <c r="K384" s="11">
        <v>184</v>
      </c>
      <c r="L384" s="12">
        <v>6.0427230019999998</v>
      </c>
    </row>
    <row r="385" spans="1:12" x14ac:dyDescent="0.25">
      <c r="A385" s="11">
        <v>-349</v>
      </c>
      <c r="B385" s="12">
        <v>0.74334962900000001</v>
      </c>
      <c r="F385" s="11">
        <v>-23</v>
      </c>
      <c r="G385" s="12">
        <v>0.37214453125000002</v>
      </c>
      <c r="K385" s="11">
        <v>185</v>
      </c>
      <c r="L385" s="12">
        <v>6.05763530959356</v>
      </c>
    </row>
    <row r="386" spans="1:12" x14ac:dyDescent="0.25">
      <c r="A386" s="11">
        <v>-348</v>
      </c>
      <c r="B386" s="12">
        <v>0.74345363200000003</v>
      </c>
      <c r="F386" s="11">
        <v>-22</v>
      </c>
      <c r="G386" s="12">
        <v>0.38089236111111102</v>
      </c>
      <c r="K386" s="11">
        <v>186</v>
      </c>
      <c r="L386" s="12">
        <v>6.07235981127325</v>
      </c>
    </row>
    <row r="387" spans="1:12" x14ac:dyDescent="0.25">
      <c r="A387" s="11">
        <v>-347</v>
      </c>
      <c r="B387" s="12">
        <v>0.74356218299999999</v>
      </c>
      <c r="F387" s="11">
        <v>-21</v>
      </c>
      <c r="G387" s="12">
        <v>0.390166232638889</v>
      </c>
      <c r="K387" s="11">
        <v>187</v>
      </c>
      <c r="L387" s="12">
        <v>6.0868993670276099</v>
      </c>
    </row>
    <row r="388" spans="1:12" x14ac:dyDescent="0.25">
      <c r="A388" s="11">
        <v>-346</v>
      </c>
      <c r="B388" s="12">
        <v>0.74367545599999996</v>
      </c>
      <c r="F388" s="11">
        <v>-20</v>
      </c>
      <c r="G388" s="12">
        <v>0.4</v>
      </c>
      <c r="K388" s="11">
        <v>188</v>
      </c>
      <c r="L388" s="12">
        <v>6.1012568368451801</v>
      </c>
    </row>
    <row r="389" spans="1:12" x14ac:dyDescent="0.25">
      <c r="A389" s="11">
        <v>-345</v>
      </c>
      <c r="B389" s="12">
        <v>0.74379362500000001</v>
      </c>
      <c r="F389" s="11">
        <v>-19</v>
      </c>
      <c r="G389" s="12">
        <v>0.41012657530434798</v>
      </c>
      <c r="K389" s="11">
        <v>189</v>
      </c>
      <c r="L389" s="12">
        <v>6.1154350807144997</v>
      </c>
    </row>
    <row r="390" spans="1:12" x14ac:dyDescent="0.25">
      <c r="A390" s="11">
        <v>-344</v>
      </c>
      <c r="B390" s="12">
        <v>0.74391686400000001</v>
      </c>
      <c r="F390" s="11">
        <v>-18</v>
      </c>
      <c r="G390" s="12">
        <v>0.420281872</v>
      </c>
      <c r="K390" s="11">
        <v>190</v>
      </c>
      <c r="L390" s="12">
        <v>6.1294369586240904</v>
      </c>
    </row>
    <row r="391" spans="1:12" x14ac:dyDescent="0.25">
      <c r="A391" s="11">
        <v>-343</v>
      </c>
      <c r="B391" s="12">
        <v>0.74404534700000002</v>
      </c>
      <c r="F391" s="11">
        <v>-17</v>
      </c>
      <c r="G391" s="12">
        <v>0.43050424626087003</v>
      </c>
      <c r="K391" s="11">
        <v>191</v>
      </c>
      <c r="L391" s="12">
        <v>6.1432653305625102</v>
      </c>
    </row>
    <row r="392" spans="1:12" x14ac:dyDescent="0.25">
      <c r="A392" s="11">
        <v>-342</v>
      </c>
      <c r="B392" s="12">
        <v>0.74417924800000002</v>
      </c>
      <c r="F392" s="11">
        <v>-16</v>
      </c>
      <c r="G392" s="12">
        <v>0.44083205426087002</v>
      </c>
      <c r="K392" s="11">
        <v>192</v>
      </c>
      <c r="L392" s="12">
        <v>6.15692305651827</v>
      </c>
    </row>
    <row r="393" spans="1:12" x14ac:dyDescent="0.25">
      <c r="A393" s="11">
        <v>-341</v>
      </c>
      <c r="B393" s="12">
        <v>0.74431874099999995</v>
      </c>
      <c r="F393" s="11">
        <v>-15</v>
      </c>
      <c r="G393" s="12">
        <v>0.45130365217391299</v>
      </c>
      <c r="K393" s="11">
        <v>193</v>
      </c>
      <c r="L393" s="12">
        <v>6.1704129964799197</v>
      </c>
    </row>
    <row r="394" spans="1:12" x14ac:dyDescent="0.25">
      <c r="A394" s="11">
        <v>-340</v>
      </c>
      <c r="B394" s="12">
        <v>0.74446400000000001</v>
      </c>
      <c r="F394" s="11">
        <v>-14</v>
      </c>
      <c r="G394" s="12">
        <v>0.46195739617391302</v>
      </c>
      <c r="K394" s="11">
        <v>194</v>
      </c>
      <c r="L394" s="12">
        <v>6.1837380104359996</v>
      </c>
    </row>
    <row r="395" spans="1:12" x14ac:dyDescent="0.25">
      <c r="A395" s="11">
        <v>-339</v>
      </c>
      <c r="B395" s="12">
        <v>0.74461519899999995</v>
      </c>
      <c r="F395" s="11">
        <v>-13</v>
      </c>
      <c r="G395" s="12">
        <v>0.47283164243478298</v>
      </c>
      <c r="K395" s="11">
        <v>195</v>
      </c>
      <c r="L395" s="12">
        <v>6.1969009583750401</v>
      </c>
    </row>
    <row r="396" spans="1:12" x14ac:dyDescent="0.25">
      <c r="A396" s="11">
        <v>-338</v>
      </c>
      <c r="B396" s="12">
        <v>0.74477251200000005</v>
      </c>
      <c r="F396" s="11">
        <v>-12</v>
      </c>
      <c r="G396" s="12">
        <v>0.48396474713043502</v>
      </c>
      <c r="K396" s="11">
        <v>196</v>
      </c>
      <c r="L396" s="12">
        <v>6.2099047002855698</v>
      </c>
    </row>
    <row r="397" spans="1:12" x14ac:dyDescent="0.25">
      <c r="A397" s="11">
        <v>-337</v>
      </c>
      <c r="B397" s="12">
        <v>0.74493611299999996</v>
      </c>
      <c r="F397" s="11">
        <v>-11</v>
      </c>
      <c r="G397" s="12">
        <v>0.49539506643478298</v>
      </c>
      <c r="K397" s="11">
        <v>197</v>
      </c>
      <c r="L397" s="12">
        <v>6.22275209615613</v>
      </c>
    </row>
    <row r="398" spans="1:12" x14ac:dyDescent="0.25">
      <c r="A398" s="11">
        <v>-336</v>
      </c>
      <c r="B398" s="12">
        <v>0.74510617599999995</v>
      </c>
      <c r="F398" s="11">
        <v>-10</v>
      </c>
      <c r="G398" s="12">
        <v>0.50716095652173898</v>
      </c>
      <c r="K398" s="11">
        <v>198</v>
      </c>
      <c r="L398" s="12">
        <v>6.2354460059752599</v>
      </c>
    </row>
    <row r="399" spans="1:12" x14ac:dyDescent="0.25">
      <c r="A399" s="11">
        <v>-335</v>
      </c>
      <c r="B399" s="12">
        <v>0.74528287500000001</v>
      </c>
      <c r="F399" s="11">
        <v>-9</v>
      </c>
      <c r="G399" s="12">
        <v>0.51930077356521698</v>
      </c>
      <c r="K399" s="11">
        <v>199</v>
      </c>
      <c r="L399" s="12">
        <v>6.2479892897314997</v>
      </c>
    </row>
    <row r="400" spans="1:12" x14ac:dyDescent="0.25">
      <c r="A400" s="11">
        <v>-334</v>
      </c>
      <c r="B400" s="12">
        <v>0.74546638399999998</v>
      </c>
      <c r="F400" s="11">
        <v>-8</v>
      </c>
      <c r="G400" s="12">
        <v>0.53185287373913004</v>
      </c>
      <c r="K400" s="11">
        <v>200</v>
      </c>
      <c r="L400" s="12">
        <v>6.2603848074133799</v>
      </c>
    </row>
    <row r="401" spans="1:12" x14ac:dyDescent="0.25">
      <c r="A401" s="11">
        <v>-333</v>
      </c>
      <c r="B401" s="12">
        <v>0.74565687700000005</v>
      </c>
      <c r="F401" s="11">
        <v>-7</v>
      </c>
      <c r="G401" s="12">
        <v>0.54485561321739095</v>
      </c>
      <c r="K401" s="11">
        <v>201</v>
      </c>
      <c r="L401" s="12">
        <v>6.27263541900943</v>
      </c>
    </row>
    <row r="402" spans="1:12" x14ac:dyDescent="0.25">
      <c r="A402" s="11">
        <v>-332</v>
      </c>
      <c r="B402" s="12">
        <v>0.74585452799999996</v>
      </c>
      <c r="F402" s="11">
        <v>-6</v>
      </c>
      <c r="G402" s="12">
        <v>0.55834734817391296</v>
      </c>
      <c r="K402" s="11">
        <v>202</v>
      </c>
      <c r="L402" s="12">
        <v>6.2847439845081903</v>
      </c>
    </row>
    <row r="403" spans="1:12" x14ac:dyDescent="0.25">
      <c r="A403" s="11">
        <v>-331</v>
      </c>
      <c r="B403" s="12">
        <v>0.74605951100000001</v>
      </c>
      <c r="F403" s="11">
        <v>-5</v>
      </c>
      <c r="G403" s="12">
        <v>0.57236643478260896</v>
      </c>
      <c r="K403" s="11">
        <v>203</v>
      </c>
      <c r="L403" s="12">
        <v>6.2967133638982098</v>
      </c>
    </row>
    <row r="404" spans="1:12" x14ac:dyDescent="0.25">
      <c r="A404" s="11">
        <v>-330</v>
      </c>
      <c r="B404" s="12">
        <v>0.74627200000000005</v>
      </c>
      <c r="F404" s="11">
        <v>-4</v>
      </c>
      <c r="G404" s="12">
        <v>0.58695122921739096</v>
      </c>
      <c r="K404" s="11">
        <v>204</v>
      </c>
      <c r="L404" s="12">
        <v>6.3085464171680004</v>
      </c>
    </row>
    <row r="405" spans="1:12" x14ac:dyDescent="0.25">
      <c r="A405" s="11">
        <v>-329</v>
      </c>
      <c r="B405" s="12">
        <v>0.74649216900000004</v>
      </c>
      <c r="F405" s="11">
        <v>-3</v>
      </c>
      <c r="G405" s="12">
        <v>0.60214008765217397</v>
      </c>
      <c r="K405" s="11">
        <v>205</v>
      </c>
      <c r="L405" s="12">
        <v>6.3202460043061199</v>
      </c>
    </row>
    <row r="406" spans="1:12" x14ac:dyDescent="0.25">
      <c r="A406" s="11">
        <v>-328</v>
      </c>
      <c r="B406" s="12">
        <v>0.74672019199999995</v>
      </c>
      <c r="F406" s="11">
        <v>-2</v>
      </c>
      <c r="G406" s="12">
        <v>0.61797136626086902</v>
      </c>
      <c r="K406" s="11">
        <v>206</v>
      </c>
      <c r="L406" s="12">
        <v>6.3318149853010901</v>
      </c>
    </row>
    <row r="407" spans="1:12" x14ac:dyDescent="0.25">
      <c r="A407" s="11">
        <v>-327</v>
      </c>
      <c r="B407" s="12">
        <v>0.74695624299999996</v>
      </c>
      <c r="F407" s="11">
        <v>-1</v>
      </c>
      <c r="G407" s="12">
        <v>0.63448342121739099</v>
      </c>
      <c r="K407" s="11">
        <v>207</v>
      </c>
      <c r="L407" s="12">
        <v>6.3432562201414502</v>
      </c>
    </row>
    <row r="408" spans="1:12" x14ac:dyDescent="0.25">
      <c r="A408" s="11">
        <v>-326</v>
      </c>
      <c r="B408" s="12">
        <v>0.74720049600000005</v>
      </c>
      <c r="F408" s="11">
        <v>0</v>
      </c>
      <c r="G408" s="12">
        <v>0.65171460869565201</v>
      </c>
      <c r="K408" s="11">
        <v>208</v>
      </c>
      <c r="L408" s="12">
        <v>6.3545725688157404</v>
      </c>
    </row>
    <row r="409" spans="1:12" x14ac:dyDescent="0.25">
      <c r="A409" s="11">
        <v>-325</v>
      </c>
      <c r="B409" s="12">
        <v>0.74745312500000005</v>
      </c>
      <c r="F409" s="11">
        <v>1</v>
      </c>
      <c r="G409" s="12">
        <v>0.66970328486956499</v>
      </c>
      <c r="K409" s="11">
        <v>209</v>
      </c>
      <c r="L409" s="12">
        <v>6.3657668913125001</v>
      </c>
    </row>
    <row r="410" spans="1:12" x14ac:dyDescent="0.25">
      <c r="A410" s="11">
        <v>-324</v>
      </c>
      <c r="B410" s="12">
        <v>0.74771430400000005</v>
      </c>
      <c r="F410" s="11">
        <v>2</v>
      </c>
      <c r="G410" s="12">
        <v>0.68848780591304304</v>
      </c>
      <c r="K410" s="11">
        <v>210</v>
      </c>
      <c r="L410" s="12">
        <v>6.3768420476202596</v>
      </c>
    </row>
    <row r="411" spans="1:12" x14ac:dyDescent="0.25">
      <c r="A411" s="11">
        <v>-323</v>
      </c>
      <c r="B411" s="12">
        <v>0.74798420700000001</v>
      </c>
      <c r="F411" s="11">
        <v>3</v>
      </c>
      <c r="G411" s="12">
        <v>0.70810652799999996</v>
      </c>
      <c r="K411" s="11">
        <v>211</v>
      </c>
      <c r="L411" s="12">
        <v>6.3878008977275504</v>
      </c>
    </row>
    <row r="412" spans="1:12" x14ac:dyDescent="0.25">
      <c r="A412" s="11">
        <v>-322</v>
      </c>
      <c r="B412" s="12">
        <v>0.74826300800000001</v>
      </c>
      <c r="F412" s="11">
        <v>4</v>
      </c>
      <c r="G412" s="12">
        <v>0.72859780730434798</v>
      </c>
      <c r="K412" s="11">
        <v>212</v>
      </c>
      <c r="L412" s="12">
        <v>6.39864630162291</v>
      </c>
    </row>
    <row r="413" spans="1:12" x14ac:dyDescent="0.25">
      <c r="A413" s="11">
        <v>-321</v>
      </c>
      <c r="B413" s="12">
        <v>0.748550881</v>
      </c>
      <c r="F413" s="11">
        <v>5</v>
      </c>
      <c r="G413" s="12">
        <v>0.75</v>
      </c>
      <c r="K413" s="11">
        <v>213</v>
      </c>
      <c r="L413" s="12">
        <v>6.4093811192948804</v>
      </c>
    </row>
    <row r="414" spans="1:12" x14ac:dyDescent="0.25">
      <c r="A414" s="11">
        <v>-320</v>
      </c>
      <c r="B414" s="12">
        <v>0.74884799999999996</v>
      </c>
      <c r="F414" s="11">
        <v>6</v>
      </c>
      <c r="G414" s="12">
        <v>0.77196961446788603</v>
      </c>
      <c r="K414" s="11">
        <v>214</v>
      </c>
      <c r="L414" s="12">
        <v>6.420008210732</v>
      </c>
    </row>
    <row r="415" spans="1:12" x14ac:dyDescent="0.25">
      <c r="A415" s="11">
        <v>-319</v>
      </c>
      <c r="B415" s="12">
        <v>0.74915453899999995</v>
      </c>
      <c r="F415" s="11">
        <v>7</v>
      </c>
      <c r="G415" s="12">
        <v>0.79418177251202804</v>
      </c>
      <c r="K415" s="11">
        <v>215</v>
      </c>
      <c r="L415" s="12">
        <v>6.4305304359228002</v>
      </c>
    </row>
    <row r="416" spans="1:12" x14ac:dyDescent="0.25">
      <c r="A416" s="11">
        <v>-318</v>
      </c>
      <c r="B416" s="12">
        <v>0.74947067199999995</v>
      </c>
      <c r="F416" s="11">
        <v>8</v>
      </c>
      <c r="G416" s="12">
        <v>0.81670275044097795</v>
      </c>
      <c r="K416" s="11">
        <v>216</v>
      </c>
      <c r="L416" s="12">
        <v>6.4409506548558104</v>
      </c>
    </row>
    <row r="417" spans="1:12" x14ac:dyDescent="0.25">
      <c r="A417" s="11">
        <v>-317</v>
      </c>
      <c r="B417" s="12">
        <v>0.74979657300000002</v>
      </c>
      <c r="F417" s="11">
        <v>9</v>
      </c>
      <c r="G417" s="12">
        <v>0.83959882456328905</v>
      </c>
      <c r="K417" s="11">
        <v>217</v>
      </c>
      <c r="L417" s="12">
        <v>6.4512717275195701</v>
      </c>
    </row>
    <row r="418" spans="1:12" x14ac:dyDescent="0.25">
      <c r="A418" s="11">
        <v>-316</v>
      </c>
      <c r="B418" s="12">
        <v>0.75013241600000002</v>
      </c>
      <c r="F418" s="11">
        <v>10</v>
      </c>
      <c r="G418" s="12">
        <v>0.86293627118751204</v>
      </c>
      <c r="K418" s="11">
        <v>218</v>
      </c>
      <c r="L418" s="12">
        <v>6.4614965139026204</v>
      </c>
    </row>
    <row r="419" spans="1:12" x14ac:dyDescent="0.25">
      <c r="A419" s="11">
        <v>-315</v>
      </c>
      <c r="B419" s="12">
        <v>0.75047837500000003</v>
      </c>
      <c r="F419" s="11">
        <v>11</v>
      </c>
      <c r="G419" s="12">
        <v>0.88678136662219997</v>
      </c>
      <c r="K419" s="11">
        <v>219</v>
      </c>
      <c r="L419" s="12">
        <v>6.4716278739934996</v>
      </c>
    </row>
    <row r="420" spans="1:12" x14ac:dyDescent="0.25">
      <c r="A420" s="11">
        <v>-314</v>
      </c>
      <c r="B420" s="12">
        <v>0.75083462400000001</v>
      </c>
      <c r="F420" s="11">
        <v>12</v>
      </c>
      <c r="G420" s="12">
        <v>0.91120038717590501</v>
      </c>
      <c r="K420" s="11">
        <v>220</v>
      </c>
      <c r="L420" s="12">
        <v>6.4816686677807303</v>
      </c>
    </row>
    <row r="421" spans="1:12" x14ac:dyDescent="0.25">
      <c r="A421" s="11">
        <v>-313</v>
      </c>
      <c r="B421" s="12">
        <v>0.75120133700000002</v>
      </c>
      <c r="F421" s="11">
        <v>13</v>
      </c>
      <c r="G421" s="12">
        <v>0.93625960915717799</v>
      </c>
      <c r="K421" s="11">
        <v>221</v>
      </c>
      <c r="L421" s="12">
        <v>6.4916217552528703</v>
      </c>
    </row>
    <row r="422" spans="1:12" x14ac:dyDescent="0.25">
      <c r="A422" s="11">
        <v>-312</v>
      </c>
      <c r="B422" s="12">
        <v>0.75157868800000005</v>
      </c>
      <c r="F422" s="11">
        <v>14</v>
      </c>
      <c r="G422" s="12">
        <v>0.96202530887457205</v>
      </c>
      <c r="K422" s="11">
        <v>222</v>
      </c>
      <c r="L422" s="12">
        <v>6.5014899963984298</v>
      </c>
    </row>
    <row r="423" spans="1:12" x14ac:dyDescent="0.25">
      <c r="A423" s="11">
        <v>-311</v>
      </c>
      <c r="B423" s="12">
        <v>0.75196685100000005</v>
      </c>
      <c r="F423" s="11">
        <v>15</v>
      </c>
      <c r="G423" s="12">
        <v>0.98856376263664003</v>
      </c>
      <c r="K423" s="11">
        <v>223</v>
      </c>
      <c r="L423" s="12">
        <v>6.5112762512059597</v>
      </c>
    </row>
    <row r="424" spans="1:12" x14ac:dyDescent="0.25">
      <c r="A424" s="11">
        <v>-310</v>
      </c>
      <c r="B424" s="12">
        <v>0.75236599999999998</v>
      </c>
      <c r="F424" s="11">
        <v>16</v>
      </c>
      <c r="G424" s="12">
        <v>1.01594124675193</v>
      </c>
      <c r="K424" s="11">
        <v>224</v>
      </c>
      <c r="L424" s="12">
        <v>6.520983379664</v>
      </c>
    </row>
    <row r="425" spans="1:12" x14ac:dyDescent="0.25">
      <c r="A425" s="11">
        <v>-309</v>
      </c>
      <c r="B425" s="12">
        <v>0.75277630900000003</v>
      </c>
      <c r="F425" s="11">
        <v>17</v>
      </c>
      <c r="G425" s="12">
        <v>1.0442240375289999</v>
      </c>
      <c r="K425" s="11">
        <v>225</v>
      </c>
      <c r="L425" s="12">
        <v>6.5306142417610804</v>
      </c>
    </row>
    <row r="426" spans="1:12" x14ac:dyDescent="0.25">
      <c r="A426" s="11">
        <v>-308</v>
      </c>
      <c r="B426" s="12">
        <v>0.75319795199999995</v>
      </c>
      <c r="F426" s="11">
        <v>18</v>
      </c>
      <c r="G426" s="12">
        <v>1.0734784112764</v>
      </c>
      <c r="K426" s="11">
        <v>226</v>
      </c>
      <c r="L426" s="12">
        <v>6.5401716974857296</v>
      </c>
    </row>
    <row r="427" spans="1:12" x14ac:dyDescent="0.25">
      <c r="A427" s="11">
        <v>-307</v>
      </c>
      <c r="B427" s="12">
        <v>0.75363110300000002</v>
      </c>
      <c r="F427" s="11">
        <v>19</v>
      </c>
      <c r="G427" s="12">
        <v>1.10377064430269</v>
      </c>
      <c r="K427" s="11">
        <v>227</v>
      </c>
      <c r="L427" s="12">
        <v>6.5496586068264904</v>
      </c>
    </row>
    <row r="428" spans="1:12" x14ac:dyDescent="0.25">
      <c r="A428" s="11">
        <v>-306</v>
      </c>
      <c r="B428" s="12">
        <v>0.754075936</v>
      </c>
      <c r="F428" s="11">
        <v>20</v>
      </c>
      <c r="G428" s="12">
        <v>1.1351670129164</v>
      </c>
      <c r="K428" s="11">
        <v>228</v>
      </c>
      <c r="L428" s="12">
        <v>6.5590778297719003</v>
      </c>
    </row>
    <row r="429" spans="1:12" x14ac:dyDescent="0.25">
      <c r="A429" s="11">
        <v>-305</v>
      </c>
      <c r="B429" s="12">
        <v>0.75453262499999996</v>
      </c>
      <c r="F429" s="11">
        <v>21</v>
      </c>
      <c r="G429" s="12">
        <v>1.1677337934261001</v>
      </c>
      <c r="K429" s="11">
        <v>229</v>
      </c>
      <c r="L429" s="12">
        <v>6.5684322263104997</v>
      </c>
    </row>
    <row r="430" spans="1:12" x14ac:dyDescent="0.25">
      <c r="A430" s="11">
        <v>-304</v>
      </c>
      <c r="B430" s="12">
        <v>0.75500134399999996</v>
      </c>
      <c r="F430" s="11">
        <v>22</v>
      </c>
      <c r="G430" s="12">
        <v>1.20153726214034</v>
      </c>
      <c r="K430" s="11">
        <v>230</v>
      </c>
      <c r="L430" s="12">
        <v>6.5777246564308198</v>
      </c>
    </row>
    <row r="431" spans="1:12" x14ac:dyDescent="0.25">
      <c r="A431" s="11">
        <v>-303</v>
      </c>
      <c r="B431" s="12">
        <v>0.75548226699999999</v>
      </c>
      <c r="F431" s="11">
        <v>23</v>
      </c>
      <c r="G431" s="12">
        <v>1.23664369536767</v>
      </c>
      <c r="K431" s="11">
        <v>231</v>
      </c>
      <c r="L431" s="12">
        <v>6.5869579801213902</v>
      </c>
    </row>
    <row r="432" spans="1:12" x14ac:dyDescent="0.25">
      <c r="A432" s="11">
        <v>-302</v>
      </c>
      <c r="B432" s="12">
        <v>0.75597556799999999</v>
      </c>
      <c r="F432" s="11">
        <v>24</v>
      </c>
      <c r="G432" s="12">
        <v>1.2731193694166401</v>
      </c>
      <c r="K432" s="11">
        <v>232</v>
      </c>
      <c r="L432" s="12">
        <v>6.5961350573707502</v>
      </c>
    </row>
    <row r="433" spans="1:12" x14ac:dyDescent="0.25">
      <c r="A433" s="11">
        <v>-301</v>
      </c>
      <c r="B433" s="12">
        <v>0.75648142100000004</v>
      </c>
      <c r="F433" s="11">
        <v>25</v>
      </c>
      <c r="G433" s="12">
        <v>1.3110305605958099</v>
      </c>
      <c r="K433" s="11">
        <v>233</v>
      </c>
      <c r="L433" s="12">
        <v>6.6052587481674401</v>
      </c>
    </row>
    <row r="434" spans="1:12" x14ac:dyDescent="0.25">
      <c r="A434" s="11">
        <v>-300</v>
      </c>
      <c r="B434" s="12">
        <v>0.75700000000000001</v>
      </c>
      <c r="F434" s="11">
        <v>26</v>
      </c>
      <c r="G434" s="12">
        <v>1.35044354521372</v>
      </c>
      <c r="K434" s="11">
        <v>234</v>
      </c>
      <c r="L434" s="12">
        <v>6.6143319125</v>
      </c>
    </row>
    <row r="435" spans="1:12" x14ac:dyDescent="0.25">
      <c r="A435" s="11">
        <v>-299</v>
      </c>
      <c r="B435" s="12">
        <v>0.75752652050000002</v>
      </c>
      <c r="F435" s="11">
        <v>27</v>
      </c>
      <c r="G435" s="12">
        <v>1.39142459957894</v>
      </c>
      <c r="K435" s="11">
        <v>235</v>
      </c>
      <c r="L435" s="12">
        <v>6.6233574103569604</v>
      </c>
    </row>
    <row r="436" spans="1:12" x14ac:dyDescent="0.25">
      <c r="A436" s="11">
        <v>-298</v>
      </c>
      <c r="B436" s="12">
        <v>0.75805616399999998</v>
      </c>
      <c r="F436" s="11">
        <v>28</v>
      </c>
      <c r="G436" s="12">
        <v>1.43404</v>
      </c>
      <c r="K436" s="11">
        <v>236</v>
      </c>
      <c r="L436" s="12">
        <v>6.6323381017268499</v>
      </c>
    </row>
    <row r="437" spans="1:12" x14ac:dyDescent="0.25">
      <c r="A437" s="11">
        <v>-297</v>
      </c>
      <c r="B437" s="12">
        <v>0.75858905350000005</v>
      </c>
      <c r="F437" s="11">
        <v>29</v>
      </c>
      <c r="G437" s="12">
        <v>1.47852172082484</v>
      </c>
      <c r="K437" s="11">
        <v>237</v>
      </c>
      <c r="L437" s="12">
        <v>6.6412768465982097</v>
      </c>
    </row>
    <row r="438" spans="1:12" x14ac:dyDescent="0.25">
      <c r="A438" s="11">
        <v>-296</v>
      </c>
      <c r="B438" s="12">
        <v>0.759125312</v>
      </c>
      <c r="F438" s="11">
        <v>30</v>
      </c>
      <c r="G438" s="12">
        <v>1.52497761594269</v>
      </c>
      <c r="K438" s="11">
        <v>238</v>
      </c>
      <c r="L438" s="12">
        <v>6.65017650495958</v>
      </c>
    </row>
    <row r="439" spans="1:12" x14ac:dyDescent="0.25">
      <c r="A439" s="11">
        <v>-295</v>
      </c>
      <c r="B439" s="12">
        <v>0.75966506249999999</v>
      </c>
      <c r="F439" s="11">
        <v>31</v>
      </c>
      <c r="G439" s="12">
        <v>1.57328778097406</v>
      </c>
      <c r="K439" s="11">
        <v>239</v>
      </c>
      <c r="L439" s="12">
        <v>6.6590399367995001</v>
      </c>
    </row>
    <row r="440" spans="1:12" x14ac:dyDescent="0.25">
      <c r="A440" s="11">
        <v>-294</v>
      </c>
      <c r="B440" s="12">
        <v>0.76020842799999999</v>
      </c>
      <c r="F440" s="11">
        <v>32</v>
      </c>
      <c r="G440" s="12">
        <v>1.62333231153945</v>
      </c>
      <c r="K440" s="11">
        <v>240</v>
      </c>
      <c r="L440" s="12">
        <v>6.6678700021064996</v>
      </c>
    </row>
    <row r="441" spans="1:12" x14ac:dyDescent="0.25">
      <c r="A441" s="11">
        <v>-293</v>
      </c>
      <c r="B441" s="12">
        <v>0.76075553149999997</v>
      </c>
      <c r="F441" s="11">
        <v>33</v>
      </c>
      <c r="G441" s="12">
        <v>1.6749913032593899</v>
      </c>
      <c r="K441" s="11">
        <v>241</v>
      </c>
      <c r="L441" s="12">
        <v>6.6766695608691098</v>
      </c>
    </row>
    <row r="442" spans="1:12" x14ac:dyDescent="0.25">
      <c r="A442" s="11">
        <v>-292</v>
      </c>
      <c r="B442" s="12">
        <v>0.761306496</v>
      </c>
      <c r="F442" s="11">
        <v>34</v>
      </c>
      <c r="G442" s="12">
        <v>1.72814485175437</v>
      </c>
      <c r="K442" s="11">
        <v>242</v>
      </c>
      <c r="L442" s="12">
        <v>6.68544147307587</v>
      </c>
    </row>
    <row r="443" spans="1:12" x14ac:dyDescent="0.25">
      <c r="A443" s="11">
        <v>-291</v>
      </c>
      <c r="B443" s="12">
        <v>0.76186144450000004</v>
      </c>
      <c r="F443" s="11">
        <v>35</v>
      </c>
      <c r="G443" s="12">
        <v>1.7826730526449099</v>
      </c>
      <c r="K443" s="11">
        <v>243</v>
      </c>
      <c r="L443" s="12">
        <v>6.6941885987153196</v>
      </c>
    </row>
    <row r="444" spans="1:12" x14ac:dyDescent="0.25">
      <c r="A444" s="11">
        <v>-290</v>
      </c>
      <c r="B444" s="12">
        <v>0.76242049999999995</v>
      </c>
      <c r="F444" s="11">
        <v>36</v>
      </c>
      <c r="G444" s="12">
        <v>1.8384560015515199</v>
      </c>
      <c r="K444" s="11">
        <v>244</v>
      </c>
      <c r="L444" s="12">
        <v>6.7029137977759996</v>
      </c>
    </row>
    <row r="445" spans="1:12" x14ac:dyDescent="0.25">
      <c r="A445" s="11">
        <v>-289</v>
      </c>
      <c r="B445" s="12">
        <v>0.76298378550000001</v>
      </c>
      <c r="F445" s="11">
        <v>37</v>
      </c>
      <c r="G445" s="12">
        <v>1.89537379409471</v>
      </c>
      <c r="K445" s="11">
        <v>245</v>
      </c>
      <c r="L445" s="12">
        <v>6.7116199302464397</v>
      </c>
    </row>
    <row r="446" spans="1:12" x14ac:dyDescent="0.25">
      <c r="A446" s="11">
        <v>-288</v>
      </c>
      <c r="B446" s="12">
        <v>0.76355142399999998</v>
      </c>
      <c r="F446" s="11">
        <v>38</v>
      </c>
      <c r="G446" s="12">
        <v>1.953306525895</v>
      </c>
      <c r="K446" s="11">
        <v>246</v>
      </c>
      <c r="L446" s="12">
        <v>6.7203098561151702</v>
      </c>
    </row>
    <row r="447" spans="1:12" x14ac:dyDescent="0.25">
      <c r="A447" s="11">
        <v>-287</v>
      </c>
      <c r="B447" s="12">
        <v>0.76412353850000003</v>
      </c>
      <c r="F447" s="11">
        <v>39</v>
      </c>
      <c r="G447" s="12">
        <v>2.0121342925728798</v>
      </c>
      <c r="K447" s="11">
        <v>247</v>
      </c>
      <c r="L447" s="12">
        <v>6.7289864353707296</v>
      </c>
    </row>
    <row r="448" spans="1:12" x14ac:dyDescent="0.25">
      <c r="A448" s="11">
        <v>-286</v>
      </c>
      <c r="B448" s="12">
        <v>0.76470025200000002</v>
      </c>
      <c r="F448" s="11">
        <v>40</v>
      </c>
      <c r="G448" s="12">
        <v>2.0717371897488701</v>
      </c>
      <c r="K448" s="11">
        <v>248</v>
      </c>
      <c r="L448" s="12">
        <v>6.7376525280016599</v>
      </c>
    </row>
    <row r="449" spans="1:12" x14ac:dyDescent="0.25">
      <c r="A449" s="11">
        <v>-285</v>
      </c>
      <c r="B449" s="12">
        <v>0.76528168750000003</v>
      </c>
      <c r="F449" s="11">
        <v>41</v>
      </c>
      <c r="G449" s="12">
        <v>2.1319953130434799</v>
      </c>
      <c r="K449" s="11">
        <v>249</v>
      </c>
      <c r="L449" s="12">
        <v>6.7463109939964996</v>
      </c>
    </row>
    <row r="450" spans="1:12" x14ac:dyDescent="0.25">
      <c r="A450" s="11">
        <v>-284</v>
      </c>
      <c r="B450" s="12">
        <v>0.76586796800000001</v>
      </c>
      <c r="F450" s="11">
        <v>42</v>
      </c>
      <c r="G450" s="12">
        <v>2.1927887580772198</v>
      </c>
      <c r="K450" s="11">
        <v>250</v>
      </c>
      <c r="L450" s="12">
        <v>6.7549646933437799</v>
      </c>
    </row>
    <row r="451" spans="1:12" x14ac:dyDescent="0.25">
      <c r="A451" s="11">
        <v>-283</v>
      </c>
      <c r="B451" s="12">
        <v>0.76645921650000004</v>
      </c>
      <c r="F451" s="11">
        <v>43</v>
      </c>
      <c r="G451" s="12">
        <v>2.2539976204705998</v>
      </c>
      <c r="K451" s="11">
        <v>251</v>
      </c>
      <c r="L451" s="12">
        <v>6.7636164860320296</v>
      </c>
    </row>
    <row r="452" spans="1:12" x14ac:dyDescent="0.25">
      <c r="A452" s="11">
        <v>-282</v>
      </c>
      <c r="B452" s="12">
        <v>0.76705555599999997</v>
      </c>
      <c r="F452" s="11">
        <v>44</v>
      </c>
      <c r="G452" s="12">
        <v>2.3155019958441398</v>
      </c>
      <c r="K452" s="11">
        <v>252</v>
      </c>
      <c r="L452" s="12">
        <v>6.7722692320497897</v>
      </c>
    </row>
    <row r="453" spans="1:12" x14ac:dyDescent="0.25">
      <c r="A453" s="11">
        <v>-281</v>
      </c>
      <c r="B453" s="12">
        <v>0.76765710949999999</v>
      </c>
      <c r="F453" s="11">
        <v>45</v>
      </c>
      <c r="G453" s="12">
        <v>2.3771819798183298</v>
      </c>
      <c r="K453" s="11">
        <v>253</v>
      </c>
      <c r="L453" s="12">
        <v>6.7809257913855996</v>
      </c>
    </row>
    <row r="454" spans="1:12" x14ac:dyDescent="0.25">
      <c r="A454" s="11">
        <v>-280</v>
      </c>
      <c r="B454" s="12">
        <v>0.76826399999999995</v>
      </c>
      <c r="F454" s="11">
        <v>46</v>
      </c>
      <c r="G454" s="12">
        <v>2.4389176680136901</v>
      </c>
      <c r="K454" s="11">
        <v>254</v>
      </c>
      <c r="L454" s="12">
        <v>6.7895890240280004</v>
      </c>
    </row>
    <row r="455" spans="1:12" x14ac:dyDescent="0.25">
      <c r="A455" s="11">
        <v>-279</v>
      </c>
      <c r="B455" s="12">
        <v>0.76887635050000003</v>
      </c>
      <c r="F455" s="11">
        <v>47</v>
      </c>
      <c r="G455" s="12">
        <v>2.5005891560507401</v>
      </c>
      <c r="K455" s="11">
        <v>255</v>
      </c>
      <c r="L455" s="12">
        <v>6.7982617899655198</v>
      </c>
    </row>
    <row r="456" spans="1:12" x14ac:dyDescent="0.25">
      <c r="A456" s="11">
        <v>-278</v>
      </c>
      <c r="B456" s="12">
        <v>0.76949428399999997</v>
      </c>
      <c r="F456" s="11">
        <v>48</v>
      </c>
      <c r="G456" s="12">
        <v>2.56207653954998</v>
      </c>
      <c r="K456" s="11">
        <v>256</v>
      </c>
      <c r="L456" s="12">
        <v>6.8069469491866901</v>
      </c>
    </row>
    <row r="457" spans="1:12" x14ac:dyDescent="0.25">
      <c r="A457" s="11">
        <v>-277</v>
      </c>
      <c r="B457" s="12">
        <v>0.77011792349999997</v>
      </c>
      <c r="F457" s="11">
        <v>49</v>
      </c>
      <c r="G457" s="12">
        <v>2.6232599141319199</v>
      </c>
      <c r="K457" s="11">
        <v>257</v>
      </c>
      <c r="L457" s="12">
        <v>6.8156473616800497</v>
      </c>
    </row>
    <row r="458" spans="1:12" x14ac:dyDescent="0.25">
      <c r="A458" s="11">
        <v>-276</v>
      </c>
      <c r="B458" s="12">
        <v>0.77074739199999998</v>
      </c>
      <c r="F458" s="11">
        <v>50</v>
      </c>
      <c r="G458" s="12">
        <v>2.68401937541707</v>
      </c>
      <c r="K458" s="11">
        <v>258</v>
      </c>
      <c r="L458" s="12">
        <v>6.8243658874341397</v>
      </c>
    </row>
    <row r="459" spans="1:12" x14ac:dyDescent="0.25">
      <c r="A459" s="11">
        <v>-275</v>
      </c>
      <c r="B459" s="12">
        <v>0.77138281249999996</v>
      </c>
      <c r="F459" s="11">
        <v>51</v>
      </c>
      <c r="G459" s="12">
        <v>2.7442350190259401</v>
      </c>
      <c r="K459" s="11">
        <v>259</v>
      </c>
      <c r="L459" s="12">
        <v>6.8331053864375004</v>
      </c>
    </row>
    <row r="460" spans="1:12" x14ac:dyDescent="0.25">
      <c r="A460" s="11">
        <v>-274</v>
      </c>
      <c r="B460" s="12">
        <v>0.77202430799999999</v>
      </c>
      <c r="F460" s="11">
        <v>52</v>
      </c>
      <c r="G460" s="12">
        <v>2.8037869405790499</v>
      </c>
      <c r="K460" s="11">
        <v>260</v>
      </c>
      <c r="L460" s="12">
        <v>6.8418687186786604</v>
      </c>
    </row>
    <row r="461" spans="1:12" x14ac:dyDescent="0.25">
      <c r="A461" s="11">
        <v>-273</v>
      </c>
      <c r="B461" s="12">
        <v>0.77267200150000004</v>
      </c>
      <c r="F461" s="11">
        <v>53</v>
      </c>
      <c r="G461" s="12">
        <v>2.8625552356969002</v>
      </c>
      <c r="K461" s="11">
        <v>261</v>
      </c>
      <c r="L461" s="12">
        <v>6.8506587441461502</v>
      </c>
    </row>
    <row r="462" spans="1:12" x14ac:dyDescent="0.25">
      <c r="A462" s="11">
        <v>-272</v>
      </c>
      <c r="B462" s="12">
        <v>0.77332601599999995</v>
      </c>
      <c r="F462" s="11">
        <v>54</v>
      </c>
      <c r="G462" s="12">
        <v>2.92042</v>
      </c>
      <c r="K462" s="11">
        <v>262</v>
      </c>
      <c r="L462" s="12">
        <v>6.8594783228285099</v>
      </c>
    </row>
    <row r="463" spans="1:12" x14ac:dyDescent="0.25">
      <c r="A463" s="11">
        <v>-271</v>
      </c>
      <c r="B463" s="12">
        <v>0.77398647450000002</v>
      </c>
      <c r="F463" s="11">
        <v>55</v>
      </c>
      <c r="G463" s="12">
        <v>2.9778016069169202</v>
      </c>
      <c r="K463" s="11">
        <v>263</v>
      </c>
      <c r="L463" s="12">
        <v>6.8683303147142798</v>
      </c>
    </row>
    <row r="464" spans="1:12" x14ac:dyDescent="0.25">
      <c r="A464" s="11">
        <v>-270</v>
      </c>
      <c r="B464" s="12">
        <v>0.77465349999999999</v>
      </c>
      <c r="F464" s="11">
        <v>56</v>
      </c>
      <c r="G464" s="12">
        <v>3.0352003005661499</v>
      </c>
      <c r="K464" s="11">
        <v>264</v>
      </c>
      <c r="L464" s="12">
        <v>6.8772175797920001</v>
      </c>
    </row>
    <row r="465" spans="1:12" x14ac:dyDescent="0.25">
      <c r="A465" s="11">
        <v>-269</v>
      </c>
      <c r="B465" s="12">
        <v>0.77532721550000006</v>
      </c>
      <c r="F465" s="11">
        <v>57</v>
      </c>
      <c r="G465" s="12">
        <v>3.0926159826030801</v>
      </c>
      <c r="K465" s="11">
        <v>265</v>
      </c>
      <c r="L465" s="12">
        <v>6.8861429780502004</v>
      </c>
    </row>
    <row r="466" spans="1:12" x14ac:dyDescent="0.25">
      <c r="A466" s="11">
        <v>-268</v>
      </c>
      <c r="B466" s="12">
        <v>0.77600774400000005</v>
      </c>
      <c r="F466" s="11">
        <v>58</v>
      </c>
      <c r="G466" s="12">
        <v>3.1500485546830799</v>
      </c>
      <c r="K466" s="11">
        <v>266</v>
      </c>
      <c r="L466" s="12">
        <v>6.8951093694774102</v>
      </c>
    </row>
    <row r="467" spans="1:12" x14ac:dyDescent="0.25">
      <c r="A467" s="11">
        <v>-267</v>
      </c>
      <c r="B467" s="12">
        <v>0.77669520849999996</v>
      </c>
      <c r="F467" s="11">
        <v>59</v>
      </c>
      <c r="G467" s="12">
        <v>3.2074979184615402</v>
      </c>
      <c r="K467" s="11">
        <v>267</v>
      </c>
      <c r="L467" s="12">
        <v>6.9041196140621697</v>
      </c>
    </row>
    <row r="468" spans="1:12" x14ac:dyDescent="0.25">
      <c r="A468" s="11">
        <v>-266</v>
      </c>
      <c r="B468" s="12">
        <v>0.77738973200000006</v>
      </c>
      <c r="F468" s="11">
        <v>60</v>
      </c>
      <c r="G468" s="12">
        <v>3.26496397559385</v>
      </c>
      <c r="K468" s="11">
        <v>268</v>
      </c>
      <c r="L468" s="12">
        <v>6.91317657179302</v>
      </c>
    </row>
    <row r="469" spans="1:12" x14ac:dyDescent="0.25">
      <c r="A469" s="11">
        <v>-265</v>
      </c>
      <c r="B469" s="12">
        <v>0.77809143749999998</v>
      </c>
      <c r="F469" s="11">
        <v>61</v>
      </c>
      <c r="G469" s="12">
        <v>3.3224466277353799</v>
      </c>
      <c r="K469" s="11">
        <v>269</v>
      </c>
      <c r="L469" s="12">
        <v>6.9222831026584997</v>
      </c>
    </row>
    <row r="470" spans="1:12" x14ac:dyDescent="0.25">
      <c r="A470" s="11">
        <v>-264</v>
      </c>
      <c r="B470" s="12">
        <v>0.77880044800000003</v>
      </c>
      <c r="F470" s="11">
        <v>62</v>
      </c>
      <c r="G470" s="12">
        <v>3.3799457765415402</v>
      </c>
      <c r="K470" s="11">
        <v>270</v>
      </c>
      <c r="L470" s="12">
        <v>6.9314420666471399</v>
      </c>
    </row>
    <row r="471" spans="1:12" x14ac:dyDescent="0.25">
      <c r="A471" s="11">
        <v>-263</v>
      </c>
      <c r="B471" s="12">
        <v>0.77951688649999995</v>
      </c>
      <c r="F471" s="11">
        <v>63</v>
      </c>
      <c r="G471" s="12">
        <v>3.4374613236676899</v>
      </c>
      <c r="K471" s="11">
        <v>271</v>
      </c>
      <c r="L471" s="12">
        <v>6.9406563237474703</v>
      </c>
    </row>
    <row r="472" spans="1:12" x14ac:dyDescent="0.25">
      <c r="A472" s="11">
        <v>-262</v>
      </c>
      <c r="B472" s="12">
        <v>0.78024087600000003</v>
      </c>
      <c r="F472" s="11">
        <v>64</v>
      </c>
      <c r="G472" s="12">
        <v>3.4949931707692299</v>
      </c>
      <c r="K472" s="11">
        <v>272</v>
      </c>
      <c r="L472" s="12">
        <v>6.9499287339480302</v>
      </c>
    </row>
    <row r="473" spans="1:12" x14ac:dyDescent="0.25">
      <c r="A473" s="11">
        <v>-261</v>
      </c>
      <c r="B473" s="12">
        <v>0.78097253950000001</v>
      </c>
      <c r="F473" s="11">
        <v>65</v>
      </c>
      <c r="G473" s="12">
        <v>3.5525412195015398</v>
      </c>
      <c r="K473" s="11">
        <v>273</v>
      </c>
      <c r="L473" s="12">
        <v>6.9592621572373599</v>
      </c>
    </row>
    <row r="474" spans="1:12" x14ac:dyDescent="0.25">
      <c r="A474" s="11">
        <v>-260</v>
      </c>
      <c r="B474" s="12">
        <v>0.78171199999999996</v>
      </c>
      <c r="F474" s="11">
        <v>66</v>
      </c>
      <c r="G474" s="12">
        <v>3.61010537152</v>
      </c>
      <c r="K474" s="11">
        <v>274</v>
      </c>
      <c r="L474" s="12">
        <v>6.9686594536040003</v>
      </c>
    </row>
    <row r="475" spans="1:12" x14ac:dyDescent="0.25">
      <c r="A475" s="11">
        <v>-259</v>
      </c>
      <c r="B475" s="12">
        <v>0.78245938049999997</v>
      </c>
      <c r="F475" s="11">
        <v>67</v>
      </c>
      <c r="G475" s="12">
        <v>3.6676855284799998</v>
      </c>
      <c r="K475" s="11">
        <v>275</v>
      </c>
      <c r="L475" s="12">
        <v>6.9781234830364802</v>
      </c>
    </row>
    <row r="476" spans="1:12" x14ac:dyDescent="0.25">
      <c r="A476" s="11">
        <v>-258</v>
      </c>
      <c r="B476" s="12">
        <v>0.78321480399999999</v>
      </c>
      <c r="F476" s="11">
        <v>68</v>
      </c>
      <c r="G476" s="12">
        <v>3.7252815920369202</v>
      </c>
      <c r="K476" s="11">
        <v>276</v>
      </c>
      <c r="L476" s="12">
        <v>6.9876571055233301</v>
      </c>
    </row>
    <row r="477" spans="1:12" x14ac:dyDescent="0.25">
      <c r="A477" s="11">
        <v>-257</v>
      </c>
      <c r="B477" s="12">
        <v>0.78397839349999998</v>
      </c>
      <c r="F477" s="11">
        <v>69</v>
      </c>
      <c r="G477" s="12">
        <v>3.78289346384615</v>
      </c>
      <c r="K477" s="11">
        <v>277</v>
      </c>
      <c r="L477" s="12">
        <v>6.9972631810530901</v>
      </c>
    </row>
    <row r="478" spans="1:12" x14ac:dyDescent="0.25">
      <c r="A478" s="11">
        <v>-256</v>
      </c>
      <c r="B478" s="12">
        <v>0.78475027200000003</v>
      </c>
      <c r="F478" s="11">
        <v>70</v>
      </c>
      <c r="G478" s="12">
        <v>3.8405210455630798</v>
      </c>
      <c r="K478" s="11">
        <v>278</v>
      </c>
      <c r="L478" s="12">
        <v>7.0069445696142996</v>
      </c>
    </row>
    <row r="479" spans="1:12" x14ac:dyDescent="0.25">
      <c r="A479" s="11">
        <v>-255</v>
      </c>
      <c r="B479" s="12">
        <v>0.78553056249999997</v>
      </c>
      <c r="F479" s="11">
        <v>71</v>
      </c>
      <c r="G479" s="12">
        <v>3.8981642388430799</v>
      </c>
      <c r="K479" s="11">
        <v>279</v>
      </c>
      <c r="L479" s="12">
        <v>7.0167041311954996</v>
      </c>
    </row>
    <row r="480" spans="1:12" x14ac:dyDescent="0.25">
      <c r="A480" s="11">
        <v>-254</v>
      </c>
      <c r="B480" s="12">
        <v>0.78631938800000001</v>
      </c>
      <c r="F480" s="11">
        <v>72</v>
      </c>
      <c r="G480" s="12">
        <v>3.9558229453415401</v>
      </c>
      <c r="K480" s="11">
        <v>280</v>
      </c>
      <c r="L480" s="12">
        <v>7.0265447257852198</v>
      </c>
    </row>
    <row r="481" spans="1:12" x14ac:dyDescent="0.25">
      <c r="A481" s="11">
        <v>-253</v>
      </c>
      <c r="B481" s="12">
        <v>0.78711687149999998</v>
      </c>
      <c r="F481" s="11">
        <v>73</v>
      </c>
      <c r="G481" s="12">
        <v>4.0134970667138496</v>
      </c>
      <c r="K481" s="11">
        <v>281</v>
      </c>
      <c r="L481" s="12">
        <v>7.0364692133719897</v>
      </c>
    </row>
    <row r="482" spans="1:12" x14ac:dyDescent="0.25">
      <c r="A482" s="11">
        <v>-252</v>
      </c>
      <c r="B482" s="12">
        <v>0.78792313599999997</v>
      </c>
      <c r="F482" s="11">
        <v>74</v>
      </c>
      <c r="G482" s="12">
        <v>4.0711865046153903</v>
      </c>
      <c r="K482" s="11">
        <v>282</v>
      </c>
      <c r="L482" s="12">
        <v>7.0464804539443504</v>
      </c>
    </row>
    <row r="483" spans="1:12" x14ac:dyDescent="0.25">
      <c r="A483" s="11">
        <v>-251</v>
      </c>
      <c r="B483" s="12">
        <v>0.78873830450000004</v>
      </c>
      <c r="F483" s="11">
        <v>75</v>
      </c>
      <c r="G483" s="12">
        <v>4.1288911607015404</v>
      </c>
      <c r="K483" s="11">
        <v>283</v>
      </c>
      <c r="L483" s="12">
        <v>7.0565813074908403</v>
      </c>
    </row>
    <row r="484" spans="1:12" x14ac:dyDescent="0.25">
      <c r="A484" s="11">
        <v>-250</v>
      </c>
      <c r="B484" s="12">
        <v>0.78956249999999994</v>
      </c>
      <c r="F484" s="11">
        <v>76</v>
      </c>
      <c r="G484" s="12">
        <v>4.18661093662769</v>
      </c>
      <c r="K484" s="11">
        <v>284</v>
      </c>
      <c r="L484" s="12">
        <v>7.0667746339999997</v>
      </c>
    </row>
    <row r="485" spans="1:12" x14ac:dyDescent="0.25">
      <c r="A485" s="11">
        <v>-249</v>
      </c>
      <c r="B485" s="12">
        <v>0.79039584549999997</v>
      </c>
      <c r="F485" s="11">
        <v>77</v>
      </c>
      <c r="G485" s="12">
        <v>4.2443457340492303</v>
      </c>
      <c r="K485" s="11">
        <v>285</v>
      </c>
      <c r="L485" s="12">
        <v>7.0770151503200003</v>
      </c>
    </row>
    <row r="486" spans="1:12" x14ac:dyDescent="0.25">
      <c r="A486" s="11">
        <v>-248</v>
      </c>
      <c r="B486" s="12">
        <v>0.79123846399999997</v>
      </c>
      <c r="F486" s="11">
        <v>78</v>
      </c>
      <c r="G486" s="12">
        <v>4.30209545462154</v>
      </c>
      <c r="K486" s="11">
        <v>286</v>
      </c>
      <c r="L486" s="12">
        <v>7.08725566664</v>
      </c>
    </row>
    <row r="487" spans="1:12" x14ac:dyDescent="0.25">
      <c r="A487" s="11">
        <v>-247</v>
      </c>
      <c r="B487" s="12">
        <v>0.79209047850000003</v>
      </c>
      <c r="F487" s="11">
        <v>79</v>
      </c>
      <c r="G487" s="12">
        <v>4.3598600000000003</v>
      </c>
      <c r="K487" s="11">
        <v>287</v>
      </c>
      <c r="L487" s="12">
        <v>7.0974961829599996</v>
      </c>
    </row>
    <row r="488" spans="1:12" x14ac:dyDescent="0.25">
      <c r="A488" s="11">
        <v>-246</v>
      </c>
      <c r="B488" s="12">
        <v>0.79295201199999998</v>
      </c>
      <c r="F488" s="11">
        <v>80</v>
      </c>
      <c r="G488" s="12">
        <v>4.4176401276909703</v>
      </c>
      <c r="K488" s="11">
        <v>288</v>
      </c>
      <c r="L488" s="12">
        <v>7.1077366992800002</v>
      </c>
    </row>
    <row r="489" spans="1:12" x14ac:dyDescent="0.25">
      <c r="A489" s="11">
        <v>-245</v>
      </c>
      <c r="B489" s="12">
        <v>0.79382318750000003</v>
      </c>
      <c r="F489" s="11">
        <v>81</v>
      </c>
      <c r="G489" s="12">
        <v>4.4754366423611103</v>
      </c>
      <c r="K489" s="11">
        <v>289</v>
      </c>
      <c r="L489" s="12">
        <v>7.1179772155999999</v>
      </c>
    </row>
    <row r="490" spans="1:12" x14ac:dyDescent="0.25">
      <c r="A490" s="11">
        <v>-244</v>
      </c>
      <c r="B490" s="12">
        <v>0.79470412800000001</v>
      </c>
      <c r="F490" s="11">
        <v>82</v>
      </c>
      <c r="G490" s="12">
        <v>4.5332495164062498</v>
      </c>
      <c r="K490" s="11">
        <v>290</v>
      </c>
      <c r="L490" s="12">
        <v>7.1282177319200004</v>
      </c>
    </row>
    <row r="491" spans="1:12" x14ac:dyDescent="0.25">
      <c r="A491" s="11">
        <v>-243</v>
      </c>
      <c r="B491" s="12">
        <v>0.79559495650000001</v>
      </c>
      <c r="F491" s="11">
        <v>83</v>
      </c>
      <c r="G491" s="12">
        <v>4.5910787222222202</v>
      </c>
      <c r="K491" s="11">
        <v>291</v>
      </c>
      <c r="L491" s="12">
        <v>7.1384582482400001</v>
      </c>
    </row>
    <row r="492" spans="1:12" x14ac:dyDescent="0.25">
      <c r="A492" s="11">
        <v>-242</v>
      </c>
      <c r="B492" s="12">
        <v>0.79649579599999998</v>
      </c>
      <c r="F492" s="11">
        <v>84</v>
      </c>
      <c r="G492" s="12">
        <v>4.6489242322048598</v>
      </c>
      <c r="K492" s="11">
        <v>292</v>
      </c>
      <c r="L492" s="12">
        <v>7.1486987645599998</v>
      </c>
    </row>
    <row r="493" spans="1:12" x14ac:dyDescent="0.25">
      <c r="A493" s="11">
        <v>-241</v>
      </c>
      <c r="B493" s="12">
        <v>0.7974067695</v>
      </c>
      <c r="F493" s="11">
        <v>85</v>
      </c>
      <c r="G493" s="12">
        <v>4.7067860187499999</v>
      </c>
      <c r="K493" s="11">
        <v>293</v>
      </c>
      <c r="L493" s="12">
        <v>7.1589392808800003</v>
      </c>
    </row>
    <row r="494" spans="1:12" x14ac:dyDescent="0.25">
      <c r="A494" s="11">
        <v>-240</v>
      </c>
      <c r="B494" s="12">
        <v>0.79832800000000004</v>
      </c>
      <c r="F494" s="11">
        <v>86</v>
      </c>
      <c r="G494" s="12">
        <v>4.7646640542534699</v>
      </c>
      <c r="K494" s="11">
        <v>294</v>
      </c>
      <c r="L494" s="12">
        <v>7.1691797972</v>
      </c>
    </row>
    <row r="495" spans="1:12" x14ac:dyDescent="0.25">
      <c r="A495" s="11">
        <v>-239</v>
      </c>
      <c r="B495" s="12">
        <v>0.79925961050000005</v>
      </c>
      <c r="F495" s="11">
        <v>87</v>
      </c>
      <c r="G495" s="12">
        <v>4.8225583111111101</v>
      </c>
      <c r="K495" s="11">
        <v>295</v>
      </c>
      <c r="L495" s="12">
        <v>7.1794203135199997</v>
      </c>
    </row>
    <row r="496" spans="1:12" x14ac:dyDescent="0.25">
      <c r="A496" s="11">
        <v>-238</v>
      </c>
      <c r="B496" s="12">
        <v>0.800201724</v>
      </c>
      <c r="F496" s="11">
        <v>88</v>
      </c>
      <c r="G496" s="12">
        <v>4.8804687617187499</v>
      </c>
      <c r="K496" s="11">
        <v>296</v>
      </c>
      <c r="L496" s="12">
        <v>7.1896608298400002</v>
      </c>
    </row>
    <row r="497" spans="1:12" x14ac:dyDescent="0.25">
      <c r="A497" s="11">
        <v>-237</v>
      </c>
      <c r="B497" s="12">
        <v>0.80115446349999997</v>
      </c>
      <c r="F497" s="11">
        <v>89</v>
      </c>
      <c r="G497" s="12">
        <v>4.9383953784722197</v>
      </c>
      <c r="K497" s="11">
        <v>297</v>
      </c>
      <c r="L497" s="12">
        <v>7.1999013461599999</v>
      </c>
    </row>
    <row r="498" spans="1:12" x14ac:dyDescent="0.25">
      <c r="A498" s="11">
        <v>-236</v>
      </c>
      <c r="B498" s="12">
        <v>0.80211795200000002</v>
      </c>
      <c r="F498" s="11">
        <v>90</v>
      </c>
      <c r="G498" s="12">
        <v>4.9963381337673596</v>
      </c>
      <c r="K498" s="11">
        <v>298</v>
      </c>
      <c r="L498" s="12">
        <v>7.2101418624800004</v>
      </c>
    </row>
    <row r="499" spans="1:12" x14ac:dyDescent="0.25">
      <c r="A499" s="11">
        <v>-235</v>
      </c>
      <c r="B499" s="12">
        <v>0.80309231250000002</v>
      </c>
      <c r="F499" s="11">
        <v>91</v>
      </c>
      <c r="G499" s="12">
        <v>5.054297</v>
      </c>
      <c r="K499" s="11">
        <v>299</v>
      </c>
      <c r="L499" s="12">
        <v>7.2203823788000001</v>
      </c>
    </row>
    <row r="500" spans="1:12" x14ac:dyDescent="0.25">
      <c r="A500" s="11">
        <v>-234</v>
      </c>
      <c r="B500" s="12">
        <v>0.80407766800000002</v>
      </c>
      <c r="F500" s="11">
        <v>92</v>
      </c>
      <c r="G500" s="12">
        <v>5.1122719495659696</v>
      </c>
      <c r="K500" s="11">
        <v>300</v>
      </c>
      <c r="L500" s="12">
        <v>7.2306228951199998</v>
      </c>
    </row>
    <row r="501" spans="1:12" x14ac:dyDescent="0.25">
      <c r="A501" s="11">
        <v>-233</v>
      </c>
      <c r="B501" s="12">
        <v>0.80507414150000001</v>
      </c>
      <c r="F501" s="11">
        <v>93</v>
      </c>
      <c r="G501" s="12">
        <v>5.1702629548611103</v>
      </c>
      <c r="K501" s="11">
        <v>301</v>
      </c>
      <c r="L501" s="12">
        <v>7.2408634114400003</v>
      </c>
    </row>
    <row r="502" spans="1:12" x14ac:dyDescent="0.25">
      <c r="A502" s="11">
        <v>-232</v>
      </c>
      <c r="B502" s="12">
        <v>0.80608185600000004</v>
      </c>
      <c r="F502" s="11">
        <v>94</v>
      </c>
      <c r="G502" s="12">
        <v>5.2282699882812498</v>
      </c>
      <c r="K502" s="11">
        <v>302</v>
      </c>
      <c r="L502" s="12">
        <v>7.25110392776</v>
      </c>
    </row>
    <row r="503" spans="1:12" x14ac:dyDescent="0.25">
      <c r="A503" s="11">
        <v>-231</v>
      </c>
      <c r="B503" s="12">
        <v>0.80710093449999998</v>
      </c>
      <c r="F503" s="11">
        <v>95</v>
      </c>
      <c r="G503" s="12">
        <v>5.2862930222222202</v>
      </c>
      <c r="K503" s="11">
        <v>303</v>
      </c>
      <c r="L503" s="12">
        <v>7.2613444440799997</v>
      </c>
    </row>
    <row r="504" spans="1:12" x14ac:dyDescent="0.25">
      <c r="A504" s="11">
        <v>-230</v>
      </c>
      <c r="B504" s="12">
        <v>0.8081315</v>
      </c>
      <c r="F504" s="11">
        <v>96</v>
      </c>
      <c r="G504" s="12">
        <v>5.3443320290798599</v>
      </c>
      <c r="K504" s="11">
        <v>304</v>
      </c>
      <c r="L504" s="12">
        <v>7.2715849604000002</v>
      </c>
    </row>
    <row r="505" spans="1:12" x14ac:dyDescent="0.25">
      <c r="A505" s="11">
        <v>-229</v>
      </c>
      <c r="B505" s="12">
        <v>0.80917367549999997</v>
      </c>
      <c r="F505" s="11">
        <v>97</v>
      </c>
      <c r="G505" s="12">
        <v>5.4023869812500003</v>
      </c>
      <c r="K505" s="11">
        <v>305</v>
      </c>
      <c r="L505" s="12">
        <v>7.2818254767199999</v>
      </c>
    </row>
    <row r="506" spans="1:12" x14ac:dyDescent="0.25">
      <c r="A506" s="11">
        <v>-228</v>
      </c>
      <c r="B506" s="12">
        <v>0.81022758399999995</v>
      </c>
      <c r="F506" s="11">
        <v>98</v>
      </c>
      <c r="G506" s="12">
        <v>5.4604578511284698</v>
      </c>
      <c r="K506" s="11">
        <v>306</v>
      </c>
      <c r="L506" s="12">
        <v>7.2920659930399996</v>
      </c>
    </row>
    <row r="507" spans="1:12" x14ac:dyDescent="0.25">
      <c r="A507" s="11">
        <v>-227</v>
      </c>
      <c r="B507" s="12">
        <v>0.81129334850000001</v>
      </c>
      <c r="F507" s="11">
        <v>99</v>
      </c>
      <c r="G507" s="12">
        <v>5.5185446111111096</v>
      </c>
      <c r="K507" s="11">
        <v>307</v>
      </c>
      <c r="L507" s="12">
        <v>7.3023065093600001</v>
      </c>
    </row>
    <row r="508" spans="1:12" x14ac:dyDescent="0.25">
      <c r="A508" s="11">
        <v>-226</v>
      </c>
      <c r="B508" s="12">
        <v>0.81237109200000002</v>
      </c>
      <c r="F508" s="11">
        <v>100</v>
      </c>
      <c r="G508" s="12">
        <v>5.57664723359375</v>
      </c>
      <c r="K508" s="11">
        <v>308</v>
      </c>
      <c r="L508" s="12">
        <v>7.3125470256799998</v>
      </c>
    </row>
    <row r="509" spans="1:12" x14ac:dyDescent="0.25">
      <c r="A509" s="11">
        <v>-225</v>
      </c>
      <c r="B509" s="12">
        <v>0.81346093750000004</v>
      </c>
      <c r="F509" s="11">
        <v>101</v>
      </c>
      <c r="G509" s="12">
        <v>5.6347656909722197</v>
      </c>
      <c r="K509" s="11">
        <v>309</v>
      </c>
      <c r="L509" s="12">
        <v>7.3227875420000004</v>
      </c>
    </row>
    <row r="510" spans="1:12" x14ac:dyDescent="0.25">
      <c r="A510" s="11">
        <v>-224</v>
      </c>
      <c r="B510" s="12">
        <v>0.81456300800000003</v>
      </c>
      <c r="F510" s="11">
        <v>102</v>
      </c>
      <c r="G510" s="12">
        <v>5.6928999556423596</v>
      </c>
      <c r="K510" s="11">
        <v>310</v>
      </c>
      <c r="L510" s="12">
        <v>7.33302805832</v>
      </c>
    </row>
    <row r="511" spans="1:12" x14ac:dyDescent="0.25">
      <c r="A511" s="11">
        <v>-223</v>
      </c>
      <c r="B511" s="12">
        <v>0.81567742649999997</v>
      </c>
      <c r="F511" s="11">
        <v>103</v>
      </c>
      <c r="G511" s="12">
        <v>5.7510500000000002</v>
      </c>
      <c r="K511" s="11">
        <v>311</v>
      </c>
      <c r="L511" s="12">
        <v>7.3432685746399997</v>
      </c>
    </row>
    <row r="512" spans="1:12" x14ac:dyDescent="0.25">
      <c r="A512" s="11">
        <v>-222</v>
      </c>
      <c r="B512" s="12">
        <v>0.81680431600000003</v>
      </c>
      <c r="F512" s="11">
        <v>104</v>
      </c>
      <c r="G512" s="12">
        <v>5.8092156886400002</v>
      </c>
      <c r="K512" s="11">
        <v>312</v>
      </c>
      <c r="L512" s="12">
        <v>7.3535090909600003</v>
      </c>
    </row>
    <row r="513" spans="1:12" x14ac:dyDescent="0.25">
      <c r="A513" s="11">
        <v>-221</v>
      </c>
      <c r="B513" s="12">
        <v>0.81794379949999996</v>
      </c>
      <c r="F513" s="11">
        <v>105</v>
      </c>
      <c r="G513" s="12">
        <v>5.8673968884533299</v>
      </c>
      <c r="K513" s="11">
        <v>313</v>
      </c>
      <c r="L513" s="12">
        <v>7.3637496072799999</v>
      </c>
    </row>
    <row r="514" spans="1:12" x14ac:dyDescent="0.25">
      <c r="A514" s="11">
        <v>-220</v>
      </c>
      <c r="B514" s="12">
        <v>0.81909600000000005</v>
      </c>
      <c r="F514" s="11">
        <v>106</v>
      </c>
      <c r="G514" s="12">
        <v>5.9255935752799997</v>
      </c>
      <c r="K514" s="11">
        <v>314</v>
      </c>
      <c r="L514" s="12">
        <v>7.3739901235999996</v>
      </c>
    </row>
    <row r="515" spans="1:12" x14ac:dyDescent="0.25">
      <c r="A515" s="11">
        <v>-219</v>
      </c>
      <c r="B515" s="12">
        <v>0.82026104050000004</v>
      </c>
      <c r="F515" s="11">
        <v>107</v>
      </c>
      <c r="G515" s="12">
        <v>5.9838057249599998</v>
      </c>
      <c r="K515" s="11">
        <v>315</v>
      </c>
      <c r="L515" s="12">
        <v>7.3842306399200002</v>
      </c>
    </row>
    <row r="516" spans="1:12" x14ac:dyDescent="0.25">
      <c r="A516" s="11">
        <v>-218</v>
      </c>
      <c r="B516" s="12">
        <v>0.82143904400000001</v>
      </c>
      <c r="F516" s="11">
        <v>108</v>
      </c>
      <c r="G516" s="12">
        <v>6.0420333133333299</v>
      </c>
      <c r="K516" s="11">
        <v>316</v>
      </c>
      <c r="L516" s="12">
        <v>7.3944711562399998</v>
      </c>
    </row>
    <row r="517" spans="1:12" x14ac:dyDescent="0.25">
      <c r="A517" s="11">
        <v>-217</v>
      </c>
      <c r="B517" s="12">
        <v>0.82263013350000003</v>
      </c>
      <c r="F517" s="11">
        <v>109</v>
      </c>
      <c r="G517" s="12">
        <v>6.1002763162400004</v>
      </c>
      <c r="K517" s="11">
        <v>317</v>
      </c>
      <c r="L517" s="12">
        <v>7.4047116725600004</v>
      </c>
    </row>
    <row r="518" spans="1:12" x14ac:dyDescent="0.25">
      <c r="A518" s="11">
        <v>-216</v>
      </c>
      <c r="B518" s="12">
        <v>0.82383443199999995</v>
      </c>
      <c r="F518" s="11">
        <v>110</v>
      </c>
      <c r="G518" s="12">
        <v>6.1585347095199996</v>
      </c>
      <c r="K518" s="11">
        <v>318</v>
      </c>
      <c r="L518" s="12">
        <v>7.4149521888800001</v>
      </c>
    </row>
    <row r="519" spans="1:12" x14ac:dyDescent="0.25">
      <c r="A519" s="11">
        <v>-215</v>
      </c>
      <c r="B519" s="12">
        <v>0.82505206249999996</v>
      </c>
      <c r="F519" s="11">
        <v>111</v>
      </c>
      <c r="G519" s="12">
        <v>6.2168084690133298</v>
      </c>
      <c r="K519" s="11">
        <v>319</v>
      </c>
      <c r="L519" s="12">
        <v>7.4251927051999997</v>
      </c>
    </row>
    <row r="520" spans="1:12" x14ac:dyDescent="0.25">
      <c r="A520" s="11">
        <v>-214</v>
      </c>
      <c r="B520" s="12">
        <v>0.82628314800000002</v>
      </c>
      <c r="F520" s="11">
        <v>112</v>
      </c>
      <c r="G520" s="12">
        <v>6.2750975705599998</v>
      </c>
      <c r="K520" s="11">
        <v>320</v>
      </c>
      <c r="L520" s="12">
        <v>7.4354332215200003</v>
      </c>
    </row>
    <row r="521" spans="1:12" x14ac:dyDescent="0.25">
      <c r="A521" s="11">
        <v>-213</v>
      </c>
      <c r="B521" s="12">
        <v>0.82752781149999999</v>
      </c>
      <c r="F521" s="11">
        <v>113</v>
      </c>
      <c r="G521" s="12">
        <v>6.3334019899999996</v>
      </c>
      <c r="K521" s="11">
        <v>321</v>
      </c>
      <c r="L521" s="12">
        <v>7.44567373784</v>
      </c>
    </row>
    <row r="522" spans="1:12" x14ac:dyDescent="0.25">
      <c r="A522" s="11">
        <v>-212</v>
      </c>
      <c r="B522" s="12">
        <v>0.82878617600000004</v>
      </c>
      <c r="F522" s="11">
        <v>114</v>
      </c>
      <c r="G522" s="12">
        <v>6.3917217031733298</v>
      </c>
      <c r="K522" s="11">
        <v>322</v>
      </c>
      <c r="L522" s="12">
        <v>7.4559142541599996</v>
      </c>
    </row>
    <row r="523" spans="1:12" x14ac:dyDescent="0.25">
      <c r="A523" s="11">
        <v>-211</v>
      </c>
      <c r="B523" s="12">
        <v>0.83005836450000003</v>
      </c>
      <c r="F523" s="11">
        <v>115</v>
      </c>
      <c r="G523" s="12">
        <v>6.4500566859199999</v>
      </c>
      <c r="K523" s="11">
        <v>323</v>
      </c>
      <c r="L523" s="12">
        <v>7.4661547704800002</v>
      </c>
    </row>
    <row r="524" spans="1:12" x14ac:dyDescent="0.25">
      <c r="A524" s="11">
        <v>-210</v>
      </c>
      <c r="B524" s="12">
        <v>0.83134450000000004</v>
      </c>
      <c r="F524" s="11">
        <v>116</v>
      </c>
      <c r="G524" s="12">
        <v>6.50840691408</v>
      </c>
      <c r="K524" s="11">
        <v>324</v>
      </c>
      <c r="L524" s="12">
        <v>7.4763952867999999</v>
      </c>
    </row>
    <row r="525" spans="1:12" x14ac:dyDescent="0.25">
      <c r="A525" s="11">
        <v>-209</v>
      </c>
      <c r="B525" s="12">
        <v>0.83264470550000003</v>
      </c>
      <c r="F525" s="11">
        <v>117</v>
      </c>
      <c r="G525" s="12">
        <v>6.5667723634933299</v>
      </c>
      <c r="K525" s="11">
        <v>325</v>
      </c>
      <c r="L525" s="12">
        <v>7.4866358031200004</v>
      </c>
    </row>
    <row r="526" spans="1:12" x14ac:dyDescent="0.25">
      <c r="A526" s="11">
        <v>-208</v>
      </c>
      <c r="B526" s="12">
        <v>0.83395910399999995</v>
      </c>
      <c r="F526" s="11">
        <v>118</v>
      </c>
      <c r="G526" s="12">
        <v>6.62515301</v>
      </c>
      <c r="K526" s="11">
        <v>326</v>
      </c>
      <c r="L526" s="12">
        <v>7.4968763194400001</v>
      </c>
    </row>
    <row r="527" spans="1:12" x14ac:dyDescent="0.25">
      <c r="A527" s="11">
        <v>-207</v>
      </c>
      <c r="B527" s="12">
        <v>0.8352878185</v>
      </c>
      <c r="F527" s="11">
        <v>119</v>
      </c>
      <c r="G527" s="12">
        <v>6.6835488294400003</v>
      </c>
      <c r="K527" s="11">
        <v>327</v>
      </c>
      <c r="L527" s="12">
        <v>7.5071168357599998</v>
      </c>
    </row>
    <row r="528" spans="1:12" x14ac:dyDescent="0.25">
      <c r="A528" s="11">
        <v>-206</v>
      </c>
      <c r="B528" s="12">
        <v>0.83663097200000003</v>
      </c>
      <c r="F528" s="11">
        <v>120</v>
      </c>
      <c r="G528" s="12">
        <v>6.7419597976533296</v>
      </c>
      <c r="K528" s="11">
        <v>328</v>
      </c>
      <c r="L528" s="12">
        <v>7.5173573520800003</v>
      </c>
    </row>
    <row r="529" spans="1:12" x14ac:dyDescent="0.25">
      <c r="A529" s="11">
        <v>-205</v>
      </c>
      <c r="B529" s="12">
        <v>0.8379886875</v>
      </c>
      <c r="F529" s="11">
        <v>121</v>
      </c>
      <c r="G529" s="12">
        <v>6.8003858904800003</v>
      </c>
      <c r="K529" s="11">
        <v>329</v>
      </c>
      <c r="L529" s="12">
        <v>7.5275978684</v>
      </c>
    </row>
    <row r="530" spans="1:12" x14ac:dyDescent="0.25">
      <c r="A530" s="11">
        <v>-204</v>
      </c>
      <c r="B530" s="12">
        <v>0.83936108799999998</v>
      </c>
      <c r="F530" s="11">
        <v>122</v>
      </c>
      <c r="G530" s="12">
        <v>6.8588270837599996</v>
      </c>
      <c r="K530" s="11">
        <v>330</v>
      </c>
      <c r="L530" s="12">
        <v>7.5378383847199997</v>
      </c>
    </row>
    <row r="531" spans="1:12" x14ac:dyDescent="0.25">
      <c r="A531" s="11">
        <v>-203</v>
      </c>
      <c r="B531" s="12">
        <v>0.84074829650000005</v>
      </c>
      <c r="F531" s="11">
        <v>123</v>
      </c>
      <c r="G531" s="12">
        <v>6.91728335333333</v>
      </c>
      <c r="K531" s="11">
        <v>331</v>
      </c>
      <c r="L531" s="12">
        <v>7.5480789010400002</v>
      </c>
    </row>
    <row r="532" spans="1:12" x14ac:dyDescent="0.25">
      <c r="A532" s="11">
        <v>-202</v>
      </c>
      <c r="B532" s="12">
        <v>0.84215043599999995</v>
      </c>
      <c r="F532" s="11">
        <v>124</v>
      </c>
      <c r="G532" s="12">
        <v>6.9757546750400001</v>
      </c>
      <c r="K532" s="11">
        <v>332</v>
      </c>
      <c r="L532" s="12">
        <v>7.5583194173599999</v>
      </c>
    </row>
    <row r="533" spans="1:12" x14ac:dyDescent="0.25">
      <c r="A533" s="11">
        <v>-201</v>
      </c>
      <c r="B533" s="12">
        <v>0.84356762949999997</v>
      </c>
      <c r="F533" s="11">
        <v>125</v>
      </c>
      <c r="G533" s="12">
        <v>7.03424102472</v>
      </c>
      <c r="K533" s="11">
        <v>333</v>
      </c>
      <c r="L533" s="12">
        <v>7.5685599336799996</v>
      </c>
    </row>
    <row r="534" spans="1:12" x14ac:dyDescent="0.25">
      <c r="A534" s="11">
        <v>-200</v>
      </c>
      <c r="B534" s="12">
        <v>0.84499999999999997</v>
      </c>
      <c r="F534" s="11">
        <v>126</v>
      </c>
      <c r="G534" s="12">
        <v>7.0927423782133303</v>
      </c>
      <c r="K534" s="11">
        <v>334</v>
      </c>
      <c r="L534" s="12">
        <v>7.5788004500000001</v>
      </c>
    </row>
    <row r="535" spans="1:12" x14ac:dyDescent="0.25">
      <c r="A535" s="11">
        <v>-199</v>
      </c>
      <c r="B535" s="12">
        <v>0.84643708600000001</v>
      </c>
      <c r="F535" s="11">
        <v>127</v>
      </c>
      <c r="G535" s="12">
        <v>7.1512587113599997</v>
      </c>
      <c r="K535" s="11">
        <v>335</v>
      </c>
      <c r="L535" s="12">
        <v>7.5890409663199998</v>
      </c>
    </row>
    <row r="536" spans="1:12" x14ac:dyDescent="0.25">
      <c r="A536" s="11">
        <v>-198</v>
      </c>
      <c r="B536" s="12">
        <v>0.84786868800000004</v>
      </c>
      <c r="F536" s="11">
        <v>128</v>
      </c>
      <c r="G536" s="12">
        <v>7.2097899999999999</v>
      </c>
      <c r="K536" s="11">
        <v>336</v>
      </c>
      <c r="L536" s="12">
        <v>7.5992814826400004</v>
      </c>
    </row>
    <row r="537" spans="1:12" x14ac:dyDescent="0.25">
      <c r="A537" s="11">
        <v>-197</v>
      </c>
      <c r="B537" s="12">
        <v>0.84929532200000002</v>
      </c>
      <c r="F537" s="11">
        <v>129</v>
      </c>
      <c r="G537" s="12">
        <v>7.2699453133536798</v>
      </c>
      <c r="K537" s="11">
        <v>337</v>
      </c>
      <c r="L537" s="12">
        <v>7.60952199896</v>
      </c>
    </row>
    <row r="538" spans="1:12" x14ac:dyDescent="0.25">
      <c r="A538" s="11">
        <v>-196</v>
      </c>
      <c r="B538" s="12">
        <v>0.85071750400000001</v>
      </c>
      <c r="F538" s="11">
        <v>130</v>
      </c>
      <c r="G538" s="12">
        <v>7.33305396745709</v>
      </c>
      <c r="K538" s="11">
        <v>338</v>
      </c>
      <c r="L538" s="12">
        <v>7.6197625152799997</v>
      </c>
    </row>
    <row r="539" spans="1:12" x14ac:dyDescent="0.25">
      <c r="A539" s="11">
        <v>-195</v>
      </c>
      <c r="B539" s="12">
        <v>0.85213574999999997</v>
      </c>
      <c r="F539" s="11">
        <v>131</v>
      </c>
      <c r="G539" s="12">
        <v>7.3986963083737498</v>
      </c>
      <c r="K539" s="11">
        <v>339</v>
      </c>
      <c r="L539" s="12">
        <v>7.6300030316000003</v>
      </c>
    </row>
    <row r="540" spans="1:12" x14ac:dyDescent="0.25">
      <c r="A540" s="11">
        <v>-194</v>
      </c>
      <c r="B540" s="12">
        <v>0.85355057599999995</v>
      </c>
      <c r="F540" s="11">
        <v>132</v>
      </c>
      <c r="G540" s="12">
        <v>7.4664526821671897</v>
      </c>
      <c r="K540" s="11">
        <v>340</v>
      </c>
      <c r="L540" s="12">
        <v>7.6402435479199999</v>
      </c>
    </row>
    <row r="541" spans="1:12" x14ac:dyDescent="0.25">
      <c r="A541" s="11">
        <v>-193</v>
      </c>
      <c r="B541" s="12">
        <v>0.85496249800000002</v>
      </c>
      <c r="F541" s="11">
        <v>133</v>
      </c>
      <c r="G541" s="12">
        <v>7.5359034349009502</v>
      </c>
      <c r="K541" s="11">
        <v>341</v>
      </c>
      <c r="L541" s="12">
        <v>7.6504840642399996</v>
      </c>
    </row>
    <row r="542" spans="1:12" x14ac:dyDescent="0.25">
      <c r="A542" s="11">
        <v>-192</v>
      </c>
      <c r="B542" s="12">
        <v>0.85637203200000001</v>
      </c>
      <c r="F542" s="11">
        <v>134</v>
      </c>
      <c r="G542" s="12">
        <v>7.60662891263856</v>
      </c>
      <c r="K542" s="11">
        <v>342</v>
      </c>
      <c r="L542" s="12">
        <v>7.6607245805600002</v>
      </c>
    </row>
    <row r="543" spans="1:12" x14ac:dyDescent="0.25">
      <c r="A543" s="11">
        <v>-191</v>
      </c>
      <c r="B543" s="12">
        <v>0.85777969399999998</v>
      </c>
      <c r="F543" s="11">
        <v>135</v>
      </c>
      <c r="G543" s="12">
        <v>7.6782094614435499</v>
      </c>
      <c r="K543" s="11">
        <v>343</v>
      </c>
      <c r="L543" s="12">
        <v>7.6709650968799998</v>
      </c>
    </row>
    <row r="544" spans="1:12" x14ac:dyDescent="0.25">
      <c r="A544" s="11">
        <v>-190</v>
      </c>
      <c r="B544" s="12">
        <v>0.85918600000000001</v>
      </c>
      <c r="F544" s="11">
        <v>136</v>
      </c>
      <c r="G544" s="12">
        <v>7.7502254273794504</v>
      </c>
      <c r="K544" s="11">
        <v>344</v>
      </c>
      <c r="L544" s="12">
        <v>7.6812056132000004</v>
      </c>
    </row>
    <row r="545" spans="1:12" x14ac:dyDescent="0.25">
      <c r="A545" s="11">
        <v>-189</v>
      </c>
      <c r="B545" s="12">
        <v>0.86059146600000003</v>
      </c>
      <c r="F545" s="11">
        <v>137</v>
      </c>
      <c r="G545" s="12">
        <v>7.8222571565098002</v>
      </c>
      <c r="K545" s="11">
        <v>345</v>
      </c>
      <c r="L545" s="12">
        <v>7.6914461295200001</v>
      </c>
    </row>
    <row r="546" spans="1:12" x14ac:dyDescent="0.25">
      <c r="A546" s="11">
        <v>-188</v>
      </c>
      <c r="B546" s="12">
        <v>0.861996608</v>
      </c>
      <c r="F546" s="11">
        <v>138</v>
      </c>
      <c r="G546" s="12">
        <v>7.8938849948981202</v>
      </c>
      <c r="K546" s="11">
        <v>346</v>
      </c>
      <c r="L546" s="12">
        <v>7.7016866458399997</v>
      </c>
    </row>
    <row r="547" spans="1:12" x14ac:dyDescent="0.25">
      <c r="A547" s="11">
        <v>-187</v>
      </c>
      <c r="B547" s="12">
        <v>0.86340194199999998</v>
      </c>
      <c r="F547" s="11">
        <v>139</v>
      </c>
      <c r="G547" s="12">
        <v>7.9646892886079499</v>
      </c>
      <c r="K547" s="11">
        <v>347</v>
      </c>
      <c r="L547" s="12">
        <v>7.7119271621600003</v>
      </c>
    </row>
    <row r="548" spans="1:12" x14ac:dyDescent="0.25">
      <c r="A548" s="11">
        <v>-186</v>
      </c>
      <c r="B548" s="12">
        <v>0.86480798400000003</v>
      </c>
      <c r="F548" s="11">
        <v>140</v>
      </c>
      <c r="G548" s="12">
        <v>8.0342503837028207</v>
      </c>
      <c r="K548" s="11">
        <v>348</v>
      </c>
      <c r="L548" s="12">
        <v>7.72216767848</v>
      </c>
    </row>
    <row r="549" spans="1:12" x14ac:dyDescent="0.25">
      <c r="A549" s="11">
        <v>-185</v>
      </c>
      <c r="B549" s="12">
        <v>0.86621524999999999</v>
      </c>
      <c r="F549" s="11">
        <v>141</v>
      </c>
      <c r="G549" s="12">
        <v>8.1021486262462599</v>
      </c>
      <c r="K549" s="11">
        <v>349</v>
      </c>
      <c r="L549" s="12">
        <v>7.7324081947999996</v>
      </c>
    </row>
    <row r="550" spans="1:12" x14ac:dyDescent="0.25">
      <c r="A550" s="11">
        <v>-184</v>
      </c>
      <c r="B550" s="12">
        <v>0.86762425600000004</v>
      </c>
      <c r="F550" s="11">
        <v>142</v>
      </c>
      <c r="G550" s="12">
        <v>8.1679643623018094</v>
      </c>
      <c r="K550" s="11">
        <v>350</v>
      </c>
      <c r="L550" s="12">
        <v>7.7426487111200002</v>
      </c>
    </row>
    <row r="551" spans="1:12" x14ac:dyDescent="0.25">
      <c r="A551" s="11">
        <v>-183</v>
      </c>
      <c r="B551" s="12">
        <v>0.86903551800000001</v>
      </c>
      <c r="F551" s="11">
        <v>143</v>
      </c>
      <c r="G551" s="12">
        <v>8.2312779379329903</v>
      </c>
      <c r="K551" s="11">
        <v>351</v>
      </c>
      <c r="L551" s="12">
        <v>7.7528892274399999</v>
      </c>
    </row>
    <row r="552" spans="1:12" x14ac:dyDescent="0.25">
      <c r="A552" s="11">
        <v>-182</v>
      </c>
      <c r="B552" s="12">
        <v>0.87044955199999996</v>
      </c>
      <c r="F552" s="11">
        <v>144</v>
      </c>
      <c r="G552" s="12">
        <v>8.2916696992033394</v>
      </c>
      <c r="K552" s="11">
        <v>352</v>
      </c>
      <c r="L552" s="12">
        <v>7.7631297437600004</v>
      </c>
    </row>
    <row r="553" spans="1:12" x14ac:dyDescent="0.25">
      <c r="A553" s="11">
        <v>-181</v>
      </c>
      <c r="B553" s="12">
        <v>0.87186687399999996</v>
      </c>
      <c r="F553" s="11">
        <v>145</v>
      </c>
      <c r="G553" s="12">
        <v>8.3487199921763899</v>
      </c>
      <c r="K553" s="11">
        <v>353</v>
      </c>
      <c r="L553" s="12">
        <v>7.7733702600800001</v>
      </c>
    </row>
    <row r="554" spans="1:12" x14ac:dyDescent="0.25">
      <c r="A554" s="11">
        <v>-180</v>
      </c>
      <c r="B554" s="12">
        <v>0.87328799999999995</v>
      </c>
      <c r="F554" s="11">
        <v>146</v>
      </c>
      <c r="G554" s="12">
        <v>8.4020091629156699</v>
      </c>
      <c r="K554" s="11">
        <v>354</v>
      </c>
      <c r="L554" s="12">
        <v>7.7836107763999998</v>
      </c>
    </row>
    <row r="555" spans="1:12" x14ac:dyDescent="0.25">
      <c r="A555" s="11">
        <v>-179</v>
      </c>
      <c r="B555" s="12">
        <v>0.87471344600000001</v>
      </c>
      <c r="F555" s="11">
        <v>147</v>
      </c>
      <c r="G555" s="12">
        <v>8.4511175574847197</v>
      </c>
      <c r="K555" s="11">
        <v>355</v>
      </c>
      <c r="L555" s="12">
        <v>7.7938512927200003</v>
      </c>
    </row>
    <row r="556" spans="1:12" x14ac:dyDescent="0.25">
      <c r="A556" s="11">
        <v>-178</v>
      </c>
      <c r="B556" s="12">
        <v>0.87614372799999996</v>
      </c>
      <c r="F556" s="11">
        <v>148</v>
      </c>
      <c r="G556" s="12">
        <v>8.4956255219470496</v>
      </c>
      <c r="K556" s="11">
        <v>356</v>
      </c>
      <c r="L556" s="12">
        <v>7.80409180904</v>
      </c>
    </row>
    <row r="557" spans="1:12" x14ac:dyDescent="0.25">
      <c r="A557" s="11">
        <v>-177</v>
      </c>
      <c r="B557" s="12">
        <v>0.87757936199999997</v>
      </c>
      <c r="F557" s="11">
        <v>149</v>
      </c>
      <c r="G557" s="12">
        <v>8.5351134023662194</v>
      </c>
      <c r="K557" s="11">
        <v>357</v>
      </c>
      <c r="L557" s="12">
        <v>7.8143323253599997</v>
      </c>
    </row>
    <row r="558" spans="1:12" x14ac:dyDescent="0.25">
      <c r="A558" s="11">
        <v>-176</v>
      </c>
      <c r="B558" s="12">
        <v>0.87902086400000001</v>
      </c>
      <c r="F558" s="11">
        <v>150</v>
      </c>
      <c r="G558" s="12">
        <v>8.5691615448057501</v>
      </c>
      <c r="K558" s="11">
        <v>358</v>
      </c>
      <c r="L558" s="12">
        <v>7.8245728416800002</v>
      </c>
    </row>
    <row r="559" spans="1:12" x14ac:dyDescent="0.25">
      <c r="A559" s="11">
        <v>-175</v>
      </c>
      <c r="B559" s="12">
        <v>0.88046875000000002</v>
      </c>
      <c r="F559" s="11">
        <v>151</v>
      </c>
      <c r="G559" s="12">
        <v>8.5973502953291607</v>
      </c>
      <c r="K559" s="11">
        <v>359</v>
      </c>
      <c r="L559" s="12">
        <v>7.8348133579999999</v>
      </c>
    </row>
    <row r="560" spans="1:12" x14ac:dyDescent="0.25">
      <c r="A560" s="11">
        <v>-174</v>
      </c>
      <c r="B560" s="12">
        <v>0.88192353599999995</v>
      </c>
      <c r="F560" s="11">
        <v>152</v>
      </c>
      <c r="G560" s="12">
        <v>8.6192600000000006</v>
      </c>
      <c r="K560" s="11">
        <v>360</v>
      </c>
      <c r="L560" s="12">
        <v>7.8450538743199996</v>
      </c>
    </row>
    <row r="561" spans="1:12" x14ac:dyDescent="0.25">
      <c r="A561" s="11">
        <v>-173</v>
      </c>
      <c r="B561" s="12">
        <v>0.88338573799999998</v>
      </c>
      <c r="F561" s="11">
        <v>153</v>
      </c>
      <c r="G561" s="12">
        <v>8.6374812335063904</v>
      </c>
      <c r="K561" s="11">
        <v>361</v>
      </c>
      <c r="L561" s="12">
        <v>7.8552943906400001</v>
      </c>
    </row>
    <row r="562" spans="1:12" x14ac:dyDescent="0.25">
      <c r="A562" s="11">
        <v>-172</v>
      </c>
      <c r="B562" s="12">
        <v>0.88485587200000004</v>
      </c>
      <c r="F562" s="11">
        <v>154</v>
      </c>
      <c r="G562" s="12">
        <v>8.6548964938299502</v>
      </c>
      <c r="K562" s="11">
        <v>362</v>
      </c>
      <c r="L562" s="12">
        <v>7.8655349069599998</v>
      </c>
    </row>
    <row r="563" spans="1:12" x14ac:dyDescent="0.25">
      <c r="A563" s="11">
        <v>-171</v>
      </c>
      <c r="B563" s="12">
        <v>0.88633445399999999</v>
      </c>
      <c r="F563" s="11">
        <v>155</v>
      </c>
      <c r="G563" s="12">
        <v>8.6715240119744301</v>
      </c>
      <c r="K563" s="11">
        <v>363</v>
      </c>
      <c r="L563" s="12">
        <v>7.8757754232800004</v>
      </c>
    </row>
    <row r="564" spans="1:12" x14ac:dyDescent="0.25">
      <c r="A564" s="11">
        <v>-170</v>
      </c>
      <c r="B564" s="12">
        <v>0.887822</v>
      </c>
      <c r="F564" s="11">
        <v>156</v>
      </c>
      <c r="G564" s="12">
        <v>8.6873820189435804</v>
      </c>
      <c r="K564" s="11">
        <v>364</v>
      </c>
      <c r="L564" s="12">
        <v>7.8860159396</v>
      </c>
    </row>
    <row r="565" spans="1:12" x14ac:dyDescent="0.25">
      <c r="A565" s="11">
        <v>-169</v>
      </c>
      <c r="B565" s="12">
        <v>0.88931902600000001</v>
      </c>
      <c r="F565" s="11">
        <v>157</v>
      </c>
      <c r="G565" s="12">
        <v>8.7024887457411406</v>
      </c>
      <c r="K565" s="11" t="s">
        <v>106</v>
      </c>
      <c r="L565" s="12">
        <v>3.6232454134932173</v>
      </c>
    </row>
    <row r="566" spans="1:12" x14ac:dyDescent="0.25">
      <c r="A566" s="11">
        <v>-168</v>
      </c>
      <c r="B566" s="12">
        <v>0.89082604799999998</v>
      </c>
      <c r="F566" s="11">
        <v>158</v>
      </c>
      <c r="G566" s="12">
        <v>8.7168624233708805</v>
      </c>
    </row>
    <row r="567" spans="1:12" x14ac:dyDescent="0.25">
      <c r="A567" s="11">
        <v>-167</v>
      </c>
      <c r="B567" s="12">
        <v>0.89234358199999997</v>
      </c>
      <c r="F567" s="11">
        <v>159</v>
      </c>
      <c r="G567" s="12">
        <v>8.7305212828365306</v>
      </c>
    </row>
    <row r="568" spans="1:12" x14ac:dyDescent="0.25">
      <c r="A568" s="11">
        <v>-166</v>
      </c>
      <c r="B568" s="12">
        <v>0.89387214400000004</v>
      </c>
      <c r="F568" s="11">
        <v>160</v>
      </c>
      <c r="G568" s="12">
        <v>8.7434835551418502</v>
      </c>
    </row>
    <row r="569" spans="1:12" x14ac:dyDescent="0.25">
      <c r="A569" s="11">
        <v>-165</v>
      </c>
      <c r="B569" s="12">
        <v>0.89541225000000002</v>
      </c>
      <c r="F569" s="11">
        <v>161</v>
      </c>
      <c r="G569" s="12">
        <v>8.7557674712905893</v>
      </c>
    </row>
    <row r="570" spans="1:12" x14ac:dyDescent="0.25">
      <c r="A570" s="11">
        <v>-164</v>
      </c>
      <c r="B570" s="12">
        <v>0.89696441599999999</v>
      </c>
      <c r="F570" s="11">
        <v>162</v>
      </c>
      <c r="G570" s="12">
        <v>8.7673912622864894</v>
      </c>
    </row>
    <row r="571" spans="1:12" x14ac:dyDescent="0.25">
      <c r="A571" s="11">
        <v>-163</v>
      </c>
      <c r="B571" s="12">
        <v>0.89852915799999999</v>
      </c>
      <c r="F571" s="11">
        <v>163</v>
      </c>
      <c r="G571" s="12">
        <v>8.7783731591333307</v>
      </c>
    </row>
    <row r="572" spans="1:12" x14ac:dyDescent="0.25">
      <c r="A572" s="11">
        <v>-162</v>
      </c>
      <c r="B572" s="12">
        <v>0.90010699199999999</v>
      </c>
      <c r="F572" s="11">
        <v>164</v>
      </c>
      <c r="G572" s="12">
        <v>8.7887313928348192</v>
      </c>
    </row>
    <row r="573" spans="1:12" x14ac:dyDescent="0.25">
      <c r="A573" s="11">
        <v>-161</v>
      </c>
      <c r="B573" s="12">
        <v>0.90169843400000005</v>
      </c>
      <c r="F573" s="11">
        <v>165</v>
      </c>
      <c r="G573" s="12">
        <v>8.7984841943947405</v>
      </c>
    </row>
    <row r="574" spans="1:12" x14ac:dyDescent="0.25">
      <c r="A574" s="11">
        <v>-160</v>
      </c>
      <c r="B574" s="12">
        <v>0.903304</v>
      </c>
      <c r="F574" s="11">
        <v>166</v>
      </c>
      <c r="G574" s="12">
        <v>8.8076497948168306</v>
      </c>
    </row>
    <row r="575" spans="1:12" x14ac:dyDescent="0.25">
      <c r="A575" s="11">
        <v>-159</v>
      </c>
      <c r="B575" s="12">
        <v>0.90492420600000001</v>
      </c>
      <c r="F575" s="11">
        <v>167</v>
      </c>
      <c r="G575" s="12">
        <v>8.8162464251048505</v>
      </c>
    </row>
    <row r="576" spans="1:12" x14ac:dyDescent="0.25">
      <c r="A576" s="11">
        <v>-158</v>
      </c>
      <c r="B576" s="12">
        <v>0.90655956800000004</v>
      </c>
      <c r="F576" s="11">
        <v>168</v>
      </c>
      <c r="G576" s="12">
        <v>8.8242923162625306</v>
      </c>
    </row>
    <row r="577" spans="1:7" x14ac:dyDescent="0.25">
      <c r="A577" s="11">
        <v>-157</v>
      </c>
      <c r="B577" s="12">
        <v>0.90821060200000003</v>
      </c>
      <c r="F577" s="11">
        <v>169</v>
      </c>
      <c r="G577" s="12">
        <v>8.8318056992936302</v>
      </c>
    </row>
    <row r="578" spans="1:7" x14ac:dyDescent="0.25">
      <c r="A578" s="11">
        <v>-156</v>
      </c>
      <c r="B578" s="12">
        <v>0.90987782399999995</v>
      </c>
      <c r="F578" s="11">
        <v>170</v>
      </c>
      <c r="G578" s="12">
        <v>8.8388048052019101</v>
      </c>
    </row>
    <row r="579" spans="1:7" x14ac:dyDescent="0.25">
      <c r="A579" s="11">
        <v>-155</v>
      </c>
      <c r="B579" s="12">
        <v>0.91156174999999995</v>
      </c>
      <c r="F579" s="11">
        <v>171</v>
      </c>
      <c r="G579" s="12">
        <v>8.8453078649911099</v>
      </c>
    </row>
    <row r="580" spans="1:7" x14ac:dyDescent="0.25">
      <c r="A580" s="11">
        <v>-154</v>
      </c>
      <c r="B580" s="12">
        <v>0.91326289599999999</v>
      </c>
      <c r="F580" s="11">
        <v>172</v>
      </c>
      <c r="G580" s="12">
        <v>8.8513331096649797</v>
      </c>
    </row>
    <row r="581" spans="1:7" x14ac:dyDescent="0.25">
      <c r="A581" s="11">
        <v>-153</v>
      </c>
      <c r="B581" s="12">
        <v>0.91498177800000002</v>
      </c>
      <c r="F581" s="11">
        <v>173</v>
      </c>
      <c r="G581" s="12">
        <v>8.8568987702272803</v>
      </c>
    </row>
    <row r="582" spans="1:7" x14ac:dyDescent="0.25">
      <c r="A582" s="11">
        <v>-152</v>
      </c>
      <c r="B582" s="12">
        <v>0.916718912</v>
      </c>
      <c r="F582" s="11">
        <v>174</v>
      </c>
      <c r="G582" s="12">
        <v>8.8620230776817408</v>
      </c>
    </row>
    <row r="583" spans="1:7" x14ac:dyDescent="0.25">
      <c r="A583" s="11">
        <v>-151</v>
      </c>
      <c r="B583" s="12">
        <v>0.91847481399999997</v>
      </c>
      <c r="F583" s="11">
        <v>175</v>
      </c>
      <c r="G583" s="12">
        <v>8.8667242630321308</v>
      </c>
    </row>
    <row r="584" spans="1:7" x14ac:dyDescent="0.25">
      <c r="A584" s="11">
        <v>-150</v>
      </c>
      <c r="B584" s="12">
        <v>0.92025000000000001</v>
      </c>
      <c r="F584" s="11">
        <v>176</v>
      </c>
      <c r="G584" s="12">
        <v>8.8710205572822005</v>
      </c>
    </row>
    <row r="585" spans="1:7" x14ac:dyDescent="0.25">
      <c r="A585" s="11">
        <v>-149</v>
      </c>
      <c r="B585" s="12">
        <v>0.92204498599999996</v>
      </c>
      <c r="F585" s="11">
        <v>177</v>
      </c>
      <c r="G585" s="12">
        <v>8.8749301914356895</v>
      </c>
    </row>
    <row r="586" spans="1:7" x14ac:dyDescent="0.25">
      <c r="A586" s="11">
        <v>-148</v>
      </c>
      <c r="B586" s="12">
        <v>0.92386028799999997</v>
      </c>
      <c r="F586" s="11">
        <v>178</v>
      </c>
      <c r="G586" s="12">
        <v>8.8784713964963498</v>
      </c>
    </row>
    <row r="587" spans="1:7" x14ac:dyDescent="0.25">
      <c r="A587" s="11">
        <v>-147</v>
      </c>
      <c r="B587" s="12">
        <v>0.92569642200000002</v>
      </c>
      <c r="F587" s="11">
        <v>179</v>
      </c>
      <c r="G587" s="12">
        <v>8.8816624034679403</v>
      </c>
    </row>
    <row r="588" spans="1:7" x14ac:dyDescent="0.25">
      <c r="A588" s="11">
        <v>-146</v>
      </c>
      <c r="B588" s="12">
        <v>0.92755390400000004</v>
      </c>
      <c r="F588" s="11">
        <v>180</v>
      </c>
      <c r="G588" s="12">
        <v>8.8845214433542008</v>
      </c>
    </row>
    <row r="589" spans="1:7" x14ac:dyDescent="0.25">
      <c r="A589" s="11">
        <v>-145</v>
      </c>
      <c r="B589" s="12">
        <v>0.92943324999999999</v>
      </c>
      <c r="F589" s="11">
        <v>181</v>
      </c>
      <c r="G589" s="12">
        <v>8.8870667471588902</v>
      </c>
    </row>
    <row r="590" spans="1:7" x14ac:dyDescent="0.25">
      <c r="A590" s="11">
        <v>-144</v>
      </c>
      <c r="B590" s="12">
        <v>0.93133497600000004</v>
      </c>
      <c r="F590" s="11">
        <v>182</v>
      </c>
      <c r="G590" s="12">
        <v>8.8893165458857606</v>
      </c>
    </row>
    <row r="591" spans="1:7" x14ac:dyDescent="0.25">
      <c r="A591" s="11">
        <v>-143</v>
      </c>
      <c r="B591" s="12">
        <v>0.93325959800000002</v>
      </c>
      <c r="F591" s="11">
        <v>183</v>
      </c>
      <c r="G591" s="12">
        <v>8.8912890705385497</v>
      </c>
    </row>
    <row r="592" spans="1:7" x14ac:dyDescent="0.25">
      <c r="A592" s="11">
        <v>-142</v>
      </c>
      <c r="B592" s="12">
        <v>0.93520763200000001</v>
      </c>
      <c r="F592" s="11">
        <v>184</v>
      </c>
      <c r="G592" s="12">
        <v>8.8930025521210094</v>
      </c>
    </row>
    <row r="593" spans="1:7" x14ac:dyDescent="0.25">
      <c r="A593" s="11">
        <v>-141</v>
      </c>
      <c r="B593" s="12">
        <v>0.93717959399999995</v>
      </c>
      <c r="F593" s="11">
        <v>185</v>
      </c>
      <c r="G593" s="12">
        <v>8.8944752216369096</v>
      </c>
    </row>
    <row r="594" spans="1:7" x14ac:dyDescent="0.25">
      <c r="A594" s="11">
        <v>-140</v>
      </c>
      <c r="B594" s="12">
        <v>0.93917600000000001</v>
      </c>
      <c r="F594" s="11">
        <v>186</v>
      </c>
      <c r="G594" s="12">
        <v>8.8957253100899791</v>
      </c>
    </row>
    <row r="595" spans="1:7" x14ac:dyDescent="0.25">
      <c r="A595" s="11">
        <v>-139</v>
      </c>
      <c r="B595" s="12">
        <v>0.94119736600000004</v>
      </c>
      <c r="F595" s="11">
        <v>187</v>
      </c>
      <c r="G595" s="12">
        <v>8.8967710484839699</v>
      </c>
    </row>
    <row r="596" spans="1:7" x14ac:dyDescent="0.25">
      <c r="A596" s="11">
        <v>-138</v>
      </c>
      <c r="B596" s="12">
        <v>0.94324420799999997</v>
      </c>
      <c r="F596" s="11">
        <v>188</v>
      </c>
      <c r="G596" s="12">
        <v>8.89763066782265</v>
      </c>
    </row>
    <row r="597" spans="1:7" x14ac:dyDescent="0.25">
      <c r="A597" s="11">
        <v>-137</v>
      </c>
      <c r="B597" s="12">
        <v>0.945317042</v>
      </c>
      <c r="F597" s="11">
        <v>189</v>
      </c>
      <c r="G597" s="12">
        <v>8.89832239910975</v>
      </c>
    </row>
    <row r="598" spans="1:7" x14ac:dyDescent="0.25">
      <c r="A598" s="11">
        <v>-136</v>
      </c>
      <c r="B598" s="12">
        <v>0.94741638399999994</v>
      </c>
      <c r="F598" s="11">
        <v>190</v>
      </c>
      <c r="G598" s="12">
        <v>8.8988644733490307</v>
      </c>
    </row>
    <row r="599" spans="1:7" x14ac:dyDescent="0.25">
      <c r="A599" s="11">
        <v>-135</v>
      </c>
      <c r="B599" s="12">
        <v>0.94954274999999999</v>
      </c>
      <c r="F599" s="11">
        <v>191</v>
      </c>
      <c r="G599" s="12">
        <v>8.8992751215442407</v>
      </c>
    </row>
    <row r="600" spans="1:7" x14ac:dyDescent="0.25">
      <c r="A600" s="11">
        <v>-134</v>
      </c>
      <c r="B600" s="12">
        <v>0.95169665599999997</v>
      </c>
      <c r="F600" s="11">
        <v>192</v>
      </c>
      <c r="G600" s="12">
        <v>8.8995725746991194</v>
      </c>
    </row>
    <row r="601" spans="1:7" x14ac:dyDescent="0.25">
      <c r="A601" s="11">
        <v>-133</v>
      </c>
      <c r="B601" s="12">
        <v>0.95387861799999996</v>
      </c>
      <c r="F601" s="11">
        <v>193</v>
      </c>
      <c r="G601" s="12">
        <v>8.8997750638174402</v>
      </c>
    </row>
    <row r="602" spans="1:7" x14ac:dyDescent="0.25">
      <c r="A602" s="11">
        <v>-132</v>
      </c>
      <c r="B602" s="12">
        <v>0.956089152</v>
      </c>
      <c r="F602" s="11">
        <v>194</v>
      </c>
      <c r="G602" s="12">
        <v>8.8999008199029408</v>
      </c>
    </row>
    <row r="603" spans="1:7" x14ac:dyDescent="0.25">
      <c r="A603" s="11">
        <v>-131</v>
      </c>
      <c r="B603" s="12">
        <v>0.95832877400000005</v>
      </c>
      <c r="F603" s="11">
        <v>195</v>
      </c>
      <c r="G603" s="12">
        <v>8.8999680739593607</v>
      </c>
    </row>
    <row r="604" spans="1:7" x14ac:dyDescent="0.25">
      <c r="A604" s="11">
        <v>-130</v>
      </c>
      <c r="B604" s="12">
        <v>0.96059799999999995</v>
      </c>
      <c r="F604" s="11">
        <v>196</v>
      </c>
      <c r="G604" s="12">
        <v>8.8999950569904698</v>
      </c>
    </row>
    <row r="605" spans="1:7" x14ac:dyDescent="0.25">
      <c r="A605" s="11">
        <v>-129</v>
      </c>
      <c r="B605" s="12">
        <v>0.96289734599999999</v>
      </c>
      <c r="F605" s="11">
        <v>197</v>
      </c>
      <c r="G605" s="12">
        <v>8.9</v>
      </c>
    </row>
    <row r="606" spans="1:7" x14ac:dyDescent="0.25">
      <c r="A606" s="11">
        <v>-128</v>
      </c>
      <c r="B606" s="12">
        <v>0.965227328</v>
      </c>
      <c r="F606" s="11">
        <v>198</v>
      </c>
      <c r="G606" s="12">
        <v>8.9</v>
      </c>
    </row>
    <row r="607" spans="1:7" x14ac:dyDescent="0.25">
      <c r="A607" s="11">
        <v>-127</v>
      </c>
      <c r="B607" s="12">
        <v>0.96758846200000004</v>
      </c>
      <c r="F607" s="11">
        <v>199</v>
      </c>
      <c r="G607" s="12">
        <v>8.9</v>
      </c>
    </row>
    <row r="608" spans="1:7" x14ac:dyDescent="0.25">
      <c r="A608" s="11">
        <v>-126</v>
      </c>
      <c r="B608" s="12">
        <v>0.96998126399999995</v>
      </c>
      <c r="F608" s="11">
        <v>200</v>
      </c>
      <c r="G608" s="12">
        <v>8.9</v>
      </c>
    </row>
    <row r="609" spans="1:7" x14ac:dyDescent="0.25">
      <c r="A609" s="11">
        <v>-125</v>
      </c>
      <c r="B609" s="12">
        <v>0.97240625000000003</v>
      </c>
      <c r="F609" s="11">
        <v>201</v>
      </c>
      <c r="G609" s="12">
        <v>8.9</v>
      </c>
    </row>
    <row r="610" spans="1:7" x14ac:dyDescent="0.25">
      <c r="A610" s="11">
        <v>-124</v>
      </c>
      <c r="B610" s="12">
        <v>0.97486393599999999</v>
      </c>
      <c r="F610" s="11">
        <v>202</v>
      </c>
      <c r="G610" s="12">
        <v>8.9</v>
      </c>
    </row>
    <row r="611" spans="1:7" x14ac:dyDescent="0.25">
      <c r="A611" s="11">
        <v>-123</v>
      </c>
      <c r="B611" s="12">
        <v>0.977354838</v>
      </c>
      <c r="F611" s="11">
        <v>203</v>
      </c>
      <c r="G611" s="12">
        <v>8.9</v>
      </c>
    </row>
    <row r="612" spans="1:7" x14ac:dyDescent="0.25">
      <c r="A612" s="11">
        <v>-122</v>
      </c>
      <c r="B612" s="12">
        <v>0.97987947200000003</v>
      </c>
      <c r="F612" s="11">
        <v>204</v>
      </c>
      <c r="G612" s="12">
        <v>8.9</v>
      </c>
    </row>
    <row r="613" spans="1:7" x14ac:dyDescent="0.25">
      <c r="A613" s="11">
        <v>-121</v>
      </c>
      <c r="B613" s="12">
        <v>0.98243835400000001</v>
      </c>
      <c r="F613" s="11">
        <v>205</v>
      </c>
      <c r="G613" s="12">
        <v>8.9</v>
      </c>
    </row>
    <row r="614" spans="1:7" x14ac:dyDescent="0.25">
      <c r="A614" s="11">
        <v>-120</v>
      </c>
      <c r="B614" s="12">
        <v>0.98503200000000002</v>
      </c>
      <c r="F614" s="11">
        <v>206</v>
      </c>
      <c r="G614" s="12">
        <v>8.9</v>
      </c>
    </row>
    <row r="615" spans="1:7" x14ac:dyDescent="0.25">
      <c r="A615" s="11">
        <v>-119</v>
      </c>
      <c r="B615" s="12">
        <v>0.98766092599999999</v>
      </c>
      <c r="F615" s="11">
        <v>207</v>
      </c>
      <c r="G615" s="12">
        <v>8.9</v>
      </c>
    </row>
    <row r="616" spans="1:7" x14ac:dyDescent="0.25">
      <c r="A616" s="11">
        <v>-118</v>
      </c>
      <c r="B616" s="12">
        <v>0.990325648</v>
      </c>
      <c r="F616" s="11">
        <v>208</v>
      </c>
      <c r="G616" s="12">
        <v>8.9</v>
      </c>
    </row>
    <row r="617" spans="1:7" x14ac:dyDescent="0.25">
      <c r="A617" s="11">
        <v>-117</v>
      </c>
      <c r="B617" s="12">
        <v>0.99302668199999999</v>
      </c>
      <c r="F617" s="11">
        <v>209</v>
      </c>
      <c r="G617" s="12">
        <v>8.9</v>
      </c>
    </row>
    <row r="618" spans="1:7" x14ac:dyDescent="0.25">
      <c r="A618" s="11">
        <v>-116</v>
      </c>
      <c r="B618" s="12">
        <v>0.99576454400000003</v>
      </c>
      <c r="F618" s="11">
        <v>210</v>
      </c>
      <c r="G618" s="12">
        <v>8.9</v>
      </c>
    </row>
    <row r="619" spans="1:7" x14ac:dyDescent="0.25">
      <c r="A619" s="11">
        <v>-115</v>
      </c>
      <c r="B619" s="12">
        <v>0.99853974999999995</v>
      </c>
      <c r="F619" s="11">
        <v>211</v>
      </c>
      <c r="G619" s="12">
        <v>8.9</v>
      </c>
    </row>
    <row r="620" spans="1:7" x14ac:dyDescent="0.25">
      <c r="A620" s="11">
        <v>-114</v>
      </c>
      <c r="B620" s="12">
        <v>1.001352816</v>
      </c>
      <c r="F620" s="11">
        <v>212</v>
      </c>
      <c r="G620" s="12">
        <v>8.9</v>
      </c>
    </row>
    <row r="621" spans="1:7" x14ac:dyDescent="0.25">
      <c r="A621" s="11">
        <v>-113</v>
      </c>
      <c r="B621" s="12">
        <v>1.0042042579999999</v>
      </c>
      <c r="F621" s="11">
        <v>213</v>
      </c>
      <c r="G621" s="12">
        <v>8.9</v>
      </c>
    </row>
    <row r="622" spans="1:7" x14ac:dyDescent="0.25">
      <c r="A622" s="11">
        <v>-112</v>
      </c>
      <c r="B622" s="12">
        <v>1.0070945920000001</v>
      </c>
      <c r="F622" s="11">
        <v>214</v>
      </c>
      <c r="G622" s="12">
        <v>8.9</v>
      </c>
    </row>
    <row r="623" spans="1:7" x14ac:dyDescent="0.25">
      <c r="A623" s="11">
        <v>-111</v>
      </c>
      <c r="B623" s="12">
        <v>1.0100243339999999</v>
      </c>
      <c r="F623" s="11">
        <v>215</v>
      </c>
      <c r="G623" s="12">
        <v>8.9</v>
      </c>
    </row>
    <row r="624" spans="1:7" x14ac:dyDescent="0.25">
      <c r="A624" s="11">
        <v>-110</v>
      </c>
      <c r="B624" s="12">
        <v>1.012994</v>
      </c>
      <c r="F624" s="11">
        <v>216</v>
      </c>
      <c r="G624" s="12">
        <v>8.9</v>
      </c>
    </row>
    <row r="625" spans="1:7" x14ac:dyDescent="0.25">
      <c r="A625" s="11">
        <v>-109</v>
      </c>
      <c r="B625" s="12">
        <v>1.016004106</v>
      </c>
      <c r="F625" s="11">
        <v>217</v>
      </c>
      <c r="G625" s="12">
        <v>8.9</v>
      </c>
    </row>
    <row r="626" spans="1:7" x14ac:dyDescent="0.25">
      <c r="A626" s="11">
        <v>-108</v>
      </c>
      <c r="B626" s="12">
        <v>1.019055168</v>
      </c>
      <c r="F626" s="11">
        <v>218</v>
      </c>
      <c r="G626" s="12">
        <v>8.9</v>
      </c>
    </row>
    <row r="627" spans="1:7" x14ac:dyDescent="0.25">
      <c r="A627" s="11">
        <v>-107</v>
      </c>
      <c r="B627" s="12">
        <v>1.022147702</v>
      </c>
      <c r="F627" s="11">
        <v>219</v>
      </c>
      <c r="G627" s="12">
        <v>8.9</v>
      </c>
    </row>
    <row r="628" spans="1:7" x14ac:dyDescent="0.25">
      <c r="A628" s="11">
        <v>-106</v>
      </c>
      <c r="B628" s="12">
        <v>1.0252822239999999</v>
      </c>
      <c r="F628" s="11">
        <v>220</v>
      </c>
      <c r="G628" s="12">
        <v>8.9</v>
      </c>
    </row>
    <row r="629" spans="1:7" x14ac:dyDescent="0.25">
      <c r="A629" s="11">
        <v>-105</v>
      </c>
      <c r="B629" s="12">
        <v>1.02845925</v>
      </c>
      <c r="F629" s="11">
        <v>221</v>
      </c>
      <c r="G629" s="12">
        <v>8.9</v>
      </c>
    </row>
    <row r="630" spans="1:7" x14ac:dyDescent="0.25">
      <c r="A630" s="11">
        <v>-104</v>
      </c>
      <c r="B630" s="12">
        <v>1.0316792960000001</v>
      </c>
      <c r="F630" s="11">
        <v>222</v>
      </c>
      <c r="G630" s="12">
        <v>8.9</v>
      </c>
    </row>
    <row r="631" spans="1:7" x14ac:dyDescent="0.25">
      <c r="A631" s="11">
        <v>-103</v>
      </c>
      <c r="B631" s="12">
        <v>1.0349428780000001</v>
      </c>
      <c r="F631" s="11">
        <v>223</v>
      </c>
      <c r="G631" s="12">
        <v>8.9</v>
      </c>
    </row>
    <row r="632" spans="1:7" x14ac:dyDescent="0.25">
      <c r="A632" s="11">
        <v>-102</v>
      </c>
      <c r="B632" s="12">
        <v>1.0382505120000001</v>
      </c>
      <c r="F632" s="11">
        <v>224</v>
      </c>
      <c r="G632" s="12">
        <v>8.9</v>
      </c>
    </row>
    <row r="633" spans="1:7" x14ac:dyDescent="0.25">
      <c r="A633" s="11">
        <v>-101</v>
      </c>
      <c r="B633" s="12">
        <v>1.0416027139999999</v>
      </c>
      <c r="F633" s="11">
        <v>225</v>
      </c>
      <c r="G633" s="12">
        <v>8.9</v>
      </c>
    </row>
    <row r="634" spans="1:7" x14ac:dyDescent="0.25">
      <c r="A634" s="11">
        <v>-100</v>
      </c>
      <c r="B634" s="12">
        <v>1.0449999999999999</v>
      </c>
      <c r="F634" s="11">
        <v>226</v>
      </c>
      <c r="G634" s="12">
        <v>8.9</v>
      </c>
    </row>
    <row r="635" spans="1:7" x14ac:dyDescent="0.25">
      <c r="A635" s="11">
        <v>-99</v>
      </c>
      <c r="B635" s="12">
        <v>1.0485710960000001</v>
      </c>
      <c r="F635" s="11">
        <v>227</v>
      </c>
      <c r="G635" s="12">
        <v>8.9</v>
      </c>
    </row>
    <row r="636" spans="1:7" x14ac:dyDescent="0.25">
      <c r="A636" s="11">
        <v>-98</v>
      </c>
      <c r="B636" s="12">
        <v>1.0524343679999999</v>
      </c>
      <c r="F636" s="11">
        <v>228</v>
      </c>
      <c r="G636" s="12">
        <v>8.9</v>
      </c>
    </row>
    <row r="637" spans="1:7" x14ac:dyDescent="0.25">
      <c r="A637" s="11">
        <v>-97</v>
      </c>
      <c r="B637" s="12">
        <v>1.0565747919999999</v>
      </c>
      <c r="F637" s="11">
        <v>229</v>
      </c>
      <c r="G637" s="12">
        <v>8.9</v>
      </c>
    </row>
    <row r="638" spans="1:7" x14ac:dyDescent="0.25">
      <c r="A638" s="11">
        <v>-96</v>
      </c>
      <c r="B638" s="12">
        <v>1.0609773440000001</v>
      </c>
      <c r="F638" s="11">
        <v>230</v>
      </c>
      <c r="G638" s="12">
        <v>8.9</v>
      </c>
    </row>
    <row r="639" spans="1:7" x14ac:dyDescent="0.25">
      <c r="A639" s="11">
        <v>-95</v>
      </c>
      <c r="B639" s="12">
        <v>1.0656270000000001</v>
      </c>
      <c r="F639" s="11">
        <v>231</v>
      </c>
      <c r="G639" s="12">
        <v>8.9</v>
      </c>
    </row>
    <row r="640" spans="1:7" x14ac:dyDescent="0.25">
      <c r="A640" s="11">
        <v>-94</v>
      </c>
      <c r="B640" s="12">
        <v>1.0705087360000001</v>
      </c>
      <c r="F640" s="11">
        <v>232</v>
      </c>
      <c r="G640" s="12">
        <v>8.9</v>
      </c>
    </row>
    <row r="641" spans="1:7" x14ac:dyDescent="0.25">
      <c r="A641" s="11">
        <v>-93</v>
      </c>
      <c r="B641" s="12">
        <v>1.0756075279999999</v>
      </c>
      <c r="F641" s="11">
        <v>233</v>
      </c>
      <c r="G641" s="12">
        <v>8.9</v>
      </c>
    </row>
    <row r="642" spans="1:7" x14ac:dyDescent="0.25">
      <c r="A642" s="11">
        <v>-92</v>
      </c>
      <c r="B642" s="12">
        <v>1.080908352</v>
      </c>
      <c r="F642" s="11">
        <v>234</v>
      </c>
      <c r="G642" s="12">
        <v>8.9</v>
      </c>
    </row>
    <row r="643" spans="1:7" x14ac:dyDescent="0.25">
      <c r="A643" s="11">
        <v>-91</v>
      </c>
      <c r="B643" s="12">
        <v>1.086396184</v>
      </c>
      <c r="F643" s="11">
        <v>235</v>
      </c>
      <c r="G643" s="12">
        <v>8.9</v>
      </c>
    </row>
    <row r="644" spans="1:7" x14ac:dyDescent="0.25">
      <c r="A644" s="11">
        <v>-90</v>
      </c>
      <c r="B644" s="12">
        <v>1.0920559999999999</v>
      </c>
      <c r="F644" s="11">
        <v>236</v>
      </c>
      <c r="G644" s="12">
        <v>8.9</v>
      </c>
    </row>
    <row r="645" spans="1:7" x14ac:dyDescent="0.25">
      <c r="A645" s="11">
        <v>-89</v>
      </c>
      <c r="B645" s="12">
        <v>1.097872776</v>
      </c>
      <c r="F645" s="11">
        <v>237</v>
      </c>
      <c r="G645" s="12">
        <v>8.9</v>
      </c>
    </row>
    <row r="646" spans="1:7" x14ac:dyDescent="0.25">
      <c r="A646" s="11">
        <v>-88</v>
      </c>
      <c r="B646" s="12">
        <v>1.103831488</v>
      </c>
      <c r="F646" s="11">
        <v>238</v>
      </c>
      <c r="G646" s="12">
        <v>8.9</v>
      </c>
    </row>
    <row r="647" spans="1:7" x14ac:dyDescent="0.25">
      <c r="A647" s="11">
        <v>-87</v>
      </c>
      <c r="B647" s="12">
        <v>1.109917112</v>
      </c>
      <c r="F647" s="11">
        <v>239</v>
      </c>
      <c r="G647" s="12">
        <v>8.9</v>
      </c>
    </row>
    <row r="648" spans="1:7" x14ac:dyDescent="0.25">
      <c r="A648" s="11">
        <v>-86</v>
      </c>
      <c r="B648" s="12">
        <v>1.1161146239999999</v>
      </c>
      <c r="F648" s="11">
        <v>240</v>
      </c>
      <c r="G648" s="12">
        <v>8.9</v>
      </c>
    </row>
    <row r="649" spans="1:7" x14ac:dyDescent="0.25">
      <c r="A649" s="11">
        <v>-85</v>
      </c>
      <c r="B649" s="12">
        <v>1.122409</v>
      </c>
      <c r="F649" s="11">
        <v>241</v>
      </c>
      <c r="G649" s="12">
        <v>8.9</v>
      </c>
    </row>
    <row r="650" spans="1:7" x14ac:dyDescent="0.25">
      <c r="A650" s="11">
        <v>-84</v>
      </c>
      <c r="B650" s="12">
        <v>1.128785216</v>
      </c>
      <c r="F650" s="11">
        <v>242</v>
      </c>
      <c r="G650" s="12">
        <v>8.9</v>
      </c>
    </row>
    <row r="651" spans="1:7" x14ac:dyDescent="0.25">
      <c r="A651" s="11">
        <v>-83</v>
      </c>
      <c r="B651" s="12">
        <v>1.135228248</v>
      </c>
      <c r="F651" s="11">
        <v>243</v>
      </c>
      <c r="G651" s="12">
        <v>8.9</v>
      </c>
    </row>
    <row r="652" spans="1:7" x14ac:dyDescent="0.25">
      <c r="A652" s="11">
        <v>-82</v>
      </c>
      <c r="B652" s="12">
        <v>1.141723072</v>
      </c>
      <c r="F652" s="11">
        <v>244</v>
      </c>
      <c r="G652" s="12">
        <v>8.9</v>
      </c>
    </row>
    <row r="653" spans="1:7" x14ac:dyDescent="0.25">
      <c r="A653" s="11">
        <v>-81</v>
      </c>
      <c r="B653" s="12">
        <v>1.148254664</v>
      </c>
      <c r="F653" s="11">
        <v>245</v>
      </c>
      <c r="G653" s="12">
        <v>8.9</v>
      </c>
    </row>
    <row r="654" spans="1:7" x14ac:dyDescent="0.25">
      <c r="A654" s="11">
        <v>-80</v>
      </c>
      <c r="B654" s="12">
        <v>1.1548080000000001</v>
      </c>
      <c r="F654" s="11">
        <v>246</v>
      </c>
      <c r="G654" s="12">
        <v>8.9</v>
      </c>
    </row>
    <row r="655" spans="1:7" x14ac:dyDescent="0.25">
      <c r="A655" s="11">
        <v>-79</v>
      </c>
      <c r="B655" s="12">
        <v>1.1613680559999999</v>
      </c>
      <c r="F655" s="11">
        <v>247</v>
      </c>
      <c r="G655" s="12">
        <v>8.9</v>
      </c>
    </row>
    <row r="656" spans="1:7" x14ac:dyDescent="0.25">
      <c r="A656" s="11">
        <v>-78</v>
      </c>
      <c r="B656" s="12">
        <v>1.1679198079999999</v>
      </c>
      <c r="F656" s="11">
        <v>248</v>
      </c>
      <c r="G656" s="12">
        <v>8.9</v>
      </c>
    </row>
    <row r="657" spans="1:7" x14ac:dyDescent="0.25">
      <c r="A657" s="11">
        <v>-77</v>
      </c>
      <c r="B657" s="12">
        <v>1.174448232</v>
      </c>
      <c r="F657" s="11">
        <v>249</v>
      </c>
      <c r="G657" s="12">
        <v>8.9</v>
      </c>
    </row>
    <row r="658" spans="1:7" x14ac:dyDescent="0.25">
      <c r="A658" s="11">
        <v>-76</v>
      </c>
      <c r="B658" s="12">
        <v>1.1809383040000001</v>
      </c>
      <c r="F658" s="11">
        <v>250</v>
      </c>
      <c r="G658" s="12">
        <v>8.9</v>
      </c>
    </row>
    <row r="659" spans="1:7" x14ac:dyDescent="0.25">
      <c r="A659" s="11">
        <v>-75</v>
      </c>
      <c r="B659" s="12">
        <v>1.1873750000000001</v>
      </c>
      <c r="F659" s="11">
        <v>251</v>
      </c>
      <c r="G659" s="12">
        <v>8.9</v>
      </c>
    </row>
    <row r="660" spans="1:7" x14ac:dyDescent="0.25">
      <c r="A660" s="11">
        <v>-74</v>
      </c>
      <c r="B660" s="12">
        <v>1.1937432960000001</v>
      </c>
      <c r="F660" s="11">
        <v>252</v>
      </c>
      <c r="G660" s="12">
        <v>8.9</v>
      </c>
    </row>
    <row r="661" spans="1:7" x14ac:dyDescent="0.25">
      <c r="A661" s="11">
        <v>-73</v>
      </c>
      <c r="B661" s="12">
        <v>1.200028168</v>
      </c>
      <c r="F661" s="11">
        <v>253</v>
      </c>
      <c r="G661" s="12">
        <v>8.9</v>
      </c>
    </row>
    <row r="662" spans="1:7" x14ac:dyDescent="0.25">
      <c r="A662" s="11">
        <v>-72</v>
      </c>
      <c r="B662" s="12">
        <v>1.206214592</v>
      </c>
      <c r="F662" s="11">
        <v>254</v>
      </c>
      <c r="G662" s="12">
        <v>8.9</v>
      </c>
    </row>
    <row r="663" spans="1:7" x14ac:dyDescent="0.25">
      <c r="A663" s="11">
        <v>-71</v>
      </c>
      <c r="B663" s="12">
        <v>1.2122875440000001</v>
      </c>
      <c r="F663" s="11">
        <v>255</v>
      </c>
      <c r="G663" s="12">
        <v>8.9</v>
      </c>
    </row>
    <row r="664" spans="1:7" x14ac:dyDescent="0.25">
      <c r="A664" s="11">
        <v>-70</v>
      </c>
      <c r="B664" s="12">
        <v>1.218232</v>
      </c>
      <c r="F664" s="11">
        <v>256</v>
      </c>
      <c r="G664" s="12">
        <v>8.9</v>
      </c>
    </row>
    <row r="665" spans="1:7" x14ac:dyDescent="0.25">
      <c r="A665" s="11">
        <v>-69</v>
      </c>
      <c r="B665" s="12">
        <v>1.224032936</v>
      </c>
      <c r="F665" s="11">
        <v>257</v>
      </c>
      <c r="G665" s="12">
        <v>8.9</v>
      </c>
    </row>
    <row r="666" spans="1:7" x14ac:dyDescent="0.25">
      <c r="A666" s="11">
        <v>-68</v>
      </c>
      <c r="B666" s="12">
        <v>1.2296753279999999</v>
      </c>
      <c r="F666" s="11">
        <v>258</v>
      </c>
      <c r="G666" s="12">
        <v>8.9</v>
      </c>
    </row>
    <row r="667" spans="1:7" x14ac:dyDescent="0.25">
      <c r="A667" s="11">
        <v>-67</v>
      </c>
      <c r="B667" s="12">
        <v>1.2351441519999999</v>
      </c>
      <c r="F667" s="11">
        <v>259</v>
      </c>
      <c r="G667" s="12">
        <v>8.9</v>
      </c>
    </row>
    <row r="668" spans="1:7" x14ac:dyDescent="0.25">
      <c r="A668" s="11">
        <v>-66</v>
      </c>
      <c r="B668" s="12">
        <v>1.240424384</v>
      </c>
      <c r="F668" s="11">
        <v>260</v>
      </c>
      <c r="G668" s="12">
        <v>8.9</v>
      </c>
    </row>
    <row r="669" spans="1:7" x14ac:dyDescent="0.25">
      <c r="A669" s="11">
        <v>-65</v>
      </c>
      <c r="B669" s="12">
        <v>1.245501</v>
      </c>
      <c r="F669" s="11">
        <v>261</v>
      </c>
      <c r="G669" s="12">
        <v>8.9</v>
      </c>
    </row>
    <row r="670" spans="1:7" x14ac:dyDescent="0.25">
      <c r="A670" s="11">
        <v>-64</v>
      </c>
      <c r="B670" s="12">
        <v>1.250358976</v>
      </c>
      <c r="F670" s="11">
        <v>262</v>
      </c>
      <c r="G670" s="12">
        <v>8.9</v>
      </c>
    </row>
    <row r="671" spans="1:7" x14ac:dyDescent="0.25">
      <c r="A671" s="11">
        <v>-63</v>
      </c>
      <c r="B671" s="12">
        <v>1.254983288</v>
      </c>
      <c r="F671" s="11">
        <v>263</v>
      </c>
      <c r="G671" s="12">
        <v>8.9</v>
      </c>
    </row>
    <row r="672" spans="1:7" x14ac:dyDescent="0.25">
      <c r="A672" s="11">
        <v>-62</v>
      </c>
      <c r="B672" s="12">
        <v>1.2593589119999999</v>
      </c>
      <c r="F672" s="11">
        <v>264</v>
      </c>
      <c r="G672" s="12">
        <v>8.9</v>
      </c>
    </row>
    <row r="673" spans="1:7" x14ac:dyDescent="0.25">
      <c r="A673" s="11">
        <v>-61</v>
      </c>
      <c r="B673" s="12">
        <v>1.2634708240000001</v>
      </c>
      <c r="F673" s="11">
        <v>265</v>
      </c>
      <c r="G673" s="12">
        <v>8.9</v>
      </c>
    </row>
    <row r="674" spans="1:7" x14ac:dyDescent="0.25">
      <c r="A674" s="11">
        <v>-60</v>
      </c>
      <c r="B674" s="12">
        <v>1.267304</v>
      </c>
      <c r="F674" s="11">
        <v>266</v>
      </c>
      <c r="G674" s="12">
        <v>8.9</v>
      </c>
    </row>
    <row r="675" spans="1:7" x14ac:dyDescent="0.25">
      <c r="A675" s="11">
        <v>-59</v>
      </c>
      <c r="B675" s="12">
        <v>1.2708434159999999</v>
      </c>
      <c r="F675" s="11">
        <v>267</v>
      </c>
      <c r="G675" s="12">
        <v>8.9</v>
      </c>
    </row>
    <row r="676" spans="1:7" x14ac:dyDescent="0.25">
      <c r="A676" s="11">
        <v>-58</v>
      </c>
      <c r="B676" s="12">
        <v>1.2740740479999999</v>
      </c>
      <c r="F676" s="11">
        <v>268</v>
      </c>
      <c r="G676" s="12">
        <v>8.9</v>
      </c>
    </row>
    <row r="677" spans="1:7" x14ac:dyDescent="0.25">
      <c r="A677" s="11">
        <v>-57</v>
      </c>
      <c r="B677" s="12">
        <v>1.276980872</v>
      </c>
      <c r="F677" s="11">
        <v>269</v>
      </c>
      <c r="G677" s="12">
        <v>8.9</v>
      </c>
    </row>
    <row r="678" spans="1:7" x14ac:dyDescent="0.25">
      <c r="A678" s="11">
        <v>-56</v>
      </c>
      <c r="B678" s="12">
        <v>1.2795488639999999</v>
      </c>
      <c r="F678" s="11">
        <v>270</v>
      </c>
      <c r="G678" s="12">
        <v>8.9</v>
      </c>
    </row>
    <row r="679" spans="1:7" x14ac:dyDescent="0.25">
      <c r="A679" s="11">
        <v>-55</v>
      </c>
      <c r="B679" s="12">
        <v>1.281763</v>
      </c>
      <c r="F679" s="11">
        <v>271</v>
      </c>
      <c r="G679" s="12">
        <v>8.9</v>
      </c>
    </row>
    <row r="680" spans="1:7" x14ac:dyDescent="0.25">
      <c r="A680" s="11">
        <v>-54</v>
      </c>
      <c r="B680" s="12">
        <v>1.2836082559999999</v>
      </c>
      <c r="F680" s="11">
        <v>272</v>
      </c>
      <c r="G680" s="12">
        <v>8.9</v>
      </c>
    </row>
    <row r="681" spans="1:7" x14ac:dyDescent="0.25">
      <c r="A681" s="11">
        <v>-53</v>
      </c>
      <c r="B681" s="12">
        <v>1.2850696079999999</v>
      </c>
      <c r="F681" s="11">
        <v>273</v>
      </c>
      <c r="G681" s="12">
        <v>8.9</v>
      </c>
    </row>
    <row r="682" spans="1:7" x14ac:dyDescent="0.25">
      <c r="A682" s="11">
        <v>-52</v>
      </c>
      <c r="B682" s="12">
        <v>1.286132032</v>
      </c>
      <c r="F682" s="11">
        <v>274</v>
      </c>
      <c r="G682" s="12">
        <v>8.9</v>
      </c>
    </row>
    <row r="683" spans="1:7" x14ac:dyDescent="0.25">
      <c r="A683" s="11">
        <v>-51</v>
      </c>
      <c r="B683" s="12">
        <v>1.286780504</v>
      </c>
      <c r="F683" s="11">
        <v>275</v>
      </c>
      <c r="G683" s="12">
        <v>8.9</v>
      </c>
    </row>
    <row r="684" spans="1:7" x14ac:dyDescent="0.25">
      <c r="A684" s="11">
        <v>-50</v>
      </c>
      <c r="B684" s="12">
        <v>1.2869999999999999</v>
      </c>
      <c r="F684" s="11">
        <v>276</v>
      </c>
      <c r="G684" s="12">
        <v>8.9</v>
      </c>
    </row>
    <row r="685" spans="1:7" x14ac:dyDescent="0.25">
      <c r="A685" s="11">
        <v>-49</v>
      </c>
      <c r="B685" s="12">
        <v>1.2869999999999999</v>
      </c>
      <c r="F685" s="11">
        <v>277</v>
      </c>
      <c r="G685" s="12">
        <v>8.9</v>
      </c>
    </row>
    <row r="686" spans="1:7" x14ac:dyDescent="0.25">
      <c r="A686" s="11">
        <v>-48</v>
      </c>
      <c r="B686" s="12">
        <v>1.2869999999999999</v>
      </c>
      <c r="F686" s="11">
        <v>278</v>
      </c>
      <c r="G686" s="12">
        <v>8.9</v>
      </c>
    </row>
    <row r="687" spans="1:7" x14ac:dyDescent="0.25">
      <c r="A687" s="11">
        <v>-47</v>
      </c>
      <c r="B687" s="12">
        <v>1.2869999999999999</v>
      </c>
      <c r="F687" s="11">
        <v>279</v>
      </c>
      <c r="G687" s="12">
        <v>8.9</v>
      </c>
    </row>
    <row r="688" spans="1:7" x14ac:dyDescent="0.25">
      <c r="A688" s="11">
        <v>-46</v>
      </c>
      <c r="B688" s="12">
        <v>1.2869999999999999</v>
      </c>
      <c r="F688" s="11">
        <v>280</v>
      </c>
      <c r="G688" s="12">
        <v>8.9</v>
      </c>
    </row>
    <row r="689" spans="1:7" x14ac:dyDescent="0.25">
      <c r="A689" s="11">
        <v>-45</v>
      </c>
      <c r="B689" s="12">
        <v>1.2869999999999999</v>
      </c>
      <c r="F689" s="11">
        <v>281</v>
      </c>
      <c r="G689" s="12">
        <v>8.9</v>
      </c>
    </row>
    <row r="690" spans="1:7" x14ac:dyDescent="0.25">
      <c r="A690" s="11">
        <v>-44</v>
      </c>
      <c r="B690" s="12">
        <v>1.2869999999999999</v>
      </c>
      <c r="F690" s="11">
        <v>282</v>
      </c>
      <c r="G690" s="12">
        <v>8.9</v>
      </c>
    </row>
    <row r="691" spans="1:7" x14ac:dyDescent="0.25">
      <c r="A691" s="11">
        <v>-43</v>
      </c>
      <c r="B691" s="12">
        <v>1.2869999999999999</v>
      </c>
      <c r="F691" s="11">
        <v>283</v>
      </c>
      <c r="G691" s="12">
        <v>8.9</v>
      </c>
    </row>
    <row r="692" spans="1:7" x14ac:dyDescent="0.25">
      <c r="A692" s="11">
        <v>-42</v>
      </c>
      <c r="B692" s="12">
        <v>1.2869999999999999</v>
      </c>
      <c r="F692" s="11">
        <v>284</v>
      </c>
      <c r="G692" s="12">
        <v>8.9</v>
      </c>
    </row>
    <row r="693" spans="1:7" x14ac:dyDescent="0.25">
      <c r="A693" s="11">
        <v>-41</v>
      </c>
      <c r="B693" s="12">
        <v>1.2869999999999999</v>
      </c>
      <c r="F693" s="11">
        <v>285</v>
      </c>
      <c r="G693" s="12">
        <v>8.9</v>
      </c>
    </row>
    <row r="694" spans="1:7" x14ac:dyDescent="0.25">
      <c r="A694" s="11">
        <v>-40</v>
      </c>
      <c r="B694" s="12">
        <v>1.2869999999999999</v>
      </c>
      <c r="F694" s="11">
        <v>286</v>
      </c>
      <c r="G694" s="12">
        <v>8.9</v>
      </c>
    </row>
    <row r="695" spans="1:7" x14ac:dyDescent="0.25">
      <c r="A695" s="11">
        <v>-39</v>
      </c>
      <c r="B695" s="12">
        <v>1.2869999999999999</v>
      </c>
      <c r="F695" s="11">
        <v>287</v>
      </c>
      <c r="G695" s="12">
        <v>8.9</v>
      </c>
    </row>
    <row r="696" spans="1:7" x14ac:dyDescent="0.25">
      <c r="A696" s="11">
        <v>-38</v>
      </c>
      <c r="B696" s="12">
        <v>1.2869999999999999</v>
      </c>
      <c r="F696" s="11">
        <v>288</v>
      </c>
      <c r="G696" s="12">
        <v>8.9</v>
      </c>
    </row>
    <row r="697" spans="1:7" x14ac:dyDescent="0.25">
      <c r="A697" s="11">
        <v>-37</v>
      </c>
      <c r="B697" s="12">
        <v>1.2869999999999999</v>
      </c>
      <c r="F697" s="11">
        <v>289</v>
      </c>
      <c r="G697" s="12">
        <v>8.9</v>
      </c>
    </row>
    <row r="698" spans="1:7" x14ac:dyDescent="0.25">
      <c r="A698" s="11">
        <v>-36</v>
      </c>
      <c r="B698" s="12">
        <v>1.2869999999999999</v>
      </c>
      <c r="F698" s="11">
        <v>290</v>
      </c>
      <c r="G698" s="12">
        <v>8.9</v>
      </c>
    </row>
    <row r="699" spans="1:7" x14ac:dyDescent="0.25">
      <c r="A699" s="11">
        <v>-35</v>
      </c>
      <c r="B699" s="12">
        <v>1.2869999999999999</v>
      </c>
      <c r="F699" s="11">
        <v>291</v>
      </c>
      <c r="G699" s="12">
        <v>8.9</v>
      </c>
    </row>
    <row r="700" spans="1:7" x14ac:dyDescent="0.25">
      <c r="A700" s="11">
        <v>-34</v>
      </c>
      <c r="B700" s="12">
        <v>1.2869999999999999</v>
      </c>
      <c r="F700" s="11">
        <v>292</v>
      </c>
      <c r="G700" s="12">
        <v>8.9</v>
      </c>
    </row>
    <row r="701" spans="1:7" x14ac:dyDescent="0.25">
      <c r="A701" s="11">
        <v>-33</v>
      </c>
      <c r="B701" s="12">
        <v>1.2869999999999999</v>
      </c>
      <c r="F701" s="11">
        <v>293</v>
      </c>
      <c r="G701" s="12">
        <v>8.9</v>
      </c>
    </row>
    <row r="702" spans="1:7" x14ac:dyDescent="0.25">
      <c r="A702" s="11">
        <v>-32</v>
      </c>
      <c r="B702" s="12">
        <v>1.2869999999999999</v>
      </c>
      <c r="F702" s="11">
        <v>294</v>
      </c>
      <c r="G702" s="12">
        <v>8.9</v>
      </c>
    </row>
    <row r="703" spans="1:7" x14ac:dyDescent="0.25">
      <c r="A703" s="11">
        <v>-31</v>
      </c>
      <c r="B703" s="12">
        <v>1.2869999999999999</v>
      </c>
      <c r="F703" s="11">
        <v>295</v>
      </c>
      <c r="G703" s="12">
        <v>8.9</v>
      </c>
    </row>
    <row r="704" spans="1:7" x14ac:dyDescent="0.25">
      <c r="A704" s="11">
        <v>-30</v>
      </c>
      <c r="B704" s="12">
        <v>1.2869999999999999</v>
      </c>
      <c r="F704" s="11">
        <v>296</v>
      </c>
      <c r="G704" s="12">
        <v>8.9</v>
      </c>
    </row>
    <row r="705" spans="1:7" x14ac:dyDescent="0.25">
      <c r="A705" s="11">
        <v>-29</v>
      </c>
      <c r="B705" s="12">
        <v>1.2869999999999999</v>
      </c>
      <c r="F705" s="11">
        <v>297</v>
      </c>
      <c r="G705" s="12">
        <v>8.9</v>
      </c>
    </row>
    <row r="706" spans="1:7" x14ac:dyDescent="0.25">
      <c r="A706" s="11">
        <v>-28</v>
      </c>
      <c r="B706" s="12">
        <v>1.2869999999999999</v>
      </c>
      <c r="F706" s="11">
        <v>298</v>
      </c>
      <c r="G706" s="12">
        <v>8.9</v>
      </c>
    </row>
    <row r="707" spans="1:7" x14ac:dyDescent="0.25">
      <c r="A707" s="11">
        <v>-27</v>
      </c>
      <c r="B707" s="12">
        <v>1.2869999999999999</v>
      </c>
      <c r="F707" s="11">
        <v>299</v>
      </c>
      <c r="G707" s="12">
        <v>8.9</v>
      </c>
    </row>
    <row r="708" spans="1:7" x14ac:dyDescent="0.25">
      <c r="A708" s="11">
        <v>-26</v>
      </c>
      <c r="B708" s="12">
        <v>1.2869999999999999</v>
      </c>
      <c r="F708" s="11">
        <v>300</v>
      </c>
      <c r="G708" s="12">
        <v>8.9</v>
      </c>
    </row>
    <row r="709" spans="1:7" x14ac:dyDescent="0.25">
      <c r="A709" s="11">
        <v>-25</v>
      </c>
      <c r="B709" s="12">
        <v>1.2869999999999999</v>
      </c>
      <c r="F709" s="11">
        <v>301</v>
      </c>
      <c r="G709" s="12">
        <v>8.9</v>
      </c>
    </row>
    <row r="710" spans="1:7" x14ac:dyDescent="0.25">
      <c r="A710" s="11">
        <v>-24</v>
      </c>
      <c r="B710" s="12">
        <v>1.2869999999999999</v>
      </c>
      <c r="F710" s="11">
        <v>302</v>
      </c>
      <c r="G710" s="12">
        <v>8.9</v>
      </c>
    </row>
    <row r="711" spans="1:7" x14ac:dyDescent="0.25">
      <c r="A711" s="11">
        <v>-23</v>
      </c>
      <c r="B711" s="12">
        <v>1.2869999999999999</v>
      </c>
      <c r="F711" s="11">
        <v>303</v>
      </c>
      <c r="G711" s="12">
        <v>8.9</v>
      </c>
    </row>
    <row r="712" spans="1:7" x14ac:dyDescent="0.25">
      <c r="A712" s="11">
        <v>-22</v>
      </c>
      <c r="B712" s="12">
        <v>1.2869999999999999</v>
      </c>
      <c r="F712" s="11">
        <v>304</v>
      </c>
      <c r="G712" s="12">
        <v>8.9</v>
      </c>
    </row>
    <row r="713" spans="1:7" x14ac:dyDescent="0.25">
      <c r="A713" s="11">
        <v>-21</v>
      </c>
      <c r="B713" s="12">
        <v>1.2869999999999999</v>
      </c>
      <c r="F713" s="11">
        <v>305</v>
      </c>
      <c r="G713" s="12">
        <v>8.9</v>
      </c>
    </row>
    <row r="714" spans="1:7" x14ac:dyDescent="0.25">
      <c r="A714" s="11">
        <v>-20</v>
      </c>
      <c r="B714" s="12">
        <v>1.2869999999999999</v>
      </c>
      <c r="F714" s="11">
        <v>306</v>
      </c>
      <c r="G714" s="12">
        <v>8.9</v>
      </c>
    </row>
    <row r="715" spans="1:7" x14ac:dyDescent="0.25">
      <c r="A715" s="11">
        <v>-19</v>
      </c>
      <c r="B715" s="12">
        <v>1.2869999999999999</v>
      </c>
      <c r="F715" s="11">
        <v>307</v>
      </c>
      <c r="G715" s="12">
        <v>8.9</v>
      </c>
    </row>
    <row r="716" spans="1:7" x14ac:dyDescent="0.25">
      <c r="A716" s="11">
        <v>-18</v>
      </c>
      <c r="B716" s="12">
        <v>1.2869999999999999</v>
      </c>
      <c r="F716" s="11">
        <v>308</v>
      </c>
      <c r="G716" s="12">
        <v>8.9</v>
      </c>
    </row>
    <row r="717" spans="1:7" x14ac:dyDescent="0.25">
      <c r="A717" s="11">
        <v>-17</v>
      </c>
      <c r="B717" s="12">
        <v>1.2869999999999999</v>
      </c>
      <c r="F717" s="11">
        <v>309</v>
      </c>
      <c r="G717" s="12">
        <v>8.9</v>
      </c>
    </row>
    <row r="718" spans="1:7" x14ac:dyDescent="0.25">
      <c r="A718" s="11">
        <v>-16</v>
      </c>
      <c r="B718" s="12">
        <v>1.2869999999999999</v>
      </c>
      <c r="F718" s="11">
        <v>310</v>
      </c>
      <c r="G718" s="12">
        <v>8.9</v>
      </c>
    </row>
    <row r="719" spans="1:7" x14ac:dyDescent="0.25">
      <c r="A719" s="11">
        <v>-15</v>
      </c>
      <c r="B719" s="12">
        <v>1.2869999999999999</v>
      </c>
      <c r="F719" s="11">
        <v>311</v>
      </c>
      <c r="G719" s="12">
        <v>8.9</v>
      </c>
    </row>
    <row r="720" spans="1:7" x14ac:dyDescent="0.25">
      <c r="A720" s="11">
        <v>-14</v>
      </c>
      <c r="B720" s="12">
        <v>1.2869999999999999</v>
      </c>
      <c r="F720" s="11">
        <v>312</v>
      </c>
      <c r="G720" s="12">
        <v>8.9</v>
      </c>
    </row>
    <row r="721" spans="1:7" x14ac:dyDescent="0.25">
      <c r="A721" s="11">
        <v>-13</v>
      </c>
      <c r="B721" s="12">
        <v>1.2869999999999999</v>
      </c>
      <c r="F721" s="11">
        <v>313</v>
      </c>
      <c r="G721" s="12">
        <v>8.9</v>
      </c>
    </row>
    <row r="722" spans="1:7" x14ac:dyDescent="0.25">
      <c r="A722" s="11">
        <v>-12</v>
      </c>
      <c r="B722" s="12">
        <v>1.2869999999999999</v>
      </c>
      <c r="F722" s="11">
        <v>314</v>
      </c>
      <c r="G722" s="12">
        <v>8.9</v>
      </c>
    </row>
    <row r="723" spans="1:7" x14ac:dyDescent="0.25">
      <c r="A723" s="11">
        <v>-11</v>
      </c>
      <c r="B723" s="12">
        <v>1.2869999999999999</v>
      </c>
      <c r="F723" s="11">
        <v>315</v>
      </c>
      <c r="G723" s="12">
        <v>8.9</v>
      </c>
    </row>
    <row r="724" spans="1:7" x14ac:dyDescent="0.25">
      <c r="A724" s="11">
        <v>-10</v>
      </c>
      <c r="B724" s="12">
        <v>1.2869999999999999</v>
      </c>
      <c r="F724" s="11">
        <v>316</v>
      </c>
      <c r="G724" s="12">
        <v>8.9</v>
      </c>
    </row>
    <row r="725" spans="1:7" x14ac:dyDescent="0.25">
      <c r="A725" s="11">
        <v>-9</v>
      </c>
      <c r="B725" s="12">
        <v>1.2869999999999999</v>
      </c>
      <c r="F725" s="11">
        <v>317</v>
      </c>
      <c r="G725" s="12">
        <v>8.9</v>
      </c>
    </row>
    <row r="726" spans="1:7" x14ac:dyDescent="0.25">
      <c r="A726" s="11">
        <v>-8</v>
      </c>
      <c r="B726" s="12">
        <v>1.2869999999999999</v>
      </c>
      <c r="F726" s="11">
        <v>318</v>
      </c>
      <c r="G726" s="12">
        <v>8.9</v>
      </c>
    </row>
    <row r="727" spans="1:7" x14ac:dyDescent="0.25">
      <c r="A727" s="11">
        <v>-7</v>
      </c>
      <c r="B727" s="12">
        <v>1.2869999999999999</v>
      </c>
      <c r="F727" s="11">
        <v>319</v>
      </c>
      <c r="G727" s="12">
        <v>8.9</v>
      </c>
    </row>
    <row r="728" spans="1:7" x14ac:dyDescent="0.25">
      <c r="A728" s="11">
        <v>-6</v>
      </c>
      <c r="B728" s="12">
        <v>1.2869999999999999</v>
      </c>
      <c r="F728" s="11">
        <v>320</v>
      </c>
      <c r="G728" s="12">
        <v>8.9</v>
      </c>
    </row>
    <row r="729" spans="1:7" x14ac:dyDescent="0.25">
      <c r="A729" s="11">
        <v>-5</v>
      </c>
      <c r="B729" s="12">
        <v>1.2869999999999999</v>
      </c>
      <c r="F729" s="11" t="s">
        <v>106</v>
      </c>
      <c r="G729" s="12">
        <v>2.9928787533829104</v>
      </c>
    </row>
    <row r="730" spans="1:7" x14ac:dyDescent="0.25">
      <c r="A730" s="11">
        <v>-4</v>
      </c>
      <c r="B730" s="12">
        <v>1.2869999999999999</v>
      </c>
    </row>
    <row r="731" spans="1:7" x14ac:dyDescent="0.25">
      <c r="A731" s="11">
        <v>-3</v>
      </c>
      <c r="B731" s="12">
        <v>1.2869999999999999</v>
      </c>
    </row>
    <row r="732" spans="1:7" x14ac:dyDescent="0.25">
      <c r="A732" s="11">
        <v>-2</v>
      </c>
      <c r="B732" s="12">
        <v>1.2869999999999999</v>
      </c>
    </row>
    <row r="733" spans="1:7" x14ac:dyDescent="0.25">
      <c r="A733" s="11">
        <v>-1</v>
      </c>
      <c r="B733" s="12">
        <v>1.2869999999999999</v>
      </c>
    </row>
    <row r="734" spans="1:7" x14ac:dyDescent="0.25">
      <c r="A734" s="11">
        <v>0</v>
      </c>
      <c r="B734" s="12">
        <v>1.2869999999999999</v>
      </c>
    </row>
    <row r="735" spans="1:7" x14ac:dyDescent="0.25">
      <c r="A735" s="11">
        <v>1</v>
      </c>
      <c r="B735" s="12">
        <v>1.2869999999999999</v>
      </c>
    </row>
    <row r="736" spans="1:7" x14ac:dyDescent="0.25">
      <c r="A736" s="11">
        <v>2</v>
      </c>
      <c r="B736" s="12">
        <v>1.2869999999999999</v>
      </c>
    </row>
    <row r="737" spans="1:2" x14ac:dyDescent="0.25">
      <c r="A737" s="11">
        <v>3</v>
      </c>
      <c r="B737" s="12">
        <v>1.2869999999999999</v>
      </c>
    </row>
    <row r="738" spans="1:2" x14ac:dyDescent="0.25">
      <c r="A738" s="11">
        <v>4</v>
      </c>
      <c r="B738" s="12">
        <v>1.2869999999999999</v>
      </c>
    </row>
    <row r="739" spans="1:2" x14ac:dyDescent="0.25">
      <c r="A739" s="11">
        <v>5</v>
      </c>
      <c r="B739" s="12">
        <v>1.2869999999999999</v>
      </c>
    </row>
    <row r="740" spans="1:2" x14ac:dyDescent="0.25">
      <c r="A740" s="11">
        <v>6</v>
      </c>
      <c r="B740" s="12">
        <v>1.2869999999999999</v>
      </c>
    </row>
    <row r="741" spans="1:2" x14ac:dyDescent="0.25">
      <c r="A741" s="11">
        <v>7</v>
      </c>
      <c r="B741" s="12">
        <v>1.2869999999999999</v>
      </c>
    </row>
    <row r="742" spans="1:2" x14ac:dyDescent="0.25">
      <c r="A742" s="11">
        <v>8</v>
      </c>
      <c r="B742" s="12">
        <v>1.2869999999999999</v>
      </c>
    </row>
    <row r="743" spans="1:2" x14ac:dyDescent="0.25">
      <c r="A743" s="11">
        <v>9</v>
      </c>
      <c r="B743" s="12">
        <v>1.2869999999999999</v>
      </c>
    </row>
    <row r="744" spans="1:2" x14ac:dyDescent="0.25">
      <c r="A744" s="11">
        <v>10</v>
      </c>
      <c r="B744" s="12">
        <v>1.2869999999999999</v>
      </c>
    </row>
    <row r="745" spans="1:2" x14ac:dyDescent="0.25">
      <c r="A745" s="11">
        <v>11</v>
      </c>
      <c r="B745" s="12">
        <v>1.2869999999999999</v>
      </c>
    </row>
    <row r="746" spans="1:2" x14ac:dyDescent="0.25">
      <c r="A746" s="11">
        <v>12</v>
      </c>
      <c r="B746" s="12">
        <v>1.2869999999999999</v>
      </c>
    </row>
    <row r="747" spans="1:2" x14ac:dyDescent="0.25">
      <c r="A747" s="11">
        <v>13</v>
      </c>
      <c r="B747" s="12">
        <v>1.2869999999999999</v>
      </c>
    </row>
    <row r="748" spans="1:2" x14ac:dyDescent="0.25">
      <c r="A748" s="11">
        <v>14</v>
      </c>
      <c r="B748" s="12">
        <v>1.2869999999999999</v>
      </c>
    </row>
    <row r="749" spans="1:2" x14ac:dyDescent="0.25">
      <c r="A749" s="11">
        <v>15</v>
      </c>
      <c r="B749" s="12">
        <v>1.2869999999999999</v>
      </c>
    </row>
    <row r="750" spans="1:2" x14ac:dyDescent="0.25">
      <c r="A750" s="11">
        <v>16</v>
      </c>
      <c r="B750" s="12">
        <v>1.2869999999999999</v>
      </c>
    </row>
    <row r="751" spans="1:2" x14ac:dyDescent="0.25">
      <c r="A751" s="11">
        <v>17</v>
      </c>
      <c r="B751" s="12">
        <v>1.2869999999999999</v>
      </c>
    </row>
    <row r="752" spans="1:2" x14ac:dyDescent="0.25">
      <c r="A752" s="11">
        <v>18</v>
      </c>
      <c r="B752" s="12">
        <v>1.2869999999999999</v>
      </c>
    </row>
    <row r="753" spans="1:2" x14ac:dyDescent="0.25">
      <c r="A753" s="11">
        <v>19</v>
      </c>
      <c r="B753" s="12">
        <v>1.2869999999999999</v>
      </c>
    </row>
    <row r="754" spans="1:2" x14ac:dyDescent="0.25">
      <c r="A754" s="11">
        <v>20</v>
      </c>
      <c r="B754" s="12">
        <v>1.2869999999999999</v>
      </c>
    </row>
    <row r="755" spans="1:2" x14ac:dyDescent="0.25">
      <c r="A755" s="11">
        <v>21</v>
      </c>
      <c r="B755" s="12">
        <v>1.2869999999999999</v>
      </c>
    </row>
    <row r="756" spans="1:2" x14ac:dyDescent="0.25">
      <c r="A756" s="11">
        <v>22</v>
      </c>
      <c r="B756" s="12">
        <v>1.2869999999999999</v>
      </c>
    </row>
    <row r="757" spans="1:2" x14ac:dyDescent="0.25">
      <c r="A757" s="11">
        <v>23</v>
      </c>
      <c r="B757" s="12">
        <v>1.2869999999999999</v>
      </c>
    </row>
    <row r="758" spans="1:2" x14ac:dyDescent="0.25">
      <c r="A758" s="11">
        <v>24</v>
      </c>
      <c r="B758" s="12">
        <v>1.2869999999999999</v>
      </c>
    </row>
    <row r="759" spans="1:2" x14ac:dyDescent="0.25">
      <c r="A759" s="11">
        <v>25</v>
      </c>
      <c r="B759" s="12">
        <v>1.2869999999999999</v>
      </c>
    </row>
    <row r="760" spans="1:2" x14ac:dyDescent="0.25">
      <c r="A760" s="11">
        <v>26</v>
      </c>
      <c r="B760" s="12">
        <v>1.2869999999999999</v>
      </c>
    </row>
    <row r="761" spans="1:2" x14ac:dyDescent="0.25">
      <c r="A761" s="11">
        <v>27</v>
      </c>
      <c r="B761" s="12">
        <v>1.2869999999999999</v>
      </c>
    </row>
    <row r="762" spans="1:2" x14ac:dyDescent="0.25">
      <c r="A762" s="11">
        <v>28</v>
      </c>
      <c r="B762" s="12">
        <v>1.2869999999999999</v>
      </c>
    </row>
    <row r="763" spans="1:2" x14ac:dyDescent="0.25">
      <c r="A763" s="11">
        <v>29</v>
      </c>
      <c r="B763" s="12">
        <v>1.2869999999999999</v>
      </c>
    </row>
    <row r="764" spans="1:2" x14ac:dyDescent="0.25">
      <c r="A764" s="11">
        <v>30</v>
      </c>
      <c r="B764" s="12">
        <v>1.2869999999999999</v>
      </c>
    </row>
    <row r="765" spans="1:2" x14ac:dyDescent="0.25">
      <c r="A765" s="11">
        <v>31</v>
      </c>
      <c r="B765" s="12">
        <v>1.2869999999999999</v>
      </c>
    </row>
    <row r="766" spans="1:2" x14ac:dyDescent="0.25">
      <c r="A766" s="11">
        <v>32</v>
      </c>
      <c r="B766" s="12">
        <v>1.2869999999999999</v>
      </c>
    </row>
    <row r="767" spans="1:2" x14ac:dyDescent="0.25">
      <c r="A767" s="11">
        <v>33</v>
      </c>
      <c r="B767" s="12">
        <v>1.2869999999999999</v>
      </c>
    </row>
    <row r="768" spans="1:2" x14ac:dyDescent="0.25">
      <c r="A768" s="11">
        <v>34</v>
      </c>
      <c r="B768" s="12">
        <v>1.2869999999999999</v>
      </c>
    </row>
    <row r="769" spans="1:2" x14ac:dyDescent="0.25">
      <c r="A769" s="11">
        <v>35</v>
      </c>
      <c r="B769" s="12">
        <v>1.2869999999999999</v>
      </c>
    </row>
    <row r="770" spans="1:2" x14ac:dyDescent="0.25">
      <c r="A770" s="11">
        <v>36</v>
      </c>
      <c r="B770" s="12">
        <v>1.2869999999999999</v>
      </c>
    </row>
    <row r="771" spans="1:2" x14ac:dyDescent="0.25">
      <c r="A771" s="11">
        <v>37</v>
      </c>
      <c r="B771" s="12">
        <v>1.2869999999999999</v>
      </c>
    </row>
    <row r="772" spans="1:2" x14ac:dyDescent="0.25">
      <c r="A772" s="11">
        <v>38</v>
      </c>
      <c r="B772" s="12">
        <v>1.2869999999999999</v>
      </c>
    </row>
    <row r="773" spans="1:2" x14ac:dyDescent="0.25">
      <c r="A773" s="11">
        <v>39</v>
      </c>
      <c r="B773" s="12">
        <v>1.2869999999999999</v>
      </c>
    </row>
    <row r="774" spans="1:2" x14ac:dyDescent="0.25">
      <c r="A774" s="11">
        <v>40</v>
      </c>
      <c r="B774" s="12">
        <v>1.2869999999999999</v>
      </c>
    </row>
    <row r="775" spans="1:2" x14ac:dyDescent="0.25">
      <c r="A775" s="11">
        <v>41</v>
      </c>
      <c r="B775" s="12">
        <v>1.2869999999999999</v>
      </c>
    </row>
    <row r="776" spans="1:2" x14ac:dyDescent="0.25">
      <c r="A776" s="11">
        <v>42</v>
      </c>
      <c r="B776" s="12">
        <v>1.2869999999999999</v>
      </c>
    </row>
    <row r="777" spans="1:2" x14ac:dyDescent="0.25">
      <c r="A777" s="11">
        <v>43</v>
      </c>
      <c r="B777" s="12">
        <v>1.2869999999999999</v>
      </c>
    </row>
    <row r="778" spans="1:2" x14ac:dyDescent="0.25">
      <c r="A778" s="11">
        <v>44</v>
      </c>
      <c r="B778" s="12">
        <v>1.2869999999999999</v>
      </c>
    </row>
    <row r="779" spans="1:2" x14ac:dyDescent="0.25">
      <c r="A779" s="11">
        <v>45</v>
      </c>
      <c r="B779" s="12">
        <v>1.2869999999999999</v>
      </c>
    </row>
    <row r="780" spans="1:2" x14ac:dyDescent="0.25">
      <c r="A780" s="11">
        <v>46</v>
      </c>
      <c r="B780" s="12">
        <v>1.2869999999999999</v>
      </c>
    </row>
    <row r="781" spans="1:2" x14ac:dyDescent="0.25">
      <c r="A781" s="11">
        <v>47</v>
      </c>
      <c r="B781" s="12">
        <v>1.2869999999999999</v>
      </c>
    </row>
    <row r="782" spans="1:2" x14ac:dyDescent="0.25">
      <c r="A782" s="11">
        <v>48</v>
      </c>
      <c r="B782" s="12">
        <v>1.2869999999999999</v>
      </c>
    </row>
    <row r="783" spans="1:2" x14ac:dyDescent="0.25">
      <c r="A783" s="11">
        <v>49</v>
      </c>
      <c r="B783" s="12">
        <v>1.2869999999999999</v>
      </c>
    </row>
    <row r="784" spans="1:2" x14ac:dyDescent="0.25">
      <c r="A784" s="11">
        <v>50</v>
      </c>
      <c r="B784" s="12">
        <v>1.2869999999999999</v>
      </c>
    </row>
    <row r="785" spans="1:2" x14ac:dyDescent="0.25">
      <c r="A785" s="11">
        <v>51</v>
      </c>
      <c r="B785" s="12">
        <v>1.2869999999999999</v>
      </c>
    </row>
    <row r="786" spans="1:2" x14ac:dyDescent="0.25">
      <c r="A786" s="11">
        <v>52</v>
      </c>
      <c r="B786" s="12">
        <v>1.2869999999999999</v>
      </c>
    </row>
    <row r="787" spans="1:2" x14ac:dyDescent="0.25">
      <c r="A787" s="11">
        <v>53</v>
      </c>
      <c r="B787" s="12">
        <v>1.2869999999999999</v>
      </c>
    </row>
    <row r="788" spans="1:2" x14ac:dyDescent="0.25">
      <c r="A788" s="11">
        <v>54</v>
      </c>
      <c r="B788" s="12">
        <v>1.2869999999999999</v>
      </c>
    </row>
    <row r="789" spans="1:2" x14ac:dyDescent="0.25">
      <c r="A789" s="11">
        <v>55</v>
      </c>
      <c r="B789" s="12">
        <v>1.2869999999999999</v>
      </c>
    </row>
    <row r="790" spans="1:2" x14ac:dyDescent="0.25">
      <c r="A790" s="11">
        <v>56</v>
      </c>
      <c r="B790" s="12">
        <v>1.2869999999999999</v>
      </c>
    </row>
    <row r="791" spans="1:2" x14ac:dyDescent="0.25">
      <c r="A791" s="11">
        <v>57</v>
      </c>
      <c r="B791" s="12">
        <v>1.2869999999999999</v>
      </c>
    </row>
    <row r="792" spans="1:2" x14ac:dyDescent="0.25">
      <c r="A792" s="11">
        <v>58</v>
      </c>
      <c r="B792" s="12">
        <v>1.2869999999999999</v>
      </c>
    </row>
    <row r="793" spans="1:2" x14ac:dyDescent="0.25">
      <c r="A793" s="11">
        <v>59</v>
      </c>
      <c r="B793" s="12">
        <v>1.2869999999999999</v>
      </c>
    </row>
    <row r="794" spans="1:2" x14ac:dyDescent="0.25">
      <c r="A794" s="11">
        <v>60</v>
      </c>
      <c r="B794" s="12">
        <v>1.2869999999999999</v>
      </c>
    </row>
    <row r="795" spans="1:2" x14ac:dyDescent="0.25">
      <c r="A795" s="11">
        <v>61</v>
      </c>
      <c r="B795" s="12">
        <v>1.2869999999999999</v>
      </c>
    </row>
    <row r="796" spans="1:2" x14ac:dyDescent="0.25">
      <c r="A796" s="11">
        <v>62</v>
      </c>
      <c r="B796" s="12">
        <v>1.2869999999999999</v>
      </c>
    </row>
    <row r="797" spans="1:2" x14ac:dyDescent="0.25">
      <c r="A797" s="11">
        <v>63</v>
      </c>
      <c r="B797" s="12">
        <v>1.2869999999999999</v>
      </c>
    </row>
    <row r="798" spans="1:2" x14ac:dyDescent="0.25">
      <c r="A798" s="11">
        <v>64</v>
      </c>
      <c r="B798" s="12">
        <v>1.2869999999999999</v>
      </c>
    </row>
    <row r="799" spans="1:2" x14ac:dyDescent="0.25">
      <c r="A799" s="11">
        <v>65</v>
      </c>
      <c r="B799" s="12">
        <v>1.2869999999999999</v>
      </c>
    </row>
    <row r="800" spans="1:2" x14ac:dyDescent="0.25">
      <c r="A800" s="11">
        <v>66</v>
      </c>
      <c r="B800" s="12">
        <v>1.2869999999999999</v>
      </c>
    </row>
    <row r="801" spans="1:2" x14ac:dyDescent="0.25">
      <c r="A801" s="11">
        <v>67</v>
      </c>
      <c r="B801" s="12">
        <v>1.2869999999999999</v>
      </c>
    </row>
    <row r="802" spans="1:2" x14ac:dyDescent="0.25">
      <c r="A802" s="11">
        <v>68</v>
      </c>
      <c r="B802" s="12">
        <v>1.2869999999999999</v>
      </c>
    </row>
    <row r="803" spans="1:2" x14ac:dyDescent="0.25">
      <c r="A803" s="11">
        <v>69</v>
      </c>
      <c r="B803" s="12">
        <v>1.2869999999999999</v>
      </c>
    </row>
    <row r="804" spans="1:2" x14ac:dyDescent="0.25">
      <c r="A804" s="11">
        <v>70</v>
      </c>
      <c r="B804" s="12">
        <v>1.2869999999999999</v>
      </c>
    </row>
    <row r="805" spans="1:2" x14ac:dyDescent="0.25">
      <c r="A805" s="11">
        <v>71</v>
      </c>
      <c r="B805" s="12">
        <v>1.2869999999999999</v>
      </c>
    </row>
    <row r="806" spans="1:2" x14ac:dyDescent="0.25">
      <c r="A806" s="11">
        <v>72</v>
      </c>
      <c r="B806" s="12">
        <v>1.2869999999999999</v>
      </c>
    </row>
    <row r="807" spans="1:2" x14ac:dyDescent="0.25">
      <c r="A807" s="11">
        <v>73</v>
      </c>
      <c r="B807" s="12">
        <v>1.2869999999999999</v>
      </c>
    </row>
    <row r="808" spans="1:2" x14ac:dyDescent="0.25">
      <c r="A808" s="11">
        <v>74</v>
      </c>
      <c r="B808" s="12">
        <v>1.2869999999999999</v>
      </c>
    </row>
    <row r="809" spans="1:2" x14ac:dyDescent="0.25">
      <c r="A809" s="11">
        <v>75</v>
      </c>
      <c r="B809" s="12">
        <v>1.2869999999999999</v>
      </c>
    </row>
    <row r="810" spans="1:2" x14ac:dyDescent="0.25">
      <c r="A810" s="11">
        <v>76</v>
      </c>
      <c r="B810" s="12">
        <v>1.2869999999999999</v>
      </c>
    </row>
    <row r="811" spans="1:2" x14ac:dyDescent="0.25">
      <c r="A811" s="11">
        <v>77</v>
      </c>
      <c r="B811" s="12">
        <v>1.2869999999999999</v>
      </c>
    </row>
    <row r="812" spans="1:2" x14ac:dyDescent="0.25">
      <c r="A812" s="11">
        <v>78</v>
      </c>
      <c r="B812" s="12">
        <v>1.2869999999999999</v>
      </c>
    </row>
    <row r="813" spans="1:2" x14ac:dyDescent="0.25">
      <c r="A813" s="11">
        <v>79</v>
      </c>
      <c r="B813" s="12">
        <v>1.2869999999999999</v>
      </c>
    </row>
    <row r="814" spans="1:2" x14ac:dyDescent="0.25">
      <c r="A814" s="11">
        <v>80</v>
      </c>
      <c r="B814" s="12">
        <v>1.2869999999999999</v>
      </c>
    </row>
    <row r="815" spans="1:2" x14ac:dyDescent="0.25">
      <c r="A815" s="11">
        <v>81</v>
      </c>
      <c r="B815" s="12">
        <v>1.2869999999999999</v>
      </c>
    </row>
    <row r="816" spans="1:2" x14ac:dyDescent="0.25">
      <c r="A816" s="11">
        <v>82</v>
      </c>
      <c r="B816" s="12">
        <v>1.2869999999999999</v>
      </c>
    </row>
    <row r="817" spans="1:2" x14ac:dyDescent="0.25">
      <c r="A817" s="11">
        <v>83</v>
      </c>
      <c r="B817" s="12">
        <v>1.2869999999999999</v>
      </c>
    </row>
    <row r="818" spans="1:2" x14ac:dyDescent="0.25">
      <c r="A818" s="11">
        <v>84</v>
      </c>
      <c r="B818" s="12">
        <v>1.2869999999999999</v>
      </c>
    </row>
    <row r="819" spans="1:2" x14ac:dyDescent="0.25">
      <c r="A819" s="11">
        <v>85</v>
      </c>
      <c r="B819" s="12">
        <v>1.2869999999999999</v>
      </c>
    </row>
    <row r="820" spans="1:2" x14ac:dyDescent="0.25">
      <c r="A820" s="11">
        <v>86</v>
      </c>
      <c r="B820" s="12">
        <v>1.2869999999999999</v>
      </c>
    </row>
    <row r="821" spans="1:2" x14ac:dyDescent="0.25">
      <c r="A821" s="11">
        <v>87</v>
      </c>
      <c r="B821" s="12">
        <v>1.2869999999999999</v>
      </c>
    </row>
    <row r="822" spans="1:2" x14ac:dyDescent="0.25">
      <c r="A822" s="11">
        <v>88</v>
      </c>
      <c r="B822" s="12">
        <v>1.2869999999999999</v>
      </c>
    </row>
    <row r="823" spans="1:2" x14ac:dyDescent="0.25">
      <c r="A823" s="11">
        <v>89</v>
      </c>
      <c r="B823" s="12">
        <v>1.2869999999999999</v>
      </c>
    </row>
    <row r="824" spans="1:2" x14ac:dyDescent="0.25">
      <c r="A824" s="11">
        <v>90</v>
      </c>
      <c r="B824" s="12">
        <v>1.2869999999999999</v>
      </c>
    </row>
    <row r="825" spans="1:2" x14ac:dyDescent="0.25">
      <c r="A825" s="11">
        <v>91</v>
      </c>
      <c r="B825" s="12">
        <v>1.2869999999999999</v>
      </c>
    </row>
    <row r="826" spans="1:2" x14ac:dyDescent="0.25">
      <c r="A826" s="11">
        <v>92</v>
      </c>
      <c r="B826" s="12">
        <v>1.2869999999999999</v>
      </c>
    </row>
    <row r="827" spans="1:2" x14ac:dyDescent="0.25">
      <c r="A827" s="11">
        <v>93</v>
      </c>
      <c r="B827" s="12">
        <v>1.2869999999999999</v>
      </c>
    </row>
    <row r="828" spans="1:2" x14ac:dyDescent="0.25">
      <c r="A828" s="11">
        <v>94</v>
      </c>
      <c r="B828" s="12">
        <v>1.2869999999999999</v>
      </c>
    </row>
    <row r="829" spans="1:2" x14ac:dyDescent="0.25">
      <c r="A829" s="11">
        <v>95</v>
      </c>
      <c r="B829" s="12">
        <v>1.2869999999999999</v>
      </c>
    </row>
    <row r="830" spans="1:2" x14ac:dyDescent="0.25">
      <c r="A830" s="11">
        <v>96</v>
      </c>
      <c r="B830" s="12">
        <v>1.2869999999999999</v>
      </c>
    </row>
    <row r="831" spans="1:2" x14ac:dyDescent="0.25">
      <c r="A831" s="11">
        <v>97</v>
      </c>
      <c r="B831" s="12">
        <v>1.2869999999999999</v>
      </c>
    </row>
    <row r="832" spans="1:2" x14ac:dyDescent="0.25">
      <c r="A832" s="11">
        <v>98</v>
      </c>
      <c r="B832" s="12">
        <v>1.2869999999999999</v>
      </c>
    </row>
    <row r="833" spans="1:2" x14ac:dyDescent="0.25">
      <c r="A833" s="11">
        <v>99</v>
      </c>
      <c r="B833" s="12">
        <v>1.2869999999999999</v>
      </c>
    </row>
    <row r="834" spans="1:2" x14ac:dyDescent="0.25">
      <c r="A834" s="11">
        <v>100</v>
      </c>
      <c r="B834" s="12">
        <v>1.2869999999999999</v>
      </c>
    </row>
    <row r="835" spans="1:2" x14ac:dyDescent="0.25">
      <c r="A835" s="11">
        <v>101</v>
      </c>
      <c r="B835" s="12">
        <v>1.2869999999999999</v>
      </c>
    </row>
    <row r="836" spans="1:2" x14ac:dyDescent="0.25">
      <c r="A836" s="11">
        <v>102</v>
      </c>
      <c r="B836" s="12">
        <v>1.2869999999999999</v>
      </c>
    </row>
    <row r="837" spans="1:2" x14ac:dyDescent="0.25">
      <c r="A837" s="11">
        <v>103</v>
      </c>
      <c r="B837" s="12">
        <v>1.2869999999999999</v>
      </c>
    </row>
    <row r="838" spans="1:2" x14ac:dyDescent="0.25">
      <c r="A838" s="11">
        <v>104</v>
      </c>
      <c r="B838" s="12">
        <v>1.2869999999999999</v>
      </c>
    </row>
    <row r="839" spans="1:2" x14ac:dyDescent="0.25">
      <c r="A839" s="11">
        <v>105</v>
      </c>
      <c r="B839" s="12">
        <v>1.2869999999999999</v>
      </c>
    </row>
    <row r="840" spans="1:2" x14ac:dyDescent="0.25">
      <c r="A840" s="11">
        <v>106</v>
      </c>
      <c r="B840" s="12">
        <v>1.2869999999999999</v>
      </c>
    </row>
    <row r="841" spans="1:2" x14ac:dyDescent="0.25">
      <c r="A841" s="11">
        <v>107</v>
      </c>
      <c r="B841" s="12">
        <v>1.2869999999999999</v>
      </c>
    </row>
    <row r="842" spans="1:2" x14ac:dyDescent="0.25">
      <c r="A842" s="11">
        <v>108</v>
      </c>
      <c r="B842" s="12">
        <v>1.2869999999999999</v>
      </c>
    </row>
    <row r="843" spans="1:2" x14ac:dyDescent="0.25">
      <c r="A843" s="11">
        <v>109</v>
      </c>
      <c r="B843" s="12">
        <v>1.2869999999999999</v>
      </c>
    </row>
    <row r="844" spans="1:2" x14ac:dyDescent="0.25">
      <c r="A844" s="11">
        <v>110</v>
      </c>
      <c r="B844" s="12">
        <v>1.2869999999999999</v>
      </c>
    </row>
    <row r="845" spans="1:2" x14ac:dyDescent="0.25">
      <c r="A845" s="11">
        <v>111</v>
      </c>
      <c r="B845" s="12">
        <v>1.2869999999999999</v>
      </c>
    </row>
    <row r="846" spans="1:2" x14ac:dyDescent="0.25">
      <c r="A846" s="11">
        <v>112</v>
      </c>
      <c r="B846" s="12">
        <v>1.2869999999999999</v>
      </c>
    </row>
    <row r="847" spans="1:2" x14ac:dyDescent="0.25">
      <c r="A847" s="11">
        <v>113</v>
      </c>
      <c r="B847" s="12">
        <v>1.2869999999999999</v>
      </c>
    </row>
    <row r="848" spans="1:2" x14ac:dyDescent="0.25">
      <c r="A848" s="11">
        <v>114</v>
      </c>
      <c r="B848" s="12">
        <v>1.2869999999999999</v>
      </c>
    </row>
    <row r="849" spans="1:2" x14ac:dyDescent="0.25">
      <c r="A849" s="11">
        <v>115</v>
      </c>
      <c r="B849" s="12">
        <v>1.2869999999999999</v>
      </c>
    </row>
    <row r="850" spans="1:2" x14ac:dyDescent="0.25">
      <c r="A850" s="11">
        <v>116</v>
      </c>
      <c r="B850" s="12">
        <v>1.2869999999999999</v>
      </c>
    </row>
    <row r="851" spans="1:2" x14ac:dyDescent="0.25">
      <c r="A851" s="11">
        <v>117</v>
      </c>
      <c r="B851" s="12">
        <v>1.2869999999999999</v>
      </c>
    </row>
    <row r="852" spans="1:2" x14ac:dyDescent="0.25">
      <c r="A852" s="11">
        <v>118</v>
      </c>
      <c r="B852" s="12">
        <v>1.2869999999999999</v>
      </c>
    </row>
    <row r="853" spans="1:2" x14ac:dyDescent="0.25">
      <c r="A853" s="11">
        <v>119</v>
      </c>
      <c r="B853" s="12">
        <v>1.2869999999999999</v>
      </c>
    </row>
    <row r="854" spans="1:2" x14ac:dyDescent="0.25">
      <c r="A854" s="11">
        <v>120</v>
      </c>
      <c r="B854" s="12">
        <v>1.2869999999999999</v>
      </c>
    </row>
    <row r="855" spans="1:2" x14ac:dyDescent="0.25">
      <c r="A855" s="11">
        <v>121</v>
      </c>
      <c r="B855" s="12">
        <v>1.2869999999999999</v>
      </c>
    </row>
    <row r="856" spans="1:2" x14ac:dyDescent="0.25">
      <c r="A856" s="11">
        <v>122</v>
      </c>
      <c r="B856" s="12">
        <v>1.2869999999999999</v>
      </c>
    </row>
    <row r="857" spans="1:2" x14ac:dyDescent="0.25">
      <c r="A857" s="11">
        <v>123</v>
      </c>
      <c r="B857" s="12">
        <v>1.2869999999999999</v>
      </c>
    </row>
    <row r="858" spans="1:2" x14ac:dyDescent="0.25">
      <c r="A858" s="11">
        <v>124</v>
      </c>
      <c r="B858" s="12">
        <v>1.2869999999999999</v>
      </c>
    </row>
    <row r="859" spans="1:2" x14ac:dyDescent="0.25">
      <c r="A859" s="11">
        <v>125</v>
      </c>
      <c r="B859" s="12">
        <v>1.2869999999999999</v>
      </c>
    </row>
    <row r="860" spans="1:2" x14ac:dyDescent="0.25">
      <c r="A860" s="11">
        <v>126</v>
      </c>
      <c r="B860" s="12">
        <v>1.2869999999999999</v>
      </c>
    </row>
    <row r="861" spans="1:2" x14ac:dyDescent="0.25">
      <c r="A861" s="11">
        <v>127</v>
      </c>
      <c r="B861" s="12">
        <v>1.2869999999999999</v>
      </c>
    </row>
    <row r="862" spans="1:2" x14ac:dyDescent="0.25">
      <c r="A862" s="11">
        <v>128</v>
      </c>
      <c r="B862" s="12">
        <v>1.2869999999999999</v>
      </c>
    </row>
    <row r="863" spans="1:2" x14ac:dyDescent="0.25">
      <c r="A863" s="11">
        <v>129</v>
      </c>
      <c r="B863" s="12">
        <v>1.2869999999999999</v>
      </c>
    </row>
    <row r="864" spans="1:2" x14ac:dyDescent="0.25">
      <c r="A864" s="11">
        <v>130</v>
      </c>
      <c r="B864" s="12">
        <v>1.2869999999999999</v>
      </c>
    </row>
    <row r="865" spans="1:2" x14ac:dyDescent="0.25">
      <c r="A865" s="11">
        <v>131</v>
      </c>
      <c r="B865" s="12">
        <v>1.2869999999999999</v>
      </c>
    </row>
    <row r="866" spans="1:2" x14ac:dyDescent="0.25">
      <c r="A866" s="11">
        <v>132</v>
      </c>
      <c r="B866" s="12">
        <v>1.2869999999999999</v>
      </c>
    </row>
    <row r="867" spans="1:2" x14ac:dyDescent="0.25">
      <c r="A867" s="11">
        <v>133</v>
      </c>
      <c r="B867" s="12">
        <v>1.2869999999999999</v>
      </c>
    </row>
    <row r="868" spans="1:2" x14ac:dyDescent="0.25">
      <c r="A868" s="11">
        <v>134</v>
      </c>
      <c r="B868" s="12">
        <v>1.2869999999999999</v>
      </c>
    </row>
    <row r="869" spans="1:2" x14ac:dyDescent="0.25">
      <c r="A869" s="11">
        <v>135</v>
      </c>
      <c r="B869" s="12">
        <v>1.2869999999999999</v>
      </c>
    </row>
    <row r="870" spans="1:2" x14ac:dyDescent="0.25">
      <c r="A870" s="11">
        <v>136</v>
      </c>
      <c r="B870" s="12">
        <v>1.2869999999999999</v>
      </c>
    </row>
    <row r="871" spans="1:2" x14ac:dyDescent="0.25">
      <c r="A871" s="11">
        <v>137</v>
      </c>
      <c r="B871" s="12">
        <v>1.2869999999999999</v>
      </c>
    </row>
    <row r="872" spans="1:2" x14ac:dyDescent="0.25">
      <c r="A872" s="11">
        <v>138</v>
      </c>
      <c r="B872" s="12">
        <v>1.2869999999999999</v>
      </c>
    </row>
    <row r="873" spans="1:2" x14ac:dyDescent="0.25">
      <c r="A873" s="11">
        <v>139</v>
      </c>
      <c r="B873" s="12">
        <v>1.2869999999999999</v>
      </c>
    </row>
    <row r="874" spans="1:2" x14ac:dyDescent="0.25">
      <c r="A874" s="11">
        <v>140</v>
      </c>
      <c r="B874" s="12">
        <v>1.2869999999999999</v>
      </c>
    </row>
    <row r="875" spans="1:2" x14ac:dyDescent="0.25">
      <c r="A875" s="11">
        <v>141</v>
      </c>
      <c r="B875" s="12">
        <v>1.2869999999999999</v>
      </c>
    </row>
    <row r="876" spans="1:2" x14ac:dyDescent="0.25">
      <c r="A876" s="11">
        <v>142</v>
      </c>
      <c r="B876" s="12">
        <v>1.2869999999999999</v>
      </c>
    </row>
    <row r="877" spans="1:2" x14ac:dyDescent="0.25">
      <c r="A877" s="11">
        <v>143</v>
      </c>
      <c r="B877" s="12">
        <v>1.2869999999999999</v>
      </c>
    </row>
    <row r="878" spans="1:2" x14ac:dyDescent="0.25">
      <c r="A878" s="11">
        <v>144</v>
      </c>
      <c r="B878" s="12">
        <v>1.2869999999999999</v>
      </c>
    </row>
    <row r="879" spans="1:2" x14ac:dyDescent="0.25">
      <c r="A879" s="11">
        <v>145</v>
      </c>
      <c r="B879" s="12">
        <v>1.2869999999999999</v>
      </c>
    </row>
    <row r="880" spans="1:2" x14ac:dyDescent="0.25">
      <c r="A880" s="11">
        <v>146</v>
      </c>
      <c r="B880" s="12">
        <v>1.2869999999999999</v>
      </c>
    </row>
    <row r="881" spans="1:2" x14ac:dyDescent="0.25">
      <c r="A881" s="11">
        <v>147</v>
      </c>
      <c r="B881" s="12">
        <v>1.2869999999999999</v>
      </c>
    </row>
    <row r="882" spans="1:2" x14ac:dyDescent="0.25">
      <c r="A882" s="11">
        <v>148</v>
      </c>
      <c r="B882" s="12">
        <v>1.2869999999999999</v>
      </c>
    </row>
    <row r="883" spans="1:2" x14ac:dyDescent="0.25">
      <c r="A883" s="11">
        <v>149</v>
      </c>
      <c r="B883" s="12">
        <v>1.2869999999999999</v>
      </c>
    </row>
    <row r="884" spans="1:2" x14ac:dyDescent="0.25">
      <c r="A884" s="11">
        <v>150</v>
      </c>
      <c r="B884" s="12">
        <v>1.2869999999999999</v>
      </c>
    </row>
    <row r="885" spans="1:2" x14ac:dyDescent="0.25">
      <c r="A885" s="11">
        <v>151</v>
      </c>
      <c r="B885" s="12">
        <v>1.2869999999999999</v>
      </c>
    </row>
    <row r="886" spans="1:2" x14ac:dyDescent="0.25">
      <c r="A886" s="11">
        <v>152</v>
      </c>
      <c r="B886" s="12">
        <v>1.2869999999999999</v>
      </c>
    </row>
    <row r="887" spans="1:2" x14ac:dyDescent="0.25">
      <c r="A887" s="11">
        <v>153</v>
      </c>
      <c r="B887" s="12">
        <v>1.2869999999999999</v>
      </c>
    </row>
    <row r="888" spans="1:2" x14ac:dyDescent="0.25">
      <c r="A888" s="11">
        <v>154</v>
      </c>
      <c r="B888" s="12">
        <v>1.2869999999999999</v>
      </c>
    </row>
    <row r="889" spans="1:2" x14ac:dyDescent="0.25">
      <c r="A889" s="11">
        <v>155</v>
      </c>
      <c r="B889" s="12">
        <v>1.2869999999999999</v>
      </c>
    </row>
    <row r="890" spans="1:2" x14ac:dyDescent="0.25">
      <c r="A890" s="11">
        <v>156</v>
      </c>
      <c r="B890" s="12">
        <v>1.2869999999999999</v>
      </c>
    </row>
    <row r="891" spans="1:2" x14ac:dyDescent="0.25">
      <c r="A891" s="11">
        <v>157</v>
      </c>
      <c r="B891" s="12">
        <v>1.2869999999999999</v>
      </c>
    </row>
    <row r="892" spans="1:2" x14ac:dyDescent="0.25">
      <c r="A892" s="11">
        <v>158</v>
      </c>
      <c r="B892" s="12">
        <v>1.2869999999999999</v>
      </c>
    </row>
    <row r="893" spans="1:2" x14ac:dyDescent="0.25">
      <c r="A893" s="11">
        <v>159</v>
      </c>
      <c r="B893" s="12">
        <v>1.2869999999999999</v>
      </c>
    </row>
    <row r="894" spans="1:2" x14ac:dyDescent="0.25">
      <c r="A894" s="11">
        <v>160</v>
      </c>
      <c r="B894" s="12">
        <v>1.2869999999999999</v>
      </c>
    </row>
    <row r="895" spans="1:2" x14ac:dyDescent="0.25">
      <c r="A895" s="11">
        <v>161</v>
      </c>
      <c r="B895" s="12">
        <v>1.2869999999999999</v>
      </c>
    </row>
    <row r="896" spans="1:2" x14ac:dyDescent="0.25">
      <c r="A896" s="11">
        <v>162</v>
      </c>
      <c r="B896" s="12">
        <v>1.2869999999999999</v>
      </c>
    </row>
    <row r="897" spans="1:2" x14ac:dyDescent="0.25">
      <c r="A897" s="11">
        <v>163</v>
      </c>
      <c r="B897" s="12">
        <v>1.2869999999999999</v>
      </c>
    </row>
    <row r="898" spans="1:2" x14ac:dyDescent="0.25">
      <c r="A898" s="11">
        <v>164</v>
      </c>
      <c r="B898" s="12">
        <v>1.2869999999999999</v>
      </c>
    </row>
    <row r="899" spans="1:2" x14ac:dyDescent="0.25">
      <c r="A899" s="11">
        <v>165</v>
      </c>
      <c r="B899" s="12">
        <v>1.2869999999999999</v>
      </c>
    </row>
    <row r="900" spans="1:2" x14ac:dyDescent="0.25">
      <c r="A900" s="11">
        <v>166</v>
      </c>
      <c r="B900" s="12">
        <v>1.2869999999999999</v>
      </c>
    </row>
    <row r="901" spans="1:2" x14ac:dyDescent="0.25">
      <c r="A901" s="11">
        <v>167</v>
      </c>
      <c r="B901" s="12">
        <v>1.2869999999999999</v>
      </c>
    </row>
    <row r="902" spans="1:2" x14ac:dyDescent="0.25">
      <c r="A902" s="11">
        <v>168</v>
      </c>
      <c r="B902" s="12">
        <v>1.2869999999999999</v>
      </c>
    </row>
    <row r="903" spans="1:2" x14ac:dyDescent="0.25">
      <c r="A903" s="11">
        <v>169</v>
      </c>
      <c r="B903" s="12">
        <v>1.2869999999999999</v>
      </c>
    </row>
    <row r="904" spans="1:2" x14ac:dyDescent="0.25">
      <c r="A904" s="11">
        <v>170</v>
      </c>
      <c r="B904" s="12">
        <v>1.2869999999999999</v>
      </c>
    </row>
    <row r="905" spans="1:2" x14ac:dyDescent="0.25">
      <c r="A905" s="11">
        <v>171</v>
      </c>
      <c r="B905" s="12">
        <v>1.2869999999999999</v>
      </c>
    </row>
    <row r="906" spans="1:2" x14ac:dyDescent="0.25">
      <c r="A906" s="11">
        <v>172</v>
      </c>
      <c r="B906" s="12">
        <v>1.2869999999999999</v>
      </c>
    </row>
    <row r="907" spans="1:2" x14ac:dyDescent="0.25">
      <c r="A907" s="11">
        <v>173</v>
      </c>
      <c r="B907" s="12">
        <v>1.2869999999999999</v>
      </c>
    </row>
    <row r="908" spans="1:2" x14ac:dyDescent="0.25">
      <c r="A908" s="11">
        <v>174</v>
      </c>
      <c r="B908" s="12">
        <v>1.2869999999999999</v>
      </c>
    </row>
    <row r="909" spans="1:2" x14ac:dyDescent="0.25">
      <c r="A909" s="11">
        <v>175</v>
      </c>
      <c r="B909" s="12">
        <v>1.2869999999999999</v>
      </c>
    </row>
    <row r="910" spans="1:2" x14ac:dyDescent="0.25">
      <c r="A910" s="11">
        <v>176</v>
      </c>
      <c r="B910" s="12">
        <v>1.2869999999999999</v>
      </c>
    </row>
    <row r="911" spans="1:2" x14ac:dyDescent="0.25">
      <c r="A911" s="11">
        <v>177</v>
      </c>
      <c r="B911" s="12">
        <v>1.2869999999999999</v>
      </c>
    </row>
    <row r="912" spans="1:2" x14ac:dyDescent="0.25">
      <c r="A912" s="11">
        <v>178</v>
      </c>
      <c r="B912" s="12">
        <v>1.2869999999999999</v>
      </c>
    </row>
    <row r="913" spans="1:2" x14ac:dyDescent="0.25">
      <c r="A913" s="11">
        <v>179</v>
      </c>
      <c r="B913" s="12">
        <v>1.2869999999999999</v>
      </c>
    </row>
    <row r="914" spans="1:2" x14ac:dyDescent="0.25">
      <c r="A914" s="11">
        <v>180</v>
      </c>
      <c r="B914" s="12">
        <v>1.2869999999999999</v>
      </c>
    </row>
    <row r="915" spans="1:2" x14ac:dyDescent="0.25">
      <c r="A915" s="11" t="s">
        <v>106</v>
      </c>
      <c r="B915" s="12">
        <v>0.92777098243689093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67" sqref="H67"/>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I42" sqref="I42"/>
    </sheetView>
  </sheetViews>
  <sheetFormatPr defaultRowHeight="15" x14ac:dyDescent="0.25"/>
  <sheetData>
    <row r="1" spans="1:5" x14ac:dyDescent="0.25">
      <c r="C1" t="s">
        <v>102</v>
      </c>
      <c r="D1" t="s">
        <v>90</v>
      </c>
      <c r="E1" t="s">
        <v>91</v>
      </c>
    </row>
    <row r="2" spans="1:5" x14ac:dyDescent="0.25">
      <c r="A2" t="s">
        <v>172</v>
      </c>
      <c r="B2" t="s">
        <v>59</v>
      </c>
      <c r="C2" t="s">
        <v>93</v>
      </c>
      <c r="D2" t="s">
        <v>93</v>
      </c>
      <c r="E2" t="s">
        <v>93</v>
      </c>
    </row>
    <row r="3" spans="1:5" x14ac:dyDescent="0.25">
      <c r="B3" t="s">
        <v>64</v>
      </c>
      <c r="C3">
        <v>1</v>
      </c>
      <c r="D3">
        <v>1</v>
      </c>
      <c r="E3">
        <v>1</v>
      </c>
    </row>
    <row r="4" spans="1:5" x14ac:dyDescent="0.25">
      <c r="B4" t="s">
        <v>65</v>
      </c>
      <c r="C4">
        <v>1</v>
      </c>
      <c r="D4">
        <v>1</v>
      </c>
      <c r="E4">
        <v>1</v>
      </c>
    </row>
    <row r="5" spans="1:5" x14ac:dyDescent="0.25">
      <c r="B5" t="s">
        <v>66</v>
      </c>
      <c r="C5">
        <v>1</v>
      </c>
      <c r="D5">
        <v>1</v>
      </c>
      <c r="E5">
        <v>0.5</v>
      </c>
    </row>
    <row r="6" spans="1:5" x14ac:dyDescent="0.25">
      <c r="B6" t="s">
        <v>67</v>
      </c>
      <c r="C6">
        <v>1</v>
      </c>
      <c r="D6">
        <v>1</v>
      </c>
      <c r="E6">
        <v>0.5</v>
      </c>
    </row>
    <row r="7" spans="1:5" x14ac:dyDescent="0.25">
      <c r="B7" t="s">
        <v>145</v>
      </c>
      <c r="C7">
        <v>1</v>
      </c>
      <c r="D7">
        <v>1</v>
      </c>
      <c r="E7">
        <v>0.51</v>
      </c>
    </row>
    <row r="8" spans="1:5" x14ac:dyDescent="0.25">
      <c r="B8" t="s">
        <v>146</v>
      </c>
      <c r="C8">
        <v>1</v>
      </c>
      <c r="D8">
        <v>1</v>
      </c>
      <c r="E8">
        <v>0.52</v>
      </c>
    </row>
    <row r="9" spans="1:5" x14ac:dyDescent="0.25">
      <c r="B9" t="s">
        <v>147</v>
      </c>
      <c r="C9">
        <v>1</v>
      </c>
      <c r="D9">
        <v>1</v>
      </c>
      <c r="E9">
        <v>0.53</v>
      </c>
    </row>
    <row r="10" spans="1:5" x14ac:dyDescent="0.25">
      <c r="B10" t="s">
        <v>148</v>
      </c>
      <c r="C10">
        <v>1</v>
      </c>
      <c r="D10">
        <v>1</v>
      </c>
      <c r="E10">
        <v>0.54</v>
      </c>
    </row>
    <row r="11" spans="1:5" x14ac:dyDescent="0.25">
      <c r="B11" t="s">
        <v>68</v>
      </c>
      <c r="C11">
        <v>1</v>
      </c>
      <c r="D11">
        <v>1</v>
      </c>
      <c r="E11">
        <v>0.55000000000000004</v>
      </c>
    </row>
    <row r="12" spans="1:5" x14ac:dyDescent="0.25">
      <c r="B12" t="s">
        <v>149</v>
      </c>
      <c r="C12">
        <v>1</v>
      </c>
      <c r="D12">
        <v>1</v>
      </c>
      <c r="E12">
        <v>0.60000000000000009</v>
      </c>
    </row>
    <row r="13" spans="1:5" x14ac:dyDescent="0.25">
      <c r="B13" t="s">
        <v>150</v>
      </c>
      <c r="C13">
        <v>1</v>
      </c>
      <c r="D13">
        <v>1</v>
      </c>
      <c r="E13">
        <v>0.65</v>
      </c>
    </row>
    <row r="14" spans="1:5" x14ac:dyDescent="0.25">
      <c r="B14" t="s">
        <v>151</v>
      </c>
      <c r="C14">
        <v>1</v>
      </c>
      <c r="D14">
        <v>1</v>
      </c>
      <c r="E14">
        <v>0.70000000000000007</v>
      </c>
    </row>
    <row r="15" spans="1:5" x14ac:dyDescent="0.25">
      <c r="B15" t="s">
        <v>152</v>
      </c>
      <c r="C15">
        <v>1</v>
      </c>
      <c r="D15">
        <v>1</v>
      </c>
      <c r="E15">
        <v>0.75</v>
      </c>
    </row>
    <row r="16" spans="1:5" x14ac:dyDescent="0.25">
      <c r="B16" t="s">
        <v>69</v>
      </c>
      <c r="C16">
        <v>1</v>
      </c>
      <c r="D16">
        <v>1</v>
      </c>
      <c r="E16">
        <v>0.8</v>
      </c>
    </row>
    <row r="17" spans="2:5" x14ac:dyDescent="0.25">
      <c r="B17" t="s">
        <v>153</v>
      </c>
      <c r="C17">
        <v>1</v>
      </c>
      <c r="D17">
        <v>1</v>
      </c>
      <c r="E17">
        <v>0.85000000000000009</v>
      </c>
    </row>
    <row r="18" spans="2:5" x14ac:dyDescent="0.25">
      <c r="B18" t="s">
        <v>154</v>
      </c>
      <c r="C18">
        <v>1</v>
      </c>
      <c r="D18">
        <v>1</v>
      </c>
      <c r="E18">
        <v>0.9</v>
      </c>
    </row>
    <row r="19" spans="2:5" x14ac:dyDescent="0.25">
      <c r="B19" t="s">
        <v>155</v>
      </c>
      <c r="C19">
        <v>1</v>
      </c>
      <c r="D19">
        <v>1</v>
      </c>
      <c r="E19">
        <v>0.95000000000000007</v>
      </c>
    </row>
    <row r="20" spans="2:5" x14ac:dyDescent="0.25">
      <c r="B20" t="s">
        <v>156</v>
      </c>
      <c r="C20">
        <v>1</v>
      </c>
      <c r="D20">
        <v>1</v>
      </c>
      <c r="E20">
        <v>1</v>
      </c>
    </row>
    <row r="21" spans="2:5" x14ac:dyDescent="0.25">
      <c r="B21" t="s">
        <v>71</v>
      </c>
      <c r="C21">
        <v>1</v>
      </c>
      <c r="D21">
        <v>1</v>
      </c>
      <c r="E21">
        <v>1.05</v>
      </c>
    </row>
    <row r="22" spans="2:5" x14ac:dyDescent="0.25">
      <c r="B22" t="s">
        <v>157</v>
      </c>
      <c r="C22">
        <v>1</v>
      </c>
      <c r="D22">
        <v>1</v>
      </c>
      <c r="E22">
        <v>1.1000000000000001</v>
      </c>
    </row>
    <row r="23" spans="2:5" x14ac:dyDescent="0.25">
      <c r="B23" t="s">
        <v>158</v>
      </c>
      <c r="C23">
        <v>1</v>
      </c>
      <c r="D23">
        <v>1</v>
      </c>
      <c r="E23">
        <v>1.1000000000000001</v>
      </c>
    </row>
    <row r="24" spans="2:5" x14ac:dyDescent="0.25">
      <c r="B24" t="s">
        <v>159</v>
      </c>
      <c r="C24">
        <v>1</v>
      </c>
      <c r="D24">
        <v>1</v>
      </c>
      <c r="E24">
        <v>1.1000000000000001</v>
      </c>
    </row>
    <row r="25" spans="2:5" x14ac:dyDescent="0.25">
      <c r="B25" t="s">
        <v>160</v>
      </c>
      <c r="C25">
        <v>1</v>
      </c>
      <c r="D25">
        <v>1</v>
      </c>
      <c r="E25">
        <v>1.1000000000000001</v>
      </c>
    </row>
    <row r="26" spans="2:5" x14ac:dyDescent="0.25">
      <c r="B26" t="s">
        <v>73</v>
      </c>
      <c r="C26">
        <v>1</v>
      </c>
      <c r="D26">
        <v>1</v>
      </c>
      <c r="E26">
        <v>1.1000000000000001</v>
      </c>
    </row>
    <row r="27" spans="2:5" x14ac:dyDescent="0.25">
      <c r="B27" t="s">
        <v>75</v>
      </c>
      <c r="C27">
        <v>1</v>
      </c>
      <c r="D27">
        <v>1</v>
      </c>
      <c r="E27">
        <v>1.02</v>
      </c>
    </row>
    <row r="28" spans="2:5" x14ac:dyDescent="0.25">
      <c r="B28" t="s">
        <v>77</v>
      </c>
      <c r="C28">
        <v>1</v>
      </c>
      <c r="D28">
        <v>1</v>
      </c>
      <c r="E28">
        <v>0.95</v>
      </c>
    </row>
    <row r="29" spans="2:5" x14ac:dyDescent="0.25">
      <c r="B29" t="s">
        <v>79</v>
      </c>
      <c r="C29">
        <v>1</v>
      </c>
      <c r="D29">
        <v>1</v>
      </c>
      <c r="E29">
        <v>0.92</v>
      </c>
    </row>
    <row r="30" spans="2:5" x14ac:dyDescent="0.25">
      <c r="B30" t="s">
        <v>81</v>
      </c>
      <c r="C30">
        <v>1</v>
      </c>
      <c r="D30">
        <v>1</v>
      </c>
      <c r="E30">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Distribution of data</vt:lpstr>
      <vt:lpstr>Actual</vt:lpstr>
      <vt:lpstr>Baseline</vt:lpstr>
      <vt:lpstr>Burnout</vt:lpstr>
      <vt:lpstr>Spline Pre-Adj</vt:lpstr>
      <vt:lpstr>Sheet2</vt:lpstr>
      <vt:lpstr>Refi Adj</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 Chen</dc:creator>
  <cp:lastModifiedBy>Lien Chen</cp:lastModifiedBy>
  <dcterms:created xsi:type="dcterms:W3CDTF">2018-08-24T13:34:43Z</dcterms:created>
  <dcterms:modified xsi:type="dcterms:W3CDTF">2018-09-21T22:10:13Z</dcterms:modified>
</cp:coreProperties>
</file>