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33555" windowHeight="19470" activeTab="2"/>
  </bookViews>
  <sheets>
    <sheet name="Distribution of data" sheetId="1" r:id="rId1"/>
    <sheet name="Actual" sheetId="5" r:id="rId2"/>
    <sheet name="Baseline" sheetId="2" r:id="rId3"/>
    <sheet name="Spline Pre-Adj" sheetId="4" state="hidden" r:id="rId4"/>
  </sheets>
  <definedNames>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Baseline!$P$32</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1</definedName>
    <definedName name="solver_ver" localSheetId="2" hidden="1">3</definedName>
  </definedNames>
  <calcPr calcId="145621"/>
  <pivotCaches>
    <pivotCache cacheId="0" r:id="rId5"/>
  </pivotCaches>
</workbook>
</file>

<file path=xl/calcChain.xml><?xml version="1.0" encoding="utf-8"?>
<calcChain xmlns="http://schemas.openxmlformats.org/spreadsheetml/2006/main">
  <c r="AP157" i="2" l="1"/>
  <c r="AP158" i="2"/>
  <c r="AP159" i="2"/>
  <c r="AP160" i="2"/>
  <c r="AP161" i="2"/>
  <c r="AP162" i="2"/>
  <c r="AP163" i="2"/>
  <c r="AP164" i="2"/>
  <c r="AP165" i="2"/>
  <c r="X83" i="5"/>
  <c r="Y83" i="5"/>
  <c r="X84" i="5"/>
  <c r="Y84" i="5"/>
  <c r="X85" i="5"/>
  <c r="Y85" i="5"/>
  <c r="X86" i="5"/>
  <c r="Y86" i="5"/>
  <c r="X87" i="5"/>
  <c r="Y87" i="5"/>
  <c r="X88" i="5"/>
  <c r="Y88" i="5"/>
  <c r="X89" i="5"/>
  <c r="Y89" i="5"/>
  <c r="X90" i="5"/>
  <c r="Y90" i="5"/>
  <c r="X91" i="5"/>
  <c r="Y91" i="5"/>
  <c r="X92" i="5"/>
  <c r="Y92" i="5"/>
  <c r="X93" i="5"/>
  <c r="Y93" i="5"/>
  <c r="X94" i="5"/>
  <c r="Y94" i="5"/>
  <c r="X95" i="5"/>
  <c r="Y95" i="5"/>
  <c r="X96" i="5"/>
  <c r="Y96" i="5"/>
  <c r="X97" i="5"/>
  <c r="Y97" i="5"/>
  <c r="Y82" i="5"/>
  <c r="X82" i="5"/>
  <c r="W83" i="5"/>
  <c r="W84" i="5"/>
  <c r="W85" i="5"/>
  <c r="W86" i="5"/>
  <c r="W87" i="5"/>
  <c r="W88" i="5"/>
  <c r="W89" i="5"/>
  <c r="W90" i="5"/>
  <c r="W91" i="5"/>
  <c r="W92" i="5"/>
  <c r="W93" i="5"/>
  <c r="W94" i="5"/>
  <c r="W95" i="5"/>
  <c r="W96" i="5"/>
  <c r="W97" i="5"/>
  <c r="W82" i="5"/>
  <c r="V83" i="5"/>
  <c r="V84" i="5"/>
  <c r="V85" i="5"/>
  <c r="V86" i="5"/>
  <c r="V87" i="5"/>
  <c r="V88" i="5"/>
  <c r="V89" i="5"/>
  <c r="V90" i="5"/>
  <c r="V91" i="5"/>
  <c r="V92" i="5"/>
  <c r="V93" i="5"/>
  <c r="V94" i="5"/>
  <c r="V95" i="5"/>
  <c r="V96" i="5"/>
  <c r="V97" i="5"/>
  <c r="V82" i="5"/>
  <c r="R83" i="5"/>
  <c r="R84" i="5"/>
  <c r="R85" i="5"/>
  <c r="R86" i="5"/>
  <c r="R87" i="5"/>
  <c r="R88" i="5"/>
  <c r="R89" i="5"/>
  <c r="R90" i="5"/>
  <c r="R91" i="5"/>
  <c r="R92" i="5"/>
  <c r="R93" i="5"/>
  <c r="R94" i="5"/>
  <c r="R95" i="5"/>
  <c r="R96" i="5"/>
  <c r="N83" i="5"/>
  <c r="N84" i="5"/>
  <c r="N85" i="5"/>
  <c r="N86" i="5"/>
  <c r="N87" i="5"/>
  <c r="N88" i="5"/>
  <c r="N89" i="5"/>
  <c r="N90" i="5"/>
  <c r="N91" i="5"/>
  <c r="N92" i="5"/>
  <c r="N93" i="5"/>
  <c r="N94" i="5"/>
  <c r="N95" i="5"/>
  <c r="N96" i="5"/>
  <c r="N97" i="5"/>
  <c r="J83" i="5"/>
  <c r="J84" i="5"/>
  <c r="J85" i="5"/>
  <c r="J86" i="5"/>
  <c r="J87" i="5"/>
  <c r="J88" i="5"/>
  <c r="J89" i="5"/>
  <c r="J90" i="5"/>
  <c r="J91" i="5"/>
  <c r="J92" i="5"/>
  <c r="J93" i="5"/>
  <c r="J94" i="5"/>
  <c r="J95" i="5"/>
  <c r="J96" i="5"/>
  <c r="R82" i="5"/>
  <c r="N82" i="5"/>
  <c r="J82" i="5"/>
  <c r="F83" i="5"/>
  <c r="F84" i="5"/>
  <c r="F85" i="5"/>
  <c r="F86" i="5"/>
  <c r="F87" i="5"/>
  <c r="F88" i="5"/>
  <c r="F89" i="5"/>
  <c r="F90" i="5"/>
  <c r="F91" i="5"/>
  <c r="F92" i="5"/>
  <c r="F93" i="5"/>
  <c r="F94" i="5"/>
  <c r="F82" i="5"/>
  <c r="P82" i="5"/>
  <c r="Q82" i="5"/>
  <c r="P83" i="5"/>
  <c r="Q83" i="5"/>
  <c r="P84" i="5"/>
  <c r="Q84" i="5"/>
  <c r="P85" i="5"/>
  <c r="Q85" i="5"/>
  <c r="P86" i="5"/>
  <c r="Q86" i="5"/>
  <c r="P87" i="5"/>
  <c r="Q87" i="5"/>
  <c r="P88" i="5"/>
  <c r="Q88" i="5"/>
  <c r="P89" i="5"/>
  <c r="Q89" i="5"/>
  <c r="P90" i="5"/>
  <c r="Q90" i="5"/>
  <c r="P91" i="5"/>
  <c r="Q91" i="5"/>
  <c r="P92" i="5"/>
  <c r="Q92" i="5"/>
  <c r="P93" i="5"/>
  <c r="Q93" i="5"/>
  <c r="P94" i="5"/>
  <c r="Q94" i="5"/>
  <c r="P95" i="5"/>
  <c r="Q95" i="5"/>
  <c r="P96" i="5"/>
  <c r="Q96" i="5"/>
  <c r="Q81" i="5"/>
  <c r="P81" i="5"/>
  <c r="P80" i="5"/>
  <c r="L97" i="5"/>
  <c r="M97" i="5"/>
  <c r="L82" i="5"/>
  <c r="M82" i="5"/>
  <c r="L83" i="5"/>
  <c r="M83" i="5"/>
  <c r="L84" i="5"/>
  <c r="M84" i="5"/>
  <c r="L85" i="5"/>
  <c r="M85" i="5"/>
  <c r="L86" i="5"/>
  <c r="M86" i="5"/>
  <c r="L87" i="5"/>
  <c r="M87" i="5"/>
  <c r="L88" i="5"/>
  <c r="M88" i="5"/>
  <c r="L89" i="5"/>
  <c r="M89" i="5"/>
  <c r="L90" i="5"/>
  <c r="M90" i="5"/>
  <c r="L91" i="5"/>
  <c r="M91" i="5"/>
  <c r="L92" i="5"/>
  <c r="M92" i="5"/>
  <c r="L93" i="5"/>
  <c r="M93" i="5"/>
  <c r="L94" i="5"/>
  <c r="M94" i="5"/>
  <c r="L95" i="5"/>
  <c r="M95" i="5"/>
  <c r="L96" i="5"/>
  <c r="M96" i="5"/>
  <c r="M81" i="5"/>
  <c r="L81" i="5"/>
  <c r="L80" i="5"/>
  <c r="H95" i="5"/>
  <c r="I95" i="5"/>
  <c r="H96" i="5"/>
  <c r="I96" i="5"/>
  <c r="H82" i="5"/>
  <c r="I82" i="5"/>
  <c r="H83" i="5"/>
  <c r="I83" i="5"/>
  <c r="H84" i="5"/>
  <c r="I84" i="5"/>
  <c r="H85" i="5"/>
  <c r="I85" i="5"/>
  <c r="H86" i="5"/>
  <c r="I86" i="5"/>
  <c r="H87" i="5"/>
  <c r="I87" i="5"/>
  <c r="H88" i="5"/>
  <c r="I88" i="5"/>
  <c r="H89" i="5"/>
  <c r="I89" i="5"/>
  <c r="H90" i="5"/>
  <c r="I90" i="5"/>
  <c r="H91" i="5"/>
  <c r="I91" i="5"/>
  <c r="H92" i="5"/>
  <c r="I92" i="5"/>
  <c r="H93" i="5"/>
  <c r="I93" i="5"/>
  <c r="H94" i="5"/>
  <c r="I94" i="5"/>
  <c r="I81" i="5"/>
  <c r="H81" i="5"/>
  <c r="H80" i="5"/>
  <c r="D82" i="5"/>
  <c r="E82" i="5"/>
  <c r="D83" i="5"/>
  <c r="E83" i="5"/>
  <c r="D84" i="5"/>
  <c r="E84" i="5"/>
  <c r="D85" i="5"/>
  <c r="E85" i="5"/>
  <c r="D86" i="5"/>
  <c r="E86" i="5"/>
  <c r="D87" i="5"/>
  <c r="E87" i="5"/>
  <c r="D88" i="5"/>
  <c r="E88" i="5"/>
  <c r="D89" i="5"/>
  <c r="E89" i="5"/>
  <c r="D90" i="5"/>
  <c r="E90" i="5"/>
  <c r="D91" i="5"/>
  <c r="E91" i="5"/>
  <c r="D92" i="5"/>
  <c r="E92" i="5"/>
  <c r="D93" i="5"/>
  <c r="E93" i="5"/>
  <c r="D94" i="5"/>
  <c r="E94" i="5"/>
  <c r="E81" i="5"/>
  <c r="D81" i="5"/>
  <c r="D80" i="5"/>
  <c r="AP61" i="5"/>
  <c r="AP62" i="5"/>
  <c r="AP63" i="5"/>
  <c r="AP64" i="5"/>
  <c r="AP65" i="5"/>
  <c r="AP40" i="5"/>
  <c r="AP41" i="5"/>
  <c r="AP42" i="5"/>
  <c r="AP43" i="5"/>
  <c r="AP44" i="5"/>
  <c r="AP45" i="5"/>
  <c r="AP21" i="5"/>
  <c r="AP22" i="5"/>
  <c r="AP23" i="5"/>
  <c r="AP24" i="5"/>
  <c r="AP25" i="5"/>
  <c r="AP3" i="5"/>
  <c r="AP4" i="5"/>
  <c r="AP5" i="5"/>
  <c r="A126" i="2"/>
  <c r="X126" i="2" s="1"/>
  <c r="Y126" i="2" s="1"/>
  <c r="B126" i="2"/>
  <c r="C126" i="2"/>
  <c r="D126" i="2"/>
  <c r="E126" i="2"/>
  <c r="H126" i="2" s="1"/>
  <c r="A127" i="2"/>
  <c r="X127" i="2" s="1"/>
  <c r="Y127" i="2" s="1"/>
  <c r="B127" i="2"/>
  <c r="C127" i="2"/>
  <c r="D127" i="2"/>
  <c r="E127" i="2"/>
  <c r="H127" i="2" s="1"/>
  <c r="A128" i="2"/>
  <c r="AC128" i="2" s="1"/>
  <c r="AD128" i="2" s="1"/>
  <c r="B128" i="2"/>
  <c r="C128" i="2"/>
  <c r="D128" i="2"/>
  <c r="F128" i="2" s="1"/>
  <c r="E128" i="2"/>
  <c r="H128" i="2"/>
  <c r="A129" i="2"/>
  <c r="X129" i="2" s="1"/>
  <c r="Y129" i="2" s="1"/>
  <c r="B129" i="2"/>
  <c r="C129" i="2"/>
  <c r="D129" i="2"/>
  <c r="E129" i="2"/>
  <c r="H129" i="2" s="1"/>
  <c r="A130" i="2"/>
  <c r="AC130" i="2" s="1"/>
  <c r="AD130" i="2" s="1"/>
  <c r="B130" i="2"/>
  <c r="C130" i="2"/>
  <c r="D130" i="2"/>
  <c r="E130" i="2"/>
  <c r="H130" i="2" s="1"/>
  <c r="A131" i="2"/>
  <c r="X131" i="2" s="1"/>
  <c r="Y131" i="2" s="1"/>
  <c r="B131" i="2"/>
  <c r="C131" i="2"/>
  <c r="D131" i="2"/>
  <c r="F131" i="2" s="1"/>
  <c r="E131" i="2"/>
  <c r="H131" i="2" s="1"/>
  <c r="A220" i="2"/>
  <c r="X220" i="2" s="1"/>
  <c r="Y220" i="2" s="1"/>
  <c r="B192" i="2"/>
  <c r="C192" i="2"/>
  <c r="D192" i="2"/>
  <c r="E192" i="2"/>
  <c r="G192" i="2"/>
  <c r="H192" i="2"/>
  <c r="A193" i="2"/>
  <c r="AC193" i="2" s="1"/>
  <c r="AD193" i="2" s="1"/>
  <c r="B193" i="2"/>
  <c r="C193" i="2"/>
  <c r="D193" i="2"/>
  <c r="E193" i="2"/>
  <c r="H193" i="2" s="1"/>
  <c r="A194" i="2"/>
  <c r="S194" i="2" s="1"/>
  <c r="T194" i="2" s="1"/>
  <c r="B194" i="2"/>
  <c r="C194" i="2"/>
  <c r="D194" i="2"/>
  <c r="G194" i="2" s="1"/>
  <c r="E194" i="2"/>
  <c r="H194" i="2" s="1"/>
  <c r="A195" i="2"/>
  <c r="B195" i="2"/>
  <c r="C195" i="2"/>
  <c r="D195" i="2"/>
  <c r="E195" i="2"/>
  <c r="H195" i="2" s="1"/>
  <c r="A196" i="2"/>
  <c r="S196" i="2" s="1"/>
  <c r="T196" i="2" s="1"/>
  <c r="B196" i="2"/>
  <c r="C196" i="2"/>
  <c r="D196" i="2"/>
  <c r="E196" i="2"/>
  <c r="H196" i="2" s="1"/>
  <c r="A197" i="2"/>
  <c r="S197" i="2" s="1"/>
  <c r="T197" i="2" s="1"/>
  <c r="B197" i="2"/>
  <c r="C197" i="2"/>
  <c r="D197" i="2"/>
  <c r="E197" i="2"/>
  <c r="H197" i="2" s="1"/>
  <c r="A198" i="2"/>
  <c r="X198" i="2" s="1"/>
  <c r="Y198" i="2" s="1"/>
  <c r="B198" i="2"/>
  <c r="C198" i="2"/>
  <c r="D198" i="2"/>
  <c r="G198" i="2" s="1"/>
  <c r="E198" i="2"/>
  <c r="H198" i="2" s="1"/>
  <c r="A199" i="2"/>
  <c r="X199" i="2" s="1"/>
  <c r="Y199" i="2" s="1"/>
  <c r="B199" i="2"/>
  <c r="C199" i="2"/>
  <c r="D199" i="2"/>
  <c r="E199" i="2"/>
  <c r="H199" i="2" s="1"/>
  <c r="A200" i="2"/>
  <c r="B200" i="2"/>
  <c r="C200" i="2"/>
  <c r="D200" i="2"/>
  <c r="G200" i="2" s="1"/>
  <c r="E200" i="2"/>
  <c r="H200" i="2" s="1"/>
  <c r="AC200" i="2"/>
  <c r="AD200" i="2" s="1"/>
  <c r="A201" i="2"/>
  <c r="AC201" i="2" s="1"/>
  <c r="AD201" i="2" s="1"/>
  <c r="B201" i="2"/>
  <c r="C201" i="2"/>
  <c r="D201" i="2"/>
  <c r="G201" i="2" s="1"/>
  <c r="E201" i="2"/>
  <c r="H201" i="2" s="1"/>
  <c r="A202" i="2"/>
  <c r="S202" i="2" s="1"/>
  <c r="T202" i="2" s="1"/>
  <c r="B202" i="2"/>
  <c r="C202" i="2"/>
  <c r="D202" i="2"/>
  <c r="G202" i="2" s="1"/>
  <c r="E202" i="2"/>
  <c r="H202" i="2" s="1"/>
  <c r="A203" i="2"/>
  <c r="B203" i="2"/>
  <c r="C203" i="2"/>
  <c r="D203" i="2"/>
  <c r="E203" i="2"/>
  <c r="H203" i="2"/>
  <c r="A204" i="2"/>
  <c r="X204" i="2" s="1"/>
  <c r="Y204" i="2" s="1"/>
  <c r="B204" i="2"/>
  <c r="C204" i="2"/>
  <c r="D204" i="2"/>
  <c r="E204" i="2"/>
  <c r="H204" i="2" s="1"/>
  <c r="A205" i="2"/>
  <c r="B205" i="2"/>
  <c r="C205" i="2"/>
  <c r="D205" i="2"/>
  <c r="E205" i="2"/>
  <c r="H205" i="2" s="1"/>
  <c r="A206" i="2"/>
  <c r="X206" i="2" s="1"/>
  <c r="Y206" i="2" s="1"/>
  <c r="B206" i="2"/>
  <c r="C206" i="2"/>
  <c r="D206" i="2"/>
  <c r="E206" i="2"/>
  <c r="H206" i="2" s="1"/>
  <c r="A207" i="2"/>
  <c r="B207" i="2"/>
  <c r="C207" i="2"/>
  <c r="D207" i="2"/>
  <c r="E207" i="2"/>
  <c r="H207" i="2" s="1"/>
  <c r="A208" i="2"/>
  <c r="X208" i="2" s="1"/>
  <c r="Y208" i="2" s="1"/>
  <c r="B208" i="2"/>
  <c r="C208" i="2"/>
  <c r="D208" i="2"/>
  <c r="E208" i="2"/>
  <c r="H208" i="2" s="1"/>
  <c r="A209" i="2"/>
  <c r="B209" i="2"/>
  <c r="C209" i="2"/>
  <c r="D209" i="2"/>
  <c r="E209" i="2"/>
  <c r="H209" i="2" s="1"/>
  <c r="A210" i="2"/>
  <c r="X210" i="2" s="1"/>
  <c r="Y210" i="2" s="1"/>
  <c r="B210" i="2"/>
  <c r="C210" i="2"/>
  <c r="D210" i="2"/>
  <c r="E210" i="2"/>
  <c r="H210" i="2" s="1"/>
  <c r="A211" i="2"/>
  <c r="AC211" i="2" s="1"/>
  <c r="AD211" i="2" s="1"/>
  <c r="B211" i="2"/>
  <c r="C211" i="2"/>
  <c r="D211" i="2"/>
  <c r="G211" i="2" s="1"/>
  <c r="E211" i="2"/>
  <c r="H211" i="2" s="1"/>
  <c r="A212" i="2"/>
  <c r="X212" i="2" s="1"/>
  <c r="Y212" i="2" s="1"/>
  <c r="B212" i="2"/>
  <c r="C212" i="2"/>
  <c r="D212" i="2"/>
  <c r="E212" i="2"/>
  <c r="H212" i="2" s="1"/>
  <c r="A213" i="2"/>
  <c r="AC213" i="2" s="1"/>
  <c r="AD213" i="2" s="1"/>
  <c r="B213" i="2"/>
  <c r="C213" i="2"/>
  <c r="D213" i="2"/>
  <c r="E213" i="2"/>
  <c r="H213" i="2"/>
  <c r="A214" i="2"/>
  <c r="X214" i="2" s="1"/>
  <c r="Y214" i="2" s="1"/>
  <c r="B214" i="2"/>
  <c r="C214" i="2"/>
  <c r="D214" i="2"/>
  <c r="G214" i="2" s="1"/>
  <c r="E214" i="2"/>
  <c r="H214" i="2" s="1"/>
  <c r="A215" i="2"/>
  <c r="AC215" i="2" s="1"/>
  <c r="AD215" i="2" s="1"/>
  <c r="B215" i="2"/>
  <c r="C215" i="2"/>
  <c r="D215" i="2"/>
  <c r="G215" i="2" s="1"/>
  <c r="E215" i="2"/>
  <c r="H215" i="2" s="1"/>
  <c r="A216" i="2"/>
  <c r="AC216" i="2" s="1"/>
  <c r="AD216" i="2" s="1"/>
  <c r="B216" i="2"/>
  <c r="C216" i="2"/>
  <c r="D216" i="2"/>
  <c r="G216" i="2" s="1"/>
  <c r="E216" i="2"/>
  <c r="H216" i="2" s="1"/>
  <c r="A217" i="2"/>
  <c r="AC217" i="2" s="1"/>
  <c r="AD217" i="2" s="1"/>
  <c r="B217" i="2"/>
  <c r="C217" i="2"/>
  <c r="D217" i="2"/>
  <c r="G217" i="2" s="1"/>
  <c r="E217" i="2"/>
  <c r="H217" i="2" s="1"/>
  <c r="A218" i="2"/>
  <c r="AC218" i="2" s="1"/>
  <c r="AD218" i="2" s="1"/>
  <c r="B218" i="2"/>
  <c r="C218" i="2"/>
  <c r="D218" i="2"/>
  <c r="G218" i="2" s="1"/>
  <c r="E218" i="2"/>
  <c r="H218" i="2" s="1"/>
  <c r="A219" i="2"/>
  <c r="AC219" i="2" s="1"/>
  <c r="AD219" i="2" s="1"/>
  <c r="B219" i="2"/>
  <c r="C219" i="2"/>
  <c r="D219" i="2"/>
  <c r="G219" i="2" s="1"/>
  <c r="E219" i="2"/>
  <c r="H219" i="2"/>
  <c r="B220" i="2"/>
  <c r="C220" i="2"/>
  <c r="D220" i="2"/>
  <c r="E220" i="2"/>
  <c r="H220" i="2" s="1"/>
  <c r="F127" i="2" l="1"/>
  <c r="AC126" i="2"/>
  <c r="AD126" i="2" s="1"/>
  <c r="F126" i="2"/>
  <c r="AC220" i="2"/>
  <c r="AD220" i="2" s="1"/>
  <c r="F130" i="2"/>
  <c r="F129" i="2"/>
  <c r="X130" i="2"/>
  <c r="Y130" i="2" s="1"/>
  <c r="X128" i="2"/>
  <c r="Y128" i="2" s="1"/>
  <c r="S199" i="2"/>
  <c r="T199" i="2" s="1"/>
  <c r="X196" i="2"/>
  <c r="Y196" i="2" s="1"/>
  <c r="X201" i="2"/>
  <c r="Y201" i="2" s="1"/>
  <c r="AC208" i="2"/>
  <c r="AD208" i="2" s="1"/>
  <c r="F193" i="2"/>
  <c r="X218" i="2"/>
  <c r="Y218" i="2" s="1"/>
  <c r="AC199" i="2"/>
  <c r="AD199" i="2" s="1"/>
  <c r="F197" i="2"/>
  <c r="X219" i="2"/>
  <c r="Y219" i="2" s="1"/>
  <c r="X211" i="2"/>
  <c r="Y211" i="2" s="1"/>
  <c r="AC204" i="2"/>
  <c r="AD204" i="2" s="1"/>
  <c r="X213" i="2"/>
  <c r="Y213" i="2" s="1"/>
  <c r="X193" i="2"/>
  <c r="Y193" i="2" s="1"/>
  <c r="S193" i="2"/>
  <c r="T193" i="2" s="1"/>
  <c r="AC214" i="2"/>
  <c r="AD214" i="2" s="1"/>
  <c r="X216" i="2"/>
  <c r="Y216" i="2" s="1"/>
  <c r="AC206" i="2"/>
  <c r="AD206" i="2" s="1"/>
  <c r="AC202" i="2"/>
  <c r="AD202" i="2" s="1"/>
  <c r="S198" i="2"/>
  <c r="T198" i="2" s="1"/>
  <c r="X202" i="2"/>
  <c r="Y202" i="2" s="1"/>
  <c r="G130" i="2"/>
  <c r="G128" i="2"/>
  <c r="G126" i="2"/>
  <c r="AC131" i="2"/>
  <c r="AD131" i="2" s="1"/>
  <c r="AC129" i="2"/>
  <c r="AD129" i="2" s="1"/>
  <c r="AC127" i="2"/>
  <c r="AD127" i="2" s="1"/>
  <c r="G131" i="2"/>
  <c r="G129" i="2"/>
  <c r="G127" i="2"/>
  <c r="AC194" i="2"/>
  <c r="AD194" i="2" s="1"/>
  <c r="G193" i="2"/>
  <c r="AC197" i="2"/>
  <c r="AD197" i="2" s="1"/>
  <c r="X194" i="2"/>
  <c r="Y194" i="2" s="1"/>
  <c r="X197" i="2"/>
  <c r="Y197" i="2" s="1"/>
  <c r="G197" i="2"/>
  <c r="AC212" i="2"/>
  <c r="AD212" i="2" s="1"/>
  <c r="S201" i="2"/>
  <c r="T201" i="2" s="1"/>
  <c r="F202" i="2"/>
  <c r="F201" i="2"/>
  <c r="F196" i="2"/>
  <c r="AC210" i="2"/>
  <c r="AD210" i="2" s="1"/>
  <c r="F194" i="2"/>
  <c r="F199" i="2"/>
  <c r="G199" i="2"/>
  <c r="F195" i="2"/>
  <c r="G195" i="2"/>
  <c r="F214" i="2"/>
  <c r="F203" i="2"/>
  <c r="G203" i="2"/>
  <c r="F215" i="2"/>
  <c r="X209" i="2"/>
  <c r="Y209" i="2" s="1"/>
  <c r="AC209" i="2"/>
  <c r="AD209" i="2" s="1"/>
  <c r="X207" i="2"/>
  <c r="Y207" i="2" s="1"/>
  <c r="AC207" i="2"/>
  <c r="AD207" i="2" s="1"/>
  <c r="X205" i="2"/>
  <c r="Y205" i="2" s="1"/>
  <c r="AC205" i="2"/>
  <c r="AD205" i="2" s="1"/>
  <c r="F216" i="2"/>
  <c r="X215" i="2"/>
  <c r="Y215" i="2" s="1"/>
  <c r="F210" i="2"/>
  <c r="G210" i="2"/>
  <c r="X200" i="2"/>
  <c r="Y200" i="2" s="1"/>
  <c r="S200" i="2"/>
  <c r="T200" i="2" s="1"/>
  <c r="AC195" i="2"/>
  <c r="AD195" i="2" s="1"/>
  <c r="S195" i="2"/>
  <c r="T195" i="2" s="1"/>
  <c r="X195" i="2"/>
  <c r="Y195" i="2" s="1"/>
  <c r="F209" i="2"/>
  <c r="G209" i="2"/>
  <c r="F207" i="2"/>
  <c r="G207" i="2"/>
  <c r="F205" i="2"/>
  <c r="G205" i="2"/>
  <c r="F217" i="2"/>
  <c r="F208" i="2"/>
  <c r="G208" i="2"/>
  <c r="F206" i="2"/>
  <c r="G206" i="2"/>
  <c r="X203" i="2"/>
  <c r="Y203" i="2" s="1"/>
  <c r="AC203" i="2"/>
  <c r="AD203" i="2" s="1"/>
  <c r="F198" i="2"/>
  <c r="F220" i="2"/>
  <c r="F212" i="2"/>
  <c r="G220" i="2"/>
  <c r="F218" i="2"/>
  <c r="X217" i="2"/>
  <c r="Y217" i="2" s="1"/>
  <c r="G212" i="2"/>
  <c r="F204" i="2"/>
  <c r="G204" i="2"/>
  <c r="F213" i="2"/>
  <c r="F219" i="2"/>
  <c r="G213" i="2"/>
  <c r="F211" i="2"/>
  <c r="F200" i="2"/>
  <c r="AC196" i="2"/>
  <c r="AD196" i="2" s="1"/>
  <c r="AC198" i="2"/>
  <c r="AD198" i="2" s="1"/>
  <c r="G196" i="2"/>
  <c r="AP69" i="2"/>
  <c r="AP70" i="2"/>
  <c r="AP71" i="2"/>
  <c r="AP72" i="2"/>
  <c r="AP73" i="2"/>
  <c r="AP74" i="2"/>
  <c r="AP75" i="2"/>
  <c r="A106" i="2"/>
  <c r="AC106" i="2" s="1"/>
  <c r="AD106" i="2" s="1"/>
  <c r="A118" i="2"/>
  <c r="X118" i="2" s="1"/>
  <c r="Y118" i="2" s="1"/>
  <c r="B118" i="2"/>
  <c r="C118" i="2"/>
  <c r="D118" i="2"/>
  <c r="G118" i="2" s="1"/>
  <c r="E118" i="2"/>
  <c r="H118" i="2" s="1"/>
  <c r="A119" i="2"/>
  <c r="X119" i="2" s="1"/>
  <c r="Y119" i="2" s="1"/>
  <c r="B119" i="2"/>
  <c r="C119" i="2"/>
  <c r="D119" i="2"/>
  <c r="G119" i="2" s="1"/>
  <c r="E119" i="2"/>
  <c r="H119" i="2" s="1"/>
  <c r="A120" i="2"/>
  <c r="AC120" i="2" s="1"/>
  <c r="AD120" i="2" s="1"/>
  <c r="B120" i="2"/>
  <c r="C120" i="2"/>
  <c r="D120" i="2"/>
  <c r="E120" i="2"/>
  <c r="H120" i="2" s="1"/>
  <c r="A121" i="2"/>
  <c r="X121" i="2" s="1"/>
  <c r="Y121" i="2" s="1"/>
  <c r="B121" i="2"/>
  <c r="C121" i="2"/>
  <c r="D121" i="2"/>
  <c r="E121" i="2"/>
  <c r="H121" i="2" s="1"/>
  <c r="A122" i="2"/>
  <c r="AC122" i="2" s="1"/>
  <c r="AD122" i="2" s="1"/>
  <c r="B122" i="2"/>
  <c r="C122" i="2"/>
  <c r="D122" i="2"/>
  <c r="G122" i="2" s="1"/>
  <c r="E122" i="2"/>
  <c r="H122" i="2" s="1"/>
  <c r="A123" i="2"/>
  <c r="X123" i="2" s="1"/>
  <c r="Y123" i="2" s="1"/>
  <c r="B123" i="2"/>
  <c r="C123" i="2"/>
  <c r="D123" i="2"/>
  <c r="E123" i="2"/>
  <c r="H123" i="2" s="1"/>
  <c r="A124" i="2"/>
  <c r="AC124" i="2" s="1"/>
  <c r="AD124" i="2" s="1"/>
  <c r="B124" i="2"/>
  <c r="C124" i="2"/>
  <c r="D124" i="2"/>
  <c r="G124" i="2" s="1"/>
  <c r="E124" i="2"/>
  <c r="H124" i="2" s="1"/>
  <c r="A125" i="2"/>
  <c r="X125" i="2" s="1"/>
  <c r="Y125" i="2" s="1"/>
  <c r="B125" i="2"/>
  <c r="C125" i="2"/>
  <c r="D125" i="2"/>
  <c r="E125" i="2"/>
  <c r="H125" i="2" s="1"/>
  <c r="A104" i="2"/>
  <c r="S104" i="2" s="1"/>
  <c r="T104" i="2" s="1"/>
  <c r="B104" i="2"/>
  <c r="C104" i="2"/>
  <c r="D104" i="2"/>
  <c r="E104" i="2"/>
  <c r="H104" i="2" s="1"/>
  <c r="A105" i="2"/>
  <c r="X105" i="2" s="1"/>
  <c r="Y105" i="2" s="1"/>
  <c r="B105" i="2"/>
  <c r="C105" i="2"/>
  <c r="D105" i="2"/>
  <c r="G105" i="2" s="1"/>
  <c r="E105" i="2"/>
  <c r="H105" i="2" s="1"/>
  <c r="B106" i="2"/>
  <c r="C106" i="2"/>
  <c r="D106" i="2"/>
  <c r="E106" i="2"/>
  <c r="H106" i="2" s="1"/>
  <c r="AC118" i="2" l="1"/>
  <c r="AD118" i="2" s="1"/>
  <c r="F118" i="2"/>
  <c r="F120" i="2"/>
  <c r="F121" i="2"/>
  <c r="F125" i="2"/>
  <c r="F124" i="2"/>
  <c r="X122" i="2"/>
  <c r="Y122" i="2" s="1"/>
  <c r="AC121" i="2"/>
  <c r="AD121" i="2" s="1"/>
  <c r="AC104" i="2"/>
  <c r="AD104" i="2" s="1"/>
  <c r="AC123" i="2"/>
  <c r="AD123" i="2" s="1"/>
  <c r="X120" i="2"/>
  <c r="Y120" i="2" s="1"/>
  <c r="F122" i="2"/>
  <c r="F104" i="2"/>
  <c r="F106" i="2"/>
  <c r="X104" i="2"/>
  <c r="Y104" i="2" s="1"/>
  <c r="X106" i="2"/>
  <c r="Y106" i="2" s="1"/>
  <c r="S106" i="2"/>
  <c r="T106" i="2" s="1"/>
  <c r="F123" i="2"/>
  <c r="F105" i="2"/>
  <c r="AC125" i="2"/>
  <c r="AD125" i="2" s="1"/>
  <c r="G120" i="2"/>
  <c r="AC119" i="2"/>
  <c r="AD119" i="2" s="1"/>
  <c r="G106" i="2"/>
  <c r="X124" i="2"/>
  <c r="Y124" i="2" s="1"/>
  <c r="G125" i="2"/>
  <c r="G123" i="2"/>
  <c r="G121" i="2"/>
  <c r="F119" i="2"/>
  <c r="G104" i="2"/>
  <c r="S105" i="2"/>
  <c r="T105" i="2" s="1"/>
  <c r="AC105" i="2"/>
  <c r="AD105" i="2" s="1"/>
  <c r="A117" i="2"/>
  <c r="X117" i="2" s="1"/>
  <c r="Y117" i="2" s="1"/>
  <c r="B117" i="2"/>
  <c r="C117" i="2"/>
  <c r="D117" i="2"/>
  <c r="G117" i="2" s="1"/>
  <c r="E117" i="2"/>
  <c r="AP3" i="2"/>
  <c r="AP4" i="2"/>
  <c r="AP5" i="2"/>
  <c r="AP6" i="2"/>
  <c r="AP7" i="2"/>
  <c r="AP8" i="2"/>
  <c r="F117" i="2" l="1"/>
  <c r="AC117" i="2"/>
  <c r="AD117" i="2" s="1"/>
  <c r="H117" i="2"/>
  <c r="I2" i="1" l="1"/>
  <c r="N41" i="2" l="1"/>
  <c r="O41" i="2" s="1"/>
  <c r="E41" i="2"/>
  <c r="H41" i="2" s="1"/>
  <c r="D41" i="2"/>
  <c r="C41" i="2"/>
  <c r="B41" i="2"/>
  <c r="A41" i="2"/>
  <c r="AC41" i="2" s="1"/>
  <c r="AD41" i="2" s="1"/>
  <c r="AE41" i="2" s="1"/>
  <c r="N40" i="2"/>
  <c r="O40" i="2" s="1"/>
  <c r="E40" i="2"/>
  <c r="D40" i="2"/>
  <c r="G40" i="2" s="1"/>
  <c r="C40" i="2"/>
  <c r="B40" i="2"/>
  <c r="A40" i="2"/>
  <c r="AC40" i="2" s="1"/>
  <c r="AD40" i="2" s="1"/>
  <c r="AE40" i="2" s="1"/>
  <c r="N39" i="2"/>
  <c r="O39" i="2" s="1"/>
  <c r="E39" i="2"/>
  <c r="H39" i="2" s="1"/>
  <c r="D39" i="2"/>
  <c r="C39" i="2"/>
  <c r="B39" i="2"/>
  <c r="A39" i="2"/>
  <c r="AC39" i="2" s="1"/>
  <c r="AD39" i="2" s="1"/>
  <c r="AE39" i="2" s="1"/>
  <c r="N38" i="2"/>
  <c r="O38" i="2" s="1"/>
  <c r="E38" i="2"/>
  <c r="H38" i="2" s="1"/>
  <c r="D38" i="2"/>
  <c r="C38" i="2"/>
  <c r="B38" i="2"/>
  <c r="A38" i="2"/>
  <c r="X38" i="2" s="1"/>
  <c r="Y38" i="2" s="1"/>
  <c r="Z38" i="2" s="1"/>
  <c r="N37" i="2"/>
  <c r="O37" i="2" s="1"/>
  <c r="E37" i="2"/>
  <c r="H37" i="2" s="1"/>
  <c r="D37" i="2"/>
  <c r="C37" i="2"/>
  <c r="B37" i="2"/>
  <c r="A37" i="2"/>
  <c r="AC37" i="2" s="1"/>
  <c r="AD37" i="2" s="1"/>
  <c r="AE37" i="2" s="1"/>
  <c r="N36" i="2"/>
  <c r="O36" i="2" s="1"/>
  <c r="E36" i="2"/>
  <c r="H36" i="2" s="1"/>
  <c r="D36" i="2"/>
  <c r="C36" i="2"/>
  <c r="B36" i="2"/>
  <c r="A36" i="2"/>
  <c r="X36" i="2" s="1"/>
  <c r="Y36" i="2" s="1"/>
  <c r="Z36" i="2" s="1"/>
  <c r="N35" i="2"/>
  <c r="O35" i="2" s="1"/>
  <c r="E35" i="2"/>
  <c r="D35" i="2"/>
  <c r="G35" i="2" s="1"/>
  <c r="C35" i="2"/>
  <c r="B35" i="2"/>
  <c r="A35" i="2"/>
  <c r="X35" i="2" s="1"/>
  <c r="Y35" i="2" s="1"/>
  <c r="Z35" i="2" s="1"/>
  <c r="N34" i="2"/>
  <c r="O34" i="2" s="1"/>
  <c r="E34" i="2"/>
  <c r="H34" i="2" s="1"/>
  <c r="D34" i="2"/>
  <c r="C34" i="2"/>
  <c r="B34" i="2"/>
  <c r="A34" i="2"/>
  <c r="X34" i="2" s="1"/>
  <c r="Y34" i="2" s="1"/>
  <c r="Z34" i="2" s="1"/>
  <c r="N33" i="2"/>
  <c r="O33" i="2" s="1"/>
  <c r="E33" i="2"/>
  <c r="H33" i="2" s="1"/>
  <c r="D33" i="2"/>
  <c r="C33" i="2"/>
  <c r="B33" i="2"/>
  <c r="A33" i="2"/>
  <c r="X33" i="2" s="1"/>
  <c r="Y33" i="2" s="1"/>
  <c r="Z33" i="2" s="1"/>
  <c r="N32" i="2"/>
  <c r="O32" i="2" s="1"/>
  <c r="E32" i="2"/>
  <c r="H32" i="2" s="1"/>
  <c r="D32" i="2"/>
  <c r="C32" i="2"/>
  <c r="B32" i="2"/>
  <c r="A32" i="2"/>
  <c r="X32" i="2" s="1"/>
  <c r="Y32" i="2" s="1"/>
  <c r="Z32" i="2" s="1"/>
  <c r="N31" i="2"/>
  <c r="O31" i="2" s="1"/>
  <c r="E31" i="2"/>
  <c r="H31" i="2" s="1"/>
  <c r="D31" i="2"/>
  <c r="C31" i="2"/>
  <c r="B31" i="2"/>
  <c r="A31" i="2"/>
  <c r="X31" i="2" s="1"/>
  <c r="Y31" i="2" s="1"/>
  <c r="Z31" i="2" s="1"/>
  <c r="N30" i="2"/>
  <c r="O30" i="2" s="1"/>
  <c r="E30" i="2"/>
  <c r="H30" i="2" s="1"/>
  <c r="D30" i="2"/>
  <c r="C30" i="2"/>
  <c r="B30" i="2"/>
  <c r="A30" i="2"/>
  <c r="X30" i="2" s="1"/>
  <c r="Y30" i="2" s="1"/>
  <c r="Z30" i="2" s="1"/>
  <c r="N29" i="2"/>
  <c r="E29" i="2"/>
  <c r="D29" i="2"/>
  <c r="G29" i="2" s="1"/>
  <c r="C29" i="2"/>
  <c r="B29" i="2"/>
  <c r="A29" i="2"/>
  <c r="X29" i="2" s="1"/>
  <c r="Y29" i="2" s="1"/>
  <c r="Z29" i="2" s="1"/>
  <c r="N28" i="2"/>
  <c r="O28" i="2" s="1"/>
  <c r="E28" i="2"/>
  <c r="H28" i="2" s="1"/>
  <c r="D28" i="2"/>
  <c r="C28" i="2"/>
  <c r="B28" i="2"/>
  <c r="A28" i="2"/>
  <c r="X28" i="2" s="1"/>
  <c r="Y28" i="2" s="1"/>
  <c r="Z28" i="2" s="1"/>
  <c r="N27" i="2"/>
  <c r="O27" i="2" s="1"/>
  <c r="E27" i="2"/>
  <c r="H27" i="2" s="1"/>
  <c r="D27" i="2"/>
  <c r="C27" i="2"/>
  <c r="B27" i="2"/>
  <c r="A27" i="2"/>
  <c r="S27" i="2" s="1"/>
  <c r="T27" i="2" s="1"/>
  <c r="U27" i="2" s="1"/>
  <c r="H26" i="2"/>
  <c r="G26" i="2"/>
  <c r="E26" i="2"/>
  <c r="D26" i="2"/>
  <c r="C26" i="2"/>
  <c r="B26" i="2"/>
  <c r="K131" i="2" l="1"/>
  <c r="M131" i="2"/>
  <c r="AE131" i="2" s="1"/>
  <c r="M196" i="2"/>
  <c r="AE196" i="2" s="1"/>
  <c r="L219" i="2"/>
  <c r="Z219" i="2" s="1"/>
  <c r="M194" i="2"/>
  <c r="AE194" i="2" s="1"/>
  <c r="K129" i="2"/>
  <c r="L216" i="2"/>
  <c r="L126" i="2"/>
  <c r="Z126" i="2" s="1"/>
  <c r="L194" i="2"/>
  <c r="Z194" i="2" s="1"/>
  <c r="M220" i="2"/>
  <c r="AE220" i="2" s="1"/>
  <c r="K220" i="2"/>
  <c r="M193" i="2"/>
  <c r="AE193" i="2" s="1"/>
  <c r="L127" i="2"/>
  <c r="K125" i="2"/>
  <c r="K128" i="2"/>
  <c r="K218" i="2"/>
  <c r="L125" i="2"/>
  <c r="L124" i="2" s="1"/>
  <c r="L123" i="2" s="1"/>
  <c r="L122" i="2" s="1"/>
  <c r="L121" i="2" s="1"/>
  <c r="K127" i="2"/>
  <c r="L131" i="2"/>
  <c r="Z131" i="2" s="1"/>
  <c r="L128" i="2"/>
  <c r="Z128" i="2" s="1"/>
  <c r="L217" i="2"/>
  <c r="Z217" i="2" s="1"/>
  <c r="M128" i="2"/>
  <c r="AE128" i="2" s="1"/>
  <c r="M129" i="2"/>
  <c r="AE129" i="2" s="1"/>
  <c r="M127" i="2"/>
  <c r="AE127" i="2" s="1"/>
  <c r="M219" i="2"/>
  <c r="AE219" i="2" s="1"/>
  <c r="K193" i="2"/>
  <c r="K194" i="2"/>
  <c r="L129" i="2"/>
  <c r="Z129" i="2" s="1"/>
  <c r="M126" i="2"/>
  <c r="AE126" i="2" s="1"/>
  <c r="M195" i="2"/>
  <c r="AE195" i="2" s="1"/>
  <c r="L195" i="2"/>
  <c r="Z195" i="2" s="1"/>
  <c r="K126" i="2"/>
  <c r="M130" i="2"/>
  <c r="AE130" i="2" s="1"/>
  <c r="L130" i="2"/>
  <c r="Z130" i="2" s="1"/>
  <c r="K219" i="2"/>
  <c r="K216" i="2"/>
  <c r="L218" i="2"/>
  <c r="Z218" i="2" s="1"/>
  <c r="L193" i="2"/>
  <c r="Z193" i="2" s="1"/>
  <c r="K130" i="2"/>
  <c r="L220" i="2"/>
  <c r="Z220" i="2" s="1"/>
  <c r="M218" i="2"/>
  <c r="AE218" i="2" s="1"/>
  <c r="M217" i="2"/>
  <c r="K217" i="2"/>
  <c r="M125" i="2"/>
  <c r="M124" i="2" s="1"/>
  <c r="M123" i="2" s="1"/>
  <c r="M122" i="2" s="1"/>
  <c r="M121" i="2" s="1"/>
  <c r="L120" i="2"/>
  <c r="L119" i="2" s="1"/>
  <c r="L118" i="2" s="1"/>
  <c r="L117" i="2" s="1"/>
  <c r="M120" i="2"/>
  <c r="AE120" i="2" s="1"/>
  <c r="K120" i="2"/>
  <c r="K196" i="2"/>
  <c r="L211" i="2"/>
  <c r="Z211" i="2" s="1"/>
  <c r="K195" i="2"/>
  <c r="K211" i="2"/>
  <c r="M105" i="2"/>
  <c r="AE105" i="2" s="1"/>
  <c r="K104" i="2"/>
  <c r="M104" i="2"/>
  <c r="AE104" i="2" s="1"/>
  <c r="K105" i="2"/>
  <c r="L105" i="2"/>
  <c r="Z105" i="2" s="1"/>
  <c r="L104" i="2"/>
  <c r="Z104" i="2" s="1"/>
  <c r="F33" i="2"/>
  <c r="G33" i="2"/>
  <c r="F35" i="2"/>
  <c r="F38" i="2"/>
  <c r="S34" i="2"/>
  <c r="T34" i="2" s="1"/>
  <c r="U34" i="2" s="1"/>
  <c r="P37" i="2"/>
  <c r="S32" i="2"/>
  <c r="T32" i="2" s="1"/>
  <c r="U32" i="2" s="1"/>
  <c r="P36" i="2"/>
  <c r="P29" i="2"/>
  <c r="X41" i="2"/>
  <c r="Y41" i="2" s="1"/>
  <c r="Z41" i="2" s="1"/>
  <c r="F29" i="2"/>
  <c r="S28" i="2"/>
  <c r="T28" i="2" s="1"/>
  <c r="U28" i="2" s="1"/>
  <c r="S36" i="2"/>
  <c r="T36" i="2" s="1"/>
  <c r="U36" i="2" s="1"/>
  <c r="P30" i="2"/>
  <c r="P32" i="2"/>
  <c r="P40" i="2"/>
  <c r="P39" i="2"/>
  <c r="AC32" i="2"/>
  <c r="AD32" i="2" s="1"/>
  <c r="AE32" i="2" s="1"/>
  <c r="X40" i="2"/>
  <c r="Y40" i="2" s="1"/>
  <c r="Z40" i="2" s="1"/>
  <c r="H35" i="2"/>
  <c r="F37" i="2"/>
  <c r="G37" i="2"/>
  <c r="G38" i="2"/>
  <c r="F40" i="2"/>
  <c r="O29" i="2"/>
  <c r="P31" i="2"/>
  <c r="AC34" i="2"/>
  <c r="AD34" i="2" s="1"/>
  <c r="AE34" i="2" s="1"/>
  <c r="P28" i="2"/>
  <c r="P33" i="2"/>
  <c r="AC36" i="2"/>
  <c r="AD36" i="2" s="1"/>
  <c r="AE36" i="2" s="1"/>
  <c r="S29" i="2"/>
  <c r="T29" i="2" s="1"/>
  <c r="U29" i="2" s="1"/>
  <c r="P27" i="2"/>
  <c r="F31" i="2"/>
  <c r="S30" i="2"/>
  <c r="T30" i="2" s="1"/>
  <c r="U30" i="2" s="1"/>
  <c r="G31" i="2"/>
  <c r="P34" i="2"/>
  <c r="AC38" i="2"/>
  <c r="AD38" i="2" s="1"/>
  <c r="AE38" i="2" s="1"/>
  <c r="X39" i="2"/>
  <c r="Y39" i="2" s="1"/>
  <c r="Z39" i="2" s="1"/>
  <c r="AC30" i="2"/>
  <c r="AD30" i="2" s="1"/>
  <c r="AE30" i="2" s="1"/>
  <c r="P35" i="2"/>
  <c r="P41" i="2"/>
  <c r="F28" i="2"/>
  <c r="G28" i="2"/>
  <c r="F30" i="2"/>
  <c r="F32" i="2"/>
  <c r="AC33" i="2"/>
  <c r="AD33" i="2" s="1"/>
  <c r="AE33" i="2" s="1"/>
  <c r="F36" i="2"/>
  <c r="F41" i="2"/>
  <c r="G27" i="2"/>
  <c r="H29" i="2"/>
  <c r="G30" i="2"/>
  <c r="G32" i="2"/>
  <c r="G34" i="2"/>
  <c r="G36" i="2"/>
  <c r="H40" i="2"/>
  <c r="G41" i="2"/>
  <c r="AC31" i="2"/>
  <c r="AD31" i="2" s="1"/>
  <c r="AE31" i="2" s="1"/>
  <c r="F34" i="2"/>
  <c r="AC35" i="2"/>
  <c r="AD35" i="2" s="1"/>
  <c r="AE35" i="2" s="1"/>
  <c r="S31" i="2"/>
  <c r="T31" i="2" s="1"/>
  <c r="U31" i="2" s="1"/>
  <c r="S33" i="2"/>
  <c r="T33" i="2" s="1"/>
  <c r="U33" i="2" s="1"/>
  <c r="S35" i="2"/>
  <c r="T35" i="2" s="1"/>
  <c r="U35" i="2" s="1"/>
  <c r="X37" i="2"/>
  <c r="Y37" i="2" s="1"/>
  <c r="Z37" i="2" s="1"/>
  <c r="P38" i="2"/>
  <c r="F39" i="2"/>
  <c r="G39" i="2"/>
  <c r="F27" i="2"/>
  <c r="U196" i="2" l="1"/>
  <c r="N218" i="2"/>
  <c r="N219" i="2"/>
  <c r="N194" i="2"/>
  <c r="N220" i="2"/>
  <c r="P220" i="2" s="1"/>
  <c r="N195" i="2"/>
  <c r="N193" i="2"/>
  <c r="L210" i="2"/>
  <c r="Z210" i="2" s="1"/>
  <c r="Z125" i="2"/>
  <c r="N130" i="2"/>
  <c r="O130" i="2" s="1"/>
  <c r="K215" i="2"/>
  <c r="K210" i="2"/>
  <c r="N129" i="2"/>
  <c r="P129" i="2" s="1"/>
  <c r="N125" i="2"/>
  <c r="O125" i="2" s="1"/>
  <c r="N120" i="2"/>
  <c r="N128" i="2"/>
  <c r="L215" i="2"/>
  <c r="Z216" i="2"/>
  <c r="M216" i="2"/>
  <c r="N217" i="2" s="1"/>
  <c r="AE217" i="2"/>
  <c r="U193" i="2"/>
  <c r="N127" i="2"/>
  <c r="P127" i="2" s="1"/>
  <c r="Z127" i="2"/>
  <c r="AE125" i="2"/>
  <c r="U195" i="2"/>
  <c r="K119" i="2"/>
  <c r="N131" i="2"/>
  <c r="U194" i="2"/>
  <c r="K124" i="2"/>
  <c r="N126" i="2"/>
  <c r="K206" i="2"/>
  <c r="N105" i="2"/>
  <c r="N104" i="2"/>
  <c r="U105" i="2"/>
  <c r="U104" i="2"/>
  <c r="H103" i="2"/>
  <c r="G103" i="2"/>
  <c r="E107" i="2"/>
  <c r="H107" i="2" s="1"/>
  <c r="E108" i="2"/>
  <c r="H108" i="2" s="1"/>
  <c r="E109" i="2"/>
  <c r="H109" i="2" s="1"/>
  <c r="E110" i="2"/>
  <c r="E111" i="2"/>
  <c r="H111" i="2" s="1"/>
  <c r="E112" i="2"/>
  <c r="H112" i="2" s="1"/>
  <c r="E113" i="2"/>
  <c r="H113" i="2" s="1"/>
  <c r="E114" i="2"/>
  <c r="H114" i="2" s="1"/>
  <c r="E115" i="2"/>
  <c r="E116" i="2"/>
  <c r="H116" i="2" s="1"/>
  <c r="D107" i="2"/>
  <c r="D108" i="2"/>
  <c r="D109" i="2"/>
  <c r="G109" i="2" s="1"/>
  <c r="D110" i="2"/>
  <c r="G110" i="2" s="1"/>
  <c r="D111" i="2"/>
  <c r="G111" i="2" s="1"/>
  <c r="D112" i="2"/>
  <c r="G112" i="2" s="1"/>
  <c r="D113" i="2"/>
  <c r="G113" i="2" s="1"/>
  <c r="D114" i="2"/>
  <c r="G114" i="2" s="1"/>
  <c r="D115" i="2"/>
  <c r="G115" i="2" s="1"/>
  <c r="D116" i="2"/>
  <c r="E103" i="2"/>
  <c r="D103" i="2"/>
  <c r="A107" i="2"/>
  <c r="A108" i="2"/>
  <c r="AC108" i="2" s="1"/>
  <c r="AD108" i="2" s="1"/>
  <c r="A109" i="2"/>
  <c r="S109" i="2" s="1"/>
  <c r="T109" i="2" s="1"/>
  <c r="A110" i="2"/>
  <c r="X110" i="2" s="1"/>
  <c r="Y110" i="2" s="1"/>
  <c r="A111" i="2"/>
  <c r="X111" i="2" s="1"/>
  <c r="Y111" i="2" s="1"/>
  <c r="A112" i="2"/>
  <c r="AC112" i="2" s="1"/>
  <c r="AD112" i="2" s="1"/>
  <c r="A113" i="2"/>
  <c r="AC113" i="2" s="1"/>
  <c r="AD113" i="2" s="1"/>
  <c r="A114" i="2"/>
  <c r="AC114" i="2" s="1"/>
  <c r="AD114" i="2" s="1"/>
  <c r="A115" i="2"/>
  <c r="X115" i="2" s="1"/>
  <c r="Y115" i="2" s="1"/>
  <c r="A116" i="2"/>
  <c r="AC116" i="2" s="1"/>
  <c r="AD116" i="2" s="1"/>
  <c r="B107" i="2"/>
  <c r="B108" i="2"/>
  <c r="B109" i="2"/>
  <c r="B110" i="2"/>
  <c r="B111" i="2"/>
  <c r="B112" i="2"/>
  <c r="B113" i="2"/>
  <c r="B114" i="2"/>
  <c r="B115" i="2"/>
  <c r="B116" i="2"/>
  <c r="C107" i="2"/>
  <c r="C108" i="2"/>
  <c r="C109" i="2"/>
  <c r="C110" i="2"/>
  <c r="C111" i="2"/>
  <c r="C112" i="2"/>
  <c r="C113" i="2"/>
  <c r="C114" i="2"/>
  <c r="C115" i="2"/>
  <c r="C116" i="2"/>
  <c r="C103" i="2"/>
  <c r="B103" i="2"/>
  <c r="L209" i="2" l="1"/>
  <c r="O129" i="2"/>
  <c r="O220" i="2"/>
  <c r="P130" i="2"/>
  <c r="K214" i="2"/>
  <c r="O127" i="2"/>
  <c r="K209" i="2"/>
  <c r="O217" i="2"/>
  <c r="P217" i="2"/>
  <c r="P194" i="2"/>
  <c r="O194" i="2"/>
  <c r="O195" i="2"/>
  <c r="P195" i="2"/>
  <c r="O218" i="2"/>
  <c r="P218" i="2"/>
  <c r="L116" i="2"/>
  <c r="L115" i="2"/>
  <c r="L114" i="2" s="1"/>
  <c r="L113" i="2" s="1"/>
  <c r="L112" i="2" s="1"/>
  <c r="L111" i="2" s="1"/>
  <c r="M115" i="2"/>
  <c r="K115" i="2"/>
  <c r="K114" i="2" s="1"/>
  <c r="N124" i="2"/>
  <c r="O124" i="2" s="1"/>
  <c r="K123" i="2"/>
  <c r="N119" i="2"/>
  <c r="K118" i="2"/>
  <c r="K110" i="2"/>
  <c r="K109" i="2" s="1"/>
  <c r="M110" i="2"/>
  <c r="L110" i="2"/>
  <c r="L109" i="2" s="1"/>
  <c r="L108" i="2" s="1"/>
  <c r="L107" i="2" s="1"/>
  <c r="L106" i="2" s="1"/>
  <c r="L208" i="2"/>
  <c r="Z209" i="2"/>
  <c r="O219" i="2"/>
  <c r="P219" i="2"/>
  <c r="AE216" i="2"/>
  <c r="M215" i="2"/>
  <c r="O126" i="2"/>
  <c r="P126" i="2"/>
  <c r="P193" i="2"/>
  <c r="O193" i="2"/>
  <c r="L214" i="2"/>
  <c r="Z215" i="2"/>
  <c r="O131" i="2"/>
  <c r="P131" i="2"/>
  <c r="O128" i="2"/>
  <c r="P128" i="2"/>
  <c r="L206" i="2"/>
  <c r="K205" i="2"/>
  <c r="O104" i="2"/>
  <c r="P104" i="2"/>
  <c r="AE124" i="2"/>
  <c r="O105" i="2"/>
  <c r="P105" i="2"/>
  <c r="P125" i="2"/>
  <c r="Z124" i="2"/>
  <c r="S107" i="2"/>
  <c r="T107" i="2" s="1"/>
  <c r="X107" i="2"/>
  <c r="Y107" i="2" s="1"/>
  <c r="F116" i="2"/>
  <c r="F108" i="2"/>
  <c r="F115" i="2"/>
  <c r="AC110" i="2"/>
  <c r="AD110" i="2" s="1"/>
  <c r="X109" i="2"/>
  <c r="Y109" i="2" s="1"/>
  <c r="F114" i="2"/>
  <c r="AC109" i="2"/>
  <c r="AD109" i="2" s="1"/>
  <c r="F113" i="2"/>
  <c r="G108" i="2"/>
  <c r="X112" i="2"/>
  <c r="Y112" i="2" s="1"/>
  <c r="F110" i="2"/>
  <c r="G116" i="2"/>
  <c r="X113" i="2"/>
  <c r="Y113" i="2" s="1"/>
  <c r="F107" i="2"/>
  <c r="H115" i="2"/>
  <c r="G107" i="2"/>
  <c r="X116" i="2"/>
  <c r="Y116" i="2" s="1"/>
  <c r="S112" i="2"/>
  <c r="T112" i="2" s="1"/>
  <c r="S113" i="2"/>
  <c r="T113" i="2" s="1"/>
  <c r="S111" i="2"/>
  <c r="T111" i="2" s="1"/>
  <c r="S110" i="2"/>
  <c r="T110" i="2" s="1"/>
  <c r="X108" i="2"/>
  <c r="Y108" i="2" s="1"/>
  <c r="AC111" i="2"/>
  <c r="AD111" i="2" s="1"/>
  <c r="S108" i="2"/>
  <c r="T108" i="2" s="1"/>
  <c r="AC115" i="2"/>
  <c r="AD115" i="2" s="1"/>
  <c r="F109" i="2"/>
  <c r="AC107" i="2"/>
  <c r="AD107" i="2" s="1"/>
  <c r="H110" i="2"/>
  <c r="F112" i="2"/>
  <c r="X114" i="2"/>
  <c r="Y114" i="2" s="1"/>
  <c r="F111" i="2"/>
  <c r="A10" i="1"/>
  <c r="M112" i="2" l="1"/>
  <c r="N109" i="2" s="1"/>
  <c r="K208" i="2"/>
  <c r="K213" i="2"/>
  <c r="K113" i="2"/>
  <c r="K108" i="2"/>
  <c r="M119" i="2"/>
  <c r="AE119" i="2" s="1"/>
  <c r="M118" i="2"/>
  <c r="N115" i="2" s="1"/>
  <c r="M117" i="2"/>
  <c r="N114" i="2" s="1"/>
  <c r="M114" i="2"/>
  <c r="AE114" i="2" s="1"/>
  <c r="M111" i="2"/>
  <c r="AE111" i="2" s="1"/>
  <c r="N123" i="2"/>
  <c r="O123" i="2" s="1"/>
  <c r="K122" i="2"/>
  <c r="L207" i="2"/>
  <c r="Z207" i="2" s="1"/>
  <c r="Z208" i="2"/>
  <c r="M116" i="2"/>
  <c r="M214" i="2"/>
  <c r="AE215" i="2"/>
  <c r="Z214" i="2"/>
  <c r="L213" i="2"/>
  <c r="M113" i="2"/>
  <c r="N110" i="2" s="1"/>
  <c r="N118" i="2"/>
  <c r="K117" i="2"/>
  <c r="L205" i="2"/>
  <c r="Z206" i="2"/>
  <c r="K204" i="2"/>
  <c r="Z123" i="2"/>
  <c r="AE123" i="2"/>
  <c r="P124" i="2"/>
  <c r="U110" i="2"/>
  <c r="AE110" i="2"/>
  <c r="AE115" i="2"/>
  <c r="AE112" i="2" l="1"/>
  <c r="AE118" i="2"/>
  <c r="K212" i="2"/>
  <c r="K207" i="2"/>
  <c r="M213" i="2"/>
  <c r="AE214" i="2"/>
  <c r="Z213" i="2"/>
  <c r="L212" i="2"/>
  <c r="N122" i="2"/>
  <c r="O122" i="2" s="1"/>
  <c r="K121" i="2"/>
  <c r="N121" i="2" s="1"/>
  <c r="O121" i="2" s="1"/>
  <c r="N117" i="2"/>
  <c r="K116" i="2"/>
  <c r="N116" i="2" s="1"/>
  <c r="AE113" i="2"/>
  <c r="N113" i="2"/>
  <c r="K112" i="2"/>
  <c r="N108" i="2"/>
  <c r="K107" i="2"/>
  <c r="N107" i="2" s="1"/>
  <c r="M106" i="2"/>
  <c r="M109" i="2"/>
  <c r="M107" i="2"/>
  <c r="M108" i="2"/>
  <c r="L204" i="2"/>
  <c r="Z205" i="2"/>
  <c r="K203" i="2"/>
  <c r="Z120" i="2"/>
  <c r="AE116" i="2"/>
  <c r="AE117" i="2"/>
  <c r="P123" i="2"/>
  <c r="Z121" i="2"/>
  <c r="Z122" i="2"/>
  <c r="AE122" i="2"/>
  <c r="AE121" i="2"/>
  <c r="U109" i="2"/>
  <c r="N216" i="2" l="1"/>
  <c r="N112" i="2"/>
  <c r="K111" i="2"/>
  <c r="N111" i="2" s="1"/>
  <c r="Z212" i="2"/>
  <c r="M212" i="2"/>
  <c r="N215" i="2" s="1"/>
  <c r="O215" i="2" s="1"/>
  <c r="AE213" i="2"/>
  <c r="K202" i="2"/>
  <c r="L203" i="2"/>
  <c r="Z204" i="2"/>
  <c r="Z119" i="2"/>
  <c r="O120" i="2"/>
  <c r="P120" i="2"/>
  <c r="P122" i="2"/>
  <c r="U108" i="2"/>
  <c r="U113" i="2"/>
  <c r="P215" i="2" l="1"/>
  <c r="O216" i="2"/>
  <c r="P216" i="2"/>
  <c r="K201" i="2"/>
  <c r="AE212" i="2"/>
  <c r="K200" i="2"/>
  <c r="Z203" i="2"/>
  <c r="L202" i="2"/>
  <c r="U202" i="2"/>
  <c r="O119" i="2"/>
  <c r="P119" i="2"/>
  <c r="Z118" i="2"/>
  <c r="P121" i="2"/>
  <c r="U112" i="2"/>
  <c r="K106" i="2"/>
  <c r="N106" i="2" s="1"/>
  <c r="U107" i="2"/>
  <c r="U201" i="2" l="1"/>
  <c r="U200" i="2"/>
  <c r="K199" i="2"/>
  <c r="L201" i="2"/>
  <c r="Z202" i="2"/>
  <c r="O118" i="2"/>
  <c r="P118" i="2"/>
  <c r="Z117" i="2"/>
  <c r="U106" i="2"/>
  <c r="U111" i="2"/>
  <c r="U199" i="2" l="1"/>
  <c r="K198" i="2"/>
  <c r="L200" i="2"/>
  <c r="Z201" i="2"/>
  <c r="O117" i="2"/>
  <c r="P117" i="2"/>
  <c r="Z116" i="2"/>
  <c r="K197" i="2" l="1"/>
  <c r="U198" i="2"/>
  <c r="L199" i="2"/>
  <c r="N199" i="2" s="1"/>
  <c r="Z200" i="2"/>
  <c r="Z115" i="2"/>
  <c r="O116" i="2"/>
  <c r="P116" i="2"/>
  <c r="U197" i="2" l="1"/>
  <c r="Z199" i="2"/>
  <c r="L198" i="2"/>
  <c r="N198" i="2" s="1"/>
  <c r="O115" i="2"/>
  <c r="P115" i="2"/>
  <c r="Z114" i="2"/>
  <c r="L197" i="2" l="1"/>
  <c r="N197" i="2" s="1"/>
  <c r="Z198" i="2"/>
  <c r="O114" i="2"/>
  <c r="P114" i="2"/>
  <c r="Z113" i="2"/>
  <c r="L196" i="2" l="1"/>
  <c r="N196" i="2" s="1"/>
  <c r="Z197" i="2"/>
  <c r="O113" i="2"/>
  <c r="P113" i="2"/>
  <c r="Z112" i="2"/>
  <c r="Z196" i="2" l="1"/>
  <c r="O112" i="2"/>
  <c r="P112" i="2"/>
  <c r="Z111" i="2"/>
  <c r="O196" i="2" l="1"/>
  <c r="P196" i="2"/>
  <c r="O111" i="2"/>
  <c r="P111" i="2"/>
  <c r="Z110" i="2"/>
  <c r="Z109" i="2" l="1"/>
  <c r="O110" i="2"/>
  <c r="P110" i="2"/>
  <c r="O109" i="2" l="1"/>
  <c r="P109" i="2"/>
  <c r="Z108" i="2"/>
  <c r="O108" i="2" l="1"/>
  <c r="P108" i="2"/>
  <c r="Z107" i="2"/>
  <c r="Z106" i="2" l="1"/>
  <c r="AE108" i="2"/>
  <c r="AE109" i="2"/>
  <c r="P107" i="2"/>
  <c r="P106" i="2"/>
  <c r="AE107" i="2"/>
  <c r="AE106" i="2"/>
  <c r="O106" i="2" l="1"/>
  <c r="O107" i="2"/>
  <c r="M206" i="2" l="1"/>
  <c r="N209" i="2" s="1"/>
  <c r="M211" i="2"/>
  <c r="N214" i="2" s="1"/>
  <c r="P214" i="2" l="1"/>
  <c r="O214" i="2"/>
  <c r="M207" i="2"/>
  <c r="N210" i="2" s="1"/>
  <c r="M209" i="2"/>
  <c r="N212" i="2" s="1"/>
  <c r="M210" i="2"/>
  <c r="N213" i="2" s="1"/>
  <c r="M208" i="2"/>
  <c r="N211" i="2" s="1"/>
  <c r="AE206" i="2"/>
  <c r="AE211" i="2"/>
  <c r="P213" i="2" l="1"/>
  <c r="O213" i="2"/>
  <c r="P212" i="2"/>
  <c r="O212" i="2"/>
  <c r="P211" i="2"/>
  <c r="O211" i="2"/>
  <c r="M201" i="2"/>
  <c r="N204" i="2" s="1"/>
  <c r="M203" i="2" l="1"/>
  <c r="N206" i="2" s="1"/>
  <c r="M204" i="2"/>
  <c r="N207" i="2" s="1"/>
  <c r="M205" i="2"/>
  <c r="N208" i="2" s="1"/>
  <c r="M202" i="2"/>
  <c r="N205" i="2" s="1"/>
  <c r="M200" i="2"/>
  <c r="N203" i="2" s="1"/>
  <c r="M198" i="2"/>
  <c r="N201" i="2" s="1"/>
  <c r="M199" i="2"/>
  <c r="N202" i="2" s="1"/>
  <c r="AE201" i="2"/>
  <c r="M197" i="2"/>
  <c r="N200" i="2" s="1"/>
  <c r="P206" i="2" l="1"/>
  <c r="O206" i="2"/>
  <c r="O201" i="2"/>
  <c r="P201" i="2"/>
  <c r="O197" i="2"/>
  <c r="AE197" i="2"/>
  <c r="AE200" i="2"/>
  <c r="AE198" i="2"/>
  <c r="P200" i="2"/>
  <c r="O198" i="2"/>
  <c r="O199" i="2"/>
  <c r="AE199" i="2"/>
  <c r="AE202" i="2"/>
  <c r="P202" i="2"/>
  <c r="O202" i="2" l="1"/>
  <c r="P198" i="2"/>
  <c r="P199" i="2"/>
  <c r="P197" i="2"/>
  <c r="O200" i="2"/>
  <c r="AE207" i="2"/>
  <c r="O207" i="2"/>
  <c r="AE205" i="2"/>
  <c r="AE208" i="2"/>
  <c r="AE209" i="2"/>
  <c r="P207" i="2" l="1"/>
  <c r="O204" i="2"/>
  <c r="P204" i="2"/>
  <c r="AE204" i="2"/>
  <c r="P208" i="2"/>
  <c r="O203" i="2"/>
  <c r="P203" i="2"/>
  <c r="O210" i="2"/>
  <c r="P210" i="2"/>
  <c r="AE203" i="2"/>
  <c r="AE210" i="2"/>
  <c r="O208" i="2"/>
  <c r="O209" i="2" l="1"/>
  <c r="P209" i="2"/>
  <c r="O205" i="2"/>
  <c r="P205" i="2"/>
</calcChain>
</file>

<file path=xl/sharedStrings.xml><?xml version="1.0" encoding="utf-8"?>
<sst xmlns="http://schemas.openxmlformats.org/spreadsheetml/2006/main" count="757" uniqueCount="170">
  <si>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</si>
  <si>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</si>
  <si>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</si>
  <si>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</si>
  <si>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</si>
  <si>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</si>
  <si>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</si>
  <si>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</si>
  <si>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</si>
  <si>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</si>
  <si>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</si>
  <si>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</si>
  <si>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</si>
  <si>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</si>
  <si>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</si>
  <si>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</si>
  <si>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</si>
  <si>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</si>
  <si>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</si>
  <si>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</si>
  <si>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</si>
  <si>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</si>
  <si>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</si>
  <si>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</si>
  <si>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</si>
  <si>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</si>
  <si>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</si>
  <si>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</si>
  <si>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</si>
  <si>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</si>
  <si>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</si>
  <si>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</si>
  <si>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</si>
  <si>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</si>
  <si>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</si>
  <si>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</si>
  <si>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</si>
  <si>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</si>
  <si>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</si>
  <si>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</si>
  <si>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</si>
  <si>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</si>
  <si>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</si>
  <si>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</si>
  <si>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</si>
  <si>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</si>
  <si>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</si>
  <si>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</si>
  <si>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</si>
  <si>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</si>
  <si>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</si>
  <si>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</si>
  <si>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</si>
  <si>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</si>
  <si>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</si>
  <si>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</si>
  <si>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</si>
  <si>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</si>
  <si>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</si>
  <si>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</si>
  <si>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</si>
  <si>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</si>
  <si>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</si>
  <si>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</si>
  <si>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</si>
  <si>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</si>
  <si>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</si>
  <si>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</si>
  <si>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</si>
  <si>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</si>
  <si>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</si>
  <si>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</si>
  <si>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</si>
  <si>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</si>
  <si>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</si>
  <si>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</si>
  <si>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</si>
  <si>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</si>
  <si>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</si>
  <si>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</si>
  <si>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</si>
  <si>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</si>
  <si>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</si>
  <si>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</si>
  <si>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</si>
  <si>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</si>
  <si>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</si>
  <si>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</si>
  <si>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</si>
  <si>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tover</t>
  </si>
  <si>
    <t>cash</t>
  </si>
  <si>
    <t>refi</t>
  </si>
  <si>
    <t>ratio</t>
  </si>
  <si>
    <t>adj</t>
  </si>
  <si>
    <t>Knot</t>
  </si>
  <si>
    <t>incentive</t>
  </si>
  <si>
    <t>x</t>
  </si>
  <si>
    <t>PREPAY_SMM1</t>
  </si>
  <si>
    <t>PREPAY_TRACKING_SMM1</t>
  </si>
  <si>
    <t>adj Knot</t>
  </si>
  <si>
    <t>mdl_smm</t>
  </si>
  <si>
    <t>mdl_cpr</t>
  </si>
  <si>
    <t>turn</t>
  </si>
  <si>
    <t>adj x</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</si>
  <si>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</si>
  <si>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</si>
  <si>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</si>
  <si>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</si>
  <si>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</si>
  <si>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</si>
  <si>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</si>
  <si>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</si>
  <si>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</si>
  <si>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</si>
  <si>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</si>
  <si>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</si>
  <si>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</si>
  <si>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</si>
  <si>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</si>
  <si>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</si>
  <si>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[20120101,20130401]</t>
  </si>
  <si>
    <t>[12,24)</t>
  </si>
  <si>
    <t>WALA [12,24)</t>
  </si>
  <si>
    <t>Better fit for WALA&lt;24</t>
  </si>
  <si>
    <t>PCT_BROKER</t>
  </si>
  <si>
    <t>PCT_CORRES</t>
  </si>
  <si>
    <t>PCT_NonRETAIL</t>
  </si>
  <si>
    <t>PCT_RETAIL</t>
  </si>
  <si>
    <t>PCT_CashWindow</t>
  </si>
  <si>
    <t>PCT_NonCashWindow</t>
  </si>
  <si>
    <t>NonCashWindow</t>
  </si>
  <si>
    <t>TPO</t>
  </si>
  <si>
    <t>CORRES, CASHWINDOW</t>
  </si>
  <si>
    <t>CORRES+CASHWINDOW</t>
  </si>
  <si>
    <t>BROKER</t>
  </si>
  <si>
    <t>0-5</t>
  </si>
  <si>
    <t>15-20</t>
  </si>
  <si>
    <t>25-30</t>
  </si>
  <si>
    <t>30-35</t>
  </si>
  <si>
    <t>35-40</t>
  </si>
  <si>
    <t>40-45</t>
  </si>
  <si>
    <t>50-55</t>
  </si>
  <si>
    <t>55-60</t>
  </si>
  <si>
    <t>60-65</t>
  </si>
  <si>
    <t>65-70</t>
  </si>
  <si>
    <t>08-1:-25--20</t>
  </si>
  <si>
    <t>08-2:-20--15</t>
  </si>
  <si>
    <t>08-3:-15--10</t>
  </si>
  <si>
    <t>08-4:-10--5</t>
  </si>
  <si>
    <t>09-1:0-5</t>
  </si>
  <si>
    <t>09-2:5-10</t>
  </si>
  <si>
    <t>09-3:10-15</t>
  </si>
  <si>
    <t>09-4:15-20</t>
  </si>
  <si>
    <t>10-1:25-30</t>
  </si>
  <si>
    <t>10-2:30-35</t>
  </si>
  <si>
    <t>10-3:35-40</t>
  </si>
  <si>
    <t>10-4:40-45</t>
  </si>
  <si>
    <t>11-1:50-55</t>
  </si>
  <si>
    <t>11-2:55-60</t>
  </si>
  <si>
    <t>11-3:60-65</t>
  </si>
  <si>
    <t>11-4:65-70</t>
  </si>
  <si>
    <t>Channel Dial</t>
  </si>
  <si>
    <t>999:&gt;= 250</t>
  </si>
  <si>
    <t>&gt;= 250</t>
  </si>
  <si>
    <t>CORRES</t>
  </si>
  <si>
    <t>CashWindow</t>
  </si>
  <si>
    <t>CPR</t>
  </si>
  <si>
    <t xml:space="preserve"> 15bps earlier</t>
  </si>
  <si>
    <t>elbow</t>
  </si>
  <si>
    <t xml:space="preserve"> 10bps later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</si>
</sst>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
      <sz val="11"/>
      <color theme="5"/>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4">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164" fontId="5" fillId="0" borderId="0" xfId="0" applyNumberFormat="1" applyFont="1"/>
    <xf numFmtId="1" fontId="5"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16" fontId="0" fillId="0" borderId="0" xfId="0" applyNumberFormat="1"/>
    <xf numFmtId="2" fontId="5" fillId="0" borderId="0" xfId="1" applyNumberFormat="1" applyFont="1"/>
    <xf numFmtId="43" fontId="5" fillId="0" borderId="0" xfId="1" applyFont="1"/>
    <xf numFmtId="2" fontId="5" fillId="0" borderId="0" xfId="0" applyNumberFormat="1" applyFont="1"/>
    <xf numFmtId="0" fontId="5" fillId="0" borderId="0" xfId="0" applyFont="1"/>
    <xf numFmtId="43" fontId="5" fillId="0" borderId="0" xfId="0" applyNumberFormat="1" applyFont="1"/>
    <xf numFmtId="0" fontId="0" fillId="3" borderId="0" xfId="0" applyFill="1"/>
    <xf numFmtId="16" fontId="6" fillId="0" borderId="0" xfId="0" applyNumberFormat="1" applyFont="1"/>
    <xf numFmtId="0" fontId="0" fillId="4" borderId="0" xfId="0" applyFill="1"/>
    <xf numFmtId="0" fontId="3" fillId="0" borderId="0" xfId="0" applyFont="1" applyFill="1"/>
    <xf numFmtId="2" fontId="3" fillId="0" borderId="0" xfId="1" applyNumberFormat="1" applyFont="1" applyFill="1"/>
    <xf numFmtId="0" fontId="7" fillId="0" borderId="0" xfId="0" applyFont="1"/>
    <xf numFmtId="11" fontId="0" fillId="0" borderId="0" xfId="0" applyNumberForma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Actual!$V$81</c:f>
              <c:strCache>
                <c:ptCount val="1"/>
                <c:pt idx="0">
                  <c:v>BROKER</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Actual!$V$82:$V$96</c:f>
              <c:numCache>
                <c:formatCode>General</c:formatCode>
                <c:ptCount val="15"/>
                <c:pt idx="0">
                  <c:v>#N/A</c:v>
                </c:pt>
                <c:pt idx="1">
                  <c:v>#N/A</c:v>
                </c:pt>
                <c:pt idx="2">
                  <c:v>#N/A</c:v>
                </c:pt>
                <c:pt idx="3">
                  <c:v>3.4433222093304794</c:v>
                </c:pt>
                <c:pt idx="4">
                  <c:v>2.6756425653229554</c:v>
                </c:pt>
                <c:pt idx="5">
                  <c:v>14.515410770881477</c:v>
                </c:pt>
                <c:pt idx="6">
                  <c:v>27.048998367252651</c:v>
                </c:pt>
                <c:pt idx="7">
                  <c:v>39.511306539507082</c:v>
                </c:pt>
                <c:pt idx="8">
                  <c:v>47.215946149876075</c:v>
                </c:pt>
                <c:pt idx="9">
                  <c:v>45.770827219617814</c:v>
                </c:pt>
                <c:pt idx="10">
                  <c:v>45.909203181044674</c:v>
                </c:pt>
                <c:pt idx="11">
                  <c:v>46.476872003021043</c:v>
                </c:pt>
                <c:pt idx="12">
                  <c:v>44.242835662966016</c:v>
                </c:pt>
                <c:pt idx="13">
                  <c:v>53.130436470808448</c:v>
                </c:pt>
                <c:pt idx="14">
                  <c:v>47.495830730037483</c:v>
                </c:pt>
              </c:numCache>
            </c:numRef>
          </c:val>
          <c:smooth val="0"/>
        </c:ser>
        <c:ser>
          <c:idx val="1"/>
          <c:order val="1"/>
          <c:tx>
            <c:strRef>
              <c:f>Actual!$W$81</c:f>
              <c:strCache>
                <c:ptCount val="1"/>
                <c:pt idx="0">
                  <c:v>CORRES</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Actual!$W$82:$W$96</c:f>
              <c:numCache>
                <c:formatCode>General</c:formatCode>
                <c:ptCount val="15"/>
                <c:pt idx="0">
                  <c:v>#N/A</c:v>
                </c:pt>
                <c:pt idx="1">
                  <c:v>1.2100204682674587E-5</c:v>
                </c:pt>
                <c:pt idx="2">
                  <c:v>7.9358739953947595</c:v>
                </c:pt>
                <c:pt idx="3">
                  <c:v>1.8301087366494606</c:v>
                </c:pt>
                <c:pt idx="4">
                  <c:v>3.4070806667749864</c:v>
                </c:pt>
                <c:pt idx="5">
                  <c:v>8.6868545747934895</c:v>
                </c:pt>
                <c:pt idx="6">
                  <c:v>18.62393407251194</c:v>
                </c:pt>
                <c:pt idx="7">
                  <c:v>30.1727288819705</c:v>
                </c:pt>
                <c:pt idx="8">
                  <c:v>38.013897829902064</c:v>
                </c:pt>
                <c:pt idx="9">
                  <c:v>42.416214440489064</c:v>
                </c:pt>
                <c:pt idx="10">
                  <c:v>42.85637323294408</c:v>
                </c:pt>
                <c:pt idx="11">
                  <c:v>44.800986208120854</c:v>
                </c:pt>
                <c:pt idx="12">
                  <c:v>41.981394455784212</c:v>
                </c:pt>
                <c:pt idx="13">
                  <c:v>48.655806463704451</c:v>
                </c:pt>
                <c:pt idx="14">
                  <c:v>38.318357648759196</c:v>
                </c:pt>
              </c:numCache>
            </c:numRef>
          </c:val>
          <c:smooth val="0"/>
        </c:ser>
        <c:ser>
          <c:idx val="2"/>
          <c:order val="2"/>
          <c:tx>
            <c:strRef>
              <c:f>Actual!$X$81</c:f>
              <c:strCache>
                <c:ptCount val="1"/>
                <c:pt idx="0">
                  <c:v>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Actual!$X$82:$X$96</c:f>
              <c:numCache>
                <c:formatCode>General</c:formatCode>
                <c:ptCount val="15"/>
                <c:pt idx="0">
                  <c:v>0</c:v>
                </c:pt>
                <c:pt idx="1">
                  <c:v>0</c:v>
                </c:pt>
                <c:pt idx="2">
                  <c:v>12.107776852550668</c:v>
                </c:pt>
                <c:pt idx="3">
                  <c:v>27.432197884991893</c:v>
                </c:pt>
                <c:pt idx="4">
                  <c:v>2.6971999783365286</c:v>
                </c:pt>
                <c:pt idx="5">
                  <c:v>10.272771210009758</c:v>
                </c:pt>
                <c:pt idx="6">
                  <c:v>18.56859633389023</c:v>
                </c:pt>
                <c:pt idx="7">
                  <c:v>30.159799183788238</c:v>
                </c:pt>
                <c:pt idx="8">
                  <c:v>40.14908663130624</c:v>
                </c:pt>
                <c:pt idx="9">
                  <c:v>42.720598979704036</c:v>
                </c:pt>
                <c:pt idx="10">
                  <c:v>43.681735268574954</c:v>
                </c:pt>
                <c:pt idx="11">
                  <c:v>42.096705760367449</c:v>
                </c:pt>
                <c:pt idx="12">
                  <c:v>43.974174414158249</c:v>
                </c:pt>
                <c:pt idx="13">
                  <c:v>55.301000258754321</c:v>
                </c:pt>
                <c:pt idx="14">
                  <c:v>53.736278937248748</c:v>
                </c:pt>
              </c:numCache>
            </c:numRef>
          </c:val>
          <c:smooth val="0"/>
        </c:ser>
        <c:ser>
          <c:idx val="3"/>
          <c:order val="3"/>
          <c:tx>
            <c:strRef>
              <c:f>Actual!$Y$81</c:f>
              <c:strCache>
                <c:ptCount val="1"/>
                <c:pt idx="0">
                  <c:v>NonCashWindow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Actual!$Y$82:$Y$96</c:f>
              <c:numCache>
                <c:formatCode>General</c:formatCode>
                <c:ptCount val="15"/>
                <c:pt idx="0">
                  <c:v>#N/A</c:v>
                </c:pt>
                <c:pt idx="1">
                  <c:v>0</c:v>
                </c:pt>
                <c:pt idx="2">
                  <c:v>2.1576303824957122</c:v>
                </c:pt>
                <c:pt idx="3">
                  <c:v>8.845266053677193</c:v>
                </c:pt>
                <c:pt idx="4">
                  <c:v>6.1091154215680232</c:v>
                </c:pt>
                <c:pt idx="5">
                  <c:v>7.5476108074383212</c:v>
                </c:pt>
                <c:pt idx="6">
                  <c:v>11.797692900111823</c:v>
                </c:pt>
                <c:pt idx="7">
                  <c:v>17.559910432581518</c:v>
                </c:pt>
                <c:pt idx="8">
                  <c:v>25.676065547610772</c:v>
                </c:pt>
                <c:pt idx="9">
                  <c:v>31.50646531209922</c:v>
                </c:pt>
                <c:pt idx="10">
                  <c:v>35.20287534090081</c:v>
                </c:pt>
                <c:pt idx="11">
                  <c:v>35.292651765802354</c:v>
                </c:pt>
                <c:pt idx="12">
                  <c:v>34.084038108405224</c:v>
                </c:pt>
                <c:pt idx="13">
                  <c:v>33.665359871941824</c:v>
                </c:pt>
                <c:pt idx="14">
                  <c:v>28.261046737152341</c:v>
                </c:pt>
              </c:numCache>
            </c:numRef>
          </c:val>
          <c:smooth val="0"/>
        </c:ser>
        <c:dLbls>
          <c:showLegendKey val="0"/>
          <c:showVal val="0"/>
          <c:showCatName val="0"/>
          <c:showSerName val="0"/>
          <c:showPercent val="0"/>
          <c:showBubbleSize val="0"/>
        </c:dLbls>
        <c:marker val="1"/>
        <c:smooth val="0"/>
        <c:axId val="427199488"/>
        <c:axId val="427209088"/>
      </c:lineChart>
      <c:catAx>
        <c:axId val="427199488"/>
        <c:scaling>
          <c:orientation val="minMax"/>
        </c:scaling>
        <c:delete val="0"/>
        <c:axPos val="b"/>
        <c:majorTickMark val="out"/>
        <c:minorTickMark val="none"/>
        <c:tickLblPos val="nextTo"/>
        <c:crossAx val="427209088"/>
        <c:crosses val="autoZero"/>
        <c:auto val="1"/>
        <c:lblAlgn val="ctr"/>
        <c:lblOffset val="100"/>
        <c:noMultiLvlLbl val="0"/>
      </c:catAx>
      <c:valAx>
        <c:axId val="427209088"/>
        <c:scaling>
          <c:orientation val="minMax"/>
        </c:scaling>
        <c:delete val="0"/>
        <c:axPos val="l"/>
        <c:numFmt formatCode="General" sourceLinked="1"/>
        <c:majorTickMark val="out"/>
        <c:minorTickMark val="none"/>
        <c:tickLblPos val="nextTo"/>
        <c:crossAx val="4271994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Baseline!$G$103</c:f>
              <c:strCache>
                <c:ptCount val="1"/>
                <c:pt idx="0">
                  <c:v>PREPAY_CPR1</c:v>
                </c:pt>
              </c:strCache>
            </c:strRef>
          </c:tx>
          <c:xVal>
            <c:numRef>
              <c:f>Baseline!$A$107:$A$127</c:f>
              <c:numCache>
                <c:formatCode>0.00</c:formatCode>
                <c:ptCount val="21"/>
                <c:pt idx="0">
                  <c:v>-17.313489016455101</c:v>
                </c:pt>
                <c:pt idx="1">
                  <c:v>-12.328418001599999</c:v>
                </c:pt>
                <c:pt idx="2">
                  <c:v>-7.3315214052251196</c:v>
                </c:pt>
                <c:pt idx="3">
                  <c:v>-2.31914681215958</c:v>
                </c:pt>
                <c:pt idx="4">
                  <c:v>2.6430065812707499</c:v>
                </c:pt>
                <c:pt idx="5">
                  <c:v>7.60354516131137</c:v>
                </c:pt>
                <c:pt idx="6">
                  <c:v>12.657540093221201</c:v>
                </c:pt>
                <c:pt idx="7">
                  <c:v>17.627772640740901</c:v>
                </c:pt>
                <c:pt idx="8">
                  <c:v>22.607391609392</c:v>
                </c:pt>
                <c:pt idx="9">
                  <c:v>27.551558175614801</c:v>
                </c:pt>
                <c:pt idx="10">
                  <c:v>32.507572369548399</c:v>
                </c:pt>
                <c:pt idx="11">
                  <c:v>37.485855995025098</c:v>
                </c:pt>
                <c:pt idx="12">
                  <c:v>42.427567190865403</c:v>
                </c:pt>
                <c:pt idx="13">
                  <c:v>47.513897721272699</c:v>
                </c:pt>
                <c:pt idx="14">
                  <c:v>52.530042586188898</c:v>
                </c:pt>
                <c:pt idx="15">
                  <c:v>57.490346805659897</c:v>
                </c:pt>
                <c:pt idx="16">
                  <c:v>62.445764983681201</c:v>
                </c:pt>
                <c:pt idx="17">
                  <c:v>67.457833670468503</c:v>
                </c:pt>
                <c:pt idx="18">
                  <c:v>72.491928267535698</c:v>
                </c:pt>
                <c:pt idx="19">
                  <c:v>85.668970884368505</c:v>
                </c:pt>
                <c:pt idx="20">
                  <c:v>111.768434390067</c:v>
                </c:pt>
              </c:numCache>
            </c:numRef>
          </c:xVal>
          <c:yVal>
            <c:numRef>
              <c:f>Baseline!$G$107:$G$127</c:f>
              <c:numCache>
                <c:formatCode>0.00</c:formatCode>
                <c:ptCount val="21"/>
                <c:pt idx="0">
                  <c:v>16.3272124973019</c:v>
                </c:pt>
                <c:pt idx="1">
                  <c:v>9.7157194576465535</c:v>
                </c:pt>
                <c:pt idx="2">
                  <c:v>15.287748077956199</c:v>
                </c:pt>
                <c:pt idx="3">
                  <c:v>16.375858517355081</c:v>
                </c:pt>
                <c:pt idx="4">
                  <c:v>19.687584393160108</c:v>
                </c:pt>
                <c:pt idx="5">
                  <c:v>25.482692621555024</c:v>
                </c:pt>
                <c:pt idx="6">
                  <c:v>23.497805411551344</c:v>
                </c:pt>
                <c:pt idx="7">
                  <c:v>26.524160808422536</c:v>
                </c:pt>
                <c:pt idx="8">
                  <c:v>31.654387293618804</c:v>
                </c:pt>
                <c:pt idx="9">
                  <c:v>35.607024793654574</c:v>
                </c:pt>
                <c:pt idx="10">
                  <c:v>37.323822301098751</c:v>
                </c:pt>
                <c:pt idx="11">
                  <c:v>39.422265364814244</c:v>
                </c:pt>
                <c:pt idx="12">
                  <c:v>42.851629669008204</c:v>
                </c:pt>
                <c:pt idx="13">
                  <c:v>42.173965355186979</c:v>
                </c:pt>
                <c:pt idx="14">
                  <c:v>45.416320734160735</c:v>
                </c:pt>
                <c:pt idx="15">
                  <c:v>46.399305130978995</c:v>
                </c:pt>
                <c:pt idx="16">
                  <c:v>48.031872191352456</c:v>
                </c:pt>
                <c:pt idx="17">
                  <c:v>48.254008997876042</c:v>
                </c:pt>
                <c:pt idx="18">
                  <c:v>47.942948026673292</c:v>
                </c:pt>
                <c:pt idx="19">
                  <c:v>45.770827219617814</c:v>
                </c:pt>
                <c:pt idx="20">
                  <c:v>45.909203181044674</c:v>
                </c:pt>
              </c:numCache>
            </c:numRef>
          </c:yVal>
          <c:smooth val="1"/>
        </c:ser>
        <c:ser>
          <c:idx val="1"/>
          <c:order val="1"/>
          <c:tx>
            <c:strRef>
              <c:f>Baseline!$H$103</c:f>
              <c:strCache>
                <c:ptCount val="1"/>
                <c:pt idx="0">
                  <c:v>PREPAY_TRACKING_CPR1</c:v>
                </c:pt>
              </c:strCache>
            </c:strRef>
          </c:tx>
          <c:xVal>
            <c:numRef>
              <c:f>Baseline!$A$107:$A$127</c:f>
              <c:numCache>
                <c:formatCode>0.00</c:formatCode>
                <c:ptCount val="21"/>
                <c:pt idx="0">
                  <c:v>-17.313489016455101</c:v>
                </c:pt>
                <c:pt idx="1">
                  <c:v>-12.328418001599999</c:v>
                </c:pt>
                <c:pt idx="2">
                  <c:v>-7.3315214052251196</c:v>
                </c:pt>
                <c:pt idx="3">
                  <c:v>-2.31914681215958</c:v>
                </c:pt>
                <c:pt idx="4">
                  <c:v>2.6430065812707499</c:v>
                </c:pt>
                <c:pt idx="5">
                  <c:v>7.60354516131137</c:v>
                </c:pt>
                <c:pt idx="6">
                  <c:v>12.657540093221201</c:v>
                </c:pt>
                <c:pt idx="7">
                  <c:v>17.627772640740901</c:v>
                </c:pt>
                <c:pt idx="8">
                  <c:v>22.607391609392</c:v>
                </c:pt>
                <c:pt idx="9">
                  <c:v>27.551558175614801</c:v>
                </c:pt>
                <c:pt idx="10">
                  <c:v>32.507572369548399</c:v>
                </c:pt>
                <c:pt idx="11">
                  <c:v>37.485855995025098</c:v>
                </c:pt>
                <c:pt idx="12">
                  <c:v>42.427567190865403</c:v>
                </c:pt>
                <c:pt idx="13">
                  <c:v>47.513897721272699</c:v>
                </c:pt>
                <c:pt idx="14">
                  <c:v>52.530042586188898</c:v>
                </c:pt>
                <c:pt idx="15">
                  <c:v>57.490346805659897</c:v>
                </c:pt>
                <c:pt idx="16">
                  <c:v>62.445764983681201</c:v>
                </c:pt>
                <c:pt idx="17">
                  <c:v>67.457833670468503</c:v>
                </c:pt>
                <c:pt idx="18">
                  <c:v>72.491928267535698</c:v>
                </c:pt>
                <c:pt idx="19">
                  <c:v>85.668970884368505</c:v>
                </c:pt>
                <c:pt idx="20">
                  <c:v>111.768434390067</c:v>
                </c:pt>
              </c:numCache>
            </c:numRef>
          </c:xVal>
          <c:yVal>
            <c:numRef>
              <c:f>Baseline!$H$107:$H$127</c:f>
              <c:numCache>
                <c:formatCode>0.00</c:formatCode>
                <c:ptCount val="21"/>
                <c:pt idx="0">
                  <c:v>11.583918391707016</c:v>
                </c:pt>
                <c:pt idx="1">
                  <c:v>12.594853184299248</c:v>
                </c:pt>
                <c:pt idx="2">
                  <c:v>13.70387632590775</c:v>
                </c:pt>
                <c:pt idx="3">
                  <c:v>14.630356754021879</c:v>
                </c:pt>
                <c:pt idx="4">
                  <c:v>15.486788840110833</c:v>
                </c:pt>
                <c:pt idx="5">
                  <c:v>16.491863716046538</c:v>
                </c:pt>
                <c:pt idx="6">
                  <c:v>17.573301456465806</c:v>
                </c:pt>
                <c:pt idx="7">
                  <c:v>18.879463154264343</c:v>
                </c:pt>
                <c:pt idx="8">
                  <c:v>20.390364035047824</c:v>
                </c:pt>
                <c:pt idx="9">
                  <c:v>21.92558606780749</c:v>
                </c:pt>
                <c:pt idx="10">
                  <c:v>23.784070992920427</c:v>
                </c:pt>
                <c:pt idx="11">
                  <c:v>25.627175853985264</c:v>
                </c:pt>
                <c:pt idx="12">
                  <c:v>27.678063091981699</c:v>
                </c:pt>
                <c:pt idx="13">
                  <c:v>29.525559281167059</c:v>
                </c:pt>
                <c:pt idx="14">
                  <c:v>30.363794272591203</c:v>
                </c:pt>
                <c:pt idx="15">
                  <c:v>31.713100662098036</c:v>
                </c:pt>
                <c:pt idx="16">
                  <c:v>32.932896905062506</c:v>
                </c:pt>
                <c:pt idx="17">
                  <c:v>33.6289090203597</c:v>
                </c:pt>
                <c:pt idx="18">
                  <c:v>34.969570182470868</c:v>
                </c:pt>
                <c:pt idx="19">
                  <c:v>37.423776202136672</c:v>
                </c:pt>
                <c:pt idx="20">
                  <c:v>41.644445809623512</c:v>
                </c:pt>
              </c:numCache>
            </c:numRef>
          </c:yVal>
          <c:smooth val="1"/>
        </c:ser>
        <c:ser>
          <c:idx val="2"/>
          <c:order val="2"/>
          <c:tx>
            <c:strRef>
              <c:f>Baseline!$O$103</c:f>
              <c:strCache>
                <c:ptCount val="1"/>
                <c:pt idx="0">
                  <c:v>mdl_cpr</c:v>
                </c:pt>
              </c:strCache>
            </c:strRef>
          </c:tx>
          <c:xVal>
            <c:numRef>
              <c:f>Baseline!$A$107:$A$128</c:f>
              <c:numCache>
                <c:formatCode>0.00</c:formatCode>
                <c:ptCount val="22"/>
                <c:pt idx="0">
                  <c:v>-17.313489016455101</c:v>
                </c:pt>
                <c:pt idx="1">
                  <c:v>-12.328418001599999</c:v>
                </c:pt>
                <c:pt idx="2">
                  <c:v>-7.3315214052251196</c:v>
                </c:pt>
                <c:pt idx="3">
                  <c:v>-2.31914681215958</c:v>
                </c:pt>
                <c:pt idx="4">
                  <c:v>2.6430065812707499</c:v>
                </c:pt>
                <c:pt idx="5">
                  <c:v>7.60354516131137</c:v>
                </c:pt>
                <c:pt idx="6">
                  <c:v>12.657540093221201</c:v>
                </c:pt>
                <c:pt idx="7">
                  <c:v>17.627772640740901</c:v>
                </c:pt>
                <c:pt idx="8">
                  <c:v>22.607391609392</c:v>
                </c:pt>
                <c:pt idx="9">
                  <c:v>27.551558175614801</c:v>
                </c:pt>
                <c:pt idx="10">
                  <c:v>32.507572369548399</c:v>
                </c:pt>
                <c:pt idx="11">
                  <c:v>37.485855995025098</c:v>
                </c:pt>
                <c:pt idx="12">
                  <c:v>42.427567190865403</c:v>
                </c:pt>
                <c:pt idx="13">
                  <c:v>47.513897721272699</c:v>
                </c:pt>
                <c:pt idx="14">
                  <c:v>52.530042586188898</c:v>
                </c:pt>
                <c:pt idx="15">
                  <c:v>57.490346805659897</c:v>
                </c:pt>
                <c:pt idx="16">
                  <c:v>62.445764983681201</c:v>
                </c:pt>
                <c:pt idx="17">
                  <c:v>67.457833670468503</c:v>
                </c:pt>
                <c:pt idx="18">
                  <c:v>72.491928267535698</c:v>
                </c:pt>
                <c:pt idx="19">
                  <c:v>85.668970884368505</c:v>
                </c:pt>
                <c:pt idx="20">
                  <c:v>111.768434390067</c:v>
                </c:pt>
                <c:pt idx="21">
                  <c:v>134.373235124464</c:v>
                </c:pt>
              </c:numCache>
            </c:numRef>
          </c:xVal>
          <c:yVal>
            <c:numRef>
              <c:f>Baseline!$O$107:$O$127</c:f>
              <c:numCache>
                <c:formatCode>0.00</c:formatCode>
                <c:ptCount val="21"/>
                <c:pt idx="0">
                  <c:v>15.110237159433893</c:v>
                </c:pt>
                <c:pt idx="1">
                  <c:v>16.199927491244857</c:v>
                </c:pt>
                <c:pt idx="2">
                  <c:v>17.287825118544198</c:v>
                </c:pt>
                <c:pt idx="3">
                  <c:v>18.664334019437</c:v>
                </c:pt>
                <c:pt idx="4">
                  <c:v>20.294292567389803</c:v>
                </c:pt>
                <c:pt idx="5">
                  <c:v>22.184983636540846</c:v>
                </c:pt>
                <c:pt idx="6">
                  <c:v>24.832171345879985</c:v>
                </c:pt>
                <c:pt idx="7">
                  <c:v>27.994152970544693</c:v>
                </c:pt>
                <c:pt idx="8">
                  <c:v>31.268475278675943</c:v>
                </c:pt>
                <c:pt idx="9">
                  <c:v>34.90240635028816</c:v>
                </c:pt>
                <c:pt idx="10">
                  <c:v>38.377703949146756</c:v>
                </c:pt>
                <c:pt idx="11">
                  <c:v>39.619301370848895</c:v>
                </c:pt>
                <c:pt idx="12">
                  <c:v>41.388093749987966</c:v>
                </c:pt>
                <c:pt idx="13">
                  <c:v>42.957467855734656</c:v>
                </c:pt>
                <c:pt idx="14">
                  <c:v>43.891790962634701</c:v>
                </c:pt>
                <c:pt idx="15">
                  <c:v>45.542711083976563</c:v>
                </c:pt>
                <c:pt idx="16">
                  <c:v>46.225133652786653</c:v>
                </c:pt>
                <c:pt idx="17">
                  <c:v>46.463461339414799</c:v>
                </c:pt>
                <c:pt idx="18">
                  <c:v>47.674832154939715</c:v>
                </c:pt>
                <c:pt idx="19">
                  <c:v>46.321534226740283</c:v>
                </c:pt>
                <c:pt idx="20">
                  <c:v>46.834551830010483</c:v>
                </c:pt>
              </c:numCache>
            </c:numRef>
          </c:yVal>
          <c:smooth val="1"/>
        </c:ser>
        <c:dLbls>
          <c:showLegendKey val="0"/>
          <c:showVal val="0"/>
          <c:showCatName val="0"/>
          <c:showSerName val="0"/>
          <c:showPercent val="0"/>
          <c:showBubbleSize val="0"/>
        </c:dLbls>
        <c:axId val="219024768"/>
        <c:axId val="219042944"/>
      </c:scatterChart>
      <c:valAx>
        <c:axId val="219024768"/>
        <c:scaling>
          <c:orientation val="minMax"/>
        </c:scaling>
        <c:delete val="0"/>
        <c:axPos val="b"/>
        <c:numFmt formatCode="0" sourceLinked="0"/>
        <c:majorTickMark val="out"/>
        <c:minorTickMark val="none"/>
        <c:tickLblPos val="nextTo"/>
        <c:crossAx val="219042944"/>
        <c:crosses val="autoZero"/>
        <c:crossBetween val="midCat"/>
      </c:valAx>
      <c:valAx>
        <c:axId val="219042944"/>
        <c:scaling>
          <c:orientation val="minMax"/>
        </c:scaling>
        <c:delete val="0"/>
        <c:axPos val="l"/>
        <c:majorGridlines/>
        <c:numFmt formatCode="0.00" sourceLinked="1"/>
        <c:majorTickMark val="out"/>
        <c:minorTickMark val="none"/>
        <c:tickLblPos val="nextTo"/>
        <c:crossAx val="219024768"/>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Baseline!$AD$103</c:f>
              <c:strCache>
                <c:ptCount val="1"/>
                <c:pt idx="0">
                  <c:v>Knot</c:v>
                </c:pt>
              </c:strCache>
            </c:strRef>
          </c:tx>
          <c:marker>
            <c:symbol val="none"/>
          </c:marker>
          <c:cat>
            <c:numRef>
              <c:f>Baseline!$AC$104:$AC$125</c:f>
              <c:numCache>
                <c:formatCode>0</c:formatCode>
                <c:ptCount val="22"/>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pt idx="10">
                  <c:v>17.627772640740901</c:v>
                </c:pt>
                <c:pt idx="11">
                  <c:v>22.607391609392</c:v>
                </c:pt>
                <c:pt idx="12">
                  <c:v>27.551558175614801</c:v>
                </c:pt>
                <c:pt idx="13">
                  <c:v>32.507572369548399</c:v>
                </c:pt>
                <c:pt idx="14">
                  <c:v>37.485855995025098</c:v>
                </c:pt>
                <c:pt idx="15">
                  <c:v>42.427567190865403</c:v>
                </c:pt>
                <c:pt idx="16">
                  <c:v>47.513897721272699</c:v>
                </c:pt>
                <c:pt idx="17">
                  <c:v>52.530042586188898</c:v>
                </c:pt>
                <c:pt idx="18">
                  <c:v>57.490346805659897</c:v>
                </c:pt>
                <c:pt idx="19">
                  <c:v>62.445764983681201</c:v>
                </c:pt>
                <c:pt idx="20">
                  <c:v>67.457833670468503</c:v>
                </c:pt>
                <c:pt idx="21">
                  <c:v>72.491928267535698</c:v>
                </c:pt>
              </c:numCache>
            </c:numRef>
          </c:cat>
          <c:val>
            <c:numRef>
              <c:f>Baseline!$AD$104:$AD$125</c:f>
              <c:numCache>
                <c:formatCode>0.000</c:formatCode>
                <c:ptCount val="22"/>
                <c:pt idx="0">
                  <c:v>0</c:v>
                </c:pt>
                <c:pt idx="1">
                  <c:v>0.43003693731507903</c:v>
                </c:pt>
                <c:pt idx="2">
                  <c:v>0.79645948376475795</c:v>
                </c:pt>
                <c:pt idx="3">
                  <c:v>0.95362938111262996</c:v>
                </c:pt>
                <c:pt idx="4">
                  <c:v>1.08142635820954</c:v>
                </c:pt>
                <c:pt idx="5">
                  <c:v>1.1993277822989601</c:v>
                </c:pt>
                <c:pt idx="6">
                  <c:v>1.3122379125033801</c:v>
                </c:pt>
                <c:pt idx="7">
                  <c:v>1.4018480364105399</c:v>
                </c:pt>
                <c:pt idx="8">
                  <c:v>1.51655790515</c:v>
                </c:pt>
                <c:pt idx="9">
                  <c:v>1.6382587772578501</c:v>
                </c:pt>
                <c:pt idx="10">
                  <c:v>1.77123004461028</c:v>
                </c:pt>
                <c:pt idx="11">
                  <c:v>1.91883456513696</c:v>
                </c:pt>
                <c:pt idx="12">
                  <c:v>2.0788177485891102</c:v>
                </c:pt>
                <c:pt idx="13">
                  <c:v>2.2487416798578299</c:v>
                </c:pt>
                <c:pt idx="14">
                  <c:v>2.4264029166777901</c:v>
                </c:pt>
                <c:pt idx="15">
                  <c:v>2.6095980167836599</c:v>
                </c:pt>
                <c:pt idx="16">
                  <c:v>2.7961235379101401</c:v>
                </c:pt>
                <c:pt idx="17">
                  <c:v>2.9837760377918898</c:v>
                </c:pt>
                <c:pt idx="18">
                  <c:v>3.1703520741635902</c:v>
                </c:pt>
                <c:pt idx="19">
                  <c:v>3.3536482047599101</c:v>
                </c:pt>
                <c:pt idx="20">
                  <c:v>3.5314609873155498</c:v>
                </c:pt>
                <c:pt idx="21">
                  <c:v>3.7015869795651599</c:v>
                </c:pt>
              </c:numCache>
            </c:numRef>
          </c:val>
          <c:smooth val="0"/>
        </c:ser>
        <c:ser>
          <c:idx val="1"/>
          <c:order val="1"/>
          <c:tx>
            <c:strRef>
              <c:f>Baseline!$AE$103</c:f>
              <c:strCache>
                <c:ptCount val="1"/>
                <c:pt idx="0">
                  <c:v>adj Knot</c:v>
                </c:pt>
              </c:strCache>
            </c:strRef>
          </c:tx>
          <c:marker>
            <c:symbol val="none"/>
          </c:marker>
          <c:cat>
            <c:numRef>
              <c:f>Baseline!$AC$104:$AC$125</c:f>
              <c:numCache>
                <c:formatCode>0</c:formatCode>
                <c:ptCount val="22"/>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pt idx="10">
                  <c:v>17.627772640740901</c:v>
                </c:pt>
                <c:pt idx="11">
                  <c:v>22.607391609392</c:v>
                </c:pt>
                <c:pt idx="12">
                  <c:v>27.551558175614801</c:v>
                </c:pt>
                <c:pt idx="13">
                  <c:v>32.507572369548399</c:v>
                </c:pt>
                <c:pt idx="14">
                  <c:v>37.485855995025098</c:v>
                </c:pt>
                <c:pt idx="15">
                  <c:v>42.427567190865403</c:v>
                </c:pt>
                <c:pt idx="16">
                  <c:v>47.513897721272699</c:v>
                </c:pt>
                <c:pt idx="17">
                  <c:v>52.530042586188898</c:v>
                </c:pt>
                <c:pt idx="18">
                  <c:v>57.490346805659897</c:v>
                </c:pt>
                <c:pt idx="19">
                  <c:v>62.445764983681201</c:v>
                </c:pt>
                <c:pt idx="20">
                  <c:v>67.457833670468503</c:v>
                </c:pt>
                <c:pt idx="21">
                  <c:v>72.491928267535698</c:v>
                </c:pt>
              </c:numCache>
            </c:numRef>
          </c:cat>
          <c:val>
            <c:numRef>
              <c:f>Baseline!$AE$104:$AE$125</c:f>
              <c:numCache>
                <c:formatCode>0.000</c:formatCode>
                <c:ptCount val="22"/>
                <c:pt idx="0">
                  <c:v>0</c:v>
                </c:pt>
                <c:pt idx="1">
                  <c:v>0.43003693731507903</c:v>
                </c:pt>
                <c:pt idx="2">
                  <c:v>0.79900815411280524</c:v>
                </c:pt>
                <c:pt idx="3">
                  <c:v>0.95973260915175074</c:v>
                </c:pt>
                <c:pt idx="4">
                  <c:v>1.0918080512483517</c:v>
                </c:pt>
                <c:pt idx="5">
                  <c:v>1.2146791779123867</c:v>
                </c:pt>
                <c:pt idx="6">
                  <c:v>1.3122379125033801</c:v>
                </c:pt>
                <c:pt idx="7">
                  <c:v>1.4242776049931085</c:v>
                </c:pt>
                <c:pt idx="8">
                  <c:v>1.5650877581147999</c:v>
                </c:pt>
                <c:pt idx="9">
                  <c:v>1.7168951985662269</c:v>
                </c:pt>
                <c:pt idx="10">
                  <c:v>1.8845887674653381</c:v>
                </c:pt>
                <c:pt idx="11">
                  <c:v>2.0723413303479168</c:v>
                </c:pt>
                <c:pt idx="12">
                  <c:v>2.3656945978944077</c:v>
                </c:pt>
                <c:pt idx="13">
                  <c:v>2.689495049109965</c:v>
                </c:pt>
                <c:pt idx="14">
                  <c:v>3.0427092575139487</c:v>
                </c:pt>
                <c:pt idx="15">
                  <c:v>3.423792598020162</c:v>
                </c:pt>
                <c:pt idx="16">
                  <c:v>3.8306892469368923</c:v>
                </c:pt>
                <c:pt idx="17">
                  <c:v>4.1176109321528074</c:v>
                </c:pt>
                <c:pt idx="18">
                  <c:v>4.3750858623457543</c:v>
                </c:pt>
                <c:pt idx="19">
                  <c:v>4.6280345225686759</c:v>
                </c:pt>
                <c:pt idx="20">
                  <c:v>4.8734161624954586</c:v>
                </c:pt>
                <c:pt idx="21">
                  <c:v>5.1081900317999205</c:v>
                </c:pt>
              </c:numCache>
            </c:numRef>
          </c:val>
          <c:smooth val="0"/>
        </c:ser>
        <c:dLbls>
          <c:showLegendKey val="0"/>
          <c:showVal val="0"/>
          <c:showCatName val="0"/>
          <c:showSerName val="0"/>
          <c:showPercent val="0"/>
          <c:showBubbleSize val="0"/>
        </c:dLbls>
        <c:marker val="1"/>
        <c:smooth val="0"/>
        <c:axId val="248164736"/>
        <c:axId val="248167040"/>
      </c:lineChart>
      <c:catAx>
        <c:axId val="248164736"/>
        <c:scaling>
          <c:orientation val="minMax"/>
        </c:scaling>
        <c:delete val="0"/>
        <c:axPos val="b"/>
        <c:numFmt formatCode="0" sourceLinked="1"/>
        <c:majorTickMark val="out"/>
        <c:minorTickMark val="none"/>
        <c:tickLblPos val="nextTo"/>
        <c:crossAx val="248167040"/>
        <c:crosses val="autoZero"/>
        <c:auto val="1"/>
        <c:lblAlgn val="ctr"/>
        <c:lblOffset val="100"/>
        <c:noMultiLvlLbl val="0"/>
      </c:catAx>
      <c:valAx>
        <c:axId val="248167040"/>
        <c:scaling>
          <c:orientation val="minMax"/>
        </c:scaling>
        <c:delete val="0"/>
        <c:axPos val="l"/>
        <c:numFmt formatCode="0" sourceLinked="0"/>
        <c:majorTickMark val="out"/>
        <c:minorTickMark val="none"/>
        <c:tickLblPos val="nextTo"/>
        <c:crossAx val="24816473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Baseline!$Y$103</c:f>
              <c:strCache>
                <c:ptCount val="1"/>
                <c:pt idx="0">
                  <c:v>Knot</c:v>
                </c:pt>
              </c:strCache>
            </c:strRef>
          </c:tx>
          <c:marker>
            <c:symbol val="none"/>
          </c:marker>
          <c:cat>
            <c:numRef>
              <c:f>Baseline!$X$104:$X$117</c:f>
              <c:numCache>
                <c:formatCode>0</c:formatCode>
                <c:ptCount val="14"/>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pt idx="10">
                  <c:v>17.627772640740901</c:v>
                </c:pt>
                <c:pt idx="11">
                  <c:v>22.607391609392</c:v>
                </c:pt>
                <c:pt idx="12">
                  <c:v>27.551558175614801</c:v>
                </c:pt>
                <c:pt idx="13">
                  <c:v>32.507572369548399</c:v>
                </c:pt>
              </c:numCache>
            </c:numRef>
          </c:cat>
          <c:val>
            <c:numRef>
              <c:f>Baseline!$Y$104:$Y$117</c:f>
              <c:numCache>
                <c:formatCode>0.000</c:formatCode>
                <c:ptCount val="14"/>
                <c:pt idx="0">
                  <c:v>0.183833391304348</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ser>
          <c:idx val="1"/>
          <c:order val="1"/>
          <c:tx>
            <c:strRef>
              <c:f>Baseline!$Z$103</c:f>
              <c:strCache>
                <c:ptCount val="1"/>
                <c:pt idx="0">
                  <c:v>adj Knot</c:v>
                </c:pt>
              </c:strCache>
            </c:strRef>
          </c:tx>
          <c:marker>
            <c:symbol val="none"/>
          </c:marker>
          <c:cat>
            <c:numRef>
              <c:f>Baseline!$X$104:$X$117</c:f>
              <c:numCache>
                <c:formatCode>0</c:formatCode>
                <c:ptCount val="14"/>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pt idx="10">
                  <c:v>17.627772640740901</c:v>
                </c:pt>
                <c:pt idx="11">
                  <c:v>22.607391609392</c:v>
                </c:pt>
                <c:pt idx="12">
                  <c:v>27.551558175614801</c:v>
                </c:pt>
                <c:pt idx="13">
                  <c:v>32.507572369548399</c:v>
                </c:pt>
              </c:numCache>
            </c:numRef>
          </c:cat>
          <c:val>
            <c:numRef>
              <c:f>Baseline!$Z$104:$Z$117</c:f>
              <c:numCache>
                <c:formatCode>0.000</c:formatCode>
                <c:ptCount val="14"/>
                <c:pt idx="0">
                  <c:v>0.183833391304348</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dLbls>
          <c:showLegendKey val="0"/>
          <c:showVal val="0"/>
          <c:showCatName val="0"/>
          <c:showSerName val="0"/>
          <c:showPercent val="0"/>
          <c:showBubbleSize val="0"/>
        </c:dLbls>
        <c:marker val="1"/>
        <c:smooth val="0"/>
        <c:axId val="249337344"/>
        <c:axId val="249339264"/>
      </c:lineChart>
      <c:catAx>
        <c:axId val="249337344"/>
        <c:scaling>
          <c:orientation val="minMax"/>
        </c:scaling>
        <c:delete val="0"/>
        <c:axPos val="b"/>
        <c:numFmt formatCode="0" sourceLinked="1"/>
        <c:majorTickMark val="out"/>
        <c:minorTickMark val="none"/>
        <c:tickLblPos val="nextTo"/>
        <c:crossAx val="249339264"/>
        <c:crosses val="autoZero"/>
        <c:auto val="1"/>
        <c:lblAlgn val="ctr"/>
        <c:lblOffset val="100"/>
        <c:noMultiLvlLbl val="0"/>
      </c:catAx>
      <c:valAx>
        <c:axId val="249339264"/>
        <c:scaling>
          <c:orientation val="minMax"/>
        </c:scaling>
        <c:delete val="0"/>
        <c:axPos val="l"/>
        <c:numFmt formatCode="0" sourceLinked="0"/>
        <c:majorTickMark val="out"/>
        <c:minorTickMark val="none"/>
        <c:tickLblPos val="nextTo"/>
        <c:crossAx val="24933734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Baseline!$T$103</c:f>
              <c:strCache>
                <c:ptCount val="1"/>
                <c:pt idx="0">
                  <c:v>Knot</c:v>
                </c:pt>
              </c:strCache>
            </c:strRef>
          </c:tx>
          <c:marker>
            <c:symbol val="none"/>
          </c:marker>
          <c:cat>
            <c:numRef>
              <c:f>Baseline!$S$104:$S$113</c:f>
              <c:numCache>
                <c:formatCode>0</c:formatCode>
                <c:ptCount val="10"/>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numCache>
            </c:numRef>
          </c:cat>
          <c:val>
            <c:numRef>
              <c:f>Baseline!$T$104:$T$113</c:f>
              <c:numCache>
                <c:formatCode>0.000</c:formatCode>
                <c:ptCount val="10"/>
                <c:pt idx="0">
                  <c:v>1.276980872</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Baseline!$U$103</c:f>
              <c:strCache>
                <c:ptCount val="1"/>
                <c:pt idx="0">
                  <c:v>adj Knot</c:v>
                </c:pt>
              </c:strCache>
            </c:strRef>
          </c:tx>
          <c:marker>
            <c:symbol val="none"/>
          </c:marker>
          <c:cat>
            <c:numRef>
              <c:f>Baseline!$S$104:$S$113</c:f>
              <c:numCache>
                <c:formatCode>0</c:formatCode>
                <c:ptCount val="10"/>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numCache>
            </c:numRef>
          </c:cat>
          <c:val>
            <c:numRef>
              <c:f>Baseline!$U$104:$U$113</c:f>
              <c:numCache>
                <c:formatCode>0.000</c:formatCode>
                <c:ptCount val="10"/>
                <c:pt idx="0">
                  <c:v>1.276980872</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51987072"/>
        <c:axId val="251988992"/>
      </c:lineChart>
      <c:catAx>
        <c:axId val="251987072"/>
        <c:scaling>
          <c:orientation val="minMax"/>
        </c:scaling>
        <c:delete val="0"/>
        <c:axPos val="b"/>
        <c:numFmt formatCode="0" sourceLinked="1"/>
        <c:majorTickMark val="out"/>
        <c:minorTickMark val="none"/>
        <c:tickLblPos val="nextTo"/>
        <c:crossAx val="251988992"/>
        <c:crosses val="autoZero"/>
        <c:auto val="1"/>
        <c:lblAlgn val="ctr"/>
        <c:lblOffset val="100"/>
        <c:noMultiLvlLbl val="0"/>
      </c:catAx>
      <c:valAx>
        <c:axId val="251988992"/>
        <c:scaling>
          <c:orientation val="minMax"/>
        </c:scaling>
        <c:delete val="0"/>
        <c:axPos val="l"/>
        <c:numFmt formatCode="0" sourceLinked="0"/>
        <c:majorTickMark val="out"/>
        <c:minorTickMark val="none"/>
        <c:tickLblPos val="nextTo"/>
        <c:crossAx val="251987072"/>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c:v>
          </c:tx>
          <c:xVal>
            <c:numRef>
              <c:f>Baseline!$A$30:$A$40</c:f>
              <c:numCache>
                <c:formatCode>0.00</c:formatCode>
                <c:ptCount val="11"/>
                <c:pt idx="0">
                  <c:v>-56.995105266949302</c:v>
                </c:pt>
                <c:pt idx="1">
                  <c:v>-33.272056530482502</c:v>
                </c:pt>
                <c:pt idx="2">
                  <c:v>-9.2138983645816204</c:v>
                </c:pt>
                <c:pt idx="3">
                  <c:v>15.260272575122</c:v>
                </c:pt>
                <c:pt idx="4">
                  <c:v>37.570754506354902</c:v>
                </c:pt>
                <c:pt idx="5">
                  <c:v>62.437771520279</c:v>
                </c:pt>
                <c:pt idx="6">
                  <c:v>86.089285738263001</c:v>
                </c:pt>
                <c:pt idx="7">
                  <c:v>111.773922392572</c:v>
                </c:pt>
                <c:pt idx="8">
                  <c:v>134.415565643024</c:v>
                </c:pt>
                <c:pt idx="9">
                  <c:v>160.53102008046901</c:v>
                </c:pt>
                <c:pt idx="10">
                  <c:v>183.23039087177801</c:v>
                </c:pt>
              </c:numCache>
            </c:numRef>
          </c:xVal>
          <c:yVal>
            <c:numRef>
              <c:f>Baseline!$G$30:$G$40</c:f>
              <c:numCache>
                <c:formatCode>0.00</c:formatCode>
                <c:ptCount val="11"/>
                <c:pt idx="0">
                  <c:v>4.3452104747702673</c:v>
                </c:pt>
                <c:pt idx="1">
                  <c:v>3.3308666643767526</c:v>
                </c:pt>
                <c:pt idx="2">
                  <c:v>8.9675624589376177</c:v>
                </c:pt>
                <c:pt idx="3">
                  <c:v>18.611511503900978</c:v>
                </c:pt>
                <c:pt idx="4">
                  <c:v>30.168862064131453</c:v>
                </c:pt>
                <c:pt idx="5">
                  <c:v>38.591329682205192</c:v>
                </c:pt>
                <c:pt idx="6">
                  <c:v>42.486827101361477</c:v>
                </c:pt>
                <c:pt idx="7">
                  <c:v>43.023133682249373</c:v>
                </c:pt>
                <c:pt idx="8">
                  <c:v>44.29537502878037</c:v>
                </c:pt>
                <c:pt idx="9">
                  <c:v>42.392669003157437</c:v>
                </c:pt>
                <c:pt idx="10">
                  <c:v>49.699111470338032</c:v>
                </c:pt>
              </c:numCache>
            </c:numRef>
          </c:yVal>
          <c:smooth val="1"/>
        </c:ser>
        <c:ser>
          <c:idx val="1"/>
          <c:order val="1"/>
          <c:tx>
            <c:v>model</c:v>
          </c:tx>
          <c:xVal>
            <c:numRef>
              <c:f>Baseline!$A$30:$A$40</c:f>
              <c:numCache>
                <c:formatCode>0.00</c:formatCode>
                <c:ptCount val="11"/>
                <c:pt idx="0">
                  <c:v>-56.995105266949302</c:v>
                </c:pt>
                <c:pt idx="1">
                  <c:v>-33.272056530482502</c:v>
                </c:pt>
                <c:pt idx="2">
                  <c:v>-9.2138983645816204</c:v>
                </c:pt>
                <c:pt idx="3">
                  <c:v>15.260272575122</c:v>
                </c:pt>
                <c:pt idx="4">
                  <c:v>37.570754506354902</c:v>
                </c:pt>
                <c:pt idx="5">
                  <c:v>62.437771520279</c:v>
                </c:pt>
                <c:pt idx="6">
                  <c:v>86.089285738263001</c:v>
                </c:pt>
                <c:pt idx="7">
                  <c:v>111.773922392572</c:v>
                </c:pt>
                <c:pt idx="8">
                  <c:v>134.415565643024</c:v>
                </c:pt>
                <c:pt idx="9">
                  <c:v>160.53102008046901</c:v>
                </c:pt>
                <c:pt idx="10">
                  <c:v>183.23039087177801</c:v>
                </c:pt>
              </c:numCache>
            </c:numRef>
          </c:xVal>
          <c:yVal>
            <c:numRef>
              <c:f>Baseline!$H$30:$H$40</c:f>
              <c:numCache>
                <c:formatCode>0.00</c:formatCode>
                <c:ptCount val="11"/>
                <c:pt idx="0">
                  <c:v>6.0716433418565918</c:v>
                </c:pt>
                <c:pt idx="1">
                  <c:v>7.1327642392419062</c:v>
                </c:pt>
                <c:pt idx="2">
                  <c:v>12.687321250391303</c:v>
                </c:pt>
                <c:pt idx="3">
                  <c:v>17.547266179519706</c:v>
                </c:pt>
                <c:pt idx="4">
                  <c:v>23.770441211016436</c:v>
                </c:pt>
                <c:pt idx="5">
                  <c:v>30.508706593170853</c:v>
                </c:pt>
                <c:pt idx="6">
                  <c:v>35.44078686039456</c:v>
                </c:pt>
                <c:pt idx="7">
                  <c:v>39.446268111601356</c:v>
                </c:pt>
                <c:pt idx="8">
                  <c:v>42.969970166815308</c:v>
                </c:pt>
                <c:pt idx="9">
                  <c:v>45.47477892580617</c:v>
                </c:pt>
                <c:pt idx="10">
                  <c:v>49.675775667545132</c:v>
                </c:pt>
              </c:numCache>
            </c:numRef>
          </c:yVal>
          <c:smooth val="1"/>
        </c:ser>
        <c:ser>
          <c:idx val="2"/>
          <c:order val="2"/>
          <c:tx>
            <c:v>model_adj</c:v>
          </c:tx>
          <c:xVal>
            <c:numRef>
              <c:f>Baseline!$A$30:$A$40</c:f>
              <c:numCache>
                <c:formatCode>0.00</c:formatCode>
                <c:ptCount val="11"/>
                <c:pt idx="0">
                  <c:v>-56.995105266949302</c:v>
                </c:pt>
                <c:pt idx="1">
                  <c:v>-33.272056530482502</c:v>
                </c:pt>
                <c:pt idx="2">
                  <c:v>-9.2138983645816204</c:v>
                </c:pt>
                <c:pt idx="3">
                  <c:v>15.260272575122</c:v>
                </c:pt>
                <c:pt idx="4">
                  <c:v>37.570754506354902</c:v>
                </c:pt>
                <c:pt idx="5">
                  <c:v>62.437771520279</c:v>
                </c:pt>
                <c:pt idx="6">
                  <c:v>86.089285738263001</c:v>
                </c:pt>
                <c:pt idx="7">
                  <c:v>111.773922392572</c:v>
                </c:pt>
                <c:pt idx="8">
                  <c:v>134.415565643024</c:v>
                </c:pt>
                <c:pt idx="9">
                  <c:v>160.53102008046901</c:v>
                </c:pt>
                <c:pt idx="10">
                  <c:v>183.23039087177801</c:v>
                </c:pt>
              </c:numCache>
            </c:numRef>
          </c:xVal>
          <c:yVal>
            <c:numRef>
              <c:f>Baseline!$O$30:$O$40</c:f>
              <c:numCache>
                <c:formatCode>0.00</c:formatCode>
                <c:ptCount val="11"/>
                <c:pt idx="0">
                  <c:v>6.0716433418565918</c:v>
                </c:pt>
                <c:pt idx="1">
                  <c:v>7.1327642392419062</c:v>
                </c:pt>
                <c:pt idx="2">
                  <c:v>12.687321250391303</c:v>
                </c:pt>
                <c:pt idx="3">
                  <c:v>18.564954491471219</c:v>
                </c:pt>
                <c:pt idx="4">
                  <c:v>30.051865822449329</c:v>
                </c:pt>
                <c:pt idx="5">
                  <c:v>38.603977324870819</c:v>
                </c:pt>
                <c:pt idx="6">
                  <c:v>42.513508906805242</c:v>
                </c:pt>
                <c:pt idx="7">
                  <c:v>42.97749893462948</c:v>
                </c:pt>
                <c:pt idx="8">
                  <c:v>44.443732123018307</c:v>
                </c:pt>
                <c:pt idx="9">
                  <c:v>45.47477892580617</c:v>
                </c:pt>
                <c:pt idx="10">
                  <c:v>49.675775667545132</c:v>
                </c:pt>
              </c:numCache>
            </c:numRef>
          </c:yVal>
          <c:smooth val="1"/>
        </c:ser>
        <c:dLbls>
          <c:showLegendKey val="0"/>
          <c:showVal val="0"/>
          <c:showCatName val="0"/>
          <c:showSerName val="0"/>
          <c:showPercent val="0"/>
          <c:showBubbleSize val="0"/>
        </c:dLbls>
        <c:axId val="353551488"/>
        <c:axId val="353553024"/>
      </c:scatterChart>
      <c:valAx>
        <c:axId val="353551488"/>
        <c:scaling>
          <c:orientation val="minMax"/>
        </c:scaling>
        <c:delete val="0"/>
        <c:axPos val="b"/>
        <c:numFmt formatCode="0" sourceLinked="0"/>
        <c:majorTickMark val="out"/>
        <c:minorTickMark val="none"/>
        <c:tickLblPos val="nextTo"/>
        <c:crossAx val="353553024"/>
        <c:crosses val="autoZero"/>
        <c:crossBetween val="midCat"/>
      </c:valAx>
      <c:valAx>
        <c:axId val="353553024"/>
        <c:scaling>
          <c:orientation val="minMax"/>
        </c:scaling>
        <c:delete val="0"/>
        <c:axPos val="l"/>
        <c:majorGridlines/>
        <c:numFmt formatCode="0.00" sourceLinked="1"/>
        <c:majorTickMark val="out"/>
        <c:minorTickMark val="none"/>
        <c:tickLblPos val="nextTo"/>
        <c:crossAx val="353551488"/>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Baseline!$AD$103:$AD$106</c:f>
              <c:strCache>
                <c:ptCount val="1"/>
                <c:pt idx="0">
                  <c:v>Knot 0.000 0.430 0.796</c:v>
                </c:pt>
              </c:strCache>
            </c:strRef>
          </c:tx>
          <c:marker>
            <c:symbol val="none"/>
          </c:marker>
          <c:cat>
            <c:numRef>
              <c:f>Baseline!$AC$30:$AC$40</c:f>
              <c:numCache>
                <c:formatCode>0</c:formatCode>
                <c:ptCount val="11"/>
                <c:pt idx="0">
                  <c:v>-56.995105266949302</c:v>
                </c:pt>
                <c:pt idx="1">
                  <c:v>-33.272056530482502</c:v>
                </c:pt>
                <c:pt idx="2">
                  <c:v>-9.2138983645816204</c:v>
                </c:pt>
                <c:pt idx="3">
                  <c:v>15.260272575122</c:v>
                </c:pt>
                <c:pt idx="4">
                  <c:v>37.570754506354902</c:v>
                </c:pt>
                <c:pt idx="5">
                  <c:v>62.437771520279</c:v>
                </c:pt>
                <c:pt idx="6">
                  <c:v>86.089285738263001</c:v>
                </c:pt>
                <c:pt idx="7">
                  <c:v>111.773922392572</c:v>
                </c:pt>
                <c:pt idx="8">
                  <c:v>134.415565643024</c:v>
                </c:pt>
                <c:pt idx="9">
                  <c:v>160.53102008046901</c:v>
                </c:pt>
                <c:pt idx="10">
                  <c:v>183.23039087177801</c:v>
                </c:pt>
              </c:numCache>
            </c:numRef>
          </c:cat>
          <c:val>
            <c:numRef>
              <c:f>Baseline!$AD$30:$AD$40</c:f>
              <c:numCache>
                <c:formatCode>0.000</c:formatCode>
                <c:ptCount val="11"/>
                <c:pt idx="0">
                  <c:v>0</c:v>
                </c:pt>
                <c:pt idx="1">
                  <c:v>0.39387319081357403</c:v>
                </c:pt>
                <c:pt idx="2">
                  <c:v>1.1530058138744601</c:v>
                </c:pt>
                <c:pt idx="3">
                  <c:v>1.7164152091598801</c:v>
                </c:pt>
                <c:pt idx="4">
                  <c:v>2.4264029166777901</c:v>
                </c:pt>
                <c:pt idx="5">
                  <c:v>3.3536482047599101</c:v>
                </c:pt>
                <c:pt idx="6">
                  <c:v>4.1191352784208304</c:v>
                </c:pt>
                <c:pt idx="7">
                  <c:v>4.7299139704548203</c:v>
                </c:pt>
                <c:pt idx="8">
                  <c:v>5.2051069926153799</c:v>
                </c:pt>
                <c:pt idx="9">
                  <c:v>5.6662697466415004</c:v>
                </c:pt>
                <c:pt idx="10">
                  <c:v>6.0276934430763003</c:v>
                </c:pt>
              </c:numCache>
            </c:numRef>
          </c:val>
          <c:smooth val="0"/>
        </c:ser>
        <c:ser>
          <c:idx val="1"/>
          <c:order val="1"/>
          <c:tx>
            <c:strRef>
              <c:f>Baseline!$AE$103:$AE$106</c:f>
              <c:strCache>
                <c:ptCount val="1"/>
                <c:pt idx="0">
                  <c:v>adj Knot 0.000 0.430 0.799</c:v>
                </c:pt>
              </c:strCache>
            </c:strRef>
          </c:tx>
          <c:marker>
            <c:symbol val="none"/>
          </c:marker>
          <c:cat>
            <c:numRef>
              <c:f>Baseline!$AC$30:$AC$40</c:f>
              <c:numCache>
                <c:formatCode>0</c:formatCode>
                <c:ptCount val="11"/>
                <c:pt idx="0">
                  <c:v>-56.995105266949302</c:v>
                </c:pt>
                <c:pt idx="1">
                  <c:v>-33.272056530482502</c:v>
                </c:pt>
                <c:pt idx="2">
                  <c:v>-9.2138983645816204</c:v>
                </c:pt>
                <c:pt idx="3">
                  <c:v>15.260272575122</c:v>
                </c:pt>
                <c:pt idx="4">
                  <c:v>37.570754506354902</c:v>
                </c:pt>
                <c:pt idx="5">
                  <c:v>62.437771520279</c:v>
                </c:pt>
                <c:pt idx="6">
                  <c:v>86.089285738263001</c:v>
                </c:pt>
                <c:pt idx="7">
                  <c:v>111.773922392572</c:v>
                </c:pt>
                <c:pt idx="8">
                  <c:v>134.415565643024</c:v>
                </c:pt>
                <c:pt idx="9">
                  <c:v>160.53102008046901</c:v>
                </c:pt>
                <c:pt idx="10">
                  <c:v>183.23039087177801</c:v>
                </c:pt>
              </c:numCache>
            </c:numRef>
          </c:cat>
          <c:val>
            <c:numRef>
              <c:f>Baseline!$AE$30:$AE$40</c:f>
              <c:numCache>
                <c:formatCode>0.000</c:formatCode>
                <c:ptCount val="11"/>
                <c:pt idx="0">
                  <c:v>0</c:v>
                </c:pt>
                <c:pt idx="1">
                  <c:v>0.39387319081357403</c:v>
                </c:pt>
                <c:pt idx="2">
                  <c:v>1.1530058138744601</c:v>
                </c:pt>
                <c:pt idx="3">
                  <c:v>1.8537284258926707</c:v>
                </c:pt>
                <c:pt idx="4">
                  <c:v>3.3241719958485727</c:v>
                </c:pt>
                <c:pt idx="5">
                  <c:v>4.6280345225686759</c:v>
                </c:pt>
                <c:pt idx="6">
                  <c:v>5.3136845091628713</c:v>
                </c:pt>
                <c:pt idx="7">
                  <c:v>5.344802786613946</c:v>
                </c:pt>
                <c:pt idx="8">
                  <c:v>5.4653623422461495</c:v>
                </c:pt>
                <c:pt idx="9">
                  <c:v>5.6662697466415004</c:v>
                </c:pt>
                <c:pt idx="10">
                  <c:v>6.0276934430763003</c:v>
                </c:pt>
              </c:numCache>
            </c:numRef>
          </c:val>
          <c:smooth val="0"/>
        </c:ser>
        <c:dLbls>
          <c:showLegendKey val="0"/>
          <c:showVal val="0"/>
          <c:showCatName val="0"/>
          <c:showSerName val="0"/>
          <c:showPercent val="0"/>
          <c:showBubbleSize val="0"/>
        </c:dLbls>
        <c:marker val="1"/>
        <c:smooth val="0"/>
        <c:axId val="157413760"/>
        <c:axId val="157415296"/>
      </c:lineChart>
      <c:catAx>
        <c:axId val="157413760"/>
        <c:scaling>
          <c:orientation val="minMax"/>
        </c:scaling>
        <c:delete val="0"/>
        <c:axPos val="b"/>
        <c:numFmt formatCode="0" sourceLinked="1"/>
        <c:majorTickMark val="out"/>
        <c:minorTickMark val="none"/>
        <c:tickLblPos val="nextTo"/>
        <c:crossAx val="157415296"/>
        <c:crosses val="autoZero"/>
        <c:auto val="1"/>
        <c:lblAlgn val="ctr"/>
        <c:lblOffset val="100"/>
        <c:noMultiLvlLbl val="0"/>
      </c:catAx>
      <c:valAx>
        <c:axId val="157415296"/>
        <c:scaling>
          <c:orientation val="minMax"/>
        </c:scaling>
        <c:delete val="0"/>
        <c:axPos val="l"/>
        <c:numFmt formatCode="0" sourceLinked="0"/>
        <c:majorTickMark val="out"/>
        <c:minorTickMark val="none"/>
        <c:tickLblPos val="nextTo"/>
        <c:crossAx val="157413760"/>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Baseline!$Y$103</c:f>
              <c:strCache>
                <c:ptCount val="1"/>
                <c:pt idx="0">
                  <c:v>Knot</c:v>
                </c:pt>
              </c:strCache>
            </c:strRef>
          </c:tx>
          <c:marker>
            <c:symbol val="none"/>
          </c:marker>
          <c:cat>
            <c:numRef>
              <c:f>Baseline!$X$28:$X$41</c:f>
              <c:numCache>
                <c:formatCode>0</c:formatCode>
                <c:ptCount val="14"/>
                <c:pt idx="0">
                  <c:v>-110.175225167985</c:v>
                </c:pt>
                <c:pt idx="1">
                  <c:v>-83.272831602241595</c:v>
                </c:pt>
                <c:pt idx="2">
                  <c:v>-56.995105266949302</c:v>
                </c:pt>
                <c:pt idx="3">
                  <c:v>-33.272056530482502</c:v>
                </c:pt>
                <c:pt idx="4">
                  <c:v>-9.2138983645816204</c:v>
                </c:pt>
                <c:pt idx="5">
                  <c:v>15.260272575122</c:v>
                </c:pt>
                <c:pt idx="6">
                  <c:v>37.570754506354902</c:v>
                </c:pt>
                <c:pt idx="7">
                  <c:v>62.437771520279</c:v>
                </c:pt>
                <c:pt idx="8">
                  <c:v>86.089285738263001</c:v>
                </c:pt>
                <c:pt idx="9">
                  <c:v>111.773922392572</c:v>
                </c:pt>
                <c:pt idx="10">
                  <c:v>134.415565643024</c:v>
                </c:pt>
                <c:pt idx="11">
                  <c:v>160.53102008046901</c:v>
                </c:pt>
                <c:pt idx="12">
                  <c:v>183.23039087177801</c:v>
                </c:pt>
                <c:pt idx="13">
                  <c:v>209.24279868250599</c:v>
                </c:pt>
              </c:numCache>
            </c:numRef>
          </c:cat>
          <c:val>
            <c:numRef>
              <c:f>Baseline!$Y$28:$Y$41</c:f>
              <c:numCache>
                <c:formatCode>0.000</c:formatCode>
                <c:ptCount val="14"/>
                <c:pt idx="0">
                  <c:v>0</c:v>
                </c:pt>
                <c:pt idx="1">
                  <c:v>3.1256266951590402E-2</c:v>
                </c:pt>
                <c:pt idx="2">
                  <c:v>0.18862313043478299</c:v>
                </c:pt>
                <c:pt idx="3">
                  <c:v>0.30615060763888902</c:v>
                </c:pt>
                <c:pt idx="4">
                  <c:v>0.51930077356521698</c:v>
                </c:pt>
                <c:pt idx="5">
                  <c:v>0.98856376263664003</c:v>
                </c:pt>
                <c:pt idx="6">
                  <c:v>1.89537379409471</c:v>
                </c:pt>
                <c:pt idx="7">
                  <c:v>3.3799457765415402</c:v>
                </c:pt>
                <c:pt idx="8">
                  <c:v>4.7646640542534699</c:v>
                </c:pt>
                <c:pt idx="9">
                  <c:v>6.2168084690133298</c:v>
                </c:pt>
                <c:pt idx="10">
                  <c:v>7.60662891263856</c:v>
                </c:pt>
                <c:pt idx="11">
                  <c:v>8.7434835551418502</c:v>
                </c:pt>
                <c:pt idx="12">
                  <c:v>8.8912890705385497</c:v>
                </c:pt>
                <c:pt idx="13">
                  <c:v>8.9</c:v>
                </c:pt>
              </c:numCache>
            </c:numRef>
          </c:val>
          <c:smooth val="0"/>
        </c:ser>
        <c:ser>
          <c:idx val="1"/>
          <c:order val="1"/>
          <c:tx>
            <c:strRef>
              <c:f>Baseline!$Z$103</c:f>
              <c:strCache>
                <c:ptCount val="1"/>
                <c:pt idx="0">
                  <c:v>adj Knot</c:v>
                </c:pt>
              </c:strCache>
            </c:strRef>
          </c:tx>
          <c:marker>
            <c:symbol val="none"/>
          </c:marker>
          <c:cat>
            <c:numRef>
              <c:f>Baseline!$X$28:$X$41</c:f>
              <c:numCache>
                <c:formatCode>0</c:formatCode>
                <c:ptCount val="14"/>
                <c:pt idx="0">
                  <c:v>-110.175225167985</c:v>
                </c:pt>
                <c:pt idx="1">
                  <c:v>-83.272831602241595</c:v>
                </c:pt>
                <c:pt idx="2">
                  <c:v>-56.995105266949302</c:v>
                </c:pt>
                <c:pt idx="3">
                  <c:v>-33.272056530482502</c:v>
                </c:pt>
                <c:pt idx="4">
                  <c:v>-9.2138983645816204</c:v>
                </c:pt>
                <c:pt idx="5">
                  <c:v>15.260272575122</c:v>
                </c:pt>
                <c:pt idx="6">
                  <c:v>37.570754506354902</c:v>
                </c:pt>
                <c:pt idx="7">
                  <c:v>62.437771520279</c:v>
                </c:pt>
                <c:pt idx="8">
                  <c:v>86.089285738263001</c:v>
                </c:pt>
                <c:pt idx="9">
                  <c:v>111.773922392572</c:v>
                </c:pt>
                <c:pt idx="10">
                  <c:v>134.415565643024</c:v>
                </c:pt>
                <c:pt idx="11">
                  <c:v>160.53102008046901</c:v>
                </c:pt>
                <c:pt idx="12">
                  <c:v>183.23039087177801</c:v>
                </c:pt>
                <c:pt idx="13">
                  <c:v>209.24279868250599</c:v>
                </c:pt>
              </c:numCache>
            </c:numRef>
          </c:cat>
          <c:val>
            <c:numRef>
              <c:f>Baseline!$Z$28:$Z$41</c:f>
              <c:numCache>
                <c:formatCode>0.000</c:formatCode>
                <c:ptCount val="14"/>
                <c:pt idx="0">
                  <c:v>0</c:v>
                </c:pt>
                <c:pt idx="1">
                  <c:v>3.1256266951590402E-2</c:v>
                </c:pt>
                <c:pt idx="2">
                  <c:v>0.18862313043478299</c:v>
                </c:pt>
                <c:pt idx="3">
                  <c:v>0.30615060763888902</c:v>
                </c:pt>
                <c:pt idx="4">
                  <c:v>0.51930077356521698</c:v>
                </c:pt>
                <c:pt idx="5">
                  <c:v>0.98856376263664003</c:v>
                </c:pt>
                <c:pt idx="6">
                  <c:v>1.89537379409471</c:v>
                </c:pt>
                <c:pt idx="7">
                  <c:v>3.3799457765415402</c:v>
                </c:pt>
                <c:pt idx="8">
                  <c:v>4.7646640542534699</c:v>
                </c:pt>
                <c:pt idx="9">
                  <c:v>6.2168084690133298</c:v>
                </c:pt>
                <c:pt idx="10">
                  <c:v>7.60662891263856</c:v>
                </c:pt>
                <c:pt idx="11">
                  <c:v>8.7434835551418502</c:v>
                </c:pt>
                <c:pt idx="12">
                  <c:v>8.8912890705385497</c:v>
                </c:pt>
                <c:pt idx="13">
                  <c:v>8.9</c:v>
                </c:pt>
              </c:numCache>
            </c:numRef>
          </c:val>
          <c:smooth val="0"/>
        </c:ser>
        <c:dLbls>
          <c:showLegendKey val="0"/>
          <c:showVal val="0"/>
          <c:showCatName val="0"/>
          <c:showSerName val="0"/>
          <c:showPercent val="0"/>
          <c:showBubbleSize val="0"/>
        </c:dLbls>
        <c:marker val="1"/>
        <c:smooth val="0"/>
        <c:axId val="158279936"/>
        <c:axId val="191373312"/>
      </c:lineChart>
      <c:catAx>
        <c:axId val="158279936"/>
        <c:scaling>
          <c:orientation val="minMax"/>
        </c:scaling>
        <c:delete val="0"/>
        <c:axPos val="b"/>
        <c:numFmt formatCode="0" sourceLinked="1"/>
        <c:majorTickMark val="out"/>
        <c:minorTickMark val="none"/>
        <c:tickLblPos val="nextTo"/>
        <c:crossAx val="191373312"/>
        <c:crosses val="autoZero"/>
        <c:auto val="1"/>
        <c:lblAlgn val="ctr"/>
        <c:lblOffset val="100"/>
        <c:noMultiLvlLbl val="0"/>
      </c:catAx>
      <c:valAx>
        <c:axId val="191373312"/>
        <c:scaling>
          <c:orientation val="minMax"/>
        </c:scaling>
        <c:delete val="0"/>
        <c:axPos val="l"/>
        <c:numFmt formatCode="0" sourceLinked="0"/>
        <c:majorTickMark val="out"/>
        <c:minorTickMark val="none"/>
        <c:tickLblPos val="nextTo"/>
        <c:crossAx val="15827993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Baseline!$T$103</c:f>
              <c:strCache>
                <c:ptCount val="1"/>
                <c:pt idx="0">
                  <c:v>Knot</c:v>
                </c:pt>
              </c:strCache>
            </c:strRef>
          </c:tx>
          <c:marker>
            <c:symbol val="none"/>
          </c:marker>
          <c:cat>
            <c:numRef>
              <c:f>Baseline!$S$27:$S$36</c:f>
              <c:numCache>
                <c:formatCode>0</c:formatCode>
                <c:ptCount val="10"/>
                <c:pt idx="0">
                  <c:v>-131.94999999999999</c:v>
                </c:pt>
                <c:pt idx="1">
                  <c:v>-110.175225167985</c:v>
                </c:pt>
                <c:pt idx="2">
                  <c:v>-83.272831602241595</c:v>
                </c:pt>
                <c:pt idx="3">
                  <c:v>-56.995105266949302</c:v>
                </c:pt>
                <c:pt idx="4">
                  <c:v>-33.272056530482502</c:v>
                </c:pt>
                <c:pt idx="5">
                  <c:v>-9.2138983645816204</c:v>
                </c:pt>
                <c:pt idx="6">
                  <c:v>15.260272575122</c:v>
                </c:pt>
                <c:pt idx="7">
                  <c:v>37.570754506354902</c:v>
                </c:pt>
                <c:pt idx="8">
                  <c:v>62.437771520279</c:v>
                </c:pt>
                <c:pt idx="9">
                  <c:v>86.089285738263001</c:v>
                </c:pt>
              </c:numCache>
            </c:numRef>
          </c:cat>
          <c:val>
            <c:numRef>
              <c:f>Baseline!$T$27:$T$36</c:f>
              <c:numCache>
                <c:formatCode>0.000</c:formatCode>
                <c:ptCount val="10"/>
                <c:pt idx="0">
                  <c:v>0.95832877400000005</c:v>
                </c:pt>
                <c:pt idx="1">
                  <c:v>1.012994</c:v>
                </c:pt>
                <c:pt idx="2">
                  <c:v>1.135228248</c:v>
                </c:pt>
                <c:pt idx="3">
                  <c:v>1.2795488639999999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Baseline!$U$103</c:f>
              <c:strCache>
                <c:ptCount val="1"/>
                <c:pt idx="0">
                  <c:v>adj Knot</c:v>
                </c:pt>
              </c:strCache>
            </c:strRef>
          </c:tx>
          <c:marker>
            <c:symbol val="none"/>
          </c:marker>
          <c:cat>
            <c:numRef>
              <c:f>Baseline!$S$27:$S$36</c:f>
              <c:numCache>
                <c:formatCode>0</c:formatCode>
                <c:ptCount val="10"/>
                <c:pt idx="0">
                  <c:v>-131.94999999999999</c:v>
                </c:pt>
                <c:pt idx="1">
                  <c:v>-110.175225167985</c:v>
                </c:pt>
                <c:pt idx="2">
                  <c:v>-83.272831602241595</c:v>
                </c:pt>
                <c:pt idx="3">
                  <c:v>-56.995105266949302</c:v>
                </c:pt>
                <c:pt idx="4">
                  <c:v>-33.272056530482502</c:v>
                </c:pt>
                <c:pt idx="5">
                  <c:v>-9.2138983645816204</c:v>
                </c:pt>
                <c:pt idx="6">
                  <c:v>15.260272575122</c:v>
                </c:pt>
                <c:pt idx="7">
                  <c:v>37.570754506354902</c:v>
                </c:pt>
                <c:pt idx="8">
                  <c:v>62.437771520279</c:v>
                </c:pt>
                <c:pt idx="9">
                  <c:v>86.089285738263001</c:v>
                </c:pt>
              </c:numCache>
            </c:numRef>
          </c:cat>
          <c:val>
            <c:numRef>
              <c:f>Baseline!$U$27:$U$36</c:f>
              <c:numCache>
                <c:formatCode>0.000</c:formatCode>
                <c:ptCount val="10"/>
                <c:pt idx="0">
                  <c:v>0.95832877400000005</c:v>
                </c:pt>
                <c:pt idx="1">
                  <c:v>1.012994</c:v>
                </c:pt>
                <c:pt idx="2">
                  <c:v>1.135228248</c:v>
                </c:pt>
                <c:pt idx="3">
                  <c:v>1.2795488639999999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191402368"/>
        <c:axId val="191403904"/>
      </c:lineChart>
      <c:catAx>
        <c:axId val="191402368"/>
        <c:scaling>
          <c:orientation val="minMax"/>
        </c:scaling>
        <c:delete val="0"/>
        <c:axPos val="b"/>
        <c:numFmt formatCode="0" sourceLinked="1"/>
        <c:majorTickMark val="out"/>
        <c:minorTickMark val="none"/>
        <c:tickLblPos val="nextTo"/>
        <c:crossAx val="191403904"/>
        <c:crosses val="autoZero"/>
        <c:auto val="1"/>
        <c:lblAlgn val="ctr"/>
        <c:lblOffset val="100"/>
        <c:noMultiLvlLbl val="0"/>
      </c:catAx>
      <c:valAx>
        <c:axId val="191403904"/>
        <c:scaling>
          <c:orientation val="minMax"/>
        </c:scaling>
        <c:delete val="0"/>
        <c:axPos val="l"/>
        <c:numFmt formatCode="0" sourceLinked="0"/>
        <c:majorTickMark val="out"/>
        <c:minorTickMark val="none"/>
        <c:tickLblPos val="nextTo"/>
        <c:crossAx val="19140236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Baseline!$AS$68</c:f>
              <c:strCache>
                <c:ptCount val="1"/>
                <c:pt idx="0">
                  <c:v>PCT_BROKER</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Baseline!$AS$73:$AS$82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1"/>
          <c:order val="1"/>
          <c:tx>
            <c:strRef>
              <c:f>Baseline!$AT$68</c:f>
              <c:strCache>
                <c:ptCount val="1"/>
                <c:pt idx="0">
                  <c:v>PCT_CORRES</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Baseline!$AT$73:$AT$82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2"/>
          <c:tx>
            <c:strRef>
              <c:f>Baseline!$AU$68</c:f>
              <c:strCache>
                <c:ptCount val="1"/>
                <c:pt idx="0">
                  <c:v>PCT_NonRETAIL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Baseline!$AU$73:$AU$82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5"/>
          <c:order val="3"/>
          <c:tx>
            <c:strRef>
              <c:f>Baseline!$AV$68</c:f>
              <c:strCache>
                <c:ptCount val="1"/>
                <c:pt idx="0">
                  <c:v>PCT_RETAIL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Baseline!$AV$73:$AV$82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1"/>
        <c:smooth val="0"/>
        <c:axId val="191422464"/>
        <c:axId val="191424000"/>
      </c:lineChart>
      <c:catAx>
        <c:axId val="191422464"/>
        <c:scaling>
          <c:orientation val="minMax"/>
        </c:scaling>
        <c:delete val="0"/>
        <c:axPos val="b"/>
        <c:majorTickMark val="out"/>
        <c:minorTickMark val="none"/>
        <c:tickLblPos val="nextTo"/>
        <c:crossAx val="191424000"/>
        <c:crosses val="autoZero"/>
        <c:auto val="1"/>
        <c:lblAlgn val="ctr"/>
        <c:lblOffset val="100"/>
        <c:noMultiLvlLbl val="0"/>
      </c:catAx>
      <c:valAx>
        <c:axId val="191424000"/>
        <c:scaling>
          <c:orientation val="minMax"/>
        </c:scaling>
        <c:delete val="0"/>
        <c:axPos val="l"/>
        <c:majorGridlines/>
        <c:numFmt formatCode="0.00" sourceLinked="1"/>
        <c:majorTickMark val="out"/>
        <c:minorTickMark val="none"/>
        <c:tickLblPos val="nextTo"/>
        <c:crossAx val="1914224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Baseline!$G$103</c:f>
              <c:strCache>
                <c:ptCount val="1"/>
                <c:pt idx="0">
                  <c:v>PREPAY_CPR1</c:v>
                </c:pt>
              </c:strCache>
            </c:strRef>
          </c:tx>
          <c:xVal>
            <c:numRef>
              <c:f>Baseline!$A$199:$A$219</c:f>
              <c:numCache>
                <c:formatCode>0.00</c:formatCode>
                <c:ptCount val="21"/>
                <c:pt idx="0">
                  <c:v>-12.3173211779757</c:v>
                </c:pt>
                <c:pt idx="1">
                  <c:v>-7.3437981301888398</c:v>
                </c:pt>
                <c:pt idx="2">
                  <c:v>-2.3469884391010298</c:v>
                </c:pt>
                <c:pt idx="3">
                  <c:v>2.6097941605028701</c:v>
                </c:pt>
                <c:pt idx="4">
                  <c:v>7.6290786021217203</c:v>
                </c:pt>
                <c:pt idx="5">
                  <c:v>12.5985179279443</c:v>
                </c:pt>
                <c:pt idx="6">
                  <c:v>17.626853643271801</c:v>
                </c:pt>
                <c:pt idx="7">
                  <c:v>22.570944064537301</c:v>
                </c:pt>
                <c:pt idx="8">
                  <c:v>27.5693864797313</c:v>
                </c:pt>
                <c:pt idx="9">
                  <c:v>32.503798037595097</c:v>
                </c:pt>
                <c:pt idx="10">
                  <c:v>37.522032277872597</c:v>
                </c:pt>
                <c:pt idx="11">
                  <c:v>42.506580230668497</c:v>
                </c:pt>
                <c:pt idx="12">
                  <c:v>47.562144500874801</c:v>
                </c:pt>
                <c:pt idx="13">
                  <c:v>52.554016523713301</c:v>
                </c:pt>
                <c:pt idx="14">
                  <c:v>57.495919240385199</c:v>
                </c:pt>
                <c:pt idx="15">
                  <c:v>62.496585658300098</c:v>
                </c:pt>
                <c:pt idx="16">
                  <c:v>67.500578765120196</c:v>
                </c:pt>
                <c:pt idx="17">
                  <c:v>72.529015798385601</c:v>
                </c:pt>
                <c:pt idx="18">
                  <c:v>86.340717877121307</c:v>
                </c:pt>
                <c:pt idx="19">
                  <c:v>111.620608534352</c:v>
                </c:pt>
                <c:pt idx="20">
                  <c:v>134.92878797041399</c:v>
                </c:pt>
              </c:numCache>
            </c:numRef>
          </c:xVal>
          <c:yVal>
            <c:numRef>
              <c:f>Baseline!$G$199:$G$219</c:f>
              <c:numCache>
                <c:formatCode>0.00</c:formatCode>
                <c:ptCount val="21"/>
                <c:pt idx="0">
                  <c:v>6.3804593342024489</c:v>
                </c:pt>
                <c:pt idx="1">
                  <c:v>6.4067355609026322</c:v>
                </c:pt>
                <c:pt idx="2">
                  <c:v>8.5782263871161284</c:v>
                </c:pt>
                <c:pt idx="3">
                  <c:v>10.447936536618318</c:v>
                </c:pt>
                <c:pt idx="4">
                  <c:v>8.6960533605249246</c:v>
                </c:pt>
                <c:pt idx="5">
                  <c:v>12.007853950894942</c:v>
                </c:pt>
                <c:pt idx="6">
                  <c:v>12.367184963261257</c:v>
                </c:pt>
                <c:pt idx="7">
                  <c:v>12.9849050260343</c:v>
                </c:pt>
                <c:pt idx="8">
                  <c:v>14.829533860939947</c:v>
                </c:pt>
                <c:pt idx="9">
                  <c:v>16.15466698777691</c:v>
                </c:pt>
                <c:pt idx="10">
                  <c:v>17.257775228601837</c:v>
                </c:pt>
                <c:pt idx="11">
                  <c:v>19.091322612407836</c:v>
                </c:pt>
                <c:pt idx="12">
                  <c:v>19.653714419426048</c:v>
                </c:pt>
                <c:pt idx="13">
                  <c:v>22.043249338997661</c:v>
                </c:pt>
                <c:pt idx="14">
                  <c:v>23.106314687139808</c:v>
                </c:pt>
                <c:pt idx="15">
                  <c:v>26.18641057260507</c:v>
                </c:pt>
                <c:pt idx="16">
                  <c:v>27.552280069596037</c:v>
                </c:pt>
                <c:pt idx="17">
                  <c:v>28.499899261630979</c:v>
                </c:pt>
                <c:pt idx="18">
                  <c:v>31.50646531209922</c:v>
                </c:pt>
                <c:pt idx="19">
                  <c:v>35.20287534090081</c:v>
                </c:pt>
                <c:pt idx="20">
                  <c:v>35.292651765802354</c:v>
                </c:pt>
              </c:numCache>
            </c:numRef>
          </c:yVal>
          <c:smooth val="1"/>
        </c:ser>
        <c:ser>
          <c:idx val="1"/>
          <c:order val="1"/>
          <c:tx>
            <c:strRef>
              <c:f>Baseline!$H$103</c:f>
              <c:strCache>
                <c:ptCount val="1"/>
                <c:pt idx="0">
                  <c:v>PREPAY_TRACKING_CPR1</c:v>
                </c:pt>
              </c:strCache>
            </c:strRef>
          </c:tx>
          <c:xVal>
            <c:numRef>
              <c:f>Baseline!$A$199:$A$219</c:f>
              <c:numCache>
                <c:formatCode>0.00</c:formatCode>
                <c:ptCount val="21"/>
                <c:pt idx="0">
                  <c:v>-12.3173211779757</c:v>
                </c:pt>
                <c:pt idx="1">
                  <c:v>-7.3437981301888398</c:v>
                </c:pt>
                <c:pt idx="2">
                  <c:v>-2.3469884391010298</c:v>
                </c:pt>
                <c:pt idx="3">
                  <c:v>2.6097941605028701</c:v>
                </c:pt>
                <c:pt idx="4">
                  <c:v>7.6290786021217203</c:v>
                </c:pt>
                <c:pt idx="5">
                  <c:v>12.5985179279443</c:v>
                </c:pt>
                <c:pt idx="6">
                  <c:v>17.626853643271801</c:v>
                </c:pt>
                <c:pt idx="7">
                  <c:v>22.570944064537301</c:v>
                </c:pt>
                <c:pt idx="8">
                  <c:v>27.5693864797313</c:v>
                </c:pt>
                <c:pt idx="9">
                  <c:v>32.503798037595097</c:v>
                </c:pt>
                <c:pt idx="10">
                  <c:v>37.522032277872597</c:v>
                </c:pt>
                <c:pt idx="11">
                  <c:v>42.506580230668497</c:v>
                </c:pt>
                <c:pt idx="12">
                  <c:v>47.562144500874801</c:v>
                </c:pt>
                <c:pt idx="13">
                  <c:v>52.554016523713301</c:v>
                </c:pt>
                <c:pt idx="14">
                  <c:v>57.495919240385199</c:v>
                </c:pt>
                <c:pt idx="15">
                  <c:v>62.496585658300098</c:v>
                </c:pt>
                <c:pt idx="16">
                  <c:v>67.500578765120196</c:v>
                </c:pt>
                <c:pt idx="17">
                  <c:v>72.529015798385601</c:v>
                </c:pt>
                <c:pt idx="18">
                  <c:v>86.340717877121307</c:v>
                </c:pt>
                <c:pt idx="19">
                  <c:v>111.620608534352</c:v>
                </c:pt>
                <c:pt idx="20">
                  <c:v>134.92878797041399</c:v>
                </c:pt>
              </c:numCache>
            </c:numRef>
          </c:xVal>
          <c:yVal>
            <c:numRef>
              <c:f>Baseline!$H$199:$H$219</c:f>
              <c:numCache>
                <c:formatCode>0.00</c:formatCode>
                <c:ptCount val="21"/>
                <c:pt idx="0">
                  <c:v>10.874844541297113</c:v>
                </c:pt>
                <c:pt idx="1">
                  <c:v>11.669462641587847</c:v>
                </c:pt>
                <c:pt idx="2">
                  <c:v>12.566875737405802</c:v>
                </c:pt>
                <c:pt idx="3">
                  <c:v>13.317179548072033</c:v>
                </c:pt>
                <c:pt idx="4">
                  <c:v>14.025174389107542</c:v>
                </c:pt>
                <c:pt idx="5">
                  <c:v>14.96203057771478</c:v>
                </c:pt>
                <c:pt idx="6">
                  <c:v>15.980046633756483</c:v>
                </c:pt>
                <c:pt idx="7">
                  <c:v>17.235413297375267</c:v>
                </c:pt>
                <c:pt idx="8">
                  <c:v>18.386603172954352</c:v>
                </c:pt>
                <c:pt idx="9">
                  <c:v>19.784974029561965</c:v>
                </c:pt>
                <c:pt idx="10">
                  <c:v>21.110087498675878</c:v>
                </c:pt>
                <c:pt idx="11">
                  <c:v>22.356786769776569</c:v>
                </c:pt>
                <c:pt idx="12">
                  <c:v>23.685503243120287</c:v>
                </c:pt>
                <c:pt idx="13">
                  <c:v>24.878737058559995</c:v>
                </c:pt>
                <c:pt idx="14">
                  <c:v>26.077578082414398</c:v>
                </c:pt>
                <c:pt idx="15">
                  <c:v>27.257229324663037</c:v>
                </c:pt>
                <c:pt idx="16">
                  <c:v>28.155732674869761</c:v>
                </c:pt>
                <c:pt idx="17">
                  <c:v>29.291679486058985</c:v>
                </c:pt>
                <c:pt idx="18">
                  <c:v>31.991206428127295</c:v>
                </c:pt>
                <c:pt idx="19">
                  <c:v>35.573029158177128</c:v>
                </c:pt>
                <c:pt idx="20">
                  <c:v>38.710522101761399</c:v>
                </c:pt>
              </c:numCache>
            </c:numRef>
          </c:yVal>
          <c:smooth val="1"/>
        </c:ser>
        <c:ser>
          <c:idx val="2"/>
          <c:order val="2"/>
          <c:tx>
            <c:strRef>
              <c:f>Baseline!$O$103</c:f>
              <c:strCache>
                <c:ptCount val="1"/>
                <c:pt idx="0">
                  <c:v>mdl_cpr</c:v>
                </c:pt>
              </c:strCache>
            </c:strRef>
          </c:tx>
          <c:xVal>
            <c:numRef>
              <c:f>Baseline!$A$199:$A$219</c:f>
              <c:numCache>
                <c:formatCode>0.00</c:formatCode>
                <c:ptCount val="21"/>
                <c:pt idx="0">
                  <c:v>-12.3173211779757</c:v>
                </c:pt>
                <c:pt idx="1">
                  <c:v>-7.3437981301888398</c:v>
                </c:pt>
                <c:pt idx="2">
                  <c:v>-2.3469884391010298</c:v>
                </c:pt>
                <c:pt idx="3">
                  <c:v>2.6097941605028701</c:v>
                </c:pt>
                <c:pt idx="4">
                  <c:v>7.6290786021217203</c:v>
                </c:pt>
                <c:pt idx="5">
                  <c:v>12.5985179279443</c:v>
                </c:pt>
                <c:pt idx="6">
                  <c:v>17.626853643271801</c:v>
                </c:pt>
                <c:pt idx="7">
                  <c:v>22.570944064537301</c:v>
                </c:pt>
                <c:pt idx="8">
                  <c:v>27.5693864797313</c:v>
                </c:pt>
                <c:pt idx="9">
                  <c:v>32.503798037595097</c:v>
                </c:pt>
                <c:pt idx="10">
                  <c:v>37.522032277872597</c:v>
                </c:pt>
                <c:pt idx="11">
                  <c:v>42.506580230668497</c:v>
                </c:pt>
                <c:pt idx="12">
                  <c:v>47.562144500874801</c:v>
                </c:pt>
                <c:pt idx="13">
                  <c:v>52.554016523713301</c:v>
                </c:pt>
                <c:pt idx="14">
                  <c:v>57.495919240385199</c:v>
                </c:pt>
                <c:pt idx="15">
                  <c:v>62.496585658300098</c:v>
                </c:pt>
                <c:pt idx="16">
                  <c:v>67.500578765120196</c:v>
                </c:pt>
                <c:pt idx="17">
                  <c:v>72.529015798385601</c:v>
                </c:pt>
                <c:pt idx="18">
                  <c:v>86.340717877121307</c:v>
                </c:pt>
                <c:pt idx="19">
                  <c:v>111.620608534352</c:v>
                </c:pt>
                <c:pt idx="20">
                  <c:v>134.92878797041399</c:v>
                </c:pt>
              </c:numCache>
            </c:numRef>
          </c:xVal>
          <c:yVal>
            <c:numRef>
              <c:f>Baseline!$O$199:$O$219</c:f>
              <c:numCache>
                <c:formatCode>0.00</c:formatCode>
                <c:ptCount val="21"/>
                <c:pt idx="0">
                  <c:v>6.360652254442611</c:v>
                </c:pt>
                <c:pt idx="1">
                  <c:v>8.2110157062645897</c:v>
                </c:pt>
                <c:pt idx="2">
                  <c:v>9.23217328755449</c:v>
                </c:pt>
                <c:pt idx="3">
                  <c:v>10.121374134268081</c:v>
                </c:pt>
                <c:pt idx="4">
                  <c:v>10.934746612835289</c:v>
                </c:pt>
                <c:pt idx="5">
                  <c:v>11.741864877489617</c:v>
                </c:pt>
                <c:pt idx="6">
                  <c:v>12.528490559522453</c:v>
                </c:pt>
                <c:pt idx="7">
                  <c:v>13.342245250979069</c:v>
                </c:pt>
                <c:pt idx="8">
                  <c:v>14.419417172298942</c:v>
                </c:pt>
                <c:pt idx="9">
                  <c:v>15.566762354556829</c:v>
                </c:pt>
                <c:pt idx="10">
                  <c:v>16.969910755630448</c:v>
                </c:pt>
                <c:pt idx="11">
                  <c:v>18.757165063863145</c:v>
                </c:pt>
                <c:pt idx="12">
                  <c:v>20.919360347374681</c:v>
                </c:pt>
                <c:pt idx="13">
                  <c:v>23.069772941926825</c:v>
                </c:pt>
                <c:pt idx="14">
                  <c:v>25.231366308694582</c:v>
                </c:pt>
                <c:pt idx="15">
                  <c:v>27.570217906482963</c:v>
                </c:pt>
                <c:pt idx="16">
                  <c:v>29.058798449738397</c:v>
                </c:pt>
                <c:pt idx="17">
                  <c:v>30.409282644884517</c:v>
                </c:pt>
                <c:pt idx="18">
                  <c:v>34.130549863824399</c:v>
                </c:pt>
                <c:pt idx="19">
                  <c:v>35.568187780645999</c:v>
                </c:pt>
                <c:pt idx="20">
                  <c:v>35.809409827274884</c:v>
                </c:pt>
              </c:numCache>
            </c:numRef>
          </c:yVal>
          <c:smooth val="1"/>
        </c:ser>
        <c:dLbls>
          <c:showLegendKey val="0"/>
          <c:showVal val="0"/>
          <c:showCatName val="0"/>
          <c:showSerName val="0"/>
          <c:showPercent val="0"/>
          <c:showBubbleSize val="0"/>
        </c:dLbls>
        <c:axId val="207164928"/>
        <c:axId val="207166464"/>
      </c:scatterChart>
      <c:valAx>
        <c:axId val="207164928"/>
        <c:scaling>
          <c:orientation val="minMax"/>
        </c:scaling>
        <c:delete val="0"/>
        <c:axPos val="b"/>
        <c:numFmt formatCode="0" sourceLinked="0"/>
        <c:majorTickMark val="out"/>
        <c:minorTickMark val="none"/>
        <c:tickLblPos val="nextTo"/>
        <c:crossAx val="207166464"/>
        <c:crosses val="autoZero"/>
        <c:crossBetween val="midCat"/>
      </c:valAx>
      <c:valAx>
        <c:axId val="207166464"/>
        <c:scaling>
          <c:orientation val="minMax"/>
        </c:scaling>
        <c:delete val="0"/>
        <c:axPos val="l"/>
        <c:majorGridlines/>
        <c:numFmt formatCode="0.00" sourceLinked="1"/>
        <c:majorTickMark val="out"/>
        <c:minorTickMark val="none"/>
        <c:tickLblPos val="nextTo"/>
        <c:crossAx val="207164928"/>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Baseline!$AD$192</c:f>
              <c:strCache>
                <c:ptCount val="1"/>
                <c:pt idx="0">
                  <c:v>Knot</c:v>
                </c:pt>
              </c:strCache>
            </c:strRef>
          </c:tx>
          <c:marker>
            <c:symbol val="none"/>
          </c:marker>
          <c:cat>
            <c:numRef>
              <c:f>Baseline!$AC$193:$AC$220</c:f>
              <c:numCache>
                <c:formatCode>0</c:formatCode>
                <c:ptCount val="28"/>
                <c:pt idx="0">
                  <c:v>-107.582908254133</c:v>
                </c:pt>
                <c:pt idx="1">
                  <c:v>-83.219819416087105</c:v>
                </c:pt>
                <c:pt idx="2">
                  <c:v>-58.362227838696299</c:v>
                </c:pt>
                <c:pt idx="3">
                  <c:v>-33.5047409308822</c:v>
                </c:pt>
                <c:pt idx="4">
                  <c:v>-22.3264737150208</c:v>
                </c:pt>
                <c:pt idx="5">
                  <c:v>-17.311749735249801</c:v>
                </c:pt>
                <c:pt idx="6">
                  <c:v>-12.3173211779757</c:v>
                </c:pt>
                <c:pt idx="7">
                  <c:v>-7.3437981301888398</c:v>
                </c:pt>
                <c:pt idx="8">
                  <c:v>-2.3469884391010298</c:v>
                </c:pt>
                <c:pt idx="9">
                  <c:v>2.6097941605028701</c:v>
                </c:pt>
                <c:pt idx="10">
                  <c:v>7.6290786021217203</c:v>
                </c:pt>
                <c:pt idx="11">
                  <c:v>12.5985179279443</c:v>
                </c:pt>
                <c:pt idx="12">
                  <c:v>17.626853643271801</c:v>
                </c:pt>
                <c:pt idx="13">
                  <c:v>22.570944064537301</c:v>
                </c:pt>
                <c:pt idx="14">
                  <c:v>27.5693864797313</c:v>
                </c:pt>
                <c:pt idx="15">
                  <c:v>32.503798037595097</c:v>
                </c:pt>
                <c:pt idx="16">
                  <c:v>37.522032277872597</c:v>
                </c:pt>
                <c:pt idx="17">
                  <c:v>42.506580230668497</c:v>
                </c:pt>
                <c:pt idx="18">
                  <c:v>47.562144500874801</c:v>
                </c:pt>
                <c:pt idx="19">
                  <c:v>52.554016523713301</c:v>
                </c:pt>
                <c:pt idx="20">
                  <c:v>57.495919240385199</c:v>
                </c:pt>
                <c:pt idx="21">
                  <c:v>62.496585658300098</c:v>
                </c:pt>
                <c:pt idx="22">
                  <c:v>67.500578765120196</c:v>
                </c:pt>
                <c:pt idx="23">
                  <c:v>72.529015798385601</c:v>
                </c:pt>
                <c:pt idx="24">
                  <c:v>86.340717877121307</c:v>
                </c:pt>
                <c:pt idx="25">
                  <c:v>111.620608534352</c:v>
                </c:pt>
                <c:pt idx="26">
                  <c:v>134.92878797041399</c:v>
                </c:pt>
                <c:pt idx="27">
                  <c:v>160.59319451300999</c:v>
                </c:pt>
              </c:numCache>
            </c:numRef>
          </c:cat>
          <c:val>
            <c:numRef>
              <c:f>Baseline!$AD$193:$AD$220</c:f>
              <c:numCache>
                <c:formatCode>0.000</c:formatCode>
                <c:ptCount val="28"/>
                <c:pt idx="0">
                  <c:v>0</c:v>
                </c:pt>
                <c:pt idx="1">
                  <c:v>0</c:v>
                </c:pt>
                <c:pt idx="2">
                  <c:v>0</c:v>
                </c:pt>
                <c:pt idx="3">
                  <c:v>0.39387319081357403</c:v>
                </c:pt>
                <c:pt idx="4">
                  <c:v>0.79645948376475795</c:v>
                </c:pt>
                <c:pt idx="5">
                  <c:v>0.95362938111262996</c:v>
                </c:pt>
                <c:pt idx="6">
                  <c:v>1.08142635820954</c:v>
                </c:pt>
                <c:pt idx="7">
                  <c:v>1.1993277822989601</c:v>
                </c:pt>
                <c:pt idx="8">
                  <c:v>1.3122379125033801</c:v>
                </c:pt>
                <c:pt idx="9">
                  <c:v>1.4018480364105399</c:v>
                </c:pt>
                <c:pt idx="10">
                  <c:v>1.51655790515</c:v>
                </c:pt>
                <c:pt idx="11">
                  <c:v>1.6382587772578501</c:v>
                </c:pt>
                <c:pt idx="12">
                  <c:v>1.77123004461028</c:v>
                </c:pt>
                <c:pt idx="13">
                  <c:v>1.91883456513696</c:v>
                </c:pt>
                <c:pt idx="14">
                  <c:v>2.0788177485891102</c:v>
                </c:pt>
                <c:pt idx="15">
                  <c:v>2.2487416798578299</c:v>
                </c:pt>
                <c:pt idx="16">
                  <c:v>2.4264029166777901</c:v>
                </c:pt>
                <c:pt idx="17">
                  <c:v>2.6095980167836599</c:v>
                </c:pt>
                <c:pt idx="18">
                  <c:v>2.7961235379101401</c:v>
                </c:pt>
                <c:pt idx="19">
                  <c:v>2.9837760377918898</c:v>
                </c:pt>
                <c:pt idx="20">
                  <c:v>3.1703520741635902</c:v>
                </c:pt>
                <c:pt idx="21">
                  <c:v>3.3536482047599101</c:v>
                </c:pt>
                <c:pt idx="22">
                  <c:v>3.5314609873155498</c:v>
                </c:pt>
                <c:pt idx="23">
                  <c:v>3.7015869795651599</c:v>
                </c:pt>
                <c:pt idx="24">
                  <c:v>4.1191352784208304</c:v>
                </c:pt>
                <c:pt idx="25">
                  <c:v>4.7299139704548203</c:v>
                </c:pt>
                <c:pt idx="26">
                  <c:v>5.2051069926153799</c:v>
                </c:pt>
                <c:pt idx="27">
                  <c:v>5.6662697466415004</c:v>
                </c:pt>
              </c:numCache>
            </c:numRef>
          </c:val>
          <c:smooth val="0"/>
        </c:ser>
        <c:ser>
          <c:idx val="1"/>
          <c:order val="1"/>
          <c:tx>
            <c:strRef>
              <c:f>Baseline!$AE$192</c:f>
              <c:strCache>
                <c:ptCount val="1"/>
                <c:pt idx="0">
                  <c:v>adj Knot</c:v>
                </c:pt>
              </c:strCache>
            </c:strRef>
          </c:tx>
          <c:marker>
            <c:symbol val="none"/>
          </c:marker>
          <c:cat>
            <c:numRef>
              <c:f>Baseline!$AC$193:$AC$220</c:f>
              <c:numCache>
                <c:formatCode>0</c:formatCode>
                <c:ptCount val="28"/>
                <c:pt idx="0">
                  <c:v>-107.582908254133</c:v>
                </c:pt>
                <c:pt idx="1">
                  <c:v>-83.219819416087105</c:v>
                </c:pt>
                <c:pt idx="2">
                  <c:v>-58.362227838696299</c:v>
                </c:pt>
                <c:pt idx="3">
                  <c:v>-33.5047409308822</c:v>
                </c:pt>
                <c:pt idx="4">
                  <c:v>-22.3264737150208</c:v>
                </c:pt>
                <c:pt idx="5">
                  <c:v>-17.311749735249801</c:v>
                </c:pt>
                <c:pt idx="6">
                  <c:v>-12.3173211779757</c:v>
                </c:pt>
                <c:pt idx="7">
                  <c:v>-7.3437981301888398</c:v>
                </c:pt>
                <c:pt idx="8">
                  <c:v>-2.3469884391010298</c:v>
                </c:pt>
                <c:pt idx="9">
                  <c:v>2.6097941605028701</c:v>
                </c:pt>
                <c:pt idx="10">
                  <c:v>7.6290786021217203</c:v>
                </c:pt>
                <c:pt idx="11">
                  <c:v>12.5985179279443</c:v>
                </c:pt>
                <c:pt idx="12">
                  <c:v>17.626853643271801</c:v>
                </c:pt>
                <c:pt idx="13">
                  <c:v>22.570944064537301</c:v>
                </c:pt>
                <c:pt idx="14">
                  <c:v>27.5693864797313</c:v>
                </c:pt>
                <c:pt idx="15">
                  <c:v>32.503798037595097</c:v>
                </c:pt>
                <c:pt idx="16">
                  <c:v>37.522032277872597</c:v>
                </c:pt>
                <c:pt idx="17">
                  <c:v>42.506580230668497</c:v>
                </c:pt>
                <c:pt idx="18">
                  <c:v>47.562144500874801</c:v>
                </c:pt>
                <c:pt idx="19">
                  <c:v>52.554016523713301</c:v>
                </c:pt>
                <c:pt idx="20">
                  <c:v>57.495919240385199</c:v>
                </c:pt>
                <c:pt idx="21">
                  <c:v>62.496585658300098</c:v>
                </c:pt>
                <c:pt idx="22">
                  <c:v>67.500578765120196</c:v>
                </c:pt>
                <c:pt idx="23">
                  <c:v>72.529015798385601</c:v>
                </c:pt>
                <c:pt idx="24">
                  <c:v>86.340717877121307</c:v>
                </c:pt>
                <c:pt idx="25">
                  <c:v>111.620608534352</c:v>
                </c:pt>
                <c:pt idx="26">
                  <c:v>134.92878797041399</c:v>
                </c:pt>
                <c:pt idx="27">
                  <c:v>160.59319451300999</c:v>
                </c:pt>
              </c:numCache>
            </c:numRef>
          </c:cat>
          <c:val>
            <c:numRef>
              <c:f>Baseline!$AE$193:$AE$220</c:f>
              <c:numCache>
                <c:formatCode>0.000</c:formatCode>
                <c:ptCount val="28"/>
                <c:pt idx="0">
                  <c:v>0</c:v>
                </c:pt>
                <c:pt idx="1">
                  <c:v>0</c:v>
                </c:pt>
                <c:pt idx="2">
                  <c:v>0</c:v>
                </c:pt>
                <c:pt idx="3">
                  <c:v>0.39387319081357403</c:v>
                </c:pt>
                <c:pt idx="4">
                  <c:v>0.79645948376475795</c:v>
                </c:pt>
                <c:pt idx="5">
                  <c:v>0.95362938111262996</c:v>
                </c:pt>
                <c:pt idx="6">
                  <c:v>1.08142635820954</c:v>
                </c:pt>
                <c:pt idx="7">
                  <c:v>1.1993277822989601</c:v>
                </c:pt>
                <c:pt idx="8">
                  <c:v>1.3122379125033801</c:v>
                </c:pt>
                <c:pt idx="9">
                  <c:v>1.4242776049931085</c:v>
                </c:pt>
                <c:pt idx="10">
                  <c:v>1.5650877581147999</c:v>
                </c:pt>
                <c:pt idx="11">
                  <c:v>1.7168951985662269</c:v>
                </c:pt>
                <c:pt idx="12">
                  <c:v>1.8845887674653381</c:v>
                </c:pt>
                <c:pt idx="13">
                  <c:v>2.0723413303479168</c:v>
                </c:pt>
                <c:pt idx="14">
                  <c:v>2.3656945978944077</c:v>
                </c:pt>
                <c:pt idx="15">
                  <c:v>2.689495049109965</c:v>
                </c:pt>
                <c:pt idx="16">
                  <c:v>3.0427092575139487</c:v>
                </c:pt>
                <c:pt idx="17">
                  <c:v>3.423792598020162</c:v>
                </c:pt>
                <c:pt idx="18">
                  <c:v>3.8306892469368923</c:v>
                </c:pt>
                <c:pt idx="19">
                  <c:v>4.1176109321528074</c:v>
                </c:pt>
                <c:pt idx="20">
                  <c:v>4.3750858623457543</c:v>
                </c:pt>
                <c:pt idx="21">
                  <c:v>4.6280345225686759</c:v>
                </c:pt>
                <c:pt idx="22">
                  <c:v>4.8734161624954586</c:v>
                </c:pt>
                <c:pt idx="23">
                  <c:v>5.1081900317999205</c:v>
                </c:pt>
                <c:pt idx="24">
                  <c:v>5.3136845091628713</c:v>
                </c:pt>
                <c:pt idx="25">
                  <c:v>5.344802786613946</c:v>
                </c:pt>
                <c:pt idx="26">
                  <c:v>5.4653623422461495</c:v>
                </c:pt>
                <c:pt idx="27">
                  <c:v>5.6662697466415004</c:v>
                </c:pt>
              </c:numCache>
            </c:numRef>
          </c:val>
          <c:smooth val="0"/>
        </c:ser>
        <c:dLbls>
          <c:showLegendKey val="0"/>
          <c:showVal val="0"/>
          <c:showCatName val="0"/>
          <c:showSerName val="0"/>
          <c:showPercent val="0"/>
          <c:showBubbleSize val="0"/>
        </c:dLbls>
        <c:marker val="1"/>
        <c:smooth val="0"/>
        <c:axId val="207193216"/>
        <c:axId val="207194752"/>
      </c:lineChart>
      <c:catAx>
        <c:axId val="207193216"/>
        <c:scaling>
          <c:orientation val="minMax"/>
        </c:scaling>
        <c:delete val="0"/>
        <c:axPos val="b"/>
        <c:numFmt formatCode="0" sourceLinked="1"/>
        <c:majorTickMark val="out"/>
        <c:minorTickMark val="none"/>
        <c:tickLblPos val="nextTo"/>
        <c:crossAx val="207194752"/>
        <c:crosses val="autoZero"/>
        <c:auto val="1"/>
        <c:lblAlgn val="ctr"/>
        <c:lblOffset val="100"/>
        <c:noMultiLvlLbl val="0"/>
      </c:catAx>
      <c:valAx>
        <c:axId val="207194752"/>
        <c:scaling>
          <c:orientation val="minMax"/>
        </c:scaling>
        <c:delete val="0"/>
        <c:axPos val="l"/>
        <c:numFmt formatCode="0" sourceLinked="0"/>
        <c:majorTickMark val="out"/>
        <c:minorTickMark val="none"/>
        <c:tickLblPos val="nextTo"/>
        <c:crossAx val="20719321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Baseline!$Y$103</c:f>
              <c:strCache>
                <c:ptCount val="1"/>
                <c:pt idx="0">
                  <c:v>Knot</c:v>
                </c:pt>
              </c:strCache>
            </c:strRef>
          </c:tx>
          <c:marker>
            <c:symbol val="none"/>
          </c:marker>
          <c:cat>
            <c:numRef>
              <c:f>Baseline!$X$104:$X$117</c:f>
              <c:numCache>
                <c:formatCode>0</c:formatCode>
                <c:ptCount val="14"/>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pt idx="10">
                  <c:v>17.627772640740901</c:v>
                </c:pt>
                <c:pt idx="11">
                  <c:v>22.607391609392</c:v>
                </c:pt>
                <c:pt idx="12">
                  <c:v>27.551558175614801</c:v>
                </c:pt>
                <c:pt idx="13">
                  <c:v>32.507572369548399</c:v>
                </c:pt>
              </c:numCache>
            </c:numRef>
          </c:cat>
          <c:val>
            <c:numRef>
              <c:f>Baseline!$Y$104:$Y$117</c:f>
              <c:numCache>
                <c:formatCode>0.000</c:formatCode>
                <c:ptCount val="14"/>
                <c:pt idx="0">
                  <c:v>0.183833391304348</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ser>
          <c:idx val="1"/>
          <c:order val="1"/>
          <c:tx>
            <c:strRef>
              <c:f>Baseline!$Z$103</c:f>
              <c:strCache>
                <c:ptCount val="1"/>
                <c:pt idx="0">
                  <c:v>adj Knot</c:v>
                </c:pt>
              </c:strCache>
            </c:strRef>
          </c:tx>
          <c:marker>
            <c:symbol val="none"/>
          </c:marker>
          <c:cat>
            <c:numRef>
              <c:f>Baseline!$X$104:$X$117</c:f>
              <c:numCache>
                <c:formatCode>0</c:formatCode>
                <c:ptCount val="14"/>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pt idx="10">
                  <c:v>17.627772640740901</c:v>
                </c:pt>
                <c:pt idx="11">
                  <c:v>22.607391609392</c:v>
                </c:pt>
                <c:pt idx="12">
                  <c:v>27.551558175614801</c:v>
                </c:pt>
                <c:pt idx="13">
                  <c:v>32.507572369548399</c:v>
                </c:pt>
              </c:numCache>
            </c:numRef>
          </c:cat>
          <c:val>
            <c:numRef>
              <c:f>Baseline!$Z$104:$Z$117</c:f>
              <c:numCache>
                <c:formatCode>0.000</c:formatCode>
                <c:ptCount val="14"/>
                <c:pt idx="0">
                  <c:v>0.183833391304348</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dLbls>
          <c:showLegendKey val="0"/>
          <c:showVal val="0"/>
          <c:showCatName val="0"/>
          <c:showSerName val="0"/>
          <c:showPercent val="0"/>
          <c:showBubbleSize val="0"/>
        </c:dLbls>
        <c:marker val="1"/>
        <c:smooth val="0"/>
        <c:axId val="207215616"/>
        <c:axId val="207221504"/>
      </c:lineChart>
      <c:catAx>
        <c:axId val="207215616"/>
        <c:scaling>
          <c:orientation val="minMax"/>
        </c:scaling>
        <c:delete val="0"/>
        <c:axPos val="b"/>
        <c:numFmt formatCode="0" sourceLinked="1"/>
        <c:majorTickMark val="out"/>
        <c:minorTickMark val="none"/>
        <c:tickLblPos val="nextTo"/>
        <c:crossAx val="207221504"/>
        <c:crosses val="autoZero"/>
        <c:auto val="1"/>
        <c:lblAlgn val="ctr"/>
        <c:lblOffset val="100"/>
        <c:noMultiLvlLbl val="0"/>
      </c:catAx>
      <c:valAx>
        <c:axId val="207221504"/>
        <c:scaling>
          <c:orientation val="minMax"/>
        </c:scaling>
        <c:delete val="0"/>
        <c:axPos val="l"/>
        <c:numFmt formatCode="0" sourceLinked="0"/>
        <c:majorTickMark val="out"/>
        <c:minorTickMark val="none"/>
        <c:tickLblPos val="nextTo"/>
        <c:crossAx val="20721561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Baseline!$T$103</c:f>
              <c:strCache>
                <c:ptCount val="1"/>
                <c:pt idx="0">
                  <c:v>Knot</c:v>
                </c:pt>
              </c:strCache>
            </c:strRef>
          </c:tx>
          <c:marker>
            <c:symbol val="none"/>
          </c:marker>
          <c:cat>
            <c:numRef>
              <c:f>Baseline!$S$104:$S$113</c:f>
              <c:numCache>
                <c:formatCode>0</c:formatCode>
                <c:ptCount val="10"/>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numCache>
            </c:numRef>
          </c:cat>
          <c:val>
            <c:numRef>
              <c:f>Baseline!$T$104:$T$113</c:f>
              <c:numCache>
                <c:formatCode>0.000</c:formatCode>
                <c:ptCount val="10"/>
                <c:pt idx="0">
                  <c:v>1.276980872</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Baseline!$U$103</c:f>
              <c:strCache>
                <c:ptCount val="1"/>
                <c:pt idx="0">
                  <c:v>adj Knot</c:v>
                </c:pt>
              </c:strCache>
            </c:strRef>
          </c:tx>
          <c:marker>
            <c:symbol val="none"/>
          </c:marker>
          <c:cat>
            <c:numRef>
              <c:f>Baseline!$S$104:$S$113</c:f>
              <c:numCache>
                <c:formatCode>0</c:formatCode>
                <c:ptCount val="10"/>
                <c:pt idx="0">
                  <c:v>-57.170376698687697</c:v>
                </c:pt>
                <c:pt idx="1">
                  <c:v>-32.594270536739103</c:v>
                </c:pt>
                <c:pt idx="2">
                  <c:v>-22.225236022766602</c:v>
                </c:pt>
                <c:pt idx="3">
                  <c:v>-17.313489016455101</c:v>
                </c:pt>
                <c:pt idx="4">
                  <c:v>-12.328418001599999</c:v>
                </c:pt>
                <c:pt idx="5">
                  <c:v>-7.3315214052251196</c:v>
                </c:pt>
                <c:pt idx="6">
                  <c:v>-2.31914681215958</c:v>
                </c:pt>
                <c:pt idx="7">
                  <c:v>2.6430065812707499</c:v>
                </c:pt>
                <c:pt idx="8">
                  <c:v>7.60354516131137</c:v>
                </c:pt>
                <c:pt idx="9">
                  <c:v>12.657540093221201</c:v>
                </c:pt>
              </c:numCache>
            </c:numRef>
          </c:cat>
          <c:val>
            <c:numRef>
              <c:f>Baseline!$U$104:$U$113</c:f>
              <c:numCache>
                <c:formatCode>0.000</c:formatCode>
                <c:ptCount val="10"/>
                <c:pt idx="0">
                  <c:v>1.276980872</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07275136"/>
        <c:axId val="207276672"/>
      </c:lineChart>
      <c:catAx>
        <c:axId val="207275136"/>
        <c:scaling>
          <c:orientation val="minMax"/>
        </c:scaling>
        <c:delete val="0"/>
        <c:axPos val="b"/>
        <c:numFmt formatCode="0" sourceLinked="1"/>
        <c:majorTickMark val="out"/>
        <c:minorTickMark val="none"/>
        <c:tickLblPos val="nextTo"/>
        <c:crossAx val="207276672"/>
        <c:crosses val="autoZero"/>
        <c:auto val="1"/>
        <c:lblAlgn val="ctr"/>
        <c:lblOffset val="100"/>
        <c:noMultiLvlLbl val="0"/>
      </c:catAx>
      <c:valAx>
        <c:axId val="207276672"/>
        <c:scaling>
          <c:orientation val="minMax"/>
        </c:scaling>
        <c:delete val="0"/>
        <c:axPos val="l"/>
        <c:numFmt formatCode="0" sourceLinked="0"/>
        <c:majorTickMark val="out"/>
        <c:minorTickMark val="none"/>
        <c:tickLblPos val="nextTo"/>
        <c:crossAx val="20727513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Baseline!$AS$68</c:f>
              <c:strCache>
                <c:ptCount val="1"/>
                <c:pt idx="0">
                  <c:v>PCT_BROKER</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Baseline!$AS$73:$AS$82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1"/>
          <c:order val="1"/>
          <c:tx>
            <c:strRef>
              <c:f>Baseline!$AT$68</c:f>
              <c:strCache>
                <c:ptCount val="1"/>
                <c:pt idx="0">
                  <c:v>PCT_CORRES</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Baseline!$AT$73:$AT$82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2"/>
          <c:tx>
            <c:strRef>
              <c:f>Baseline!$AU$68</c:f>
              <c:strCache>
                <c:ptCount val="1"/>
                <c:pt idx="0">
                  <c:v>PCT_NonRETAIL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Baseline!$AU$73:$AU$82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5"/>
          <c:order val="3"/>
          <c:tx>
            <c:strRef>
              <c:f>Baseline!$AV$68</c:f>
              <c:strCache>
                <c:ptCount val="1"/>
                <c:pt idx="0">
                  <c:v>PCT_RETAIL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Baseline!$AV$73:$AV$82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1"/>
        <c:smooth val="0"/>
        <c:axId val="207684736"/>
        <c:axId val="207686272"/>
      </c:lineChart>
      <c:catAx>
        <c:axId val="207684736"/>
        <c:scaling>
          <c:orientation val="minMax"/>
        </c:scaling>
        <c:delete val="0"/>
        <c:axPos val="b"/>
        <c:majorTickMark val="out"/>
        <c:minorTickMark val="none"/>
        <c:tickLblPos val="nextTo"/>
        <c:crossAx val="207686272"/>
        <c:crosses val="autoZero"/>
        <c:auto val="1"/>
        <c:lblAlgn val="ctr"/>
        <c:lblOffset val="100"/>
        <c:noMultiLvlLbl val="0"/>
      </c:catAx>
      <c:valAx>
        <c:axId val="207686272"/>
        <c:scaling>
          <c:orientation val="minMax"/>
        </c:scaling>
        <c:delete val="0"/>
        <c:axPos val="l"/>
        <c:majorGridlines/>
        <c:numFmt formatCode="0.00" sourceLinked="1"/>
        <c:majorTickMark val="out"/>
        <c:minorTickMark val="none"/>
        <c:tickLblPos val="nextTo"/>
        <c:crossAx val="2076847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27</xdr:col>
      <xdr:colOff>452437</xdr:colOff>
      <xdr:row>78</xdr:row>
      <xdr:rowOff>110726</xdr:rowOff>
    </xdr:from>
    <xdr:to>
      <xdr:col>39</xdr:col>
      <xdr:colOff>178593</xdr:colOff>
      <xdr:row>100</xdr:row>
      <xdr:rowOff>83343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60</xdr:col>
      <xdr:colOff>0</xdr:colOff>
      <xdr:row>68</xdr:row>
      <xdr:rowOff>0</xdr:rowOff>
    </xdr:from>
    <xdr:to>
      <xdr:col>89</xdr:col>
      <xdr:colOff>154781</xdr:colOff>
      <xdr:row>107</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endParaRPr lang="en-US" sz="1100"/>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-20 then '08-1:-25--20'</a:t>
          </a:r>
        </a:p>
        <a:p>
          <a:r>
            <a:rPr lang="en-US" sz="1100"/>
            <a:t> when  refi_incentive_eligible_fixed_cost &lt;= -15 then '08-2:-20--15'</a:t>
          </a:r>
        </a:p>
        <a:p>
          <a:r>
            <a:rPr lang="en-US" sz="1100"/>
            <a:t> when  refi_incentive_eligible_fixed_cost &lt;= -10 then '08-3:-15--10'</a:t>
          </a:r>
        </a:p>
        <a:p>
          <a:r>
            <a:rPr lang="en-US" sz="1100"/>
            <a:t> when  refi_incentive_eligible_fixed_cost &lt;= -5 then '08-4:-10--5'</a:t>
          </a:r>
        </a:p>
        <a:p>
          <a:r>
            <a:rPr lang="en-US" sz="1100"/>
            <a:t> when  refi_incentive_eligible_fixed_cost &lt;= 0 then '08:-25-0'</a:t>
          </a:r>
        </a:p>
        <a:p>
          <a:r>
            <a:rPr lang="en-US" sz="1100"/>
            <a:t> when  refi_incentive_eligible_fixed_cost &lt;= 5 then '09-1:0-5'</a:t>
          </a:r>
        </a:p>
        <a:p>
          <a:r>
            <a:rPr lang="en-US" sz="1100"/>
            <a:t> when  refi_incentive_eligible_fixed_cost &lt;= 10 then '09-2:5-10'</a:t>
          </a:r>
        </a:p>
        <a:p>
          <a:r>
            <a:rPr lang="en-US" sz="1100"/>
            <a:t> when  refi_incentive_eligible_fixed_cost &lt;= 15 then '09-3:10-15'</a:t>
          </a:r>
        </a:p>
        <a:p>
          <a:r>
            <a:rPr lang="en-US" sz="1100"/>
            <a:t> when  refi_incentive_eligible_fixed_cost &lt;= 20 then '09-4:15-20'</a:t>
          </a:r>
        </a:p>
        <a:p>
          <a:r>
            <a:rPr lang="en-US" sz="1100"/>
            <a:t> when  refi_incentive_eligible_fixed_cost &lt;= 25 then '09:0-25'</a:t>
          </a:r>
        </a:p>
        <a:p>
          <a:r>
            <a:rPr lang="en-US" sz="1100"/>
            <a:t> when  refi_incentive_eligible_fixed_cost &lt;= 30 then '10-1:25-30'</a:t>
          </a:r>
        </a:p>
        <a:p>
          <a:r>
            <a:rPr lang="en-US" sz="1100"/>
            <a:t> when  refi_incentive_eligible_fixed_cost &lt;= 35 then '10-2:30-35'</a:t>
          </a:r>
        </a:p>
        <a:p>
          <a:r>
            <a:rPr lang="en-US" sz="1100"/>
            <a:t> when  refi_incentive_eligible_fixed_cost &lt;= 40 then '10-3:35-40'</a:t>
          </a:r>
        </a:p>
        <a:p>
          <a:r>
            <a:rPr lang="en-US" sz="1100"/>
            <a:t> when  refi_incentive_eligible_fixed_cost &lt;= 45 then '10-4:40-45'</a:t>
          </a:r>
        </a:p>
        <a:p>
          <a:r>
            <a:rPr lang="en-US" sz="1100"/>
            <a:t> when  refi_incentive_eligible_fixed_cost &lt;= 50 then '10:25-50'</a:t>
          </a:r>
        </a:p>
        <a:p>
          <a:r>
            <a:rPr lang="en-US" sz="1100"/>
            <a:t> when  refi_incentive_eligible_fixed_cost &lt;= 55 then '11-1:50-55'</a:t>
          </a:r>
        </a:p>
        <a:p>
          <a:r>
            <a:rPr lang="en-US" sz="1100"/>
            <a:t> when  refi_incentive_eligible_fixed_cost &lt;= 60 then '11-2:55-60'</a:t>
          </a:r>
        </a:p>
        <a:p>
          <a:r>
            <a:rPr lang="en-US" sz="1100"/>
            <a:t> when  refi_incentive_eligible_fixed_cost &lt;= 65 then '11-3:60-65'</a:t>
          </a:r>
        </a:p>
        <a:p>
          <a:r>
            <a:rPr lang="en-US" sz="1100"/>
            <a:t> when  refi_incentive_eligible_fixed_cost &lt;= 70 then '11-4:65-70'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,PCT_BROKER = sum(CASE WHEN tpoType='BROKER' THEN 100 * schamBalance else 0  end) / sum( 1*schamBalance)</a:t>
          </a:r>
        </a:p>
        <a:p>
          <a:r>
            <a:rPr lang="en-US" sz="1100"/>
            <a:t>    ,PCT_CORRES = sum(CASE WHEN tpoType='CORRES' THEN 100 * schamBalance else 0  end) / sum( 1*schamBalance)</a:t>
          </a:r>
        </a:p>
        <a:p>
          <a:r>
            <a:rPr lang="en-US" sz="1100"/>
            <a:t>    ,PCT_NonRETAIL = sum(CASE WHEN tpoType in ('BROKER', 'CORRES', 'TPO') THEN 100 * schamBalance else 0 end) / sum( 1*schamBalance)</a:t>
          </a:r>
        </a:p>
        <a:p>
          <a:r>
            <a:rPr lang="en-US" sz="1100"/>
            <a:t>    ,PCT_RETAIL = sum(CASE WHEN tpoType in ('BROKER', 'CORRES', 'TPO') THEN 0 else 100 * schamBalance end) / sum( 1*schamBalance)</a:t>
          </a:r>
        </a:p>
        <a:p>
          <a:r>
            <a:rPr lang="en-US" sz="1100"/>
            <a:t>    </a:t>
          </a:r>
        </a:p>
        <a:p>
          <a:r>
            <a:rPr lang="en-US" sz="1100"/>
            <a:t>    ,PCT_CashWindow = sum(CASE WHEN (CASE WHEN tpoType in ('BROKER', 'CORRES', 'TPO') THEN 0 else 100 end) &gt; (CASE WHEN isCashWindow = 'Y' THEN 100 ELSE 0 END) </a:t>
          </a:r>
        </a:p>
        <a:p>
          <a:r>
            <a:rPr lang="en-US" sz="1100"/>
            <a:t>                            THEN (CASE WHEN isCashWindow = 'Y' THEN 100 ELSE 0 END) ELSE (CASE WHEN tpoType in ('BROKER', 'CORRES', 'TPO') THEN 0 else 100 end) END * schamBalance) / sum( 1*schamBalance)</a:t>
          </a:r>
        </a:p>
        <a:p>
          <a:r>
            <a:rPr lang="en-US" sz="1100"/>
            <a:t>    ,PCT_NonCashWindow = sum(((CASE WHEN tpoType in ('BROKER', 'CORRES', 'TPO') THEN 0 else 100 end) </a:t>
          </a:r>
        </a:p>
        <a:p>
          <a:r>
            <a:rPr lang="en-US" sz="1100"/>
            <a:t>                                - (CASE WHEN (CASE WHEN tpoType in ('BROKER', 'CORRES', 'TPO') THEN 0 else 100 end) &gt; (CASE WHEN isCashWindow = 'Y' THEN 100 ELSE 0 END) </a:t>
          </a:r>
        </a:p>
        <a:p>
          <a:r>
            <a:rPr lang="en-US" sz="1100"/>
            <a:t>                            THEN (CASE WHEN isCashWindow = 'Y' THEN 100 ELSE 0 END) ELSE (CASE WHEN tpoType in ('BROKER', 'CORRES', 'TPO') THEN 0 else 100 end) END))*schamBalance) / sum( 1*schamBalance)</a:t>
          </a:r>
        </a:p>
        <a:p>
          <a:endParaRPr lang="en-US" sz="1100"/>
        </a:p>
        <a:p>
          <a:r>
            <a:rPr lang="en-US" sz="1100"/>
            <a:t>                    from</a:t>
          </a:r>
        </a:p>
        <a:p>
          <a:r>
            <a:rPr lang="en-US" sz="1100"/>
            <a:t>                        FHL.Cello_LoanView l, scale.LoanPrepayTracking md1 , scale.fhl_loanIncentive i</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'4.30'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 </a:t>
          </a:r>
        </a:p>
        <a:p>
          <a:r>
            <a:rPr lang="en-US" sz="1100"/>
            <a:t>--or (l.asOf &gt;= '20160401' and l.asOf&lt;='20161201')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--and loanAge &gt;= 24</a:t>
          </a:r>
        </a:p>
        <a:p>
          <a:r>
            <a:rPr lang="en-US" sz="1100"/>
            <a:t>--  and loanAge &gt;= 24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r>
            <a:rPr lang="en-US" sz="1100"/>
            <a:t>--    and tpoType='BROKER'</a:t>
          </a:r>
        </a:p>
        <a:p>
          <a:r>
            <a:rPr lang="en-US" sz="1100"/>
            <a:t>--    and tpoType='CORRES'</a:t>
          </a:r>
        </a:p>
        <a:p>
          <a:r>
            <a:rPr lang="en-US" sz="1100"/>
            <a:t>--    and tpoType in ('BROKER', 'CORRES', 'TPO')     -- Non-Retail</a:t>
          </a:r>
        </a:p>
        <a:p>
          <a:r>
            <a:rPr lang="en-US" sz="1100"/>
            <a:t>--    and tpoType not in ('BROKER', 'CORRES', 'TPO') -- Retail</a:t>
          </a:r>
        </a:p>
        <a:p>
          <a:r>
            <a:rPr lang="en-US" sz="1100"/>
            <a:t>--    and tpoType not in ('BROKER', 'CORRES', 'TPO') and isCashWindow = 'Y'  -- CashWindow</a:t>
          </a:r>
        </a:p>
        <a:p>
          <a:r>
            <a:rPr lang="en-US" sz="1100"/>
            <a:t>    and tpoType not in ('BROKER', 'CORRES', 'TPO') and isCashWindow != 'Y' -- NonCashWindow</a:t>
          </a:r>
        </a:p>
        <a:p>
          <a:r>
            <a:rPr lang="en-US" sz="1100"/>
            <a:t>--    and (tpoType='CORRES' or tpoType not in ('BROKER', 'CORRES', 'TPO') and isCashWindow = 'Y')  -- Corres and CashWindow</a:t>
          </a:r>
        </a:p>
        <a:p>
          <a:endParaRPr lang="en-US" sz="1100"/>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a:p>
          <a:r>
            <a:rPr lang="en-US" sz="1100"/>
            <a:t>;</a:t>
          </a:r>
        </a:p>
        <a:p>
          <a:r>
            <a:rPr lang="en-US" sz="1100"/>
            <a:t>commit;</a:t>
          </a:r>
        </a:p>
      </xdr:txBody>
    </xdr:sp>
    <xdr:clientData/>
  </xdr:twoCellAnchor>
  <xdr:twoCellAnchor>
    <xdr:from>
      <xdr:col>50</xdr:col>
      <xdr:colOff>0</xdr:colOff>
      <xdr:row>101</xdr:row>
      <xdr:rowOff>0</xdr:rowOff>
    </xdr:from>
    <xdr:to>
      <xdr:col>59</xdr:col>
      <xdr:colOff>23812</xdr:colOff>
      <xdr:row>122</xdr:row>
      <xdr:rowOff>59531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83345</xdr:colOff>
      <xdr:row>137</xdr:row>
      <xdr:rowOff>71437</xdr:rowOff>
    </xdr:from>
    <xdr:to>
      <xdr:col>31</xdr:col>
      <xdr:colOff>404813</xdr:colOff>
      <xdr:row>151</xdr:row>
      <xdr:rowOff>147637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41672</xdr:colOff>
      <xdr:row>137</xdr:row>
      <xdr:rowOff>71437</xdr:rowOff>
    </xdr:from>
    <xdr:to>
      <xdr:col>26</xdr:col>
      <xdr:colOff>363140</xdr:colOff>
      <xdr:row>151</xdr:row>
      <xdr:rowOff>147637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137</xdr:row>
      <xdr:rowOff>71437</xdr:rowOff>
    </xdr:from>
    <xdr:to>
      <xdr:col>21</xdr:col>
      <xdr:colOff>321468</xdr:colOff>
      <xdr:row>151</xdr:row>
      <xdr:rowOff>147637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0</xdr:colOff>
      <xdr:row>2</xdr:row>
      <xdr:rowOff>0</xdr:rowOff>
    </xdr:from>
    <xdr:to>
      <xdr:col>89</xdr:col>
      <xdr:colOff>154781</xdr:colOff>
      <xdr:row>30</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24</xdr:row>
      <xdr:rowOff>0</xdr:rowOff>
    </xdr:from>
    <xdr:to>
      <xdr:col>59</xdr:col>
      <xdr:colOff>23812</xdr:colOff>
      <xdr:row>44</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83345</xdr:colOff>
      <xdr:row>47</xdr:row>
      <xdr:rowOff>71437</xdr:rowOff>
    </xdr:from>
    <xdr:to>
      <xdr:col>31</xdr:col>
      <xdr:colOff>404813</xdr:colOff>
      <xdr:row>61</xdr:row>
      <xdr:rowOff>147637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41672</xdr:colOff>
      <xdr:row>47</xdr:row>
      <xdr:rowOff>71437</xdr:rowOff>
    </xdr:from>
    <xdr:to>
      <xdr:col>26</xdr:col>
      <xdr:colOff>363140</xdr:colOff>
      <xdr:row>61</xdr:row>
      <xdr:rowOff>147637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47</xdr:row>
      <xdr:rowOff>71437</xdr:rowOff>
    </xdr:from>
    <xdr:to>
      <xdr:col>21</xdr:col>
      <xdr:colOff>321468</xdr:colOff>
      <xdr:row>61</xdr:row>
      <xdr:rowOff>147637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511968</xdr:colOff>
      <xdr:row>105</xdr:row>
      <xdr:rowOff>3571</xdr:rowOff>
    </xdr:from>
    <xdr:to>
      <xdr:col>42</xdr:col>
      <xdr:colOff>71437</xdr:colOff>
      <xdr:row>132</xdr:row>
      <xdr:rowOff>79771</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0</xdr:colOff>
      <xdr:row>156</xdr:row>
      <xdr:rowOff>0</xdr:rowOff>
    </xdr:from>
    <xdr:to>
      <xdr:col>89</xdr:col>
      <xdr:colOff>154781</xdr:colOff>
      <xdr:row>196</xdr:row>
      <xdr:rowOff>130969</xdr:rowOff>
    </xdr:to>
    <xdr:sp macro="" textlink="">
      <xdr:nvSpPr>
        <xdr:cNvPr id="26" name="TextBox 25"/>
        <xdr:cNvSpPr txBox="1"/>
      </xdr:nvSpPr>
      <xdr:spPr>
        <a:xfrm>
          <a:off x="40231219" y="12954000"/>
          <a:ext cx="17764125" cy="7369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190</xdr:row>
      <xdr:rowOff>0</xdr:rowOff>
    </xdr:from>
    <xdr:to>
      <xdr:col>59</xdr:col>
      <xdr:colOff>23812</xdr:colOff>
      <xdr:row>211</xdr:row>
      <xdr:rowOff>59531</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83345</xdr:colOff>
      <xdr:row>226</xdr:row>
      <xdr:rowOff>71437</xdr:rowOff>
    </xdr:from>
    <xdr:to>
      <xdr:col>31</xdr:col>
      <xdr:colOff>404813</xdr:colOff>
      <xdr:row>240</xdr:row>
      <xdr:rowOff>147637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41672</xdr:colOff>
      <xdr:row>226</xdr:row>
      <xdr:rowOff>71437</xdr:rowOff>
    </xdr:from>
    <xdr:to>
      <xdr:col>26</xdr:col>
      <xdr:colOff>363140</xdr:colOff>
      <xdr:row>240</xdr:row>
      <xdr:rowOff>147637</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0</xdr:colOff>
      <xdr:row>226</xdr:row>
      <xdr:rowOff>71437</xdr:rowOff>
    </xdr:from>
    <xdr:to>
      <xdr:col>21</xdr:col>
      <xdr:colOff>321468</xdr:colOff>
      <xdr:row>240</xdr:row>
      <xdr:rowOff>147637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35</xdr:col>
      <xdr:colOff>511968</xdr:colOff>
      <xdr:row>194</xdr:row>
      <xdr:rowOff>3571</xdr:rowOff>
    </xdr:from>
    <xdr:to>
      <xdr:col>42</xdr:col>
      <xdr:colOff>71437</xdr:colOff>
      <xdr:row>221</xdr:row>
      <xdr:rowOff>79771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selection activeCell="V1" sqref="V1:V1048576"/>
    </sheetView>
  </sheetViews>
  <sheetFormatPr defaultRowHeight="15" x14ac:dyDescent="0.25"/>
  <cols>
    <col min="1" max="1" width="13.28515625" bestFit="1" customWidth="1"/>
    <col min="7" max="7" width="1" customWidth="1"/>
    <col min="9" max="9" width="10.5703125" bestFit="1" customWidth="1"/>
    <col min="10" max="10" width="8.5703125" bestFit="1" customWidth="1"/>
    <col min="11" max="12" width="9" bestFit="1" customWidth="1"/>
    <col min="13" max="13" width="4.42578125" bestFit="1" customWidth="1"/>
    <col min="14" max="14" width="6.42578125" bestFit="1" customWidth="1"/>
    <col min="15" max="15" width="6" bestFit="1" customWidth="1"/>
    <col min="16" max="16" width="15.140625" bestFit="1" customWidth="1"/>
    <col min="17" max="17" width="19.28515625" bestFit="1" customWidth="1"/>
    <col min="18" max="18" width="6.28515625" bestFit="1" customWidth="1"/>
    <col min="19" max="19" width="10.140625" bestFit="1" customWidth="1"/>
    <col min="20" max="20" width="7" bestFit="1" customWidth="1"/>
    <col min="21" max="21" width="22.42578125" bestFit="1" customWidth="1"/>
  </cols>
  <sheetData>
    <row r="1" spans="1:21" x14ac:dyDescent="0.25">
      <c r="A1" t="s">
        <v>0</v>
      </c>
      <c r="B1" t="s">
        <v>1</v>
      </c>
      <c r="I1" t="s">
        <v>0</v>
      </c>
      <c r="J1" s="1" t="s">
        <v>11</v>
      </c>
      <c r="K1" t="s">
        <v>13</v>
      </c>
      <c r="L1" t="s">
        <v>14</v>
      </c>
      <c r="M1" t="s">
        <v>15</v>
      </c>
      <c r="N1" t="s">
        <v>16</v>
      </c>
      <c r="O1" t="s">
        <v>17</v>
      </c>
      <c r="P1" t="s">
        <v>19</v>
      </c>
      <c r="Q1" t="s">
        <v>111</v>
      </c>
      <c r="R1" t="s">
        <v>112</v>
      </c>
      <c r="S1" t="s">
        <v>114</v>
      </c>
      <c r="T1" t="s">
        <v>116</v>
      </c>
      <c r="U1" t="s">
        <v>131</v>
      </c>
    </row>
    <row r="2" spans="1:21" x14ac:dyDescent="0.25">
      <c r="A2" s="6">
        <v>1096925</v>
      </c>
      <c r="B2" t="s">
        <v>2</v>
      </c>
      <c r="C2" t="s">
        <v>3</v>
      </c>
      <c r="I2" s="6">
        <f>SUM(Baseline!AR3:AR17)</f>
        <v>1313593</v>
      </c>
      <c r="J2" s="1" t="s">
        <v>12</v>
      </c>
      <c r="K2" t="s">
        <v>117</v>
      </c>
      <c r="L2" t="s">
        <v>118</v>
      </c>
      <c r="M2" t="s">
        <v>18</v>
      </c>
      <c r="N2" t="s">
        <v>18</v>
      </c>
      <c r="O2" t="s">
        <v>119</v>
      </c>
      <c r="P2" t="s">
        <v>20</v>
      </c>
      <c r="Q2" t="s">
        <v>120</v>
      </c>
      <c r="R2" t="s">
        <v>113</v>
      </c>
      <c r="S2" t="s">
        <v>115</v>
      </c>
      <c r="T2" s="32" t="s">
        <v>121</v>
      </c>
      <c r="U2" t="s">
        <v>132</v>
      </c>
    </row>
    <row r="3" spans="1:21" x14ac:dyDescent="0.25">
      <c r="A3" s="6">
        <v>466351</v>
      </c>
      <c r="B3" t="s">
        <v>4</v>
      </c>
      <c r="I3" s="6"/>
      <c r="J3" s="1"/>
      <c r="T3" s="32"/>
    </row>
    <row r="4" spans="1:21" x14ac:dyDescent="0.25">
      <c r="A4" s="6">
        <v>230769</v>
      </c>
      <c r="B4" t="s">
        <v>5</v>
      </c>
      <c r="J4" s="1"/>
      <c r="T4" s="25"/>
    </row>
    <row r="5" spans="1:21" x14ac:dyDescent="0.25">
      <c r="A5" s="6">
        <v>144409</v>
      </c>
      <c r="B5" t="s">
        <v>6</v>
      </c>
      <c r="J5" s="1"/>
    </row>
    <row r="6" spans="1:21" x14ac:dyDescent="0.25">
      <c r="A6" s="6">
        <v>124596</v>
      </c>
      <c r="B6" t="s">
        <v>7</v>
      </c>
      <c r="J6" s="1"/>
    </row>
    <row r="7" spans="1:21" x14ac:dyDescent="0.25">
      <c r="A7" s="6">
        <v>57525</v>
      </c>
      <c r="B7" t="s">
        <v>8</v>
      </c>
      <c r="J7" s="1"/>
    </row>
    <row r="8" spans="1:21" x14ac:dyDescent="0.25">
      <c r="A8" s="6">
        <v>2</v>
      </c>
      <c r="B8" t="s">
        <v>9</v>
      </c>
      <c r="J8" s="1"/>
    </row>
    <row r="9" spans="1:21" x14ac:dyDescent="0.25">
      <c r="A9" s="6"/>
      <c r="J9" s="1"/>
    </row>
    <row r="10" spans="1:21"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97"/>
  <sheetViews>
    <sheetView topLeftCell="A50" zoomScale="80" zoomScaleNormal="80" workbookViewId="0">
      <selection activeCell="AM109" sqref="AM109"/>
    </sheetView>
  </sheetViews>
  <sheetFormatPr defaultRowHeight="15" x14ac:dyDescent="0.25"/>
  <sheetData>
    <row r="1" spans="1:50" x14ac:dyDescent="0.25">
      <c r="A1" s="33" t="s">
        <v>122</v>
      </c>
      <c r="C1" t="s">
        <v>134</v>
      </c>
    </row>
    <row r="2" spans="1:50" x14ac:dyDescent="0.25">
      <c r="A2" t="s">
        <v>21</v>
      </c>
      <c r="B2" t="s">
        <v>22</v>
      </c>
      <c r="C2" t="s">
        <v>23</v>
      </c>
      <c r="D2" t="s">
        <v>24</v>
      </c>
      <c r="E2" t="s">
        <v>97</v>
      </c>
      <c r="F2" t="s">
        <v>98</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124</v>
      </c>
      <c r="AT2" t="s">
        <v>125</v>
      </c>
      <c r="AU2" t="s">
        <v>126</v>
      </c>
      <c r="AV2" t="s">
        <v>127</v>
      </c>
      <c r="AW2" t="s">
        <v>128</v>
      </c>
      <c r="AX2" t="s">
        <v>129</v>
      </c>
    </row>
    <row r="3" spans="1:50" x14ac:dyDescent="0.25">
      <c r="A3">
        <v>4.3</v>
      </c>
      <c r="B3">
        <v>0.99354299212619002</v>
      </c>
      <c r="C3">
        <v>3.4433222093304501</v>
      </c>
      <c r="D3">
        <v>7.4790734680492097</v>
      </c>
      <c r="E3" s="37">
        <v>2.9157422292598401E-3</v>
      </c>
      <c r="F3">
        <v>6.45700787380945E-3</v>
      </c>
      <c r="G3" s="37">
        <v>0</v>
      </c>
      <c r="H3">
        <v>3.9622664550511102</v>
      </c>
      <c r="I3">
        <v>4.15067014233707</v>
      </c>
      <c r="J3">
        <v>-55.102824174694</v>
      </c>
      <c r="K3">
        <v>-57.170376698687697</v>
      </c>
      <c r="L3">
        <v>18.591368573700802</v>
      </c>
      <c r="M3">
        <v>15.6046077984867</v>
      </c>
      <c r="N3">
        <v>77.726934415772703</v>
      </c>
      <c r="O3">
        <v>75.492092736669306</v>
      </c>
      <c r="P3">
        <v>267072.115190499</v>
      </c>
      <c r="Q3">
        <v>193404.04745613999</v>
      </c>
      <c r="R3">
        <v>774.87433550875596</v>
      </c>
      <c r="S3" s="37">
        <v>0</v>
      </c>
      <c r="T3" s="37">
        <v>0</v>
      </c>
      <c r="U3" s="37">
        <v>8.9424414388911105E-2</v>
      </c>
      <c r="V3" s="37">
        <v>0</v>
      </c>
      <c r="W3" s="37">
        <v>0</v>
      </c>
      <c r="X3" s="37">
        <v>0.58543282014561404</v>
      </c>
      <c r="Y3" s="37">
        <v>0</v>
      </c>
      <c r="Z3">
        <v>6.7107958171138803E-4</v>
      </c>
      <c r="AA3">
        <v>7.5421687846881702E-5</v>
      </c>
      <c r="AB3">
        <v>2.5087098171402999E-3</v>
      </c>
      <c r="AC3" s="37">
        <v>2.9446124619624699E-8</v>
      </c>
      <c r="AD3">
        <v>3.2017561990742198E-3</v>
      </c>
      <c r="AE3">
        <v>-2.5268185093560099E-2</v>
      </c>
      <c r="AF3">
        <v>0.99001878641810204</v>
      </c>
      <c r="AG3">
        <v>0.99720023865807905</v>
      </c>
      <c r="AH3">
        <v>1</v>
      </c>
      <c r="AI3">
        <v>1</v>
      </c>
      <c r="AJ3">
        <v>1</v>
      </c>
      <c r="AK3">
        <v>1</v>
      </c>
      <c r="AL3">
        <v>1</v>
      </c>
      <c r="AM3">
        <v>0</v>
      </c>
      <c r="AN3">
        <v>0</v>
      </c>
      <c r="AO3" t="s">
        <v>66</v>
      </c>
      <c r="AP3">
        <f>-75--50</f>
        <v>-25</v>
      </c>
      <c r="AQ3">
        <v>22048061.41</v>
      </c>
      <c r="AR3">
        <v>114</v>
      </c>
      <c r="AS3" s="37">
        <v>100</v>
      </c>
      <c r="AT3" s="37">
        <v>0</v>
      </c>
      <c r="AU3" s="37">
        <v>100</v>
      </c>
      <c r="AV3" s="37">
        <v>0</v>
      </c>
      <c r="AW3" s="37">
        <v>0</v>
      </c>
      <c r="AX3" s="37">
        <v>0</v>
      </c>
    </row>
    <row r="4" spans="1:50" x14ac:dyDescent="0.25">
      <c r="A4">
        <v>4.3</v>
      </c>
      <c r="B4">
        <v>0.99344040371019304</v>
      </c>
      <c r="C4">
        <v>2.6756425653229798</v>
      </c>
      <c r="D4">
        <v>7.5936475158731396</v>
      </c>
      <c r="E4">
        <v>2.25752251921006E-3</v>
      </c>
      <c r="F4">
        <v>6.5595962898064002E-3</v>
      </c>
      <c r="G4" s="37">
        <v>0</v>
      </c>
      <c r="H4">
        <v>3.9199800446603601</v>
      </c>
      <c r="I4">
        <v>4.1424648010542997</v>
      </c>
      <c r="J4">
        <v>-57.6599484595964</v>
      </c>
      <c r="K4">
        <v>-32.594270536739103</v>
      </c>
      <c r="L4">
        <v>14.9890601246206</v>
      </c>
      <c r="M4">
        <v>15.4242979965813</v>
      </c>
      <c r="N4">
        <v>73.798811330660001</v>
      </c>
      <c r="O4">
        <v>72.801415481914006</v>
      </c>
      <c r="P4">
        <v>293064.03473648202</v>
      </c>
      <c r="Q4">
        <v>263371.776277836</v>
      </c>
      <c r="R4">
        <v>784.82055795311999</v>
      </c>
      <c r="S4" s="37">
        <v>0</v>
      </c>
      <c r="T4" s="37">
        <v>0</v>
      </c>
      <c r="U4" s="37">
        <v>8.3187060034362603E-2</v>
      </c>
      <c r="V4" s="37">
        <v>0</v>
      </c>
      <c r="W4" s="37">
        <v>0</v>
      </c>
      <c r="X4">
        <v>0.63466923272141795</v>
      </c>
      <c r="Y4" s="37">
        <v>0</v>
      </c>
      <c r="Z4">
        <v>4.23379175116946E-4</v>
      </c>
      <c r="AA4">
        <v>5.4947754922540903E-5</v>
      </c>
      <c r="AB4">
        <v>2.4369602344780201E-3</v>
      </c>
      <c r="AC4" s="37">
        <v>1.9932865122568199E-8</v>
      </c>
      <c r="AD4">
        <v>3.6442752604935102E-3</v>
      </c>
      <c r="AE4">
        <v>-2.0683738395817799E-2</v>
      </c>
      <c r="AF4">
        <v>0.983010735102128</v>
      </c>
      <c r="AG4">
        <v>0.99723916155715397</v>
      </c>
      <c r="AH4">
        <v>1</v>
      </c>
      <c r="AI4">
        <v>1</v>
      </c>
      <c r="AJ4">
        <v>1</v>
      </c>
      <c r="AK4">
        <v>1</v>
      </c>
      <c r="AL4">
        <v>1</v>
      </c>
      <c r="AM4">
        <v>0</v>
      </c>
      <c r="AN4">
        <v>0</v>
      </c>
      <c r="AO4" t="s">
        <v>67</v>
      </c>
      <c r="AP4">
        <f>-50--25</f>
        <v>-25</v>
      </c>
      <c r="AQ4">
        <v>248359585.03</v>
      </c>
      <c r="AR4">
        <v>943</v>
      </c>
      <c r="AS4" s="37">
        <v>100</v>
      </c>
      <c r="AT4" s="37">
        <v>0</v>
      </c>
      <c r="AU4" s="37">
        <v>100</v>
      </c>
      <c r="AV4" s="37">
        <v>0</v>
      </c>
      <c r="AW4" s="37">
        <v>0</v>
      </c>
      <c r="AX4" s="37">
        <v>0</v>
      </c>
    </row>
    <row r="5" spans="1:50" x14ac:dyDescent="0.25">
      <c r="A5">
        <v>4.3</v>
      </c>
      <c r="B5">
        <v>0.98810675044877605</v>
      </c>
      <c r="C5">
        <v>14.515410770881401</v>
      </c>
      <c r="D5">
        <v>13.3743721586024</v>
      </c>
      <c r="E5">
        <v>1.29844706370965E-2</v>
      </c>
      <c r="F5">
        <v>1.1893249551223501E-2</v>
      </c>
      <c r="G5" s="37">
        <v>0</v>
      </c>
      <c r="H5">
        <v>4.0994748412076003</v>
      </c>
      <c r="I5">
        <v>4.1233851173433598</v>
      </c>
      <c r="J5">
        <v>-40.112546243626802</v>
      </c>
      <c r="K5">
        <v>-8.5065994046573401</v>
      </c>
      <c r="L5">
        <v>14.517274433407801</v>
      </c>
      <c r="M5">
        <v>15.824698847124401</v>
      </c>
      <c r="N5">
        <v>72.180941375963201</v>
      </c>
      <c r="O5">
        <v>71.167330429048206</v>
      </c>
      <c r="P5">
        <v>297035.51429392601</v>
      </c>
      <c r="Q5">
        <v>273997.09926667501</v>
      </c>
      <c r="R5">
        <v>782.74924404590604</v>
      </c>
      <c r="S5" s="37">
        <v>0</v>
      </c>
      <c r="T5" s="37">
        <v>0</v>
      </c>
      <c r="U5" s="37">
        <v>0.16198164681268501</v>
      </c>
      <c r="V5" s="37">
        <v>0</v>
      </c>
      <c r="W5" s="37">
        <v>0</v>
      </c>
      <c r="X5">
        <v>0.71326487770881197</v>
      </c>
      <c r="Y5" s="37">
        <v>0</v>
      </c>
      <c r="Z5">
        <v>3.76417188742212E-4</v>
      </c>
      <c r="AA5">
        <v>6.1641507419053201E-5</v>
      </c>
      <c r="AB5">
        <v>2.5045363785326201E-3</v>
      </c>
      <c r="AC5" s="37">
        <v>1.1985382056926201E-7</v>
      </c>
      <c r="AD5">
        <v>8.9505203136906204E-3</v>
      </c>
      <c r="AE5">
        <v>-1.5473878576498901E-2</v>
      </c>
      <c r="AF5">
        <v>0.95973186155508405</v>
      </c>
      <c r="AG5">
        <v>0.99363685535796897</v>
      </c>
      <c r="AH5">
        <v>0.99969862508294505</v>
      </c>
      <c r="AI5">
        <v>1</v>
      </c>
      <c r="AJ5">
        <v>1</v>
      </c>
      <c r="AK5">
        <v>1</v>
      </c>
      <c r="AL5">
        <v>1</v>
      </c>
      <c r="AM5">
        <v>0</v>
      </c>
      <c r="AN5">
        <v>0</v>
      </c>
      <c r="AO5" t="s">
        <v>68</v>
      </c>
      <c r="AP5">
        <f>-25-0</f>
        <v>-25</v>
      </c>
      <c r="AQ5">
        <v>2025112560.6800001</v>
      </c>
      <c r="AR5">
        <v>7391</v>
      </c>
      <c r="AS5" s="37">
        <v>100</v>
      </c>
      <c r="AT5" s="37">
        <v>0</v>
      </c>
      <c r="AU5" s="37">
        <v>100</v>
      </c>
      <c r="AV5" s="37">
        <v>0</v>
      </c>
      <c r="AW5" s="37">
        <v>0</v>
      </c>
      <c r="AX5" s="37">
        <v>0</v>
      </c>
    </row>
    <row r="6" spans="1:50" x14ac:dyDescent="0.25">
      <c r="A6">
        <v>4.3</v>
      </c>
      <c r="B6">
        <v>0.98304591532241603</v>
      </c>
      <c r="C6">
        <v>27.0489983672527</v>
      </c>
      <c r="D6">
        <v>18.551022646132601</v>
      </c>
      <c r="E6">
        <v>2.5939486473995702E-2</v>
      </c>
      <c r="F6">
        <v>1.6954084677583699E-2</v>
      </c>
      <c r="G6" s="37">
        <v>0</v>
      </c>
      <c r="H6">
        <v>4.1521468241807797</v>
      </c>
      <c r="I6">
        <v>4.0348345653355704</v>
      </c>
      <c r="J6">
        <v>-30.3919466329844</v>
      </c>
      <c r="K6">
        <v>15.7443346932819</v>
      </c>
      <c r="L6">
        <v>14.3640068536101</v>
      </c>
      <c r="M6">
        <v>15.776988680148399</v>
      </c>
      <c r="N6">
        <v>68.038081695055993</v>
      </c>
      <c r="O6">
        <v>65.942075087686206</v>
      </c>
      <c r="P6">
        <v>298325.63251064898</v>
      </c>
      <c r="Q6">
        <v>277825.05432750098</v>
      </c>
      <c r="R6">
        <v>783.61192742241803</v>
      </c>
      <c r="S6" s="37">
        <v>0</v>
      </c>
      <c r="T6" s="37">
        <v>0</v>
      </c>
      <c r="U6">
        <v>0.233178285176594</v>
      </c>
      <c r="V6" s="37">
        <v>0</v>
      </c>
      <c r="W6" s="37">
        <v>0</v>
      </c>
      <c r="X6">
        <v>0.81770669992959</v>
      </c>
      <c r="Y6" s="37">
        <v>0</v>
      </c>
      <c r="Z6">
        <v>3.6976725643884402E-4</v>
      </c>
      <c r="AA6">
        <v>5.8793703510189399E-5</v>
      </c>
      <c r="AB6">
        <v>2.7739842653938199E-3</v>
      </c>
      <c r="AC6" s="37">
        <v>3.0262743911178999E-6</v>
      </c>
      <c r="AD6">
        <v>1.37484989547617E-2</v>
      </c>
      <c r="AE6">
        <v>3.8239736779564302E-3</v>
      </c>
      <c r="AF6">
        <v>0.83514428223231296</v>
      </c>
      <c r="AG6">
        <v>0.95178216858581899</v>
      </c>
      <c r="AH6">
        <v>0.99513288340000405</v>
      </c>
      <c r="AI6">
        <v>0.99904793051321605</v>
      </c>
      <c r="AJ6">
        <v>1</v>
      </c>
      <c r="AK6">
        <v>1</v>
      </c>
      <c r="AL6">
        <v>1</v>
      </c>
      <c r="AM6">
        <v>0</v>
      </c>
      <c r="AN6">
        <v>0</v>
      </c>
      <c r="AO6" t="s">
        <v>69</v>
      </c>
      <c r="AP6" t="s">
        <v>70</v>
      </c>
      <c r="AQ6">
        <v>10989092198.870001</v>
      </c>
      <c r="AR6">
        <v>39554</v>
      </c>
      <c r="AS6" s="37">
        <v>100</v>
      </c>
      <c r="AT6" s="37">
        <v>0</v>
      </c>
      <c r="AU6" s="37">
        <v>100</v>
      </c>
      <c r="AV6" s="37">
        <v>0</v>
      </c>
      <c r="AW6" s="37">
        <v>0</v>
      </c>
      <c r="AX6" s="37">
        <v>0</v>
      </c>
    </row>
    <row r="7" spans="1:50" x14ac:dyDescent="0.25">
      <c r="A7">
        <v>4.3</v>
      </c>
      <c r="B7">
        <v>0.97553016245322999</v>
      </c>
      <c r="C7">
        <v>39.511306539506997</v>
      </c>
      <c r="D7">
        <v>25.717173097763801</v>
      </c>
      <c r="E7">
        <v>4.1027432936049102E-2</v>
      </c>
      <c r="F7">
        <v>2.4469837546768999E-2</v>
      </c>
      <c r="G7" s="37">
        <v>0</v>
      </c>
      <c r="H7">
        <v>4.1700427279950798</v>
      </c>
      <c r="I7">
        <v>3.8869039936421501</v>
      </c>
      <c r="J7">
        <v>-26.925547507346302</v>
      </c>
      <c r="K7">
        <v>37.409974847285703</v>
      </c>
      <c r="L7">
        <v>13.639154245512501</v>
      </c>
      <c r="M7">
        <v>16.149073330801698</v>
      </c>
      <c r="N7">
        <v>64.844231334760593</v>
      </c>
      <c r="O7">
        <v>61.095981257928301</v>
      </c>
      <c r="P7">
        <v>311881.57179800601</v>
      </c>
      <c r="Q7">
        <v>292677.62690224103</v>
      </c>
      <c r="R7">
        <v>783.83426749919704</v>
      </c>
      <c r="S7" s="37">
        <v>0</v>
      </c>
      <c r="T7" s="37">
        <v>0</v>
      </c>
      <c r="U7">
        <v>0.26765840150570802</v>
      </c>
      <c r="V7" s="37">
        <v>0</v>
      </c>
      <c r="W7" s="37">
        <v>0</v>
      </c>
      <c r="X7">
        <v>0.83998290548298704</v>
      </c>
      <c r="Y7" s="37">
        <v>0</v>
      </c>
      <c r="Z7">
        <v>3.68210890893817E-4</v>
      </c>
      <c r="AA7">
        <v>5.7737955584498303E-5</v>
      </c>
      <c r="AB7">
        <v>3.08401324585773E-3</v>
      </c>
      <c r="AC7" s="37">
        <v>1.0551737486364599E-5</v>
      </c>
      <c r="AD7">
        <v>2.0949309402952601E-2</v>
      </c>
      <c r="AE7">
        <v>3.4424604763256199E-2</v>
      </c>
      <c r="AF7">
        <v>0.65979439068956602</v>
      </c>
      <c r="AG7">
        <v>0.89652549828803896</v>
      </c>
      <c r="AH7">
        <v>0.98913006082477595</v>
      </c>
      <c r="AI7">
        <v>0.99836627984341797</v>
      </c>
      <c r="AJ7">
        <v>1</v>
      </c>
      <c r="AK7">
        <v>1</v>
      </c>
      <c r="AL7">
        <v>1</v>
      </c>
      <c r="AM7">
        <v>0</v>
      </c>
      <c r="AN7">
        <v>0</v>
      </c>
      <c r="AO7" t="s">
        <v>71</v>
      </c>
      <c r="AP7" t="s">
        <v>72</v>
      </c>
      <c r="AQ7">
        <v>21924188353.619999</v>
      </c>
      <c r="AR7">
        <v>74909</v>
      </c>
      <c r="AS7" s="37">
        <v>100</v>
      </c>
      <c r="AT7" s="37">
        <v>0</v>
      </c>
      <c r="AU7" s="37">
        <v>100</v>
      </c>
      <c r="AV7" s="37">
        <v>0</v>
      </c>
      <c r="AW7" s="37">
        <v>0</v>
      </c>
      <c r="AX7" s="37">
        <v>0</v>
      </c>
    </row>
    <row r="8" spans="1:50" x14ac:dyDescent="0.25">
      <c r="A8">
        <v>4.3</v>
      </c>
      <c r="B8">
        <v>0.96749363298989</v>
      </c>
      <c r="C8">
        <v>47.215946149875997</v>
      </c>
      <c r="D8">
        <v>32.736821230086697</v>
      </c>
      <c r="E8">
        <v>5.1853975470512799E-2</v>
      </c>
      <c r="F8">
        <v>3.2506367010109498E-2</v>
      </c>
      <c r="G8" s="37">
        <v>0</v>
      </c>
      <c r="H8">
        <v>4.4546713063729797</v>
      </c>
      <c r="I8">
        <v>3.8939110936539199</v>
      </c>
      <c r="J8">
        <v>-17.6366549627257</v>
      </c>
      <c r="K8">
        <v>62.476490921913999</v>
      </c>
      <c r="L8">
        <v>14.2329733219446</v>
      </c>
      <c r="M8">
        <v>17.622334311618999</v>
      </c>
      <c r="N8">
        <v>67.200221101813</v>
      </c>
      <c r="O8">
        <v>63.714954380216803</v>
      </c>
      <c r="P8">
        <v>300315.56001339102</v>
      </c>
      <c r="Q8">
        <v>280510.28761934699</v>
      </c>
      <c r="R8">
        <v>782.16221421169803</v>
      </c>
      <c r="S8" s="37">
        <v>0</v>
      </c>
      <c r="T8" s="37">
        <v>0</v>
      </c>
      <c r="U8">
        <v>0.24509649363570199</v>
      </c>
      <c r="V8" s="37">
        <v>0</v>
      </c>
      <c r="W8" s="37">
        <v>0</v>
      </c>
      <c r="X8">
        <v>0.76375297630239702</v>
      </c>
      <c r="Y8" s="37">
        <v>0</v>
      </c>
      <c r="Z8">
        <v>3.7146775661998102E-4</v>
      </c>
      <c r="AA8">
        <v>8.9448587186182003E-5</v>
      </c>
      <c r="AB8">
        <v>3.2444202746527901E-3</v>
      </c>
      <c r="AC8" s="37">
        <v>9.1333761229322894E-6</v>
      </c>
      <c r="AD8">
        <v>2.8791882590042901E-2</v>
      </c>
      <c r="AE8">
        <v>2.4814580402913001E-2</v>
      </c>
      <c r="AF8">
        <v>0.68593790872733995</v>
      </c>
      <c r="AG8">
        <v>0.94531389069164695</v>
      </c>
      <c r="AH8">
        <v>0.99334832685180097</v>
      </c>
      <c r="AI8">
        <v>0.99910374075394803</v>
      </c>
      <c r="AJ8">
        <v>1</v>
      </c>
      <c r="AK8">
        <v>1</v>
      </c>
      <c r="AL8">
        <v>1</v>
      </c>
      <c r="AM8">
        <v>0</v>
      </c>
      <c r="AN8">
        <v>0</v>
      </c>
      <c r="AO8" t="s">
        <v>73</v>
      </c>
      <c r="AP8" t="s">
        <v>74</v>
      </c>
      <c r="AQ8">
        <v>17351524861.27</v>
      </c>
      <c r="AR8">
        <v>61857</v>
      </c>
      <c r="AS8" s="37">
        <v>100</v>
      </c>
      <c r="AT8" s="37">
        <v>0</v>
      </c>
      <c r="AU8" s="37">
        <v>100</v>
      </c>
      <c r="AV8" s="37">
        <v>0</v>
      </c>
      <c r="AW8" s="37">
        <v>0</v>
      </c>
      <c r="AX8" s="37">
        <v>0</v>
      </c>
    </row>
    <row r="9" spans="1:50" x14ac:dyDescent="0.25">
      <c r="A9">
        <v>4.3</v>
      </c>
      <c r="B9">
        <v>0.96168779864429099</v>
      </c>
      <c r="C9">
        <v>45.7708272196178</v>
      </c>
      <c r="D9">
        <v>37.423787710370398</v>
      </c>
      <c r="E9">
        <v>4.9717463343028401E-2</v>
      </c>
      <c r="F9">
        <v>3.8312201355708099E-2</v>
      </c>
      <c r="G9" s="37">
        <v>0</v>
      </c>
      <c r="H9">
        <v>4.6792015292067903</v>
      </c>
      <c r="I9">
        <v>3.8981509428101</v>
      </c>
      <c r="J9">
        <v>-11.5311502639086</v>
      </c>
      <c r="K9">
        <v>85.668970884368505</v>
      </c>
      <c r="L9">
        <v>14.263814450785301</v>
      </c>
      <c r="M9">
        <v>17.602014203038902</v>
      </c>
      <c r="N9">
        <v>66.442910600283099</v>
      </c>
      <c r="O9">
        <v>62.693088682520603</v>
      </c>
      <c r="P9">
        <v>299859.64255796699</v>
      </c>
      <c r="Q9">
        <v>279920.92258670903</v>
      </c>
      <c r="R9">
        <v>780.85804814325502</v>
      </c>
      <c r="S9" s="37">
        <v>0</v>
      </c>
      <c r="T9" s="37">
        <v>0</v>
      </c>
      <c r="U9">
        <v>0.28399372752434199</v>
      </c>
      <c r="V9" s="37">
        <v>0</v>
      </c>
      <c r="W9" s="37">
        <v>0</v>
      </c>
      <c r="X9">
        <v>0.69290848609290001</v>
      </c>
      <c r="Y9" s="37">
        <v>0</v>
      </c>
      <c r="Z9">
        <v>3.7185964998863902E-4</v>
      </c>
      <c r="AA9">
        <v>1.0535087945380201E-4</v>
      </c>
      <c r="AB9">
        <v>3.3641167498702699E-3</v>
      </c>
      <c r="AC9">
        <v>1.88562074024779E-5</v>
      </c>
      <c r="AD9">
        <v>3.4452003130528798E-2</v>
      </c>
      <c r="AE9">
        <v>2.8319628091365599E-2</v>
      </c>
      <c r="AF9">
        <v>0.6265847372112</v>
      </c>
      <c r="AG9">
        <v>0.94565645948284405</v>
      </c>
      <c r="AH9">
        <v>0.98872447099546501</v>
      </c>
      <c r="AI9">
        <v>0.99818447269798904</v>
      </c>
      <c r="AJ9">
        <v>1</v>
      </c>
      <c r="AK9">
        <v>1</v>
      </c>
      <c r="AL9">
        <v>1</v>
      </c>
      <c r="AM9">
        <v>0</v>
      </c>
      <c r="AN9">
        <v>0</v>
      </c>
      <c r="AO9" t="s">
        <v>75</v>
      </c>
      <c r="AP9" t="s">
        <v>76</v>
      </c>
      <c r="AQ9">
        <v>11137493667.879999</v>
      </c>
      <c r="AR9">
        <v>39788</v>
      </c>
      <c r="AS9" s="37">
        <v>100</v>
      </c>
      <c r="AT9" s="37">
        <v>0</v>
      </c>
      <c r="AU9" s="37">
        <v>100</v>
      </c>
      <c r="AV9" s="37">
        <v>0</v>
      </c>
      <c r="AW9" s="37">
        <v>0</v>
      </c>
      <c r="AX9" s="37">
        <v>0</v>
      </c>
    </row>
    <row r="10" spans="1:50" x14ac:dyDescent="0.25">
      <c r="A10">
        <v>4.3</v>
      </c>
      <c r="B10">
        <v>0.95610776010162402</v>
      </c>
      <c r="C10">
        <v>45.909203181044703</v>
      </c>
      <c r="D10">
        <v>41.644456654936</v>
      </c>
      <c r="E10">
        <v>4.9919768812099398E-2</v>
      </c>
      <c r="F10">
        <v>4.3892239898375297E-2</v>
      </c>
      <c r="G10" s="37">
        <v>0</v>
      </c>
      <c r="H10">
        <v>4.8190174463322899</v>
      </c>
      <c r="I10">
        <v>3.7827978441224901</v>
      </c>
      <c r="J10">
        <v>-7.0333729511050098</v>
      </c>
      <c r="K10">
        <v>111.768434390067</v>
      </c>
      <c r="L10">
        <v>14.851525150510399</v>
      </c>
      <c r="M10">
        <v>18.573442605538801</v>
      </c>
      <c r="N10">
        <v>70.0477308833091</v>
      </c>
      <c r="O10">
        <v>64.517258387715799</v>
      </c>
      <c r="P10">
        <v>288600.20744691603</v>
      </c>
      <c r="Q10">
        <v>268853.19579149998</v>
      </c>
      <c r="R10">
        <v>779.33270544376001</v>
      </c>
      <c r="S10" s="37">
        <v>0</v>
      </c>
      <c r="T10" s="37">
        <v>0</v>
      </c>
      <c r="U10">
        <v>0.29515184776322501</v>
      </c>
      <c r="V10" s="37">
        <v>0</v>
      </c>
      <c r="W10" s="37">
        <v>0</v>
      </c>
      <c r="X10">
        <v>0.61609329399752699</v>
      </c>
      <c r="Y10" s="37">
        <v>0</v>
      </c>
      <c r="Z10">
        <v>3.7279537998950501E-4</v>
      </c>
      <c r="AA10">
        <v>1.47224620153274E-4</v>
      </c>
      <c r="AB10">
        <v>3.69618458198757E-3</v>
      </c>
      <c r="AC10">
        <v>3.6742998713316997E-5</v>
      </c>
      <c r="AD10">
        <v>3.9639277509902898E-2</v>
      </c>
      <c r="AE10">
        <v>5.2894393530933802E-2</v>
      </c>
      <c r="AF10">
        <v>0.44589189061352302</v>
      </c>
      <c r="AG10">
        <v>0.91894030275873695</v>
      </c>
      <c r="AH10">
        <v>0.98503593196407102</v>
      </c>
      <c r="AI10">
        <v>0.99699297254341501</v>
      </c>
      <c r="AJ10">
        <v>1</v>
      </c>
      <c r="AK10">
        <v>1</v>
      </c>
      <c r="AL10">
        <v>1</v>
      </c>
      <c r="AM10">
        <v>0</v>
      </c>
      <c r="AN10">
        <v>0</v>
      </c>
      <c r="AO10" t="s">
        <v>77</v>
      </c>
      <c r="AP10" t="s">
        <v>78</v>
      </c>
      <c r="AQ10">
        <v>5725228804.3800001</v>
      </c>
      <c r="AR10">
        <v>21295</v>
      </c>
      <c r="AS10" s="37">
        <v>100</v>
      </c>
      <c r="AT10" s="37">
        <v>0</v>
      </c>
      <c r="AU10" s="37">
        <v>100</v>
      </c>
      <c r="AV10" s="37">
        <v>0</v>
      </c>
      <c r="AW10" s="37">
        <v>0</v>
      </c>
      <c r="AX10" s="37">
        <v>0</v>
      </c>
    </row>
    <row r="11" spans="1:50" x14ac:dyDescent="0.25">
      <c r="A11">
        <v>4.3</v>
      </c>
      <c r="B11">
        <v>0.95139204284506595</v>
      </c>
      <c r="C11">
        <v>46.476872003021001</v>
      </c>
      <c r="D11">
        <v>45.006143321778303</v>
      </c>
      <c r="E11">
        <v>5.0754696248407602E-2</v>
      </c>
      <c r="F11">
        <v>4.8607957154933899E-2</v>
      </c>
      <c r="G11" s="37">
        <v>0</v>
      </c>
      <c r="H11">
        <v>4.8761354772326699</v>
      </c>
      <c r="I11">
        <v>3.6738704947384</v>
      </c>
      <c r="J11">
        <v>-6.5473520175052498</v>
      </c>
      <c r="K11">
        <v>134.373235124464</v>
      </c>
      <c r="L11">
        <v>14.345574769635199</v>
      </c>
      <c r="M11">
        <v>20.090595794887001</v>
      </c>
      <c r="N11">
        <v>70.801330035653606</v>
      </c>
      <c r="O11">
        <v>63.193321717083897</v>
      </c>
      <c r="P11">
        <v>297212.06415607501</v>
      </c>
      <c r="Q11">
        <v>278337.19808198803</v>
      </c>
      <c r="R11">
        <v>778.25756439140002</v>
      </c>
      <c r="S11" s="37">
        <v>0</v>
      </c>
      <c r="T11" s="37">
        <v>0</v>
      </c>
      <c r="U11">
        <v>0.29020541166177999</v>
      </c>
      <c r="V11" s="37">
        <v>0</v>
      </c>
      <c r="W11" s="37">
        <v>0</v>
      </c>
      <c r="X11">
        <v>0.61283835550985899</v>
      </c>
      <c r="Y11" s="37">
        <v>0</v>
      </c>
      <c r="Z11">
        <v>3.74110962989013E-4</v>
      </c>
      <c r="AA11">
        <v>1.6841150508178801E-4</v>
      </c>
      <c r="AB11">
        <v>3.68573956505487E-3</v>
      </c>
      <c r="AC11">
        <v>8.5910415182201494E-5</v>
      </c>
      <c r="AD11">
        <v>4.4293769686680397E-2</v>
      </c>
      <c r="AE11">
        <v>8.5370718844031801E-2</v>
      </c>
      <c r="AF11">
        <v>0.28253616588601399</v>
      </c>
      <c r="AG11">
        <v>0.87003254035329303</v>
      </c>
      <c r="AH11">
        <v>0.96620380419857199</v>
      </c>
      <c r="AI11">
        <v>0.99610031307449098</v>
      </c>
      <c r="AJ11">
        <v>1</v>
      </c>
      <c r="AK11">
        <v>1</v>
      </c>
      <c r="AL11">
        <v>1</v>
      </c>
      <c r="AM11">
        <v>0</v>
      </c>
      <c r="AN11">
        <v>0</v>
      </c>
      <c r="AO11" t="s">
        <v>79</v>
      </c>
      <c r="AP11" t="s">
        <v>80</v>
      </c>
      <c r="AQ11">
        <v>2620823057.1399999</v>
      </c>
      <c r="AR11">
        <v>9416</v>
      </c>
      <c r="AS11" s="37">
        <v>100</v>
      </c>
      <c r="AT11" s="37">
        <v>0</v>
      </c>
      <c r="AU11" s="37">
        <v>100</v>
      </c>
      <c r="AV11" s="37">
        <v>0</v>
      </c>
      <c r="AW11" s="37">
        <v>0</v>
      </c>
      <c r="AX11" s="37">
        <v>0</v>
      </c>
    </row>
    <row r="12" spans="1:50" x14ac:dyDescent="0.25">
      <c r="A12">
        <v>4.3</v>
      </c>
      <c r="B12">
        <v>0.94664668044911304</v>
      </c>
      <c r="C12">
        <v>44.242835662966101</v>
      </c>
      <c r="D12">
        <v>48.208916618606999</v>
      </c>
      <c r="E12">
        <v>4.7514462955103302E-2</v>
      </c>
      <c r="F12">
        <v>5.3353319550886201E-2</v>
      </c>
      <c r="G12" s="37">
        <v>0</v>
      </c>
      <c r="H12">
        <v>5.0228990838490102</v>
      </c>
      <c r="I12">
        <v>3.6711342065528298</v>
      </c>
      <c r="J12">
        <v>6.8476451351644396</v>
      </c>
      <c r="K12">
        <v>160.18516166213001</v>
      </c>
      <c r="L12">
        <v>14.050935964014</v>
      </c>
      <c r="M12">
        <v>20.067577183632402</v>
      </c>
      <c r="N12">
        <v>78.702584894491594</v>
      </c>
      <c r="O12">
        <v>68.818308900589201</v>
      </c>
      <c r="P12">
        <v>302497.44945458398</v>
      </c>
      <c r="Q12">
        <v>284181.93619109102</v>
      </c>
      <c r="R12">
        <v>777.14943247241695</v>
      </c>
      <c r="S12" s="37">
        <v>0</v>
      </c>
      <c r="T12" s="37">
        <v>0</v>
      </c>
      <c r="U12">
        <v>0.23643044410942601</v>
      </c>
      <c r="V12" s="37">
        <v>0</v>
      </c>
      <c r="W12" s="37">
        <v>0</v>
      </c>
      <c r="X12">
        <v>0.52204473215818603</v>
      </c>
      <c r="Y12" s="37">
        <v>0</v>
      </c>
      <c r="Z12">
        <v>3.7364660821713198E-4</v>
      </c>
      <c r="AA12">
        <v>2.4360028836634701E-4</v>
      </c>
      <c r="AB12">
        <v>3.8902341285462E-3</v>
      </c>
      <c r="AC12">
        <v>1.3030684466215601E-4</v>
      </c>
      <c r="AD12">
        <v>4.8715516343220799E-2</v>
      </c>
      <c r="AE12">
        <v>0.107049235597792</v>
      </c>
      <c r="AF12">
        <v>0.157129082402062</v>
      </c>
      <c r="AG12">
        <v>0.78788788066198401</v>
      </c>
      <c r="AH12">
        <v>0.94414222667681402</v>
      </c>
      <c r="AI12">
        <v>0.98989339820335798</v>
      </c>
      <c r="AJ12">
        <v>1</v>
      </c>
      <c r="AK12">
        <v>1</v>
      </c>
      <c r="AL12">
        <v>1</v>
      </c>
      <c r="AM12">
        <v>0</v>
      </c>
      <c r="AN12">
        <v>0</v>
      </c>
      <c r="AO12" t="s">
        <v>81</v>
      </c>
      <c r="AP12" t="s">
        <v>82</v>
      </c>
      <c r="AQ12">
        <v>440197819.16000003</v>
      </c>
      <c r="AR12">
        <v>1549</v>
      </c>
      <c r="AS12" s="37">
        <v>100</v>
      </c>
      <c r="AT12" s="37">
        <v>0</v>
      </c>
      <c r="AU12" s="37">
        <v>100</v>
      </c>
      <c r="AV12" s="37">
        <v>0</v>
      </c>
      <c r="AW12" s="37">
        <v>0</v>
      </c>
      <c r="AX12" s="37">
        <v>0</v>
      </c>
    </row>
    <row r="13" spans="1:50" x14ac:dyDescent="0.25">
      <c r="A13">
        <v>4.3</v>
      </c>
      <c r="B13">
        <v>0.94180871701906499</v>
      </c>
      <c r="C13">
        <v>53.130436470808498</v>
      </c>
      <c r="D13">
        <v>51.297363811112703</v>
      </c>
      <c r="E13">
        <v>6.1197489207662902E-2</v>
      </c>
      <c r="F13">
        <v>5.8191282980934698E-2</v>
      </c>
      <c r="G13" s="37">
        <v>0</v>
      </c>
      <c r="H13">
        <v>5.0468119636960296</v>
      </c>
      <c r="I13">
        <v>3.6581714092980402</v>
      </c>
      <c r="J13">
        <v>6.4300908512944703</v>
      </c>
      <c r="K13">
        <v>183.94350489017</v>
      </c>
      <c r="L13">
        <v>13.8846846311134</v>
      </c>
      <c r="M13">
        <v>20.4863828371568</v>
      </c>
      <c r="N13">
        <v>85.498758550909699</v>
      </c>
      <c r="O13">
        <v>72.570640434086698</v>
      </c>
      <c r="P13">
        <v>305684.75228504901</v>
      </c>
      <c r="Q13">
        <v>287591.89741071401</v>
      </c>
      <c r="R13">
        <v>777.65331003001995</v>
      </c>
      <c r="S13" s="37">
        <v>0</v>
      </c>
      <c r="T13" s="37">
        <v>0</v>
      </c>
      <c r="U13">
        <v>0.23252351468115601</v>
      </c>
      <c r="V13" s="37">
        <v>0</v>
      </c>
      <c r="W13" s="37">
        <v>0</v>
      </c>
      <c r="X13">
        <v>0.402000486106938</v>
      </c>
      <c r="Y13" s="37">
        <v>0</v>
      </c>
      <c r="Z13">
        <v>3.7498083586438299E-4</v>
      </c>
      <c r="AA13">
        <v>3.2210145234887899E-4</v>
      </c>
      <c r="AB13">
        <v>4.1021818581568103E-3</v>
      </c>
      <c r="AC13">
        <v>3.5720283658052701E-4</v>
      </c>
      <c r="AD13">
        <v>5.3034800071768001E-2</v>
      </c>
      <c r="AE13">
        <v>0.139428074325575</v>
      </c>
      <c r="AF13">
        <v>3.5231054369169602E-2</v>
      </c>
      <c r="AG13">
        <v>0.62060278239097899</v>
      </c>
      <c r="AH13">
        <v>0.85157551067931403</v>
      </c>
      <c r="AI13">
        <v>0.98674363275235299</v>
      </c>
      <c r="AJ13">
        <v>1</v>
      </c>
      <c r="AK13">
        <v>1</v>
      </c>
      <c r="AL13">
        <v>1</v>
      </c>
      <c r="AM13">
        <v>0</v>
      </c>
      <c r="AN13">
        <v>0</v>
      </c>
      <c r="AO13" t="s">
        <v>83</v>
      </c>
      <c r="AP13" t="s">
        <v>84</v>
      </c>
      <c r="AQ13">
        <v>96630877.530000001</v>
      </c>
      <c r="AR13">
        <v>336</v>
      </c>
      <c r="AS13" s="37">
        <v>100</v>
      </c>
      <c r="AT13" s="37">
        <v>0</v>
      </c>
      <c r="AU13" s="37">
        <v>100</v>
      </c>
      <c r="AV13" s="37">
        <v>0</v>
      </c>
      <c r="AW13" s="37">
        <v>0</v>
      </c>
      <c r="AX13" s="37">
        <v>0</v>
      </c>
    </row>
    <row r="14" spans="1:50" x14ac:dyDescent="0.25">
      <c r="A14">
        <v>4.3</v>
      </c>
      <c r="B14">
        <v>0.94074240080284799</v>
      </c>
      <c r="C14">
        <v>47.495830730037397</v>
      </c>
      <c r="D14">
        <v>51.954952623882903</v>
      </c>
      <c r="E14">
        <v>5.2273954856408698E-2</v>
      </c>
      <c r="F14">
        <v>5.92575991971519E-2</v>
      </c>
      <c r="G14" s="37">
        <v>0</v>
      </c>
      <c r="H14">
        <v>5.1962175270796997</v>
      </c>
      <c r="I14">
        <v>3.6487087980292801</v>
      </c>
      <c r="J14">
        <v>17.288719989476</v>
      </c>
      <c r="K14">
        <v>209.552293094823</v>
      </c>
      <c r="L14">
        <v>14.525860365374999</v>
      </c>
      <c r="M14">
        <v>20.792683089257899</v>
      </c>
      <c r="N14">
        <v>90.1202353104606</v>
      </c>
      <c r="O14">
        <v>75.175750153318802</v>
      </c>
      <c r="P14">
        <v>294450.39719337702</v>
      </c>
      <c r="Q14">
        <v>274910.83289473603</v>
      </c>
      <c r="R14">
        <v>775.395165462573</v>
      </c>
      <c r="S14" s="37">
        <v>0</v>
      </c>
      <c r="T14" s="37">
        <v>0</v>
      </c>
      <c r="U14">
        <v>8.3777428444944596E-2</v>
      </c>
      <c r="V14" s="37">
        <v>0</v>
      </c>
      <c r="W14" s="37">
        <v>0</v>
      </c>
      <c r="X14">
        <v>0.28831944805759002</v>
      </c>
      <c r="Y14" s="37">
        <v>0</v>
      </c>
      <c r="Z14">
        <v>3.7198763570191602E-4</v>
      </c>
      <c r="AA14">
        <v>3.7985114570584198E-4</v>
      </c>
      <c r="AB14">
        <v>4.3843365412793598E-3</v>
      </c>
      <c r="AC14">
        <v>5.94536303158278E-4</v>
      </c>
      <c r="AD14">
        <v>5.3526868723453899E-2</v>
      </c>
      <c r="AE14">
        <v>0.16459064505952101</v>
      </c>
      <c r="AF14" s="37">
        <v>0</v>
      </c>
      <c r="AG14">
        <v>0.467143527346496</v>
      </c>
      <c r="AH14">
        <v>0.67606014482217303</v>
      </c>
      <c r="AI14">
        <v>0.98161704517847104</v>
      </c>
      <c r="AJ14">
        <v>1</v>
      </c>
      <c r="AK14">
        <v>1</v>
      </c>
      <c r="AL14">
        <v>1</v>
      </c>
      <c r="AM14">
        <v>0</v>
      </c>
      <c r="AN14">
        <v>0</v>
      </c>
      <c r="AO14" t="s">
        <v>85</v>
      </c>
      <c r="AP14" t="s">
        <v>86</v>
      </c>
      <c r="AQ14">
        <v>20893223.300000001</v>
      </c>
      <c r="AR14">
        <v>76</v>
      </c>
      <c r="AS14" s="37">
        <v>100</v>
      </c>
      <c r="AT14" s="37">
        <v>0</v>
      </c>
      <c r="AU14" s="37">
        <v>100</v>
      </c>
      <c r="AV14" s="37">
        <v>0</v>
      </c>
      <c r="AW14" s="37">
        <v>0</v>
      </c>
      <c r="AX14" s="37">
        <v>0</v>
      </c>
    </row>
    <row r="15" spans="1:50" x14ac:dyDescent="0.25">
      <c r="A15">
        <v>4.3</v>
      </c>
      <c r="B15">
        <v>0.94906051167171401</v>
      </c>
      <c r="C15">
        <v>46.592588079016998</v>
      </c>
      <c r="D15">
        <v>46.601772073341898</v>
      </c>
      <c r="E15">
        <v>5.09258869416227E-2</v>
      </c>
      <c r="F15">
        <v>5.0939488328285501E-2</v>
      </c>
      <c r="G15" s="37">
        <v>0</v>
      </c>
      <c r="H15">
        <v>5.3215329643257903</v>
      </c>
      <c r="I15">
        <v>3.66540798537434</v>
      </c>
      <c r="J15">
        <v>30.4743143825511</v>
      </c>
      <c r="K15">
        <v>232.640397203189</v>
      </c>
      <c r="L15">
        <v>17.9274009343142</v>
      </c>
      <c r="M15">
        <v>20.850681634745001</v>
      </c>
      <c r="N15">
        <v>92.695714677597195</v>
      </c>
      <c r="O15">
        <v>75.691523369808195</v>
      </c>
      <c r="P15">
        <v>246276.82689495001</v>
      </c>
      <c r="Q15">
        <v>222772.75058823501</v>
      </c>
      <c r="R15">
        <v>788.41158566716194</v>
      </c>
      <c r="S15" s="37">
        <v>0</v>
      </c>
      <c r="T15" s="37">
        <v>0</v>
      </c>
      <c r="U15" s="37">
        <v>0</v>
      </c>
      <c r="V15" s="37">
        <v>0</v>
      </c>
      <c r="W15" s="37">
        <v>0</v>
      </c>
      <c r="X15">
        <v>0.34002479487960102</v>
      </c>
      <c r="Y15" s="37">
        <v>0</v>
      </c>
      <c r="Z15">
        <v>4.0339217660008598E-4</v>
      </c>
      <c r="AA15">
        <v>4.2794964240108403E-5</v>
      </c>
      <c r="AB15">
        <v>4.2408690282340596E-3</v>
      </c>
      <c r="AC15">
        <v>6.8165278861622E-4</v>
      </c>
      <c r="AD15">
        <v>4.5570761118122999E-2</v>
      </c>
      <c r="AE15">
        <v>0.17333362962495499</v>
      </c>
      <c r="AF15" s="37">
        <v>0</v>
      </c>
      <c r="AG15">
        <v>0.29883153731158102</v>
      </c>
      <c r="AH15">
        <v>0.63135197684278999</v>
      </c>
      <c r="AI15">
        <v>0.95367428980832403</v>
      </c>
      <c r="AJ15">
        <v>1</v>
      </c>
      <c r="AK15">
        <v>1</v>
      </c>
      <c r="AL15">
        <v>1</v>
      </c>
      <c r="AM15">
        <v>0</v>
      </c>
      <c r="AN15">
        <v>0</v>
      </c>
      <c r="AO15" t="s">
        <v>87</v>
      </c>
      <c r="AP15" t="s">
        <v>88</v>
      </c>
      <c r="AQ15">
        <v>3787136.76</v>
      </c>
      <c r="AR15">
        <v>17</v>
      </c>
      <c r="AS15" s="37">
        <v>100</v>
      </c>
      <c r="AT15" s="37">
        <v>0</v>
      </c>
      <c r="AU15" s="37">
        <v>100</v>
      </c>
      <c r="AV15" s="37">
        <v>0</v>
      </c>
      <c r="AW15" s="37">
        <v>0</v>
      </c>
      <c r="AX15" s="37">
        <v>0</v>
      </c>
    </row>
    <row r="16" spans="1:50" x14ac:dyDescent="0.25">
      <c r="G16" s="37"/>
      <c r="S16" s="37"/>
      <c r="T16" s="37"/>
      <c r="W16" s="37"/>
      <c r="Y16" s="37"/>
      <c r="AS16" s="37"/>
      <c r="AT16" s="37"/>
      <c r="AU16" s="37"/>
      <c r="AW16" s="37"/>
    </row>
    <row r="17" spans="1:50" x14ac:dyDescent="0.25">
      <c r="G17" s="37"/>
      <c r="S17" s="37"/>
      <c r="T17" s="37"/>
      <c r="W17" s="37"/>
      <c r="Y17" s="37"/>
      <c r="AS17" s="37"/>
      <c r="AT17" s="37"/>
      <c r="AU17" s="37"/>
      <c r="AW17" s="37"/>
    </row>
    <row r="18" spans="1:50" x14ac:dyDescent="0.25">
      <c r="G18" s="37"/>
      <c r="S18" s="37"/>
      <c r="T18" s="37"/>
      <c r="U18" s="37"/>
      <c r="W18" s="37"/>
      <c r="Y18" s="37"/>
      <c r="AS18" s="37"/>
      <c r="AT18" s="37"/>
      <c r="AU18" s="37"/>
      <c r="AW18" s="37"/>
    </row>
    <row r="19" spans="1:50" x14ac:dyDescent="0.25">
      <c r="A19" s="33" t="s">
        <v>122</v>
      </c>
      <c r="C19" t="s">
        <v>164</v>
      </c>
    </row>
    <row r="20" spans="1:50" x14ac:dyDescent="0.25">
      <c r="A20" t="s">
        <v>21</v>
      </c>
      <c r="B20" t="s">
        <v>22</v>
      </c>
      <c r="C20" t="s">
        <v>23</v>
      </c>
      <c r="D20" t="s">
        <v>24</v>
      </c>
      <c r="E20" t="s">
        <v>97</v>
      </c>
      <c r="F20" t="s">
        <v>98</v>
      </c>
      <c r="G20" t="s">
        <v>25</v>
      </c>
      <c r="H20" t="s">
        <v>26</v>
      </c>
      <c r="I20" t="s">
        <v>27</v>
      </c>
      <c r="J20" t="s">
        <v>28</v>
      </c>
      <c r="K20" t="s">
        <v>29</v>
      </c>
      <c r="L20" t="s">
        <v>30</v>
      </c>
      <c r="M20" t="s">
        <v>31</v>
      </c>
      <c r="N20" t="s">
        <v>32</v>
      </c>
      <c r="O20" t="s">
        <v>33</v>
      </c>
      <c r="P20" t="s">
        <v>34</v>
      </c>
      <c r="Q20" t="s">
        <v>35</v>
      </c>
      <c r="R20" t="s">
        <v>36</v>
      </c>
      <c r="S20" t="s">
        <v>37</v>
      </c>
      <c r="T20" t="s">
        <v>38</v>
      </c>
      <c r="U20" t="s">
        <v>39</v>
      </c>
      <c r="V20" t="s">
        <v>40</v>
      </c>
      <c r="W20" t="s">
        <v>41</v>
      </c>
      <c r="X20" t="s">
        <v>42</v>
      </c>
      <c r="Y20" t="s">
        <v>43</v>
      </c>
      <c r="Z20" t="s">
        <v>44</v>
      </c>
      <c r="AA20" t="s">
        <v>45</v>
      </c>
      <c r="AB20" t="s">
        <v>46</v>
      </c>
      <c r="AC20" t="s">
        <v>47</v>
      </c>
      <c r="AD20" t="s">
        <v>48</v>
      </c>
      <c r="AE20" t="s">
        <v>49</v>
      </c>
      <c r="AF20" t="s">
        <v>50</v>
      </c>
      <c r="AG20" t="s">
        <v>51</v>
      </c>
      <c r="AH20" t="s">
        <v>52</v>
      </c>
      <c r="AI20" t="s">
        <v>53</v>
      </c>
      <c r="AJ20" t="s">
        <v>54</v>
      </c>
      <c r="AK20" t="s">
        <v>55</v>
      </c>
      <c r="AL20" t="s">
        <v>56</v>
      </c>
      <c r="AM20" t="s">
        <v>57</v>
      </c>
      <c r="AN20" t="s">
        <v>58</v>
      </c>
      <c r="AO20" t="s">
        <v>59</v>
      </c>
      <c r="AP20" t="s">
        <v>60</v>
      </c>
      <c r="AQ20" t="s">
        <v>61</v>
      </c>
      <c r="AR20" t="s">
        <v>62</v>
      </c>
      <c r="AS20" t="s">
        <v>124</v>
      </c>
      <c r="AT20" t="s">
        <v>125</v>
      </c>
      <c r="AU20" t="s">
        <v>126</v>
      </c>
      <c r="AV20" t="s">
        <v>127</v>
      </c>
      <c r="AW20" t="s">
        <v>128</v>
      </c>
      <c r="AX20" t="s">
        <v>129</v>
      </c>
    </row>
    <row r="21" spans="1:50" x14ac:dyDescent="0.25">
      <c r="A21">
        <v>4.3</v>
      </c>
      <c r="B21">
        <v>0.99570059641268804</v>
      </c>
      <c r="C21" s="37">
        <v>1.21002045716522E-5</v>
      </c>
      <c r="D21">
        <v>5.0390157831752003</v>
      </c>
      <c r="E21" s="37">
        <v>1.0083504526031401E-8</v>
      </c>
      <c r="F21">
        <v>4.2994035873111297E-3</v>
      </c>
      <c r="G21" s="37">
        <v>0</v>
      </c>
      <c r="H21">
        <v>4.0264724982141802</v>
      </c>
      <c r="I21">
        <v>4.1375376417415</v>
      </c>
      <c r="J21">
        <v>-42.855524106759503</v>
      </c>
      <c r="K21">
        <v>-108.853802183863</v>
      </c>
      <c r="L21">
        <v>20.131192575588098</v>
      </c>
      <c r="M21">
        <v>15.604362725078801</v>
      </c>
      <c r="N21">
        <v>76.152880057146007</v>
      </c>
      <c r="O21">
        <v>75.620604437937899</v>
      </c>
      <c r="P21">
        <v>198516.224249666</v>
      </c>
      <c r="Q21">
        <v>198343.73800000001</v>
      </c>
      <c r="R21">
        <v>760.45864017143799</v>
      </c>
      <c r="S21" s="37">
        <v>0</v>
      </c>
      <c r="T21" s="37">
        <v>0</v>
      </c>
      <c r="U21" s="37">
        <v>0</v>
      </c>
      <c r="V21" s="37">
        <v>0</v>
      </c>
      <c r="W21" s="37">
        <v>0</v>
      </c>
      <c r="X21">
        <v>0.21177998571348799</v>
      </c>
      <c r="Y21" s="37">
        <v>0</v>
      </c>
      <c r="Z21">
        <v>3.5089724352164802E-4</v>
      </c>
      <c r="AA21">
        <v>5.1078517150463303E-5</v>
      </c>
      <c r="AB21">
        <v>2.86847169235985E-3</v>
      </c>
      <c r="AC21" s="37">
        <v>0</v>
      </c>
      <c r="AD21">
        <v>1.02894218707E-3</v>
      </c>
      <c r="AE21">
        <v>-1.59662195992138E-2</v>
      </c>
      <c r="AF21">
        <v>1</v>
      </c>
      <c r="AG21">
        <v>1</v>
      </c>
      <c r="AH21">
        <v>1</v>
      </c>
      <c r="AI21">
        <v>1</v>
      </c>
      <c r="AJ21">
        <v>1</v>
      </c>
      <c r="AK21">
        <v>1</v>
      </c>
      <c r="AL21">
        <v>1</v>
      </c>
      <c r="AM21">
        <v>0</v>
      </c>
      <c r="AN21">
        <v>0</v>
      </c>
      <c r="AO21" t="s">
        <v>64</v>
      </c>
      <c r="AP21">
        <f>-125--100</f>
        <v>-25</v>
      </c>
      <c r="AQ21">
        <v>991718.69</v>
      </c>
      <c r="AR21">
        <v>5</v>
      </c>
      <c r="AS21" s="37">
        <v>0</v>
      </c>
      <c r="AT21">
        <v>100</v>
      </c>
      <c r="AU21">
        <v>100</v>
      </c>
      <c r="AV21" s="37">
        <v>0</v>
      </c>
      <c r="AW21" s="37">
        <v>0</v>
      </c>
      <c r="AX21" s="37">
        <v>0</v>
      </c>
    </row>
    <row r="22" spans="1:50" x14ac:dyDescent="0.25">
      <c r="A22">
        <v>4.3</v>
      </c>
      <c r="B22">
        <v>0.99034254472057204</v>
      </c>
      <c r="C22">
        <v>7.9358739953947399</v>
      </c>
      <c r="D22">
        <v>10.9927795747513</v>
      </c>
      <c r="E22">
        <v>6.8667181026693799E-3</v>
      </c>
      <c r="F22">
        <v>9.6574552794271903E-3</v>
      </c>
      <c r="G22" s="37">
        <v>0</v>
      </c>
      <c r="H22">
        <v>4.1493575916695304</v>
      </c>
      <c r="I22">
        <v>4.0940505466547199</v>
      </c>
      <c r="J22">
        <v>-33.386671996418102</v>
      </c>
      <c r="K22">
        <v>-83.205890832494603</v>
      </c>
      <c r="L22">
        <v>15.783595169037699</v>
      </c>
      <c r="M22">
        <v>15.6901681027427</v>
      </c>
      <c r="N22">
        <v>76.749332132832194</v>
      </c>
      <c r="O22">
        <v>75.908226274633506</v>
      </c>
      <c r="P22">
        <v>298964.842306184</v>
      </c>
      <c r="Q22">
        <v>222085.03535714201</v>
      </c>
      <c r="R22">
        <v>780.43588322335904</v>
      </c>
      <c r="S22" s="37">
        <v>0</v>
      </c>
      <c r="T22" s="37">
        <v>0</v>
      </c>
      <c r="U22" s="37">
        <v>0</v>
      </c>
      <c r="V22" s="37">
        <v>0</v>
      </c>
      <c r="W22" s="37">
        <v>0</v>
      </c>
      <c r="X22">
        <v>0.371096018997703</v>
      </c>
      <c r="Y22" s="37">
        <v>0</v>
      </c>
      <c r="Z22">
        <v>5.35425222145016E-4</v>
      </c>
      <c r="AA22">
        <v>7.7502751175720399E-5</v>
      </c>
      <c r="AB22">
        <v>2.6030463025199899E-3</v>
      </c>
      <c r="AC22" s="37">
        <v>0</v>
      </c>
      <c r="AD22">
        <v>6.4414668119124E-3</v>
      </c>
      <c r="AE22">
        <v>-2.6461015105583002E-2</v>
      </c>
      <c r="AF22">
        <v>1</v>
      </c>
      <c r="AG22">
        <v>1</v>
      </c>
      <c r="AH22">
        <v>1</v>
      </c>
      <c r="AI22">
        <v>1</v>
      </c>
      <c r="AJ22">
        <v>1</v>
      </c>
      <c r="AK22">
        <v>1</v>
      </c>
      <c r="AL22">
        <v>1</v>
      </c>
      <c r="AM22">
        <v>0</v>
      </c>
      <c r="AN22">
        <v>0</v>
      </c>
      <c r="AO22" t="s">
        <v>65</v>
      </c>
      <c r="AP22">
        <f>-100--75</f>
        <v>-25</v>
      </c>
      <c r="AQ22">
        <v>6218380.9900000002</v>
      </c>
      <c r="AR22">
        <v>28</v>
      </c>
      <c r="AS22" s="37">
        <v>0</v>
      </c>
      <c r="AT22">
        <v>100</v>
      </c>
      <c r="AU22">
        <v>100</v>
      </c>
      <c r="AV22" s="37">
        <v>0</v>
      </c>
      <c r="AW22" s="37">
        <v>0</v>
      </c>
      <c r="AX22" s="37">
        <v>0</v>
      </c>
    </row>
    <row r="23" spans="1:50" x14ac:dyDescent="0.25">
      <c r="A23">
        <v>4.3</v>
      </c>
      <c r="B23">
        <v>0.995311943285075</v>
      </c>
      <c r="C23">
        <v>1.8301087366495701</v>
      </c>
      <c r="D23">
        <v>5.4828570840255901</v>
      </c>
      <c r="E23">
        <v>1.5380346705518499E-3</v>
      </c>
      <c r="F23">
        <v>4.6880567149246502E-3</v>
      </c>
      <c r="G23" s="37">
        <v>0</v>
      </c>
      <c r="H23">
        <v>3.8986259377108099</v>
      </c>
      <c r="I23">
        <v>4.1473096127734399</v>
      </c>
      <c r="J23">
        <v>-59.670288781649099</v>
      </c>
      <c r="K23">
        <v>-56.9058788127074</v>
      </c>
      <c r="L23">
        <v>17.185230058719899</v>
      </c>
      <c r="M23">
        <v>15.2459113694189</v>
      </c>
      <c r="N23">
        <v>77.854850726832794</v>
      </c>
      <c r="O23">
        <v>76.716764759401798</v>
      </c>
      <c r="P23">
        <v>263061.79539893998</v>
      </c>
      <c r="Q23">
        <v>226873.40175609701</v>
      </c>
      <c r="R23">
        <v>780.81197119743899</v>
      </c>
      <c r="S23" s="37">
        <v>0</v>
      </c>
      <c r="T23" s="37">
        <v>0</v>
      </c>
      <c r="U23">
        <v>2.50981339386436E-3</v>
      </c>
      <c r="V23" s="37">
        <v>0</v>
      </c>
      <c r="W23" s="37">
        <v>0</v>
      </c>
      <c r="X23">
        <v>0.46038548494865</v>
      </c>
      <c r="Y23" s="37">
        <v>0</v>
      </c>
      <c r="Z23">
        <v>4.7411809231937501E-4</v>
      </c>
      <c r="AA23">
        <v>6.1413375988147995E-5</v>
      </c>
      <c r="AB23">
        <v>2.4185358287252402E-3</v>
      </c>
      <c r="AC23" s="37">
        <v>0</v>
      </c>
      <c r="AD23">
        <v>1.73397911762863E-3</v>
      </c>
      <c r="AE23">
        <v>-2.2969111468739398E-2</v>
      </c>
      <c r="AF23">
        <v>0.99655200075893302</v>
      </c>
      <c r="AG23">
        <v>1</v>
      </c>
      <c r="AH23">
        <v>1</v>
      </c>
      <c r="AI23">
        <v>1</v>
      </c>
      <c r="AJ23">
        <v>1</v>
      </c>
      <c r="AK23">
        <v>1</v>
      </c>
      <c r="AL23">
        <v>1</v>
      </c>
      <c r="AM23">
        <v>0</v>
      </c>
      <c r="AN23">
        <v>0</v>
      </c>
      <c r="AO23" t="s">
        <v>66</v>
      </c>
      <c r="AP23">
        <f>-75--50</f>
        <v>-25</v>
      </c>
      <c r="AQ23">
        <v>139527142.08000001</v>
      </c>
      <c r="AR23">
        <v>615</v>
      </c>
      <c r="AS23" s="37">
        <v>0</v>
      </c>
      <c r="AT23">
        <v>100</v>
      </c>
      <c r="AU23">
        <v>100</v>
      </c>
      <c r="AV23" s="37">
        <v>0</v>
      </c>
      <c r="AW23" s="37">
        <v>0</v>
      </c>
      <c r="AX23" s="37">
        <v>0</v>
      </c>
    </row>
    <row r="24" spans="1:50" x14ac:dyDescent="0.25">
      <c r="A24">
        <v>4.3</v>
      </c>
      <c r="B24">
        <v>0.99386721969649605</v>
      </c>
      <c r="C24">
        <v>3.4070806667748199</v>
      </c>
      <c r="D24">
        <v>7.1161089815177903</v>
      </c>
      <c r="E24">
        <v>2.88456049451831E-3</v>
      </c>
      <c r="F24">
        <v>6.1327803035032E-3</v>
      </c>
      <c r="G24" s="37">
        <v>0</v>
      </c>
      <c r="H24">
        <v>3.89951166592251</v>
      </c>
      <c r="I24">
        <v>4.1447021145405403</v>
      </c>
      <c r="J24">
        <v>-60.114068185303303</v>
      </c>
      <c r="K24">
        <v>-33.387746159817397</v>
      </c>
      <c r="L24">
        <v>15.9557511910453</v>
      </c>
      <c r="M24">
        <v>15.468515309962401</v>
      </c>
      <c r="N24">
        <v>73.341273746447897</v>
      </c>
      <c r="O24">
        <v>71.959296558923896</v>
      </c>
      <c r="P24">
        <v>273610.41154723201</v>
      </c>
      <c r="Q24">
        <v>248811.56034899701</v>
      </c>
      <c r="R24">
        <v>782.10208167140297</v>
      </c>
      <c r="S24" s="37">
        <v>0</v>
      </c>
      <c r="T24" s="37">
        <v>0</v>
      </c>
      <c r="U24">
        <v>1.3918239013517499E-3</v>
      </c>
      <c r="V24" s="37">
        <v>0</v>
      </c>
      <c r="W24" s="37">
        <v>0</v>
      </c>
      <c r="X24">
        <v>0.58737228270268804</v>
      </c>
      <c r="Y24" s="37">
        <v>0</v>
      </c>
      <c r="Z24">
        <v>3.9633253095045098E-4</v>
      </c>
      <c r="AA24">
        <v>5.7272474545529103E-5</v>
      </c>
      <c r="AB24">
        <v>2.53879352533228E-3</v>
      </c>
      <c r="AC24" s="37">
        <v>2.19885343026675E-8</v>
      </c>
      <c r="AD24">
        <v>3.1403456700803902E-3</v>
      </c>
      <c r="AE24">
        <v>-1.52731652235439E-2</v>
      </c>
      <c r="AF24">
        <v>0.98396189242309895</v>
      </c>
      <c r="AG24">
        <v>0.99979739429595404</v>
      </c>
      <c r="AH24">
        <v>0.99996869045787695</v>
      </c>
      <c r="AI24">
        <v>0.99999041649652398</v>
      </c>
      <c r="AJ24">
        <v>1</v>
      </c>
      <c r="AK24">
        <v>1</v>
      </c>
      <c r="AL24">
        <v>1</v>
      </c>
      <c r="AM24">
        <v>0</v>
      </c>
      <c r="AN24">
        <v>0</v>
      </c>
      <c r="AO24" t="s">
        <v>67</v>
      </c>
      <c r="AP24">
        <f>-50--25</f>
        <v>-25</v>
      </c>
      <c r="AQ24">
        <v>1625485923.76</v>
      </c>
      <c r="AR24">
        <v>6533</v>
      </c>
      <c r="AS24" s="37">
        <v>0</v>
      </c>
      <c r="AT24">
        <v>100</v>
      </c>
      <c r="AU24">
        <v>100</v>
      </c>
      <c r="AV24" s="37">
        <v>0</v>
      </c>
      <c r="AW24" s="37">
        <v>0</v>
      </c>
      <c r="AX24" s="37">
        <v>0</v>
      </c>
    </row>
    <row r="25" spans="1:50" x14ac:dyDescent="0.25">
      <c r="A25">
        <v>4.3</v>
      </c>
      <c r="B25">
        <v>0.98847280220232003</v>
      </c>
      <c r="C25">
        <v>8.6868545747933599</v>
      </c>
      <c r="D25">
        <v>12.98849298445</v>
      </c>
      <c r="E25">
        <v>7.5443497930416104E-3</v>
      </c>
      <c r="F25">
        <v>1.1527197797679E-2</v>
      </c>
      <c r="G25" s="37">
        <v>0</v>
      </c>
      <c r="H25">
        <v>4.09707296206098</v>
      </c>
      <c r="I25">
        <v>4.1260145036097002</v>
      </c>
      <c r="J25">
        <v>-41.6732934271879</v>
      </c>
      <c r="K25">
        <v>-9.3602836676983205</v>
      </c>
      <c r="L25">
        <v>15.3038976879497</v>
      </c>
      <c r="M25">
        <v>16.0963790793638</v>
      </c>
      <c r="N25">
        <v>72.187814256077104</v>
      </c>
      <c r="O25">
        <v>71.0339060998555</v>
      </c>
      <c r="P25">
        <v>281961.46694803901</v>
      </c>
      <c r="Q25">
        <v>260269.91865004101</v>
      </c>
      <c r="R25">
        <v>781.85441407205099</v>
      </c>
      <c r="S25" s="37">
        <v>0</v>
      </c>
      <c r="T25" s="37">
        <v>0</v>
      </c>
      <c r="U25">
        <v>2.7826060294268398E-3</v>
      </c>
      <c r="V25" s="37">
        <v>0</v>
      </c>
      <c r="W25" s="37">
        <v>0</v>
      </c>
      <c r="X25">
        <v>0.68324040354695703</v>
      </c>
      <c r="Y25" s="37">
        <v>0</v>
      </c>
      <c r="Z25">
        <v>3.74747850257503E-4</v>
      </c>
      <c r="AA25">
        <v>6.7008714587425697E-5</v>
      </c>
      <c r="AB25">
        <v>2.6069832494691899E-3</v>
      </c>
      <c r="AC25" s="37">
        <v>3.1678629608808199E-8</v>
      </c>
      <c r="AD25">
        <v>8.4784119890419507E-3</v>
      </c>
      <c r="AE25">
        <v>-1.42620517050024E-2</v>
      </c>
      <c r="AF25">
        <v>0.97210267899181302</v>
      </c>
      <c r="AG25">
        <v>0.99863120925960502</v>
      </c>
      <c r="AH25">
        <v>0.99987520672616903</v>
      </c>
      <c r="AI25">
        <v>1</v>
      </c>
      <c r="AJ25">
        <v>1</v>
      </c>
      <c r="AK25">
        <v>1</v>
      </c>
      <c r="AL25">
        <v>1</v>
      </c>
      <c r="AM25">
        <v>0</v>
      </c>
      <c r="AN25">
        <v>0</v>
      </c>
      <c r="AO25" t="s">
        <v>68</v>
      </c>
      <c r="AP25">
        <f>-25-0</f>
        <v>-25</v>
      </c>
      <c r="AQ25">
        <v>9643781295.7399998</v>
      </c>
      <c r="AR25">
        <v>37053</v>
      </c>
      <c r="AS25" s="37">
        <v>0</v>
      </c>
      <c r="AT25">
        <v>100</v>
      </c>
      <c r="AU25">
        <v>100</v>
      </c>
      <c r="AV25" s="37">
        <v>0</v>
      </c>
      <c r="AW25" s="37">
        <v>0</v>
      </c>
      <c r="AX25" s="37">
        <v>0</v>
      </c>
    </row>
    <row r="26" spans="1:50" x14ac:dyDescent="0.25">
      <c r="A26">
        <v>4.3</v>
      </c>
      <c r="B26">
        <v>0.98339762326878999</v>
      </c>
      <c r="C26">
        <v>18.623934072511801</v>
      </c>
      <c r="D26">
        <v>18.2006501371458</v>
      </c>
      <c r="E26">
        <v>1.7027448300148799E-2</v>
      </c>
      <c r="F26">
        <v>1.66023767312093E-2</v>
      </c>
      <c r="G26" s="37">
        <v>0</v>
      </c>
      <c r="H26">
        <v>4.20615438514114</v>
      </c>
      <c r="I26">
        <v>4.0684697808163399</v>
      </c>
      <c r="J26">
        <v>-31.261201309728399</v>
      </c>
      <c r="K26">
        <v>15.1594257247135</v>
      </c>
      <c r="L26">
        <v>15.015325403392</v>
      </c>
      <c r="M26">
        <v>16.5313548802371</v>
      </c>
      <c r="N26">
        <v>69.194666701956905</v>
      </c>
      <c r="O26">
        <v>67.652826648193894</v>
      </c>
      <c r="P26">
        <v>286199.28808775201</v>
      </c>
      <c r="Q26">
        <v>265730.87407351902</v>
      </c>
      <c r="R26">
        <v>782.34245011600103</v>
      </c>
      <c r="S26" s="37">
        <v>0</v>
      </c>
      <c r="T26" s="37">
        <v>0</v>
      </c>
      <c r="U26">
        <v>8.9632365071564205E-3</v>
      </c>
      <c r="V26" s="37">
        <v>0</v>
      </c>
      <c r="W26" s="37">
        <v>0</v>
      </c>
      <c r="X26">
        <v>0.76936147672566901</v>
      </c>
      <c r="Y26" s="37">
        <v>0</v>
      </c>
      <c r="Z26">
        <v>3.7298469155176901E-4</v>
      </c>
      <c r="AA26">
        <v>7.4133431325726102E-5</v>
      </c>
      <c r="AB26">
        <v>2.7640145438338499E-3</v>
      </c>
      <c r="AC26" s="37">
        <v>4.0375178424184698E-7</v>
      </c>
      <c r="AD26">
        <v>1.33908260593791E-2</v>
      </c>
      <c r="AE26">
        <v>-8.6907056399762594E-3</v>
      </c>
      <c r="AF26">
        <v>0.92529765987281798</v>
      </c>
      <c r="AG26">
        <v>0.99384478809002796</v>
      </c>
      <c r="AH26">
        <v>0.99955191633131601</v>
      </c>
      <c r="AI26">
        <v>0.99983997130818802</v>
      </c>
      <c r="AJ26">
        <v>1</v>
      </c>
      <c r="AK26">
        <v>1</v>
      </c>
      <c r="AL26">
        <v>1</v>
      </c>
      <c r="AM26">
        <v>0</v>
      </c>
      <c r="AN26">
        <v>0</v>
      </c>
      <c r="AO26" t="s">
        <v>69</v>
      </c>
      <c r="AP26" t="s">
        <v>70</v>
      </c>
      <c r="AQ26">
        <v>38876692607.830002</v>
      </c>
      <c r="AR26">
        <v>146301</v>
      </c>
      <c r="AS26" s="37">
        <v>0</v>
      </c>
      <c r="AT26">
        <v>100</v>
      </c>
      <c r="AU26">
        <v>100</v>
      </c>
      <c r="AV26" s="37">
        <v>0</v>
      </c>
      <c r="AW26" s="37">
        <v>0</v>
      </c>
      <c r="AX26" s="37">
        <v>0</v>
      </c>
    </row>
    <row r="27" spans="1:50" x14ac:dyDescent="0.25">
      <c r="A27">
        <v>4.3</v>
      </c>
      <c r="B27">
        <v>0.976366921695215</v>
      </c>
      <c r="C27">
        <v>30.1727288819705</v>
      </c>
      <c r="D27">
        <v>24.9489641823357</v>
      </c>
      <c r="E27">
        <v>2.94853641310296E-2</v>
      </c>
      <c r="F27">
        <v>2.3633078304784502E-2</v>
      </c>
      <c r="G27" s="37">
        <v>0</v>
      </c>
      <c r="H27">
        <v>4.2307504573268098</v>
      </c>
      <c r="I27">
        <v>3.9141908011689899</v>
      </c>
      <c r="J27">
        <v>-26.990777049457201</v>
      </c>
      <c r="K27">
        <v>37.381618500067702</v>
      </c>
      <c r="L27">
        <v>14.4225940129717</v>
      </c>
      <c r="M27">
        <v>17.063509814077101</v>
      </c>
      <c r="N27">
        <v>67.386444082159102</v>
      </c>
      <c r="O27">
        <v>64.4757737725201</v>
      </c>
      <c r="P27">
        <v>297412.58402323298</v>
      </c>
      <c r="Q27">
        <v>276705.526621575</v>
      </c>
      <c r="R27">
        <v>782.18971172689305</v>
      </c>
      <c r="S27" s="37">
        <v>0</v>
      </c>
      <c r="T27" s="37">
        <v>0</v>
      </c>
      <c r="U27">
        <v>1.70890040223067E-2</v>
      </c>
      <c r="V27" s="37">
        <v>0</v>
      </c>
      <c r="W27" s="37">
        <v>0</v>
      </c>
      <c r="X27">
        <v>0.75444376422182002</v>
      </c>
      <c r="Y27" s="37">
        <v>0</v>
      </c>
      <c r="Z27">
        <v>3.7191187259703298E-4</v>
      </c>
      <c r="AA27">
        <v>7.6173822218288006E-5</v>
      </c>
      <c r="AB27">
        <v>3.0566283534876801E-3</v>
      </c>
      <c r="AC27">
        <v>3.0381203734293702E-6</v>
      </c>
      <c r="AD27">
        <v>2.0125311905912199E-2</v>
      </c>
      <c r="AE27">
        <v>1.40202014906382E-2</v>
      </c>
      <c r="AF27">
        <v>0.79792715138804704</v>
      </c>
      <c r="AG27">
        <v>0.97128840639504599</v>
      </c>
      <c r="AH27">
        <v>0.99714665214141496</v>
      </c>
      <c r="AI27">
        <v>0.999480341342881</v>
      </c>
      <c r="AJ27">
        <v>1</v>
      </c>
      <c r="AK27">
        <v>1</v>
      </c>
      <c r="AL27">
        <v>1</v>
      </c>
      <c r="AM27">
        <v>0</v>
      </c>
      <c r="AN27">
        <v>0</v>
      </c>
      <c r="AO27" t="s">
        <v>71</v>
      </c>
      <c r="AP27" t="s">
        <v>72</v>
      </c>
      <c r="AQ27">
        <v>61816014647.260002</v>
      </c>
      <c r="AR27">
        <v>223400</v>
      </c>
      <c r="AS27" s="37">
        <v>0</v>
      </c>
      <c r="AT27">
        <v>100</v>
      </c>
      <c r="AU27">
        <v>100</v>
      </c>
      <c r="AV27" s="37">
        <v>0</v>
      </c>
      <c r="AW27" s="37">
        <v>0</v>
      </c>
      <c r="AX27" s="37">
        <v>0</v>
      </c>
    </row>
    <row r="28" spans="1:50" x14ac:dyDescent="0.25">
      <c r="A28">
        <v>4.3</v>
      </c>
      <c r="B28">
        <v>0.96874993311925095</v>
      </c>
      <c r="C28">
        <v>38.013897829902099</v>
      </c>
      <c r="D28">
        <v>31.681200489739801</v>
      </c>
      <c r="E28">
        <v>3.9071235046389097E-2</v>
      </c>
      <c r="F28">
        <v>3.1250066880748197E-2</v>
      </c>
      <c r="G28" s="37">
        <v>0</v>
      </c>
      <c r="H28">
        <v>4.4691528597303298</v>
      </c>
      <c r="I28">
        <v>3.8899297000081701</v>
      </c>
      <c r="J28">
        <v>-17.585481163028899</v>
      </c>
      <c r="K28">
        <v>62.663639315422898</v>
      </c>
      <c r="L28">
        <v>14.9048875600558</v>
      </c>
      <c r="M28">
        <v>17.433619265760701</v>
      </c>
      <c r="N28">
        <v>69.5666214078161</v>
      </c>
      <c r="O28">
        <v>66.270423840762902</v>
      </c>
      <c r="P28">
        <v>287889.78975165298</v>
      </c>
      <c r="Q28">
        <v>267833.149797744</v>
      </c>
      <c r="R28">
        <v>780.90566596328904</v>
      </c>
      <c r="S28" s="37">
        <v>0</v>
      </c>
      <c r="T28" s="37">
        <v>0</v>
      </c>
      <c r="U28">
        <v>1.23799233374941E-2</v>
      </c>
      <c r="V28" s="37">
        <v>0</v>
      </c>
      <c r="W28" s="37">
        <v>0</v>
      </c>
      <c r="X28">
        <v>0.65513568301684699</v>
      </c>
      <c r="Y28" s="37">
        <v>0</v>
      </c>
      <c r="Z28">
        <v>3.7347868384138001E-4</v>
      </c>
      <c r="AA28">
        <v>1.01655568252476E-4</v>
      </c>
      <c r="AB28">
        <v>3.1882110540560199E-3</v>
      </c>
      <c r="AC28">
        <v>6.1303927620919001E-6</v>
      </c>
      <c r="AD28">
        <v>2.7580576836921399E-2</v>
      </c>
      <c r="AE28">
        <v>1.8520792951003999E-2</v>
      </c>
      <c r="AF28">
        <v>0.75933385753161597</v>
      </c>
      <c r="AG28">
        <v>0.97296662962985803</v>
      </c>
      <c r="AH28">
        <v>0.99568005993048203</v>
      </c>
      <c r="AI28">
        <v>0.99918143798127901</v>
      </c>
      <c r="AJ28">
        <v>1</v>
      </c>
      <c r="AK28">
        <v>1</v>
      </c>
      <c r="AL28">
        <v>1</v>
      </c>
      <c r="AM28">
        <v>0</v>
      </c>
      <c r="AN28">
        <v>0</v>
      </c>
      <c r="AO28" t="s">
        <v>73</v>
      </c>
      <c r="AP28" t="s">
        <v>74</v>
      </c>
      <c r="AQ28">
        <v>60848477636.25</v>
      </c>
      <c r="AR28">
        <v>227188</v>
      </c>
      <c r="AS28" s="37">
        <v>0</v>
      </c>
      <c r="AT28">
        <v>100</v>
      </c>
      <c r="AU28">
        <v>100</v>
      </c>
      <c r="AV28" s="37">
        <v>0</v>
      </c>
      <c r="AW28" s="37">
        <v>0</v>
      </c>
      <c r="AX28" s="37">
        <v>0</v>
      </c>
    </row>
    <row r="29" spans="1:50" x14ac:dyDescent="0.25">
      <c r="A29">
        <v>4.3</v>
      </c>
      <c r="B29">
        <v>0.96283573231086905</v>
      </c>
      <c r="C29">
        <v>42.416214440489</v>
      </c>
      <c r="D29">
        <v>36.521538728855603</v>
      </c>
      <c r="E29">
        <v>4.4952399751599599E-2</v>
      </c>
      <c r="F29">
        <v>3.7164267689130101E-2</v>
      </c>
      <c r="G29" s="37">
        <v>0</v>
      </c>
      <c r="H29">
        <v>4.6698990009871304</v>
      </c>
      <c r="I29">
        <v>3.8733773741845798</v>
      </c>
      <c r="J29">
        <v>-11.1144191198096</v>
      </c>
      <c r="K29">
        <v>86.082824076007995</v>
      </c>
      <c r="L29">
        <v>14.8042713132863</v>
      </c>
      <c r="M29">
        <v>16.9383353943111</v>
      </c>
      <c r="N29">
        <v>69.317804075470605</v>
      </c>
      <c r="O29">
        <v>65.421495010544604</v>
      </c>
      <c r="P29">
        <v>290106.52941821702</v>
      </c>
      <c r="Q29">
        <v>269690.95788047003</v>
      </c>
      <c r="R29">
        <v>780.16361375570295</v>
      </c>
      <c r="S29" s="37">
        <v>0</v>
      </c>
      <c r="T29" s="37">
        <v>0</v>
      </c>
      <c r="U29">
        <v>1.49297321848574E-2</v>
      </c>
      <c r="V29" s="37">
        <v>0</v>
      </c>
      <c r="W29" s="37">
        <v>0</v>
      </c>
      <c r="X29">
        <v>0.57816442810412705</v>
      </c>
      <c r="Y29" s="37">
        <v>0</v>
      </c>
      <c r="Z29">
        <v>3.7159590433561899E-4</v>
      </c>
      <c r="AA29">
        <v>1.21185954582511E-4</v>
      </c>
      <c r="AB29">
        <v>3.32337740275486E-3</v>
      </c>
      <c r="AC29">
        <v>1.1990445329859699E-5</v>
      </c>
      <c r="AD29">
        <v>3.3336103436557997E-2</v>
      </c>
      <c r="AE29">
        <v>2.87391779129159E-2</v>
      </c>
      <c r="AF29">
        <v>0.66722427256435901</v>
      </c>
      <c r="AG29">
        <v>0.96394032588912404</v>
      </c>
      <c r="AH29">
        <v>0.99288434414660198</v>
      </c>
      <c r="AI29">
        <v>0.99892184005561202</v>
      </c>
      <c r="AJ29">
        <v>1</v>
      </c>
      <c r="AK29">
        <v>1</v>
      </c>
      <c r="AL29">
        <v>1</v>
      </c>
      <c r="AM29">
        <v>0</v>
      </c>
      <c r="AN29">
        <v>0</v>
      </c>
      <c r="AO29" t="s">
        <v>75</v>
      </c>
      <c r="AP29" t="s">
        <v>76</v>
      </c>
      <c r="AQ29">
        <v>45517900489.150002</v>
      </c>
      <c r="AR29">
        <v>168778</v>
      </c>
      <c r="AS29" s="37">
        <v>0</v>
      </c>
      <c r="AT29">
        <v>100</v>
      </c>
      <c r="AU29">
        <v>100</v>
      </c>
      <c r="AV29" s="37">
        <v>0</v>
      </c>
      <c r="AW29" s="37">
        <v>0</v>
      </c>
      <c r="AX29" s="37">
        <v>0</v>
      </c>
    </row>
    <row r="30" spans="1:50" x14ac:dyDescent="0.25">
      <c r="A30">
        <v>4.3</v>
      </c>
      <c r="B30">
        <v>0.95762744348464102</v>
      </c>
      <c r="C30">
        <v>42.856373232944001</v>
      </c>
      <c r="D30">
        <v>40.521637704284601</v>
      </c>
      <c r="E30">
        <v>4.5562890713052299E-2</v>
      </c>
      <c r="F30">
        <v>4.2372556515358803E-2</v>
      </c>
      <c r="G30" s="37">
        <v>0</v>
      </c>
      <c r="H30">
        <v>4.8031243863055604</v>
      </c>
      <c r="I30">
        <v>3.7630664743905098</v>
      </c>
      <c r="J30">
        <v>-6.4548522212598103</v>
      </c>
      <c r="K30">
        <v>111.909034977281</v>
      </c>
      <c r="L30">
        <v>15.2778247908173</v>
      </c>
      <c r="M30">
        <v>18.004782497141399</v>
      </c>
      <c r="N30">
        <v>72.048792849705194</v>
      </c>
      <c r="O30">
        <v>66.634558887341399</v>
      </c>
      <c r="P30">
        <v>281058.30760127702</v>
      </c>
      <c r="Q30">
        <v>261352.89329291601</v>
      </c>
      <c r="R30">
        <v>779.37481894633402</v>
      </c>
      <c r="S30" s="37">
        <v>0</v>
      </c>
      <c r="T30" s="37">
        <v>0</v>
      </c>
      <c r="U30">
        <v>1.54637196702212E-2</v>
      </c>
      <c r="V30" s="37">
        <v>0</v>
      </c>
      <c r="W30" s="37">
        <v>0</v>
      </c>
      <c r="X30">
        <v>0.50506533538507103</v>
      </c>
      <c r="Y30" s="37">
        <v>0</v>
      </c>
      <c r="Z30">
        <v>3.7175510676279103E-4</v>
      </c>
      <c r="AA30">
        <v>1.63382357595226E-4</v>
      </c>
      <c r="AB30">
        <v>3.57420122502613E-3</v>
      </c>
      <c r="AC30">
        <v>2.7048051339608501E-5</v>
      </c>
      <c r="AD30">
        <v>3.8236155079494197E-2</v>
      </c>
      <c r="AE30">
        <v>4.9620894405758897E-2</v>
      </c>
      <c r="AF30">
        <v>0.50976009849862303</v>
      </c>
      <c r="AG30">
        <v>0.94271146674726902</v>
      </c>
      <c r="AH30">
        <v>0.98829343958928795</v>
      </c>
      <c r="AI30">
        <v>0.99772965095479005</v>
      </c>
      <c r="AJ30">
        <v>1</v>
      </c>
      <c r="AK30">
        <v>1</v>
      </c>
      <c r="AL30">
        <v>1</v>
      </c>
      <c r="AM30">
        <v>0</v>
      </c>
      <c r="AN30">
        <v>0</v>
      </c>
      <c r="AO30" t="s">
        <v>77</v>
      </c>
      <c r="AP30" t="s">
        <v>78</v>
      </c>
      <c r="AQ30">
        <v>28020950454.400002</v>
      </c>
      <c r="AR30">
        <v>107215</v>
      </c>
      <c r="AS30" s="37">
        <v>0</v>
      </c>
      <c r="AT30">
        <v>100</v>
      </c>
      <c r="AU30">
        <v>100</v>
      </c>
      <c r="AV30" s="37">
        <v>0</v>
      </c>
      <c r="AW30" s="37">
        <v>0</v>
      </c>
      <c r="AX30" s="37">
        <v>0</v>
      </c>
    </row>
    <row r="31" spans="1:50" x14ac:dyDescent="0.25">
      <c r="A31">
        <v>4.3</v>
      </c>
      <c r="B31">
        <v>0.95271961835722196</v>
      </c>
      <c r="C31">
        <v>44.800986208120896</v>
      </c>
      <c r="D31">
        <v>44.078179729353003</v>
      </c>
      <c r="E31">
        <v>4.8312694015717403E-2</v>
      </c>
      <c r="F31">
        <v>4.7280381642777397E-2</v>
      </c>
      <c r="G31" s="37">
        <v>0</v>
      </c>
      <c r="H31">
        <v>4.8804013478822803</v>
      </c>
      <c r="I31">
        <v>3.6765996190206298</v>
      </c>
      <c r="J31">
        <v>-4.9590254110374499</v>
      </c>
      <c r="K31">
        <v>134.28061067409101</v>
      </c>
      <c r="L31">
        <v>14.635412087487</v>
      </c>
      <c r="M31">
        <v>19.561149297211902</v>
      </c>
      <c r="N31">
        <v>71.764190229738801</v>
      </c>
      <c r="O31">
        <v>64.964183288709293</v>
      </c>
      <c r="P31">
        <v>292491.51752651797</v>
      </c>
      <c r="Q31">
        <v>272829.40923005802</v>
      </c>
      <c r="R31">
        <v>778.75702802866897</v>
      </c>
      <c r="S31" s="37">
        <v>0</v>
      </c>
      <c r="T31" s="37">
        <v>0</v>
      </c>
      <c r="U31">
        <v>1.7311251547615002E-2</v>
      </c>
      <c r="V31" s="37">
        <v>0</v>
      </c>
      <c r="W31" s="37">
        <v>0</v>
      </c>
      <c r="X31">
        <v>0.51891916282085304</v>
      </c>
      <c r="Y31" s="37">
        <v>0</v>
      </c>
      <c r="Z31">
        <v>3.7233050395724901E-4</v>
      </c>
      <c r="AA31">
        <v>1.9811130540537699E-4</v>
      </c>
      <c r="AB31">
        <v>3.5194467697099302E-3</v>
      </c>
      <c r="AC31">
        <v>6.80187856078777E-5</v>
      </c>
      <c r="AD31">
        <v>4.3122459400444998E-2</v>
      </c>
      <c r="AE31">
        <v>7.1315723778632295E-2</v>
      </c>
      <c r="AF31">
        <v>0.39506960546203002</v>
      </c>
      <c r="AG31">
        <v>0.90346475637628698</v>
      </c>
      <c r="AH31">
        <v>0.97245123763959196</v>
      </c>
      <c r="AI31">
        <v>0.99591567724340202</v>
      </c>
      <c r="AJ31">
        <v>1</v>
      </c>
      <c r="AK31">
        <v>1</v>
      </c>
      <c r="AL31">
        <v>1</v>
      </c>
      <c r="AM31">
        <v>0</v>
      </c>
      <c r="AN31">
        <v>0</v>
      </c>
      <c r="AO31" t="s">
        <v>79</v>
      </c>
      <c r="AP31" t="s">
        <v>80</v>
      </c>
      <c r="AQ31">
        <v>12692842605.610001</v>
      </c>
      <c r="AR31">
        <v>46523</v>
      </c>
      <c r="AS31" s="37">
        <v>0</v>
      </c>
      <c r="AT31">
        <v>100</v>
      </c>
      <c r="AU31">
        <v>100</v>
      </c>
      <c r="AV31" s="37">
        <v>0</v>
      </c>
      <c r="AW31" s="37">
        <v>0</v>
      </c>
      <c r="AX31" s="37">
        <v>0</v>
      </c>
    </row>
    <row r="32" spans="1:50" x14ac:dyDescent="0.25">
      <c r="A32">
        <v>4.3</v>
      </c>
      <c r="B32">
        <v>0.94907029622476002</v>
      </c>
      <c r="C32">
        <v>41.981394455784198</v>
      </c>
      <c r="D32">
        <v>46.595165446076599</v>
      </c>
      <c r="E32">
        <v>4.4353499314622603E-2</v>
      </c>
      <c r="F32">
        <v>5.0929703775239199E-2</v>
      </c>
      <c r="G32" s="37">
        <v>0</v>
      </c>
      <c r="H32">
        <v>5.0437272277924698</v>
      </c>
      <c r="I32">
        <v>3.6813843561961499</v>
      </c>
      <c r="J32">
        <v>9.9071253202135594</v>
      </c>
      <c r="K32">
        <v>160.87385255470701</v>
      </c>
      <c r="L32">
        <v>15.1195690751504</v>
      </c>
      <c r="M32">
        <v>19.507703394223299</v>
      </c>
      <c r="N32">
        <v>79.542841663641994</v>
      </c>
      <c r="O32">
        <v>70.442227422958595</v>
      </c>
      <c r="P32">
        <v>283310.91934258799</v>
      </c>
      <c r="Q32">
        <v>264098.55892765999</v>
      </c>
      <c r="R32">
        <v>776.92981910698302</v>
      </c>
      <c r="S32" s="37">
        <v>0</v>
      </c>
      <c r="T32" s="37">
        <v>0</v>
      </c>
      <c r="U32">
        <v>1.68705343370496E-2</v>
      </c>
      <c r="V32" s="37">
        <v>0</v>
      </c>
      <c r="W32" s="37">
        <v>0</v>
      </c>
      <c r="X32">
        <v>0.476035454693018</v>
      </c>
      <c r="Y32" s="37">
        <v>0</v>
      </c>
      <c r="Z32">
        <v>3.7700591849815099E-4</v>
      </c>
      <c r="AA32">
        <v>2.7635962052811202E-4</v>
      </c>
      <c r="AB32">
        <v>3.8035710412975799E-3</v>
      </c>
      <c r="AC32">
        <v>1.48823523453791E-4</v>
      </c>
      <c r="AD32">
        <v>4.6323928379772103E-2</v>
      </c>
      <c r="AE32">
        <v>9.2884957342180996E-2</v>
      </c>
      <c r="AF32">
        <v>0.28597375959522597</v>
      </c>
      <c r="AG32">
        <v>0.80432464216284505</v>
      </c>
      <c r="AH32">
        <v>0.93778902168884104</v>
      </c>
      <c r="AI32">
        <v>0.99023487991412695</v>
      </c>
      <c r="AJ32">
        <v>1</v>
      </c>
      <c r="AK32">
        <v>1</v>
      </c>
      <c r="AL32">
        <v>1</v>
      </c>
      <c r="AM32">
        <v>0</v>
      </c>
      <c r="AN32">
        <v>0</v>
      </c>
      <c r="AO32" t="s">
        <v>81</v>
      </c>
      <c r="AP32" t="s">
        <v>82</v>
      </c>
      <c r="AQ32">
        <v>2588429976.0500002</v>
      </c>
      <c r="AR32">
        <v>9801</v>
      </c>
      <c r="AS32" s="37">
        <v>0</v>
      </c>
      <c r="AT32">
        <v>100</v>
      </c>
      <c r="AU32">
        <v>100</v>
      </c>
      <c r="AV32" s="37">
        <v>0</v>
      </c>
      <c r="AW32" s="37">
        <v>0</v>
      </c>
      <c r="AX32" s="37">
        <v>0</v>
      </c>
    </row>
    <row r="33" spans="1:50" x14ac:dyDescent="0.25">
      <c r="A33">
        <v>4.3</v>
      </c>
      <c r="B33">
        <v>0.94285433244766503</v>
      </c>
      <c r="C33">
        <v>48.655806463704401</v>
      </c>
      <c r="D33">
        <v>50.644539074373199</v>
      </c>
      <c r="E33">
        <v>5.4036720883535297E-2</v>
      </c>
      <c r="F33">
        <v>5.7145667552334301E-2</v>
      </c>
      <c r="G33" s="37">
        <v>0</v>
      </c>
      <c r="H33">
        <v>5.0710695558873899</v>
      </c>
      <c r="I33">
        <v>3.6599799378220599</v>
      </c>
      <c r="J33">
        <v>12.2848000451045</v>
      </c>
      <c r="K33">
        <v>183.22997954815301</v>
      </c>
      <c r="L33">
        <v>14.003319327991999</v>
      </c>
      <c r="M33">
        <v>19.981879551673298</v>
      </c>
      <c r="N33">
        <v>83.336592518130701</v>
      </c>
      <c r="O33">
        <v>71.286177854439302</v>
      </c>
      <c r="P33">
        <v>302371.028974619</v>
      </c>
      <c r="Q33">
        <v>285150.38716479798</v>
      </c>
      <c r="R33">
        <v>776.21486770317802</v>
      </c>
      <c r="S33" s="37">
        <v>0</v>
      </c>
      <c r="T33" s="37">
        <v>0</v>
      </c>
      <c r="U33">
        <v>1.7358683532671299E-2</v>
      </c>
      <c r="V33" s="37">
        <v>0</v>
      </c>
      <c r="W33" s="37">
        <v>0</v>
      </c>
      <c r="X33">
        <v>0.46148791837647202</v>
      </c>
      <c r="Y33" s="37">
        <v>0</v>
      </c>
      <c r="Z33">
        <v>3.7680601994345198E-4</v>
      </c>
      <c r="AA33">
        <v>3.2732859318178499E-4</v>
      </c>
      <c r="AB33">
        <v>3.9005727806849101E-3</v>
      </c>
      <c r="AC33">
        <v>4.3364356799335899E-4</v>
      </c>
      <c r="AD33">
        <v>5.2107300320131299E-2</v>
      </c>
      <c r="AE33">
        <v>0.12971424784164501</v>
      </c>
      <c r="AF33">
        <v>0.16588023775302799</v>
      </c>
      <c r="AG33">
        <v>0.61762234576674802</v>
      </c>
      <c r="AH33">
        <v>0.80205726444651604</v>
      </c>
      <c r="AI33">
        <v>0.96116651632189298</v>
      </c>
      <c r="AJ33">
        <v>1</v>
      </c>
      <c r="AK33">
        <v>1</v>
      </c>
      <c r="AL33">
        <v>1</v>
      </c>
      <c r="AM33">
        <v>0</v>
      </c>
      <c r="AN33">
        <v>0</v>
      </c>
      <c r="AO33" t="s">
        <v>83</v>
      </c>
      <c r="AP33" t="s">
        <v>84</v>
      </c>
      <c r="AQ33">
        <v>686927282.67999995</v>
      </c>
      <c r="AR33">
        <v>2409</v>
      </c>
      <c r="AS33" s="37">
        <v>0</v>
      </c>
      <c r="AT33">
        <v>100</v>
      </c>
      <c r="AU33">
        <v>100</v>
      </c>
      <c r="AV33" s="37">
        <v>0</v>
      </c>
      <c r="AW33" s="37">
        <v>0</v>
      </c>
      <c r="AX33" s="37">
        <v>0</v>
      </c>
    </row>
    <row r="34" spans="1:50" x14ac:dyDescent="0.25">
      <c r="A34">
        <v>4.3</v>
      </c>
      <c r="B34">
        <v>0.94073990334512803</v>
      </c>
      <c r="C34">
        <v>38.318357648759203</v>
      </c>
      <c r="D34">
        <v>51.956483185988397</v>
      </c>
      <c r="E34">
        <v>3.9465442896729298E-2</v>
      </c>
      <c r="F34">
        <v>5.9260096654871697E-2</v>
      </c>
      <c r="G34" s="37">
        <v>0</v>
      </c>
      <c r="H34">
        <v>5.1605718320824598</v>
      </c>
      <c r="I34">
        <v>3.66926462681857</v>
      </c>
      <c r="J34">
        <v>17.585611617633099</v>
      </c>
      <c r="K34">
        <v>209.41140753976299</v>
      </c>
      <c r="L34">
        <v>14.5205255833056</v>
      </c>
      <c r="M34">
        <v>20.232746844748299</v>
      </c>
      <c r="N34">
        <v>90.534830809994602</v>
      </c>
      <c r="O34">
        <v>75.3415317671342</v>
      </c>
      <c r="P34">
        <v>296660.313025171</v>
      </c>
      <c r="Q34">
        <v>274999.14418708201</v>
      </c>
      <c r="R34">
        <v>775.31983417905997</v>
      </c>
      <c r="S34" s="37">
        <v>0</v>
      </c>
      <c r="T34" s="37">
        <v>0</v>
      </c>
      <c r="U34">
        <v>1.5751738026020201E-2</v>
      </c>
      <c r="V34" s="37">
        <v>0</v>
      </c>
      <c r="W34" s="37">
        <v>0</v>
      </c>
      <c r="X34">
        <v>0.29437842306420597</v>
      </c>
      <c r="Y34" s="37">
        <v>0</v>
      </c>
      <c r="Z34">
        <v>3.7945678367436902E-4</v>
      </c>
      <c r="AA34">
        <v>4.2470512868267399E-4</v>
      </c>
      <c r="AB34">
        <v>4.26131085405204E-3</v>
      </c>
      <c r="AC34">
        <v>7.25668877860328E-4</v>
      </c>
      <c r="AD34">
        <v>5.3468937859546498E-2</v>
      </c>
      <c r="AE34">
        <v>0.16225248905835701</v>
      </c>
      <c r="AF34">
        <v>3.6592111608704597E-2</v>
      </c>
      <c r="AG34">
        <v>0.41657090335319102</v>
      </c>
      <c r="AH34">
        <v>0.69329744180178099</v>
      </c>
      <c r="AI34">
        <v>0.92631746407571303</v>
      </c>
      <c r="AJ34">
        <v>1</v>
      </c>
      <c r="AK34">
        <v>1</v>
      </c>
      <c r="AL34">
        <v>1</v>
      </c>
      <c r="AM34">
        <v>0</v>
      </c>
      <c r="AN34">
        <v>0</v>
      </c>
      <c r="AO34" t="s">
        <v>85</v>
      </c>
      <c r="AP34" t="s">
        <v>86</v>
      </c>
      <c r="AQ34">
        <v>123474615.73999999</v>
      </c>
      <c r="AR34">
        <v>449</v>
      </c>
      <c r="AS34" s="37">
        <v>0</v>
      </c>
      <c r="AT34">
        <v>100</v>
      </c>
      <c r="AU34">
        <v>100</v>
      </c>
      <c r="AV34" s="37">
        <v>0</v>
      </c>
      <c r="AW34" s="37">
        <v>0</v>
      </c>
      <c r="AX34" s="37">
        <v>0</v>
      </c>
    </row>
    <row r="35" spans="1:50" x14ac:dyDescent="0.25">
      <c r="A35">
        <v>4.3</v>
      </c>
      <c r="B35">
        <v>0.93891143794745902</v>
      </c>
      <c r="C35">
        <v>22.828420602885899</v>
      </c>
      <c r="D35">
        <v>53.065136762851999</v>
      </c>
      <c r="E35">
        <v>2.1363410908492999E-2</v>
      </c>
      <c r="F35">
        <v>6.1088562052540402E-2</v>
      </c>
      <c r="G35" s="37">
        <v>0</v>
      </c>
      <c r="H35">
        <v>5.2641041039887702</v>
      </c>
      <c r="I35">
        <v>3.6465013367372099</v>
      </c>
      <c r="J35">
        <v>27.398545986511799</v>
      </c>
      <c r="K35">
        <v>231.79459950432499</v>
      </c>
      <c r="L35">
        <v>13.7673904467927</v>
      </c>
      <c r="M35">
        <v>20.801173985818298</v>
      </c>
      <c r="N35">
        <v>92.494128868993798</v>
      </c>
      <c r="O35">
        <v>74.555659125711102</v>
      </c>
      <c r="P35">
        <v>310947.98299733503</v>
      </c>
      <c r="Q35">
        <v>290043.59164556902</v>
      </c>
      <c r="R35">
        <v>776.17564155635705</v>
      </c>
      <c r="S35" s="37">
        <v>0</v>
      </c>
      <c r="T35" s="37">
        <v>0</v>
      </c>
      <c r="U35" s="37">
        <v>0</v>
      </c>
      <c r="V35" s="37">
        <v>0</v>
      </c>
      <c r="W35" s="37">
        <v>0</v>
      </c>
      <c r="X35">
        <v>0.15312933358309699</v>
      </c>
      <c r="Y35" s="37">
        <v>0</v>
      </c>
      <c r="Z35">
        <v>3.8271757567737299E-4</v>
      </c>
      <c r="AA35">
        <v>5.24074838317642E-4</v>
      </c>
      <c r="AB35">
        <v>4.4067446403254001E-3</v>
      </c>
      <c r="AC35">
        <v>1.33212776177888E-3</v>
      </c>
      <c r="AD35">
        <v>5.4442878713720999E-2</v>
      </c>
      <c r="AE35">
        <v>0.19808291559358601</v>
      </c>
      <c r="AF35" s="37">
        <v>0</v>
      </c>
      <c r="AG35">
        <v>0.17645629464861901</v>
      </c>
      <c r="AH35">
        <v>0.38832439117246298</v>
      </c>
      <c r="AI35">
        <v>0.90979730138111403</v>
      </c>
      <c r="AJ35">
        <v>1</v>
      </c>
      <c r="AK35">
        <v>1</v>
      </c>
      <c r="AL35">
        <v>1</v>
      </c>
      <c r="AM35">
        <v>0</v>
      </c>
      <c r="AN35">
        <v>0</v>
      </c>
      <c r="AO35" t="s">
        <v>87</v>
      </c>
      <c r="AP35" t="s">
        <v>88</v>
      </c>
      <c r="AQ35">
        <v>22913443.739999998</v>
      </c>
      <c r="AR35">
        <v>79</v>
      </c>
      <c r="AS35" s="37">
        <v>0</v>
      </c>
      <c r="AT35">
        <v>100</v>
      </c>
      <c r="AU35">
        <v>100</v>
      </c>
      <c r="AV35" s="37">
        <v>0</v>
      </c>
      <c r="AW35" s="37">
        <v>0</v>
      </c>
      <c r="AX35" s="37">
        <v>0</v>
      </c>
    </row>
    <row r="38" spans="1:50" x14ac:dyDescent="0.25">
      <c r="A38" s="33" t="s">
        <v>122</v>
      </c>
      <c r="C38" t="s">
        <v>165</v>
      </c>
    </row>
    <row r="39" spans="1:50" x14ac:dyDescent="0.25">
      <c r="A39" t="s">
        <v>21</v>
      </c>
      <c r="B39" t="s">
        <v>22</v>
      </c>
      <c r="C39" t="s">
        <v>23</v>
      </c>
      <c r="D39" t="s">
        <v>24</v>
      </c>
      <c r="E39" t="s">
        <v>97</v>
      </c>
      <c r="F39" t="s">
        <v>98</v>
      </c>
      <c r="G39" t="s">
        <v>25</v>
      </c>
      <c r="H39" t="s">
        <v>26</v>
      </c>
      <c r="I39" t="s">
        <v>27</v>
      </c>
      <c r="J39" t="s">
        <v>28</v>
      </c>
      <c r="K39" t="s">
        <v>29</v>
      </c>
      <c r="L39" t="s">
        <v>30</v>
      </c>
      <c r="M39" t="s">
        <v>31</v>
      </c>
      <c r="N39" t="s">
        <v>32</v>
      </c>
      <c r="O39" t="s">
        <v>33</v>
      </c>
      <c r="P39" t="s">
        <v>34</v>
      </c>
      <c r="Q39" t="s">
        <v>35</v>
      </c>
      <c r="R39" t="s">
        <v>36</v>
      </c>
      <c r="S39" t="s">
        <v>37</v>
      </c>
      <c r="T39" t="s">
        <v>38</v>
      </c>
      <c r="U39" t="s">
        <v>39</v>
      </c>
      <c r="V39" t="s">
        <v>40</v>
      </c>
      <c r="W39" t="s">
        <v>41</v>
      </c>
      <c r="X39" t="s">
        <v>42</v>
      </c>
      <c r="Y39" t="s">
        <v>43</v>
      </c>
      <c r="Z39" t="s">
        <v>44</v>
      </c>
      <c r="AA39" t="s">
        <v>45</v>
      </c>
      <c r="AB39" t="s">
        <v>46</v>
      </c>
      <c r="AC39" t="s">
        <v>47</v>
      </c>
      <c r="AD39" t="s">
        <v>48</v>
      </c>
      <c r="AE39" t="s">
        <v>49</v>
      </c>
      <c r="AF39" t="s">
        <v>50</v>
      </c>
      <c r="AG39" t="s">
        <v>51</v>
      </c>
      <c r="AH39" t="s">
        <v>52</v>
      </c>
      <c r="AI39" t="s">
        <v>53</v>
      </c>
      <c r="AJ39" t="s">
        <v>54</v>
      </c>
      <c r="AK39" t="s">
        <v>55</v>
      </c>
      <c r="AL39" t="s">
        <v>56</v>
      </c>
      <c r="AM39" t="s">
        <v>57</v>
      </c>
      <c r="AN39" t="s">
        <v>58</v>
      </c>
      <c r="AO39" t="s">
        <v>59</v>
      </c>
      <c r="AP39" t="s">
        <v>60</v>
      </c>
      <c r="AQ39" t="s">
        <v>61</v>
      </c>
      <c r="AR39" t="s">
        <v>62</v>
      </c>
      <c r="AS39" t="s">
        <v>124</v>
      </c>
      <c r="AT39" t="s">
        <v>125</v>
      </c>
      <c r="AU39" t="s">
        <v>126</v>
      </c>
      <c r="AV39" t="s">
        <v>127</v>
      </c>
      <c r="AW39" t="s">
        <v>128</v>
      </c>
      <c r="AX39" t="s">
        <v>129</v>
      </c>
    </row>
    <row r="40" spans="1:50" x14ac:dyDescent="0.25">
      <c r="A40">
        <v>4.3</v>
      </c>
      <c r="B40">
        <v>0.99661761999999998</v>
      </c>
      <c r="C40">
        <v>0</v>
      </c>
      <c r="D40">
        <v>3.9841936068485002</v>
      </c>
      <c r="E40" s="37">
        <v>0</v>
      </c>
      <c r="F40">
        <v>3.3823799999999999E-3</v>
      </c>
      <c r="G40" s="37">
        <v>0</v>
      </c>
      <c r="H40">
        <v>3.875</v>
      </c>
      <c r="I40">
        <v>4.1184719999999997</v>
      </c>
      <c r="J40">
        <v>-64.061899999999994</v>
      </c>
      <c r="K40">
        <v>-131.94999999999999</v>
      </c>
      <c r="L40">
        <v>13.16</v>
      </c>
      <c r="M40">
        <v>17</v>
      </c>
      <c r="N40">
        <v>80</v>
      </c>
      <c r="O40">
        <v>77.08</v>
      </c>
      <c r="P40">
        <v>303250.44</v>
      </c>
      <c r="Q40">
        <v>303250.44</v>
      </c>
      <c r="R40">
        <v>773</v>
      </c>
      <c r="S40" s="37">
        <v>0</v>
      </c>
      <c r="T40" s="37">
        <v>0</v>
      </c>
      <c r="U40" s="37">
        <v>0</v>
      </c>
      <c r="V40">
        <v>1</v>
      </c>
      <c r="W40" s="37">
        <v>0</v>
      </c>
      <c r="X40">
        <v>1</v>
      </c>
      <c r="Y40" s="37">
        <v>0</v>
      </c>
      <c r="Z40">
        <v>3.5183000000000002E-4</v>
      </c>
      <c r="AA40">
        <v>7.7919999999999999E-5</v>
      </c>
      <c r="AB40">
        <v>2.95262E-3</v>
      </c>
      <c r="AC40" s="37">
        <v>0</v>
      </c>
      <c r="AD40" s="37">
        <v>0</v>
      </c>
      <c r="AE40">
        <v>1.1207682833043501E-2</v>
      </c>
      <c r="AF40">
        <v>1</v>
      </c>
      <c r="AG40">
        <v>1</v>
      </c>
      <c r="AH40">
        <v>1</v>
      </c>
      <c r="AI40">
        <v>1</v>
      </c>
      <c r="AJ40">
        <v>1</v>
      </c>
      <c r="AK40">
        <v>1</v>
      </c>
      <c r="AL40">
        <v>1</v>
      </c>
      <c r="AM40">
        <v>0</v>
      </c>
      <c r="AN40">
        <v>0</v>
      </c>
      <c r="AO40" t="s">
        <v>63</v>
      </c>
      <c r="AP40">
        <f>-150--125</f>
        <v>-25</v>
      </c>
      <c r="AQ40">
        <v>303250.44</v>
      </c>
      <c r="AR40">
        <v>1</v>
      </c>
      <c r="AS40" s="37">
        <v>0</v>
      </c>
      <c r="AT40" s="37">
        <v>0</v>
      </c>
      <c r="AU40" s="37">
        <v>0</v>
      </c>
      <c r="AV40">
        <v>100</v>
      </c>
      <c r="AW40">
        <v>100</v>
      </c>
      <c r="AX40" s="37">
        <v>0</v>
      </c>
    </row>
    <row r="41" spans="1:50" x14ac:dyDescent="0.25">
      <c r="A41">
        <v>4.3</v>
      </c>
      <c r="B41">
        <v>0.99173452851728106</v>
      </c>
      <c r="C41">
        <v>0</v>
      </c>
      <c r="D41">
        <v>9.4798618211770798</v>
      </c>
      <c r="E41" s="37">
        <v>0</v>
      </c>
      <c r="F41">
        <v>8.2654714827189602E-3</v>
      </c>
      <c r="G41" s="37">
        <v>0</v>
      </c>
      <c r="H41">
        <v>3.875</v>
      </c>
      <c r="I41">
        <v>3.87177729011671</v>
      </c>
      <c r="J41">
        <v>-56.468943365388903</v>
      </c>
      <c r="K41">
        <v>-111.350860701152</v>
      </c>
      <c r="L41">
        <v>14.3288150159984</v>
      </c>
      <c r="M41">
        <v>17.880294251605601</v>
      </c>
      <c r="N41">
        <v>80</v>
      </c>
      <c r="O41">
        <v>75.620345288427998</v>
      </c>
      <c r="P41">
        <v>284673.46513646498</v>
      </c>
      <c r="Q41">
        <v>278674.77500000002</v>
      </c>
      <c r="R41">
        <v>771.88116751866005</v>
      </c>
      <c r="S41" s="37">
        <v>0</v>
      </c>
      <c r="T41" s="37">
        <v>0</v>
      </c>
      <c r="U41" s="37">
        <v>0</v>
      </c>
      <c r="V41">
        <v>1</v>
      </c>
      <c r="W41" s="37">
        <v>0</v>
      </c>
      <c r="X41">
        <v>1</v>
      </c>
      <c r="Y41" s="37">
        <v>0</v>
      </c>
      <c r="Z41">
        <v>3.5334787924355497E-4</v>
      </c>
      <c r="AA41">
        <v>5.3605207760731097E-5</v>
      </c>
      <c r="AB41">
        <v>3.1742462211523199E-3</v>
      </c>
      <c r="AC41" s="37">
        <v>0</v>
      </c>
      <c r="AD41">
        <v>4.6842575937177996E-3</v>
      </c>
      <c r="AE41">
        <v>2.9306717266170901E-2</v>
      </c>
      <c r="AF41">
        <v>1</v>
      </c>
      <c r="AG41">
        <v>1</v>
      </c>
      <c r="AH41">
        <v>1</v>
      </c>
      <c r="AI41">
        <v>1</v>
      </c>
      <c r="AJ41">
        <v>1</v>
      </c>
      <c r="AK41">
        <v>1</v>
      </c>
      <c r="AL41">
        <v>1</v>
      </c>
      <c r="AM41">
        <v>0</v>
      </c>
      <c r="AN41">
        <v>0</v>
      </c>
      <c r="AO41" t="s">
        <v>64</v>
      </c>
      <c r="AP41">
        <f>-125--100</f>
        <v>-25</v>
      </c>
      <c r="AQ41">
        <v>1114699.1000000001</v>
      </c>
      <c r="AR41">
        <v>4</v>
      </c>
      <c r="AS41" s="37">
        <v>0</v>
      </c>
      <c r="AT41" s="37">
        <v>0</v>
      </c>
      <c r="AU41" s="37">
        <v>0</v>
      </c>
      <c r="AV41">
        <v>100</v>
      </c>
      <c r="AW41">
        <v>100</v>
      </c>
      <c r="AX41" s="37">
        <v>0</v>
      </c>
    </row>
    <row r="42" spans="1:50" x14ac:dyDescent="0.25">
      <c r="A42">
        <v>4.3</v>
      </c>
      <c r="B42">
        <v>0.98992818993213105</v>
      </c>
      <c r="C42">
        <v>12.1077768525506</v>
      </c>
      <c r="D42">
        <v>11.4386352169379</v>
      </c>
      <c r="E42">
        <v>1.0697277709633701E-2</v>
      </c>
      <c r="F42">
        <v>1.0071810067868199E-2</v>
      </c>
      <c r="G42" s="37">
        <v>0</v>
      </c>
      <c r="H42">
        <v>4.2120763817103404</v>
      </c>
      <c r="I42">
        <v>3.9473309326199502</v>
      </c>
      <c r="J42">
        <v>-23.140697414802499</v>
      </c>
      <c r="K42">
        <v>-83.452033435034593</v>
      </c>
      <c r="L42">
        <v>19.2085456169156</v>
      </c>
      <c r="M42">
        <v>17.333170700005599</v>
      </c>
      <c r="N42">
        <v>79.615477044334398</v>
      </c>
      <c r="O42">
        <v>76.0375259611411</v>
      </c>
      <c r="P42">
        <v>239079.34042697799</v>
      </c>
      <c r="Q42">
        <v>193572.801666666</v>
      </c>
      <c r="R42">
        <v>765.54681701968696</v>
      </c>
      <c r="S42" s="37">
        <v>0</v>
      </c>
      <c r="T42" s="37">
        <v>0</v>
      </c>
      <c r="U42" s="37">
        <v>0</v>
      </c>
      <c r="V42">
        <v>1</v>
      </c>
      <c r="W42" s="37">
        <v>0</v>
      </c>
      <c r="X42">
        <v>0.97979815191150998</v>
      </c>
      <c r="Y42" s="37">
        <v>0</v>
      </c>
      <c r="Z42">
        <v>5.6887344660124005E-4</v>
      </c>
      <c r="AA42">
        <v>8.1948977832638098E-5</v>
      </c>
      <c r="AB42">
        <v>3.09777160609762E-3</v>
      </c>
      <c r="AC42" s="37">
        <v>0</v>
      </c>
      <c r="AD42">
        <v>6.3232008152040104E-3</v>
      </c>
      <c r="AE42">
        <v>-2.0566970336569E-4</v>
      </c>
      <c r="AF42">
        <v>1</v>
      </c>
      <c r="AG42">
        <v>1</v>
      </c>
      <c r="AH42">
        <v>1</v>
      </c>
      <c r="AI42">
        <v>1</v>
      </c>
      <c r="AJ42">
        <v>1</v>
      </c>
      <c r="AK42">
        <v>1</v>
      </c>
      <c r="AL42">
        <v>1</v>
      </c>
      <c r="AM42">
        <v>0</v>
      </c>
      <c r="AN42">
        <v>0</v>
      </c>
      <c r="AO42" t="s">
        <v>65</v>
      </c>
      <c r="AP42">
        <f>-100--75</f>
        <v>-25</v>
      </c>
      <c r="AQ42">
        <v>2322873.62</v>
      </c>
      <c r="AR42">
        <v>12</v>
      </c>
      <c r="AS42" s="37">
        <v>0</v>
      </c>
      <c r="AT42" s="37">
        <v>0</v>
      </c>
      <c r="AU42" s="37">
        <v>0</v>
      </c>
      <c r="AV42">
        <v>100</v>
      </c>
      <c r="AW42">
        <v>100</v>
      </c>
      <c r="AX42" s="37">
        <v>0</v>
      </c>
    </row>
    <row r="43" spans="1:50" x14ac:dyDescent="0.25">
      <c r="A43">
        <v>4.3</v>
      </c>
      <c r="B43">
        <v>0.98934760844010705</v>
      </c>
      <c r="C43">
        <v>27.432197884992</v>
      </c>
      <c r="D43">
        <v>12.0599112838027</v>
      </c>
      <c r="E43">
        <v>2.6366897999839999E-2</v>
      </c>
      <c r="F43">
        <v>1.0652391559892E-2</v>
      </c>
      <c r="G43" s="37">
        <v>0</v>
      </c>
      <c r="H43">
        <v>4.2156057486245198</v>
      </c>
      <c r="I43">
        <v>4.0468353902672103</v>
      </c>
      <c r="J43">
        <v>-26.571952303741899</v>
      </c>
      <c r="K43">
        <v>-57.932898037517504</v>
      </c>
      <c r="L43">
        <v>22.942908331186999</v>
      </c>
      <c r="M43">
        <v>16.5398765359867</v>
      </c>
      <c r="N43">
        <v>78.810039671393795</v>
      </c>
      <c r="O43">
        <v>71.950412694907797</v>
      </c>
      <c r="P43">
        <v>243355.10261806301</v>
      </c>
      <c r="Q43">
        <v>154364.34767441801</v>
      </c>
      <c r="R43">
        <v>774.26726695665195</v>
      </c>
      <c r="S43" s="37">
        <v>0</v>
      </c>
      <c r="T43" s="37">
        <v>0</v>
      </c>
      <c r="U43">
        <v>8.5786690457556006E-2</v>
      </c>
      <c r="V43">
        <v>1</v>
      </c>
      <c r="W43" s="37">
        <v>0</v>
      </c>
      <c r="X43">
        <v>0.62733873006388097</v>
      </c>
      <c r="Y43" s="37">
        <v>0</v>
      </c>
      <c r="Z43">
        <v>1.04548385373196E-3</v>
      </c>
      <c r="AA43">
        <v>8.0260523885082797E-5</v>
      </c>
      <c r="AB43">
        <v>2.8381170060073199E-3</v>
      </c>
      <c r="AC43" s="37">
        <v>0</v>
      </c>
      <c r="AD43">
        <v>6.6885165049547701E-3</v>
      </c>
      <c r="AE43">
        <v>-1.0579770027668099E-2</v>
      </c>
      <c r="AF43">
        <v>0.955114364392747</v>
      </c>
      <c r="AG43">
        <v>0.99661868165892198</v>
      </c>
      <c r="AH43">
        <v>1</v>
      </c>
      <c r="AI43">
        <v>1</v>
      </c>
      <c r="AJ43">
        <v>1</v>
      </c>
      <c r="AK43">
        <v>1</v>
      </c>
      <c r="AL43">
        <v>1</v>
      </c>
      <c r="AM43">
        <v>0</v>
      </c>
      <c r="AN43">
        <v>0</v>
      </c>
      <c r="AO43" t="s">
        <v>66</v>
      </c>
      <c r="AP43">
        <f>-75--50</f>
        <v>-25</v>
      </c>
      <c r="AQ43">
        <v>13275333.9</v>
      </c>
      <c r="AR43">
        <v>86</v>
      </c>
      <c r="AS43" s="37">
        <v>0</v>
      </c>
      <c r="AT43" s="37">
        <v>0</v>
      </c>
      <c r="AU43" s="37">
        <v>0</v>
      </c>
      <c r="AV43">
        <v>100</v>
      </c>
      <c r="AW43">
        <v>100</v>
      </c>
      <c r="AX43" s="37">
        <v>0</v>
      </c>
    </row>
    <row r="44" spans="1:50" x14ac:dyDescent="0.25">
      <c r="A44">
        <v>4.3</v>
      </c>
      <c r="B44">
        <v>0.99372916415201296</v>
      </c>
      <c r="C44">
        <v>2.69719997833666</v>
      </c>
      <c r="D44">
        <v>7.2708179044393999</v>
      </c>
      <c r="E44">
        <v>2.2759411103495898E-3</v>
      </c>
      <c r="F44">
        <v>6.2708358479861802E-3</v>
      </c>
      <c r="G44" s="37">
        <v>0</v>
      </c>
      <c r="H44">
        <v>4.0130120879893099</v>
      </c>
      <c r="I44">
        <v>4.1244129562212404</v>
      </c>
      <c r="J44">
        <v>-49.480846331599501</v>
      </c>
      <c r="K44">
        <v>-32.3134018442613</v>
      </c>
      <c r="L44">
        <v>17.404312484139801</v>
      </c>
      <c r="M44">
        <v>15.5834067817612</v>
      </c>
      <c r="N44">
        <v>77.1455307546439</v>
      </c>
      <c r="O44">
        <v>74.947545641434004</v>
      </c>
      <c r="P44">
        <v>263811.82557247201</v>
      </c>
      <c r="Q44">
        <v>223674.17782211999</v>
      </c>
      <c r="R44">
        <v>781.04806102565601</v>
      </c>
      <c r="S44" s="37">
        <v>0</v>
      </c>
      <c r="T44" s="37">
        <v>0</v>
      </c>
      <c r="U44">
        <v>4.7215107460789798E-3</v>
      </c>
      <c r="V44">
        <v>1</v>
      </c>
      <c r="W44" s="37">
        <v>0</v>
      </c>
      <c r="X44">
        <v>0.55130440338213704</v>
      </c>
      <c r="Y44" s="37">
        <v>0</v>
      </c>
      <c r="Z44">
        <v>4.70307536388373E-4</v>
      </c>
      <c r="AA44">
        <v>5.2422737412395002E-5</v>
      </c>
      <c r="AB44">
        <v>2.62978052028089E-3</v>
      </c>
      <c r="AC44" s="37">
        <v>3.0524063836543202E-7</v>
      </c>
      <c r="AD44">
        <v>3.1180061735164E-3</v>
      </c>
      <c r="AE44">
        <v>-1.48765918764389E-2</v>
      </c>
      <c r="AF44">
        <v>0.97128747306586505</v>
      </c>
      <c r="AG44">
        <v>0.99033606031829502</v>
      </c>
      <c r="AH44">
        <v>0.99969298262643602</v>
      </c>
      <c r="AI44">
        <v>0.99969298262643602</v>
      </c>
      <c r="AJ44">
        <v>1</v>
      </c>
      <c r="AK44">
        <v>1</v>
      </c>
      <c r="AL44">
        <v>1</v>
      </c>
      <c r="AM44">
        <v>0</v>
      </c>
      <c r="AN44">
        <v>0</v>
      </c>
      <c r="AO44" t="s">
        <v>67</v>
      </c>
      <c r="AP44">
        <f>-50--25</f>
        <v>-25</v>
      </c>
      <c r="AQ44">
        <v>196162253.94999999</v>
      </c>
      <c r="AR44">
        <v>877</v>
      </c>
      <c r="AS44" s="37">
        <v>0</v>
      </c>
      <c r="AT44" s="37">
        <v>0</v>
      </c>
      <c r="AU44" s="37">
        <v>0</v>
      </c>
      <c r="AV44">
        <v>100</v>
      </c>
      <c r="AW44">
        <v>100</v>
      </c>
      <c r="AX44" s="37">
        <v>0</v>
      </c>
    </row>
    <row r="45" spans="1:50" x14ac:dyDescent="0.25">
      <c r="A45">
        <v>4.3</v>
      </c>
      <c r="B45">
        <v>0.99009165513909503</v>
      </c>
      <c r="C45">
        <v>10.2727712100098</v>
      </c>
      <c r="D45">
        <v>11.2629878473233</v>
      </c>
      <c r="E45">
        <v>8.9923175072531992E-3</v>
      </c>
      <c r="F45">
        <v>9.9083448609048001E-3</v>
      </c>
      <c r="G45" s="37">
        <v>0</v>
      </c>
      <c r="H45">
        <v>4.1238861612892199</v>
      </c>
      <c r="I45">
        <v>4.1160382849639703</v>
      </c>
      <c r="J45">
        <v>-38.460417798583201</v>
      </c>
      <c r="K45">
        <v>-8.5277655771676599</v>
      </c>
      <c r="L45">
        <v>16.482101619567501</v>
      </c>
      <c r="M45">
        <v>15.981390653736399</v>
      </c>
      <c r="N45">
        <v>74.178547669825605</v>
      </c>
      <c r="O45">
        <v>72.813874604012895</v>
      </c>
      <c r="P45">
        <v>262234.84296502097</v>
      </c>
      <c r="Q45">
        <v>241347.20211847499</v>
      </c>
      <c r="R45">
        <v>781.32199856119701</v>
      </c>
      <c r="S45" s="37">
        <v>0</v>
      </c>
      <c r="T45" s="37">
        <v>0</v>
      </c>
      <c r="U45">
        <v>1.9790794002130501E-2</v>
      </c>
      <c r="V45">
        <v>1</v>
      </c>
      <c r="W45" s="37">
        <v>0</v>
      </c>
      <c r="X45">
        <v>0.71355362220850005</v>
      </c>
      <c r="Y45" s="37">
        <v>0</v>
      </c>
      <c r="Z45">
        <v>3.86812949002093E-4</v>
      </c>
      <c r="AA45">
        <v>5.60342085741688E-5</v>
      </c>
      <c r="AB45">
        <v>2.6655012744054799E-3</v>
      </c>
      <c r="AC45" s="37">
        <v>1.5856602843064199E-7</v>
      </c>
      <c r="AD45">
        <v>6.7998236887960297E-3</v>
      </c>
      <c r="AE45">
        <v>-1.34499624139434E-2</v>
      </c>
      <c r="AF45">
        <v>0.96170469941514802</v>
      </c>
      <c r="AG45">
        <v>0.99077333547483104</v>
      </c>
      <c r="AH45">
        <v>0.99971100412422897</v>
      </c>
      <c r="AI45">
        <v>0.99996718635453197</v>
      </c>
      <c r="AJ45">
        <v>1</v>
      </c>
      <c r="AK45">
        <v>1</v>
      </c>
      <c r="AL45">
        <v>1</v>
      </c>
      <c r="AM45">
        <v>0</v>
      </c>
      <c r="AN45">
        <v>0</v>
      </c>
      <c r="AO45" t="s">
        <v>68</v>
      </c>
      <c r="AP45">
        <f>-25-0</f>
        <v>-25</v>
      </c>
      <c r="AQ45">
        <v>2057484898.0599999</v>
      </c>
      <c r="AR45">
        <v>8525</v>
      </c>
      <c r="AS45" s="37">
        <v>0</v>
      </c>
      <c r="AT45" s="37">
        <v>0</v>
      </c>
      <c r="AU45" s="37">
        <v>0</v>
      </c>
      <c r="AV45">
        <v>100</v>
      </c>
      <c r="AW45">
        <v>100</v>
      </c>
      <c r="AX45" s="37">
        <v>0</v>
      </c>
    </row>
    <row r="46" spans="1:50" x14ac:dyDescent="0.25">
      <c r="A46">
        <v>4.3</v>
      </c>
      <c r="B46">
        <v>0.98630215883754802</v>
      </c>
      <c r="C46">
        <v>18.568596333890198</v>
      </c>
      <c r="D46">
        <v>15.2538837216457</v>
      </c>
      <c r="E46">
        <v>1.6971761849218399E-2</v>
      </c>
      <c r="F46">
        <v>1.3697841162451501E-2</v>
      </c>
      <c r="G46" s="37">
        <v>0</v>
      </c>
      <c r="H46">
        <v>4.1971320182610699</v>
      </c>
      <c r="I46">
        <v>4.0368713745490101</v>
      </c>
      <c r="J46">
        <v>-27.5304378150087</v>
      </c>
      <c r="K46">
        <v>15.6085502512673</v>
      </c>
      <c r="L46">
        <v>16.293508666480498</v>
      </c>
      <c r="M46">
        <v>16.0970291829011</v>
      </c>
      <c r="N46">
        <v>70.912689786604801</v>
      </c>
      <c r="O46">
        <v>68.8701794552492</v>
      </c>
      <c r="P46">
        <v>263734.71561018901</v>
      </c>
      <c r="Q46">
        <v>244852.34849983599</v>
      </c>
      <c r="R46">
        <v>782.531877528839</v>
      </c>
      <c r="S46" s="37">
        <v>0</v>
      </c>
      <c r="T46" s="37">
        <v>0</v>
      </c>
      <c r="U46">
        <v>4.51710116129415E-2</v>
      </c>
      <c r="V46">
        <v>1</v>
      </c>
      <c r="W46" s="37">
        <v>0</v>
      </c>
      <c r="X46">
        <v>0.80546191975356296</v>
      </c>
      <c r="Y46" s="37">
        <v>0</v>
      </c>
      <c r="Z46">
        <v>3.7783381508290801E-4</v>
      </c>
      <c r="AA46">
        <v>6.0192293795420903E-5</v>
      </c>
      <c r="AB46">
        <v>2.8370435452465099E-3</v>
      </c>
      <c r="AC46">
        <v>1.4957449583249201E-6</v>
      </c>
      <c r="AD46">
        <v>1.0421261563801401E-2</v>
      </c>
      <c r="AE46">
        <v>-4.1697403191972399E-4</v>
      </c>
      <c r="AF46">
        <v>0.88752183829907005</v>
      </c>
      <c r="AG46">
        <v>0.97232014140893996</v>
      </c>
      <c r="AH46">
        <v>0.99769674168018196</v>
      </c>
      <c r="AI46">
        <v>0.99965007830647601</v>
      </c>
      <c r="AJ46">
        <v>1</v>
      </c>
      <c r="AK46">
        <v>1</v>
      </c>
      <c r="AL46">
        <v>1</v>
      </c>
      <c r="AM46">
        <v>0</v>
      </c>
      <c r="AN46">
        <v>0</v>
      </c>
      <c r="AO46" t="s">
        <v>69</v>
      </c>
      <c r="AP46" t="s">
        <v>70</v>
      </c>
      <c r="AQ46">
        <v>11257086722.280001</v>
      </c>
      <c r="AR46">
        <v>45975</v>
      </c>
      <c r="AS46" s="37">
        <v>0</v>
      </c>
      <c r="AT46" s="37">
        <v>0</v>
      </c>
      <c r="AU46" s="37">
        <v>0</v>
      </c>
      <c r="AV46">
        <v>100</v>
      </c>
      <c r="AW46">
        <v>100</v>
      </c>
      <c r="AX46" s="37">
        <v>0</v>
      </c>
    </row>
    <row r="47" spans="1:50" x14ac:dyDescent="0.25">
      <c r="A47">
        <v>4.3</v>
      </c>
      <c r="B47">
        <v>0.98060834001449804</v>
      </c>
      <c r="C47">
        <v>30.159799183788198</v>
      </c>
      <c r="D47">
        <v>20.941787475303901</v>
      </c>
      <c r="E47">
        <v>2.9470389804280701E-2</v>
      </c>
      <c r="F47">
        <v>1.9391659985501301E-2</v>
      </c>
      <c r="G47" s="37">
        <v>0</v>
      </c>
      <c r="H47">
        <v>4.2299296134059698</v>
      </c>
      <c r="I47">
        <v>3.9089804744670902</v>
      </c>
      <c r="J47">
        <v>-21.580224100484301</v>
      </c>
      <c r="K47">
        <v>38.014005289111203</v>
      </c>
      <c r="L47">
        <v>15.4806449507513</v>
      </c>
      <c r="M47">
        <v>16.321128551595301</v>
      </c>
      <c r="N47">
        <v>68.001821633818906</v>
      </c>
      <c r="O47">
        <v>64.841483942519403</v>
      </c>
      <c r="P47">
        <v>277166.088543928</v>
      </c>
      <c r="Q47">
        <v>257802.06798504599</v>
      </c>
      <c r="R47">
        <v>783.21829312551699</v>
      </c>
      <c r="S47" s="37">
        <v>0</v>
      </c>
      <c r="T47" s="37">
        <v>0</v>
      </c>
      <c r="U47">
        <v>4.5054977464197697E-2</v>
      </c>
      <c r="V47">
        <v>1</v>
      </c>
      <c r="W47" s="37">
        <v>0</v>
      </c>
      <c r="X47">
        <v>0.82871998262128199</v>
      </c>
      <c r="Y47" s="37">
        <v>0</v>
      </c>
      <c r="Z47">
        <v>3.7299548019741898E-4</v>
      </c>
      <c r="AA47">
        <v>6.23969941689285E-5</v>
      </c>
      <c r="AB47">
        <v>3.03157168711386E-3</v>
      </c>
      <c r="AC47">
        <v>5.0815918921340798E-6</v>
      </c>
      <c r="AD47">
        <v>1.5919600062179001E-2</v>
      </c>
      <c r="AE47">
        <v>1.99864429985585E-2</v>
      </c>
      <c r="AF47">
        <v>0.77431858578951096</v>
      </c>
      <c r="AG47">
        <v>0.93880174335497002</v>
      </c>
      <c r="AH47">
        <v>0.99518496654705502</v>
      </c>
      <c r="AI47">
        <v>0.99924470264502596</v>
      </c>
      <c r="AJ47">
        <v>1</v>
      </c>
      <c r="AK47">
        <v>1</v>
      </c>
      <c r="AL47">
        <v>1</v>
      </c>
      <c r="AM47">
        <v>0</v>
      </c>
      <c r="AN47">
        <v>0</v>
      </c>
      <c r="AO47" t="s">
        <v>71</v>
      </c>
      <c r="AP47" t="s">
        <v>72</v>
      </c>
      <c r="AQ47">
        <v>26377018585.889999</v>
      </c>
      <c r="AR47">
        <v>102315</v>
      </c>
      <c r="AS47" s="37">
        <v>0</v>
      </c>
      <c r="AT47" s="37">
        <v>0</v>
      </c>
      <c r="AU47" s="37">
        <v>0</v>
      </c>
      <c r="AV47">
        <v>100</v>
      </c>
      <c r="AW47">
        <v>100</v>
      </c>
      <c r="AX47" s="37">
        <v>0</v>
      </c>
    </row>
    <row r="48" spans="1:50" x14ac:dyDescent="0.25">
      <c r="A48">
        <v>4.3</v>
      </c>
      <c r="B48">
        <v>0.97389312489231605</v>
      </c>
      <c r="C48">
        <v>40.149086631306297</v>
      </c>
      <c r="D48">
        <v>27.199292524425399</v>
      </c>
      <c r="E48">
        <v>4.1874132965458298E-2</v>
      </c>
      <c r="F48">
        <v>2.6106875107683399E-2</v>
      </c>
      <c r="G48" s="37">
        <v>0</v>
      </c>
      <c r="H48">
        <v>4.4272407157745102</v>
      </c>
      <c r="I48">
        <v>3.86756493727392</v>
      </c>
      <c r="J48">
        <v>-11.8836401975356</v>
      </c>
      <c r="K48">
        <v>61.818587919024303</v>
      </c>
      <c r="L48">
        <v>15.3195142535549</v>
      </c>
      <c r="M48">
        <v>17.356705821201899</v>
      </c>
      <c r="N48">
        <v>67.606810791082495</v>
      </c>
      <c r="O48">
        <v>64.383644206549803</v>
      </c>
      <c r="P48">
        <v>280265.72659210302</v>
      </c>
      <c r="Q48">
        <v>260583.52104167599</v>
      </c>
      <c r="R48">
        <v>782.62837522301402</v>
      </c>
      <c r="S48" s="37">
        <v>0</v>
      </c>
      <c r="T48" s="37">
        <v>0</v>
      </c>
      <c r="U48">
        <v>2.9567307031304099E-2</v>
      </c>
      <c r="V48">
        <v>1</v>
      </c>
      <c r="W48" s="37">
        <v>0</v>
      </c>
      <c r="X48">
        <v>0.78719708820824896</v>
      </c>
      <c r="Y48" s="37">
        <v>0</v>
      </c>
      <c r="Z48">
        <v>3.73991720422045E-4</v>
      </c>
      <c r="AA48">
        <v>7.9844470777205105E-5</v>
      </c>
      <c r="AB48">
        <v>3.1769511597778098E-3</v>
      </c>
      <c r="AC48">
        <v>6.4092633057979897E-6</v>
      </c>
      <c r="AD48">
        <v>2.24696641350462E-2</v>
      </c>
      <c r="AE48">
        <v>1.9506700121222499E-2</v>
      </c>
      <c r="AF48">
        <v>0.77029742944024104</v>
      </c>
      <c r="AG48">
        <v>0.95968330455666695</v>
      </c>
      <c r="AH48">
        <v>0.99534206467655395</v>
      </c>
      <c r="AI48">
        <v>0.999342099661372</v>
      </c>
      <c r="AJ48">
        <v>1</v>
      </c>
      <c r="AK48">
        <v>1</v>
      </c>
      <c r="AL48">
        <v>1</v>
      </c>
      <c r="AM48">
        <v>0</v>
      </c>
      <c r="AN48">
        <v>0</v>
      </c>
      <c r="AO48" t="s">
        <v>73</v>
      </c>
      <c r="AP48" t="s">
        <v>74</v>
      </c>
      <c r="AQ48">
        <v>22196504322.330002</v>
      </c>
      <c r="AR48">
        <v>85180</v>
      </c>
      <c r="AS48" s="37">
        <v>0</v>
      </c>
      <c r="AT48" s="37">
        <v>0</v>
      </c>
      <c r="AU48" s="37">
        <v>0</v>
      </c>
      <c r="AV48">
        <v>100</v>
      </c>
      <c r="AW48">
        <v>100</v>
      </c>
      <c r="AX48" s="37">
        <v>0</v>
      </c>
    </row>
    <row r="49" spans="1:50" x14ac:dyDescent="0.25">
      <c r="A49">
        <v>4.3</v>
      </c>
      <c r="B49">
        <v>0.96868969237347302</v>
      </c>
      <c r="C49">
        <v>42.720598979704</v>
      </c>
      <c r="D49">
        <v>31.732163092261899</v>
      </c>
      <c r="E49">
        <v>4.5374116267844898E-2</v>
      </c>
      <c r="F49">
        <v>3.1310307626526902E-2</v>
      </c>
      <c r="G49" s="37">
        <v>0</v>
      </c>
      <c r="H49">
        <v>4.6748623611639903</v>
      </c>
      <c r="I49">
        <v>3.876233980131</v>
      </c>
      <c r="J49">
        <v>-4.7578580483437003</v>
      </c>
      <c r="K49">
        <v>86.110729823748002</v>
      </c>
      <c r="L49">
        <v>15.269436920329101</v>
      </c>
      <c r="M49">
        <v>17.806539800474699</v>
      </c>
      <c r="N49">
        <v>67.682094102864397</v>
      </c>
      <c r="O49">
        <v>64.283090758922</v>
      </c>
      <c r="P49">
        <v>281346.02735679399</v>
      </c>
      <c r="Q49">
        <v>261471.14918998699</v>
      </c>
      <c r="R49">
        <v>781.28007005258996</v>
      </c>
      <c r="S49" s="37">
        <v>0</v>
      </c>
      <c r="T49" s="37">
        <v>0</v>
      </c>
      <c r="U49">
        <v>3.79708160786911E-2</v>
      </c>
      <c r="V49">
        <v>1</v>
      </c>
      <c r="W49" s="37">
        <v>0</v>
      </c>
      <c r="X49">
        <v>0.70634875923859797</v>
      </c>
      <c r="Y49" s="37">
        <v>0</v>
      </c>
      <c r="Z49">
        <v>3.7464344531586803E-4</v>
      </c>
      <c r="AA49">
        <v>1.01898003255646E-4</v>
      </c>
      <c r="AB49">
        <v>3.28424602427199E-3</v>
      </c>
      <c r="AC49">
        <v>1.0011225017983401E-5</v>
      </c>
      <c r="AD49">
        <v>2.75394943206419E-2</v>
      </c>
      <c r="AE49">
        <v>2.0944396930041999E-2</v>
      </c>
      <c r="AF49">
        <v>0.72558380467126804</v>
      </c>
      <c r="AG49">
        <v>0.96035673221561502</v>
      </c>
      <c r="AH49">
        <v>0.99420309780078797</v>
      </c>
      <c r="AI49">
        <v>0.99909324950591605</v>
      </c>
      <c r="AJ49">
        <v>1</v>
      </c>
      <c r="AK49">
        <v>1</v>
      </c>
      <c r="AL49">
        <v>1</v>
      </c>
      <c r="AM49">
        <v>0</v>
      </c>
      <c r="AN49">
        <v>0</v>
      </c>
      <c r="AO49" t="s">
        <v>75</v>
      </c>
      <c r="AP49" t="s">
        <v>76</v>
      </c>
      <c r="AQ49">
        <v>13715730601.91</v>
      </c>
      <c r="AR49">
        <v>52456</v>
      </c>
      <c r="AS49" s="37">
        <v>0</v>
      </c>
      <c r="AT49" s="37">
        <v>0</v>
      </c>
      <c r="AU49" s="37">
        <v>0</v>
      </c>
      <c r="AV49">
        <v>100</v>
      </c>
      <c r="AW49">
        <v>100</v>
      </c>
      <c r="AX49" s="37">
        <v>0</v>
      </c>
    </row>
    <row r="50" spans="1:50" x14ac:dyDescent="0.25">
      <c r="A50">
        <v>4.3</v>
      </c>
      <c r="B50">
        <v>0.96474775166165405</v>
      </c>
      <c r="C50">
        <v>43.681735268574897</v>
      </c>
      <c r="D50">
        <v>34.9922250520641</v>
      </c>
      <c r="E50">
        <v>4.6719362255706602E-2</v>
      </c>
      <c r="F50">
        <v>3.5252248338344998E-2</v>
      </c>
      <c r="G50" s="37">
        <v>0</v>
      </c>
      <c r="H50">
        <v>4.8434826759084899</v>
      </c>
      <c r="I50">
        <v>3.8074340063197498</v>
      </c>
      <c r="J50">
        <v>-1.35941169340672</v>
      </c>
      <c r="K50">
        <v>111.23674374119101</v>
      </c>
      <c r="L50">
        <v>15.526545940228701</v>
      </c>
      <c r="M50">
        <v>18.290820275641501</v>
      </c>
      <c r="N50">
        <v>69.560573036858102</v>
      </c>
      <c r="O50">
        <v>65.196328968190102</v>
      </c>
      <c r="P50">
        <v>276553.64488245797</v>
      </c>
      <c r="Q50">
        <v>257166.424313653</v>
      </c>
      <c r="R50">
        <v>780.71302128071102</v>
      </c>
      <c r="S50" s="37">
        <v>0</v>
      </c>
      <c r="T50" s="37">
        <v>0</v>
      </c>
      <c r="U50">
        <v>3.9785193617976E-2</v>
      </c>
      <c r="V50">
        <v>1</v>
      </c>
      <c r="W50" s="37">
        <v>0</v>
      </c>
      <c r="X50">
        <v>0.621993011200905</v>
      </c>
      <c r="Y50" s="37">
        <v>0</v>
      </c>
      <c r="Z50">
        <v>3.7584798010962601E-4</v>
      </c>
      <c r="AA50">
        <v>1.3362590162066201E-4</v>
      </c>
      <c r="AB50">
        <v>3.4024578837371501E-3</v>
      </c>
      <c r="AC50">
        <v>1.6828301565764699E-5</v>
      </c>
      <c r="AD50">
        <v>3.1323473486503002E-2</v>
      </c>
      <c r="AE50">
        <v>3.3325073855825102E-2</v>
      </c>
      <c r="AF50">
        <v>0.62660569824496304</v>
      </c>
      <c r="AG50">
        <v>0.95634480523923604</v>
      </c>
      <c r="AH50">
        <v>0.99256606019037297</v>
      </c>
      <c r="AI50">
        <v>0.99872658496598199</v>
      </c>
      <c r="AJ50">
        <v>1</v>
      </c>
      <c r="AK50">
        <v>1</v>
      </c>
      <c r="AL50">
        <v>1</v>
      </c>
      <c r="AM50">
        <v>0</v>
      </c>
      <c r="AN50">
        <v>0</v>
      </c>
      <c r="AO50" t="s">
        <v>77</v>
      </c>
      <c r="AP50" t="s">
        <v>78</v>
      </c>
      <c r="AQ50">
        <v>7047903024.7399998</v>
      </c>
      <c r="AR50">
        <v>27406</v>
      </c>
      <c r="AS50" s="37">
        <v>0</v>
      </c>
      <c r="AT50" s="37">
        <v>0</v>
      </c>
      <c r="AU50" s="37">
        <v>0</v>
      </c>
      <c r="AV50">
        <v>100</v>
      </c>
      <c r="AW50">
        <v>100</v>
      </c>
      <c r="AX50" s="37">
        <v>0</v>
      </c>
    </row>
    <row r="51" spans="1:50" x14ac:dyDescent="0.25">
      <c r="A51">
        <v>4.3</v>
      </c>
      <c r="B51">
        <v>0.96091174602281304</v>
      </c>
      <c r="C51">
        <v>42.096705760367399</v>
      </c>
      <c r="D51">
        <v>38.027070516156698</v>
      </c>
      <c r="E51">
        <v>4.45119217051353E-2</v>
      </c>
      <c r="F51">
        <v>3.9088253977186502E-2</v>
      </c>
      <c r="G51" s="37">
        <v>0</v>
      </c>
      <c r="H51">
        <v>4.93150361463496</v>
      </c>
      <c r="I51">
        <v>3.6961974808470601</v>
      </c>
      <c r="J51">
        <v>1.0148036938629501</v>
      </c>
      <c r="K51">
        <v>134.98966292230099</v>
      </c>
      <c r="L51">
        <v>15.3526128701034</v>
      </c>
      <c r="M51">
        <v>19.417138296030998</v>
      </c>
      <c r="N51">
        <v>70.847389718983493</v>
      </c>
      <c r="O51">
        <v>64.873088085911206</v>
      </c>
      <c r="P51">
        <v>279295.94627406501</v>
      </c>
      <c r="Q51">
        <v>260089.69613145001</v>
      </c>
      <c r="R51">
        <v>779.892807612654</v>
      </c>
      <c r="S51" s="37">
        <v>0</v>
      </c>
      <c r="T51" s="37">
        <v>0</v>
      </c>
      <c r="U51">
        <v>5.8809219123887098E-2</v>
      </c>
      <c r="V51">
        <v>1</v>
      </c>
      <c r="W51" s="37">
        <v>0</v>
      </c>
      <c r="X51">
        <v>0.64064484137608602</v>
      </c>
      <c r="Y51" s="37">
        <v>0</v>
      </c>
      <c r="Z51">
        <v>3.7431523618356002E-4</v>
      </c>
      <c r="AA51">
        <v>1.4527288523345401E-4</v>
      </c>
      <c r="AB51">
        <v>3.43450767056365E-3</v>
      </c>
      <c r="AC51">
        <v>3.4003483705590101E-5</v>
      </c>
      <c r="AD51">
        <v>3.5100140092842201E-2</v>
      </c>
      <c r="AE51">
        <v>5.8873943462311E-2</v>
      </c>
      <c r="AF51">
        <v>0.49372430225279301</v>
      </c>
      <c r="AG51">
        <v>0.92881813250187295</v>
      </c>
      <c r="AH51">
        <v>0.98536311895956097</v>
      </c>
      <c r="AI51">
        <v>0.99845284108038102</v>
      </c>
      <c r="AJ51">
        <v>1</v>
      </c>
      <c r="AK51">
        <v>1</v>
      </c>
      <c r="AL51">
        <v>1</v>
      </c>
      <c r="AM51">
        <v>0</v>
      </c>
      <c r="AN51">
        <v>0</v>
      </c>
      <c r="AO51" t="s">
        <v>79</v>
      </c>
      <c r="AP51" t="s">
        <v>80</v>
      </c>
      <c r="AQ51">
        <v>2983748994.02</v>
      </c>
      <c r="AR51">
        <v>11472</v>
      </c>
      <c r="AS51" s="37">
        <v>0</v>
      </c>
      <c r="AT51" s="37">
        <v>0</v>
      </c>
      <c r="AU51" s="37">
        <v>0</v>
      </c>
      <c r="AV51">
        <v>100</v>
      </c>
      <c r="AW51">
        <v>100</v>
      </c>
      <c r="AX51" s="37">
        <v>0</v>
      </c>
    </row>
    <row r="52" spans="1:50" x14ac:dyDescent="0.25">
      <c r="A52">
        <v>4.3</v>
      </c>
      <c r="B52">
        <v>0.95713533987073796</v>
      </c>
      <c r="C52">
        <v>43.974174414158298</v>
      </c>
      <c r="D52">
        <v>40.887378266514197</v>
      </c>
      <c r="E52">
        <v>4.7132848981646797E-2</v>
      </c>
      <c r="F52">
        <v>4.28646601292616E-2</v>
      </c>
      <c r="G52" s="37">
        <v>0</v>
      </c>
      <c r="H52">
        <v>5.0881616522214399</v>
      </c>
      <c r="I52">
        <v>3.6679389776711302</v>
      </c>
      <c r="J52">
        <v>12.727543845696401</v>
      </c>
      <c r="K52">
        <v>159.191454619078</v>
      </c>
      <c r="L52">
        <v>15.009271273490899</v>
      </c>
      <c r="M52">
        <v>20.1736033665035</v>
      </c>
      <c r="N52">
        <v>73.885733658340001</v>
      </c>
      <c r="O52">
        <v>66.483514152965697</v>
      </c>
      <c r="P52">
        <v>285506.84395667003</v>
      </c>
      <c r="Q52">
        <v>266044.99012851401</v>
      </c>
      <c r="R52">
        <v>778.89372793126302</v>
      </c>
      <c r="S52" s="37">
        <v>0</v>
      </c>
      <c r="T52" s="37">
        <v>0</v>
      </c>
      <c r="U52">
        <v>1.87766642755961E-2</v>
      </c>
      <c r="V52">
        <v>1</v>
      </c>
      <c r="W52" s="37">
        <v>0</v>
      </c>
      <c r="X52">
        <v>0.66670175788199104</v>
      </c>
      <c r="Y52" s="37">
        <v>0</v>
      </c>
      <c r="Z52">
        <v>3.7301546198964102E-4</v>
      </c>
      <c r="AA52">
        <v>2.1407521697234199E-4</v>
      </c>
      <c r="AB52">
        <v>3.49230117837272E-3</v>
      </c>
      <c r="AC52">
        <v>6.0698153317161403E-5</v>
      </c>
      <c r="AD52">
        <v>3.8724555331508301E-2</v>
      </c>
      <c r="AE52">
        <v>7.6298969881697001E-2</v>
      </c>
      <c r="AF52">
        <v>0.39665848184765201</v>
      </c>
      <c r="AG52">
        <v>0.89240437043752696</v>
      </c>
      <c r="AH52">
        <v>0.97360936096630402</v>
      </c>
      <c r="AI52">
        <v>0.99656065409633898</v>
      </c>
      <c r="AJ52">
        <v>1</v>
      </c>
      <c r="AK52">
        <v>1</v>
      </c>
      <c r="AL52">
        <v>1</v>
      </c>
      <c r="AM52">
        <v>0</v>
      </c>
      <c r="AN52">
        <v>0</v>
      </c>
      <c r="AO52" t="s">
        <v>81</v>
      </c>
      <c r="AP52" t="s">
        <v>82</v>
      </c>
      <c r="AQ52">
        <v>662452025.41999996</v>
      </c>
      <c r="AR52">
        <v>2490</v>
      </c>
      <c r="AS52" s="37">
        <v>0</v>
      </c>
      <c r="AT52" s="37">
        <v>0</v>
      </c>
      <c r="AU52" s="37">
        <v>0</v>
      </c>
      <c r="AV52">
        <v>100</v>
      </c>
      <c r="AW52">
        <v>100</v>
      </c>
      <c r="AX52" s="37">
        <v>0</v>
      </c>
    </row>
    <row r="53" spans="1:50" x14ac:dyDescent="0.25">
      <c r="A53">
        <v>4.3</v>
      </c>
      <c r="B53">
        <v>0.95312325182999502</v>
      </c>
      <c r="C53">
        <v>55.3010002587543</v>
      </c>
      <c r="D53">
        <v>43.793211243427898</v>
      </c>
      <c r="E53">
        <v>6.4899798897641206E-2</v>
      </c>
      <c r="F53">
        <v>4.6876748170004597E-2</v>
      </c>
      <c r="G53" s="37">
        <v>0</v>
      </c>
      <c r="H53">
        <v>5.1828648717878902</v>
      </c>
      <c r="I53">
        <v>3.66154715696744</v>
      </c>
      <c r="J53">
        <v>26.721662193348799</v>
      </c>
      <c r="K53">
        <v>183.23274294401699</v>
      </c>
      <c r="L53">
        <v>14.4258651382055</v>
      </c>
      <c r="M53">
        <v>20.147710145289899</v>
      </c>
      <c r="N53">
        <v>78.208501163480307</v>
      </c>
      <c r="O53">
        <v>68.105275866285197</v>
      </c>
      <c r="P53">
        <v>296805.84790738299</v>
      </c>
      <c r="Q53">
        <v>276792.31921658898</v>
      </c>
      <c r="R53">
        <v>779.56453400799705</v>
      </c>
      <c r="S53" s="37">
        <v>0</v>
      </c>
      <c r="T53" s="37">
        <v>0</v>
      </c>
      <c r="U53" s="37">
        <v>0</v>
      </c>
      <c r="V53">
        <v>1</v>
      </c>
      <c r="W53" s="37">
        <v>0</v>
      </c>
      <c r="X53">
        <v>0.65481308680203199</v>
      </c>
      <c r="Y53" s="37">
        <v>0</v>
      </c>
      <c r="Z53">
        <v>3.9321548512953001E-4</v>
      </c>
      <c r="AA53">
        <v>2.99803565748083E-4</v>
      </c>
      <c r="AB53">
        <v>3.60211953921206E-3</v>
      </c>
      <c r="AC53">
        <v>1.7322806964271999E-4</v>
      </c>
      <c r="AD53">
        <v>4.2408366034350803E-2</v>
      </c>
      <c r="AE53">
        <v>0.10048404856059499</v>
      </c>
      <c r="AF53">
        <v>0.266754752190074</v>
      </c>
      <c r="AG53">
        <v>0.79175140431158697</v>
      </c>
      <c r="AH53">
        <v>0.92892010933069502</v>
      </c>
      <c r="AI53">
        <v>0.98513130806826299</v>
      </c>
      <c r="AJ53">
        <v>1</v>
      </c>
      <c r="AK53">
        <v>1</v>
      </c>
      <c r="AL53">
        <v>1</v>
      </c>
      <c r="AM53">
        <v>0</v>
      </c>
      <c r="AN53">
        <v>0</v>
      </c>
      <c r="AO53" t="s">
        <v>83</v>
      </c>
      <c r="AP53" t="s">
        <v>84</v>
      </c>
      <c r="AQ53">
        <v>120127866.54000001</v>
      </c>
      <c r="AR53">
        <v>434</v>
      </c>
      <c r="AS53" s="37">
        <v>0</v>
      </c>
      <c r="AT53" s="37">
        <v>0</v>
      </c>
      <c r="AU53" s="37">
        <v>0</v>
      </c>
      <c r="AV53">
        <v>100</v>
      </c>
      <c r="AW53">
        <v>100</v>
      </c>
      <c r="AX53" s="37">
        <v>0</v>
      </c>
    </row>
    <row r="54" spans="1:50" x14ac:dyDescent="0.25">
      <c r="A54">
        <v>4.3</v>
      </c>
      <c r="B54">
        <v>0.95413154706949299</v>
      </c>
      <c r="C54">
        <v>53.736278937248798</v>
      </c>
      <c r="D54">
        <v>43.075520879579599</v>
      </c>
      <c r="E54">
        <v>6.22147879329044E-2</v>
      </c>
      <c r="F54">
        <v>4.5868452930506301E-2</v>
      </c>
      <c r="G54" s="37">
        <v>0</v>
      </c>
      <c r="H54">
        <v>5.2404386091394901</v>
      </c>
      <c r="I54">
        <v>3.6507389351644601</v>
      </c>
      <c r="J54">
        <v>30.826974600296701</v>
      </c>
      <c r="K54">
        <v>207.937634827827</v>
      </c>
      <c r="L54">
        <v>15.518872186376599</v>
      </c>
      <c r="M54">
        <v>20.3801925784852</v>
      </c>
      <c r="N54">
        <v>83.3105111028257</v>
      </c>
      <c r="O54">
        <v>69.451671691763593</v>
      </c>
      <c r="P54">
        <v>273149.375560396</v>
      </c>
      <c r="Q54">
        <v>257277.22387096699</v>
      </c>
      <c r="R54">
        <v>776.79709678461802</v>
      </c>
      <c r="S54" s="37">
        <v>0</v>
      </c>
      <c r="T54" s="37">
        <v>0</v>
      </c>
      <c r="U54" s="37">
        <v>0</v>
      </c>
      <c r="V54">
        <v>1</v>
      </c>
      <c r="W54" s="37">
        <v>0</v>
      </c>
      <c r="X54">
        <v>0.51070676373977897</v>
      </c>
      <c r="Y54" s="37">
        <v>0</v>
      </c>
      <c r="Z54">
        <v>4.3522975761832699E-4</v>
      </c>
      <c r="AA54">
        <v>3.20856477287771E-4</v>
      </c>
      <c r="AB54">
        <v>3.9489033533806998E-3</v>
      </c>
      <c r="AC54">
        <v>3.87787124826706E-4</v>
      </c>
      <c r="AD54">
        <v>4.0775660905237002E-2</v>
      </c>
      <c r="AE54">
        <v>0.12908079345047899</v>
      </c>
      <c r="AF54">
        <v>0.12918379342667399</v>
      </c>
      <c r="AG54">
        <v>0.65268541617854703</v>
      </c>
      <c r="AH54">
        <v>0.837179658371624</v>
      </c>
      <c r="AI54">
        <v>0.96337045714741998</v>
      </c>
      <c r="AJ54">
        <v>1</v>
      </c>
      <c r="AK54">
        <v>1</v>
      </c>
      <c r="AL54">
        <v>1</v>
      </c>
      <c r="AM54">
        <v>0</v>
      </c>
      <c r="AN54">
        <v>0</v>
      </c>
      <c r="AO54" t="s">
        <v>85</v>
      </c>
      <c r="AP54" t="s">
        <v>86</v>
      </c>
      <c r="AQ54">
        <v>15951187.880000001</v>
      </c>
      <c r="AR54">
        <v>62</v>
      </c>
      <c r="AS54" s="37">
        <v>0</v>
      </c>
      <c r="AT54" s="37">
        <v>0</v>
      </c>
      <c r="AU54" s="37">
        <v>0</v>
      </c>
      <c r="AV54">
        <v>100</v>
      </c>
      <c r="AW54">
        <v>100</v>
      </c>
      <c r="AX54" s="37">
        <v>0</v>
      </c>
    </row>
    <row r="55" spans="1:50" x14ac:dyDescent="0.25">
      <c r="A55">
        <v>4.3</v>
      </c>
      <c r="B55">
        <v>0.95616786554540201</v>
      </c>
      <c r="C55">
        <v>0</v>
      </c>
      <c r="D55">
        <v>41.600419374232601</v>
      </c>
      <c r="E55" s="37">
        <v>0</v>
      </c>
      <c r="F55">
        <v>4.3832134454597799E-2</v>
      </c>
      <c r="G55" s="37">
        <v>0</v>
      </c>
      <c r="H55">
        <v>5.25</v>
      </c>
      <c r="I55">
        <v>3.6406662916588299</v>
      </c>
      <c r="J55">
        <v>17.662920604131902</v>
      </c>
      <c r="K55">
        <v>233.95346394605701</v>
      </c>
      <c r="L55">
        <v>18.196645222709499</v>
      </c>
      <c r="M55">
        <v>20.999142117180401</v>
      </c>
      <c r="N55">
        <v>95</v>
      </c>
      <c r="O55">
        <v>75.144083977687004</v>
      </c>
      <c r="P55">
        <v>219482.43229651701</v>
      </c>
      <c r="Q55">
        <v>219482.19</v>
      </c>
      <c r="R55">
        <v>794</v>
      </c>
      <c r="S55" s="37">
        <v>0</v>
      </c>
      <c r="T55" s="37">
        <v>0</v>
      </c>
      <c r="U55" s="37">
        <v>0</v>
      </c>
      <c r="V55">
        <v>1</v>
      </c>
      <c r="W55" s="37">
        <v>0</v>
      </c>
      <c r="X55" s="37">
        <v>0</v>
      </c>
      <c r="Y55" s="37">
        <v>0</v>
      </c>
      <c r="Z55">
        <v>3.5712854154316498E-4</v>
      </c>
      <c r="AA55">
        <v>1.17134227584783E-4</v>
      </c>
      <c r="AB55">
        <v>4.8422814985199097E-3</v>
      </c>
      <c r="AC55">
        <v>1.84434555156616E-3</v>
      </c>
      <c r="AD55">
        <v>3.6671224635383803E-2</v>
      </c>
      <c r="AE55">
        <v>0.232513101617222</v>
      </c>
      <c r="AF55" s="37">
        <v>0</v>
      </c>
      <c r="AG55" s="37">
        <v>0</v>
      </c>
      <c r="AH55" s="37">
        <v>0</v>
      </c>
      <c r="AI55">
        <v>1</v>
      </c>
      <c r="AJ55">
        <v>1</v>
      </c>
      <c r="AK55">
        <v>1</v>
      </c>
      <c r="AL55">
        <v>1</v>
      </c>
      <c r="AM55">
        <v>0</v>
      </c>
      <c r="AN55">
        <v>0</v>
      </c>
      <c r="AO55" t="s">
        <v>87</v>
      </c>
      <c r="AP55" t="s">
        <v>88</v>
      </c>
      <c r="AQ55">
        <v>658446.56999999995</v>
      </c>
      <c r="AR55">
        <v>3</v>
      </c>
      <c r="AS55" s="37">
        <v>0</v>
      </c>
      <c r="AT55" s="37">
        <v>0</v>
      </c>
      <c r="AU55" s="37">
        <v>0</v>
      </c>
      <c r="AV55">
        <v>100</v>
      </c>
      <c r="AW55">
        <v>100</v>
      </c>
      <c r="AX55" s="37">
        <v>0</v>
      </c>
    </row>
    <row r="59" spans="1:50" x14ac:dyDescent="0.25">
      <c r="A59" s="33" t="s">
        <v>122</v>
      </c>
      <c r="C59" t="s">
        <v>130</v>
      </c>
    </row>
    <row r="60" spans="1:50" x14ac:dyDescent="0.25">
      <c r="A60" t="s">
        <v>21</v>
      </c>
      <c r="B60" t="s">
        <v>22</v>
      </c>
      <c r="C60" t="s">
        <v>23</v>
      </c>
      <c r="D60" t="s">
        <v>24</v>
      </c>
      <c r="E60" t="s">
        <v>97</v>
      </c>
      <c r="F60" t="s">
        <v>98</v>
      </c>
      <c r="G60" t="s">
        <v>25</v>
      </c>
      <c r="H60" t="s">
        <v>26</v>
      </c>
      <c r="I60" t="s">
        <v>27</v>
      </c>
      <c r="J60" t="s">
        <v>28</v>
      </c>
      <c r="K60" t="s">
        <v>29</v>
      </c>
      <c r="L60" t="s">
        <v>30</v>
      </c>
      <c r="M60" t="s">
        <v>31</v>
      </c>
      <c r="N60" t="s">
        <v>32</v>
      </c>
      <c r="O60" t="s">
        <v>33</v>
      </c>
      <c r="P60" t="s">
        <v>34</v>
      </c>
      <c r="Q60" t="s">
        <v>35</v>
      </c>
      <c r="R60" t="s">
        <v>36</v>
      </c>
      <c r="S60" t="s">
        <v>37</v>
      </c>
      <c r="T60" t="s">
        <v>38</v>
      </c>
      <c r="U60" t="s">
        <v>39</v>
      </c>
      <c r="V60" t="s">
        <v>40</v>
      </c>
      <c r="W60" t="s">
        <v>41</v>
      </c>
      <c r="X60" t="s">
        <v>42</v>
      </c>
      <c r="Y60" t="s">
        <v>43</v>
      </c>
      <c r="Z60" t="s">
        <v>44</v>
      </c>
      <c r="AA60" t="s">
        <v>45</v>
      </c>
      <c r="AB60" t="s">
        <v>46</v>
      </c>
      <c r="AC60" t="s">
        <v>47</v>
      </c>
      <c r="AD60" t="s">
        <v>48</v>
      </c>
      <c r="AE60" t="s">
        <v>49</v>
      </c>
      <c r="AF60" t="s">
        <v>50</v>
      </c>
      <c r="AG60" t="s">
        <v>51</v>
      </c>
      <c r="AH60" t="s">
        <v>52</v>
      </c>
      <c r="AI60" t="s">
        <v>53</v>
      </c>
      <c r="AJ60" t="s">
        <v>54</v>
      </c>
      <c r="AK60" t="s">
        <v>55</v>
      </c>
      <c r="AL60" t="s">
        <v>56</v>
      </c>
      <c r="AM60" t="s">
        <v>57</v>
      </c>
      <c r="AN60" t="s">
        <v>58</v>
      </c>
      <c r="AO60" t="s">
        <v>59</v>
      </c>
      <c r="AP60" t="s">
        <v>60</v>
      </c>
      <c r="AQ60" t="s">
        <v>61</v>
      </c>
      <c r="AR60" t="s">
        <v>62</v>
      </c>
      <c r="AS60" t="s">
        <v>124</v>
      </c>
      <c r="AT60" t="s">
        <v>125</v>
      </c>
      <c r="AU60" t="s">
        <v>126</v>
      </c>
      <c r="AV60" t="s">
        <v>127</v>
      </c>
      <c r="AW60" t="s">
        <v>128</v>
      </c>
      <c r="AX60" t="s">
        <v>129</v>
      </c>
    </row>
    <row r="61" spans="1:50" x14ac:dyDescent="0.25">
      <c r="A61">
        <v>4.3</v>
      </c>
      <c r="B61">
        <v>0.99502774202643496</v>
      </c>
      <c r="C61">
        <v>0</v>
      </c>
      <c r="D61">
        <v>5.8062099244318599</v>
      </c>
      <c r="E61" s="37">
        <v>0</v>
      </c>
      <c r="F61">
        <v>4.9722579735641901E-3</v>
      </c>
      <c r="G61" s="37">
        <v>0</v>
      </c>
      <c r="H61">
        <v>4.125</v>
      </c>
      <c r="I61">
        <v>4.0914465832429299</v>
      </c>
      <c r="J61">
        <v>-39.292400000000001</v>
      </c>
      <c r="K61">
        <v>-107.582908254133</v>
      </c>
      <c r="L61">
        <v>22.464930692893201</v>
      </c>
      <c r="M61">
        <v>18.498074801809601</v>
      </c>
      <c r="N61">
        <v>80</v>
      </c>
      <c r="O61">
        <v>77.967109304621005</v>
      </c>
      <c r="P61">
        <v>177738.07201269601</v>
      </c>
      <c r="Q61">
        <v>177737.54500000001</v>
      </c>
      <c r="R61">
        <v>782</v>
      </c>
      <c r="S61" s="37">
        <v>0</v>
      </c>
      <c r="T61" s="37">
        <v>0</v>
      </c>
      <c r="U61" s="37">
        <v>0</v>
      </c>
      <c r="V61">
        <v>1</v>
      </c>
      <c r="W61" s="37">
        <v>0</v>
      </c>
      <c r="X61" s="37">
        <v>0</v>
      </c>
      <c r="Y61" s="37">
        <v>0</v>
      </c>
      <c r="Z61">
        <v>3.5354267024575401E-4</v>
      </c>
      <c r="AA61">
        <v>1.33949922462921E-5</v>
      </c>
      <c r="AB61">
        <v>3.8048393520865201E-3</v>
      </c>
      <c r="AC61" s="37">
        <v>0</v>
      </c>
      <c r="AD61">
        <v>8.0046846476781205E-4</v>
      </c>
      <c r="AE61">
        <v>-1.2605143054186499E-3</v>
      </c>
      <c r="AF61">
        <v>1</v>
      </c>
      <c r="AG61">
        <v>1</v>
      </c>
      <c r="AH61">
        <v>1</v>
      </c>
      <c r="AI61">
        <v>1</v>
      </c>
      <c r="AJ61">
        <v>1</v>
      </c>
      <c r="AK61">
        <v>1</v>
      </c>
      <c r="AL61">
        <v>1</v>
      </c>
      <c r="AM61">
        <v>0</v>
      </c>
      <c r="AN61">
        <v>0</v>
      </c>
      <c r="AO61" t="s">
        <v>64</v>
      </c>
      <c r="AP61">
        <f>-125--100</f>
        <v>-25</v>
      </c>
      <c r="AQ61">
        <v>710950.18</v>
      </c>
      <c r="AR61">
        <v>4</v>
      </c>
      <c r="AS61" s="37">
        <v>0</v>
      </c>
      <c r="AT61" s="37">
        <v>0</v>
      </c>
      <c r="AU61" s="37">
        <v>0</v>
      </c>
      <c r="AV61">
        <v>100</v>
      </c>
      <c r="AW61" s="37">
        <v>0</v>
      </c>
      <c r="AX61">
        <v>100</v>
      </c>
    </row>
    <row r="62" spans="1:50" x14ac:dyDescent="0.25">
      <c r="A62">
        <v>4.3</v>
      </c>
      <c r="B62">
        <v>0.99155721853217005</v>
      </c>
      <c r="C62">
        <v>2.1576303824956899</v>
      </c>
      <c r="D62">
        <v>9.6738776673459803</v>
      </c>
      <c r="E62">
        <v>1.8160552716067701E-3</v>
      </c>
      <c r="F62">
        <v>8.4427814678294695E-3</v>
      </c>
      <c r="G62" s="37">
        <v>0</v>
      </c>
      <c r="H62">
        <v>4.1889410860719298</v>
      </c>
      <c r="I62">
        <v>4.0657978090578597</v>
      </c>
      <c r="J62">
        <v>-27.858500450505399</v>
      </c>
      <c r="K62">
        <v>-83.219819416087105</v>
      </c>
      <c r="L62">
        <v>18.879883136790401</v>
      </c>
      <c r="M62">
        <v>17.1692018480523</v>
      </c>
      <c r="N62">
        <v>76.773119708864698</v>
      </c>
      <c r="O62">
        <v>76.563737100031304</v>
      </c>
      <c r="P62">
        <v>225230.39435666599</v>
      </c>
      <c r="Q62">
        <v>199055.97399999999</v>
      </c>
      <c r="R62">
        <v>782.10613584833504</v>
      </c>
      <c r="S62" s="37">
        <v>0</v>
      </c>
      <c r="T62" s="37">
        <v>0</v>
      </c>
      <c r="U62" s="37">
        <v>0</v>
      </c>
      <c r="V62">
        <v>1</v>
      </c>
      <c r="W62" s="37">
        <v>0</v>
      </c>
      <c r="X62">
        <v>0.13217823177046001</v>
      </c>
      <c r="Y62" s="37">
        <v>0</v>
      </c>
      <c r="Z62">
        <v>3.7752422054304499E-4</v>
      </c>
      <c r="AA62">
        <v>4.28706961381961E-5</v>
      </c>
      <c r="AB62">
        <v>3.1142536262320098E-3</v>
      </c>
      <c r="AC62" s="37">
        <v>0</v>
      </c>
      <c r="AD62">
        <v>4.9081176036822301E-3</v>
      </c>
      <c r="AE62">
        <v>-2.40998460287251E-2</v>
      </c>
      <c r="AF62">
        <v>1</v>
      </c>
      <c r="AG62">
        <v>1</v>
      </c>
      <c r="AH62">
        <v>1</v>
      </c>
      <c r="AI62">
        <v>1</v>
      </c>
      <c r="AJ62">
        <v>1</v>
      </c>
      <c r="AK62">
        <v>1</v>
      </c>
      <c r="AL62">
        <v>1</v>
      </c>
      <c r="AM62">
        <v>0</v>
      </c>
      <c r="AN62">
        <v>0</v>
      </c>
      <c r="AO62" t="s">
        <v>65</v>
      </c>
      <c r="AP62">
        <f>-100--75</f>
        <v>-25</v>
      </c>
      <c r="AQ62">
        <v>2985839.61</v>
      </c>
      <c r="AR62">
        <v>15</v>
      </c>
      <c r="AS62" s="37">
        <v>0</v>
      </c>
      <c r="AT62" s="37">
        <v>0</v>
      </c>
      <c r="AU62" s="37">
        <v>0</v>
      </c>
      <c r="AV62">
        <v>100</v>
      </c>
      <c r="AW62" s="37">
        <v>0</v>
      </c>
      <c r="AX62">
        <v>100</v>
      </c>
    </row>
    <row r="63" spans="1:50" x14ac:dyDescent="0.25">
      <c r="A63">
        <v>4.3</v>
      </c>
      <c r="B63">
        <v>0.99550634475364297</v>
      </c>
      <c r="C63">
        <v>8.8452660536773493</v>
      </c>
      <c r="D63">
        <v>5.2610891509947102</v>
      </c>
      <c r="E63">
        <v>7.6879413060304503E-3</v>
      </c>
      <c r="F63">
        <v>4.49365524635647E-3</v>
      </c>
      <c r="G63" s="37">
        <v>0</v>
      </c>
      <c r="H63">
        <v>3.8754078391898901</v>
      </c>
      <c r="I63">
        <v>4.1426231422739299</v>
      </c>
      <c r="J63">
        <v>-62.065275608468198</v>
      </c>
      <c r="K63">
        <v>-58.362227838696299</v>
      </c>
      <c r="L63">
        <v>20.533306268326498</v>
      </c>
      <c r="M63">
        <v>15.3173723400286</v>
      </c>
      <c r="N63">
        <v>78.746356588527703</v>
      </c>
      <c r="O63">
        <v>74.733621395514504</v>
      </c>
      <c r="P63">
        <v>253658.83384519001</v>
      </c>
      <c r="Q63">
        <v>183215.198389261</v>
      </c>
      <c r="R63">
        <v>781.71532127546197</v>
      </c>
      <c r="S63" s="37">
        <v>0</v>
      </c>
      <c r="T63" s="37">
        <v>0</v>
      </c>
      <c r="U63" s="37">
        <v>0</v>
      </c>
      <c r="V63">
        <v>1</v>
      </c>
      <c r="W63" s="37">
        <v>0</v>
      </c>
      <c r="X63">
        <v>0.15768331110903</v>
      </c>
      <c r="Y63" s="37">
        <v>0</v>
      </c>
      <c r="Z63">
        <v>7.1264657948908296E-4</v>
      </c>
      <c r="AA63">
        <v>7.5896280950531197E-5</v>
      </c>
      <c r="AB63">
        <v>2.63746209696412E-3</v>
      </c>
      <c r="AC63" s="37">
        <v>0</v>
      </c>
      <c r="AD63">
        <v>1.06764049105882E-3</v>
      </c>
      <c r="AE63">
        <v>-2.1212521517532001E-2</v>
      </c>
      <c r="AF63">
        <v>0.99566701819617198</v>
      </c>
      <c r="AG63">
        <v>1</v>
      </c>
      <c r="AH63">
        <v>1</v>
      </c>
      <c r="AI63">
        <v>1</v>
      </c>
      <c r="AJ63">
        <v>1</v>
      </c>
      <c r="AK63">
        <v>1</v>
      </c>
      <c r="AL63">
        <v>1</v>
      </c>
      <c r="AM63">
        <v>0</v>
      </c>
      <c r="AN63">
        <v>0</v>
      </c>
      <c r="AO63" t="s">
        <v>66</v>
      </c>
      <c r="AP63">
        <f>-75--50</f>
        <v>-25</v>
      </c>
      <c r="AQ63">
        <v>54598129.119999997</v>
      </c>
      <c r="AR63">
        <v>298</v>
      </c>
      <c r="AS63" s="37">
        <v>0</v>
      </c>
      <c r="AT63" s="37">
        <v>0</v>
      </c>
      <c r="AU63" s="37">
        <v>0</v>
      </c>
      <c r="AV63">
        <v>100</v>
      </c>
      <c r="AW63" s="37">
        <v>0</v>
      </c>
      <c r="AX63">
        <v>100</v>
      </c>
    </row>
    <row r="64" spans="1:50" x14ac:dyDescent="0.25">
      <c r="A64">
        <v>4.3</v>
      </c>
      <c r="B64">
        <v>0.99412404119775899</v>
      </c>
      <c r="C64">
        <v>6.10911542156789</v>
      </c>
      <c r="D64">
        <v>6.8276779473100699</v>
      </c>
      <c r="E64">
        <v>5.2393000986796501E-3</v>
      </c>
      <c r="F64">
        <v>5.87595880224045E-3</v>
      </c>
      <c r="G64" s="37">
        <v>0</v>
      </c>
      <c r="H64">
        <v>3.9337331794347299</v>
      </c>
      <c r="I64">
        <v>4.1358934381727401</v>
      </c>
      <c r="J64">
        <v>-57.987062050997501</v>
      </c>
      <c r="K64">
        <v>-33.5047409308822</v>
      </c>
      <c r="L64">
        <v>16.9672804055526</v>
      </c>
      <c r="M64">
        <v>15.4481221743963</v>
      </c>
      <c r="N64">
        <v>74.279276239167999</v>
      </c>
      <c r="O64">
        <v>72.186535938175993</v>
      </c>
      <c r="P64">
        <v>264061.524804977</v>
      </c>
      <c r="Q64">
        <v>230524.07956009399</v>
      </c>
      <c r="R64">
        <v>783.86911152895505</v>
      </c>
      <c r="S64" s="37">
        <v>0</v>
      </c>
      <c r="T64" s="37">
        <v>0</v>
      </c>
      <c r="U64">
        <v>2.28414120258448E-3</v>
      </c>
      <c r="V64">
        <v>1</v>
      </c>
      <c r="W64" s="37">
        <v>0</v>
      </c>
      <c r="X64">
        <v>0.308707954423458</v>
      </c>
      <c r="Y64" s="37">
        <v>0</v>
      </c>
      <c r="Z64">
        <v>4.4169029644841698E-4</v>
      </c>
      <c r="AA64">
        <v>6.3523872468606701E-5</v>
      </c>
      <c r="AB64">
        <v>2.7300308982072499E-3</v>
      </c>
      <c r="AC64" s="37">
        <v>7.7476567074194104E-9</v>
      </c>
      <c r="AD64">
        <v>2.6406919329238E-3</v>
      </c>
      <c r="AE64">
        <v>-1.20608263629062E-2</v>
      </c>
      <c r="AF64">
        <v>0.97597850851066403</v>
      </c>
      <c r="AG64">
        <v>0.99876642381705805</v>
      </c>
      <c r="AH64">
        <v>1</v>
      </c>
      <c r="AI64">
        <v>1</v>
      </c>
      <c r="AJ64">
        <v>1</v>
      </c>
      <c r="AK64">
        <v>1</v>
      </c>
      <c r="AL64">
        <v>1</v>
      </c>
      <c r="AM64">
        <v>0</v>
      </c>
      <c r="AN64">
        <v>0</v>
      </c>
      <c r="AO64" t="s">
        <v>67</v>
      </c>
      <c r="AP64">
        <f>-50--25</f>
        <v>-25</v>
      </c>
      <c r="AQ64">
        <v>586914306.55999994</v>
      </c>
      <c r="AR64">
        <v>2546</v>
      </c>
      <c r="AS64" s="37">
        <v>0</v>
      </c>
      <c r="AT64" s="37">
        <v>0</v>
      </c>
      <c r="AU64" s="37">
        <v>0</v>
      </c>
      <c r="AV64">
        <v>100</v>
      </c>
      <c r="AW64" s="37">
        <v>0</v>
      </c>
      <c r="AX64">
        <v>100</v>
      </c>
    </row>
    <row r="65" spans="1:50" x14ac:dyDescent="0.25">
      <c r="A65">
        <v>4.3</v>
      </c>
      <c r="B65">
        <v>0.98985186207867903</v>
      </c>
      <c r="C65">
        <v>7.5476108074383204</v>
      </c>
      <c r="D65">
        <v>11.5205421640827</v>
      </c>
      <c r="E65">
        <v>6.5183614926363001E-3</v>
      </c>
      <c r="F65">
        <v>1.01481379213207E-2</v>
      </c>
      <c r="G65" s="37">
        <v>0</v>
      </c>
      <c r="H65">
        <v>4.1214876632708499</v>
      </c>
      <c r="I65">
        <v>4.1334078846296798</v>
      </c>
      <c r="J65">
        <v>-40.061891186289103</v>
      </c>
      <c r="K65">
        <v>-8.3611912096424508</v>
      </c>
      <c r="L65">
        <v>15.571413972315501</v>
      </c>
      <c r="M65">
        <v>15.625428467656</v>
      </c>
      <c r="N65">
        <v>72.112709001809705</v>
      </c>
      <c r="O65">
        <v>70.727766491494293</v>
      </c>
      <c r="P65">
        <v>278786.72749150201</v>
      </c>
      <c r="Q65">
        <v>255296.921537335</v>
      </c>
      <c r="R65">
        <v>783.58961160059903</v>
      </c>
      <c r="S65" s="37">
        <v>0</v>
      </c>
      <c r="T65" s="37">
        <v>0</v>
      </c>
      <c r="U65">
        <v>2.84639604014668E-3</v>
      </c>
      <c r="V65">
        <v>1</v>
      </c>
      <c r="W65" s="37">
        <v>0</v>
      </c>
      <c r="X65">
        <v>0.58850586069084199</v>
      </c>
      <c r="Y65" s="37">
        <v>0</v>
      </c>
      <c r="Z65">
        <v>3.8877255911479099E-4</v>
      </c>
      <c r="AA65">
        <v>6.7447232582009905E-5</v>
      </c>
      <c r="AB65">
        <v>2.6347467579886899E-3</v>
      </c>
      <c r="AC65" s="37">
        <v>1.15326951253463E-8</v>
      </c>
      <c r="AD65">
        <v>7.0571456725335904E-3</v>
      </c>
      <c r="AE65">
        <v>-1.55467071100808E-2</v>
      </c>
      <c r="AF65">
        <v>0.97687924584899199</v>
      </c>
      <c r="AG65">
        <v>0.99866326521162996</v>
      </c>
      <c r="AH65">
        <v>0.99989613458823201</v>
      </c>
      <c r="AI65">
        <v>1</v>
      </c>
      <c r="AJ65">
        <v>1</v>
      </c>
      <c r="AK65">
        <v>1</v>
      </c>
      <c r="AL65">
        <v>1</v>
      </c>
      <c r="AM65">
        <v>0</v>
      </c>
      <c r="AN65">
        <v>0</v>
      </c>
      <c r="AO65" t="s">
        <v>68</v>
      </c>
      <c r="AP65">
        <f>-25-0</f>
        <v>-25</v>
      </c>
      <c r="AQ65">
        <v>4533562732.6599998</v>
      </c>
      <c r="AR65">
        <v>17758</v>
      </c>
      <c r="AS65" s="37">
        <v>0</v>
      </c>
      <c r="AT65" s="37">
        <v>0</v>
      </c>
      <c r="AU65" s="37">
        <v>0</v>
      </c>
      <c r="AV65">
        <v>100</v>
      </c>
      <c r="AW65" s="37">
        <v>0</v>
      </c>
      <c r="AX65">
        <v>100</v>
      </c>
    </row>
    <row r="66" spans="1:50" x14ac:dyDescent="0.25">
      <c r="A66">
        <v>4.3</v>
      </c>
      <c r="B66">
        <v>0.98591471544224596</v>
      </c>
      <c r="C66">
        <v>11.797692900111899</v>
      </c>
      <c r="D66">
        <v>15.652505696396201</v>
      </c>
      <c r="E66">
        <v>1.04068917875793E-2</v>
      </c>
      <c r="F66">
        <v>1.4085284557753401E-2</v>
      </c>
      <c r="G66" s="37">
        <v>0</v>
      </c>
      <c r="H66">
        <v>4.24201146537541</v>
      </c>
      <c r="I66">
        <v>4.0979454766714003</v>
      </c>
      <c r="J66">
        <v>-27.984199181116601</v>
      </c>
      <c r="K66">
        <v>15.327460316238399</v>
      </c>
      <c r="L66">
        <v>15.348389828404899</v>
      </c>
      <c r="M66">
        <v>16.027786325302799</v>
      </c>
      <c r="N66">
        <v>67.860578965234794</v>
      </c>
      <c r="O66">
        <v>66.327590273657506</v>
      </c>
      <c r="P66">
        <v>279876.34461439599</v>
      </c>
      <c r="Q66">
        <v>259921.546070849</v>
      </c>
      <c r="R66">
        <v>784.82080120828596</v>
      </c>
      <c r="S66" s="37">
        <v>0</v>
      </c>
      <c r="T66" s="37">
        <v>0</v>
      </c>
      <c r="U66">
        <v>9.3631668724412608E-3</v>
      </c>
      <c r="V66">
        <v>1</v>
      </c>
      <c r="W66" s="37">
        <v>0</v>
      </c>
      <c r="X66">
        <v>0.76846681733277</v>
      </c>
      <c r="Y66" s="37">
        <v>0</v>
      </c>
      <c r="Z66">
        <v>3.7706138541062002E-4</v>
      </c>
      <c r="AA66">
        <v>7.1435676803686401E-5</v>
      </c>
      <c r="AB66">
        <v>2.7606001825981699E-3</v>
      </c>
      <c r="AC66" s="37">
        <v>4.1713309121907202E-7</v>
      </c>
      <c r="AD66">
        <v>1.0875755798961601E-2</v>
      </c>
      <c r="AE66">
        <v>-1.01707563044521E-2</v>
      </c>
      <c r="AF66">
        <v>0.94085711396139904</v>
      </c>
      <c r="AG66">
        <v>0.99349298824153198</v>
      </c>
      <c r="AH66">
        <v>0.99919156418218802</v>
      </c>
      <c r="AI66">
        <v>0.99978821427807696</v>
      </c>
      <c r="AJ66">
        <v>1</v>
      </c>
      <c r="AK66">
        <v>1</v>
      </c>
      <c r="AL66">
        <v>1</v>
      </c>
      <c r="AM66">
        <v>0</v>
      </c>
      <c r="AN66">
        <v>0</v>
      </c>
      <c r="AO66" t="s">
        <v>69</v>
      </c>
      <c r="AP66" t="s">
        <v>70</v>
      </c>
      <c r="AQ66">
        <v>23068557056.880001</v>
      </c>
      <c r="AR66">
        <v>88752</v>
      </c>
      <c r="AS66" s="37">
        <v>0</v>
      </c>
      <c r="AT66" s="37">
        <v>0</v>
      </c>
      <c r="AU66" s="37">
        <v>0</v>
      </c>
      <c r="AV66">
        <v>100</v>
      </c>
      <c r="AW66" s="37">
        <v>0</v>
      </c>
      <c r="AX66">
        <v>100</v>
      </c>
    </row>
    <row r="67" spans="1:50" x14ac:dyDescent="0.25">
      <c r="A67">
        <v>4.3</v>
      </c>
      <c r="B67">
        <v>0.98030231227533804</v>
      </c>
      <c r="C67">
        <v>17.559910432581599</v>
      </c>
      <c r="D67">
        <v>21.237349167788501</v>
      </c>
      <c r="E67">
        <v>1.5962751643881098E-2</v>
      </c>
      <c r="F67">
        <v>1.9697687724661302E-2</v>
      </c>
      <c r="G67" s="37">
        <v>0</v>
      </c>
      <c r="H67">
        <v>4.3594907102036098</v>
      </c>
      <c r="I67">
        <v>4.0141204595669002</v>
      </c>
      <c r="J67">
        <v>-17.693930366331699</v>
      </c>
      <c r="K67">
        <v>38.111593582191396</v>
      </c>
      <c r="L67">
        <v>15.1430140870684</v>
      </c>
      <c r="M67">
        <v>17.0225065451476</v>
      </c>
      <c r="N67">
        <v>65.665988692689794</v>
      </c>
      <c r="O67">
        <v>63.523641098130099</v>
      </c>
      <c r="P67">
        <v>283223.76242253999</v>
      </c>
      <c r="Q67">
        <v>263596.70277070202</v>
      </c>
      <c r="R67">
        <v>785.18894990548404</v>
      </c>
      <c r="S67" s="37">
        <v>0</v>
      </c>
      <c r="T67" s="37">
        <v>0</v>
      </c>
      <c r="U67">
        <v>1.1352927442291799E-2</v>
      </c>
      <c r="V67">
        <v>1</v>
      </c>
      <c r="W67" s="37">
        <v>0</v>
      </c>
      <c r="X67">
        <v>0.83557601798435299</v>
      </c>
      <c r="Y67" s="37">
        <v>0</v>
      </c>
      <c r="Z67">
        <v>3.7495601123740702E-4</v>
      </c>
      <c r="AA67">
        <v>8.5276545632229301E-5</v>
      </c>
      <c r="AB67">
        <v>3.0262632451651598E-3</v>
      </c>
      <c r="AC67">
        <v>1.9782435521772899E-6</v>
      </c>
      <c r="AD67">
        <v>1.6209199344477902E-2</v>
      </c>
      <c r="AE67">
        <v>4.7233564232454701E-4</v>
      </c>
      <c r="AF67">
        <v>0.87196598454660601</v>
      </c>
      <c r="AG67">
        <v>0.98161996768588899</v>
      </c>
      <c r="AH67">
        <v>0.99805300549600795</v>
      </c>
      <c r="AI67">
        <v>0.99951234919079901</v>
      </c>
      <c r="AJ67">
        <v>1</v>
      </c>
      <c r="AK67">
        <v>1</v>
      </c>
      <c r="AL67">
        <v>1</v>
      </c>
      <c r="AM67">
        <v>0</v>
      </c>
      <c r="AN67">
        <v>0</v>
      </c>
      <c r="AO67" t="s">
        <v>71</v>
      </c>
      <c r="AP67" t="s">
        <v>72</v>
      </c>
      <c r="AQ67">
        <v>46900706937.18</v>
      </c>
      <c r="AR67">
        <v>177926</v>
      </c>
      <c r="AS67" s="37">
        <v>0</v>
      </c>
      <c r="AT67" s="37">
        <v>0</v>
      </c>
      <c r="AU67" s="37">
        <v>0</v>
      </c>
      <c r="AV67">
        <v>100</v>
      </c>
      <c r="AW67" s="37">
        <v>0</v>
      </c>
      <c r="AX67">
        <v>100</v>
      </c>
    </row>
    <row r="68" spans="1:50" x14ac:dyDescent="0.25">
      <c r="A68">
        <v>4.3</v>
      </c>
      <c r="B68">
        <v>0.97383996754805202</v>
      </c>
      <c r="C68">
        <v>25.676065547610602</v>
      </c>
      <c r="D68">
        <v>27.2469617887025</v>
      </c>
      <c r="E68">
        <v>2.4424861373680599E-2</v>
      </c>
      <c r="F68">
        <v>2.6160032451947701E-2</v>
      </c>
      <c r="G68" s="37">
        <v>0</v>
      </c>
      <c r="H68">
        <v>4.53637951880639</v>
      </c>
      <c r="I68">
        <v>3.9428542440460101</v>
      </c>
      <c r="J68">
        <v>-8.8371390344778504</v>
      </c>
      <c r="K68">
        <v>62.9728202331505</v>
      </c>
      <c r="L68">
        <v>15.5219404616345</v>
      </c>
      <c r="M68">
        <v>17.9882326838936</v>
      </c>
      <c r="N68">
        <v>66.904797899983393</v>
      </c>
      <c r="O68">
        <v>64.127384172628695</v>
      </c>
      <c r="P68">
        <v>276197.64999629703</v>
      </c>
      <c r="Q68">
        <v>257200.94768519001</v>
      </c>
      <c r="R68">
        <v>784.491636526403</v>
      </c>
      <c r="S68" s="37">
        <v>0</v>
      </c>
      <c r="T68" s="37">
        <v>0</v>
      </c>
      <c r="U68">
        <v>9.1287563315835298E-3</v>
      </c>
      <c r="V68">
        <v>1</v>
      </c>
      <c r="W68" s="37">
        <v>0</v>
      </c>
      <c r="X68">
        <v>0.81147445723386702</v>
      </c>
      <c r="Y68" s="37">
        <v>0</v>
      </c>
      <c r="Z68">
        <v>3.7766527010380202E-4</v>
      </c>
      <c r="AA68">
        <v>1.17079348247326E-4</v>
      </c>
      <c r="AB68">
        <v>3.25078875820475E-3</v>
      </c>
      <c r="AC68">
        <v>4.6677129012037304E-6</v>
      </c>
      <c r="AD68">
        <v>2.24098169300911E-2</v>
      </c>
      <c r="AE68">
        <v>9.2320769143651692E-3</v>
      </c>
      <c r="AF68">
        <v>0.80256161629786604</v>
      </c>
      <c r="AG68">
        <v>0.97617680738435797</v>
      </c>
      <c r="AH68">
        <v>0.99685624865477696</v>
      </c>
      <c r="AI68">
        <v>0.99925923442040299</v>
      </c>
      <c r="AJ68">
        <v>1</v>
      </c>
      <c r="AK68">
        <v>1</v>
      </c>
      <c r="AL68">
        <v>1</v>
      </c>
      <c r="AM68">
        <v>0</v>
      </c>
      <c r="AN68">
        <v>0</v>
      </c>
      <c r="AO68" t="s">
        <v>73</v>
      </c>
      <c r="AP68" t="s">
        <v>74</v>
      </c>
      <c r="AQ68">
        <v>59067740841.589996</v>
      </c>
      <c r="AR68">
        <v>229656</v>
      </c>
      <c r="AS68" s="37">
        <v>0</v>
      </c>
      <c r="AT68" s="37">
        <v>0</v>
      </c>
      <c r="AU68" s="37">
        <v>0</v>
      </c>
      <c r="AV68">
        <v>100</v>
      </c>
      <c r="AW68" s="37">
        <v>0</v>
      </c>
      <c r="AX68">
        <v>100</v>
      </c>
    </row>
    <row r="69" spans="1:50" x14ac:dyDescent="0.25">
      <c r="A69">
        <v>4.3</v>
      </c>
      <c r="B69">
        <v>0.96838283481545295</v>
      </c>
      <c r="C69">
        <v>31.506465312099301</v>
      </c>
      <c r="D69">
        <v>31.991218711502</v>
      </c>
      <c r="E69">
        <v>3.1043832062453099E-2</v>
      </c>
      <c r="F69">
        <v>3.1617165184546402E-2</v>
      </c>
      <c r="G69" s="37">
        <v>0</v>
      </c>
      <c r="H69">
        <v>4.7068362086288502</v>
      </c>
      <c r="I69">
        <v>3.8993734694148698</v>
      </c>
      <c r="J69">
        <v>-1.7327127368864299</v>
      </c>
      <c r="K69">
        <v>86.340717877121307</v>
      </c>
      <c r="L69">
        <v>15.316941167690199</v>
      </c>
      <c r="M69">
        <v>17.929493116331599</v>
      </c>
      <c r="N69">
        <v>66.053577175593404</v>
      </c>
      <c r="O69">
        <v>62.805532340444003</v>
      </c>
      <c r="P69">
        <v>279970.53491331398</v>
      </c>
      <c r="Q69">
        <v>260672.83163378399</v>
      </c>
      <c r="R69">
        <v>783.73186878484603</v>
      </c>
      <c r="S69" s="37">
        <v>0</v>
      </c>
      <c r="T69" s="37">
        <v>0</v>
      </c>
      <c r="U69">
        <v>1.08206367285758E-2</v>
      </c>
      <c r="V69">
        <v>1</v>
      </c>
      <c r="W69" s="37">
        <v>0</v>
      </c>
      <c r="X69">
        <v>0.80359527928966801</v>
      </c>
      <c r="Y69" s="37">
        <v>0</v>
      </c>
      <c r="Z69">
        <v>3.77470676628319E-4</v>
      </c>
      <c r="AA69">
        <v>1.4268260923068E-4</v>
      </c>
      <c r="AB69">
        <v>3.3466865834394302E-3</v>
      </c>
      <c r="AC69">
        <v>1.00093372215827E-5</v>
      </c>
      <c r="AD69">
        <v>2.7740301402692701E-2</v>
      </c>
      <c r="AE69">
        <v>1.86432806077413E-2</v>
      </c>
      <c r="AF69">
        <v>0.71583084139414499</v>
      </c>
      <c r="AG69">
        <v>0.965508095104046</v>
      </c>
      <c r="AH69">
        <v>0.994275378227085</v>
      </c>
      <c r="AI69">
        <v>0.99900876955821005</v>
      </c>
      <c r="AJ69">
        <v>1</v>
      </c>
      <c r="AK69">
        <v>1</v>
      </c>
      <c r="AL69">
        <v>1</v>
      </c>
      <c r="AM69">
        <v>0</v>
      </c>
      <c r="AN69">
        <v>0</v>
      </c>
      <c r="AO69" t="s">
        <v>75</v>
      </c>
      <c r="AP69" t="s">
        <v>76</v>
      </c>
      <c r="AQ69">
        <v>52624891923.059998</v>
      </c>
      <c r="AR69">
        <v>201881</v>
      </c>
      <c r="AS69" s="37">
        <v>0</v>
      </c>
      <c r="AT69" s="37">
        <v>0</v>
      </c>
      <c r="AU69" s="37">
        <v>0</v>
      </c>
      <c r="AV69">
        <v>100</v>
      </c>
      <c r="AW69" s="37">
        <v>0</v>
      </c>
      <c r="AX69">
        <v>100</v>
      </c>
    </row>
    <row r="70" spans="1:50" x14ac:dyDescent="0.25">
      <c r="A70">
        <v>4.3</v>
      </c>
      <c r="B70">
        <v>0.96402649348351799</v>
      </c>
      <c r="C70">
        <v>35.202875340900803</v>
      </c>
      <c r="D70">
        <v>35.573041008297103</v>
      </c>
      <c r="E70">
        <v>3.5513148980895901E-2</v>
      </c>
      <c r="F70">
        <v>3.5973506516481603E-2</v>
      </c>
      <c r="G70" s="37">
        <v>0</v>
      </c>
      <c r="H70">
        <v>4.8752730433435802</v>
      </c>
      <c r="I70">
        <v>3.8240350539155901</v>
      </c>
      <c r="J70">
        <v>2.86409409631603</v>
      </c>
      <c r="K70">
        <v>111.620608534352</v>
      </c>
      <c r="L70">
        <v>15.5913676928917</v>
      </c>
      <c r="M70">
        <v>18.436837755642699</v>
      </c>
      <c r="N70">
        <v>68.031408991241506</v>
      </c>
      <c r="O70">
        <v>63.715734240727997</v>
      </c>
      <c r="P70">
        <v>274819.07628171402</v>
      </c>
      <c r="Q70">
        <v>256099.68522511501</v>
      </c>
      <c r="R70">
        <v>782.14585442198199</v>
      </c>
      <c r="S70" s="37">
        <v>0</v>
      </c>
      <c r="T70" s="37">
        <v>0</v>
      </c>
      <c r="U70">
        <v>1.09320845296691E-2</v>
      </c>
      <c r="V70">
        <v>1</v>
      </c>
      <c r="W70" s="37">
        <v>0</v>
      </c>
      <c r="X70">
        <v>0.75570179325089804</v>
      </c>
      <c r="Y70" s="37">
        <v>0</v>
      </c>
      <c r="Z70">
        <v>3.7801050960002501E-4</v>
      </c>
      <c r="AA70">
        <v>1.99425122535345E-4</v>
      </c>
      <c r="AB70">
        <v>3.5188810446946102E-3</v>
      </c>
      <c r="AC70">
        <v>2.2498400626739001E-5</v>
      </c>
      <c r="AD70">
        <v>3.18546766628236E-2</v>
      </c>
      <c r="AE70">
        <v>3.4409915385996297E-2</v>
      </c>
      <c r="AF70">
        <v>0.58562118034342403</v>
      </c>
      <c r="AG70">
        <v>0.94979627255111798</v>
      </c>
      <c r="AH70">
        <v>0.99044619209172702</v>
      </c>
      <c r="AI70">
        <v>0.99804398866586796</v>
      </c>
      <c r="AJ70">
        <v>1</v>
      </c>
      <c r="AK70">
        <v>1</v>
      </c>
      <c r="AL70">
        <v>1</v>
      </c>
      <c r="AM70">
        <v>0</v>
      </c>
      <c r="AN70">
        <v>0</v>
      </c>
      <c r="AO70" t="s">
        <v>77</v>
      </c>
      <c r="AP70" t="s">
        <v>78</v>
      </c>
      <c r="AQ70">
        <v>30215665261.599998</v>
      </c>
      <c r="AR70">
        <v>117984</v>
      </c>
      <c r="AS70" s="37">
        <v>0</v>
      </c>
      <c r="AT70" s="37">
        <v>0</v>
      </c>
      <c r="AU70" s="37">
        <v>0</v>
      </c>
      <c r="AV70">
        <v>100</v>
      </c>
      <c r="AW70" s="37">
        <v>0</v>
      </c>
      <c r="AX70">
        <v>100</v>
      </c>
    </row>
    <row r="71" spans="1:50" x14ac:dyDescent="0.25">
      <c r="A71">
        <v>4.3</v>
      </c>
      <c r="B71">
        <v>0.960024139589714</v>
      </c>
      <c r="C71">
        <v>35.292651765802297</v>
      </c>
      <c r="D71">
        <v>38.710533507200701</v>
      </c>
      <c r="E71">
        <v>3.5624577813361397E-2</v>
      </c>
      <c r="F71">
        <v>3.9975860410285897E-2</v>
      </c>
      <c r="G71" s="37">
        <v>0</v>
      </c>
      <c r="H71">
        <v>4.9483919784514701</v>
      </c>
      <c r="I71">
        <v>3.7110584843610299</v>
      </c>
      <c r="J71">
        <v>4.1983428332845101</v>
      </c>
      <c r="K71">
        <v>134.92878797041399</v>
      </c>
      <c r="L71">
        <v>15.244953319235799</v>
      </c>
      <c r="M71">
        <v>19.3505092158174</v>
      </c>
      <c r="N71">
        <v>68.3229342646719</v>
      </c>
      <c r="O71">
        <v>62.191559554746497</v>
      </c>
      <c r="P71">
        <v>281087.83051960898</v>
      </c>
      <c r="Q71">
        <v>261925.422283085</v>
      </c>
      <c r="R71">
        <v>781.44082953208704</v>
      </c>
      <c r="S71" s="37">
        <v>0</v>
      </c>
      <c r="T71" s="37">
        <v>0</v>
      </c>
      <c r="U71">
        <v>1.20813835521534E-2</v>
      </c>
      <c r="V71">
        <v>1</v>
      </c>
      <c r="W71" s="37">
        <v>0</v>
      </c>
      <c r="X71">
        <v>0.77661137775031597</v>
      </c>
      <c r="Y71" s="37">
        <v>0</v>
      </c>
      <c r="Z71">
        <v>3.7698948610251397E-4</v>
      </c>
      <c r="AA71">
        <v>2.4306138853914401E-4</v>
      </c>
      <c r="AB71">
        <v>3.5621477852885298E-3</v>
      </c>
      <c r="AC71">
        <v>5.0290330474990101E-5</v>
      </c>
      <c r="AD71">
        <v>3.5743356532200003E-2</v>
      </c>
      <c r="AE71">
        <v>6.4840858702124193E-2</v>
      </c>
      <c r="AF71">
        <v>0.42223723773576399</v>
      </c>
      <c r="AG71">
        <v>0.909800688033787</v>
      </c>
      <c r="AH71">
        <v>0.97985649729301205</v>
      </c>
      <c r="AI71">
        <v>0.99714418306418096</v>
      </c>
      <c r="AJ71">
        <v>1</v>
      </c>
      <c r="AK71">
        <v>1</v>
      </c>
      <c r="AL71">
        <v>1</v>
      </c>
      <c r="AM71">
        <v>0</v>
      </c>
      <c r="AN71">
        <v>0</v>
      </c>
      <c r="AO71" t="s">
        <v>79</v>
      </c>
      <c r="AP71" t="s">
        <v>80</v>
      </c>
      <c r="AQ71">
        <v>14091587718.83</v>
      </c>
      <c r="AR71">
        <v>53800</v>
      </c>
      <c r="AS71" s="37">
        <v>0</v>
      </c>
      <c r="AT71" s="37">
        <v>0</v>
      </c>
      <c r="AU71" s="37">
        <v>0</v>
      </c>
      <c r="AV71">
        <v>100</v>
      </c>
      <c r="AW71" s="37">
        <v>0</v>
      </c>
      <c r="AX71">
        <v>100</v>
      </c>
    </row>
    <row r="72" spans="1:50" x14ac:dyDescent="0.25">
      <c r="A72">
        <v>4.3</v>
      </c>
      <c r="B72">
        <v>0.95692142077054998</v>
      </c>
      <c r="C72">
        <v>34.084038108405203</v>
      </c>
      <c r="D72">
        <v>41.045723098493497</v>
      </c>
      <c r="E72">
        <v>3.4136214325988998E-2</v>
      </c>
      <c r="F72">
        <v>4.3078579229449E-2</v>
      </c>
      <c r="G72" s="37">
        <v>0</v>
      </c>
      <c r="H72">
        <v>5.1459085180182198</v>
      </c>
      <c r="I72">
        <v>3.6852226680660198</v>
      </c>
      <c r="J72">
        <v>19.409020014635701</v>
      </c>
      <c r="K72">
        <v>160.59319451300999</v>
      </c>
      <c r="L72">
        <v>15.6436358004993</v>
      </c>
      <c r="M72">
        <v>19.608127803771499</v>
      </c>
      <c r="N72">
        <v>73.204530356272798</v>
      </c>
      <c r="O72">
        <v>65.656036121563403</v>
      </c>
      <c r="P72">
        <v>273651.28127528302</v>
      </c>
      <c r="Q72">
        <v>255259.41225758501</v>
      </c>
      <c r="R72">
        <v>779.35191020138404</v>
      </c>
      <c r="S72" s="37">
        <v>0</v>
      </c>
      <c r="T72" s="37">
        <v>0</v>
      </c>
      <c r="U72">
        <v>1.1262599635283199E-2</v>
      </c>
      <c r="V72">
        <v>1</v>
      </c>
      <c r="W72" s="37">
        <v>0</v>
      </c>
      <c r="X72">
        <v>0.86951356159132298</v>
      </c>
      <c r="Y72" s="37">
        <v>0</v>
      </c>
      <c r="Z72">
        <v>3.8342289072933601E-4</v>
      </c>
      <c r="AA72">
        <v>3.5448862814769702E-4</v>
      </c>
      <c r="AB72">
        <v>3.6686534865229699E-3</v>
      </c>
      <c r="AC72">
        <v>6.9191811054382301E-5</v>
      </c>
      <c r="AD72">
        <v>3.8602807401874599E-2</v>
      </c>
      <c r="AE72">
        <v>7.9609892302351007E-2</v>
      </c>
      <c r="AF72">
        <v>0.33058697789358199</v>
      </c>
      <c r="AG72">
        <v>0.87412835212857698</v>
      </c>
      <c r="AH72">
        <v>0.97213330832731404</v>
      </c>
      <c r="AI72">
        <v>0.99550186806441998</v>
      </c>
      <c r="AJ72">
        <v>1</v>
      </c>
      <c r="AK72">
        <v>1</v>
      </c>
      <c r="AL72">
        <v>1</v>
      </c>
      <c r="AM72">
        <v>0</v>
      </c>
      <c r="AN72">
        <v>0</v>
      </c>
      <c r="AO72" t="s">
        <v>81</v>
      </c>
      <c r="AP72" t="s">
        <v>82</v>
      </c>
      <c r="AQ72">
        <v>3440641617.8200002</v>
      </c>
      <c r="AR72">
        <v>13479</v>
      </c>
      <c r="AS72" s="37">
        <v>0</v>
      </c>
      <c r="AT72" s="37">
        <v>0</v>
      </c>
      <c r="AU72" s="37">
        <v>0</v>
      </c>
      <c r="AV72">
        <v>100</v>
      </c>
      <c r="AW72" s="37">
        <v>0</v>
      </c>
      <c r="AX72">
        <v>100</v>
      </c>
    </row>
    <row r="73" spans="1:50" x14ac:dyDescent="0.25">
      <c r="A73">
        <v>4.3</v>
      </c>
      <c r="B73">
        <v>0.95324539802312203</v>
      </c>
      <c r="C73">
        <v>33.665359871941803</v>
      </c>
      <c r="D73">
        <v>43.706713052519298</v>
      </c>
      <c r="E73">
        <v>3.3626457099512501E-2</v>
      </c>
      <c r="F73">
        <v>4.6754601976877398E-2</v>
      </c>
      <c r="G73" s="37">
        <v>0</v>
      </c>
      <c r="H73">
        <v>5.2300294691854399</v>
      </c>
      <c r="I73">
        <v>3.65881897020031</v>
      </c>
      <c r="J73">
        <v>27.5105215681697</v>
      </c>
      <c r="K73">
        <v>182.55437546943199</v>
      </c>
      <c r="L73">
        <v>14.769761298689801</v>
      </c>
      <c r="M73">
        <v>20.164569774608999</v>
      </c>
      <c r="N73">
        <v>75.884240648583798</v>
      </c>
      <c r="O73">
        <v>66.8537016725532</v>
      </c>
      <c r="P73">
        <v>289325.65505929501</v>
      </c>
      <c r="Q73">
        <v>270360.544728935</v>
      </c>
      <c r="R73">
        <v>778.12210444987204</v>
      </c>
      <c r="S73" s="37">
        <v>0</v>
      </c>
      <c r="T73" s="37">
        <v>0</v>
      </c>
      <c r="U73">
        <v>1.3852780085121599E-2</v>
      </c>
      <c r="V73">
        <v>1</v>
      </c>
      <c r="W73" s="37">
        <v>0</v>
      </c>
      <c r="X73">
        <v>0.85221977638386703</v>
      </c>
      <c r="Y73" s="37">
        <v>0</v>
      </c>
      <c r="Z73">
        <v>3.8805998662553198E-4</v>
      </c>
      <c r="AA73">
        <v>5.2770322687382195E-4</v>
      </c>
      <c r="AB73">
        <v>3.6357914284036201E-3</v>
      </c>
      <c r="AC73">
        <v>1.3058948228871501E-4</v>
      </c>
      <c r="AD73">
        <v>4.2072442667634699E-2</v>
      </c>
      <c r="AE73">
        <v>9.65949180004404E-2</v>
      </c>
      <c r="AF73">
        <v>0.255037837503992</v>
      </c>
      <c r="AG73">
        <v>0.81629255907895903</v>
      </c>
      <c r="AH73">
        <v>0.94230196100390295</v>
      </c>
      <c r="AI73">
        <v>0.99203386852364395</v>
      </c>
      <c r="AJ73">
        <v>1</v>
      </c>
      <c r="AK73">
        <v>1</v>
      </c>
      <c r="AL73">
        <v>1</v>
      </c>
      <c r="AM73">
        <v>0</v>
      </c>
      <c r="AN73">
        <v>0</v>
      </c>
      <c r="AO73" t="s">
        <v>83</v>
      </c>
      <c r="AP73" t="s">
        <v>84</v>
      </c>
      <c r="AQ73">
        <v>827843987.96000004</v>
      </c>
      <c r="AR73">
        <v>3062</v>
      </c>
      <c r="AS73" s="37">
        <v>0</v>
      </c>
      <c r="AT73" s="37">
        <v>0</v>
      </c>
      <c r="AU73" s="37">
        <v>0</v>
      </c>
      <c r="AV73">
        <v>100</v>
      </c>
      <c r="AW73" s="37">
        <v>0</v>
      </c>
      <c r="AX73">
        <v>100</v>
      </c>
    </row>
    <row r="74" spans="1:50" x14ac:dyDescent="0.25">
      <c r="A74">
        <v>4.3</v>
      </c>
      <c r="B74">
        <v>0.95105383007684796</v>
      </c>
      <c r="C74">
        <v>28.261046737152199</v>
      </c>
      <c r="D74">
        <v>45.240284040715402</v>
      </c>
      <c r="E74">
        <v>2.7298498426786399E-2</v>
      </c>
      <c r="F74">
        <v>4.8946169923151102E-2</v>
      </c>
      <c r="G74" s="37">
        <v>0</v>
      </c>
      <c r="H74">
        <v>5.2464186800367099</v>
      </c>
      <c r="I74">
        <v>3.69172285194899</v>
      </c>
      <c r="J74">
        <v>34.717273760760897</v>
      </c>
      <c r="K74">
        <v>210.090614075605</v>
      </c>
      <c r="L74">
        <v>15.0628190517424</v>
      </c>
      <c r="M74">
        <v>19.5938189736627</v>
      </c>
      <c r="N74">
        <v>85.7916585505439</v>
      </c>
      <c r="O74">
        <v>73.984501983366698</v>
      </c>
      <c r="P74">
        <v>285262.204090774</v>
      </c>
      <c r="Q74">
        <v>265099.50371980597</v>
      </c>
      <c r="R74">
        <v>777.48058414718002</v>
      </c>
      <c r="S74" s="37">
        <v>0</v>
      </c>
      <c r="T74" s="37">
        <v>0</v>
      </c>
      <c r="U74">
        <v>1.8733180614728201E-2</v>
      </c>
      <c r="V74">
        <v>1</v>
      </c>
      <c r="W74" s="37">
        <v>0</v>
      </c>
      <c r="X74">
        <v>0.76619444473884202</v>
      </c>
      <c r="Y74" s="37">
        <v>0</v>
      </c>
      <c r="Z74">
        <v>3.93557459393304E-4</v>
      </c>
      <c r="AA74">
        <v>5.5744886441279405E-4</v>
      </c>
      <c r="AB74">
        <v>4.0135355441274102E-3</v>
      </c>
      <c r="AC74">
        <v>2.998124646368E-4</v>
      </c>
      <c r="AD74">
        <v>4.3681799840299997E-2</v>
      </c>
      <c r="AE74">
        <v>0.120093667509478</v>
      </c>
      <c r="AF74">
        <v>0.14854476835838101</v>
      </c>
      <c r="AG74">
        <v>0.69660049824911896</v>
      </c>
      <c r="AH74">
        <v>0.85633042659728598</v>
      </c>
      <c r="AI74">
        <v>0.97462641676318995</v>
      </c>
      <c r="AJ74">
        <v>1</v>
      </c>
      <c r="AK74">
        <v>1</v>
      </c>
      <c r="AL74">
        <v>1</v>
      </c>
      <c r="AM74">
        <v>0</v>
      </c>
      <c r="AN74">
        <v>0</v>
      </c>
      <c r="AO74" t="s">
        <v>85</v>
      </c>
      <c r="AP74" t="s">
        <v>86</v>
      </c>
      <c r="AQ74">
        <v>109751194.54000001</v>
      </c>
      <c r="AR74">
        <v>414</v>
      </c>
      <c r="AS74" s="37">
        <v>0</v>
      </c>
      <c r="AT74" s="37">
        <v>0</v>
      </c>
      <c r="AU74" s="37">
        <v>0</v>
      </c>
      <c r="AV74">
        <v>100</v>
      </c>
      <c r="AW74" s="37">
        <v>0</v>
      </c>
      <c r="AX74">
        <v>100</v>
      </c>
    </row>
    <row r="75" spans="1:50" x14ac:dyDescent="0.25">
      <c r="A75">
        <v>4.3</v>
      </c>
      <c r="B75">
        <v>0.95106712329963905</v>
      </c>
      <c r="C75">
        <v>0.36622219306755499</v>
      </c>
      <c r="D75">
        <v>45.231098578728002</v>
      </c>
      <c r="E75">
        <v>3.0569862156209999E-4</v>
      </c>
      <c r="F75">
        <v>4.8932876700360402E-2</v>
      </c>
      <c r="G75" s="37">
        <v>0</v>
      </c>
      <c r="H75">
        <v>5.3142704746798097</v>
      </c>
      <c r="I75">
        <v>3.6726424055235101</v>
      </c>
      <c r="J75">
        <v>37.399005099148297</v>
      </c>
      <c r="K75">
        <v>234.928818371413</v>
      </c>
      <c r="L75">
        <v>14.685725801905299</v>
      </c>
      <c r="M75">
        <v>20.006515851593601</v>
      </c>
      <c r="N75">
        <v>88.220186954252696</v>
      </c>
      <c r="O75">
        <v>75.4436604361658</v>
      </c>
      <c r="P75">
        <v>291527.89096783998</v>
      </c>
      <c r="Q75">
        <v>271913.73197278898</v>
      </c>
      <c r="R75">
        <v>780.63111333434904</v>
      </c>
      <c r="S75" s="37">
        <v>0</v>
      </c>
      <c r="T75" s="37">
        <v>0</v>
      </c>
      <c r="U75">
        <v>2.8012040363361902E-2</v>
      </c>
      <c r="V75">
        <v>1</v>
      </c>
      <c r="W75" s="37">
        <v>0</v>
      </c>
      <c r="X75">
        <v>0.75461686920681104</v>
      </c>
      <c r="Y75" s="37">
        <v>0</v>
      </c>
      <c r="Z75">
        <v>3.96296718470781E-4</v>
      </c>
      <c r="AA75">
        <v>5.5646500274883601E-4</v>
      </c>
      <c r="AB75">
        <v>3.9214944734304504E-3</v>
      </c>
      <c r="AC75">
        <v>3.8539020046526802E-4</v>
      </c>
      <c r="AD75">
        <v>4.3673214883734601E-2</v>
      </c>
      <c r="AE75">
        <v>0.127046951028637</v>
      </c>
      <c r="AF75">
        <v>7.0359430424194194E-2</v>
      </c>
      <c r="AG75">
        <v>0.653377307897968</v>
      </c>
      <c r="AH75">
        <v>0.82154449340582902</v>
      </c>
      <c r="AI75">
        <v>0.98275269582925295</v>
      </c>
      <c r="AJ75">
        <v>1</v>
      </c>
      <c r="AK75">
        <v>1</v>
      </c>
      <c r="AL75">
        <v>1</v>
      </c>
      <c r="AM75">
        <v>0</v>
      </c>
      <c r="AN75">
        <v>0</v>
      </c>
      <c r="AO75" t="s">
        <v>87</v>
      </c>
      <c r="AP75" t="s">
        <v>88</v>
      </c>
      <c r="AQ75">
        <v>39971318.600000001</v>
      </c>
      <c r="AR75">
        <v>147</v>
      </c>
      <c r="AS75" s="37">
        <v>0</v>
      </c>
      <c r="AT75" s="37">
        <v>0</v>
      </c>
      <c r="AU75" s="37">
        <v>0</v>
      </c>
      <c r="AV75">
        <v>100</v>
      </c>
      <c r="AW75" s="37">
        <v>0</v>
      </c>
      <c r="AX75">
        <v>100</v>
      </c>
    </row>
    <row r="76" spans="1:50" x14ac:dyDescent="0.25">
      <c r="A76">
        <v>4.3</v>
      </c>
      <c r="B76">
        <v>0.95286034594978397</v>
      </c>
      <c r="C76">
        <v>34.576458281537199</v>
      </c>
      <c r="D76">
        <v>43.978975645168497</v>
      </c>
      <c r="E76">
        <v>3.4739567290702898E-2</v>
      </c>
      <c r="F76">
        <v>4.7139654050215501E-2</v>
      </c>
      <c r="G76" s="37">
        <v>0</v>
      </c>
      <c r="H76">
        <v>5.4833120084995297</v>
      </c>
      <c r="I76">
        <v>3.6729403220961898</v>
      </c>
      <c r="J76">
        <v>47.391439883256403</v>
      </c>
      <c r="K76">
        <v>265.60644549534697</v>
      </c>
      <c r="L76">
        <v>14.277030255506199</v>
      </c>
      <c r="M76">
        <v>20.573625950846299</v>
      </c>
      <c r="N76">
        <v>88.917567716743804</v>
      </c>
      <c r="O76">
        <v>76.022172327895106</v>
      </c>
      <c r="P76">
        <v>295376.62379078899</v>
      </c>
      <c r="Q76">
        <v>279697.78473684198</v>
      </c>
      <c r="R76">
        <v>783.97377999480602</v>
      </c>
      <c r="S76" s="37">
        <v>0</v>
      </c>
      <c r="T76" s="37">
        <v>0</v>
      </c>
      <c r="U76" s="37">
        <v>0</v>
      </c>
      <c r="V76">
        <v>1</v>
      </c>
      <c r="W76" s="37">
        <v>0</v>
      </c>
      <c r="X76">
        <v>0.94361767122689999</v>
      </c>
      <c r="Y76" s="37">
        <v>0</v>
      </c>
      <c r="Z76">
        <v>3.9082394423278299E-4</v>
      </c>
      <c r="AA76">
        <v>6.3181952604973702E-4</v>
      </c>
      <c r="AB76">
        <v>4.0903138794649999E-3</v>
      </c>
      <c r="AC76">
        <v>1.7462634454327701E-4</v>
      </c>
      <c r="AD76">
        <v>4.1852053064363202E-2</v>
      </c>
      <c r="AE76">
        <v>0.12851392145829801</v>
      </c>
      <c r="AF76">
        <v>9.9460969393059304E-2</v>
      </c>
      <c r="AG76">
        <v>0.56324577655534402</v>
      </c>
      <c r="AH76">
        <v>0.94738828172530298</v>
      </c>
      <c r="AI76">
        <v>1</v>
      </c>
      <c r="AJ76">
        <v>1</v>
      </c>
      <c r="AK76">
        <v>1</v>
      </c>
      <c r="AL76">
        <v>1</v>
      </c>
      <c r="AM76">
        <v>0</v>
      </c>
      <c r="AN76">
        <v>0</v>
      </c>
      <c r="AO76" t="s">
        <v>162</v>
      </c>
      <c r="AP76" t="s">
        <v>163</v>
      </c>
      <c r="AQ76">
        <v>15942773.73</v>
      </c>
      <c r="AR76">
        <v>57</v>
      </c>
      <c r="AS76" s="37">
        <v>0</v>
      </c>
      <c r="AT76" s="37">
        <v>0</v>
      </c>
      <c r="AU76" s="37">
        <v>0</v>
      </c>
      <c r="AV76">
        <v>100</v>
      </c>
      <c r="AW76" s="37">
        <v>0</v>
      </c>
      <c r="AX76">
        <v>100</v>
      </c>
    </row>
    <row r="80" spans="1:50" x14ac:dyDescent="0.25">
      <c r="D80" t="str">
        <f>C1</f>
        <v>BROKER</v>
      </c>
      <c r="H80" t="str">
        <f>C19</f>
        <v>CORRES</v>
      </c>
      <c r="L80" t="str">
        <f>C38</f>
        <v>CashWindow</v>
      </c>
      <c r="P80" t="str">
        <f>C59</f>
        <v>NonCashWindow</v>
      </c>
    </row>
    <row r="81" spans="4:25" x14ac:dyDescent="0.25">
      <c r="D81" t="str">
        <f>AO2</f>
        <v>groupByColumn</v>
      </c>
      <c r="E81" t="str">
        <f>E2</f>
        <v>PREPAY_SMM1</v>
      </c>
      <c r="F81" t="s">
        <v>166</v>
      </c>
      <c r="H81" t="str">
        <f>AO20</f>
        <v>groupByColumn</v>
      </c>
      <c r="I81" t="str">
        <f>E20</f>
        <v>PREPAY_SMM1</v>
      </c>
      <c r="J81" t="s">
        <v>166</v>
      </c>
      <c r="L81" t="str">
        <f>AO39</f>
        <v>groupByColumn</v>
      </c>
      <c r="M81" t="str">
        <f>E39</f>
        <v>PREPAY_SMM1</v>
      </c>
      <c r="N81" t="s">
        <v>166</v>
      </c>
      <c r="P81" t="str">
        <f>AO60</f>
        <v>groupByColumn</v>
      </c>
      <c r="Q81" t="str">
        <f>E60</f>
        <v>PREPAY_SMM1</v>
      </c>
      <c r="R81" t="s">
        <v>166</v>
      </c>
      <c r="U81" t="s">
        <v>59</v>
      </c>
      <c r="V81" t="s">
        <v>134</v>
      </c>
      <c r="W81" t="s">
        <v>164</v>
      </c>
      <c r="X81" t="s">
        <v>165</v>
      </c>
      <c r="Y81" t="s">
        <v>130</v>
      </c>
    </row>
    <row r="82" spans="4:25" x14ac:dyDescent="0.25">
      <c r="D82" t="str">
        <f t="shared" ref="D82:D94" si="0">AO3</f>
        <v>06:-75--50</v>
      </c>
      <c r="E82">
        <f t="shared" ref="E82:E94" si="1">E3</f>
        <v>2.9157422292598401E-3</v>
      </c>
      <c r="F82">
        <f>100*(1-(1-E82)^12)</f>
        <v>3.4433222093304794</v>
      </c>
      <c r="H82" t="str">
        <f>AO21</f>
        <v>04:-125--100</v>
      </c>
      <c r="I82">
        <f>E21</f>
        <v>1.0083504526031401E-8</v>
      </c>
      <c r="J82">
        <f>100*(1-(1-I82)^12)</f>
        <v>1.2100204682674587E-5</v>
      </c>
      <c r="L82" t="str">
        <f>AO40</f>
        <v>03:-150--125</v>
      </c>
      <c r="M82">
        <f>E40</f>
        <v>0</v>
      </c>
      <c r="N82">
        <f>100*(1-(1-M82)^12)</f>
        <v>0</v>
      </c>
      <c r="P82" t="str">
        <f>AO61</f>
        <v>04:-125--100</v>
      </c>
      <c r="Q82">
        <f>E61</f>
        <v>0</v>
      </c>
      <c r="R82">
        <f>100*(1-(1-Q82)^12)</f>
        <v>0</v>
      </c>
      <c r="U82" t="s">
        <v>63</v>
      </c>
      <c r="V82" t="e">
        <f>VLOOKUP(U82,$D$81:$F$98,3,0)</f>
        <v>#N/A</v>
      </c>
      <c r="W82" t="e">
        <f>VLOOKUP(U82,$H$81:$J$98,3,0)</f>
        <v>#N/A</v>
      </c>
      <c r="X82">
        <f>VLOOKUP(U82,$L$81:$N$98,3,0)</f>
        <v>0</v>
      </c>
      <c r="Y82" t="e">
        <f>VLOOKUP(U82,$P$81:$R$98,3,0)</f>
        <v>#N/A</v>
      </c>
    </row>
    <row r="83" spans="4:25" x14ac:dyDescent="0.25">
      <c r="D83" t="str">
        <f t="shared" si="0"/>
        <v>07:-50--25</v>
      </c>
      <c r="E83">
        <f t="shared" si="1"/>
        <v>2.25752251921006E-3</v>
      </c>
      <c r="F83">
        <f t="shared" ref="F83:F94" si="2">100*(1-(1-E83)^12)</f>
        <v>2.6756425653229554</v>
      </c>
      <c r="H83" t="str">
        <f>AO22</f>
        <v>05:-100--75</v>
      </c>
      <c r="I83">
        <f>E22</f>
        <v>6.8667181026693799E-3</v>
      </c>
      <c r="J83">
        <f t="shared" ref="J83:J96" si="3">100*(1-(1-I83)^12)</f>
        <v>7.9358739953947595</v>
      </c>
      <c r="L83" t="str">
        <f>AO41</f>
        <v>04:-125--100</v>
      </c>
      <c r="M83">
        <f>E41</f>
        <v>0</v>
      </c>
      <c r="N83">
        <f t="shared" ref="N83:N97" si="4">100*(1-(1-M83)^12)</f>
        <v>0</v>
      </c>
      <c r="P83" t="str">
        <f>AO62</f>
        <v>05:-100--75</v>
      </c>
      <c r="Q83">
        <f>E62</f>
        <v>1.8160552716067701E-3</v>
      </c>
      <c r="R83">
        <f t="shared" ref="R83:R96" si="5">100*(1-(1-Q83)^12)</f>
        <v>2.1576303824957122</v>
      </c>
      <c r="U83" t="s">
        <v>64</v>
      </c>
      <c r="V83" t="e">
        <f t="shared" ref="V83:V97" si="6">VLOOKUP(U83,$D$81:$F$98,3,0)</f>
        <v>#N/A</v>
      </c>
      <c r="W83">
        <f t="shared" ref="W83:W97" si="7">VLOOKUP(U83,$H$81:$J$98,3,0)</f>
        <v>1.2100204682674587E-5</v>
      </c>
      <c r="X83">
        <f t="shared" ref="X83:X97" si="8">VLOOKUP(U83,$L$81:$N$98,3,0)</f>
        <v>0</v>
      </c>
      <c r="Y83">
        <f t="shared" ref="Y83:Y97" si="9">VLOOKUP(U83,$P$81:$R$98,3,0)</f>
        <v>0</v>
      </c>
    </row>
    <row r="84" spans="4:25" x14ac:dyDescent="0.25">
      <c r="D84" t="str">
        <f t="shared" si="0"/>
        <v>08:-25-0</v>
      </c>
      <c r="E84">
        <f t="shared" si="1"/>
        <v>1.29844706370965E-2</v>
      </c>
      <c r="F84">
        <f t="shared" si="2"/>
        <v>14.515410770881477</v>
      </c>
      <c r="H84" t="str">
        <f>AO23</f>
        <v>06:-75--50</v>
      </c>
      <c r="I84">
        <f>E23</f>
        <v>1.5380346705518499E-3</v>
      </c>
      <c r="J84">
        <f t="shared" si="3"/>
        <v>1.8301087366494606</v>
      </c>
      <c r="L84" t="str">
        <f>AO42</f>
        <v>05:-100--75</v>
      </c>
      <c r="M84">
        <f>E42</f>
        <v>1.0697277709633701E-2</v>
      </c>
      <c r="N84">
        <f t="shared" si="4"/>
        <v>12.107776852550668</v>
      </c>
      <c r="P84" t="str">
        <f>AO63</f>
        <v>06:-75--50</v>
      </c>
      <c r="Q84">
        <f>E63</f>
        <v>7.6879413060304503E-3</v>
      </c>
      <c r="R84">
        <f t="shared" si="5"/>
        <v>8.845266053677193</v>
      </c>
      <c r="U84" t="s">
        <v>65</v>
      </c>
      <c r="V84" t="e">
        <f t="shared" si="6"/>
        <v>#N/A</v>
      </c>
      <c r="W84">
        <f t="shared" si="7"/>
        <v>7.9358739953947595</v>
      </c>
      <c r="X84">
        <f t="shared" si="8"/>
        <v>12.107776852550668</v>
      </c>
      <c r="Y84">
        <f t="shared" si="9"/>
        <v>2.1576303824957122</v>
      </c>
    </row>
    <row r="85" spans="4:25" x14ac:dyDescent="0.25">
      <c r="D85" t="str">
        <f t="shared" si="0"/>
        <v>09:0-25</v>
      </c>
      <c r="E85">
        <f t="shared" si="1"/>
        <v>2.5939486473995702E-2</v>
      </c>
      <c r="F85">
        <f t="shared" si="2"/>
        <v>27.048998367252651</v>
      </c>
      <c r="H85" t="str">
        <f>AO24</f>
        <v>07:-50--25</v>
      </c>
      <c r="I85">
        <f>E24</f>
        <v>2.88456049451831E-3</v>
      </c>
      <c r="J85">
        <f t="shared" si="3"/>
        <v>3.4070806667749864</v>
      </c>
      <c r="L85" t="str">
        <f>AO43</f>
        <v>06:-75--50</v>
      </c>
      <c r="M85">
        <f>E43</f>
        <v>2.6366897999839999E-2</v>
      </c>
      <c r="N85">
        <f t="shared" si="4"/>
        <v>27.432197884991893</v>
      </c>
      <c r="P85" t="str">
        <f>AO64</f>
        <v>07:-50--25</v>
      </c>
      <c r="Q85">
        <f>E64</f>
        <v>5.2393000986796501E-3</v>
      </c>
      <c r="R85">
        <f t="shared" si="5"/>
        <v>6.1091154215680232</v>
      </c>
      <c r="U85" t="s">
        <v>66</v>
      </c>
      <c r="V85">
        <f t="shared" si="6"/>
        <v>3.4433222093304794</v>
      </c>
      <c r="W85">
        <f t="shared" si="7"/>
        <v>1.8301087366494606</v>
      </c>
      <c r="X85">
        <f t="shared" si="8"/>
        <v>27.432197884991893</v>
      </c>
      <c r="Y85">
        <f t="shared" si="9"/>
        <v>8.845266053677193</v>
      </c>
    </row>
    <row r="86" spans="4:25" x14ac:dyDescent="0.25">
      <c r="D86" t="str">
        <f t="shared" si="0"/>
        <v>10:25-50</v>
      </c>
      <c r="E86">
        <f t="shared" si="1"/>
        <v>4.1027432936049102E-2</v>
      </c>
      <c r="F86">
        <f t="shared" si="2"/>
        <v>39.511306539507082</v>
      </c>
      <c r="H86" t="str">
        <f>AO25</f>
        <v>08:-25-0</v>
      </c>
      <c r="I86">
        <f>E25</f>
        <v>7.5443497930416104E-3</v>
      </c>
      <c r="J86">
        <f t="shared" si="3"/>
        <v>8.6868545747934895</v>
      </c>
      <c r="L86" t="str">
        <f>AO44</f>
        <v>07:-50--25</v>
      </c>
      <c r="M86">
        <f>E44</f>
        <v>2.2759411103495898E-3</v>
      </c>
      <c r="N86">
        <f t="shared" si="4"/>
        <v>2.6971999783365286</v>
      </c>
      <c r="P86" t="str">
        <f>AO65</f>
        <v>08:-25-0</v>
      </c>
      <c r="Q86">
        <f>E65</f>
        <v>6.5183614926363001E-3</v>
      </c>
      <c r="R86">
        <f t="shared" si="5"/>
        <v>7.5476108074383212</v>
      </c>
      <c r="U86" t="s">
        <v>67</v>
      </c>
      <c r="V86">
        <f t="shared" si="6"/>
        <v>2.6756425653229554</v>
      </c>
      <c r="W86">
        <f t="shared" si="7"/>
        <v>3.4070806667749864</v>
      </c>
      <c r="X86">
        <f t="shared" si="8"/>
        <v>2.6971999783365286</v>
      </c>
      <c r="Y86">
        <f t="shared" si="9"/>
        <v>6.1091154215680232</v>
      </c>
    </row>
    <row r="87" spans="4:25" x14ac:dyDescent="0.25">
      <c r="D87" t="str">
        <f t="shared" si="0"/>
        <v>11:50-75</v>
      </c>
      <c r="E87">
        <f t="shared" si="1"/>
        <v>5.1853975470512799E-2</v>
      </c>
      <c r="F87">
        <f t="shared" si="2"/>
        <v>47.215946149876075</v>
      </c>
      <c r="H87" t="str">
        <f>AO26</f>
        <v>09:0-25</v>
      </c>
      <c r="I87">
        <f>E26</f>
        <v>1.7027448300148799E-2</v>
      </c>
      <c r="J87">
        <f t="shared" si="3"/>
        <v>18.62393407251194</v>
      </c>
      <c r="L87" t="str">
        <f>AO45</f>
        <v>08:-25-0</v>
      </c>
      <c r="M87">
        <f>E45</f>
        <v>8.9923175072531992E-3</v>
      </c>
      <c r="N87">
        <f t="shared" si="4"/>
        <v>10.272771210009758</v>
      </c>
      <c r="P87" t="str">
        <f>AO66</f>
        <v>09:0-25</v>
      </c>
      <c r="Q87">
        <f>E66</f>
        <v>1.04068917875793E-2</v>
      </c>
      <c r="R87">
        <f t="shared" si="5"/>
        <v>11.797692900111823</v>
      </c>
      <c r="U87" t="s">
        <v>68</v>
      </c>
      <c r="V87">
        <f t="shared" si="6"/>
        <v>14.515410770881477</v>
      </c>
      <c r="W87">
        <f t="shared" si="7"/>
        <v>8.6868545747934895</v>
      </c>
      <c r="X87">
        <f t="shared" si="8"/>
        <v>10.272771210009758</v>
      </c>
      <c r="Y87">
        <f t="shared" si="9"/>
        <v>7.5476108074383212</v>
      </c>
    </row>
    <row r="88" spans="4:25" x14ac:dyDescent="0.25">
      <c r="D88" t="str">
        <f t="shared" si="0"/>
        <v>12:75-100</v>
      </c>
      <c r="E88">
        <f t="shared" si="1"/>
        <v>4.9717463343028401E-2</v>
      </c>
      <c r="F88">
        <f t="shared" si="2"/>
        <v>45.770827219617814</v>
      </c>
      <c r="H88" t="str">
        <f>AO27</f>
        <v>10:25-50</v>
      </c>
      <c r="I88">
        <f>E27</f>
        <v>2.94853641310296E-2</v>
      </c>
      <c r="J88">
        <f t="shared" si="3"/>
        <v>30.1727288819705</v>
      </c>
      <c r="L88" t="str">
        <f>AO46</f>
        <v>09:0-25</v>
      </c>
      <c r="M88">
        <f>E46</f>
        <v>1.6971761849218399E-2</v>
      </c>
      <c r="N88">
        <f t="shared" si="4"/>
        <v>18.56859633389023</v>
      </c>
      <c r="P88" t="str">
        <f>AO67</f>
        <v>10:25-50</v>
      </c>
      <c r="Q88">
        <f>E67</f>
        <v>1.5962751643881098E-2</v>
      </c>
      <c r="R88">
        <f t="shared" si="5"/>
        <v>17.559910432581518</v>
      </c>
      <c r="U88" t="s">
        <v>69</v>
      </c>
      <c r="V88">
        <f t="shared" si="6"/>
        <v>27.048998367252651</v>
      </c>
      <c r="W88">
        <f t="shared" si="7"/>
        <v>18.62393407251194</v>
      </c>
      <c r="X88">
        <f t="shared" si="8"/>
        <v>18.56859633389023</v>
      </c>
      <c r="Y88">
        <f t="shared" si="9"/>
        <v>11.797692900111823</v>
      </c>
    </row>
    <row r="89" spans="4:25" x14ac:dyDescent="0.25">
      <c r="D89" t="str">
        <f t="shared" si="0"/>
        <v>13:100-125</v>
      </c>
      <c r="E89">
        <f t="shared" si="1"/>
        <v>4.9919768812099398E-2</v>
      </c>
      <c r="F89">
        <f t="shared" si="2"/>
        <v>45.909203181044674</v>
      </c>
      <c r="H89" t="str">
        <f>AO28</f>
        <v>11:50-75</v>
      </c>
      <c r="I89">
        <f>E28</f>
        <v>3.9071235046389097E-2</v>
      </c>
      <c r="J89">
        <f t="shared" si="3"/>
        <v>38.013897829902064</v>
      </c>
      <c r="L89" t="str">
        <f>AO47</f>
        <v>10:25-50</v>
      </c>
      <c r="M89">
        <f>E47</f>
        <v>2.9470389804280701E-2</v>
      </c>
      <c r="N89">
        <f t="shared" si="4"/>
        <v>30.159799183788238</v>
      </c>
      <c r="P89" t="str">
        <f>AO68</f>
        <v>11:50-75</v>
      </c>
      <c r="Q89">
        <f>E68</f>
        <v>2.4424861373680599E-2</v>
      </c>
      <c r="R89">
        <f t="shared" si="5"/>
        <v>25.676065547610772</v>
      </c>
      <c r="U89" t="s">
        <v>71</v>
      </c>
      <c r="V89">
        <f t="shared" si="6"/>
        <v>39.511306539507082</v>
      </c>
      <c r="W89">
        <f t="shared" si="7"/>
        <v>30.1727288819705</v>
      </c>
      <c r="X89">
        <f t="shared" si="8"/>
        <v>30.159799183788238</v>
      </c>
      <c r="Y89">
        <f t="shared" si="9"/>
        <v>17.559910432581518</v>
      </c>
    </row>
    <row r="90" spans="4:25" x14ac:dyDescent="0.25">
      <c r="D90" t="str">
        <f t="shared" si="0"/>
        <v>14:125-150</v>
      </c>
      <c r="E90">
        <f t="shared" si="1"/>
        <v>5.0754696248407602E-2</v>
      </c>
      <c r="F90">
        <f t="shared" si="2"/>
        <v>46.476872003021043</v>
      </c>
      <c r="H90" t="str">
        <f>AO29</f>
        <v>12:75-100</v>
      </c>
      <c r="I90">
        <f>E29</f>
        <v>4.4952399751599599E-2</v>
      </c>
      <c r="J90">
        <f t="shared" si="3"/>
        <v>42.416214440489064</v>
      </c>
      <c r="L90" t="str">
        <f>AO48</f>
        <v>11:50-75</v>
      </c>
      <c r="M90">
        <f>E48</f>
        <v>4.1874132965458298E-2</v>
      </c>
      <c r="N90">
        <f t="shared" si="4"/>
        <v>40.14908663130624</v>
      </c>
      <c r="P90" t="str">
        <f>AO69</f>
        <v>12:75-100</v>
      </c>
      <c r="Q90">
        <f>E69</f>
        <v>3.1043832062453099E-2</v>
      </c>
      <c r="R90">
        <f t="shared" si="5"/>
        <v>31.50646531209922</v>
      </c>
      <c r="U90" t="s">
        <v>73</v>
      </c>
      <c r="V90">
        <f t="shared" si="6"/>
        <v>47.215946149876075</v>
      </c>
      <c r="W90">
        <f t="shared" si="7"/>
        <v>38.013897829902064</v>
      </c>
      <c r="X90">
        <f t="shared" si="8"/>
        <v>40.14908663130624</v>
      </c>
      <c r="Y90">
        <f t="shared" si="9"/>
        <v>25.676065547610772</v>
      </c>
    </row>
    <row r="91" spans="4:25" x14ac:dyDescent="0.25">
      <c r="D91" t="str">
        <f t="shared" si="0"/>
        <v>15:150-175</v>
      </c>
      <c r="E91">
        <f t="shared" si="1"/>
        <v>4.7514462955103302E-2</v>
      </c>
      <c r="F91">
        <f t="shared" si="2"/>
        <v>44.242835662966016</v>
      </c>
      <c r="H91" t="str">
        <f>AO30</f>
        <v>13:100-125</v>
      </c>
      <c r="I91">
        <f>E30</f>
        <v>4.5562890713052299E-2</v>
      </c>
      <c r="J91">
        <f t="shared" si="3"/>
        <v>42.85637323294408</v>
      </c>
      <c r="L91" t="str">
        <f>AO49</f>
        <v>12:75-100</v>
      </c>
      <c r="M91">
        <f>E49</f>
        <v>4.5374116267844898E-2</v>
      </c>
      <c r="N91">
        <f t="shared" si="4"/>
        <v>42.720598979704036</v>
      </c>
      <c r="P91" t="str">
        <f>AO70</f>
        <v>13:100-125</v>
      </c>
      <c r="Q91">
        <f>E70</f>
        <v>3.5513148980895901E-2</v>
      </c>
      <c r="R91">
        <f t="shared" si="5"/>
        <v>35.20287534090081</v>
      </c>
      <c r="U91" t="s">
        <v>75</v>
      </c>
      <c r="V91">
        <f t="shared" si="6"/>
        <v>45.770827219617814</v>
      </c>
      <c r="W91">
        <f t="shared" si="7"/>
        <v>42.416214440489064</v>
      </c>
      <c r="X91">
        <f t="shared" si="8"/>
        <v>42.720598979704036</v>
      </c>
      <c r="Y91">
        <f t="shared" si="9"/>
        <v>31.50646531209922</v>
      </c>
    </row>
    <row r="92" spans="4:25" x14ac:dyDescent="0.25">
      <c r="D92" t="str">
        <f t="shared" si="0"/>
        <v>16:175-200</v>
      </c>
      <c r="E92">
        <f t="shared" si="1"/>
        <v>6.1197489207662902E-2</v>
      </c>
      <c r="F92">
        <f t="shared" si="2"/>
        <v>53.130436470808448</v>
      </c>
      <c r="H92" t="str">
        <f>AO31</f>
        <v>14:125-150</v>
      </c>
      <c r="I92">
        <f>E31</f>
        <v>4.8312694015717403E-2</v>
      </c>
      <c r="J92">
        <f t="shared" si="3"/>
        <v>44.800986208120854</v>
      </c>
      <c r="L92" t="str">
        <f>AO50</f>
        <v>13:100-125</v>
      </c>
      <c r="M92">
        <f>E50</f>
        <v>4.6719362255706602E-2</v>
      </c>
      <c r="N92">
        <f t="shared" si="4"/>
        <v>43.681735268574954</v>
      </c>
      <c r="P92" t="str">
        <f>AO71</f>
        <v>14:125-150</v>
      </c>
      <c r="Q92">
        <f>E71</f>
        <v>3.5624577813361397E-2</v>
      </c>
      <c r="R92">
        <f t="shared" si="5"/>
        <v>35.292651765802354</v>
      </c>
      <c r="U92" t="s">
        <v>77</v>
      </c>
      <c r="V92">
        <f t="shared" si="6"/>
        <v>45.909203181044674</v>
      </c>
      <c r="W92">
        <f t="shared" si="7"/>
        <v>42.85637323294408</v>
      </c>
      <c r="X92">
        <f t="shared" si="8"/>
        <v>43.681735268574954</v>
      </c>
      <c r="Y92">
        <f t="shared" si="9"/>
        <v>35.20287534090081</v>
      </c>
    </row>
    <row r="93" spans="4:25" x14ac:dyDescent="0.25">
      <c r="D93" t="str">
        <f t="shared" si="0"/>
        <v>17:200-225</v>
      </c>
      <c r="E93">
        <f t="shared" si="1"/>
        <v>5.2273954856408698E-2</v>
      </c>
      <c r="F93">
        <f t="shared" si="2"/>
        <v>47.495830730037483</v>
      </c>
      <c r="H93" t="str">
        <f>AO32</f>
        <v>15:150-175</v>
      </c>
      <c r="I93">
        <f>E32</f>
        <v>4.4353499314622603E-2</v>
      </c>
      <c r="J93">
        <f t="shared" si="3"/>
        <v>41.981394455784212</v>
      </c>
      <c r="L93" t="str">
        <f>AO51</f>
        <v>14:125-150</v>
      </c>
      <c r="M93">
        <f>E51</f>
        <v>4.45119217051353E-2</v>
      </c>
      <c r="N93">
        <f t="shared" si="4"/>
        <v>42.096705760367449</v>
      </c>
      <c r="P93" t="str">
        <f>AO72</f>
        <v>15:150-175</v>
      </c>
      <c r="Q93">
        <f>E72</f>
        <v>3.4136214325988998E-2</v>
      </c>
      <c r="R93">
        <f t="shared" si="5"/>
        <v>34.084038108405224</v>
      </c>
      <c r="U93" t="s">
        <v>79</v>
      </c>
      <c r="V93">
        <f t="shared" si="6"/>
        <v>46.476872003021043</v>
      </c>
      <c r="W93">
        <f t="shared" si="7"/>
        <v>44.800986208120854</v>
      </c>
      <c r="X93">
        <f t="shared" si="8"/>
        <v>42.096705760367449</v>
      </c>
      <c r="Y93">
        <f t="shared" si="9"/>
        <v>35.292651765802354</v>
      </c>
    </row>
    <row r="94" spans="4:25" x14ac:dyDescent="0.25">
      <c r="D94" t="str">
        <f t="shared" si="0"/>
        <v>18:225-250</v>
      </c>
      <c r="E94">
        <f t="shared" si="1"/>
        <v>5.09258869416227E-2</v>
      </c>
      <c r="F94">
        <f t="shared" si="2"/>
        <v>46.59258807901702</v>
      </c>
      <c r="H94" t="str">
        <f>AO33</f>
        <v>16:175-200</v>
      </c>
      <c r="I94">
        <f>E33</f>
        <v>5.4036720883535297E-2</v>
      </c>
      <c r="J94">
        <f t="shared" si="3"/>
        <v>48.655806463704451</v>
      </c>
      <c r="L94" t="str">
        <f>AO52</f>
        <v>15:150-175</v>
      </c>
      <c r="M94">
        <f>E52</f>
        <v>4.7132848981646797E-2</v>
      </c>
      <c r="N94">
        <f t="shared" si="4"/>
        <v>43.974174414158249</v>
      </c>
      <c r="P94" t="str">
        <f>AO73</f>
        <v>16:175-200</v>
      </c>
      <c r="Q94">
        <f>E73</f>
        <v>3.3626457099512501E-2</v>
      </c>
      <c r="R94">
        <f t="shared" si="5"/>
        <v>33.665359871941824</v>
      </c>
      <c r="U94" t="s">
        <v>81</v>
      </c>
      <c r="V94">
        <f t="shared" si="6"/>
        <v>44.242835662966016</v>
      </c>
      <c r="W94">
        <f t="shared" si="7"/>
        <v>41.981394455784212</v>
      </c>
      <c r="X94">
        <f t="shared" si="8"/>
        <v>43.974174414158249</v>
      </c>
      <c r="Y94">
        <f t="shared" si="9"/>
        <v>34.084038108405224</v>
      </c>
    </row>
    <row r="95" spans="4:25" x14ac:dyDescent="0.25">
      <c r="H95" t="str">
        <f>AO34</f>
        <v>17:200-225</v>
      </c>
      <c r="I95">
        <f>E34</f>
        <v>3.9465442896729298E-2</v>
      </c>
      <c r="J95">
        <f t="shared" si="3"/>
        <v>38.318357648759196</v>
      </c>
      <c r="L95" t="str">
        <f>AO53</f>
        <v>16:175-200</v>
      </c>
      <c r="M95">
        <f>E53</f>
        <v>6.4899798897641206E-2</v>
      </c>
      <c r="N95">
        <f t="shared" si="4"/>
        <v>55.301000258754321</v>
      </c>
      <c r="P95" t="str">
        <f>AO74</f>
        <v>17:200-225</v>
      </c>
      <c r="Q95">
        <f>E74</f>
        <v>2.7298498426786399E-2</v>
      </c>
      <c r="R95">
        <f t="shared" si="5"/>
        <v>28.261046737152341</v>
      </c>
      <c r="U95" t="s">
        <v>83</v>
      </c>
      <c r="V95">
        <f t="shared" si="6"/>
        <v>53.130436470808448</v>
      </c>
      <c r="W95">
        <f t="shared" si="7"/>
        <v>48.655806463704451</v>
      </c>
      <c r="X95">
        <f t="shared" si="8"/>
        <v>55.301000258754321</v>
      </c>
      <c r="Y95">
        <f t="shared" si="9"/>
        <v>33.665359871941824</v>
      </c>
    </row>
    <row r="96" spans="4:25" x14ac:dyDescent="0.25">
      <c r="H96" t="str">
        <f>AO35</f>
        <v>18:225-250</v>
      </c>
      <c r="I96">
        <f>E35</f>
        <v>2.1363410908492999E-2</v>
      </c>
      <c r="J96">
        <f t="shared" si="3"/>
        <v>22.828420602886045</v>
      </c>
      <c r="L96" t="str">
        <f>AO54</f>
        <v>17:200-225</v>
      </c>
      <c r="M96">
        <f>E54</f>
        <v>6.22147879329044E-2</v>
      </c>
      <c r="N96">
        <f t="shared" si="4"/>
        <v>53.736278937248748</v>
      </c>
      <c r="P96" t="str">
        <f>AO75</f>
        <v>18:225-250</v>
      </c>
      <c r="Q96">
        <f>E75</f>
        <v>3.0569862156209999E-4</v>
      </c>
      <c r="R96">
        <f t="shared" si="5"/>
        <v>0.36622219306756687</v>
      </c>
      <c r="U96" t="s">
        <v>85</v>
      </c>
      <c r="V96">
        <f t="shared" si="6"/>
        <v>47.495830730037483</v>
      </c>
      <c r="W96">
        <f t="shared" si="7"/>
        <v>38.318357648759196</v>
      </c>
      <c r="X96">
        <f t="shared" si="8"/>
        <v>53.736278937248748</v>
      </c>
      <c r="Y96">
        <f t="shared" si="9"/>
        <v>28.261046737152341</v>
      </c>
    </row>
    <row r="97" spans="12:25" x14ac:dyDescent="0.25">
      <c r="L97" t="str">
        <f>AO55</f>
        <v>18:225-250</v>
      </c>
      <c r="M97">
        <f>E55</f>
        <v>0</v>
      </c>
      <c r="N97">
        <f t="shared" si="4"/>
        <v>0</v>
      </c>
      <c r="U97" t="s">
        <v>87</v>
      </c>
      <c r="V97">
        <f t="shared" si="6"/>
        <v>46.59258807901702</v>
      </c>
      <c r="W97">
        <f t="shared" si="7"/>
        <v>22.828420602886045</v>
      </c>
      <c r="X97">
        <f t="shared" si="8"/>
        <v>0</v>
      </c>
      <c r="Y97">
        <f t="shared" si="9"/>
        <v>0.36622219306756687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41"/>
  <sheetViews>
    <sheetView tabSelected="1" zoomScale="80" zoomScaleNormal="80" workbookViewId="0">
      <pane xSplit="27885" topLeftCell="AX1" activePane="topRight"/>
      <selection activeCell="W208" sqref="W208"/>
      <selection pane="topRight" activeCell="BA215" sqref="BA215"/>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0" x14ac:dyDescent="0.25">
      <c r="A1" s="33" t="s">
        <v>122</v>
      </c>
      <c r="C1" t="s">
        <v>133</v>
      </c>
      <c r="AS1" s="17" t="s">
        <v>89</v>
      </c>
      <c r="AT1" s="17" t="s">
        <v>90</v>
      </c>
      <c r="AU1" s="17"/>
      <c r="AV1" s="17"/>
      <c r="AW1" s="17" t="s">
        <v>91</v>
      </c>
      <c r="AX1" s="17"/>
    </row>
    <row r="2" spans="1:50" x14ac:dyDescent="0.25">
      <c r="A2" t="s">
        <v>21</v>
      </c>
      <c r="B2" t="s">
        <v>22</v>
      </c>
      <c r="C2" t="s">
        <v>23</v>
      </c>
      <c r="D2" t="s">
        <v>24</v>
      </c>
      <c r="E2" t="s">
        <v>97</v>
      </c>
      <c r="F2" t="s">
        <v>98</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21" t="s">
        <v>124</v>
      </c>
      <c r="AT2" s="21" t="s">
        <v>125</v>
      </c>
      <c r="AU2" s="17" t="s">
        <v>126</v>
      </c>
      <c r="AV2" s="17" t="s">
        <v>127</v>
      </c>
      <c r="AW2" s="21" t="s">
        <v>128</v>
      </c>
      <c r="AX2" s="17" t="s">
        <v>129</v>
      </c>
    </row>
    <row r="3" spans="1:50" x14ac:dyDescent="0.25">
      <c r="A3">
        <v>4.3</v>
      </c>
      <c r="B3" s="4">
        <v>0.99661761999999998</v>
      </c>
      <c r="C3" s="4">
        <v>0</v>
      </c>
      <c r="D3" s="4">
        <v>3.9841936068485002</v>
      </c>
      <c r="E3" s="4">
        <v>0</v>
      </c>
      <c r="F3" s="5">
        <v>3.3823799999999999E-3</v>
      </c>
      <c r="G3" s="5">
        <v>0</v>
      </c>
      <c r="H3" s="4">
        <v>3.875</v>
      </c>
      <c r="I3" s="4">
        <v>4.1184719999999997</v>
      </c>
      <c r="J3" s="4">
        <v>-64.061899999999994</v>
      </c>
      <c r="K3" s="4">
        <v>-131.94999999999999</v>
      </c>
      <c r="L3" s="4">
        <v>13.16</v>
      </c>
      <c r="M3" s="4">
        <v>17</v>
      </c>
      <c r="N3" s="4">
        <v>80</v>
      </c>
      <c r="O3" s="4">
        <v>77.08</v>
      </c>
      <c r="P3" s="4">
        <v>303250.44</v>
      </c>
      <c r="Q3" s="4">
        <v>303250.44</v>
      </c>
      <c r="R3" s="4">
        <v>773</v>
      </c>
      <c r="S3" s="4">
        <v>0</v>
      </c>
      <c r="T3" s="4">
        <v>0</v>
      </c>
      <c r="U3" s="4">
        <v>0</v>
      </c>
      <c r="V3" s="4">
        <v>1</v>
      </c>
      <c r="W3" s="4">
        <v>0</v>
      </c>
      <c r="X3" s="4">
        <v>1</v>
      </c>
      <c r="Y3" s="4">
        <v>0</v>
      </c>
      <c r="Z3" s="5">
        <v>3.5183000000000002E-4</v>
      </c>
      <c r="AA3" s="5">
        <v>7.7919999999999999E-5</v>
      </c>
      <c r="AB3" s="10">
        <v>2.95262E-3</v>
      </c>
      <c r="AC3" s="10">
        <v>0</v>
      </c>
      <c r="AD3" s="10">
        <v>0</v>
      </c>
      <c r="AE3" s="4">
        <v>1.1207682833043501E-2</v>
      </c>
      <c r="AF3" s="4">
        <v>1</v>
      </c>
      <c r="AG3" s="4">
        <v>1</v>
      </c>
      <c r="AH3" s="4">
        <v>1</v>
      </c>
      <c r="AI3" s="4">
        <v>1</v>
      </c>
      <c r="AJ3" s="4">
        <v>1</v>
      </c>
      <c r="AK3" s="4">
        <v>1</v>
      </c>
      <c r="AL3" s="4">
        <v>1</v>
      </c>
      <c r="AM3" s="4">
        <v>0</v>
      </c>
      <c r="AN3" s="4">
        <v>0</v>
      </c>
      <c r="AO3" s="4" t="s">
        <v>63</v>
      </c>
      <c r="AP3" s="4">
        <f>-150--125</f>
        <v>-25</v>
      </c>
      <c r="AQ3" s="6">
        <v>303250.44</v>
      </c>
      <c r="AR3" s="4">
        <v>1</v>
      </c>
      <c r="AS3" s="15">
        <v>0</v>
      </c>
      <c r="AT3" s="15">
        <v>0</v>
      </c>
      <c r="AU3" s="15">
        <v>0</v>
      </c>
      <c r="AV3" s="15">
        <v>100</v>
      </c>
      <c r="AW3" s="15">
        <v>100</v>
      </c>
      <c r="AX3" s="15">
        <v>0</v>
      </c>
    </row>
    <row r="4" spans="1:50" x14ac:dyDescent="0.25">
      <c r="A4">
        <v>4.3</v>
      </c>
      <c r="B4" s="4">
        <v>0.99360178565703605</v>
      </c>
      <c r="C4" s="4">
        <v>5.6968752271124797E-6</v>
      </c>
      <c r="D4" s="4">
        <v>7.4133522732304504</v>
      </c>
      <c r="E4" s="4">
        <v>4.7473961991671797E-9</v>
      </c>
      <c r="F4" s="5">
        <v>6.39821434296374E-3</v>
      </c>
      <c r="G4" s="5">
        <v>0</v>
      </c>
      <c r="H4" s="4">
        <v>3.9463144886133898</v>
      </c>
      <c r="I4" s="4">
        <v>3.9968994330355998</v>
      </c>
      <c r="J4" s="4">
        <v>-50.059634453509297</v>
      </c>
      <c r="K4" s="4">
        <v>-110.175225167985</v>
      </c>
      <c r="L4" s="4">
        <v>17.060621735254099</v>
      </c>
      <c r="M4" s="4">
        <v>16.808767110725899</v>
      </c>
      <c r="N4" s="4">
        <v>78.188744527266806</v>
      </c>
      <c r="O4" s="4">
        <v>75.620467298132695</v>
      </c>
      <c r="P4" s="4">
        <v>244109.932834418</v>
      </c>
      <c r="Q4" s="4">
        <v>234046.42111111101</v>
      </c>
      <c r="R4" s="4">
        <v>766.50334840269204</v>
      </c>
      <c r="S4" s="4">
        <v>0</v>
      </c>
      <c r="T4" s="4">
        <v>0</v>
      </c>
      <c r="U4" s="4">
        <v>0</v>
      </c>
      <c r="V4" s="4">
        <v>0.52919183710464102</v>
      </c>
      <c r="W4" s="4">
        <v>0</v>
      </c>
      <c r="X4" s="4">
        <v>0.62889958311641403</v>
      </c>
      <c r="Y4" s="4">
        <v>0</v>
      </c>
      <c r="Z4" s="5">
        <v>3.5219409994139799E-4</v>
      </c>
      <c r="AA4" s="5">
        <v>5.24156211963059E-5</v>
      </c>
      <c r="AB4" s="10">
        <v>3.0302850769913501E-3</v>
      </c>
      <c r="AC4" s="10">
        <v>0</v>
      </c>
      <c r="AD4" s="10">
        <v>2.96330526231085E-3</v>
      </c>
      <c r="AE4" s="4">
        <v>7.9918490317015707E-3</v>
      </c>
      <c r="AF4" s="4">
        <v>1</v>
      </c>
      <c r="AG4" s="4">
        <v>1</v>
      </c>
      <c r="AH4" s="4">
        <v>1</v>
      </c>
      <c r="AI4" s="4">
        <v>1</v>
      </c>
      <c r="AJ4" s="4">
        <v>1</v>
      </c>
      <c r="AK4" s="4">
        <v>1</v>
      </c>
      <c r="AL4" s="4">
        <v>1</v>
      </c>
      <c r="AM4" s="4">
        <v>0</v>
      </c>
      <c r="AN4" s="4">
        <v>0</v>
      </c>
      <c r="AO4" s="4" t="s">
        <v>64</v>
      </c>
      <c r="AP4" s="4">
        <f>-125--100</f>
        <v>-25</v>
      </c>
      <c r="AQ4" s="6">
        <v>2106417.79</v>
      </c>
      <c r="AR4" s="4">
        <v>9</v>
      </c>
      <c r="AS4" s="15">
        <v>0</v>
      </c>
      <c r="AT4" s="15">
        <v>47.080816289535797</v>
      </c>
      <c r="AU4" s="15">
        <v>47.080816289535797</v>
      </c>
      <c r="AV4" s="15">
        <v>52.919183710464097</v>
      </c>
      <c r="AW4" s="15">
        <v>52.919183710464097</v>
      </c>
      <c r="AX4" s="15">
        <v>0</v>
      </c>
    </row>
    <row r="5" spans="1:50" x14ac:dyDescent="0.25">
      <c r="A5">
        <v>4.3</v>
      </c>
      <c r="B5" s="4">
        <v>0.99022985708259204</v>
      </c>
      <c r="C5" s="4">
        <v>9.0882947477176597</v>
      </c>
      <c r="D5" s="4">
        <v>11.1142374136508</v>
      </c>
      <c r="E5" s="4">
        <v>7.9086790617858196E-3</v>
      </c>
      <c r="F5" s="5">
        <v>9.7701429174076298E-3</v>
      </c>
      <c r="G5" s="5">
        <v>0</v>
      </c>
      <c r="H5" s="4">
        <v>4.1664145498701997</v>
      </c>
      <c r="I5" s="4">
        <v>4.0541487832090004</v>
      </c>
      <c r="J5" s="4">
        <v>-30.600183927210999</v>
      </c>
      <c r="K5" s="4">
        <v>-83.272831602241595</v>
      </c>
      <c r="L5" s="4">
        <v>16.715042293429502</v>
      </c>
      <c r="M5" s="4">
        <v>16.136997938058101</v>
      </c>
      <c r="N5" s="4">
        <v>77.528806895032901</v>
      </c>
      <c r="O5" s="4">
        <v>75.943390526792797</v>
      </c>
      <c r="P5" s="4">
        <v>282678.42316902301</v>
      </c>
      <c r="Q5" s="4">
        <v>213531.36525</v>
      </c>
      <c r="R5" s="4">
        <v>776.38666320942195</v>
      </c>
      <c r="S5" s="4">
        <v>0</v>
      </c>
      <c r="T5" s="4">
        <v>0</v>
      </c>
      <c r="U5" s="4">
        <v>0</v>
      </c>
      <c r="V5" s="4">
        <v>0.27195929943130398</v>
      </c>
      <c r="W5" s="4">
        <v>0</v>
      </c>
      <c r="X5" s="4">
        <v>0.53663822462728294</v>
      </c>
      <c r="Y5" s="4">
        <v>0</v>
      </c>
      <c r="Z5" s="5">
        <v>5.4452177783535197E-4</v>
      </c>
      <c r="AA5" s="5">
        <v>7.8711943862448498E-5</v>
      </c>
      <c r="AB5" s="10">
        <v>2.7375914494919E-3</v>
      </c>
      <c r="AC5" s="10">
        <v>0</v>
      </c>
      <c r="AD5" s="10">
        <v>6.4093032743010401E-3</v>
      </c>
      <c r="AE5" s="4">
        <v>-1.9320629763668998E-2</v>
      </c>
      <c r="AF5" s="4">
        <v>1</v>
      </c>
      <c r="AG5" s="4">
        <v>1</v>
      </c>
      <c r="AH5" s="4">
        <v>1</v>
      </c>
      <c r="AI5" s="4">
        <v>1</v>
      </c>
      <c r="AJ5" s="4">
        <v>1</v>
      </c>
      <c r="AK5" s="4">
        <v>1</v>
      </c>
      <c r="AL5" s="4">
        <v>1</v>
      </c>
      <c r="AM5" s="4">
        <v>0</v>
      </c>
      <c r="AN5" s="4">
        <v>0</v>
      </c>
      <c r="AO5" s="4" t="s">
        <v>65</v>
      </c>
      <c r="AP5" s="4">
        <f>-100--75</f>
        <v>-25</v>
      </c>
      <c r="AQ5" s="6">
        <v>8541254.6099999994</v>
      </c>
      <c r="AR5" s="4">
        <v>40</v>
      </c>
      <c r="AS5" s="15">
        <v>0</v>
      </c>
      <c r="AT5" s="15">
        <v>72.804070056869506</v>
      </c>
      <c r="AU5" s="15">
        <v>72.804070056869506</v>
      </c>
      <c r="AV5" s="15">
        <v>27.195929943130398</v>
      </c>
      <c r="AW5" s="15">
        <v>27.195929943130398</v>
      </c>
      <c r="AX5" s="15">
        <v>0</v>
      </c>
    </row>
    <row r="6" spans="1:50" x14ac:dyDescent="0.25">
      <c r="A6">
        <v>4.3</v>
      </c>
      <c r="B6" s="4">
        <v>0.99479376754184501</v>
      </c>
      <c r="C6" s="4">
        <v>4.3452104747701101</v>
      </c>
      <c r="D6" s="4">
        <v>6.0716553442944399</v>
      </c>
      <c r="E6" s="4">
        <v>3.6951907430411799E-3</v>
      </c>
      <c r="F6" s="5">
        <v>5.2062324581548204E-3</v>
      </c>
      <c r="G6" s="5">
        <v>0</v>
      </c>
      <c r="H6" s="4">
        <v>3.9261648424468101</v>
      </c>
      <c r="I6" s="4">
        <v>4.1385805078060001</v>
      </c>
      <c r="J6" s="4">
        <v>-56.794736762869803</v>
      </c>
      <c r="K6" s="4">
        <v>-56.995105266949302</v>
      </c>
      <c r="L6" s="4">
        <v>17.685451675323598</v>
      </c>
      <c r="M6" s="4">
        <v>15.3583298333933</v>
      </c>
      <c r="N6" s="4">
        <v>77.937836634589303</v>
      </c>
      <c r="O6" s="4">
        <v>76.302668621657304</v>
      </c>
      <c r="P6" s="4">
        <v>261349.69665804601</v>
      </c>
      <c r="Q6" s="4">
        <v>217977.85446504899</v>
      </c>
      <c r="R6" s="4">
        <v>780.24337351264398</v>
      </c>
      <c r="S6" s="4">
        <v>0</v>
      </c>
      <c r="T6" s="4">
        <v>0</v>
      </c>
      <c r="U6" s="4">
        <v>9.7448293324441694E-3</v>
      </c>
      <c r="V6" s="4">
        <v>8.6879049667608593E-2</v>
      </c>
      <c r="W6" s="4">
        <v>0</v>
      </c>
      <c r="X6" s="4">
        <v>0.474890224223184</v>
      </c>
      <c r="Y6" s="4">
        <v>0</v>
      </c>
      <c r="Z6" s="5">
        <v>5.2375780668351103E-4</v>
      </c>
      <c r="AA6" s="5">
        <v>6.3050798286378598E-5</v>
      </c>
      <c r="AB6" s="10">
        <v>2.45498864266592E-3</v>
      </c>
      <c r="AC6" s="10">
        <v>0</v>
      </c>
      <c r="AD6" s="10">
        <v>2.16442461738216E-3</v>
      </c>
      <c r="AE6" s="4">
        <v>-2.1892737258331602E-2</v>
      </c>
      <c r="AF6" s="4">
        <v>0.99295193829096695</v>
      </c>
      <c r="AG6" s="4">
        <v>0.99970623427590299</v>
      </c>
      <c r="AH6" s="4">
        <v>1</v>
      </c>
      <c r="AI6" s="4">
        <v>1</v>
      </c>
      <c r="AJ6" s="4">
        <v>1</v>
      </c>
      <c r="AK6" s="4">
        <v>1</v>
      </c>
      <c r="AL6" s="4">
        <v>1</v>
      </c>
      <c r="AM6" s="4">
        <v>0</v>
      </c>
      <c r="AN6" s="4">
        <v>0</v>
      </c>
      <c r="AO6" s="4" t="s">
        <v>66</v>
      </c>
      <c r="AP6" s="4">
        <f>-75--50</f>
        <v>-25</v>
      </c>
      <c r="AQ6" s="6">
        <v>152802475.97999999</v>
      </c>
      <c r="AR6" s="4">
        <v>701</v>
      </c>
      <c r="AS6" s="15">
        <v>0</v>
      </c>
      <c r="AT6" s="15">
        <v>91.312095033239103</v>
      </c>
      <c r="AU6" s="15">
        <v>91.312095033239103</v>
      </c>
      <c r="AV6" s="15">
        <v>8.6879049667608594</v>
      </c>
      <c r="AW6" s="15">
        <v>8.6879049667608594</v>
      </c>
      <c r="AX6" s="15">
        <v>0</v>
      </c>
    </row>
    <row r="7" spans="1:50" x14ac:dyDescent="0.25">
      <c r="A7">
        <v>4.3</v>
      </c>
      <c r="B7" s="4">
        <v>0.99385235333146105</v>
      </c>
      <c r="C7" s="4">
        <v>3.3308666643767499</v>
      </c>
      <c r="D7" s="4">
        <v>7.1327800080677903</v>
      </c>
      <c r="E7" s="4">
        <v>2.81902196894547E-3</v>
      </c>
      <c r="F7" s="5">
        <v>6.1476466685386902E-3</v>
      </c>
      <c r="G7" s="5">
        <v>0</v>
      </c>
      <c r="H7" s="4">
        <v>3.91173383861718</v>
      </c>
      <c r="I7" s="4">
        <v>4.1425172980236296</v>
      </c>
      <c r="J7" s="4">
        <v>-58.969040956063601</v>
      </c>
      <c r="K7" s="4">
        <v>-33.272056530482502</v>
      </c>
      <c r="L7" s="4">
        <v>16.111737979117301</v>
      </c>
      <c r="M7" s="4">
        <v>15.480887276373601</v>
      </c>
      <c r="N7" s="4">
        <v>73.750931131701606</v>
      </c>
      <c r="O7" s="4">
        <v>72.281082995274105</v>
      </c>
      <c r="P7" s="4">
        <v>272555.261198305</v>
      </c>
      <c r="Q7" s="4">
        <v>245836.46122941899</v>
      </c>
      <c r="R7" s="4">
        <v>781.98858057491805</v>
      </c>
      <c r="S7" s="4">
        <v>0</v>
      </c>
      <c r="T7" s="4">
        <v>0</v>
      </c>
      <c r="U7" s="4">
        <v>1.7503777013673199E-3</v>
      </c>
      <c r="V7" s="4">
        <v>0.10768394048328001</v>
      </c>
      <c r="W7" s="4">
        <v>0</v>
      </c>
      <c r="X7" s="4">
        <v>0.58348835133257604</v>
      </c>
      <c r="Y7" s="4">
        <v>0</v>
      </c>
      <c r="Z7" s="5">
        <v>4.0429845103327798E-4</v>
      </c>
      <c r="AA7" s="5">
        <v>5.6750235740725101E-5</v>
      </c>
      <c r="AB7" s="10">
        <v>2.5485913634810801E-3</v>
      </c>
      <c r="AC7" s="10">
        <v>5.2490237018326201E-8</v>
      </c>
      <c r="AD7" s="10">
        <v>3.1379400650619698E-3</v>
      </c>
      <c r="AE7" s="4">
        <v>-1.5230460642837E-2</v>
      </c>
      <c r="AF7" s="4">
        <v>0.98259706100337496</v>
      </c>
      <c r="AG7" s="4">
        <v>0.998778560571011</v>
      </c>
      <c r="AH7" s="4">
        <v>0.99993900115216505</v>
      </c>
      <c r="AI7" s="4">
        <v>0.99995838764536005</v>
      </c>
      <c r="AJ7" s="4">
        <v>1</v>
      </c>
      <c r="AK7" s="4">
        <v>1</v>
      </c>
      <c r="AL7" s="4">
        <v>1</v>
      </c>
      <c r="AM7" s="4">
        <v>0</v>
      </c>
      <c r="AN7" s="4">
        <v>0</v>
      </c>
      <c r="AO7" s="4" t="s">
        <v>67</v>
      </c>
      <c r="AP7" s="4">
        <f>-50--25</f>
        <v>-25</v>
      </c>
      <c r="AQ7" s="6">
        <v>1821648177.71</v>
      </c>
      <c r="AR7" s="4">
        <v>7410</v>
      </c>
      <c r="AS7" s="15">
        <v>0</v>
      </c>
      <c r="AT7" s="15">
        <v>89.231605951671895</v>
      </c>
      <c r="AU7" s="15">
        <v>89.231605951671895</v>
      </c>
      <c r="AV7" s="15">
        <v>10.768394048328</v>
      </c>
      <c r="AW7" s="15">
        <v>10.768394048328</v>
      </c>
      <c r="AX7" s="15">
        <v>0</v>
      </c>
    </row>
    <row r="8" spans="1:50" x14ac:dyDescent="0.25">
      <c r="A8">
        <v>4.3</v>
      </c>
      <c r="B8" s="4">
        <v>0.988757452206382</v>
      </c>
      <c r="C8" s="4">
        <v>8.9675624589376106</v>
      </c>
      <c r="D8" s="4">
        <v>12.687336393853199</v>
      </c>
      <c r="E8" s="4">
        <v>7.7989529894358003E-3</v>
      </c>
      <c r="F8" s="5">
        <v>1.12425477936172E-2</v>
      </c>
      <c r="G8" s="5">
        <v>0</v>
      </c>
      <c r="H8" s="4">
        <v>4.1017876443498098</v>
      </c>
      <c r="I8" s="4">
        <v>4.1242603413794496</v>
      </c>
      <c r="J8" s="4">
        <v>-41.108359429814101</v>
      </c>
      <c r="K8" s="4">
        <v>-9.2138983645816204</v>
      </c>
      <c r="L8" s="4">
        <v>15.511066446953199</v>
      </c>
      <c r="M8" s="4">
        <v>16.076160160721901</v>
      </c>
      <c r="N8" s="4">
        <v>72.537853633612201</v>
      </c>
      <c r="O8" s="4">
        <v>71.346885759976999</v>
      </c>
      <c r="P8" s="4">
        <v>278492.84823083802</v>
      </c>
      <c r="Q8" s="4">
        <v>256730.57601913199</v>
      </c>
      <c r="R8" s="4">
        <v>781.76079712026694</v>
      </c>
      <c r="S8" s="4">
        <v>0</v>
      </c>
      <c r="T8" s="4">
        <v>0</v>
      </c>
      <c r="U8" s="4">
        <v>5.7732302334762703E-3</v>
      </c>
      <c r="V8" s="4">
        <v>0.17583438099632001</v>
      </c>
      <c r="W8" s="4">
        <v>0</v>
      </c>
      <c r="X8" s="4">
        <v>0.68857050958631605</v>
      </c>
      <c r="Y8" s="4">
        <v>0</v>
      </c>
      <c r="Z8" s="5">
        <v>3.7686930942691698E-4</v>
      </c>
      <c r="AA8" s="5">
        <v>6.5079019115844193E-5</v>
      </c>
      <c r="AB8" s="10">
        <v>2.6172727301609902E-3</v>
      </c>
      <c r="AC8" s="10">
        <v>5.39897968368787E-8</v>
      </c>
      <c r="AD8" s="10">
        <v>8.1832584543205401E-3</v>
      </c>
      <c r="AE8" s="4">
        <v>-1.4119258487195301E-2</v>
      </c>
      <c r="AF8" s="4">
        <v>0.97027435668933804</v>
      </c>
      <c r="AG8" s="4">
        <v>0.99724952488671204</v>
      </c>
      <c r="AH8" s="4">
        <v>0.99984633426329905</v>
      </c>
      <c r="AI8" s="4">
        <v>0.99999423023295997</v>
      </c>
      <c r="AJ8" s="4">
        <v>1</v>
      </c>
      <c r="AK8" s="4">
        <v>1</v>
      </c>
      <c r="AL8" s="4">
        <v>1</v>
      </c>
      <c r="AM8" s="4">
        <v>0</v>
      </c>
      <c r="AN8" s="4">
        <v>0</v>
      </c>
      <c r="AO8" s="4" t="s">
        <v>68</v>
      </c>
      <c r="AP8" s="4">
        <f>-25-0</f>
        <v>-25</v>
      </c>
      <c r="AQ8" s="6">
        <v>11701266193.799999</v>
      </c>
      <c r="AR8" s="4">
        <v>45578</v>
      </c>
      <c r="AS8" s="15">
        <v>0</v>
      </c>
      <c r="AT8" s="15">
        <v>82.416561900367896</v>
      </c>
      <c r="AU8" s="15">
        <v>82.416561900367896</v>
      </c>
      <c r="AV8" s="15">
        <v>17.583438099632001</v>
      </c>
      <c r="AW8" s="15">
        <v>17.583438099632001</v>
      </c>
      <c r="AX8" s="15">
        <v>0</v>
      </c>
    </row>
    <row r="9" spans="1:50" x14ac:dyDescent="0.25">
      <c r="A9">
        <v>4.3</v>
      </c>
      <c r="B9" s="4">
        <v>0.984049810461185</v>
      </c>
      <c r="C9" s="4">
        <v>18.6115115039008</v>
      </c>
      <c r="D9" s="4">
        <v>17.5472804986832</v>
      </c>
      <c r="E9" s="4">
        <v>1.7014944429452401E-2</v>
      </c>
      <c r="F9" s="5">
        <v>1.5950189538814299E-2</v>
      </c>
      <c r="G9" s="5">
        <v>0</v>
      </c>
      <c r="H9" s="4">
        <v>4.2041284942594599</v>
      </c>
      <c r="I9" s="4">
        <v>4.0613746444753396</v>
      </c>
      <c r="J9" s="4">
        <v>-30.423492109234299</v>
      </c>
      <c r="K9" s="4">
        <v>15.260272575122</v>
      </c>
      <c r="L9" s="4">
        <v>15.302329894811001</v>
      </c>
      <c r="M9" s="4">
        <v>16.4338309730839</v>
      </c>
      <c r="N9" s="4">
        <v>69.580433247251904</v>
      </c>
      <c r="O9" s="4">
        <v>67.926172210881305</v>
      </c>
      <c r="P9" s="4">
        <v>281155.07151485502</v>
      </c>
      <c r="Q9" s="4">
        <v>260738.62224151701</v>
      </c>
      <c r="R9" s="4">
        <v>782.38498432831</v>
      </c>
      <c r="S9" s="4">
        <v>0</v>
      </c>
      <c r="T9" s="4">
        <v>0</v>
      </c>
      <c r="U9" s="4">
        <v>1.7093364932200799E-2</v>
      </c>
      <c r="V9" s="4">
        <v>0.22454095567295601</v>
      </c>
      <c r="W9" s="4">
        <v>0</v>
      </c>
      <c r="X9" s="4">
        <v>0.77746750470336901</v>
      </c>
      <c r="Y9" s="4">
        <v>0</v>
      </c>
      <c r="Z9" s="5">
        <v>3.7407351838362698E-4</v>
      </c>
      <c r="AA9" s="5">
        <v>7.1003074981503195E-5</v>
      </c>
      <c r="AB9" s="10">
        <v>2.78041254560289E-3</v>
      </c>
      <c r="AC9" s="10">
        <v>6.4894897513880703E-7</v>
      </c>
      <c r="AD9" s="10">
        <v>1.2724037209609599E-2</v>
      </c>
      <c r="AE9" s="4">
        <v>-6.8329140377216997E-3</v>
      </c>
      <c r="AF9" s="4">
        <v>0.91681544079531696</v>
      </c>
      <c r="AG9" s="4">
        <v>0.98901162335373405</v>
      </c>
      <c r="AH9" s="4">
        <v>0.99913535364220996</v>
      </c>
      <c r="AI9" s="4">
        <v>0.99979733255210801</v>
      </c>
      <c r="AJ9" s="4">
        <v>1</v>
      </c>
      <c r="AK9" s="4">
        <v>1</v>
      </c>
      <c r="AL9" s="4">
        <v>1</v>
      </c>
      <c r="AM9" s="4">
        <v>0</v>
      </c>
      <c r="AN9" s="4">
        <v>0</v>
      </c>
      <c r="AO9" s="4" t="s">
        <v>69</v>
      </c>
      <c r="AP9" s="4" t="s">
        <v>70</v>
      </c>
      <c r="AQ9" s="6">
        <v>50133779330.110001</v>
      </c>
      <c r="AR9" s="4">
        <v>192276</v>
      </c>
      <c r="AS9" s="15">
        <v>0</v>
      </c>
      <c r="AT9" s="15">
        <v>77.545904432704305</v>
      </c>
      <c r="AU9" s="15">
        <v>77.545904432704305</v>
      </c>
      <c r="AV9" s="15">
        <v>22.4540955672956</v>
      </c>
      <c r="AW9" s="15">
        <v>22.4540955672956</v>
      </c>
      <c r="AX9" s="15">
        <v>0</v>
      </c>
    </row>
    <row r="10" spans="1:50" x14ac:dyDescent="0.25">
      <c r="A10">
        <v>4.3</v>
      </c>
      <c r="B10" s="4">
        <v>0.97763545692681897</v>
      </c>
      <c r="C10" s="4">
        <v>30.1688620641314</v>
      </c>
      <c r="D10" s="4">
        <v>23.770454509076401</v>
      </c>
      <c r="E10" s="4">
        <v>2.9480885570337199E-2</v>
      </c>
      <c r="F10" s="5">
        <v>2.2364543073180601E-2</v>
      </c>
      <c r="G10" s="5">
        <v>0</v>
      </c>
      <c r="H10" s="4">
        <v>4.2305049570354303</v>
      </c>
      <c r="I10" s="4">
        <v>3.91263248211343</v>
      </c>
      <c r="J10" s="4">
        <v>-25.372573768958699</v>
      </c>
      <c r="K10" s="4">
        <v>37.570754506354902</v>
      </c>
      <c r="L10" s="4">
        <v>14.7390388411799</v>
      </c>
      <c r="M10" s="4">
        <v>16.8414763536049</v>
      </c>
      <c r="N10" s="4">
        <v>67.570492918245293</v>
      </c>
      <c r="O10" s="4">
        <v>64.585151391108397</v>
      </c>
      <c r="P10" s="4">
        <v>291357.20563359302</v>
      </c>
      <c r="Q10" s="4">
        <v>270767.49069938401</v>
      </c>
      <c r="R10" s="4">
        <v>782.49734272306102</v>
      </c>
      <c r="S10" s="4">
        <v>0</v>
      </c>
      <c r="T10" s="4">
        <v>0</v>
      </c>
      <c r="U10" s="4">
        <v>2.5453145431290399E-2</v>
      </c>
      <c r="V10" s="4">
        <v>0.29908279167764601</v>
      </c>
      <c r="W10" s="4">
        <v>0</v>
      </c>
      <c r="X10" s="4">
        <v>0.77665850297598904</v>
      </c>
      <c r="Y10" s="4">
        <v>0</v>
      </c>
      <c r="Z10" s="5">
        <v>3.7223596098323901E-4</v>
      </c>
      <c r="AA10" s="5">
        <v>7.2053410024822603E-5</v>
      </c>
      <c r="AB10" s="10">
        <v>3.0491343357584599E-3</v>
      </c>
      <c r="AC10" s="10">
        <v>3.6492875399573299E-6</v>
      </c>
      <c r="AD10" s="10">
        <v>1.8867455866696699E-2</v>
      </c>
      <c r="AE10" s="4">
        <v>1.58046016566501E-2</v>
      </c>
      <c r="AF10" s="4">
        <v>0.79086623568133196</v>
      </c>
      <c r="AG10" s="4">
        <v>0.961572204520729</v>
      </c>
      <c r="AH10" s="4">
        <v>0.99655994573745998</v>
      </c>
      <c r="AI10" s="4">
        <v>0.99940986586329905</v>
      </c>
      <c r="AJ10" s="4">
        <v>1</v>
      </c>
      <c r="AK10" s="4">
        <v>1</v>
      </c>
      <c r="AL10" s="4">
        <v>1</v>
      </c>
      <c r="AM10" s="4">
        <v>0</v>
      </c>
      <c r="AN10" s="4">
        <v>0</v>
      </c>
      <c r="AO10" s="4" t="s">
        <v>71</v>
      </c>
      <c r="AP10" s="4" t="s">
        <v>72</v>
      </c>
      <c r="AQ10" s="6">
        <v>88193033233.149994</v>
      </c>
      <c r="AR10" s="4">
        <v>325715</v>
      </c>
      <c r="AS10" s="15">
        <v>0</v>
      </c>
      <c r="AT10" s="15">
        <v>70.091720832235296</v>
      </c>
      <c r="AU10" s="15">
        <v>70.091720832235296</v>
      </c>
      <c r="AV10" s="15">
        <v>29.908279167764601</v>
      </c>
      <c r="AW10" s="15">
        <v>29.908279167764601</v>
      </c>
      <c r="AX10" s="15">
        <v>0</v>
      </c>
    </row>
    <row r="11" spans="1:50" x14ac:dyDescent="0.25">
      <c r="A11">
        <v>4.3</v>
      </c>
      <c r="B11" s="4">
        <v>0.97012462037583203</v>
      </c>
      <c r="C11" s="4">
        <v>38.591329682205199</v>
      </c>
      <c r="D11" s="4">
        <v>30.508718926797101</v>
      </c>
      <c r="E11" s="4">
        <v>3.9820400495996E-2</v>
      </c>
      <c r="F11" s="5">
        <v>2.9875379624167801E-2</v>
      </c>
      <c r="G11" s="5">
        <v>0</v>
      </c>
      <c r="H11" s="4">
        <v>4.4579504599882602</v>
      </c>
      <c r="I11" s="4">
        <v>3.8839519811744601</v>
      </c>
      <c r="J11" s="4">
        <v>-16.061476525410601</v>
      </c>
      <c r="K11" s="4">
        <v>62.437771520279</v>
      </c>
      <c r="L11" s="4">
        <v>15.015710188676501</v>
      </c>
      <c r="M11" s="4">
        <v>17.413061616588799</v>
      </c>
      <c r="N11" s="4">
        <v>69.042797525874903</v>
      </c>
      <c r="O11" s="4">
        <v>65.766119892247602</v>
      </c>
      <c r="P11" s="4">
        <v>285852.00797503599</v>
      </c>
      <c r="Q11" s="4">
        <v>265856.239943208</v>
      </c>
      <c r="R11" s="4">
        <v>781.36611670489594</v>
      </c>
      <c r="S11" s="4">
        <v>0</v>
      </c>
      <c r="T11" s="4">
        <v>0</v>
      </c>
      <c r="U11" s="4">
        <v>1.69738172423597E-2</v>
      </c>
      <c r="V11" s="4">
        <v>0.26728290859766601</v>
      </c>
      <c r="W11" s="4">
        <v>0</v>
      </c>
      <c r="X11" s="4">
        <v>0.69043343950989999</v>
      </c>
      <c r="Y11" s="4">
        <v>0</v>
      </c>
      <c r="Z11" s="5">
        <v>3.7361580975087702E-4</v>
      </c>
      <c r="AA11" s="5">
        <v>9.5825834679578599E-5</v>
      </c>
      <c r="AB11" s="10">
        <v>3.1852014767628401E-3</v>
      </c>
      <c r="AC11" s="10">
        <v>6.20493009213587E-6</v>
      </c>
      <c r="AD11" s="10">
        <v>2.62145172243754E-2</v>
      </c>
      <c r="AE11" s="4">
        <v>1.87843090870673E-2</v>
      </c>
      <c r="AF11" s="4">
        <v>0.76226423291997303</v>
      </c>
      <c r="AG11" s="4">
        <v>0.96941622386844695</v>
      </c>
      <c r="AH11" s="4">
        <v>0.99558971957592002</v>
      </c>
      <c r="AI11" s="4">
        <v>0.99922438010243497</v>
      </c>
      <c r="AJ11" s="4">
        <v>1</v>
      </c>
      <c r="AK11" s="4">
        <v>1</v>
      </c>
      <c r="AL11" s="4">
        <v>1</v>
      </c>
      <c r="AM11" s="4">
        <v>0</v>
      </c>
      <c r="AN11" s="4">
        <v>0</v>
      </c>
      <c r="AO11" s="4" t="s">
        <v>73</v>
      </c>
      <c r="AP11" s="4" t="s">
        <v>74</v>
      </c>
      <c r="AQ11" s="6">
        <v>83044981958.580002</v>
      </c>
      <c r="AR11" s="4">
        <v>312368</v>
      </c>
      <c r="AS11" s="15">
        <v>0</v>
      </c>
      <c r="AT11" s="15">
        <v>73.271709140233298</v>
      </c>
      <c r="AU11" s="15">
        <v>73.271709140233298</v>
      </c>
      <c r="AV11" s="15">
        <v>26.728290859766599</v>
      </c>
      <c r="AW11" s="15">
        <v>26.728290859766599</v>
      </c>
      <c r="AX11" s="15">
        <v>0</v>
      </c>
    </row>
    <row r="12" spans="1:50" x14ac:dyDescent="0.25">
      <c r="A12">
        <v>4.3</v>
      </c>
      <c r="B12" s="4">
        <v>0.96419123488084602</v>
      </c>
      <c r="C12" s="4">
        <v>42.486827101361399</v>
      </c>
      <c r="D12" s="4">
        <v>35.440798559119898</v>
      </c>
      <c r="E12" s="4">
        <v>4.50500493245777E-2</v>
      </c>
      <c r="F12" s="5">
        <v>3.5808765119153103E-2</v>
      </c>
      <c r="G12" s="5">
        <v>0</v>
      </c>
      <c r="H12" s="4">
        <v>4.6710482823972397</v>
      </c>
      <c r="I12" s="4">
        <v>3.87403883013241</v>
      </c>
      <c r="J12" s="4">
        <v>-9.6425377307253992</v>
      </c>
      <c r="K12" s="4">
        <v>86.089285738263001</v>
      </c>
      <c r="L12" s="4">
        <v>14.911981849242901</v>
      </c>
      <c r="M12" s="4">
        <v>17.139370811572999</v>
      </c>
      <c r="N12" s="4">
        <v>68.939050368937998</v>
      </c>
      <c r="O12" s="4">
        <v>65.157893982822301</v>
      </c>
      <c r="P12" s="4">
        <v>288078.00805292599</v>
      </c>
      <c r="Q12" s="4">
        <v>267741.98853277502</v>
      </c>
      <c r="R12" s="4">
        <v>780.42213266657996</v>
      </c>
      <c r="S12" s="4">
        <v>0</v>
      </c>
      <c r="T12" s="4">
        <v>0</v>
      </c>
      <c r="U12" s="4">
        <v>2.0264966470562501E-2</v>
      </c>
      <c r="V12" s="4">
        <v>0.23155309491030099</v>
      </c>
      <c r="W12" s="4">
        <v>0</v>
      </c>
      <c r="X12" s="4">
        <v>0.60784590669732097</v>
      </c>
      <c r="Y12" s="4">
        <v>0</v>
      </c>
      <c r="Z12" s="5">
        <v>3.7230157188146201E-4</v>
      </c>
      <c r="AA12" s="5">
        <v>1.16719769758296E-4</v>
      </c>
      <c r="AB12" s="10">
        <v>3.3143164109590401E-3</v>
      </c>
      <c r="AC12" s="10">
        <v>1.15321507411354E-5</v>
      </c>
      <c r="AD12" s="10">
        <v>3.1993880655782403E-2</v>
      </c>
      <c r="AE12" s="4">
        <v>2.6934272252183401E-2</v>
      </c>
      <c r="AF12" s="4">
        <v>0.68073760284123097</v>
      </c>
      <c r="AG12" s="4">
        <v>0.96311053368312205</v>
      </c>
      <c r="AH12" s="4">
        <v>0.99318970563665299</v>
      </c>
      <c r="AI12" s="4">
        <v>0.99896153044432701</v>
      </c>
      <c r="AJ12" s="4">
        <v>1</v>
      </c>
      <c r="AK12" s="4">
        <v>1</v>
      </c>
      <c r="AL12" s="4">
        <v>1</v>
      </c>
      <c r="AM12" s="4">
        <v>0</v>
      </c>
      <c r="AN12" s="4">
        <v>0</v>
      </c>
      <c r="AO12" s="4" t="s">
        <v>75</v>
      </c>
      <c r="AP12" s="4" t="s">
        <v>76</v>
      </c>
      <c r="AQ12" s="6">
        <v>59233631091.059998</v>
      </c>
      <c r="AR12" s="4">
        <v>221234</v>
      </c>
      <c r="AS12" s="15">
        <v>0</v>
      </c>
      <c r="AT12" s="15">
        <v>76.844690508969805</v>
      </c>
      <c r="AU12" s="15">
        <v>76.844690508969805</v>
      </c>
      <c r="AV12" s="15">
        <v>23.155309491030099</v>
      </c>
      <c r="AW12" s="15">
        <v>23.155309491030099</v>
      </c>
      <c r="AX12" s="15">
        <v>0</v>
      </c>
    </row>
    <row r="13" spans="1:50" x14ac:dyDescent="0.25">
      <c r="A13">
        <v>4.3</v>
      </c>
      <c r="B13" s="4">
        <v>0.95905843527819101</v>
      </c>
      <c r="C13" s="4">
        <v>43.023133682249302</v>
      </c>
      <c r="D13" s="4">
        <v>39.446279259244299</v>
      </c>
      <c r="E13" s="4">
        <v>4.5795310398242202E-2</v>
      </c>
      <c r="F13" s="5">
        <v>4.09415647218088E-2</v>
      </c>
      <c r="G13" s="5">
        <v>0</v>
      </c>
      <c r="H13" s="4">
        <v>4.8112353247351498</v>
      </c>
      <c r="I13" s="4">
        <v>3.7719831634596401</v>
      </c>
      <c r="J13" s="4">
        <v>-5.4308047504749402</v>
      </c>
      <c r="K13" s="4">
        <v>111.773922392572</v>
      </c>
      <c r="L13" s="4">
        <v>15.3278110996738</v>
      </c>
      <c r="M13" s="4">
        <v>18.062268451892699</v>
      </c>
      <c r="N13" s="4">
        <v>71.5487271160018</v>
      </c>
      <c r="O13" s="4">
        <v>66.345513081966303</v>
      </c>
      <c r="P13" s="4">
        <v>280152.99069320399</v>
      </c>
      <c r="Q13" s="4">
        <v>260500.61639075601</v>
      </c>
      <c r="R13" s="4">
        <v>779.64376187843698</v>
      </c>
      <c r="S13" s="4">
        <v>0</v>
      </c>
      <c r="T13" s="4">
        <v>0</v>
      </c>
      <c r="U13" s="4">
        <v>2.03516864212437E-2</v>
      </c>
      <c r="V13" s="4">
        <v>0.200973294691036</v>
      </c>
      <c r="W13" s="4">
        <v>0</v>
      </c>
      <c r="X13" s="4">
        <v>0.52856467563434395</v>
      </c>
      <c r="Y13" s="4">
        <v>0</v>
      </c>
      <c r="Z13" s="5">
        <v>3.72577665004057E-4</v>
      </c>
      <c r="AA13" s="5">
        <v>1.57402104599689E-4</v>
      </c>
      <c r="AB13" s="10">
        <v>3.53968539988604E-3</v>
      </c>
      <c r="AC13" s="10">
        <v>2.4994154556641199E-5</v>
      </c>
      <c r="AD13" s="10">
        <v>3.6846890684600703E-2</v>
      </c>
      <c r="AE13" s="4">
        <v>4.6345869660144798E-2</v>
      </c>
      <c r="AF13" s="4">
        <v>0.53324294364979496</v>
      </c>
      <c r="AG13" s="4">
        <v>0.94545140370163805</v>
      </c>
      <c r="AH13" s="4">
        <v>0.98915212222845295</v>
      </c>
      <c r="AI13" s="4">
        <v>0.99793000806760901</v>
      </c>
      <c r="AJ13" s="4">
        <v>1</v>
      </c>
      <c r="AK13" s="4">
        <v>1</v>
      </c>
      <c r="AL13" s="4">
        <v>1</v>
      </c>
      <c r="AM13" s="4">
        <v>0</v>
      </c>
      <c r="AN13" s="4">
        <v>0</v>
      </c>
      <c r="AO13" s="4" t="s">
        <v>77</v>
      </c>
      <c r="AP13" s="4" t="s">
        <v>78</v>
      </c>
      <c r="AQ13" s="6">
        <v>35068853479.139999</v>
      </c>
      <c r="AR13" s="4">
        <v>134621</v>
      </c>
      <c r="AS13" s="15">
        <v>0</v>
      </c>
      <c r="AT13" s="15">
        <v>79.902670530896302</v>
      </c>
      <c r="AU13" s="15">
        <v>79.902670530896302</v>
      </c>
      <c r="AV13" s="15">
        <v>20.097329469103599</v>
      </c>
      <c r="AW13" s="15">
        <v>20.097329469103599</v>
      </c>
      <c r="AX13" s="15">
        <v>0</v>
      </c>
    </row>
    <row r="14" spans="1:50" x14ac:dyDescent="0.25">
      <c r="A14">
        <v>4.3</v>
      </c>
      <c r="B14" s="4">
        <v>0.95427883819947801</v>
      </c>
      <c r="C14" s="4">
        <v>44.295375028780398</v>
      </c>
      <c r="D14" s="4">
        <v>42.969980799594701</v>
      </c>
      <c r="E14" s="4">
        <v>4.7589288334598301E-2</v>
      </c>
      <c r="F14" s="5">
        <v>4.5721161800521201E-2</v>
      </c>
      <c r="G14" s="5">
        <v>0</v>
      </c>
      <c r="H14" s="4">
        <v>4.8901277183146803</v>
      </c>
      <c r="I14" s="4">
        <v>3.6803297092087899</v>
      </c>
      <c r="J14" s="4">
        <v>-3.8220176329809799</v>
      </c>
      <c r="K14" s="4">
        <v>134.415565643024</v>
      </c>
      <c r="L14" s="4">
        <v>14.7719179790924</v>
      </c>
      <c r="M14" s="4">
        <v>19.533739469178201</v>
      </c>
      <c r="N14" s="4">
        <v>71.589694225023905</v>
      </c>
      <c r="O14" s="4">
        <v>64.946845003280302</v>
      </c>
      <c r="P14" s="4">
        <v>289979.98482504999</v>
      </c>
      <c r="Q14" s="4">
        <v>270309.36459401599</v>
      </c>
      <c r="R14" s="4">
        <v>778.97320264606606</v>
      </c>
      <c r="S14" s="4">
        <v>0</v>
      </c>
      <c r="T14" s="4">
        <v>0</v>
      </c>
      <c r="U14" s="4">
        <v>2.5209621433866201E-2</v>
      </c>
      <c r="V14" s="4">
        <v>0.19033148724053101</v>
      </c>
      <c r="W14" s="4">
        <v>0</v>
      </c>
      <c r="X14" s="4">
        <v>0.54208739225563296</v>
      </c>
      <c r="Y14" s="4">
        <v>0</v>
      </c>
      <c r="Z14" s="5">
        <v>3.7270826099365699E-4</v>
      </c>
      <c r="AA14" s="5">
        <v>1.88054490310615E-4</v>
      </c>
      <c r="AB14" s="10">
        <v>3.5032801846445502E-3</v>
      </c>
      <c r="AC14" s="10">
        <v>6.1544602607879604E-5</v>
      </c>
      <c r="AD14" s="10">
        <v>4.1595559435510597E-2</v>
      </c>
      <c r="AE14" s="4">
        <v>6.8947661227106896E-2</v>
      </c>
      <c r="AF14" s="4">
        <v>0.41384670062548001</v>
      </c>
      <c r="AG14" s="4">
        <v>0.90829030216083795</v>
      </c>
      <c r="AH14" s="4">
        <v>0.97490877521429498</v>
      </c>
      <c r="AI14" s="4">
        <v>0.99639857940986698</v>
      </c>
      <c r="AJ14" s="4">
        <v>1</v>
      </c>
      <c r="AK14" s="4">
        <v>1</v>
      </c>
      <c r="AL14" s="4">
        <v>1</v>
      </c>
      <c r="AM14" s="4">
        <v>0</v>
      </c>
      <c r="AN14" s="4">
        <v>0</v>
      </c>
      <c r="AO14" s="4" t="s">
        <v>79</v>
      </c>
      <c r="AP14" s="4" t="s">
        <v>80</v>
      </c>
      <c r="AQ14" s="6">
        <v>15676591599.629999</v>
      </c>
      <c r="AR14" s="4">
        <v>57995</v>
      </c>
      <c r="AS14" s="15">
        <v>0</v>
      </c>
      <c r="AT14" s="15">
        <v>80.966851275946794</v>
      </c>
      <c r="AU14" s="15">
        <v>80.966851275946794</v>
      </c>
      <c r="AV14" s="15">
        <v>19.033148724053099</v>
      </c>
      <c r="AW14" s="15">
        <v>19.033148724053099</v>
      </c>
      <c r="AX14" s="15">
        <v>0</v>
      </c>
    </row>
    <row r="15" spans="1:50" x14ac:dyDescent="0.25">
      <c r="A15">
        <v>4.3</v>
      </c>
      <c r="B15" s="4">
        <v>0.95071375928984903</v>
      </c>
      <c r="C15" s="4">
        <v>42.392669003157302</v>
      </c>
      <c r="D15" s="4">
        <v>45.474789379125497</v>
      </c>
      <c r="E15" s="4">
        <v>4.4919863393118403E-2</v>
      </c>
      <c r="F15" s="5">
        <v>4.9286240710150198E-2</v>
      </c>
      <c r="G15" s="5">
        <v>0</v>
      </c>
      <c r="H15" s="4">
        <v>5.0527819010928301</v>
      </c>
      <c r="I15" s="4">
        <v>3.6786445095230298</v>
      </c>
      <c r="J15" s="4">
        <v>10.481859181329799</v>
      </c>
      <c r="K15" s="4">
        <v>160.53102008046901</v>
      </c>
      <c r="L15" s="4">
        <v>15.097093020320999</v>
      </c>
      <c r="M15" s="4">
        <v>19.643397887337699</v>
      </c>
      <c r="N15" s="4">
        <v>78.390058309943697</v>
      </c>
      <c r="O15" s="4">
        <v>69.635536308800098</v>
      </c>
      <c r="P15" s="4">
        <v>283758.39627580502</v>
      </c>
      <c r="Q15" s="4">
        <v>264492.88108941499</v>
      </c>
      <c r="R15" s="4">
        <v>777.33001676958497</v>
      </c>
      <c r="S15" s="4">
        <v>0</v>
      </c>
      <c r="T15" s="4">
        <v>0</v>
      </c>
      <c r="U15" s="4">
        <v>1.72589580441951E-2</v>
      </c>
      <c r="V15" s="4">
        <v>0.203776090648768</v>
      </c>
      <c r="W15" s="4">
        <v>0</v>
      </c>
      <c r="X15" s="4">
        <v>0.51488868857532</v>
      </c>
      <c r="Y15" s="4">
        <v>0</v>
      </c>
      <c r="Z15" s="5">
        <v>3.7619275887094299E-4</v>
      </c>
      <c r="AA15" s="5">
        <v>2.6366754826312699E-4</v>
      </c>
      <c r="AB15" s="10">
        <v>3.7401416854939799E-3</v>
      </c>
      <c r="AC15" s="10">
        <v>1.30865680040373E-4</v>
      </c>
      <c r="AD15" s="10">
        <v>4.4775357848615298E-2</v>
      </c>
      <c r="AE15" s="4">
        <v>8.9505129657934099E-2</v>
      </c>
      <c r="AF15" s="4">
        <v>0.30852865959037001</v>
      </c>
      <c r="AG15" s="4">
        <v>0.82227318485606604</v>
      </c>
      <c r="AH15" s="4">
        <v>0.94508835039251504</v>
      </c>
      <c r="AI15" s="4">
        <v>0.99152392144730495</v>
      </c>
      <c r="AJ15" s="4">
        <v>1</v>
      </c>
      <c r="AK15" s="4">
        <v>1</v>
      </c>
      <c r="AL15" s="4">
        <v>1</v>
      </c>
      <c r="AM15" s="4">
        <v>0</v>
      </c>
      <c r="AN15" s="4">
        <v>0</v>
      </c>
      <c r="AO15" s="4" t="s">
        <v>81</v>
      </c>
      <c r="AP15" s="4" t="s">
        <v>82</v>
      </c>
      <c r="AQ15" s="6">
        <v>3250882001.4699998</v>
      </c>
      <c r="AR15" s="4">
        <v>12291</v>
      </c>
      <c r="AS15" s="15">
        <v>0</v>
      </c>
      <c r="AT15" s="15">
        <v>79.622390935123093</v>
      </c>
      <c r="AU15" s="15">
        <v>79.622390935123093</v>
      </c>
      <c r="AV15" s="15">
        <v>20.3776090648768</v>
      </c>
      <c r="AW15" s="15">
        <v>20.3776090648768</v>
      </c>
      <c r="AX15" s="15">
        <v>0</v>
      </c>
    </row>
    <row r="16" spans="1:50" x14ac:dyDescent="0.25">
      <c r="A16">
        <v>4.3</v>
      </c>
      <c r="B16" s="4">
        <v>0.944382831929098</v>
      </c>
      <c r="C16" s="4">
        <v>49.699111470338003</v>
      </c>
      <c r="D16" s="4">
        <v>49.675785996119302</v>
      </c>
      <c r="E16" s="4">
        <v>5.5653652923624897E-2</v>
      </c>
      <c r="F16" s="5">
        <v>5.5617168070901397E-2</v>
      </c>
      <c r="G16" s="5">
        <v>0</v>
      </c>
      <c r="H16" s="4">
        <v>5.0877099711071798</v>
      </c>
      <c r="I16" s="4">
        <v>3.6602132139401999</v>
      </c>
      <c r="J16" s="4">
        <v>14.4336859682992</v>
      </c>
      <c r="K16" s="4">
        <v>183.23039087177801</v>
      </c>
      <c r="L16" s="4">
        <v>14.0662140716107</v>
      </c>
      <c r="M16" s="4">
        <v>20.006562964495199</v>
      </c>
      <c r="N16" s="4">
        <v>82.573290686215302</v>
      </c>
      <c r="O16" s="4">
        <v>70.812709628780695</v>
      </c>
      <c r="P16" s="4">
        <v>301542.66758052801</v>
      </c>
      <c r="Q16" s="4">
        <v>283874.48090749199</v>
      </c>
      <c r="R16" s="4">
        <v>776.71345601800101</v>
      </c>
      <c r="S16" s="4">
        <v>0</v>
      </c>
      <c r="T16" s="4">
        <v>0</v>
      </c>
      <c r="U16" s="4">
        <v>1.4774892795770401E-2</v>
      </c>
      <c r="V16" s="4">
        <v>0.14884715952323799</v>
      </c>
      <c r="W16" s="4">
        <v>0</v>
      </c>
      <c r="X16" s="4">
        <v>0.49026382056096801</v>
      </c>
      <c r="Y16" s="4">
        <v>0</v>
      </c>
      <c r="Z16" s="5">
        <v>3.7924852222569498E-4</v>
      </c>
      <c r="AA16" s="5">
        <v>3.23231571032479E-4</v>
      </c>
      <c r="AB16" s="10">
        <v>3.8561488634411699E-3</v>
      </c>
      <c r="AC16" s="10">
        <v>3.9488146076803801E-4</v>
      </c>
      <c r="AD16" s="10">
        <v>5.0663641501290303E-2</v>
      </c>
      <c r="AE16" s="4">
        <v>0.125363415706362</v>
      </c>
      <c r="AF16" s="4">
        <v>0.180895122695268</v>
      </c>
      <c r="AG16" s="4">
        <v>0.64354096152160301</v>
      </c>
      <c r="AH16" s="4">
        <v>0.82094043855656296</v>
      </c>
      <c r="AI16" s="4">
        <v>0.96473360750190595</v>
      </c>
      <c r="AJ16" s="4">
        <v>1</v>
      </c>
      <c r="AK16" s="4">
        <v>1</v>
      </c>
      <c r="AL16" s="4">
        <v>1</v>
      </c>
      <c r="AM16" s="4">
        <v>0</v>
      </c>
      <c r="AN16" s="4">
        <v>0</v>
      </c>
      <c r="AO16" s="4" t="s">
        <v>83</v>
      </c>
      <c r="AP16" s="4" t="s">
        <v>84</v>
      </c>
      <c r="AQ16" s="6">
        <v>807055149.22000003</v>
      </c>
      <c r="AR16" s="4">
        <v>2843</v>
      </c>
      <c r="AS16" s="15">
        <v>0</v>
      </c>
      <c r="AT16" s="15">
        <v>85.115284047676099</v>
      </c>
      <c r="AU16" s="15">
        <v>85.115284047676099</v>
      </c>
      <c r="AV16" s="15">
        <v>14.8847159523238</v>
      </c>
      <c r="AW16" s="15">
        <v>14.8847159523238</v>
      </c>
      <c r="AX16" s="15">
        <v>0</v>
      </c>
    </row>
    <row r="17" spans="1:50" x14ac:dyDescent="0.25">
      <c r="A17">
        <v>4.3</v>
      </c>
      <c r="B17" s="4">
        <v>0.94227199152051</v>
      </c>
      <c r="C17" s="4">
        <v>40.294314442018603</v>
      </c>
      <c r="D17" s="4">
        <v>51.009103598278799</v>
      </c>
      <c r="E17" s="4">
        <v>4.2068089227374698E-2</v>
      </c>
      <c r="F17" s="5">
        <v>5.7728008479489397E-2</v>
      </c>
      <c r="G17" s="5">
        <v>0</v>
      </c>
      <c r="H17" s="4">
        <v>5.1697090931426803</v>
      </c>
      <c r="I17" s="4">
        <v>3.6671451713052399</v>
      </c>
      <c r="J17" s="4">
        <v>19.100506732022399</v>
      </c>
      <c r="K17" s="4">
        <v>209.24279868250599</v>
      </c>
      <c r="L17" s="4">
        <v>14.6347427068328</v>
      </c>
      <c r="M17" s="4">
        <v>20.249615563019098</v>
      </c>
      <c r="N17" s="4">
        <v>89.7083232485369</v>
      </c>
      <c r="O17" s="4">
        <v>74.667694771328101</v>
      </c>
      <c r="P17" s="4">
        <v>293970.514071187</v>
      </c>
      <c r="Q17" s="4">
        <v>272848.93076320901</v>
      </c>
      <c r="R17" s="4">
        <v>775.48884230207295</v>
      </c>
      <c r="S17" s="4">
        <v>0</v>
      </c>
      <c r="T17" s="4">
        <v>0</v>
      </c>
      <c r="U17" s="4">
        <v>1.3949640235181001E-2</v>
      </c>
      <c r="V17" s="4">
        <v>0.114406282523387</v>
      </c>
      <c r="W17" s="4">
        <v>0</v>
      </c>
      <c r="X17" s="4">
        <v>0.31912774432535101</v>
      </c>
      <c r="Y17" s="4">
        <v>0</v>
      </c>
      <c r="Z17" s="5">
        <v>3.85837562288571E-4</v>
      </c>
      <c r="AA17" s="5">
        <v>4.1282419053151602E-4</v>
      </c>
      <c r="AB17" s="10">
        <v>4.2255694732678097E-3</v>
      </c>
      <c r="AC17" s="10">
        <v>6.87013082563266E-4</v>
      </c>
      <c r="AD17" s="10">
        <v>5.2016747230164202E-2</v>
      </c>
      <c r="AE17" s="4">
        <v>0.158457438678862</v>
      </c>
      <c r="AF17" s="4">
        <v>4.7185181718086902E-2</v>
      </c>
      <c r="AG17" s="4">
        <v>0.443583887015361</v>
      </c>
      <c r="AH17" s="4">
        <v>0.70975847132076197</v>
      </c>
      <c r="AI17" s="4">
        <v>0.93055655926941205</v>
      </c>
      <c r="AJ17" s="4">
        <v>1</v>
      </c>
      <c r="AK17" s="4">
        <v>1</v>
      </c>
      <c r="AL17" s="4">
        <v>1</v>
      </c>
      <c r="AM17" s="4">
        <v>0</v>
      </c>
      <c r="AN17" s="4">
        <v>0</v>
      </c>
      <c r="AO17" s="4" t="s">
        <v>85</v>
      </c>
      <c r="AP17" s="4" t="s">
        <v>86</v>
      </c>
      <c r="AQ17" s="6">
        <v>139425803.62</v>
      </c>
      <c r="AR17" s="4">
        <v>511</v>
      </c>
      <c r="AS17" s="15">
        <v>0</v>
      </c>
      <c r="AT17" s="15">
        <v>88.559371747661203</v>
      </c>
      <c r="AU17" s="15">
        <v>88.559371747661203</v>
      </c>
      <c r="AV17" s="15">
        <v>11.4406282523387</v>
      </c>
      <c r="AW17" s="15">
        <v>11.4406282523387</v>
      </c>
      <c r="AX17" s="15">
        <v>0</v>
      </c>
    </row>
    <row r="18" spans="1:50" x14ac:dyDescent="0.25">
      <c r="A18">
        <v>4.3</v>
      </c>
      <c r="B18" s="4">
        <v>0.93939347122577899</v>
      </c>
      <c r="C18" s="4">
        <v>22.261828001566801</v>
      </c>
      <c r="D18" s="4">
        <v>52.775164892773397</v>
      </c>
      <c r="E18" s="4">
        <v>2.07666550977899E-2</v>
      </c>
      <c r="F18" s="5">
        <v>6.0606528774220798E-2</v>
      </c>
      <c r="G18" s="5">
        <v>0</v>
      </c>
      <c r="H18" s="4">
        <v>5.2637101262987303</v>
      </c>
      <c r="I18" s="4">
        <v>3.6463383432153802</v>
      </c>
      <c r="J18" s="4">
        <v>27.126595410824901</v>
      </c>
      <c r="K18" s="4">
        <v>231.85490425155001</v>
      </c>
      <c r="L18" s="4">
        <v>13.8911152553042</v>
      </c>
      <c r="M18" s="4">
        <v>20.806703938458899</v>
      </c>
      <c r="N18" s="4">
        <v>92.564126744827007</v>
      </c>
      <c r="O18" s="4">
        <v>74.572095920571002</v>
      </c>
      <c r="P18" s="4">
        <v>308393.02548904502</v>
      </c>
      <c r="Q18" s="4">
        <v>287462.076951219</v>
      </c>
      <c r="R18" s="4">
        <v>776.67353915919296</v>
      </c>
      <c r="S18" s="4">
        <v>0</v>
      </c>
      <c r="T18" s="4">
        <v>0</v>
      </c>
      <c r="U18" s="4">
        <v>0</v>
      </c>
      <c r="V18" s="4">
        <v>2.79335497213248E-2</v>
      </c>
      <c r="W18" s="4">
        <v>0</v>
      </c>
      <c r="X18" s="4">
        <v>0.14885188772965999</v>
      </c>
      <c r="Y18" s="4">
        <v>0</v>
      </c>
      <c r="Z18" s="5">
        <v>3.8200278312006499E-4</v>
      </c>
      <c r="AA18" s="5">
        <v>5.1270754253410905E-4</v>
      </c>
      <c r="AB18" s="10">
        <v>4.4189107308092498E-3</v>
      </c>
      <c r="AC18" s="10">
        <v>1.34643582287805E-3</v>
      </c>
      <c r="AD18" s="10">
        <v>5.3946453330893603E-2</v>
      </c>
      <c r="AE18" s="4">
        <v>0.19904467290679201</v>
      </c>
      <c r="AF18" s="4">
        <v>0</v>
      </c>
      <c r="AG18" s="4">
        <v>0.17152724396841099</v>
      </c>
      <c r="AH18" s="4">
        <v>0.37747711248364402</v>
      </c>
      <c r="AI18" s="4">
        <v>0.91231698294798302</v>
      </c>
      <c r="AJ18" s="4">
        <v>1</v>
      </c>
      <c r="AK18" s="4">
        <v>1</v>
      </c>
      <c r="AL18" s="4">
        <v>1</v>
      </c>
      <c r="AM18" s="4">
        <v>0</v>
      </c>
      <c r="AN18" s="4">
        <v>0</v>
      </c>
      <c r="AO18" s="4" t="s">
        <v>87</v>
      </c>
      <c r="AP18" s="4" t="s">
        <v>88</v>
      </c>
      <c r="AQ18" s="6">
        <v>23571890.309999999</v>
      </c>
      <c r="AR18" s="4">
        <v>82</v>
      </c>
      <c r="AS18" s="15">
        <v>0</v>
      </c>
      <c r="AT18" s="15">
        <v>97.206645027867495</v>
      </c>
      <c r="AU18" s="15">
        <v>97.206645027867495</v>
      </c>
      <c r="AV18" s="15">
        <v>2.7933549721324802</v>
      </c>
      <c r="AW18" s="15">
        <v>2.7933549721324802</v>
      </c>
      <c r="AX18" s="15">
        <v>0</v>
      </c>
    </row>
    <row r="25" spans="1:50" x14ac:dyDescent="0.25">
      <c r="K25" t="s">
        <v>102</v>
      </c>
      <c r="L25" t="s">
        <v>90</v>
      </c>
      <c r="M25" t="s">
        <v>91</v>
      </c>
      <c r="R25" t="s">
        <v>102</v>
      </c>
      <c r="W25" t="s">
        <v>90</v>
      </c>
      <c r="AB25" t="s">
        <v>91</v>
      </c>
    </row>
    <row r="26" spans="1:50" x14ac:dyDescent="0.25">
      <c r="A26" s="4" t="s">
        <v>95</v>
      </c>
      <c r="B26" t="str">
        <f>AQ2</f>
        <v>Balance</v>
      </c>
      <c r="C26" s="2" t="str">
        <f t="shared" ref="C26:C41" si="0">AO2</f>
        <v>groupByColumn</v>
      </c>
      <c r="D26" t="str">
        <f>E2</f>
        <v>PREPAY_SMM1</v>
      </c>
      <c r="E26" t="str">
        <f>F2</f>
        <v>PREPAY_TRACKING_SMM1</v>
      </c>
      <c r="F26" t="s">
        <v>92</v>
      </c>
      <c r="G26" t="str">
        <f>C2</f>
        <v>PREPAY_CPR1</v>
      </c>
      <c r="H26" t="str">
        <f>D2</f>
        <v>PREPAY_TRACKING_CPR1</v>
      </c>
      <c r="K26" t="s">
        <v>93</v>
      </c>
      <c r="L26" t="s">
        <v>93</v>
      </c>
      <c r="M26" t="s">
        <v>93</v>
      </c>
      <c r="N26" t="s">
        <v>100</v>
      </c>
      <c r="O26" t="s">
        <v>101</v>
      </c>
      <c r="P26" t="s">
        <v>92</v>
      </c>
      <c r="R26" t="s">
        <v>96</v>
      </c>
      <c r="T26" t="s">
        <v>94</v>
      </c>
      <c r="U26" t="s">
        <v>99</v>
      </c>
      <c r="W26" t="s">
        <v>96</v>
      </c>
      <c r="X26" t="s">
        <v>103</v>
      </c>
      <c r="Y26" t="s">
        <v>94</v>
      </c>
      <c r="Z26" t="s">
        <v>99</v>
      </c>
      <c r="AB26" t="s">
        <v>96</v>
      </c>
      <c r="AC26" t="s">
        <v>103</v>
      </c>
      <c r="AD26" t="s">
        <v>94</v>
      </c>
      <c r="AE26" t="s">
        <v>99</v>
      </c>
    </row>
    <row r="27" spans="1:50" s="17" customFormat="1" x14ac:dyDescent="0.25">
      <c r="A27" s="15">
        <f t="shared" ref="A27:A41" si="1">K3</f>
        <v>-131.94999999999999</v>
      </c>
      <c r="B27" s="22">
        <f t="shared" ref="B27:B41" si="2">AQ3/1000000000</f>
        <v>3.0325044E-4</v>
      </c>
      <c r="C27" s="23" t="str">
        <f t="shared" si="0"/>
        <v>03:-150--125</v>
      </c>
      <c r="D27" s="16">
        <f>E3</f>
        <v>0</v>
      </c>
      <c r="E27" s="16">
        <f t="shared" ref="E27:E41" si="3">Z3+AA3+AB3+AC3+AD3</f>
        <v>3.38237E-3</v>
      </c>
      <c r="F27" s="22">
        <f t="shared" ref="F27:F40" si="4">D27/E27</f>
        <v>0</v>
      </c>
      <c r="G27" s="23">
        <f t="shared" ref="G27:G41" si="5">(1-(1-D27)^12)*100</f>
        <v>0</v>
      </c>
      <c r="H27" s="23">
        <f t="shared" ref="H27:H41" si="6">(1-(1-E27)^12)*100</f>
        <v>3.9841820458473509</v>
      </c>
      <c r="K27" s="15">
        <v>1</v>
      </c>
      <c r="L27" s="15">
        <v>1</v>
      </c>
      <c r="M27" s="15">
        <v>1</v>
      </c>
      <c r="N27" s="16">
        <f t="shared" ref="N27:N41" si="7">Z3+AA3+AB3*K27+AC3*L27+AD3*M27</f>
        <v>3.38237E-3</v>
      </c>
      <c r="O27" s="23">
        <f t="shared" ref="O27:O41" si="8">100*(1-(1-N27)^12)</f>
        <v>3.9841820458473509</v>
      </c>
      <c r="P27" s="24">
        <f t="shared" ref="P27:P41" si="9">D27/N27</f>
        <v>0</v>
      </c>
      <c r="S27" s="18">
        <f>A27</f>
        <v>-131.94999999999999</v>
      </c>
      <c r="T27" s="16">
        <f>VLOOKUP(ROUNDDOWN(S27,0),'Spline Pre-Adj'!A:B,2,0)</f>
        <v>0.95832877400000005</v>
      </c>
      <c r="U27" s="16">
        <f>T27*K27</f>
        <v>0.95832877400000005</v>
      </c>
      <c r="Y27" s="16"/>
      <c r="Z27" s="16"/>
      <c r="AE27" s="16"/>
    </row>
    <row r="28" spans="1:50" s="17" customFormat="1" x14ac:dyDescent="0.25">
      <c r="A28" s="15">
        <f t="shared" si="1"/>
        <v>-110.175225167985</v>
      </c>
      <c r="B28" s="22">
        <f t="shared" si="2"/>
        <v>2.1064177900000001E-3</v>
      </c>
      <c r="C28" s="23" t="str">
        <f t="shared" si="0"/>
        <v>04:-125--100</v>
      </c>
      <c r="D28" s="16">
        <f>E4</f>
        <v>4.7473961991671797E-9</v>
      </c>
      <c r="E28" s="16">
        <f t="shared" si="3"/>
        <v>6.3982000604399045E-3</v>
      </c>
      <c r="F28" s="22">
        <f t="shared" si="4"/>
        <v>7.4198933361279975E-7</v>
      </c>
      <c r="G28" s="23">
        <f t="shared" si="5"/>
        <v>5.6968753714414788E-6</v>
      </c>
      <c r="H28" s="23">
        <f t="shared" si="6"/>
        <v>7.4133363025934873</v>
      </c>
      <c r="K28" s="15">
        <v>1</v>
      </c>
      <c r="L28" s="15">
        <v>1</v>
      </c>
      <c r="M28" s="15">
        <v>1</v>
      </c>
      <c r="N28" s="16">
        <f t="shared" si="7"/>
        <v>6.3982000604399045E-3</v>
      </c>
      <c r="O28" s="23">
        <f t="shared" si="8"/>
        <v>7.4133363025934873</v>
      </c>
      <c r="P28" s="24">
        <f t="shared" si="9"/>
        <v>7.4198933361279975E-7</v>
      </c>
      <c r="S28" s="18">
        <f t="shared" ref="S28:S35" si="10">A28</f>
        <v>-110.175225167985</v>
      </c>
      <c r="T28" s="16">
        <f>VLOOKUP(ROUNDDOWN(S28,0),'Spline Pre-Adj'!A:B,2,0)</f>
        <v>1.012994</v>
      </c>
      <c r="U28" s="16">
        <f t="shared" ref="U28:U35" si="11">T28*K28</f>
        <v>1.012994</v>
      </c>
      <c r="X28" s="18">
        <f>A28</f>
        <v>-110.175225167985</v>
      </c>
      <c r="Y28" s="16">
        <f>VLOOKUP(ROUNDDOWN(X28,0),'Spline Pre-Adj'!F:G,2,0)</f>
        <v>0</v>
      </c>
      <c r="Z28" s="16">
        <f t="shared" ref="Z28:Z41" si="12">Y28*L28</f>
        <v>0</v>
      </c>
      <c r="AE28" s="16"/>
    </row>
    <row r="29" spans="1:50" s="17" customFormat="1" x14ac:dyDescent="0.25">
      <c r="A29" s="15">
        <f t="shared" si="1"/>
        <v>-83.272831602241595</v>
      </c>
      <c r="B29" s="22">
        <f t="shared" si="2"/>
        <v>8.54125461E-3</v>
      </c>
      <c r="C29" s="23" t="str">
        <f t="shared" si="0"/>
        <v>05:-100--75</v>
      </c>
      <c r="D29" s="16">
        <f>E5</f>
        <v>7.9086790617858196E-3</v>
      </c>
      <c r="E29" s="16">
        <f t="shared" si="3"/>
        <v>9.770128445490741E-3</v>
      </c>
      <c r="F29" s="22">
        <f t="shared" si="4"/>
        <v>0.80947544404454108</v>
      </c>
      <c r="G29" s="23">
        <f t="shared" si="5"/>
        <v>9.0882947477177627</v>
      </c>
      <c r="H29" s="23">
        <f t="shared" si="6"/>
        <v>11.114221825179627</v>
      </c>
      <c r="K29" s="15">
        <v>1</v>
      </c>
      <c r="L29" s="15">
        <v>1</v>
      </c>
      <c r="M29" s="15">
        <v>1</v>
      </c>
      <c r="N29" s="16">
        <f t="shared" si="7"/>
        <v>9.770128445490741E-3</v>
      </c>
      <c r="O29" s="23">
        <f t="shared" si="8"/>
        <v>11.114221825179627</v>
      </c>
      <c r="P29" s="24">
        <f t="shared" si="9"/>
        <v>0.80947544404454108</v>
      </c>
      <c r="S29" s="18">
        <f t="shared" si="10"/>
        <v>-83.272831602241595</v>
      </c>
      <c r="T29" s="16">
        <f>VLOOKUP(ROUNDDOWN(S29,0),'Spline Pre-Adj'!A:B,2,0)</f>
        <v>1.135228248</v>
      </c>
      <c r="U29" s="16">
        <f t="shared" si="11"/>
        <v>1.135228248</v>
      </c>
      <c r="X29" s="9">
        <f t="shared" ref="X29:X41" si="13">A29</f>
        <v>-83.272831602241595</v>
      </c>
      <c r="Y29" s="8">
        <f>VLOOKUP(ROUNDDOWN(X29,0),'Spline Pre-Adj'!F:G,2,0)</f>
        <v>3.1256266951590402E-2</v>
      </c>
      <c r="Z29" s="8">
        <f t="shared" si="12"/>
        <v>3.1256266951590402E-2</v>
      </c>
      <c r="AE29" s="16"/>
    </row>
    <row r="30" spans="1:50" s="17" customFormat="1" x14ac:dyDescent="0.25">
      <c r="A30" s="15">
        <f t="shared" si="1"/>
        <v>-56.995105266949302</v>
      </c>
      <c r="B30" s="22">
        <f t="shared" si="2"/>
        <v>0.15280247597999999</v>
      </c>
      <c r="C30" s="23" t="str">
        <f t="shared" si="0"/>
        <v>06:-75--50</v>
      </c>
      <c r="D30" s="16">
        <f>E6</f>
        <v>3.6951907430411799E-3</v>
      </c>
      <c r="E30" s="16">
        <f t="shared" si="3"/>
        <v>5.2062218650179692E-3</v>
      </c>
      <c r="F30" s="22">
        <f t="shared" si="4"/>
        <v>0.70976436249676156</v>
      </c>
      <c r="G30" s="23">
        <f t="shared" si="5"/>
        <v>4.3452104747702673</v>
      </c>
      <c r="H30" s="23">
        <f t="shared" si="6"/>
        <v>6.0716433418565918</v>
      </c>
      <c r="K30" s="15">
        <v>1</v>
      </c>
      <c r="L30" s="15">
        <v>1</v>
      </c>
      <c r="M30" s="15">
        <v>1</v>
      </c>
      <c r="N30" s="16">
        <f t="shared" si="7"/>
        <v>5.2062218650179692E-3</v>
      </c>
      <c r="O30" s="23">
        <f t="shared" si="8"/>
        <v>6.0716433418565918</v>
      </c>
      <c r="P30" s="24">
        <f t="shared" si="9"/>
        <v>0.70976436249676156</v>
      </c>
      <c r="S30" s="18">
        <f t="shared" si="10"/>
        <v>-56.995105266949302</v>
      </c>
      <c r="T30" s="16">
        <f>VLOOKUP(ROUNDDOWN(S30,0),'Spline Pre-Adj'!A:B,2,0)</f>
        <v>1.2795488639999999</v>
      </c>
      <c r="U30" s="16">
        <f t="shared" si="11"/>
        <v>1.2795488639999999</v>
      </c>
      <c r="X30" s="18">
        <f t="shared" si="13"/>
        <v>-56.995105266949302</v>
      </c>
      <c r="Y30" s="16">
        <f>VLOOKUP(ROUNDDOWN(X30,0),'Spline Pre-Adj'!F:G,2,0)</f>
        <v>0.18862313043478299</v>
      </c>
      <c r="Z30" s="16">
        <f t="shared" si="12"/>
        <v>0.18862313043478299</v>
      </c>
      <c r="AC30" s="18">
        <f t="shared" ref="AC30:AC41" si="14">A30</f>
        <v>-56.995105266949302</v>
      </c>
      <c r="AD30" s="16">
        <f>VLOOKUP(ROUNDDOWN(AC30,0),'Spline Pre-Adj'!K:L,2,0)</f>
        <v>0</v>
      </c>
      <c r="AE30" s="16">
        <f t="shared" ref="AE30:AE41" si="15">AD30*M30</f>
        <v>0</v>
      </c>
    </row>
    <row r="31" spans="1:50" x14ac:dyDescent="0.25">
      <c r="A31" s="4">
        <f t="shared" si="1"/>
        <v>-33.272056530482502</v>
      </c>
      <c r="B31" s="3">
        <f t="shared" si="2"/>
        <v>1.82164817771</v>
      </c>
      <c r="C31" s="2" t="str">
        <f t="shared" si="0"/>
        <v>07:-50--25</v>
      </c>
      <c r="D31" s="8">
        <f t="shared" ref="D31:D40" si="16">E7</f>
        <v>2.81902196894547E-3</v>
      </c>
      <c r="E31" s="8">
        <f t="shared" si="3"/>
        <v>6.1476326055540714E-3</v>
      </c>
      <c r="F31" s="3">
        <f t="shared" si="4"/>
        <v>0.45855407273340115</v>
      </c>
      <c r="G31" s="2">
        <f t="shared" si="5"/>
        <v>3.3308666643767526</v>
      </c>
      <c r="H31" s="2">
        <f t="shared" si="6"/>
        <v>7.1327642392419062</v>
      </c>
      <c r="K31" s="4">
        <v>1</v>
      </c>
      <c r="L31" s="4">
        <v>1</v>
      </c>
      <c r="M31" s="4">
        <v>1</v>
      </c>
      <c r="N31" s="8">
        <f t="shared" si="7"/>
        <v>6.1476326055540714E-3</v>
      </c>
      <c r="O31" s="2">
        <f t="shared" si="8"/>
        <v>7.1327642392419062</v>
      </c>
      <c r="P31" s="7">
        <f t="shared" si="9"/>
        <v>0.45855407273340115</v>
      </c>
      <c r="S31" s="9">
        <f t="shared" si="10"/>
        <v>-33.272056530482502</v>
      </c>
      <c r="T31" s="8">
        <f>VLOOKUP(ROUNDDOWN(S31,0),'Spline Pre-Adj'!A:B,2,0)</f>
        <v>1.2869999999999999</v>
      </c>
      <c r="U31" s="8">
        <f t="shared" si="11"/>
        <v>1.2869999999999999</v>
      </c>
      <c r="X31" s="9">
        <f t="shared" si="13"/>
        <v>-33.272056530482502</v>
      </c>
      <c r="Y31" s="8">
        <f>VLOOKUP(ROUNDDOWN(X31,0),'Spline Pre-Adj'!F:G,2,0)</f>
        <v>0.30615060763888902</v>
      </c>
      <c r="Z31" s="8">
        <f t="shared" si="12"/>
        <v>0.30615060763888902</v>
      </c>
      <c r="AC31" s="9">
        <f t="shared" si="14"/>
        <v>-33.272056530482502</v>
      </c>
      <c r="AD31" s="8">
        <f>VLOOKUP(ROUNDDOWN(AC31,0),'Spline Pre-Adj'!K:L,2,0)</f>
        <v>0.39387319081357403</v>
      </c>
      <c r="AE31" s="8">
        <f t="shared" si="15"/>
        <v>0.39387319081357403</v>
      </c>
    </row>
    <row r="32" spans="1:50" x14ac:dyDescent="0.25">
      <c r="A32" s="4">
        <f t="shared" si="1"/>
        <v>-9.2138983645816204</v>
      </c>
      <c r="B32" s="3">
        <f t="shared" si="2"/>
        <v>11.701266193799999</v>
      </c>
      <c r="C32" s="2" t="str">
        <f t="shared" si="0"/>
        <v>08:-25-0</v>
      </c>
      <c r="D32" s="8">
        <f t="shared" si="16"/>
        <v>7.7989529894358003E-3</v>
      </c>
      <c r="E32" s="8">
        <f t="shared" si="3"/>
        <v>1.1242533502821127E-2</v>
      </c>
      <c r="F32" s="3">
        <f t="shared" si="4"/>
        <v>0.69370066697855803</v>
      </c>
      <c r="G32" s="2">
        <f t="shared" si="5"/>
        <v>8.9675624589376177</v>
      </c>
      <c r="H32" s="2">
        <f t="shared" si="6"/>
        <v>12.687321250391303</v>
      </c>
      <c r="K32" s="4">
        <v>1</v>
      </c>
      <c r="L32" s="4">
        <v>1</v>
      </c>
      <c r="M32" s="4">
        <v>1</v>
      </c>
      <c r="N32" s="8">
        <f t="shared" si="7"/>
        <v>1.1242533502821127E-2</v>
      </c>
      <c r="O32" s="2">
        <f t="shared" si="8"/>
        <v>12.687321250391303</v>
      </c>
      <c r="P32" s="7">
        <f t="shared" si="9"/>
        <v>0.69370066697855803</v>
      </c>
      <c r="S32" s="9">
        <f t="shared" si="10"/>
        <v>-9.2138983645816204</v>
      </c>
      <c r="T32" s="8">
        <f>VLOOKUP(ROUNDDOWN(S32,0),'Spline Pre-Adj'!A:B,2,0)</f>
        <v>1.2869999999999999</v>
      </c>
      <c r="U32" s="8">
        <f t="shared" si="11"/>
        <v>1.2869999999999999</v>
      </c>
      <c r="X32" s="9">
        <f t="shared" si="13"/>
        <v>-9.2138983645816204</v>
      </c>
      <c r="Y32" s="8">
        <f>VLOOKUP(ROUNDDOWN(X32,0),'Spline Pre-Adj'!F:G,2,0)</f>
        <v>0.51930077356521698</v>
      </c>
      <c r="Z32" s="8">
        <f t="shared" si="12"/>
        <v>0.51930077356521698</v>
      </c>
      <c r="AC32" s="9">
        <f t="shared" si="14"/>
        <v>-9.2138983645816204</v>
      </c>
      <c r="AD32" s="8">
        <f>VLOOKUP(ROUNDDOWN(AC32,0),'Spline Pre-Adj'!K:L,2,0)</f>
        <v>1.1530058138744601</v>
      </c>
      <c r="AE32" s="8">
        <f t="shared" si="15"/>
        <v>1.1530058138744601</v>
      </c>
    </row>
    <row r="33" spans="1:31" x14ac:dyDescent="0.25">
      <c r="A33" s="4">
        <f t="shared" si="1"/>
        <v>15.260272575122</v>
      </c>
      <c r="B33" s="3">
        <f t="shared" si="2"/>
        <v>50.133779330110002</v>
      </c>
      <c r="C33" s="2" t="str">
        <f t="shared" si="0"/>
        <v>09:0-25</v>
      </c>
      <c r="D33" s="8">
        <f t="shared" si="16"/>
        <v>1.7014944429452401E-2</v>
      </c>
      <c r="E33" s="8">
        <f t="shared" si="3"/>
        <v>1.5950175297552757E-2</v>
      </c>
      <c r="F33" s="3">
        <f t="shared" si="4"/>
        <v>1.0667559517081302</v>
      </c>
      <c r="G33" s="2">
        <f t="shared" si="5"/>
        <v>18.611511503900978</v>
      </c>
      <c r="H33" s="2">
        <f t="shared" si="6"/>
        <v>17.547266179519706</v>
      </c>
      <c r="K33" s="4">
        <v>1</v>
      </c>
      <c r="L33" s="4">
        <v>1</v>
      </c>
      <c r="M33" s="4">
        <v>1.08</v>
      </c>
      <c r="N33" s="8">
        <f t="shared" si="7"/>
        <v>1.6968098274321528E-2</v>
      </c>
      <c r="O33" s="2">
        <f t="shared" si="8"/>
        <v>18.564954491471219</v>
      </c>
      <c r="P33" s="7">
        <f t="shared" si="9"/>
        <v>1.0027608370940289</v>
      </c>
      <c r="S33" s="9">
        <f t="shared" si="10"/>
        <v>15.260272575122</v>
      </c>
      <c r="T33" s="8">
        <f>VLOOKUP(ROUNDDOWN(S33,0),'Spline Pre-Adj'!A:B,2,0)</f>
        <v>1.2869999999999999</v>
      </c>
      <c r="U33" s="8">
        <f t="shared" si="11"/>
        <v>1.2869999999999999</v>
      </c>
      <c r="X33" s="9">
        <f t="shared" si="13"/>
        <v>15.260272575122</v>
      </c>
      <c r="Y33" s="8">
        <f>VLOOKUP(ROUNDDOWN(X33,0),'Spline Pre-Adj'!F:G,2,0)</f>
        <v>0.98856376263664003</v>
      </c>
      <c r="Z33" s="8">
        <f t="shared" si="12"/>
        <v>0.98856376263664003</v>
      </c>
      <c r="AC33" s="9">
        <f t="shared" si="14"/>
        <v>15.260272575122</v>
      </c>
      <c r="AD33" s="8">
        <f>VLOOKUP(ROUNDDOWN(AC33,0),'Spline Pre-Adj'!K:L,2,0)</f>
        <v>1.7164152091598801</v>
      </c>
      <c r="AE33" s="8">
        <f t="shared" si="15"/>
        <v>1.8537284258926707</v>
      </c>
    </row>
    <row r="34" spans="1:31" x14ac:dyDescent="0.25">
      <c r="A34" s="4">
        <f t="shared" si="1"/>
        <v>37.570754506354902</v>
      </c>
      <c r="B34" s="3">
        <f t="shared" si="2"/>
        <v>88.19303323314999</v>
      </c>
      <c r="C34" s="2" t="str">
        <f t="shared" si="0"/>
        <v>10:25-50</v>
      </c>
      <c r="D34" s="8">
        <f t="shared" si="16"/>
        <v>2.9480885570337199E-2</v>
      </c>
      <c r="E34" s="8">
        <f t="shared" si="3"/>
        <v>2.2364528861003177E-2</v>
      </c>
      <c r="F34" s="3">
        <f t="shared" si="4"/>
        <v>1.3181983735746272</v>
      </c>
      <c r="G34" s="2">
        <f t="shared" si="5"/>
        <v>30.168862064131453</v>
      </c>
      <c r="H34" s="2">
        <f t="shared" si="6"/>
        <v>23.770441211016436</v>
      </c>
      <c r="K34" s="4">
        <v>1</v>
      </c>
      <c r="L34" s="4">
        <v>1</v>
      </c>
      <c r="M34" s="4">
        <v>1.37</v>
      </c>
      <c r="N34" s="8">
        <f t="shared" si="7"/>
        <v>2.9345487531680956E-2</v>
      </c>
      <c r="O34" s="2">
        <f t="shared" si="8"/>
        <v>30.051865822449329</v>
      </c>
      <c r="P34" s="7">
        <f t="shared" si="9"/>
        <v>1.0046139304555792</v>
      </c>
      <c r="S34" s="9">
        <f t="shared" si="10"/>
        <v>37.570754506354902</v>
      </c>
      <c r="T34" s="8">
        <f>VLOOKUP(ROUNDDOWN(S34,0),'Spline Pre-Adj'!A:B,2,0)</f>
        <v>1.2869999999999999</v>
      </c>
      <c r="U34" s="8">
        <f t="shared" si="11"/>
        <v>1.2869999999999999</v>
      </c>
      <c r="X34" s="9">
        <f t="shared" si="13"/>
        <v>37.570754506354902</v>
      </c>
      <c r="Y34" s="8">
        <f>VLOOKUP(ROUNDDOWN(X34,0),'Spline Pre-Adj'!F:G,2,0)</f>
        <v>1.89537379409471</v>
      </c>
      <c r="Z34" s="8">
        <f t="shared" si="12"/>
        <v>1.89537379409471</v>
      </c>
      <c r="AC34" s="9">
        <f t="shared" si="14"/>
        <v>37.570754506354902</v>
      </c>
      <c r="AD34" s="8">
        <f>VLOOKUP(ROUNDDOWN(AC34,0),'Spline Pre-Adj'!K:L,2,0)</f>
        <v>2.4264029166777901</v>
      </c>
      <c r="AE34" s="8">
        <f t="shared" si="15"/>
        <v>3.3241719958485727</v>
      </c>
    </row>
    <row r="35" spans="1:31" x14ac:dyDescent="0.25">
      <c r="A35" s="4">
        <f t="shared" si="1"/>
        <v>62.437771520279</v>
      </c>
      <c r="B35" s="3">
        <f t="shared" si="2"/>
        <v>83.044981958579996</v>
      </c>
      <c r="C35" s="2" t="str">
        <f t="shared" si="0"/>
        <v>11:50-75</v>
      </c>
      <c r="D35" s="8">
        <f t="shared" si="16"/>
        <v>3.9820400495996E-2</v>
      </c>
      <c r="E35" s="8">
        <f t="shared" si="3"/>
        <v>2.9875365275660832E-2</v>
      </c>
      <c r="F35" s="3">
        <f t="shared" si="4"/>
        <v>1.3328841381041554</v>
      </c>
      <c r="G35" s="2">
        <f t="shared" si="5"/>
        <v>38.591329682205192</v>
      </c>
      <c r="H35" s="2">
        <f t="shared" si="6"/>
        <v>30.508706593170853</v>
      </c>
      <c r="K35" s="4">
        <v>1</v>
      </c>
      <c r="L35" s="4">
        <v>1</v>
      </c>
      <c r="M35" s="4">
        <v>1.38</v>
      </c>
      <c r="N35" s="8">
        <f t="shared" si="7"/>
        <v>3.983688182092348E-2</v>
      </c>
      <c r="O35" s="2">
        <f t="shared" si="8"/>
        <v>38.603977324870819</v>
      </c>
      <c r="P35" s="7">
        <f t="shared" si="9"/>
        <v>0.99958627974444469</v>
      </c>
      <c r="S35" s="9">
        <f t="shared" si="10"/>
        <v>62.437771520279</v>
      </c>
      <c r="T35" s="8">
        <f>VLOOKUP(ROUNDDOWN(S35,0),'Spline Pre-Adj'!A:B,2,0)</f>
        <v>1.2869999999999999</v>
      </c>
      <c r="U35" s="8">
        <f t="shared" si="11"/>
        <v>1.2869999999999999</v>
      </c>
      <c r="X35" s="9">
        <f t="shared" si="13"/>
        <v>62.437771520279</v>
      </c>
      <c r="Y35" s="8">
        <f>VLOOKUP(ROUNDDOWN(X35,0),'Spline Pre-Adj'!F:G,2,0)</f>
        <v>3.3799457765415402</v>
      </c>
      <c r="Z35" s="8">
        <f t="shared" si="12"/>
        <v>3.3799457765415402</v>
      </c>
      <c r="AC35" s="9">
        <f t="shared" si="14"/>
        <v>62.437771520279</v>
      </c>
      <c r="AD35" s="8">
        <f>VLOOKUP(ROUNDDOWN(AC35,0),'Spline Pre-Adj'!K:L,2,0)</f>
        <v>3.3536482047599101</v>
      </c>
      <c r="AE35" s="8">
        <f t="shared" si="15"/>
        <v>4.6280345225686759</v>
      </c>
    </row>
    <row r="36" spans="1:31" x14ac:dyDescent="0.25">
      <c r="A36" s="4">
        <f t="shared" si="1"/>
        <v>86.089285738263001</v>
      </c>
      <c r="B36" s="3">
        <f t="shared" si="2"/>
        <v>59.233631091059998</v>
      </c>
      <c r="C36" s="2" t="str">
        <f t="shared" si="0"/>
        <v>12:75-100</v>
      </c>
      <c r="D36" s="8">
        <f t="shared" si="16"/>
        <v>4.50500493245777E-2</v>
      </c>
      <c r="E36" s="8">
        <f t="shared" si="3"/>
        <v>3.5808750559122339E-2</v>
      </c>
      <c r="F36" s="3">
        <f t="shared" si="4"/>
        <v>1.2580737563070634</v>
      </c>
      <c r="G36" s="2">
        <f t="shared" si="5"/>
        <v>42.486827101361477</v>
      </c>
      <c r="H36" s="2">
        <f t="shared" si="6"/>
        <v>35.44078686039456</v>
      </c>
      <c r="K36" s="4">
        <v>1</v>
      </c>
      <c r="L36" s="4">
        <v>1</v>
      </c>
      <c r="M36" s="4">
        <v>1.29</v>
      </c>
      <c r="N36" s="8">
        <f t="shared" si="7"/>
        <v>4.5086975949299238E-2</v>
      </c>
      <c r="O36" s="2">
        <f t="shared" si="8"/>
        <v>42.513508906805242</v>
      </c>
      <c r="P36" s="7">
        <f t="shared" si="9"/>
        <v>0.99918099131857807</v>
      </c>
      <c r="S36" s="9">
        <f>A36</f>
        <v>86.089285738263001</v>
      </c>
      <c r="T36" s="8">
        <f>VLOOKUP(ROUNDDOWN(S36,0),'Spline Pre-Adj'!A:B,2,0)</f>
        <v>1.2869999999999999</v>
      </c>
      <c r="U36" s="8">
        <f>T36*K36</f>
        <v>1.2869999999999999</v>
      </c>
      <c r="X36" s="9">
        <f t="shared" si="13"/>
        <v>86.089285738263001</v>
      </c>
      <c r="Y36" s="8">
        <f>VLOOKUP(ROUNDDOWN(X36,0),'Spline Pre-Adj'!F:G,2,0)</f>
        <v>4.7646640542534699</v>
      </c>
      <c r="Z36" s="8">
        <f t="shared" si="12"/>
        <v>4.7646640542534699</v>
      </c>
      <c r="AC36" s="9">
        <f t="shared" si="14"/>
        <v>86.089285738263001</v>
      </c>
      <c r="AD36" s="8">
        <f>VLOOKUP(ROUNDDOWN(AC36,0),'Spline Pre-Adj'!K:L,2,0)</f>
        <v>4.1191352784208304</v>
      </c>
      <c r="AE36" s="8">
        <f t="shared" si="15"/>
        <v>5.3136845091628713</v>
      </c>
    </row>
    <row r="37" spans="1:31" x14ac:dyDescent="0.25">
      <c r="A37" s="4">
        <f t="shared" si="1"/>
        <v>111.773922392572</v>
      </c>
      <c r="B37" s="3">
        <f t="shared" si="2"/>
        <v>35.068853479139996</v>
      </c>
      <c r="C37" s="2" t="str">
        <f t="shared" si="0"/>
        <v>13:100-125</v>
      </c>
      <c r="D37" s="8">
        <f t="shared" si="16"/>
        <v>4.5795310398242202E-2</v>
      </c>
      <c r="E37" s="8">
        <f t="shared" si="3"/>
        <v>4.0941550008647132E-2</v>
      </c>
      <c r="F37" s="3">
        <f t="shared" si="4"/>
        <v>1.1185534106200161</v>
      </c>
      <c r="G37" s="2">
        <f t="shared" si="5"/>
        <v>43.023133682249373</v>
      </c>
      <c r="H37" s="2">
        <f t="shared" si="6"/>
        <v>39.446268111601356</v>
      </c>
      <c r="K37" s="4">
        <v>1</v>
      </c>
      <c r="L37" s="4">
        <v>1</v>
      </c>
      <c r="M37" s="4">
        <v>1.1299999999999999</v>
      </c>
      <c r="N37" s="8">
        <f t="shared" si="7"/>
        <v>4.5731645797645222E-2</v>
      </c>
      <c r="O37" s="2">
        <f t="shared" si="8"/>
        <v>42.97749893462948</v>
      </c>
      <c r="P37" s="7">
        <f t="shared" si="9"/>
        <v>1.0013921344724546</v>
      </c>
      <c r="X37" s="9">
        <f t="shared" si="13"/>
        <v>111.773922392572</v>
      </c>
      <c r="Y37" s="8">
        <f>VLOOKUP(ROUNDDOWN(X37,0),'Spline Pre-Adj'!F:G,2,0)</f>
        <v>6.2168084690133298</v>
      </c>
      <c r="Z37" s="8">
        <f t="shared" si="12"/>
        <v>6.2168084690133298</v>
      </c>
      <c r="AC37" s="9">
        <f t="shared" si="14"/>
        <v>111.773922392572</v>
      </c>
      <c r="AD37" s="8">
        <f>VLOOKUP(ROUNDDOWN(AC37,0),'Spline Pre-Adj'!K:L,2,0)</f>
        <v>4.7299139704548203</v>
      </c>
      <c r="AE37" s="8">
        <f t="shared" si="15"/>
        <v>5.344802786613946</v>
      </c>
    </row>
    <row r="38" spans="1:31" x14ac:dyDescent="0.25">
      <c r="A38" s="4">
        <f t="shared" si="1"/>
        <v>134.415565643024</v>
      </c>
      <c r="B38" s="3">
        <f t="shared" si="2"/>
        <v>15.676591599629999</v>
      </c>
      <c r="C38" s="2" t="str">
        <f t="shared" si="0"/>
        <v>14:125-150</v>
      </c>
      <c r="D38" s="8">
        <f t="shared" si="16"/>
        <v>4.7589288334598301E-2</v>
      </c>
      <c r="E38" s="8">
        <f t="shared" si="3"/>
        <v>4.5721146974067296E-2</v>
      </c>
      <c r="F38" s="3">
        <f t="shared" si="4"/>
        <v>1.0408594596629563</v>
      </c>
      <c r="G38" s="2">
        <f t="shared" si="5"/>
        <v>44.29537502878037</v>
      </c>
      <c r="H38" s="2">
        <f t="shared" si="6"/>
        <v>42.969970166815308</v>
      </c>
      <c r="K38" s="4">
        <v>1</v>
      </c>
      <c r="L38" s="4">
        <v>1</v>
      </c>
      <c r="M38" s="4">
        <v>1.05</v>
      </c>
      <c r="N38" s="8">
        <f t="shared" si="7"/>
        <v>4.7800924945842829E-2</v>
      </c>
      <c r="O38" s="2">
        <f t="shared" si="8"/>
        <v>44.443732123018307</v>
      </c>
      <c r="P38" s="7">
        <f t="shared" si="9"/>
        <v>0.9955725415044937</v>
      </c>
      <c r="X38" s="9">
        <f t="shared" si="13"/>
        <v>134.415565643024</v>
      </c>
      <c r="Y38" s="8">
        <f>VLOOKUP(ROUNDDOWN(X38,0),'Spline Pre-Adj'!F:G,2,0)</f>
        <v>7.60662891263856</v>
      </c>
      <c r="Z38" s="8">
        <f t="shared" si="12"/>
        <v>7.60662891263856</v>
      </c>
      <c r="AC38" s="9">
        <f t="shared" si="14"/>
        <v>134.415565643024</v>
      </c>
      <c r="AD38" s="8">
        <f>VLOOKUP(ROUNDDOWN(AC38,0),'Spline Pre-Adj'!K:L,2,0)</f>
        <v>5.2051069926153799</v>
      </c>
      <c r="AE38" s="8">
        <f t="shared" si="15"/>
        <v>5.4653623422461495</v>
      </c>
    </row>
    <row r="39" spans="1:31" x14ac:dyDescent="0.25">
      <c r="A39" s="4">
        <f t="shared" si="1"/>
        <v>160.53102008046901</v>
      </c>
      <c r="B39" s="3">
        <f t="shared" si="2"/>
        <v>3.2508820014699999</v>
      </c>
      <c r="C39" s="2" t="str">
        <f t="shared" si="0"/>
        <v>15:150-175</v>
      </c>
      <c r="D39" s="8">
        <f t="shared" si="16"/>
        <v>4.4919863393118403E-2</v>
      </c>
      <c r="E39" s="8">
        <f t="shared" si="3"/>
        <v>4.9286225521283721E-2</v>
      </c>
      <c r="F39" s="3">
        <f t="shared" si="4"/>
        <v>0.91140806418053355</v>
      </c>
      <c r="G39" s="2">
        <f t="shared" si="5"/>
        <v>42.392669003157437</v>
      </c>
      <c r="H39" s="2">
        <f t="shared" si="6"/>
        <v>45.47477892580617</v>
      </c>
      <c r="K39" s="4">
        <v>1</v>
      </c>
      <c r="L39" s="4">
        <v>1</v>
      </c>
      <c r="M39" s="4">
        <v>1</v>
      </c>
      <c r="N39" s="8">
        <f t="shared" si="7"/>
        <v>4.9286225521283721E-2</v>
      </c>
      <c r="O39" s="2">
        <f t="shared" si="8"/>
        <v>45.47477892580617</v>
      </c>
      <c r="P39" s="7">
        <f t="shared" si="9"/>
        <v>0.91140806418053355</v>
      </c>
      <c r="X39" s="9">
        <f t="shared" si="13"/>
        <v>160.53102008046901</v>
      </c>
      <c r="Y39" s="8">
        <f>VLOOKUP(ROUNDDOWN(X39,0),'Spline Pre-Adj'!F:G,2,0)</f>
        <v>8.7434835551418502</v>
      </c>
      <c r="Z39" s="8">
        <f t="shared" si="12"/>
        <v>8.7434835551418502</v>
      </c>
      <c r="AC39" s="9">
        <f t="shared" si="14"/>
        <v>160.53102008046901</v>
      </c>
      <c r="AD39" s="8">
        <f>VLOOKUP(ROUNDDOWN(AC39,0),'Spline Pre-Adj'!K:L,2,0)</f>
        <v>5.6662697466415004</v>
      </c>
      <c r="AE39" s="8">
        <f t="shared" si="15"/>
        <v>5.6662697466415004</v>
      </c>
    </row>
    <row r="40" spans="1:31" x14ac:dyDescent="0.25">
      <c r="A40" s="4">
        <f t="shared" si="1"/>
        <v>183.23039087177801</v>
      </c>
      <c r="B40" s="3">
        <f t="shared" si="2"/>
        <v>0.80705514921999999</v>
      </c>
      <c r="C40" s="2" t="str">
        <f t="shared" si="0"/>
        <v>16:175-200</v>
      </c>
      <c r="D40" s="8">
        <f t="shared" si="16"/>
        <v>5.5653652923624897E-2</v>
      </c>
      <c r="E40" s="8">
        <f t="shared" si="3"/>
        <v>5.5617151918757685E-2</v>
      </c>
      <c r="F40" s="3">
        <f t="shared" si="4"/>
        <v>1.000656290435737</v>
      </c>
      <c r="G40" s="2">
        <f t="shared" si="5"/>
        <v>49.699111470338032</v>
      </c>
      <c r="H40" s="2">
        <f t="shared" si="6"/>
        <v>49.675775667545132</v>
      </c>
      <c r="K40" s="4">
        <v>1</v>
      </c>
      <c r="L40" s="4">
        <v>1</v>
      </c>
      <c r="M40" s="4">
        <v>1</v>
      </c>
      <c r="N40" s="8">
        <f t="shared" si="7"/>
        <v>5.5617151918757685E-2</v>
      </c>
      <c r="O40" s="2">
        <f t="shared" si="8"/>
        <v>49.675775667545132</v>
      </c>
      <c r="P40" s="7">
        <f t="shared" si="9"/>
        <v>1.000656290435737</v>
      </c>
      <c r="X40" s="9">
        <f t="shared" si="13"/>
        <v>183.23039087177801</v>
      </c>
      <c r="Y40" s="8">
        <f>VLOOKUP(ROUNDDOWN(X40,0),'Spline Pre-Adj'!F:G,2,0)</f>
        <v>8.8912890705385497</v>
      </c>
      <c r="Z40" s="8">
        <f t="shared" si="12"/>
        <v>8.8912890705385497</v>
      </c>
      <c r="AC40" s="9">
        <f t="shared" si="14"/>
        <v>183.23039087177801</v>
      </c>
      <c r="AD40" s="8">
        <f>VLOOKUP(ROUNDDOWN(AC40,0),'Spline Pre-Adj'!K:L,2,0)</f>
        <v>6.0276934430763003</v>
      </c>
      <c r="AE40" s="8">
        <f t="shared" si="15"/>
        <v>6.0276934430763003</v>
      </c>
    </row>
    <row r="41" spans="1:31" s="29" customFormat="1" x14ac:dyDescent="0.25">
      <c r="A41" s="26">
        <f t="shared" si="1"/>
        <v>209.24279868250599</v>
      </c>
      <c r="B41" s="27">
        <f t="shared" si="2"/>
        <v>0.13942580362000001</v>
      </c>
      <c r="C41" s="28" t="str">
        <f t="shared" si="0"/>
        <v>17:200-225</v>
      </c>
      <c r="D41" s="19">
        <f>E17</f>
        <v>4.2068089227374698E-2</v>
      </c>
      <c r="E41" s="19">
        <f t="shared" si="3"/>
        <v>5.7727991538815367E-2</v>
      </c>
      <c r="F41" s="27">
        <f>D41/E41</f>
        <v>0.72872947951235745</v>
      </c>
      <c r="G41" s="28">
        <f t="shared" si="5"/>
        <v>40.29431444201861</v>
      </c>
      <c r="H41" s="28">
        <f t="shared" si="6"/>
        <v>51.009093028860676</v>
      </c>
      <c r="K41" s="26">
        <v>1</v>
      </c>
      <c r="L41" s="26">
        <v>1</v>
      </c>
      <c r="M41" s="26">
        <v>1.05</v>
      </c>
      <c r="N41" s="19">
        <f t="shared" si="7"/>
        <v>6.0328828900323581E-2</v>
      </c>
      <c r="O41" s="28">
        <f t="shared" si="8"/>
        <v>52.607367164244799</v>
      </c>
      <c r="P41" s="30">
        <f t="shared" si="9"/>
        <v>0.69731320819902509</v>
      </c>
      <c r="X41" s="20">
        <f t="shared" si="13"/>
        <v>209.24279868250599</v>
      </c>
      <c r="Y41" s="19">
        <f>VLOOKUP(ROUNDDOWN(X41,0),'Spline Pre-Adj'!F:G,2,0)</f>
        <v>8.9</v>
      </c>
      <c r="Z41" s="19">
        <f t="shared" si="12"/>
        <v>8.9</v>
      </c>
      <c r="AC41" s="20">
        <f t="shared" si="14"/>
        <v>209.24279868250599</v>
      </c>
      <c r="AD41" s="19">
        <f>VLOOKUP(ROUNDDOWN(AC41,0),'Spline Pre-Adj'!K:L,2,0)</f>
        <v>6.3657668913125001</v>
      </c>
      <c r="AE41" s="19">
        <f t="shared" si="15"/>
        <v>6.6840552358781258</v>
      </c>
    </row>
    <row r="42" spans="1:31" x14ac:dyDescent="0.25">
      <c r="M42" s="15"/>
    </row>
    <row r="43" spans="1:31" x14ac:dyDescent="0.25">
      <c r="M43" s="15"/>
    </row>
    <row r="66" spans="1:50" s="31" customFormat="1" x14ac:dyDescent="0.25"/>
    <row r="67" spans="1:50" x14ac:dyDescent="0.25">
      <c r="A67" s="33" t="s">
        <v>122</v>
      </c>
      <c r="C67" t="s">
        <v>134</v>
      </c>
      <c r="AS67" s="17" t="s">
        <v>89</v>
      </c>
      <c r="AT67" s="17" t="s">
        <v>90</v>
      </c>
      <c r="AU67" s="17"/>
      <c r="AV67" s="17"/>
      <c r="AW67" s="17" t="s">
        <v>91</v>
      </c>
      <c r="AX67" s="17"/>
    </row>
    <row r="68" spans="1:50" x14ac:dyDescent="0.25">
      <c r="A68" t="s">
        <v>21</v>
      </c>
      <c r="B68" t="s">
        <v>22</v>
      </c>
      <c r="C68" t="s">
        <v>23</v>
      </c>
      <c r="D68" t="s">
        <v>24</v>
      </c>
      <c r="E68" t="s">
        <v>97</v>
      </c>
      <c r="F68" t="s">
        <v>98</v>
      </c>
      <c r="G68" t="s">
        <v>25</v>
      </c>
      <c r="H68" t="s">
        <v>26</v>
      </c>
      <c r="I68" t="s">
        <v>27</v>
      </c>
      <c r="J68" t="s">
        <v>28</v>
      </c>
      <c r="K68" t="s">
        <v>29</v>
      </c>
      <c r="L68" t="s">
        <v>30</v>
      </c>
      <c r="M68" t="s">
        <v>31</v>
      </c>
      <c r="N68" t="s">
        <v>32</v>
      </c>
      <c r="O68" t="s">
        <v>33</v>
      </c>
      <c r="P68" t="s">
        <v>34</v>
      </c>
      <c r="Q68" t="s">
        <v>35</v>
      </c>
      <c r="R68" t="s">
        <v>36</v>
      </c>
      <c r="S68" t="s">
        <v>37</v>
      </c>
      <c r="T68" t="s">
        <v>38</v>
      </c>
      <c r="U68" t="s">
        <v>39</v>
      </c>
      <c r="V68" t="s">
        <v>40</v>
      </c>
      <c r="W68" t="s">
        <v>41</v>
      </c>
      <c r="X68" t="s">
        <v>42</v>
      </c>
      <c r="Y68" t="s">
        <v>43</v>
      </c>
      <c r="Z68" t="s">
        <v>44</v>
      </c>
      <c r="AA68" t="s">
        <v>45</v>
      </c>
      <c r="AB68" s="1" t="s">
        <v>46</v>
      </c>
      <c r="AC68" s="1" t="s">
        <v>47</v>
      </c>
      <c r="AD68" s="1" t="s">
        <v>48</v>
      </c>
      <c r="AE68" t="s">
        <v>49</v>
      </c>
      <c r="AF68" t="s">
        <v>50</v>
      </c>
      <c r="AG68" t="s">
        <v>51</v>
      </c>
      <c r="AH68" t="s">
        <v>52</v>
      </c>
      <c r="AI68" t="s">
        <v>53</v>
      </c>
      <c r="AJ68" t="s">
        <v>54</v>
      </c>
      <c r="AK68" t="s">
        <v>55</v>
      </c>
      <c r="AL68" t="s">
        <v>56</v>
      </c>
      <c r="AM68" t="s">
        <v>57</v>
      </c>
      <c r="AN68" t="s">
        <v>58</v>
      </c>
      <c r="AO68" t="s">
        <v>59</v>
      </c>
      <c r="AP68" t="s">
        <v>60</v>
      </c>
      <c r="AQ68" t="s">
        <v>61</v>
      </c>
      <c r="AR68" t="s">
        <v>62</v>
      </c>
      <c r="AS68" s="34" t="s">
        <v>124</v>
      </c>
      <c r="AT68" s="34" t="s">
        <v>125</v>
      </c>
      <c r="AU68" s="34" t="s">
        <v>126</v>
      </c>
      <c r="AV68" s="34" t="s">
        <v>127</v>
      </c>
      <c r="AW68" s="34" t="s">
        <v>128</v>
      </c>
      <c r="AX68" s="34" t="s">
        <v>129</v>
      </c>
    </row>
    <row r="69" spans="1:50" x14ac:dyDescent="0.25">
      <c r="A69">
        <v>4.3</v>
      </c>
      <c r="B69" s="4">
        <v>0.99354299212619002</v>
      </c>
      <c r="C69" s="4">
        <v>3.4433222093304501</v>
      </c>
      <c r="D69" s="4">
        <v>7.4790734680492097</v>
      </c>
      <c r="E69" s="4">
        <v>2.9157422292598401E-3</v>
      </c>
      <c r="F69" s="5">
        <v>6.45700787380945E-3</v>
      </c>
      <c r="G69" s="5">
        <v>0</v>
      </c>
      <c r="H69" s="4">
        <v>3.9622664550511102</v>
      </c>
      <c r="I69" s="4">
        <v>4.15067014233707</v>
      </c>
      <c r="J69" s="4">
        <v>-55.102824174694</v>
      </c>
      <c r="K69" s="4">
        <v>-57.170376698687697</v>
      </c>
      <c r="L69" s="4">
        <v>18.591368573700802</v>
      </c>
      <c r="M69" s="4">
        <v>15.6046077984867</v>
      </c>
      <c r="N69" s="4">
        <v>77.726934415772703</v>
      </c>
      <c r="O69" s="4">
        <v>75.492092736669306</v>
      </c>
      <c r="P69" s="4">
        <v>267072.115190499</v>
      </c>
      <c r="Q69" s="4">
        <v>193404.04745613999</v>
      </c>
      <c r="R69" s="4">
        <v>774.87433550875596</v>
      </c>
      <c r="S69" s="4">
        <v>0</v>
      </c>
      <c r="T69" s="4">
        <v>0</v>
      </c>
      <c r="U69" s="4">
        <v>8.9424414388911105E-2</v>
      </c>
      <c r="V69" s="4">
        <v>0</v>
      </c>
      <c r="W69" s="4">
        <v>0</v>
      </c>
      <c r="X69" s="4">
        <v>0.58543282014561404</v>
      </c>
      <c r="Y69" s="4">
        <v>0</v>
      </c>
      <c r="Z69" s="5">
        <v>6.7107958171138803E-4</v>
      </c>
      <c r="AA69" s="5">
        <v>7.5421687846881702E-5</v>
      </c>
      <c r="AB69" s="10">
        <v>2.5087098171402999E-3</v>
      </c>
      <c r="AC69" s="10">
        <v>2.9446124619624699E-8</v>
      </c>
      <c r="AD69" s="10">
        <v>3.2017561990742198E-3</v>
      </c>
      <c r="AE69" s="4">
        <v>-2.5268185093560099E-2</v>
      </c>
      <c r="AF69" s="4">
        <v>0.99001878641810204</v>
      </c>
      <c r="AG69" s="4">
        <v>0.99720023865807905</v>
      </c>
      <c r="AH69" s="4">
        <v>1</v>
      </c>
      <c r="AI69" s="4">
        <v>1</v>
      </c>
      <c r="AJ69" s="4">
        <v>1</v>
      </c>
      <c r="AK69" s="4">
        <v>1</v>
      </c>
      <c r="AL69" s="4">
        <v>1</v>
      </c>
      <c r="AM69" s="4">
        <v>0</v>
      </c>
      <c r="AN69" s="4">
        <v>0</v>
      </c>
      <c r="AO69" s="4" t="s">
        <v>66</v>
      </c>
      <c r="AP69" s="4">
        <f>-75--50</f>
        <v>-25</v>
      </c>
      <c r="AQ69" s="6">
        <v>22048061.41</v>
      </c>
      <c r="AR69" s="4">
        <v>114</v>
      </c>
      <c r="AS69" s="35">
        <v>100</v>
      </c>
      <c r="AT69" s="35">
        <v>0</v>
      </c>
      <c r="AU69" s="35">
        <v>100</v>
      </c>
      <c r="AV69" s="35">
        <v>0</v>
      </c>
      <c r="AW69" s="35">
        <v>0</v>
      </c>
      <c r="AX69" s="35">
        <v>0</v>
      </c>
    </row>
    <row r="70" spans="1:50" x14ac:dyDescent="0.25">
      <c r="A70">
        <v>4.3</v>
      </c>
      <c r="B70" s="4">
        <v>0.99344040371019304</v>
      </c>
      <c r="C70" s="4">
        <v>2.6756425653229798</v>
      </c>
      <c r="D70" s="4">
        <v>7.5936475158731396</v>
      </c>
      <c r="E70" s="4">
        <v>2.25752251921006E-3</v>
      </c>
      <c r="F70" s="5">
        <v>6.5595962898064002E-3</v>
      </c>
      <c r="G70" s="5">
        <v>0</v>
      </c>
      <c r="H70" s="4">
        <v>3.9199800446603601</v>
      </c>
      <c r="I70" s="4">
        <v>4.1424648010542997</v>
      </c>
      <c r="J70" s="4">
        <v>-57.6599484595964</v>
      </c>
      <c r="K70" s="4">
        <v>-32.594270536739103</v>
      </c>
      <c r="L70" s="4">
        <v>14.9890601246206</v>
      </c>
      <c r="M70" s="4">
        <v>15.4242979965813</v>
      </c>
      <c r="N70" s="4">
        <v>73.798811330660001</v>
      </c>
      <c r="O70" s="4">
        <v>72.801415481914006</v>
      </c>
      <c r="P70" s="4">
        <v>293064.03473648202</v>
      </c>
      <c r="Q70" s="4">
        <v>263371.776277836</v>
      </c>
      <c r="R70" s="4">
        <v>784.82055795311999</v>
      </c>
      <c r="S70" s="4">
        <v>0</v>
      </c>
      <c r="T70" s="4">
        <v>0</v>
      </c>
      <c r="U70" s="4">
        <v>8.3187060034362603E-2</v>
      </c>
      <c r="V70" s="4">
        <v>0</v>
      </c>
      <c r="W70" s="4">
        <v>0</v>
      </c>
      <c r="X70" s="4">
        <v>0.63466923272141795</v>
      </c>
      <c r="Y70" s="4">
        <v>0</v>
      </c>
      <c r="Z70" s="5">
        <v>4.23379175116946E-4</v>
      </c>
      <c r="AA70" s="5">
        <v>5.4947754922540903E-5</v>
      </c>
      <c r="AB70" s="10">
        <v>2.4369602344780201E-3</v>
      </c>
      <c r="AC70" s="10">
        <v>1.9932865122568199E-8</v>
      </c>
      <c r="AD70" s="10">
        <v>3.6442752604935102E-3</v>
      </c>
      <c r="AE70" s="4">
        <v>-2.0683738395817799E-2</v>
      </c>
      <c r="AF70" s="4">
        <v>0.983010735102128</v>
      </c>
      <c r="AG70" s="4">
        <v>0.99723916155715397</v>
      </c>
      <c r="AH70" s="4">
        <v>1</v>
      </c>
      <c r="AI70" s="4">
        <v>1</v>
      </c>
      <c r="AJ70" s="4">
        <v>1</v>
      </c>
      <c r="AK70" s="4">
        <v>1</v>
      </c>
      <c r="AL70" s="4">
        <v>1</v>
      </c>
      <c r="AM70" s="4">
        <v>0</v>
      </c>
      <c r="AN70" s="4">
        <v>0</v>
      </c>
      <c r="AO70" s="4" t="s">
        <v>67</v>
      </c>
      <c r="AP70" s="4">
        <f>-50--25</f>
        <v>-25</v>
      </c>
      <c r="AQ70" s="6">
        <v>248359585.03</v>
      </c>
      <c r="AR70" s="4">
        <v>943</v>
      </c>
      <c r="AS70" s="35">
        <v>100</v>
      </c>
      <c r="AT70" s="35">
        <v>0</v>
      </c>
      <c r="AU70" s="35">
        <v>100</v>
      </c>
      <c r="AV70" s="35">
        <v>0</v>
      </c>
      <c r="AW70" s="35">
        <v>0</v>
      </c>
      <c r="AX70" s="35">
        <v>0</v>
      </c>
    </row>
    <row r="71" spans="1:50" x14ac:dyDescent="0.25">
      <c r="A71">
        <v>4.3</v>
      </c>
      <c r="B71" s="4">
        <v>0.99114738725092999</v>
      </c>
      <c r="C71" s="4">
        <v>10.4129000707127</v>
      </c>
      <c r="D71" s="4">
        <v>10.120864682973499</v>
      </c>
      <c r="E71" s="4">
        <v>9.1213830088382897E-3</v>
      </c>
      <c r="F71" s="5">
        <v>8.8526127490696303E-3</v>
      </c>
      <c r="G71" s="5">
        <v>0</v>
      </c>
      <c r="H71" s="4">
        <v>4.0056310728626396</v>
      </c>
      <c r="I71" s="4">
        <v>4.1464708030799704</v>
      </c>
      <c r="J71" s="4">
        <v>-49.381152099144401</v>
      </c>
      <c r="K71" s="4">
        <v>-22.225236022766602</v>
      </c>
      <c r="L71" s="4">
        <v>15.0013952337679</v>
      </c>
      <c r="M71" s="4">
        <v>15.3690308679172</v>
      </c>
      <c r="N71" s="4">
        <v>72.626370696075099</v>
      </c>
      <c r="O71" s="4">
        <v>71.694030602054198</v>
      </c>
      <c r="P71" s="4">
        <v>289969.08914167801</v>
      </c>
      <c r="Q71" s="4">
        <v>264789.10261770198</v>
      </c>
      <c r="R71" s="4">
        <v>783.23380823763296</v>
      </c>
      <c r="S71" s="4">
        <v>0</v>
      </c>
      <c r="T71" s="4">
        <v>0</v>
      </c>
      <c r="U71" s="4">
        <v>0.130711709968485</v>
      </c>
      <c r="V71" s="4">
        <v>0</v>
      </c>
      <c r="W71" s="4">
        <v>0</v>
      </c>
      <c r="X71" s="4">
        <v>0.67358073443237898</v>
      </c>
      <c r="Y71" s="4">
        <v>0</v>
      </c>
      <c r="Z71" s="5">
        <v>3.8794505114528001E-4</v>
      </c>
      <c r="AA71" s="5">
        <v>4.9048207428467898E-5</v>
      </c>
      <c r="AB71" s="10">
        <v>2.4405504189750301E-3</v>
      </c>
      <c r="AC71" s="10">
        <v>0</v>
      </c>
      <c r="AD71" s="10">
        <v>5.9750551724460704E-3</v>
      </c>
      <c r="AE71" s="4">
        <v>-1.83938517344297E-2</v>
      </c>
      <c r="AF71" s="4">
        <v>0.98733450055018401</v>
      </c>
      <c r="AG71" s="4">
        <v>1</v>
      </c>
      <c r="AH71" s="4">
        <v>1</v>
      </c>
      <c r="AI71" s="4">
        <v>1</v>
      </c>
      <c r="AJ71" s="4">
        <v>1</v>
      </c>
      <c r="AK71" s="4">
        <v>1</v>
      </c>
      <c r="AL71" s="4">
        <v>1</v>
      </c>
      <c r="AM71" s="4">
        <v>0</v>
      </c>
      <c r="AN71" s="4">
        <v>0</v>
      </c>
      <c r="AO71" s="4" t="s">
        <v>145</v>
      </c>
      <c r="AP71" s="4">
        <f>-25--20</f>
        <v>-5</v>
      </c>
      <c r="AQ71" s="6">
        <v>140603013.49000001</v>
      </c>
      <c r="AR71" s="4">
        <v>531</v>
      </c>
      <c r="AS71" s="35">
        <v>100</v>
      </c>
      <c r="AT71" s="35">
        <v>0</v>
      </c>
      <c r="AU71" s="35">
        <v>100</v>
      </c>
      <c r="AV71" s="35">
        <v>0</v>
      </c>
      <c r="AW71" s="35">
        <v>0</v>
      </c>
      <c r="AX71" s="35">
        <v>0</v>
      </c>
    </row>
    <row r="72" spans="1:50" x14ac:dyDescent="0.25">
      <c r="A72">
        <v>4.3</v>
      </c>
      <c r="B72" s="4">
        <v>0.98979274374388604</v>
      </c>
      <c r="C72" s="4">
        <v>16.3272124973019</v>
      </c>
      <c r="D72" s="4">
        <v>11.583933956702399</v>
      </c>
      <c r="E72" s="4">
        <v>1.47449116561119E-2</v>
      </c>
      <c r="F72" s="5">
        <v>1.0207256256113E-2</v>
      </c>
      <c r="G72" s="5">
        <v>0</v>
      </c>
      <c r="H72" s="4">
        <v>4.0383235562910897</v>
      </c>
      <c r="I72" s="4">
        <v>4.1330422932678204</v>
      </c>
      <c r="J72" s="4">
        <v>-46.267664475830202</v>
      </c>
      <c r="K72" s="4">
        <v>-17.313489016455101</v>
      </c>
      <c r="L72" s="4">
        <v>14.5693810702222</v>
      </c>
      <c r="M72" s="4">
        <v>15.6789421237153</v>
      </c>
      <c r="N72" s="4">
        <v>73.014299826029898</v>
      </c>
      <c r="O72" s="4">
        <v>72.085273148259901</v>
      </c>
      <c r="P72" s="4">
        <v>296555.32636994799</v>
      </c>
      <c r="Q72" s="4">
        <v>272242.22507728799</v>
      </c>
      <c r="R72" s="4">
        <v>783.43081266636295</v>
      </c>
      <c r="S72" s="4">
        <v>0</v>
      </c>
      <c r="T72" s="4">
        <v>0</v>
      </c>
      <c r="U72" s="4">
        <v>0.13446700362501299</v>
      </c>
      <c r="V72" s="4">
        <v>0</v>
      </c>
      <c r="W72" s="4">
        <v>0</v>
      </c>
      <c r="X72" s="4">
        <v>0.66383612875892595</v>
      </c>
      <c r="Y72" s="4">
        <v>0</v>
      </c>
      <c r="Z72" s="5">
        <v>3.7785209869883499E-4</v>
      </c>
      <c r="AA72" s="5">
        <v>5.8955725194448302E-5</v>
      </c>
      <c r="AB72" s="10">
        <v>2.4977375323806902E-3</v>
      </c>
      <c r="AC72" s="10">
        <v>3.2103869393718101E-8</v>
      </c>
      <c r="AD72" s="10">
        <v>7.2726642754957103E-3</v>
      </c>
      <c r="AE72" s="4">
        <v>-1.68432177814948E-2</v>
      </c>
      <c r="AF72" s="4">
        <v>0.96713314777079895</v>
      </c>
      <c r="AG72" s="4">
        <v>0.99591957106142304</v>
      </c>
      <c r="AH72" s="4">
        <v>1</v>
      </c>
      <c r="AI72" s="4">
        <v>1</v>
      </c>
      <c r="AJ72" s="4">
        <v>1</v>
      </c>
      <c r="AK72" s="4">
        <v>1</v>
      </c>
      <c r="AL72" s="4">
        <v>1</v>
      </c>
      <c r="AM72" s="4">
        <v>0</v>
      </c>
      <c r="AN72" s="4">
        <v>0</v>
      </c>
      <c r="AO72" s="4" t="s">
        <v>146</v>
      </c>
      <c r="AP72" s="4">
        <f>-20--15</f>
        <v>-5</v>
      </c>
      <c r="AQ72" s="6">
        <v>228955711.28999999</v>
      </c>
      <c r="AR72" s="4">
        <v>841</v>
      </c>
      <c r="AS72" s="35">
        <v>100</v>
      </c>
      <c r="AT72" s="35">
        <v>0</v>
      </c>
      <c r="AU72" s="35">
        <v>100</v>
      </c>
      <c r="AV72" s="35">
        <v>0</v>
      </c>
      <c r="AW72" s="35">
        <v>0</v>
      </c>
      <c r="AX72" s="35">
        <v>0</v>
      </c>
    </row>
    <row r="73" spans="1:50" x14ac:dyDescent="0.25">
      <c r="A73">
        <v>4.3</v>
      </c>
      <c r="B73" s="4">
        <v>0.98884467123669695</v>
      </c>
      <c r="C73" s="4">
        <v>9.7157194576465304</v>
      </c>
      <c r="D73" s="4">
        <v>12.5948685607996</v>
      </c>
      <c r="E73" s="4">
        <v>8.4810662033101593E-3</v>
      </c>
      <c r="F73" s="5">
        <v>1.11553287633022E-2</v>
      </c>
      <c r="G73" s="5">
        <v>0</v>
      </c>
      <c r="H73" s="4">
        <v>4.0757363215496003</v>
      </c>
      <c r="I73" s="4">
        <v>4.1303029110503102</v>
      </c>
      <c r="J73" s="4">
        <v>-42.500846261586197</v>
      </c>
      <c r="K73" s="4">
        <v>-12.328418001599999</v>
      </c>
      <c r="L73" s="4">
        <v>14.6823536563712</v>
      </c>
      <c r="M73" s="4">
        <v>15.838804480488401</v>
      </c>
      <c r="N73" s="4">
        <v>72.147825746753796</v>
      </c>
      <c r="O73" s="4">
        <v>71.155493045635694</v>
      </c>
      <c r="P73" s="4">
        <v>293625.38105690799</v>
      </c>
      <c r="Q73" s="4">
        <v>271091.40032161499</v>
      </c>
      <c r="R73" s="4">
        <v>782.50929108232003</v>
      </c>
      <c r="S73" s="4">
        <v>0</v>
      </c>
      <c r="T73" s="4">
        <v>0</v>
      </c>
      <c r="U73" s="4">
        <v>0.15588410875890499</v>
      </c>
      <c r="V73" s="4">
        <v>0</v>
      </c>
      <c r="W73" s="4">
        <v>0</v>
      </c>
      <c r="X73" s="4">
        <v>0.69472940997180599</v>
      </c>
      <c r="Y73" s="4">
        <v>0</v>
      </c>
      <c r="Z73" s="5">
        <v>3.7919394537356302E-4</v>
      </c>
      <c r="AA73" s="5">
        <v>6.1978133463341705E-5</v>
      </c>
      <c r="AB73" s="10">
        <v>2.5449369200533198E-3</v>
      </c>
      <c r="AC73" s="10">
        <v>8.5692110589584906E-8</v>
      </c>
      <c r="AD73" s="10">
        <v>8.1691195756607993E-3</v>
      </c>
      <c r="AE73" s="4">
        <v>-1.6409179516374901E-2</v>
      </c>
      <c r="AF73" s="4">
        <v>0.96452549259070797</v>
      </c>
      <c r="AG73" s="4">
        <v>0.99796310027596202</v>
      </c>
      <c r="AH73" s="4">
        <v>0.99980209612944704</v>
      </c>
      <c r="AI73" s="4">
        <v>1</v>
      </c>
      <c r="AJ73" s="4">
        <v>1</v>
      </c>
      <c r="AK73" s="4">
        <v>1</v>
      </c>
      <c r="AL73" s="4">
        <v>1</v>
      </c>
      <c r="AM73" s="4">
        <v>0</v>
      </c>
      <c r="AN73" s="4">
        <v>0</v>
      </c>
      <c r="AO73" s="4" t="s">
        <v>147</v>
      </c>
      <c r="AP73" s="4">
        <f>-15--10</f>
        <v>-5</v>
      </c>
      <c r="AQ73" s="6">
        <v>362449202.23000002</v>
      </c>
      <c r="AR73" s="4">
        <v>1337</v>
      </c>
      <c r="AS73" s="35">
        <v>100</v>
      </c>
      <c r="AT73" s="35">
        <v>0</v>
      </c>
      <c r="AU73" s="35">
        <v>100</v>
      </c>
      <c r="AV73" s="35">
        <v>0</v>
      </c>
      <c r="AW73" s="35">
        <v>0</v>
      </c>
      <c r="AX73" s="35">
        <v>0</v>
      </c>
    </row>
    <row r="74" spans="1:50" x14ac:dyDescent="0.25">
      <c r="A74">
        <v>4.3</v>
      </c>
      <c r="B74" s="4">
        <v>0.98779297768125396</v>
      </c>
      <c r="C74" s="4">
        <v>15.2877480779562</v>
      </c>
      <c r="D74" s="4">
        <v>13.703891308856599</v>
      </c>
      <c r="E74" s="4">
        <v>1.37306908551873E-2</v>
      </c>
      <c r="F74" s="5">
        <v>1.22070223187458E-2</v>
      </c>
      <c r="G74" s="5">
        <v>0</v>
      </c>
      <c r="H74" s="4">
        <v>4.1210595599193098</v>
      </c>
      <c r="I74" s="4">
        <v>4.1272260441265001</v>
      </c>
      <c r="J74" s="4">
        <v>-38.363444766017103</v>
      </c>
      <c r="K74" s="4">
        <v>-7.3315214052251196</v>
      </c>
      <c r="L74" s="4">
        <v>14.347283736284201</v>
      </c>
      <c r="M74" s="4">
        <v>15.7405769646506</v>
      </c>
      <c r="N74" s="4">
        <v>72.613088826535702</v>
      </c>
      <c r="O74" s="4">
        <v>71.694586434649693</v>
      </c>
      <c r="P74" s="4">
        <v>300052.43040656002</v>
      </c>
      <c r="Q74" s="4">
        <v>277205.63389698201</v>
      </c>
      <c r="R74" s="4">
        <v>783.22405954147996</v>
      </c>
      <c r="S74" s="4">
        <v>0</v>
      </c>
      <c r="T74" s="4">
        <v>0</v>
      </c>
      <c r="U74" s="4">
        <v>0.164112466651748</v>
      </c>
      <c r="V74" s="4">
        <v>0</v>
      </c>
      <c r="W74" s="4">
        <v>0</v>
      </c>
      <c r="X74" s="4">
        <v>0.72120806816983296</v>
      </c>
      <c r="Y74" s="4">
        <v>0</v>
      </c>
      <c r="Z74" s="5">
        <v>3.7482514272380301E-4</v>
      </c>
      <c r="AA74" s="5">
        <v>6.5203384961597205E-5</v>
      </c>
      <c r="AB74" s="10">
        <v>2.4447642284527102E-3</v>
      </c>
      <c r="AC74" s="10">
        <v>1.2723739769822599E-7</v>
      </c>
      <c r="AD74" s="10">
        <v>9.3220880332846607E-3</v>
      </c>
      <c r="AE74" s="4">
        <v>-1.62713235571827E-2</v>
      </c>
      <c r="AF74" s="4">
        <v>0.95586067976105604</v>
      </c>
      <c r="AG74" s="4">
        <v>0.99045931571150103</v>
      </c>
      <c r="AH74" s="4">
        <v>0.99964697764145405</v>
      </c>
      <c r="AI74" s="4">
        <v>1</v>
      </c>
      <c r="AJ74" s="4">
        <v>1</v>
      </c>
      <c r="AK74" s="4">
        <v>1</v>
      </c>
      <c r="AL74" s="4">
        <v>1</v>
      </c>
      <c r="AM74" s="4">
        <v>0</v>
      </c>
      <c r="AN74" s="4">
        <v>0</v>
      </c>
      <c r="AO74" s="4" t="s">
        <v>148</v>
      </c>
      <c r="AP74" s="4">
        <f>-10--5</f>
        <v>-5</v>
      </c>
      <c r="AQ74" s="6">
        <v>532789228.35000002</v>
      </c>
      <c r="AR74" s="4">
        <v>1922</v>
      </c>
      <c r="AS74" s="35">
        <v>100</v>
      </c>
      <c r="AT74" s="35">
        <v>0</v>
      </c>
      <c r="AU74" s="35">
        <v>100</v>
      </c>
      <c r="AV74" s="35">
        <v>0</v>
      </c>
      <c r="AW74" s="35">
        <v>0</v>
      </c>
      <c r="AX74" s="35">
        <v>0</v>
      </c>
    </row>
    <row r="75" spans="1:50" x14ac:dyDescent="0.25">
      <c r="A75">
        <v>4.3</v>
      </c>
      <c r="B75" s="4">
        <v>0.98690484853381399</v>
      </c>
      <c r="C75" s="4">
        <v>16.375858517354999</v>
      </c>
      <c r="D75" s="4">
        <v>14.6303715393805</v>
      </c>
      <c r="E75" s="4">
        <v>1.4792658676002299E-2</v>
      </c>
      <c r="F75" s="5">
        <v>1.3095151466185499E-2</v>
      </c>
      <c r="G75" s="5">
        <v>0</v>
      </c>
      <c r="H75" s="4">
        <v>4.13143467560855</v>
      </c>
      <c r="I75" s="4">
        <v>4.1102185607761097</v>
      </c>
      <c r="J75" s="4">
        <v>-36.632176941383001</v>
      </c>
      <c r="K75" s="4">
        <v>-2.31914681215958</v>
      </c>
      <c r="L75" s="4">
        <v>14.4524821439256</v>
      </c>
      <c r="M75" s="4">
        <v>16.005080280463801</v>
      </c>
      <c r="N75" s="4">
        <v>71.560578232675098</v>
      </c>
      <c r="O75" s="4">
        <v>70.429676389685497</v>
      </c>
      <c r="P75" s="4">
        <v>297998.433231487</v>
      </c>
      <c r="Q75" s="4">
        <v>275476.59613043402</v>
      </c>
      <c r="R75" s="4">
        <v>782.236054345399</v>
      </c>
      <c r="S75" s="4">
        <v>0</v>
      </c>
      <c r="T75" s="4">
        <v>0</v>
      </c>
      <c r="U75" s="4">
        <v>0.17746344807154299</v>
      </c>
      <c r="V75" s="4">
        <v>0</v>
      </c>
      <c r="W75" s="4">
        <v>0</v>
      </c>
      <c r="X75" s="4">
        <v>0.73875801325319301</v>
      </c>
      <c r="Y75" s="4">
        <v>0</v>
      </c>
      <c r="Z75" s="5">
        <v>3.7364519272035999E-4</v>
      </c>
      <c r="AA75" s="5">
        <v>6.2122677834558406E-5</v>
      </c>
      <c r="AB75" s="10">
        <v>2.5410423691667201E-3</v>
      </c>
      <c r="AC75" s="10">
        <v>1.7955359080636101E-7</v>
      </c>
      <c r="AD75" s="10">
        <v>1.01181474291842E-2</v>
      </c>
      <c r="AE75" s="4">
        <v>-1.3516869390582199E-2</v>
      </c>
      <c r="AF75" s="4">
        <v>0.95282616857552105</v>
      </c>
      <c r="AG75" s="4">
        <v>0.99193703022836899</v>
      </c>
      <c r="AH75" s="4">
        <v>0.99953900510558102</v>
      </c>
      <c r="AI75" s="4">
        <v>1</v>
      </c>
      <c r="AJ75" s="4">
        <v>1</v>
      </c>
      <c r="AK75" s="4">
        <v>1</v>
      </c>
      <c r="AL75" s="4">
        <v>1</v>
      </c>
      <c r="AM75" s="4">
        <v>0</v>
      </c>
      <c r="AN75" s="4">
        <v>0</v>
      </c>
      <c r="AO75" s="4" t="s">
        <v>68</v>
      </c>
      <c r="AP75" s="4">
        <f>-25-0</f>
        <v>-25</v>
      </c>
      <c r="AQ75" s="6">
        <v>760315405.32000005</v>
      </c>
      <c r="AR75" s="4">
        <v>2760</v>
      </c>
      <c r="AS75" s="35">
        <v>100</v>
      </c>
      <c r="AT75" s="35">
        <v>0</v>
      </c>
      <c r="AU75" s="35">
        <v>100</v>
      </c>
      <c r="AV75" s="35">
        <v>0</v>
      </c>
      <c r="AW75" s="35">
        <v>0</v>
      </c>
      <c r="AX75" s="35">
        <v>0</v>
      </c>
    </row>
    <row r="76" spans="1:50" x14ac:dyDescent="0.25">
      <c r="A76">
        <v>4.3</v>
      </c>
      <c r="B76" s="4">
        <v>0.98607597415864501</v>
      </c>
      <c r="C76" s="4">
        <v>19.687584393160002</v>
      </c>
      <c r="D76" s="4">
        <v>15.4868035983244</v>
      </c>
      <c r="E76" s="4">
        <v>1.8104603138551601E-2</v>
      </c>
      <c r="F76" s="5">
        <v>1.39240258413543E-2</v>
      </c>
      <c r="G76" s="5">
        <v>0</v>
      </c>
      <c r="H76" s="4">
        <v>4.1517843599575999</v>
      </c>
      <c r="I76" s="4">
        <v>4.09774482115112</v>
      </c>
      <c r="J76" s="4">
        <v>-33.812386045116597</v>
      </c>
      <c r="K76" s="4">
        <v>2.6430065812707499</v>
      </c>
      <c r="L76" s="4">
        <v>14.5481304902054</v>
      </c>
      <c r="M76" s="4">
        <v>16.001208875744101</v>
      </c>
      <c r="N76" s="4">
        <v>71.288535231910402</v>
      </c>
      <c r="O76" s="4">
        <v>69.986830660900694</v>
      </c>
      <c r="P76" s="4">
        <v>295420.67498054297</v>
      </c>
      <c r="Q76" s="4">
        <v>274102.52714208601</v>
      </c>
      <c r="R76" s="4">
        <v>782.29453514875502</v>
      </c>
      <c r="S76" s="4">
        <v>0</v>
      </c>
      <c r="T76" s="4">
        <v>0</v>
      </c>
      <c r="U76" s="4">
        <v>0.21018905753099401</v>
      </c>
      <c r="V76" s="4">
        <v>0</v>
      </c>
      <c r="W76" s="4">
        <v>0</v>
      </c>
      <c r="X76" s="4">
        <v>0.76998309635184403</v>
      </c>
      <c r="Y76" s="4">
        <v>0</v>
      </c>
      <c r="Z76" s="5">
        <v>3.7109637900916602E-4</v>
      </c>
      <c r="AA76" s="5">
        <v>6.0870482324833398E-5</v>
      </c>
      <c r="AB76" s="10">
        <v>2.5863559571552902E-3</v>
      </c>
      <c r="AC76" s="10">
        <v>2.6634900877192299E-7</v>
      </c>
      <c r="AD76" s="10">
        <v>1.0905422324303599E-2</v>
      </c>
      <c r="AE76" s="4">
        <v>-1.04358314692969E-2</v>
      </c>
      <c r="AF76" s="4">
        <v>0.93427976053886697</v>
      </c>
      <c r="AG76" s="4">
        <v>0.98967223209577004</v>
      </c>
      <c r="AH76" s="4">
        <v>0.99904342261840196</v>
      </c>
      <c r="AI76" s="4">
        <v>1</v>
      </c>
      <c r="AJ76" s="4">
        <v>1</v>
      </c>
      <c r="AK76" s="4">
        <v>1</v>
      </c>
      <c r="AL76" s="4">
        <v>1</v>
      </c>
      <c r="AM76" s="4">
        <v>0</v>
      </c>
      <c r="AN76" s="4">
        <v>0</v>
      </c>
      <c r="AO76" s="4" t="s">
        <v>149</v>
      </c>
      <c r="AP76" s="4" t="s">
        <v>135</v>
      </c>
      <c r="AQ76" s="6">
        <v>1016646273.17</v>
      </c>
      <c r="AR76" s="4">
        <v>3709</v>
      </c>
      <c r="AS76" s="35">
        <v>100</v>
      </c>
      <c r="AT76" s="35">
        <v>0</v>
      </c>
      <c r="AU76" s="35">
        <v>100</v>
      </c>
      <c r="AV76" s="35">
        <v>0</v>
      </c>
      <c r="AW76" s="35">
        <v>0</v>
      </c>
      <c r="AX76" s="35">
        <v>0</v>
      </c>
    </row>
    <row r="77" spans="1:50" x14ac:dyDescent="0.25">
      <c r="A77">
        <v>4.3</v>
      </c>
      <c r="B77" s="4">
        <v>0.985093363017992</v>
      </c>
      <c r="C77" s="4">
        <v>25.482692621555</v>
      </c>
      <c r="D77" s="4">
        <v>16.491878062084599</v>
      </c>
      <c r="E77" s="4">
        <v>2.42135956107143E-2</v>
      </c>
      <c r="F77" s="5">
        <v>1.49066369820074E-2</v>
      </c>
      <c r="G77" s="5">
        <v>0</v>
      </c>
      <c r="H77" s="4">
        <v>4.1660401351477603</v>
      </c>
      <c r="I77" s="4">
        <v>4.0831095585683599</v>
      </c>
      <c r="J77" s="4">
        <v>-31.684568167495499</v>
      </c>
      <c r="K77" s="4">
        <v>7.60354516131137</v>
      </c>
      <c r="L77" s="4">
        <v>14.719347577980299</v>
      </c>
      <c r="M77" s="4">
        <v>15.871483950265899</v>
      </c>
      <c r="N77" s="4">
        <v>70.830484839602903</v>
      </c>
      <c r="O77" s="4">
        <v>69.390701906401006</v>
      </c>
      <c r="P77" s="4">
        <v>292401.822059097</v>
      </c>
      <c r="Q77" s="4">
        <v>270951.31993710599</v>
      </c>
      <c r="R77" s="4">
        <v>782.93255868595395</v>
      </c>
      <c r="S77" s="4">
        <v>0</v>
      </c>
      <c r="T77" s="4">
        <v>0</v>
      </c>
      <c r="U77" s="4">
        <v>0.216374571975707</v>
      </c>
      <c r="V77" s="4">
        <v>0</v>
      </c>
      <c r="W77" s="4">
        <v>0</v>
      </c>
      <c r="X77" s="4">
        <v>0.79015275794721496</v>
      </c>
      <c r="Y77" s="4">
        <v>0</v>
      </c>
      <c r="Z77" s="5">
        <v>3.6986602627450498E-4</v>
      </c>
      <c r="AA77" s="5">
        <v>6.5498001754508799E-5</v>
      </c>
      <c r="AB77" s="10">
        <v>2.65054803767939E-3</v>
      </c>
      <c r="AC77" s="10">
        <v>1.2229032339560501E-6</v>
      </c>
      <c r="AD77" s="10">
        <v>1.1819487910458899E-2</v>
      </c>
      <c r="AE77" s="4">
        <v>-7.4182860538211503E-3</v>
      </c>
      <c r="AF77" s="4">
        <v>0.90573507236803497</v>
      </c>
      <c r="AG77" s="4">
        <v>0.98038877700438898</v>
      </c>
      <c r="AH77" s="4">
        <v>0.99650188535536399</v>
      </c>
      <c r="AI77" s="4">
        <v>0.999745123151209</v>
      </c>
      <c r="AJ77" s="4">
        <v>1</v>
      </c>
      <c r="AK77" s="4">
        <v>1</v>
      </c>
      <c r="AL77" s="4">
        <v>1</v>
      </c>
      <c r="AM77" s="4">
        <v>0</v>
      </c>
      <c r="AN77" s="4">
        <v>0</v>
      </c>
      <c r="AO77" s="4" t="s">
        <v>150</v>
      </c>
      <c r="AP77" s="4">
        <v>43230</v>
      </c>
      <c r="AQ77" s="6">
        <v>1421681575.71</v>
      </c>
      <c r="AR77" s="4">
        <v>5247</v>
      </c>
      <c r="AS77" s="35">
        <v>100</v>
      </c>
      <c r="AT77" s="35">
        <v>0</v>
      </c>
      <c r="AU77" s="35">
        <v>100</v>
      </c>
      <c r="AV77" s="35">
        <v>0</v>
      </c>
      <c r="AW77" s="35">
        <v>0</v>
      </c>
      <c r="AX77" s="35">
        <v>0</v>
      </c>
    </row>
    <row r="78" spans="1:50" x14ac:dyDescent="0.25">
      <c r="A78">
        <v>4.3</v>
      </c>
      <c r="B78" s="4">
        <v>0.98402391334719996</v>
      </c>
      <c r="C78" s="4">
        <v>23.497805411551301</v>
      </c>
      <c r="D78" s="4">
        <v>17.5733155031586</v>
      </c>
      <c r="E78" s="4">
        <v>2.2073628465947299E-2</v>
      </c>
      <c r="F78" s="5">
        <v>1.59760866527997E-2</v>
      </c>
      <c r="G78" s="5">
        <v>0</v>
      </c>
      <c r="H78" s="4">
        <v>4.1562695966931802</v>
      </c>
      <c r="I78" s="4">
        <v>4.0588918977932797</v>
      </c>
      <c r="J78" s="4">
        <v>-30.989792190361001</v>
      </c>
      <c r="K78" s="4">
        <v>12.657540093221201</v>
      </c>
      <c r="L78" s="4">
        <v>14.638450124647701</v>
      </c>
      <c r="M78" s="4">
        <v>15.747707912258701</v>
      </c>
      <c r="N78" s="4">
        <v>68.698019179725407</v>
      </c>
      <c r="O78" s="4">
        <v>66.822244410057493</v>
      </c>
      <c r="P78" s="4">
        <v>293042.97202032298</v>
      </c>
      <c r="Q78" s="4">
        <v>272589.53138723498</v>
      </c>
      <c r="R78" s="4">
        <v>783.73441860907997</v>
      </c>
      <c r="S78" s="4">
        <v>0</v>
      </c>
      <c r="T78" s="4">
        <v>0</v>
      </c>
      <c r="U78" s="4">
        <v>0.220994170507025</v>
      </c>
      <c r="V78" s="4">
        <v>0</v>
      </c>
      <c r="W78" s="4">
        <v>0</v>
      </c>
      <c r="X78" s="4">
        <v>0.80295930059104004</v>
      </c>
      <c r="Y78" s="4">
        <v>0</v>
      </c>
      <c r="Z78" s="5">
        <v>3.7180019524187202E-4</v>
      </c>
      <c r="AA78" s="5">
        <v>5.8591213796228302E-5</v>
      </c>
      <c r="AB78" s="10">
        <v>2.7388251273886399E-3</v>
      </c>
      <c r="AC78" s="10">
        <v>1.3899831659653999E-6</v>
      </c>
      <c r="AD78" s="10">
        <v>1.2805466158888799E-2</v>
      </c>
      <c r="AE78" s="4">
        <v>-1.81767575976506E-3</v>
      </c>
      <c r="AF78" s="4">
        <v>0.86679245039720798</v>
      </c>
      <c r="AG78" s="4">
        <v>0.97005702049238196</v>
      </c>
      <c r="AH78" s="4">
        <v>0.99735727923081297</v>
      </c>
      <c r="AI78" s="4">
        <v>0.99980646642049498</v>
      </c>
      <c r="AJ78" s="4">
        <v>1</v>
      </c>
      <c r="AK78" s="4">
        <v>1</v>
      </c>
      <c r="AL78" s="4">
        <v>1</v>
      </c>
      <c r="AM78" s="4">
        <v>0</v>
      </c>
      <c r="AN78" s="4">
        <v>0</v>
      </c>
      <c r="AO78" s="4" t="s">
        <v>151</v>
      </c>
      <c r="AP78" s="4">
        <v>43388</v>
      </c>
      <c r="AQ78" s="6">
        <v>1968914185.21</v>
      </c>
      <c r="AR78" s="4">
        <v>7223</v>
      </c>
      <c r="AS78" s="35">
        <v>100</v>
      </c>
      <c r="AT78" s="35">
        <v>0</v>
      </c>
      <c r="AU78" s="35">
        <v>100</v>
      </c>
      <c r="AV78" s="35">
        <v>0</v>
      </c>
      <c r="AW78" s="35">
        <v>0</v>
      </c>
      <c r="AX78" s="35">
        <v>0</v>
      </c>
    </row>
    <row r="79" spans="1:50" x14ac:dyDescent="0.25">
      <c r="A79">
        <v>4.3</v>
      </c>
      <c r="B79" s="4">
        <v>0.98271494709904295</v>
      </c>
      <c r="C79" s="4">
        <v>26.524160808422501</v>
      </c>
      <c r="D79" s="4">
        <v>18.879477242735401</v>
      </c>
      <c r="E79" s="4">
        <v>2.5357422809579401E-2</v>
      </c>
      <c r="F79" s="5">
        <v>1.72850529009567E-2</v>
      </c>
      <c r="G79" s="5">
        <v>0</v>
      </c>
      <c r="H79" s="4">
        <v>4.1530600631078798</v>
      </c>
      <c r="I79" s="4">
        <v>4.0295869893885001</v>
      </c>
      <c r="J79" s="4">
        <v>-29.603562017789699</v>
      </c>
      <c r="K79" s="4">
        <v>17.627772640740901</v>
      </c>
      <c r="L79" s="4">
        <v>14.3459313906432</v>
      </c>
      <c r="M79" s="4">
        <v>15.6818663809121</v>
      </c>
      <c r="N79" s="4">
        <v>67.641646451622094</v>
      </c>
      <c r="O79" s="4">
        <v>65.389675068019301</v>
      </c>
      <c r="P79" s="4">
        <v>299018.70277284499</v>
      </c>
      <c r="Q79" s="4">
        <v>278252.99367450399</v>
      </c>
      <c r="R79" s="4">
        <v>783.70555545425202</v>
      </c>
      <c r="S79" s="4">
        <v>0</v>
      </c>
      <c r="T79" s="4">
        <v>0</v>
      </c>
      <c r="U79" s="4">
        <v>0.23738471951785201</v>
      </c>
      <c r="V79" s="4">
        <v>0</v>
      </c>
      <c r="W79" s="4">
        <v>0</v>
      </c>
      <c r="X79" s="4">
        <v>0.82353725228338104</v>
      </c>
      <c r="Y79" s="4">
        <v>0</v>
      </c>
      <c r="Z79" s="5">
        <v>3.6940554538481598E-4</v>
      </c>
      <c r="AA79" s="5">
        <v>5.9284044471382702E-5</v>
      </c>
      <c r="AB79" s="10">
        <v>2.7942855306903498E-3</v>
      </c>
      <c r="AC79" s="10">
        <v>3.4380170285030701E-6</v>
      </c>
      <c r="AD79" s="10">
        <v>1.40586255407683E-2</v>
      </c>
      <c r="AE79" s="4">
        <v>5.9045284610956799E-3</v>
      </c>
      <c r="AF79" s="4">
        <v>0.81933774492934397</v>
      </c>
      <c r="AG79" s="4">
        <v>0.94164353821397195</v>
      </c>
      <c r="AH79" s="4">
        <v>0.993559786281073</v>
      </c>
      <c r="AI79" s="4">
        <v>0.99873942079149403</v>
      </c>
      <c r="AJ79" s="4">
        <v>1</v>
      </c>
      <c r="AK79" s="4">
        <v>1</v>
      </c>
      <c r="AL79" s="4">
        <v>1</v>
      </c>
      <c r="AM79" s="4">
        <v>0</v>
      </c>
      <c r="AN79" s="4">
        <v>0</v>
      </c>
      <c r="AO79" s="4" t="s">
        <v>152</v>
      </c>
      <c r="AP79" s="4" t="s">
        <v>136</v>
      </c>
      <c r="AQ79" s="6">
        <v>2851814932.1700001</v>
      </c>
      <c r="AR79" s="4">
        <v>10249</v>
      </c>
      <c r="AS79" s="35">
        <v>100</v>
      </c>
      <c r="AT79" s="35">
        <v>0</v>
      </c>
      <c r="AU79" s="35">
        <v>100</v>
      </c>
      <c r="AV79" s="35">
        <v>0</v>
      </c>
      <c r="AW79" s="35">
        <v>0</v>
      </c>
      <c r="AX79" s="35">
        <v>0</v>
      </c>
    </row>
    <row r="80" spans="1:50" x14ac:dyDescent="0.25">
      <c r="A80">
        <v>4.3</v>
      </c>
      <c r="B80" s="4">
        <v>0.98117648237684396</v>
      </c>
      <c r="C80" s="4">
        <v>31.6543872936188</v>
      </c>
      <c r="D80" s="4">
        <v>20.390378022613501</v>
      </c>
      <c r="E80" s="4">
        <v>3.12183886667497E-2</v>
      </c>
      <c r="F80" s="5">
        <v>1.8823517623155501E-2</v>
      </c>
      <c r="G80" s="5">
        <v>0</v>
      </c>
      <c r="H80" s="4">
        <v>4.1440758173030101</v>
      </c>
      <c r="I80" s="4">
        <v>3.9906015104266102</v>
      </c>
      <c r="J80" s="4">
        <v>-29.254195240073901</v>
      </c>
      <c r="K80" s="4">
        <v>22.607391609392</v>
      </c>
      <c r="L80" s="4">
        <v>14.047340315518399</v>
      </c>
      <c r="M80" s="4">
        <v>15.7680417678375</v>
      </c>
      <c r="N80" s="4">
        <v>66.042585824160895</v>
      </c>
      <c r="O80" s="4">
        <v>63.482964233061097</v>
      </c>
      <c r="P80" s="4">
        <v>303633.80850396201</v>
      </c>
      <c r="Q80" s="4">
        <v>284171.50941718702</v>
      </c>
      <c r="R80" s="4">
        <v>784.09368788707002</v>
      </c>
      <c r="S80" s="4">
        <v>0</v>
      </c>
      <c r="T80" s="4">
        <v>0</v>
      </c>
      <c r="U80" s="4">
        <v>0.24906417962972999</v>
      </c>
      <c r="V80" s="4">
        <v>0</v>
      </c>
      <c r="W80" s="4">
        <v>0</v>
      </c>
      <c r="X80" s="4">
        <v>0.84454281718292001</v>
      </c>
      <c r="Y80" s="4">
        <v>0</v>
      </c>
      <c r="Z80" s="5">
        <v>3.6857080237154201E-4</v>
      </c>
      <c r="AA80" s="5">
        <v>5.5404351198339602E-5</v>
      </c>
      <c r="AB80" s="10">
        <v>2.8752081095471602E-3</v>
      </c>
      <c r="AC80" s="10">
        <v>5.0147785587137796E-6</v>
      </c>
      <c r="AD80" s="10">
        <v>1.5519305215262499E-2</v>
      </c>
      <c r="AE80" s="4">
        <v>1.3382772851097E-2</v>
      </c>
      <c r="AF80" s="4">
        <v>0.77659830751064396</v>
      </c>
      <c r="AG80" s="4">
        <v>0.92865681124309496</v>
      </c>
      <c r="AH80" s="4">
        <v>0.99357381431133796</v>
      </c>
      <c r="AI80" s="4">
        <v>0.99835818279235999</v>
      </c>
      <c r="AJ80" s="4">
        <v>1</v>
      </c>
      <c r="AK80" s="4">
        <v>1</v>
      </c>
      <c r="AL80" s="4">
        <v>1</v>
      </c>
      <c r="AM80" s="4">
        <v>0</v>
      </c>
      <c r="AN80" s="4">
        <v>0</v>
      </c>
      <c r="AO80" s="4" t="s">
        <v>69</v>
      </c>
      <c r="AP80" s="4" t="s">
        <v>70</v>
      </c>
      <c r="AQ80" s="6">
        <v>3730035232.6100001</v>
      </c>
      <c r="AR80" s="4">
        <v>13126</v>
      </c>
      <c r="AS80" s="35">
        <v>100</v>
      </c>
      <c r="AT80" s="35">
        <v>0</v>
      </c>
      <c r="AU80" s="35">
        <v>100</v>
      </c>
      <c r="AV80" s="35">
        <v>0</v>
      </c>
      <c r="AW80" s="35">
        <v>0</v>
      </c>
      <c r="AX80" s="35">
        <v>0</v>
      </c>
    </row>
    <row r="81" spans="1:50" x14ac:dyDescent="0.25">
      <c r="A81">
        <v>4.3</v>
      </c>
      <c r="B81" s="4">
        <v>0.97958559022309599</v>
      </c>
      <c r="C81" s="4">
        <v>35.607024793654602</v>
      </c>
      <c r="D81" s="4">
        <v>21.925599896710601</v>
      </c>
      <c r="E81" s="4">
        <v>3.6015891972561602E-2</v>
      </c>
      <c r="F81" s="5">
        <v>2.0414409776903401E-2</v>
      </c>
      <c r="G81" s="5">
        <v>0</v>
      </c>
      <c r="H81" s="4">
        <v>4.1488824319945401</v>
      </c>
      <c r="I81" s="4">
        <v>3.9558326509442701</v>
      </c>
      <c r="J81" s="4">
        <v>-28.418719942160202</v>
      </c>
      <c r="K81" s="4">
        <v>27.551558175614801</v>
      </c>
      <c r="L81" s="4">
        <v>13.875965604769799</v>
      </c>
      <c r="M81" s="4">
        <v>15.912160033532199</v>
      </c>
      <c r="N81" s="4">
        <v>65.451313204490106</v>
      </c>
      <c r="O81" s="4">
        <v>62.2767917206249</v>
      </c>
      <c r="P81" s="4">
        <v>306524.87713971001</v>
      </c>
      <c r="Q81" s="4">
        <v>287674.79008024599</v>
      </c>
      <c r="R81" s="4">
        <v>783.74498723961506</v>
      </c>
      <c r="S81" s="4">
        <v>0</v>
      </c>
      <c r="T81" s="4">
        <v>0</v>
      </c>
      <c r="U81" s="4">
        <v>0.251282529403965</v>
      </c>
      <c r="V81" s="4">
        <v>0</v>
      </c>
      <c r="W81" s="4">
        <v>0</v>
      </c>
      <c r="X81" s="4">
        <v>0.83761004711855802</v>
      </c>
      <c r="Y81" s="4">
        <v>0</v>
      </c>
      <c r="Z81" s="5">
        <v>3.6798500570653798E-4</v>
      </c>
      <c r="AA81" s="5">
        <v>5.6429607644492501E-5</v>
      </c>
      <c r="AB81" s="10">
        <v>2.9631965872868502E-3</v>
      </c>
      <c r="AC81" s="10">
        <v>7.8325675735904203E-6</v>
      </c>
      <c r="AD81" s="10">
        <v>1.7018951549627698E-2</v>
      </c>
      <c r="AE81" s="4">
        <v>2.1637976246459401E-2</v>
      </c>
      <c r="AF81" s="4">
        <v>0.72985208204445395</v>
      </c>
      <c r="AG81" s="4">
        <v>0.91433189737829601</v>
      </c>
      <c r="AH81" s="4">
        <v>0.99073790330336198</v>
      </c>
      <c r="AI81" s="4">
        <v>0.99732016200504503</v>
      </c>
      <c r="AJ81" s="4">
        <v>1</v>
      </c>
      <c r="AK81" s="4">
        <v>1</v>
      </c>
      <c r="AL81" s="4">
        <v>1</v>
      </c>
      <c r="AM81" s="4">
        <v>0</v>
      </c>
      <c r="AN81" s="4">
        <v>0</v>
      </c>
      <c r="AO81" s="4" t="s">
        <v>153</v>
      </c>
      <c r="AP81" s="4" t="s">
        <v>137</v>
      </c>
      <c r="AQ81" s="6">
        <v>4194298439.3699999</v>
      </c>
      <c r="AR81" s="4">
        <v>14580</v>
      </c>
      <c r="AS81" s="35">
        <v>100</v>
      </c>
      <c r="AT81" s="35">
        <v>0</v>
      </c>
      <c r="AU81" s="35">
        <v>100</v>
      </c>
      <c r="AV81" s="35">
        <v>0</v>
      </c>
      <c r="AW81" s="35">
        <v>0</v>
      </c>
      <c r="AX81" s="35">
        <v>0</v>
      </c>
    </row>
    <row r="82" spans="1:50" x14ac:dyDescent="0.25">
      <c r="A82">
        <v>4.3</v>
      </c>
      <c r="B82" s="4">
        <v>0.97762088887958898</v>
      </c>
      <c r="C82" s="4">
        <v>37.323822301098701</v>
      </c>
      <c r="D82" s="4">
        <v>23.784084431365802</v>
      </c>
      <c r="E82" s="4">
        <v>3.8184270424945599E-2</v>
      </c>
      <c r="F82" s="5">
        <v>2.2379111120410002E-2</v>
      </c>
      <c r="G82" s="5">
        <v>0</v>
      </c>
      <c r="H82" s="4">
        <v>4.1449305758720598</v>
      </c>
      <c r="I82" s="4">
        <v>3.9132314012113301</v>
      </c>
      <c r="J82" s="4">
        <v>-27.955655487653399</v>
      </c>
      <c r="K82" s="4">
        <v>32.507572369548399</v>
      </c>
      <c r="L82" s="4">
        <v>13.642875582773501</v>
      </c>
      <c r="M82" s="4">
        <v>15.9626535208044</v>
      </c>
      <c r="N82" s="4">
        <v>64.847442570730607</v>
      </c>
      <c r="O82" s="4">
        <v>61.414253109812798</v>
      </c>
      <c r="P82" s="4">
        <v>311923.49780817499</v>
      </c>
      <c r="Q82" s="4">
        <v>292598.31356589601</v>
      </c>
      <c r="R82" s="4">
        <v>784.15694078932904</v>
      </c>
      <c r="S82" s="4">
        <v>0</v>
      </c>
      <c r="T82" s="4">
        <v>0</v>
      </c>
      <c r="U82" s="4">
        <v>0.26742242986325998</v>
      </c>
      <c r="V82" s="4">
        <v>0</v>
      </c>
      <c r="W82" s="4">
        <v>0</v>
      </c>
      <c r="X82" s="4">
        <v>0.849087462788787</v>
      </c>
      <c r="Y82" s="4">
        <v>0</v>
      </c>
      <c r="Z82" s="5">
        <v>3.6773544117204801E-4</v>
      </c>
      <c r="AA82" s="5">
        <v>5.5855843338020497E-5</v>
      </c>
      <c r="AB82" s="10">
        <v>3.0163828412049002E-3</v>
      </c>
      <c r="AC82" s="10">
        <v>1.01269843997004E-5</v>
      </c>
      <c r="AD82" s="10">
        <v>1.8928995645727999E-2</v>
      </c>
      <c r="AE82" s="4">
        <v>3.0674240211456798E-2</v>
      </c>
      <c r="AF82" s="4">
        <v>0.68618122776222701</v>
      </c>
      <c r="AG82" s="4">
        <v>0.88073868150489698</v>
      </c>
      <c r="AH82" s="4">
        <v>0.99076273545160698</v>
      </c>
      <c r="AI82" s="4">
        <v>0.99814481985897496</v>
      </c>
      <c r="AJ82" s="4">
        <v>1</v>
      </c>
      <c r="AK82" s="4">
        <v>1</v>
      </c>
      <c r="AL82" s="4">
        <v>1</v>
      </c>
      <c r="AM82" s="4">
        <v>0</v>
      </c>
      <c r="AN82" s="4">
        <v>0</v>
      </c>
      <c r="AO82" s="4" t="s">
        <v>154</v>
      </c>
      <c r="AP82" s="4" t="s">
        <v>138</v>
      </c>
      <c r="AQ82" s="6">
        <v>4609008635.29</v>
      </c>
      <c r="AR82" s="4">
        <v>15752</v>
      </c>
      <c r="AS82" s="35">
        <v>100</v>
      </c>
      <c r="AT82" s="35">
        <v>0</v>
      </c>
      <c r="AU82" s="35">
        <v>100</v>
      </c>
      <c r="AV82" s="35">
        <v>0</v>
      </c>
      <c r="AW82" s="35">
        <v>0</v>
      </c>
      <c r="AX82" s="35">
        <v>0</v>
      </c>
    </row>
    <row r="83" spans="1:50" x14ac:dyDescent="0.25">
      <c r="A83">
        <v>4.3</v>
      </c>
      <c r="B83" s="4">
        <v>0.97562858545685205</v>
      </c>
      <c r="C83" s="4">
        <v>39.422265364814102</v>
      </c>
      <c r="D83" s="4">
        <v>25.6271888298281</v>
      </c>
      <c r="E83" s="4">
        <v>4.0909875858482901E-2</v>
      </c>
      <c r="F83" s="5">
        <v>2.4371414543147601E-2</v>
      </c>
      <c r="G83" s="5">
        <v>0</v>
      </c>
      <c r="H83" s="4">
        <v>4.1574999510413297</v>
      </c>
      <c r="I83" s="4">
        <v>3.8758481321411602</v>
      </c>
      <c r="J83" s="4">
        <v>-27.282078610146002</v>
      </c>
      <c r="K83" s="4">
        <v>37.485855995025098</v>
      </c>
      <c r="L83" s="4">
        <v>13.675113439031399</v>
      </c>
      <c r="M83" s="4">
        <v>16.087234655873999</v>
      </c>
      <c r="N83" s="4">
        <v>64.960330052827103</v>
      </c>
      <c r="O83" s="4">
        <v>61.114394747575297</v>
      </c>
      <c r="P83" s="4">
        <v>310538.00726936501</v>
      </c>
      <c r="Q83" s="4">
        <v>291917.75682439201</v>
      </c>
      <c r="R83" s="4">
        <v>783.83983090299</v>
      </c>
      <c r="S83" s="4">
        <v>0</v>
      </c>
      <c r="T83" s="4">
        <v>0</v>
      </c>
      <c r="U83" s="4">
        <v>0.27334866267407998</v>
      </c>
      <c r="V83" s="4">
        <v>0</v>
      </c>
      <c r="W83" s="4">
        <v>0</v>
      </c>
      <c r="X83" s="4">
        <v>0.83771012620963703</v>
      </c>
      <c r="Y83" s="4">
        <v>0</v>
      </c>
      <c r="Z83" s="5">
        <v>3.6763566858103098E-4</v>
      </c>
      <c r="AA83" s="5">
        <v>5.5545910848526802E-5</v>
      </c>
      <c r="AB83" s="10">
        <v>3.0822934865961599E-3</v>
      </c>
      <c r="AC83" s="10">
        <v>1.11248395805448E-5</v>
      </c>
      <c r="AD83" s="10">
        <v>2.0854800452695599E-2</v>
      </c>
      <c r="AE83" s="4">
        <v>3.4185624706150303E-2</v>
      </c>
      <c r="AF83" s="4">
        <v>0.65812776715904597</v>
      </c>
      <c r="AG83" s="4">
        <v>0.90372180578720096</v>
      </c>
      <c r="AH83" s="4">
        <v>0.987723376962097</v>
      </c>
      <c r="AI83" s="4">
        <v>0.998587130707285</v>
      </c>
      <c r="AJ83" s="4">
        <v>1</v>
      </c>
      <c r="AK83" s="4">
        <v>1</v>
      </c>
      <c r="AL83" s="4">
        <v>1</v>
      </c>
      <c r="AM83" s="4">
        <v>0</v>
      </c>
      <c r="AN83" s="4">
        <v>0</v>
      </c>
      <c r="AO83" s="4" t="s">
        <v>155</v>
      </c>
      <c r="AP83" s="4" t="s">
        <v>139</v>
      </c>
      <c r="AQ83" s="6">
        <v>4614635899.8800001</v>
      </c>
      <c r="AR83" s="4">
        <v>15808</v>
      </c>
      <c r="AS83" s="35">
        <v>100</v>
      </c>
      <c r="AT83" s="35">
        <v>0</v>
      </c>
      <c r="AU83" s="35">
        <v>100</v>
      </c>
      <c r="AV83" s="35">
        <v>0</v>
      </c>
      <c r="AW83" s="35">
        <v>0</v>
      </c>
      <c r="AX83" s="35">
        <v>0</v>
      </c>
    </row>
    <row r="84" spans="1:50" x14ac:dyDescent="0.25">
      <c r="A84">
        <v>4.3</v>
      </c>
      <c r="B84" s="4">
        <v>0.97335776465323798</v>
      </c>
      <c r="C84" s="4">
        <v>42.851629669008197</v>
      </c>
      <c r="D84" s="4">
        <v>27.678075863012001</v>
      </c>
      <c r="E84" s="4">
        <v>4.5556288546048603E-2</v>
      </c>
      <c r="F84" s="5">
        <v>2.6642235346761699E-2</v>
      </c>
      <c r="G84" s="5">
        <v>0</v>
      </c>
      <c r="H84" s="4">
        <v>4.1804969286133602</v>
      </c>
      <c r="I84" s="4">
        <v>3.84862136713563</v>
      </c>
      <c r="J84" s="4">
        <v>-26.294688185868502</v>
      </c>
      <c r="K84" s="4">
        <v>42.427567190865403</v>
      </c>
      <c r="L84" s="4">
        <v>13.529293382916199</v>
      </c>
      <c r="M84" s="4">
        <v>16.230831026443902</v>
      </c>
      <c r="N84" s="4">
        <v>65.010229415366496</v>
      </c>
      <c r="O84" s="4">
        <v>60.853640474826598</v>
      </c>
      <c r="P84" s="4">
        <v>314224.05366895202</v>
      </c>
      <c r="Q84" s="4">
        <v>295056.643451054</v>
      </c>
      <c r="R84" s="4">
        <v>783.80426324357097</v>
      </c>
      <c r="S84" s="4">
        <v>0</v>
      </c>
      <c r="T84" s="4">
        <v>0</v>
      </c>
      <c r="U84" s="4">
        <v>0.27995378729699599</v>
      </c>
      <c r="V84" s="4">
        <v>0</v>
      </c>
      <c r="W84" s="4">
        <v>0</v>
      </c>
      <c r="X84" s="4">
        <v>0.83995940839892402</v>
      </c>
      <c r="Y84" s="4">
        <v>0</v>
      </c>
      <c r="Z84" s="5">
        <v>3.68878053175875E-4</v>
      </c>
      <c r="AA84" s="5">
        <v>5.7180758634270798E-5</v>
      </c>
      <c r="AB84" s="10">
        <v>3.15958582987474E-3</v>
      </c>
      <c r="AC84" s="10">
        <v>1.2299865428883799E-5</v>
      </c>
      <c r="AD84" s="10">
        <v>2.3044276516212901E-2</v>
      </c>
      <c r="AE84" s="4">
        <v>4.1430167675244302E-2</v>
      </c>
      <c r="AF84" s="4">
        <v>0.61560436488578896</v>
      </c>
      <c r="AG84" s="4">
        <v>0.88694005582865398</v>
      </c>
      <c r="AH84" s="4">
        <v>0.98763913478155896</v>
      </c>
      <c r="AI84" s="4">
        <v>0.99894611319744897</v>
      </c>
      <c r="AJ84" s="4">
        <v>1</v>
      </c>
      <c r="AK84" s="4">
        <v>1</v>
      </c>
      <c r="AL84" s="4">
        <v>1</v>
      </c>
      <c r="AM84" s="4">
        <v>0</v>
      </c>
      <c r="AN84" s="4">
        <v>0</v>
      </c>
      <c r="AO84" s="4" t="s">
        <v>156</v>
      </c>
      <c r="AP84" s="4" t="s">
        <v>140</v>
      </c>
      <c r="AQ84" s="6">
        <v>4394573647.5600004</v>
      </c>
      <c r="AR84" s="4">
        <v>14894</v>
      </c>
      <c r="AS84" s="35">
        <v>100</v>
      </c>
      <c r="AT84" s="35">
        <v>0</v>
      </c>
      <c r="AU84" s="35">
        <v>100</v>
      </c>
      <c r="AV84" s="35">
        <v>0</v>
      </c>
      <c r="AW84" s="35">
        <v>0</v>
      </c>
      <c r="AX84" s="35">
        <v>0</v>
      </c>
    </row>
    <row r="85" spans="1:50" x14ac:dyDescent="0.25">
      <c r="A85">
        <v>4.3</v>
      </c>
      <c r="B85" s="4">
        <v>0.97126102914993195</v>
      </c>
      <c r="C85" s="4">
        <v>42.173965355187001</v>
      </c>
      <c r="D85" s="4">
        <v>29.525571683807399</v>
      </c>
      <c r="E85" s="4">
        <v>4.4618227984329101E-2</v>
      </c>
      <c r="F85" s="5">
        <v>2.8738970850067599E-2</v>
      </c>
      <c r="G85" s="5">
        <v>0</v>
      </c>
      <c r="H85" s="4">
        <v>4.2226814917100199</v>
      </c>
      <c r="I85" s="4">
        <v>3.8404031968679102</v>
      </c>
      <c r="J85" s="4">
        <v>-24.521782928885301</v>
      </c>
      <c r="K85" s="4">
        <v>47.513897721272699</v>
      </c>
      <c r="L85" s="4">
        <v>13.470474406971199</v>
      </c>
      <c r="M85" s="4">
        <v>16.581736358835101</v>
      </c>
      <c r="N85" s="4">
        <v>63.9136299867356</v>
      </c>
      <c r="O85" s="4">
        <v>59.773021478793801</v>
      </c>
      <c r="P85" s="4">
        <v>316303.17738750798</v>
      </c>
      <c r="Q85" s="4">
        <v>296336.70137080998</v>
      </c>
      <c r="R85" s="4">
        <v>783.58946364211397</v>
      </c>
      <c r="S85" s="4">
        <v>0</v>
      </c>
      <c r="T85" s="4">
        <v>0</v>
      </c>
      <c r="U85" s="4">
        <v>0.265100178864971</v>
      </c>
      <c r="V85" s="4">
        <v>0</v>
      </c>
      <c r="W85" s="4">
        <v>0</v>
      </c>
      <c r="X85" s="4">
        <v>0.83477354053047004</v>
      </c>
      <c r="Y85" s="4">
        <v>0</v>
      </c>
      <c r="Z85" s="5">
        <v>3.6890679506618802E-4</v>
      </c>
      <c r="AA85" s="5">
        <v>6.4238086536433202E-5</v>
      </c>
      <c r="AB85" s="10">
        <v>3.20422639769716E-3</v>
      </c>
      <c r="AC85" s="10">
        <v>1.1290066437993099E-5</v>
      </c>
      <c r="AD85" s="10">
        <v>2.5090295260155802E-2</v>
      </c>
      <c r="AE85" s="4">
        <v>4.4452823240177401E-2</v>
      </c>
      <c r="AF85" s="4">
        <v>0.607851323312249</v>
      </c>
      <c r="AG85" s="4">
        <v>0.89822597860814501</v>
      </c>
      <c r="AH85" s="4">
        <v>0.98883201550892597</v>
      </c>
      <c r="AI85" s="4">
        <v>0.99881407208347395</v>
      </c>
      <c r="AJ85" s="4">
        <v>1</v>
      </c>
      <c r="AK85" s="4">
        <v>1</v>
      </c>
      <c r="AL85" s="4">
        <v>1</v>
      </c>
      <c r="AM85" s="4">
        <v>0</v>
      </c>
      <c r="AN85" s="4">
        <v>0</v>
      </c>
      <c r="AO85" s="4" t="s">
        <v>71</v>
      </c>
      <c r="AP85" s="4" t="s">
        <v>72</v>
      </c>
      <c r="AQ85" s="6">
        <v>4111671731.52</v>
      </c>
      <c r="AR85" s="4">
        <v>13875</v>
      </c>
      <c r="AS85" s="35">
        <v>100</v>
      </c>
      <c r="AT85" s="35">
        <v>0</v>
      </c>
      <c r="AU85" s="35">
        <v>100</v>
      </c>
      <c r="AV85" s="35">
        <v>0</v>
      </c>
      <c r="AW85" s="35">
        <v>0</v>
      </c>
      <c r="AX85" s="35">
        <v>0</v>
      </c>
    </row>
    <row r="86" spans="1:50" x14ac:dyDescent="0.25">
      <c r="A86">
        <v>4.3</v>
      </c>
      <c r="B86" s="4">
        <v>0.970293045450074</v>
      </c>
      <c r="C86" s="4">
        <v>45.4163207341606</v>
      </c>
      <c r="D86" s="4">
        <v>30.363806536693101</v>
      </c>
      <c r="E86" s="4">
        <v>4.9201326405719802E-2</v>
      </c>
      <c r="F86" s="5">
        <v>2.9706954549925502E-2</v>
      </c>
      <c r="G86" s="5">
        <v>0</v>
      </c>
      <c r="H86" s="4">
        <v>4.3267141560450399</v>
      </c>
      <c r="I86" s="4">
        <v>3.8649364178502701</v>
      </c>
      <c r="J86" s="4">
        <v>-20.6288063369859</v>
      </c>
      <c r="K86" s="4">
        <v>52.530042586188898</v>
      </c>
      <c r="L86" s="4">
        <v>14.0894795808795</v>
      </c>
      <c r="M86" s="4">
        <v>17.252689298774801</v>
      </c>
      <c r="N86" s="4">
        <v>68.131359355685802</v>
      </c>
      <c r="O86" s="4">
        <v>64.176219447738106</v>
      </c>
      <c r="P86" s="4">
        <v>302729.59884715901</v>
      </c>
      <c r="Q86" s="4">
        <v>283356.21160269401</v>
      </c>
      <c r="R86" s="4">
        <v>782.48627724600703</v>
      </c>
      <c r="S86" s="4">
        <v>0</v>
      </c>
      <c r="T86" s="4">
        <v>0</v>
      </c>
      <c r="U86" s="4">
        <v>0.23333303543088901</v>
      </c>
      <c r="V86" s="4">
        <v>0</v>
      </c>
      <c r="W86" s="4">
        <v>0</v>
      </c>
      <c r="X86" s="4">
        <v>0.78704669755544998</v>
      </c>
      <c r="Y86" s="4">
        <v>0</v>
      </c>
      <c r="Z86" s="5">
        <v>3.7000114079972101E-4</v>
      </c>
      <c r="AA86" s="5">
        <v>7.5091657446387495E-5</v>
      </c>
      <c r="AB86" s="10">
        <v>3.2668173763144102E-3</v>
      </c>
      <c r="AC86" s="10">
        <v>9.09029461125916E-6</v>
      </c>
      <c r="AD86" s="10">
        <v>2.5985939840347801E-2</v>
      </c>
      <c r="AE86" s="4">
        <v>3.2244581233252301E-2</v>
      </c>
      <c r="AF86" s="4">
        <v>0.657359490875427</v>
      </c>
      <c r="AG86" s="4">
        <v>0.92632930544859404</v>
      </c>
      <c r="AH86" s="4">
        <v>0.992153167555344</v>
      </c>
      <c r="AI86" s="4">
        <v>0.99923172301993701</v>
      </c>
      <c r="AJ86" s="4">
        <v>1</v>
      </c>
      <c r="AK86" s="4">
        <v>1</v>
      </c>
      <c r="AL86" s="4">
        <v>1</v>
      </c>
      <c r="AM86" s="4">
        <v>0</v>
      </c>
      <c r="AN86" s="4">
        <v>0</v>
      </c>
      <c r="AO86" s="4" t="s">
        <v>157</v>
      </c>
      <c r="AP86" s="4" t="s">
        <v>141</v>
      </c>
      <c r="AQ86" s="6">
        <v>3491798595.5799999</v>
      </c>
      <c r="AR86" s="4">
        <v>12323</v>
      </c>
      <c r="AS86" s="35">
        <v>100</v>
      </c>
      <c r="AT86" s="35">
        <v>0</v>
      </c>
      <c r="AU86" s="35">
        <v>100</v>
      </c>
      <c r="AV86" s="35">
        <v>0</v>
      </c>
      <c r="AW86" s="35">
        <v>0</v>
      </c>
      <c r="AX86" s="35">
        <v>0</v>
      </c>
    </row>
    <row r="87" spans="1:50" x14ac:dyDescent="0.25">
      <c r="A87">
        <v>4.3</v>
      </c>
      <c r="B87" s="4">
        <v>0.96871221575616095</v>
      </c>
      <c r="C87" s="4">
        <v>46.399305130979002</v>
      </c>
      <c r="D87" s="4">
        <v>31.713112790247301</v>
      </c>
      <c r="E87" s="4">
        <v>5.0640133426055597E-2</v>
      </c>
      <c r="F87" s="5">
        <v>3.1287784243837997E-2</v>
      </c>
      <c r="G87" s="5">
        <v>0</v>
      </c>
      <c r="H87" s="4">
        <v>4.3829410191482099</v>
      </c>
      <c r="I87" s="4">
        <v>3.8727884286764098</v>
      </c>
      <c r="J87" s="4">
        <v>-19.498243901922098</v>
      </c>
      <c r="K87" s="4">
        <v>57.490346805659897</v>
      </c>
      <c r="L87" s="4">
        <v>14.1973810629901</v>
      </c>
      <c r="M87" s="4">
        <v>17.577599363063701</v>
      </c>
      <c r="N87" s="4">
        <v>66.816572854085706</v>
      </c>
      <c r="O87" s="4">
        <v>63.192341439766601</v>
      </c>
      <c r="P87" s="4">
        <v>300595.30352741497</v>
      </c>
      <c r="Q87" s="4">
        <v>281207.083764982</v>
      </c>
      <c r="R87" s="4">
        <v>782.67167003179998</v>
      </c>
      <c r="S87" s="4">
        <v>0</v>
      </c>
      <c r="T87" s="4">
        <v>0</v>
      </c>
      <c r="U87" s="4">
        <v>0.236986342152853</v>
      </c>
      <c r="V87" s="4">
        <v>0</v>
      </c>
      <c r="W87" s="4">
        <v>0</v>
      </c>
      <c r="X87" s="4">
        <v>0.79252906267131595</v>
      </c>
      <c r="Y87" s="4">
        <v>0</v>
      </c>
      <c r="Z87" s="5">
        <v>3.7112919649071599E-4</v>
      </c>
      <c r="AA87" s="5">
        <v>8.3364331430805296E-5</v>
      </c>
      <c r="AB87" s="10">
        <v>3.2570607671540499E-3</v>
      </c>
      <c r="AC87" s="10">
        <v>8.9461003837546793E-6</v>
      </c>
      <c r="AD87" s="10">
        <v>2.7567269510968301E-2</v>
      </c>
      <c r="AE87" s="4">
        <v>2.9179085379317599E-2</v>
      </c>
      <c r="AF87" s="4">
        <v>0.67238620216916101</v>
      </c>
      <c r="AG87" s="4">
        <v>0.93064555476708</v>
      </c>
      <c r="AH87" s="4">
        <v>0.99231653353580296</v>
      </c>
      <c r="AI87" s="4">
        <v>0.99932758373873798</v>
      </c>
      <c r="AJ87" s="4">
        <v>1</v>
      </c>
      <c r="AK87" s="4">
        <v>1</v>
      </c>
      <c r="AL87" s="4">
        <v>1</v>
      </c>
      <c r="AM87" s="4">
        <v>0</v>
      </c>
      <c r="AN87" s="4">
        <v>0</v>
      </c>
      <c r="AO87" s="4" t="s">
        <v>158</v>
      </c>
      <c r="AP87" s="4" t="s">
        <v>142</v>
      </c>
      <c r="AQ87" s="6">
        <v>3472345070.3299999</v>
      </c>
      <c r="AR87" s="4">
        <v>12348</v>
      </c>
      <c r="AS87" s="35">
        <v>100</v>
      </c>
      <c r="AT87" s="35">
        <v>0</v>
      </c>
      <c r="AU87" s="35">
        <v>100</v>
      </c>
      <c r="AV87" s="35">
        <v>0</v>
      </c>
      <c r="AW87" s="35">
        <v>0</v>
      </c>
      <c r="AX87" s="35">
        <v>0</v>
      </c>
    </row>
    <row r="88" spans="1:50" x14ac:dyDescent="0.25">
      <c r="A88">
        <v>4.3</v>
      </c>
      <c r="B88" s="4">
        <v>0.96725827944814702</v>
      </c>
      <c r="C88" s="4">
        <v>48.031872191352399</v>
      </c>
      <c r="D88" s="4">
        <v>32.9329088976043</v>
      </c>
      <c r="E88" s="4">
        <v>5.3084070338354702E-2</v>
      </c>
      <c r="F88" s="5">
        <v>3.2741720551852198E-2</v>
      </c>
      <c r="G88" s="5">
        <v>0</v>
      </c>
      <c r="H88" s="4">
        <v>4.4581157364623998</v>
      </c>
      <c r="I88" s="4">
        <v>3.8934247652091498</v>
      </c>
      <c r="J88" s="4">
        <v>-17.466896471325999</v>
      </c>
      <c r="K88" s="4">
        <v>62.445764983681201</v>
      </c>
      <c r="L88" s="4">
        <v>14.300568372218599</v>
      </c>
      <c r="M88" s="4">
        <v>17.781662588219099</v>
      </c>
      <c r="N88" s="4">
        <v>67.385528837396507</v>
      </c>
      <c r="O88" s="4">
        <v>63.9875097280826</v>
      </c>
      <c r="P88" s="4">
        <v>299369.616030659</v>
      </c>
      <c r="Q88" s="4">
        <v>279185.33238922199</v>
      </c>
      <c r="R88" s="4">
        <v>782.15543581399697</v>
      </c>
      <c r="S88" s="4">
        <v>0</v>
      </c>
      <c r="T88" s="4">
        <v>0</v>
      </c>
      <c r="U88" s="4">
        <v>0.24019831869285299</v>
      </c>
      <c r="V88" s="4">
        <v>0</v>
      </c>
      <c r="W88" s="4">
        <v>0</v>
      </c>
      <c r="X88" s="4">
        <v>0.76128986044366997</v>
      </c>
      <c r="Y88" s="4">
        <v>0</v>
      </c>
      <c r="Z88" s="5">
        <v>3.7200653858256399E-4</v>
      </c>
      <c r="AA88" s="5">
        <v>9.0873366208630093E-5</v>
      </c>
      <c r="AB88" s="10">
        <v>3.24664142136412E-3</v>
      </c>
      <c r="AC88" s="10">
        <v>8.6830639694991192E-6</v>
      </c>
      <c r="AD88" s="10">
        <v>2.90235017484432E-2</v>
      </c>
      <c r="AE88" s="4">
        <v>2.28819544187235E-2</v>
      </c>
      <c r="AF88" s="4">
        <v>0.69989846124237898</v>
      </c>
      <c r="AG88" s="4">
        <v>0.95775873700663605</v>
      </c>
      <c r="AH88" s="4">
        <v>0.99397754486808698</v>
      </c>
      <c r="AI88" s="4">
        <v>0.99890990129872703</v>
      </c>
      <c r="AJ88" s="4">
        <v>1</v>
      </c>
      <c r="AK88" s="4">
        <v>1</v>
      </c>
      <c r="AL88" s="4">
        <v>1</v>
      </c>
      <c r="AM88" s="4">
        <v>0</v>
      </c>
      <c r="AN88" s="4">
        <v>0</v>
      </c>
      <c r="AO88" s="4" t="s">
        <v>159</v>
      </c>
      <c r="AP88" s="4" t="s">
        <v>143</v>
      </c>
      <c r="AQ88" s="6">
        <v>3440121665.6999998</v>
      </c>
      <c r="AR88" s="4">
        <v>12322</v>
      </c>
      <c r="AS88" s="35">
        <v>100</v>
      </c>
      <c r="AT88" s="35">
        <v>0</v>
      </c>
      <c r="AU88" s="35">
        <v>100</v>
      </c>
      <c r="AV88" s="35">
        <v>0</v>
      </c>
      <c r="AW88" s="35">
        <v>0</v>
      </c>
      <c r="AX88" s="35">
        <v>0</v>
      </c>
    </row>
    <row r="89" spans="1:50" x14ac:dyDescent="0.25">
      <c r="A89">
        <v>4.3</v>
      </c>
      <c r="B89" s="4">
        <v>0.96641776905531895</v>
      </c>
      <c r="C89" s="4">
        <v>48.254008997875999</v>
      </c>
      <c r="D89" s="4">
        <v>33.628920985866301</v>
      </c>
      <c r="E89" s="4">
        <v>5.3422030855354803E-2</v>
      </c>
      <c r="F89" s="5">
        <v>3.3582230944680901E-2</v>
      </c>
      <c r="G89" s="5">
        <v>0</v>
      </c>
      <c r="H89" s="4">
        <v>4.5355860864085997</v>
      </c>
      <c r="I89" s="4">
        <v>3.9208720537191502</v>
      </c>
      <c r="J89" s="4">
        <v>-15.8016975553689</v>
      </c>
      <c r="K89" s="4">
        <v>67.457833670468503</v>
      </c>
      <c r="L89" s="4">
        <v>14.413447565296501</v>
      </c>
      <c r="M89" s="4">
        <v>17.825330712061501</v>
      </c>
      <c r="N89" s="4">
        <v>67.423102295107995</v>
      </c>
      <c r="O89" s="4">
        <v>64.252074374136299</v>
      </c>
      <c r="P89" s="4">
        <v>297328.18605690601</v>
      </c>
      <c r="Q89" s="4">
        <v>277005.97902952199</v>
      </c>
      <c r="R89" s="4">
        <v>781.66757486214999</v>
      </c>
      <c r="S89" s="4">
        <v>0</v>
      </c>
      <c r="T89" s="4">
        <v>0</v>
      </c>
      <c r="U89" s="4">
        <v>0.25027157196183297</v>
      </c>
      <c r="V89" s="4">
        <v>0</v>
      </c>
      <c r="W89" s="4">
        <v>0</v>
      </c>
      <c r="X89" s="4">
        <v>0.73971915701251101</v>
      </c>
      <c r="Y89" s="4">
        <v>0</v>
      </c>
      <c r="Z89" s="5">
        <v>3.7256355071525098E-4</v>
      </c>
      <c r="AA89" s="5">
        <v>9.7906782450457895E-5</v>
      </c>
      <c r="AB89" s="10">
        <v>3.2233661188203798E-3</v>
      </c>
      <c r="AC89" s="10">
        <v>9.0391997422883706E-6</v>
      </c>
      <c r="AD89" s="10">
        <v>2.9879340773981501E-2</v>
      </c>
      <c r="AE89" s="4">
        <v>1.8237857239963101E-2</v>
      </c>
      <c r="AF89" s="4">
        <v>0.71472042149569204</v>
      </c>
      <c r="AG89" s="4">
        <v>0.95606880428305296</v>
      </c>
      <c r="AH89" s="4">
        <v>0.99441305214689302</v>
      </c>
      <c r="AI89" s="4">
        <v>0.99899002511026302</v>
      </c>
      <c r="AJ89" s="4">
        <v>1</v>
      </c>
      <c r="AK89" s="4">
        <v>1</v>
      </c>
      <c r="AL89" s="4">
        <v>1</v>
      </c>
      <c r="AM89" s="4">
        <v>0</v>
      </c>
      <c r="AN89" s="4">
        <v>0</v>
      </c>
      <c r="AO89" s="4" t="s">
        <v>160</v>
      </c>
      <c r="AP89" s="4" t="s">
        <v>144</v>
      </c>
      <c r="AQ89" s="6">
        <v>3462297731.8899999</v>
      </c>
      <c r="AR89" s="4">
        <v>12499</v>
      </c>
      <c r="AS89" s="35">
        <v>100</v>
      </c>
      <c r="AT89" s="35">
        <v>0</v>
      </c>
      <c r="AU89" s="35">
        <v>100</v>
      </c>
      <c r="AV89" s="35">
        <v>0</v>
      </c>
      <c r="AW89" s="35">
        <v>0</v>
      </c>
      <c r="AX89" s="35">
        <v>0</v>
      </c>
    </row>
    <row r="90" spans="1:50" x14ac:dyDescent="0.25">
      <c r="A90">
        <v>4.3</v>
      </c>
      <c r="B90" s="4">
        <v>0.96477575003183402</v>
      </c>
      <c r="C90" s="4">
        <v>47.942948026673299</v>
      </c>
      <c r="D90" s="4">
        <v>34.969582006210899</v>
      </c>
      <c r="E90" s="4">
        <v>5.2949151518084298E-2</v>
      </c>
      <c r="F90" s="5">
        <v>3.5224249968165103E-2</v>
      </c>
      <c r="G90" s="5">
        <v>0</v>
      </c>
      <c r="H90" s="4">
        <v>4.5705614114914601</v>
      </c>
      <c r="I90" s="4">
        <v>3.9176832543916902</v>
      </c>
      <c r="J90" s="4">
        <v>-14.774382436530299</v>
      </c>
      <c r="K90" s="4">
        <v>72.491928267535698</v>
      </c>
      <c r="L90" s="4">
        <v>14.1661861014751</v>
      </c>
      <c r="M90" s="4">
        <v>17.678323011925801</v>
      </c>
      <c r="N90" s="4">
        <v>66.245160316473601</v>
      </c>
      <c r="O90" s="4">
        <v>62.970829970258102</v>
      </c>
      <c r="P90" s="4">
        <v>301519.77322593099</v>
      </c>
      <c r="Q90" s="4">
        <v>281840.82472866902</v>
      </c>
      <c r="R90" s="4">
        <v>781.82801770960702</v>
      </c>
      <c r="S90" s="4">
        <v>0</v>
      </c>
      <c r="T90" s="4">
        <v>0</v>
      </c>
      <c r="U90" s="4">
        <v>0.26465754799096602</v>
      </c>
      <c r="V90" s="4">
        <v>0</v>
      </c>
      <c r="W90" s="4">
        <v>0</v>
      </c>
      <c r="X90" s="4">
        <v>0.73805059166956999</v>
      </c>
      <c r="Y90" s="4">
        <v>0</v>
      </c>
      <c r="Z90" s="5">
        <v>3.7165406676675902E-4</v>
      </c>
      <c r="AA90" s="5">
        <v>1.00086275995695E-4</v>
      </c>
      <c r="AB90" s="10">
        <v>3.2281091693414699E-3</v>
      </c>
      <c r="AC90" s="10">
        <v>9.9012219047277699E-6</v>
      </c>
      <c r="AD90" s="10">
        <v>3.1514484616309103E-2</v>
      </c>
      <c r="AE90" s="4">
        <v>2.1463010924875899E-2</v>
      </c>
      <c r="AF90" s="4">
        <v>0.68569878212699698</v>
      </c>
      <c r="AG90" s="4">
        <v>0.95598125975206905</v>
      </c>
      <c r="AH90" s="4">
        <v>0.99389496569413904</v>
      </c>
      <c r="AI90" s="4">
        <v>0.99905679629196897</v>
      </c>
      <c r="AJ90" s="4">
        <v>1</v>
      </c>
      <c r="AK90" s="4">
        <v>1</v>
      </c>
      <c r="AL90" s="4">
        <v>1</v>
      </c>
      <c r="AM90" s="4">
        <v>0</v>
      </c>
      <c r="AN90" s="4">
        <v>0</v>
      </c>
      <c r="AO90" s="4" t="s">
        <v>73</v>
      </c>
      <c r="AP90" s="4" t="s">
        <v>74</v>
      </c>
      <c r="AQ90" s="6">
        <v>3484961797.77</v>
      </c>
      <c r="AR90" s="4">
        <v>12365</v>
      </c>
      <c r="AS90" s="35">
        <v>100</v>
      </c>
      <c r="AT90" s="35">
        <v>0</v>
      </c>
      <c r="AU90" s="35">
        <v>100</v>
      </c>
      <c r="AV90" s="35">
        <v>0</v>
      </c>
      <c r="AW90" s="35">
        <v>0</v>
      </c>
      <c r="AX90" s="35">
        <v>0</v>
      </c>
    </row>
    <row r="91" spans="1:50" x14ac:dyDescent="0.25">
      <c r="A91">
        <v>4.3</v>
      </c>
      <c r="B91" s="4">
        <v>0.96168779864429099</v>
      </c>
      <c r="C91" s="4">
        <v>45.7708272196178</v>
      </c>
      <c r="D91" s="4">
        <v>37.423787710370398</v>
      </c>
      <c r="E91" s="4">
        <v>4.9717463343028401E-2</v>
      </c>
      <c r="F91" s="5">
        <v>3.8312201355708099E-2</v>
      </c>
      <c r="G91" s="5">
        <v>0</v>
      </c>
      <c r="H91" s="4">
        <v>4.6792015292067903</v>
      </c>
      <c r="I91" s="4">
        <v>3.8981509428101</v>
      </c>
      <c r="J91" s="4">
        <v>-11.5311502639086</v>
      </c>
      <c r="K91" s="4">
        <v>85.668970884368505</v>
      </c>
      <c r="L91" s="4">
        <v>14.263814450785301</v>
      </c>
      <c r="M91" s="4">
        <v>17.602014203038902</v>
      </c>
      <c r="N91" s="4">
        <v>66.442910600283099</v>
      </c>
      <c r="O91" s="4">
        <v>62.693088682520603</v>
      </c>
      <c r="P91" s="4">
        <v>299859.64255796699</v>
      </c>
      <c r="Q91" s="4">
        <v>279920.92258670903</v>
      </c>
      <c r="R91" s="4">
        <v>780.85804814325502</v>
      </c>
      <c r="S91" s="4">
        <v>0</v>
      </c>
      <c r="T91" s="4">
        <v>0</v>
      </c>
      <c r="U91" s="4">
        <v>0.28399372752434199</v>
      </c>
      <c r="V91" s="4">
        <v>0</v>
      </c>
      <c r="W91" s="4">
        <v>0</v>
      </c>
      <c r="X91" s="4">
        <v>0.69290848609290001</v>
      </c>
      <c r="Y91" s="4">
        <v>0</v>
      </c>
      <c r="Z91" s="5">
        <v>3.7185964998863902E-4</v>
      </c>
      <c r="AA91" s="5">
        <v>1.0535087945380201E-4</v>
      </c>
      <c r="AB91" s="10">
        <v>3.3641167498702699E-3</v>
      </c>
      <c r="AC91" s="10">
        <v>1.88562074024779E-5</v>
      </c>
      <c r="AD91" s="10">
        <v>3.4452003130528798E-2</v>
      </c>
      <c r="AE91" s="4">
        <v>2.8319628091365599E-2</v>
      </c>
      <c r="AF91" s="4">
        <v>0.6265847372112</v>
      </c>
      <c r="AG91" s="4">
        <v>0.94565645948284405</v>
      </c>
      <c r="AH91" s="4">
        <v>0.98872447099546501</v>
      </c>
      <c r="AI91" s="4">
        <v>0.99818447269798904</v>
      </c>
      <c r="AJ91" s="4">
        <v>1</v>
      </c>
      <c r="AK91" s="4">
        <v>1</v>
      </c>
      <c r="AL91" s="4">
        <v>1</v>
      </c>
      <c r="AM91" s="4">
        <v>0</v>
      </c>
      <c r="AN91" s="4">
        <v>0</v>
      </c>
      <c r="AO91" s="4" t="s">
        <v>75</v>
      </c>
      <c r="AP91" s="4" t="s">
        <v>76</v>
      </c>
      <c r="AQ91" s="6">
        <v>11137493667.879999</v>
      </c>
      <c r="AR91" s="4">
        <v>39788</v>
      </c>
      <c r="AS91" s="35">
        <v>100</v>
      </c>
      <c r="AT91" s="35">
        <v>0</v>
      </c>
      <c r="AU91" s="35">
        <v>100</v>
      </c>
      <c r="AV91" s="35">
        <v>0</v>
      </c>
      <c r="AW91" s="35">
        <v>0</v>
      </c>
      <c r="AX91" s="35">
        <v>0</v>
      </c>
    </row>
    <row r="92" spans="1:50" x14ac:dyDescent="0.25">
      <c r="A92">
        <v>4.3</v>
      </c>
      <c r="B92" s="4">
        <v>0.95610776010162402</v>
      </c>
      <c r="C92" s="4">
        <v>45.909203181044703</v>
      </c>
      <c r="D92" s="4">
        <v>41.644456654936</v>
      </c>
      <c r="E92" s="4">
        <v>4.9919768812099398E-2</v>
      </c>
      <c r="F92" s="5">
        <v>4.3892239898375297E-2</v>
      </c>
      <c r="G92" s="5">
        <v>0</v>
      </c>
      <c r="H92" s="4">
        <v>4.8190174463322899</v>
      </c>
      <c r="I92" s="4">
        <v>3.7827978441224901</v>
      </c>
      <c r="J92" s="4">
        <v>-7.0333729511050098</v>
      </c>
      <c r="K92" s="4">
        <v>111.768434390067</v>
      </c>
      <c r="L92" s="4">
        <v>14.851525150510399</v>
      </c>
      <c r="M92" s="4">
        <v>18.573442605538801</v>
      </c>
      <c r="N92" s="4">
        <v>70.0477308833091</v>
      </c>
      <c r="O92" s="4">
        <v>64.517258387715799</v>
      </c>
      <c r="P92" s="4">
        <v>288600.20744691603</v>
      </c>
      <c r="Q92" s="4">
        <v>268853.19579149998</v>
      </c>
      <c r="R92" s="4">
        <v>779.33270544376001</v>
      </c>
      <c r="S92" s="4">
        <v>0</v>
      </c>
      <c r="T92" s="4">
        <v>0</v>
      </c>
      <c r="U92" s="4">
        <v>0.29515184776322501</v>
      </c>
      <c r="V92" s="4">
        <v>0</v>
      </c>
      <c r="W92" s="4">
        <v>0</v>
      </c>
      <c r="X92" s="4">
        <v>0.61609329399752699</v>
      </c>
      <c r="Y92" s="4">
        <v>0</v>
      </c>
      <c r="Z92" s="5">
        <v>3.7279537998950501E-4</v>
      </c>
      <c r="AA92" s="5">
        <v>1.47224620153274E-4</v>
      </c>
      <c r="AB92" s="10">
        <v>3.69618458198757E-3</v>
      </c>
      <c r="AC92" s="10">
        <v>3.6742998713316997E-5</v>
      </c>
      <c r="AD92" s="10">
        <v>3.9639277509902898E-2</v>
      </c>
      <c r="AE92" s="4">
        <v>5.2894393530933802E-2</v>
      </c>
      <c r="AF92" s="4">
        <v>0.44589189061352302</v>
      </c>
      <c r="AG92" s="4">
        <v>0.91894030275873695</v>
      </c>
      <c r="AH92" s="4">
        <v>0.98503593196407102</v>
      </c>
      <c r="AI92" s="4">
        <v>0.99699297254341501</v>
      </c>
      <c r="AJ92" s="4">
        <v>1</v>
      </c>
      <c r="AK92" s="4">
        <v>1</v>
      </c>
      <c r="AL92" s="4">
        <v>1</v>
      </c>
      <c r="AM92" s="4">
        <v>0</v>
      </c>
      <c r="AN92" s="4">
        <v>0</v>
      </c>
      <c r="AO92" s="4" t="s">
        <v>77</v>
      </c>
      <c r="AP92" s="4" t="s">
        <v>78</v>
      </c>
      <c r="AQ92" s="6">
        <v>5725228804.3800001</v>
      </c>
      <c r="AR92" s="4">
        <v>21295</v>
      </c>
      <c r="AS92" s="35">
        <v>100</v>
      </c>
      <c r="AT92" s="35">
        <v>0</v>
      </c>
      <c r="AU92" s="35">
        <v>100</v>
      </c>
      <c r="AV92" s="35">
        <v>0</v>
      </c>
      <c r="AW92" s="35">
        <v>0</v>
      </c>
      <c r="AX92" s="35">
        <v>0</v>
      </c>
    </row>
    <row r="93" spans="1:50" x14ac:dyDescent="0.25">
      <c r="A93">
        <v>4.3</v>
      </c>
      <c r="B93" s="4">
        <v>0.95139204284506595</v>
      </c>
      <c r="C93" s="4">
        <v>46.476872003021001</v>
      </c>
      <c r="D93" s="4">
        <v>45.006143321778303</v>
      </c>
      <c r="E93" s="4">
        <v>5.0754696248407602E-2</v>
      </c>
      <c r="F93" s="5">
        <v>4.8607957154933899E-2</v>
      </c>
      <c r="G93" s="5">
        <v>0</v>
      </c>
      <c r="H93" s="4">
        <v>4.8761354772326699</v>
      </c>
      <c r="I93" s="4">
        <v>3.6738704947384</v>
      </c>
      <c r="J93" s="4">
        <v>-6.5473520175052498</v>
      </c>
      <c r="K93" s="4">
        <v>134.373235124464</v>
      </c>
      <c r="L93" s="4">
        <v>14.345574769635199</v>
      </c>
      <c r="M93" s="4">
        <v>20.090595794887001</v>
      </c>
      <c r="N93" s="4">
        <v>70.801330035653606</v>
      </c>
      <c r="O93" s="4">
        <v>63.193321717083897</v>
      </c>
      <c r="P93" s="4">
        <v>297212.06415607501</v>
      </c>
      <c r="Q93" s="4">
        <v>278337.19808198803</v>
      </c>
      <c r="R93" s="4">
        <v>778.25756439140002</v>
      </c>
      <c r="S93" s="4">
        <v>0</v>
      </c>
      <c r="T93" s="4">
        <v>0</v>
      </c>
      <c r="U93" s="4">
        <v>0.29020541166177999</v>
      </c>
      <c r="V93" s="4">
        <v>0</v>
      </c>
      <c r="W93" s="4">
        <v>0</v>
      </c>
      <c r="X93" s="4">
        <v>0.61283835550985899</v>
      </c>
      <c r="Y93" s="4">
        <v>0</v>
      </c>
      <c r="Z93" s="5">
        <v>3.74110962989013E-4</v>
      </c>
      <c r="AA93" s="5">
        <v>1.6841150508178801E-4</v>
      </c>
      <c r="AB93" s="10">
        <v>3.68573956505487E-3</v>
      </c>
      <c r="AC93" s="10">
        <v>8.5910415182201494E-5</v>
      </c>
      <c r="AD93" s="10">
        <v>4.4293769686680397E-2</v>
      </c>
      <c r="AE93" s="4">
        <v>8.5370718844031801E-2</v>
      </c>
      <c r="AF93" s="4">
        <v>0.28253616588601399</v>
      </c>
      <c r="AG93" s="4">
        <v>0.87003254035329303</v>
      </c>
      <c r="AH93" s="4">
        <v>0.96620380419857199</v>
      </c>
      <c r="AI93" s="4">
        <v>0.99610031307449098</v>
      </c>
      <c r="AJ93" s="4">
        <v>1</v>
      </c>
      <c r="AK93" s="4">
        <v>1</v>
      </c>
      <c r="AL93" s="4">
        <v>1</v>
      </c>
      <c r="AM93" s="4">
        <v>0</v>
      </c>
      <c r="AN93" s="4">
        <v>0</v>
      </c>
      <c r="AO93" s="4" t="s">
        <v>79</v>
      </c>
      <c r="AP93" s="4" t="s">
        <v>80</v>
      </c>
      <c r="AQ93" s="6">
        <v>2620823057.1399999</v>
      </c>
      <c r="AR93" s="4">
        <v>9416</v>
      </c>
      <c r="AS93" s="35">
        <v>100</v>
      </c>
      <c r="AT93" s="35">
        <v>0</v>
      </c>
      <c r="AU93" s="35">
        <v>100</v>
      </c>
      <c r="AV93" s="35">
        <v>0</v>
      </c>
      <c r="AW93" s="35">
        <v>0</v>
      </c>
      <c r="AX93" s="35">
        <v>0</v>
      </c>
    </row>
    <row r="94" spans="1:50" x14ac:dyDescent="0.25">
      <c r="A94">
        <v>4.3</v>
      </c>
      <c r="B94" s="4">
        <v>0.94664668044911304</v>
      </c>
      <c r="C94" s="4">
        <v>44.242835662966101</v>
      </c>
      <c r="D94" s="4">
        <v>48.208916618606999</v>
      </c>
      <c r="E94" s="4">
        <v>4.7514462955103302E-2</v>
      </c>
      <c r="F94" s="5">
        <v>5.3353319550886201E-2</v>
      </c>
      <c r="G94" s="5">
        <v>0</v>
      </c>
      <c r="H94" s="4">
        <v>5.0228990838490102</v>
      </c>
      <c r="I94" s="4">
        <v>3.6711342065528298</v>
      </c>
      <c r="J94" s="4">
        <v>6.8476451351644396</v>
      </c>
      <c r="K94" s="4">
        <v>160.18516166213001</v>
      </c>
      <c r="L94" s="4">
        <v>14.050935964014</v>
      </c>
      <c r="M94" s="4">
        <v>20.067577183632402</v>
      </c>
      <c r="N94" s="4">
        <v>78.702584894491594</v>
      </c>
      <c r="O94" s="4">
        <v>68.818308900589201</v>
      </c>
      <c r="P94" s="4">
        <v>302497.44945458398</v>
      </c>
      <c r="Q94" s="4">
        <v>284181.93619109102</v>
      </c>
      <c r="R94" s="4">
        <v>777.14943247241695</v>
      </c>
      <c r="S94" s="4">
        <v>0</v>
      </c>
      <c r="T94" s="4">
        <v>0</v>
      </c>
      <c r="U94" s="4">
        <v>0.23643044410942601</v>
      </c>
      <c r="V94" s="4">
        <v>0</v>
      </c>
      <c r="W94" s="4">
        <v>0</v>
      </c>
      <c r="X94" s="4">
        <v>0.52204473215818603</v>
      </c>
      <c r="Y94" s="4">
        <v>0</v>
      </c>
      <c r="Z94" s="5">
        <v>3.7364660821713198E-4</v>
      </c>
      <c r="AA94" s="5">
        <v>2.4360028836634701E-4</v>
      </c>
      <c r="AB94" s="10">
        <v>3.8902341285462E-3</v>
      </c>
      <c r="AC94" s="10">
        <v>1.3030684466215601E-4</v>
      </c>
      <c r="AD94" s="10">
        <v>4.8715516343220799E-2</v>
      </c>
      <c r="AE94" s="4">
        <v>0.107049235597792</v>
      </c>
      <c r="AF94" s="4">
        <v>0.157129082402062</v>
      </c>
      <c r="AG94" s="4">
        <v>0.78788788066198401</v>
      </c>
      <c r="AH94" s="4">
        <v>0.94414222667681402</v>
      </c>
      <c r="AI94" s="4">
        <v>0.98989339820335798</v>
      </c>
      <c r="AJ94" s="4">
        <v>1</v>
      </c>
      <c r="AK94" s="4">
        <v>1</v>
      </c>
      <c r="AL94" s="4">
        <v>1</v>
      </c>
      <c r="AM94" s="4">
        <v>0</v>
      </c>
      <c r="AN94" s="4">
        <v>0</v>
      </c>
      <c r="AO94" s="4" t="s">
        <v>81</v>
      </c>
      <c r="AP94" s="4" t="s">
        <v>82</v>
      </c>
      <c r="AQ94" s="6">
        <v>440197819.16000003</v>
      </c>
      <c r="AR94" s="4">
        <v>1549</v>
      </c>
      <c r="AS94" s="35">
        <v>100</v>
      </c>
      <c r="AT94" s="35">
        <v>0</v>
      </c>
      <c r="AU94" s="35">
        <v>100</v>
      </c>
      <c r="AV94" s="35">
        <v>0</v>
      </c>
      <c r="AW94" s="35">
        <v>0</v>
      </c>
      <c r="AX94" s="35">
        <v>0</v>
      </c>
    </row>
    <row r="95" spans="1:50" x14ac:dyDescent="0.25">
      <c r="A95">
        <v>4.3</v>
      </c>
      <c r="B95" s="4">
        <v>0.94180871701906499</v>
      </c>
      <c r="C95" s="4">
        <v>53.130436470808498</v>
      </c>
      <c r="D95" s="4">
        <v>51.297363811112703</v>
      </c>
      <c r="E95" s="4">
        <v>6.1197489207662902E-2</v>
      </c>
      <c r="F95" s="5">
        <v>5.8191282980934698E-2</v>
      </c>
      <c r="G95" s="5">
        <v>0</v>
      </c>
      <c r="H95" s="4">
        <v>5.0468119636960296</v>
      </c>
      <c r="I95" s="4">
        <v>3.6581714092980402</v>
      </c>
      <c r="J95" s="4">
        <v>6.4300908512944703</v>
      </c>
      <c r="K95" s="4">
        <v>183.94350489017</v>
      </c>
      <c r="L95" s="4">
        <v>13.8846846311134</v>
      </c>
      <c r="M95" s="4">
        <v>20.4863828371568</v>
      </c>
      <c r="N95" s="4">
        <v>85.498758550909699</v>
      </c>
      <c r="O95" s="4">
        <v>72.570640434086698</v>
      </c>
      <c r="P95" s="4">
        <v>305684.75228504901</v>
      </c>
      <c r="Q95" s="4">
        <v>287591.89741071401</v>
      </c>
      <c r="R95" s="4">
        <v>777.65331003001995</v>
      </c>
      <c r="S95" s="4">
        <v>0</v>
      </c>
      <c r="T95" s="4">
        <v>0</v>
      </c>
      <c r="U95" s="4">
        <v>0.23252351468115601</v>
      </c>
      <c r="V95" s="4">
        <v>0</v>
      </c>
      <c r="W95" s="4">
        <v>0</v>
      </c>
      <c r="X95" s="4">
        <v>0.402000486106938</v>
      </c>
      <c r="Y95" s="4">
        <v>0</v>
      </c>
      <c r="Z95" s="5">
        <v>3.7498083586438299E-4</v>
      </c>
      <c r="AA95" s="5">
        <v>3.2210145234887899E-4</v>
      </c>
      <c r="AB95" s="10">
        <v>4.1021818581568103E-3</v>
      </c>
      <c r="AC95" s="10">
        <v>3.5720283658052701E-4</v>
      </c>
      <c r="AD95" s="10">
        <v>5.3034800071768001E-2</v>
      </c>
      <c r="AE95" s="4">
        <v>0.139428074325575</v>
      </c>
      <c r="AF95" s="4">
        <v>3.5231054369169602E-2</v>
      </c>
      <c r="AG95" s="4">
        <v>0.62060278239097899</v>
      </c>
      <c r="AH95" s="4">
        <v>0.85157551067931403</v>
      </c>
      <c r="AI95" s="4">
        <v>0.98674363275235299</v>
      </c>
      <c r="AJ95" s="4">
        <v>1</v>
      </c>
      <c r="AK95" s="4">
        <v>1</v>
      </c>
      <c r="AL95" s="4">
        <v>1</v>
      </c>
      <c r="AM95" s="4">
        <v>0</v>
      </c>
      <c r="AN95" s="4">
        <v>0</v>
      </c>
      <c r="AO95" s="4" t="s">
        <v>83</v>
      </c>
      <c r="AP95" s="4" t="s">
        <v>84</v>
      </c>
      <c r="AQ95" s="6">
        <v>96630877.530000001</v>
      </c>
      <c r="AR95" s="4">
        <v>336</v>
      </c>
      <c r="AS95" s="35">
        <v>100</v>
      </c>
      <c r="AT95" s="35">
        <v>0</v>
      </c>
      <c r="AU95" s="35">
        <v>100</v>
      </c>
      <c r="AV95" s="35">
        <v>0</v>
      </c>
      <c r="AW95" s="35">
        <v>0</v>
      </c>
      <c r="AX95" s="35">
        <v>0</v>
      </c>
    </row>
    <row r="96" spans="1:50" x14ac:dyDescent="0.25">
      <c r="A96">
        <v>4.3</v>
      </c>
      <c r="B96" s="4">
        <v>0.94074240080284799</v>
      </c>
      <c r="C96" s="4">
        <v>47.495830730037397</v>
      </c>
      <c r="D96" s="4">
        <v>51.954952623882903</v>
      </c>
      <c r="E96" s="4">
        <v>5.2273954856408698E-2</v>
      </c>
      <c r="F96" s="5">
        <v>5.92575991971519E-2</v>
      </c>
      <c r="G96" s="5">
        <v>0</v>
      </c>
      <c r="H96" s="4">
        <v>5.1962175270796997</v>
      </c>
      <c r="I96" s="4">
        <v>3.6487087980292801</v>
      </c>
      <c r="J96" s="4">
        <v>17.288719989476</v>
      </c>
      <c r="K96" s="4">
        <v>209.552293094823</v>
      </c>
      <c r="L96" s="4">
        <v>14.525860365374999</v>
      </c>
      <c r="M96" s="4">
        <v>20.792683089257899</v>
      </c>
      <c r="N96" s="4">
        <v>90.1202353104606</v>
      </c>
      <c r="O96" s="4">
        <v>75.175750153318802</v>
      </c>
      <c r="P96" s="4">
        <v>294450.39719337702</v>
      </c>
      <c r="Q96" s="4">
        <v>274910.83289473603</v>
      </c>
      <c r="R96" s="4">
        <v>775.395165462573</v>
      </c>
      <c r="S96" s="4">
        <v>0</v>
      </c>
      <c r="T96" s="4">
        <v>0</v>
      </c>
      <c r="U96" s="4">
        <v>8.3777428444944596E-2</v>
      </c>
      <c r="V96" s="4">
        <v>0</v>
      </c>
      <c r="W96" s="4">
        <v>0</v>
      </c>
      <c r="X96" s="4">
        <v>0.28831944805759002</v>
      </c>
      <c r="Y96" s="4">
        <v>0</v>
      </c>
      <c r="Z96" s="5">
        <v>3.7198763570191602E-4</v>
      </c>
      <c r="AA96" s="5">
        <v>3.7985114570584198E-4</v>
      </c>
      <c r="AB96" s="10">
        <v>4.3843365412793598E-3</v>
      </c>
      <c r="AC96" s="10">
        <v>5.94536303158278E-4</v>
      </c>
      <c r="AD96" s="10">
        <v>5.3526868723453899E-2</v>
      </c>
      <c r="AE96" s="4">
        <v>0.16459064505952101</v>
      </c>
      <c r="AF96" s="4">
        <v>0</v>
      </c>
      <c r="AG96" s="4">
        <v>0.467143527346496</v>
      </c>
      <c r="AH96" s="4">
        <v>0.67606014482217303</v>
      </c>
      <c r="AI96" s="4">
        <v>0.98161704517847104</v>
      </c>
      <c r="AJ96" s="4">
        <v>1</v>
      </c>
      <c r="AK96" s="4">
        <v>1</v>
      </c>
      <c r="AL96" s="4">
        <v>1</v>
      </c>
      <c r="AM96" s="4">
        <v>0</v>
      </c>
      <c r="AN96" s="4">
        <v>0</v>
      </c>
      <c r="AO96" s="4" t="s">
        <v>85</v>
      </c>
      <c r="AP96" s="4" t="s">
        <v>86</v>
      </c>
      <c r="AQ96" s="6">
        <v>20893223.300000001</v>
      </c>
      <c r="AR96" s="4">
        <v>76</v>
      </c>
      <c r="AS96" s="35">
        <v>100</v>
      </c>
      <c r="AT96" s="35">
        <v>0</v>
      </c>
      <c r="AU96" s="35">
        <v>100</v>
      </c>
      <c r="AV96" s="35">
        <v>0</v>
      </c>
      <c r="AW96" s="35">
        <v>0</v>
      </c>
      <c r="AX96" s="35">
        <v>0</v>
      </c>
    </row>
    <row r="97" spans="1:50" x14ac:dyDescent="0.25">
      <c r="A97">
        <v>4.3</v>
      </c>
      <c r="B97" s="4">
        <v>0.94906051167171401</v>
      </c>
      <c r="C97" s="4">
        <v>46.592588079016998</v>
      </c>
      <c r="D97" s="4">
        <v>46.601772073341898</v>
      </c>
      <c r="E97" s="4">
        <v>5.09258869416227E-2</v>
      </c>
      <c r="F97" s="5">
        <v>5.0939488328285501E-2</v>
      </c>
      <c r="G97" s="5">
        <v>0</v>
      </c>
      <c r="H97" s="4">
        <v>5.3215329643257903</v>
      </c>
      <c r="I97" s="4">
        <v>3.66540798537434</v>
      </c>
      <c r="J97" s="4">
        <v>30.4743143825511</v>
      </c>
      <c r="K97" s="4">
        <v>232.640397203189</v>
      </c>
      <c r="L97" s="4">
        <v>17.9274009343142</v>
      </c>
      <c r="M97" s="4">
        <v>20.850681634745001</v>
      </c>
      <c r="N97" s="4">
        <v>92.695714677597195</v>
      </c>
      <c r="O97" s="4">
        <v>75.691523369808195</v>
      </c>
      <c r="P97" s="4">
        <v>246276.82689495001</v>
      </c>
      <c r="Q97" s="4">
        <v>222772.75058823501</v>
      </c>
      <c r="R97" s="4">
        <v>788.41158566716194</v>
      </c>
      <c r="S97" s="4">
        <v>0</v>
      </c>
      <c r="T97" s="4">
        <v>0</v>
      </c>
      <c r="U97" s="4">
        <v>0</v>
      </c>
      <c r="V97" s="4">
        <v>0</v>
      </c>
      <c r="W97" s="4">
        <v>0</v>
      </c>
      <c r="X97" s="4">
        <v>0.34002479487960102</v>
      </c>
      <c r="Y97" s="4">
        <v>0</v>
      </c>
      <c r="Z97" s="5">
        <v>4.0339217660008598E-4</v>
      </c>
      <c r="AA97" s="5">
        <v>4.2794964240108403E-5</v>
      </c>
      <c r="AB97" s="10">
        <v>4.2408690282340596E-3</v>
      </c>
      <c r="AC97" s="10">
        <v>6.8165278861622E-4</v>
      </c>
      <c r="AD97" s="10">
        <v>4.5570761118122999E-2</v>
      </c>
      <c r="AE97" s="4">
        <v>0.17333362962495499</v>
      </c>
      <c r="AF97" s="4">
        <v>0</v>
      </c>
      <c r="AG97" s="4">
        <v>0.29883153731158102</v>
      </c>
      <c r="AH97" s="4">
        <v>0.63135197684278999</v>
      </c>
      <c r="AI97" s="4">
        <v>0.95367428980832403</v>
      </c>
      <c r="AJ97" s="4">
        <v>1</v>
      </c>
      <c r="AK97" s="4">
        <v>1</v>
      </c>
      <c r="AL97" s="4">
        <v>1</v>
      </c>
      <c r="AM97" s="4">
        <v>0</v>
      </c>
      <c r="AN97" s="4">
        <v>0</v>
      </c>
      <c r="AO97" s="4" t="s">
        <v>87</v>
      </c>
      <c r="AP97" s="4" t="s">
        <v>88</v>
      </c>
      <c r="AQ97" s="6">
        <v>3787136.76</v>
      </c>
      <c r="AR97" s="4">
        <v>17</v>
      </c>
      <c r="AS97" s="35">
        <v>100</v>
      </c>
      <c r="AT97" s="35">
        <v>0</v>
      </c>
      <c r="AU97" s="35">
        <v>100</v>
      </c>
      <c r="AV97" s="35">
        <v>0</v>
      </c>
      <c r="AW97" s="35">
        <v>0</v>
      </c>
      <c r="AX97" s="35">
        <v>0</v>
      </c>
    </row>
    <row r="98" spans="1:50" x14ac:dyDescent="0.25">
      <c r="B98" s="4"/>
      <c r="C98" s="4"/>
      <c r="D98" s="4"/>
      <c r="E98" s="4"/>
      <c r="F98" s="5"/>
      <c r="G98" s="5"/>
      <c r="H98" s="4"/>
      <c r="I98" s="4"/>
      <c r="J98" s="4"/>
      <c r="K98" s="4"/>
      <c r="L98" s="4"/>
      <c r="M98" s="4"/>
      <c r="N98" s="4"/>
      <c r="O98" s="4"/>
      <c r="P98" s="4"/>
      <c r="Q98" s="4"/>
      <c r="R98" s="4"/>
      <c r="S98" s="4"/>
      <c r="T98" s="4"/>
      <c r="U98" s="4"/>
      <c r="V98" s="4"/>
      <c r="W98" s="4"/>
      <c r="X98" s="4"/>
      <c r="Y98" s="4"/>
      <c r="Z98" s="5"/>
      <c r="AA98" s="5"/>
      <c r="AB98" s="10"/>
      <c r="AC98" s="10"/>
      <c r="AD98" s="10"/>
      <c r="AE98" s="4"/>
      <c r="AF98" s="4"/>
      <c r="AG98" s="4"/>
      <c r="AH98" s="4"/>
      <c r="AI98" s="4"/>
      <c r="AJ98" s="4"/>
      <c r="AK98" s="4"/>
      <c r="AL98" s="4"/>
      <c r="AM98" s="4"/>
      <c r="AN98" s="4"/>
      <c r="AO98" s="4"/>
      <c r="AP98" s="4"/>
      <c r="AQ98" s="6"/>
      <c r="AR98" s="4"/>
      <c r="AS98" s="35"/>
      <c r="AT98" s="35"/>
      <c r="AU98" s="35"/>
      <c r="AV98" s="35"/>
      <c r="AW98" s="35"/>
      <c r="AX98" s="35"/>
    </row>
    <row r="99" spans="1:50" x14ac:dyDescent="0.25">
      <c r="B99" s="4"/>
      <c r="C99" s="4"/>
      <c r="D99" s="4"/>
      <c r="E99" s="4"/>
      <c r="F99" s="5"/>
      <c r="G99" s="5"/>
      <c r="H99" s="4"/>
      <c r="I99" s="4"/>
      <c r="J99" s="4"/>
      <c r="K99" s="4"/>
      <c r="L99" s="4" t="s">
        <v>168</v>
      </c>
      <c r="M99" s="36" t="s">
        <v>167</v>
      </c>
      <c r="N99" s="4"/>
      <c r="O99" s="4"/>
      <c r="P99" s="4"/>
      <c r="Q99" s="4"/>
      <c r="R99" s="4"/>
      <c r="S99" s="4"/>
      <c r="T99" s="4"/>
      <c r="U99" s="4"/>
      <c r="V99" s="4"/>
      <c r="W99" s="4"/>
      <c r="X99" s="4"/>
      <c r="Y99" s="4"/>
      <c r="Z99" s="5"/>
      <c r="AA99" s="5"/>
      <c r="AB99" s="10"/>
      <c r="AC99" s="10"/>
      <c r="AD99" s="10"/>
      <c r="AE99" s="4"/>
      <c r="AF99" s="4"/>
      <c r="AG99" s="4"/>
      <c r="AH99" s="4"/>
      <c r="AI99" s="4"/>
      <c r="AJ99" s="4"/>
      <c r="AK99" s="4"/>
      <c r="AL99" s="4"/>
      <c r="AM99" s="4"/>
      <c r="AN99" s="4"/>
      <c r="AO99" s="4"/>
      <c r="AP99" s="4"/>
      <c r="AQ99" s="6"/>
      <c r="AR99" s="4"/>
      <c r="AS99" s="35"/>
      <c r="AT99" s="35"/>
      <c r="AU99" s="35"/>
      <c r="AV99" s="35"/>
      <c r="AW99" s="35"/>
      <c r="AX99" s="35"/>
    </row>
    <row r="100" spans="1:50" x14ac:dyDescent="0.25">
      <c r="L100" t="s">
        <v>161</v>
      </c>
      <c r="M100" s="4">
        <v>1.05</v>
      </c>
    </row>
    <row r="101" spans="1:50" x14ac:dyDescent="0.25">
      <c r="M101" s="4"/>
    </row>
    <row r="102" spans="1:50" x14ac:dyDescent="0.25">
      <c r="K102" t="s">
        <v>102</v>
      </c>
      <c r="L102" t="s">
        <v>90</v>
      </c>
      <c r="M102" t="s">
        <v>91</v>
      </c>
      <c r="R102" t="s">
        <v>102</v>
      </c>
      <c r="W102" t="s">
        <v>90</v>
      </c>
      <c r="AB102" t="s">
        <v>91</v>
      </c>
    </row>
    <row r="103" spans="1:50" x14ac:dyDescent="0.25">
      <c r="A103" s="4" t="s">
        <v>95</v>
      </c>
      <c r="B103" t="str">
        <f>AQ68</f>
        <v>Balance</v>
      </c>
      <c r="C103" s="2" t="str">
        <f>AO68</f>
        <v>groupByColumn</v>
      </c>
      <c r="D103" t="str">
        <f>E68</f>
        <v>PREPAY_SMM1</v>
      </c>
      <c r="E103" t="str">
        <f>F68</f>
        <v>PREPAY_TRACKING_SMM1</v>
      </c>
      <c r="F103" t="s">
        <v>92</v>
      </c>
      <c r="G103" t="str">
        <f>C68</f>
        <v>PREPAY_CPR1</v>
      </c>
      <c r="H103" t="str">
        <f>D68</f>
        <v>PREPAY_TRACKING_CPR1</v>
      </c>
      <c r="K103" t="s">
        <v>93</v>
      </c>
      <c r="L103" t="s">
        <v>93</v>
      </c>
      <c r="M103" t="s">
        <v>93</v>
      </c>
      <c r="N103" t="s">
        <v>100</v>
      </c>
      <c r="O103" t="s">
        <v>101</v>
      </c>
      <c r="P103" t="s">
        <v>92</v>
      </c>
      <c r="R103" t="s">
        <v>96</v>
      </c>
      <c r="T103" t="s">
        <v>94</v>
      </c>
      <c r="U103" t="s">
        <v>99</v>
      </c>
      <c r="W103" t="s">
        <v>96</v>
      </c>
      <c r="X103" t="s">
        <v>103</v>
      </c>
      <c r="Y103" t="s">
        <v>94</v>
      </c>
      <c r="Z103" t="s">
        <v>99</v>
      </c>
      <c r="AB103" t="s">
        <v>96</v>
      </c>
      <c r="AC103" t="s">
        <v>103</v>
      </c>
      <c r="AD103" t="s">
        <v>94</v>
      </c>
      <c r="AE103" t="s">
        <v>99</v>
      </c>
    </row>
    <row r="104" spans="1:50" s="17" customFormat="1" x14ac:dyDescent="0.25">
      <c r="A104" s="15">
        <f>K69</f>
        <v>-57.170376698687697</v>
      </c>
      <c r="B104" s="22">
        <f>AQ69/1000000000</f>
        <v>2.204806141E-2</v>
      </c>
      <c r="C104" s="23" t="str">
        <f>AO69</f>
        <v>06:-75--50</v>
      </c>
      <c r="D104" s="16">
        <f>E69</f>
        <v>2.9157422292598401E-3</v>
      </c>
      <c r="E104" s="16">
        <f>Z69+AA69+AB69+AC69+AD69</f>
        <v>6.4569967318974086E-3</v>
      </c>
      <c r="F104" s="22">
        <f t="shared" ref="F104:F106" si="17">D104/E104</f>
        <v>0.45156321898943258</v>
      </c>
      <c r="G104" s="23">
        <f t="shared" ref="G104:G106" si="18">(1-(1-D104)^12)*100</f>
        <v>3.4433222093304794</v>
      </c>
      <c r="H104" s="23">
        <f t="shared" ref="H104:H106" si="19">(1-(1-E104)^12)*100</f>
        <v>7.4790610173337431</v>
      </c>
      <c r="K104" s="15">
        <f t="shared" ref="K104:K105" si="20">VLOOKUP(C104,$C$26:$M$44,9,0)</f>
        <v>1</v>
      </c>
      <c r="L104" s="15">
        <f t="shared" ref="L104:L105" si="21">VLOOKUP(C104,$C$26:$M$44,10,0)</f>
        <v>1</v>
      </c>
      <c r="M104" s="15">
        <f t="shared" ref="M104:M105" si="22">VLOOKUP(C104,$C$26:$M$44,11,0)</f>
        <v>1</v>
      </c>
      <c r="N104" s="16">
        <f>Z69+AA69+AB69*K104+AC69*L104+AD69*M104*$M$100</f>
        <v>6.61708454185112E-3</v>
      </c>
      <c r="O104" s="23">
        <f t="shared" ref="O104:O125" si="23">100*(1-(1-N104)^12)</f>
        <v>7.6577953709333517</v>
      </c>
      <c r="P104" s="24">
        <f t="shared" ref="P104:P106" si="24">D104/N104</f>
        <v>0.44063850337994404</v>
      </c>
      <c r="S104" s="18">
        <f t="shared" ref="S104:S106" si="25">A104</f>
        <v>-57.170376698687697</v>
      </c>
      <c r="T104" s="16">
        <f>VLOOKUP(ROUNDDOWN(S104,0),'Spline Pre-Adj'!A:B,2,0)</f>
        <v>1.276980872</v>
      </c>
      <c r="U104" s="16">
        <f t="shared" ref="U104:U106" si="26">T104*K104</f>
        <v>1.276980872</v>
      </c>
      <c r="X104" s="18">
        <f t="shared" ref="X104:X106" si="27">A104</f>
        <v>-57.170376698687697</v>
      </c>
      <c r="Y104" s="16">
        <f>VLOOKUP(ROUNDDOWN(X104,0),'Spline Pre-Adj'!F:G,2,0)</f>
        <v>0.183833391304348</v>
      </c>
      <c r="Z104" s="16">
        <f t="shared" ref="Z104:Z106" si="28">Y104*L104</f>
        <v>0.183833391304348</v>
      </c>
      <c r="AC104" s="18">
        <f t="shared" ref="AC104:AC106" si="29">A104</f>
        <v>-57.170376698687697</v>
      </c>
      <c r="AD104" s="16">
        <f>VLOOKUP(ROUNDDOWN(AC104,0),'Spline Pre-Adj'!K:L,2,0)</f>
        <v>0</v>
      </c>
      <c r="AE104" s="16">
        <f t="shared" ref="AE104:AE106" si="30">AD104*M104</f>
        <v>0</v>
      </c>
    </row>
    <row r="105" spans="1:50" s="17" customFormat="1" x14ac:dyDescent="0.25">
      <c r="A105" s="15">
        <f>K70</f>
        <v>-32.594270536739103</v>
      </c>
      <c r="B105" s="22">
        <f>AQ70/1000000000</f>
        <v>0.24835958503</v>
      </c>
      <c r="C105" s="23" t="str">
        <f>AO70</f>
        <v>07:-50--25</v>
      </c>
      <c r="D105" s="16">
        <f>E70</f>
        <v>2.25752251921006E-3</v>
      </c>
      <c r="E105" s="16">
        <f>Z70+AA70+AB70+AC70+AD70</f>
        <v>6.5595823578761397E-3</v>
      </c>
      <c r="F105" s="22">
        <f t="shared" si="17"/>
        <v>0.34415644107272103</v>
      </c>
      <c r="G105" s="23">
        <f t="shared" si="18"/>
        <v>2.6756425653229554</v>
      </c>
      <c r="H105" s="23">
        <f t="shared" si="19"/>
        <v>7.5936319650785737</v>
      </c>
      <c r="K105" s="15">
        <f t="shared" si="20"/>
        <v>1</v>
      </c>
      <c r="L105" s="15">
        <f t="shared" si="21"/>
        <v>1</v>
      </c>
      <c r="M105" s="15">
        <f t="shared" si="22"/>
        <v>1</v>
      </c>
      <c r="N105" s="16">
        <f>Z70+AA70+AB70*K105+AC70*L105+AD70*M105*$M$100</f>
        <v>6.741796120900815E-3</v>
      </c>
      <c r="O105" s="23">
        <f t="shared" si="23"/>
        <v>7.7968135916404506</v>
      </c>
      <c r="P105" s="24">
        <f t="shared" si="24"/>
        <v>0.33485475958125205</v>
      </c>
      <c r="S105" s="18">
        <f t="shared" si="25"/>
        <v>-32.594270536739103</v>
      </c>
      <c r="T105" s="16">
        <f>VLOOKUP(ROUNDDOWN(S105,0),'Spline Pre-Adj'!A:B,2,0)</f>
        <v>1.2869999999999999</v>
      </c>
      <c r="U105" s="16">
        <f t="shared" si="26"/>
        <v>1.2869999999999999</v>
      </c>
      <c r="X105" s="18">
        <f t="shared" si="27"/>
        <v>-32.594270536739103</v>
      </c>
      <c r="Y105" s="16">
        <f>VLOOKUP(ROUNDDOWN(X105,0),'Spline Pre-Adj'!F:G,2,0)</f>
        <v>0.3115</v>
      </c>
      <c r="Z105" s="16">
        <f t="shared" si="28"/>
        <v>0.3115</v>
      </c>
      <c r="AC105" s="18">
        <f t="shared" si="29"/>
        <v>-32.594270536739103</v>
      </c>
      <c r="AD105" s="16">
        <f>VLOOKUP(ROUNDDOWN(AC105,0),'Spline Pre-Adj'!K:L,2,0)</f>
        <v>0.43003693731507903</v>
      </c>
      <c r="AE105" s="16">
        <f t="shared" si="30"/>
        <v>0.43003693731507903</v>
      </c>
    </row>
    <row r="106" spans="1:50" x14ac:dyDescent="0.25">
      <c r="A106" s="4">
        <f>K71</f>
        <v>-22.225236022766602</v>
      </c>
      <c r="B106" s="3">
        <f>AQ71/1000000000</f>
        <v>0.14060301349000001</v>
      </c>
      <c r="C106" s="2" t="str">
        <f>AO71</f>
        <v>08-1:-25--20</v>
      </c>
      <c r="D106" s="8">
        <f>E71</f>
        <v>9.1213830088382897E-3</v>
      </c>
      <c r="E106" s="8">
        <f>Z71+AA71+AB71+AC71+AD71</f>
        <v>8.8525988499948485E-3</v>
      </c>
      <c r="F106" s="3">
        <f t="shared" si="17"/>
        <v>1.030362175378996</v>
      </c>
      <c r="G106" s="2">
        <f t="shared" si="18"/>
        <v>10.41290007071246</v>
      </c>
      <c r="H106" s="2">
        <f t="shared" si="19"/>
        <v>10.120849558237188</v>
      </c>
      <c r="J106">
        <v>1</v>
      </c>
      <c r="K106" s="14">
        <f t="shared" ref="K106" si="31">IF(ISNA(VLOOKUP(C106,$C$26:$M$44,9,0)),K107, VLOOKUP(C106,$C$26:$M$44,9,0))</f>
        <v>1</v>
      </c>
      <c r="L106" s="14">
        <f>IF(ISNA(VLOOKUP(C106,$C$26:$M$44,10,0)),L107, VLOOKUP(C106,$C$26:$M$44,10,0))</f>
        <v>1</v>
      </c>
      <c r="M106" s="14">
        <f>IF(ISNA(VLOOKUP(C106,$C$26:$M$44,11,0)),($M$111-$M$105)*J106/5+$M$105, VLOOKUP(C106,$C$26:$M$44,11,0))</f>
        <v>1.0032000000000001</v>
      </c>
      <c r="N106" s="8">
        <f>Z71+AA71+AB71*K106+AC71*L106+AD74*M109*$M$100</f>
        <v>1.2791024975665019E-2</v>
      </c>
      <c r="O106" s="2">
        <f t="shared" si="23"/>
        <v>14.31414390511836</v>
      </c>
      <c r="P106" s="7">
        <f t="shared" si="24"/>
        <v>0.71310806023690521</v>
      </c>
      <c r="S106" s="9">
        <f t="shared" si="25"/>
        <v>-22.225236022766602</v>
      </c>
      <c r="T106" s="8">
        <f>VLOOKUP(ROUNDDOWN(S106,0),'Spline Pre-Adj'!A:B,2,0)</f>
        <v>1.2869999999999999</v>
      </c>
      <c r="U106" s="8">
        <f t="shared" si="26"/>
        <v>1.2869999999999999</v>
      </c>
      <c r="X106" s="9">
        <f t="shared" si="27"/>
        <v>-22.225236022766602</v>
      </c>
      <c r="Y106" s="8">
        <f>VLOOKUP(ROUNDDOWN(X106,0),'Spline Pre-Adj'!F:G,2,0)</f>
        <v>0.38089236111111102</v>
      </c>
      <c r="Z106" s="8">
        <f t="shared" si="28"/>
        <v>0.38089236111111102</v>
      </c>
      <c r="AC106" s="9">
        <f t="shared" si="29"/>
        <v>-22.225236022766602</v>
      </c>
      <c r="AD106" s="8">
        <f>VLOOKUP(ROUNDDOWN(AC106,0),'Spline Pre-Adj'!K:L,2,0)</f>
        <v>0.79645948376475795</v>
      </c>
      <c r="AE106" s="8">
        <f t="shared" si="30"/>
        <v>0.79900815411280524</v>
      </c>
    </row>
    <row r="107" spans="1:50" x14ac:dyDescent="0.25">
      <c r="A107" s="4">
        <f>K72</f>
        <v>-17.313489016455101</v>
      </c>
      <c r="B107" s="3">
        <f>AQ72/1000000000</f>
        <v>0.22895571129</v>
      </c>
      <c r="C107" s="2" t="str">
        <f>AO72</f>
        <v>08-2:-20--15</v>
      </c>
      <c r="D107" s="8">
        <f>E72</f>
        <v>1.47449116561119E-2</v>
      </c>
      <c r="E107" s="8">
        <f>Z72+AA72+AB72+AC72+AD72</f>
        <v>1.0207241735639078E-2</v>
      </c>
      <c r="F107" s="3">
        <f t="shared" ref="F107:F117" si="32">D107/E107</f>
        <v>1.4445539782436354</v>
      </c>
      <c r="G107" s="2">
        <f t="shared" ref="G107:G117" si="33">(1-(1-D107)^12)*100</f>
        <v>16.3272124973019</v>
      </c>
      <c r="H107" s="2">
        <f t="shared" ref="H107:H117" si="34">(1-(1-E107)^12)*100</f>
        <v>11.583918391707016</v>
      </c>
      <c r="J107">
        <v>2</v>
      </c>
      <c r="K107" s="14">
        <f t="shared" ref="K107:K111" si="35">IF(ISNA(VLOOKUP(C107,$C$26:$M$44,9,0)),K108, VLOOKUP(C107,$C$26:$M$44,9,0))</f>
        <v>1</v>
      </c>
      <c r="L107" s="14">
        <f t="shared" ref="L107:L111" si="36">IF(ISNA(VLOOKUP(C107,$C$26:$M$44,10,0)),L108, VLOOKUP(C107,$C$26:$M$44,10,0))</f>
        <v>1</v>
      </c>
      <c r="M107" s="14">
        <f>IF(ISNA(VLOOKUP(C107,$C$26:$M$44,11,0)),($M$111-$M$105)*J107/5+$M$105, VLOOKUP(C107,$C$26:$M$44,11,0))</f>
        <v>1.0064</v>
      </c>
      <c r="N107" s="8">
        <f>Z72+AA72+AB72*K107+AC72*L107+AD75*M110*$M$100</f>
        <v>1.3558632260786777E-2</v>
      </c>
      <c r="O107" s="2">
        <f t="shared" si="23"/>
        <v>15.110237159433893</v>
      </c>
      <c r="P107" s="7">
        <f t="shared" ref="P107:P117" si="37">D107/N107</f>
        <v>1.0874925562186673</v>
      </c>
      <c r="S107" s="9">
        <f t="shared" ref="S107:S112" si="38">A107</f>
        <v>-17.313489016455101</v>
      </c>
      <c r="T107" s="8">
        <f>VLOOKUP(ROUNDDOWN(S107,0),'Spline Pre-Adj'!A:B,2,0)</f>
        <v>1.2869999999999999</v>
      </c>
      <c r="U107" s="8">
        <f t="shared" ref="U107:U112" si="39">T107*K107</f>
        <v>1.2869999999999999</v>
      </c>
      <c r="X107" s="9">
        <f t="shared" ref="X107:X117" si="40">A107</f>
        <v>-17.313489016455101</v>
      </c>
      <c r="Y107" s="8">
        <f>VLOOKUP(ROUNDDOWN(X107,0),'Spline Pre-Adj'!F:G,2,0)</f>
        <v>0.43050424626087003</v>
      </c>
      <c r="Z107" s="8">
        <f t="shared" ref="Z107:Z117" si="41">Y107*L107</f>
        <v>0.43050424626087003</v>
      </c>
      <c r="AC107" s="9">
        <f t="shared" ref="AC107:AC117" si="42">A107</f>
        <v>-17.313489016455101</v>
      </c>
      <c r="AD107" s="8">
        <f>VLOOKUP(ROUNDDOWN(AC107,0),'Spline Pre-Adj'!K:L,2,0)</f>
        <v>0.95362938111262996</v>
      </c>
      <c r="AE107" s="8">
        <f t="shared" ref="AE107:AE117" si="43">AD107*M107</f>
        <v>0.95973260915175074</v>
      </c>
    </row>
    <row r="108" spans="1:50" x14ac:dyDescent="0.25">
      <c r="A108" s="4">
        <f>K73</f>
        <v>-12.328418001599999</v>
      </c>
      <c r="B108" s="3">
        <f>AQ73/1000000000</f>
        <v>0.36244920223000004</v>
      </c>
      <c r="C108" s="2" t="str">
        <f>AO73</f>
        <v>08-3:-15--10</v>
      </c>
      <c r="D108" s="8">
        <f t="shared" ref="D108" si="44">E73</f>
        <v>8.4810662033101593E-3</v>
      </c>
      <c r="E108" s="8">
        <f>Z73+AA73+AB73+AC73+AD73</f>
        <v>1.1155314266661612E-2</v>
      </c>
      <c r="F108" s="3">
        <f t="shared" si="32"/>
        <v>0.76027138282032813</v>
      </c>
      <c r="G108" s="2">
        <f t="shared" si="33"/>
        <v>9.7157194576465535</v>
      </c>
      <c r="H108" s="2">
        <f t="shared" si="34"/>
        <v>12.594853184299248</v>
      </c>
      <c r="J108">
        <v>3</v>
      </c>
      <c r="K108" s="14">
        <f t="shared" si="35"/>
        <v>1</v>
      </c>
      <c r="L108" s="14">
        <f t="shared" si="36"/>
        <v>1</v>
      </c>
      <c r="M108" s="14">
        <f>IF(ISNA(VLOOKUP(C108,$C$26:$M$44,11,0)),($M$111-$M$105)*J108/5+$M$105, VLOOKUP(C108,$C$26:$M$44,11,0))</f>
        <v>1.0096000000000001</v>
      </c>
      <c r="N108" s="8">
        <f>Z73+AA73+AB73*K108+AC73*L108+AD76*M111*$M$100</f>
        <v>1.4620099226567894E-2</v>
      </c>
      <c r="O108" s="2">
        <f t="shared" si="23"/>
        <v>16.199927491244857</v>
      </c>
      <c r="P108" s="7">
        <f t="shared" si="37"/>
        <v>0.58009635036527119</v>
      </c>
      <c r="S108" s="9">
        <f t="shared" si="38"/>
        <v>-12.328418001599999</v>
      </c>
      <c r="T108" s="8">
        <f>VLOOKUP(ROUNDDOWN(S108,0),'Spline Pre-Adj'!A:B,2,0)</f>
        <v>1.2869999999999999</v>
      </c>
      <c r="U108" s="8">
        <f t="shared" si="39"/>
        <v>1.2869999999999999</v>
      </c>
      <c r="X108" s="9">
        <f t="shared" si="40"/>
        <v>-12.328418001599999</v>
      </c>
      <c r="Y108" s="8">
        <f>VLOOKUP(ROUNDDOWN(X108,0),'Spline Pre-Adj'!F:G,2,0)</f>
        <v>0.48396474713043502</v>
      </c>
      <c r="Z108" s="8">
        <f t="shared" si="41"/>
        <v>0.48396474713043502</v>
      </c>
      <c r="AC108" s="9">
        <f t="shared" si="42"/>
        <v>-12.328418001599999</v>
      </c>
      <c r="AD108" s="8">
        <f>VLOOKUP(ROUNDDOWN(AC108,0),'Spline Pre-Adj'!K:L,2,0)</f>
        <v>1.08142635820954</v>
      </c>
      <c r="AE108" s="8">
        <f t="shared" si="43"/>
        <v>1.0918080512483517</v>
      </c>
    </row>
    <row r="109" spans="1:50" x14ac:dyDescent="0.25">
      <c r="A109" s="4">
        <f>K74</f>
        <v>-7.3315214052251196</v>
      </c>
      <c r="B109" s="3">
        <f>AQ74/1000000000</f>
        <v>0.53278922834999998</v>
      </c>
      <c r="C109" s="2" t="str">
        <f>AO74</f>
        <v>08-4:-10--5</v>
      </c>
      <c r="D109" s="8">
        <f t="shared" ref="D109" si="45">E74</f>
        <v>1.37306908551873E-2</v>
      </c>
      <c r="E109" s="8">
        <f>Z74+AA74+AB74+AC74+AD74</f>
        <v>1.220700802682047E-2</v>
      </c>
      <c r="F109" s="3">
        <f t="shared" si="32"/>
        <v>1.1248203347633663</v>
      </c>
      <c r="G109" s="2">
        <f t="shared" si="33"/>
        <v>15.287748077956199</v>
      </c>
      <c r="H109" s="2">
        <f t="shared" si="34"/>
        <v>13.70387632590775</v>
      </c>
      <c r="J109">
        <v>4</v>
      </c>
      <c r="K109" s="14">
        <f t="shared" si="35"/>
        <v>1</v>
      </c>
      <c r="L109" s="14">
        <f t="shared" si="36"/>
        <v>1</v>
      </c>
      <c r="M109" s="14">
        <f>IF(ISNA(VLOOKUP(C109,$C$26:$M$44,11,0)),($M$111-$M$105)*J109/5+$M$105, VLOOKUP(C109,$C$26:$M$44,11,0))</f>
        <v>1.0127999999999999</v>
      </c>
      <c r="N109" s="8">
        <f>Z74+AA74+AB74*K109+AC74*L109+AD77*M112*$M$100</f>
        <v>1.5692517093309072E-2</v>
      </c>
      <c r="O109" s="2">
        <f t="shared" si="23"/>
        <v>17.287825118544198</v>
      </c>
      <c r="P109" s="7">
        <f t="shared" si="37"/>
        <v>0.87498332954129776</v>
      </c>
      <c r="S109" s="9">
        <f t="shared" si="38"/>
        <v>-7.3315214052251196</v>
      </c>
      <c r="T109" s="8">
        <f>VLOOKUP(ROUNDDOWN(S109,0),'Spline Pre-Adj'!A:B,2,0)</f>
        <v>1.2869999999999999</v>
      </c>
      <c r="U109" s="8">
        <f t="shared" si="39"/>
        <v>1.2869999999999999</v>
      </c>
      <c r="X109" s="9">
        <f t="shared" si="40"/>
        <v>-7.3315214052251196</v>
      </c>
      <c r="Y109" s="8">
        <f>VLOOKUP(ROUNDDOWN(X109,0),'Spline Pre-Adj'!F:G,2,0)</f>
        <v>0.54485561321739095</v>
      </c>
      <c r="Z109" s="8">
        <f t="shared" si="41"/>
        <v>0.54485561321739095</v>
      </c>
      <c r="AC109" s="9">
        <f t="shared" si="42"/>
        <v>-7.3315214052251196</v>
      </c>
      <c r="AD109" s="8">
        <f>VLOOKUP(ROUNDDOWN(AC109,0),'Spline Pre-Adj'!K:L,2,0)</f>
        <v>1.1993277822989601</v>
      </c>
      <c r="AE109" s="8">
        <f t="shared" si="43"/>
        <v>1.2146791779123867</v>
      </c>
    </row>
    <row r="110" spans="1:50" x14ac:dyDescent="0.25">
      <c r="A110" s="4">
        <f>K75</f>
        <v>-2.31914681215958</v>
      </c>
      <c r="B110" s="3">
        <f>AQ75/1000000000</f>
        <v>0.76031540532000008</v>
      </c>
      <c r="C110" s="2" t="str">
        <f>AO75</f>
        <v>08:-25-0</v>
      </c>
      <c r="D110" s="8">
        <f t="shared" ref="D110" si="46">E75</f>
        <v>1.4792658676002299E-2</v>
      </c>
      <c r="E110" s="8">
        <f>Z75+AA75+AB75+AC75+AD75</f>
        <v>1.3095137222496644E-2</v>
      </c>
      <c r="F110" s="3">
        <f t="shared" si="32"/>
        <v>1.1296299095353821</v>
      </c>
      <c r="G110" s="2">
        <f t="shared" si="33"/>
        <v>16.375858517355081</v>
      </c>
      <c r="H110" s="2">
        <f t="shared" si="34"/>
        <v>14.630356754021879</v>
      </c>
      <c r="K110" s="14">
        <f t="shared" si="35"/>
        <v>1</v>
      </c>
      <c r="L110" s="14">
        <f t="shared" si="36"/>
        <v>1</v>
      </c>
      <c r="M110" s="14">
        <f t="shared" ref="M110" si="47">IF(ISNA(VLOOKUP(C110,$C$26:$M$44,11,0)),M111, VLOOKUP(C110,$C$26:$M$44,11,0))</f>
        <v>1</v>
      </c>
      <c r="N110" s="8">
        <f>Z75+AA75+AB75*K110+AC75*L110+AD78*M113*$M$100</f>
        <v>1.706812475455368E-2</v>
      </c>
      <c r="O110" s="2">
        <f t="shared" si="23"/>
        <v>18.664334019437</v>
      </c>
      <c r="P110" s="7">
        <f t="shared" si="37"/>
        <v>0.86668329935048671</v>
      </c>
      <c r="S110" s="9">
        <f t="shared" si="38"/>
        <v>-2.31914681215958</v>
      </c>
      <c r="T110" s="8">
        <f>VLOOKUP(ROUNDDOWN(S110,0),'Spline Pre-Adj'!A:B,2,0)</f>
        <v>1.2869999999999999</v>
      </c>
      <c r="U110" s="8">
        <f t="shared" si="39"/>
        <v>1.2869999999999999</v>
      </c>
      <c r="X110" s="9">
        <f t="shared" si="40"/>
        <v>-2.31914681215958</v>
      </c>
      <c r="Y110" s="8">
        <f>VLOOKUP(ROUNDDOWN(X110,0),'Spline Pre-Adj'!F:G,2,0)</f>
        <v>0.61797136626086902</v>
      </c>
      <c r="Z110" s="8">
        <f t="shared" si="41"/>
        <v>0.61797136626086902</v>
      </c>
      <c r="AC110" s="9">
        <f t="shared" si="42"/>
        <v>-2.31914681215958</v>
      </c>
      <c r="AD110" s="8">
        <f>VLOOKUP(ROUNDDOWN(AC110,0),'Spline Pre-Adj'!K:L,2,0)</f>
        <v>1.3122379125033801</v>
      </c>
      <c r="AE110" s="8">
        <f t="shared" si="43"/>
        <v>1.3122379125033801</v>
      </c>
    </row>
    <row r="111" spans="1:50" x14ac:dyDescent="0.25">
      <c r="A111" s="4">
        <f>K76</f>
        <v>2.6430065812707499</v>
      </c>
      <c r="B111" s="3">
        <f>AQ76/1000000000</f>
        <v>1.0166462731699999</v>
      </c>
      <c r="C111" s="2" t="str">
        <f>AO76</f>
        <v>09-1:0-5</v>
      </c>
      <c r="D111" s="8">
        <f t="shared" ref="D111" si="48">E76</f>
        <v>1.8104603138551601E-2</v>
      </c>
      <c r="E111" s="8">
        <f>Z76+AA76+AB76+AC76+AD76</f>
        <v>1.3924011491801662E-2</v>
      </c>
      <c r="F111" s="3">
        <f t="shared" si="32"/>
        <v>1.3002433349908851</v>
      </c>
      <c r="G111" s="2">
        <f t="shared" si="33"/>
        <v>19.687584393160108</v>
      </c>
      <c r="H111" s="2">
        <f t="shared" si="34"/>
        <v>15.486788840110833</v>
      </c>
      <c r="J111">
        <v>1</v>
      </c>
      <c r="K111" s="14">
        <f t="shared" si="35"/>
        <v>1</v>
      </c>
      <c r="L111" s="14">
        <f t="shared" si="36"/>
        <v>1</v>
      </c>
      <c r="M111" s="14">
        <f>IF(ISNA(VLOOKUP(C111,$C$26:$M$44,11,0)),($M$115-$M$110)*J111/5+$M$110, VLOOKUP(C111,$C$26:$M$44,11,0))</f>
        <v>1.016</v>
      </c>
      <c r="N111" s="8">
        <f>Z76+AA76+AB76*K111+AC76*L111+AD79*M114*$M$100</f>
        <v>1.872488562164441E-2</v>
      </c>
      <c r="O111" s="2">
        <f t="shared" si="23"/>
        <v>20.294292567389803</v>
      </c>
      <c r="P111" s="7">
        <f t="shared" si="37"/>
        <v>0.96687389735637086</v>
      </c>
      <c r="S111" s="9">
        <f t="shared" si="38"/>
        <v>2.6430065812707499</v>
      </c>
      <c r="T111" s="8">
        <f>VLOOKUP(ROUNDDOWN(S111,0),'Spline Pre-Adj'!A:B,2,0)</f>
        <v>1.2869999999999999</v>
      </c>
      <c r="U111" s="8">
        <f t="shared" si="39"/>
        <v>1.2869999999999999</v>
      </c>
      <c r="X111" s="9">
        <f t="shared" si="40"/>
        <v>2.6430065812707499</v>
      </c>
      <c r="Y111" s="8">
        <f>VLOOKUP(ROUNDDOWN(X111,0),'Spline Pre-Adj'!F:G,2,0)</f>
        <v>0.68848780591304304</v>
      </c>
      <c r="Z111" s="8">
        <f t="shared" si="41"/>
        <v>0.68848780591304304</v>
      </c>
      <c r="AC111" s="9">
        <f t="shared" si="42"/>
        <v>2.6430065812707499</v>
      </c>
      <c r="AD111" s="8">
        <f>VLOOKUP(ROUNDDOWN(AC111,0),'Spline Pre-Adj'!K:L,2,0)</f>
        <v>1.4018480364105399</v>
      </c>
      <c r="AE111" s="8">
        <f t="shared" si="43"/>
        <v>1.4242776049931085</v>
      </c>
    </row>
    <row r="112" spans="1:50" x14ac:dyDescent="0.25">
      <c r="A112" s="4">
        <f>K77</f>
        <v>7.60354516131137</v>
      </c>
      <c r="B112" s="3">
        <f>AQ77/1000000000</f>
        <v>1.4216815757100001</v>
      </c>
      <c r="C112" s="2" t="str">
        <f>AO77</f>
        <v>09-2:5-10</v>
      </c>
      <c r="D112" s="8">
        <f t="shared" ref="D112" si="49">E77</f>
        <v>2.42135956107143E-2</v>
      </c>
      <c r="E112" s="8">
        <f>Z77+AA77+AB77+AC77+AD77</f>
        <v>1.4906622879401258E-2</v>
      </c>
      <c r="F112" s="3">
        <f t="shared" si="32"/>
        <v>1.6243515252655849</v>
      </c>
      <c r="G112" s="2">
        <f t="shared" si="33"/>
        <v>25.482692621555024</v>
      </c>
      <c r="H112" s="2">
        <f t="shared" si="34"/>
        <v>16.491863716046538</v>
      </c>
      <c r="J112">
        <v>2</v>
      </c>
      <c r="K112" s="14">
        <f t="shared" ref="K112:K125" si="50">IF(ISNA(VLOOKUP(C112,$C$26:$M$44,9,0)),K113, VLOOKUP(C112,$C$26:$M$44,9,0))</f>
        <v>1</v>
      </c>
      <c r="L112" s="14">
        <f t="shared" ref="L112:L125" si="51">IF(ISNA(VLOOKUP(C112,$C$26:$M$44,10,0)),L113, VLOOKUP(C112,$C$26:$M$44,10,0))</f>
        <v>1</v>
      </c>
      <c r="M112" s="14">
        <f>IF(ISNA(VLOOKUP(C112,$C$26:$M$44,11,0)),($M$115-$M$110)*J112/5+$M$110, VLOOKUP(C112,$C$26:$M$44,11,0))</f>
        <v>1.032</v>
      </c>
      <c r="N112" s="8">
        <f>Z77+AA77+AB77*K112+AC77*L112+AD80*M115*$M$100</f>
        <v>2.0686027083050035E-2</v>
      </c>
      <c r="O112" s="2">
        <f t="shared" si="23"/>
        <v>22.184983636540846</v>
      </c>
      <c r="P112" s="7">
        <f t="shared" si="37"/>
        <v>1.170529049077516</v>
      </c>
      <c r="S112" s="9">
        <f t="shared" si="38"/>
        <v>7.60354516131137</v>
      </c>
      <c r="T112" s="8">
        <f>VLOOKUP(ROUNDDOWN(S112,0),'Spline Pre-Adj'!A:B,2,0)</f>
        <v>1.2869999999999999</v>
      </c>
      <c r="U112" s="8">
        <f t="shared" si="39"/>
        <v>1.2869999999999999</v>
      </c>
      <c r="X112" s="9">
        <f t="shared" si="40"/>
        <v>7.60354516131137</v>
      </c>
      <c r="Y112" s="8">
        <f>VLOOKUP(ROUNDDOWN(X112,0),'Spline Pre-Adj'!F:G,2,0)</f>
        <v>0.79418177251202804</v>
      </c>
      <c r="Z112" s="8">
        <f t="shared" si="41"/>
        <v>0.79418177251202804</v>
      </c>
      <c r="AC112" s="9">
        <f t="shared" si="42"/>
        <v>7.60354516131137</v>
      </c>
      <c r="AD112" s="8">
        <f>VLOOKUP(ROUNDDOWN(AC112,0),'Spline Pre-Adj'!K:L,2,0)</f>
        <v>1.51655790515</v>
      </c>
      <c r="AE112" s="8">
        <f t="shared" si="43"/>
        <v>1.5650877581147999</v>
      </c>
    </row>
    <row r="113" spans="1:31" x14ac:dyDescent="0.25">
      <c r="A113" s="4">
        <f>K78</f>
        <v>12.657540093221201</v>
      </c>
      <c r="B113" s="3">
        <f>AQ78/1000000000</f>
        <v>1.9689141852100001</v>
      </c>
      <c r="C113" s="2" t="str">
        <f>AO78</f>
        <v>09-3:10-15</v>
      </c>
      <c r="D113" s="8">
        <f t="shared" ref="D113" si="52">E78</f>
        <v>2.2073628465947299E-2</v>
      </c>
      <c r="E113" s="8">
        <f>Z78+AA78+AB78+AC78+AD78</f>
        <v>1.5976072678481505E-2</v>
      </c>
      <c r="F113" s="3">
        <f t="shared" si="32"/>
        <v>1.3816680050334722</v>
      </c>
      <c r="G113" s="2">
        <f t="shared" si="33"/>
        <v>23.497805411551344</v>
      </c>
      <c r="H113" s="2">
        <f t="shared" si="34"/>
        <v>17.573301456465806</v>
      </c>
      <c r="J113">
        <v>3</v>
      </c>
      <c r="K113" s="14">
        <f t="shared" si="50"/>
        <v>1</v>
      </c>
      <c r="L113" s="14">
        <f t="shared" si="51"/>
        <v>1</v>
      </c>
      <c r="M113" s="14">
        <f>IF(ISNA(VLOOKUP(C113,$C$26:$M$44,11,0)),($M$115-$M$110)*J113/5+$M$110, VLOOKUP(C113,$C$26:$M$44,11,0))</f>
        <v>1.048</v>
      </c>
      <c r="N113" s="8">
        <f>Z78+AA78+AB78*K113+AC78*L113+AD81*M116*$M$100</f>
        <v>2.3506551726242848E-2</v>
      </c>
      <c r="O113" s="2">
        <f t="shared" si="23"/>
        <v>24.832171345879985</v>
      </c>
      <c r="P113" s="7">
        <f t="shared" si="37"/>
        <v>0.93904153714320315</v>
      </c>
      <c r="S113" s="9">
        <f>A113</f>
        <v>12.657540093221201</v>
      </c>
      <c r="T113" s="8">
        <f>VLOOKUP(ROUNDDOWN(S113,0),'Spline Pre-Adj'!A:B,2,0)</f>
        <v>1.2869999999999999</v>
      </c>
      <c r="U113" s="8">
        <f>T113*K113</f>
        <v>1.2869999999999999</v>
      </c>
      <c r="X113" s="9">
        <f t="shared" si="40"/>
        <v>12.657540093221201</v>
      </c>
      <c r="Y113" s="8">
        <f>VLOOKUP(ROUNDDOWN(X113,0),'Spline Pre-Adj'!F:G,2,0)</f>
        <v>0.91120038717590501</v>
      </c>
      <c r="Z113" s="8">
        <f t="shared" si="41"/>
        <v>0.91120038717590501</v>
      </c>
      <c r="AC113" s="9">
        <f t="shared" si="42"/>
        <v>12.657540093221201</v>
      </c>
      <c r="AD113" s="8">
        <f>VLOOKUP(ROUNDDOWN(AC113,0),'Spline Pre-Adj'!K:L,2,0)</f>
        <v>1.6382587772578501</v>
      </c>
      <c r="AE113" s="8">
        <f t="shared" si="43"/>
        <v>1.7168951985662269</v>
      </c>
    </row>
    <row r="114" spans="1:31" x14ac:dyDescent="0.25">
      <c r="A114" s="4">
        <f>K79</f>
        <v>17.627772640740901</v>
      </c>
      <c r="B114" s="3">
        <f>AQ79/1000000000</f>
        <v>2.8518149321699999</v>
      </c>
      <c r="C114" s="2" t="str">
        <f>AO79</f>
        <v>09-4:15-20</v>
      </c>
      <c r="D114" s="8">
        <f t="shared" ref="D114" si="53">E79</f>
        <v>2.5357422809579401E-2</v>
      </c>
      <c r="E114" s="8">
        <f>Z79+AA79+AB79+AC79+AD79</f>
        <v>1.7285038678343349E-2</v>
      </c>
      <c r="F114" s="3">
        <f t="shared" si="32"/>
        <v>1.4670156822587876</v>
      </c>
      <c r="G114" s="2">
        <f t="shared" si="33"/>
        <v>26.524160808422536</v>
      </c>
      <c r="H114" s="2">
        <f t="shared" si="34"/>
        <v>18.879463154264343</v>
      </c>
      <c r="J114">
        <v>4</v>
      </c>
      <c r="K114" s="14">
        <f t="shared" si="50"/>
        <v>1</v>
      </c>
      <c r="L114" s="14">
        <f t="shared" si="51"/>
        <v>1</v>
      </c>
      <c r="M114" s="14">
        <f>IF(ISNA(VLOOKUP(C114,$C$26:$M$44,11,0)),($M$115-$M$110)*J114/5+$M$110, VLOOKUP(C114,$C$26:$M$44,11,0))</f>
        <v>1.0640000000000001</v>
      </c>
      <c r="N114" s="8">
        <f>Z79+AA79+AB79*K114+AC79*L114+AD82*M117*$M$100</f>
        <v>2.6997445869480281E-2</v>
      </c>
      <c r="O114" s="2">
        <f t="shared" si="23"/>
        <v>27.994152970544693</v>
      </c>
      <c r="P114" s="7">
        <f t="shared" si="37"/>
        <v>0.93925265864668805</v>
      </c>
      <c r="X114" s="9">
        <f t="shared" si="40"/>
        <v>17.627772640740901</v>
      </c>
      <c r="Y114" s="8">
        <f>VLOOKUP(ROUNDDOWN(X114,0),'Spline Pre-Adj'!F:G,2,0)</f>
        <v>1.0442240375289999</v>
      </c>
      <c r="Z114" s="8">
        <f t="shared" si="41"/>
        <v>1.0442240375289999</v>
      </c>
      <c r="AC114" s="9">
        <f t="shared" si="42"/>
        <v>17.627772640740901</v>
      </c>
      <c r="AD114" s="8">
        <f>VLOOKUP(ROUNDDOWN(AC114,0),'Spline Pre-Adj'!K:L,2,0)</f>
        <v>1.77123004461028</v>
      </c>
      <c r="AE114" s="8">
        <f t="shared" si="43"/>
        <v>1.8845887674653381</v>
      </c>
    </row>
    <row r="115" spans="1:31" x14ac:dyDescent="0.25">
      <c r="A115" s="4">
        <f>K80</f>
        <v>22.607391609392</v>
      </c>
      <c r="B115" s="3">
        <f>AQ80/1000000000</f>
        <v>3.7300352326100001</v>
      </c>
      <c r="C115" s="2" t="str">
        <f>AO80</f>
        <v>09:0-25</v>
      </c>
      <c r="D115" s="8">
        <f t="shared" ref="D115" si="54">E80</f>
        <v>3.12183886667497E-2</v>
      </c>
      <c r="E115" s="8">
        <f>Z80+AA80+AB80+AC80+AD80</f>
        <v>1.8823503256938254E-2</v>
      </c>
      <c r="F115" s="3">
        <f t="shared" si="32"/>
        <v>1.658479202336725</v>
      </c>
      <c r="G115" s="2">
        <f t="shared" si="33"/>
        <v>31.654387293618804</v>
      </c>
      <c r="H115" s="2">
        <f t="shared" si="34"/>
        <v>20.390364035047824</v>
      </c>
      <c r="K115" s="14">
        <f t="shared" si="50"/>
        <v>1</v>
      </c>
      <c r="L115" s="14">
        <f t="shared" si="51"/>
        <v>1</v>
      </c>
      <c r="M115" s="14">
        <f t="shared" ref="M115:M125" si="55">IF(ISNA(VLOOKUP(C115,$C$26:$M$44,11,0)),M116, VLOOKUP(C115,$C$26:$M$44,11,0))</f>
        <v>1.08</v>
      </c>
      <c r="N115" s="8">
        <f>Z80+AA80+AB80*K115+AC80*L115+AD83*M118*$M$100</f>
        <v>3.0763713797740053E-2</v>
      </c>
      <c r="O115" s="2">
        <f t="shared" si="23"/>
        <v>31.268475278675943</v>
      </c>
      <c r="P115" s="7">
        <f t="shared" si="37"/>
        <v>1.0147795832453443</v>
      </c>
      <c r="X115" s="9">
        <f t="shared" si="40"/>
        <v>22.607391609392</v>
      </c>
      <c r="Y115" s="8">
        <f>VLOOKUP(ROUNDDOWN(X115,0),'Spline Pre-Adj'!F:G,2,0)</f>
        <v>1.20153726214034</v>
      </c>
      <c r="Z115" s="8">
        <f t="shared" si="41"/>
        <v>1.20153726214034</v>
      </c>
      <c r="AC115" s="9">
        <f t="shared" si="42"/>
        <v>22.607391609392</v>
      </c>
      <c r="AD115" s="8">
        <f>VLOOKUP(ROUNDDOWN(AC115,0),'Spline Pre-Adj'!K:L,2,0)</f>
        <v>1.91883456513696</v>
      </c>
      <c r="AE115" s="8">
        <f t="shared" si="43"/>
        <v>2.0723413303479168</v>
      </c>
    </row>
    <row r="116" spans="1:31" x14ac:dyDescent="0.25">
      <c r="A116" s="4">
        <f>K81</f>
        <v>27.551558175614801</v>
      </c>
      <c r="B116" s="3">
        <f>AQ81/1000000000</f>
        <v>4.1942984393699998</v>
      </c>
      <c r="C116" s="2" t="str">
        <f>AO81</f>
        <v>10-1:25-30</v>
      </c>
      <c r="D116" s="8">
        <f t="shared" ref="D116" si="56">E81</f>
        <v>3.6015891972561602E-2</v>
      </c>
      <c r="E116" s="8">
        <f>Z81+AA81+AB81+AC81+AD81</f>
        <v>2.041439531783917E-2</v>
      </c>
      <c r="F116" s="3">
        <f t="shared" si="32"/>
        <v>1.7642399596861449</v>
      </c>
      <c r="G116" s="2">
        <f t="shared" si="33"/>
        <v>35.607024793654574</v>
      </c>
      <c r="H116" s="2">
        <f t="shared" si="34"/>
        <v>21.92558606780749</v>
      </c>
      <c r="J116">
        <v>1</v>
      </c>
      <c r="K116" s="14">
        <f t="shared" si="50"/>
        <v>1</v>
      </c>
      <c r="L116" s="14">
        <f t="shared" si="51"/>
        <v>1</v>
      </c>
      <c r="M116" s="14">
        <f>IF(ISNA(VLOOKUP(C116,$C$26:$M$44,11,0)),($M$120-$M$115)*J116/5+$M$115, VLOOKUP(C116,$C$26:$M$44,11,0))</f>
        <v>1.1380000000000001</v>
      </c>
      <c r="N116" s="8">
        <f>Z81+AA81+AB81*K116+AC81*L116+AD84*M119*$M$100</f>
        <v>3.5141239096946365E-2</v>
      </c>
      <c r="O116" s="2">
        <f t="shared" si="23"/>
        <v>34.90240635028816</v>
      </c>
      <c r="P116" s="7">
        <f t="shared" si="37"/>
        <v>1.0248896424284379</v>
      </c>
      <c r="X116" s="9">
        <f t="shared" si="40"/>
        <v>27.551558175614801</v>
      </c>
      <c r="Y116" s="8">
        <f>VLOOKUP(ROUNDDOWN(X116,0),'Spline Pre-Adj'!F:G,2,0)</f>
        <v>1.39142459957894</v>
      </c>
      <c r="Z116" s="8">
        <f t="shared" si="41"/>
        <v>1.39142459957894</v>
      </c>
      <c r="AC116" s="9">
        <f t="shared" si="42"/>
        <v>27.551558175614801</v>
      </c>
      <c r="AD116" s="8">
        <f>VLOOKUP(ROUNDDOWN(AC116,0),'Spline Pre-Adj'!K:L,2,0)</f>
        <v>2.0788177485891102</v>
      </c>
      <c r="AE116" s="8">
        <f t="shared" si="43"/>
        <v>2.3656945978944077</v>
      </c>
    </row>
    <row r="117" spans="1:31" x14ac:dyDescent="0.25">
      <c r="A117" s="4">
        <f>K82</f>
        <v>32.507572369548399</v>
      </c>
      <c r="B117" s="3">
        <f>AQ82/1000000000</f>
        <v>4.6090086352900004</v>
      </c>
      <c r="C117" s="2" t="str">
        <f>AO82</f>
        <v>10-2:30-35</v>
      </c>
      <c r="D117" s="8">
        <f t="shared" ref="D117" si="57">E82</f>
        <v>3.8184270424945599E-2</v>
      </c>
      <c r="E117" s="8">
        <f>Z82+AA82+AB82+AC82+AD82</f>
        <v>2.2379096755842667E-2</v>
      </c>
      <c r="F117" s="3">
        <f t="shared" si="32"/>
        <v>1.7062471663418035</v>
      </c>
      <c r="G117" s="2">
        <f t="shared" si="33"/>
        <v>37.323822301098751</v>
      </c>
      <c r="H117" s="2">
        <f t="shared" si="34"/>
        <v>23.784070992920427</v>
      </c>
      <c r="J117">
        <v>2</v>
      </c>
      <c r="K117" s="14">
        <f t="shared" si="50"/>
        <v>1</v>
      </c>
      <c r="L117" s="14">
        <f t="shared" si="51"/>
        <v>1</v>
      </c>
      <c r="M117" s="14">
        <f>IF(ISNA(VLOOKUP(C117,$C$26:$M$44,11,0)),($M$120-$M$115)*2/5+$M$115, VLOOKUP(C117,$C$26:$M$44,11,0))</f>
        <v>1.1960000000000002</v>
      </c>
      <c r="N117" s="8">
        <f>Z82+AA82+AB82*K117+AC82*L117+AD85*M120*$M$100</f>
        <v>3.9542490841848799E-2</v>
      </c>
      <c r="O117" s="2">
        <f t="shared" si="23"/>
        <v>38.377703949146756</v>
      </c>
      <c r="P117" s="7">
        <f t="shared" si="37"/>
        <v>0.96565162214147215</v>
      </c>
      <c r="X117" s="9">
        <f t="shared" si="40"/>
        <v>32.507572369548399</v>
      </c>
      <c r="Y117" s="8">
        <f>VLOOKUP(ROUNDDOWN(X117,0),'Spline Pre-Adj'!F:G,2,0)</f>
        <v>1.62333231153945</v>
      </c>
      <c r="Z117" s="8">
        <f t="shared" si="41"/>
        <v>1.62333231153945</v>
      </c>
      <c r="AC117" s="9">
        <f t="shared" si="42"/>
        <v>32.507572369548399</v>
      </c>
      <c r="AD117" s="8">
        <f>VLOOKUP(ROUNDDOWN(AC117,0),'Spline Pre-Adj'!K:L,2,0)</f>
        <v>2.2487416798578299</v>
      </c>
      <c r="AE117" s="8">
        <f t="shared" si="43"/>
        <v>2.689495049109965</v>
      </c>
    </row>
    <row r="118" spans="1:31" s="17" customFormat="1" x14ac:dyDescent="0.25">
      <c r="A118" s="4">
        <f>K83</f>
        <v>37.485855995025098</v>
      </c>
      <c r="B118" s="3">
        <f>AQ83/1000000000</f>
        <v>4.6146358998800006</v>
      </c>
      <c r="C118" s="2" t="str">
        <f>AO83</f>
        <v>10-3:35-40</v>
      </c>
      <c r="D118" s="8">
        <f>E83</f>
        <v>4.0909875858482901E-2</v>
      </c>
      <c r="E118" s="8">
        <f>Z83+AA83+AB83+AC83+AD83</f>
        <v>2.4371400358301862E-2</v>
      </c>
      <c r="F118" s="3">
        <f t="shared" ref="F118:F125" si="58">D118/E118</f>
        <v>1.6786017732685345</v>
      </c>
      <c r="G118" s="2">
        <f t="shared" ref="G118:G125" si="59">(1-(1-D118)^12)*100</f>
        <v>39.422265364814244</v>
      </c>
      <c r="H118" s="2">
        <f t="shared" ref="H118:H125" si="60">(1-(1-E118)^12)*100</f>
        <v>25.627175853985264</v>
      </c>
      <c r="I118"/>
      <c r="J118">
        <v>3</v>
      </c>
      <c r="K118" s="14">
        <f t="shared" si="50"/>
        <v>1</v>
      </c>
      <c r="L118" s="14">
        <f t="shared" si="51"/>
        <v>1</v>
      </c>
      <c r="M118" s="14">
        <f>IF(ISNA(VLOOKUP(C118,$C$26:$M$44,11,0)),($M$120-$M$115)*3/5+$M$115, VLOOKUP(C118,$C$26:$M$44,11,0))</f>
        <v>1.254</v>
      </c>
      <c r="N118" s="8">
        <f>Z83+AA83+AB83*K118+AC83*L118+AD86*M121*$M$100</f>
        <v>4.1170226734270232E-2</v>
      </c>
      <c r="O118" s="2">
        <f t="shared" si="23"/>
        <v>39.619301370848895</v>
      </c>
      <c r="P118" s="7">
        <f t="shared" ref="P118:P125" si="61">D118/N118</f>
        <v>0.99367623410316042</v>
      </c>
      <c r="Q118"/>
      <c r="R118"/>
      <c r="S118"/>
      <c r="T118"/>
      <c r="U118"/>
      <c r="V118"/>
      <c r="W118"/>
      <c r="X118" s="9">
        <f t="shared" ref="X118:X125" si="62">A118</f>
        <v>37.485855995025098</v>
      </c>
      <c r="Y118" s="8">
        <f>VLOOKUP(ROUNDDOWN(X118,0),'Spline Pre-Adj'!F:G,2,0)</f>
        <v>1.89537379409471</v>
      </c>
      <c r="Z118" s="8">
        <f t="shared" ref="Z118:Z125" si="63">Y118*L118</f>
        <v>1.89537379409471</v>
      </c>
      <c r="AA118"/>
      <c r="AB118"/>
      <c r="AC118" s="9">
        <f t="shared" ref="AC118:AC125" si="64">A118</f>
        <v>37.485855995025098</v>
      </c>
      <c r="AD118" s="8">
        <f>VLOOKUP(ROUNDDOWN(AC118,0),'Spline Pre-Adj'!K:L,2,0)</f>
        <v>2.4264029166777901</v>
      </c>
      <c r="AE118" s="8">
        <f t="shared" ref="AE118:AE125" si="65">AD118*M118</f>
        <v>3.0427092575139487</v>
      </c>
    </row>
    <row r="119" spans="1:31" s="17" customFormat="1" x14ac:dyDescent="0.25">
      <c r="A119" s="4">
        <f>K84</f>
        <v>42.427567190865403</v>
      </c>
      <c r="B119" s="3">
        <f>AQ84/1000000000</f>
        <v>4.3945736475600006</v>
      </c>
      <c r="C119" s="2" t="str">
        <f>AO84</f>
        <v>10-4:40-45</v>
      </c>
      <c r="D119" s="8">
        <f>E84</f>
        <v>4.5556288546048603E-2</v>
      </c>
      <c r="E119" s="8">
        <f>Z84+AA84+AB84+AC84+AD84</f>
        <v>2.6642221023326671E-2</v>
      </c>
      <c r="F119" s="3">
        <f t="shared" si="58"/>
        <v>1.7099283316567964</v>
      </c>
      <c r="G119" s="2">
        <f t="shared" si="59"/>
        <v>42.851629669008204</v>
      </c>
      <c r="H119" s="2">
        <f t="shared" si="60"/>
        <v>27.678063091981699</v>
      </c>
      <c r="I119"/>
      <c r="J119">
        <v>4</v>
      </c>
      <c r="K119" s="14">
        <f t="shared" si="50"/>
        <v>1</v>
      </c>
      <c r="L119" s="14">
        <f t="shared" si="51"/>
        <v>1</v>
      </c>
      <c r="M119" s="14">
        <f>IF(ISNA(VLOOKUP(C119,$C$26:$M$44,11,0)),($M$120-$M$115)*4/5+$M$115, VLOOKUP(C119,$C$26:$M$44,11,0))</f>
        <v>1.3120000000000001</v>
      </c>
      <c r="N119" s="8">
        <f>Z84+AA84+AB84*K119+AC84*L119+AD87*M122*$M$100</f>
        <v>4.3542918028506829E-2</v>
      </c>
      <c r="O119" s="2">
        <f t="shared" si="23"/>
        <v>41.388093749987966</v>
      </c>
      <c r="P119" s="7">
        <f t="shared" si="61"/>
        <v>1.0462387595664502</v>
      </c>
      <c r="Q119"/>
      <c r="R119"/>
      <c r="S119"/>
      <c r="T119"/>
      <c r="U119"/>
      <c r="V119"/>
      <c r="W119"/>
      <c r="X119" s="9">
        <f t="shared" si="62"/>
        <v>42.427567190865403</v>
      </c>
      <c r="Y119" s="8">
        <f>VLOOKUP(ROUNDDOWN(X119,0),'Spline Pre-Adj'!F:G,2,0)</f>
        <v>2.1927887580772198</v>
      </c>
      <c r="Z119" s="8">
        <f t="shared" si="63"/>
        <v>2.1927887580772198</v>
      </c>
      <c r="AA119"/>
      <c r="AB119"/>
      <c r="AC119" s="9">
        <f t="shared" si="64"/>
        <v>42.427567190865403</v>
      </c>
      <c r="AD119" s="8">
        <f>VLOOKUP(ROUNDDOWN(AC119,0),'Spline Pre-Adj'!K:L,2,0)</f>
        <v>2.6095980167836599</v>
      </c>
      <c r="AE119" s="8">
        <f t="shared" si="65"/>
        <v>3.423792598020162</v>
      </c>
    </row>
    <row r="120" spans="1:31" s="17" customFormat="1" x14ac:dyDescent="0.25">
      <c r="A120" s="4">
        <f>K85</f>
        <v>47.513897721272699</v>
      </c>
      <c r="B120" s="3">
        <f>AQ85/1000000000</f>
        <v>4.1116717315199995</v>
      </c>
      <c r="C120" s="2" t="str">
        <f>AO85</f>
        <v>10:25-50</v>
      </c>
      <c r="D120" s="8">
        <f>E85</f>
        <v>4.4618227984329101E-2</v>
      </c>
      <c r="E120" s="8">
        <f>Z85+AA85+AB85+AC85+AD85</f>
        <v>2.8738956605893574E-2</v>
      </c>
      <c r="F120" s="3">
        <f t="shared" si="58"/>
        <v>1.5525347212911385</v>
      </c>
      <c r="G120" s="2">
        <f t="shared" si="59"/>
        <v>42.173965355186979</v>
      </c>
      <c r="H120" s="2">
        <f t="shared" si="60"/>
        <v>29.525559281167059</v>
      </c>
      <c r="I120"/>
      <c r="J120"/>
      <c r="K120" s="14">
        <f t="shared" si="50"/>
        <v>1</v>
      </c>
      <c r="L120" s="14">
        <f t="shared" si="51"/>
        <v>1</v>
      </c>
      <c r="M120" s="14">
        <f t="shared" si="55"/>
        <v>1.37</v>
      </c>
      <c r="N120" s="8">
        <f>Z85+AA85+AB85*K120+AC85*L120+AD88*M123*$M$100</f>
        <v>4.5703715379231971E-2</v>
      </c>
      <c r="O120" s="2">
        <f t="shared" si="23"/>
        <v>42.957467855734656</v>
      </c>
      <c r="P120" s="7">
        <f t="shared" si="61"/>
        <v>0.97624947149491215</v>
      </c>
      <c r="Q120"/>
      <c r="R120"/>
      <c r="S120"/>
      <c r="T120"/>
      <c r="U120"/>
      <c r="V120"/>
      <c r="W120"/>
      <c r="X120" s="9">
        <f t="shared" si="62"/>
        <v>47.513897721272699</v>
      </c>
      <c r="Y120" s="8">
        <f>VLOOKUP(ROUNDDOWN(X120,0),'Spline Pre-Adj'!F:G,2,0)</f>
        <v>2.5005891560507401</v>
      </c>
      <c r="Z120" s="8">
        <f t="shared" si="63"/>
        <v>2.5005891560507401</v>
      </c>
      <c r="AA120"/>
      <c r="AB120"/>
      <c r="AC120" s="9">
        <f t="shared" si="64"/>
        <v>47.513897721272699</v>
      </c>
      <c r="AD120" s="8">
        <f>VLOOKUP(ROUNDDOWN(AC120,0),'Spline Pre-Adj'!K:L,2,0)</f>
        <v>2.7961235379101401</v>
      </c>
      <c r="AE120" s="8">
        <f t="shared" si="65"/>
        <v>3.8306892469368923</v>
      </c>
    </row>
    <row r="121" spans="1:31" s="17" customFormat="1" x14ac:dyDescent="0.25">
      <c r="A121" s="4">
        <f>K86</f>
        <v>52.530042586188898</v>
      </c>
      <c r="B121" s="3">
        <f>AQ86/1000000000</f>
        <v>3.4917985955799997</v>
      </c>
      <c r="C121" s="2" t="str">
        <f>AO86</f>
        <v>11-1:50-55</v>
      </c>
      <c r="D121" s="8">
        <f>E86</f>
        <v>4.9201326405719802E-2</v>
      </c>
      <c r="E121" s="8">
        <f>Z86+AA86+AB86+AC86+AD86</f>
        <v>2.9706940309519578E-2</v>
      </c>
      <c r="F121" s="3">
        <f t="shared" si="58"/>
        <v>1.6562232896786497</v>
      </c>
      <c r="G121" s="2">
        <f t="shared" si="59"/>
        <v>45.416320734160735</v>
      </c>
      <c r="H121" s="2">
        <f t="shared" si="60"/>
        <v>30.363794272591203</v>
      </c>
      <c r="I121"/>
      <c r="J121"/>
      <c r="K121" s="14">
        <f t="shared" si="50"/>
        <v>1</v>
      </c>
      <c r="L121" s="14">
        <f t="shared" si="51"/>
        <v>1</v>
      </c>
      <c r="M121" s="14">
        <f t="shared" si="55"/>
        <v>1.38</v>
      </c>
      <c r="N121" s="8">
        <f>Z86+AA86+AB86*K121+AC86*L121+AD89*M124*$M$100</f>
        <v>4.7016165250670976E-2</v>
      </c>
      <c r="O121" s="2">
        <f t="shared" si="23"/>
        <v>43.891790962634701</v>
      </c>
      <c r="P121" s="7">
        <f t="shared" si="61"/>
        <v>1.0464768052306783</v>
      </c>
      <c r="Q121"/>
      <c r="R121"/>
      <c r="S121"/>
      <c r="T121"/>
      <c r="U121"/>
      <c r="V121"/>
      <c r="W121"/>
      <c r="X121" s="9">
        <f t="shared" si="62"/>
        <v>52.530042586188898</v>
      </c>
      <c r="Y121" s="8">
        <f>VLOOKUP(ROUNDDOWN(X121,0),'Spline Pre-Adj'!F:G,2,0)</f>
        <v>2.8037869405790499</v>
      </c>
      <c r="Z121" s="8">
        <f t="shared" si="63"/>
        <v>2.8037869405790499</v>
      </c>
      <c r="AA121"/>
      <c r="AB121"/>
      <c r="AC121" s="9">
        <f t="shared" si="64"/>
        <v>52.530042586188898</v>
      </c>
      <c r="AD121" s="8">
        <f>VLOOKUP(ROUNDDOWN(AC121,0),'Spline Pre-Adj'!K:L,2,0)</f>
        <v>2.9837760377918898</v>
      </c>
      <c r="AE121" s="8">
        <f t="shared" si="65"/>
        <v>4.1176109321528074</v>
      </c>
    </row>
    <row r="122" spans="1:31" s="17" customFormat="1" x14ac:dyDescent="0.25">
      <c r="A122" s="4">
        <f>K87</f>
        <v>57.490346805659897</v>
      </c>
      <c r="B122" s="3">
        <f>AQ87/1000000000</f>
        <v>3.4723450703299998</v>
      </c>
      <c r="C122" s="2" t="str">
        <f>AO87</f>
        <v>11-2:55-60</v>
      </c>
      <c r="D122" s="8">
        <f>E87</f>
        <v>5.0640133426055597E-2</v>
      </c>
      <c r="E122" s="8">
        <f>Z87+AA87+AB87+AC87+AD87</f>
        <v>3.1287769906427627E-2</v>
      </c>
      <c r="F122" s="3">
        <f t="shared" si="58"/>
        <v>1.6185280567296776</v>
      </c>
      <c r="G122" s="2">
        <f t="shared" si="59"/>
        <v>46.399305130978995</v>
      </c>
      <c r="H122" s="2">
        <f t="shared" si="60"/>
        <v>31.713100662098036</v>
      </c>
      <c r="I122"/>
      <c r="J122"/>
      <c r="K122" s="14">
        <f t="shared" si="50"/>
        <v>1</v>
      </c>
      <c r="L122" s="14">
        <f t="shared" si="51"/>
        <v>1</v>
      </c>
      <c r="M122" s="14">
        <f t="shared" si="55"/>
        <v>1.38</v>
      </c>
      <c r="N122" s="8">
        <f>Z87+AA87+AB87*K122+AC87*L122+AD90*M125*$M$100</f>
        <v>4.9384988604491219E-2</v>
      </c>
      <c r="O122" s="2">
        <f t="shared" si="23"/>
        <v>45.542711083976563</v>
      </c>
      <c r="P122" s="7">
        <f t="shared" si="61"/>
        <v>1.0254155130340605</v>
      </c>
      <c r="Q122"/>
      <c r="R122"/>
      <c r="S122"/>
      <c r="T122"/>
      <c r="U122"/>
      <c r="V122"/>
      <c r="W122"/>
      <c r="X122" s="9">
        <f t="shared" si="62"/>
        <v>57.490346805659897</v>
      </c>
      <c r="Y122" s="8">
        <f>VLOOKUP(ROUNDDOWN(X122,0),'Spline Pre-Adj'!F:G,2,0)</f>
        <v>3.0926159826030801</v>
      </c>
      <c r="Z122" s="8">
        <f t="shared" si="63"/>
        <v>3.0926159826030801</v>
      </c>
      <c r="AA122"/>
      <c r="AB122"/>
      <c r="AC122" s="9">
        <f t="shared" si="64"/>
        <v>57.490346805659897</v>
      </c>
      <c r="AD122" s="8">
        <f>VLOOKUP(ROUNDDOWN(AC122,0),'Spline Pre-Adj'!K:L,2,0)</f>
        <v>3.1703520741635902</v>
      </c>
      <c r="AE122" s="8">
        <f t="shared" si="65"/>
        <v>4.3750858623457543</v>
      </c>
    </row>
    <row r="123" spans="1:31" s="17" customFormat="1" x14ac:dyDescent="0.25">
      <c r="A123" s="4">
        <f>K88</f>
        <v>62.445764983681201</v>
      </c>
      <c r="B123" s="3">
        <f>AQ88/1000000000</f>
        <v>3.4401216657</v>
      </c>
      <c r="C123" s="2" t="str">
        <f>AO88</f>
        <v>11-3:60-65</v>
      </c>
      <c r="D123" s="8">
        <f>E88</f>
        <v>5.3084070338354702E-2</v>
      </c>
      <c r="E123" s="8">
        <f>Z88+AA88+AB88+AC88+AD88</f>
        <v>3.2741706138568014E-2</v>
      </c>
      <c r="F123" s="3">
        <f t="shared" si="58"/>
        <v>1.6212982339312016</v>
      </c>
      <c r="G123" s="2">
        <f t="shared" si="59"/>
        <v>48.031872191352456</v>
      </c>
      <c r="H123" s="2">
        <f t="shared" si="60"/>
        <v>32.932896905062506</v>
      </c>
      <c r="I123"/>
      <c r="J123"/>
      <c r="K123" s="14">
        <f t="shared" si="50"/>
        <v>1</v>
      </c>
      <c r="L123" s="14">
        <f t="shared" si="51"/>
        <v>1</v>
      </c>
      <c r="M123" s="14">
        <f t="shared" si="55"/>
        <v>1.38</v>
      </c>
      <c r="N123" s="8">
        <f>Z88+AA88+AB88*K123+AC88*L123+AD91*M126*$M$100</f>
        <v>5.0383442630426073E-2</v>
      </c>
      <c r="O123" s="2">
        <f t="shared" si="23"/>
        <v>46.225133652786653</v>
      </c>
      <c r="P123" s="7">
        <f t="shared" si="61"/>
        <v>1.0536014922151775</v>
      </c>
      <c r="Q123"/>
      <c r="R123"/>
      <c r="S123"/>
      <c r="T123"/>
      <c r="U123"/>
      <c r="V123"/>
      <c r="W123"/>
      <c r="X123" s="9">
        <f t="shared" si="62"/>
        <v>62.445764983681201</v>
      </c>
      <c r="Y123" s="8">
        <f>VLOOKUP(ROUNDDOWN(X123,0),'Spline Pre-Adj'!F:G,2,0)</f>
        <v>3.3799457765415402</v>
      </c>
      <c r="Z123" s="8">
        <f t="shared" si="63"/>
        <v>3.3799457765415402</v>
      </c>
      <c r="AA123"/>
      <c r="AB123"/>
      <c r="AC123" s="9">
        <f t="shared" si="64"/>
        <v>62.445764983681201</v>
      </c>
      <c r="AD123" s="8">
        <f>VLOOKUP(ROUNDDOWN(AC123,0),'Spline Pre-Adj'!K:L,2,0)</f>
        <v>3.3536482047599101</v>
      </c>
      <c r="AE123" s="8">
        <f t="shared" si="65"/>
        <v>4.6280345225686759</v>
      </c>
    </row>
    <row r="124" spans="1:31" s="17" customFormat="1" x14ac:dyDescent="0.25">
      <c r="A124" s="4">
        <f>K89</f>
        <v>67.457833670468503</v>
      </c>
      <c r="B124" s="3">
        <f>AQ89/1000000000</f>
        <v>3.4622977318899997</v>
      </c>
      <c r="C124" s="2" t="str">
        <f>AO89</f>
        <v>11-4:65-70</v>
      </c>
      <c r="D124" s="8">
        <f>E89</f>
        <v>5.3422030855354803E-2</v>
      </c>
      <c r="E124" s="8">
        <f>Z89+AA89+AB89+AC89+AD89</f>
        <v>3.3582216425709875E-2</v>
      </c>
      <c r="F124" s="3">
        <f t="shared" si="58"/>
        <v>1.590783353252883</v>
      </c>
      <c r="G124" s="2">
        <f t="shared" si="59"/>
        <v>48.254008997876042</v>
      </c>
      <c r="H124" s="2">
        <f t="shared" si="60"/>
        <v>33.6289090203597</v>
      </c>
      <c r="I124"/>
      <c r="J124"/>
      <c r="K124" s="14">
        <f t="shared" si="50"/>
        <v>1</v>
      </c>
      <c r="L124" s="14">
        <f t="shared" si="51"/>
        <v>1</v>
      </c>
      <c r="M124" s="14">
        <f t="shared" si="55"/>
        <v>1.38</v>
      </c>
      <c r="N124" s="8">
        <f>Z89+AA89+AB89*K124+AC89*L124+AD92*M127*$M$100</f>
        <v>5.0734878417228159E-2</v>
      </c>
      <c r="O124" s="2">
        <f t="shared" si="23"/>
        <v>46.463461339414799</v>
      </c>
      <c r="P124" s="7">
        <f t="shared" si="61"/>
        <v>1.0529645979641131</v>
      </c>
      <c r="Q124"/>
      <c r="R124"/>
      <c r="S124"/>
      <c r="T124"/>
      <c r="U124"/>
      <c r="V124"/>
      <c r="W124"/>
      <c r="X124" s="9">
        <f t="shared" si="62"/>
        <v>67.457833670468503</v>
      </c>
      <c r="Y124" s="8">
        <f>VLOOKUP(ROUNDDOWN(X124,0),'Spline Pre-Adj'!F:G,2,0)</f>
        <v>3.6676855284799998</v>
      </c>
      <c r="Z124" s="8">
        <f t="shared" si="63"/>
        <v>3.6676855284799998</v>
      </c>
      <c r="AA124"/>
      <c r="AB124"/>
      <c r="AC124" s="9">
        <f t="shared" si="64"/>
        <v>67.457833670468503</v>
      </c>
      <c r="AD124" s="8">
        <f>VLOOKUP(ROUNDDOWN(AC124,0),'Spline Pre-Adj'!K:L,2,0)</f>
        <v>3.5314609873155498</v>
      </c>
      <c r="AE124" s="8">
        <f t="shared" si="65"/>
        <v>4.8734161624954586</v>
      </c>
    </row>
    <row r="125" spans="1:31" s="17" customFormat="1" x14ac:dyDescent="0.25">
      <c r="A125" s="4">
        <f>K90</f>
        <v>72.491928267535698</v>
      </c>
      <c r="B125" s="3">
        <f>AQ90/1000000000</f>
        <v>3.48496179777</v>
      </c>
      <c r="C125" s="2" t="str">
        <f>AO90</f>
        <v>11:50-75</v>
      </c>
      <c r="D125" s="8">
        <f>E90</f>
        <v>5.2949151518084298E-2</v>
      </c>
      <c r="E125" s="8">
        <f>Z90+AA90+AB90+AC90+AD90</f>
        <v>3.5224235350317754E-2</v>
      </c>
      <c r="F125" s="3">
        <f t="shared" si="58"/>
        <v>1.5032022978351651</v>
      </c>
      <c r="G125" s="2">
        <f t="shared" si="59"/>
        <v>47.942948026673292</v>
      </c>
      <c r="H125" s="2">
        <f t="shared" si="60"/>
        <v>34.969570182470868</v>
      </c>
      <c r="I125"/>
      <c r="J125"/>
      <c r="K125" s="14">
        <f t="shared" si="50"/>
        <v>1</v>
      </c>
      <c r="L125" s="14">
        <f t="shared" si="51"/>
        <v>1</v>
      </c>
      <c r="M125" s="14">
        <f t="shared" si="55"/>
        <v>1.38</v>
      </c>
      <c r="N125" s="8">
        <f>Z90+AA90+AB90*K125+AC90*L125+AD93*M128*$M$100</f>
        <v>5.2543631813573792E-2</v>
      </c>
      <c r="O125" s="2">
        <f t="shared" si="23"/>
        <v>47.674832154939715</v>
      </c>
      <c r="P125" s="7">
        <f t="shared" si="61"/>
        <v>1.0077177707462115</v>
      </c>
      <c r="Q125"/>
      <c r="R125"/>
      <c r="S125"/>
      <c r="T125"/>
      <c r="U125"/>
      <c r="V125"/>
      <c r="W125"/>
      <c r="X125" s="9">
        <f t="shared" si="62"/>
        <v>72.491928267535698</v>
      </c>
      <c r="Y125" s="8">
        <f>VLOOKUP(ROUNDDOWN(X125,0),'Spline Pre-Adj'!F:G,2,0)</f>
        <v>3.9558229453415401</v>
      </c>
      <c r="Z125" s="8">
        <f t="shared" si="63"/>
        <v>3.9558229453415401</v>
      </c>
      <c r="AA125"/>
      <c r="AB125"/>
      <c r="AC125" s="9">
        <f t="shared" si="64"/>
        <v>72.491928267535698</v>
      </c>
      <c r="AD125" s="8">
        <f>VLOOKUP(ROUNDDOWN(AC125,0),'Spline Pre-Adj'!K:L,2,0)</f>
        <v>3.7015869795651599</v>
      </c>
      <c r="AE125" s="8">
        <f t="shared" si="65"/>
        <v>5.1081900317999205</v>
      </c>
    </row>
    <row r="126" spans="1:31" s="17" customFormat="1" x14ac:dyDescent="0.25">
      <c r="A126" s="4">
        <f>K91</f>
        <v>85.668970884368505</v>
      </c>
      <c r="B126" s="3">
        <f>AQ91/1000000000</f>
        <v>11.137493667879999</v>
      </c>
      <c r="C126" s="2" t="str">
        <f>AO91</f>
        <v>12:75-100</v>
      </c>
      <c r="D126" s="8">
        <f>E91</f>
        <v>4.9717463343028401E-2</v>
      </c>
      <c r="E126" s="8">
        <f>Z91+AA91+AB91+AC91+AD91</f>
        <v>3.831218661724399E-2</v>
      </c>
      <c r="F126" s="3">
        <f t="shared" ref="F126:F131" si="66">D126/E126</f>
        <v>1.297693181538508</v>
      </c>
      <c r="G126" s="2">
        <f t="shared" ref="G126:G131" si="67">(1-(1-D126)^12)*100</f>
        <v>45.770827219617814</v>
      </c>
      <c r="H126" s="2">
        <f t="shared" ref="H126:H131" si="68">(1-(1-E126)^12)*100</f>
        <v>37.423776202136672</v>
      </c>
      <c r="I126"/>
      <c r="J126"/>
      <c r="K126" s="14">
        <f t="shared" ref="K126:K131" si="69">IF(ISNA(VLOOKUP(C126,$C$26:$M$44,9,0)),K127, VLOOKUP(C126,$C$26:$M$44,9,0))</f>
        <v>1</v>
      </c>
      <c r="L126" s="14">
        <f t="shared" ref="L126:L131" si="70">IF(ISNA(VLOOKUP(C126,$C$26:$M$44,10,0)),L127, VLOOKUP(C126,$C$26:$M$44,10,0))</f>
        <v>1</v>
      </c>
      <c r="M126" s="14">
        <f t="shared" ref="M126:M131" si="71">IF(ISNA(VLOOKUP(C126,$C$26:$M$44,11,0)),M127, VLOOKUP(C126,$C$26:$M$44,11,0))</f>
        <v>1.29</v>
      </c>
      <c r="N126" s="8">
        <f>Z91+AA91+AB91*K126+AC91*L126+AD91*M126*$M$100</f>
        <v>5.0525421727016448E-2</v>
      </c>
      <c r="O126" s="2">
        <f t="shared" ref="O126:O131" si="72">100*(1-(1-N126)^12)</f>
        <v>46.321534226740283</v>
      </c>
      <c r="P126" s="7">
        <f t="shared" ref="P126:P131" si="73">D126/N126</f>
        <v>0.98400887402081749</v>
      </c>
      <c r="Q126"/>
      <c r="R126"/>
      <c r="S126"/>
      <c r="T126"/>
      <c r="U126"/>
      <c r="V126"/>
      <c r="W126"/>
      <c r="X126" s="9">
        <f t="shared" ref="X126:X131" si="74">A126</f>
        <v>85.668970884368505</v>
      </c>
      <c r="Y126" s="8">
        <f>VLOOKUP(ROUNDDOWN(X126,0),'Spline Pre-Adj'!F:G,2,0)</f>
        <v>4.7067860187499999</v>
      </c>
      <c r="Z126" s="8">
        <f t="shared" ref="Z126:Z131" si="75">Y126*L126</f>
        <v>4.7067860187499999</v>
      </c>
      <c r="AA126"/>
      <c r="AB126"/>
      <c r="AC126" s="9">
        <f t="shared" ref="AC126:AC131" si="76">A126</f>
        <v>85.668970884368505</v>
      </c>
      <c r="AD126" s="8">
        <f>VLOOKUP(ROUNDDOWN(AC126,0),'Spline Pre-Adj'!K:L,2,0)</f>
        <v>4.0923365222828396</v>
      </c>
      <c r="AE126" s="8">
        <f t="shared" ref="AE126:AE131" si="77">AD126*M126</f>
        <v>5.2791141137448632</v>
      </c>
    </row>
    <row r="127" spans="1:31" s="17" customFormat="1" x14ac:dyDescent="0.25">
      <c r="A127" s="4">
        <f>K92</f>
        <v>111.768434390067</v>
      </c>
      <c r="B127" s="3">
        <f>AQ92/1000000000</f>
        <v>5.7252288043800004</v>
      </c>
      <c r="C127" s="2" t="str">
        <f>AO92</f>
        <v>13:100-125</v>
      </c>
      <c r="D127" s="8">
        <f>E92</f>
        <v>4.9919768812099398E-2</v>
      </c>
      <c r="E127" s="8">
        <f>Z92+AA92+AB92+AC92+AD92</f>
        <v>4.3892225090746563E-2</v>
      </c>
      <c r="F127" s="3">
        <f t="shared" si="66"/>
        <v>1.1373260004224204</v>
      </c>
      <c r="G127" s="2">
        <f t="shared" si="67"/>
        <v>45.909203181044674</v>
      </c>
      <c r="H127" s="2">
        <f t="shared" si="68"/>
        <v>41.644445809623512</v>
      </c>
      <c r="I127"/>
      <c r="J127"/>
      <c r="K127" s="14">
        <f t="shared" si="69"/>
        <v>1</v>
      </c>
      <c r="L127" s="14">
        <f t="shared" si="70"/>
        <v>1</v>
      </c>
      <c r="M127" s="14">
        <f t="shared" si="71"/>
        <v>1.1299999999999999</v>
      </c>
      <c r="N127" s="8">
        <f>Z92+AA92+AB92*K127+AC92*L127+AD92*M127*$M$100</f>
        <v>5.128495034634345E-2</v>
      </c>
      <c r="O127" s="2">
        <f t="shared" si="72"/>
        <v>46.834551830010483</v>
      </c>
      <c r="P127" s="7">
        <f t="shared" si="73"/>
        <v>0.97338046493124109</v>
      </c>
      <c r="Q127"/>
      <c r="R127"/>
      <c r="S127"/>
      <c r="T127"/>
      <c r="U127"/>
      <c r="V127"/>
      <c r="W127"/>
      <c r="X127" s="9">
        <f t="shared" si="74"/>
        <v>111.768434390067</v>
      </c>
      <c r="Y127" s="8">
        <f>VLOOKUP(ROUNDDOWN(X127,0),'Spline Pre-Adj'!F:G,2,0)</f>
        <v>6.2168084690133298</v>
      </c>
      <c r="Z127" s="8">
        <f t="shared" si="75"/>
        <v>6.2168084690133298</v>
      </c>
      <c r="AA127"/>
      <c r="AB127"/>
      <c r="AC127" s="9">
        <f t="shared" si="76"/>
        <v>111.768434390067</v>
      </c>
      <c r="AD127" s="8">
        <f>VLOOKUP(ROUNDDOWN(AC127,0),'Spline Pre-Adj'!K:L,2,0)</f>
        <v>4.7299139704548203</v>
      </c>
      <c r="AE127" s="8">
        <f t="shared" si="77"/>
        <v>5.344802786613946</v>
      </c>
    </row>
    <row r="128" spans="1:31" s="17" customFormat="1" x14ac:dyDescent="0.25">
      <c r="A128" s="4">
        <f>K93</f>
        <v>134.373235124464</v>
      </c>
      <c r="B128" s="3">
        <f>AQ93/1000000000</f>
        <v>2.62082305714</v>
      </c>
      <c r="C128" s="2" t="str">
        <f>AO93</f>
        <v>14:125-150</v>
      </c>
      <c r="D128" s="8">
        <f>E93</f>
        <v>5.0754696248407602E-2</v>
      </c>
      <c r="E128" s="8">
        <f>Z93+AA93+AB93+AC93+AD93</f>
        <v>4.8607942134988272E-2</v>
      </c>
      <c r="F128" s="3">
        <f t="shared" si="66"/>
        <v>1.0441646780161484</v>
      </c>
      <c r="G128" s="2">
        <f t="shared" si="67"/>
        <v>46.476872003021043</v>
      </c>
      <c r="H128" s="2">
        <f t="shared" si="68"/>
        <v>45.006132903299736</v>
      </c>
      <c r="I128"/>
      <c r="J128"/>
      <c r="K128" s="14">
        <f t="shared" si="69"/>
        <v>1</v>
      </c>
      <c r="L128" s="14">
        <f t="shared" si="70"/>
        <v>1</v>
      </c>
      <c r="M128" s="14">
        <f t="shared" si="71"/>
        <v>1.05</v>
      </c>
      <c r="N128" s="8">
        <f>Z93+AA93+AB93*K128+AC93*L128+AD93*M128*$M$100</f>
        <v>5.3148053527873017E-2</v>
      </c>
      <c r="O128" s="2">
        <f t="shared" si="72"/>
        <v>48.073994424482891</v>
      </c>
      <c r="P128" s="7">
        <f t="shared" si="73"/>
        <v>0.95496811038977669</v>
      </c>
      <c r="Q128"/>
      <c r="R128"/>
      <c r="S128"/>
      <c r="T128"/>
      <c r="U128"/>
      <c r="V128"/>
      <c r="W128"/>
      <c r="X128" s="9">
        <f t="shared" si="74"/>
        <v>134.373235124464</v>
      </c>
      <c r="Y128" s="8">
        <f>VLOOKUP(ROUNDDOWN(X128,0),'Spline Pre-Adj'!F:G,2,0)</f>
        <v>7.60662891263856</v>
      </c>
      <c r="Z128" s="8">
        <f t="shared" si="75"/>
        <v>7.60662891263856</v>
      </c>
      <c r="AA128"/>
      <c r="AB128"/>
      <c r="AC128" s="9">
        <f t="shared" si="76"/>
        <v>134.373235124464</v>
      </c>
      <c r="AD128" s="8">
        <f>VLOOKUP(ROUNDDOWN(AC128,0),'Spline Pre-Adj'!K:L,2,0)</f>
        <v>5.2051069926153799</v>
      </c>
      <c r="AE128" s="8">
        <f t="shared" si="77"/>
        <v>5.4653623422461495</v>
      </c>
    </row>
    <row r="129" spans="1:31" s="17" customFormat="1" x14ac:dyDescent="0.25">
      <c r="A129" s="4">
        <f>K94</f>
        <v>160.18516166213001</v>
      </c>
      <c r="B129" s="3">
        <f>AQ94/1000000000</f>
        <v>0.44019781916</v>
      </c>
      <c r="C129" s="2" t="str">
        <f>AO94</f>
        <v>15:150-175</v>
      </c>
      <c r="D129" s="8">
        <f>E94</f>
        <v>4.7514462955103302E-2</v>
      </c>
      <c r="E129" s="8">
        <f>Z94+AA94+AB94+AC94+AD94</f>
        <v>5.3353304213012633E-2</v>
      </c>
      <c r="F129" s="3">
        <f t="shared" si="66"/>
        <v>0.89056270564616202</v>
      </c>
      <c r="G129" s="2">
        <f t="shared" si="67"/>
        <v>44.242835662966016</v>
      </c>
      <c r="H129" s="2">
        <f t="shared" si="68"/>
        <v>48.208906548976913</v>
      </c>
      <c r="I129"/>
      <c r="J129"/>
      <c r="K129" s="14">
        <f t="shared" si="69"/>
        <v>1</v>
      </c>
      <c r="L129" s="14">
        <f t="shared" si="70"/>
        <v>1</v>
      </c>
      <c r="M129" s="14">
        <f t="shared" si="71"/>
        <v>1</v>
      </c>
      <c r="N129" s="8">
        <f>Z94+AA94+AB94*K129+AC94*L129+AD94*M129*$M$100</f>
        <v>5.5789080030173674E-2</v>
      </c>
      <c r="O129" s="2">
        <f t="shared" si="72"/>
        <v>49.785606007370276</v>
      </c>
      <c r="P129" s="7">
        <f t="shared" si="73"/>
        <v>0.85168034549781024</v>
      </c>
      <c r="Q129"/>
      <c r="R129"/>
      <c r="S129"/>
      <c r="T129"/>
      <c r="U129"/>
      <c r="V129"/>
      <c r="W129"/>
      <c r="X129" s="9">
        <f t="shared" si="74"/>
        <v>160.18516166213001</v>
      </c>
      <c r="Y129" s="8">
        <f>VLOOKUP(ROUNDDOWN(X129,0),'Spline Pre-Adj'!F:G,2,0)</f>
        <v>8.7434835551418502</v>
      </c>
      <c r="Z129" s="8">
        <f t="shared" si="75"/>
        <v>8.7434835551418502</v>
      </c>
      <c r="AA129"/>
      <c r="AB129"/>
      <c r="AC129" s="9">
        <f t="shared" si="76"/>
        <v>160.18516166213001</v>
      </c>
      <c r="AD129" s="8">
        <f>VLOOKUP(ROUNDDOWN(AC129,0),'Spline Pre-Adj'!K:L,2,0)</f>
        <v>5.6662697466415004</v>
      </c>
      <c r="AE129" s="8">
        <f t="shared" si="77"/>
        <v>5.6662697466415004</v>
      </c>
    </row>
    <row r="130" spans="1:31" s="17" customFormat="1" x14ac:dyDescent="0.25">
      <c r="A130" s="4">
        <f>K95</f>
        <v>183.94350489017</v>
      </c>
      <c r="B130" s="3">
        <f>AQ95/1000000000</f>
        <v>9.6630877530000006E-2</v>
      </c>
      <c r="C130" s="2" t="str">
        <f>AO95</f>
        <v>16:175-200</v>
      </c>
      <c r="D130" s="8">
        <f>E95</f>
        <v>6.1197489207662902E-2</v>
      </c>
      <c r="E130" s="8">
        <f>Z95+AA95+AB95+AC95+AD95</f>
        <v>5.8191267054718603E-2</v>
      </c>
      <c r="F130" s="3">
        <f t="shared" si="66"/>
        <v>1.0516610533693567</v>
      </c>
      <c r="G130" s="2">
        <f t="shared" si="67"/>
        <v>53.130436470808448</v>
      </c>
      <c r="H130" s="2">
        <f t="shared" si="68"/>
        <v>51.297353928229739</v>
      </c>
      <c r="I130"/>
      <c r="J130"/>
      <c r="K130" s="14">
        <f t="shared" si="69"/>
        <v>1</v>
      </c>
      <c r="L130" s="14">
        <f t="shared" si="70"/>
        <v>1</v>
      </c>
      <c r="M130" s="14">
        <f t="shared" si="71"/>
        <v>1</v>
      </c>
      <c r="N130" s="8">
        <f>Z95+AA95+AB95*K130+AC95*L130+AD95*M130*$M$100</f>
        <v>6.0843007058307003E-2</v>
      </c>
      <c r="O130" s="2">
        <f t="shared" si="72"/>
        <v>52.917625310395209</v>
      </c>
      <c r="P130" s="7">
        <f t="shared" si="73"/>
        <v>1.0058261773455115</v>
      </c>
      <c r="Q130"/>
      <c r="R130"/>
      <c r="S130"/>
      <c r="T130"/>
      <c r="U130"/>
      <c r="V130"/>
      <c r="W130"/>
      <c r="X130" s="9">
        <f t="shared" si="74"/>
        <v>183.94350489017</v>
      </c>
      <c r="Y130" s="8">
        <f>VLOOKUP(ROUNDDOWN(X130,0),'Spline Pre-Adj'!F:G,2,0)</f>
        <v>8.8912890705385497</v>
      </c>
      <c r="Z130" s="8">
        <f t="shared" si="75"/>
        <v>8.8912890705385497</v>
      </c>
      <c r="AA130"/>
      <c r="AB130"/>
      <c r="AC130" s="9">
        <f t="shared" si="76"/>
        <v>183.94350489017</v>
      </c>
      <c r="AD130" s="8">
        <f>VLOOKUP(ROUNDDOWN(AC130,0),'Spline Pre-Adj'!K:L,2,0)</f>
        <v>6.0276934430763003</v>
      </c>
      <c r="AE130" s="8">
        <f t="shared" si="77"/>
        <v>6.0276934430763003</v>
      </c>
    </row>
    <row r="131" spans="1:31" s="17" customFormat="1" x14ac:dyDescent="0.25">
      <c r="A131" s="4">
        <f>K96</f>
        <v>209.552293094823</v>
      </c>
      <c r="B131" s="3">
        <f>AQ96/1000000000</f>
        <v>2.0893223299999999E-2</v>
      </c>
      <c r="C131" s="2" t="str">
        <f>AO96</f>
        <v>17:200-225</v>
      </c>
      <c r="D131" s="8">
        <f>E96</f>
        <v>5.2273954856408698E-2</v>
      </c>
      <c r="E131" s="8">
        <f>Z96+AA96+AB96+AC96+AD96</f>
        <v>5.9257580349299295E-2</v>
      </c>
      <c r="F131" s="3">
        <f t="shared" si="66"/>
        <v>0.88214798087054902</v>
      </c>
      <c r="G131" s="2">
        <f t="shared" si="67"/>
        <v>47.495830730037483</v>
      </c>
      <c r="H131" s="2">
        <f t="shared" si="68"/>
        <v>51.954941072843219</v>
      </c>
      <c r="I131"/>
      <c r="J131"/>
      <c r="K131" s="14">
        <f t="shared" si="69"/>
        <v>1</v>
      </c>
      <c r="L131" s="14">
        <f t="shared" si="70"/>
        <v>1</v>
      </c>
      <c r="M131" s="14">
        <f t="shared" si="71"/>
        <v>1.05</v>
      </c>
      <c r="N131" s="8">
        <f>Z96+AA96+AB96*K131+AC96*L131+AD96*M131*$M$100</f>
        <v>6.4744084393453333E-2</v>
      </c>
      <c r="O131" s="2">
        <f t="shared" si="72"/>
        <v>55.211598149872998</v>
      </c>
      <c r="P131" s="7">
        <f t="shared" si="73"/>
        <v>0.80739353017546778</v>
      </c>
      <c r="Q131"/>
      <c r="R131"/>
      <c r="S131"/>
      <c r="T131"/>
      <c r="U131"/>
      <c r="V131"/>
      <c r="W131"/>
      <c r="X131" s="9">
        <f t="shared" si="74"/>
        <v>209.552293094823</v>
      </c>
      <c r="Y131" s="8">
        <f>VLOOKUP(ROUNDDOWN(X131,0),'Spline Pre-Adj'!F:G,2,0)</f>
        <v>8.9</v>
      </c>
      <c r="Z131" s="8">
        <f t="shared" si="75"/>
        <v>8.9</v>
      </c>
      <c r="AA131"/>
      <c r="AB131"/>
      <c r="AC131" s="9">
        <f t="shared" si="76"/>
        <v>209.552293094823</v>
      </c>
      <c r="AD131" s="8">
        <f>VLOOKUP(ROUNDDOWN(AC131,0),'Spline Pre-Adj'!K:L,2,0)</f>
        <v>6.3657668913125001</v>
      </c>
      <c r="AE131" s="8">
        <f t="shared" si="77"/>
        <v>6.6840552358781258</v>
      </c>
    </row>
    <row r="132" spans="1:31" s="17" customFormat="1" x14ac:dyDescent="0.25">
      <c r="A132" s="15"/>
      <c r="B132" s="22"/>
      <c r="C132" s="23"/>
      <c r="D132" s="16"/>
      <c r="E132" s="16"/>
      <c r="F132" s="22"/>
      <c r="G132" s="23"/>
      <c r="H132" s="23"/>
      <c r="K132" s="15"/>
      <c r="L132" s="15"/>
      <c r="M132" s="15"/>
      <c r="N132" s="16"/>
      <c r="O132" s="23"/>
      <c r="P132" s="24"/>
      <c r="X132" s="18"/>
      <c r="Y132" s="16"/>
      <c r="Z132" s="16"/>
      <c r="AC132" s="18"/>
      <c r="AD132" s="16"/>
      <c r="AE132" s="16"/>
    </row>
    <row r="133" spans="1:31" s="17" customFormat="1" x14ac:dyDescent="0.25">
      <c r="A133" s="15"/>
      <c r="B133" s="22"/>
      <c r="C133" s="23"/>
      <c r="D133" s="16"/>
      <c r="E133" s="16"/>
      <c r="F133" s="22"/>
      <c r="G133" s="23"/>
      <c r="H133" s="23"/>
      <c r="K133" s="15"/>
      <c r="L133" s="15"/>
      <c r="M133" s="26"/>
      <c r="N133" s="16"/>
      <c r="O133" s="23"/>
      <c r="P133" s="24"/>
      <c r="X133" s="18"/>
      <c r="Y133" s="16"/>
      <c r="Z133" s="16"/>
      <c r="AC133" s="18"/>
      <c r="AD133" s="16"/>
      <c r="AE133" s="16"/>
    </row>
    <row r="136" spans="1:31" x14ac:dyDescent="0.25">
      <c r="I136" t="s">
        <v>123</v>
      </c>
      <c r="K136" s="15">
        <v>0.75</v>
      </c>
      <c r="L136" s="15">
        <v>1</v>
      </c>
      <c r="M136" s="15">
        <v>1</v>
      </c>
    </row>
    <row r="137" spans="1:31" x14ac:dyDescent="0.25">
      <c r="K137" s="15">
        <v>0.75</v>
      </c>
      <c r="L137" s="15">
        <v>1</v>
      </c>
      <c r="M137" s="15">
        <v>1</v>
      </c>
    </row>
    <row r="138" spans="1:31" x14ac:dyDescent="0.25">
      <c r="K138" s="15">
        <v>0.75</v>
      </c>
      <c r="L138" s="15">
        <v>1</v>
      </c>
      <c r="M138" s="15">
        <v>1</v>
      </c>
    </row>
    <row r="139" spans="1:31" x14ac:dyDescent="0.25">
      <c r="K139" s="15">
        <v>0.64</v>
      </c>
      <c r="L139" s="15">
        <v>1</v>
      </c>
      <c r="M139" s="15">
        <v>1</v>
      </c>
    </row>
    <row r="140" spans="1:31" x14ac:dyDescent="0.25">
      <c r="K140" s="4">
        <v>0.64</v>
      </c>
      <c r="L140" s="4">
        <v>1</v>
      </c>
      <c r="M140" s="4">
        <v>0.32</v>
      </c>
    </row>
    <row r="141" spans="1:31" x14ac:dyDescent="0.25">
      <c r="K141" s="4">
        <v>0.75</v>
      </c>
      <c r="L141" s="4">
        <v>1</v>
      </c>
      <c r="M141" s="4">
        <v>0.67</v>
      </c>
    </row>
    <row r="142" spans="1:31" x14ac:dyDescent="0.25">
      <c r="K142" s="4">
        <v>0.75</v>
      </c>
      <c r="L142" s="4">
        <v>1</v>
      </c>
      <c r="M142" s="4">
        <v>1.1100000000000001</v>
      </c>
    </row>
    <row r="143" spans="1:31" x14ac:dyDescent="0.25">
      <c r="K143" s="4">
        <v>0.75</v>
      </c>
      <c r="L143" s="4">
        <v>1</v>
      </c>
      <c r="M143" s="4">
        <v>1.32</v>
      </c>
    </row>
    <row r="144" spans="1:31" x14ac:dyDescent="0.25">
      <c r="K144" s="4">
        <v>0.75</v>
      </c>
      <c r="L144" s="4">
        <v>1</v>
      </c>
      <c r="M144" s="4">
        <v>1.26</v>
      </c>
    </row>
    <row r="145" spans="1:50" x14ac:dyDescent="0.25">
      <c r="K145" s="4">
        <v>0.75</v>
      </c>
      <c r="L145" s="4">
        <v>1</v>
      </c>
      <c r="M145" s="4">
        <v>1.17</v>
      </c>
    </row>
    <row r="146" spans="1:50" x14ac:dyDescent="0.25">
      <c r="K146" s="4">
        <v>0.75</v>
      </c>
      <c r="L146" s="4">
        <v>1</v>
      </c>
      <c r="M146" s="4">
        <v>1.07</v>
      </c>
    </row>
    <row r="147" spans="1:50" x14ac:dyDescent="0.25">
      <c r="K147" s="4">
        <v>0.75</v>
      </c>
      <c r="L147" s="4">
        <v>1</v>
      </c>
      <c r="M147" s="4">
        <v>1</v>
      </c>
    </row>
    <row r="148" spans="1:50" x14ac:dyDescent="0.25">
      <c r="K148" s="4">
        <v>0.75</v>
      </c>
      <c r="L148" s="4">
        <v>1</v>
      </c>
      <c r="M148" s="4">
        <v>0.95</v>
      </c>
    </row>
    <row r="149" spans="1:50" x14ac:dyDescent="0.25">
      <c r="K149" s="4">
        <v>0.75</v>
      </c>
      <c r="L149" s="4">
        <v>1</v>
      </c>
      <c r="M149" s="4">
        <v>0.91</v>
      </c>
    </row>
    <row r="150" spans="1:50" x14ac:dyDescent="0.25">
      <c r="K150" s="26">
        <v>0.75</v>
      </c>
      <c r="L150" s="26">
        <v>1</v>
      </c>
      <c r="M150" s="26">
        <v>1.05</v>
      </c>
    </row>
    <row r="151" spans="1:50" x14ac:dyDescent="0.25">
      <c r="K151" s="15">
        <v>0.75</v>
      </c>
      <c r="L151" s="15">
        <v>1</v>
      </c>
      <c r="M151" s="15">
        <v>1</v>
      </c>
    </row>
    <row r="152" spans="1:50" x14ac:dyDescent="0.25">
      <c r="K152" s="15">
        <v>0.75</v>
      </c>
      <c r="L152" s="15">
        <v>1</v>
      </c>
      <c r="M152" s="15">
        <v>1</v>
      </c>
    </row>
    <row r="154" spans="1:50" s="31" customFormat="1" x14ac:dyDescent="0.25"/>
    <row r="155" spans="1:50" x14ac:dyDescent="0.25">
      <c r="A155" s="33" t="s">
        <v>122</v>
      </c>
      <c r="C155" t="s">
        <v>130</v>
      </c>
      <c r="AS155" s="17" t="s">
        <v>89</v>
      </c>
      <c r="AT155" s="17" t="s">
        <v>90</v>
      </c>
      <c r="AU155" s="17"/>
      <c r="AV155" s="17"/>
      <c r="AW155" s="17" t="s">
        <v>91</v>
      </c>
      <c r="AX155" s="17"/>
    </row>
    <row r="156" spans="1:50" x14ac:dyDescent="0.25">
      <c r="A156" t="s">
        <v>21</v>
      </c>
      <c r="B156" t="s">
        <v>22</v>
      </c>
      <c r="C156" t="s">
        <v>23</v>
      </c>
      <c r="D156" t="s">
        <v>24</v>
      </c>
      <c r="E156" t="s">
        <v>97</v>
      </c>
      <c r="F156" t="s">
        <v>98</v>
      </c>
      <c r="G156" t="s">
        <v>25</v>
      </c>
      <c r="H156" t="s">
        <v>26</v>
      </c>
      <c r="I156" t="s">
        <v>27</v>
      </c>
      <c r="J156" t="s">
        <v>28</v>
      </c>
      <c r="K156" t="s">
        <v>29</v>
      </c>
      <c r="L156" t="s">
        <v>30</v>
      </c>
      <c r="M156" t="s">
        <v>31</v>
      </c>
      <c r="N156" t="s">
        <v>32</v>
      </c>
      <c r="O156" t="s">
        <v>33</v>
      </c>
      <c r="P156" t="s">
        <v>34</v>
      </c>
      <c r="Q156" t="s">
        <v>35</v>
      </c>
      <c r="R156" t="s">
        <v>36</v>
      </c>
      <c r="S156" t="s">
        <v>37</v>
      </c>
      <c r="T156" t="s">
        <v>38</v>
      </c>
      <c r="U156" t="s">
        <v>39</v>
      </c>
      <c r="V156" t="s">
        <v>40</v>
      </c>
      <c r="W156" t="s">
        <v>41</v>
      </c>
      <c r="X156" t="s">
        <v>42</v>
      </c>
      <c r="Y156" t="s">
        <v>43</v>
      </c>
      <c r="Z156" t="s">
        <v>44</v>
      </c>
      <c r="AA156" t="s">
        <v>45</v>
      </c>
      <c r="AB156" s="1" t="s">
        <v>46</v>
      </c>
      <c r="AC156" s="1" t="s">
        <v>47</v>
      </c>
      <c r="AD156" s="1" t="s">
        <v>48</v>
      </c>
      <c r="AE156" t="s">
        <v>49</v>
      </c>
      <c r="AF156" t="s">
        <v>50</v>
      </c>
      <c r="AG156" t="s">
        <v>51</v>
      </c>
      <c r="AH156" t="s">
        <v>52</v>
      </c>
      <c r="AI156" t="s">
        <v>53</v>
      </c>
      <c r="AJ156" t="s">
        <v>54</v>
      </c>
      <c r="AK156" t="s">
        <v>55</v>
      </c>
      <c r="AL156" t="s">
        <v>56</v>
      </c>
      <c r="AM156" t="s">
        <v>57</v>
      </c>
      <c r="AN156" t="s">
        <v>58</v>
      </c>
      <c r="AO156" t="s">
        <v>59</v>
      </c>
      <c r="AP156" t="s">
        <v>60</v>
      </c>
      <c r="AQ156" t="s">
        <v>61</v>
      </c>
      <c r="AR156" t="s">
        <v>62</v>
      </c>
      <c r="AS156" s="34" t="s">
        <v>124</v>
      </c>
      <c r="AT156" s="34" t="s">
        <v>125</v>
      </c>
      <c r="AU156" s="34" t="s">
        <v>126</v>
      </c>
      <c r="AV156" s="34" t="s">
        <v>127</v>
      </c>
      <c r="AW156" s="34" t="s">
        <v>128</v>
      </c>
      <c r="AX156" s="34" t="s">
        <v>129</v>
      </c>
    </row>
    <row r="157" spans="1:50" x14ac:dyDescent="0.25">
      <c r="A157">
        <v>4.3</v>
      </c>
      <c r="B157" s="4">
        <v>0.99502774202643496</v>
      </c>
      <c r="C157" s="4">
        <v>0</v>
      </c>
      <c r="D157" s="4">
        <v>5.8062099244318599</v>
      </c>
      <c r="E157" s="4">
        <v>0</v>
      </c>
      <c r="F157" s="5">
        <v>4.9722579735641901E-3</v>
      </c>
      <c r="G157" s="5">
        <v>0</v>
      </c>
      <c r="H157" s="4">
        <v>4.125</v>
      </c>
      <c r="I157" s="4">
        <v>4.0914465832429299</v>
      </c>
      <c r="J157" s="4">
        <v>-39.292400000000001</v>
      </c>
      <c r="K157" s="4">
        <v>-107.582908254133</v>
      </c>
      <c r="L157" s="4">
        <v>22.464930692893201</v>
      </c>
      <c r="M157" s="4">
        <v>18.498074801809601</v>
      </c>
      <c r="N157" s="4">
        <v>80</v>
      </c>
      <c r="O157" s="4">
        <v>77.967109304621005</v>
      </c>
      <c r="P157" s="4">
        <v>177738.07201269601</v>
      </c>
      <c r="Q157" s="4">
        <v>177737.54500000001</v>
      </c>
      <c r="R157" s="4">
        <v>782</v>
      </c>
      <c r="S157" s="4">
        <v>0</v>
      </c>
      <c r="T157" s="4">
        <v>0</v>
      </c>
      <c r="U157" s="4">
        <v>0</v>
      </c>
      <c r="V157" s="4">
        <v>1</v>
      </c>
      <c r="W157" s="4">
        <v>0</v>
      </c>
      <c r="X157" s="4">
        <v>0</v>
      </c>
      <c r="Y157" s="4">
        <v>0</v>
      </c>
      <c r="Z157" s="5">
        <v>3.5354267024575401E-4</v>
      </c>
      <c r="AA157" s="5">
        <v>1.33949922462921E-5</v>
      </c>
      <c r="AB157" s="10">
        <v>3.8048393520865201E-3</v>
      </c>
      <c r="AC157" s="10">
        <v>0</v>
      </c>
      <c r="AD157" s="10">
        <v>8.0046846476781205E-4</v>
      </c>
      <c r="AE157" s="4">
        <v>-1.2605143054186499E-3</v>
      </c>
      <c r="AF157" s="4">
        <v>1</v>
      </c>
      <c r="AG157" s="4">
        <v>1</v>
      </c>
      <c r="AH157" s="4">
        <v>1</v>
      </c>
      <c r="AI157" s="4">
        <v>1</v>
      </c>
      <c r="AJ157" s="4">
        <v>1</v>
      </c>
      <c r="AK157" s="4">
        <v>1</v>
      </c>
      <c r="AL157" s="4">
        <v>1</v>
      </c>
      <c r="AM157" s="4">
        <v>0</v>
      </c>
      <c r="AN157" s="4">
        <v>0</v>
      </c>
      <c r="AO157" s="4" t="s">
        <v>64</v>
      </c>
      <c r="AP157" s="4">
        <f>-125--100</f>
        <v>-25</v>
      </c>
      <c r="AQ157" s="6">
        <v>710950.18</v>
      </c>
      <c r="AR157" s="4">
        <v>4</v>
      </c>
      <c r="AS157" s="35">
        <v>0</v>
      </c>
      <c r="AT157" s="35">
        <v>0</v>
      </c>
      <c r="AU157" s="35">
        <v>0</v>
      </c>
      <c r="AV157" s="35">
        <v>100</v>
      </c>
      <c r="AW157" s="35">
        <v>0</v>
      </c>
      <c r="AX157" s="35">
        <v>100</v>
      </c>
    </row>
    <row r="158" spans="1:50" x14ac:dyDescent="0.25">
      <c r="A158">
        <v>4.3</v>
      </c>
      <c r="B158" s="4">
        <v>0.99155721853217005</v>
      </c>
      <c r="C158" s="4">
        <v>2.1576303824956899</v>
      </c>
      <c r="D158" s="4">
        <v>9.6738776673459803</v>
      </c>
      <c r="E158" s="4">
        <v>1.8160552716067701E-3</v>
      </c>
      <c r="F158" s="5">
        <v>8.4427814678294695E-3</v>
      </c>
      <c r="G158" s="5">
        <v>0</v>
      </c>
      <c r="H158" s="4">
        <v>4.1889410860719298</v>
      </c>
      <c r="I158" s="4">
        <v>4.0657978090578597</v>
      </c>
      <c r="J158" s="4">
        <v>-27.858500450505399</v>
      </c>
      <c r="K158" s="4">
        <v>-83.219819416087105</v>
      </c>
      <c r="L158" s="4">
        <v>18.879883136790401</v>
      </c>
      <c r="M158" s="4">
        <v>17.1692018480523</v>
      </c>
      <c r="N158" s="4">
        <v>76.773119708864698</v>
      </c>
      <c r="O158" s="4">
        <v>76.563737100031304</v>
      </c>
      <c r="P158" s="4">
        <v>225230.39435666599</v>
      </c>
      <c r="Q158" s="4">
        <v>199055.97399999999</v>
      </c>
      <c r="R158" s="4">
        <v>782.10613584833504</v>
      </c>
      <c r="S158" s="4">
        <v>0</v>
      </c>
      <c r="T158" s="4">
        <v>0</v>
      </c>
      <c r="U158" s="4">
        <v>0</v>
      </c>
      <c r="V158" s="4">
        <v>1</v>
      </c>
      <c r="W158" s="4">
        <v>0</v>
      </c>
      <c r="X158" s="4">
        <v>0.13217823177046001</v>
      </c>
      <c r="Y158" s="4">
        <v>0</v>
      </c>
      <c r="Z158" s="5">
        <v>3.7752422054304499E-4</v>
      </c>
      <c r="AA158" s="5">
        <v>4.28706961381961E-5</v>
      </c>
      <c r="AB158" s="10">
        <v>3.1142536262320098E-3</v>
      </c>
      <c r="AC158" s="10">
        <v>0</v>
      </c>
      <c r="AD158" s="10">
        <v>4.9081176036822301E-3</v>
      </c>
      <c r="AE158" s="4">
        <v>-2.40998460287251E-2</v>
      </c>
      <c r="AF158" s="4">
        <v>1</v>
      </c>
      <c r="AG158" s="4">
        <v>1</v>
      </c>
      <c r="AH158" s="4">
        <v>1</v>
      </c>
      <c r="AI158" s="4">
        <v>1</v>
      </c>
      <c r="AJ158" s="4">
        <v>1</v>
      </c>
      <c r="AK158" s="4">
        <v>1</v>
      </c>
      <c r="AL158" s="4">
        <v>1</v>
      </c>
      <c r="AM158" s="4">
        <v>0</v>
      </c>
      <c r="AN158" s="4">
        <v>0</v>
      </c>
      <c r="AO158" s="4" t="s">
        <v>65</v>
      </c>
      <c r="AP158" s="4">
        <f>-100--75</f>
        <v>-25</v>
      </c>
      <c r="AQ158" s="6">
        <v>2985839.61</v>
      </c>
      <c r="AR158" s="4">
        <v>15</v>
      </c>
      <c r="AS158" s="35">
        <v>0</v>
      </c>
      <c r="AT158" s="35">
        <v>0</v>
      </c>
      <c r="AU158" s="35">
        <v>0</v>
      </c>
      <c r="AV158" s="35">
        <v>100</v>
      </c>
      <c r="AW158" s="35">
        <v>0</v>
      </c>
      <c r="AX158" s="35">
        <v>100</v>
      </c>
    </row>
    <row r="159" spans="1:50" x14ac:dyDescent="0.25">
      <c r="A159">
        <v>4.3</v>
      </c>
      <c r="B159" s="4">
        <v>0.99550634475364297</v>
      </c>
      <c r="C159" s="4">
        <v>8.8452660536773493</v>
      </c>
      <c r="D159" s="4">
        <v>5.2610891509947102</v>
      </c>
      <c r="E159" s="4">
        <v>7.6879413060304503E-3</v>
      </c>
      <c r="F159" s="5">
        <v>4.49365524635647E-3</v>
      </c>
      <c r="G159" s="5">
        <v>0</v>
      </c>
      <c r="H159" s="4">
        <v>3.8754078391898901</v>
      </c>
      <c r="I159" s="4">
        <v>4.1426231422739299</v>
      </c>
      <c r="J159" s="4">
        <v>-62.065275608468198</v>
      </c>
      <c r="K159" s="4">
        <v>-58.362227838696299</v>
      </c>
      <c r="L159" s="4">
        <v>20.533306268326498</v>
      </c>
      <c r="M159" s="4">
        <v>15.3173723400286</v>
      </c>
      <c r="N159" s="4">
        <v>78.746356588527703</v>
      </c>
      <c r="O159" s="4">
        <v>74.733621395514504</v>
      </c>
      <c r="P159" s="4">
        <v>253658.83384519001</v>
      </c>
      <c r="Q159" s="4">
        <v>183215.198389261</v>
      </c>
      <c r="R159" s="4">
        <v>781.71532127546197</v>
      </c>
      <c r="S159" s="4">
        <v>0</v>
      </c>
      <c r="T159" s="4">
        <v>0</v>
      </c>
      <c r="U159" s="4">
        <v>0</v>
      </c>
      <c r="V159" s="4">
        <v>1</v>
      </c>
      <c r="W159" s="4">
        <v>0</v>
      </c>
      <c r="X159" s="4">
        <v>0.15768331110903</v>
      </c>
      <c r="Y159" s="4">
        <v>0</v>
      </c>
      <c r="Z159" s="5">
        <v>7.1264657948908296E-4</v>
      </c>
      <c r="AA159" s="5">
        <v>7.5896280950531197E-5</v>
      </c>
      <c r="AB159" s="10">
        <v>2.63746209696412E-3</v>
      </c>
      <c r="AC159" s="10">
        <v>0</v>
      </c>
      <c r="AD159" s="10">
        <v>1.06764049105882E-3</v>
      </c>
      <c r="AE159" s="4">
        <v>-2.1212521517532001E-2</v>
      </c>
      <c r="AF159" s="4">
        <v>0.99566701819617198</v>
      </c>
      <c r="AG159" s="4">
        <v>1</v>
      </c>
      <c r="AH159" s="4">
        <v>1</v>
      </c>
      <c r="AI159" s="4">
        <v>1</v>
      </c>
      <c r="AJ159" s="4">
        <v>1</v>
      </c>
      <c r="AK159" s="4">
        <v>1</v>
      </c>
      <c r="AL159" s="4">
        <v>1</v>
      </c>
      <c r="AM159" s="4">
        <v>0</v>
      </c>
      <c r="AN159" s="4">
        <v>0</v>
      </c>
      <c r="AO159" s="4" t="s">
        <v>66</v>
      </c>
      <c r="AP159" s="4">
        <f>-75--50</f>
        <v>-25</v>
      </c>
      <c r="AQ159" s="6">
        <v>54598129.119999997</v>
      </c>
      <c r="AR159" s="4">
        <v>298</v>
      </c>
      <c r="AS159" s="35">
        <v>0</v>
      </c>
      <c r="AT159" s="35">
        <v>0</v>
      </c>
      <c r="AU159" s="35">
        <v>0</v>
      </c>
      <c r="AV159" s="35">
        <v>100</v>
      </c>
      <c r="AW159" s="35">
        <v>0</v>
      </c>
      <c r="AX159" s="35">
        <v>100</v>
      </c>
    </row>
    <row r="160" spans="1:50" x14ac:dyDescent="0.25">
      <c r="A160">
        <v>4.3</v>
      </c>
      <c r="B160" s="4">
        <v>0.99412404119775899</v>
      </c>
      <c r="C160" s="4">
        <v>6.10911542156789</v>
      </c>
      <c r="D160" s="4">
        <v>6.8276779473100699</v>
      </c>
      <c r="E160" s="4">
        <v>5.2393000986796501E-3</v>
      </c>
      <c r="F160" s="5">
        <v>5.87595880224045E-3</v>
      </c>
      <c r="G160" s="5">
        <v>0</v>
      </c>
      <c r="H160" s="4">
        <v>3.9337331794347299</v>
      </c>
      <c r="I160" s="4">
        <v>4.1358934381727401</v>
      </c>
      <c r="J160" s="4">
        <v>-57.987062050997501</v>
      </c>
      <c r="K160" s="4">
        <v>-33.5047409308822</v>
      </c>
      <c r="L160" s="4">
        <v>16.9672804055526</v>
      </c>
      <c r="M160" s="4">
        <v>15.4481221743963</v>
      </c>
      <c r="N160" s="4">
        <v>74.279276239167999</v>
      </c>
      <c r="O160" s="4">
        <v>72.186535938175993</v>
      </c>
      <c r="P160" s="4">
        <v>264061.524804977</v>
      </c>
      <c r="Q160" s="4">
        <v>230524.07956009399</v>
      </c>
      <c r="R160" s="4">
        <v>783.86911152895505</v>
      </c>
      <c r="S160" s="4">
        <v>0</v>
      </c>
      <c r="T160" s="4">
        <v>0</v>
      </c>
      <c r="U160" s="4">
        <v>2.28414120258448E-3</v>
      </c>
      <c r="V160" s="4">
        <v>1</v>
      </c>
      <c r="W160" s="4">
        <v>0</v>
      </c>
      <c r="X160" s="4">
        <v>0.308707954423458</v>
      </c>
      <c r="Y160" s="4">
        <v>0</v>
      </c>
      <c r="Z160" s="5">
        <v>4.4169029644841698E-4</v>
      </c>
      <c r="AA160" s="5">
        <v>6.3523872468606701E-5</v>
      </c>
      <c r="AB160" s="10">
        <v>2.7300308982072499E-3</v>
      </c>
      <c r="AC160" s="10">
        <v>7.7476567074194104E-9</v>
      </c>
      <c r="AD160" s="10">
        <v>2.6406919329238E-3</v>
      </c>
      <c r="AE160" s="4">
        <v>-1.20608263629062E-2</v>
      </c>
      <c r="AF160" s="4">
        <v>0.97597850851066403</v>
      </c>
      <c r="AG160" s="4">
        <v>0.99876642381705805</v>
      </c>
      <c r="AH160" s="4">
        <v>1</v>
      </c>
      <c r="AI160" s="4">
        <v>1</v>
      </c>
      <c r="AJ160" s="4">
        <v>1</v>
      </c>
      <c r="AK160" s="4">
        <v>1</v>
      </c>
      <c r="AL160" s="4">
        <v>1</v>
      </c>
      <c r="AM160" s="4">
        <v>0</v>
      </c>
      <c r="AN160" s="4">
        <v>0</v>
      </c>
      <c r="AO160" s="4" t="s">
        <v>67</v>
      </c>
      <c r="AP160" s="4">
        <f>-50--25</f>
        <v>-25</v>
      </c>
      <c r="AQ160" s="6">
        <v>586914306.55999994</v>
      </c>
      <c r="AR160" s="4">
        <v>2546</v>
      </c>
      <c r="AS160" s="35">
        <v>0</v>
      </c>
      <c r="AT160" s="35">
        <v>0</v>
      </c>
      <c r="AU160" s="35">
        <v>0</v>
      </c>
      <c r="AV160" s="35">
        <v>100</v>
      </c>
      <c r="AW160" s="35">
        <v>0</v>
      </c>
      <c r="AX160" s="35">
        <v>100</v>
      </c>
    </row>
    <row r="161" spans="1:50" x14ac:dyDescent="0.25">
      <c r="A161">
        <v>4.3</v>
      </c>
      <c r="B161" s="4">
        <v>0.992243198024364</v>
      </c>
      <c r="C161" s="4">
        <v>7.1060276401131102</v>
      </c>
      <c r="D161" s="4">
        <v>8.92114437194458</v>
      </c>
      <c r="E161" s="4">
        <v>6.1237914678671703E-3</v>
      </c>
      <c r="F161" s="5">
        <v>7.7568019756351003E-3</v>
      </c>
      <c r="G161" s="5">
        <v>0</v>
      </c>
      <c r="H161" s="4">
        <v>4.0180599982072902</v>
      </c>
      <c r="I161" s="4">
        <v>4.1345790232677402</v>
      </c>
      <c r="J161" s="4">
        <v>-50.7126356295148</v>
      </c>
      <c r="K161" s="4">
        <v>-22.3264737150208</v>
      </c>
      <c r="L161" s="4">
        <v>16.618136681581198</v>
      </c>
      <c r="M161" s="4">
        <v>15.5306494698756</v>
      </c>
      <c r="N161" s="4">
        <v>73.280626971890499</v>
      </c>
      <c r="O161" s="4">
        <v>71.282047723013406</v>
      </c>
      <c r="P161" s="4">
        <v>264535.875009868</v>
      </c>
      <c r="Q161" s="4">
        <v>237784.208078344</v>
      </c>
      <c r="R161" s="4">
        <v>784.09556318441298</v>
      </c>
      <c r="S161" s="4">
        <v>0</v>
      </c>
      <c r="T161" s="4">
        <v>0</v>
      </c>
      <c r="U161" s="4">
        <v>2.5417518689273902E-3</v>
      </c>
      <c r="V161" s="4">
        <v>1</v>
      </c>
      <c r="W161" s="4">
        <v>0</v>
      </c>
      <c r="X161" s="4">
        <v>0.42702259410898902</v>
      </c>
      <c r="Y161" s="4">
        <v>0</v>
      </c>
      <c r="Z161" s="5">
        <v>4.1228445950361703E-4</v>
      </c>
      <c r="AA161" s="5">
        <v>5.8119174727330298E-5</v>
      </c>
      <c r="AB161" s="10">
        <v>2.7167681578046201E-3</v>
      </c>
      <c r="AC161" s="10">
        <v>0</v>
      </c>
      <c r="AD161" s="10">
        <v>4.5696162613679103E-3</v>
      </c>
      <c r="AE161" s="4">
        <v>-1.10512501982935E-2</v>
      </c>
      <c r="AF161" s="4">
        <v>0.97689964225186599</v>
      </c>
      <c r="AG161" s="4">
        <v>0.999320442533571</v>
      </c>
      <c r="AH161" s="4">
        <v>1</v>
      </c>
      <c r="AI161" s="4">
        <v>1</v>
      </c>
      <c r="AJ161" s="4">
        <v>1</v>
      </c>
      <c r="AK161" s="4">
        <v>1</v>
      </c>
      <c r="AL161" s="4">
        <v>1</v>
      </c>
      <c r="AM161" s="4">
        <v>0</v>
      </c>
      <c r="AN161" s="4">
        <v>0</v>
      </c>
      <c r="AO161" s="4" t="s">
        <v>145</v>
      </c>
      <c r="AP161" s="4">
        <f>-25--20</f>
        <v>-5</v>
      </c>
      <c r="AQ161" s="6">
        <v>321722033.52999997</v>
      </c>
      <c r="AR161" s="4">
        <v>1353</v>
      </c>
      <c r="AS161" s="35">
        <v>0</v>
      </c>
      <c r="AT161" s="35">
        <v>0</v>
      </c>
      <c r="AU161" s="35">
        <v>0</v>
      </c>
      <c r="AV161" s="35">
        <v>100</v>
      </c>
      <c r="AW161" s="35">
        <v>0</v>
      </c>
      <c r="AX161" s="35">
        <v>100</v>
      </c>
    </row>
    <row r="162" spans="1:50" x14ac:dyDescent="0.25">
      <c r="A162">
        <v>4.3</v>
      </c>
      <c r="B162" s="4">
        <v>0.99124154733246495</v>
      </c>
      <c r="C162" s="4">
        <v>8.6985095814039699</v>
      </c>
      <c r="D162" s="4">
        <v>10.0183477390585</v>
      </c>
      <c r="E162" s="4">
        <v>7.5549066464631097E-3</v>
      </c>
      <c r="F162" s="5">
        <v>8.7584526675343593E-3</v>
      </c>
      <c r="G162" s="5">
        <v>0</v>
      </c>
      <c r="H162" s="4">
        <v>4.0720564947187698</v>
      </c>
      <c r="I162" s="4">
        <v>4.1349830987264804</v>
      </c>
      <c r="J162" s="4">
        <v>-44.711819413958601</v>
      </c>
      <c r="K162" s="4">
        <v>-17.311749735249801</v>
      </c>
      <c r="L162" s="4">
        <v>16.3287372576705</v>
      </c>
      <c r="M162" s="4">
        <v>15.567633174213301</v>
      </c>
      <c r="N162" s="4">
        <v>73.793991563824093</v>
      </c>
      <c r="O162" s="4">
        <v>71.971501958417306</v>
      </c>
      <c r="P162" s="4">
        <v>267917.151319367</v>
      </c>
      <c r="Q162" s="4">
        <v>242769.89908354401</v>
      </c>
      <c r="R162" s="4">
        <v>783.30116842390396</v>
      </c>
      <c r="S162" s="4">
        <v>0</v>
      </c>
      <c r="T162" s="4">
        <v>0</v>
      </c>
      <c r="U162" s="4">
        <v>2.6018586505567802E-3</v>
      </c>
      <c r="V162" s="4">
        <v>1</v>
      </c>
      <c r="W162" s="4">
        <v>0</v>
      </c>
      <c r="X162" s="4">
        <v>0.47730100240914097</v>
      </c>
      <c r="Y162" s="4">
        <v>0</v>
      </c>
      <c r="Z162" s="5">
        <v>4.0384629366537801E-4</v>
      </c>
      <c r="AA162" s="5">
        <v>6.4570306686520499E-5</v>
      </c>
      <c r="AB162" s="10">
        <v>2.7071065943604401E-3</v>
      </c>
      <c r="AC162" s="10">
        <v>7.3470508587660499E-9</v>
      </c>
      <c r="AD162" s="10">
        <v>5.5829079947359601E-3</v>
      </c>
      <c r="AE162" s="4">
        <v>-1.2414967103003599E-2</v>
      </c>
      <c r="AF162" s="4">
        <v>0.97117836058937701</v>
      </c>
      <c r="AG162" s="4">
        <v>0.99729852198818802</v>
      </c>
      <c r="AH162" s="4">
        <v>1</v>
      </c>
      <c r="AI162" s="4">
        <v>1</v>
      </c>
      <c r="AJ162" s="4">
        <v>1</v>
      </c>
      <c r="AK162" s="4">
        <v>1</v>
      </c>
      <c r="AL162" s="4">
        <v>1</v>
      </c>
      <c r="AM162" s="4">
        <v>0</v>
      </c>
      <c r="AN162" s="4">
        <v>0</v>
      </c>
      <c r="AO162" s="4" t="s">
        <v>146</v>
      </c>
      <c r="AP162" s="4">
        <f>-20--15</f>
        <v>-5</v>
      </c>
      <c r="AQ162" s="6">
        <v>479470550.69</v>
      </c>
      <c r="AR162" s="4">
        <v>1975</v>
      </c>
      <c r="AS162" s="35">
        <v>0</v>
      </c>
      <c r="AT162" s="35">
        <v>0</v>
      </c>
      <c r="AU162" s="35">
        <v>0</v>
      </c>
      <c r="AV162" s="35">
        <v>100</v>
      </c>
      <c r="AW162" s="35">
        <v>0</v>
      </c>
      <c r="AX162" s="35">
        <v>100</v>
      </c>
    </row>
    <row r="163" spans="1:50" x14ac:dyDescent="0.25">
      <c r="A163">
        <v>4.3</v>
      </c>
      <c r="B163" s="4">
        <v>0.99045181500838098</v>
      </c>
      <c r="C163" s="4">
        <v>6.3804593342023299</v>
      </c>
      <c r="D163" s="4">
        <v>10.8748597832519</v>
      </c>
      <c r="E163" s="4">
        <v>5.47918889507845E-3</v>
      </c>
      <c r="F163" s="5">
        <v>9.5481849916189097E-3</v>
      </c>
      <c r="G163" s="5">
        <v>0</v>
      </c>
      <c r="H163" s="4">
        <v>4.1048577671638498</v>
      </c>
      <c r="I163" s="4">
        <v>4.13800546153041</v>
      </c>
      <c r="J163" s="4">
        <v>-42.397587293335597</v>
      </c>
      <c r="K163" s="4">
        <v>-12.3173211779757</v>
      </c>
      <c r="L163" s="4">
        <v>15.7072309249477</v>
      </c>
      <c r="M163" s="4">
        <v>15.593865771020299</v>
      </c>
      <c r="N163" s="4">
        <v>72.9023173291246</v>
      </c>
      <c r="O163" s="4">
        <v>71.460367824279999</v>
      </c>
      <c r="P163" s="4">
        <v>276472.54776843498</v>
      </c>
      <c r="Q163" s="4">
        <v>252968.75037194099</v>
      </c>
      <c r="R163" s="4">
        <v>783.80427595701701</v>
      </c>
      <c r="S163" s="4">
        <v>0</v>
      </c>
      <c r="T163" s="4">
        <v>0</v>
      </c>
      <c r="U163" s="4">
        <v>2.89713283044082E-3</v>
      </c>
      <c r="V163" s="4">
        <v>1</v>
      </c>
      <c r="W163" s="4">
        <v>0</v>
      </c>
      <c r="X163" s="4">
        <v>0.52413969070305499</v>
      </c>
      <c r="Y163" s="4">
        <v>0</v>
      </c>
      <c r="Z163" s="5">
        <v>3.87741803234489E-4</v>
      </c>
      <c r="AA163" s="5">
        <v>6.9829922073972201E-5</v>
      </c>
      <c r="AB163" s="10">
        <v>2.6538507770556201E-3</v>
      </c>
      <c r="AC163" s="10">
        <v>1.8047518930611901E-8</v>
      </c>
      <c r="AD163" s="10">
        <v>6.43673032635763E-3</v>
      </c>
      <c r="AE163" s="4">
        <v>-1.4256690388766801E-2</v>
      </c>
      <c r="AF163" s="4">
        <v>0.97877501905227304</v>
      </c>
      <c r="AG163" s="4">
        <v>0.99881842454148495</v>
      </c>
      <c r="AH163" s="4">
        <v>0.99970705667307902</v>
      </c>
      <c r="AI163" s="4">
        <v>1</v>
      </c>
      <c r="AJ163" s="4">
        <v>1</v>
      </c>
      <c r="AK163" s="4">
        <v>1</v>
      </c>
      <c r="AL163" s="4">
        <v>1</v>
      </c>
      <c r="AM163" s="4">
        <v>0</v>
      </c>
      <c r="AN163" s="4">
        <v>0</v>
      </c>
      <c r="AO163" s="4" t="s">
        <v>147</v>
      </c>
      <c r="AP163" s="4">
        <f>-15--10</f>
        <v>-5</v>
      </c>
      <c r="AQ163" s="6">
        <v>775349219.88999999</v>
      </c>
      <c r="AR163" s="4">
        <v>3065</v>
      </c>
      <c r="AS163" s="35">
        <v>0</v>
      </c>
      <c r="AT163" s="35">
        <v>0</v>
      </c>
      <c r="AU163" s="35">
        <v>0</v>
      </c>
      <c r="AV163" s="35">
        <v>100</v>
      </c>
      <c r="AW163" s="35">
        <v>0</v>
      </c>
      <c r="AX163" s="35">
        <v>100</v>
      </c>
    </row>
    <row r="164" spans="1:50" x14ac:dyDescent="0.25">
      <c r="A164">
        <v>4.3</v>
      </c>
      <c r="B164" s="4">
        <v>0.98971290500573705</v>
      </c>
      <c r="C164" s="4">
        <v>6.4067355609026597</v>
      </c>
      <c r="D164" s="4">
        <v>11.669477881181701</v>
      </c>
      <c r="E164" s="4">
        <v>5.5024529276864803E-3</v>
      </c>
      <c r="F164" s="5">
        <v>1.0287094994262599E-2</v>
      </c>
      <c r="G164" s="5">
        <v>0</v>
      </c>
      <c r="H164" s="4">
        <v>4.13553224518256</v>
      </c>
      <c r="I164" s="4">
        <v>4.1357163710158797</v>
      </c>
      <c r="J164" s="4">
        <v>-38.740924232765998</v>
      </c>
      <c r="K164" s="4">
        <v>-7.3437981301888398</v>
      </c>
      <c r="L164" s="4">
        <v>15.3703025029921</v>
      </c>
      <c r="M164" s="4">
        <v>15.580642902722699</v>
      </c>
      <c r="N164" s="4">
        <v>72.387633346580898</v>
      </c>
      <c r="O164" s="4">
        <v>71.157375843112405</v>
      </c>
      <c r="P164" s="4">
        <v>281797.45895587199</v>
      </c>
      <c r="Q164" s="4">
        <v>259103.467389786</v>
      </c>
      <c r="R164" s="4">
        <v>783.26207720590503</v>
      </c>
      <c r="S164" s="4">
        <v>0</v>
      </c>
      <c r="T164" s="4">
        <v>0</v>
      </c>
      <c r="U164" s="4">
        <v>2.4897797545384301E-3</v>
      </c>
      <c r="V164" s="4">
        <v>1</v>
      </c>
      <c r="W164" s="4">
        <v>0</v>
      </c>
      <c r="X164" s="4">
        <v>0.59163619882085206</v>
      </c>
      <c r="Y164" s="4">
        <v>0</v>
      </c>
      <c r="Z164" s="5">
        <v>3.8504906216427302E-4</v>
      </c>
      <c r="AA164" s="5">
        <v>7.0416650608829003E-5</v>
      </c>
      <c r="AB164" s="10">
        <v>2.5919498474019798E-3</v>
      </c>
      <c r="AC164" s="10">
        <v>2.23378693600211E-8</v>
      </c>
      <c r="AD164" s="10">
        <v>7.2396428666883601E-3</v>
      </c>
      <c r="AE164" s="4">
        <v>-1.7384881300280101E-2</v>
      </c>
      <c r="AF164" s="4">
        <v>0.98007934690236498</v>
      </c>
      <c r="AG164" s="4">
        <v>0.99846112669411502</v>
      </c>
      <c r="AH164" s="4">
        <v>0.99979468960723095</v>
      </c>
      <c r="AI164" s="4">
        <v>1</v>
      </c>
      <c r="AJ164" s="4">
        <v>1</v>
      </c>
      <c r="AK164" s="4">
        <v>1</v>
      </c>
      <c r="AL164" s="4">
        <v>1</v>
      </c>
      <c r="AM164" s="4">
        <v>0</v>
      </c>
      <c r="AN164" s="4">
        <v>0</v>
      </c>
      <c r="AO164" s="4" t="s">
        <v>148</v>
      </c>
      <c r="AP164" s="4">
        <f>-10--5</f>
        <v>-5</v>
      </c>
      <c r="AQ164" s="6">
        <v>1187212087.5799999</v>
      </c>
      <c r="AR164" s="4">
        <v>4582</v>
      </c>
      <c r="AS164" s="35">
        <v>0</v>
      </c>
      <c r="AT164" s="35">
        <v>0</v>
      </c>
      <c r="AU164" s="35">
        <v>0</v>
      </c>
      <c r="AV164" s="35">
        <v>100</v>
      </c>
      <c r="AW164" s="35">
        <v>0</v>
      </c>
      <c r="AX164" s="35">
        <v>100</v>
      </c>
    </row>
    <row r="165" spans="1:50" x14ac:dyDescent="0.25">
      <c r="A165">
        <v>4.3</v>
      </c>
      <c r="B165" s="4">
        <v>0.98887104420931504</v>
      </c>
      <c r="C165" s="4">
        <v>8.5782263871161106</v>
      </c>
      <c r="D165" s="4">
        <v>12.5668908040918</v>
      </c>
      <c r="E165" s="4">
        <v>7.4460160858357601E-3</v>
      </c>
      <c r="F165" s="5">
        <v>1.1128955790684699E-2</v>
      </c>
      <c r="G165" s="5">
        <v>0</v>
      </c>
      <c r="H165" s="4">
        <v>4.1515450495070398</v>
      </c>
      <c r="I165" s="4">
        <v>4.1292054869991999</v>
      </c>
      <c r="J165" s="4">
        <v>-36.728878664088299</v>
      </c>
      <c r="K165" s="4">
        <v>-2.3469884391010298</v>
      </c>
      <c r="L165" s="4">
        <v>15.2513728700937</v>
      </c>
      <c r="M165" s="4">
        <v>15.7021857457209</v>
      </c>
      <c r="N165" s="4">
        <v>70.914564842394398</v>
      </c>
      <c r="O165" s="4">
        <v>69.680919929116996</v>
      </c>
      <c r="P165" s="4">
        <v>283316.24242180499</v>
      </c>
      <c r="Q165" s="4">
        <v>260918.301779448</v>
      </c>
      <c r="R165" s="4">
        <v>783.70145259888602</v>
      </c>
      <c r="S165" s="4">
        <v>0</v>
      </c>
      <c r="T165" s="4">
        <v>0</v>
      </c>
      <c r="U165" s="4">
        <v>3.18501998606274E-3</v>
      </c>
      <c r="V165" s="4">
        <v>1</v>
      </c>
      <c r="W165" s="4">
        <v>0</v>
      </c>
      <c r="X165" s="4">
        <v>0.67408689094701002</v>
      </c>
      <c r="Y165" s="4">
        <v>0</v>
      </c>
      <c r="Z165" s="5">
        <v>3.8336410389964201E-4</v>
      </c>
      <c r="AA165" s="5">
        <v>6.6886549187802598E-5</v>
      </c>
      <c r="AB165" s="10">
        <v>2.6205724707579299E-3</v>
      </c>
      <c r="AC165" s="10">
        <v>4.6607203424744404E-9</v>
      </c>
      <c r="AD165" s="10">
        <v>8.0581138057314594E-3</v>
      </c>
      <c r="AE165" s="4">
        <v>-1.6544428132303699E-2</v>
      </c>
      <c r="AF165" s="4">
        <v>0.97544279675641099</v>
      </c>
      <c r="AG165" s="4">
        <v>0.99898115512915397</v>
      </c>
      <c r="AH165" s="4">
        <v>1</v>
      </c>
      <c r="AI165" s="4">
        <v>1</v>
      </c>
      <c r="AJ165" s="4">
        <v>1</v>
      </c>
      <c r="AK165" s="4">
        <v>1</v>
      </c>
      <c r="AL165" s="4">
        <v>1</v>
      </c>
      <c r="AM165" s="4">
        <v>0</v>
      </c>
      <c r="AN165" s="4">
        <v>0</v>
      </c>
      <c r="AO165" s="4" t="s">
        <v>68</v>
      </c>
      <c r="AP165" s="4">
        <f>-25-0</f>
        <v>-25</v>
      </c>
      <c r="AQ165" s="6">
        <v>1769808840.97</v>
      </c>
      <c r="AR165" s="4">
        <v>6783</v>
      </c>
      <c r="AS165" s="35">
        <v>0</v>
      </c>
      <c r="AT165" s="35">
        <v>0</v>
      </c>
      <c r="AU165" s="35">
        <v>0</v>
      </c>
      <c r="AV165" s="35">
        <v>100</v>
      </c>
      <c r="AW165" s="35">
        <v>0</v>
      </c>
      <c r="AX165" s="35">
        <v>100</v>
      </c>
    </row>
    <row r="166" spans="1:50" x14ac:dyDescent="0.25">
      <c r="A166">
        <v>4.3</v>
      </c>
      <c r="B166" s="4">
        <v>0.98816108433995298</v>
      </c>
      <c r="C166" s="4">
        <v>10.4479365366184</v>
      </c>
      <c r="D166" s="4">
        <v>13.3171945571716</v>
      </c>
      <c r="E166" s="4">
        <v>9.1536822176749699E-3</v>
      </c>
      <c r="F166" s="5">
        <v>1.1838915660046599E-2</v>
      </c>
      <c r="G166" s="5">
        <v>0</v>
      </c>
      <c r="H166" s="4">
        <v>4.1788898925714797</v>
      </c>
      <c r="I166" s="4">
        <v>4.1204262886232801</v>
      </c>
      <c r="J166" s="4">
        <v>-33.879821049933597</v>
      </c>
      <c r="K166" s="4">
        <v>2.6097941605028701</v>
      </c>
      <c r="L166" s="4">
        <v>15.372608823947401</v>
      </c>
      <c r="M166" s="4">
        <v>15.888464149145801</v>
      </c>
      <c r="N166" s="4">
        <v>69.901807832947199</v>
      </c>
      <c r="O166" s="4">
        <v>68.535799178855598</v>
      </c>
      <c r="P166" s="4">
        <v>280506.93136302999</v>
      </c>
      <c r="Q166" s="4">
        <v>259222.21051822699</v>
      </c>
      <c r="R166" s="4">
        <v>784.49044035346196</v>
      </c>
      <c r="S166" s="4">
        <v>0</v>
      </c>
      <c r="T166" s="4">
        <v>0</v>
      </c>
      <c r="U166" s="4">
        <v>5.1098108217111698E-3</v>
      </c>
      <c r="V166" s="4">
        <v>1</v>
      </c>
      <c r="W166" s="4">
        <v>0</v>
      </c>
      <c r="X166" s="4">
        <v>0.70065110658339003</v>
      </c>
      <c r="Y166" s="4">
        <v>0</v>
      </c>
      <c r="Z166" s="5">
        <v>3.8212671338124101E-4</v>
      </c>
      <c r="AA166" s="5">
        <v>6.6399326144262001E-5</v>
      </c>
      <c r="AB166" s="10">
        <v>2.6757968357219398E-3</v>
      </c>
      <c r="AC166" s="10">
        <v>6.8051559487370603E-8</v>
      </c>
      <c r="AD166" s="10">
        <v>8.7145104749265807E-3</v>
      </c>
      <c r="AE166" s="4">
        <v>-1.4119918528966E-2</v>
      </c>
      <c r="AF166" s="4">
        <v>0.96723600553699696</v>
      </c>
      <c r="AG166" s="4">
        <v>0.99792964664301198</v>
      </c>
      <c r="AH166" s="4">
        <v>0.99968306027961695</v>
      </c>
      <c r="AI166" s="4">
        <v>0.999772747029397</v>
      </c>
      <c r="AJ166" s="4">
        <v>1</v>
      </c>
      <c r="AK166" s="4">
        <v>1</v>
      </c>
      <c r="AL166" s="4">
        <v>1</v>
      </c>
      <c r="AM166" s="4">
        <v>0</v>
      </c>
      <c r="AN166" s="4">
        <v>0</v>
      </c>
      <c r="AO166" s="4" t="s">
        <v>149</v>
      </c>
      <c r="AP166" s="4" t="s">
        <v>135</v>
      </c>
      <c r="AQ166" s="6">
        <v>2310966006.77</v>
      </c>
      <c r="AR166" s="4">
        <v>8915</v>
      </c>
      <c r="AS166" s="35">
        <v>0</v>
      </c>
      <c r="AT166" s="35">
        <v>0</v>
      </c>
      <c r="AU166" s="35">
        <v>0</v>
      </c>
      <c r="AV166" s="35">
        <v>100</v>
      </c>
      <c r="AW166" s="35">
        <v>0</v>
      </c>
      <c r="AX166" s="35">
        <v>100</v>
      </c>
    </row>
    <row r="167" spans="1:50" x14ac:dyDescent="0.25">
      <c r="A167">
        <v>4.3</v>
      </c>
      <c r="B167" s="4">
        <v>0.98748597379714498</v>
      </c>
      <c r="C167" s="4">
        <v>8.6960533605249299</v>
      </c>
      <c r="D167" s="4">
        <v>14.025189404415</v>
      </c>
      <c r="E167" s="4">
        <v>7.5526817518748804E-3</v>
      </c>
      <c r="F167" s="5">
        <v>1.2514026202854E-2</v>
      </c>
      <c r="G167" s="5">
        <v>0</v>
      </c>
      <c r="H167" s="4">
        <v>4.2058754626140598</v>
      </c>
      <c r="I167" s="4">
        <v>4.1145571298782002</v>
      </c>
      <c r="J167" s="4">
        <v>-31.157779221971399</v>
      </c>
      <c r="K167" s="4">
        <v>7.6290786021217203</v>
      </c>
      <c r="L167" s="4">
        <v>15.627826027483</v>
      </c>
      <c r="M167" s="4">
        <v>15.8690132537665</v>
      </c>
      <c r="N167" s="4">
        <v>69.507409872387001</v>
      </c>
      <c r="O167" s="4">
        <v>68.095613594237307</v>
      </c>
      <c r="P167" s="4">
        <v>275281.870761086</v>
      </c>
      <c r="Q167" s="4">
        <v>255204.67709361899</v>
      </c>
      <c r="R167" s="4">
        <v>784.55850152779999</v>
      </c>
      <c r="S167" s="4">
        <v>0</v>
      </c>
      <c r="T167" s="4">
        <v>0</v>
      </c>
      <c r="U167" s="4">
        <v>7.0816118308880804E-3</v>
      </c>
      <c r="V167" s="4">
        <v>1</v>
      </c>
      <c r="W167" s="4">
        <v>0</v>
      </c>
      <c r="X167" s="4">
        <v>0.72561956904966196</v>
      </c>
      <c r="Y167" s="4">
        <v>0</v>
      </c>
      <c r="Z167" s="5">
        <v>3.8086583725521999E-4</v>
      </c>
      <c r="AA167" s="5">
        <v>6.6717001228667198E-5</v>
      </c>
      <c r="AB167" s="10">
        <v>2.7126481934548999E-3</v>
      </c>
      <c r="AC167" s="10">
        <v>1.49322095684134E-7</v>
      </c>
      <c r="AD167" s="10">
        <v>9.3536314769701694E-3</v>
      </c>
      <c r="AE167" s="4">
        <v>-1.34486293455522E-2</v>
      </c>
      <c r="AF167" s="4">
        <v>0.96036769742244699</v>
      </c>
      <c r="AG167" s="4">
        <v>0.99599152454904705</v>
      </c>
      <c r="AH167" s="4">
        <v>0.99967984568052204</v>
      </c>
      <c r="AI167" s="4">
        <v>1</v>
      </c>
      <c r="AJ167" s="4">
        <v>1</v>
      </c>
      <c r="AK167" s="4">
        <v>1</v>
      </c>
      <c r="AL167" s="4">
        <v>1</v>
      </c>
      <c r="AM167" s="4">
        <v>0</v>
      </c>
      <c r="AN167" s="4">
        <v>0</v>
      </c>
      <c r="AO167" s="4" t="s">
        <v>150</v>
      </c>
      <c r="AP167" s="4">
        <v>43230</v>
      </c>
      <c r="AQ167" s="6">
        <v>3235740100.8699999</v>
      </c>
      <c r="AR167" s="4">
        <v>12679</v>
      </c>
      <c r="AS167" s="35">
        <v>0</v>
      </c>
      <c r="AT167" s="35">
        <v>0</v>
      </c>
      <c r="AU167" s="35">
        <v>0</v>
      </c>
      <c r="AV167" s="35">
        <v>100</v>
      </c>
      <c r="AW167" s="35">
        <v>0</v>
      </c>
      <c r="AX167" s="35">
        <v>100</v>
      </c>
    </row>
    <row r="168" spans="1:50" x14ac:dyDescent="0.25">
      <c r="A168">
        <v>4.3</v>
      </c>
      <c r="B168" s="4">
        <v>0.98658475532770495</v>
      </c>
      <c r="C168" s="4">
        <v>12.0078539508949</v>
      </c>
      <c r="D168" s="4">
        <v>14.9620453892122</v>
      </c>
      <c r="E168" s="4">
        <v>1.06035999807979E-2</v>
      </c>
      <c r="F168" s="5">
        <v>1.3415244672294701E-2</v>
      </c>
      <c r="G168" s="5">
        <v>0</v>
      </c>
      <c r="H168" s="4">
        <v>4.2306198663480803</v>
      </c>
      <c r="I168" s="4">
        <v>4.1081496595276601</v>
      </c>
      <c r="J168" s="4">
        <v>-29.228147027039899</v>
      </c>
      <c r="K168" s="4">
        <v>12.5985179279443</v>
      </c>
      <c r="L168" s="4">
        <v>15.467621479039</v>
      </c>
      <c r="M168" s="4">
        <v>15.8870911517511</v>
      </c>
      <c r="N168" s="4">
        <v>68.302709156930504</v>
      </c>
      <c r="O168" s="4">
        <v>66.820434522178502</v>
      </c>
      <c r="P168" s="4">
        <v>277559.63662107801</v>
      </c>
      <c r="Q168" s="4">
        <v>257944.81554740199</v>
      </c>
      <c r="R168" s="4">
        <v>784.49320119909601</v>
      </c>
      <c r="S168" s="4">
        <v>0</v>
      </c>
      <c r="T168" s="4">
        <v>0</v>
      </c>
      <c r="U168" s="4">
        <v>8.3911238603360302E-3</v>
      </c>
      <c r="V168" s="4">
        <v>1</v>
      </c>
      <c r="W168" s="4">
        <v>0</v>
      </c>
      <c r="X168" s="4">
        <v>0.75475182495387705</v>
      </c>
      <c r="Y168" s="4">
        <v>0</v>
      </c>
      <c r="Z168" s="5">
        <v>3.7617682147489298E-4</v>
      </c>
      <c r="AA168" s="5">
        <v>6.9781087121835599E-5</v>
      </c>
      <c r="AB168" s="10">
        <v>2.7366982794357901E-3</v>
      </c>
      <c r="AC168" s="10">
        <v>3.3218767868578001E-7</v>
      </c>
      <c r="AD168" s="10">
        <v>1.02322419767068E-2</v>
      </c>
      <c r="AE168" s="4">
        <v>-1.0912228892882901E-2</v>
      </c>
      <c r="AF168" s="4">
        <v>0.948954387568822</v>
      </c>
      <c r="AG168" s="4">
        <v>0.99521715928868804</v>
      </c>
      <c r="AH168" s="4">
        <v>0.99913210670052699</v>
      </c>
      <c r="AI168" s="4">
        <v>0.99972327392962301</v>
      </c>
      <c r="AJ168" s="4">
        <v>1</v>
      </c>
      <c r="AK168" s="4">
        <v>1</v>
      </c>
      <c r="AL168" s="4">
        <v>1</v>
      </c>
      <c r="AM168" s="4">
        <v>0</v>
      </c>
      <c r="AN168" s="4">
        <v>0</v>
      </c>
      <c r="AO168" s="4" t="s">
        <v>151</v>
      </c>
      <c r="AP168" s="4">
        <v>43388</v>
      </c>
      <c r="AQ168" s="6">
        <v>4394089932.8500004</v>
      </c>
      <c r="AR168" s="4">
        <v>17035</v>
      </c>
      <c r="AS168" s="35">
        <v>0</v>
      </c>
      <c r="AT168" s="35">
        <v>0</v>
      </c>
      <c r="AU168" s="35">
        <v>0</v>
      </c>
      <c r="AV168" s="35">
        <v>100</v>
      </c>
      <c r="AW168" s="35">
        <v>0</v>
      </c>
      <c r="AX168" s="35">
        <v>100</v>
      </c>
    </row>
    <row r="169" spans="1:50" x14ac:dyDescent="0.25">
      <c r="A169">
        <v>4.3</v>
      </c>
      <c r="B169" s="4">
        <v>0.98559508705830001</v>
      </c>
      <c r="C169" s="4">
        <v>12.367184963261201</v>
      </c>
      <c r="D169" s="4">
        <v>15.9800614183552</v>
      </c>
      <c r="E169" s="4">
        <v>1.09409293045754E-2</v>
      </c>
      <c r="F169" s="5">
        <v>1.44049129416998E-2</v>
      </c>
      <c r="G169" s="5">
        <v>0</v>
      </c>
      <c r="H169" s="4">
        <v>4.2559205017737503</v>
      </c>
      <c r="I169" s="4">
        <v>4.0966225174010802</v>
      </c>
      <c r="J169" s="4">
        <v>-26.8875171073026</v>
      </c>
      <c r="K169" s="4">
        <v>17.626853643271801</v>
      </c>
      <c r="L169" s="4">
        <v>15.408004879228899</v>
      </c>
      <c r="M169" s="4">
        <v>16.000202839456598</v>
      </c>
      <c r="N169" s="4">
        <v>67.744852713995698</v>
      </c>
      <c r="O169" s="4">
        <v>66.160099214670694</v>
      </c>
      <c r="P169" s="4">
        <v>278763.01957805001</v>
      </c>
      <c r="Q169" s="4">
        <v>258959.04132879799</v>
      </c>
      <c r="R169" s="4">
        <v>784.99866224874802</v>
      </c>
      <c r="S169" s="4">
        <v>0</v>
      </c>
      <c r="T169" s="4">
        <v>0</v>
      </c>
      <c r="U169" s="4">
        <v>1.0212749114811501E-2</v>
      </c>
      <c r="V169" s="4">
        <v>1</v>
      </c>
      <c r="W169" s="4">
        <v>0</v>
      </c>
      <c r="X169" s="4">
        <v>0.783586100603199</v>
      </c>
      <c r="Y169" s="4">
        <v>0</v>
      </c>
      <c r="Z169" s="5">
        <v>3.7656353063284502E-4</v>
      </c>
      <c r="AA169" s="5">
        <v>7.3278431277109903E-5</v>
      </c>
      <c r="AB169" s="10">
        <v>2.7625296099187701E-3</v>
      </c>
      <c r="AC169" s="10">
        <v>3.9022550366115799E-7</v>
      </c>
      <c r="AD169" s="10">
        <v>1.1192136691819E-2</v>
      </c>
      <c r="AE169" s="4">
        <v>-9.4636843246313895E-3</v>
      </c>
      <c r="AF169" s="4">
        <v>0.93414651484593103</v>
      </c>
      <c r="AG169" s="4">
        <v>0.99258246112662496</v>
      </c>
      <c r="AH169" s="4">
        <v>0.99925307897523796</v>
      </c>
      <c r="AI169" s="4">
        <v>0.99969446682561802</v>
      </c>
      <c r="AJ169" s="4">
        <v>1</v>
      </c>
      <c r="AK169" s="4">
        <v>1</v>
      </c>
      <c r="AL169" s="4">
        <v>1</v>
      </c>
      <c r="AM169" s="4">
        <v>0</v>
      </c>
      <c r="AN169" s="4">
        <v>0</v>
      </c>
      <c r="AO169" s="4" t="s">
        <v>152</v>
      </c>
      <c r="AP169" s="4" t="s">
        <v>136</v>
      </c>
      <c r="AQ169" s="6">
        <v>5825024675.6499996</v>
      </c>
      <c r="AR169" s="4">
        <v>22494</v>
      </c>
      <c r="AS169" s="35">
        <v>0</v>
      </c>
      <c r="AT169" s="35">
        <v>0</v>
      </c>
      <c r="AU169" s="35">
        <v>0</v>
      </c>
      <c r="AV169" s="35">
        <v>100</v>
      </c>
      <c r="AW169" s="35">
        <v>0</v>
      </c>
      <c r="AX169" s="35">
        <v>100</v>
      </c>
    </row>
    <row r="170" spans="1:50" x14ac:dyDescent="0.25">
      <c r="A170">
        <v>4.3</v>
      </c>
      <c r="B170" s="4">
        <v>0.98435943019150296</v>
      </c>
      <c r="C170" s="4">
        <v>12.9849050260343</v>
      </c>
      <c r="D170" s="4">
        <v>17.235427829597999</v>
      </c>
      <c r="E170" s="4">
        <v>1.15238011853577E-2</v>
      </c>
      <c r="F170" s="5">
        <v>1.5640569808496301E-2</v>
      </c>
      <c r="G170" s="5">
        <v>0</v>
      </c>
      <c r="H170" s="4">
        <v>4.2737576139170903</v>
      </c>
      <c r="I170" s="4">
        <v>4.0783863409240499</v>
      </c>
      <c r="J170" s="4">
        <v>-24.838627518283499</v>
      </c>
      <c r="K170" s="4">
        <v>22.570944064537301</v>
      </c>
      <c r="L170" s="4">
        <v>15.097617262783199</v>
      </c>
      <c r="M170" s="4">
        <v>16.248884125313399</v>
      </c>
      <c r="N170" s="4">
        <v>66.311217416594999</v>
      </c>
      <c r="O170" s="4">
        <v>64.682464184995297</v>
      </c>
      <c r="P170" s="4">
        <v>283994.55817509902</v>
      </c>
      <c r="Q170" s="4">
        <v>264314.17498787498</v>
      </c>
      <c r="R170" s="4">
        <v>785.09681353556596</v>
      </c>
      <c r="S170" s="4">
        <v>0</v>
      </c>
      <c r="T170" s="4">
        <v>0</v>
      </c>
      <c r="U170" s="4">
        <v>1.1627289045929801E-2</v>
      </c>
      <c r="V170" s="4">
        <v>1</v>
      </c>
      <c r="W170" s="4">
        <v>0</v>
      </c>
      <c r="X170" s="4">
        <v>0.80510473784326997</v>
      </c>
      <c r="Y170" s="4">
        <v>0</v>
      </c>
      <c r="Z170" s="5">
        <v>3.7470211246218299E-4</v>
      </c>
      <c r="AA170" s="5">
        <v>7.4645921216806601E-5</v>
      </c>
      <c r="AB170" s="10">
        <v>2.8215261089397699E-3</v>
      </c>
      <c r="AC170" s="10">
        <v>7.1883883162481199E-7</v>
      </c>
      <c r="AD170" s="10">
        <v>1.23689624238126E-2</v>
      </c>
      <c r="AE170" s="4">
        <v>-7.5865043848217604E-3</v>
      </c>
      <c r="AF170" s="4">
        <v>0.92434513319098999</v>
      </c>
      <c r="AG170" s="4">
        <v>0.99067077206937704</v>
      </c>
      <c r="AH170" s="4">
        <v>0.99880638712897596</v>
      </c>
      <c r="AI170" s="4">
        <v>0.99981312215910201</v>
      </c>
      <c r="AJ170" s="4">
        <v>1</v>
      </c>
      <c r="AK170" s="4">
        <v>1</v>
      </c>
      <c r="AL170" s="4">
        <v>1</v>
      </c>
      <c r="AM170" s="4">
        <v>0</v>
      </c>
      <c r="AN170" s="4">
        <v>0</v>
      </c>
      <c r="AO170" s="4" t="s">
        <v>69</v>
      </c>
      <c r="AP170" s="4" t="s">
        <v>70</v>
      </c>
      <c r="AQ170" s="6">
        <v>7302736340.7399998</v>
      </c>
      <c r="AR170" s="4">
        <v>27629</v>
      </c>
      <c r="AS170" s="35">
        <v>0</v>
      </c>
      <c r="AT170" s="35">
        <v>0</v>
      </c>
      <c r="AU170" s="35">
        <v>0</v>
      </c>
      <c r="AV170" s="35">
        <v>100</v>
      </c>
      <c r="AW170" s="35">
        <v>0</v>
      </c>
      <c r="AX170" s="35">
        <v>100</v>
      </c>
    </row>
    <row r="171" spans="1:50" x14ac:dyDescent="0.25">
      <c r="A171">
        <v>4.3</v>
      </c>
      <c r="B171" s="4">
        <v>0.98321111945307904</v>
      </c>
      <c r="C171" s="4">
        <v>14.8295338609399</v>
      </c>
      <c r="D171" s="4">
        <v>18.386617489344001</v>
      </c>
      <c r="E171" s="4">
        <v>1.3287222841238301E-2</v>
      </c>
      <c r="F171" s="5">
        <v>1.6788880546920001E-2</v>
      </c>
      <c r="G171" s="5">
        <v>0</v>
      </c>
      <c r="H171" s="4">
        <v>4.3015496824296502</v>
      </c>
      <c r="I171" s="4">
        <v>4.0593834255601902</v>
      </c>
      <c r="J171" s="4">
        <v>-22.703192143943699</v>
      </c>
      <c r="K171" s="4">
        <v>27.5693864797313</v>
      </c>
      <c r="L171" s="4">
        <v>15.135741330882899</v>
      </c>
      <c r="M171" s="4">
        <v>16.514419860995599</v>
      </c>
      <c r="N171" s="4">
        <v>65.5802398200032</v>
      </c>
      <c r="O171" s="4">
        <v>63.725751829486498</v>
      </c>
      <c r="P171" s="4">
        <v>283419.96166311501</v>
      </c>
      <c r="Q171" s="4">
        <v>263703.47087753902</v>
      </c>
      <c r="R171" s="4">
        <v>785.25143007018698</v>
      </c>
      <c r="S171" s="4">
        <v>0</v>
      </c>
      <c r="T171" s="4">
        <v>0</v>
      </c>
      <c r="U171" s="4">
        <v>1.22851913154143E-2</v>
      </c>
      <c r="V171" s="4">
        <v>1</v>
      </c>
      <c r="W171" s="4">
        <v>0</v>
      </c>
      <c r="X171" s="4">
        <v>0.82654595970493105</v>
      </c>
      <c r="Y171" s="4">
        <v>0</v>
      </c>
      <c r="Z171" s="5">
        <v>3.74713233968021E-4</v>
      </c>
      <c r="AA171" s="5">
        <v>7.7088098240778296E-5</v>
      </c>
      <c r="AB171" s="10">
        <v>2.8955053083843298E-3</v>
      </c>
      <c r="AC171" s="10">
        <v>1.03194326211459E-6</v>
      </c>
      <c r="AD171" s="10">
        <v>1.34405275903889E-2</v>
      </c>
      <c r="AE171" s="4">
        <v>-4.26503318149538E-3</v>
      </c>
      <c r="AF171" s="4">
        <v>0.90319560565341905</v>
      </c>
      <c r="AG171" s="4">
        <v>0.98592308413101204</v>
      </c>
      <c r="AH171" s="4">
        <v>0.99884326403402401</v>
      </c>
      <c r="AI171" s="4">
        <v>0.99966456711040597</v>
      </c>
      <c r="AJ171" s="4">
        <v>1</v>
      </c>
      <c r="AK171" s="4">
        <v>1</v>
      </c>
      <c r="AL171" s="4">
        <v>1</v>
      </c>
      <c r="AM171" s="4">
        <v>0</v>
      </c>
      <c r="AN171" s="4">
        <v>0</v>
      </c>
      <c r="AO171" s="4" t="s">
        <v>153</v>
      </c>
      <c r="AP171" s="4" t="s">
        <v>137</v>
      </c>
      <c r="AQ171" s="6">
        <v>8281871206.3800001</v>
      </c>
      <c r="AR171" s="4">
        <v>31406</v>
      </c>
      <c r="AS171" s="35">
        <v>0</v>
      </c>
      <c r="AT171" s="35">
        <v>0</v>
      </c>
      <c r="AU171" s="35">
        <v>0</v>
      </c>
      <c r="AV171" s="35">
        <v>100</v>
      </c>
      <c r="AW171" s="35">
        <v>0</v>
      </c>
      <c r="AX171" s="35">
        <v>100</v>
      </c>
    </row>
    <row r="172" spans="1:50" x14ac:dyDescent="0.25">
      <c r="A172">
        <v>4.3</v>
      </c>
      <c r="B172" s="4">
        <v>0.98179610390741801</v>
      </c>
      <c r="C172" s="4">
        <v>16.154666987776899</v>
      </c>
      <c r="D172" s="4">
        <v>19.7849881280852</v>
      </c>
      <c r="E172" s="4">
        <v>1.45757598119109E-2</v>
      </c>
      <c r="F172" s="5">
        <v>1.8203896092581301E-2</v>
      </c>
      <c r="G172" s="5">
        <v>0</v>
      </c>
      <c r="H172" s="4">
        <v>4.3269876010748503</v>
      </c>
      <c r="I172" s="4">
        <v>4.0387261987397904</v>
      </c>
      <c r="J172" s="4">
        <v>-19.921836648144499</v>
      </c>
      <c r="K172" s="4">
        <v>32.503798037595097</v>
      </c>
      <c r="L172" s="4">
        <v>14.939561424183299</v>
      </c>
      <c r="M172" s="4">
        <v>16.742988020803701</v>
      </c>
      <c r="N172" s="4">
        <v>65.709385343135395</v>
      </c>
      <c r="O172" s="4">
        <v>63.771651798597297</v>
      </c>
      <c r="P172" s="4">
        <v>286758.41670635901</v>
      </c>
      <c r="Q172" s="4">
        <v>267183.94512352598</v>
      </c>
      <c r="R172" s="4">
        <v>785.22160302060604</v>
      </c>
      <c r="S172" s="4">
        <v>0</v>
      </c>
      <c r="T172" s="4">
        <v>0</v>
      </c>
      <c r="U172" s="4">
        <v>1.2359825391483101E-2</v>
      </c>
      <c r="V172" s="4">
        <v>1</v>
      </c>
      <c r="W172" s="4">
        <v>0</v>
      </c>
      <c r="X172" s="4">
        <v>0.83520281772917104</v>
      </c>
      <c r="Y172" s="4">
        <v>0</v>
      </c>
      <c r="Z172" s="5">
        <v>3.74114679004763E-4</v>
      </c>
      <c r="AA172" s="5">
        <v>7.8468056002817301E-5</v>
      </c>
      <c r="AB172" s="10">
        <v>2.9492545757107999E-3</v>
      </c>
      <c r="AC172" s="10">
        <v>1.46117368884088E-6</v>
      </c>
      <c r="AD172" s="10">
        <v>1.48005832282037E-2</v>
      </c>
      <c r="AE172" s="4">
        <v>-2.5393502314231E-3</v>
      </c>
      <c r="AF172" s="4">
        <v>0.89121649373009204</v>
      </c>
      <c r="AG172" s="4">
        <v>0.98285582024868601</v>
      </c>
      <c r="AH172" s="4">
        <v>0.99853575891412505</v>
      </c>
      <c r="AI172" s="4">
        <v>0.99959301187891103</v>
      </c>
      <c r="AJ172" s="4">
        <v>1</v>
      </c>
      <c r="AK172" s="4">
        <v>1</v>
      </c>
      <c r="AL172" s="4">
        <v>1</v>
      </c>
      <c r="AM172" s="4">
        <v>0</v>
      </c>
      <c r="AN172" s="4">
        <v>0</v>
      </c>
      <c r="AO172" s="4" t="s">
        <v>154</v>
      </c>
      <c r="AP172" s="4" t="s">
        <v>138</v>
      </c>
      <c r="AQ172" s="6">
        <v>8933028021.2600002</v>
      </c>
      <c r="AR172" s="4">
        <v>33434</v>
      </c>
      <c r="AS172" s="35">
        <v>0</v>
      </c>
      <c r="AT172" s="35">
        <v>0</v>
      </c>
      <c r="AU172" s="35">
        <v>0</v>
      </c>
      <c r="AV172" s="35">
        <v>100</v>
      </c>
      <c r="AW172" s="35">
        <v>0</v>
      </c>
      <c r="AX172" s="35">
        <v>100</v>
      </c>
    </row>
    <row r="173" spans="1:50" x14ac:dyDescent="0.25">
      <c r="A173">
        <v>4.3</v>
      </c>
      <c r="B173" s="4">
        <v>0.98043419490094097</v>
      </c>
      <c r="C173" s="4">
        <v>17.257775228601901</v>
      </c>
      <c r="D173" s="4">
        <v>21.110101303906699</v>
      </c>
      <c r="E173" s="4">
        <v>1.56627215931677E-2</v>
      </c>
      <c r="F173" s="5">
        <v>1.9565805099058101E-2</v>
      </c>
      <c r="G173" s="5">
        <v>0</v>
      </c>
      <c r="H173" s="4">
        <v>4.3467855518143601</v>
      </c>
      <c r="I173" s="4">
        <v>4.0120344498946601</v>
      </c>
      <c r="J173" s="4">
        <v>-18.217910723719001</v>
      </c>
      <c r="K173" s="4">
        <v>37.522032277872597</v>
      </c>
      <c r="L173" s="4">
        <v>15.0264311079435</v>
      </c>
      <c r="M173" s="4">
        <v>16.955385485661601</v>
      </c>
      <c r="N173" s="4">
        <v>65.026826915174098</v>
      </c>
      <c r="O173" s="4">
        <v>62.851843987318603</v>
      </c>
      <c r="P173" s="4">
        <v>285492.29235852102</v>
      </c>
      <c r="Q173" s="4">
        <v>265668.10195269599</v>
      </c>
      <c r="R173" s="4">
        <v>785.13414532598199</v>
      </c>
      <c r="S173" s="4">
        <v>0</v>
      </c>
      <c r="T173" s="4">
        <v>0</v>
      </c>
      <c r="U173" s="4">
        <v>1.23948007497615E-2</v>
      </c>
      <c r="V173" s="4">
        <v>1</v>
      </c>
      <c r="W173" s="4">
        <v>0</v>
      </c>
      <c r="X173" s="4">
        <v>0.83876564761438399</v>
      </c>
      <c r="Y173" s="4">
        <v>0</v>
      </c>
      <c r="Z173" s="5">
        <v>3.7411724636743799E-4</v>
      </c>
      <c r="AA173" s="5">
        <v>8.3120782247747497E-5</v>
      </c>
      <c r="AB173" s="10">
        <v>3.0295360237982002E-3</v>
      </c>
      <c r="AC173" s="10">
        <v>1.97488841769523E-6</v>
      </c>
      <c r="AD173" s="10">
        <v>1.6077041860748799E-2</v>
      </c>
      <c r="AE173" s="4">
        <v>1.3107325794801E-3</v>
      </c>
      <c r="AF173" s="4">
        <v>0.86876349590473101</v>
      </c>
      <c r="AG173" s="4">
        <v>0.98152962515019604</v>
      </c>
      <c r="AH173" s="4">
        <v>0.99789133166764099</v>
      </c>
      <c r="AI173" s="4">
        <v>0.99946052864989898</v>
      </c>
      <c r="AJ173" s="4">
        <v>1</v>
      </c>
      <c r="AK173" s="4">
        <v>1</v>
      </c>
      <c r="AL173" s="4">
        <v>1</v>
      </c>
      <c r="AM173" s="4">
        <v>0</v>
      </c>
      <c r="AN173" s="4">
        <v>0</v>
      </c>
      <c r="AO173" s="4" t="s">
        <v>155</v>
      </c>
      <c r="AP173" s="4" t="s">
        <v>139</v>
      </c>
      <c r="AQ173" s="6">
        <v>9300508913.1599998</v>
      </c>
      <c r="AR173" s="4">
        <v>35008</v>
      </c>
      <c r="AS173" s="35">
        <v>0</v>
      </c>
      <c r="AT173" s="35">
        <v>0</v>
      </c>
      <c r="AU173" s="35">
        <v>0</v>
      </c>
      <c r="AV173" s="35">
        <v>100</v>
      </c>
      <c r="AW173" s="35">
        <v>0</v>
      </c>
      <c r="AX173" s="35">
        <v>100</v>
      </c>
    </row>
    <row r="174" spans="1:50" x14ac:dyDescent="0.25">
      <c r="A174">
        <v>4.3</v>
      </c>
      <c r="B174" s="4">
        <v>0.97913359525834598</v>
      </c>
      <c r="C174" s="4">
        <v>19.091322612407801</v>
      </c>
      <c r="D174" s="4">
        <v>22.356800404817498</v>
      </c>
      <c r="E174" s="4">
        <v>1.74991717643143E-2</v>
      </c>
      <c r="F174" s="5">
        <v>2.0866404741653799E-2</v>
      </c>
      <c r="G174" s="5">
        <v>0</v>
      </c>
      <c r="H174" s="4">
        <v>4.3861336864534097</v>
      </c>
      <c r="I174" s="4">
        <v>3.9947089346375901</v>
      </c>
      <c r="J174" s="4">
        <v>-15.203769187091901</v>
      </c>
      <c r="K174" s="4">
        <v>42.506580230668497</v>
      </c>
      <c r="L174" s="4">
        <v>15.2857605758988</v>
      </c>
      <c r="M174" s="4">
        <v>17.224414145836299</v>
      </c>
      <c r="N174" s="4">
        <v>65.983206069102494</v>
      </c>
      <c r="O174" s="4">
        <v>63.7116705207415</v>
      </c>
      <c r="P174" s="4">
        <v>281001.73564974102</v>
      </c>
      <c r="Q174" s="4">
        <v>261119.06082020199</v>
      </c>
      <c r="R174" s="4">
        <v>785.27207913794905</v>
      </c>
      <c r="S174" s="4">
        <v>0</v>
      </c>
      <c r="T174" s="4">
        <v>0</v>
      </c>
      <c r="U174" s="4">
        <v>1.10982695819153E-2</v>
      </c>
      <c r="V174" s="4">
        <v>1</v>
      </c>
      <c r="W174" s="4">
        <v>0</v>
      </c>
      <c r="X174" s="4">
        <v>0.84173503541692696</v>
      </c>
      <c r="Y174" s="4">
        <v>0</v>
      </c>
      <c r="Z174" s="5">
        <v>3.7530969061531298E-4</v>
      </c>
      <c r="AA174" s="5">
        <v>8.9733781526903105E-5</v>
      </c>
      <c r="AB174" s="10">
        <v>3.08120743743054E-3</v>
      </c>
      <c r="AC174" s="10">
        <v>2.5753109983156202E-6</v>
      </c>
      <c r="AD174" s="10">
        <v>1.7317564192155001E-2</v>
      </c>
      <c r="AE174" s="4">
        <v>2.3362675129018399E-3</v>
      </c>
      <c r="AF174" s="4">
        <v>0.85694096529863395</v>
      </c>
      <c r="AG174" s="4">
        <v>0.97906190052860698</v>
      </c>
      <c r="AH174" s="4">
        <v>0.99753933647312298</v>
      </c>
      <c r="AI174" s="4">
        <v>0.99928434041686398</v>
      </c>
      <c r="AJ174" s="4">
        <v>1</v>
      </c>
      <c r="AK174" s="4">
        <v>1</v>
      </c>
      <c r="AL174" s="4">
        <v>1</v>
      </c>
      <c r="AM174" s="4">
        <v>0</v>
      </c>
      <c r="AN174" s="4">
        <v>0</v>
      </c>
      <c r="AO174" s="4" t="s">
        <v>156</v>
      </c>
      <c r="AP174" s="4" t="s">
        <v>140</v>
      </c>
      <c r="AQ174" s="6">
        <v>9843666354.7999992</v>
      </c>
      <c r="AR174" s="4">
        <v>37698</v>
      </c>
      <c r="AS174" s="35">
        <v>0</v>
      </c>
      <c r="AT174" s="35">
        <v>0</v>
      </c>
      <c r="AU174" s="35">
        <v>0</v>
      </c>
      <c r="AV174" s="35">
        <v>100</v>
      </c>
      <c r="AW174" s="35">
        <v>0</v>
      </c>
      <c r="AX174" s="35">
        <v>100</v>
      </c>
    </row>
    <row r="175" spans="1:50" x14ac:dyDescent="0.25">
      <c r="A175">
        <v>4.3</v>
      </c>
      <c r="B175" s="4">
        <v>0.97772618716146198</v>
      </c>
      <c r="C175" s="4">
        <v>19.653714419425999</v>
      </c>
      <c r="D175" s="4">
        <v>23.685516641020499</v>
      </c>
      <c r="E175" s="4">
        <v>1.8070102096052299E-2</v>
      </c>
      <c r="F175" s="5">
        <v>2.2273812838537101E-2</v>
      </c>
      <c r="G175" s="5">
        <v>0</v>
      </c>
      <c r="H175" s="4">
        <v>4.4188848493585002</v>
      </c>
      <c r="I175" s="4">
        <v>3.97767598210782</v>
      </c>
      <c r="J175" s="4">
        <v>-13.733540121001401</v>
      </c>
      <c r="K175" s="4">
        <v>47.562144500874801</v>
      </c>
      <c r="L175" s="4">
        <v>15.290696393801401</v>
      </c>
      <c r="M175" s="4">
        <v>17.5292216365896</v>
      </c>
      <c r="N175" s="4">
        <v>65.964276973563898</v>
      </c>
      <c r="O175" s="4">
        <v>63.571813384093701</v>
      </c>
      <c r="P175" s="4">
        <v>280147.80094406498</v>
      </c>
      <c r="Q175" s="4">
        <v>261060.73406587401</v>
      </c>
      <c r="R175" s="4">
        <v>785.08291985518895</v>
      </c>
      <c r="S175" s="4">
        <v>0</v>
      </c>
      <c r="T175" s="4">
        <v>0</v>
      </c>
      <c r="U175" s="4">
        <v>9.0858476493840198E-3</v>
      </c>
      <c r="V175" s="4">
        <v>1</v>
      </c>
      <c r="W175" s="4">
        <v>0</v>
      </c>
      <c r="X175" s="4">
        <v>0.83442127240224795</v>
      </c>
      <c r="Y175" s="4">
        <v>0</v>
      </c>
      <c r="Z175" s="5">
        <v>3.7626944470414399E-4</v>
      </c>
      <c r="AA175" s="5">
        <v>9.52190521139607E-5</v>
      </c>
      <c r="AB175" s="10">
        <v>3.1400549369882801E-3</v>
      </c>
      <c r="AC175" s="10">
        <v>2.6052819607616601E-6</v>
      </c>
      <c r="AD175" s="10">
        <v>1.86596498184988E-2</v>
      </c>
      <c r="AE175" s="4">
        <v>4.2660849833517098E-3</v>
      </c>
      <c r="AF175" s="4">
        <v>0.84797359166226005</v>
      </c>
      <c r="AG175" s="4">
        <v>0.97966042577387902</v>
      </c>
      <c r="AH175" s="4">
        <v>0.99764536143262805</v>
      </c>
      <c r="AI175" s="4">
        <v>0.99958303923283598</v>
      </c>
      <c r="AJ175" s="4">
        <v>1</v>
      </c>
      <c r="AK175" s="4">
        <v>1</v>
      </c>
      <c r="AL175" s="4">
        <v>1</v>
      </c>
      <c r="AM175" s="4">
        <v>0</v>
      </c>
      <c r="AN175" s="4">
        <v>0</v>
      </c>
      <c r="AO175" s="4" t="s">
        <v>71</v>
      </c>
      <c r="AP175" s="4" t="s">
        <v>72</v>
      </c>
      <c r="AQ175" s="6">
        <v>10541632441.58</v>
      </c>
      <c r="AR175" s="4">
        <v>40380</v>
      </c>
      <c r="AS175" s="35">
        <v>0</v>
      </c>
      <c r="AT175" s="35">
        <v>0</v>
      </c>
      <c r="AU175" s="35">
        <v>0</v>
      </c>
      <c r="AV175" s="35">
        <v>100</v>
      </c>
      <c r="AW175" s="35">
        <v>0</v>
      </c>
      <c r="AX175" s="35">
        <v>100</v>
      </c>
    </row>
    <row r="176" spans="1:50" x14ac:dyDescent="0.25">
      <c r="A176">
        <v>4.3</v>
      </c>
      <c r="B176" s="4">
        <v>0.97644300893935398</v>
      </c>
      <c r="C176" s="4">
        <v>22.043249338997601</v>
      </c>
      <c r="D176" s="4">
        <v>24.8787503166003</v>
      </c>
      <c r="E176" s="4">
        <v>2.0537505366493101E-2</v>
      </c>
      <c r="F176" s="5">
        <v>2.3556991060645301E-2</v>
      </c>
      <c r="G176" s="5">
        <v>0</v>
      </c>
      <c r="H176" s="4">
        <v>4.4598510687944097</v>
      </c>
      <c r="I176" s="4">
        <v>3.96363671727218</v>
      </c>
      <c r="J176" s="4">
        <v>-11.372236294649399</v>
      </c>
      <c r="K176" s="4">
        <v>52.554016523713301</v>
      </c>
      <c r="L176" s="4">
        <v>15.4523070515326</v>
      </c>
      <c r="M176" s="4">
        <v>17.8384446490169</v>
      </c>
      <c r="N176" s="4">
        <v>66.968333590451607</v>
      </c>
      <c r="O176" s="4">
        <v>64.408660529276801</v>
      </c>
      <c r="P176" s="4">
        <v>277001.26329236</v>
      </c>
      <c r="Q176" s="4">
        <v>258344.54235264601</v>
      </c>
      <c r="R176" s="4">
        <v>784.93064095294994</v>
      </c>
      <c r="S176" s="4">
        <v>0</v>
      </c>
      <c r="T176" s="4">
        <v>0</v>
      </c>
      <c r="U176" s="4">
        <v>7.9126101343170996E-3</v>
      </c>
      <c r="V176" s="4">
        <v>1</v>
      </c>
      <c r="W176" s="4">
        <v>0</v>
      </c>
      <c r="X176" s="4">
        <v>0.82677971362333003</v>
      </c>
      <c r="Y176" s="4">
        <v>0</v>
      </c>
      <c r="Z176" s="5">
        <v>3.7719504492555301E-4</v>
      </c>
      <c r="AA176" s="5">
        <v>1.0274278406196301E-4</v>
      </c>
      <c r="AB176" s="10">
        <v>3.19298178421341E-3</v>
      </c>
      <c r="AC176" s="10">
        <v>2.96957619192475E-6</v>
      </c>
      <c r="AD176" s="10">
        <v>1.9881087510336199E-2</v>
      </c>
      <c r="AE176" s="4">
        <v>5.1849380160351498E-3</v>
      </c>
      <c r="AF176" s="4">
        <v>0.83646135976135505</v>
      </c>
      <c r="AG176" s="4">
        <v>0.98047346493410303</v>
      </c>
      <c r="AH176" s="4">
        <v>0.99746516477300695</v>
      </c>
      <c r="AI176" s="4">
        <v>0.99939587833487298</v>
      </c>
      <c r="AJ176" s="4">
        <v>1</v>
      </c>
      <c r="AK176" s="4">
        <v>1</v>
      </c>
      <c r="AL176" s="4">
        <v>1</v>
      </c>
      <c r="AM176" s="4">
        <v>0</v>
      </c>
      <c r="AN176" s="4">
        <v>0</v>
      </c>
      <c r="AO176" s="4" t="s">
        <v>157</v>
      </c>
      <c r="AP176" s="4" t="s">
        <v>141</v>
      </c>
      <c r="AQ176" s="6">
        <v>10826186391.83</v>
      </c>
      <c r="AR176" s="4">
        <v>41906</v>
      </c>
      <c r="AS176" s="35">
        <v>0</v>
      </c>
      <c r="AT176" s="35">
        <v>0</v>
      </c>
      <c r="AU176" s="35">
        <v>0</v>
      </c>
      <c r="AV176" s="35">
        <v>100</v>
      </c>
      <c r="AW176" s="35">
        <v>0</v>
      </c>
      <c r="AX176" s="35">
        <v>100</v>
      </c>
    </row>
    <row r="177" spans="1:50" x14ac:dyDescent="0.25">
      <c r="A177">
        <v>4.3</v>
      </c>
      <c r="B177" s="4">
        <v>0.97513484565896402</v>
      </c>
      <c r="C177" s="4">
        <v>23.1063146871398</v>
      </c>
      <c r="D177" s="4">
        <v>26.077591132179801</v>
      </c>
      <c r="E177" s="4">
        <v>2.1657568430828299E-2</v>
      </c>
      <c r="F177" s="5">
        <v>2.4865154341035801E-2</v>
      </c>
      <c r="G177" s="5">
        <v>0</v>
      </c>
      <c r="H177" s="4">
        <v>4.4927441784341804</v>
      </c>
      <c r="I177" s="4">
        <v>3.94964984026414</v>
      </c>
      <c r="J177" s="4">
        <v>-10.521667980557501</v>
      </c>
      <c r="K177" s="4">
        <v>57.495919240385199</v>
      </c>
      <c r="L177" s="4">
        <v>15.482852806879601</v>
      </c>
      <c r="M177" s="4">
        <v>17.974399999594599</v>
      </c>
      <c r="N177" s="4">
        <v>66.962904555949805</v>
      </c>
      <c r="O177" s="4">
        <v>64.2742609322965</v>
      </c>
      <c r="P177" s="4">
        <v>276654.16083976201</v>
      </c>
      <c r="Q177" s="4">
        <v>257826.617458761</v>
      </c>
      <c r="R177" s="4">
        <v>784.75919851521803</v>
      </c>
      <c r="S177" s="4">
        <v>0</v>
      </c>
      <c r="T177" s="4">
        <v>0</v>
      </c>
      <c r="U177" s="4">
        <v>7.9921027643697906E-3</v>
      </c>
      <c r="V177" s="4">
        <v>1</v>
      </c>
      <c r="W177" s="4">
        <v>0</v>
      </c>
      <c r="X177" s="4">
        <v>0.81511637093363698</v>
      </c>
      <c r="Y177" s="4">
        <v>0</v>
      </c>
      <c r="Z177" s="5">
        <v>3.7783045451787701E-4</v>
      </c>
      <c r="AA177" s="5">
        <v>1.09431385126664E-4</v>
      </c>
      <c r="AB177" s="10">
        <v>3.2275828230385298E-3</v>
      </c>
      <c r="AC177" s="10">
        <v>3.5457786353232499E-6</v>
      </c>
      <c r="AD177" s="10">
        <v>2.1146749554405798E-2</v>
      </c>
      <c r="AE177" s="4">
        <v>7.82106535870691E-3</v>
      </c>
      <c r="AF177" s="4">
        <v>0.81933925982186395</v>
      </c>
      <c r="AG177" s="4">
        <v>0.97714660616830096</v>
      </c>
      <c r="AH177" s="4">
        <v>0.99740102532552799</v>
      </c>
      <c r="AI177" s="4">
        <v>0.99945083734996099</v>
      </c>
      <c r="AJ177" s="4">
        <v>1</v>
      </c>
      <c r="AK177" s="4">
        <v>1</v>
      </c>
      <c r="AL177" s="4">
        <v>1</v>
      </c>
      <c r="AM177" s="4">
        <v>0</v>
      </c>
      <c r="AN177" s="4">
        <v>0</v>
      </c>
      <c r="AO177" s="4" t="s">
        <v>158</v>
      </c>
      <c r="AP177" s="4" t="s">
        <v>142</v>
      </c>
      <c r="AQ177" s="6">
        <v>11128828115.99</v>
      </c>
      <c r="AR177" s="4">
        <v>43164</v>
      </c>
      <c r="AS177" s="35">
        <v>0</v>
      </c>
      <c r="AT177" s="35">
        <v>0</v>
      </c>
      <c r="AU177" s="35">
        <v>0</v>
      </c>
      <c r="AV177" s="35">
        <v>100</v>
      </c>
      <c r="AW177" s="35">
        <v>0</v>
      </c>
      <c r="AX177" s="35">
        <v>100</v>
      </c>
    </row>
    <row r="178" spans="1:50" x14ac:dyDescent="0.25">
      <c r="A178">
        <v>4.3</v>
      </c>
      <c r="B178" s="4">
        <v>0.97382849928744097</v>
      </c>
      <c r="C178" s="4">
        <v>26.186410572604998</v>
      </c>
      <c r="D178" s="4">
        <v>27.257242288064901</v>
      </c>
      <c r="E178" s="4">
        <v>2.4984857883715701E-2</v>
      </c>
      <c r="F178" s="5">
        <v>2.61715007125582E-2</v>
      </c>
      <c r="G178" s="5">
        <v>0</v>
      </c>
      <c r="H178" s="4">
        <v>4.5288091130802002</v>
      </c>
      <c r="I178" s="4">
        <v>3.93813753953587</v>
      </c>
      <c r="J178" s="4">
        <v>-9.2165207863811691</v>
      </c>
      <c r="K178" s="4">
        <v>62.496585658300098</v>
      </c>
      <c r="L178" s="4">
        <v>15.5443274411407</v>
      </c>
      <c r="M178" s="4">
        <v>18.0807897723769</v>
      </c>
      <c r="N178" s="4">
        <v>67.013995745225003</v>
      </c>
      <c r="O178" s="4">
        <v>64.1980068294435</v>
      </c>
      <c r="P178" s="4">
        <v>275922.93250354799</v>
      </c>
      <c r="Q178" s="4">
        <v>256836.540023362</v>
      </c>
      <c r="R178" s="4">
        <v>784.43847086086498</v>
      </c>
      <c r="S178" s="4">
        <v>0</v>
      </c>
      <c r="T178" s="4">
        <v>0</v>
      </c>
      <c r="U178" s="4">
        <v>8.2905524210057594E-3</v>
      </c>
      <c r="V178" s="4">
        <v>1</v>
      </c>
      <c r="W178" s="4">
        <v>0</v>
      </c>
      <c r="X178" s="4">
        <v>0.809118942922881</v>
      </c>
      <c r="Y178" s="4">
        <v>0</v>
      </c>
      <c r="Z178" s="5">
        <v>3.77034209145673E-4</v>
      </c>
      <c r="AA178" s="5">
        <v>1.1760491759969001E-4</v>
      </c>
      <c r="AB178" s="10">
        <v>3.2704043227910198E-3</v>
      </c>
      <c r="AC178" s="10">
        <v>4.5946553666542698E-6</v>
      </c>
      <c r="AD178" s="10">
        <v>2.24018481455865E-2</v>
      </c>
      <c r="AE178" s="4">
        <v>9.7268940174882693E-3</v>
      </c>
      <c r="AF178" s="4">
        <v>0.80181228531153703</v>
      </c>
      <c r="AG178" s="4">
        <v>0.97780187908098004</v>
      </c>
      <c r="AH178" s="4">
        <v>0.99675495017129201</v>
      </c>
      <c r="AI178" s="4">
        <v>0.99932383644296097</v>
      </c>
      <c r="AJ178" s="4">
        <v>1</v>
      </c>
      <c r="AK178" s="4">
        <v>1</v>
      </c>
      <c r="AL178" s="4">
        <v>1</v>
      </c>
      <c r="AM178" s="4">
        <v>0</v>
      </c>
      <c r="AN178" s="4">
        <v>0</v>
      </c>
      <c r="AO178" s="4" t="s">
        <v>159</v>
      </c>
      <c r="AP178" s="4" t="s">
        <v>143</v>
      </c>
      <c r="AQ178" s="6">
        <v>11873039572.200001</v>
      </c>
      <c r="AR178" s="4">
        <v>46228</v>
      </c>
      <c r="AS178" s="35">
        <v>0</v>
      </c>
      <c r="AT178" s="35">
        <v>0</v>
      </c>
      <c r="AU178" s="35">
        <v>0</v>
      </c>
      <c r="AV178" s="35">
        <v>100</v>
      </c>
      <c r="AW178" s="35">
        <v>0</v>
      </c>
      <c r="AX178" s="35">
        <v>100</v>
      </c>
    </row>
    <row r="179" spans="1:50" x14ac:dyDescent="0.25">
      <c r="A179">
        <v>4.3</v>
      </c>
      <c r="B179" s="4">
        <v>0.97282040239262002</v>
      </c>
      <c r="C179" s="4">
        <v>27.552280069596101</v>
      </c>
      <c r="D179" s="4">
        <v>28.155745483126299</v>
      </c>
      <c r="E179" s="4">
        <v>2.65012605695636E-2</v>
      </c>
      <c r="F179" s="5">
        <v>2.7179597607379799E-2</v>
      </c>
      <c r="G179" s="5">
        <v>0</v>
      </c>
      <c r="H179" s="4">
        <v>4.5746354955748902</v>
      </c>
      <c r="I179" s="4">
        <v>3.9368668871652699</v>
      </c>
      <c r="J179" s="4">
        <v>-7.5336656107186899</v>
      </c>
      <c r="K179" s="4">
        <v>67.500578765120196</v>
      </c>
      <c r="L179" s="4">
        <v>15.6833928878052</v>
      </c>
      <c r="M179" s="4">
        <v>18.0652425241529</v>
      </c>
      <c r="N179" s="4">
        <v>66.9786342589707</v>
      </c>
      <c r="O179" s="4">
        <v>64.130745573360599</v>
      </c>
      <c r="P179" s="4">
        <v>273655.84030113998</v>
      </c>
      <c r="Q179" s="4">
        <v>254564.24600406</v>
      </c>
      <c r="R179" s="4">
        <v>784.35093786664595</v>
      </c>
      <c r="S179" s="4">
        <v>0</v>
      </c>
      <c r="T179" s="4">
        <v>0</v>
      </c>
      <c r="U179" s="4">
        <v>1.01915825948291E-2</v>
      </c>
      <c r="V179" s="4">
        <v>1</v>
      </c>
      <c r="W179" s="4">
        <v>0</v>
      </c>
      <c r="X179" s="4">
        <v>0.80495904954602304</v>
      </c>
      <c r="Y179" s="4">
        <v>0</v>
      </c>
      <c r="Z179" s="5">
        <v>3.7848005511373302E-4</v>
      </c>
      <c r="AA179" s="5">
        <v>1.2289101083972701E-4</v>
      </c>
      <c r="AB179" s="10">
        <v>3.2801923263961101E-3</v>
      </c>
      <c r="AC179" s="10">
        <v>4.9969119408393801E-6</v>
      </c>
      <c r="AD179" s="10">
        <v>2.33930228503769E-2</v>
      </c>
      <c r="AE179" s="4">
        <v>1.0005478949055799E-2</v>
      </c>
      <c r="AF179" s="4">
        <v>0.79206555559264702</v>
      </c>
      <c r="AG179" s="4">
        <v>0.97496605704934802</v>
      </c>
      <c r="AH179" s="4">
        <v>0.99682306548266697</v>
      </c>
      <c r="AI179" s="4">
        <v>0.99918418854431401</v>
      </c>
      <c r="AJ179" s="4">
        <v>1</v>
      </c>
      <c r="AK179" s="4">
        <v>1</v>
      </c>
      <c r="AL179" s="4">
        <v>1</v>
      </c>
      <c r="AM179" s="4">
        <v>0</v>
      </c>
      <c r="AN179" s="4">
        <v>0</v>
      </c>
      <c r="AO179" s="4" t="s">
        <v>160</v>
      </c>
      <c r="AP179" s="4" t="s">
        <v>144</v>
      </c>
      <c r="AQ179" s="6">
        <v>12288834411.6</v>
      </c>
      <c r="AR179" s="4">
        <v>48274</v>
      </c>
      <c r="AS179" s="35">
        <v>0</v>
      </c>
      <c r="AT179" s="35">
        <v>0</v>
      </c>
      <c r="AU179" s="35">
        <v>0</v>
      </c>
      <c r="AV179" s="35">
        <v>100</v>
      </c>
      <c r="AW179" s="35">
        <v>0</v>
      </c>
      <c r="AX179" s="35">
        <v>100</v>
      </c>
    </row>
    <row r="180" spans="1:50" x14ac:dyDescent="0.25">
      <c r="A180">
        <v>4.3</v>
      </c>
      <c r="B180" s="4">
        <v>0.97152922722550805</v>
      </c>
      <c r="C180" s="4">
        <v>28.499899261630901</v>
      </c>
      <c r="D180" s="4">
        <v>29.2916921677716</v>
      </c>
      <c r="E180" s="4">
        <v>2.7568792661390701E-2</v>
      </c>
      <c r="F180" s="5">
        <v>2.8470772774491501E-2</v>
      </c>
      <c r="G180" s="5">
        <v>0</v>
      </c>
      <c r="H180" s="4">
        <v>4.6084893541020602</v>
      </c>
      <c r="I180" s="4">
        <v>3.9296471832367801</v>
      </c>
      <c r="J180" s="4">
        <v>-6.1594377443177599</v>
      </c>
      <c r="K180" s="4">
        <v>72.529015798385601</v>
      </c>
      <c r="L180" s="4">
        <v>15.4400153861734</v>
      </c>
      <c r="M180" s="4">
        <v>17.967406224662799</v>
      </c>
      <c r="N180" s="4">
        <v>66.631581802272507</v>
      </c>
      <c r="O180" s="4">
        <v>63.698105108744002</v>
      </c>
      <c r="P180" s="4">
        <v>277797.32170223299</v>
      </c>
      <c r="Q180" s="4">
        <v>258582.62818405</v>
      </c>
      <c r="R180" s="4">
        <v>784.07698161374697</v>
      </c>
      <c r="S180" s="4">
        <v>0</v>
      </c>
      <c r="T180" s="4">
        <v>0</v>
      </c>
      <c r="U180" s="4">
        <v>1.08820756666511E-2</v>
      </c>
      <c r="V180" s="4">
        <v>1</v>
      </c>
      <c r="W180" s="4">
        <v>0</v>
      </c>
      <c r="X180" s="4">
        <v>0.80389241502194297</v>
      </c>
      <c r="Y180" s="4">
        <v>0</v>
      </c>
      <c r="Z180" s="5">
        <v>3.7772181388290099E-4</v>
      </c>
      <c r="AA180" s="5">
        <v>1.2963948820785801E-4</v>
      </c>
      <c r="AB180" s="10">
        <v>3.2731696776920199E-3</v>
      </c>
      <c r="AC180" s="10">
        <v>6.8059583154650798E-6</v>
      </c>
      <c r="AD180" s="10">
        <v>2.4683421315876999E-2</v>
      </c>
      <c r="AE180" s="4">
        <v>1.2640253562704099E-2</v>
      </c>
      <c r="AF180" s="4">
        <v>0.77045258959678498</v>
      </c>
      <c r="AG180" s="4">
        <v>0.97141071415883595</v>
      </c>
      <c r="AH180" s="4">
        <v>0.99600345058291695</v>
      </c>
      <c r="AI180" s="4">
        <v>0.99899234506908396</v>
      </c>
      <c r="AJ180" s="4">
        <v>1</v>
      </c>
      <c r="AK180" s="4">
        <v>1</v>
      </c>
      <c r="AL180" s="4">
        <v>1</v>
      </c>
      <c r="AM180" s="4">
        <v>0</v>
      </c>
      <c r="AN180" s="4">
        <v>0</v>
      </c>
      <c r="AO180" s="4" t="s">
        <v>73</v>
      </c>
      <c r="AP180" s="4" t="s">
        <v>74</v>
      </c>
      <c r="AQ180" s="6">
        <v>12950852349.969999</v>
      </c>
      <c r="AR180" s="4">
        <v>50084</v>
      </c>
      <c r="AS180" s="35">
        <v>0</v>
      </c>
      <c r="AT180" s="35">
        <v>0</v>
      </c>
      <c r="AU180" s="35">
        <v>0</v>
      </c>
      <c r="AV180" s="35">
        <v>100</v>
      </c>
      <c r="AW180" s="35">
        <v>0</v>
      </c>
      <c r="AX180" s="35">
        <v>100</v>
      </c>
    </row>
    <row r="181" spans="1:50" x14ac:dyDescent="0.25">
      <c r="A181">
        <v>4.3</v>
      </c>
      <c r="B181" s="4">
        <v>0.96838283481545295</v>
      </c>
      <c r="C181" s="4">
        <v>31.506465312099301</v>
      </c>
      <c r="D181" s="4">
        <v>31.991218711502</v>
      </c>
      <c r="E181" s="4">
        <v>3.1043832062453099E-2</v>
      </c>
      <c r="F181" s="5">
        <v>3.1617165184546402E-2</v>
      </c>
      <c r="G181" s="5">
        <v>0</v>
      </c>
      <c r="H181" s="4">
        <v>4.7068362086288502</v>
      </c>
      <c r="I181" s="4">
        <v>3.8993734694148698</v>
      </c>
      <c r="J181" s="4">
        <v>-1.7327127368864299</v>
      </c>
      <c r="K181" s="4">
        <v>86.340717877121307</v>
      </c>
      <c r="L181" s="4">
        <v>15.316941167690199</v>
      </c>
      <c r="M181" s="4">
        <v>17.929493116331599</v>
      </c>
      <c r="N181" s="4">
        <v>66.053577175593404</v>
      </c>
      <c r="O181" s="4">
        <v>62.805532340444003</v>
      </c>
      <c r="P181" s="4">
        <v>279970.53491331398</v>
      </c>
      <c r="Q181" s="4">
        <v>260672.83163378399</v>
      </c>
      <c r="R181" s="4">
        <v>783.73186878484603</v>
      </c>
      <c r="S181" s="4">
        <v>0</v>
      </c>
      <c r="T181" s="4">
        <v>0</v>
      </c>
      <c r="U181" s="4">
        <v>1.08206367285758E-2</v>
      </c>
      <c r="V181" s="4">
        <v>1</v>
      </c>
      <c r="W181" s="4">
        <v>0</v>
      </c>
      <c r="X181" s="4">
        <v>0.80359527928966801</v>
      </c>
      <c r="Y181" s="4">
        <v>0</v>
      </c>
      <c r="Z181" s="5">
        <v>3.77470676628319E-4</v>
      </c>
      <c r="AA181" s="5">
        <v>1.4268260923068E-4</v>
      </c>
      <c r="AB181" s="10">
        <v>3.3466865834394302E-3</v>
      </c>
      <c r="AC181" s="10">
        <v>1.00093372215827E-5</v>
      </c>
      <c r="AD181" s="10">
        <v>2.7740301402692701E-2</v>
      </c>
      <c r="AE181" s="4">
        <v>1.86432806077413E-2</v>
      </c>
      <c r="AF181" s="4">
        <v>0.71583084139414499</v>
      </c>
      <c r="AG181" s="4">
        <v>0.965508095104046</v>
      </c>
      <c r="AH181" s="4">
        <v>0.994275378227085</v>
      </c>
      <c r="AI181" s="4">
        <v>0.99900876955821005</v>
      </c>
      <c r="AJ181" s="4">
        <v>1</v>
      </c>
      <c r="AK181" s="4">
        <v>1</v>
      </c>
      <c r="AL181" s="4">
        <v>1</v>
      </c>
      <c r="AM181" s="4">
        <v>0</v>
      </c>
      <c r="AN181" s="4">
        <v>0</v>
      </c>
      <c r="AO181" s="4" t="s">
        <v>75</v>
      </c>
      <c r="AP181" s="4" t="s">
        <v>76</v>
      </c>
      <c r="AQ181" s="6">
        <v>52624891923.059998</v>
      </c>
      <c r="AR181" s="4">
        <v>201881</v>
      </c>
      <c r="AS181" s="35">
        <v>0</v>
      </c>
      <c r="AT181" s="35">
        <v>0</v>
      </c>
      <c r="AU181" s="35">
        <v>0</v>
      </c>
      <c r="AV181" s="35">
        <v>100</v>
      </c>
      <c r="AW181" s="35">
        <v>0</v>
      </c>
      <c r="AX181" s="35">
        <v>100</v>
      </c>
    </row>
    <row r="182" spans="1:50" x14ac:dyDescent="0.25">
      <c r="A182">
        <v>4.3</v>
      </c>
      <c r="B182" s="4">
        <v>0.96402649348351799</v>
      </c>
      <c r="C182" s="4">
        <v>35.202875340900803</v>
      </c>
      <c r="D182" s="4">
        <v>35.573041008297103</v>
      </c>
      <c r="E182" s="4">
        <v>3.5513148980895901E-2</v>
      </c>
      <c r="F182" s="5">
        <v>3.5973506516481603E-2</v>
      </c>
      <c r="G182" s="5">
        <v>0</v>
      </c>
      <c r="H182" s="4">
        <v>4.8752730433435802</v>
      </c>
      <c r="I182" s="4">
        <v>3.8240350539155901</v>
      </c>
      <c r="J182" s="4">
        <v>2.86409409631603</v>
      </c>
      <c r="K182" s="4">
        <v>111.620608534352</v>
      </c>
      <c r="L182" s="4">
        <v>15.5913676928917</v>
      </c>
      <c r="M182" s="4">
        <v>18.436837755642699</v>
      </c>
      <c r="N182" s="4">
        <v>68.031408991241506</v>
      </c>
      <c r="O182" s="4">
        <v>63.715734240727997</v>
      </c>
      <c r="P182" s="4">
        <v>274819.07628171402</v>
      </c>
      <c r="Q182" s="4">
        <v>256099.68522511501</v>
      </c>
      <c r="R182" s="4">
        <v>782.14585442198199</v>
      </c>
      <c r="S182" s="4">
        <v>0</v>
      </c>
      <c r="T182" s="4">
        <v>0</v>
      </c>
      <c r="U182" s="4">
        <v>1.09320845296691E-2</v>
      </c>
      <c r="V182" s="4">
        <v>1</v>
      </c>
      <c r="W182" s="4">
        <v>0</v>
      </c>
      <c r="X182" s="4">
        <v>0.75570179325089804</v>
      </c>
      <c r="Y182" s="4">
        <v>0</v>
      </c>
      <c r="Z182" s="5">
        <v>3.7801050960002501E-4</v>
      </c>
      <c r="AA182" s="5">
        <v>1.99425122535345E-4</v>
      </c>
      <c r="AB182" s="10">
        <v>3.5188810446946102E-3</v>
      </c>
      <c r="AC182" s="10">
        <v>2.2498400626739001E-5</v>
      </c>
      <c r="AD182" s="10">
        <v>3.18546766628236E-2</v>
      </c>
      <c r="AE182" s="4">
        <v>3.4409915385996297E-2</v>
      </c>
      <c r="AF182" s="4">
        <v>0.58562118034342403</v>
      </c>
      <c r="AG182" s="4">
        <v>0.94979627255111798</v>
      </c>
      <c r="AH182" s="4">
        <v>0.99044619209172702</v>
      </c>
      <c r="AI182" s="4">
        <v>0.99804398866586796</v>
      </c>
      <c r="AJ182" s="4">
        <v>1</v>
      </c>
      <c r="AK182" s="4">
        <v>1</v>
      </c>
      <c r="AL182" s="4">
        <v>1</v>
      </c>
      <c r="AM182" s="4">
        <v>0</v>
      </c>
      <c r="AN182" s="4">
        <v>0</v>
      </c>
      <c r="AO182" s="4" t="s">
        <v>77</v>
      </c>
      <c r="AP182" s="4" t="s">
        <v>78</v>
      </c>
      <c r="AQ182" s="6">
        <v>30215665261.599998</v>
      </c>
      <c r="AR182" s="4">
        <v>117984</v>
      </c>
      <c r="AS182" s="35">
        <v>0</v>
      </c>
      <c r="AT182" s="35">
        <v>0</v>
      </c>
      <c r="AU182" s="35">
        <v>0</v>
      </c>
      <c r="AV182" s="35">
        <v>100</v>
      </c>
      <c r="AW182" s="35">
        <v>0</v>
      </c>
      <c r="AX182" s="35">
        <v>100</v>
      </c>
    </row>
    <row r="183" spans="1:50" x14ac:dyDescent="0.25">
      <c r="A183">
        <v>4.3</v>
      </c>
      <c r="B183" s="4">
        <v>0.960024139589714</v>
      </c>
      <c r="C183" s="4">
        <v>35.292651765802297</v>
      </c>
      <c r="D183" s="4">
        <v>38.710533507200701</v>
      </c>
      <c r="E183" s="4">
        <v>3.5624577813361397E-2</v>
      </c>
      <c r="F183" s="5">
        <v>3.9975860410285897E-2</v>
      </c>
      <c r="G183" s="5">
        <v>0</v>
      </c>
      <c r="H183" s="4">
        <v>4.9483919784514701</v>
      </c>
      <c r="I183" s="4">
        <v>3.7110584843610299</v>
      </c>
      <c r="J183" s="4">
        <v>4.1983428332845101</v>
      </c>
      <c r="K183" s="4">
        <v>134.92878797041399</v>
      </c>
      <c r="L183" s="4">
        <v>15.244953319235799</v>
      </c>
      <c r="M183" s="4">
        <v>19.3505092158174</v>
      </c>
      <c r="N183" s="4">
        <v>68.3229342646719</v>
      </c>
      <c r="O183" s="4">
        <v>62.191559554746497</v>
      </c>
      <c r="P183" s="4">
        <v>281087.83051960898</v>
      </c>
      <c r="Q183" s="4">
        <v>261925.422283085</v>
      </c>
      <c r="R183" s="4">
        <v>781.44082953208704</v>
      </c>
      <c r="S183" s="4">
        <v>0</v>
      </c>
      <c r="T183" s="4">
        <v>0</v>
      </c>
      <c r="U183" s="4">
        <v>1.20813835521534E-2</v>
      </c>
      <c r="V183" s="4">
        <v>1</v>
      </c>
      <c r="W183" s="4">
        <v>0</v>
      </c>
      <c r="X183" s="4">
        <v>0.77661137775031597</v>
      </c>
      <c r="Y183" s="4">
        <v>0</v>
      </c>
      <c r="Z183" s="5">
        <v>3.7698948610251397E-4</v>
      </c>
      <c r="AA183" s="5">
        <v>2.4306138853914401E-4</v>
      </c>
      <c r="AB183" s="10">
        <v>3.5621477852885298E-3</v>
      </c>
      <c r="AC183" s="10">
        <v>5.0290330474990101E-5</v>
      </c>
      <c r="AD183" s="10">
        <v>3.5743356532200003E-2</v>
      </c>
      <c r="AE183" s="4">
        <v>6.4840858702124193E-2</v>
      </c>
      <c r="AF183" s="4">
        <v>0.42223723773576399</v>
      </c>
      <c r="AG183" s="4">
        <v>0.909800688033787</v>
      </c>
      <c r="AH183" s="4">
        <v>0.97985649729301205</v>
      </c>
      <c r="AI183" s="4">
        <v>0.99714418306418096</v>
      </c>
      <c r="AJ183" s="4">
        <v>1</v>
      </c>
      <c r="AK183" s="4">
        <v>1</v>
      </c>
      <c r="AL183" s="4">
        <v>1</v>
      </c>
      <c r="AM183" s="4">
        <v>0</v>
      </c>
      <c r="AN183" s="4">
        <v>0</v>
      </c>
      <c r="AO183" s="4" t="s">
        <v>79</v>
      </c>
      <c r="AP183" s="4" t="s">
        <v>80</v>
      </c>
      <c r="AQ183" s="6">
        <v>14091587718.83</v>
      </c>
      <c r="AR183" s="4">
        <v>53800</v>
      </c>
      <c r="AS183" s="35">
        <v>0</v>
      </c>
      <c r="AT183" s="35">
        <v>0</v>
      </c>
      <c r="AU183" s="35">
        <v>0</v>
      </c>
      <c r="AV183" s="35">
        <v>100</v>
      </c>
      <c r="AW183" s="35">
        <v>0</v>
      </c>
      <c r="AX183" s="35">
        <v>100</v>
      </c>
    </row>
    <row r="184" spans="1:50" x14ac:dyDescent="0.25">
      <c r="A184">
        <v>4.3</v>
      </c>
      <c r="B184" s="4">
        <v>0.95692142077054998</v>
      </c>
      <c r="C184" s="4">
        <v>34.084038108405203</v>
      </c>
      <c r="D184" s="4">
        <v>41.045723098493497</v>
      </c>
      <c r="E184" s="4">
        <v>3.4136214325988998E-2</v>
      </c>
      <c r="F184" s="5">
        <v>4.3078579229449E-2</v>
      </c>
      <c r="G184" s="5">
        <v>0</v>
      </c>
      <c r="H184" s="4">
        <v>5.1459085180182198</v>
      </c>
      <c r="I184" s="4">
        <v>3.6852226680660198</v>
      </c>
      <c r="J184" s="4">
        <v>19.409020014635701</v>
      </c>
      <c r="K184" s="4">
        <v>160.59319451300999</v>
      </c>
      <c r="L184" s="4">
        <v>15.6436358004993</v>
      </c>
      <c r="M184" s="4">
        <v>19.608127803771499</v>
      </c>
      <c r="N184" s="4">
        <v>73.204530356272798</v>
      </c>
      <c r="O184" s="4">
        <v>65.656036121563403</v>
      </c>
      <c r="P184" s="4">
        <v>273651.28127528302</v>
      </c>
      <c r="Q184" s="4">
        <v>255259.41225758501</v>
      </c>
      <c r="R184" s="4">
        <v>779.35191020138404</v>
      </c>
      <c r="S184" s="4">
        <v>0</v>
      </c>
      <c r="T184" s="4">
        <v>0</v>
      </c>
      <c r="U184" s="4">
        <v>1.1262599635283199E-2</v>
      </c>
      <c r="V184" s="4">
        <v>1</v>
      </c>
      <c r="W184" s="4">
        <v>0</v>
      </c>
      <c r="X184" s="4">
        <v>0.86951356159132298</v>
      </c>
      <c r="Y184" s="4">
        <v>0</v>
      </c>
      <c r="Z184" s="5">
        <v>3.8342289072933601E-4</v>
      </c>
      <c r="AA184" s="5">
        <v>3.5448862814769702E-4</v>
      </c>
      <c r="AB184" s="10">
        <v>3.6686534865229699E-3</v>
      </c>
      <c r="AC184" s="10">
        <v>6.9191811054382301E-5</v>
      </c>
      <c r="AD184" s="10">
        <v>3.8602807401874599E-2</v>
      </c>
      <c r="AE184" s="4">
        <v>7.9609892302351007E-2</v>
      </c>
      <c r="AF184" s="4">
        <v>0.33058697789358199</v>
      </c>
      <c r="AG184" s="4">
        <v>0.87412835212857698</v>
      </c>
      <c r="AH184" s="4">
        <v>0.97213330832731404</v>
      </c>
      <c r="AI184" s="4">
        <v>0.99550186806441998</v>
      </c>
      <c r="AJ184" s="4">
        <v>1</v>
      </c>
      <c r="AK184" s="4">
        <v>1</v>
      </c>
      <c r="AL184" s="4">
        <v>1</v>
      </c>
      <c r="AM184" s="4">
        <v>0</v>
      </c>
      <c r="AN184" s="4">
        <v>0</v>
      </c>
      <c r="AO184" s="4" t="s">
        <v>81</v>
      </c>
      <c r="AP184" s="4" t="s">
        <v>82</v>
      </c>
      <c r="AQ184" s="6">
        <v>3440641617.8200002</v>
      </c>
      <c r="AR184" s="4">
        <v>13479</v>
      </c>
      <c r="AS184" s="35">
        <v>0</v>
      </c>
      <c r="AT184" s="35">
        <v>0</v>
      </c>
      <c r="AU184" s="35">
        <v>0</v>
      </c>
      <c r="AV184" s="35">
        <v>100</v>
      </c>
      <c r="AW184" s="35">
        <v>0</v>
      </c>
      <c r="AX184" s="35">
        <v>100</v>
      </c>
    </row>
    <row r="185" spans="1:50" x14ac:dyDescent="0.25">
      <c r="A185">
        <v>4.3</v>
      </c>
      <c r="B185" s="4">
        <v>0.95324539802312203</v>
      </c>
      <c r="C185" s="4">
        <v>33.665359871941803</v>
      </c>
      <c r="D185" s="4">
        <v>43.706713052519298</v>
      </c>
      <c r="E185" s="4">
        <v>3.3626457099512501E-2</v>
      </c>
      <c r="F185" s="5">
        <v>4.6754601976877398E-2</v>
      </c>
      <c r="G185" s="5">
        <v>0</v>
      </c>
      <c r="H185" s="4">
        <v>5.2300294691854399</v>
      </c>
      <c r="I185" s="4">
        <v>3.65881897020031</v>
      </c>
      <c r="J185" s="4">
        <v>27.5105215681697</v>
      </c>
      <c r="K185" s="4">
        <v>182.55437546943199</v>
      </c>
      <c r="L185" s="4">
        <v>14.769761298689801</v>
      </c>
      <c r="M185" s="4">
        <v>20.164569774608999</v>
      </c>
      <c r="N185" s="4">
        <v>75.884240648583798</v>
      </c>
      <c r="O185" s="4">
        <v>66.8537016725532</v>
      </c>
      <c r="P185" s="4">
        <v>289325.65505929501</v>
      </c>
      <c r="Q185" s="4">
        <v>270360.544728935</v>
      </c>
      <c r="R185" s="4">
        <v>778.12210444987204</v>
      </c>
      <c r="S185" s="4">
        <v>0</v>
      </c>
      <c r="T185" s="4">
        <v>0</v>
      </c>
      <c r="U185" s="4">
        <v>1.3852780085121599E-2</v>
      </c>
      <c r="V185" s="4">
        <v>1</v>
      </c>
      <c r="W185" s="4">
        <v>0</v>
      </c>
      <c r="X185" s="4">
        <v>0.85221977638386703</v>
      </c>
      <c r="Y185" s="4">
        <v>0</v>
      </c>
      <c r="Z185" s="5">
        <v>3.8805998662553198E-4</v>
      </c>
      <c r="AA185" s="5">
        <v>5.2770322687382195E-4</v>
      </c>
      <c r="AB185" s="10">
        <v>3.6357914284036201E-3</v>
      </c>
      <c r="AC185" s="10">
        <v>1.3058948228871501E-4</v>
      </c>
      <c r="AD185" s="10">
        <v>4.2072442667634699E-2</v>
      </c>
      <c r="AE185" s="4">
        <v>9.65949180004404E-2</v>
      </c>
      <c r="AF185" s="4">
        <v>0.255037837503992</v>
      </c>
      <c r="AG185" s="4">
        <v>0.81629255907895903</v>
      </c>
      <c r="AH185" s="4">
        <v>0.94230196100390295</v>
      </c>
      <c r="AI185" s="4">
        <v>0.99203386852364395</v>
      </c>
      <c r="AJ185" s="4">
        <v>1</v>
      </c>
      <c r="AK185" s="4">
        <v>1</v>
      </c>
      <c r="AL185" s="4">
        <v>1</v>
      </c>
      <c r="AM185" s="4">
        <v>0</v>
      </c>
      <c r="AN185" s="4">
        <v>0</v>
      </c>
      <c r="AO185" s="4" t="s">
        <v>83</v>
      </c>
      <c r="AP185" s="4" t="s">
        <v>84</v>
      </c>
      <c r="AQ185" s="6">
        <v>827843987.96000004</v>
      </c>
      <c r="AR185" s="4">
        <v>3062</v>
      </c>
      <c r="AS185" s="35">
        <v>0</v>
      </c>
      <c r="AT185" s="35">
        <v>0</v>
      </c>
      <c r="AU185" s="35">
        <v>0</v>
      </c>
      <c r="AV185" s="35">
        <v>100</v>
      </c>
      <c r="AW185" s="35">
        <v>0</v>
      </c>
      <c r="AX185" s="35">
        <v>100</v>
      </c>
    </row>
    <row r="186" spans="1:50" x14ac:dyDescent="0.25">
      <c r="A186">
        <v>4.3</v>
      </c>
      <c r="B186" s="4">
        <v>0.95105383007684796</v>
      </c>
      <c r="C186" s="4">
        <v>28.261046737152199</v>
      </c>
      <c r="D186" s="4">
        <v>45.240284040715402</v>
      </c>
      <c r="E186" s="4">
        <v>2.7298498426786399E-2</v>
      </c>
      <c r="F186" s="5">
        <v>4.8946169923151102E-2</v>
      </c>
      <c r="G186" s="5">
        <v>0</v>
      </c>
      <c r="H186" s="4">
        <v>5.2464186800367099</v>
      </c>
      <c r="I186" s="4">
        <v>3.69172285194899</v>
      </c>
      <c r="J186" s="4">
        <v>34.717273760760897</v>
      </c>
      <c r="K186" s="4">
        <v>210.090614075605</v>
      </c>
      <c r="L186" s="4">
        <v>15.0628190517424</v>
      </c>
      <c r="M186" s="4">
        <v>19.5938189736627</v>
      </c>
      <c r="N186" s="4">
        <v>85.7916585505439</v>
      </c>
      <c r="O186" s="4">
        <v>73.984501983366698</v>
      </c>
      <c r="P186" s="4">
        <v>285262.204090774</v>
      </c>
      <c r="Q186" s="4">
        <v>265099.50371980597</v>
      </c>
      <c r="R186" s="4">
        <v>777.48058414718002</v>
      </c>
      <c r="S186" s="4">
        <v>0</v>
      </c>
      <c r="T186" s="4">
        <v>0</v>
      </c>
      <c r="U186" s="4">
        <v>1.8733180614728201E-2</v>
      </c>
      <c r="V186" s="4">
        <v>1</v>
      </c>
      <c r="W186" s="4">
        <v>0</v>
      </c>
      <c r="X186" s="4">
        <v>0.76619444473884202</v>
      </c>
      <c r="Y186" s="4">
        <v>0</v>
      </c>
      <c r="Z186" s="5">
        <v>3.93557459393304E-4</v>
      </c>
      <c r="AA186" s="5">
        <v>5.5744886441279405E-4</v>
      </c>
      <c r="AB186" s="10">
        <v>4.0135355441274102E-3</v>
      </c>
      <c r="AC186" s="10">
        <v>2.998124646368E-4</v>
      </c>
      <c r="AD186" s="10">
        <v>4.3681799840299997E-2</v>
      </c>
      <c r="AE186" s="4">
        <v>0.120093667509478</v>
      </c>
      <c r="AF186" s="4">
        <v>0.14854476835838101</v>
      </c>
      <c r="AG186" s="4">
        <v>0.69660049824911896</v>
      </c>
      <c r="AH186" s="4">
        <v>0.85633042659728598</v>
      </c>
      <c r="AI186" s="4">
        <v>0.97462641676318995</v>
      </c>
      <c r="AJ186" s="4">
        <v>1</v>
      </c>
      <c r="AK186" s="4">
        <v>1</v>
      </c>
      <c r="AL186" s="4">
        <v>1</v>
      </c>
      <c r="AM186" s="4">
        <v>0</v>
      </c>
      <c r="AN186" s="4">
        <v>0</v>
      </c>
      <c r="AO186" s="4" t="s">
        <v>85</v>
      </c>
      <c r="AP186" s="4" t="s">
        <v>86</v>
      </c>
      <c r="AQ186" s="6">
        <v>109751194.54000001</v>
      </c>
      <c r="AR186" s="4">
        <v>414</v>
      </c>
      <c r="AS186" s="35">
        <v>0</v>
      </c>
      <c r="AT186" s="35">
        <v>0</v>
      </c>
      <c r="AU186" s="35">
        <v>0</v>
      </c>
      <c r="AV186" s="35">
        <v>100</v>
      </c>
      <c r="AW186" s="35">
        <v>0</v>
      </c>
      <c r="AX186" s="35">
        <v>100</v>
      </c>
    </row>
    <row r="187" spans="1:50" x14ac:dyDescent="0.25">
      <c r="B187" s="4"/>
      <c r="C187" s="4"/>
      <c r="D187" s="4"/>
      <c r="E187" s="4"/>
      <c r="F187" s="5"/>
      <c r="G187" s="5"/>
      <c r="H187" s="4"/>
      <c r="I187" s="4"/>
      <c r="J187" s="4"/>
      <c r="K187" s="4"/>
      <c r="L187" s="4"/>
      <c r="M187" s="4"/>
      <c r="N187" s="4"/>
      <c r="O187" s="4"/>
      <c r="P187" s="4"/>
      <c r="Q187" s="4"/>
      <c r="R187" s="4"/>
      <c r="S187" s="4"/>
      <c r="T187" s="4"/>
      <c r="U187" s="4"/>
      <c r="V187" s="4"/>
      <c r="W187" s="4"/>
      <c r="X187" s="4"/>
      <c r="Y187" s="4"/>
      <c r="Z187" s="5"/>
      <c r="AA187" s="5"/>
      <c r="AB187" s="10"/>
      <c r="AC187" s="10"/>
      <c r="AD187" s="10"/>
      <c r="AE187" s="4"/>
      <c r="AF187" s="4"/>
      <c r="AG187" s="4"/>
      <c r="AH187" s="4"/>
      <c r="AI187" s="4"/>
      <c r="AJ187" s="4"/>
      <c r="AK187" s="4"/>
      <c r="AL187" s="4"/>
      <c r="AM187" s="4"/>
      <c r="AN187" s="4"/>
      <c r="AO187" s="4"/>
      <c r="AP187" s="4"/>
      <c r="AQ187" s="6"/>
      <c r="AR187" s="4"/>
      <c r="AS187" s="35"/>
      <c r="AT187" s="35"/>
      <c r="AU187" s="35"/>
      <c r="AV187" s="35"/>
      <c r="AW187" s="35"/>
      <c r="AX187" s="35"/>
    </row>
    <row r="188" spans="1:50" x14ac:dyDescent="0.25">
      <c r="B188" s="4"/>
      <c r="C188" s="4"/>
      <c r="D188" s="4"/>
      <c r="E188" s="4"/>
      <c r="F188" s="5"/>
      <c r="G188" s="5"/>
      <c r="H188" s="4"/>
      <c r="I188" s="4"/>
      <c r="J188" s="4"/>
      <c r="K188" s="4"/>
      <c r="L188" s="4" t="s">
        <v>168</v>
      </c>
      <c r="M188" s="36" t="s">
        <v>169</v>
      </c>
      <c r="N188" s="4"/>
      <c r="O188" s="4"/>
      <c r="P188" s="4"/>
      <c r="Q188" s="4"/>
      <c r="R188" s="4"/>
      <c r="S188" s="4"/>
      <c r="T188" s="4"/>
      <c r="U188" s="4"/>
      <c r="V188" s="4"/>
      <c r="W188" s="4"/>
      <c r="X188" s="4"/>
      <c r="Y188" s="4"/>
      <c r="Z188" s="5"/>
      <c r="AA188" s="5"/>
      <c r="AB188" s="10"/>
      <c r="AC188" s="10"/>
      <c r="AD188" s="10"/>
      <c r="AE188" s="4"/>
      <c r="AF188" s="4"/>
      <c r="AG188" s="4"/>
      <c r="AH188" s="4"/>
      <c r="AI188" s="4"/>
      <c r="AJ188" s="4"/>
      <c r="AK188" s="4"/>
      <c r="AL188" s="4"/>
      <c r="AM188" s="4"/>
      <c r="AN188" s="4"/>
      <c r="AO188" s="4"/>
      <c r="AP188" s="4"/>
      <c r="AQ188" s="6"/>
      <c r="AR188" s="4"/>
      <c r="AS188" s="35"/>
      <c r="AT188" s="35"/>
      <c r="AU188" s="35"/>
      <c r="AV188" s="35"/>
      <c r="AW188" s="35"/>
      <c r="AX188" s="35"/>
    </row>
    <row r="189" spans="1:50" x14ac:dyDescent="0.25">
      <c r="B189" s="4"/>
      <c r="C189" s="4"/>
      <c r="D189" s="4"/>
      <c r="E189" s="4"/>
      <c r="F189" s="5"/>
      <c r="G189" s="5"/>
      <c r="H189" s="4"/>
      <c r="I189" s="4"/>
      <c r="J189" s="4"/>
      <c r="K189" s="4"/>
      <c r="L189" t="s">
        <v>161</v>
      </c>
      <c r="M189" s="4">
        <v>0.89</v>
      </c>
      <c r="N189" s="4"/>
      <c r="O189" s="4"/>
      <c r="P189" s="4"/>
      <c r="Q189" s="4"/>
      <c r="R189" s="4"/>
      <c r="S189" s="4"/>
      <c r="T189" s="4"/>
      <c r="U189" s="4"/>
      <c r="V189" s="4"/>
      <c r="W189" s="4"/>
      <c r="X189" s="4"/>
      <c r="Y189" s="4"/>
      <c r="Z189" s="5"/>
      <c r="AA189" s="5"/>
      <c r="AB189" s="10"/>
      <c r="AC189" s="10"/>
      <c r="AD189" s="10"/>
      <c r="AE189" s="4"/>
      <c r="AF189" s="4"/>
      <c r="AG189" s="4"/>
      <c r="AH189" s="4"/>
      <c r="AI189" s="4"/>
      <c r="AJ189" s="4"/>
      <c r="AK189" s="4"/>
      <c r="AL189" s="4"/>
      <c r="AM189" s="4"/>
      <c r="AN189" s="4"/>
      <c r="AO189" s="4"/>
      <c r="AP189" s="4"/>
      <c r="AQ189" s="6"/>
      <c r="AR189" s="4"/>
      <c r="AS189" s="35"/>
      <c r="AT189" s="35"/>
      <c r="AU189" s="35"/>
      <c r="AV189" s="35"/>
      <c r="AW189" s="35"/>
      <c r="AX189" s="35"/>
    </row>
    <row r="191" spans="1:50" x14ac:dyDescent="0.25">
      <c r="K191" t="s">
        <v>102</v>
      </c>
      <c r="L191" t="s">
        <v>90</v>
      </c>
      <c r="M191" t="s">
        <v>91</v>
      </c>
      <c r="R191" t="s">
        <v>102</v>
      </c>
      <c r="W191" t="s">
        <v>90</v>
      </c>
      <c r="AB191" t="s">
        <v>91</v>
      </c>
    </row>
    <row r="192" spans="1:50" x14ac:dyDescent="0.25">
      <c r="A192" s="4" t="s">
        <v>95</v>
      </c>
      <c r="B192" t="str">
        <f>AQ156</f>
        <v>Balance</v>
      </c>
      <c r="C192" s="2" t="str">
        <f>AO156</f>
        <v>groupByColumn</v>
      </c>
      <c r="D192" t="str">
        <f>E156</f>
        <v>PREPAY_SMM1</v>
      </c>
      <c r="E192" t="str">
        <f>F156</f>
        <v>PREPAY_TRACKING_SMM1</v>
      </c>
      <c r="F192" t="s">
        <v>92</v>
      </c>
      <c r="G192" t="str">
        <f>C156</f>
        <v>PREPAY_CPR1</v>
      </c>
      <c r="H192" t="str">
        <f>D156</f>
        <v>PREPAY_TRACKING_CPR1</v>
      </c>
      <c r="K192" t="s">
        <v>93</v>
      </c>
      <c r="L192" t="s">
        <v>93</v>
      </c>
      <c r="M192" t="s">
        <v>93</v>
      </c>
      <c r="N192" t="s">
        <v>100</v>
      </c>
      <c r="O192" t="s">
        <v>101</v>
      </c>
      <c r="P192" t="s">
        <v>92</v>
      </c>
      <c r="R192" t="s">
        <v>96</v>
      </c>
      <c r="T192" t="s">
        <v>94</v>
      </c>
      <c r="U192" t="s">
        <v>99</v>
      </c>
      <c r="W192" t="s">
        <v>96</v>
      </c>
      <c r="X192" t="s">
        <v>103</v>
      </c>
      <c r="Y192" t="s">
        <v>94</v>
      </c>
      <c r="Z192" t="s">
        <v>99</v>
      </c>
      <c r="AB192" t="s">
        <v>96</v>
      </c>
      <c r="AC192" t="s">
        <v>103</v>
      </c>
      <c r="AD192" t="s">
        <v>94</v>
      </c>
      <c r="AE192" t="s">
        <v>99</v>
      </c>
    </row>
    <row r="193" spans="1:31" s="17" customFormat="1" x14ac:dyDescent="0.25">
      <c r="A193" s="15">
        <f>K157</f>
        <v>-107.582908254133</v>
      </c>
      <c r="B193" s="22">
        <f>AQ157/1000000000</f>
        <v>7.1095018000000005E-4</v>
      </c>
      <c r="C193" s="23" t="str">
        <f>AO157</f>
        <v>04:-125--100</v>
      </c>
      <c r="D193" s="16">
        <f>E157</f>
        <v>0</v>
      </c>
      <c r="E193" s="16">
        <f>Z157+AA157+AB157+AC157+AD157</f>
        <v>4.9722454793463787E-3</v>
      </c>
      <c r="F193" s="22">
        <f t="shared" ref="F193:F220" si="78">D193/E193</f>
        <v>0</v>
      </c>
      <c r="G193" s="23">
        <f t="shared" ref="G193:G220" si="79">(1-(1-D193)^12)*100</f>
        <v>0</v>
      </c>
      <c r="H193" s="23">
        <f t="shared" ref="H193:H220" si="80">(1-(1-E193)^12)*100</f>
        <v>5.8061957313264356</v>
      </c>
      <c r="K193" s="15">
        <f t="shared" ref="K193:K194" si="81">VLOOKUP(C193,$C$26:$M$44,9,0)</f>
        <v>1</v>
      </c>
      <c r="L193" s="15">
        <f t="shared" ref="L193:L194" si="82">VLOOKUP(C193,$C$26:$M$44,10,0)</f>
        <v>1</v>
      </c>
      <c r="M193" s="15">
        <f t="shared" ref="M193:M194" si="83">VLOOKUP(C193,$C$26:$M$44,11,0)</f>
        <v>1</v>
      </c>
      <c r="N193" s="16">
        <f>Z157+AA157+AB157*K193+AC157*L193+AD157*M193*$M$189</f>
        <v>4.8841939482219196E-3</v>
      </c>
      <c r="O193" s="23">
        <f t="shared" ref="O193:O220" si="84">100*(1-(1-N193)^12)</f>
        <v>5.7061227854370733</v>
      </c>
      <c r="P193" s="24">
        <f t="shared" ref="P193:P220" si="85">D193/N193</f>
        <v>0</v>
      </c>
      <c r="S193" s="18">
        <f t="shared" ref="S193:S201" si="86">A193</f>
        <v>-107.582908254133</v>
      </c>
      <c r="T193" s="16">
        <f>VLOOKUP(ROUNDDOWN(S193,0),'Spline Pre-Adj'!A:B,2,0)</f>
        <v>1.022147702</v>
      </c>
      <c r="U193" s="16">
        <f t="shared" ref="U193:U201" si="87">T193*K193</f>
        <v>1.022147702</v>
      </c>
      <c r="X193" s="18">
        <f t="shared" ref="X193:X220" si="88">A193</f>
        <v>-107.582908254133</v>
      </c>
      <c r="Y193" s="16">
        <f>VLOOKUP(ROUNDDOWN(X193,0),'Spline Pre-Adj'!F:G,2,0)</f>
        <v>0</v>
      </c>
      <c r="Z193" s="16">
        <f t="shared" ref="Z193:Z220" si="89">Y193*L193</f>
        <v>0</v>
      </c>
      <c r="AC193" s="18">
        <f t="shared" ref="AC193:AC220" si="90">A193</f>
        <v>-107.582908254133</v>
      </c>
      <c r="AD193" s="16">
        <f>VLOOKUP(ROUNDDOWN(AC193,0),'Spline Pre-Adj'!K:L,2,0)</f>
        <v>0</v>
      </c>
      <c r="AE193" s="16">
        <f t="shared" ref="AE193:AE220" si="91">AD193*M193</f>
        <v>0</v>
      </c>
    </row>
    <row r="194" spans="1:31" s="17" customFormat="1" x14ac:dyDescent="0.25">
      <c r="A194" s="15">
        <f>K158</f>
        <v>-83.219819416087105</v>
      </c>
      <c r="B194" s="22">
        <f>AQ158/1000000000</f>
        <v>2.9858396099999998E-3</v>
      </c>
      <c r="C194" s="23" t="str">
        <f>AO158</f>
        <v>05:-100--75</v>
      </c>
      <c r="D194" s="16">
        <f>E158</f>
        <v>1.8160552716067701E-3</v>
      </c>
      <c r="E194" s="16">
        <f>Z158+AA158+AB158+AC158+AD158</f>
        <v>8.4427661465954814E-3</v>
      </c>
      <c r="F194" s="22">
        <f t="shared" si="78"/>
        <v>0.21510192750501428</v>
      </c>
      <c r="G194" s="23">
        <f t="shared" si="79"/>
        <v>2.1576303824957122</v>
      </c>
      <c r="H194" s="23">
        <f t="shared" si="80"/>
        <v>9.6738609190506804</v>
      </c>
      <c r="K194" s="15">
        <f t="shared" si="81"/>
        <v>1</v>
      </c>
      <c r="L194" s="15">
        <f t="shared" si="82"/>
        <v>1</v>
      </c>
      <c r="M194" s="15">
        <f t="shared" si="83"/>
        <v>1</v>
      </c>
      <c r="N194" s="16">
        <f t="shared" ref="N194:N220" si="92">Z158+AA158+AB158*K194+AC158*L194+AD158*M194*$M$189</f>
        <v>7.9028732101904357E-3</v>
      </c>
      <c r="O194" s="23">
        <f t="shared" si="84"/>
        <v>9.0819102121779913</v>
      </c>
      <c r="P194" s="24">
        <f t="shared" si="85"/>
        <v>0.22979683759383107</v>
      </c>
      <c r="S194" s="18">
        <f t="shared" si="86"/>
        <v>-83.219819416087105</v>
      </c>
      <c r="T194" s="16">
        <f>VLOOKUP(ROUNDDOWN(S194,0),'Spline Pre-Adj'!A:B,2,0)</f>
        <v>1.135228248</v>
      </c>
      <c r="U194" s="16">
        <f t="shared" si="87"/>
        <v>1.135228248</v>
      </c>
      <c r="X194" s="18">
        <f t="shared" si="88"/>
        <v>-83.219819416087105</v>
      </c>
      <c r="Y194" s="16">
        <f>VLOOKUP(ROUNDDOWN(X194,0),'Spline Pre-Adj'!F:G,2,0)</f>
        <v>3.1256266951590402E-2</v>
      </c>
      <c r="Z194" s="16">
        <f t="shared" si="89"/>
        <v>3.1256266951590402E-2</v>
      </c>
      <c r="AC194" s="18">
        <f t="shared" si="90"/>
        <v>-83.219819416087105</v>
      </c>
      <c r="AD194" s="16">
        <f>VLOOKUP(ROUNDDOWN(AC194,0),'Spline Pre-Adj'!K:L,2,0)</f>
        <v>0</v>
      </c>
      <c r="AE194" s="16">
        <f t="shared" si="91"/>
        <v>0</v>
      </c>
    </row>
    <row r="195" spans="1:31" x14ac:dyDescent="0.25">
      <c r="A195" s="4">
        <f>K159</f>
        <v>-58.362227838696299</v>
      </c>
      <c r="B195" s="3">
        <f>AQ159/1000000000</f>
        <v>5.4598129119999998E-2</v>
      </c>
      <c r="C195" s="2" t="str">
        <f>AO159</f>
        <v>06:-75--50</v>
      </c>
      <c r="D195" s="8">
        <f>E159</f>
        <v>7.6879413060304503E-3</v>
      </c>
      <c r="E195" s="8">
        <f>Z159+AA159+AB159+AC159+AD159</f>
        <v>4.4936454484625545E-3</v>
      </c>
      <c r="F195" s="3">
        <f t="shared" si="78"/>
        <v>1.7108473274545468</v>
      </c>
      <c r="G195" s="2">
        <f t="shared" si="79"/>
        <v>8.845266053677193</v>
      </c>
      <c r="H195" s="2">
        <f t="shared" si="80"/>
        <v>5.2610779618120436</v>
      </c>
      <c r="K195" s="14">
        <f t="shared" ref="K195" si="93">IF(ISNA(VLOOKUP(C195,$C$26:$M$44,9,0)),K196, VLOOKUP(C195,$C$26:$M$44,9,0))</f>
        <v>1</v>
      </c>
      <c r="L195" s="14">
        <f>IF(ISNA(VLOOKUP(C195,$C$26:$M$44,10,0)),L196, VLOOKUP(C195,$C$26:$M$44,10,0))</f>
        <v>1</v>
      </c>
      <c r="M195" s="14">
        <f>IF(ISNA(VLOOKUP(C195,$C$26:$M$44,11,0)),M196/5, VLOOKUP(C195,$C$26:$M$44,11,0))</f>
        <v>1</v>
      </c>
      <c r="N195" s="40">
        <f t="shared" ref="N195:N196" si="94">Z159+AA159+AB159*K195+AC159*L195+AD158*M194*$M$189</f>
        <v>7.7942296246809187E-3</v>
      </c>
      <c r="O195" s="2">
        <f t="shared" si="84"/>
        <v>8.9623620129207993</v>
      </c>
      <c r="P195" s="7">
        <f t="shared" si="85"/>
        <v>0.9863632040921787</v>
      </c>
      <c r="S195" s="9">
        <f t="shared" si="86"/>
        <v>-58.362227838696299</v>
      </c>
      <c r="T195" s="8">
        <f>VLOOKUP(ROUNDDOWN(S195,0),'Spline Pre-Adj'!A:B,2,0)</f>
        <v>1.2740740479999999</v>
      </c>
      <c r="U195" s="8">
        <f t="shared" si="87"/>
        <v>1.2740740479999999</v>
      </c>
      <c r="X195" s="9">
        <f t="shared" si="88"/>
        <v>-58.362227838696299</v>
      </c>
      <c r="Y195" s="8">
        <f>VLOOKUP(ROUNDDOWN(X195,0),'Spline Pre-Adj'!F:G,2,0)</f>
        <v>0.17905591304347801</v>
      </c>
      <c r="Z195" s="8">
        <f t="shared" si="89"/>
        <v>0.17905591304347801</v>
      </c>
      <c r="AC195" s="9">
        <f t="shared" si="90"/>
        <v>-58.362227838696299</v>
      </c>
      <c r="AD195" s="8">
        <f>VLOOKUP(ROUNDDOWN(AC195,0),'Spline Pre-Adj'!K:L,2,0)</f>
        <v>0</v>
      </c>
      <c r="AE195" s="8">
        <f t="shared" si="91"/>
        <v>0</v>
      </c>
    </row>
    <row r="196" spans="1:31" x14ac:dyDescent="0.25">
      <c r="A196" s="4">
        <f>K160</f>
        <v>-33.5047409308822</v>
      </c>
      <c r="B196" s="3">
        <f>AQ160/1000000000</f>
        <v>0.58691430655999999</v>
      </c>
      <c r="C196" s="2" t="str">
        <f>AO160</f>
        <v>07:-50--25</v>
      </c>
      <c r="D196" s="8">
        <f>E160</f>
        <v>5.2393000986796501E-3</v>
      </c>
      <c r="E196" s="8">
        <f>Z160+AA160+AB160+AC160+AD160</f>
        <v>5.875944747704781E-3</v>
      </c>
      <c r="F196" s="3">
        <f t="shared" si="78"/>
        <v>0.89165237653505636</v>
      </c>
      <c r="G196" s="2">
        <f t="shared" si="79"/>
        <v>6.1091154215680232</v>
      </c>
      <c r="H196" s="2">
        <f t="shared" si="80"/>
        <v>6.8276621405041986</v>
      </c>
      <c r="K196" s="14">
        <f t="shared" ref="K196:K220" si="95">IF(ISNA(VLOOKUP(C196,$C$26:$M$44,9,0)),K197, VLOOKUP(C196,$C$26:$M$44,9,0))</f>
        <v>1</v>
      </c>
      <c r="L196" s="14">
        <f t="shared" ref="L196:L220" si="96">IF(ISNA(VLOOKUP(C196,$C$26:$M$44,10,0)),L197, VLOOKUP(C196,$C$26:$M$44,10,0))</f>
        <v>1</v>
      </c>
      <c r="M196" s="14">
        <f t="shared" ref="M196" si="97">VLOOKUP(C196,$C$26:$M$44,11,0)</f>
        <v>1</v>
      </c>
      <c r="N196" s="40">
        <f t="shared" si="94"/>
        <v>4.1854528518233307E-3</v>
      </c>
      <c r="O196" s="2">
        <f t="shared" si="84"/>
        <v>4.9085224882448149</v>
      </c>
      <c r="P196" s="7">
        <f t="shared" si="85"/>
        <v>1.2517881061298364</v>
      </c>
      <c r="S196" s="9">
        <f t="shared" si="86"/>
        <v>-33.5047409308822</v>
      </c>
      <c r="T196" s="8">
        <f>VLOOKUP(ROUNDDOWN(S196,0),'Spline Pre-Adj'!A:B,2,0)</f>
        <v>1.2869999999999999</v>
      </c>
      <c r="U196" s="8">
        <f t="shared" si="87"/>
        <v>1.2869999999999999</v>
      </c>
      <c r="X196" s="9">
        <f t="shared" si="88"/>
        <v>-33.5047409308822</v>
      </c>
      <c r="Y196" s="8">
        <f>VLOOKUP(ROUNDDOWN(X196,0),'Spline Pre-Adj'!F:G,2,0)</f>
        <v>0.30615060763888902</v>
      </c>
      <c r="Z196" s="8">
        <f t="shared" si="89"/>
        <v>0.30615060763888902</v>
      </c>
      <c r="AC196" s="9">
        <f t="shared" si="90"/>
        <v>-33.5047409308822</v>
      </c>
      <c r="AD196" s="8">
        <f>VLOOKUP(ROUNDDOWN(AC196,0),'Spline Pre-Adj'!K:L,2,0)</f>
        <v>0.39387319081357403</v>
      </c>
      <c r="AE196" s="8">
        <f>AD196*M196</f>
        <v>0.39387319081357403</v>
      </c>
    </row>
    <row r="197" spans="1:31" x14ac:dyDescent="0.25">
      <c r="A197" s="4">
        <f>K161</f>
        <v>-22.3264737150208</v>
      </c>
      <c r="B197" s="3">
        <f>AQ161/1000000000</f>
        <v>0.32172203352999995</v>
      </c>
      <c r="C197" s="2" t="str">
        <f>AO161</f>
        <v>08-1:-25--20</v>
      </c>
      <c r="D197" s="8">
        <f>E161</f>
        <v>6.1237914678671703E-3</v>
      </c>
      <c r="E197" s="8">
        <f>Z161+AA161+AB161+AC161+AD161</f>
        <v>7.7567880534034775E-3</v>
      </c>
      <c r="F197" s="3">
        <f t="shared" si="78"/>
        <v>0.78947515720507655</v>
      </c>
      <c r="G197" s="2">
        <f t="shared" si="79"/>
        <v>7.1060276401128775</v>
      </c>
      <c r="H197" s="2">
        <f t="shared" si="80"/>
        <v>8.92112903674035</v>
      </c>
      <c r="J197">
        <v>1</v>
      </c>
      <c r="K197" s="14">
        <f t="shared" si="95"/>
        <v>1</v>
      </c>
      <c r="L197" s="14">
        <f t="shared" si="96"/>
        <v>1</v>
      </c>
      <c r="M197" s="14">
        <f>IF(ISNA(VLOOKUP(C197,$C$26:$M$44,11,0)),($M$201-$M$196)*J197/5+$M$196, VLOOKUP(C197,$C$26:$M$44,11,0))</f>
        <v>1</v>
      </c>
      <c r="N197" s="40">
        <f>Z161+AA161+AB161*K197+AC161*L197+AD160*M196*$M$189</f>
        <v>5.5373876123377495E-3</v>
      </c>
      <c r="O197" s="2">
        <f t="shared" si="84"/>
        <v>6.4461808412216275</v>
      </c>
      <c r="P197" s="7">
        <f t="shared" si="85"/>
        <v>1.1058990080851241</v>
      </c>
      <c r="S197" s="9">
        <f t="shared" si="86"/>
        <v>-22.3264737150208</v>
      </c>
      <c r="T197" s="8">
        <f>VLOOKUP(ROUNDDOWN(S197,0),'Spline Pre-Adj'!A:B,2,0)</f>
        <v>1.2869999999999999</v>
      </c>
      <c r="U197" s="8">
        <f t="shared" si="87"/>
        <v>1.2869999999999999</v>
      </c>
      <c r="X197" s="9">
        <f t="shared" si="88"/>
        <v>-22.3264737150208</v>
      </c>
      <c r="Y197" s="8">
        <f>VLOOKUP(ROUNDDOWN(X197,0),'Spline Pre-Adj'!F:G,2,0)</f>
        <v>0.38089236111111102</v>
      </c>
      <c r="Z197" s="8">
        <f t="shared" si="89"/>
        <v>0.38089236111111102</v>
      </c>
      <c r="AC197" s="9">
        <f t="shared" si="90"/>
        <v>-22.3264737150208</v>
      </c>
      <c r="AD197" s="8">
        <f>VLOOKUP(ROUNDDOWN(AC197,0),'Spline Pre-Adj'!K:L,2,0)</f>
        <v>0.79645948376475795</v>
      </c>
      <c r="AE197" s="8">
        <f>AD197*M197</f>
        <v>0.79645948376475795</v>
      </c>
    </row>
    <row r="198" spans="1:31" x14ac:dyDescent="0.25">
      <c r="A198" s="4">
        <f>K162</f>
        <v>-17.311749735249801</v>
      </c>
      <c r="B198" s="3">
        <f>AQ162/1000000000</f>
        <v>0.47947055069</v>
      </c>
      <c r="C198" s="2" t="str">
        <f>AO162</f>
        <v>08-2:-20--15</v>
      </c>
      <c r="D198" s="8">
        <f>E162</f>
        <v>7.5549066464631097E-3</v>
      </c>
      <c r="E198" s="8">
        <f>Z162+AA162+AB162+AC162+AD162</f>
        <v>8.7584385364991579E-3</v>
      </c>
      <c r="F198" s="3">
        <f t="shared" si="78"/>
        <v>0.86258602089624148</v>
      </c>
      <c r="G198" s="2">
        <f t="shared" si="79"/>
        <v>8.6985095814039788</v>
      </c>
      <c r="H198" s="2">
        <f t="shared" si="80"/>
        <v>10.018332345829606</v>
      </c>
      <c r="J198">
        <v>2</v>
      </c>
      <c r="K198" s="14">
        <f t="shared" si="95"/>
        <v>1</v>
      </c>
      <c r="L198" s="14">
        <f t="shared" si="96"/>
        <v>1</v>
      </c>
      <c r="M198" s="14">
        <f>IF(ISNA(VLOOKUP(C198,$C$26:$M$44,11,0)),($M$201-$M$196)*J198/5+$M$196, VLOOKUP(C198,$C$26:$M$44,11,0))</f>
        <v>1</v>
      </c>
      <c r="N198" s="40">
        <f t="shared" ref="N197:N199" si="98">Z162+AA162+AB162*K198+AC162*L198+AD159*M195*$M$189</f>
        <v>4.1257305788055471E-3</v>
      </c>
      <c r="O198" s="2">
        <f t="shared" si="84"/>
        <v>4.840064526859555</v>
      </c>
      <c r="P198" s="7">
        <f t="shared" si="85"/>
        <v>1.8311682021297557</v>
      </c>
      <c r="S198" s="9">
        <f t="shared" si="86"/>
        <v>-17.311749735249801</v>
      </c>
      <c r="T198" s="8">
        <f>VLOOKUP(ROUNDDOWN(S198,0),'Spline Pre-Adj'!A:B,2,0)</f>
        <v>1.2869999999999999</v>
      </c>
      <c r="U198" s="8">
        <f t="shared" si="87"/>
        <v>1.2869999999999999</v>
      </c>
      <c r="X198" s="9">
        <f t="shared" si="88"/>
        <v>-17.311749735249801</v>
      </c>
      <c r="Y198" s="8">
        <f>VLOOKUP(ROUNDDOWN(X198,0),'Spline Pre-Adj'!F:G,2,0)</f>
        <v>0.43050424626087003</v>
      </c>
      <c r="Z198" s="8">
        <f t="shared" si="89"/>
        <v>0.43050424626087003</v>
      </c>
      <c r="AC198" s="9">
        <f t="shared" si="90"/>
        <v>-17.311749735249801</v>
      </c>
      <c r="AD198" s="8">
        <f>VLOOKUP(ROUNDDOWN(AC198,0),'Spline Pre-Adj'!K:L,2,0)</f>
        <v>0.95362938111262996</v>
      </c>
      <c r="AE198" s="8">
        <f t="shared" si="91"/>
        <v>0.95362938111262996</v>
      </c>
    </row>
    <row r="199" spans="1:31" x14ac:dyDescent="0.25">
      <c r="A199" s="4">
        <f>K163</f>
        <v>-12.3173211779757</v>
      </c>
      <c r="B199" s="3">
        <f>AQ163/1000000000</f>
        <v>0.77534921988999994</v>
      </c>
      <c r="C199" s="2" t="str">
        <f>AO163</f>
        <v>08-3:-15--10</v>
      </c>
      <c r="D199" s="8">
        <f>E163</f>
        <v>5.47918889507845E-3</v>
      </c>
      <c r="E199" s="8">
        <f>Z163+AA163+AB163+AC163+AD163</f>
        <v>9.5481708762406425E-3</v>
      </c>
      <c r="F199" s="3">
        <f t="shared" si="78"/>
        <v>0.57384696672246249</v>
      </c>
      <c r="G199" s="2">
        <f t="shared" si="79"/>
        <v>6.3804593342024489</v>
      </c>
      <c r="H199" s="2">
        <f t="shared" si="80"/>
        <v>10.874844541297113</v>
      </c>
      <c r="J199">
        <v>3</v>
      </c>
      <c r="K199" s="14">
        <f t="shared" si="95"/>
        <v>1</v>
      </c>
      <c r="L199" s="14">
        <f t="shared" si="96"/>
        <v>1</v>
      </c>
      <c r="M199" s="14">
        <f>IF(ISNA(VLOOKUP(C199,$C$26:$M$44,11,0)),($M$201-$M$196)*J199/5+$M$196, VLOOKUP(C199,$C$26:$M$44,11,0))</f>
        <v>1</v>
      </c>
      <c r="N199" s="40">
        <f t="shared" si="98"/>
        <v>5.4616563701851938E-3</v>
      </c>
      <c r="O199" s="2">
        <f t="shared" si="84"/>
        <v>6.360652254442611</v>
      </c>
      <c r="P199" s="7">
        <f t="shared" si="85"/>
        <v>1.0032101113114631</v>
      </c>
      <c r="S199" s="9">
        <f t="shared" si="86"/>
        <v>-12.3173211779757</v>
      </c>
      <c r="T199" s="8">
        <f>VLOOKUP(ROUNDDOWN(S199,0),'Spline Pre-Adj'!A:B,2,0)</f>
        <v>1.2869999999999999</v>
      </c>
      <c r="U199" s="8">
        <f t="shared" si="87"/>
        <v>1.2869999999999999</v>
      </c>
      <c r="X199" s="9">
        <f t="shared" si="88"/>
        <v>-12.3173211779757</v>
      </c>
      <c r="Y199" s="8">
        <f>VLOOKUP(ROUNDDOWN(X199,0),'Spline Pre-Adj'!F:G,2,0)</f>
        <v>0.48396474713043502</v>
      </c>
      <c r="Z199" s="8">
        <f t="shared" si="89"/>
        <v>0.48396474713043502</v>
      </c>
      <c r="AC199" s="9">
        <f t="shared" si="90"/>
        <v>-12.3173211779757</v>
      </c>
      <c r="AD199" s="8">
        <f>VLOOKUP(ROUNDDOWN(AC199,0),'Spline Pre-Adj'!K:L,2,0)</f>
        <v>1.08142635820954</v>
      </c>
      <c r="AE199" s="8">
        <f t="shared" si="91"/>
        <v>1.08142635820954</v>
      </c>
    </row>
    <row r="200" spans="1:31" x14ac:dyDescent="0.25">
      <c r="A200" s="4">
        <f>K164</f>
        <v>-7.3437981301888398</v>
      </c>
      <c r="B200" s="3">
        <f>AQ164/1000000000</f>
        <v>1.1872120875799999</v>
      </c>
      <c r="C200" s="2" t="str">
        <f>AO164</f>
        <v>08-4:-10--5</v>
      </c>
      <c r="D200" s="8">
        <f>E164</f>
        <v>5.5024529276864803E-3</v>
      </c>
      <c r="E200" s="8">
        <f>Z164+AA164+AB164+AC164+AD164</f>
        <v>1.0287080764732802E-2</v>
      </c>
      <c r="F200" s="3">
        <f t="shared" si="78"/>
        <v>0.5348896400765647</v>
      </c>
      <c r="G200" s="2">
        <f t="shared" si="79"/>
        <v>6.4067355609026322</v>
      </c>
      <c r="H200" s="2">
        <f t="shared" si="80"/>
        <v>11.669462641587847</v>
      </c>
      <c r="J200">
        <v>4</v>
      </c>
      <c r="K200" s="14">
        <f t="shared" si="95"/>
        <v>1</v>
      </c>
      <c r="L200" s="14">
        <f t="shared" si="96"/>
        <v>1</v>
      </c>
      <c r="M200" s="14">
        <f>IF(ISNA(VLOOKUP(C200,$C$26:$M$44,11,0)),($M$201-$M$196)*J200/5+$M$196, VLOOKUP(C200,$C$26:$M$44,11,0))</f>
        <v>1</v>
      </c>
      <c r="N200" s="40">
        <f t="shared" ref="N200:N216" si="99">Z164+AA164+AB164*K200+AC164*L200+AD161*M197*$M$189</f>
        <v>7.1143963706618817E-3</v>
      </c>
      <c r="O200" s="2">
        <f t="shared" si="84"/>
        <v>8.2110157062645897</v>
      </c>
      <c r="P200" s="7">
        <f t="shared" si="85"/>
        <v>0.77342512857131751</v>
      </c>
      <c r="S200" s="9">
        <f t="shared" si="86"/>
        <v>-7.3437981301888398</v>
      </c>
      <c r="T200" s="8">
        <f>VLOOKUP(ROUNDDOWN(S200,0),'Spline Pre-Adj'!A:B,2,0)</f>
        <v>1.2869999999999999</v>
      </c>
      <c r="U200" s="8">
        <f t="shared" si="87"/>
        <v>1.2869999999999999</v>
      </c>
      <c r="X200" s="9">
        <f t="shared" si="88"/>
        <v>-7.3437981301888398</v>
      </c>
      <c r="Y200" s="8">
        <f>VLOOKUP(ROUNDDOWN(X200,0),'Spline Pre-Adj'!F:G,2,0)</f>
        <v>0.54485561321739095</v>
      </c>
      <c r="Z200" s="8">
        <f t="shared" si="89"/>
        <v>0.54485561321739095</v>
      </c>
      <c r="AC200" s="9">
        <f t="shared" si="90"/>
        <v>-7.3437981301888398</v>
      </c>
      <c r="AD200" s="8">
        <f>VLOOKUP(ROUNDDOWN(AC200,0),'Spline Pre-Adj'!K:L,2,0)</f>
        <v>1.1993277822989601</v>
      </c>
      <c r="AE200" s="8">
        <f t="shared" si="91"/>
        <v>1.1993277822989601</v>
      </c>
    </row>
    <row r="201" spans="1:31" x14ac:dyDescent="0.25">
      <c r="A201" s="4">
        <f>K165</f>
        <v>-2.3469884391010298</v>
      </c>
      <c r="B201" s="3">
        <f>AQ165/1000000000</f>
        <v>1.7698088409700001</v>
      </c>
      <c r="C201" s="2" t="str">
        <f>AO165</f>
        <v>08:-25-0</v>
      </c>
      <c r="D201" s="8">
        <f>E165</f>
        <v>7.4460160858357601E-3</v>
      </c>
      <c r="E201" s="8">
        <f>Z165+AA165+AB165+AC165+AD165</f>
        <v>1.1128941590297176E-2</v>
      </c>
      <c r="F201" s="3">
        <f t="shared" si="78"/>
        <v>0.66906776582668093</v>
      </c>
      <c r="G201" s="2">
        <f t="shared" si="79"/>
        <v>8.5782263871161284</v>
      </c>
      <c r="H201" s="2">
        <f t="shared" si="80"/>
        <v>12.566875737405802</v>
      </c>
      <c r="K201" s="14">
        <f t="shared" si="95"/>
        <v>1</v>
      </c>
      <c r="L201" s="14">
        <f t="shared" si="96"/>
        <v>1</v>
      </c>
      <c r="M201" s="14">
        <f>IF(ISNA(VLOOKUP(C201,$C$26:$M$44,11,0)),($M$202-$M$197)*J200/5+$M$197, VLOOKUP(C201,$C$26:$M$44,11,0))</f>
        <v>1</v>
      </c>
      <c r="N201" s="40">
        <f t="shared" si="99"/>
        <v>8.039615899880722E-3</v>
      </c>
      <c r="O201" s="2">
        <f t="shared" si="84"/>
        <v>9.23217328755449</v>
      </c>
      <c r="P201" s="7">
        <f t="shared" si="85"/>
        <v>0.92616565002144335</v>
      </c>
      <c r="S201" s="9">
        <f t="shared" si="86"/>
        <v>-2.3469884391010298</v>
      </c>
      <c r="T201" s="8">
        <f>VLOOKUP(ROUNDDOWN(S201,0),'Spline Pre-Adj'!A:B,2,0)</f>
        <v>1.2869999999999999</v>
      </c>
      <c r="U201" s="8">
        <f t="shared" si="87"/>
        <v>1.2869999999999999</v>
      </c>
      <c r="X201" s="9">
        <f t="shared" si="88"/>
        <v>-2.3469884391010298</v>
      </c>
      <c r="Y201" s="8">
        <f>VLOOKUP(ROUNDDOWN(X201,0),'Spline Pre-Adj'!F:G,2,0)</f>
        <v>0.61797136626086902</v>
      </c>
      <c r="Z201" s="8">
        <f t="shared" si="89"/>
        <v>0.61797136626086902</v>
      </c>
      <c r="AC201" s="9">
        <f t="shared" si="90"/>
        <v>-2.3469884391010298</v>
      </c>
      <c r="AD201" s="8">
        <f>VLOOKUP(ROUNDDOWN(AC201,0),'Spline Pre-Adj'!K:L,2,0)</f>
        <v>1.3122379125033801</v>
      </c>
      <c r="AE201" s="8">
        <f t="shared" si="91"/>
        <v>1.3122379125033801</v>
      </c>
    </row>
    <row r="202" spans="1:31" x14ac:dyDescent="0.25">
      <c r="A202" s="4">
        <f>K166</f>
        <v>2.6097941605028701</v>
      </c>
      <c r="B202" s="3">
        <f>AQ166/1000000000</f>
        <v>2.3109660067700002</v>
      </c>
      <c r="C202" s="2" t="str">
        <f>AO166</f>
        <v>09-1:0-5</v>
      </c>
      <c r="D202" s="8">
        <f>E166</f>
        <v>9.1536822176749699E-3</v>
      </c>
      <c r="E202" s="8">
        <f>Z166+AA166+AB166+AC166+AD166</f>
        <v>1.183890140173351E-2</v>
      </c>
      <c r="F202" s="3">
        <f t="shared" si="78"/>
        <v>0.77318679386371469</v>
      </c>
      <c r="G202" s="2">
        <f t="shared" si="79"/>
        <v>10.447936536618318</v>
      </c>
      <c r="H202" s="2">
        <f t="shared" si="80"/>
        <v>13.317179548072033</v>
      </c>
      <c r="J202">
        <v>1</v>
      </c>
      <c r="K202" s="14">
        <f t="shared" si="95"/>
        <v>1</v>
      </c>
      <c r="L202" s="14">
        <f t="shared" si="96"/>
        <v>1</v>
      </c>
      <c r="M202" s="14">
        <f>IF(ISNA(VLOOKUP(C202,$C$26:$M$44,11,0)),($M$206-$M$201)*J202/5+$M$201, VLOOKUP(C202,$C$26:$M$44,11,0))</f>
        <v>1.016</v>
      </c>
      <c r="N202" s="40">
        <f t="shared" si="99"/>
        <v>8.8530809172652214E-3</v>
      </c>
      <c r="O202" s="2">
        <f t="shared" si="84"/>
        <v>10.121374134268081</v>
      </c>
      <c r="P202" s="7">
        <f t="shared" si="85"/>
        <v>1.0339544282062889</v>
      </c>
      <c r="S202" s="9">
        <f>A202</f>
        <v>2.6097941605028701</v>
      </c>
      <c r="T202" s="8">
        <f>VLOOKUP(ROUNDDOWN(S202,0),'Spline Pre-Adj'!A:B,2,0)</f>
        <v>1.2869999999999999</v>
      </c>
      <c r="U202" s="8">
        <f>T202*K202</f>
        <v>1.2869999999999999</v>
      </c>
      <c r="X202" s="9">
        <f t="shared" si="88"/>
        <v>2.6097941605028701</v>
      </c>
      <c r="Y202" s="8">
        <f>VLOOKUP(ROUNDDOWN(X202,0),'Spline Pre-Adj'!F:G,2,0)</f>
        <v>0.68848780591304304</v>
      </c>
      <c r="Z202" s="8">
        <f t="shared" si="89"/>
        <v>0.68848780591304304</v>
      </c>
      <c r="AC202" s="9">
        <f t="shared" si="90"/>
        <v>2.6097941605028701</v>
      </c>
      <c r="AD202" s="8">
        <f>VLOOKUP(ROUNDDOWN(AC202,0),'Spline Pre-Adj'!K:L,2,0)</f>
        <v>1.4018480364105399</v>
      </c>
      <c r="AE202" s="8">
        <f t="shared" si="91"/>
        <v>1.4242776049931085</v>
      </c>
    </row>
    <row r="203" spans="1:31" x14ac:dyDescent="0.25">
      <c r="A203" s="4">
        <f>K167</f>
        <v>7.6290786021217203</v>
      </c>
      <c r="B203" s="3">
        <f>AQ167/1000000000</f>
        <v>3.2357401008699997</v>
      </c>
      <c r="C203" s="2" t="str">
        <f>AO167</f>
        <v>09-2:5-10</v>
      </c>
      <c r="D203" s="8">
        <f>E167</f>
        <v>7.5526817518748804E-3</v>
      </c>
      <c r="E203" s="8">
        <f>Z167+AA167+AB167+AC167+AD167</f>
        <v>1.251401183100464E-2</v>
      </c>
      <c r="F203" s="3">
        <f t="shared" si="78"/>
        <v>0.60353800634600663</v>
      </c>
      <c r="G203" s="2">
        <f t="shared" si="79"/>
        <v>8.6960533605249246</v>
      </c>
      <c r="H203" s="2">
        <f t="shared" si="80"/>
        <v>14.025174389107542</v>
      </c>
      <c r="J203">
        <v>2</v>
      </c>
      <c r="K203" s="14">
        <f t="shared" si="95"/>
        <v>1</v>
      </c>
      <c r="L203" s="14">
        <f t="shared" si="96"/>
        <v>1</v>
      </c>
      <c r="M203" s="14">
        <f>IF(ISNA(VLOOKUP(C203,$C$26:$M$44,11,0)),($M$206-$M$201)*J203/5+$M$201, VLOOKUP(C203,$C$26:$M$44,11,0))</f>
        <v>1.032</v>
      </c>
      <c r="N203" s="40">
        <f t="shared" si="99"/>
        <v>9.6036625053871113E-3</v>
      </c>
      <c r="O203" s="2">
        <f t="shared" si="84"/>
        <v>10.934746612835289</v>
      </c>
      <c r="P203" s="7">
        <f t="shared" si="85"/>
        <v>0.78643764789092219</v>
      </c>
      <c r="X203" s="9">
        <f t="shared" si="88"/>
        <v>7.6290786021217203</v>
      </c>
      <c r="Y203" s="8">
        <f>VLOOKUP(ROUNDDOWN(X203,0),'Spline Pre-Adj'!F:G,2,0)</f>
        <v>0.79418177251202804</v>
      </c>
      <c r="Z203" s="8">
        <f t="shared" si="89"/>
        <v>0.79418177251202804</v>
      </c>
      <c r="AC203" s="9">
        <f t="shared" si="90"/>
        <v>7.6290786021217203</v>
      </c>
      <c r="AD203" s="8">
        <f>VLOOKUP(ROUNDDOWN(AC203,0),'Spline Pre-Adj'!K:L,2,0)</f>
        <v>1.51655790515</v>
      </c>
      <c r="AE203" s="8">
        <f t="shared" si="91"/>
        <v>1.5650877581147999</v>
      </c>
    </row>
    <row r="204" spans="1:31" x14ac:dyDescent="0.25">
      <c r="A204" s="4">
        <f>K168</f>
        <v>12.5985179279443</v>
      </c>
      <c r="B204" s="3">
        <f>AQ168/1000000000</f>
        <v>4.39408993285</v>
      </c>
      <c r="C204" s="2" t="str">
        <f>AO168</f>
        <v>09-3:10-15</v>
      </c>
      <c r="D204" s="8">
        <f>E168</f>
        <v>1.06035999807979E-2</v>
      </c>
      <c r="E204" s="8">
        <f>Z168+AA168+AB168+AC168+AD168</f>
        <v>1.3415230352418005E-2</v>
      </c>
      <c r="F204" s="3">
        <f t="shared" si="78"/>
        <v>0.79041505082219277</v>
      </c>
      <c r="G204" s="2">
        <f t="shared" si="79"/>
        <v>12.007853950894942</v>
      </c>
      <c r="H204" s="2">
        <f t="shared" si="80"/>
        <v>14.96203057771478</v>
      </c>
      <c r="J204">
        <v>3</v>
      </c>
      <c r="K204" s="14">
        <f t="shared" si="95"/>
        <v>1</v>
      </c>
      <c r="L204" s="14">
        <f t="shared" si="96"/>
        <v>1</v>
      </c>
      <c r="M204" s="14">
        <f>IF(ISNA(VLOOKUP(C204,$C$26:$M$44,11,0)),($M$206-$M$201)*J204/5+$M$201, VLOOKUP(C204,$C$26:$M$44,11,0))</f>
        <v>1.048</v>
      </c>
      <c r="N204" s="40">
        <f t="shared" si="99"/>
        <v>1.0354709662812205E-2</v>
      </c>
      <c r="O204" s="2">
        <f t="shared" si="84"/>
        <v>11.741864877489617</v>
      </c>
      <c r="P204" s="7">
        <f t="shared" si="85"/>
        <v>1.0240364361812633</v>
      </c>
      <c r="X204" s="9">
        <f t="shared" si="88"/>
        <v>12.5985179279443</v>
      </c>
      <c r="Y204" s="8">
        <f>VLOOKUP(ROUNDDOWN(X204,0),'Spline Pre-Adj'!F:G,2,0)</f>
        <v>0.91120038717590501</v>
      </c>
      <c r="Z204" s="8">
        <f t="shared" si="89"/>
        <v>0.91120038717590501</v>
      </c>
      <c r="AC204" s="9">
        <f t="shared" si="90"/>
        <v>12.5985179279443</v>
      </c>
      <c r="AD204" s="8">
        <f>VLOOKUP(ROUNDDOWN(AC204,0),'Spline Pre-Adj'!K:L,2,0)</f>
        <v>1.6382587772578501</v>
      </c>
      <c r="AE204" s="8">
        <f t="shared" si="91"/>
        <v>1.7168951985662269</v>
      </c>
    </row>
    <row r="205" spans="1:31" x14ac:dyDescent="0.25">
      <c r="A205" s="4">
        <f>K169</f>
        <v>17.626853643271801</v>
      </c>
      <c r="B205" s="3">
        <f>AQ169/1000000000</f>
        <v>5.8250246756499999</v>
      </c>
      <c r="C205" s="2" t="str">
        <f>AO169</f>
        <v>09-4:15-20</v>
      </c>
      <c r="D205" s="8">
        <f>E169</f>
        <v>1.09409293045754E-2</v>
      </c>
      <c r="E205" s="8">
        <f>Z169+AA169+AB169+AC169+AD169</f>
        <v>1.4404898489151385E-2</v>
      </c>
      <c r="F205" s="3">
        <f t="shared" si="78"/>
        <v>0.75952838632047504</v>
      </c>
      <c r="G205" s="2">
        <f t="shared" si="79"/>
        <v>12.367184963261257</v>
      </c>
      <c r="H205" s="2">
        <f t="shared" si="80"/>
        <v>15.980046633756483</v>
      </c>
      <c r="J205">
        <v>4</v>
      </c>
      <c r="K205" s="14">
        <f t="shared" si="95"/>
        <v>1</v>
      </c>
      <c r="L205" s="14">
        <f t="shared" si="96"/>
        <v>1</v>
      </c>
      <c r="M205" s="14">
        <f>IF(ISNA(VLOOKUP(C205,$C$26:$M$44,11,0)),($M$206-$M$201)*J205/5+$M$201, VLOOKUP(C205,$C$26:$M$44,11,0))</f>
        <v>1.0640000000000001</v>
      </c>
      <c r="N205" s="40">
        <f t="shared" si="99"/>
        <v>1.1092770749179998E-2</v>
      </c>
      <c r="O205" s="2">
        <f t="shared" si="84"/>
        <v>12.528490559522453</v>
      </c>
      <c r="P205" s="7">
        <f t="shared" si="85"/>
        <v>0.98631167559143673</v>
      </c>
      <c r="X205" s="9">
        <f t="shared" si="88"/>
        <v>17.626853643271801</v>
      </c>
      <c r="Y205" s="8">
        <f>VLOOKUP(ROUNDDOWN(X205,0),'Spline Pre-Adj'!F:G,2,0)</f>
        <v>1.0442240375289999</v>
      </c>
      <c r="Z205" s="8">
        <f t="shared" si="89"/>
        <v>1.0442240375289999</v>
      </c>
      <c r="AC205" s="9">
        <f t="shared" si="90"/>
        <v>17.626853643271801</v>
      </c>
      <c r="AD205" s="8">
        <f>VLOOKUP(ROUNDDOWN(AC205,0),'Spline Pre-Adj'!K:L,2,0)</f>
        <v>1.77123004461028</v>
      </c>
      <c r="AE205" s="8">
        <f t="shared" si="91"/>
        <v>1.8845887674653381</v>
      </c>
    </row>
    <row r="206" spans="1:31" x14ac:dyDescent="0.25">
      <c r="A206" s="4">
        <f>K170</f>
        <v>22.570944064537301</v>
      </c>
      <c r="B206" s="3">
        <f>AQ170/1000000000</f>
        <v>7.3027363407400001</v>
      </c>
      <c r="C206" s="2" t="str">
        <f>AO170</f>
        <v>09:0-25</v>
      </c>
      <c r="D206" s="8">
        <f>E170</f>
        <v>1.15238011853577E-2</v>
      </c>
      <c r="E206" s="8">
        <f>Z170+AA170+AB170+AC170+AD170</f>
        <v>1.5640555405262983E-2</v>
      </c>
      <c r="F206" s="3">
        <f t="shared" si="78"/>
        <v>0.73678976780325767</v>
      </c>
      <c r="G206" s="2">
        <f t="shared" si="79"/>
        <v>12.9849050260343</v>
      </c>
      <c r="H206" s="2">
        <f t="shared" si="80"/>
        <v>17.235413297375267</v>
      </c>
      <c r="K206" s="14">
        <f t="shared" si="95"/>
        <v>1</v>
      </c>
      <c r="L206" s="14">
        <f t="shared" si="96"/>
        <v>1</v>
      </c>
      <c r="M206" s="14">
        <f>IF(ISNA(VLOOKUP(C206,$C$26:$M$44,11,0)),($M$207-$M$202)*J205/5+$M$202, VLOOKUP(C206,$C$26:$M$44,11,0))</f>
        <v>1.08</v>
      </c>
      <c r="N206" s="40">
        <f t="shared" si="99"/>
        <v>1.1862716420417946E-2</v>
      </c>
      <c r="O206" s="2">
        <f t="shared" si="84"/>
        <v>13.342245250979069</v>
      </c>
      <c r="P206" s="7">
        <f t="shared" si="85"/>
        <v>0.97143021690403808</v>
      </c>
      <c r="X206" s="9">
        <f t="shared" si="88"/>
        <v>22.570944064537301</v>
      </c>
      <c r="Y206" s="8">
        <f>VLOOKUP(ROUNDDOWN(X206,0),'Spline Pre-Adj'!F:G,2,0)</f>
        <v>1.20153726214034</v>
      </c>
      <c r="Z206" s="8">
        <f t="shared" si="89"/>
        <v>1.20153726214034</v>
      </c>
      <c r="AC206" s="9">
        <f t="shared" si="90"/>
        <v>22.570944064537301</v>
      </c>
      <c r="AD206" s="8">
        <f>VLOOKUP(ROUNDDOWN(AC206,0),'Spline Pre-Adj'!K:L,2,0)</f>
        <v>1.91883456513696</v>
      </c>
      <c r="AE206" s="8">
        <f t="shared" si="91"/>
        <v>2.0723413303479168</v>
      </c>
    </row>
    <row r="207" spans="1:31" s="17" customFormat="1" x14ac:dyDescent="0.25">
      <c r="A207" s="4">
        <f>K171</f>
        <v>27.5693864797313</v>
      </c>
      <c r="B207" s="3">
        <f>AQ171/1000000000</f>
        <v>8.28187120638</v>
      </c>
      <c r="C207" s="2" t="str">
        <f>AO171</f>
        <v>10-1:25-30</v>
      </c>
      <c r="D207" s="8">
        <f>E171</f>
        <v>1.3287222841238301E-2</v>
      </c>
      <c r="E207" s="8">
        <f>Z171+AA171+AB171+AC171+AD171</f>
        <v>1.6788866174244143E-2</v>
      </c>
      <c r="F207" s="3">
        <f t="shared" si="78"/>
        <v>0.79143062451842494</v>
      </c>
      <c r="G207" s="2">
        <f t="shared" si="79"/>
        <v>14.829533860939947</v>
      </c>
      <c r="H207" s="2">
        <f t="shared" si="80"/>
        <v>18.386603172954352</v>
      </c>
      <c r="I207"/>
      <c r="J207">
        <v>1</v>
      </c>
      <c r="K207" s="14">
        <f t="shared" si="95"/>
        <v>1</v>
      </c>
      <c r="L207" s="14">
        <f t="shared" si="96"/>
        <v>1</v>
      </c>
      <c r="M207" s="14">
        <f>IF(ISNA(VLOOKUP(C207,$C$26:$M$44,11,0)),($M$211-$M$206)*J207/5+$M$206, VLOOKUP(C207,$C$26:$M$44,11,0))</f>
        <v>1.1380000000000001</v>
      </c>
      <c r="N207" s="40">
        <f t="shared" si="99"/>
        <v>1.2892155320369213E-2</v>
      </c>
      <c r="O207" s="2">
        <f t="shared" si="84"/>
        <v>14.419417172298942</v>
      </c>
      <c r="P207" s="7">
        <f t="shared" si="85"/>
        <v>1.0306440242963015</v>
      </c>
      <c r="Q207"/>
      <c r="R207"/>
      <c r="S207"/>
      <c r="T207"/>
      <c r="U207"/>
      <c r="V207"/>
      <c r="W207"/>
      <c r="X207" s="9">
        <f t="shared" si="88"/>
        <v>27.5693864797313</v>
      </c>
      <c r="Y207" s="8">
        <f>VLOOKUP(ROUNDDOWN(X207,0),'Spline Pre-Adj'!F:G,2,0)</f>
        <v>1.39142459957894</v>
      </c>
      <c r="Z207" s="8">
        <f t="shared" si="89"/>
        <v>1.39142459957894</v>
      </c>
      <c r="AA207"/>
      <c r="AB207"/>
      <c r="AC207" s="9">
        <f t="shared" si="90"/>
        <v>27.5693864797313</v>
      </c>
      <c r="AD207" s="8">
        <f>VLOOKUP(ROUNDDOWN(AC207,0),'Spline Pre-Adj'!K:L,2,0)</f>
        <v>2.0788177485891102</v>
      </c>
      <c r="AE207" s="8">
        <f t="shared" si="91"/>
        <v>2.3656945978944077</v>
      </c>
    </row>
    <row r="208" spans="1:31" s="17" customFormat="1" x14ac:dyDescent="0.25">
      <c r="A208" s="4">
        <f>K172</f>
        <v>32.503798037595097</v>
      </c>
      <c r="B208" s="3">
        <f>AQ172/1000000000</f>
        <v>8.9330280212600002</v>
      </c>
      <c r="C208" s="2" t="str">
        <f>AO172</f>
        <v>10-2:30-35</v>
      </c>
      <c r="D208" s="8">
        <f>E172</f>
        <v>1.45757598119109E-2</v>
      </c>
      <c r="E208" s="8">
        <f>Z172+AA172+AB172+AC172+AD172</f>
        <v>1.820388171261092E-2</v>
      </c>
      <c r="F208" s="3">
        <f t="shared" si="78"/>
        <v>0.80069515073883379</v>
      </c>
      <c r="G208" s="2">
        <f t="shared" si="79"/>
        <v>16.15466698777691</v>
      </c>
      <c r="H208" s="2">
        <f t="shared" si="80"/>
        <v>19.784974029561965</v>
      </c>
      <c r="I208"/>
      <c r="J208">
        <v>2</v>
      </c>
      <c r="K208" s="14">
        <f t="shared" si="95"/>
        <v>1</v>
      </c>
      <c r="L208" s="14">
        <f t="shared" si="96"/>
        <v>1</v>
      </c>
      <c r="M208" s="14">
        <f>IF(ISNA(VLOOKUP(C208,$C$26:$M$44,11,0)),($M$211-$M$206)*J208/5+$M$206, VLOOKUP(C208,$C$26:$M$44,11,0))</f>
        <v>1.1960000000000002</v>
      </c>
      <c r="N208" s="40">
        <f t="shared" si="99"/>
        <v>1.4001804246092143E-2</v>
      </c>
      <c r="O208" s="2">
        <f t="shared" si="84"/>
        <v>15.566762354556829</v>
      </c>
      <c r="P208" s="7">
        <f t="shared" si="85"/>
        <v>1.0409915433562034</v>
      </c>
      <c r="Q208"/>
      <c r="R208"/>
      <c r="S208"/>
      <c r="T208"/>
      <c r="U208"/>
      <c r="V208"/>
      <c r="W208"/>
      <c r="X208" s="9">
        <f t="shared" si="88"/>
        <v>32.503798037595097</v>
      </c>
      <c r="Y208" s="8">
        <f>VLOOKUP(ROUNDDOWN(X208,0),'Spline Pre-Adj'!F:G,2,0)</f>
        <v>1.62333231153945</v>
      </c>
      <c r="Z208" s="8">
        <f t="shared" si="89"/>
        <v>1.62333231153945</v>
      </c>
      <c r="AA208"/>
      <c r="AB208"/>
      <c r="AC208" s="9">
        <f t="shared" si="90"/>
        <v>32.503798037595097</v>
      </c>
      <c r="AD208" s="8">
        <f>VLOOKUP(ROUNDDOWN(AC208,0),'Spline Pre-Adj'!K:L,2,0)</f>
        <v>2.2487416798578299</v>
      </c>
      <c r="AE208" s="8">
        <f t="shared" si="91"/>
        <v>2.689495049109965</v>
      </c>
    </row>
    <row r="209" spans="1:31" s="17" customFormat="1" x14ac:dyDescent="0.25">
      <c r="A209" s="4">
        <f>K173</f>
        <v>37.522032277872597</v>
      </c>
      <c r="B209" s="3">
        <f>AQ173/1000000000</f>
        <v>9.3005089131599998</v>
      </c>
      <c r="C209" s="2" t="str">
        <f>AO173</f>
        <v>10-3:35-40</v>
      </c>
      <c r="D209" s="8">
        <f>E173</f>
        <v>1.56627215931677E-2</v>
      </c>
      <c r="E209" s="8">
        <f>Z173+AA173+AB173+AC173+AD173</f>
        <v>1.9565790801579878E-2</v>
      </c>
      <c r="F209" s="3">
        <f t="shared" si="78"/>
        <v>0.80051564242948881</v>
      </c>
      <c r="G209" s="2">
        <f t="shared" si="79"/>
        <v>17.257775228601837</v>
      </c>
      <c r="H209" s="2">
        <f t="shared" si="80"/>
        <v>21.110087498675878</v>
      </c>
      <c r="I209"/>
      <c r="J209">
        <v>3</v>
      </c>
      <c r="K209" s="14">
        <f t="shared" si="95"/>
        <v>1</v>
      </c>
      <c r="L209" s="14">
        <f t="shared" si="96"/>
        <v>1</v>
      </c>
      <c r="M209" s="14">
        <f>IF(ISNA(VLOOKUP(C209,$C$26:$M$44,11,0)),($M$211-$M$206)*J209/5+$M$206, VLOOKUP(C209,$C$26:$M$44,11,0))</f>
        <v>1.254</v>
      </c>
      <c r="N209" s="40">
        <f t="shared" si="99"/>
        <v>1.5377795622599754E-2</v>
      </c>
      <c r="O209" s="2">
        <f t="shared" si="84"/>
        <v>16.969910755630448</v>
      </c>
      <c r="P209" s="7">
        <f t="shared" si="85"/>
        <v>1.0185284014406595</v>
      </c>
      <c r="Q209"/>
      <c r="R209"/>
      <c r="S209"/>
      <c r="T209"/>
      <c r="U209"/>
      <c r="V209"/>
      <c r="W209"/>
      <c r="X209" s="9">
        <f t="shared" si="88"/>
        <v>37.522032277872597</v>
      </c>
      <c r="Y209" s="8">
        <f>VLOOKUP(ROUNDDOWN(X209,0),'Spline Pre-Adj'!F:G,2,0)</f>
        <v>1.89537379409471</v>
      </c>
      <c r="Z209" s="8">
        <f t="shared" si="89"/>
        <v>1.89537379409471</v>
      </c>
      <c r="AA209"/>
      <c r="AB209"/>
      <c r="AC209" s="9">
        <f t="shared" si="90"/>
        <v>37.522032277872597</v>
      </c>
      <c r="AD209" s="8">
        <f>VLOOKUP(ROUNDDOWN(AC209,0),'Spline Pre-Adj'!K:L,2,0)</f>
        <v>2.4264029166777901</v>
      </c>
      <c r="AE209" s="8">
        <f t="shared" si="91"/>
        <v>3.0427092575139487</v>
      </c>
    </row>
    <row r="210" spans="1:31" s="17" customFormat="1" x14ac:dyDescent="0.25">
      <c r="A210" s="4">
        <f>K174</f>
        <v>42.506580230668497</v>
      </c>
      <c r="B210" s="3">
        <f>AQ174/1000000000</f>
        <v>9.8436663547999999</v>
      </c>
      <c r="C210" s="2" t="str">
        <f>AO174</f>
        <v>10-4:40-45</v>
      </c>
      <c r="D210" s="8">
        <f>E174</f>
        <v>1.74991717643143E-2</v>
      </c>
      <c r="E210" s="8">
        <f>Z174+AA174+AB174+AC174+AD174</f>
        <v>2.0866390412726074E-2</v>
      </c>
      <c r="F210" s="3">
        <f t="shared" si="78"/>
        <v>0.83862955778119819</v>
      </c>
      <c r="G210" s="2">
        <f t="shared" si="79"/>
        <v>19.091322612407836</v>
      </c>
      <c r="H210" s="2">
        <f t="shared" si="80"/>
        <v>22.356786769776569</v>
      </c>
      <c r="I210"/>
      <c r="J210">
        <v>4</v>
      </c>
      <c r="K210" s="14">
        <f t="shared" si="95"/>
        <v>1</v>
      </c>
      <c r="L210" s="14">
        <f t="shared" si="96"/>
        <v>1</v>
      </c>
      <c r="M210" s="14">
        <f>IF(ISNA(VLOOKUP(C210,$C$26:$M$44,11,0)),($M$211-$M$206)*J210/5+$M$206, VLOOKUP(C210,$C$26:$M$44,11,0))</f>
        <v>1.3120000000000001</v>
      </c>
      <c r="N210" s="40">
        <f t="shared" si="99"/>
        <v>1.7161661374668759E-2</v>
      </c>
      <c r="O210" s="2">
        <f t="shared" si="84"/>
        <v>18.757165063863145</v>
      </c>
      <c r="P210" s="7">
        <f t="shared" si="85"/>
        <v>1.0196665335760393</v>
      </c>
      <c r="Q210"/>
      <c r="R210"/>
      <c r="S210"/>
      <c r="T210"/>
      <c r="U210"/>
      <c r="V210"/>
      <c r="W210"/>
      <c r="X210" s="9">
        <f t="shared" si="88"/>
        <v>42.506580230668497</v>
      </c>
      <c r="Y210" s="8">
        <f>VLOOKUP(ROUNDDOWN(X210,0),'Spline Pre-Adj'!F:G,2,0)</f>
        <v>2.1927887580772198</v>
      </c>
      <c r="Z210" s="8">
        <f t="shared" si="89"/>
        <v>2.1927887580772198</v>
      </c>
      <c r="AA210"/>
      <c r="AB210"/>
      <c r="AC210" s="9">
        <f t="shared" si="90"/>
        <v>42.506580230668497</v>
      </c>
      <c r="AD210" s="8">
        <f>VLOOKUP(ROUNDDOWN(AC210,0),'Spline Pre-Adj'!K:L,2,0)</f>
        <v>2.6095980167836599</v>
      </c>
      <c r="AE210" s="8">
        <f t="shared" si="91"/>
        <v>3.423792598020162</v>
      </c>
    </row>
    <row r="211" spans="1:31" s="17" customFormat="1" x14ac:dyDescent="0.25">
      <c r="A211" s="4">
        <f>K175</f>
        <v>47.562144500874801</v>
      </c>
      <c r="B211" s="3">
        <f>AQ175/1000000000</f>
        <v>10.541632441579999</v>
      </c>
      <c r="C211" s="2" t="str">
        <f>AO175</f>
        <v>10:25-50</v>
      </c>
      <c r="D211" s="8">
        <f>E175</f>
        <v>1.8070102096052299E-2</v>
      </c>
      <c r="E211" s="8">
        <f>Z175+AA175+AB175+AC175+AD175</f>
        <v>2.2273798534265948E-2</v>
      </c>
      <c r="F211" s="3">
        <f t="shared" si="78"/>
        <v>0.81127168624845492</v>
      </c>
      <c r="G211" s="2">
        <f t="shared" si="79"/>
        <v>19.653714419426048</v>
      </c>
      <c r="H211" s="2">
        <f t="shared" si="80"/>
        <v>23.685503243120287</v>
      </c>
      <c r="I211"/>
      <c r="J211"/>
      <c r="K211" s="14">
        <f t="shared" si="95"/>
        <v>1</v>
      </c>
      <c r="L211" s="14">
        <f t="shared" si="96"/>
        <v>1</v>
      </c>
      <c r="M211" s="14">
        <f>IF(ISNA(VLOOKUP(C211,$C$26:$M$44,11,0)),($M$212-$M$207)*J210/5+$M$207, VLOOKUP(C211,$C$26:$M$44,11,0))</f>
        <v>1.37</v>
      </c>
      <c r="N211" s="40">
        <f t="shared" si="99"/>
        <v>1.9368481527196297E-2</v>
      </c>
      <c r="O211" s="2">
        <f t="shared" si="84"/>
        <v>20.919360347374681</v>
      </c>
      <c r="P211" s="7">
        <f t="shared" si="85"/>
        <v>0.93296431476464092</v>
      </c>
      <c r="Q211"/>
      <c r="R211"/>
      <c r="S211"/>
      <c r="T211"/>
      <c r="U211"/>
      <c r="V211"/>
      <c r="W211"/>
      <c r="X211" s="9">
        <f t="shared" si="88"/>
        <v>47.562144500874801</v>
      </c>
      <c r="Y211" s="8">
        <f>VLOOKUP(ROUNDDOWN(X211,0),'Spline Pre-Adj'!F:G,2,0)</f>
        <v>2.5005891560507401</v>
      </c>
      <c r="Z211" s="8">
        <f t="shared" si="89"/>
        <v>2.5005891560507401</v>
      </c>
      <c r="AA211"/>
      <c r="AB211"/>
      <c r="AC211" s="9">
        <f t="shared" si="90"/>
        <v>47.562144500874801</v>
      </c>
      <c r="AD211" s="8">
        <f>VLOOKUP(ROUNDDOWN(AC211,0),'Spline Pre-Adj'!K:L,2,0)</f>
        <v>2.7961235379101401</v>
      </c>
      <c r="AE211" s="8">
        <f t="shared" si="91"/>
        <v>3.8306892469368923</v>
      </c>
    </row>
    <row r="212" spans="1:31" s="17" customFormat="1" x14ac:dyDescent="0.25">
      <c r="A212" s="4">
        <f>K176</f>
        <v>52.554016523713301</v>
      </c>
      <c r="B212" s="3">
        <f>AQ176/1000000000</f>
        <v>10.826186391829999</v>
      </c>
      <c r="C212" s="2" t="str">
        <f>AO176</f>
        <v>11-1:50-55</v>
      </c>
      <c r="D212" s="8">
        <f>E176</f>
        <v>2.0537505366493101E-2</v>
      </c>
      <c r="E212" s="8">
        <f>Z176+AA176+AB176+AC176+AD176</f>
        <v>2.3556976699729049E-2</v>
      </c>
      <c r="F212" s="3">
        <f t="shared" si="78"/>
        <v>0.87182262937541222</v>
      </c>
      <c r="G212" s="2">
        <f t="shared" si="79"/>
        <v>22.043249338997661</v>
      </c>
      <c r="H212" s="2">
        <f t="shared" si="80"/>
        <v>24.878737058559995</v>
      </c>
      <c r="I212"/>
      <c r="J212">
        <v>1</v>
      </c>
      <c r="K212" s="14">
        <f t="shared" si="95"/>
        <v>1</v>
      </c>
      <c r="L212" s="14">
        <f t="shared" si="96"/>
        <v>1</v>
      </c>
      <c r="M212" s="14">
        <f t="shared" ref="M212:M220" si="100">IF(ISNA(VLOOKUP(C212,$C$26:$M$44,11,0)),M213, VLOOKUP(C212,$C$26:$M$44,11,0))</f>
        <v>1.38</v>
      </c>
      <c r="N212" s="40">
        <f t="shared" si="99"/>
        <v>2.1618832528500154E-2</v>
      </c>
      <c r="O212" s="2">
        <f t="shared" si="84"/>
        <v>23.069772941926825</v>
      </c>
      <c r="P212" s="7">
        <f t="shared" si="85"/>
        <v>0.94998216667891122</v>
      </c>
      <c r="Q212"/>
      <c r="R212"/>
      <c r="S212"/>
      <c r="T212"/>
      <c r="U212"/>
      <c r="V212"/>
      <c r="W212"/>
      <c r="X212" s="9">
        <f t="shared" si="88"/>
        <v>52.554016523713301</v>
      </c>
      <c r="Y212" s="8">
        <f>VLOOKUP(ROUNDDOWN(X212,0),'Spline Pre-Adj'!F:G,2,0)</f>
        <v>2.8037869405790499</v>
      </c>
      <c r="Z212" s="8">
        <f t="shared" si="89"/>
        <v>2.8037869405790499</v>
      </c>
      <c r="AA212"/>
      <c r="AB212"/>
      <c r="AC212" s="9">
        <f t="shared" si="90"/>
        <v>52.554016523713301</v>
      </c>
      <c r="AD212" s="8">
        <f>VLOOKUP(ROUNDDOWN(AC212,0),'Spline Pre-Adj'!K:L,2,0)</f>
        <v>2.9837760377918898</v>
      </c>
      <c r="AE212" s="8">
        <f t="shared" si="91"/>
        <v>4.1176109321528074</v>
      </c>
    </row>
    <row r="213" spans="1:31" s="17" customFormat="1" x14ac:dyDescent="0.25">
      <c r="A213" s="4">
        <f>K177</f>
        <v>57.495919240385199</v>
      </c>
      <c r="B213" s="3">
        <f>AQ177/1000000000</f>
        <v>11.12882811599</v>
      </c>
      <c r="C213" s="2" t="str">
        <f>AO177</f>
        <v>11-2:55-60</v>
      </c>
      <c r="D213" s="8">
        <f>E177</f>
        <v>2.1657568430828299E-2</v>
      </c>
      <c r="E213" s="8">
        <f>Z177+AA177+AB177+AC177+AD177</f>
        <v>2.4865139995724192E-2</v>
      </c>
      <c r="F213" s="3">
        <f t="shared" si="78"/>
        <v>0.87100126661472776</v>
      </c>
      <c r="G213" s="2">
        <f t="shared" si="79"/>
        <v>23.106314687139808</v>
      </c>
      <c r="H213" s="2">
        <f t="shared" si="80"/>
        <v>26.077578082414398</v>
      </c>
      <c r="I213"/>
      <c r="J213">
        <v>2</v>
      </c>
      <c r="K213" s="14">
        <f t="shared" si="95"/>
        <v>1</v>
      </c>
      <c r="L213" s="14">
        <f t="shared" si="96"/>
        <v>1</v>
      </c>
      <c r="M213" s="14">
        <f t="shared" si="100"/>
        <v>1.38</v>
      </c>
      <c r="N213" s="40">
        <f t="shared" si="99"/>
        <v>2.3939763797213943E-2</v>
      </c>
      <c r="O213" s="2">
        <f t="shared" si="84"/>
        <v>25.231366308694582</v>
      </c>
      <c r="P213" s="7">
        <f t="shared" si="85"/>
        <v>0.90466926132950232</v>
      </c>
      <c r="Q213"/>
      <c r="R213"/>
      <c r="S213"/>
      <c r="T213"/>
      <c r="U213"/>
      <c r="V213"/>
      <c r="W213"/>
      <c r="X213" s="9">
        <f t="shared" si="88"/>
        <v>57.495919240385199</v>
      </c>
      <c r="Y213" s="8">
        <f>VLOOKUP(ROUNDDOWN(X213,0),'Spline Pre-Adj'!F:G,2,0)</f>
        <v>3.0926159826030801</v>
      </c>
      <c r="Z213" s="8">
        <f t="shared" si="89"/>
        <v>3.0926159826030801</v>
      </c>
      <c r="AA213"/>
      <c r="AB213"/>
      <c r="AC213" s="9">
        <f t="shared" si="90"/>
        <v>57.495919240385199</v>
      </c>
      <c r="AD213" s="8">
        <f>VLOOKUP(ROUNDDOWN(AC213,0),'Spline Pre-Adj'!K:L,2,0)</f>
        <v>3.1703520741635902</v>
      </c>
      <c r="AE213" s="8">
        <f t="shared" si="91"/>
        <v>4.3750858623457543</v>
      </c>
    </row>
    <row r="214" spans="1:31" s="17" customFormat="1" x14ac:dyDescent="0.25">
      <c r="A214" s="4">
        <f>K178</f>
        <v>62.496585658300098</v>
      </c>
      <c r="B214" s="3">
        <f>AQ178/1000000000</f>
        <v>11.873039572200002</v>
      </c>
      <c r="C214" s="2" t="str">
        <f>AO178</f>
        <v>11-3:60-65</v>
      </c>
      <c r="D214" s="8">
        <f>E178</f>
        <v>2.4984857883715701E-2</v>
      </c>
      <c r="E214" s="8">
        <f>Z178+AA178+AB178+AC178+AD178</f>
        <v>2.6171486250489536E-2</v>
      </c>
      <c r="F214" s="3">
        <f t="shared" si="78"/>
        <v>0.95465949639174041</v>
      </c>
      <c r="G214" s="2">
        <f t="shared" si="79"/>
        <v>26.18641057260507</v>
      </c>
      <c r="H214" s="2">
        <f t="shared" si="80"/>
        <v>27.257229324663037</v>
      </c>
      <c r="I214"/>
      <c r="J214">
        <v>3</v>
      </c>
      <c r="K214" s="14">
        <f t="shared" si="95"/>
        <v>1</v>
      </c>
      <c r="L214" s="14">
        <f t="shared" si="96"/>
        <v>1</v>
      </c>
      <c r="M214" s="14">
        <f t="shared" si="100"/>
        <v>1.38</v>
      </c>
      <c r="N214" s="40">
        <f t="shared" si="99"/>
        <v>2.6521349128598624E-2</v>
      </c>
      <c r="O214" s="2">
        <f t="shared" si="84"/>
        <v>27.570217906482963</v>
      </c>
      <c r="P214" s="7">
        <f t="shared" si="85"/>
        <v>0.94206587163297484</v>
      </c>
      <c r="Q214"/>
      <c r="R214"/>
      <c r="S214"/>
      <c r="T214"/>
      <c r="U214"/>
      <c r="V214"/>
      <c r="W214"/>
      <c r="X214" s="9">
        <f t="shared" si="88"/>
        <v>62.496585658300098</v>
      </c>
      <c r="Y214" s="8">
        <f>VLOOKUP(ROUNDDOWN(X214,0),'Spline Pre-Adj'!F:G,2,0)</f>
        <v>3.3799457765415402</v>
      </c>
      <c r="Z214" s="8">
        <f t="shared" si="89"/>
        <v>3.3799457765415402</v>
      </c>
      <c r="AA214"/>
      <c r="AB214"/>
      <c r="AC214" s="9">
        <f t="shared" si="90"/>
        <v>62.496585658300098</v>
      </c>
      <c r="AD214" s="8">
        <f>VLOOKUP(ROUNDDOWN(AC214,0),'Spline Pre-Adj'!K:L,2,0)</f>
        <v>3.3536482047599101</v>
      </c>
      <c r="AE214" s="8">
        <f t="shared" si="91"/>
        <v>4.6280345225686759</v>
      </c>
    </row>
    <row r="215" spans="1:31" s="41" customFormat="1" x14ac:dyDescent="0.25">
      <c r="A215" s="14">
        <f>K179</f>
        <v>67.500578765120196</v>
      </c>
      <c r="B215" s="38">
        <f>AQ179/1000000000</f>
        <v>12.2888344116</v>
      </c>
      <c r="C215" s="39" t="str">
        <f>AO179</f>
        <v>11-4:65-70</v>
      </c>
      <c r="D215" s="40">
        <f>E179</f>
        <v>2.65012605695636E-2</v>
      </c>
      <c r="E215" s="40">
        <f>Z179+AA179+AB179+AC179+AD179</f>
        <v>2.717958315466731E-2</v>
      </c>
      <c r="F215" s="38">
        <f t="shared" si="78"/>
        <v>0.97504293641136186</v>
      </c>
      <c r="G215" s="39">
        <f t="shared" si="79"/>
        <v>27.552280069596037</v>
      </c>
      <c r="H215" s="39">
        <f t="shared" si="80"/>
        <v>28.155732674869761</v>
      </c>
      <c r="J215" s="41">
        <v>4</v>
      </c>
      <c r="K215" s="14">
        <f t="shared" si="95"/>
        <v>1</v>
      </c>
      <c r="L215" s="14">
        <f t="shared" si="96"/>
        <v>1</v>
      </c>
      <c r="M215" s="14">
        <f t="shared" si="100"/>
        <v>1.38</v>
      </c>
      <c r="N215" s="40">
        <f t="shared" si="99"/>
        <v>2.8204511984485328E-2</v>
      </c>
      <c r="O215" s="39">
        <f t="shared" si="84"/>
        <v>29.058798449738397</v>
      </c>
      <c r="P215" s="42">
        <f t="shared" si="85"/>
        <v>0.93961067591388747</v>
      </c>
      <c r="X215" s="43">
        <f t="shared" si="88"/>
        <v>67.500578765120196</v>
      </c>
      <c r="Y215" s="40">
        <f>VLOOKUP(ROUNDDOWN(X215,0),'Spline Pre-Adj'!F:G,2,0)</f>
        <v>3.6676855284799998</v>
      </c>
      <c r="Z215" s="40">
        <f t="shared" si="89"/>
        <v>3.6676855284799998</v>
      </c>
      <c r="AC215" s="43">
        <f t="shared" si="90"/>
        <v>67.500578765120196</v>
      </c>
      <c r="AD215" s="40">
        <f>VLOOKUP(ROUNDDOWN(AC215,0),'Spline Pre-Adj'!K:L,2,0)</f>
        <v>3.5314609873155498</v>
      </c>
      <c r="AE215" s="40">
        <f t="shared" si="91"/>
        <v>4.8734161624954586</v>
      </c>
    </row>
    <row r="216" spans="1:31" s="41" customFormat="1" x14ac:dyDescent="0.25">
      <c r="A216" s="14">
        <f>K180</f>
        <v>72.529015798385601</v>
      </c>
      <c r="B216" s="38">
        <f>AQ180/1000000000</f>
        <v>12.950852349969999</v>
      </c>
      <c r="C216" s="39" t="str">
        <f>AO180</f>
        <v>11:50-75</v>
      </c>
      <c r="D216" s="40">
        <f>E180</f>
        <v>2.7568792661390701E-2</v>
      </c>
      <c r="E216" s="40">
        <f>Z180+AA180+AB180+AC180+AD180</f>
        <v>2.8470758253975242E-2</v>
      </c>
      <c r="F216" s="38">
        <f t="shared" si="78"/>
        <v>0.96831957953003922</v>
      </c>
      <c r="G216" s="39">
        <f t="shared" si="79"/>
        <v>28.499899261630979</v>
      </c>
      <c r="H216" s="39">
        <f t="shared" si="80"/>
        <v>29.291679486058985</v>
      </c>
      <c r="K216" s="14">
        <f t="shared" si="95"/>
        <v>1</v>
      </c>
      <c r="L216" s="14">
        <f t="shared" si="96"/>
        <v>1</v>
      </c>
      <c r="M216" s="14">
        <f t="shared" si="100"/>
        <v>1.38</v>
      </c>
      <c r="N216" s="40">
        <f t="shared" si="99"/>
        <v>2.9759774740819443E-2</v>
      </c>
      <c r="O216" s="39">
        <f t="shared" si="84"/>
        <v>30.409282644884517</v>
      </c>
      <c r="P216" s="42">
        <f t="shared" si="85"/>
        <v>0.92637773308063642</v>
      </c>
      <c r="X216" s="43">
        <f t="shared" si="88"/>
        <v>72.529015798385601</v>
      </c>
      <c r="Y216" s="40">
        <f>VLOOKUP(ROUNDDOWN(X216,0),'Spline Pre-Adj'!F:G,2,0)</f>
        <v>3.9558229453415401</v>
      </c>
      <c r="Z216" s="40">
        <f t="shared" si="89"/>
        <v>3.9558229453415401</v>
      </c>
      <c r="AC216" s="43">
        <f t="shared" si="90"/>
        <v>72.529015798385601</v>
      </c>
      <c r="AD216" s="40">
        <f>VLOOKUP(ROUNDDOWN(AC216,0),'Spline Pre-Adj'!K:L,2,0)</f>
        <v>3.7015869795651599</v>
      </c>
      <c r="AE216" s="40">
        <f t="shared" si="91"/>
        <v>5.1081900317999205</v>
      </c>
    </row>
    <row r="217" spans="1:31" s="17" customFormat="1" x14ac:dyDescent="0.25">
      <c r="A217" s="15">
        <f>K181</f>
        <v>86.340717877121307</v>
      </c>
      <c r="B217" s="22">
        <f>AQ181/1000000000</f>
        <v>52.624891923059998</v>
      </c>
      <c r="C217" s="23" t="str">
        <f>AO181</f>
        <v>12:75-100</v>
      </c>
      <c r="D217" s="16">
        <f>E181</f>
        <v>3.1043832062453099E-2</v>
      </c>
      <c r="E217" s="16">
        <f>Z181+AA181+AB181+AC181+AD181</f>
        <v>3.1617150609212712E-2</v>
      </c>
      <c r="F217" s="22">
        <f t="shared" si="78"/>
        <v>0.98186684961444448</v>
      </c>
      <c r="G217" s="23">
        <f t="shared" si="79"/>
        <v>31.50646531209922</v>
      </c>
      <c r="H217" s="23">
        <f t="shared" si="80"/>
        <v>31.991206428127295</v>
      </c>
      <c r="K217" s="14">
        <f t="shared" si="95"/>
        <v>1</v>
      </c>
      <c r="L217" s="14">
        <f t="shared" si="96"/>
        <v>1</v>
      </c>
      <c r="M217" s="14">
        <f t="shared" si="100"/>
        <v>1.29</v>
      </c>
      <c r="N217" s="16">
        <f>Z181+AA181+AB181*K217+AC181*L217+AD180*M216*$M$189</f>
        <v>3.4193027266680137E-2</v>
      </c>
      <c r="O217" s="23">
        <f t="shared" si="84"/>
        <v>34.130549863824399</v>
      </c>
      <c r="P217" s="24">
        <f t="shared" si="85"/>
        <v>0.90789949133004044</v>
      </c>
      <c r="X217" s="18">
        <f t="shared" si="88"/>
        <v>86.340717877121307</v>
      </c>
      <c r="Y217" s="16">
        <f>VLOOKUP(ROUNDDOWN(X217,0),'Spline Pre-Adj'!F:G,2,0)</f>
        <v>4.7646640542534699</v>
      </c>
      <c r="Z217" s="16">
        <f t="shared" si="89"/>
        <v>4.7646640542534699</v>
      </c>
      <c r="AC217" s="18">
        <f t="shared" si="90"/>
        <v>86.340717877121307</v>
      </c>
      <c r="AD217" s="16">
        <f>VLOOKUP(ROUNDDOWN(AC217,0),'Spline Pre-Adj'!K:L,2,0)</f>
        <v>4.1191352784208304</v>
      </c>
      <c r="AE217" s="16">
        <f t="shared" si="91"/>
        <v>5.3136845091628713</v>
      </c>
    </row>
    <row r="218" spans="1:31" s="17" customFormat="1" x14ac:dyDescent="0.25">
      <c r="A218" s="15">
        <f>K182</f>
        <v>111.620608534352</v>
      </c>
      <c r="B218" s="22">
        <f>AQ182/1000000000</f>
        <v>30.215665261599998</v>
      </c>
      <c r="C218" s="23" t="str">
        <f>AO182</f>
        <v>13:100-125</v>
      </c>
      <c r="D218" s="16">
        <f>E182</f>
        <v>3.5513148980895901E-2</v>
      </c>
      <c r="E218" s="16">
        <f>Z182+AA182+AB182+AC182+AD182</f>
        <v>3.5973491740280319E-2</v>
      </c>
      <c r="F218" s="22">
        <f t="shared" si="78"/>
        <v>0.98720327838320565</v>
      </c>
      <c r="G218" s="23">
        <f t="shared" si="79"/>
        <v>35.20287534090081</v>
      </c>
      <c r="H218" s="23">
        <f t="shared" si="80"/>
        <v>35.573029158177128</v>
      </c>
      <c r="K218" s="14">
        <f t="shared" si="95"/>
        <v>1</v>
      </c>
      <c r="L218" s="14">
        <f t="shared" si="96"/>
        <v>1</v>
      </c>
      <c r="M218" s="14">
        <f t="shared" si="100"/>
        <v>1.1299999999999999</v>
      </c>
      <c r="N218" s="16">
        <f t="shared" ref="N218:N220" si="101">Z182+AA182+AB182*K218+AC182*L218+AD181*M217*$M$189</f>
        <v>3.5967455117888208E-2</v>
      </c>
      <c r="O218" s="23">
        <f t="shared" si="84"/>
        <v>35.568187780645999</v>
      </c>
      <c r="P218" s="24">
        <f t="shared" si="85"/>
        <v>0.98736896631960036</v>
      </c>
      <c r="X218" s="18">
        <f t="shared" si="88"/>
        <v>111.620608534352</v>
      </c>
      <c r="Y218" s="16">
        <f>VLOOKUP(ROUNDDOWN(X218,0),'Spline Pre-Adj'!F:G,2,0)</f>
        <v>6.2168084690133298</v>
      </c>
      <c r="Z218" s="16">
        <f t="shared" si="89"/>
        <v>6.2168084690133298</v>
      </c>
      <c r="AC218" s="18">
        <f t="shared" si="90"/>
        <v>111.620608534352</v>
      </c>
      <c r="AD218" s="16">
        <f>VLOOKUP(ROUNDDOWN(AC218,0),'Spline Pre-Adj'!K:L,2,0)</f>
        <v>4.7299139704548203</v>
      </c>
      <c r="AE218" s="16">
        <f t="shared" si="91"/>
        <v>5.344802786613946</v>
      </c>
    </row>
    <row r="219" spans="1:31" s="17" customFormat="1" x14ac:dyDescent="0.25">
      <c r="A219" s="15">
        <f>K183</f>
        <v>134.92878797041399</v>
      </c>
      <c r="B219" s="22">
        <f>AQ183/1000000000</f>
        <v>14.09158771883</v>
      </c>
      <c r="C219" s="23" t="str">
        <f>AO183</f>
        <v>14:125-150</v>
      </c>
      <c r="D219" s="16">
        <f>E183</f>
        <v>3.5624577813361397E-2</v>
      </c>
      <c r="E219" s="16">
        <f>Z183+AA183+AB183+AC183+AD183</f>
        <v>3.9975845522605177E-2</v>
      </c>
      <c r="F219" s="22">
        <f t="shared" si="78"/>
        <v>0.89115257845432527</v>
      </c>
      <c r="G219" s="23">
        <f t="shared" si="79"/>
        <v>35.292651765802354</v>
      </c>
      <c r="H219" s="23">
        <f t="shared" si="80"/>
        <v>38.710522101761399</v>
      </c>
      <c r="K219" s="14">
        <f t="shared" si="95"/>
        <v>1</v>
      </c>
      <c r="L219" s="14">
        <f t="shared" si="96"/>
        <v>1</v>
      </c>
      <c r="M219" s="14">
        <f t="shared" si="100"/>
        <v>1.05</v>
      </c>
      <c r="N219" s="16">
        <f t="shared" si="101"/>
        <v>3.6268737310206869E-2</v>
      </c>
      <c r="O219" s="23">
        <f t="shared" si="84"/>
        <v>35.809409827274884</v>
      </c>
      <c r="P219" s="24">
        <f t="shared" si="85"/>
        <v>0.98223926321625232</v>
      </c>
      <c r="X219" s="18">
        <f t="shared" si="88"/>
        <v>134.92878797041399</v>
      </c>
      <c r="Y219" s="16">
        <f>VLOOKUP(ROUNDDOWN(X219,0),'Spline Pre-Adj'!F:G,2,0)</f>
        <v>7.60662891263856</v>
      </c>
      <c r="Z219" s="16">
        <f t="shared" si="89"/>
        <v>7.60662891263856</v>
      </c>
      <c r="AC219" s="18">
        <f t="shared" si="90"/>
        <v>134.92878797041399</v>
      </c>
      <c r="AD219" s="16">
        <f>VLOOKUP(ROUNDDOWN(AC219,0),'Spline Pre-Adj'!K:L,2,0)</f>
        <v>5.2051069926153799</v>
      </c>
      <c r="AE219" s="16">
        <f t="shared" si="91"/>
        <v>5.4653623422461495</v>
      </c>
    </row>
    <row r="220" spans="1:31" s="17" customFormat="1" x14ac:dyDescent="0.25">
      <c r="A220" s="15">
        <f>K184</f>
        <v>160.59319451300999</v>
      </c>
      <c r="B220" s="22">
        <f>AQ184/1000000000</f>
        <v>3.4406416178200003</v>
      </c>
      <c r="C220" s="23" t="str">
        <f>AO184</f>
        <v>15:150-175</v>
      </c>
      <c r="D220" s="16">
        <f>E184</f>
        <v>3.4136214325988998E-2</v>
      </c>
      <c r="E220" s="16">
        <f>Z184+AA184+AB184+AC184+AD184</f>
        <v>4.3078564218328987E-2</v>
      </c>
      <c r="F220" s="22">
        <f t="shared" si="78"/>
        <v>0.79241764309927454</v>
      </c>
      <c r="G220" s="23">
        <f t="shared" si="79"/>
        <v>34.084038108405224</v>
      </c>
      <c r="H220" s="23">
        <f t="shared" si="80"/>
        <v>41.045712000782196</v>
      </c>
      <c r="K220" s="14">
        <f t="shared" si="95"/>
        <v>1</v>
      </c>
      <c r="L220" s="14">
        <f t="shared" si="96"/>
        <v>1</v>
      </c>
      <c r="M220" s="14">
        <f t="shared" si="100"/>
        <v>1</v>
      </c>
      <c r="N220" s="16">
        <f t="shared" si="101"/>
        <v>3.7877923495795295E-2</v>
      </c>
      <c r="O220" s="23">
        <f t="shared" si="84"/>
        <v>37.083847111585868</v>
      </c>
      <c r="P220" s="24">
        <f t="shared" si="85"/>
        <v>0.90121662370901479</v>
      </c>
      <c r="X220" s="18">
        <f t="shared" si="88"/>
        <v>160.59319451300999</v>
      </c>
      <c r="Y220" s="16">
        <f>VLOOKUP(ROUNDDOWN(X220,0),'Spline Pre-Adj'!F:G,2,0)</f>
        <v>8.7434835551418502</v>
      </c>
      <c r="Z220" s="16">
        <f t="shared" si="89"/>
        <v>8.7434835551418502</v>
      </c>
      <c r="AC220" s="18">
        <f t="shared" si="90"/>
        <v>160.59319451300999</v>
      </c>
      <c r="AD220" s="16">
        <f>VLOOKUP(ROUNDDOWN(AC220,0),'Spline Pre-Adj'!K:L,2,0)</f>
        <v>5.6662697466415004</v>
      </c>
      <c r="AE220" s="16">
        <f t="shared" si="91"/>
        <v>5.6662697466415004</v>
      </c>
    </row>
    <row r="221" spans="1:31" s="17" customFormat="1" x14ac:dyDescent="0.25">
      <c r="A221" s="15"/>
      <c r="B221" s="22"/>
      <c r="C221" s="23"/>
      <c r="D221" s="16"/>
      <c r="E221" s="16"/>
      <c r="F221" s="22"/>
      <c r="G221" s="23"/>
      <c r="H221" s="23"/>
      <c r="K221" s="15"/>
      <c r="L221" s="15"/>
      <c r="M221" s="15"/>
      <c r="N221" s="16"/>
      <c r="O221" s="23"/>
      <c r="P221" s="24"/>
      <c r="X221" s="18"/>
      <c r="Y221" s="16"/>
      <c r="Z221" s="16"/>
      <c r="AC221" s="18"/>
      <c r="AD221" s="16"/>
      <c r="AE221" s="16"/>
    </row>
    <row r="222" spans="1:31" s="17" customFormat="1" x14ac:dyDescent="0.25">
      <c r="A222" s="15"/>
      <c r="B222" s="22"/>
      <c r="C222" s="23"/>
      <c r="D222" s="16"/>
      <c r="E222" s="16"/>
      <c r="F222" s="22"/>
      <c r="G222" s="23"/>
      <c r="H222" s="23"/>
      <c r="K222" s="15"/>
      <c r="L222" s="15"/>
      <c r="M222" s="26"/>
      <c r="N222" s="16"/>
      <c r="O222" s="23"/>
      <c r="P222" s="24"/>
      <c r="X222" s="18"/>
      <c r="Y222" s="16"/>
      <c r="Z222" s="16"/>
      <c r="AC222" s="18"/>
      <c r="AD222" s="16"/>
      <c r="AE222" s="16"/>
    </row>
    <row r="225" spans="9:13" x14ac:dyDescent="0.25">
      <c r="I225" t="s">
        <v>123</v>
      </c>
      <c r="K225" s="15">
        <v>0.75</v>
      </c>
      <c r="L225" s="15">
        <v>1</v>
      </c>
      <c r="M225" s="15">
        <v>1</v>
      </c>
    </row>
    <row r="226" spans="9:13" x14ac:dyDescent="0.25">
      <c r="K226" s="15">
        <v>0.75</v>
      </c>
      <c r="L226" s="15">
        <v>1</v>
      </c>
      <c r="M226" s="15">
        <v>1</v>
      </c>
    </row>
    <row r="227" spans="9:13" x14ac:dyDescent="0.25">
      <c r="K227" s="15">
        <v>0.75</v>
      </c>
      <c r="L227" s="15">
        <v>1</v>
      </c>
      <c r="M227" s="15">
        <v>1</v>
      </c>
    </row>
    <row r="228" spans="9:13" x14ac:dyDescent="0.25">
      <c r="K228" s="15">
        <v>0.64</v>
      </c>
      <c r="L228" s="15">
        <v>1</v>
      </c>
      <c r="M228" s="15">
        <v>1</v>
      </c>
    </row>
    <row r="229" spans="9:13" x14ac:dyDescent="0.25">
      <c r="K229" s="4">
        <v>0.64</v>
      </c>
      <c r="L229" s="4">
        <v>1</v>
      </c>
      <c r="M229" s="4">
        <v>0.32</v>
      </c>
    </row>
    <row r="230" spans="9:13" x14ac:dyDescent="0.25">
      <c r="K230" s="4">
        <v>0.75</v>
      </c>
      <c r="L230" s="4">
        <v>1</v>
      </c>
      <c r="M230" s="4">
        <v>0.67</v>
      </c>
    </row>
    <row r="231" spans="9:13" x14ac:dyDescent="0.25">
      <c r="K231" s="4">
        <v>0.75</v>
      </c>
      <c r="L231" s="4">
        <v>1</v>
      </c>
      <c r="M231" s="4">
        <v>1.1100000000000001</v>
      </c>
    </row>
    <row r="232" spans="9:13" x14ac:dyDescent="0.25">
      <c r="K232" s="4">
        <v>0.75</v>
      </c>
      <c r="L232" s="4">
        <v>1</v>
      </c>
      <c r="M232" s="4">
        <v>1.32</v>
      </c>
    </row>
    <row r="233" spans="9:13" x14ac:dyDescent="0.25">
      <c r="K233" s="4">
        <v>0.75</v>
      </c>
      <c r="L233" s="4">
        <v>1</v>
      </c>
      <c r="M233" s="4">
        <v>1.26</v>
      </c>
    </row>
    <row r="234" spans="9:13" x14ac:dyDescent="0.25">
      <c r="K234" s="4">
        <v>0.75</v>
      </c>
      <c r="L234" s="4">
        <v>1</v>
      </c>
      <c r="M234" s="4">
        <v>1.17</v>
      </c>
    </row>
    <row r="235" spans="9:13" x14ac:dyDescent="0.25">
      <c r="K235" s="4">
        <v>0.75</v>
      </c>
      <c r="L235" s="4">
        <v>1</v>
      </c>
      <c r="M235" s="4">
        <v>1.07</v>
      </c>
    </row>
    <row r="236" spans="9:13" x14ac:dyDescent="0.25">
      <c r="K236" s="4">
        <v>0.75</v>
      </c>
      <c r="L236" s="4">
        <v>1</v>
      </c>
      <c r="M236" s="4">
        <v>1</v>
      </c>
    </row>
    <row r="237" spans="9:13" x14ac:dyDescent="0.25">
      <c r="K237" s="4">
        <v>0.75</v>
      </c>
      <c r="L237" s="4">
        <v>1</v>
      </c>
      <c r="M237" s="4">
        <v>0.95</v>
      </c>
    </row>
    <row r="238" spans="9:13" x14ac:dyDescent="0.25">
      <c r="K238" s="4">
        <v>0.75</v>
      </c>
      <c r="L238" s="4">
        <v>1</v>
      </c>
      <c r="M238" s="4">
        <v>0.91</v>
      </c>
    </row>
    <row r="239" spans="9:13" x14ac:dyDescent="0.25">
      <c r="K239" s="26">
        <v>0.75</v>
      </c>
      <c r="L239" s="26">
        <v>1</v>
      </c>
      <c r="M239" s="26">
        <v>1.05</v>
      </c>
    </row>
    <row r="240" spans="9:13" x14ac:dyDescent="0.25">
      <c r="K240" s="15">
        <v>0.75</v>
      </c>
      <c r="L240" s="15">
        <v>1</v>
      </c>
      <c r="M240" s="15">
        <v>1</v>
      </c>
    </row>
    <row r="241" spans="11:13" x14ac:dyDescent="0.25">
      <c r="K241" s="15">
        <v>0.75</v>
      </c>
      <c r="L241" s="15">
        <v>1</v>
      </c>
      <c r="M241" s="15">
        <v>1</v>
      </c>
    </row>
  </sheetData>
  <conditionalFormatting sqref="F104:F132">
    <cfRule type="colorScale" priority="44">
      <colorScale>
        <cfvo type="min"/>
        <cfvo type="num" val="1"/>
        <cfvo type="max"/>
        <color rgb="FFF8696B"/>
        <color theme="0"/>
        <color theme="4"/>
      </colorScale>
    </cfRule>
  </conditionalFormatting>
  <conditionalFormatting sqref="P104:P132">
    <cfRule type="colorScale" priority="43">
      <colorScale>
        <cfvo type="min"/>
        <cfvo type="num" val="1"/>
        <cfvo type="max"/>
        <color rgb="FFF8696B"/>
        <color theme="0"/>
        <color theme="4"/>
      </colorScale>
    </cfRule>
  </conditionalFormatting>
  <conditionalFormatting sqref="AQ68">
    <cfRule type="dataBar" priority="48">
      <dataBar>
        <cfvo type="min"/>
        <cfvo type="max"/>
        <color rgb="FF638EC6"/>
      </dataBar>
      <extLst>
        <ext xmlns:x14="http://schemas.microsoft.com/office/spreadsheetml/2009/9/main" uri="{B025F937-C7B1-47D3-B67F-A62EFF666E3E}">
          <x14:id>{7F887866-3709-4557-B367-E276FB81D8F0}</x14:id>
        </ext>
      </extLst>
    </cfRule>
  </conditionalFormatting>
  <conditionalFormatting sqref="B104:B133">
    <cfRule type="dataBar" priority="49">
      <dataBar>
        <cfvo type="min"/>
        <cfvo type="max"/>
        <color rgb="FF638EC6"/>
      </dataBar>
      <extLst>
        <ext xmlns:x14="http://schemas.microsoft.com/office/spreadsheetml/2009/9/main" uri="{B025F937-C7B1-47D3-B67F-A62EFF666E3E}">
          <x14:id>{3BB78279-90DE-4177-B88A-2B785057A913}</x14:id>
        </ext>
      </extLst>
    </cfRule>
  </conditionalFormatting>
  <conditionalFormatting sqref="F31:F40">
    <cfRule type="colorScale" priority="40">
      <colorScale>
        <cfvo type="min"/>
        <cfvo type="num" val="1"/>
        <cfvo type="max"/>
        <color rgb="FFF8696B"/>
        <color theme="0"/>
        <color theme="4"/>
      </colorScale>
    </cfRule>
  </conditionalFormatting>
  <conditionalFormatting sqref="P31:P40">
    <cfRule type="colorScale" priority="39">
      <colorScale>
        <cfvo type="min"/>
        <cfvo type="num" val="1"/>
        <cfvo type="max"/>
        <color rgb="FFF8696B"/>
        <color theme="0"/>
        <color theme="4"/>
      </colorScale>
    </cfRule>
  </conditionalFormatting>
  <conditionalFormatting sqref="AQ2:AQ17">
    <cfRule type="dataBar" priority="41">
      <dataBar>
        <cfvo type="min"/>
        <cfvo type="max"/>
        <color rgb="FF638EC6"/>
      </dataBar>
      <extLst>
        <ext xmlns:x14="http://schemas.microsoft.com/office/spreadsheetml/2009/9/main" uri="{B025F937-C7B1-47D3-B67F-A62EFF666E3E}">
          <x14:id>{9599D91F-38C6-4B2E-840A-5A1DEA62A1D2}</x14:id>
        </ext>
      </extLst>
    </cfRule>
  </conditionalFormatting>
  <conditionalFormatting sqref="B27:B41">
    <cfRule type="dataBar" priority="42">
      <dataBar>
        <cfvo type="min"/>
        <cfvo type="max"/>
        <color rgb="FF638EC6"/>
      </dataBar>
      <extLst>
        <ext xmlns:x14="http://schemas.microsoft.com/office/spreadsheetml/2009/9/main" uri="{B025F937-C7B1-47D3-B67F-A62EFF666E3E}">
          <x14:id>{42A8A8F2-34A5-4828-A1A9-7E42C16B17B3}</x14:id>
        </ext>
      </extLst>
    </cfRule>
  </conditionalFormatting>
  <conditionalFormatting sqref="AQ69:AQ97">
    <cfRule type="dataBar" priority="34">
      <dataBar>
        <cfvo type="min"/>
        <cfvo type="max"/>
        <color rgb="FF638EC6"/>
      </dataBar>
      <extLst>
        <ext xmlns:x14="http://schemas.microsoft.com/office/spreadsheetml/2009/9/main" uri="{B025F937-C7B1-47D3-B67F-A62EFF666E3E}">
          <x14:id>{D7E0C1F3-B4BB-4E85-9243-C78DCE4A164C}</x14:id>
        </ext>
      </extLst>
    </cfRule>
  </conditionalFormatting>
  <conditionalFormatting sqref="AQ18">
    <cfRule type="dataBar" priority="17">
      <dataBar>
        <cfvo type="min"/>
        <cfvo type="max"/>
        <color rgb="FF638EC6"/>
      </dataBar>
      <extLst>
        <ext xmlns:x14="http://schemas.microsoft.com/office/spreadsheetml/2009/9/main" uri="{B025F937-C7B1-47D3-B67F-A62EFF666E3E}">
          <x14:id>{60796FA4-41BB-412A-BDCC-24173974CAC6}</x14:id>
        </ext>
      </extLst>
    </cfRule>
  </conditionalFormatting>
  <conditionalFormatting sqref="AQ86:AQ95">
    <cfRule type="dataBar" priority="16">
      <dataBar>
        <cfvo type="min"/>
        <cfvo type="max"/>
        <color rgb="FF638EC6"/>
      </dataBar>
      <extLst>
        <ext xmlns:x14="http://schemas.microsoft.com/office/spreadsheetml/2009/9/main" uri="{B025F937-C7B1-47D3-B67F-A62EFF666E3E}">
          <x14:id>{4194DD61-D1C7-494E-A48F-B346E44001B1}</x14:id>
        </ext>
      </extLst>
    </cfRule>
  </conditionalFormatting>
  <conditionalFormatting sqref="AQ96:AQ99">
    <cfRule type="dataBar" priority="15">
      <dataBar>
        <cfvo type="min"/>
        <cfvo type="max"/>
        <color rgb="FF638EC6"/>
      </dataBar>
      <extLst>
        <ext xmlns:x14="http://schemas.microsoft.com/office/spreadsheetml/2009/9/main" uri="{B025F937-C7B1-47D3-B67F-A62EFF666E3E}">
          <x14:id>{DE3AA7FA-72C4-4038-B11F-C5B74588139F}</x14:id>
        </ext>
      </extLst>
    </cfRule>
  </conditionalFormatting>
  <conditionalFormatting sqref="F193:F221">
    <cfRule type="colorScale" priority="9">
      <colorScale>
        <cfvo type="min"/>
        <cfvo type="num" val="1"/>
        <cfvo type="max"/>
        <color rgb="FFF8696B"/>
        <color theme="0"/>
        <color theme="4"/>
      </colorScale>
    </cfRule>
  </conditionalFormatting>
  <conditionalFormatting sqref="P193:P221">
    <cfRule type="colorScale" priority="8">
      <colorScale>
        <cfvo type="min"/>
        <cfvo type="num" val="1"/>
        <cfvo type="max"/>
        <color rgb="FFF8696B"/>
        <color theme="0"/>
        <color theme="4"/>
      </colorScale>
    </cfRule>
  </conditionalFormatting>
  <conditionalFormatting sqref="B193:B220">
    <cfRule type="dataBar" priority="11">
      <dataBar>
        <cfvo type="min"/>
        <cfvo type="max"/>
        <color rgb="FF638EC6"/>
      </dataBar>
      <extLst>
        <ext xmlns:x14="http://schemas.microsoft.com/office/spreadsheetml/2009/9/main" uri="{B025F937-C7B1-47D3-B67F-A62EFF666E3E}">
          <x14:id>{4681FB07-945C-421F-893C-260455127E39}</x14:id>
        </ext>
      </extLst>
    </cfRule>
  </conditionalFormatting>
  <conditionalFormatting sqref="AQ174:AQ183">
    <cfRule type="dataBar" priority="2">
      <dataBar>
        <cfvo type="min"/>
        <cfvo type="max"/>
        <color rgb="FF638EC6"/>
      </dataBar>
      <extLst>
        <ext xmlns:x14="http://schemas.microsoft.com/office/spreadsheetml/2009/9/main" uri="{B025F937-C7B1-47D3-B67F-A62EFF666E3E}">
          <x14:id>{CAD0B186-385C-4427-AC0B-93C6A93ACD2C}</x14:id>
        </ext>
      </extLst>
    </cfRule>
  </conditionalFormatting>
  <conditionalFormatting sqref="AQ186:AQ189">
    <cfRule type="dataBar" priority="5">
      <dataBar>
        <cfvo type="min"/>
        <cfvo type="max"/>
        <color rgb="FF638EC6"/>
      </dataBar>
      <extLst>
        <ext xmlns:x14="http://schemas.microsoft.com/office/spreadsheetml/2009/9/main" uri="{B025F937-C7B1-47D3-B67F-A62EFF666E3E}">
          <x14:id>{62C33089-E03E-4BD9-9B47-CA7009F4785B}</x14:id>
        </ext>
      </extLst>
    </cfRule>
  </conditionalFormatting>
  <conditionalFormatting sqref="AQ156">
    <cfRule type="dataBar" priority="4">
      <dataBar>
        <cfvo type="min"/>
        <cfvo type="max"/>
        <color rgb="FF638EC6"/>
      </dataBar>
      <extLst>
        <ext xmlns:x14="http://schemas.microsoft.com/office/spreadsheetml/2009/9/main" uri="{B025F937-C7B1-47D3-B67F-A62EFF666E3E}">
          <x14:id>{1A988B80-4AA7-4324-A013-327ACE466733}</x14:id>
        </ext>
      </extLst>
    </cfRule>
  </conditionalFormatting>
  <conditionalFormatting sqref="AQ157:AQ185">
    <cfRule type="dataBar" priority="3">
      <dataBar>
        <cfvo type="min"/>
        <cfvo type="max"/>
        <color rgb="FF638EC6"/>
      </dataBar>
      <extLst>
        <ext xmlns:x14="http://schemas.microsoft.com/office/spreadsheetml/2009/9/main" uri="{B025F937-C7B1-47D3-B67F-A62EFF666E3E}">
          <x14:id>{CF04E280-2727-4313-A31E-BD8D2F10727C}</x14:id>
        </ext>
      </extLst>
    </cfRule>
  </conditionalFormatting>
  <conditionalFormatting sqref="AQ184:AQ185">
    <cfRule type="dataBar" priority="1">
      <dataBar>
        <cfvo type="min"/>
        <cfvo type="max"/>
        <color rgb="FF638EC6"/>
      </dataBar>
      <extLst>
        <ext xmlns:x14="http://schemas.microsoft.com/office/spreadsheetml/2009/9/main" uri="{B025F937-C7B1-47D3-B67F-A62EFF666E3E}">
          <x14:id>{AF94569B-8F7C-4CE9-A2EE-32898D115F75}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AQ68</xm:sqref>
        </x14:conditionalFormatting>
        <x14:conditionalFormatting xmlns:xm="http://schemas.microsoft.com/office/excel/2006/main">
          <x14:cfRule type="dataBar" id="{3BB78279-90DE-4177-B88A-2B785057A913}">
            <x14:dataBar minLength="0" maxLength="100" border="1" negativeBarBorderColorSameAsPositive="0">
              <x14:cfvo type="autoMin"/>
              <x14:cfvo type="autoMax"/>
              <x14:borderColor rgb="FF638EC6"/>
              <x14:negativeFillColor rgb="FFFF0000"/>
              <x14:negativeBorderColor rgb="FFFF0000"/>
              <x14:axisColor rgb="FF000000"/>
            </x14:dataBar>
          </x14:cfRule>
          <xm:sqref>B104:B133</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AQ2:AQ17</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B27:B41</xm:sqref>
        </x14:conditionalFormatting>
        <x14:conditionalFormatting xmlns:xm="http://schemas.microsoft.com/office/excel/2006/main">
          <x14:cfRule type="dataBar" id="{D7E0C1F3-B4BB-4E85-9243-C78DCE4A164C}">
            <x14:dataBar minLength="0" maxLength="100" border="1" negativeBarBorderColorSameAsPositive="0">
              <x14:cfvo type="autoMin"/>
              <x14:cfvo type="autoMax"/>
              <x14:borderColor rgb="FF638EC6"/>
              <x14:negativeFillColor rgb="FFFF0000"/>
              <x14:negativeBorderColor rgb="FFFF0000"/>
              <x14:axisColor rgb="FF000000"/>
            </x14:dataBar>
          </x14:cfRule>
          <xm:sqref>AQ69:AQ97</xm:sqref>
        </x14:conditionalFormatting>
        <x14:conditionalFormatting xmlns:xm="http://schemas.microsoft.com/office/excel/2006/main">
          <x14:cfRule type="dataBar" id="{60796FA4-41BB-412A-BDCC-24173974CAC6}">
            <x14:dataBar minLength="0" maxLength="100" border="1" negativeBarBorderColorSameAsPositive="0">
              <x14:cfvo type="autoMin"/>
              <x14:cfvo type="autoMax"/>
              <x14:borderColor rgb="FF638EC6"/>
              <x14:negativeFillColor rgb="FFFF0000"/>
              <x14:negativeBorderColor rgb="FFFF0000"/>
              <x14:axisColor rgb="FF000000"/>
            </x14:dataBar>
          </x14:cfRule>
          <xm:sqref>AQ18</xm:sqref>
        </x14:conditionalFormatting>
        <x14:conditionalFormatting xmlns:xm="http://schemas.microsoft.com/office/excel/2006/main">
          <x14:cfRule type="dataBar" id="{4194DD61-D1C7-494E-A48F-B346E44001B1}">
            <x14:dataBar minLength="0" maxLength="100" border="1" negativeBarBorderColorSameAsPositive="0">
              <x14:cfvo type="autoMin"/>
              <x14:cfvo type="autoMax"/>
              <x14:borderColor rgb="FF638EC6"/>
              <x14:negativeFillColor rgb="FFFF0000"/>
              <x14:negativeBorderColor rgb="FFFF0000"/>
              <x14:axisColor rgb="FF000000"/>
            </x14:dataBar>
          </x14:cfRule>
          <xm:sqref>AQ86:AQ95</xm:sqref>
        </x14:conditionalFormatting>
        <x14:conditionalFormatting xmlns:xm="http://schemas.microsoft.com/office/excel/2006/main">
          <x14:cfRule type="dataBar" id="{DE3AA7FA-72C4-4038-B11F-C5B74588139F}">
            <x14:dataBar minLength="0" maxLength="100" border="1" negativeBarBorderColorSameAsPositive="0">
              <x14:cfvo type="autoMin"/>
              <x14:cfvo type="autoMax"/>
              <x14:borderColor rgb="FF638EC6"/>
              <x14:negativeFillColor rgb="FFFF0000"/>
              <x14:negativeBorderColor rgb="FFFF0000"/>
              <x14:axisColor rgb="FF000000"/>
            </x14:dataBar>
          </x14:cfRule>
          <xm:sqref>AQ96:AQ99</xm:sqref>
        </x14:conditionalFormatting>
        <x14:conditionalFormatting xmlns:xm="http://schemas.microsoft.com/office/excel/2006/main">
          <x14:cfRule type="dataBar" id="{4681FB07-945C-421F-893C-260455127E39}">
            <x14:dataBar minLength="0" maxLength="100" border="1" negativeBarBorderColorSameAsPositive="0">
              <x14:cfvo type="autoMin"/>
              <x14:cfvo type="autoMax"/>
              <x14:borderColor rgb="FF638EC6"/>
              <x14:negativeFillColor rgb="FFFF0000"/>
              <x14:negativeBorderColor rgb="FFFF0000"/>
              <x14:axisColor rgb="FF000000"/>
            </x14:dataBar>
          </x14:cfRule>
          <xm:sqref>B193:B220</xm:sqref>
        </x14:conditionalFormatting>
        <x14:conditionalFormatting xmlns:xm="http://schemas.microsoft.com/office/excel/2006/main">
          <x14:cfRule type="dataBar" id="{CAD0B186-385C-4427-AC0B-93C6A93ACD2C}">
            <x14:dataBar minLength="0" maxLength="100" border="1" negativeBarBorderColorSameAsPositive="0">
              <x14:cfvo type="autoMin"/>
              <x14:cfvo type="autoMax"/>
              <x14:borderColor rgb="FF638EC6"/>
              <x14:negativeFillColor rgb="FFFF0000"/>
              <x14:negativeBorderColor rgb="FFFF0000"/>
              <x14:axisColor rgb="FF000000"/>
            </x14:dataBar>
          </x14:cfRule>
          <xm:sqref>AQ174:AQ183</xm:sqref>
        </x14:conditionalFormatting>
        <x14:conditionalFormatting xmlns:xm="http://schemas.microsoft.com/office/excel/2006/main">
          <x14:cfRule type="dataBar" id="{62C33089-E03E-4BD9-9B47-CA7009F4785B}">
            <x14:dataBar minLength="0" maxLength="100" border="1" negativeBarBorderColorSameAsPositive="0">
              <x14:cfvo type="autoMin"/>
              <x14:cfvo type="autoMax"/>
              <x14:borderColor rgb="FF638EC6"/>
              <x14:negativeFillColor rgb="FFFF0000"/>
              <x14:negativeBorderColor rgb="FFFF0000"/>
              <x14:axisColor rgb="FF000000"/>
            </x14:dataBar>
          </x14:cfRule>
          <xm:sqref>AQ186:AQ189</xm:sqref>
        </x14:conditionalFormatting>
        <x14:conditionalFormatting xmlns:xm="http://schemas.microsoft.com/office/excel/2006/main">
          <x14:cfRule type="dataBar" id="{1A988B80-4AA7-4324-A013-327ACE466733}">
            <x14:dataBar minLength="0" maxLength="100" border="1" negativeBarBorderColorSameAsPositive="0">
              <x14:cfvo type="autoMin"/>
              <x14:cfvo type="autoMax"/>
              <x14:borderColor rgb="FF638EC6"/>
              <x14:negativeFillColor rgb="FFFF0000"/>
              <x14:negativeBorderColor rgb="FFFF0000"/>
              <x14:axisColor rgb="FF000000"/>
            </x14:dataBar>
          </x14:cfRule>
          <xm:sqref>AQ156</xm:sqref>
        </x14:conditionalFormatting>
        <x14:conditionalFormatting xmlns:xm="http://schemas.microsoft.com/office/excel/2006/main">
          <x14:cfRule type="dataBar" id="{CF04E280-2727-4313-A31E-BD8D2F10727C}">
            <x14:dataBar minLength="0" maxLength="100" border="1" negativeBarBorderColorSameAsPositive="0">
              <x14:cfvo type="autoMin"/>
              <x14:cfvo type="autoMax"/>
              <x14:borderColor rgb="FF638EC6"/>
              <x14:negativeFillColor rgb="FFFF0000"/>
              <x14:negativeBorderColor rgb="FFFF0000"/>
              <x14:axisColor rgb="FF000000"/>
            </x14:dataBar>
          </x14:cfRule>
          <xm:sqref>AQ157:AQ185</xm:sqref>
        </x14:conditionalFormatting>
        <x14:conditionalFormatting xmlns:xm="http://schemas.microsoft.com/office/excel/2006/main">
          <x14:cfRule type="dataBar" id="{AF94569B-8F7C-4CE9-A2EE-32898D115F75}">
            <x14:dataBar minLength="0" maxLength="100" border="1" negativeBarBorderColorSameAsPositive="0">
              <x14:cfvo type="autoMin"/>
              <x14:cfvo type="autoMax"/>
              <x14:borderColor rgb="FF638EC6"/>
              <x14:negativeFillColor rgb="FFFF0000"/>
              <x14:negativeBorderColor rgb="FFFF0000"/>
              <x14:axisColor rgb="FF000000"/>
            </x14:dataBar>
          </x14:cfRule>
          <xm:sqref>AQ184:AQ185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108</v>
      </c>
      <c r="B1" t="s">
        <v>109</v>
      </c>
      <c r="F1" s="13" t="s">
        <v>108</v>
      </c>
      <c r="G1" t="s">
        <v>107</v>
      </c>
      <c r="K1" s="13" t="s">
        <v>108</v>
      </c>
      <c r="L1" t="s">
        <v>110</v>
      </c>
    </row>
    <row r="3" spans="1:12" x14ac:dyDescent="0.25">
      <c r="A3" s="13" t="s">
        <v>104</v>
      </c>
      <c r="B3" t="s">
        <v>105</v>
      </c>
      <c r="F3" s="13" t="s">
        <v>104</v>
      </c>
      <c r="G3" t="s">
        <v>105</v>
      </c>
      <c r="K3" s="13" t="s">
        <v>104</v>
      </c>
      <c r="L3" t="s">
        <v>105</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106</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106</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106</v>
      </c>
      <c r="B915" s="12">
        <v>0.92777098243689093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Distribution of data</vt:lpstr>
      <vt:lpstr>Actual</vt:lpstr>
      <vt:lpstr>Baseline</vt:lpstr>
      <vt:lpstr>Spline Pre-Adj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2018-09-18T14:22:46Z</dcterms:modified>
</cp:coreProperties>
</file>