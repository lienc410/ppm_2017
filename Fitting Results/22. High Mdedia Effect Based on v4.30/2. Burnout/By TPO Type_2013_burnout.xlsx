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6.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6265" windowHeight="11700" activeTab="7"/>
  </bookViews>
  <sheets>
    <sheet name="Distribution of data" sheetId="1" r:id="rId1"/>
    <sheet name="Baseline" sheetId="2" state="hidden" r:id="rId2"/>
    <sheet name="Burnout 2013 Corres+Cashwindow_" sheetId="7" state="hidden" r:id="rId3"/>
    <sheet name="Actual" sheetId="5" state="hidden" r:id="rId4"/>
    <sheet name="Spline Pre-Adj" sheetId="4" state="hidden" r:id="rId5"/>
    <sheet name="Burnout 2013 Corres+CW" sheetId="9" r:id="rId6"/>
    <sheet name="Burnout 2013 Broker" sheetId="8" r:id="rId7"/>
    <sheet name="Burnout 2013 NonCW" sheetId="10" r:id="rId8"/>
    <sheet name="Refi Adj" sheetId="6" r:id="rId9"/>
  </sheets>
  <definedNames>
    <definedName name="solver_cvg" localSheetId="1" hidden="1">0.0001</definedName>
    <definedName name="solver_cvg" localSheetId="6" hidden="1">0.0001</definedName>
    <definedName name="solver_cvg" localSheetId="2" hidden="1">0.0001</definedName>
    <definedName name="solver_cvg" localSheetId="5" hidden="1">0.0001</definedName>
    <definedName name="solver_cvg" localSheetId="7" hidden="1">0.0001</definedName>
    <definedName name="solver_drv" localSheetId="1" hidden="1">1</definedName>
    <definedName name="solver_drv" localSheetId="6" hidden="1">1</definedName>
    <definedName name="solver_drv" localSheetId="2" hidden="1">1</definedName>
    <definedName name="solver_drv" localSheetId="5" hidden="1">1</definedName>
    <definedName name="solver_drv" localSheetId="7" hidden="1">1</definedName>
    <definedName name="solver_eng" localSheetId="1" hidden="1">1</definedName>
    <definedName name="solver_eng" localSheetId="6" hidden="1">1</definedName>
    <definedName name="solver_eng" localSheetId="2" hidden="1">1</definedName>
    <definedName name="solver_eng" localSheetId="5" hidden="1">1</definedName>
    <definedName name="solver_eng" localSheetId="7" hidden="1">1</definedName>
    <definedName name="solver_est" localSheetId="1" hidden="1">1</definedName>
    <definedName name="solver_est" localSheetId="6" hidden="1">1</definedName>
    <definedName name="solver_est" localSheetId="2" hidden="1">1</definedName>
    <definedName name="solver_est" localSheetId="5" hidden="1">1</definedName>
    <definedName name="solver_est" localSheetId="7" hidden="1">1</definedName>
    <definedName name="solver_itr" localSheetId="1" hidden="1">2147483647</definedName>
    <definedName name="solver_itr" localSheetId="6" hidden="1">2147483647</definedName>
    <definedName name="solver_itr" localSheetId="2" hidden="1">2147483647</definedName>
    <definedName name="solver_itr" localSheetId="5" hidden="1">2147483647</definedName>
    <definedName name="solver_itr" localSheetId="7" hidden="1">2147483647</definedName>
    <definedName name="solver_mip" localSheetId="1" hidden="1">2147483647</definedName>
    <definedName name="solver_mip" localSheetId="6" hidden="1">2147483647</definedName>
    <definedName name="solver_mip" localSheetId="2" hidden="1">2147483647</definedName>
    <definedName name="solver_mip" localSheetId="5" hidden="1">2147483647</definedName>
    <definedName name="solver_mip" localSheetId="7" hidden="1">2147483647</definedName>
    <definedName name="solver_mni" localSheetId="1" hidden="1">30</definedName>
    <definedName name="solver_mni" localSheetId="6" hidden="1">30</definedName>
    <definedName name="solver_mni" localSheetId="2" hidden="1">30</definedName>
    <definedName name="solver_mni" localSheetId="5" hidden="1">30</definedName>
    <definedName name="solver_mni" localSheetId="7" hidden="1">30</definedName>
    <definedName name="solver_mrt" localSheetId="1" hidden="1">0.075</definedName>
    <definedName name="solver_mrt" localSheetId="6" hidden="1">0.075</definedName>
    <definedName name="solver_mrt" localSheetId="2" hidden="1">0.075</definedName>
    <definedName name="solver_mrt" localSheetId="5" hidden="1">0.075</definedName>
    <definedName name="solver_mrt" localSheetId="7" hidden="1">0.075</definedName>
    <definedName name="solver_msl" localSheetId="1" hidden="1">2</definedName>
    <definedName name="solver_msl" localSheetId="6" hidden="1">2</definedName>
    <definedName name="solver_msl" localSheetId="2" hidden="1">2</definedName>
    <definedName name="solver_msl" localSheetId="5" hidden="1">2</definedName>
    <definedName name="solver_msl" localSheetId="7" hidden="1">2</definedName>
    <definedName name="solver_neg" localSheetId="1" hidden="1">1</definedName>
    <definedName name="solver_neg" localSheetId="6" hidden="1">1</definedName>
    <definedName name="solver_neg" localSheetId="2" hidden="1">1</definedName>
    <definedName name="solver_neg" localSheetId="5" hidden="1">1</definedName>
    <definedName name="solver_neg" localSheetId="7" hidden="1">1</definedName>
    <definedName name="solver_nod" localSheetId="1" hidden="1">2147483647</definedName>
    <definedName name="solver_nod" localSheetId="6" hidden="1">2147483647</definedName>
    <definedName name="solver_nod" localSheetId="2" hidden="1">2147483647</definedName>
    <definedName name="solver_nod" localSheetId="5" hidden="1">2147483647</definedName>
    <definedName name="solver_nod" localSheetId="7" hidden="1">2147483647</definedName>
    <definedName name="solver_num" localSheetId="1" hidden="1">0</definedName>
    <definedName name="solver_num" localSheetId="6" hidden="1">0</definedName>
    <definedName name="solver_num" localSheetId="2" hidden="1">0</definedName>
    <definedName name="solver_num" localSheetId="5" hidden="1">0</definedName>
    <definedName name="solver_num" localSheetId="7" hidden="1">0</definedName>
    <definedName name="solver_nwt" localSheetId="1" hidden="1">1</definedName>
    <definedName name="solver_nwt" localSheetId="6" hidden="1">1</definedName>
    <definedName name="solver_nwt" localSheetId="2" hidden="1">1</definedName>
    <definedName name="solver_nwt" localSheetId="5" hidden="1">1</definedName>
    <definedName name="solver_nwt" localSheetId="7" hidden="1">1</definedName>
    <definedName name="solver_opt" localSheetId="1" hidden="1">Baseline!$U$77</definedName>
    <definedName name="solver_opt" localSheetId="6" hidden="1">'Burnout 2013 Broker'!$V$88</definedName>
    <definedName name="solver_opt" localSheetId="2" hidden="1">'Burnout 2013 Corres+Cashwindow_'!$U$87</definedName>
    <definedName name="solver_opt" localSheetId="5" hidden="1">'Burnout 2013 Corres+CW'!$V$88</definedName>
    <definedName name="solver_opt" localSheetId="7" hidden="1">'Burnout 2013 NonCW'!$V$88</definedName>
    <definedName name="solver_pre" localSheetId="1" hidden="1">0.000001</definedName>
    <definedName name="solver_pre" localSheetId="6" hidden="1">0.000001</definedName>
    <definedName name="solver_pre" localSheetId="2" hidden="1">0.000001</definedName>
    <definedName name="solver_pre" localSheetId="5" hidden="1">0.000001</definedName>
    <definedName name="solver_pre" localSheetId="7" hidden="1">0.000001</definedName>
    <definedName name="solver_rbv" localSheetId="1" hidden="1">1</definedName>
    <definedName name="solver_rbv" localSheetId="6" hidden="1">1</definedName>
    <definedName name="solver_rbv" localSheetId="2" hidden="1">1</definedName>
    <definedName name="solver_rbv" localSheetId="5" hidden="1">1</definedName>
    <definedName name="solver_rbv" localSheetId="7" hidden="1">1</definedName>
    <definedName name="solver_rlx" localSheetId="1" hidden="1">2</definedName>
    <definedName name="solver_rlx" localSheetId="6" hidden="1">2</definedName>
    <definedName name="solver_rlx" localSheetId="2" hidden="1">2</definedName>
    <definedName name="solver_rlx" localSheetId="5" hidden="1">2</definedName>
    <definedName name="solver_rlx" localSheetId="7" hidden="1">2</definedName>
    <definedName name="solver_rsd" localSheetId="1" hidden="1">0</definedName>
    <definedName name="solver_rsd" localSheetId="6" hidden="1">0</definedName>
    <definedName name="solver_rsd" localSheetId="2" hidden="1">0</definedName>
    <definedName name="solver_rsd" localSheetId="5" hidden="1">0</definedName>
    <definedName name="solver_rsd" localSheetId="7" hidden="1">0</definedName>
    <definedName name="solver_scl" localSheetId="1" hidden="1">1</definedName>
    <definedName name="solver_scl" localSheetId="6" hidden="1">1</definedName>
    <definedName name="solver_scl" localSheetId="2" hidden="1">1</definedName>
    <definedName name="solver_scl" localSheetId="5" hidden="1">1</definedName>
    <definedName name="solver_scl" localSheetId="7" hidden="1">1</definedName>
    <definedName name="solver_sho" localSheetId="1" hidden="1">2</definedName>
    <definedName name="solver_sho" localSheetId="6" hidden="1">2</definedName>
    <definedName name="solver_sho" localSheetId="2" hidden="1">2</definedName>
    <definedName name="solver_sho" localSheetId="5" hidden="1">2</definedName>
    <definedName name="solver_sho" localSheetId="7" hidden="1">2</definedName>
    <definedName name="solver_ssz" localSheetId="1" hidden="1">100</definedName>
    <definedName name="solver_ssz" localSheetId="6" hidden="1">100</definedName>
    <definedName name="solver_ssz" localSheetId="2" hidden="1">100</definedName>
    <definedName name="solver_ssz" localSheetId="5" hidden="1">100</definedName>
    <definedName name="solver_ssz" localSheetId="7" hidden="1">100</definedName>
    <definedName name="solver_tim" localSheetId="1" hidden="1">2147483647</definedName>
    <definedName name="solver_tim" localSheetId="6" hidden="1">2147483647</definedName>
    <definedName name="solver_tim" localSheetId="2" hidden="1">2147483647</definedName>
    <definedName name="solver_tim" localSheetId="5" hidden="1">2147483647</definedName>
    <definedName name="solver_tim" localSheetId="7" hidden="1">2147483647</definedName>
    <definedName name="solver_tol" localSheetId="1" hidden="1">0.01</definedName>
    <definedName name="solver_tol" localSheetId="6" hidden="1">0.01</definedName>
    <definedName name="solver_tol" localSheetId="2" hidden="1">0.01</definedName>
    <definedName name="solver_tol" localSheetId="5" hidden="1">0.01</definedName>
    <definedName name="solver_tol" localSheetId="7" hidden="1">0.01</definedName>
    <definedName name="solver_typ" localSheetId="1" hidden="1">3</definedName>
    <definedName name="solver_typ" localSheetId="6" hidden="1">3</definedName>
    <definedName name="solver_typ" localSheetId="2" hidden="1">3</definedName>
    <definedName name="solver_typ" localSheetId="5" hidden="1">3</definedName>
    <definedName name="solver_typ" localSheetId="7" hidden="1">3</definedName>
    <definedName name="solver_val" localSheetId="1" hidden="1">1</definedName>
    <definedName name="solver_val" localSheetId="6" hidden="1">1</definedName>
    <definedName name="solver_val" localSheetId="2" hidden="1">1</definedName>
    <definedName name="solver_val" localSheetId="5" hidden="1">1</definedName>
    <definedName name="solver_val" localSheetId="7" hidden="1">1</definedName>
    <definedName name="solver_ver" localSheetId="1" hidden="1">3</definedName>
    <definedName name="solver_ver" localSheetId="6" hidden="1">3</definedName>
    <definedName name="solver_ver" localSheetId="2" hidden="1">3</definedName>
    <definedName name="solver_ver" localSheetId="5" hidden="1">3</definedName>
    <definedName name="solver_ver" localSheetId="7" hidden="1">3</definedName>
  </definedNames>
  <calcPr calcId="145621"/>
  <pivotCaches>
    <pivotCache cacheId="0" r:id="rId10"/>
  </pivotCaches>
</workbook>
</file>

<file path=xl/calcChain.xml><?xml version="1.0" encoding="utf-8"?>
<calcChain xmlns="http://schemas.openxmlformats.org/spreadsheetml/2006/main">
  <c r="I11" i="1" l="1"/>
  <c r="I10" i="1"/>
  <c r="I9" i="1"/>
  <c r="U210" i="8"/>
  <c r="U211" i="8"/>
  <c r="U212" i="8"/>
  <c r="U213" i="8"/>
  <c r="U214" i="8"/>
  <c r="U209" i="8"/>
  <c r="U210" i="10"/>
  <c r="U211" i="10"/>
  <c r="U212" i="10"/>
  <c r="U213" i="10"/>
  <c r="U214" i="10"/>
  <c r="U215" i="10"/>
  <c r="U209" i="10"/>
  <c r="S210" i="10"/>
  <c r="S211" i="10"/>
  <c r="S212" i="10"/>
  <c r="S213" i="10"/>
  <c r="S214" i="10"/>
  <c r="S215" i="10"/>
  <c r="S209" i="10"/>
  <c r="S160" i="10"/>
  <c r="S161" i="10"/>
  <c r="S162" i="10"/>
  <c r="S163" i="10"/>
  <c r="S164" i="10"/>
  <c r="S165" i="10"/>
  <c r="S166" i="10"/>
  <c r="S167" i="10"/>
  <c r="S168" i="10"/>
  <c r="S169" i="10"/>
  <c r="S159" i="10"/>
  <c r="A215" i="10"/>
  <c r="B215" i="10"/>
  <c r="C215" i="10"/>
  <c r="K215" i="10" s="1"/>
  <c r="D215" i="10"/>
  <c r="E215" i="10"/>
  <c r="H215" i="10" s="1"/>
  <c r="I215" i="10"/>
  <c r="L215" i="10"/>
  <c r="M215" i="10"/>
  <c r="O215" i="10"/>
  <c r="Q215" i="10" s="1"/>
  <c r="P215" i="10"/>
  <c r="S98" i="10"/>
  <c r="S99" i="10"/>
  <c r="S100" i="10"/>
  <c r="S101" i="10"/>
  <c r="S102" i="10"/>
  <c r="S103" i="10"/>
  <c r="S104" i="10"/>
  <c r="S105" i="10"/>
  <c r="S106" i="10"/>
  <c r="S107" i="10"/>
  <c r="S108" i="10"/>
  <c r="S109" i="10"/>
  <c r="S90" i="10"/>
  <c r="S91" i="10"/>
  <c r="S92" i="10"/>
  <c r="S93" i="10"/>
  <c r="S94" i="10"/>
  <c r="S95" i="10"/>
  <c r="S96" i="10"/>
  <c r="S97" i="10"/>
  <c r="AP3" i="10"/>
  <c r="AP4" i="10"/>
  <c r="AP5" i="10"/>
  <c r="AP6" i="10"/>
  <c r="AP7" i="10"/>
  <c r="AP8" i="10"/>
  <c r="AP9" i="10"/>
  <c r="AP10" i="10"/>
  <c r="AP11" i="10"/>
  <c r="AP12" i="10"/>
  <c r="AP13" i="10"/>
  <c r="S89" i="8"/>
  <c r="AP42" i="10"/>
  <c r="AP43" i="10"/>
  <c r="AP44" i="10"/>
  <c r="AP45" i="10"/>
  <c r="AP46" i="10"/>
  <c r="AP47" i="10"/>
  <c r="AP48" i="10"/>
  <c r="AP49" i="10"/>
  <c r="AP50" i="10"/>
  <c r="AP51" i="10"/>
  <c r="AP52" i="10"/>
  <c r="P214" i="10"/>
  <c r="L214" i="10"/>
  <c r="E214" i="10"/>
  <c r="H214" i="10" s="1"/>
  <c r="D214" i="10"/>
  <c r="G214" i="10" s="1"/>
  <c r="C214" i="10"/>
  <c r="M214" i="10" s="1"/>
  <c r="B214" i="10"/>
  <c r="A214" i="10"/>
  <c r="P213" i="10"/>
  <c r="E213" i="10"/>
  <c r="H213" i="10" s="1"/>
  <c r="D213" i="10"/>
  <c r="C213" i="10"/>
  <c r="M213" i="10" s="1"/>
  <c r="O213" i="10" s="1"/>
  <c r="B213" i="10"/>
  <c r="A213" i="10"/>
  <c r="P212" i="10"/>
  <c r="E212" i="10"/>
  <c r="H212" i="10" s="1"/>
  <c r="D212" i="10"/>
  <c r="G212" i="10" s="1"/>
  <c r="C212" i="10"/>
  <c r="M212" i="10" s="1"/>
  <c r="B212" i="10"/>
  <c r="A212" i="10"/>
  <c r="P211" i="10"/>
  <c r="E211" i="10"/>
  <c r="H211" i="10" s="1"/>
  <c r="D211" i="10"/>
  <c r="C211" i="10"/>
  <c r="M211" i="10" s="1"/>
  <c r="I211" i="10" s="1"/>
  <c r="B211" i="10"/>
  <c r="A211" i="10"/>
  <c r="P210" i="10"/>
  <c r="E210" i="10"/>
  <c r="H210" i="10" s="1"/>
  <c r="D210" i="10"/>
  <c r="G210" i="10" s="1"/>
  <c r="C210" i="10"/>
  <c r="M210" i="10" s="1"/>
  <c r="B210" i="10"/>
  <c r="A210" i="10"/>
  <c r="P209" i="10"/>
  <c r="E209" i="10"/>
  <c r="H209" i="10" s="1"/>
  <c r="D209" i="10"/>
  <c r="C209" i="10"/>
  <c r="B209" i="10"/>
  <c r="A209" i="10"/>
  <c r="H208" i="10"/>
  <c r="G208" i="10"/>
  <c r="E208" i="10"/>
  <c r="D208" i="10"/>
  <c r="C208" i="10"/>
  <c r="B208" i="10"/>
  <c r="P205" i="10"/>
  <c r="P169" i="10"/>
  <c r="E169" i="10"/>
  <c r="H169" i="10" s="1"/>
  <c r="D169" i="10"/>
  <c r="C169" i="10"/>
  <c r="M169" i="10" s="1"/>
  <c r="I169" i="10" s="1"/>
  <c r="B169" i="10"/>
  <c r="A169" i="10"/>
  <c r="P168" i="10"/>
  <c r="E168" i="10"/>
  <c r="H168" i="10" s="1"/>
  <c r="D168" i="10"/>
  <c r="C168" i="10"/>
  <c r="M168" i="10" s="1"/>
  <c r="I168" i="10" s="1"/>
  <c r="B168" i="10"/>
  <c r="A168" i="10"/>
  <c r="P167" i="10"/>
  <c r="K167" i="10"/>
  <c r="I167" i="10"/>
  <c r="G167" i="10"/>
  <c r="E167" i="10"/>
  <c r="H167" i="10" s="1"/>
  <c r="D167" i="10"/>
  <c r="C167" i="10"/>
  <c r="M167" i="10" s="1"/>
  <c r="O167" i="10" s="1"/>
  <c r="Q167" i="10" s="1"/>
  <c r="B167" i="10"/>
  <c r="A167" i="10"/>
  <c r="P166" i="10"/>
  <c r="M166" i="10"/>
  <c r="O166" i="10" s="1"/>
  <c r="Q166" i="10" s="1"/>
  <c r="L166" i="10"/>
  <c r="I166" i="10"/>
  <c r="E166" i="10"/>
  <c r="H166" i="10" s="1"/>
  <c r="D166" i="10"/>
  <c r="G166" i="10" s="1"/>
  <c r="C166" i="10"/>
  <c r="K166" i="10" s="1"/>
  <c r="B166" i="10"/>
  <c r="A166" i="10"/>
  <c r="P165" i="10"/>
  <c r="L165" i="10"/>
  <c r="E165" i="10"/>
  <c r="H165" i="10" s="1"/>
  <c r="D165" i="10"/>
  <c r="G165" i="10" s="1"/>
  <c r="C165" i="10"/>
  <c r="M165" i="10" s="1"/>
  <c r="I165" i="10" s="1"/>
  <c r="B165" i="10"/>
  <c r="A165" i="10"/>
  <c r="P164" i="10"/>
  <c r="H164" i="10"/>
  <c r="E164" i="10"/>
  <c r="D164" i="10"/>
  <c r="G164" i="10" s="1"/>
  <c r="C164" i="10"/>
  <c r="M164" i="10" s="1"/>
  <c r="B164" i="10"/>
  <c r="A164" i="10"/>
  <c r="P163" i="10"/>
  <c r="Q163" i="10" s="1"/>
  <c r="E163" i="10"/>
  <c r="H163" i="10" s="1"/>
  <c r="D163" i="10"/>
  <c r="G163" i="10" s="1"/>
  <c r="C163" i="10"/>
  <c r="M163" i="10" s="1"/>
  <c r="O163" i="10" s="1"/>
  <c r="B163" i="10"/>
  <c r="A163" i="10"/>
  <c r="P162" i="10"/>
  <c r="E162" i="10"/>
  <c r="H162" i="10" s="1"/>
  <c r="D162" i="10"/>
  <c r="G162" i="10" s="1"/>
  <c r="C162" i="10"/>
  <c r="K162" i="10" s="1"/>
  <c r="B162" i="10"/>
  <c r="A162" i="10"/>
  <c r="P161" i="10"/>
  <c r="E161" i="10"/>
  <c r="H161" i="10" s="1"/>
  <c r="D161" i="10"/>
  <c r="G161" i="10" s="1"/>
  <c r="C161" i="10"/>
  <c r="M161" i="10" s="1"/>
  <c r="I161" i="10" s="1"/>
  <c r="B161" i="10"/>
  <c r="A161" i="10"/>
  <c r="P160" i="10"/>
  <c r="E160" i="10"/>
  <c r="H160" i="10" s="1"/>
  <c r="D160" i="10"/>
  <c r="G160" i="10" s="1"/>
  <c r="C160" i="10"/>
  <c r="M160" i="10" s="1"/>
  <c r="B160" i="10"/>
  <c r="A160" i="10"/>
  <c r="P159" i="10"/>
  <c r="K159" i="10"/>
  <c r="I159" i="10"/>
  <c r="G159" i="10"/>
  <c r="E159" i="10"/>
  <c r="H159" i="10" s="1"/>
  <c r="D159" i="10"/>
  <c r="C159" i="10"/>
  <c r="M159" i="10" s="1"/>
  <c r="O159" i="10" s="1"/>
  <c r="Q159" i="10" s="1"/>
  <c r="B159" i="10"/>
  <c r="A159" i="10"/>
  <c r="H158" i="10"/>
  <c r="G158" i="10"/>
  <c r="E158" i="10"/>
  <c r="D158" i="10"/>
  <c r="C158" i="10"/>
  <c r="B158" i="10"/>
  <c r="P155" i="10"/>
  <c r="P112" i="10"/>
  <c r="L112" i="10"/>
  <c r="K112" i="10"/>
  <c r="G112" i="10"/>
  <c r="E112" i="10"/>
  <c r="H112" i="10" s="1"/>
  <c r="D112" i="10"/>
  <c r="C112" i="10"/>
  <c r="M112" i="10" s="1"/>
  <c r="B112" i="10"/>
  <c r="A112" i="10"/>
  <c r="P111" i="10"/>
  <c r="K111" i="10"/>
  <c r="E111" i="10"/>
  <c r="H111" i="10" s="1"/>
  <c r="D111" i="10"/>
  <c r="C111" i="10"/>
  <c r="L111" i="10" s="1"/>
  <c r="B111" i="10"/>
  <c r="A111" i="10"/>
  <c r="P110" i="10"/>
  <c r="G110" i="10"/>
  <c r="E110" i="10"/>
  <c r="H110" i="10" s="1"/>
  <c r="D110" i="10"/>
  <c r="C110" i="10"/>
  <c r="K110" i="10" s="1"/>
  <c r="B110" i="10"/>
  <c r="A110" i="10"/>
  <c r="P109" i="10"/>
  <c r="E109" i="10"/>
  <c r="H109" i="10" s="1"/>
  <c r="D109" i="10"/>
  <c r="C109" i="10"/>
  <c r="M109" i="10" s="1"/>
  <c r="O109" i="10" s="1"/>
  <c r="B109" i="10"/>
  <c r="A109" i="10"/>
  <c r="P108" i="10"/>
  <c r="H108" i="10"/>
  <c r="E108" i="10"/>
  <c r="D108" i="10"/>
  <c r="G108" i="10" s="1"/>
  <c r="C108" i="10"/>
  <c r="M108" i="10" s="1"/>
  <c r="B108" i="10"/>
  <c r="A108" i="10"/>
  <c r="P107" i="10"/>
  <c r="H107" i="10"/>
  <c r="E107" i="10"/>
  <c r="D107" i="10"/>
  <c r="C107" i="10"/>
  <c r="L107" i="10" s="1"/>
  <c r="B107" i="10"/>
  <c r="A107" i="10"/>
  <c r="P106" i="10"/>
  <c r="G106" i="10"/>
  <c r="E106" i="10"/>
  <c r="H106" i="10" s="1"/>
  <c r="D106" i="10"/>
  <c r="C106" i="10"/>
  <c r="K106" i="10" s="1"/>
  <c r="B106" i="10"/>
  <c r="A106" i="10"/>
  <c r="P105" i="10"/>
  <c r="H105" i="10"/>
  <c r="E105" i="10"/>
  <c r="D105" i="10"/>
  <c r="C105" i="10"/>
  <c r="M105" i="10" s="1"/>
  <c r="I105" i="10" s="1"/>
  <c r="B105" i="10"/>
  <c r="A105" i="10"/>
  <c r="P104" i="10"/>
  <c r="K104" i="10"/>
  <c r="E104" i="10"/>
  <c r="H104" i="10" s="1"/>
  <c r="D104" i="10"/>
  <c r="G104" i="10" s="1"/>
  <c r="C104" i="10"/>
  <c r="M104" i="10" s="1"/>
  <c r="B104" i="10"/>
  <c r="A104" i="10"/>
  <c r="P103" i="10"/>
  <c r="E103" i="10"/>
  <c r="H103" i="10" s="1"/>
  <c r="D103" i="10"/>
  <c r="C103" i="10"/>
  <c r="L103" i="10" s="1"/>
  <c r="B103" i="10"/>
  <c r="A103" i="10"/>
  <c r="P102" i="10"/>
  <c r="E102" i="10"/>
  <c r="H102" i="10" s="1"/>
  <c r="D102" i="10"/>
  <c r="G102" i="10" s="1"/>
  <c r="C102" i="10"/>
  <c r="K102" i="10" s="1"/>
  <c r="B102" i="10"/>
  <c r="A102" i="10"/>
  <c r="P101" i="10"/>
  <c r="E101" i="10"/>
  <c r="H101" i="10" s="1"/>
  <c r="D101" i="10"/>
  <c r="C101" i="10"/>
  <c r="M101" i="10" s="1"/>
  <c r="O101" i="10" s="1"/>
  <c r="B101" i="10"/>
  <c r="A101" i="10"/>
  <c r="P100" i="10"/>
  <c r="L100" i="10"/>
  <c r="G100" i="10"/>
  <c r="E100" i="10"/>
  <c r="H100" i="10" s="1"/>
  <c r="D100" i="10"/>
  <c r="C100" i="10"/>
  <c r="M100" i="10" s="1"/>
  <c r="B100" i="10"/>
  <c r="A100" i="10"/>
  <c r="P99" i="10"/>
  <c r="E99" i="10"/>
  <c r="H99" i="10" s="1"/>
  <c r="D99" i="10"/>
  <c r="C99" i="10"/>
  <c r="L99" i="10" s="1"/>
  <c r="B99" i="10"/>
  <c r="A99" i="10"/>
  <c r="P98" i="10"/>
  <c r="E98" i="10"/>
  <c r="H98" i="10" s="1"/>
  <c r="D98" i="10"/>
  <c r="G98" i="10" s="1"/>
  <c r="C98" i="10"/>
  <c r="K98" i="10" s="1"/>
  <c r="B98" i="10"/>
  <c r="A98" i="10"/>
  <c r="P97" i="10"/>
  <c r="E97" i="10"/>
  <c r="H97" i="10" s="1"/>
  <c r="D97" i="10"/>
  <c r="C97" i="10"/>
  <c r="M97" i="10" s="1"/>
  <c r="O97" i="10" s="1"/>
  <c r="B97" i="10"/>
  <c r="A97" i="10"/>
  <c r="P96" i="10"/>
  <c r="L96" i="10"/>
  <c r="G96" i="10"/>
  <c r="E96" i="10"/>
  <c r="H96" i="10" s="1"/>
  <c r="D96" i="10"/>
  <c r="C96" i="10"/>
  <c r="M96" i="10" s="1"/>
  <c r="B96" i="10"/>
  <c r="A96" i="10"/>
  <c r="P95" i="10"/>
  <c r="E95" i="10"/>
  <c r="H95" i="10" s="1"/>
  <c r="D95" i="10"/>
  <c r="C95" i="10"/>
  <c r="L95" i="10" s="1"/>
  <c r="B95" i="10"/>
  <c r="A95" i="10"/>
  <c r="P94" i="10"/>
  <c r="E94" i="10"/>
  <c r="H94" i="10" s="1"/>
  <c r="D94" i="10"/>
  <c r="G94" i="10" s="1"/>
  <c r="C94" i="10"/>
  <c r="K94" i="10" s="1"/>
  <c r="B94" i="10"/>
  <c r="A94" i="10"/>
  <c r="P93" i="10"/>
  <c r="E93" i="10"/>
  <c r="H93" i="10" s="1"/>
  <c r="D93" i="10"/>
  <c r="C93" i="10"/>
  <c r="M93" i="10" s="1"/>
  <c r="O93" i="10" s="1"/>
  <c r="B93" i="10"/>
  <c r="A93" i="10"/>
  <c r="P92" i="10"/>
  <c r="L92" i="10"/>
  <c r="G92" i="10"/>
  <c r="E92" i="10"/>
  <c r="H92" i="10" s="1"/>
  <c r="D92" i="10"/>
  <c r="C92" i="10"/>
  <c r="M92" i="10" s="1"/>
  <c r="B92" i="10"/>
  <c r="A92" i="10"/>
  <c r="P91" i="10"/>
  <c r="E91" i="10"/>
  <c r="H91" i="10" s="1"/>
  <c r="D91" i="10"/>
  <c r="C91" i="10"/>
  <c r="L91" i="10" s="1"/>
  <c r="B91" i="10"/>
  <c r="A91" i="10"/>
  <c r="P90" i="10"/>
  <c r="E90" i="10"/>
  <c r="H90" i="10" s="1"/>
  <c r="D90" i="10"/>
  <c r="G90" i="10" s="1"/>
  <c r="C90" i="10"/>
  <c r="K90" i="10" s="1"/>
  <c r="B90" i="10"/>
  <c r="A90" i="10"/>
  <c r="P89" i="10"/>
  <c r="E89" i="10"/>
  <c r="H89" i="10" s="1"/>
  <c r="D89" i="10"/>
  <c r="C89" i="10"/>
  <c r="M89" i="10" s="1"/>
  <c r="O89" i="10" s="1"/>
  <c r="B89" i="10"/>
  <c r="A89" i="10"/>
  <c r="P88" i="10"/>
  <c r="L88" i="10"/>
  <c r="G88" i="10"/>
  <c r="E88" i="10"/>
  <c r="H88" i="10" s="1"/>
  <c r="D88" i="10"/>
  <c r="C88" i="10"/>
  <c r="M88" i="10" s="1"/>
  <c r="B88" i="10"/>
  <c r="A88" i="10"/>
  <c r="P87" i="10"/>
  <c r="E87" i="10"/>
  <c r="H87" i="10" s="1"/>
  <c r="D87" i="10"/>
  <c r="C87" i="10"/>
  <c r="L87" i="10" s="1"/>
  <c r="B87" i="10"/>
  <c r="A87" i="10"/>
  <c r="P86" i="10"/>
  <c r="E86" i="10"/>
  <c r="H86" i="10" s="1"/>
  <c r="D86" i="10"/>
  <c r="G86" i="10" s="1"/>
  <c r="C86" i="10"/>
  <c r="K86" i="10" s="1"/>
  <c r="B86" i="10"/>
  <c r="A86" i="10"/>
  <c r="P85" i="10"/>
  <c r="E85" i="10"/>
  <c r="H85" i="10" s="1"/>
  <c r="D85" i="10"/>
  <c r="C85" i="10"/>
  <c r="M85" i="10" s="1"/>
  <c r="O85" i="10" s="1"/>
  <c r="B85" i="10"/>
  <c r="A85" i="10"/>
  <c r="P84" i="10"/>
  <c r="L84" i="10"/>
  <c r="G84" i="10"/>
  <c r="E84" i="10"/>
  <c r="H84" i="10" s="1"/>
  <c r="D84" i="10"/>
  <c r="C84" i="10"/>
  <c r="M84" i="10" s="1"/>
  <c r="B84" i="10"/>
  <c r="A84" i="10"/>
  <c r="P83" i="10"/>
  <c r="E83" i="10"/>
  <c r="H83" i="10" s="1"/>
  <c r="D83" i="10"/>
  <c r="C83" i="10"/>
  <c r="L83" i="10" s="1"/>
  <c r="B83" i="10"/>
  <c r="A83" i="10"/>
  <c r="H82" i="10"/>
  <c r="G82" i="10"/>
  <c r="E82" i="10"/>
  <c r="D82" i="10"/>
  <c r="C82" i="10"/>
  <c r="B82" i="10"/>
  <c r="P79" i="10"/>
  <c r="I5" i="1"/>
  <c r="I4" i="1"/>
  <c r="I3" i="1"/>
  <c r="S160" i="9"/>
  <c r="S161" i="9"/>
  <c r="S162" i="9"/>
  <c r="S163" i="9"/>
  <c r="S164" i="9"/>
  <c r="S165" i="9"/>
  <c r="S166" i="9"/>
  <c r="S167" i="9"/>
  <c r="S168" i="9"/>
  <c r="S169" i="9"/>
  <c r="S159"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83" i="9"/>
  <c r="AP42" i="9"/>
  <c r="AP43" i="9"/>
  <c r="AP44" i="9"/>
  <c r="AP45" i="9"/>
  <c r="AP46" i="9"/>
  <c r="AP47" i="9"/>
  <c r="AP48" i="9"/>
  <c r="AP49" i="9"/>
  <c r="AP50" i="9"/>
  <c r="AP51" i="9"/>
  <c r="AP52" i="9"/>
  <c r="AP3" i="9"/>
  <c r="AP4" i="9"/>
  <c r="AP5" i="9"/>
  <c r="AP6" i="9"/>
  <c r="AP7" i="9"/>
  <c r="AP8" i="9"/>
  <c r="AP9" i="9"/>
  <c r="AP10" i="9"/>
  <c r="AP11" i="9"/>
  <c r="AP12" i="9"/>
  <c r="AP13" i="9"/>
  <c r="I8" i="1"/>
  <c r="I7" i="1"/>
  <c r="I6" i="1"/>
  <c r="P214" i="9"/>
  <c r="H214" i="9"/>
  <c r="E214" i="9"/>
  <c r="D214" i="9"/>
  <c r="G214" i="9" s="1"/>
  <c r="C214" i="9"/>
  <c r="L214" i="9" s="1"/>
  <c r="B214" i="9"/>
  <c r="A214" i="9"/>
  <c r="P213" i="9"/>
  <c r="L213" i="9"/>
  <c r="E213" i="9"/>
  <c r="H213" i="9" s="1"/>
  <c r="D213" i="9"/>
  <c r="G213" i="9" s="1"/>
  <c r="C213" i="9"/>
  <c r="M213" i="9" s="1"/>
  <c r="B213" i="9"/>
  <c r="A213" i="9"/>
  <c r="P212" i="9"/>
  <c r="O212" i="9"/>
  <c r="Q212" i="9" s="1"/>
  <c r="E212" i="9"/>
  <c r="H212" i="9" s="1"/>
  <c r="D212" i="9"/>
  <c r="C212" i="9"/>
  <c r="M212" i="9" s="1"/>
  <c r="I212" i="9" s="1"/>
  <c r="B212" i="9"/>
  <c r="A212" i="9"/>
  <c r="P211" i="9"/>
  <c r="H211" i="9"/>
  <c r="G211" i="9"/>
  <c r="E211" i="9"/>
  <c r="D211" i="9"/>
  <c r="C211" i="9"/>
  <c r="M211" i="9" s="1"/>
  <c r="I211" i="9" s="1"/>
  <c r="B211" i="9"/>
  <c r="A211" i="9"/>
  <c r="P210" i="9"/>
  <c r="K210" i="9"/>
  <c r="H210" i="9"/>
  <c r="E210" i="9"/>
  <c r="D210" i="9"/>
  <c r="G210" i="9" s="1"/>
  <c r="C210" i="9"/>
  <c r="L210" i="9" s="1"/>
  <c r="B210" i="9"/>
  <c r="A210" i="9"/>
  <c r="P209" i="9"/>
  <c r="L209" i="9"/>
  <c r="E209" i="9"/>
  <c r="H209" i="9" s="1"/>
  <c r="D209" i="9"/>
  <c r="G209" i="9" s="1"/>
  <c r="C209" i="9"/>
  <c r="M209" i="9" s="1"/>
  <c r="O209" i="9" s="1"/>
  <c r="B209" i="9"/>
  <c r="A209" i="9"/>
  <c r="H208" i="9"/>
  <c r="G208" i="9"/>
  <c r="E208" i="9"/>
  <c r="D208" i="9"/>
  <c r="C208" i="9"/>
  <c r="B208" i="9"/>
  <c r="P205" i="9"/>
  <c r="P169" i="9"/>
  <c r="E169" i="9"/>
  <c r="H169" i="9" s="1"/>
  <c r="D169" i="9"/>
  <c r="C169" i="9"/>
  <c r="L169" i="9" s="1"/>
  <c r="B169" i="9"/>
  <c r="A169" i="9"/>
  <c r="P168" i="9"/>
  <c r="E168" i="9"/>
  <c r="H168" i="9" s="1"/>
  <c r="D168" i="9"/>
  <c r="G168" i="9" s="1"/>
  <c r="C168" i="9"/>
  <c r="M168" i="9" s="1"/>
  <c r="B168" i="9"/>
  <c r="A168" i="9"/>
  <c r="P167" i="9"/>
  <c r="G167" i="9"/>
  <c r="E167" i="9"/>
  <c r="H167" i="9" s="1"/>
  <c r="D167" i="9"/>
  <c r="C167" i="9"/>
  <c r="K167" i="9" s="1"/>
  <c r="B167" i="9"/>
  <c r="A167" i="9"/>
  <c r="P166" i="9"/>
  <c r="L166" i="9"/>
  <c r="K166" i="9"/>
  <c r="E166" i="9"/>
  <c r="H166" i="9" s="1"/>
  <c r="D166" i="9"/>
  <c r="G166" i="9" s="1"/>
  <c r="C166" i="9"/>
  <c r="M166" i="9" s="1"/>
  <c r="B166" i="9"/>
  <c r="A166" i="9"/>
  <c r="P165" i="9"/>
  <c r="M165" i="9"/>
  <c r="E165" i="9"/>
  <c r="H165" i="9" s="1"/>
  <c r="D165" i="9"/>
  <c r="C165" i="9"/>
  <c r="L165" i="9" s="1"/>
  <c r="B165" i="9"/>
  <c r="A165" i="9"/>
  <c r="P164" i="9"/>
  <c r="E164" i="9"/>
  <c r="H164" i="9" s="1"/>
  <c r="D164" i="9"/>
  <c r="G164" i="9" s="1"/>
  <c r="C164" i="9"/>
  <c r="M164" i="9" s="1"/>
  <c r="B164" i="9"/>
  <c r="A164" i="9"/>
  <c r="P163" i="9"/>
  <c r="G163" i="9"/>
  <c r="E163" i="9"/>
  <c r="H163" i="9" s="1"/>
  <c r="D163" i="9"/>
  <c r="C163" i="9"/>
  <c r="K163" i="9" s="1"/>
  <c r="B163" i="9"/>
  <c r="A163" i="9"/>
  <c r="P162" i="9"/>
  <c r="L162" i="9"/>
  <c r="K162" i="9"/>
  <c r="E162" i="9"/>
  <c r="H162" i="9" s="1"/>
  <c r="D162" i="9"/>
  <c r="G162" i="9" s="1"/>
  <c r="C162" i="9"/>
  <c r="M162" i="9" s="1"/>
  <c r="B162" i="9"/>
  <c r="A162" i="9"/>
  <c r="P161" i="9"/>
  <c r="M161" i="9"/>
  <c r="I161" i="9" s="1"/>
  <c r="E161" i="9"/>
  <c r="H161" i="9" s="1"/>
  <c r="D161" i="9"/>
  <c r="C161" i="9"/>
  <c r="L161" i="9" s="1"/>
  <c r="B161" i="9"/>
  <c r="A161" i="9"/>
  <c r="P160" i="9"/>
  <c r="G160" i="9"/>
  <c r="E160" i="9"/>
  <c r="H160" i="9" s="1"/>
  <c r="D160" i="9"/>
  <c r="C160" i="9"/>
  <c r="M160" i="9" s="1"/>
  <c r="B160" i="9"/>
  <c r="A160" i="9"/>
  <c r="P159" i="9"/>
  <c r="G159" i="9"/>
  <c r="E159" i="9"/>
  <c r="H159" i="9" s="1"/>
  <c r="D159" i="9"/>
  <c r="C159" i="9"/>
  <c r="K159" i="9" s="1"/>
  <c r="B159" i="9"/>
  <c r="A159" i="9"/>
  <c r="H158" i="9"/>
  <c r="G158" i="9"/>
  <c r="E158" i="9"/>
  <c r="D158" i="9"/>
  <c r="C158" i="9"/>
  <c r="B158" i="9"/>
  <c r="P155" i="9"/>
  <c r="P112" i="9"/>
  <c r="E112" i="9"/>
  <c r="H112" i="9" s="1"/>
  <c r="D112" i="9"/>
  <c r="G112" i="9" s="1"/>
  <c r="C112" i="9"/>
  <c r="L112" i="9" s="1"/>
  <c r="B112" i="9"/>
  <c r="A112" i="9"/>
  <c r="P111" i="9"/>
  <c r="E111" i="9"/>
  <c r="H111" i="9" s="1"/>
  <c r="D111" i="9"/>
  <c r="G111" i="9" s="1"/>
  <c r="C111" i="9"/>
  <c r="K111" i="9" s="1"/>
  <c r="B111" i="9"/>
  <c r="A111" i="9"/>
  <c r="P110" i="9"/>
  <c r="E110" i="9"/>
  <c r="H110" i="9" s="1"/>
  <c r="D110" i="9"/>
  <c r="G110" i="9" s="1"/>
  <c r="C110" i="9"/>
  <c r="M110" i="9" s="1"/>
  <c r="I110" i="9" s="1"/>
  <c r="B110" i="9"/>
  <c r="A110" i="9"/>
  <c r="P109" i="9"/>
  <c r="E109" i="9"/>
  <c r="H109" i="9" s="1"/>
  <c r="D109" i="9"/>
  <c r="G109" i="9" s="1"/>
  <c r="C109" i="9"/>
  <c r="M109" i="9" s="1"/>
  <c r="I109" i="9" s="1"/>
  <c r="B109" i="9"/>
  <c r="A109" i="9"/>
  <c r="P108" i="9"/>
  <c r="E108" i="9"/>
  <c r="H108" i="9" s="1"/>
  <c r="D108" i="9"/>
  <c r="G108" i="9" s="1"/>
  <c r="C108" i="9"/>
  <c r="L108" i="9" s="1"/>
  <c r="B108" i="9"/>
  <c r="A108" i="9"/>
  <c r="P107" i="9"/>
  <c r="E107" i="9"/>
  <c r="H107" i="9" s="1"/>
  <c r="D107" i="9"/>
  <c r="G107" i="9" s="1"/>
  <c r="C107" i="9"/>
  <c r="K107" i="9" s="1"/>
  <c r="B107" i="9"/>
  <c r="A107" i="9"/>
  <c r="P106" i="9"/>
  <c r="E106" i="9"/>
  <c r="H106" i="9" s="1"/>
  <c r="D106" i="9"/>
  <c r="G106" i="9" s="1"/>
  <c r="C106" i="9"/>
  <c r="M106" i="9" s="1"/>
  <c r="I106" i="9" s="1"/>
  <c r="B106" i="9"/>
  <c r="A106" i="9"/>
  <c r="P105" i="9"/>
  <c r="E105" i="9"/>
  <c r="H105" i="9" s="1"/>
  <c r="D105" i="9"/>
  <c r="G105" i="9" s="1"/>
  <c r="C105" i="9"/>
  <c r="M105" i="9" s="1"/>
  <c r="I105" i="9" s="1"/>
  <c r="B105" i="9"/>
  <c r="A105" i="9"/>
  <c r="P104" i="9"/>
  <c r="M104" i="9"/>
  <c r="O104" i="9" s="1"/>
  <c r="K104" i="9"/>
  <c r="I104" i="9"/>
  <c r="H104" i="9"/>
  <c r="G104" i="9"/>
  <c r="E104" i="9"/>
  <c r="D104" i="9"/>
  <c r="C104" i="9"/>
  <c r="L104" i="9" s="1"/>
  <c r="B104" i="9"/>
  <c r="A104" i="9"/>
  <c r="P103" i="9"/>
  <c r="M103" i="9"/>
  <c r="O103" i="9" s="1"/>
  <c r="Q103" i="9" s="1"/>
  <c r="L103" i="9"/>
  <c r="E103" i="9"/>
  <c r="H103" i="9" s="1"/>
  <c r="D103" i="9"/>
  <c r="G103" i="9" s="1"/>
  <c r="C103" i="9"/>
  <c r="K103" i="9" s="1"/>
  <c r="B103" i="9"/>
  <c r="A103" i="9"/>
  <c r="P102" i="9"/>
  <c r="L102" i="9"/>
  <c r="E102" i="9"/>
  <c r="H102" i="9" s="1"/>
  <c r="D102" i="9"/>
  <c r="G102" i="9" s="1"/>
  <c r="C102" i="9"/>
  <c r="M102" i="9" s="1"/>
  <c r="I102" i="9" s="1"/>
  <c r="B102" i="9"/>
  <c r="A102" i="9"/>
  <c r="P101" i="9"/>
  <c r="O101" i="9"/>
  <c r="Q101" i="9" s="1"/>
  <c r="K101" i="9"/>
  <c r="E101" i="9"/>
  <c r="H101" i="9" s="1"/>
  <c r="D101" i="9"/>
  <c r="G101" i="9" s="1"/>
  <c r="C101" i="9"/>
  <c r="M101" i="9" s="1"/>
  <c r="I101" i="9" s="1"/>
  <c r="B101" i="9"/>
  <c r="A101" i="9"/>
  <c r="P100" i="9"/>
  <c r="E100" i="9"/>
  <c r="H100" i="9" s="1"/>
  <c r="D100" i="9"/>
  <c r="G100" i="9" s="1"/>
  <c r="C100" i="9"/>
  <c r="L100" i="9" s="1"/>
  <c r="B100" i="9"/>
  <c r="A100" i="9"/>
  <c r="P99" i="9"/>
  <c r="E99" i="9"/>
  <c r="H99" i="9" s="1"/>
  <c r="D99" i="9"/>
  <c r="G99" i="9" s="1"/>
  <c r="C99" i="9"/>
  <c r="K99" i="9" s="1"/>
  <c r="B99" i="9"/>
  <c r="A99" i="9"/>
  <c r="P98" i="9"/>
  <c r="E98" i="9"/>
  <c r="H98" i="9" s="1"/>
  <c r="D98" i="9"/>
  <c r="G98" i="9" s="1"/>
  <c r="C98" i="9"/>
  <c r="M98" i="9" s="1"/>
  <c r="I98" i="9" s="1"/>
  <c r="B98" i="9"/>
  <c r="A98" i="9"/>
  <c r="P97" i="9"/>
  <c r="E97" i="9"/>
  <c r="H97" i="9" s="1"/>
  <c r="D97" i="9"/>
  <c r="G97" i="9" s="1"/>
  <c r="C97" i="9"/>
  <c r="M97" i="9" s="1"/>
  <c r="I97" i="9" s="1"/>
  <c r="B97" i="9"/>
  <c r="A97" i="9"/>
  <c r="P96" i="9"/>
  <c r="E96" i="9"/>
  <c r="H96" i="9" s="1"/>
  <c r="D96" i="9"/>
  <c r="G96" i="9" s="1"/>
  <c r="C96" i="9"/>
  <c r="L96" i="9" s="1"/>
  <c r="B96" i="9"/>
  <c r="A96" i="9"/>
  <c r="P95" i="9"/>
  <c r="E95" i="9"/>
  <c r="H95" i="9" s="1"/>
  <c r="D95" i="9"/>
  <c r="G95" i="9" s="1"/>
  <c r="C95" i="9"/>
  <c r="K95" i="9" s="1"/>
  <c r="B95" i="9"/>
  <c r="A95" i="9"/>
  <c r="P94" i="9"/>
  <c r="E94" i="9"/>
  <c r="H94" i="9" s="1"/>
  <c r="D94" i="9"/>
  <c r="G94" i="9" s="1"/>
  <c r="C94" i="9"/>
  <c r="M94" i="9" s="1"/>
  <c r="I94" i="9" s="1"/>
  <c r="B94" i="9"/>
  <c r="A94" i="9"/>
  <c r="P93" i="9"/>
  <c r="H93" i="9"/>
  <c r="E93" i="9"/>
  <c r="D93" i="9"/>
  <c r="C93" i="9"/>
  <c r="M93" i="9" s="1"/>
  <c r="I93" i="9" s="1"/>
  <c r="B93" i="9"/>
  <c r="A93" i="9"/>
  <c r="P92" i="9"/>
  <c r="K92" i="9"/>
  <c r="E92" i="9"/>
  <c r="H92" i="9" s="1"/>
  <c r="D92" i="9"/>
  <c r="G92" i="9" s="1"/>
  <c r="C92" i="9"/>
  <c r="L92" i="9" s="1"/>
  <c r="B92" i="9"/>
  <c r="A92" i="9"/>
  <c r="P91" i="9"/>
  <c r="E91" i="9"/>
  <c r="H91" i="9" s="1"/>
  <c r="D91" i="9"/>
  <c r="G91" i="9" s="1"/>
  <c r="C91" i="9"/>
  <c r="K91" i="9" s="1"/>
  <c r="B91" i="9"/>
  <c r="A91" i="9"/>
  <c r="P90" i="9"/>
  <c r="E90" i="9"/>
  <c r="H90" i="9" s="1"/>
  <c r="D90" i="9"/>
  <c r="G90" i="9" s="1"/>
  <c r="C90" i="9"/>
  <c r="M90" i="9" s="1"/>
  <c r="I90" i="9" s="1"/>
  <c r="B90" i="9"/>
  <c r="A90" i="9"/>
  <c r="P89" i="9"/>
  <c r="O89" i="9"/>
  <c r="Q89" i="9" s="1"/>
  <c r="K89" i="9"/>
  <c r="G89" i="9"/>
  <c r="E89" i="9"/>
  <c r="H89" i="9" s="1"/>
  <c r="D89" i="9"/>
  <c r="C89" i="9"/>
  <c r="M89" i="9" s="1"/>
  <c r="I89" i="9" s="1"/>
  <c r="B89" i="9"/>
  <c r="A89" i="9"/>
  <c r="P88" i="9"/>
  <c r="K88" i="9"/>
  <c r="H88" i="9"/>
  <c r="G88" i="9"/>
  <c r="E88" i="9"/>
  <c r="D88" i="9"/>
  <c r="C88" i="9"/>
  <c r="L88" i="9" s="1"/>
  <c r="B88" i="9"/>
  <c r="A88" i="9"/>
  <c r="P87" i="9"/>
  <c r="M87" i="9"/>
  <c r="O87" i="9" s="1"/>
  <c r="Q87" i="9" s="1"/>
  <c r="E87" i="9"/>
  <c r="H87" i="9" s="1"/>
  <c r="D87" i="9"/>
  <c r="G87" i="9" s="1"/>
  <c r="C87" i="9"/>
  <c r="K87" i="9" s="1"/>
  <c r="B87" i="9"/>
  <c r="A87" i="9"/>
  <c r="P86" i="9"/>
  <c r="L86" i="9"/>
  <c r="E86" i="9"/>
  <c r="H86" i="9" s="1"/>
  <c r="D86" i="9"/>
  <c r="G86" i="9" s="1"/>
  <c r="C86" i="9"/>
  <c r="M86" i="9" s="1"/>
  <c r="I86" i="9" s="1"/>
  <c r="B86" i="9"/>
  <c r="A86" i="9"/>
  <c r="P85" i="9"/>
  <c r="O85" i="9"/>
  <c r="Q85" i="9" s="1"/>
  <c r="K85" i="9"/>
  <c r="H85" i="9"/>
  <c r="G85" i="9"/>
  <c r="E85" i="9"/>
  <c r="D85" i="9"/>
  <c r="C85" i="9"/>
  <c r="M85" i="9" s="1"/>
  <c r="I85" i="9" s="1"/>
  <c r="B85" i="9"/>
  <c r="A85" i="9"/>
  <c r="P84" i="9"/>
  <c r="K84" i="9"/>
  <c r="H84" i="9"/>
  <c r="E84" i="9"/>
  <c r="D84" i="9"/>
  <c r="G84" i="9" s="1"/>
  <c r="C84" i="9"/>
  <c r="L84" i="9" s="1"/>
  <c r="B84" i="9"/>
  <c r="A84" i="9"/>
  <c r="P83" i="9"/>
  <c r="M83" i="9"/>
  <c r="O83" i="9" s="1"/>
  <c r="Q83" i="9" s="1"/>
  <c r="E83" i="9"/>
  <c r="H83" i="9" s="1"/>
  <c r="D83" i="9"/>
  <c r="G83" i="9" s="1"/>
  <c r="C83" i="9"/>
  <c r="K83" i="9" s="1"/>
  <c r="B83" i="9"/>
  <c r="A83" i="9"/>
  <c r="H82" i="9"/>
  <c r="G82" i="9"/>
  <c r="E82" i="9"/>
  <c r="D82" i="9"/>
  <c r="C82" i="9"/>
  <c r="B82" i="9"/>
  <c r="P79" i="9"/>
  <c r="Q104" i="9" s="1"/>
  <c r="S159" i="8"/>
  <c r="S214" i="8"/>
  <c r="P214" i="8"/>
  <c r="E214" i="8"/>
  <c r="D214" i="8"/>
  <c r="G214" i="8" s="1"/>
  <c r="C214" i="8"/>
  <c r="L214" i="8" s="1"/>
  <c r="B214" i="8"/>
  <c r="A214" i="8"/>
  <c r="P213" i="8"/>
  <c r="K213" i="8"/>
  <c r="E213" i="8"/>
  <c r="H213" i="8" s="1"/>
  <c r="D213" i="8"/>
  <c r="G213" i="8" s="1"/>
  <c r="C213" i="8"/>
  <c r="M213" i="8" s="1"/>
  <c r="B213" i="8"/>
  <c r="A213" i="8"/>
  <c r="P212" i="8"/>
  <c r="E212" i="8"/>
  <c r="H212" i="8" s="1"/>
  <c r="D212" i="8"/>
  <c r="C212" i="8"/>
  <c r="L212" i="8" s="1"/>
  <c r="B212" i="8"/>
  <c r="A212" i="8"/>
  <c r="P211" i="8"/>
  <c r="E211" i="8"/>
  <c r="H211" i="8" s="1"/>
  <c r="D211" i="8"/>
  <c r="G211" i="8" s="1"/>
  <c r="C211" i="8"/>
  <c r="M211" i="8" s="1"/>
  <c r="B211" i="8"/>
  <c r="A211" i="8"/>
  <c r="P210" i="8"/>
  <c r="K210" i="8"/>
  <c r="E210" i="8"/>
  <c r="H210" i="8" s="1"/>
  <c r="D210" i="8"/>
  <c r="G210" i="8" s="1"/>
  <c r="C210" i="8"/>
  <c r="L210" i="8" s="1"/>
  <c r="B210" i="8"/>
  <c r="A210" i="8"/>
  <c r="P209" i="8"/>
  <c r="E209" i="8"/>
  <c r="H209" i="8" s="1"/>
  <c r="D209" i="8"/>
  <c r="G209" i="8" s="1"/>
  <c r="C209" i="8"/>
  <c r="L209" i="8" s="1"/>
  <c r="B209" i="8"/>
  <c r="A209" i="8"/>
  <c r="H208" i="8"/>
  <c r="G208" i="8"/>
  <c r="E208" i="8"/>
  <c r="D208" i="8"/>
  <c r="C208" i="8"/>
  <c r="B208" i="8"/>
  <c r="P205" i="8"/>
  <c r="M165" i="8"/>
  <c r="P169" i="8"/>
  <c r="E169" i="8"/>
  <c r="H169" i="8" s="1"/>
  <c r="D169" i="8"/>
  <c r="C169" i="8"/>
  <c r="L169" i="8" s="1"/>
  <c r="B169" i="8"/>
  <c r="A169" i="8"/>
  <c r="P168" i="8"/>
  <c r="E168" i="8"/>
  <c r="H168" i="8" s="1"/>
  <c r="D168" i="8"/>
  <c r="C168" i="8"/>
  <c r="K168" i="8" s="1"/>
  <c r="B168" i="8"/>
  <c r="A168" i="8"/>
  <c r="P167" i="8"/>
  <c r="E167" i="8"/>
  <c r="D167" i="8"/>
  <c r="G167" i="8" s="1"/>
  <c r="C167" i="8"/>
  <c r="L167" i="8" s="1"/>
  <c r="B167" i="8"/>
  <c r="A167" i="8"/>
  <c r="P166" i="8"/>
  <c r="E166" i="8"/>
  <c r="H166" i="8" s="1"/>
  <c r="D166" i="8"/>
  <c r="G166" i="8" s="1"/>
  <c r="C166" i="8"/>
  <c r="L166" i="8" s="1"/>
  <c r="B166" i="8"/>
  <c r="A166" i="8"/>
  <c r="P165" i="8"/>
  <c r="E165" i="8"/>
  <c r="D165" i="8"/>
  <c r="G165" i="8" s="1"/>
  <c r="C165" i="8"/>
  <c r="K165" i="8" s="1"/>
  <c r="B165" i="8"/>
  <c r="A165" i="8"/>
  <c r="P164" i="8"/>
  <c r="E164" i="8"/>
  <c r="H164" i="8" s="1"/>
  <c r="D164" i="8"/>
  <c r="G164" i="8" s="1"/>
  <c r="C164" i="8"/>
  <c r="M164" i="8" s="1"/>
  <c r="B164" i="8"/>
  <c r="A164" i="8"/>
  <c r="P163" i="8"/>
  <c r="E163" i="8"/>
  <c r="H163" i="8" s="1"/>
  <c r="D163" i="8"/>
  <c r="G163" i="8" s="1"/>
  <c r="C163" i="8"/>
  <c r="K163" i="8" s="1"/>
  <c r="B163" i="8"/>
  <c r="A163" i="8"/>
  <c r="P162" i="8"/>
  <c r="E162" i="8"/>
  <c r="H162" i="8" s="1"/>
  <c r="D162" i="8"/>
  <c r="G162" i="8" s="1"/>
  <c r="C162" i="8"/>
  <c r="K162" i="8" s="1"/>
  <c r="B162" i="8"/>
  <c r="A162" i="8"/>
  <c r="P161" i="8"/>
  <c r="E161" i="8"/>
  <c r="H161" i="8" s="1"/>
  <c r="D161" i="8"/>
  <c r="C161" i="8"/>
  <c r="K161" i="8" s="1"/>
  <c r="B161" i="8"/>
  <c r="A161" i="8"/>
  <c r="P160" i="8"/>
  <c r="E160" i="8"/>
  <c r="H160" i="8" s="1"/>
  <c r="D160" i="8"/>
  <c r="C160" i="8"/>
  <c r="L160" i="8" s="1"/>
  <c r="B160" i="8"/>
  <c r="A160" i="8"/>
  <c r="P159" i="8"/>
  <c r="E159" i="8"/>
  <c r="D159" i="8"/>
  <c r="G159" i="8" s="1"/>
  <c r="C159" i="8"/>
  <c r="M159" i="8" s="1"/>
  <c r="B159" i="8"/>
  <c r="A159" i="8"/>
  <c r="H158" i="8"/>
  <c r="G158" i="8"/>
  <c r="E158" i="8"/>
  <c r="D158" i="8"/>
  <c r="C158" i="8"/>
  <c r="B158" i="8"/>
  <c r="P155" i="8"/>
  <c r="G215" i="10" l="1"/>
  <c r="Q213" i="10"/>
  <c r="L210" i="10"/>
  <c r="K210" i="10"/>
  <c r="L212" i="10"/>
  <c r="K214" i="10"/>
  <c r="K161" i="10"/>
  <c r="K169" i="10"/>
  <c r="L161" i="10"/>
  <c r="T166" i="10"/>
  <c r="L169" i="10"/>
  <c r="L162" i="10"/>
  <c r="V162" i="10"/>
  <c r="M162" i="10"/>
  <c r="I163" i="10"/>
  <c r="K163" i="10"/>
  <c r="K165" i="10"/>
  <c r="Q109" i="10"/>
  <c r="K84" i="10"/>
  <c r="S84" i="10" s="1"/>
  <c r="I85" i="10"/>
  <c r="K88" i="10"/>
  <c r="I89" i="10"/>
  <c r="K92" i="10"/>
  <c r="I93" i="10"/>
  <c r="K96" i="10"/>
  <c r="I97" i="10"/>
  <c r="K100" i="10"/>
  <c r="I101" i="10"/>
  <c r="L86" i="10"/>
  <c r="L90" i="10"/>
  <c r="L94" i="10"/>
  <c r="L98" i="10"/>
  <c r="L102" i="10"/>
  <c r="L104" i="10"/>
  <c r="O105" i="10"/>
  <c r="Q105" i="10" s="1"/>
  <c r="M106" i="10"/>
  <c r="K108" i="10"/>
  <c r="I109" i="10"/>
  <c r="L110" i="10"/>
  <c r="S110" i="10" s="1"/>
  <c r="L108" i="10"/>
  <c r="M110" i="10"/>
  <c r="O110" i="10" s="1"/>
  <c r="Q110" i="10" s="1"/>
  <c r="S111" i="10" s="1"/>
  <c r="M111" i="10"/>
  <c r="O111" i="10" s="1"/>
  <c r="Q111" i="10" s="1"/>
  <c r="S112" i="10" s="1"/>
  <c r="I160" i="10"/>
  <c r="O160" i="10"/>
  <c r="Q160" i="10" s="1"/>
  <c r="U162" i="10"/>
  <c r="I164" i="10"/>
  <c r="O164" i="10"/>
  <c r="Q164" i="10" s="1"/>
  <c r="V166" i="10"/>
  <c r="G89" i="10"/>
  <c r="G93" i="10"/>
  <c r="G97" i="10"/>
  <c r="G101" i="10"/>
  <c r="G111" i="10"/>
  <c r="I214" i="10"/>
  <c r="O214" i="10"/>
  <c r="Q214" i="10" s="1"/>
  <c r="I84" i="10"/>
  <c r="O84" i="10"/>
  <c r="Q84" i="10" s="1"/>
  <c r="K87" i="10"/>
  <c r="K91" i="10"/>
  <c r="K95" i="10"/>
  <c r="I100" i="10"/>
  <c r="O100" i="10"/>
  <c r="Q100" i="10" s="1"/>
  <c r="G105" i="10"/>
  <c r="I110" i="10"/>
  <c r="I210" i="10"/>
  <c r="O210" i="10"/>
  <c r="Q210" i="10" s="1"/>
  <c r="O211" i="10"/>
  <c r="Q211" i="10" s="1"/>
  <c r="M83" i="10"/>
  <c r="M87" i="10"/>
  <c r="M91" i="10"/>
  <c r="M95" i="10"/>
  <c r="M99" i="10"/>
  <c r="K103" i="10"/>
  <c r="I104" i="10"/>
  <c r="O104" i="10"/>
  <c r="Q104" i="10" s="1"/>
  <c r="G109" i="10"/>
  <c r="O168" i="10"/>
  <c r="Q168" i="10" s="1"/>
  <c r="I213" i="10"/>
  <c r="G85" i="10"/>
  <c r="O106" i="10"/>
  <c r="Q106" i="10" s="1"/>
  <c r="I106" i="10"/>
  <c r="G169" i="10"/>
  <c r="L209" i="10"/>
  <c r="K209" i="10"/>
  <c r="K83" i="10"/>
  <c r="I88" i="10"/>
  <c r="O88" i="10"/>
  <c r="Q88" i="10" s="1"/>
  <c r="I92" i="10"/>
  <c r="O92" i="10"/>
  <c r="Q92" i="10" s="1"/>
  <c r="I96" i="10"/>
  <c r="O96" i="10"/>
  <c r="Q96" i="10" s="1"/>
  <c r="K99" i="10"/>
  <c r="M103" i="10"/>
  <c r="K107" i="10"/>
  <c r="I108" i="10"/>
  <c r="O108" i="10"/>
  <c r="Q108" i="10" s="1"/>
  <c r="Q85" i="10"/>
  <c r="Q89" i="10"/>
  <c r="Q93" i="10"/>
  <c r="Q97" i="10"/>
  <c r="Q101" i="10"/>
  <c r="M107" i="10"/>
  <c r="I112" i="10"/>
  <c r="O112" i="10"/>
  <c r="Q112" i="10" s="1"/>
  <c r="L168" i="10"/>
  <c r="K168" i="10"/>
  <c r="O169" i="10"/>
  <c r="Q169" i="10" s="1"/>
  <c r="M209" i="10"/>
  <c r="L160" i="10"/>
  <c r="K160" i="10"/>
  <c r="L164" i="10"/>
  <c r="K164" i="10"/>
  <c r="G83" i="10"/>
  <c r="G87" i="10"/>
  <c r="G91" i="10"/>
  <c r="G95" i="10"/>
  <c r="G99" i="10"/>
  <c r="G103" i="10"/>
  <c r="O161" i="10"/>
  <c r="Q161" i="10" s="1"/>
  <c r="O165" i="10"/>
  <c r="Q165" i="10" s="1"/>
  <c r="G211" i="10"/>
  <c r="O212" i="10"/>
  <c r="Q212" i="10" s="1"/>
  <c r="I212" i="10"/>
  <c r="M86" i="10"/>
  <c r="M90" i="10"/>
  <c r="M94" i="10"/>
  <c r="M98" i="10"/>
  <c r="M102" i="10"/>
  <c r="L106" i="10"/>
  <c r="G107" i="10"/>
  <c r="G168" i="10"/>
  <c r="L213" i="10"/>
  <c r="K213" i="10"/>
  <c r="K85" i="10"/>
  <c r="K89" i="10"/>
  <c r="K93" i="10"/>
  <c r="K97" i="10"/>
  <c r="K101" i="10"/>
  <c r="K105" i="10"/>
  <c r="K109" i="10"/>
  <c r="L159" i="10"/>
  <c r="L163" i="10"/>
  <c r="L167" i="10"/>
  <c r="K211" i="10"/>
  <c r="L85" i="10"/>
  <c r="L89" i="10"/>
  <c r="L93" i="10"/>
  <c r="L97" i="10"/>
  <c r="L101" i="10"/>
  <c r="L105" i="10"/>
  <c r="L109" i="10"/>
  <c r="G209" i="10"/>
  <c r="L211" i="10"/>
  <c r="G213" i="10"/>
  <c r="K212" i="10"/>
  <c r="O211" i="9"/>
  <c r="Q211" i="9" s="1"/>
  <c r="L212" i="9"/>
  <c r="Q209" i="9"/>
  <c r="K165" i="9"/>
  <c r="M169" i="9"/>
  <c r="O169" i="9" s="1"/>
  <c r="Q169" i="9" s="1"/>
  <c r="O90" i="9"/>
  <c r="Q90" i="9" s="1"/>
  <c r="K93" i="9"/>
  <c r="O94" i="9"/>
  <c r="Q94" i="9" s="1"/>
  <c r="L95" i="9"/>
  <c r="L98" i="9"/>
  <c r="K96" i="9"/>
  <c r="K97" i="9"/>
  <c r="L99" i="9"/>
  <c r="K105" i="9"/>
  <c r="L106" i="9"/>
  <c r="K108" i="9"/>
  <c r="K109" i="9"/>
  <c r="L110" i="9"/>
  <c r="I83" i="9"/>
  <c r="M99" i="9"/>
  <c r="O105" i="9"/>
  <c r="Q105" i="9" s="1"/>
  <c r="O109" i="9"/>
  <c r="Q109" i="9" s="1"/>
  <c r="O110" i="9"/>
  <c r="Q110" i="9" s="1"/>
  <c r="K112" i="9"/>
  <c r="L90" i="9"/>
  <c r="L94" i="9"/>
  <c r="L83" i="9"/>
  <c r="K100" i="9"/>
  <c r="O164" i="9"/>
  <c r="Q164" i="9" s="1"/>
  <c r="I164" i="9"/>
  <c r="O168" i="9"/>
  <c r="Q168" i="9" s="1"/>
  <c r="I168" i="9"/>
  <c r="O160" i="9"/>
  <c r="Q160" i="9" s="1"/>
  <c r="I160" i="9"/>
  <c r="L91" i="9"/>
  <c r="O97" i="9"/>
  <c r="Q97" i="9" s="1"/>
  <c r="O102" i="9"/>
  <c r="Q102" i="9" s="1"/>
  <c r="M111" i="9"/>
  <c r="G212" i="9"/>
  <c r="O86" i="9"/>
  <c r="Q86" i="9" s="1"/>
  <c r="I87" i="9"/>
  <c r="M91" i="9"/>
  <c r="I103" i="9"/>
  <c r="L107" i="9"/>
  <c r="I162" i="9"/>
  <c r="O162" i="9"/>
  <c r="Q162" i="9" s="1"/>
  <c r="I166" i="9"/>
  <c r="O166" i="9"/>
  <c r="Q166" i="9" s="1"/>
  <c r="K169" i="9"/>
  <c r="O161" i="9"/>
  <c r="Q161" i="9" s="1"/>
  <c r="L87" i="9"/>
  <c r="O93" i="9"/>
  <c r="Q93" i="9" s="1"/>
  <c r="O98" i="9"/>
  <c r="Q98" i="9" s="1"/>
  <c r="M107" i="9"/>
  <c r="K161" i="9"/>
  <c r="V161" i="9" s="1"/>
  <c r="I209" i="9"/>
  <c r="L160" i="9"/>
  <c r="K160" i="9"/>
  <c r="L168" i="9"/>
  <c r="K168" i="9"/>
  <c r="O165" i="9"/>
  <c r="Q165" i="9" s="1"/>
  <c r="I165" i="9"/>
  <c r="L164" i="9"/>
  <c r="K164" i="9"/>
  <c r="V169" i="9"/>
  <c r="G93" i="9"/>
  <c r="M95" i="9"/>
  <c r="O106" i="9"/>
  <c r="Q106" i="9" s="1"/>
  <c r="L111" i="9"/>
  <c r="G161" i="9"/>
  <c r="S210" i="9"/>
  <c r="O213" i="9"/>
  <c r="Q213" i="9" s="1"/>
  <c r="I213" i="9"/>
  <c r="M88" i="9"/>
  <c r="M96" i="9"/>
  <c r="M108" i="9"/>
  <c r="M112" i="9"/>
  <c r="L159" i="9"/>
  <c r="L163" i="9"/>
  <c r="G165" i="9"/>
  <c r="L167" i="9"/>
  <c r="G169" i="9"/>
  <c r="M210" i="9"/>
  <c r="K211" i="9"/>
  <c r="M214" i="9"/>
  <c r="M84" i="9"/>
  <c r="M100" i="9"/>
  <c r="L85" i="9"/>
  <c r="V85" i="9" s="1"/>
  <c r="L89" i="9"/>
  <c r="L93" i="9"/>
  <c r="L97" i="9"/>
  <c r="L101" i="9"/>
  <c r="L105" i="9"/>
  <c r="L109" i="9"/>
  <c r="M159" i="9"/>
  <c r="M163" i="9"/>
  <c r="M167" i="9"/>
  <c r="L211" i="9"/>
  <c r="M92" i="9"/>
  <c r="K86" i="9"/>
  <c r="K90" i="9"/>
  <c r="K94" i="9"/>
  <c r="K98" i="9"/>
  <c r="K102" i="9"/>
  <c r="K106" i="9"/>
  <c r="K110" i="9"/>
  <c r="K212" i="9"/>
  <c r="K209" i="9"/>
  <c r="K213" i="9"/>
  <c r="K214" i="9"/>
  <c r="M162" i="8"/>
  <c r="L165" i="8"/>
  <c r="L163" i="8"/>
  <c r="M169" i="8"/>
  <c r="L162" i="8"/>
  <c r="K169" i="8"/>
  <c r="S169" i="8" s="1"/>
  <c r="U169" i="8" s="1"/>
  <c r="M160" i="8"/>
  <c r="K166" i="8"/>
  <c r="K160" i="8"/>
  <c r="K214" i="8"/>
  <c r="M168" i="8"/>
  <c r="O168" i="8" s="1"/>
  <c r="K159" i="8"/>
  <c r="L164" i="8"/>
  <c r="M161" i="8"/>
  <c r="O161" i="8" s="1"/>
  <c r="K167" i="8"/>
  <c r="I165" i="8"/>
  <c r="M166" i="8"/>
  <c r="I166" i="8" s="1"/>
  <c r="K164" i="8"/>
  <c r="L161" i="8"/>
  <c r="L168" i="8"/>
  <c r="L159" i="8"/>
  <c r="M167" i="8"/>
  <c r="M163" i="8"/>
  <c r="M209" i="8"/>
  <c r="M212" i="8"/>
  <c r="O212" i="8" s="1"/>
  <c r="H214" i="8"/>
  <c r="K211" i="8"/>
  <c r="M214" i="8"/>
  <c r="I211" i="8"/>
  <c r="O211" i="8"/>
  <c r="I213" i="8"/>
  <c r="O213" i="8"/>
  <c r="L213" i="8"/>
  <c r="G212" i="8"/>
  <c r="L211" i="8"/>
  <c r="K209" i="8"/>
  <c r="M210" i="8"/>
  <c r="K212" i="8"/>
  <c r="I161" i="8"/>
  <c r="O165" i="8"/>
  <c r="H159" i="8"/>
  <c r="H167" i="8"/>
  <c r="O166" i="8"/>
  <c r="H165" i="8"/>
  <c r="O160" i="8"/>
  <c r="I160" i="8"/>
  <c r="I167" i="8"/>
  <c r="O167" i="8"/>
  <c r="G160" i="8"/>
  <c r="G161" i="8"/>
  <c r="G168" i="8"/>
  <c r="I159" i="8"/>
  <c r="O159" i="8"/>
  <c r="G169" i="8"/>
  <c r="T215" i="10" l="1"/>
  <c r="V215" i="10"/>
  <c r="V209" i="10"/>
  <c r="T162" i="10"/>
  <c r="U166" i="10"/>
  <c r="O162" i="10"/>
  <c r="Q162" i="10" s="1"/>
  <c r="I162" i="10"/>
  <c r="V164" i="10"/>
  <c r="S87" i="10"/>
  <c r="T109" i="10"/>
  <c r="S89" i="10"/>
  <c r="S85" i="10"/>
  <c r="I111" i="10"/>
  <c r="S88" i="10"/>
  <c r="U88" i="10" s="1"/>
  <c r="V103" i="10"/>
  <c r="V107" i="10"/>
  <c r="U163" i="10"/>
  <c r="T163" i="10"/>
  <c r="V163" i="10"/>
  <c r="U159" i="10"/>
  <c r="T159" i="10"/>
  <c r="V159" i="10"/>
  <c r="U98" i="10"/>
  <c r="T98" i="10"/>
  <c r="V98" i="10"/>
  <c r="T88" i="10"/>
  <c r="V88" i="10"/>
  <c r="T84" i="10"/>
  <c r="V84" i="10"/>
  <c r="U84" i="10"/>
  <c r="U106" i="10"/>
  <c r="T106" i="10"/>
  <c r="V106" i="10"/>
  <c r="T210" i="10"/>
  <c r="V210" i="10"/>
  <c r="T112" i="10"/>
  <c r="V112" i="10"/>
  <c r="U112" i="10"/>
  <c r="U94" i="10"/>
  <c r="T94" i="10"/>
  <c r="V94" i="10"/>
  <c r="O94" i="10"/>
  <c r="Q94" i="10" s="1"/>
  <c r="I94" i="10"/>
  <c r="O91" i="10"/>
  <c r="Q91" i="10" s="1"/>
  <c r="I91" i="10"/>
  <c r="O90" i="10"/>
  <c r="Q90" i="10" s="1"/>
  <c r="I90" i="10"/>
  <c r="O209" i="10"/>
  <c r="Q209" i="10" s="1"/>
  <c r="I209" i="10"/>
  <c r="T169" i="10"/>
  <c r="U169" i="10"/>
  <c r="U90" i="10"/>
  <c r="T90" i="10"/>
  <c r="V90" i="10"/>
  <c r="O98" i="10"/>
  <c r="Q98" i="10" s="1"/>
  <c r="I98" i="10"/>
  <c r="U167" i="10"/>
  <c r="T167" i="10"/>
  <c r="O86" i="10"/>
  <c r="Q86" i="10" s="1"/>
  <c r="S86" i="10" s="1"/>
  <c r="I86" i="10"/>
  <c r="U110" i="10"/>
  <c r="T110" i="10"/>
  <c r="V110" i="10"/>
  <c r="O87" i="10"/>
  <c r="Q87" i="10" s="1"/>
  <c r="I87" i="10"/>
  <c r="O107" i="10"/>
  <c r="Q107" i="10" s="1"/>
  <c r="I107" i="10"/>
  <c r="V169" i="10"/>
  <c r="V167" i="10"/>
  <c r="U102" i="10"/>
  <c r="T102" i="10"/>
  <c r="V102" i="10"/>
  <c r="O99" i="10"/>
  <c r="Q99" i="10" s="1"/>
  <c r="I99" i="10"/>
  <c r="O83" i="10"/>
  <c r="Q83" i="10" s="1"/>
  <c r="S83" i="10" s="1"/>
  <c r="I83" i="10"/>
  <c r="T165" i="10"/>
  <c r="V165" i="10"/>
  <c r="U165" i="10"/>
  <c r="O102" i="10"/>
  <c r="Q102" i="10" s="1"/>
  <c r="I102" i="10"/>
  <c r="O103" i="10"/>
  <c r="Q103" i="10" s="1"/>
  <c r="I103" i="10"/>
  <c r="O95" i="10"/>
  <c r="Q95" i="10" s="1"/>
  <c r="I95" i="10"/>
  <c r="S212" i="9"/>
  <c r="V212" i="9" s="1"/>
  <c r="S211" i="9"/>
  <c r="V211" i="9" s="1"/>
  <c r="U163" i="9"/>
  <c r="I169" i="9"/>
  <c r="T165" i="9"/>
  <c r="U164" i="9"/>
  <c r="U168" i="9"/>
  <c r="V159" i="9"/>
  <c r="U102" i="9"/>
  <c r="T95" i="9"/>
  <c r="O99" i="9"/>
  <c r="Q99" i="9" s="1"/>
  <c r="T96" i="9" s="1"/>
  <c r="I99" i="9"/>
  <c r="T94" i="9"/>
  <c r="V109" i="9"/>
  <c r="V99" i="9"/>
  <c r="U91" i="9"/>
  <c r="V91" i="9"/>
  <c r="T91" i="9"/>
  <c r="U95" i="9"/>
  <c r="V95" i="9"/>
  <c r="U87" i="9"/>
  <c r="T87" i="9"/>
  <c r="V87" i="9"/>
  <c r="U103" i="9"/>
  <c r="T103" i="9"/>
  <c r="V103" i="9"/>
  <c r="V96" i="9"/>
  <c r="U165" i="9"/>
  <c r="V165" i="9"/>
  <c r="T168" i="9"/>
  <c r="U83" i="9"/>
  <c r="V83" i="9"/>
  <c r="T83" i="9"/>
  <c r="U167" i="9"/>
  <c r="T167" i="9"/>
  <c r="U90" i="9"/>
  <c r="T90" i="9"/>
  <c r="O214" i="9"/>
  <c r="Q214" i="9" s="1"/>
  <c r="S213" i="9" s="1"/>
  <c r="I214" i="9"/>
  <c r="O112" i="9"/>
  <c r="Q112" i="9" s="1"/>
  <c r="I112" i="9"/>
  <c r="O95" i="9"/>
  <c r="Q95" i="9" s="1"/>
  <c r="I95" i="9"/>
  <c r="T161" i="9"/>
  <c r="U161" i="9"/>
  <c r="T169" i="9"/>
  <c r="U169" i="9"/>
  <c r="U108" i="9"/>
  <c r="T108" i="9"/>
  <c r="T164" i="9"/>
  <c r="U94" i="9"/>
  <c r="O84" i="9"/>
  <c r="Q84" i="9" s="1"/>
  <c r="I84" i="9"/>
  <c r="T101" i="9"/>
  <c r="U101" i="9"/>
  <c r="O108" i="9"/>
  <c r="Q108" i="9" s="1"/>
  <c r="I108" i="9"/>
  <c r="V167" i="9"/>
  <c r="V101" i="9"/>
  <c r="U212" i="9"/>
  <c r="T212" i="9"/>
  <c r="O92" i="9"/>
  <c r="Q92" i="9" s="1"/>
  <c r="I92" i="9"/>
  <c r="O210" i="9"/>
  <c r="Q210" i="9" s="1"/>
  <c r="S209" i="9" s="1"/>
  <c r="I210" i="9"/>
  <c r="O96" i="9"/>
  <c r="Q96" i="9" s="1"/>
  <c r="I96" i="9"/>
  <c r="O107" i="9"/>
  <c r="Q107" i="9" s="1"/>
  <c r="I107" i="9"/>
  <c r="U100" i="9"/>
  <c r="T100" i="9"/>
  <c r="V90" i="9"/>
  <c r="O159" i="9"/>
  <c r="Q159" i="9" s="1"/>
  <c r="I159" i="9"/>
  <c r="U210" i="9"/>
  <c r="T210" i="9"/>
  <c r="T109" i="9"/>
  <c r="U109" i="9"/>
  <c r="O88" i="9"/>
  <c r="Q88" i="9" s="1"/>
  <c r="I88" i="9"/>
  <c r="U98" i="9"/>
  <c r="T98" i="9"/>
  <c r="V98" i="9"/>
  <c r="O100" i="9"/>
  <c r="Q100" i="9" s="1"/>
  <c r="I100" i="9"/>
  <c r="V164" i="9"/>
  <c r="I167" i="9"/>
  <c r="O167" i="9"/>
  <c r="Q167" i="9" s="1"/>
  <c r="V210" i="9"/>
  <c r="O91" i="9"/>
  <c r="Q91" i="9" s="1"/>
  <c r="I91" i="9"/>
  <c r="O111" i="9"/>
  <c r="Q111" i="9" s="1"/>
  <c r="I111" i="9"/>
  <c r="O163" i="9"/>
  <c r="Q163" i="9" s="1"/>
  <c r="I163" i="9"/>
  <c r="T85" i="9"/>
  <c r="U85" i="9"/>
  <c r="V100" i="9"/>
  <c r="V108" i="9"/>
  <c r="I212" i="8"/>
  <c r="O214" i="8"/>
  <c r="I214" i="8"/>
  <c r="I209" i="8"/>
  <c r="O209" i="8"/>
  <c r="I210" i="8"/>
  <c r="O210" i="8"/>
  <c r="I168" i="8"/>
  <c r="O162" i="8"/>
  <c r="I162" i="8"/>
  <c r="O169" i="8"/>
  <c r="I169" i="8"/>
  <c r="O163" i="8"/>
  <c r="I163" i="8"/>
  <c r="I164" i="8"/>
  <c r="O164" i="8"/>
  <c r="T212" i="10" l="1"/>
  <c r="V212" i="10"/>
  <c r="T211" i="10"/>
  <c r="V214" i="10"/>
  <c r="T209" i="10"/>
  <c r="T214" i="10"/>
  <c r="V211" i="10"/>
  <c r="T164" i="10"/>
  <c r="U161" i="10"/>
  <c r="V161" i="10"/>
  <c r="T161" i="10"/>
  <c r="U164" i="10"/>
  <c r="T108" i="10"/>
  <c r="V108" i="10"/>
  <c r="U108" i="10"/>
  <c r="U93" i="10"/>
  <c r="V93" i="10"/>
  <c r="T93" i="10"/>
  <c r="U109" i="10"/>
  <c r="V109" i="10"/>
  <c r="U107" i="10"/>
  <c r="T107" i="10"/>
  <c r="T103" i="10"/>
  <c r="U103" i="10"/>
  <c r="U87" i="10"/>
  <c r="T87" i="10"/>
  <c r="V87" i="10"/>
  <c r="U95" i="10"/>
  <c r="T95" i="10"/>
  <c r="V95" i="10"/>
  <c r="U101" i="10"/>
  <c r="T101" i="10"/>
  <c r="V101" i="10"/>
  <c r="U89" i="10"/>
  <c r="T89" i="10"/>
  <c r="V89" i="10"/>
  <c r="T104" i="10"/>
  <c r="V104" i="10"/>
  <c r="U104" i="10"/>
  <c r="U83" i="10"/>
  <c r="T83" i="10"/>
  <c r="V83" i="10"/>
  <c r="U85" i="10"/>
  <c r="T85" i="10"/>
  <c r="V85" i="10"/>
  <c r="U168" i="10"/>
  <c r="T168" i="10"/>
  <c r="V168" i="10"/>
  <c r="T92" i="10"/>
  <c r="V92" i="10"/>
  <c r="U92" i="10"/>
  <c r="U91" i="10"/>
  <c r="T91" i="10"/>
  <c r="V91" i="10"/>
  <c r="U97" i="10"/>
  <c r="T97" i="10"/>
  <c r="V97" i="10"/>
  <c r="T213" i="10"/>
  <c r="V213" i="10"/>
  <c r="T100" i="10"/>
  <c r="V100" i="10"/>
  <c r="U100" i="10"/>
  <c r="U105" i="10"/>
  <c r="T105" i="10"/>
  <c r="V105" i="10"/>
  <c r="U99" i="10"/>
  <c r="T99" i="10"/>
  <c r="V99" i="10"/>
  <c r="T96" i="10"/>
  <c r="V96" i="10"/>
  <c r="U96" i="10"/>
  <c r="U160" i="10"/>
  <c r="T160" i="10"/>
  <c r="V160" i="10"/>
  <c r="U86" i="10"/>
  <c r="T86" i="10"/>
  <c r="V86" i="10"/>
  <c r="U111" i="10"/>
  <c r="T111" i="10"/>
  <c r="V111" i="10"/>
  <c r="T211" i="9"/>
  <c r="S214" i="9"/>
  <c r="U214" i="9" s="1"/>
  <c r="U211" i="9"/>
  <c r="V163" i="9"/>
  <c r="T163" i="9"/>
  <c r="V168" i="9"/>
  <c r="U159" i="9"/>
  <c r="T159" i="9"/>
  <c r="T99" i="9"/>
  <c r="V94" i="9"/>
  <c r="V102" i="9"/>
  <c r="U96" i="9"/>
  <c r="T102" i="9"/>
  <c r="U99" i="9"/>
  <c r="U107" i="9"/>
  <c r="V107" i="9"/>
  <c r="T107" i="9"/>
  <c r="T93" i="9"/>
  <c r="U93" i="9"/>
  <c r="V93" i="9"/>
  <c r="T89" i="9"/>
  <c r="U89" i="9"/>
  <c r="V89" i="9"/>
  <c r="V162" i="9"/>
  <c r="T162" i="9"/>
  <c r="U162" i="9"/>
  <c r="T84" i="9"/>
  <c r="U84" i="9"/>
  <c r="V84" i="9"/>
  <c r="V166" i="9"/>
  <c r="T166" i="9"/>
  <c r="U166" i="9"/>
  <c r="U209" i="9"/>
  <c r="T209" i="9"/>
  <c r="V209" i="9"/>
  <c r="U88" i="9"/>
  <c r="T88" i="9"/>
  <c r="V88" i="9"/>
  <c r="U110" i="9"/>
  <c r="T110" i="9"/>
  <c r="V110" i="9"/>
  <c r="T97" i="9"/>
  <c r="U97" i="9"/>
  <c r="V97" i="9"/>
  <c r="U104" i="9"/>
  <c r="T104" i="9"/>
  <c r="V104" i="9"/>
  <c r="U92" i="9"/>
  <c r="T92" i="9"/>
  <c r="V92" i="9"/>
  <c r="U213" i="9"/>
  <c r="T213" i="9"/>
  <c r="V213" i="9"/>
  <c r="U160" i="9"/>
  <c r="T160" i="9"/>
  <c r="V160" i="9"/>
  <c r="U86" i="9"/>
  <c r="T86" i="9"/>
  <c r="V86" i="9"/>
  <c r="T214" i="8"/>
  <c r="V214" i="8"/>
  <c r="V214" i="9" l="1"/>
  <c r="T214" i="9"/>
  <c r="U106" i="9"/>
  <c r="T106" i="9"/>
  <c r="V106" i="9"/>
  <c r="T105" i="9"/>
  <c r="U105" i="9"/>
  <c r="V105" i="9"/>
  <c r="T112" i="9"/>
  <c r="U112" i="9"/>
  <c r="V112" i="9"/>
  <c r="U111" i="9"/>
  <c r="T111" i="9"/>
  <c r="V111" i="9"/>
  <c r="AP3" i="8" l="1"/>
  <c r="AP4" i="8"/>
  <c r="AP5" i="8"/>
  <c r="AP6" i="8"/>
  <c r="AP7" i="8"/>
  <c r="AP8" i="8"/>
  <c r="AP9" i="8"/>
  <c r="AP10" i="8"/>
  <c r="AP11" i="8"/>
  <c r="AP12" i="8"/>
  <c r="AP13" i="8"/>
  <c r="AP42" i="8"/>
  <c r="AP43" i="8"/>
  <c r="AP44" i="8"/>
  <c r="AP45" i="8"/>
  <c r="AP46" i="8"/>
  <c r="AP47" i="8"/>
  <c r="AP48" i="8"/>
  <c r="AP49" i="8"/>
  <c r="AP50" i="8"/>
  <c r="AP51" i="8"/>
  <c r="AP52" i="8"/>
  <c r="AP3" i="7"/>
  <c r="AP4" i="7"/>
  <c r="AP5" i="7"/>
  <c r="AP6" i="7"/>
  <c r="AP7" i="7"/>
  <c r="AP8" i="7"/>
  <c r="AP9" i="7"/>
  <c r="AP10" i="7"/>
  <c r="AP11" i="7"/>
  <c r="AP12" i="7"/>
  <c r="AP13" i="7"/>
  <c r="P112" i="8"/>
  <c r="E112" i="8"/>
  <c r="H112" i="8" s="1"/>
  <c r="D112" i="8"/>
  <c r="C112" i="8"/>
  <c r="M112" i="8" s="1"/>
  <c r="B112" i="8"/>
  <c r="A112" i="8"/>
  <c r="P111" i="8"/>
  <c r="E111" i="8"/>
  <c r="H111" i="8" s="1"/>
  <c r="D111" i="8"/>
  <c r="G111" i="8" s="1"/>
  <c r="C111" i="8"/>
  <c r="L111" i="8" s="1"/>
  <c r="B111" i="8"/>
  <c r="A111" i="8"/>
  <c r="P110" i="8"/>
  <c r="E110" i="8"/>
  <c r="H110" i="8" s="1"/>
  <c r="D110" i="8"/>
  <c r="C110" i="8"/>
  <c r="K110" i="8" s="1"/>
  <c r="B110" i="8"/>
  <c r="A110" i="8"/>
  <c r="P109" i="8"/>
  <c r="E109" i="8"/>
  <c r="H109" i="8" s="1"/>
  <c r="D109" i="8"/>
  <c r="G109" i="8" s="1"/>
  <c r="C109" i="8"/>
  <c r="M109" i="8" s="1"/>
  <c r="O109" i="8" s="1"/>
  <c r="B109" i="8"/>
  <c r="A109" i="8"/>
  <c r="P108" i="8"/>
  <c r="E108" i="8"/>
  <c r="H108" i="8" s="1"/>
  <c r="D108" i="8"/>
  <c r="C108" i="8"/>
  <c r="M108" i="8" s="1"/>
  <c r="B108" i="8"/>
  <c r="A108" i="8"/>
  <c r="P107" i="8"/>
  <c r="E107" i="8"/>
  <c r="H107" i="8" s="1"/>
  <c r="D107" i="8"/>
  <c r="G107" i="8" s="1"/>
  <c r="C107" i="8"/>
  <c r="L107" i="8" s="1"/>
  <c r="B107" i="8"/>
  <c r="A107" i="8"/>
  <c r="P106" i="8"/>
  <c r="E106" i="8"/>
  <c r="H106" i="8" s="1"/>
  <c r="D106" i="8"/>
  <c r="G106" i="8" s="1"/>
  <c r="C106" i="8"/>
  <c r="K106" i="8" s="1"/>
  <c r="B106" i="8"/>
  <c r="A106" i="8"/>
  <c r="P105" i="8"/>
  <c r="E105" i="8"/>
  <c r="H105" i="8" s="1"/>
  <c r="D105" i="8"/>
  <c r="C105" i="8"/>
  <c r="M105" i="8" s="1"/>
  <c r="O105" i="8" s="1"/>
  <c r="B105" i="8"/>
  <c r="A105" i="8"/>
  <c r="P104" i="8"/>
  <c r="E104" i="8"/>
  <c r="H104" i="8" s="1"/>
  <c r="D104" i="8"/>
  <c r="C104" i="8"/>
  <c r="K104" i="8" s="1"/>
  <c r="B104" i="8"/>
  <c r="A104" i="8"/>
  <c r="P103" i="8"/>
  <c r="E103" i="8"/>
  <c r="H103" i="8" s="1"/>
  <c r="D103" i="8"/>
  <c r="G103" i="8" s="1"/>
  <c r="C103" i="8"/>
  <c r="L103" i="8" s="1"/>
  <c r="B103" i="8"/>
  <c r="A103" i="8"/>
  <c r="P102" i="8"/>
  <c r="E102" i="8"/>
  <c r="H102" i="8" s="1"/>
  <c r="D102" i="8"/>
  <c r="G102" i="8" s="1"/>
  <c r="C102" i="8"/>
  <c r="K102" i="8" s="1"/>
  <c r="B102" i="8"/>
  <c r="A102" i="8"/>
  <c r="P101" i="8"/>
  <c r="E101" i="8"/>
  <c r="H101" i="8" s="1"/>
  <c r="D101" i="8"/>
  <c r="C101" i="8"/>
  <c r="M101" i="8" s="1"/>
  <c r="O101" i="8" s="1"/>
  <c r="B101" i="8"/>
  <c r="A101" i="8"/>
  <c r="P100" i="8"/>
  <c r="E100" i="8"/>
  <c r="H100" i="8" s="1"/>
  <c r="D100" i="8"/>
  <c r="C100" i="8"/>
  <c r="L100" i="8" s="1"/>
  <c r="B100" i="8"/>
  <c r="A100" i="8"/>
  <c r="P99" i="8"/>
  <c r="E99" i="8"/>
  <c r="H99" i="8" s="1"/>
  <c r="D99" i="8"/>
  <c r="G99" i="8" s="1"/>
  <c r="C99" i="8"/>
  <c r="L99" i="8" s="1"/>
  <c r="B99" i="8"/>
  <c r="A99" i="8"/>
  <c r="P98" i="8"/>
  <c r="E98" i="8"/>
  <c r="H98" i="8" s="1"/>
  <c r="D98" i="8"/>
  <c r="C98" i="8"/>
  <c r="K98" i="8" s="1"/>
  <c r="B98" i="8"/>
  <c r="A98" i="8"/>
  <c r="P97" i="8"/>
  <c r="E97" i="8"/>
  <c r="H97" i="8" s="1"/>
  <c r="D97" i="8"/>
  <c r="G97" i="8" s="1"/>
  <c r="C97" i="8"/>
  <c r="M97" i="8" s="1"/>
  <c r="O97" i="8" s="1"/>
  <c r="B97" i="8"/>
  <c r="A97" i="8"/>
  <c r="P96" i="8"/>
  <c r="E96" i="8"/>
  <c r="H96" i="8" s="1"/>
  <c r="D96" i="8"/>
  <c r="C96" i="8"/>
  <c r="M96" i="8" s="1"/>
  <c r="B96" i="8"/>
  <c r="A96" i="8"/>
  <c r="P95" i="8"/>
  <c r="E95" i="8"/>
  <c r="H95" i="8" s="1"/>
  <c r="D95" i="8"/>
  <c r="G95" i="8" s="1"/>
  <c r="C95" i="8"/>
  <c r="L95" i="8" s="1"/>
  <c r="B95" i="8"/>
  <c r="A95" i="8"/>
  <c r="P94" i="8"/>
  <c r="E94" i="8"/>
  <c r="H94" i="8" s="1"/>
  <c r="D94" i="8"/>
  <c r="C94" i="8"/>
  <c r="K94" i="8" s="1"/>
  <c r="B94" i="8"/>
  <c r="A94" i="8"/>
  <c r="P93" i="8"/>
  <c r="E93" i="8"/>
  <c r="H93" i="8" s="1"/>
  <c r="D93" i="8"/>
  <c r="G93" i="8" s="1"/>
  <c r="C93" i="8"/>
  <c r="M93" i="8" s="1"/>
  <c r="O93" i="8" s="1"/>
  <c r="B93" i="8"/>
  <c r="A93" i="8"/>
  <c r="P92" i="8"/>
  <c r="E92" i="8"/>
  <c r="H92" i="8" s="1"/>
  <c r="D92" i="8"/>
  <c r="C92" i="8"/>
  <c r="M92" i="8" s="1"/>
  <c r="B92" i="8"/>
  <c r="A92" i="8"/>
  <c r="P91" i="8"/>
  <c r="E91" i="8"/>
  <c r="H91" i="8" s="1"/>
  <c r="D91" i="8"/>
  <c r="G91" i="8" s="1"/>
  <c r="C91" i="8"/>
  <c r="L91" i="8" s="1"/>
  <c r="B91" i="8"/>
  <c r="A91" i="8"/>
  <c r="P90" i="8"/>
  <c r="E90" i="8"/>
  <c r="H90" i="8" s="1"/>
  <c r="D90" i="8"/>
  <c r="C90" i="8"/>
  <c r="K90" i="8" s="1"/>
  <c r="B90" i="8"/>
  <c r="A90" i="8"/>
  <c r="P89" i="8"/>
  <c r="E89" i="8"/>
  <c r="H89" i="8" s="1"/>
  <c r="D89" i="8"/>
  <c r="G89" i="8" s="1"/>
  <c r="C89" i="8"/>
  <c r="M89" i="8" s="1"/>
  <c r="O89" i="8" s="1"/>
  <c r="B89" i="8"/>
  <c r="A89" i="8"/>
  <c r="P88" i="8"/>
  <c r="E88" i="8"/>
  <c r="H88" i="8" s="1"/>
  <c r="D88" i="8"/>
  <c r="C88" i="8"/>
  <c r="K88" i="8" s="1"/>
  <c r="B88" i="8"/>
  <c r="A88" i="8"/>
  <c r="P87" i="8"/>
  <c r="E87" i="8"/>
  <c r="H87" i="8" s="1"/>
  <c r="D87" i="8"/>
  <c r="G87" i="8" s="1"/>
  <c r="C87" i="8"/>
  <c r="L87" i="8" s="1"/>
  <c r="B87" i="8"/>
  <c r="A87" i="8"/>
  <c r="P86" i="8"/>
  <c r="E86" i="8"/>
  <c r="H86" i="8" s="1"/>
  <c r="D86" i="8"/>
  <c r="C86" i="8"/>
  <c r="K86" i="8" s="1"/>
  <c r="B86" i="8"/>
  <c r="A86" i="8"/>
  <c r="P85" i="8"/>
  <c r="E85" i="8"/>
  <c r="D85" i="8"/>
  <c r="G85" i="8" s="1"/>
  <c r="C85" i="8"/>
  <c r="M85" i="8" s="1"/>
  <c r="O85" i="8" s="1"/>
  <c r="B85" i="8"/>
  <c r="A85" i="8"/>
  <c r="P84" i="8"/>
  <c r="E84" i="8"/>
  <c r="H84" i="8" s="1"/>
  <c r="D84" i="8"/>
  <c r="C84" i="8"/>
  <c r="M84" i="8" s="1"/>
  <c r="B84" i="8"/>
  <c r="A84" i="8"/>
  <c r="P83" i="8"/>
  <c r="E83" i="8"/>
  <c r="H83" i="8" s="1"/>
  <c r="D83" i="8"/>
  <c r="G83" i="8" s="1"/>
  <c r="C83" i="8"/>
  <c r="L83" i="8" s="1"/>
  <c r="B83" i="8"/>
  <c r="A83" i="8"/>
  <c r="H82" i="8"/>
  <c r="G82" i="8"/>
  <c r="E82" i="8"/>
  <c r="D82" i="8"/>
  <c r="C82" i="8"/>
  <c r="B82" i="8"/>
  <c r="P79" i="8"/>
  <c r="S215" i="7"/>
  <c r="S216" i="7"/>
  <c r="S217" i="7"/>
  <c r="S218" i="7"/>
  <c r="S219" i="7"/>
  <c r="S214" i="7"/>
  <c r="M217" i="7"/>
  <c r="M219" i="7"/>
  <c r="P219" i="7"/>
  <c r="E219" i="7"/>
  <c r="H219" i="7" s="1"/>
  <c r="D219" i="7"/>
  <c r="C219" i="7"/>
  <c r="K219" i="7" s="1"/>
  <c r="B219" i="7"/>
  <c r="A219" i="7"/>
  <c r="P218" i="7"/>
  <c r="E218" i="7"/>
  <c r="H218" i="7" s="1"/>
  <c r="D218" i="7"/>
  <c r="C218" i="7"/>
  <c r="L218" i="7" s="1"/>
  <c r="B218" i="7"/>
  <c r="A218" i="7"/>
  <c r="P217" i="7"/>
  <c r="E217" i="7"/>
  <c r="H217" i="7" s="1"/>
  <c r="D217" i="7"/>
  <c r="G217" i="7" s="1"/>
  <c r="C217" i="7"/>
  <c r="L217" i="7" s="1"/>
  <c r="B217" i="7"/>
  <c r="A217" i="7"/>
  <c r="P216" i="7"/>
  <c r="G216" i="7"/>
  <c r="E216" i="7"/>
  <c r="D216" i="7"/>
  <c r="C216" i="7"/>
  <c r="K216" i="7" s="1"/>
  <c r="B216" i="7"/>
  <c r="A216" i="7"/>
  <c r="P215" i="7"/>
  <c r="E215" i="7"/>
  <c r="H215" i="7" s="1"/>
  <c r="D215" i="7"/>
  <c r="G215" i="7" s="1"/>
  <c r="C215" i="7"/>
  <c r="M215" i="7" s="1"/>
  <c r="B215" i="7"/>
  <c r="A215" i="7"/>
  <c r="P214" i="7"/>
  <c r="E214" i="7"/>
  <c r="H214" i="7" s="1"/>
  <c r="D214" i="7"/>
  <c r="G214" i="7" s="1"/>
  <c r="C214" i="7"/>
  <c r="M214" i="7" s="1"/>
  <c r="O214" i="7" s="1"/>
  <c r="B214" i="7"/>
  <c r="A214" i="7"/>
  <c r="H213" i="7"/>
  <c r="G213" i="7"/>
  <c r="E213" i="7"/>
  <c r="D213" i="7"/>
  <c r="C213" i="7"/>
  <c r="B213" i="7"/>
  <c r="P212" i="7"/>
  <c r="K165" i="7"/>
  <c r="L165" i="7"/>
  <c r="K168" i="7"/>
  <c r="P168" i="7"/>
  <c r="E168" i="7"/>
  <c r="H168" i="7" s="1"/>
  <c r="D168" i="7"/>
  <c r="C168" i="7"/>
  <c r="L168" i="7" s="1"/>
  <c r="B168" i="7"/>
  <c r="A168" i="7"/>
  <c r="P167" i="7"/>
  <c r="E167" i="7"/>
  <c r="H167" i="7" s="1"/>
  <c r="D167" i="7"/>
  <c r="G167" i="7" s="1"/>
  <c r="C167" i="7"/>
  <c r="L167" i="7" s="1"/>
  <c r="B167" i="7"/>
  <c r="A167" i="7"/>
  <c r="P166" i="7"/>
  <c r="E166" i="7"/>
  <c r="H166" i="7" s="1"/>
  <c r="D166" i="7"/>
  <c r="C166" i="7"/>
  <c r="K166" i="7" s="1"/>
  <c r="B166" i="7"/>
  <c r="A166" i="7"/>
  <c r="P165" i="7"/>
  <c r="E165" i="7"/>
  <c r="D165" i="7"/>
  <c r="G165" i="7" s="1"/>
  <c r="C165" i="7"/>
  <c r="M165" i="7" s="1"/>
  <c r="B165" i="7"/>
  <c r="A165" i="7"/>
  <c r="P164" i="7"/>
  <c r="E164" i="7"/>
  <c r="H164" i="7" s="1"/>
  <c r="D164" i="7"/>
  <c r="C164" i="7"/>
  <c r="M164" i="7" s="1"/>
  <c r="B164" i="7"/>
  <c r="A164" i="7"/>
  <c r="P163" i="7"/>
  <c r="E163" i="7"/>
  <c r="H163" i="7" s="1"/>
  <c r="D163" i="7"/>
  <c r="G163" i="7" s="1"/>
  <c r="C163" i="7"/>
  <c r="B163" i="7"/>
  <c r="A163" i="7"/>
  <c r="P162" i="7"/>
  <c r="E162" i="7"/>
  <c r="H162" i="7" s="1"/>
  <c r="D162" i="7"/>
  <c r="C162" i="7"/>
  <c r="K162" i="7" s="1"/>
  <c r="B162" i="7"/>
  <c r="A162" i="7"/>
  <c r="P161" i="7"/>
  <c r="G161" i="7"/>
  <c r="E161" i="7"/>
  <c r="H161" i="7" s="1"/>
  <c r="D161" i="7"/>
  <c r="C161" i="7"/>
  <c r="M161" i="7" s="1"/>
  <c r="I161" i="7" s="1"/>
  <c r="B161" i="7"/>
  <c r="A161" i="7"/>
  <c r="P160" i="7"/>
  <c r="E160" i="7"/>
  <c r="H160" i="7" s="1"/>
  <c r="D160" i="7"/>
  <c r="C160" i="7"/>
  <c r="L160" i="7" s="1"/>
  <c r="B160" i="7"/>
  <c r="A160" i="7"/>
  <c r="P159" i="7"/>
  <c r="E159" i="7"/>
  <c r="H159" i="7" s="1"/>
  <c r="D159" i="7"/>
  <c r="G159" i="7" s="1"/>
  <c r="C159" i="7"/>
  <c r="L159" i="7" s="1"/>
  <c r="B159" i="7"/>
  <c r="A159" i="7"/>
  <c r="P158" i="7"/>
  <c r="E158" i="7"/>
  <c r="H158" i="7" s="1"/>
  <c r="D158" i="7"/>
  <c r="C158" i="7"/>
  <c r="K158" i="7" s="1"/>
  <c r="B158" i="7"/>
  <c r="A158" i="7"/>
  <c r="P157" i="7"/>
  <c r="E157" i="7"/>
  <c r="D157" i="7"/>
  <c r="G157" i="7" s="1"/>
  <c r="C157" i="7"/>
  <c r="M157" i="7" s="1"/>
  <c r="I157" i="7" s="1"/>
  <c r="B157" i="7"/>
  <c r="A157" i="7"/>
  <c r="H156" i="7"/>
  <c r="G156" i="7"/>
  <c r="E156" i="7"/>
  <c r="D156" i="7"/>
  <c r="C156" i="7"/>
  <c r="B156" i="7"/>
  <c r="P155" i="7"/>
  <c r="A110" i="7"/>
  <c r="B110" i="7"/>
  <c r="C110" i="7"/>
  <c r="K110" i="7" s="1"/>
  <c r="D110" i="7"/>
  <c r="E110" i="7"/>
  <c r="H110" i="7" s="1"/>
  <c r="P110" i="7"/>
  <c r="A111" i="7"/>
  <c r="B111" i="7"/>
  <c r="C111" i="7"/>
  <c r="D111" i="7"/>
  <c r="G111" i="7" s="1"/>
  <c r="E111" i="7"/>
  <c r="P111" i="7"/>
  <c r="A112" i="7"/>
  <c r="B112" i="7"/>
  <c r="C112" i="7"/>
  <c r="D112" i="7"/>
  <c r="E112" i="7"/>
  <c r="H112" i="7" s="1"/>
  <c r="P112" i="7"/>
  <c r="AP42" i="7"/>
  <c r="AP43" i="7"/>
  <c r="AP44" i="7"/>
  <c r="AP45" i="7"/>
  <c r="AP46" i="7"/>
  <c r="AP47" i="7"/>
  <c r="AP48" i="7"/>
  <c r="AP49" i="7"/>
  <c r="AP50" i="7"/>
  <c r="AP51" i="7"/>
  <c r="AP52" i="7"/>
  <c r="P109" i="7"/>
  <c r="E109" i="7"/>
  <c r="H109" i="7" s="1"/>
  <c r="D109" i="7"/>
  <c r="G109" i="7" s="1"/>
  <c r="C109" i="7"/>
  <c r="B109" i="7"/>
  <c r="A109" i="7"/>
  <c r="P108" i="7"/>
  <c r="E108" i="7"/>
  <c r="H108" i="7" s="1"/>
  <c r="D108" i="7"/>
  <c r="G108" i="7" s="1"/>
  <c r="C108" i="7"/>
  <c r="B108" i="7"/>
  <c r="A108" i="7"/>
  <c r="P107" i="7"/>
  <c r="E107" i="7"/>
  <c r="H107" i="7" s="1"/>
  <c r="D107" i="7"/>
  <c r="G107" i="7" s="1"/>
  <c r="C107" i="7"/>
  <c r="B107" i="7"/>
  <c r="A107" i="7"/>
  <c r="P106" i="7"/>
  <c r="E106" i="7"/>
  <c r="H106" i="7" s="1"/>
  <c r="D106" i="7"/>
  <c r="C106" i="7"/>
  <c r="B106" i="7"/>
  <c r="A106" i="7"/>
  <c r="P105" i="7"/>
  <c r="E105" i="7"/>
  <c r="H105" i="7" s="1"/>
  <c r="D105" i="7"/>
  <c r="G105" i="7" s="1"/>
  <c r="C105" i="7"/>
  <c r="B105" i="7"/>
  <c r="A105" i="7"/>
  <c r="P104" i="7"/>
  <c r="E104" i="7"/>
  <c r="D104" i="7"/>
  <c r="G104" i="7" s="1"/>
  <c r="C104" i="7"/>
  <c r="B104" i="7"/>
  <c r="A104" i="7"/>
  <c r="P103" i="7"/>
  <c r="E103" i="7"/>
  <c r="D103" i="7"/>
  <c r="G103" i="7" s="1"/>
  <c r="C103" i="7"/>
  <c r="B103" i="7"/>
  <c r="A103" i="7"/>
  <c r="P102" i="7"/>
  <c r="E102" i="7"/>
  <c r="H102" i="7" s="1"/>
  <c r="D102" i="7"/>
  <c r="G102" i="7" s="1"/>
  <c r="C102" i="7"/>
  <c r="B102" i="7"/>
  <c r="A102" i="7"/>
  <c r="P101" i="7"/>
  <c r="E101" i="7"/>
  <c r="H101" i="7" s="1"/>
  <c r="D101" i="7"/>
  <c r="C101" i="7"/>
  <c r="B101" i="7"/>
  <c r="A101" i="7"/>
  <c r="P100" i="7"/>
  <c r="E100" i="7"/>
  <c r="H100" i="7" s="1"/>
  <c r="D100" i="7"/>
  <c r="G100" i="7" s="1"/>
  <c r="C100" i="7"/>
  <c r="B100" i="7"/>
  <c r="A100" i="7"/>
  <c r="P99" i="7"/>
  <c r="E99" i="7"/>
  <c r="H99" i="7" s="1"/>
  <c r="D99" i="7"/>
  <c r="G99" i="7" s="1"/>
  <c r="C99" i="7"/>
  <c r="B99" i="7"/>
  <c r="A99" i="7"/>
  <c r="P98" i="7"/>
  <c r="E98" i="7"/>
  <c r="H98" i="7" s="1"/>
  <c r="D98" i="7"/>
  <c r="G98" i="7" s="1"/>
  <c r="C98" i="7"/>
  <c r="B98" i="7"/>
  <c r="A98" i="7"/>
  <c r="P97" i="7"/>
  <c r="E97" i="7"/>
  <c r="H97" i="7" s="1"/>
  <c r="D97" i="7"/>
  <c r="G97" i="7" s="1"/>
  <c r="C97" i="7"/>
  <c r="B97" i="7"/>
  <c r="A97" i="7"/>
  <c r="P96" i="7"/>
  <c r="E96" i="7"/>
  <c r="H96" i="7" s="1"/>
  <c r="D96" i="7"/>
  <c r="C96" i="7"/>
  <c r="B96" i="7"/>
  <c r="A96" i="7"/>
  <c r="P95" i="7"/>
  <c r="E95" i="7"/>
  <c r="H95" i="7" s="1"/>
  <c r="D95" i="7"/>
  <c r="C95" i="7"/>
  <c r="B95" i="7"/>
  <c r="A95" i="7"/>
  <c r="P94" i="7"/>
  <c r="E94" i="7"/>
  <c r="H94" i="7" s="1"/>
  <c r="D94" i="7"/>
  <c r="G94" i="7" s="1"/>
  <c r="C94" i="7"/>
  <c r="B94" i="7"/>
  <c r="A94" i="7"/>
  <c r="P93" i="7"/>
  <c r="E93" i="7"/>
  <c r="H93" i="7" s="1"/>
  <c r="D93" i="7"/>
  <c r="G93" i="7" s="1"/>
  <c r="C93" i="7"/>
  <c r="B93" i="7"/>
  <c r="A93" i="7"/>
  <c r="P92" i="7"/>
  <c r="E92" i="7"/>
  <c r="H92" i="7" s="1"/>
  <c r="D92" i="7"/>
  <c r="G92" i="7" s="1"/>
  <c r="C92" i="7"/>
  <c r="B92" i="7"/>
  <c r="A92" i="7"/>
  <c r="P91" i="7"/>
  <c r="E91" i="7"/>
  <c r="H91" i="7" s="1"/>
  <c r="D91" i="7"/>
  <c r="G91" i="7" s="1"/>
  <c r="C91" i="7"/>
  <c r="B91" i="7"/>
  <c r="A91" i="7"/>
  <c r="P90" i="7"/>
  <c r="E90" i="7"/>
  <c r="H90" i="7" s="1"/>
  <c r="D90" i="7"/>
  <c r="G90" i="7" s="1"/>
  <c r="C90" i="7"/>
  <c r="B90" i="7"/>
  <c r="A90" i="7"/>
  <c r="P89" i="7"/>
  <c r="E89" i="7"/>
  <c r="H89" i="7" s="1"/>
  <c r="D89" i="7"/>
  <c r="G89" i="7" s="1"/>
  <c r="C89" i="7"/>
  <c r="B89" i="7"/>
  <c r="A89" i="7"/>
  <c r="P88" i="7"/>
  <c r="E88" i="7"/>
  <c r="H88" i="7" s="1"/>
  <c r="D88" i="7"/>
  <c r="C88" i="7"/>
  <c r="B88" i="7"/>
  <c r="A88" i="7"/>
  <c r="P87" i="7"/>
  <c r="E87" i="7"/>
  <c r="H87" i="7" s="1"/>
  <c r="D87" i="7"/>
  <c r="C87" i="7"/>
  <c r="B87" i="7"/>
  <c r="A87" i="7"/>
  <c r="P86" i="7"/>
  <c r="E86" i="7"/>
  <c r="H86" i="7" s="1"/>
  <c r="D86" i="7"/>
  <c r="C86" i="7"/>
  <c r="B86" i="7"/>
  <c r="A86" i="7"/>
  <c r="P85" i="7"/>
  <c r="E85" i="7"/>
  <c r="H85" i="7" s="1"/>
  <c r="D85" i="7"/>
  <c r="G85" i="7" s="1"/>
  <c r="C85" i="7"/>
  <c r="B85" i="7"/>
  <c r="A85" i="7"/>
  <c r="P84" i="7"/>
  <c r="E84" i="7"/>
  <c r="H84" i="7" s="1"/>
  <c r="D84" i="7"/>
  <c r="G84" i="7" s="1"/>
  <c r="C84" i="7"/>
  <c r="B84" i="7"/>
  <c r="A84" i="7"/>
  <c r="P83" i="7"/>
  <c r="E83" i="7"/>
  <c r="H83" i="7" s="1"/>
  <c r="D83" i="7"/>
  <c r="G83" i="7" s="1"/>
  <c r="C83" i="7"/>
  <c r="L83" i="7" s="1"/>
  <c r="B83" i="7"/>
  <c r="A83" i="7"/>
  <c r="P82" i="7"/>
  <c r="E82" i="7"/>
  <c r="H82" i="7" s="1"/>
  <c r="D82" i="7"/>
  <c r="G82" i="7" s="1"/>
  <c r="C82" i="7"/>
  <c r="B82" i="7"/>
  <c r="A82" i="7"/>
  <c r="H81" i="7"/>
  <c r="G81" i="7"/>
  <c r="E81" i="7"/>
  <c r="D81" i="7"/>
  <c r="C81" i="7"/>
  <c r="B81" i="7"/>
  <c r="P80" i="7"/>
  <c r="M103" i="8" l="1"/>
  <c r="I103" i="8" s="1"/>
  <c r="M102" i="8"/>
  <c r="Q212" i="8"/>
  <c r="S211" i="8" s="1"/>
  <c r="Q213" i="8"/>
  <c r="S212" i="8" s="1"/>
  <c r="Q211" i="8"/>
  <c r="S210" i="8" s="1"/>
  <c r="Q210" i="8"/>
  <c r="S209" i="8" s="1"/>
  <c r="Q209" i="8"/>
  <c r="Q214" i="8"/>
  <c r="S213" i="8" s="1"/>
  <c r="L104" i="8"/>
  <c r="K84" i="8"/>
  <c r="K96" i="8"/>
  <c r="L112" i="8"/>
  <c r="M83" i="8"/>
  <c r="I83" i="8" s="1"/>
  <c r="L84" i="8"/>
  <c r="M90" i="8"/>
  <c r="O90" i="8" s="1"/>
  <c r="Q90" i="8" s="1"/>
  <c r="M95" i="8"/>
  <c r="I95" i="8" s="1"/>
  <c r="Q161" i="8"/>
  <c r="S160" i="8" s="1"/>
  <c r="U160" i="8" s="1"/>
  <c r="Q168" i="8"/>
  <c r="S167" i="8" s="1"/>
  <c r="U167" i="8" s="1"/>
  <c r="Q159" i="8"/>
  <c r="Q167" i="8"/>
  <c r="S166" i="8" s="1"/>
  <c r="U166" i="8" s="1"/>
  <c r="Q166" i="8"/>
  <c r="S165" i="8" s="1"/>
  <c r="U165" i="8" s="1"/>
  <c r="Q160" i="8"/>
  <c r="U159" i="8" s="1"/>
  <c r="Q165" i="8"/>
  <c r="S164" i="8" s="1"/>
  <c r="U164" i="8" s="1"/>
  <c r="Q164" i="8"/>
  <c r="S163" i="8" s="1"/>
  <c r="U163" i="8" s="1"/>
  <c r="Q162" i="8"/>
  <c r="S161" i="8" s="1"/>
  <c r="U161" i="8" s="1"/>
  <c r="Q163" i="8"/>
  <c r="S162" i="8" s="1"/>
  <c r="U162" i="8" s="1"/>
  <c r="Q169" i="8"/>
  <c r="S168" i="8" s="1"/>
  <c r="U168" i="8" s="1"/>
  <c r="M106" i="8"/>
  <c r="I106" i="8" s="1"/>
  <c r="G110" i="8"/>
  <c r="K89" i="8"/>
  <c r="M111" i="8"/>
  <c r="I111" i="8" s="1"/>
  <c r="I105" i="8"/>
  <c r="K105" i="8"/>
  <c r="M94" i="8"/>
  <c r="O94" i="8" s="1"/>
  <c r="Q94" i="8" s="1"/>
  <c r="L96" i="8"/>
  <c r="M110" i="8"/>
  <c r="I110" i="8" s="1"/>
  <c r="L88" i="8"/>
  <c r="M88" i="8"/>
  <c r="O88" i="8" s="1"/>
  <c r="Q88" i="8" s="1"/>
  <c r="G105" i="8"/>
  <c r="K85" i="8"/>
  <c r="G86" i="8"/>
  <c r="K91" i="8"/>
  <c r="K97" i="8"/>
  <c r="M98" i="8"/>
  <c r="I98" i="8" s="1"/>
  <c r="K99" i="8"/>
  <c r="G101" i="8"/>
  <c r="K107" i="8"/>
  <c r="Q93" i="8"/>
  <c r="H85" i="8"/>
  <c r="K87" i="8"/>
  <c r="M91" i="8"/>
  <c r="I91" i="8" s="1"/>
  <c r="K92" i="8"/>
  <c r="M99" i="8"/>
  <c r="I99" i="8" s="1"/>
  <c r="M107" i="8"/>
  <c r="I107" i="8" s="1"/>
  <c r="M86" i="8"/>
  <c r="I86" i="8" s="1"/>
  <c r="M87" i="8"/>
  <c r="I101" i="8"/>
  <c r="K109" i="8"/>
  <c r="K83" i="8"/>
  <c r="K93" i="8"/>
  <c r="K95" i="8"/>
  <c r="K101" i="8"/>
  <c r="K103" i="8"/>
  <c r="K111" i="8"/>
  <c r="F111" i="7"/>
  <c r="O92" i="8"/>
  <c r="Q92" i="8" s="1"/>
  <c r="I92" i="8"/>
  <c r="O108" i="8"/>
  <c r="Q108" i="8" s="1"/>
  <c r="I108" i="8"/>
  <c r="O96" i="8"/>
  <c r="Q96" i="8" s="1"/>
  <c r="I96" i="8"/>
  <c r="O84" i="8"/>
  <c r="Q84" i="8" s="1"/>
  <c r="I84" i="8"/>
  <c r="I85" i="8"/>
  <c r="G88" i="8"/>
  <c r="M100" i="8"/>
  <c r="K108" i="8"/>
  <c r="Q109" i="8"/>
  <c r="I89" i="8"/>
  <c r="G92" i="8"/>
  <c r="M104" i="8"/>
  <c r="L108" i="8"/>
  <c r="K112" i="8"/>
  <c r="Q85" i="8"/>
  <c r="I93" i="8"/>
  <c r="G96" i="8"/>
  <c r="I102" i="8"/>
  <c r="O102" i="8"/>
  <c r="Q102" i="8" s="1"/>
  <c r="Q89" i="8"/>
  <c r="O91" i="8"/>
  <c r="Q91" i="8" s="1"/>
  <c r="I97" i="8"/>
  <c r="G100" i="8"/>
  <c r="G104" i="8"/>
  <c r="L92" i="8"/>
  <c r="G108" i="8"/>
  <c r="K100" i="8"/>
  <c r="Q101" i="8"/>
  <c r="O103" i="8"/>
  <c r="Q103" i="8" s="1"/>
  <c r="I109" i="8"/>
  <c r="G112" i="8"/>
  <c r="I88" i="8"/>
  <c r="G90" i="8"/>
  <c r="Q97" i="8"/>
  <c r="O112" i="8"/>
  <c r="Q112" i="8" s="1"/>
  <c r="I112" i="8"/>
  <c r="G94" i="8"/>
  <c r="G84" i="8"/>
  <c r="G98" i="8"/>
  <c r="Q105" i="8"/>
  <c r="L86" i="8"/>
  <c r="L90" i="8"/>
  <c r="L94" i="8"/>
  <c r="L98" i="8"/>
  <c r="L102" i="8"/>
  <c r="L106" i="8"/>
  <c r="L110" i="8"/>
  <c r="L85" i="8"/>
  <c r="L89" i="8"/>
  <c r="U89" i="8" s="1"/>
  <c r="L93" i="8"/>
  <c r="L97" i="8"/>
  <c r="L101" i="8"/>
  <c r="L105" i="8"/>
  <c r="L109" i="8"/>
  <c r="M167" i="7"/>
  <c r="K167" i="7"/>
  <c r="K214" i="7"/>
  <c r="K218" i="7"/>
  <c r="K217" i="7"/>
  <c r="K164" i="7"/>
  <c r="L215" i="7"/>
  <c r="L214" i="7"/>
  <c r="K215" i="7"/>
  <c r="H111" i="7"/>
  <c r="Q214" i="7"/>
  <c r="F216" i="7"/>
  <c r="L164" i="7"/>
  <c r="M166" i="7"/>
  <c r="L219" i="7"/>
  <c r="M216" i="7"/>
  <c r="I216" i="7" s="1"/>
  <c r="M160" i="7"/>
  <c r="I160" i="7" s="1"/>
  <c r="F168" i="7"/>
  <c r="L166" i="7"/>
  <c r="F219" i="7"/>
  <c r="L216" i="7"/>
  <c r="M168" i="7"/>
  <c r="O168" i="7" s="1"/>
  <c r="Q168" i="7" s="1"/>
  <c r="M218" i="7"/>
  <c r="O218" i="7" s="1"/>
  <c r="Q218" i="7" s="1"/>
  <c r="F215" i="7"/>
  <c r="F218" i="7"/>
  <c r="G219" i="7"/>
  <c r="F217" i="7"/>
  <c r="H216" i="7"/>
  <c r="I219" i="7"/>
  <c r="O219" i="7"/>
  <c r="Q219" i="7" s="1"/>
  <c r="I215" i="7"/>
  <c r="O215" i="7"/>
  <c r="Q215" i="7" s="1"/>
  <c r="O216" i="7"/>
  <c r="Q216" i="7" s="1"/>
  <c r="I214" i="7"/>
  <c r="G218" i="7"/>
  <c r="F214" i="7"/>
  <c r="Q161" i="7"/>
  <c r="L163" i="7"/>
  <c r="I165" i="7"/>
  <c r="G168" i="7"/>
  <c r="F157" i="7"/>
  <c r="F160" i="7"/>
  <c r="M162" i="7"/>
  <c r="O162" i="7" s="1"/>
  <c r="Q162" i="7" s="1"/>
  <c r="K161" i="7"/>
  <c r="F166" i="7"/>
  <c r="F164" i="7"/>
  <c r="F165" i="7"/>
  <c r="O167" i="7"/>
  <c r="Q167" i="7" s="1"/>
  <c r="F112" i="7"/>
  <c r="F161" i="7"/>
  <c r="M163" i="7"/>
  <c r="O163" i="7" s="1"/>
  <c r="Q163" i="7" s="1"/>
  <c r="L157" i="7"/>
  <c r="L158" i="7"/>
  <c r="K159" i="7"/>
  <c r="M158" i="7"/>
  <c r="O158" i="7" s="1"/>
  <c r="Q158" i="7" s="1"/>
  <c r="M159" i="7"/>
  <c r="O159" i="7" s="1"/>
  <c r="Q159" i="7" s="1"/>
  <c r="K160" i="7"/>
  <c r="F162" i="7"/>
  <c r="F158" i="7"/>
  <c r="F163" i="7"/>
  <c r="K163" i="7"/>
  <c r="H157" i="7"/>
  <c r="O157" i="7"/>
  <c r="Q157" i="7" s="1"/>
  <c r="H165" i="7"/>
  <c r="G164" i="7"/>
  <c r="G166" i="7"/>
  <c r="L162" i="7"/>
  <c r="G160" i="7"/>
  <c r="K157" i="7"/>
  <c r="F159" i="7"/>
  <c r="L161" i="7"/>
  <c r="G162" i="7"/>
  <c r="F167" i="7"/>
  <c r="O164" i="7"/>
  <c r="Q164" i="7" s="1"/>
  <c r="I164" i="7"/>
  <c r="G158" i="7"/>
  <c r="O161" i="7"/>
  <c r="L110" i="7"/>
  <c r="L85" i="7"/>
  <c r="L89" i="7"/>
  <c r="L93" i="7"/>
  <c r="L101" i="7"/>
  <c r="M84" i="7"/>
  <c r="I84" i="7" s="1"/>
  <c r="M88" i="7"/>
  <c r="I88" i="7" s="1"/>
  <c r="M92" i="7"/>
  <c r="I92" i="7" s="1"/>
  <c r="M96" i="7"/>
  <c r="I96" i="7" s="1"/>
  <c r="M100" i="7"/>
  <c r="I100" i="7" s="1"/>
  <c r="L104" i="7"/>
  <c r="M108" i="7"/>
  <c r="O108" i="7" s="1"/>
  <c r="Q108" i="7" s="1"/>
  <c r="M111" i="7"/>
  <c r="I111" i="7" s="1"/>
  <c r="M112" i="7"/>
  <c r="O112" i="7" s="1"/>
  <c r="Q112" i="7" s="1"/>
  <c r="L87" i="7"/>
  <c r="L91" i="7"/>
  <c r="L95" i="7"/>
  <c r="L99" i="7"/>
  <c r="L103" i="7"/>
  <c r="L107" i="7"/>
  <c r="L112" i="7"/>
  <c r="L111" i="7"/>
  <c r="K111" i="7"/>
  <c r="L82" i="7"/>
  <c r="L86" i="7"/>
  <c r="L90" i="7"/>
  <c r="L94" i="7"/>
  <c r="L98" i="7"/>
  <c r="L102" i="7"/>
  <c r="L106" i="7"/>
  <c r="M110" i="7"/>
  <c r="I110" i="7" s="1"/>
  <c r="L97" i="7"/>
  <c r="M105" i="7"/>
  <c r="I105" i="7" s="1"/>
  <c r="K109" i="7"/>
  <c r="K112" i="7"/>
  <c r="G110" i="7"/>
  <c r="F110" i="7"/>
  <c r="G112" i="7"/>
  <c r="F88" i="7"/>
  <c r="F100" i="7"/>
  <c r="K86" i="7"/>
  <c r="K101" i="7"/>
  <c r="F86" i="7"/>
  <c r="K99" i="7"/>
  <c r="M99" i="7"/>
  <c r="I99" i="7" s="1"/>
  <c r="K102" i="7"/>
  <c r="K100" i="7"/>
  <c r="M101" i="7"/>
  <c r="O101" i="7" s="1"/>
  <c r="Q101" i="7" s="1"/>
  <c r="K82" i="7"/>
  <c r="K83" i="7"/>
  <c r="F96" i="7"/>
  <c r="M82" i="7"/>
  <c r="K91" i="7"/>
  <c r="F95" i="7"/>
  <c r="M91" i="7"/>
  <c r="I91" i="7" s="1"/>
  <c r="M85" i="7"/>
  <c r="O85" i="7" s="1"/>
  <c r="Q85" i="7" s="1"/>
  <c r="K106" i="7"/>
  <c r="K84" i="7"/>
  <c r="F92" i="7"/>
  <c r="M93" i="7"/>
  <c r="O93" i="7" s="1"/>
  <c r="Q93" i="7" s="1"/>
  <c r="K94" i="7"/>
  <c r="K92" i="7"/>
  <c r="M94" i="7"/>
  <c r="F87" i="7"/>
  <c r="F105" i="7"/>
  <c r="G87" i="7"/>
  <c r="M95" i="7"/>
  <c r="I95" i="7" s="1"/>
  <c r="G96" i="7"/>
  <c r="K107" i="7"/>
  <c r="G95" i="7"/>
  <c r="F103" i="7"/>
  <c r="K87" i="7"/>
  <c r="G88" i="7"/>
  <c r="F83" i="7"/>
  <c r="K88" i="7"/>
  <c r="M89" i="7"/>
  <c r="O89" i="7" s="1"/>
  <c r="Q89" i="7" s="1"/>
  <c r="K90" i="7"/>
  <c r="K96" i="7"/>
  <c r="M97" i="7"/>
  <c r="O97" i="7" s="1"/>
  <c r="Q97" i="7" s="1"/>
  <c r="K98" i="7"/>
  <c r="F104" i="7"/>
  <c r="M90" i="7"/>
  <c r="M98" i="7"/>
  <c r="F101" i="7"/>
  <c r="F84" i="7"/>
  <c r="M86" i="7"/>
  <c r="F91" i="7"/>
  <c r="K95" i="7"/>
  <c r="F99" i="7"/>
  <c r="M102" i="7"/>
  <c r="M106" i="7"/>
  <c r="K108" i="7"/>
  <c r="M103" i="7"/>
  <c r="M104" i="7"/>
  <c r="L105" i="7"/>
  <c r="H104" i="7"/>
  <c r="F106" i="7"/>
  <c r="F85" i="7"/>
  <c r="F89" i="7"/>
  <c r="F93" i="7"/>
  <c r="G101" i="7"/>
  <c r="F102" i="7"/>
  <c r="M107" i="7"/>
  <c r="F90" i="7"/>
  <c r="F98" i="7"/>
  <c r="G86" i="7"/>
  <c r="L88" i="7"/>
  <c r="L92" i="7"/>
  <c r="G106" i="7"/>
  <c r="F107" i="7"/>
  <c r="F108" i="7"/>
  <c r="F109" i="7"/>
  <c r="F82" i="7"/>
  <c r="M83" i="7"/>
  <c r="M87" i="7"/>
  <c r="F94" i="7"/>
  <c r="L84" i="7"/>
  <c r="L96" i="7"/>
  <c r="L100" i="7"/>
  <c r="H103" i="7"/>
  <c r="K85" i="7"/>
  <c r="K89" i="7"/>
  <c r="K93" i="7"/>
  <c r="K97" i="7"/>
  <c r="K103" i="7"/>
  <c r="K104" i="7"/>
  <c r="K105" i="7"/>
  <c r="L108" i="7"/>
  <c r="L109" i="7"/>
  <c r="F97" i="7"/>
  <c r="M109" i="7"/>
  <c r="O106" i="8" l="1"/>
  <c r="Q106" i="8" s="1"/>
  <c r="T209" i="8"/>
  <c r="V209" i="8"/>
  <c r="V210" i="8"/>
  <c r="T210" i="8"/>
  <c r="I90" i="8"/>
  <c r="T211" i="8"/>
  <c r="V211" i="8"/>
  <c r="S94" i="8"/>
  <c r="U94" i="8" s="1"/>
  <c r="I94" i="8"/>
  <c r="T212" i="8"/>
  <c r="V212" i="8"/>
  <c r="T213" i="8"/>
  <c r="V213" i="8"/>
  <c r="O111" i="8"/>
  <c r="Q111" i="8" s="1"/>
  <c r="O95" i="8"/>
  <c r="Q95" i="8" s="1"/>
  <c r="S92" i="8" s="1"/>
  <c r="U92" i="8" s="1"/>
  <c r="S84" i="8"/>
  <c r="U84" i="8" s="1"/>
  <c r="T160" i="8"/>
  <c r="V160" i="8"/>
  <c r="T159" i="8"/>
  <c r="V159" i="8"/>
  <c r="O83" i="8"/>
  <c r="Q83" i="8" s="1"/>
  <c r="S83" i="8" s="1"/>
  <c r="U83" i="8" s="1"/>
  <c r="V169" i="8"/>
  <c r="T169" i="8"/>
  <c r="V165" i="8"/>
  <c r="T165" i="8"/>
  <c r="T168" i="8"/>
  <c r="V168" i="8"/>
  <c r="T167" i="8"/>
  <c r="V167" i="8"/>
  <c r="V162" i="8"/>
  <c r="T162" i="8"/>
  <c r="V163" i="8"/>
  <c r="T163" i="8"/>
  <c r="S88" i="8"/>
  <c r="U88" i="8" s="1"/>
  <c r="T164" i="8"/>
  <c r="V164" i="8"/>
  <c r="S90" i="8"/>
  <c r="U90" i="8" s="1"/>
  <c r="V166" i="8"/>
  <c r="T166" i="8"/>
  <c r="T161" i="8"/>
  <c r="V161" i="8"/>
  <c r="S110" i="8"/>
  <c r="U110" i="8" s="1"/>
  <c r="S106" i="8"/>
  <c r="U106" i="8" s="1"/>
  <c r="S102" i="8"/>
  <c r="U102" i="8" s="1"/>
  <c r="S98" i="8"/>
  <c r="U98" i="8" s="1"/>
  <c r="O86" i="8"/>
  <c r="Q86" i="8" s="1"/>
  <c r="S86" i="8" s="1"/>
  <c r="U86" i="8" s="1"/>
  <c r="S108" i="8"/>
  <c r="U108" i="8" s="1"/>
  <c r="S111" i="8"/>
  <c r="U111" i="8" s="1"/>
  <c r="O110" i="8"/>
  <c r="Q110" i="8" s="1"/>
  <c r="S109" i="8" s="1"/>
  <c r="U109" i="8" s="1"/>
  <c r="S103" i="8"/>
  <c r="U103" i="8" s="1"/>
  <c r="S105" i="8"/>
  <c r="U105" i="8" s="1"/>
  <c r="S91" i="8"/>
  <c r="U91" i="8" s="1"/>
  <c r="S85" i="8"/>
  <c r="U85" i="8" s="1"/>
  <c r="S112" i="8"/>
  <c r="U112" i="8" s="1"/>
  <c r="S93" i="8"/>
  <c r="U93" i="8" s="1"/>
  <c r="S107" i="8"/>
  <c r="U107" i="8" s="1"/>
  <c r="O107" i="8"/>
  <c r="Q107" i="8" s="1"/>
  <c r="S104" i="8" s="1"/>
  <c r="U104" i="8" s="1"/>
  <c r="S100" i="8"/>
  <c r="U100" i="8" s="1"/>
  <c r="S99" i="8"/>
  <c r="U99" i="8" s="1"/>
  <c r="O98" i="8"/>
  <c r="Q98" i="8" s="1"/>
  <c r="S95" i="8" s="1"/>
  <c r="O99" i="8"/>
  <c r="Q99" i="8" s="1"/>
  <c r="S96" i="8" s="1"/>
  <c r="I87" i="8"/>
  <c r="O87" i="8"/>
  <c r="Q87" i="8" s="1"/>
  <c r="S87" i="8" s="1"/>
  <c r="U87" i="8" s="1"/>
  <c r="O105" i="7"/>
  <c r="Q105" i="7" s="1"/>
  <c r="T102" i="8"/>
  <c r="V102" i="8"/>
  <c r="O100" i="8"/>
  <c r="Q100" i="8" s="1"/>
  <c r="S97" i="8" s="1"/>
  <c r="U97" i="8" s="1"/>
  <c r="I100" i="8"/>
  <c r="O104" i="8"/>
  <c r="Q104" i="8" s="1"/>
  <c r="S101" i="8" s="1"/>
  <c r="U101" i="8" s="1"/>
  <c r="I104" i="8"/>
  <c r="I162" i="7"/>
  <c r="U215" i="7"/>
  <c r="O160" i="7"/>
  <c r="Q160" i="7" s="1"/>
  <c r="T216" i="7"/>
  <c r="T218" i="7"/>
  <c r="I218" i="7"/>
  <c r="T214" i="7"/>
  <c r="U219" i="7"/>
  <c r="I217" i="7"/>
  <c r="O217" i="7"/>
  <c r="Q217" i="7" s="1"/>
  <c r="S157" i="7"/>
  <c r="U157" i="7" s="1"/>
  <c r="S167" i="7"/>
  <c r="U167" i="7" s="1"/>
  <c r="O165" i="7"/>
  <c r="I158" i="7"/>
  <c r="I167" i="7"/>
  <c r="S162" i="7"/>
  <c r="U162" i="7" s="1"/>
  <c r="S168" i="7"/>
  <c r="U168" i="7" s="1"/>
  <c r="S161" i="7"/>
  <c r="T161" i="7" s="1"/>
  <c r="S159" i="7"/>
  <c r="T159" i="7" s="1"/>
  <c r="S158" i="7"/>
  <c r="T158" i="7" s="1"/>
  <c r="S163" i="7"/>
  <c r="T163" i="7" s="1"/>
  <c r="S164" i="7"/>
  <c r="T164" i="7" s="1"/>
  <c r="I159" i="7"/>
  <c r="I163" i="7"/>
  <c r="I168" i="7"/>
  <c r="S160" i="7"/>
  <c r="T157" i="7"/>
  <c r="I166" i="7"/>
  <c r="O166" i="7"/>
  <c r="O96" i="7"/>
  <c r="Q96" i="7" s="1"/>
  <c r="S96" i="7" s="1"/>
  <c r="T96" i="7" s="1"/>
  <c r="O100" i="7"/>
  <c r="Q100" i="7" s="1"/>
  <c r="S100" i="7" s="1"/>
  <c r="U100" i="7" s="1"/>
  <c r="I108" i="7"/>
  <c r="S112" i="7"/>
  <c r="T112" i="7" s="1"/>
  <c r="O111" i="7"/>
  <c r="Q111" i="7" s="1"/>
  <c r="S111" i="7" s="1"/>
  <c r="U111" i="7" s="1"/>
  <c r="O88" i="7"/>
  <c r="Q88" i="7" s="1"/>
  <c r="S88" i="7" s="1"/>
  <c r="T88" i="7" s="1"/>
  <c r="O84" i="7"/>
  <c r="Q84" i="7" s="1"/>
  <c r="S84" i="7" s="1"/>
  <c r="T84" i="7" s="1"/>
  <c r="O110" i="7"/>
  <c r="Q110" i="7" s="1"/>
  <c r="S110" i="7" s="1"/>
  <c r="T110" i="7" s="1"/>
  <c r="O92" i="7"/>
  <c r="Q92" i="7" s="1"/>
  <c r="S92" i="7" s="1"/>
  <c r="I112" i="7"/>
  <c r="O82" i="7"/>
  <c r="Q82" i="7" s="1"/>
  <c r="S82" i="7" s="1"/>
  <c r="U82" i="7" s="1"/>
  <c r="I82" i="7"/>
  <c r="S101" i="7"/>
  <c r="T101" i="7" s="1"/>
  <c r="I101" i="7"/>
  <c r="O99" i="7"/>
  <c r="Q99" i="7" s="1"/>
  <c r="S99" i="7" s="1"/>
  <c r="U99" i="7" s="1"/>
  <c r="I89" i="7"/>
  <c r="S89" i="7"/>
  <c r="T89" i="7" s="1"/>
  <c r="O91" i="7"/>
  <c r="Q91" i="7" s="1"/>
  <c r="S91" i="7" s="1"/>
  <c r="T91" i="7" s="1"/>
  <c r="S97" i="7"/>
  <c r="T97" i="7" s="1"/>
  <c r="S93" i="7"/>
  <c r="T93" i="7" s="1"/>
  <c r="O95" i="7"/>
  <c r="Q95" i="7" s="1"/>
  <c r="S95" i="7" s="1"/>
  <c r="U95" i="7" s="1"/>
  <c r="O94" i="7"/>
  <c r="Q94" i="7" s="1"/>
  <c r="S94" i="7" s="1"/>
  <c r="T94" i="7" s="1"/>
  <c r="I94" i="7"/>
  <c r="S85" i="7"/>
  <c r="T85" i="7" s="1"/>
  <c r="I85" i="7"/>
  <c r="I93" i="7"/>
  <c r="I97" i="7"/>
  <c r="O98" i="7"/>
  <c r="Q98" i="7" s="1"/>
  <c r="S98" i="7" s="1"/>
  <c r="I98" i="7"/>
  <c r="O90" i="7"/>
  <c r="Q90" i="7" s="1"/>
  <c r="S90" i="7" s="1"/>
  <c r="I90" i="7"/>
  <c r="O86" i="7"/>
  <c r="Q86" i="7" s="1"/>
  <c r="S86" i="7" s="1"/>
  <c r="I86" i="7"/>
  <c r="I106" i="7"/>
  <c r="O106" i="7"/>
  <c r="Q106" i="7" s="1"/>
  <c r="S106" i="7" s="1"/>
  <c r="S108" i="7"/>
  <c r="U108" i="7" s="1"/>
  <c r="S105" i="7"/>
  <c r="T105" i="7" s="1"/>
  <c r="I102" i="7"/>
  <c r="O102" i="7"/>
  <c r="Q102" i="7" s="1"/>
  <c r="S102" i="7" s="1"/>
  <c r="I87" i="7"/>
  <c r="O87" i="7"/>
  <c r="Q87" i="7" s="1"/>
  <c r="S87" i="7" s="1"/>
  <c r="I83" i="7"/>
  <c r="O83" i="7"/>
  <c r="Q83" i="7" s="1"/>
  <c r="S83" i="7" s="1"/>
  <c r="O104" i="7"/>
  <c r="Q104" i="7" s="1"/>
  <c r="S104" i="7" s="1"/>
  <c r="I104" i="7"/>
  <c r="I107" i="7"/>
  <c r="O107" i="7"/>
  <c r="Q107" i="7" s="1"/>
  <c r="S107" i="7" s="1"/>
  <c r="I103" i="7"/>
  <c r="O103" i="7"/>
  <c r="Q103" i="7" s="1"/>
  <c r="S103" i="7" s="1"/>
  <c r="O109" i="7"/>
  <c r="Q109" i="7" s="1"/>
  <c r="S109" i="7" s="1"/>
  <c r="I109" i="7"/>
  <c r="P301" i="2"/>
  <c r="G301" i="2"/>
  <c r="F301" i="2"/>
  <c r="E301" i="2"/>
  <c r="H301" i="2" s="1"/>
  <c r="D301" i="2"/>
  <c r="C301" i="2"/>
  <c r="K301" i="2" s="1"/>
  <c r="B301" i="2"/>
  <c r="A301" i="2"/>
  <c r="P300" i="2"/>
  <c r="G300" i="2"/>
  <c r="E300" i="2"/>
  <c r="H300" i="2" s="1"/>
  <c r="D300" i="2"/>
  <c r="C300" i="2"/>
  <c r="M300" i="2" s="1"/>
  <c r="B300" i="2"/>
  <c r="A300" i="2"/>
  <c r="P299" i="2"/>
  <c r="K299" i="2"/>
  <c r="H299" i="2"/>
  <c r="G299" i="2"/>
  <c r="E299" i="2"/>
  <c r="F299" i="2" s="1"/>
  <c r="D299" i="2"/>
  <c r="C299" i="2"/>
  <c r="L299" i="2" s="1"/>
  <c r="B299" i="2"/>
  <c r="A299" i="2"/>
  <c r="P298" i="2"/>
  <c r="M298" i="2"/>
  <c r="O298" i="2" s="1"/>
  <c r="K298" i="2"/>
  <c r="E298" i="2"/>
  <c r="H298" i="2" s="1"/>
  <c r="D298" i="2"/>
  <c r="G298" i="2" s="1"/>
  <c r="C298" i="2"/>
  <c r="L298" i="2" s="1"/>
  <c r="B298" i="2"/>
  <c r="A298" i="2"/>
  <c r="P297" i="2"/>
  <c r="F297" i="2"/>
  <c r="E297" i="2"/>
  <c r="H297" i="2" s="1"/>
  <c r="D297" i="2"/>
  <c r="C297" i="2"/>
  <c r="K297" i="2" s="1"/>
  <c r="B297" i="2"/>
  <c r="A297" i="2"/>
  <c r="P296" i="2"/>
  <c r="G296" i="2"/>
  <c r="E296" i="2"/>
  <c r="H296" i="2" s="1"/>
  <c r="D296" i="2"/>
  <c r="C296" i="2"/>
  <c r="M296" i="2" s="1"/>
  <c r="B296" i="2"/>
  <c r="A296" i="2"/>
  <c r="P295" i="2"/>
  <c r="K295" i="2"/>
  <c r="H295" i="2"/>
  <c r="G295" i="2"/>
  <c r="E295" i="2"/>
  <c r="F295" i="2" s="1"/>
  <c r="D295" i="2"/>
  <c r="C295" i="2"/>
  <c r="L295" i="2" s="1"/>
  <c r="B295" i="2"/>
  <c r="A295" i="2"/>
  <c r="P294" i="2"/>
  <c r="M294" i="2"/>
  <c r="O294" i="2" s="1"/>
  <c r="K294" i="2"/>
  <c r="E294" i="2"/>
  <c r="H294" i="2" s="1"/>
  <c r="D294" i="2"/>
  <c r="G294" i="2" s="1"/>
  <c r="C294" i="2"/>
  <c r="L294" i="2" s="1"/>
  <c r="B294" i="2"/>
  <c r="A294" i="2"/>
  <c r="P293" i="2"/>
  <c r="F293" i="2"/>
  <c r="E293" i="2"/>
  <c r="H293" i="2" s="1"/>
  <c r="D293" i="2"/>
  <c r="C293" i="2"/>
  <c r="K293" i="2" s="1"/>
  <c r="B293" i="2"/>
  <c r="A293" i="2"/>
  <c r="P292" i="2"/>
  <c r="G292" i="2"/>
  <c r="E292" i="2"/>
  <c r="H292" i="2" s="1"/>
  <c r="D292" i="2"/>
  <c r="C292" i="2"/>
  <c r="M292" i="2" s="1"/>
  <c r="B292" i="2"/>
  <c r="A292" i="2"/>
  <c r="P291" i="2"/>
  <c r="K291" i="2"/>
  <c r="H291" i="2"/>
  <c r="G291" i="2"/>
  <c r="E291" i="2"/>
  <c r="F291" i="2" s="1"/>
  <c r="D291" i="2"/>
  <c r="C291" i="2"/>
  <c r="M291" i="2" s="1"/>
  <c r="B291" i="2"/>
  <c r="A291" i="2"/>
  <c r="P290" i="2"/>
  <c r="M290" i="2"/>
  <c r="O290" i="2" s="1"/>
  <c r="K290" i="2"/>
  <c r="E290" i="2"/>
  <c r="H290" i="2" s="1"/>
  <c r="D290" i="2"/>
  <c r="G290" i="2" s="1"/>
  <c r="C290" i="2"/>
  <c r="L290" i="2" s="1"/>
  <c r="B290" i="2"/>
  <c r="A290" i="2"/>
  <c r="P289" i="2"/>
  <c r="F289" i="2"/>
  <c r="E289" i="2"/>
  <c r="H289" i="2" s="1"/>
  <c r="D289" i="2"/>
  <c r="C289" i="2"/>
  <c r="K289" i="2" s="1"/>
  <c r="B289" i="2"/>
  <c r="A289" i="2"/>
  <c r="P288" i="2"/>
  <c r="G288" i="2"/>
  <c r="E288" i="2"/>
  <c r="H288" i="2" s="1"/>
  <c r="D288" i="2"/>
  <c r="C288" i="2"/>
  <c r="M288" i="2" s="1"/>
  <c r="B288" i="2"/>
  <c r="A288" i="2"/>
  <c r="P287" i="2"/>
  <c r="K287" i="2"/>
  <c r="H287" i="2"/>
  <c r="G287" i="2"/>
  <c r="E287" i="2"/>
  <c r="D287" i="2"/>
  <c r="F287" i="2" s="1"/>
  <c r="C287" i="2"/>
  <c r="L287" i="2" s="1"/>
  <c r="B287" i="2"/>
  <c r="A287" i="2"/>
  <c r="P286" i="2"/>
  <c r="M286" i="2"/>
  <c r="O286" i="2" s="1"/>
  <c r="K286" i="2"/>
  <c r="E286" i="2"/>
  <c r="H286" i="2" s="1"/>
  <c r="D286" i="2"/>
  <c r="G286" i="2" s="1"/>
  <c r="C286" i="2"/>
  <c r="L286" i="2" s="1"/>
  <c r="B286" i="2"/>
  <c r="A286" i="2"/>
  <c r="P285" i="2"/>
  <c r="F285" i="2"/>
  <c r="E285" i="2"/>
  <c r="H285" i="2" s="1"/>
  <c r="D285" i="2"/>
  <c r="C285" i="2"/>
  <c r="K285" i="2" s="1"/>
  <c r="B285" i="2"/>
  <c r="A285" i="2"/>
  <c r="P284" i="2"/>
  <c r="G284" i="2"/>
  <c r="E284" i="2"/>
  <c r="H284" i="2" s="1"/>
  <c r="D284" i="2"/>
  <c r="C284" i="2"/>
  <c r="M284" i="2" s="1"/>
  <c r="B284" i="2"/>
  <c r="A284" i="2"/>
  <c r="P283" i="2"/>
  <c r="K283" i="2"/>
  <c r="H283" i="2"/>
  <c r="G283" i="2"/>
  <c r="E283" i="2"/>
  <c r="D283" i="2"/>
  <c r="F283" i="2" s="1"/>
  <c r="C283" i="2"/>
  <c r="L283" i="2" s="1"/>
  <c r="B283" i="2"/>
  <c r="A283" i="2"/>
  <c r="P282" i="2"/>
  <c r="M282" i="2"/>
  <c r="O282" i="2" s="1"/>
  <c r="K282" i="2"/>
  <c r="E282" i="2"/>
  <c r="H282" i="2" s="1"/>
  <c r="D282" i="2"/>
  <c r="G282" i="2" s="1"/>
  <c r="C282" i="2"/>
  <c r="L282" i="2" s="1"/>
  <c r="B282" i="2"/>
  <c r="A282" i="2"/>
  <c r="P281" i="2"/>
  <c r="F281" i="2"/>
  <c r="E281" i="2"/>
  <c r="H281" i="2" s="1"/>
  <c r="D281" i="2"/>
  <c r="C281" i="2"/>
  <c r="K281" i="2" s="1"/>
  <c r="B281" i="2"/>
  <c r="A281" i="2"/>
  <c r="P280" i="2"/>
  <c r="G280" i="2"/>
  <c r="E280" i="2"/>
  <c r="H280" i="2" s="1"/>
  <c r="D280" i="2"/>
  <c r="C280" i="2"/>
  <c r="M280" i="2" s="1"/>
  <c r="B280" i="2"/>
  <c r="A280" i="2"/>
  <c r="P279" i="2"/>
  <c r="K279" i="2"/>
  <c r="H279" i="2"/>
  <c r="G279" i="2"/>
  <c r="E279" i="2"/>
  <c r="D279" i="2"/>
  <c r="F279" i="2" s="1"/>
  <c r="C279" i="2"/>
  <c r="L279" i="2" s="1"/>
  <c r="B279" i="2"/>
  <c r="A279" i="2"/>
  <c r="P278" i="2"/>
  <c r="M278" i="2"/>
  <c r="O278" i="2" s="1"/>
  <c r="K278" i="2"/>
  <c r="E278" i="2"/>
  <c r="H278" i="2" s="1"/>
  <c r="D278" i="2"/>
  <c r="G278" i="2" s="1"/>
  <c r="C278" i="2"/>
  <c r="L278" i="2" s="1"/>
  <c r="B278" i="2"/>
  <c r="A278" i="2"/>
  <c r="P277" i="2"/>
  <c r="F277" i="2"/>
  <c r="E277" i="2"/>
  <c r="H277" i="2" s="1"/>
  <c r="D277" i="2"/>
  <c r="C277" i="2"/>
  <c r="K277" i="2" s="1"/>
  <c r="B277" i="2"/>
  <c r="A277" i="2"/>
  <c r="P276" i="2"/>
  <c r="G276" i="2"/>
  <c r="E276" i="2"/>
  <c r="H276" i="2" s="1"/>
  <c r="D276" i="2"/>
  <c r="C276" i="2"/>
  <c r="M276" i="2" s="1"/>
  <c r="B276" i="2"/>
  <c r="A276" i="2"/>
  <c r="H275" i="2"/>
  <c r="G275" i="2"/>
  <c r="E275" i="2"/>
  <c r="D275" i="2"/>
  <c r="C275" i="2"/>
  <c r="B275" i="2"/>
  <c r="P274" i="2"/>
  <c r="AP240" i="2"/>
  <c r="AP241" i="2"/>
  <c r="AP242" i="2"/>
  <c r="AP243" i="2"/>
  <c r="AP244" i="2"/>
  <c r="AP245" i="2"/>
  <c r="AP246" i="2"/>
  <c r="AP247" i="2"/>
  <c r="AP206" i="2"/>
  <c r="AP207" i="2"/>
  <c r="AP208" i="2"/>
  <c r="AP209" i="2"/>
  <c r="AP210" i="2"/>
  <c r="AP211" i="2"/>
  <c r="AP212" i="2"/>
  <c r="AP213" i="2"/>
  <c r="H174" i="2"/>
  <c r="A175" i="2"/>
  <c r="B175" i="2"/>
  <c r="C175" i="2"/>
  <c r="L175" i="2" s="1"/>
  <c r="G174" i="2"/>
  <c r="E174" i="2"/>
  <c r="D174" i="2"/>
  <c r="C174" i="2"/>
  <c r="B174" i="2"/>
  <c r="P200" i="2"/>
  <c r="E200" i="2"/>
  <c r="H200" i="2" s="1"/>
  <c r="D200" i="2"/>
  <c r="G200" i="2" s="1"/>
  <c r="C200" i="2"/>
  <c r="L200" i="2" s="1"/>
  <c r="B200" i="2"/>
  <c r="A200" i="2"/>
  <c r="P199" i="2"/>
  <c r="E199" i="2"/>
  <c r="H199" i="2" s="1"/>
  <c r="D199" i="2"/>
  <c r="C199" i="2"/>
  <c r="B199" i="2"/>
  <c r="A199" i="2"/>
  <c r="P198" i="2"/>
  <c r="E198" i="2"/>
  <c r="H198" i="2" s="1"/>
  <c r="D198" i="2"/>
  <c r="C198" i="2"/>
  <c r="L198" i="2" s="1"/>
  <c r="B198" i="2"/>
  <c r="A198" i="2"/>
  <c r="P197" i="2"/>
  <c r="E197" i="2"/>
  <c r="H197" i="2" s="1"/>
  <c r="D197" i="2"/>
  <c r="C197" i="2"/>
  <c r="L197" i="2" s="1"/>
  <c r="B197" i="2"/>
  <c r="A197" i="2"/>
  <c r="P196" i="2"/>
  <c r="E196" i="2"/>
  <c r="H196" i="2" s="1"/>
  <c r="D196" i="2"/>
  <c r="C196" i="2"/>
  <c r="L196" i="2" s="1"/>
  <c r="B196" i="2"/>
  <c r="A196" i="2"/>
  <c r="P195" i="2"/>
  <c r="E195" i="2"/>
  <c r="H195" i="2" s="1"/>
  <c r="D195" i="2"/>
  <c r="C195" i="2"/>
  <c r="L195" i="2" s="1"/>
  <c r="B195" i="2"/>
  <c r="A195" i="2"/>
  <c r="P194" i="2"/>
  <c r="E194" i="2"/>
  <c r="H194" i="2" s="1"/>
  <c r="D194" i="2"/>
  <c r="C194" i="2"/>
  <c r="L194" i="2" s="1"/>
  <c r="B194" i="2"/>
  <c r="A194" i="2"/>
  <c r="P193" i="2"/>
  <c r="E193" i="2"/>
  <c r="H193" i="2" s="1"/>
  <c r="D193" i="2"/>
  <c r="G193" i="2" s="1"/>
  <c r="C193" i="2"/>
  <c r="B193" i="2"/>
  <c r="A193" i="2"/>
  <c r="P192" i="2"/>
  <c r="E192" i="2"/>
  <c r="H192" i="2" s="1"/>
  <c r="D192" i="2"/>
  <c r="G192" i="2" s="1"/>
  <c r="C192" i="2"/>
  <c r="B192" i="2"/>
  <c r="A192" i="2"/>
  <c r="P191" i="2"/>
  <c r="E191" i="2"/>
  <c r="H191" i="2" s="1"/>
  <c r="D191" i="2"/>
  <c r="G191" i="2" s="1"/>
  <c r="C191" i="2"/>
  <c r="B191" i="2"/>
  <c r="A191" i="2"/>
  <c r="P190" i="2"/>
  <c r="E190" i="2"/>
  <c r="H190" i="2" s="1"/>
  <c r="D190" i="2"/>
  <c r="G190" i="2" s="1"/>
  <c r="C190" i="2"/>
  <c r="L190" i="2" s="1"/>
  <c r="B190" i="2"/>
  <c r="A190" i="2"/>
  <c r="P189" i="2"/>
  <c r="M189" i="2"/>
  <c r="O189" i="2" s="1"/>
  <c r="E189" i="2"/>
  <c r="H189" i="2" s="1"/>
  <c r="D189" i="2"/>
  <c r="G189" i="2" s="1"/>
  <c r="C189" i="2"/>
  <c r="L189" i="2" s="1"/>
  <c r="B189" i="2"/>
  <c r="A189" i="2"/>
  <c r="P188" i="2"/>
  <c r="M188" i="2"/>
  <c r="O188" i="2" s="1"/>
  <c r="K188" i="2"/>
  <c r="E188" i="2"/>
  <c r="H188" i="2" s="1"/>
  <c r="D188" i="2"/>
  <c r="G188" i="2" s="1"/>
  <c r="C188" i="2"/>
  <c r="L188" i="2" s="1"/>
  <c r="B188" i="2"/>
  <c r="A188" i="2"/>
  <c r="P187" i="2"/>
  <c r="M187" i="2"/>
  <c r="K187" i="2"/>
  <c r="E187" i="2"/>
  <c r="H187" i="2" s="1"/>
  <c r="D187" i="2"/>
  <c r="G187" i="2" s="1"/>
  <c r="C187" i="2"/>
  <c r="L187" i="2" s="1"/>
  <c r="B187" i="2"/>
  <c r="A187" i="2"/>
  <c r="P186" i="2"/>
  <c r="M186" i="2"/>
  <c r="E186" i="2"/>
  <c r="H186" i="2" s="1"/>
  <c r="D186" i="2"/>
  <c r="G186" i="2" s="1"/>
  <c r="C186" i="2"/>
  <c r="L186" i="2" s="1"/>
  <c r="B186" i="2"/>
  <c r="A186" i="2"/>
  <c r="P185" i="2"/>
  <c r="E185" i="2"/>
  <c r="H185" i="2" s="1"/>
  <c r="D185" i="2"/>
  <c r="G185" i="2" s="1"/>
  <c r="C185" i="2"/>
  <c r="B185" i="2"/>
  <c r="A185" i="2"/>
  <c r="P184" i="2"/>
  <c r="E184" i="2"/>
  <c r="H184" i="2" s="1"/>
  <c r="D184" i="2"/>
  <c r="G184" i="2" s="1"/>
  <c r="C184" i="2"/>
  <c r="B184" i="2"/>
  <c r="A184" i="2"/>
  <c r="P183" i="2"/>
  <c r="E183" i="2"/>
  <c r="H183" i="2" s="1"/>
  <c r="D183" i="2"/>
  <c r="C183" i="2"/>
  <c r="L183" i="2" s="1"/>
  <c r="B183" i="2"/>
  <c r="A183" i="2"/>
  <c r="P182" i="2"/>
  <c r="E182" i="2"/>
  <c r="H182" i="2" s="1"/>
  <c r="D182" i="2"/>
  <c r="F182" i="2" s="1"/>
  <c r="C182" i="2"/>
  <c r="M182" i="2" s="1"/>
  <c r="I182" i="2" s="1"/>
  <c r="B182" i="2"/>
  <c r="A182" i="2"/>
  <c r="P181" i="2"/>
  <c r="E181" i="2"/>
  <c r="H181" i="2" s="1"/>
  <c r="D181" i="2"/>
  <c r="G181" i="2" s="1"/>
  <c r="C181" i="2"/>
  <c r="B181" i="2"/>
  <c r="A181" i="2"/>
  <c r="P180" i="2"/>
  <c r="E180" i="2"/>
  <c r="H180" i="2" s="1"/>
  <c r="D180" i="2"/>
  <c r="C180" i="2"/>
  <c r="B180" i="2"/>
  <c r="A180" i="2"/>
  <c r="P179" i="2"/>
  <c r="E179" i="2"/>
  <c r="H179" i="2" s="1"/>
  <c r="D179" i="2"/>
  <c r="G179" i="2" s="1"/>
  <c r="C179" i="2"/>
  <c r="K179" i="2" s="1"/>
  <c r="B179" i="2"/>
  <c r="A179" i="2"/>
  <c r="P178" i="2"/>
  <c r="L178" i="2"/>
  <c r="E178" i="2"/>
  <c r="H178" i="2" s="1"/>
  <c r="D178" i="2"/>
  <c r="C178" i="2"/>
  <c r="M178" i="2" s="1"/>
  <c r="O178" i="2" s="1"/>
  <c r="B178" i="2"/>
  <c r="A178" i="2"/>
  <c r="P177" i="2"/>
  <c r="E177" i="2"/>
  <c r="H177" i="2" s="1"/>
  <c r="D177" i="2"/>
  <c r="G177" i="2" s="1"/>
  <c r="C177" i="2"/>
  <c r="M177" i="2" s="1"/>
  <c r="O177" i="2" s="1"/>
  <c r="B177" i="2"/>
  <c r="A177" i="2"/>
  <c r="P176" i="2"/>
  <c r="E176" i="2"/>
  <c r="H176" i="2" s="1"/>
  <c r="D176" i="2"/>
  <c r="G176" i="2" s="1"/>
  <c r="C176" i="2"/>
  <c r="M176" i="2" s="1"/>
  <c r="I176" i="2" s="1"/>
  <c r="B176" i="2"/>
  <c r="A176" i="2"/>
  <c r="P175" i="2"/>
  <c r="E175" i="2"/>
  <c r="H175" i="2" s="1"/>
  <c r="D175" i="2"/>
  <c r="G175" i="2" s="1"/>
  <c r="P173" i="2"/>
  <c r="AP138" i="2"/>
  <c r="AP139" i="2"/>
  <c r="AP140" i="2"/>
  <c r="AP141" i="2"/>
  <c r="AP142" i="2"/>
  <c r="AP143" i="2"/>
  <c r="AP144" i="2"/>
  <c r="AP145" i="2"/>
  <c r="AP146" i="2"/>
  <c r="AP105" i="2"/>
  <c r="AP106" i="2"/>
  <c r="AP107" i="2"/>
  <c r="AP108" i="2"/>
  <c r="AP109" i="2"/>
  <c r="AP110" i="2"/>
  <c r="AP111" i="2"/>
  <c r="AP112" i="2"/>
  <c r="AP113" i="2"/>
  <c r="E75" i="2"/>
  <c r="P72" i="2"/>
  <c r="AP3" i="2"/>
  <c r="AP4" i="2"/>
  <c r="AP5" i="2"/>
  <c r="AP6" i="2"/>
  <c r="AP7" i="2"/>
  <c r="AP8" i="2"/>
  <c r="AP9" i="2"/>
  <c r="AP10" i="2"/>
  <c r="AP11" i="2"/>
  <c r="AP38" i="2"/>
  <c r="AP39" i="2"/>
  <c r="AP40" i="2"/>
  <c r="AP41" i="2"/>
  <c r="AP42" i="2"/>
  <c r="AP43" i="2"/>
  <c r="AP44" i="2"/>
  <c r="AP45" i="2"/>
  <c r="AP46" i="2"/>
  <c r="P70" i="2"/>
  <c r="P74" i="2"/>
  <c r="P75" i="2"/>
  <c r="P76" i="2"/>
  <c r="P77" i="2"/>
  <c r="P78" i="2"/>
  <c r="P79" i="2"/>
  <c r="P80" i="2"/>
  <c r="P81" i="2"/>
  <c r="P82" i="2"/>
  <c r="P83" i="2"/>
  <c r="P84" i="2"/>
  <c r="P85" i="2"/>
  <c r="P86" i="2"/>
  <c r="P87" i="2"/>
  <c r="P88" i="2"/>
  <c r="P89" i="2"/>
  <c r="P90" i="2"/>
  <c r="P91" i="2"/>
  <c r="P92" i="2"/>
  <c r="P93" i="2"/>
  <c r="P94" i="2"/>
  <c r="P95" i="2"/>
  <c r="P96" i="2"/>
  <c r="P97" i="2"/>
  <c r="P98" i="2"/>
  <c r="P99" i="2"/>
  <c r="P73" i="2"/>
  <c r="V94" i="8" l="1"/>
  <c r="T94" i="8"/>
  <c r="T84" i="8"/>
  <c r="V84" i="8"/>
  <c r="T110" i="8"/>
  <c r="V99" i="8"/>
  <c r="T103" i="8"/>
  <c r="V105" i="8"/>
  <c r="T99" i="8"/>
  <c r="V92" i="8"/>
  <c r="U95" i="8"/>
  <c r="T95" i="8"/>
  <c r="U96" i="8"/>
  <c r="T96" i="8"/>
  <c r="V96" i="8"/>
  <c r="T108" i="8"/>
  <c r="V93" i="8"/>
  <c r="T105" i="8"/>
  <c r="T92" i="8"/>
  <c r="V103" i="8"/>
  <c r="T86" i="8"/>
  <c r="V109" i="8"/>
  <c r="V91" i="8"/>
  <c r="V83" i="8"/>
  <c r="V95" i="8"/>
  <c r="T91" i="8"/>
  <c r="T93" i="8"/>
  <c r="T83" i="8"/>
  <c r="V86" i="8"/>
  <c r="T111" i="8"/>
  <c r="T97" i="8"/>
  <c r="V101" i="8"/>
  <c r="V111" i="8"/>
  <c r="T107" i="8"/>
  <c r="T106" i="8"/>
  <c r="T88" i="8"/>
  <c r="V106" i="8"/>
  <c r="V88" i="8"/>
  <c r="V107" i="8"/>
  <c r="V97" i="8"/>
  <c r="V108" i="8"/>
  <c r="T109" i="8"/>
  <c r="V110" i="8"/>
  <c r="T101" i="8"/>
  <c r="T100" i="8"/>
  <c r="V100" i="8"/>
  <c r="T104" i="8"/>
  <c r="V104" i="8"/>
  <c r="T90" i="8"/>
  <c r="V90" i="8"/>
  <c r="V89" i="8"/>
  <c r="T89" i="8"/>
  <c r="T112" i="8"/>
  <c r="V112" i="8"/>
  <c r="V85" i="8"/>
  <c r="T85" i="8"/>
  <c r="T98" i="8"/>
  <c r="V98" i="8"/>
  <c r="T215" i="7"/>
  <c r="Q166" i="7"/>
  <c r="S166" i="7" s="1"/>
  <c r="Q165" i="7"/>
  <c r="S165" i="7" s="1"/>
  <c r="T167" i="7"/>
  <c r="U216" i="7"/>
  <c r="U214" i="7"/>
  <c r="U218" i="7"/>
  <c r="T219" i="7"/>
  <c r="T217" i="7"/>
  <c r="U217" i="7"/>
  <c r="U158" i="7"/>
  <c r="T168" i="7"/>
  <c r="U163" i="7"/>
  <c r="T162" i="7"/>
  <c r="U112" i="7"/>
  <c r="U161" i="7"/>
  <c r="U159" i="7"/>
  <c r="U164" i="7"/>
  <c r="T160" i="7"/>
  <c r="U160" i="7"/>
  <c r="U110" i="7"/>
  <c r="T111" i="7"/>
  <c r="T99" i="7"/>
  <c r="T100" i="7"/>
  <c r="U97" i="7"/>
  <c r="T82" i="7"/>
  <c r="Q282" i="2"/>
  <c r="U93" i="7"/>
  <c r="U101" i="7"/>
  <c r="I188" i="2"/>
  <c r="I278" i="2"/>
  <c r="I282" i="2"/>
  <c r="I286" i="2"/>
  <c r="I290" i="2"/>
  <c r="I294" i="2"/>
  <c r="I298" i="2"/>
  <c r="U96" i="7"/>
  <c r="U89" i="7"/>
  <c r="U105" i="7"/>
  <c r="U91" i="7"/>
  <c r="T108" i="7"/>
  <c r="T95" i="7"/>
  <c r="U85" i="7"/>
  <c r="U94" i="7"/>
  <c r="U88" i="7"/>
  <c r="T98" i="7"/>
  <c r="U98" i="7"/>
  <c r="T86" i="7"/>
  <c r="U86" i="7"/>
  <c r="U84" i="7"/>
  <c r="T106" i="7"/>
  <c r="U106" i="7"/>
  <c r="T102" i="7"/>
  <c r="U102" i="7"/>
  <c r="U90" i="7"/>
  <c r="T90" i="7"/>
  <c r="T103" i="7"/>
  <c r="U103" i="7"/>
  <c r="T92" i="7"/>
  <c r="U92" i="7"/>
  <c r="T109" i="7"/>
  <c r="U109" i="7"/>
  <c r="U104" i="7"/>
  <c r="T104" i="7"/>
  <c r="T107" i="7"/>
  <c r="U107" i="7"/>
  <c r="T83" i="7"/>
  <c r="U83" i="7"/>
  <c r="T87" i="7"/>
  <c r="U87" i="7"/>
  <c r="Q294" i="2"/>
  <c r="Q286" i="2"/>
  <c r="Q278" i="2"/>
  <c r="Q298" i="2"/>
  <c r="S299" i="2" s="1"/>
  <c r="Q290" i="2"/>
  <c r="O291" i="2"/>
  <c r="Q291" i="2" s="1"/>
  <c r="I291" i="2"/>
  <c r="I288" i="2"/>
  <c r="O288" i="2"/>
  <c r="Q288" i="2" s="1"/>
  <c r="S290" i="2" s="1"/>
  <c r="O300" i="2"/>
  <c r="Q300" i="2" s="1"/>
  <c r="I300" i="2"/>
  <c r="I280" i="2"/>
  <c r="O280" i="2"/>
  <c r="Q280" i="2" s="1"/>
  <c r="S282" i="2" s="1"/>
  <c r="O284" i="2"/>
  <c r="Q284" i="2" s="1"/>
  <c r="S286" i="2" s="1"/>
  <c r="T286" i="2" s="1"/>
  <c r="I284" i="2"/>
  <c r="O296" i="2"/>
  <c r="Q296" i="2" s="1"/>
  <c r="I296" i="2"/>
  <c r="O276" i="2"/>
  <c r="Q276" i="2" s="1"/>
  <c r="I276" i="2"/>
  <c r="I292" i="2"/>
  <c r="O292" i="2"/>
  <c r="Q292" i="2" s="1"/>
  <c r="S294" i="2" s="1"/>
  <c r="L277" i="2"/>
  <c r="L281" i="2"/>
  <c r="F276" i="2"/>
  <c r="M277" i="2"/>
  <c r="F280" i="2"/>
  <c r="M281" i="2"/>
  <c r="F284" i="2"/>
  <c r="M285" i="2"/>
  <c r="F288" i="2"/>
  <c r="M289" i="2"/>
  <c r="F292" i="2"/>
  <c r="M293" i="2"/>
  <c r="F296" i="2"/>
  <c r="M297" i="2"/>
  <c r="F300" i="2"/>
  <c r="M301" i="2"/>
  <c r="L291" i="2"/>
  <c r="K276" i="2"/>
  <c r="F278" i="2"/>
  <c r="M279" i="2"/>
  <c r="K280" i="2"/>
  <c r="F282" i="2"/>
  <c r="M283" i="2"/>
  <c r="K284" i="2"/>
  <c r="F286" i="2"/>
  <c r="M287" i="2"/>
  <c r="K288" i="2"/>
  <c r="F290" i="2"/>
  <c r="K292" i="2"/>
  <c r="F294" i="2"/>
  <c r="M295" i="2"/>
  <c r="K296" i="2"/>
  <c r="F298" i="2"/>
  <c r="M299" i="2"/>
  <c r="K300" i="2"/>
  <c r="L301" i="2"/>
  <c r="G281" i="2"/>
  <c r="G289" i="2"/>
  <c r="G293" i="2"/>
  <c r="G297" i="2"/>
  <c r="L276" i="2"/>
  <c r="L280" i="2"/>
  <c r="L284" i="2"/>
  <c r="L288" i="2"/>
  <c r="L292" i="2"/>
  <c r="L296" i="2"/>
  <c r="L300" i="2"/>
  <c r="L285" i="2"/>
  <c r="L289" i="2"/>
  <c r="L293" i="2"/>
  <c r="L297" i="2"/>
  <c r="G277" i="2"/>
  <c r="G285" i="2"/>
  <c r="K190" i="2"/>
  <c r="F178" i="2"/>
  <c r="F183" i="2"/>
  <c r="M190" i="2"/>
  <c r="Q177" i="2"/>
  <c r="M179" i="2"/>
  <c r="I179" i="2" s="1"/>
  <c r="I189" i="2"/>
  <c r="Q188" i="2"/>
  <c r="K189" i="2"/>
  <c r="K182" i="2"/>
  <c r="M200" i="2"/>
  <c r="K183" i="2"/>
  <c r="K195" i="2"/>
  <c r="M195" i="2"/>
  <c r="M196" i="2"/>
  <c r="O196" i="2" s="1"/>
  <c r="Q196" i="2" s="1"/>
  <c r="M197" i="2"/>
  <c r="O197" i="2" s="1"/>
  <c r="Q197" i="2" s="1"/>
  <c r="K198" i="2"/>
  <c r="G182" i="2"/>
  <c r="G178" i="2"/>
  <c r="L182" i="2"/>
  <c r="M194" i="2"/>
  <c r="I194" i="2" s="1"/>
  <c r="K196" i="2"/>
  <c r="K197" i="2"/>
  <c r="L177" i="2"/>
  <c r="I178" i="2"/>
  <c r="O182" i="2"/>
  <c r="Q182" i="2" s="1"/>
  <c r="M183" i="2"/>
  <c r="O183" i="2" s="1"/>
  <c r="Q183" i="2" s="1"/>
  <c r="Q178" i="2"/>
  <c r="K178" i="2"/>
  <c r="L179" i="2"/>
  <c r="M198" i="2"/>
  <c r="L192" i="2"/>
  <c r="M192" i="2"/>
  <c r="K192" i="2"/>
  <c r="L181" i="2"/>
  <c r="M181" i="2"/>
  <c r="K181" i="2"/>
  <c r="L185" i="2"/>
  <c r="M185" i="2"/>
  <c r="K185" i="2"/>
  <c r="L191" i="2"/>
  <c r="M191" i="2"/>
  <c r="K191" i="2"/>
  <c r="O186" i="2"/>
  <c r="Q186" i="2" s="1"/>
  <c r="I186" i="2"/>
  <c r="O187" i="2"/>
  <c r="Q187" i="2" s="1"/>
  <c r="I187" i="2"/>
  <c r="K180" i="2"/>
  <c r="M180" i="2"/>
  <c r="L180" i="2"/>
  <c r="L184" i="2"/>
  <c r="M184" i="2"/>
  <c r="Q189" i="2"/>
  <c r="L193" i="2"/>
  <c r="M193" i="2"/>
  <c r="K193" i="2"/>
  <c r="L199" i="2"/>
  <c r="M199" i="2"/>
  <c r="K199" i="2"/>
  <c r="F175" i="2"/>
  <c r="L176" i="2"/>
  <c r="K177" i="2"/>
  <c r="K186" i="2"/>
  <c r="K194" i="2"/>
  <c r="K200" i="2"/>
  <c r="F191" i="2"/>
  <c r="F192" i="2"/>
  <c r="M175" i="2"/>
  <c r="G195" i="2"/>
  <c r="F195" i="2"/>
  <c r="G199" i="2"/>
  <c r="F199" i="2"/>
  <c r="F193" i="2"/>
  <c r="F181" i="2"/>
  <c r="G180" i="2"/>
  <c r="F180" i="2"/>
  <c r="O176" i="2"/>
  <c r="Q176" i="2" s="1"/>
  <c r="I177" i="2"/>
  <c r="G194" i="2"/>
  <c r="F194" i="2"/>
  <c r="G198" i="2"/>
  <c r="F198" i="2"/>
  <c r="F176" i="2"/>
  <c r="F188" i="2"/>
  <c r="G197" i="2"/>
  <c r="F197" i="2"/>
  <c r="G196" i="2"/>
  <c r="F196" i="2"/>
  <c r="G183" i="2"/>
  <c r="F185" i="2"/>
  <c r="F186" i="2"/>
  <c r="F187" i="2"/>
  <c r="F189" i="2"/>
  <c r="F190" i="2"/>
  <c r="K175" i="2"/>
  <c r="K176" i="2"/>
  <c r="F177" i="2"/>
  <c r="F179" i="2"/>
  <c r="F184" i="2"/>
  <c r="F200" i="2"/>
  <c r="K184" i="2"/>
  <c r="T87" i="8" l="1"/>
  <c r="V87" i="8"/>
  <c r="U165" i="7"/>
  <c r="T165" i="7"/>
  <c r="T166" i="7"/>
  <c r="U166" i="7"/>
  <c r="S186" i="2"/>
  <c r="T186" i="2" s="1"/>
  <c r="S177" i="2"/>
  <c r="T177" i="2" s="1"/>
  <c r="S288" i="2"/>
  <c r="S181" i="2"/>
  <c r="S293" i="2"/>
  <c r="O179" i="2"/>
  <c r="Q179" i="2" s="1"/>
  <c r="S301" i="2"/>
  <c r="S184" i="2"/>
  <c r="T184" i="2" s="1"/>
  <c r="S296" i="2"/>
  <c r="S276" i="2"/>
  <c r="S180" i="2"/>
  <c r="S292" i="2"/>
  <c r="U292" i="2" s="1"/>
  <c r="I183" i="2"/>
  <c r="S176" i="2"/>
  <c r="U176" i="2" s="1"/>
  <c r="S185" i="2"/>
  <c r="U185" i="2" s="1"/>
  <c r="S284" i="2"/>
  <c r="T284" i="2" s="1"/>
  <c r="S195" i="2"/>
  <c r="T195" i="2" s="1"/>
  <c r="S194" i="2"/>
  <c r="U194" i="2" s="1"/>
  <c r="S196" i="2"/>
  <c r="T196" i="2" s="1"/>
  <c r="S187" i="2"/>
  <c r="U187" i="2" s="1"/>
  <c r="S280" i="2"/>
  <c r="U280" i="2" s="1"/>
  <c r="S279" i="2"/>
  <c r="U286" i="2"/>
  <c r="U299" i="2"/>
  <c r="T299" i="2"/>
  <c r="T294" i="2"/>
  <c r="U294" i="2"/>
  <c r="T282" i="2"/>
  <c r="U282" i="2"/>
  <c r="T290" i="2"/>
  <c r="U290" i="2"/>
  <c r="I281" i="2"/>
  <c r="O281" i="2"/>
  <c r="Q281" i="2" s="1"/>
  <c r="S283" i="2" s="1"/>
  <c r="I301" i="2"/>
  <c r="O301" i="2"/>
  <c r="Q301" i="2" s="1"/>
  <c r="O295" i="2"/>
  <c r="Q295" i="2" s="1"/>
  <c r="S297" i="2" s="1"/>
  <c r="I295" i="2"/>
  <c r="O283" i="2"/>
  <c r="Q283" i="2" s="1"/>
  <c r="S285" i="2" s="1"/>
  <c r="I283" i="2"/>
  <c r="I289" i="2"/>
  <c r="O289" i="2"/>
  <c r="Q289" i="2" s="1"/>
  <c r="S291" i="2" s="1"/>
  <c r="I277" i="2"/>
  <c r="O277" i="2"/>
  <c r="Q277" i="2" s="1"/>
  <c r="S277" i="2" s="1"/>
  <c r="O279" i="2"/>
  <c r="Q279" i="2" s="1"/>
  <c r="S281" i="2" s="1"/>
  <c r="I279" i="2"/>
  <c r="I285" i="2"/>
  <c r="O285" i="2"/>
  <c r="Q285" i="2" s="1"/>
  <c r="S287" i="2" s="1"/>
  <c r="I297" i="2"/>
  <c r="O297" i="2"/>
  <c r="Q297" i="2" s="1"/>
  <c r="S298" i="2" s="1"/>
  <c r="O299" i="2"/>
  <c r="Q299" i="2" s="1"/>
  <c r="S300" i="2" s="1"/>
  <c r="I299" i="2"/>
  <c r="O287" i="2"/>
  <c r="Q287" i="2" s="1"/>
  <c r="S289" i="2" s="1"/>
  <c r="T289" i="2" s="1"/>
  <c r="I287" i="2"/>
  <c r="I293" i="2"/>
  <c r="O293" i="2"/>
  <c r="Q293" i="2" s="1"/>
  <c r="S295" i="2" s="1"/>
  <c r="O190" i="2"/>
  <c r="Q190" i="2" s="1"/>
  <c r="I190" i="2"/>
  <c r="O194" i="2"/>
  <c r="Q194" i="2" s="1"/>
  <c r="S192" i="2" s="1"/>
  <c r="I196" i="2"/>
  <c r="I197" i="2"/>
  <c r="O198" i="2"/>
  <c r="Q198" i="2" s="1"/>
  <c r="S197" i="2" s="1"/>
  <c r="T197" i="2" s="1"/>
  <c r="I198" i="2"/>
  <c r="I200" i="2"/>
  <c r="O200" i="2"/>
  <c r="Q200" i="2" s="1"/>
  <c r="O195" i="2"/>
  <c r="Q195" i="2" s="1"/>
  <c r="S193" i="2" s="1"/>
  <c r="I195" i="2"/>
  <c r="O199" i="2"/>
  <c r="Q199" i="2" s="1"/>
  <c r="I199" i="2"/>
  <c r="O184" i="2"/>
  <c r="Q184" i="2" s="1"/>
  <c r="I184" i="2"/>
  <c r="O192" i="2"/>
  <c r="Q192" i="2" s="1"/>
  <c r="S190" i="2" s="1"/>
  <c r="I192" i="2"/>
  <c r="I181" i="2"/>
  <c r="O181" i="2"/>
  <c r="Q181" i="2" s="1"/>
  <c r="O185" i="2"/>
  <c r="Q185" i="2" s="1"/>
  <c r="I185" i="2"/>
  <c r="O193" i="2"/>
  <c r="Q193" i="2" s="1"/>
  <c r="I193" i="2"/>
  <c r="O191" i="2"/>
  <c r="Q191" i="2" s="1"/>
  <c r="I191" i="2"/>
  <c r="O180" i="2"/>
  <c r="Q180" i="2" s="1"/>
  <c r="I180" i="2"/>
  <c r="I175" i="2"/>
  <c r="O175" i="2"/>
  <c r="Q175" i="2" s="1"/>
  <c r="S175" i="2" s="1"/>
  <c r="T292" i="2" l="1"/>
  <c r="T185" i="2"/>
  <c r="U177" i="2"/>
  <c r="U284" i="2"/>
  <c r="T280" i="2"/>
  <c r="S278" i="2"/>
  <c r="U289" i="2"/>
  <c r="U195" i="2"/>
  <c r="U196" i="2"/>
  <c r="S200" i="2"/>
  <c r="S199" i="2"/>
  <c r="U199" i="2" s="1"/>
  <c r="S191" i="2"/>
  <c r="T191" i="2" s="1"/>
  <c r="T187" i="2"/>
  <c r="S182" i="2"/>
  <c r="T182" i="2" s="1"/>
  <c r="S183" i="2"/>
  <c r="U183" i="2" s="1"/>
  <c r="S188" i="2"/>
  <c r="U188" i="2" s="1"/>
  <c r="S179" i="2"/>
  <c r="T179" i="2" s="1"/>
  <c r="S178" i="2"/>
  <c r="T178" i="2" s="1"/>
  <c r="S198" i="2"/>
  <c r="U198" i="2" s="1"/>
  <c r="S189" i="2"/>
  <c r="T189" i="2" s="1"/>
  <c r="U184" i="2"/>
  <c r="T176" i="2"/>
  <c r="T285" i="2"/>
  <c r="U285" i="2"/>
  <c r="T281" i="2"/>
  <c r="U281" i="2"/>
  <c r="T298" i="2"/>
  <c r="U298" i="2"/>
  <c r="U291" i="2"/>
  <c r="T291" i="2"/>
  <c r="T288" i="2"/>
  <c r="U288" i="2"/>
  <c r="T277" i="2"/>
  <c r="U277" i="2"/>
  <c r="T293" i="2"/>
  <c r="U293" i="2"/>
  <c r="U295" i="2"/>
  <c r="T295" i="2"/>
  <c r="T301" i="2"/>
  <c r="U301" i="2"/>
  <c r="U279" i="2"/>
  <c r="T279" i="2"/>
  <c r="T300" i="2"/>
  <c r="U300" i="2"/>
  <c r="U287" i="2"/>
  <c r="T287" i="2"/>
  <c r="T276" i="2"/>
  <c r="U276" i="2"/>
  <c r="U283" i="2"/>
  <c r="T283" i="2"/>
  <c r="T296" i="2"/>
  <c r="U296" i="2"/>
  <c r="T193" i="2"/>
  <c r="U193" i="2"/>
  <c r="T192" i="2"/>
  <c r="U192" i="2"/>
  <c r="U186" i="2"/>
  <c r="U197" i="2"/>
  <c r="T194" i="2"/>
  <c r="T190" i="2"/>
  <c r="U190" i="2"/>
  <c r="T181" i="2"/>
  <c r="U181" i="2"/>
  <c r="T180" i="2"/>
  <c r="U180" i="2"/>
  <c r="T175" i="2"/>
  <c r="U175" i="2"/>
  <c r="U191" i="2" l="1"/>
  <c r="T183" i="2"/>
  <c r="U189" i="2"/>
  <c r="T199" i="2"/>
  <c r="T278" i="2"/>
  <c r="U278" i="2"/>
  <c r="T198" i="2"/>
  <c r="U178" i="2"/>
  <c r="U179" i="2"/>
  <c r="U182" i="2"/>
  <c r="T188" i="2"/>
  <c r="T297" i="2"/>
  <c r="U297" i="2"/>
  <c r="U200" i="2"/>
  <c r="T200" i="2"/>
  <c r="L86" i="2" l="1"/>
  <c r="A86" i="2"/>
  <c r="B86" i="2"/>
  <c r="C86" i="2"/>
  <c r="M86" i="2" s="1"/>
  <c r="D86" i="2"/>
  <c r="E86" i="2"/>
  <c r="H86" i="2" s="1"/>
  <c r="A87" i="2"/>
  <c r="B87" i="2"/>
  <c r="C87" i="2"/>
  <c r="M87" i="2" s="1"/>
  <c r="D87" i="2"/>
  <c r="E87" i="2"/>
  <c r="H87" i="2" s="1"/>
  <c r="A88" i="2"/>
  <c r="B88" i="2"/>
  <c r="C88" i="2"/>
  <c r="K88" i="2" s="1"/>
  <c r="D88" i="2"/>
  <c r="G88" i="2" s="1"/>
  <c r="E88" i="2"/>
  <c r="H88" i="2" s="1"/>
  <c r="A89" i="2"/>
  <c r="B89" i="2"/>
  <c r="C89" i="2"/>
  <c r="L89" i="2" s="1"/>
  <c r="D89" i="2"/>
  <c r="E89" i="2"/>
  <c r="H89" i="2" s="1"/>
  <c r="A90" i="2"/>
  <c r="B90" i="2"/>
  <c r="C90" i="2"/>
  <c r="L90" i="2" s="1"/>
  <c r="D90" i="2"/>
  <c r="E90" i="2"/>
  <c r="H90" i="2"/>
  <c r="A91" i="2"/>
  <c r="B91" i="2"/>
  <c r="C91" i="2"/>
  <c r="K91" i="2" s="1"/>
  <c r="D91" i="2"/>
  <c r="E91" i="2"/>
  <c r="H91" i="2" s="1"/>
  <c r="A92" i="2"/>
  <c r="B92" i="2"/>
  <c r="C92" i="2"/>
  <c r="K92" i="2" s="1"/>
  <c r="D92" i="2"/>
  <c r="E92" i="2"/>
  <c r="H92" i="2" s="1"/>
  <c r="A93" i="2"/>
  <c r="B93" i="2"/>
  <c r="C93" i="2"/>
  <c r="K93" i="2" s="1"/>
  <c r="D93" i="2"/>
  <c r="E93" i="2"/>
  <c r="H93" i="2" s="1"/>
  <c r="A94" i="2"/>
  <c r="B94" i="2"/>
  <c r="C94" i="2"/>
  <c r="M94" i="2" s="1"/>
  <c r="D94" i="2"/>
  <c r="G94" i="2" s="1"/>
  <c r="E94" i="2"/>
  <c r="H94" i="2" s="1"/>
  <c r="A95" i="2"/>
  <c r="B95" i="2"/>
  <c r="C95" i="2"/>
  <c r="M95" i="2" s="1"/>
  <c r="D95" i="2"/>
  <c r="E95" i="2"/>
  <c r="H95" i="2" s="1"/>
  <c r="A96" i="2"/>
  <c r="B96" i="2"/>
  <c r="C96" i="2"/>
  <c r="K96" i="2" s="1"/>
  <c r="D96" i="2"/>
  <c r="G96" i="2" s="1"/>
  <c r="E96" i="2"/>
  <c r="H96" i="2" s="1"/>
  <c r="A97" i="2"/>
  <c r="B97" i="2"/>
  <c r="C97" i="2"/>
  <c r="L97" i="2" s="1"/>
  <c r="D97" i="2"/>
  <c r="E97" i="2"/>
  <c r="H97" i="2" s="1"/>
  <c r="A98" i="2"/>
  <c r="B98" i="2"/>
  <c r="C98" i="2"/>
  <c r="L98" i="2" s="1"/>
  <c r="D98" i="2"/>
  <c r="E98" i="2"/>
  <c r="H98" i="2" s="1"/>
  <c r="A99" i="2"/>
  <c r="B99" i="2"/>
  <c r="C99" i="2"/>
  <c r="K99" i="2" s="1"/>
  <c r="D99" i="2"/>
  <c r="G99" i="2" s="1"/>
  <c r="E99" i="2"/>
  <c r="H99" i="2" s="1"/>
  <c r="M88" i="2" l="1"/>
  <c r="I88" i="2" s="1"/>
  <c r="K89" i="2"/>
  <c r="O87" i="2"/>
  <c r="Q87" i="2" s="1"/>
  <c r="I87" i="2"/>
  <c r="O88" i="2"/>
  <c r="Q88" i="2" s="1"/>
  <c r="O86" i="2"/>
  <c r="Q86" i="2" s="1"/>
  <c r="I86" i="2"/>
  <c r="K86" i="2"/>
  <c r="M97" i="2"/>
  <c r="O95" i="2"/>
  <c r="Q95" i="2" s="1"/>
  <c r="I95" i="2"/>
  <c r="O94" i="2"/>
  <c r="Q94" i="2" s="1"/>
  <c r="I94" i="2"/>
  <c r="K97" i="2"/>
  <c r="K94" i="2"/>
  <c r="F91" i="2"/>
  <c r="L95" i="2"/>
  <c r="K95" i="2"/>
  <c r="F93" i="2"/>
  <c r="M91" i="2"/>
  <c r="L94" i="2"/>
  <c r="F99" i="2"/>
  <c r="M99" i="2"/>
  <c r="L91" i="2"/>
  <c r="F98" i="2"/>
  <c r="F92" i="2"/>
  <c r="F94" i="2"/>
  <c r="F87" i="2"/>
  <c r="F86" i="2"/>
  <c r="F90" i="2"/>
  <c r="F95" i="2"/>
  <c r="L99" i="2"/>
  <c r="M96" i="2"/>
  <c r="K98" i="2"/>
  <c r="M92" i="2"/>
  <c r="K90" i="2"/>
  <c r="L87" i="2"/>
  <c r="F97" i="2"/>
  <c r="L92" i="2"/>
  <c r="M89" i="2"/>
  <c r="K87" i="2"/>
  <c r="G93" i="2"/>
  <c r="G92" i="2"/>
  <c r="G91" i="2"/>
  <c r="L96" i="2"/>
  <c r="M93" i="2"/>
  <c r="L88" i="2"/>
  <c r="G90" i="2"/>
  <c r="G86" i="2"/>
  <c r="M98" i="2"/>
  <c r="L93" i="2"/>
  <c r="M90" i="2"/>
  <c r="F89" i="2"/>
  <c r="F96" i="2"/>
  <c r="G95" i="2"/>
  <c r="F88" i="2"/>
  <c r="G87" i="2"/>
  <c r="G98" i="2"/>
  <c r="G97" i="2"/>
  <c r="G89" i="2"/>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S86" i="2" l="1"/>
  <c r="T86" i="2" s="1"/>
  <c r="S94" i="2"/>
  <c r="T94" i="2" s="1"/>
  <c r="S88" i="2"/>
  <c r="T88" i="2" s="1"/>
  <c r="S95" i="2"/>
  <c r="T95" i="2" s="1"/>
  <c r="S87" i="2"/>
  <c r="U87" i="2" s="1"/>
  <c r="O89" i="2"/>
  <c r="Q89" i="2" s="1"/>
  <c r="I89" i="2"/>
  <c r="O99" i="2"/>
  <c r="Q99" i="2" s="1"/>
  <c r="I99" i="2"/>
  <c r="O96" i="2"/>
  <c r="Q96" i="2" s="1"/>
  <c r="I96" i="2"/>
  <c r="O93" i="2"/>
  <c r="Q93" i="2" s="1"/>
  <c r="I93" i="2"/>
  <c r="O90" i="2"/>
  <c r="Q90" i="2" s="1"/>
  <c r="I90" i="2"/>
  <c r="O92" i="2"/>
  <c r="Q92" i="2" s="1"/>
  <c r="I92" i="2"/>
  <c r="O97" i="2"/>
  <c r="Q97" i="2" s="1"/>
  <c r="I97" i="2"/>
  <c r="O98" i="2"/>
  <c r="Q98" i="2" s="1"/>
  <c r="S98" i="2" s="1"/>
  <c r="I98" i="2"/>
  <c r="O91" i="2"/>
  <c r="Q91" i="2" s="1"/>
  <c r="I91" i="2"/>
  <c r="U88" i="2"/>
  <c r="S96" i="2" l="1"/>
  <c r="T96" i="2" s="1"/>
  <c r="S92" i="2"/>
  <c r="U92" i="2" s="1"/>
  <c r="S99" i="2"/>
  <c r="U99" i="2" s="1"/>
  <c r="S91" i="2"/>
  <c r="T91" i="2" s="1"/>
  <c r="S90" i="2"/>
  <c r="T90" i="2" s="1"/>
  <c r="S97" i="2"/>
  <c r="T97" i="2" s="1"/>
  <c r="S93" i="2"/>
  <c r="U93" i="2" s="1"/>
  <c r="S89" i="2"/>
  <c r="U89" i="2" s="1"/>
  <c r="U86" i="2"/>
  <c r="U94" i="2"/>
  <c r="T87" i="2"/>
  <c r="U95" i="2"/>
  <c r="T99" i="2"/>
  <c r="T98" i="2"/>
  <c r="U98" i="2"/>
  <c r="T92" i="2" l="1"/>
  <c r="U96" i="2"/>
  <c r="U90" i="2"/>
  <c r="T93" i="2"/>
  <c r="T89" i="2"/>
  <c r="U91" i="2"/>
  <c r="U97" i="2"/>
  <c r="E85" i="2"/>
  <c r="D85" i="2"/>
  <c r="G85" i="2" s="1"/>
  <c r="C85" i="2"/>
  <c r="B85" i="2"/>
  <c r="A85" i="2"/>
  <c r="E84" i="2"/>
  <c r="H84" i="2" s="1"/>
  <c r="D84" i="2"/>
  <c r="C84" i="2"/>
  <c r="B84" i="2"/>
  <c r="A84" i="2"/>
  <c r="E83" i="2"/>
  <c r="H83" i="2" s="1"/>
  <c r="D83" i="2"/>
  <c r="C83" i="2"/>
  <c r="B83" i="2"/>
  <c r="A83" i="2"/>
  <c r="E82" i="2"/>
  <c r="H82" i="2" s="1"/>
  <c r="D82" i="2"/>
  <c r="C82" i="2"/>
  <c r="B82" i="2"/>
  <c r="A82" i="2"/>
  <c r="E81" i="2"/>
  <c r="H81" i="2" s="1"/>
  <c r="D81" i="2"/>
  <c r="C81" i="2"/>
  <c r="B81" i="2"/>
  <c r="A81" i="2"/>
  <c r="E80" i="2"/>
  <c r="D80" i="2"/>
  <c r="G80" i="2" s="1"/>
  <c r="C80" i="2"/>
  <c r="B80" i="2"/>
  <c r="A80" i="2"/>
  <c r="E79" i="2"/>
  <c r="H79" i="2" s="1"/>
  <c r="D79" i="2"/>
  <c r="C79" i="2"/>
  <c r="B79" i="2"/>
  <c r="A79" i="2"/>
  <c r="E78" i="2"/>
  <c r="H78" i="2" s="1"/>
  <c r="D78" i="2"/>
  <c r="C78" i="2"/>
  <c r="B78" i="2"/>
  <c r="A78" i="2"/>
  <c r="E77" i="2"/>
  <c r="H77" i="2" s="1"/>
  <c r="D77" i="2"/>
  <c r="C77" i="2"/>
  <c r="B77" i="2"/>
  <c r="A77" i="2"/>
  <c r="E76" i="2"/>
  <c r="H76" i="2" s="1"/>
  <c r="D76" i="2"/>
  <c r="C76" i="2"/>
  <c r="B76" i="2"/>
  <c r="A76" i="2"/>
  <c r="H75" i="2"/>
  <c r="D75" i="2"/>
  <c r="C75" i="2"/>
  <c r="B75" i="2"/>
  <c r="A75" i="2"/>
  <c r="E74" i="2"/>
  <c r="D74" i="2"/>
  <c r="G74" i="2" s="1"/>
  <c r="C74" i="2"/>
  <c r="B74" i="2"/>
  <c r="A74" i="2"/>
  <c r="E73" i="2"/>
  <c r="H73" i="2" s="1"/>
  <c r="D73" i="2"/>
  <c r="C73" i="2"/>
  <c r="B73" i="2"/>
  <c r="A73" i="2"/>
  <c r="E72" i="2"/>
  <c r="H72" i="2" s="1"/>
  <c r="D72" i="2"/>
  <c r="C72" i="2"/>
  <c r="B72" i="2"/>
  <c r="A72" i="2"/>
  <c r="H71" i="2"/>
  <c r="G71" i="2"/>
  <c r="E71" i="2"/>
  <c r="D71" i="2"/>
  <c r="C71" i="2"/>
  <c r="B71" i="2"/>
  <c r="L73" i="2" l="1"/>
  <c r="M73" i="2"/>
  <c r="K73" i="2"/>
  <c r="K72" i="2"/>
  <c r="L72" i="2"/>
  <c r="M72" i="2"/>
  <c r="M75" i="2"/>
  <c r="O75" i="2" s="1"/>
  <c r="L75" i="2"/>
  <c r="K75" i="2"/>
  <c r="M79" i="2"/>
  <c r="K79" i="2"/>
  <c r="L79" i="2"/>
  <c r="K83" i="2"/>
  <c r="L83" i="2"/>
  <c r="M83" i="2"/>
  <c r="K74" i="2"/>
  <c r="L74" i="2"/>
  <c r="M74" i="2"/>
  <c r="K78" i="2"/>
  <c r="L78" i="2"/>
  <c r="M78" i="2"/>
  <c r="L82" i="2"/>
  <c r="M82" i="2"/>
  <c r="K82" i="2"/>
  <c r="K77" i="2"/>
  <c r="L77" i="2"/>
  <c r="M77" i="2"/>
  <c r="K81" i="2"/>
  <c r="L81" i="2"/>
  <c r="M81" i="2"/>
  <c r="K85" i="2"/>
  <c r="L85" i="2"/>
  <c r="M85" i="2"/>
  <c r="K76" i="2"/>
  <c r="L76" i="2"/>
  <c r="M76" i="2"/>
  <c r="K80" i="2"/>
  <c r="L80" i="2"/>
  <c r="M80" i="2"/>
  <c r="K84" i="2"/>
  <c r="L84" i="2"/>
  <c r="M84" i="2"/>
  <c r="F78" i="2"/>
  <c r="G78" i="2"/>
  <c r="F80" i="2"/>
  <c r="F83" i="2"/>
  <c r="F74" i="2"/>
  <c r="H80" i="2"/>
  <c r="F82" i="2"/>
  <c r="G82" i="2"/>
  <c r="G83" i="2"/>
  <c r="F85" i="2"/>
  <c r="F76" i="2"/>
  <c r="G76" i="2"/>
  <c r="F73" i="2"/>
  <c r="G73" i="2"/>
  <c r="F75" i="2"/>
  <c r="F77" i="2"/>
  <c r="F81" i="2"/>
  <c r="G72" i="2"/>
  <c r="H74" i="2"/>
  <c r="G75" i="2"/>
  <c r="G77" i="2"/>
  <c r="G79" i="2"/>
  <c r="G81" i="2"/>
  <c r="H85" i="2"/>
  <c r="F79" i="2"/>
  <c r="F84" i="2"/>
  <c r="G84" i="2"/>
  <c r="F72" i="2"/>
  <c r="O81" i="2" l="1"/>
  <c r="Q81" i="2" s="1"/>
  <c r="S81" i="2" s="1"/>
  <c r="I81" i="2"/>
  <c r="O82" i="2"/>
  <c r="Q82" i="2" s="1"/>
  <c r="I82" i="2"/>
  <c r="O83" i="2"/>
  <c r="Q83" i="2" s="1"/>
  <c r="S83" i="2" s="1"/>
  <c r="I83" i="2"/>
  <c r="Q75" i="2"/>
  <c r="S75" i="2" s="1"/>
  <c r="I75" i="2"/>
  <c r="O76" i="2"/>
  <c r="Q76" i="2" s="1"/>
  <c r="S76" i="2" s="1"/>
  <c r="I76" i="2"/>
  <c r="O78" i="2"/>
  <c r="Q78" i="2" s="1"/>
  <c r="S78" i="2" s="1"/>
  <c r="I78" i="2"/>
  <c r="O72" i="2"/>
  <c r="Q72" i="2" s="1"/>
  <c r="S72" i="2" s="1"/>
  <c r="I72" i="2"/>
  <c r="O84" i="2"/>
  <c r="Q84" i="2" s="1"/>
  <c r="S84" i="2" s="1"/>
  <c r="I84" i="2"/>
  <c r="O77" i="2"/>
  <c r="Q77" i="2" s="1"/>
  <c r="S77" i="2" s="1"/>
  <c r="I77" i="2"/>
  <c r="O85" i="2"/>
  <c r="Q85" i="2" s="1"/>
  <c r="S85" i="2" s="1"/>
  <c r="I85" i="2"/>
  <c r="O74" i="2"/>
  <c r="Q74" i="2" s="1"/>
  <c r="S74" i="2" s="1"/>
  <c r="I74" i="2"/>
  <c r="O79" i="2"/>
  <c r="Q79" i="2" s="1"/>
  <c r="S79" i="2" s="1"/>
  <c r="I79" i="2"/>
  <c r="I73" i="2"/>
  <c r="O73" i="2"/>
  <c r="Q73" i="2" s="1"/>
  <c r="S73" i="2" s="1"/>
  <c r="O80" i="2"/>
  <c r="Q80" i="2" s="1"/>
  <c r="S80" i="2" s="1"/>
  <c r="I80" i="2"/>
  <c r="S82" i="2" l="1"/>
  <c r="T82" i="2" s="1"/>
  <c r="T72" i="2"/>
  <c r="U78" i="2"/>
  <c r="U80" i="2"/>
  <c r="T77" i="2"/>
  <c r="T73" i="2"/>
  <c r="U73" i="2"/>
  <c r="T83" i="2"/>
  <c r="U83" i="2"/>
  <c r="T78" i="2"/>
  <c r="T79" i="2"/>
  <c r="U79" i="2"/>
  <c r="T81" i="2"/>
  <c r="U81" i="2"/>
  <c r="T76" i="2"/>
  <c r="U76" i="2"/>
  <c r="T84" i="2"/>
  <c r="U84" i="2"/>
  <c r="T75" i="2"/>
  <c r="U75" i="2"/>
  <c r="T85" i="2"/>
  <c r="U85" i="2"/>
  <c r="T80" i="2"/>
  <c r="T74" i="2"/>
  <c r="U74" i="2"/>
  <c r="A10" i="1"/>
  <c r="U82" i="2" l="1"/>
  <c r="U77" i="2"/>
  <c r="U72" i="2"/>
</calcChain>
</file>

<file path=xl/sharedStrings.xml><?xml version="1.0" encoding="utf-8"?>
<sst xmlns="http://schemas.openxmlformats.org/spreadsheetml/2006/main" count="3461" uniqueCount="189">
  <si>
    <t>count()</t>
  </si>
  <si>
    <t>bucket</t>
  </si>
  <si>
    <t>'Done'</t>
  </si>
  <si>
    <t>&lt;= 417 &gt;= 740 no lien no invest cltv &lt;= 80</t>
  </si>
  <si>
    <t>'FICO'</t>
  </si>
  <si>
    <t>'2nd Lien'</t>
  </si>
  <si>
    <t>'INV'</t>
  </si>
  <si>
    <t>'CLTV'</t>
  </si>
  <si>
    <t>'Jumbo'</t>
  </si>
  <si>
    <t>'Not Done'</t>
  </si>
  <si>
    <t>total</t>
  </si>
  <si>
    <t>tag</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</si>
  <si>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</si>
  <si>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</si>
  <si>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</si>
  <si>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</si>
  <si>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</si>
  <si>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</si>
  <si>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</si>
  <si>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</si>
  <si>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</si>
  <si>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</si>
  <si>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</si>
  <si>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</si>
  <si>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</si>
  <si>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</si>
  <si>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</si>
  <si>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</si>
  <si>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</si>
  <si>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</si>
  <si>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</si>
  <si>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</si>
  <si>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</si>
  <si>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</si>
  <si>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</si>
  <si>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</si>
  <si>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</si>
  <si>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</si>
  <si>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</si>
  <si>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</si>
  <si>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</si>
  <si>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</si>
  <si>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</si>
  <si>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</si>
  <si>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</si>
  <si>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</si>
  <si>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</si>
  <si>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</si>
  <si>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</si>
  <si>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</si>
  <si>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</si>
  <si>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</si>
  <si>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</si>
  <si>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</si>
  <si>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</si>
  <si>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</si>
  <si>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</si>
  <si>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</si>
  <si>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</si>
  <si>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</si>
  <si>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</si>
  <si>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</si>
  <si>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</si>
  <si>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</si>
  <si>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</si>
  <si>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</si>
  <si>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</si>
  <si>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</si>
  <si>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</si>
  <si>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</si>
  <si>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</si>
  <si>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</si>
  <si>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</si>
  <si>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</si>
  <si>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</si>
  <si>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</si>
  <si>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</si>
  <si>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</si>
  <si>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</si>
  <si>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</si>
  <si>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</si>
  <si>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</si>
  <si>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</si>
  <si>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</si>
  <si>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</si>
  <si>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</si>
  <si>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</si>
  <si>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</si>
  <si>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</si>
  <si>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</si>
  <si>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</si>
  <si>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</si>
  <si>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</si>
  <si>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incentive</t>
  </si>
  <si>
    <t>PREPAY_SMM1</t>
  </si>
  <si>
    <t>PREPAY_TRACKING_SMM1</t>
  </si>
  <si>
    <t>mdl_smm</t>
  </si>
  <si>
    <t>mdl_cpr</t>
  </si>
  <si>
    <t>turn</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</si>
  <si>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</si>
  <si>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</si>
  <si>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</si>
  <si>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</si>
  <si>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</si>
  <si>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</si>
  <si>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</si>
  <si>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</si>
  <si>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</si>
  <si>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</si>
  <si>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</si>
  <si>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</si>
  <si>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</si>
  <si>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</si>
  <si>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</si>
  <si>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</si>
  <si>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WALA [12,24)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</si>
  <si>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</si>
  <si>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</si>
  <si>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</si>
  <si>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</si>
  <si>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</si>
  <si>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</si>
  <si>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</si>
  <si>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</si>
  <si>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</si>
  <si>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</si>
  <si>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</si>
  <si>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</si>
  <si>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</si>
  <si>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</si>
  <si>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</si>
  <si>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</si>
  <si>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</si>
  <si>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</si>
  <si>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</si>
  <si>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</si>
  <si>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</si>
  <si>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</si>
  <si>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</si>
  <si>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</si>
  <si>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</si>
  <si>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</si>
  <si>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</si>
  <si>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</si>
  <si>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</si>
  <si>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</si>
  <si>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</si>
  <si>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</si>
  <si>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</si>
  <si>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</si>
  <si>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</si>
  <si>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</si>
  <si>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</si>
  <si>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</si>
  <si>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</si>
  <si>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</si>
  <si>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</si>
  <si>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</si>
  <si>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</si>
  <si>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</si>
  <si>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</si>
  <si>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</si>
  <si>
    <t>High Media</t>
  </si>
  <si>
    <t>high media refi</t>
  </si>
  <si>
    <t>low media refi</t>
  </si>
  <si>
    <t>interpolate refi</t>
  </si>
  <si>
    <t>low media</t>
  </si>
  <si>
    <t>high media</t>
  </si>
  <si>
    <t>high media cpr</t>
  </si>
  <si>
    <t>pct high media</t>
  </si>
  <si>
    <t>pct low media</t>
  </si>
  <si>
    <t>_Burnout_Fixed</t>
  </si>
  <si>
    <t>02:-175--150</t>
  </si>
  <si>
    <t>burnout 0-2000</t>
  </si>
  <si>
    <t>Burnout</t>
  </si>
  <si>
    <t>butnout</t>
  </si>
  <si>
    <t>[0,2000]</t>
  </si>
  <si>
    <t>[20120101,20130401]</t>
  </si>
  <si>
    <t>(2000,4000]</t>
  </si>
  <si>
    <t>(4000,6000]</t>
  </si>
  <si>
    <t>burnout 2000-4000</t>
  </si>
  <si>
    <t>burnout 4000-6000</t>
  </si>
  <si>
    <t>burnout adj</t>
  </si>
  <si>
    <t>Broker</t>
  </si>
  <si>
    <t>burnout dial</t>
  </si>
  <si>
    <t>after burnout dial</t>
  </si>
  <si>
    <t>Corres+CW</t>
  </si>
  <si>
    <t xml:space="preserve"> 15bps later</t>
  </si>
  <si>
    <t>Non CashWindow</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</si>
</sst>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2" fontId="5" fillId="0" borderId="0" xfId="1" applyNumberFormat="1" applyFont="1"/>
    <xf numFmtId="0" fontId="5" fillId="0" borderId="0" xfId="0"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165" fontId="3" fillId="0" borderId="0" xfId="0" applyNumberFormat="1" applyFont="1"/>
    <xf numFmtId="0" fontId="8" fillId="0" borderId="0" xfId="0" applyFont="1"/>
    <xf numFmtId="165" fontId="3" fillId="0" borderId="0" xfId="1" applyNumberFormat="1" applyFont="1"/>
    <xf numFmtId="0" fontId="0" fillId="5" borderId="0" xfId="0" applyFill="1"/>
    <xf numFmtId="0"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actual_CORRES+CASHWINOW_WALA12-24</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Baseline!$G$75:$G$100</c:f>
              <c:numCache>
                <c:formatCode>0.00</c:formatCode>
                <c:ptCount val="26"/>
                <c:pt idx="0">
                  <c:v>9.3616256297720746</c:v>
                </c:pt>
                <c:pt idx="1">
                  <c:v>7.4169520185997317</c:v>
                </c:pt>
                <c:pt idx="2">
                  <c:v>4.8879394238987794</c:v>
                </c:pt>
                <c:pt idx="3">
                  <c:v>8.2597330356966143</c:v>
                </c:pt>
                <c:pt idx="4">
                  <c:v>7.919191572224582</c:v>
                </c:pt>
                <c:pt idx="5">
                  <c:v>8.6514849093235373</c:v>
                </c:pt>
                <c:pt idx="6">
                  <c:v>9.6587779073637812</c:v>
                </c:pt>
                <c:pt idx="7">
                  <c:v>11.895024020955825</c:v>
                </c:pt>
                <c:pt idx="8">
                  <c:v>13.619226436775534</c:v>
                </c:pt>
                <c:pt idx="9">
                  <c:v>12.961560148508966</c:v>
                </c:pt>
                <c:pt idx="10">
                  <c:v>14.637116188280253</c:v>
                </c:pt>
                <c:pt idx="11">
                  <c:v>14.60482637965076</c:v>
                </c:pt>
                <c:pt idx="12">
                  <c:v>17.054965180791893</c:v>
                </c:pt>
                <c:pt idx="13">
                  <c:v>17.472775127191941</c:v>
                </c:pt>
                <c:pt idx="14">
                  <c:v>19.256803791909849</c:v>
                </c:pt>
                <c:pt idx="15">
                  <c:v>21.387619930494584</c:v>
                </c:pt>
                <c:pt idx="16">
                  <c:v>21.844647516727711</c:v>
                </c:pt>
                <c:pt idx="17">
                  <c:v>25.082143319889973</c:v>
                </c:pt>
                <c:pt idx="18">
                  <c:v>25.678760829067581</c:v>
                </c:pt>
                <c:pt idx="19">
                  <c:v>25.732333959417652</c:v>
                </c:pt>
                <c:pt idx="20">
                  <c:v>28.913425284805161</c:v>
                </c:pt>
                <c:pt idx="21">
                  <c:v>30.129908018969775</c:v>
                </c:pt>
                <c:pt idx="22">
                  <c:v>38.954905037364107</c:v>
                </c:pt>
                <c:pt idx="23">
                  <c:v>43.363346347877709</c:v>
                </c:pt>
                <c:pt idx="24">
                  <c:v>52.058629558868951</c:v>
                </c:pt>
              </c:numCache>
            </c:numRef>
          </c:yVal>
          <c:smooth val="1"/>
        </c:ser>
        <c:ser>
          <c:idx val="1"/>
          <c:order val="1"/>
          <c:tx>
            <c:v>low_media_model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Baseline!$H$75:$H$98</c:f>
              <c:numCache>
                <c:formatCode>0.00</c:formatCode>
                <c:ptCount val="24"/>
                <c:pt idx="0">
                  <c:v>7.0762446209051255</c:v>
                </c:pt>
                <c:pt idx="1">
                  <c:v>7.2102175009969738</c:v>
                </c:pt>
                <c:pt idx="2">
                  <c:v>7.578952443491449</c:v>
                </c:pt>
                <c:pt idx="3">
                  <c:v>7.7614932881190928</c:v>
                </c:pt>
                <c:pt idx="4">
                  <c:v>8.1186756462109262</c:v>
                </c:pt>
                <c:pt idx="5">
                  <c:v>8.2897442526537528</c:v>
                </c:pt>
                <c:pt idx="6">
                  <c:v>8.6085377817086801</c:v>
                </c:pt>
                <c:pt idx="7">
                  <c:v>8.9743613060410343</c:v>
                </c:pt>
                <c:pt idx="8">
                  <c:v>9.3294662114230533</c:v>
                </c:pt>
                <c:pt idx="9">
                  <c:v>9.7850433711501932</c:v>
                </c:pt>
                <c:pt idx="10">
                  <c:v>10.234781171063201</c:v>
                </c:pt>
                <c:pt idx="11">
                  <c:v>10.777802757085697</c:v>
                </c:pt>
                <c:pt idx="12">
                  <c:v>11.293361224827281</c:v>
                </c:pt>
                <c:pt idx="13">
                  <c:v>11.831380613827347</c:v>
                </c:pt>
                <c:pt idx="14">
                  <c:v>12.380970797399826</c:v>
                </c:pt>
                <c:pt idx="15">
                  <c:v>12.911913945014996</c:v>
                </c:pt>
                <c:pt idx="16">
                  <c:v>13.509250362277159</c:v>
                </c:pt>
                <c:pt idx="17">
                  <c:v>14.185584542111751</c:v>
                </c:pt>
                <c:pt idx="18">
                  <c:v>14.819589156674763</c:v>
                </c:pt>
                <c:pt idx="19">
                  <c:v>15.419386978783811</c:v>
                </c:pt>
                <c:pt idx="20">
                  <c:v>16.097506603916724</c:v>
                </c:pt>
                <c:pt idx="21">
                  <c:v>18.048270138723367</c:v>
                </c:pt>
                <c:pt idx="22">
                  <c:v>22.051476199079612</c:v>
                </c:pt>
                <c:pt idx="23">
                  <c:v>26.411157170007694</c:v>
                </c:pt>
              </c:numCache>
            </c:numRef>
          </c:yVal>
          <c:smooth val="1"/>
        </c:ser>
        <c:ser>
          <c:idx val="2"/>
          <c:order val="2"/>
          <c:tx>
            <c:v>high_media_model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Baseline!$I$75:$I$98</c:f>
              <c:numCache>
                <c:formatCode>0.00</c:formatCode>
                <c:ptCount val="24"/>
                <c:pt idx="0">
                  <c:v>8.8638206114578395</c:v>
                </c:pt>
                <c:pt idx="1">
                  <c:v>10.281124545382847</c:v>
                </c:pt>
                <c:pt idx="2">
                  <c:v>11.336793250457845</c:v>
                </c:pt>
                <c:pt idx="3">
                  <c:v>12.123983770685998</c:v>
                </c:pt>
                <c:pt idx="4">
                  <c:v>13.053272904496072</c:v>
                </c:pt>
                <c:pt idx="5">
                  <c:v>13.793918334455679</c:v>
                </c:pt>
                <c:pt idx="6">
                  <c:v>15.169262271792583</c:v>
                </c:pt>
                <c:pt idx="7">
                  <c:v>16.759243816360293</c:v>
                </c:pt>
                <c:pt idx="8">
                  <c:v>18.27254287930694</c:v>
                </c:pt>
                <c:pt idx="9">
                  <c:v>19.889240704883161</c:v>
                </c:pt>
                <c:pt idx="10">
                  <c:v>21.786548462309273</c:v>
                </c:pt>
                <c:pt idx="11">
                  <c:v>23.870040306015472</c:v>
                </c:pt>
                <c:pt idx="12">
                  <c:v>26.017979872958385</c:v>
                </c:pt>
                <c:pt idx="13">
                  <c:v>28.235807193398699</c:v>
                </c:pt>
                <c:pt idx="14">
                  <c:v>30.545795904653449</c:v>
                </c:pt>
                <c:pt idx="15">
                  <c:v>33.159914306512029</c:v>
                </c:pt>
                <c:pt idx="16">
                  <c:v>35.711041321601634</c:v>
                </c:pt>
                <c:pt idx="17">
                  <c:v>37.680668248568836</c:v>
                </c:pt>
                <c:pt idx="18">
                  <c:v>39.308357881165868</c:v>
                </c:pt>
                <c:pt idx="19">
                  <c:v>40.362031287353005</c:v>
                </c:pt>
                <c:pt idx="20">
                  <c:v>41.8645970092591</c:v>
                </c:pt>
                <c:pt idx="21">
                  <c:v>42.776452504911248</c:v>
                </c:pt>
                <c:pt idx="22">
                  <c:v>44.983278676485973</c:v>
                </c:pt>
                <c:pt idx="23">
                  <c:v>46.702034968535969</c:v>
                </c:pt>
              </c:numCache>
            </c:numRef>
          </c:yVal>
          <c:smooth val="1"/>
        </c:ser>
        <c:ser>
          <c:idx val="3"/>
          <c:order val="3"/>
          <c:tx>
            <c:v>new model_combined</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Baseline!$T$75:$T$98</c:f>
              <c:numCache>
                <c:formatCode>0.00</c:formatCode>
                <c:ptCount val="24"/>
                <c:pt idx="0">
                  <c:v>7.7950965471334506</c:v>
                </c:pt>
                <c:pt idx="1">
                  <c:v>8.4499594754210765</c:v>
                </c:pt>
                <c:pt idx="2">
                  <c:v>9.0992665627114278</c:v>
                </c:pt>
                <c:pt idx="3">
                  <c:v>9.5297700046020122</c:v>
                </c:pt>
                <c:pt idx="4">
                  <c:v>10.122522834874992</c:v>
                </c:pt>
                <c:pt idx="5">
                  <c:v>10.528949575252078</c:v>
                </c:pt>
                <c:pt idx="6">
                  <c:v>11.286694068513869</c:v>
                </c:pt>
                <c:pt idx="7">
                  <c:v>12.165052927058074</c:v>
                </c:pt>
                <c:pt idx="8">
                  <c:v>13.009124452718979</c:v>
                </c:pt>
                <c:pt idx="9">
                  <c:v>13.959147684550832</c:v>
                </c:pt>
                <c:pt idx="10">
                  <c:v>15.031140628952199</c:v>
                </c:pt>
                <c:pt idx="11">
                  <c:v>16.244129859696677</c:v>
                </c:pt>
                <c:pt idx="12">
                  <c:v>17.478504622982726</c:v>
                </c:pt>
                <c:pt idx="13">
                  <c:v>18.766458008484786</c:v>
                </c:pt>
                <c:pt idx="14">
                  <c:v>20.113647318060412</c:v>
                </c:pt>
                <c:pt idx="15">
                  <c:v>21.604037406147469</c:v>
                </c:pt>
                <c:pt idx="16">
                  <c:v>23.119199219066864</c:v>
                </c:pt>
                <c:pt idx="17">
                  <c:v>24.416161271902361</c:v>
                </c:pt>
                <c:pt idx="18">
                  <c:v>25.534787477698938</c:v>
                </c:pt>
                <c:pt idx="19">
                  <c:v>26.362198277895576</c:v>
                </c:pt>
                <c:pt idx="20">
                  <c:v>27.452149405445738</c:v>
                </c:pt>
                <c:pt idx="21">
                  <c:v>28.923851257398027</c:v>
                </c:pt>
                <c:pt idx="22">
                  <c:v>32.109536299002158</c:v>
                </c:pt>
                <c:pt idx="23">
                  <c:v>35.252564198843331</c:v>
                </c:pt>
              </c:numCache>
            </c:numRef>
          </c:yVal>
          <c:smooth val="1"/>
        </c:ser>
        <c:dLbls>
          <c:showLegendKey val="0"/>
          <c:showVal val="0"/>
          <c:showCatName val="0"/>
          <c:showSerName val="0"/>
          <c:showPercent val="0"/>
          <c:showBubbleSize val="0"/>
        </c:dLbls>
        <c:axId val="307045120"/>
        <c:axId val="307046656"/>
      </c:scatterChart>
      <c:valAx>
        <c:axId val="307045120"/>
        <c:scaling>
          <c:orientation val="minMax"/>
          <c:max val="150"/>
          <c:min val="-50"/>
        </c:scaling>
        <c:delete val="0"/>
        <c:axPos val="b"/>
        <c:numFmt formatCode="0" sourceLinked="0"/>
        <c:majorTickMark val="out"/>
        <c:minorTickMark val="none"/>
        <c:tickLblPos val="nextTo"/>
        <c:crossAx val="307046656"/>
        <c:crosses val="autoZero"/>
        <c:crossBetween val="midCat"/>
        <c:majorUnit val="25"/>
      </c:valAx>
      <c:valAx>
        <c:axId val="307046656"/>
        <c:scaling>
          <c:orientation val="minMax"/>
        </c:scaling>
        <c:delete val="0"/>
        <c:axPos val="l"/>
        <c:numFmt formatCode="0.00" sourceLinked="1"/>
        <c:majorTickMark val="out"/>
        <c:minorTickMark val="none"/>
        <c:tickLblPos val="nextTo"/>
        <c:crossAx val="30704512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actual_broker_WALA12-24</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Baseline!$G$177:$G$200</c:f>
              <c:numCache>
                <c:formatCode>0.00</c:formatCode>
                <c:ptCount val="24"/>
                <c:pt idx="0">
                  <c:v>4.3036058051398758</c:v>
                </c:pt>
                <c:pt idx="1">
                  <c:v>9.3546473298454895</c:v>
                </c:pt>
                <c:pt idx="2">
                  <c:v>6.3762957514387093</c:v>
                </c:pt>
                <c:pt idx="3">
                  <c:v>10.582111002443684</c:v>
                </c:pt>
                <c:pt idx="4">
                  <c:v>9.2241763055226684</c:v>
                </c:pt>
                <c:pt idx="5">
                  <c:v>9.4723739778586395</c:v>
                </c:pt>
                <c:pt idx="6">
                  <c:v>15.393160676049877</c:v>
                </c:pt>
                <c:pt idx="7">
                  <c:v>19.374143441593748</c:v>
                </c:pt>
                <c:pt idx="8">
                  <c:v>21.536671117698226</c:v>
                </c:pt>
                <c:pt idx="9">
                  <c:v>22.102074127303219</c:v>
                </c:pt>
                <c:pt idx="10">
                  <c:v>22.682516231668448</c:v>
                </c:pt>
                <c:pt idx="11">
                  <c:v>26.052643474255753</c:v>
                </c:pt>
                <c:pt idx="12">
                  <c:v>22.490237139460135</c:v>
                </c:pt>
                <c:pt idx="13">
                  <c:v>28.073637350302903</c:v>
                </c:pt>
                <c:pt idx="14">
                  <c:v>28.188408929403707</c:v>
                </c:pt>
                <c:pt idx="15">
                  <c:v>27.031937639273018</c:v>
                </c:pt>
                <c:pt idx="16">
                  <c:v>29.634233067449621</c:v>
                </c:pt>
                <c:pt idx="17">
                  <c:v>34.135848168081708</c:v>
                </c:pt>
                <c:pt idx="18">
                  <c:v>33.96354258596088</c:v>
                </c:pt>
                <c:pt idx="19">
                  <c:v>32.364873532834636</c:v>
                </c:pt>
                <c:pt idx="20">
                  <c:v>32.755562905611448</c:v>
                </c:pt>
                <c:pt idx="21">
                  <c:v>36.378600581966971</c:v>
                </c:pt>
                <c:pt idx="22">
                  <c:v>44.973922805988153</c:v>
                </c:pt>
                <c:pt idx="23">
                  <c:v>35.214528865599689</c:v>
                </c:pt>
              </c:numCache>
            </c:numRef>
          </c:yVal>
          <c:smooth val="1"/>
        </c:ser>
        <c:ser>
          <c:idx val="1"/>
          <c:order val="1"/>
          <c:tx>
            <c:v>low_media_model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Baseline!$H$177:$H$200</c:f>
              <c:numCache>
                <c:formatCode>0.00</c:formatCode>
                <c:ptCount val="24"/>
                <c:pt idx="0">
                  <c:v>7.281376195111533</c:v>
                </c:pt>
                <c:pt idx="1">
                  <c:v>7.6310808400182006</c:v>
                </c:pt>
                <c:pt idx="2">
                  <c:v>7.962483805492127</c:v>
                </c:pt>
                <c:pt idx="3">
                  <c:v>8.2304855054762918</c:v>
                </c:pt>
                <c:pt idx="4">
                  <c:v>8.6520400757897793</c:v>
                </c:pt>
                <c:pt idx="5">
                  <c:v>8.8659234815243408</c:v>
                </c:pt>
                <c:pt idx="6">
                  <c:v>9.2146357764763547</c:v>
                </c:pt>
                <c:pt idx="7">
                  <c:v>9.6294686306189536</c:v>
                </c:pt>
                <c:pt idx="8">
                  <c:v>10.050931967191801</c:v>
                </c:pt>
                <c:pt idx="9">
                  <c:v>10.541236238326734</c:v>
                </c:pt>
                <c:pt idx="10">
                  <c:v>11.04218491034662</c:v>
                </c:pt>
                <c:pt idx="11">
                  <c:v>11.650191337795057</c:v>
                </c:pt>
                <c:pt idx="12">
                  <c:v>12.223950941043659</c:v>
                </c:pt>
                <c:pt idx="13">
                  <c:v>12.771839265069861</c:v>
                </c:pt>
                <c:pt idx="14">
                  <c:v>13.345655927291666</c:v>
                </c:pt>
                <c:pt idx="15">
                  <c:v>13.917420229675326</c:v>
                </c:pt>
                <c:pt idx="16">
                  <c:v>14.567362268891515</c:v>
                </c:pt>
                <c:pt idx="17">
                  <c:v>15.259555667337278</c:v>
                </c:pt>
                <c:pt idx="18">
                  <c:v>15.921934861660002</c:v>
                </c:pt>
                <c:pt idx="19">
                  <c:v>16.544975505335202</c:v>
                </c:pt>
                <c:pt idx="20">
                  <c:v>17.288755079674502</c:v>
                </c:pt>
                <c:pt idx="21">
                  <c:v>19.424908063844093</c:v>
                </c:pt>
                <c:pt idx="22">
                  <c:v>23.672530055697617</c:v>
                </c:pt>
                <c:pt idx="23">
                  <c:v>28.476826570314795</c:v>
                </c:pt>
              </c:numCache>
            </c:numRef>
          </c:yVal>
          <c:smooth val="1"/>
        </c:ser>
        <c:ser>
          <c:idx val="2"/>
          <c:order val="2"/>
          <c:tx>
            <c:v>high_media_model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Baseline!$I$177:$I$200</c:f>
              <c:numCache>
                <c:formatCode>0.00</c:formatCode>
                <c:ptCount val="24"/>
                <c:pt idx="0">
                  <c:v>12.331784210434771</c:v>
                </c:pt>
                <c:pt idx="1">
                  <c:v>13.229454327877521</c:v>
                </c:pt>
                <c:pt idx="2">
                  <c:v>14.290148690728843</c:v>
                </c:pt>
                <c:pt idx="3">
                  <c:v>15.156816019469744</c:v>
                </c:pt>
                <c:pt idx="4">
                  <c:v>16.066133112347259</c:v>
                </c:pt>
                <c:pt idx="5">
                  <c:v>17.038242570671038</c:v>
                </c:pt>
                <c:pt idx="6">
                  <c:v>18.706019123726037</c:v>
                </c:pt>
                <c:pt idx="7">
                  <c:v>20.460418137902202</c:v>
                </c:pt>
                <c:pt idx="8">
                  <c:v>22.286376384058038</c:v>
                </c:pt>
                <c:pt idx="9">
                  <c:v>24.617102825489667</c:v>
                </c:pt>
                <c:pt idx="10">
                  <c:v>26.866933882053289</c:v>
                </c:pt>
                <c:pt idx="11">
                  <c:v>29.129925861334439</c:v>
                </c:pt>
                <c:pt idx="12">
                  <c:v>31.53980216647938</c:v>
                </c:pt>
                <c:pt idx="13">
                  <c:v>34.234726937405767</c:v>
                </c:pt>
                <c:pt idx="14">
                  <c:v>36.96121577339774</c:v>
                </c:pt>
                <c:pt idx="15">
                  <c:v>40.053127536668363</c:v>
                </c:pt>
                <c:pt idx="16">
                  <c:v>42.953471086525298</c:v>
                </c:pt>
                <c:pt idx="17">
                  <c:v>44.009396761248468</c:v>
                </c:pt>
                <c:pt idx="18">
                  <c:v>45.505763423853473</c:v>
                </c:pt>
                <c:pt idx="19">
                  <c:v>48.731952173963798</c:v>
                </c:pt>
                <c:pt idx="20">
                  <c:v>52.988480011768125</c:v>
                </c:pt>
                <c:pt idx="21">
                  <c:v>53.27277009438555</c:v>
                </c:pt>
                <c:pt idx="22">
                  <c:v>52.298682350285915</c:v>
                </c:pt>
                <c:pt idx="23">
                  <c:v>52.835273584806686</c:v>
                </c:pt>
              </c:numCache>
            </c:numRef>
          </c:yVal>
          <c:smooth val="1"/>
        </c:ser>
        <c:ser>
          <c:idx val="3"/>
          <c:order val="3"/>
          <c:tx>
            <c:v>new model_combined</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Baseline!$T$177:$T$200</c:f>
              <c:numCache>
                <c:formatCode>0.00</c:formatCode>
                <c:ptCount val="24"/>
                <c:pt idx="0">
                  <c:v>9.5339755525751908</c:v>
                </c:pt>
                <c:pt idx="1">
                  <c:v>11.169170627080604</c:v>
                </c:pt>
                <c:pt idx="2">
                  <c:v>11.719355737468383</c:v>
                </c:pt>
                <c:pt idx="3">
                  <c:v>12.317566501513866</c:v>
                </c:pt>
                <c:pt idx="4">
                  <c:v>13.4131597872586</c:v>
                </c:pt>
                <c:pt idx="5">
                  <c:v>14.359516643808746</c:v>
                </c:pt>
                <c:pt idx="6">
                  <c:v>15.495966804435501</c:v>
                </c:pt>
                <c:pt idx="7">
                  <c:v>16.883445557549781</c:v>
                </c:pt>
                <c:pt idx="8">
                  <c:v>18.180027279557908</c:v>
                </c:pt>
                <c:pt idx="9">
                  <c:v>19.592990285191114</c:v>
                </c:pt>
                <c:pt idx="10">
                  <c:v>21.032012755631868</c:v>
                </c:pt>
                <c:pt idx="11">
                  <c:v>22.61218322998775</c:v>
                </c:pt>
                <c:pt idx="12">
                  <c:v>24.237977629757335</c:v>
                </c:pt>
                <c:pt idx="13">
                  <c:v>26.184475965336983</c:v>
                </c:pt>
                <c:pt idx="14">
                  <c:v>28.064676650415443</c:v>
                </c:pt>
                <c:pt idx="15">
                  <c:v>28.959497045979511</c:v>
                </c:pt>
                <c:pt idx="16">
                  <c:v>30.16363171189289</c:v>
                </c:pt>
                <c:pt idx="17">
                  <c:v>32.082030955290477</c:v>
                </c:pt>
                <c:pt idx="18">
                  <c:v>34.645202194336576</c:v>
                </c:pt>
                <c:pt idx="19">
                  <c:v>32.130063957723522</c:v>
                </c:pt>
                <c:pt idx="20">
                  <c:v>35.629714191418358</c:v>
                </c:pt>
                <c:pt idx="21">
                  <c:v>37.016120979450626</c:v>
                </c:pt>
                <c:pt idx="22">
                  <c:v>39.862040889727659</c:v>
                </c:pt>
                <c:pt idx="23">
                  <c:v>40.445397678411076</c:v>
                </c:pt>
              </c:numCache>
            </c:numRef>
          </c:yVal>
          <c:smooth val="1"/>
        </c:ser>
        <c:dLbls>
          <c:showLegendKey val="0"/>
          <c:showVal val="0"/>
          <c:showCatName val="0"/>
          <c:showSerName val="0"/>
          <c:showPercent val="0"/>
          <c:showBubbleSize val="0"/>
        </c:dLbls>
        <c:axId val="307332224"/>
        <c:axId val="307333760"/>
      </c:scatterChart>
      <c:valAx>
        <c:axId val="307332224"/>
        <c:scaling>
          <c:orientation val="minMax"/>
          <c:max val="150"/>
          <c:min val="-50"/>
        </c:scaling>
        <c:delete val="0"/>
        <c:axPos val="b"/>
        <c:numFmt formatCode="0" sourceLinked="0"/>
        <c:majorTickMark val="out"/>
        <c:minorTickMark val="none"/>
        <c:tickLblPos val="nextTo"/>
        <c:crossAx val="307333760"/>
        <c:crosses val="autoZero"/>
        <c:crossBetween val="midCat"/>
        <c:majorUnit val="25"/>
      </c:valAx>
      <c:valAx>
        <c:axId val="307333760"/>
        <c:scaling>
          <c:orientation val="minMax"/>
        </c:scaling>
        <c:delete val="0"/>
        <c:axPos val="l"/>
        <c:numFmt formatCode="0.00" sourceLinked="1"/>
        <c:majorTickMark val="out"/>
        <c:minorTickMark val="none"/>
        <c:tickLblPos val="nextTo"/>
        <c:crossAx val="307332224"/>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actual_NonCASHWINOW_WALA12-24</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Baseline!$G$278:$G$301</c:f>
              <c:numCache>
                <c:formatCode>0.00</c:formatCode>
                <c:ptCount val="24"/>
                <c:pt idx="0">
                  <c:v>1.7879864664556711</c:v>
                </c:pt>
                <c:pt idx="1">
                  <c:v>5.8545055481391657</c:v>
                </c:pt>
                <c:pt idx="2">
                  <c:v>9.4990165587955477</c:v>
                </c:pt>
                <c:pt idx="3">
                  <c:v>6.7208491605987071</c:v>
                </c:pt>
                <c:pt idx="4">
                  <c:v>6.0070398698801704</c:v>
                </c:pt>
                <c:pt idx="5">
                  <c:v>7.6682460452392913</c:v>
                </c:pt>
                <c:pt idx="6">
                  <c:v>5.1878896729621644</c:v>
                </c:pt>
                <c:pt idx="7">
                  <c:v>9.2592249386641114</c:v>
                </c:pt>
                <c:pt idx="8">
                  <c:v>8.4923336479145188</c:v>
                </c:pt>
                <c:pt idx="9">
                  <c:v>11.616268866587799</c:v>
                </c:pt>
                <c:pt idx="10">
                  <c:v>9.771699933153144</c:v>
                </c:pt>
                <c:pt idx="11">
                  <c:v>10.026926775989608</c:v>
                </c:pt>
                <c:pt idx="12">
                  <c:v>11.688126293046853</c:v>
                </c:pt>
                <c:pt idx="13">
                  <c:v>13.568857869266571</c:v>
                </c:pt>
                <c:pt idx="14">
                  <c:v>16.018002057540258</c:v>
                </c:pt>
                <c:pt idx="15">
                  <c:v>16.062409202218909</c:v>
                </c:pt>
                <c:pt idx="16">
                  <c:v>21.414005570168882</c:v>
                </c:pt>
                <c:pt idx="17">
                  <c:v>20.39010484153405</c:v>
                </c:pt>
                <c:pt idx="18">
                  <c:v>24.720982650224631</c:v>
                </c:pt>
                <c:pt idx="19">
                  <c:v>24.692609381763731</c:v>
                </c:pt>
                <c:pt idx="20">
                  <c:v>25.557023348694418</c:v>
                </c:pt>
                <c:pt idx="21">
                  <c:v>29.72701522286939</c:v>
                </c:pt>
                <c:pt idx="22">
                  <c:v>33.420402080467305</c:v>
                </c:pt>
                <c:pt idx="23">
                  <c:v>38.208734527788778</c:v>
                </c:pt>
              </c:numCache>
            </c:numRef>
          </c:yVal>
          <c:smooth val="1"/>
        </c:ser>
        <c:ser>
          <c:idx val="1"/>
          <c:order val="1"/>
          <c:tx>
            <c:v>low_media_model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Baseline!$H$278:$H$301</c:f>
              <c:numCache>
                <c:formatCode>0.00</c:formatCode>
                <c:ptCount val="24"/>
                <c:pt idx="0">
                  <c:v>7.5855233905059327</c:v>
                </c:pt>
                <c:pt idx="1">
                  <c:v>7.7682388626088672</c:v>
                </c:pt>
                <c:pt idx="2">
                  <c:v>8.0025677236592365</c:v>
                </c:pt>
                <c:pt idx="3">
                  <c:v>8.2684226156828462</c:v>
                </c:pt>
                <c:pt idx="4">
                  <c:v>8.3561410817045374</c:v>
                </c:pt>
                <c:pt idx="5">
                  <c:v>8.6443321573551053</c:v>
                </c:pt>
                <c:pt idx="6">
                  <c:v>8.9514899306487479</c:v>
                </c:pt>
                <c:pt idx="7">
                  <c:v>9.2176144801423341</c:v>
                </c:pt>
                <c:pt idx="8">
                  <c:v>9.6753679485579891</c:v>
                </c:pt>
                <c:pt idx="9">
                  <c:v>9.978337435113394</c:v>
                </c:pt>
                <c:pt idx="10">
                  <c:v>10.413672830500364</c:v>
                </c:pt>
                <c:pt idx="11">
                  <c:v>10.98073517111745</c:v>
                </c:pt>
                <c:pt idx="12">
                  <c:v>11.4747393571344</c:v>
                </c:pt>
                <c:pt idx="13">
                  <c:v>12.053204839989274</c:v>
                </c:pt>
                <c:pt idx="14">
                  <c:v>12.519214128659639</c:v>
                </c:pt>
                <c:pt idx="15">
                  <c:v>13.078237397986737</c:v>
                </c:pt>
                <c:pt idx="16">
                  <c:v>13.755937835989773</c:v>
                </c:pt>
                <c:pt idx="17">
                  <c:v>14.293315383894178</c:v>
                </c:pt>
                <c:pt idx="18">
                  <c:v>14.806102312465729</c:v>
                </c:pt>
                <c:pt idx="19">
                  <c:v>15.3915008062122</c:v>
                </c:pt>
                <c:pt idx="20">
                  <c:v>17.105183270907197</c:v>
                </c:pt>
                <c:pt idx="21">
                  <c:v>20.45880794231223</c:v>
                </c:pt>
                <c:pt idx="22">
                  <c:v>24.727801419739471</c:v>
                </c:pt>
                <c:pt idx="23">
                  <c:v>28.790252035737605</c:v>
                </c:pt>
              </c:numCache>
            </c:numRef>
          </c:yVal>
          <c:smooth val="1"/>
        </c:ser>
        <c:ser>
          <c:idx val="2"/>
          <c:order val="2"/>
          <c:tx>
            <c:v>high_media_model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Baseline!$I$278:$I$301</c:f>
              <c:numCache>
                <c:formatCode>0.00</c:formatCode>
                <c:ptCount val="24"/>
                <c:pt idx="0">
                  <c:v>10.814688446955223</c:v>
                </c:pt>
                <c:pt idx="1">
                  <c:v>11.609941027538417</c:v>
                </c:pt>
                <c:pt idx="2">
                  <c:v>12.319956704890899</c:v>
                </c:pt>
                <c:pt idx="3">
                  <c:v>12.899404637501178</c:v>
                </c:pt>
                <c:pt idx="4">
                  <c:v>13.677674721541955</c:v>
                </c:pt>
                <c:pt idx="5">
                  <c:v>15.010531625711831</c:v>
                </c:pt>
                <c:pt idx="6">
                  <c:v>16.232985925660802</c:v>
                </c:pt>
                <c:pt idx="7">
                  <c:v>17.835069887438028</c:v>
                </c:pt>
                <c:pt idx="8">
                  <c:v>19.45481051389406</c:v>
                </c:pt>
                <c:pt idx="9">
                  <c:v>21.161583270948402</c:v>
                </c:pt>
                <c:pt idx="10">
                  <c:v>23.269134430086403</c:v>
                </c:pt>
                <c:pt idx="11">
                  <c:v>25.395038777163357</c:v>
                </c:pt>
                <c:pt idx="12">
                  <c:v>27.769171725219131</c:v>
                </c:pt>
                <c:pt idx="13">
                  <c:v>30.120730789223938</c:v>
                </c:pt>
                <c:pt idx="14">
                  <c:v>32.433304138183686</c:v>
                </c:pt>
                <c:pt idx="15">
                  <c:v>35.539307111358454</c:v>
                </c:pt>
                <c:pt idx="16">
                  <c:v>37.105052844058719</c:v>
                </c:pt>
                <c:pt idx="17">
                  <c:v>38.062400684023366</c:v>
                </c:pt>
                <c:pt idx="18">
                  <c:v>39.341084271462265</c:v>
                </c:pt>
                <c:pt idx="19">
                  <c:v>42.105050167123402</c:v>
                </c:pt>
                <c:pt idx="20">
                  <c:v>43.530752882569715</c:v>
                </c:pt>
                <c:pt idx="21">
                  <c:v>44.563835596086484</c:v>
                </c:pt>
                <c:pt idx="22">
                  <c:v>45.134289001703046</c:v>
                </c:pt>
                <c:pt idx="23">
                  <c:v>44.077868317870561</c:v>
                </c:pt>
              </c:numCache>
            </c:numRef>
          </c:yVal>
          <c:smooth val="1"/>
        </c:ser>
        <c:ser>
          <c:idx val="3"/>
          <c:order val="3"/>
          <c:tx>
            <c:v>new model_combined</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Baseline!$T$278:$T$301</c:f>
              <c:numCache>
                <c:formatCode>0.00</c:formatCode>
                <c:ptCount val="24"/>
                <c:pt idx="0">
                  <c:v>8.1738034556723793</c:v>
                </c:pt>
                <c:pt idx="1">
                  <c:v>8.6482259212332657</c:v>
                </c:pt>
                <c:pt idx="2">
                  <c:v>8.6749722768357564</c:v>
                </c:pt>
                <c:pt idx="3">
                  <c:v>9.1721966609698882</c:v>
                </c:pt>
                <c:pt idx="4">
                  <c:v>9.4001868664450043</c:v>
                </c:pt>
                <c:pt idx="5">
                  <c:v>9.7904685706704964</c:v>
                </c:pt>
                <c:pt idx="6">
                  <c:v>10.176830275262949</c:v>
                </c:pt>
                <c:pt idx="7">
                  <c:v>10.745531323180524</c:v>
                </c:pt>
                <c:pt idx="8">
                  <c:v>11.416945830009407</c:v>
                </c:pt>
                <c:pt idx="9">
                  <c:v>12.020416221447194</c:v>
                </c:pt>
                <c:pt idx="10">
                  <c:v>12.920100234011677</c:v>
                </c:pt>
                <c:pt idx="11">
                  <c:v>13.893995485593225</c:v>
                </c:pt>
                <c:pt idx="12">
                  <c:v>14.933668226564834</c:v>
                </c:pt>
                <c:pt idx="13">
                  <c:v>16.090366490366325</c:v>
                </c:pt>
                <c:pt idx="14">
                  <c:v>17.212810117505661</c:v>
                </c:pt>
                <c:pt idx="15">
                  <c:v>18.520654820914618</c:v>
                </c:pt>
                <c:pt idx="16">
                  <c:v>19.664205864013784</c:v>
                </c:pt>
                <c:pt idx="17">
                  <c:v>21.135928155533399</c:v>
                </c:pt>
                <c:pt idx="18">
                  <c:v>22.231331944795706</c:v>
                </c:pt>
                <c:pt idx="19">
                  <c:v>22.921063822682086</c:v>
                </c:pt>
                <c:pt idx="20">
                  <c:v>25.302629303821746</c:v>
                </c:pt>
                <c:pt idx="21">
                  <c:v>26.852328505324717</c:v>
                </c:pt>
                <c:pt idx="22">
                  <c:v>28.992105949859702</c:v>
                </c:pt>
                <c:pt idx="23">
                  <c:v>31.226634972139657</c:v>
                </c:pt>
              </c:numCache>
            </c:numRef>
          </c:yVal>
          <c:smooth val="1"/>
        </c:ser>
        <c:dLbls>
          <c:showLegendKey val="0"/>
          <c:showVal val="0"/>
          <c:showCatName val="0"/>
          <c:showSerName val="0"/>
          <c:showPercent val="0"/>
          <c:showBubbleSize val="0"/>
        </c:dLbls>
        <c:axId val="308881664"/>
        <c:axId val="308891648"/>
      </c:scatterChart>
      <c:valAx>
        <c:axId val="308881664"/>
        <c:scaling>
          <c:orientation val="minMax"/>
          <c:max val="150"/>
          <c:min val="-50"/>
        </c:scaling>
        <c:delete val="0"/>
        <c:axPos val="b"/>
        <c:numFmt formatCode="0" sourceLinked="0"/>
        <c:majorTickMark val="out"/>
        <c:minorTickMark val="none"/>
        <c:tickLblPos val="nextTo"/>
        <c:crossAx val="308891648"/>
        <c:crosses val="autoZero"/>
        <c:crossBetween val="midCat"/>
        <c:majorUnit val="25"/>
      </c:valAx>
      <c:valAx>
        <c:axId val="308891648"/>
        <c:scaling>
          <c:orientation val="minMax"/>
        </c:scaling>
        <c:delete val="0"/>
        <c:axPos val="l"/>
        <c:numFmt formatCode="0.00" sourceLinked="1"/>
        <c:majorTickMark val="out"/>
        <c:minorTickMark val="none"/>
        <c:tickLblPos val="nextTo"/>
        <c:crossAx val="308881664"/>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0-2000</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Corres+Cashwindow_'!$G$85:$G$110</c:f>
              <c:numCache>
                <c:formatCode>0.00</c:formatCode>
                <c:ptCount val="26"/>
                <c:pt idx="0">
                  <c:v>3.6078533300600069</c:v>
                </c:pt>
                <c:pt idx="1">
                  <c:v>2.525178931469918</c:v>
                </c:pt>
                <c:pt idx="2">
                  <c:v>2.2766196273815043</c:v>
                </c:pt>
                <c:pt idx="3">
                  <c:v>2.9023811702985625</c:v>
                </c:pt>
                <c:pt idx="4">
                  <c:v>3.2032130934767422</c:v>
                </c:pt>
                <c:pt idx="5">
                  <c:v>4.5170378360978036</c:v>
                </c:pt>
                <c:pt idx="6">
                  <c:v>5.5688374215219438</c:v>
                </c:pt>
                <c:pt idx="7">
                  <c:v>7.1644600983545086</c:v>
                </c:pt>
                <c:pt idx="8">
                  <c:v>8.8521007135361707</c:v>
                </c:pt>
                <c:pt idx="9">
                  <c:v>10.904270721359744</c:v>
                </c:pt>
                <c:pt idx="10">
                  <c:v>14.002827185935029</c:v>
                </c:pt>
                <c:pt idx="11">
                  <c:v>17.244108581958663</c:v>
                </c:pt>
                <c:pt idx="12">
                  <c:v>21.06942305859878</c:v>
                </c:pt>
                <c:pt idx="13">
                  <c:v>23.063401972062913</c:v>
                </c:pt>
                <c:pt idx="14">
                  <c:v>25.027503012227449</c:v>
                </c:pt>
                <c:pt idx="15">
                  <c:v>27.830948697166903</c:v>
                </c:pt>
                <c:pt idx="16">
                  <c:v>31.45780955433537</c:v>
                </c:pt>
                <c:pt idx="17">
                  <c:v>33.304221716883319</c:v>
                </c:pt>
                <c:pt idx="18">
                  <c:v>33.412905074069855</c:v>
                </c:pt>
                <c:pt idx="19">
                  <c:v>35.483122751195552</c:v>
                </c:pt>
                <c:pt idx="20">
                  <c:v>36.916194201583117</c:v>
                </c:pt>
                <c:pt idx="21">
                  <c:v>37.345209881536881</c:v>
                </c:pt>
                <c:pt idx="22">
                  <c:v>38.800416896469478</c:v>
                </c:pt>
                <c:pt idx="23">
                  <c:v>41.663526110259518</c:v>
                </c:pt>
                <c:pt idx="24">
                  <c:v>43.582707923872796</c:v>
                </c:pt>
                <c:pt idx="25">
                  <c:v>44.461826312466357</c:v>
                </c:pt>
              </c:numCache>
            </c:numRef>
          </c:yVal>
          <c:smooth val="1"/>
        </c:ser>
        <c:ser>
          <c:idx val="1"/>
          <c:order val="1"/>
          <c:tx>
            <c:v>low_media_model</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Corres+Cashwindow_'!$H$85:$H$110</c:f>
              <c:numCache>
                <c:formatCode>0.00</c:formatCode>
                <c:ptCount val="26"/>
                <c:pt idx="0">
                  <c:v>2.3469465867071104</c:v>
                </c:pt>
                <c:pt idx="1">
                  <c:v>2.0219979142390154</c:v>
                </c:pt>
                <c:pt idx="2">
                  <c:v>2.4494663891911017</c:v>
                </c:pt>
                <c:pt idx="3">
                  <c:v>2.9451487813885735</c:v>
                </c:pt>
                <c:pt idx="4">
                  <c:v>3.1972843992309818</c:v>
                </c:pt>
                <c:pt idx="5">
                  <c:v>3.5027008657435799</c:v>
                </c:pt>
                <c:pt idx="6">
                  <c:v>3.7801681502636408</c:v>
                </c:pt>
                <c:pt idx="7">
                  <c:v>4.0819834893841218</c:v>
                </c:pt>
                <c:pt idx="8">
                  <c:v>4.4631856457653996</c:v>
                </c:pt>
                <c:pt idx="9">
                  <c:v>4.904549124419832</c:v>
                </c:pt>
                <c:pt idx="10">
                  <c:v>5.5438423841532529</c:v>
                </c:pt>
                <c:pt idx="11">
                  <c:v>6.2506137949907341</c:v>
                </c:pt>
                <c:pt idx="12">
                  <c:v>6.9934856512083314</c:v>
                </c:pt>
                <c:pt idx="13">
                  <c:v>7.6955413216194035</c:v>
                </c:pt>
                <c:pt idx="14">
                  <c:v>8.3415626347323695</c:v>
                </c:pt>
                <c:pt idx="15">
                  <c:v>9.0819059611715538</c:v>
                </c:pt>
                <c:pt idx="16">
                  <c:v>9.7913548843460152</c:v>
                </c:pt>
                <c:pt idx="17">
                  <c:v>10.582235706733844</c:v>
                </c:pt>
                <c:pt idx="18">
                  <c:v>11.274417832063644</c:v>
                </c:pt>
                <c:pt idx="19">
                  <c:v>11.983354476191099</c:v>
                </c:pt>
                <c:pt idx="20">
                  <c:v>12.770679796848327</c:v>
                </c:pt>
                <c:pt idx="21">
                  <c:v>13.423606384207998</c:v>
                </c:pt>
                <c:pt idx="22">
                  <c:v>14.280626783742612</c:v>
                </c:pt>
                <c:pt idx="23">
                  <c:v>16.394404830351682</c:v>
                </c:pt>
                <c:pt idx="24">
                  <c:v>20.117715308138131</c:v>
                </c:pt>
                <c:pt idx="25">
                  <c:v>23.712700314193246</c:v>
                </c:pt>
              </c:numCache>
            </c:numRef>
          </c:yVal>
          <c:smooth val="1"/>
        </c:ser>
        <c:ser>
          <c:idx val="2"/>
          <c:order val="2"/>
          <c:tx>
            <c:v>high_media_model</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Corres+Cashwindow_'!$I$85:$I$110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ser>
          <c:idx val="3"/>
          <c:order val="3"/>
          <c:tx>
            <c:v>new model_combined</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Corres+Cashwindow_'!$T$85:$T$110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dLbls>
          <c:showLegendKey val="0"/>
          <c:showVal val="0"/>
          <c:showCatName val="0"/>
          <c:showSerName val="0"/>
          <c:showPercent val="0"/>
          <c:showBubbleSize val="0"/>
        </c:dLbls>
        <c:axId val="310620928"/>
        <c:axId val="310622464"/>
      </c:scatterChart>
      <c:valAx>
        <c:axId val="310620928"/>
        <c:scaling>
          <c:orientation val="minMax"/>
          <c:max val="150"/>
          <c:min val="-50"/>
        </c:scaling>
        <c:delete val="0"/>
        <c:axPos val="b"/>
        <c:numFmt formatCode="0" sourceLinked="0"/>
        <c:majorTickMark val="out"/>
        <c:minorTickMark val="none"/>
        <c:tickLblPos val="nextTo"/>
        <c:crossAx val="310622464"/>
        <c:crosses val="autoZero"/>
        <c:crossBetween val="midCat"/>
        <c:majorUnit val="25"/>
      </c:valAx>
      <c:valAx>
        <c:axId val="310622464"/>
        <c:scaling>
          <c:orientation val="minMax"/>
        </c:scaling>
        <c:delete val="0"/>
        <c:axPos val="l"/>
        <c:numFmt formatCode="0.00" sourceLinked="1"/>
        <c:majorTickMark val="out"/>
        <c:minorTickMark val="none"/>
        <c:tickLblPos val="nextTo"/>
        <c:crossAx val="310620928"/>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2000-4000</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Corres+Cashwindow_'!$G$162:$G$166</c:f>
              <c:numCache>
                <c:formatCode>0.00</c:formatCode>
                <c:ptCount val="5"/>
                <c:pt idx="0">
                  <c:v>41.152210633880159</c:v>
                </c:pt>
                <c:pt idx="1">
                  <c:v>42.593394175043912</c:v>
                </c:pt>
                <c:pt idx="2">
                  <c:v>44.106171142447167</c:v>
                </c:pt>
                <c:pt idx="3">
                  <c:v>41.525582420684806</c:v>
                </c:pt>
                <c:pt idx="4">
                  <c:v>37.052644492752627</c:v>
                </c:pt>
              </c:numCache>
            </c:numRef>
          </c:yVal>
          <c:smooth val="1"/>
        </c:ser>
        <c:ser>
          <c:idx val="1"/>
          <c:order val="1"/>
          <c:tx>
            <c:v>low_media_model</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Corres+Cashwindow_'!$H$162:$H$166</c:f>
              <c:numCache>
                <c:formatCode>0.00</c:formatCode>
                <c:ptCount val="5"/>
                <c:pt idx="0">
                  <c:v>18.261051527419713</c:v>
                </c:pt>
                <c:pt idx="1">
                  <c:v>24.307447103939396</c:v>
                </c:pt>
                <c:pt idx="2">
                  <c:v>27.183743338215205</c:v>
                </c:pt>
                <c:pt idx="3">
                  <c:v>31.311240985152988</c:v>
                </c:pt>
                <c:pt idx="4">
                  <c:v>33.471291992628984</c:v>
                </c:pt>
              </c:numCache>
            </c:numRef>
          </c:yVal>
          <c:smooth val="1"/>
        </c:ser>
        <c:ser>
          <c:idx val="2"/>
          <c:order val="2"/>
          <c:tx>
            <c:v>high_media_model</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Corres+Cashwindow_'!$I$162:$I$166</c:f>
              <c:numCache>
                <c:formatCode>0.00</c:formatCode>
                <c:ptCount val="5"/>
                <c:pt idx="0">
                  <c:v>33.785680493388995</c:v>
                </c:pt>
                <c:pt idx="1">
                  <c:v>43.575679372443062</c:v>
                </c:pt>
                <c:pt idx="2">
                  <c:v>42.519581420179705</c:v>
                </c:pt>
                <c:pt idx="3">
                  <c:v>42.205245773402531</c:v>
                </c:pt>
                <c:pt idx="4">
                  <c:v>42.194549226279165</c:v>
                </c:pt>
              </c:numCache>
            </c:numRef>
          </c:yVal>
          <c:smooth val="1"/>
        </c:ser>
        <c:ser>
          <c:idx val="3"/>
          <c:order val="3"/>
          <c:tx>
            <c:v>new model_combined</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Corres+Cashwindow_'!$T$162:$T$166</c:f>
              <c:numCache>
                <c:formatCode>0.00</c:formatCode>
                <c:ptCount val="5"/>
                <c:pt idx="0">
                  <c:v>33.785680493388995</c:v>
                </c:pt>
                <c:pt idx="1">
                  <c:v>43.575679372443062</c:v>
                </c:pt>
                <c:pt idx="2">
                  <c:v>42.519581420179705</c:v>
                </c:pt>
                <c:pt idx="3">
                  <c:v>42.205245773402531</c:v>
                </c:pt>
                <c:pt idx="4">
                  <c:v>42.194549226279165</c:v>
                </c:pt>
              </c:numCache>
            </c:numRef>
          </c:yVal>
          <c:smooth val="1"/>
        </c:ser>
        <c:dLbls>
          <c:showLegendKey val="0"/>
          <c:showVal val="0"/>
          <c:showCatName val="0"/>
          <c:showSerName val="0"/>
          <c:showPercent val="0"/>
          <c:showBubbleSize val="0"/>
        </c:dLbls>
        <c:axId val="307604480"/>
        <c:axId val="310649600"/>
      </c:scatterChart>
      <c:valAx>
        <c:axId val="307604480"/>
        <c:scaling>
          <c:orientation val="minMax"/>
          <c:min val="-50"/>
        </c:scaling>
        <c:delete val="0"/>
        <c:axPos val="b"/>
        <c:numFmt formatCode="0" sourceLinked="0"/>
        <c:majorTickMark val="out"/>
        <c:minorTickMark val="none"/>
        <c:tickLblPos val="nextTo"/>
        <c:crossAx val="310649600"/>
        <c:crosses val="autoZero"/>
        <c:crossBetween val="midCat"/>
        <c:majorUnit val="25"/>
      </c:valAx>
      <c:valAx>
        <c:axId val="310649600"/>
        <c:scaling>
          <c:orientation val="minMax"/>
        </c:scaling>
        <c:delete val="0"/>
        <c:axPos val="l"/>
        <c:numFmt formatCode="0.00" sourceLinked="1"/>
        <c:majorTickMark val="out"/>
        <c:minorTickMark val="none"/>
        <c:tickLblPos val="nextTo"/>
        <c:crossAx val="30760448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4000-6000</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Corres+Cashwindow_'!$G$215:$G$219</c:f>
              <c:numCache>
                <c:formatCode>0.00</c:formatCode>
                <c:ptCount val="5"/>
                <c:pt idx="0">
                  <c:v>53.926505587231112</c:v>
                </c:pt>
                <c:pt idx="1">
                  <c:v>45.742049733354342</c:v>
                </c:pt>
                <c:pt idx="2">
                  <c:v>36.044984186123607</c:v>
                </c:pt>
                <c:pt idx="3">
                  <c:v>45.072035375269458</c:v>
                </c:pt>
                <c:pt idx="4">
                  <c:v>50.113546797180163</c:v>
                </c:pt>
              </c:numCache>
            </c:numRef>
          </c:yVal>
          <c:smooth val="1"/>
        </c:ser>
        <c:ser>
          <c:idx val="1"/>
          <c:order val="1"/>
          <c:tx>
            <c:v>low_media_model</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Corres+Cashwindow_'!$H$215:$H$219</c:f>
              <c:numCache>
                <c:formatCode>0.00</c:formatCode>
                <c:ptCount val="5"/>
                <c:pt idx="0">
                  <c:v>19.687858088207623</c:v>
                </c:pt>
                <c:pt idx="1">
                  <c:v>27.997551921017248</c:v>
                </c:pt>
                <c:pt idx="2">
                  <c:v>29.120296247282262</c:v>
                </c:pt>
                <c:pt idx="3">
                  <c:v>29.060042144456808</c:v>
                </c:pt>
                <c:pt idx="4">
                  <c:v>29.767428695770448</c:v>
                </c:pt>
              </c:numCache>
            </c:numRef>
          </c:yVal>
          <c:smooth val="1"/>
        </c:ser>
        <c:ser>
          <c:idx val="2"/>
          <c:order val="2"/>
          <c:tx>
            <c:v>high_media_model</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Corres+Cashwindow_'!$I$215:$I$219</c:f>
              <c:numCache>
                <c:formatCode>0.00</c:formatCode>
                <c:ptCount val="5"/>
                <c:pt idx="0">
                  <c:v>27.928415247662763</c:v>
                </c:pt>
                <c:pt idx="1">
                  <c:v>36.024918623897186</c:v>
                </c:pt>
                <c:pt idx="2">
                  <c:v>36.921880842372609</c:v>
                </c:pt>
                <c:pt idx="3">
                  <c:v>37.520288741114484</c:v>
                </c:pt>
                <c:pt idx="4">
                  <c:v>39.573056157172182</c:v>
                </c:pt>
              </c:numCache>
            </c:numRef>
          </c:yVal>
          <c:smooth val="1"/>
        </c:ser>
        <c:ser>
          <c:idx val="3"/>
          <c:order val="3"/>
          <c:tx>
            <c:v>new model_combined</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Corres+Cashwindow_'!$T$215:$T$219</c:f>
              <c:numCache>
                <c:formatCode>0.00</c:formatCode>
                <c:ptCount val="5"/>
                <c:pt idx="0">
                  <c:v>29.282838448764693</c:v>
                </c:pt>
                <c:pt idx="1">
                  <c:v>37.963040656634739</c:v>
                </c:pt>
                <c:pt idx="2">
                  <c:v>38.9190070908911</c:v>
                </c:pt>
                <c:pt idx="3">
                  <c:v>39.517275368211479</c:v>
                </c:pt>
                <c:pt idx="4">
                  <c:v>41.660734192006231</c:v>
                </c:pt>
              </c:numCache>
            </c:numRef>
          </c:yVal>
          <c:smooth val="1"/>
        </c:ser>
        <c:dLbls>
          <c:showLegendKey val="0"/>
          <c:showVal val="0"/>
          <c:showCatName val="0"/>
          <c:showSerName val="0"/>
          <c:showPercent val="0"/>
          <c:showBubbleSize val="0"/>
        </c:dLbls>
        <c:axId val="308960640"/>
        <c:axId val="308982912"/>
      </c:scatterChart>
      <c:valAx>
        <c:axId val="308960640"/>
        <c:scaling>
          <c:orientation val="minMax"/>
          <c:min val="-50"/>
        </c:scaling>
        <c:delete val="0"/>
        <c:axPos val="b"/>
        <c:numFmt formatCode="0" sourceLinked="0"/>
        <c:majorTickMark val="out"/>
        <c:minorTickMark val="none"/>
        <c:tickLblPos val="nextTo"/>
        <c:crossAx val="308982912"/>
        <c:crosses val="autoZero"/>
        <c:crossBetween val="midCat"/>
        <c:majorUnit val="25"/>
      </c:valAx>
      <c:valAx>
        <c:axId val="308982912"/>
        <c:scaling>
          <c:orientation val="minMax"/>
        </c:scaling>
        <c:delete val="0"/>
        <c:axPos val="l"/>
        <c:numFmt formatCode="0.00" sourceLinked="1"/>
        <c:majorTickMark val="out"/>
        <c:minorTickMark val="none"/>
        <c:tickLblPos val="nextTo"/>
        <c:crossAx val="30896064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309170944"/>
        <c:axId val="309172480"/>
      </c:lineChart>
      <c:catAx>
        <c:axId val="309170944"/>
        <c:scaling>
          <c:orientation val="minMax"/>
        </c:scaling>
        <c:delete val="0"/>
        <c:axPos val="b"/>
        <c:majorTickMark val="out"/>
        <c:minorTickMark val="none"/>
        <c:tickLblPos val="nextTo"/>
        <c:crossAx val="309172480"/>
        <c:crosses val="autoZero"/>
        <c:auto val="1"/>
        <c:lblAlgn val="ctr"/>
        <c:lblOffset val="100"/>
        <c:noMultiLvlLbl val="0"/>
      </c:catAx>
      <c:valAx>
        <c:axId val="309172480"/>
        <c:scaling>
          <c:orientation val="minMax"/>
        </c:scaling>
        <c:delete val="0"/>
        <c:axPos val="l"/>
        <c:numFmt formatCode="General" sourceLinked="1"/>
        <c:majorTickMark val="out"/>
        <c:minorTickMark val="none"/>
        <c:tickLblPos val="nextTo"/>
        <c:crossAx val="3091709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0-2000</c:v>
          </c:tx>
          <c:xVal>
            <c:numRef>
              <c:f>'Burnout 2013 Corres+CW'!$A$86:$A$111</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Corres+CW'!$G$86:$G$111</c:f>
              <c:numCache>
                <c:formatCode>0.00</c:formatCode>
                <c:ptCount val="26"/>
                <c:pt idx="0">
                  <c:v>3.6078533300600069</c:v>
                </c:pt>
                <c:pt idx="1">
                  <c:v>2.525178931469918</c:v>
                </c:pt>
                <c:pt idx="2">
                  <c:v>2.2766196273815043</c:v>
                </c:pt>
                <c:pt idx="3">
                  <c:v>2.9023811702985625</c:v>
                </c:pt>
                <c:pt idx="4">
                  <c:v>3.2032130934767422</c:v>
                </c:pt>
                <c:pt idx="5">
                  <c:v>4.5170378360978036</c:v>
                </c:pt>
                <c:pt idx="6">
                  <c:v>5.5688374215219438</c:v>
                </c:pt>
                <c:pt idx="7">
                  <c:v>7.1644600983545086</c:v>
                </c:pt>
                <c:pt idx="8">
                  <c:v>8.8521007135361707</c:v>
                </c:pt>
                <c:pt idx="9">
                  <c:v>10.904270721359744</c:v>
                </c:pt>
                <c:pt idx="10">
                  <c:v>14.002827185935029</c:v>
                </c:pt>
                <c:pt idx="11">
                  <c:v>17.244108581958663</c:v>
                </c:pt>
                <c:pt idx="12">
                  <c:v>21.06942305859878</c:v>
                </c:pt>
                <c:pt idx="13">
                  <c:v>23.063401972062913</c:v>
                </c:pt>
                <c:pt idx="14">
                  <c:v>25.027503012227449</c:v>
                </c:pt>
                <c:pt idx="15">
                  <c:v>27.830948697166903</c:v>
                </c:pt>
                <c:pt idx="16">
                  <c:v>31.45780955433537</c:v>
                </c:pt>
                <c:pt idx="17">
                  <c:v>33.304221716883319</c:v>
                </c:pt>
                <c:pt idx="18">
                  <c:v>33.412905074069855</c:v>
                </c:pt>
                <c:pt idx="19">
                  <c:v>35.483122751195552</c:v>
                </c:pt>
                <c:pt idx="20">
                  <c:v>36.916194201583117</c:v>
                </c:pt>
                <c:pt idx="21">
                  <c:v>37.345209881536881</c:v>
                </c:pt>
                <c:pt idx="22">
                  <c:v>38.800416896469478</c:v>
                </c:pt>
                <c:pt idx="23">
                  <c:v>41.663526110259518</c:v>
                </c:pt>
                <c:pt idx="24">
                  <c:v>43.582707923872796</c:v>
                </c:pt>
                <c:pt idx="25">
                  <c:v>44.461826312466357</c:v>
                </c:pt>
              </c:numCache>
            </c:numRef>
          </c:yVal>
          <c:smooth val="1"/>
        </c:ser>
        <c:ser>
          <c:idx val="3"/>
          <c:order val="1"/>
          <c:tx>
            <c:v>high_media_model</c:v>
          </c:tx>
          <c:xVal>
            <c:numRef>
              <c:f>'Burnout 2013 Corres+CW'!$A$86:$A$111</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Corres+CW'!$T$86:$T$111</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ser>
          <c:idx val="1"/>
          <c:order val="2"/>
          <c:tx>
            <c:v>new model_after burnout dial</c:v>
          </c:tx>
          <c:xVal>
            <c:numRef>
              <c:f>'Burnout 2013 Corres+CW'!$A$86:$A$112</c:f>
              <c:numCache>
                <c:formatCode>0.00</c:formatCode>
                <c:ptCount val="27"/>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pt idx="26">
                  <c:v>158.98119960203701</c:v>
                </c:pt>
              </c:numCache>
            </c:numRef>
          </c:xVal>
          <c:yVal>
            <c:numRef>
              <c:f>'Burnout 2013 Corres+CW'!$U$86:$U$112</c:f>
              <c:numCache>
                <c:formatCode>0.00</c:formatCode>
                <c:ptCount val="27"/>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pt idx="26">
                  <c:v>44.691468528141129</c:v>
                </c:pt>
              </c:numCache>
            </c:numRef>
          </c:yVal>
          <c:smooth val="1"/>
        </c:ser>
        <c:dLbls>
          <c:showLegendKey val="0"/>
          <c:showVal val="0"/>
          <c:showCatName val="0"/>
          <c:showSerName val="0"/>
          <c:showPercent val="0"/>
          <c:showBubbleSize val="0"/>
        </c:dLbls>
        <c:axId val="311607296"/>
        <c:axId val="311608832"/>
      </c:scatterChart>
      <c:valAx>
        <c:axId val="311607296"/>
        <c:scaling>
          <c:orientation val="minMax"/>
          <c:max val="150"/>
          <c:min val="-50"/>
        </c:scaling>
        <c:delete val="0"/>
        <c:axPos val="b"/>
        <c:numFmt formatCode="0" sourceLinked="0"/>
        <c:majorTickMark val="out"/>
        <c:minorTickMark val="none"/>
        <c:tickLblPos val="nextTo"/>
        <c:crossAx val="311608832"/>
        <c:crosses val="autoZero"/>
        <c:crossBetween val="midCat"/>
        <c:majorUnit val="25"/>
      </c:valAx>
      <c:valAx>
        <c:axId val="311608832"/>
        <c:scaling>
          <c:orientation val="minMax"/>
        </c:scaling>
        <c:delete val="0"/>
        <c:axPos val="l"/>
        <c:numFmt formatCode="0.00" sourceLinked="1"/>
        <c:majorTickMark val="out"/>
        <c:minorTickMark val="none"/>
        <c:tickLblPos val="nextTo"/>
        <c:crossAx val="311607296"/>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2000-4000</c:v>
          </c:tx>
          <c:xVal>
            <c:numRef>
              <c:f>'Burnout 2013 Corres+CW'!$A$165:$A$168</c:f>
              <c:numCache>
                <c:formatCode>0.00</c:formatCode>
                <c:ptCount val="4"/>
                <c:pt idx="0">
                  <c:v>140.24589755189501</c:v>
                </c:pt>
                <c:pt idx="1">
                  <c:v>162.73199149239801</c:v>
                </c:pt>
                <c:pt idx="2">
                  <c:v>184.21087175120201</c:v>
                </c:pt>
                <c:pt idx="3">
                  <c:v>208.14902295197399</c:v>
                </c:pt>
              </c:numCache>
            </c:numRef>
          </c:xVal>
          <c:yVal>
            <c:numRef>
              <c:f>'Burnout 2013 Corres+CW'!$G$165:$G$168</c:f>
              <c:numCache>
                <c:formatCode>0.00</c:formatCode>
                <c:ptCount val="4"/>
                <c:pt idx="0">
                  <c:v>42.593394175043912</c:v>
                </c:pt>
                <c:pt idx="1">
                  <c:v>44.106171142447167</c:v>
                </c:pt>
                <c:pt idx="2">
                  <c:v>41.525582420684806</c:v>
                </c:pt>
                <c:pt idx="3">
                  <c:v>37.052644492752627</c:v>
                </c:pt>
              </c:numCache>
            </c:numRef>
          </c:yVal>
          <c:smooth val="1"/>
        </c:ser>
        <c:ser>
          <c:idx val="3"/>
          <c:order val="1"/>
          <c:tx>
            <c:v>high_media_model</c:v>
          </c:tx>
          <c:xVal>
            <c:numRef>
              <c:f>'Burnout 2013 Corres+CW'!$A$165:$A$168</c:f>
              <c:numCache>
                <c:formatCode>0.00</c:formatCode>
                <c:ptCount val="4"/>
                <c:pt idx="0">
                  <c:v>140.24589755189501</c:v>
                </c:pt>
                <c:pt idx="1">
                  <c:v>162.73199149239801</c:v>
                </c:pt>
                <c:pt idx="2">
                  <c:v>184.21087175120201</c:v>
                </c:pt>
                <c:pt idx="3">
                  <c:v>208.14902295197399</c:v>
                </c:pt>
              </c:numCache>
            </c:numRef>
          </c:xVal>
          <c:yVal>
            <c:numRef>
              <c:f>'Burnout 2013 Corres+CW'!$T$165:$T$168</c:f>
              <c:numCache>
                <c:formatCode>0.00</c:formatCode>
                <c:ptCount val="4"/>
                <c:pt idx="0">
                  <c:v>45.028361947004846</c:v>
                </c:pt>
                <c:pt idx="1">
                  <c:v>43.947537856338201</c:v>
                </c:pt>
                <c:pt idx="2">
                  <c:v>43.625619232982181</c:v>
                </c:pt>
                <c:pt idx="3">
                  <c:v>43.60492519817354</c:v>
                </c:pt>
              </c:numCache>
            </c:numRef>
          </c:yVal>
          <c:smooth val="1"/>
        </c:ser>
        <c:ser>
          <c:idx val="1"/>
          <c:order val="2"/>
          <c:tx>
            <c:v>new model_after burnout dial</c:v>
          </c:tx>
          <c:xVal>
            <c:numRef>
              <c:f>'Burnout 2013 Corres+CW'!$A$165:$A$168</c:f>
              <c:numCache>
                <c:formatCode>0.00</c:formatCode>
                <c:ptCount val="4"/>
                <c:pt idx="0">
                  <c:v>140.24589755189501</c:v>
                </c:pt>
                <c:pt idx="1">
                  <c:v>162.73199149239801</c:v>
                </c:pt>
                <c:pt idx="2">
                  <c:v>184.21087175120201</c:v>
                </c:pt>
                <c:pt idx="3">
                  <c:v>208.14902295197399</c:v>
                </c:pt>
              </c:numCache>
            </c:numRef>
          </c:xVal>
          <c:yVal>
            <c:numRef>
              <c:f>'Burnout 2013 Corres+CW'!$U$165:$U$168</c:f>
              <c:numCache>
                <c:formatCode>0.00</c:formatCode>
                <c:ptCount val="4"/>
                <c:pt idx="0">
                  <c:v>45.028361947004846</c:v>
                </c:pt>
                <c:pt idx="1">
                  <c:v>43.947537856338201</c:v>
                </c:pt>
                <c:pt idx="2">
                  <c:v>43.625619232982181</c:v>
                </c:pt>
                <c:pt idx="3">
                  <c:v>43.60492519817354</c:v>
                </c:pt>
              </c:numCache>
            </c:numRef>
          </c:yVal>
          <c:smooth val="1"/>
        </c:ser>
        <c:dLbls>
          <c:showLegendKey val="0"/>
          <c:showVal val="0"/>
          <c:showCatName val="0"/>
          <c:showSerName val="0"/>
          <c:showPercent val="0"/>
          <c:showBubbleSize val="0"/>
        </c:dLbls>
        <c:axId val="311848960"/>
        <c:axId val="311850496"/>
      </c:scatterChart>
      <c:valAx>
        <c:axId val="311848960"/>
        <c:scaling>
          <c:orientation val="minMax"/>
          <c:min val="-50"/>
        </c:scaling>
        <c:delete val="0"/>
        <c:axPos val="b"/>
        <c:numFmt formatCode="0" sourceLinked="0"/>
        <c:majorTickMark val="out"/>
        <c:minorTickMark val="none"/>
        <c:tickLblPos val="nextTo"/>
        <c:crossAx val="311850496"/>
        <c:crosses val="autoZero"/>
        <c:crossBetween val="midCat"/>
        <c:majorUnit val="25"/>
      </c:valAx>
      <c:valAx>
        <c:axId val="311850496"/>
        <c:scaling>
          <c:orientation val="minMax"/>
          <c:min val="0"/>
        </c:scaling>
        <c:delete val="0"/>
        <c:axPos val="l"/>
        <c:numFmt formatCode="0.00" sourceLinked="1"/>
        <c:majorTickMark val="out"/>
        <c:minorTickMark val="none"/>
        <c:tickLblPos val="nextTo"/>
        <c:crossAx val="311848960"/>
        <c:crosses val="autoZero"/>
        <c:crossBetween val="midCat"/>
        <c:majorUnit val="5"/>
      </c:valAx>
    </c:plotArea>
    <c:legend>
      <c:legendPos val="b"/>
      <c:layout>
        <c:manualLayout>
          <c:xMode val="edge"/>
          <c:yMode val="edge"/>
          <c:x val="1.72517358590186E-2"/>
          <c:y val="0.85855388810258892"/>
          <c:w val="0.8999999007997852"/>
          <c:h val="0.10148357803280447"/>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4000-6000</c:v>
          </c:tx>
          <c:xVal>
            <c:numRef>
              <c:f>'Burnout 2013 Corres+CW'!$A$211:$A$214</c:f>
              <c:numCache>
                <c:formatCode>0.00</c:formatCode>
                <c:ptCount val="4"/>
                <c:pt idx="0">
                  <c:v>190.39197835595601</c:v>
                </c:pt>
                <c:pt idx="1">
                  <c:v>212.532409382265</c:v>
                </c:pt>
                <c:pt idx="2">
                  <c:v>234.249178908365</c:v>
                </c:pt>
                <c:pt idx="3">
                  <c:v>268.05778266692897</c:v>
                </c:pt>
              </c:numCache>
            </c:numRef>
          </c:xVal>
          <c:yVal>
            <c:numRef>
              <c:f>'Burnout 2013 Corres+CW'!$G$211:$G$214</c:f>
              <c:numCache>
                <c:formatCode>0.00</c:formatCode>
                <c:ptCount val="4"/>
                <c:pt idx="0">
                  <c:v>45.742049733354342</c:v>
                </c:pt>
                <c:pt idx="1">
                  <c:v>36.044984186123607</c:v>
                </c:pt>
                <c:pt idx="2">
                  <c:v>45.072035375269458</c:v>
                </c:pt>
                <c:pt idx="3">
                  <c:v>50.113546797180163</c:v>
                </c:pt>
              </c:numCache>
            </c:numRef>
          </c:yVal>
          <c:smooth val="1"/>
        </c:ser>
        <c:ser>
          <c:idx val="3"/>
          <c:order val="1"/>
          <c:tx>
            <c:v>high_media_model</c:v>
          </c:tx>
          <c:xVal>
            <c:numRef>
              <c:f>'Burnout 2013 Corres+CW'!$A$211:$A$214</c:f>
              <c:numCache>
                <c:formatCode>0.00</c:formatCode>
                <c:ptCount val="4"/>
                <c:pt idx="0">
                  <c:v>190.39197835595601</c:v>
                </c:pt>
                <c:pt idx="1">
                  <c:v>212.532409382265</c:v>
                </c:pt>
                <c:pt idx="2">
                  <c:v>234.249178908365</c:v>
                </c:pt>
                <c:pt idx="3">
                  <c:v>268.05778266692897</c:v>
                </c:pt>
              </c:numCache>
            </c:numRef>
          </c:xVal>
          <c:yVal>
            <c:numRef>
              <c:f>'Burnout 2013 Corres+CW'!$T$211:$T$214</c:f>
              <c:numCache>
                <c:formatCode>0.00</c:formatCode>
                <c:ptCount val="4"/>
                <c:pt idx="0">
                  <c:v>38.362329279545449</c:v>
                </c:pt>
                <c:pt idx="1">
                  <c:v>38.407658957940313</c:v>
                </c:pt>
                <c:pt idx="2">
                  <c:v>40.812681857088329</c:v>
                </c:pt>
                <c:pt idx="3">
                  <c:v>40.88573012040623</c:v>
                </c:pt>
              </c:numCache>
            </c:numRef>
          </c:yVal>
          <c:smooth val="1"/>
        </c:ser>
        <c:ser>
          <c:idx val="1"/>
          <c:order val="2"/>
          <c:tx>
            <c:v>new model_after burnout dial</c:v>
          </c:tx>
          <c:xVal>
            <c:numRef>
              <c:f>'Burnout 2013 Corres+CW'!$A$211:$A$214</c:f>
              <c:numCache>
                <c:formatCode>0.00</c:formatCode>
                <c:ptCount val="4"/>
                <c:pt idx="0">
                  <c:v>190.39197835595601</c:v>
                </c:pt>
                <c:pt idx="1">
                  <c:v>212.532409382265</c:v>
                </c:pt>
                <c:pt idx="2">
                  <c:v>234.249178908365</c:v>
                </c:pt>
                <c:pt idx="3">
                  <c:v>268.05778266692897</c:v>
                </c:pt>
              </c:numCache>
            </c:numRef>
          </c:xVal>
          <c:yVal>
            <c:numRef>
              <c:f>'Burnout 2013 Corres+CW'!$U$211:$U$214</c:f>
              <c:numCache>
                <c:formatCode>0.00</c:formatCode>
                <c:ptCount val="4"/>
                <c:pt idx="0">
                  <c:v>38.362329279545449</c:v>
                </c:pt>
                <c:pt idx="1">
                  <c:v>38.407658957940313</c:v>
                </c:pt>
                <c:pt idx="2">
                  <c:v>40.812681857088329</c:v>
                </c:pt>
                <c:pt idx="3">
                  <c:v>40.88573012040623</c:v>
                </c:pt>
              </c:numCache>
            </c:numRef>
          </c:yVal>
          <c:smooth val="1"/>
        </c:ser>
        <c:dLbls>
          <c:showLegendKey val="0"/>
          <c:showVal val="0"/>
          <c:showCatName val="0"/>
          <c:showSerName val="0"/>
          <c:showPercent val="0"/>
          <c:showBubbleSize val="0"/>
        </c:dLbls>
        <c:axId val="312143872"/>
        <c:axId val="312145408"/>
      </c:scatterChart>
      <c:valAx>
        <c:axId val="312143872"/>
        <c:scaling>
          <c:orientation val="minMax"/>
          <c:min val="-50"/>
        </c:scaling>
        <c:delete val="0"/>
        <c:axPos val="b"/>
        <c:numFmt formatCode="0" sourceLinked="0"/>
        <c:majorTickMark val="out"/>
        <c:minorTickMark val="none"/>
        <c:tickLblPos val="nextTo"/>
        <c:crossAx val="312145408"/>
        <c:crosses val="autoZero"/>
        <c:crossBetween val="midCat"/>
        <c:majorUnit val="25"/>
      </c:valAx>
      <c:valAx>
        <c:axId val="312145408"/>
        <c:scaling>
          <c:orientation val="minMax"/>
        </c:scaling>
        <c:delete val="0"/>
        <c:axPos val="l"/>
        <c:numFmt formatCode="0.00" sourceLinked="1"/>
        <c:majorTickMark val="out"/>
        <c:minorTickMark val="none"/>
        <c:tickLblPos val="nextTo"/>
        <c:crossAx val="312143872"/>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0-2000</c:v>
          </c:tx>
          <c:xVal>
            <c:numRef>
              <c:f>'Burnout 2013 Broker'!$A$86:$A$111</c:f>
              <c:numCache>
                <c:formatCode>0.00</c:formatCode>
                <c:ptCount val="26"/>
                <c:pt idx="0">
                  <c:v>-81.600523239363596</c:v>
                </c:pt>
                <c:pt idx="1">
                  <c:v>-56.217107580504702</c:v>
                </c:pt>
                <c:pt idx="2">
                  <c:v>-32.867869283327401</c:v>
                </c:pt>
                <c:pt idx="3">
                  <c:v>-22.330318538920999</c:v>
                </c:pt>
                <c:pt idx="4">
                  <c:v>-17.3751745624803</c:v>
                </c:pt>
                <c:pt idx="5">
                  <c:v>-12.419138582913201</c:v>
                </c:pt>
                <c:pt idx="6">
                  <c:v>-7.5929594463766197</c:v>
                </c:pt>
                <c:pt idx="7">
                  <c:v>-2.3979690429827101</c:v>
                </c:pt>
                <c:pt idx="8">
                  <c:v>2.6004574228175699</c:v>
                </c:pt>
                <c:pt idx="9">
                  <c:v>7.5251221594519997</c:v>
                </c:pt>
                <c:pt idx="10">
                  <c:v>12.4470564709284</c:v>
                </c:pt>
                <c:pt idx="11">
                  <c:v>17.488387400958299</c:v>
                </c:pt>
                <c:pt idx="12">
                  <c:v>22.531536881459999</c:v>
                </c:pt>
                <c:pt idx="13">
                  <c:v>27.521169349595901</c:v>
                </c:pt>
                <c:pt idx="14">
                  <c:v>32.4779605108371</c:v>
                </c:pt>
                <c:pt idx="15">
                  <c:v>37.432595284797998</c:v>
                </c:pt>
                <c:pt idx="16">
                  <c:v>42.405093877406301</c:v>
                </c:pt>
                <c:pt idx="17">
                  <c:v>47.508522500165498</c:v>
                </c:pt>
                <c:pt idx="18">
                  <c:v>52.520843117918403</c:v>
                </c:pt>
                <c:pt idx="19">
                  <c:v>57.507543349383901</c:v>
                </c:pt>
                <c:pt idx="20">
                  <c:v>62.513804553855699</c:v>
                </c:pt>
                <c:pt idx="21">
                  <c:v>67.513142696603197</c:v>
                </c:pt>
                <c:pt idx="22">
                  <c:v>72.527574907478098</c:v>
                </c:pt>
                <c:pt idx="23">
                  <c:v>86.466533685279501</c:v>
                </c:pt>
                <c:pt idx="24">
                  <c:v>112.676758620974</c:v>
                </c:pt>
                <c:pt idx="25">
                  <c:v>135.26171660391</c:v>
                </c:pt>
              </c:numCache>
            </c:numRef>
          </c:xVal>
          <c:yVal>
            <c:numRef>
              <c:f>'Burnout 2013 Broker'!$G$86:$G$111</c:f>
              <c:numCache>
                <c:formatCode>0.00</c:formatCode>
                <c:ptCount val="26"/>
                <c:pt idx="0">
                  <c:v>3.0233047380241351</c:v>
                </c:pt>
                <c:pt idx="1">
                  <c:v>0.52014808704500259</c:v>
                </c:pt>
                <c:pt idx="2">
                  <c:v>1.8220670981790366</c:v>
                </c:pt>
                <c:pt idx="3">
                  <c:v>2.3819363044301989</c:v>
                </c:pt>
                <c:pt idx="4">
                  <c:v>3.4009596760891547</c:v>
                </c:pt>
                <c:pt idx="5">
                  <c:v>5.4802464539530078</c:v>
                </c:pt>
                <c:pt idx="6">
                  <c:v>9.8109721822038249</c:v>
                </c:pt>
                <c:pt idx="7">
                  <c:v>13.559090562948716</c:v>
                </c:pt>
                <c:pt idx="8">
                  <c:v>19.44301486626696</c:v>
                </c:pt>
                <c:pt idx="9">
                  <c:v>24.528302841525207</c:v>
                </c:pt>
                <c:pt idx="10">
                  <c:v>31.326511682829928</c:v>
                </c:pt>
                <c:pt idx="11">
                  <c:v>34.805620560310544</c:v>
                </c:pt>
                <c:pt idx="12">
                  <c:v>40.405696842333924</c:v>
                </c:pt>
                <c:pt idx="13">
                  <c:v>40.300453005504046</c:v>
                </c:pt>
                <c:pt idx="14">
                  <c:v>42.170344311486708</c:v>
                </c:pt>
                <c:pt idx="15">
                  <c:v>44.363700767267055</c:v>
                </c:pt>
                <c:pt idx="16">
                  <c:v>44.988491033414121</c:v>
                </c:pt>
                <c:pt idx="17">
                  <c:v>43.845424328571326</c:v>
                </c:pt>
                <c:pt idx="18">
                  <c:v>45.703424830828844</c:v>
                </c:pt>
                <c:pt idx="19">
                  <c:v>44.879570211410659</c:v>
                </c:pt>
                <c:pt idx="20">
                  <c:v>44.299555169325565</c:v>
                </c:pt>
                <c:pt idx="21">
                  <c:v>44.268220211937468</c:v>
                </c:pt>
                <c:pt idx="22">
                  <c:v>44.122989517181111</c:v>
                </c:pt>
                <c:pt idx="23">
                  <c:v>45.065241148083665</c:v>
                </c:pt>
                <c:pt idx="24">
                  <c:v>45.52235137459234</c:v>
                </c:pt>
                <c:pt idx="25">
                  <c:v>45.548164967478769</c:v>
                </c:pt>
              </c:numCache>
            </c:numRef>
          </c:yVal>
          <c:smooth val="1"/>
        </c:ser>
        <c:ser>
          <c:idx val="3"/>
          <c:order val="1"/>
          <c:tx>
            <c:v>high_media_model</c:v>
          </c:tx>
          <c:xVal>
            <c:numRef>
              <c:f>'Burnout 2013 Broker'!$A$86:$A$111</c:f>
              <c:numCache>
                <c:formatCode>0.00</c:formatCode>
                <c:ptCount val="26"/>
                <c:pt idx="0">
                  <c:v>-81.600523239363596</c:v>
                </c:pt>
                <c:pt idx="1">
                  <c:v>-56.217107580504702</c:v>
                </c:pt>
                <c:pt idx="2">
                  <c:v>-32.867869283327401</c:v>
                </c:pt>
                <c:pt idx="3">
                  <c:v>-22.330318538920999</c:v>
                </c:pt>
                <c:pt idx="4">
                  <c:v>-17.3751745624803</c:v>
                </c:pt>
                <c:pt idx="5">
                  <c:v>-12.419138582913201</c:v>
                </c:pt>
                <c:pt idx="6">
                  <c:v>-7.5929594463766197</c:v>
                </c:pt>
                <c:pt idx="7">
                  <c:v>-2.3979690429827101</c:v>
                </c:pt>
                <c:pt idx="8">
                  <c:v>2.6004574228175699</c:v>
                </c:pt>
                <c:pt idx="9">
                  <c:v>7.5251221594519997</c:v>
                </c:pt>
                <c:pt idx="10">
                  <c:v>12.4470564709284</c:v>
                </c:pt>
                <c:pt idx="11">
                  <c:v>17.488387400958299</c:v>
                </c:pt>
                <c:pt idx="12">
                  <c:v>22.531536881459999</c:v>
                </c:pt>
                <c:pt idx="13">
                  <c:v>27.521169349595901</c:v>
                </c:pt>
                <c:pt idx="14">
                  <c:v>32.4779605108371</c:v>
                </c:pt>
                <c:pt idx="15">
                  <c:v>37.432595284797998</c:v>
                </c:pt>
                <c:pt idx="16">
                  <c:v>42.405093877406301</c:v>
                </c:pt>
                <c:pt idx="17">
                  <c:v>47.508522500165498</c:v>
                </c:pt>
                <c:pt idx="18">
                  <c:v>52.520843117918403</c:v>
                </c:pt>
                <c:pt idx="19">
                  <c:v>57.507543349383901</c:v>
                </c:pt>
                <c:pt idx="20">
                  <c:v>62.513804553855699</c:v>
                </c:pt>
                <c:pt idx="21">
                  <c:v>67.513142696603197</c:v>
                </c:pt>
                <c:pt idx="22">
                  <c:v>72.527574907478098</c:v>
                </c:pt>
                <c:pt idx="23">
                  <c:v>86.466533685279501</c:v>
                </c:pt>
                <c:pt idx="24">
                  <c:v>112.676758620974</c:v>
                </c:pt>
                <c:pt idx="25">
                  <c:v>135.26171660391</c:v>
                </c:pt>
              </c:numCache>
            </c:numRef>
          </c:xVal>
          <c:yVal>
            <c:numRef>
              <c:f>'Burnout 2013 Broker'!$T$86:$T$111</c:f>
              <c:numCache>
                <c:formatCode>0.00</c:formatCode>
                <c:ptCount val="26"/>
                <c:pt idx="0">
                  <c:v>4.9079767386698059</c:v>
                </c:pt>
                <c:pt idx="1">
                  <c:v>1.8170947715856256</c:v>
                </c:pt>
                <c:pt idx="2">
                  <c:v>2.9918203227940698</c:v>
                </c:pt>
                <c:pt idx="3">
                  <c:v>6.9781299766466409</c:v>
                </c:pt>
                <c:pt idx="4">
                  <c:v>8.3193045892063218</c:v>
                </c:pt>
                <c:pt idx="5">
                  <c:v>10.005562335702066</c:v>
                </c:pt>
                <c:pt idx="6">
                  <c:v>12.048831494919821</c:v>
                </c:pt>
                <c:pt idx="7">
                  <c:v>14.676655753991186</c:v>
                </c:pt>
                <c:pt idx="8">
                  <c:v>17.344408765000818</c:v>
                </c:pt>
                <c:pt idx="9">
                  <c:v>20.552107794400655</c:v>
                </c:pt>
                <c:pt idx="10">
                  <c:v>23.621252674074434</c:v>
                </c:pt>
                <c:pt idx="11">
                  <c:v>26.793708088195768</c:v>
                </c:pt>
                <c:pt idx="12">
                  <c:v>29.985675414631629</c:v>
                </c:pt>
                <c:pt idx="13">
                  <c:v>33.313455710154493</c:v>
                </c:pt>
                <c:pt idx="14">
                  <c:v>36.744372787935596</c:v>
                </c:pt>
                <c:pt idx="15">
                  <c:v>39.249651711511746</c:v>
                </c:pt>
                <c:pt idx="16">
                  <c:v>40.845956836059713</c:v>
                </c:pt>
                <c:pt idx="17">
                  <c:v>42.22656023661068</c:v>
                </c:pt>
                <c:pt idx="18">
                  <c:v>43.46291383459414</c:v>
                </c:pt>
                <c:pt idx="19">
                  <c:v>45.37295000327132</c:v>
                </c:pt>
                <c:pt idx="20">
                  <c:v>45.421616669312556</c:v>
                </c:pt>
                <c:pt idx="21">
                  <c:v>45.449135160735068</c:v>
                </c:pt>
                <c:pt idx="22">
                  <c:v>46.284594171572571</c:v>
                </c:pt>
                <c:pt idx="23">
                  <c:v>46.747871493534674</c:v>
                </c:pt>
                <c:pt idx="24">
                  <c:v>48.039508794072738</c:v>
                </c:pt>
                <c:pt idx="25">
                  <c:v>47.994968128076643</c:v>
                </c:pt>
              </c:numCache>
            </c:numRef>
          </c:yVal>
          <c:smooth val="1"/>
        </c:ser>
        <c:ser>
          <c:idx val="1"/>
          <c:order val="2"/>
          <c:tx>
            <c:v>new model_after burnout dial</c:v>
          </c:tx>
          <c:xVal>
            <c:numRef>
              <c:f>'Burnout 2013 Broker'!$A$86:$A$112</c:f>
              <c:numCache>
                <c:formatCode>0.00</c:formatCode>
                <c:ptCount val="27"/>
                <c:pt idx="0">
                  <c:v>-81.600523239363596</c:v>
                </c:pt>
                <c:pt idx="1">
                  <c:v>-56.217107580504702</c:v>
                </c:pt>
                <c:pt idx="2">
                  <c:v>-32.867869283327401</c:v>
                </c:pt>
                <c:pt idx="3">
                  <c:v>-22.330318538920999</c:v>
                </c:pt>
                <c:pt idx="4">
                  <c:v>-17.3751745624803</c:v>
                </c:pt>
                <c:pt idx="5">
                  <c:v>-12.419138582913201</c:v>
                </c:pt>
                <c:pt idx="6">
                  <c:v>-7.5929594463766197</c:v>
                </c:pt>
                <c:pt idx="7">
                  <c:v>-2.3979690429827101</c:v>
                </c:pt>
                <c:pt idx="8">
                  <c:v>2.6004574228175699</c:v>
                </c:pt>
                <c:pt idx="9">
                  <c:v>7.5251221594519997</c:v>
                </c:pt>
                <c:pt idx="10">
                  <c:v>12.4470564709284</c:v>
                </c:pt>
                <c:pt idx="11">
                  <c:v>17.488387400958299</c:v>
                </c:pt>
                <c:pt idx="12">
                  <c:v>22.531536881459999</c:v>
                </c:pt>
                <c:pt idx="13">
                  <c:v>27.521169349595901</c:v>
                </c:pt>
                <c:pt idx="14">
                  <c:v>32.4779605108371</c:v>
                </c:pt>
                <c:pt idx="15">
                  <c:v>37.432595284797998</c:v>
                </c:pt>
                <c:pt idx="16">
                  <c:v>42.405093877406301</c:v>
                </c:pt>
                <c:pt idx="17">
                  <c:v>47.508522500165498</c:v>
                </c:pt>
                <c:pt idx="18">
                  <c:v>52.520843117918403</c:v>
                </c:pt>
                <c:pt idx="19">
                  <c:v>57.507543349383901</c:v>
                </c:pt>
                <c:pt idx="20">
                  <c:v>62.513804553855699</c:v>
                </c:pt>
                <c:pt idx="21">
                  <c:v>67.513142696603197</c:v>
                </c:pt>
                <c:pt idx="22">
                  <c:v>72.527574907478098</c:v>
                </c:pt>
                <c:pt idx="23">
                  <c:v>86.466533685279501</c:v>
                </c:pt>
                <c:pt idx="24">
                  <c:v>112.676758620974</c:v>
                </c:pt>
                <c:pt idx="25">
                  <c:v>135.26171660391</c:v>
                </c:pt>
                <c:pt idx="26">
                  <c:v>159.21447628151401</c:v>
                </c:pt>
              </c:numCache>
            </c:numRef>
          </c:xVal>
          <c:yVal>
            <c:numRef>
              <c:f>'Burnout 2013 Broker'!$U$86:$U$112</c:f>
              <c:numCache>
                <c:formatCode>0.00</c:formatCode>
                <c:ptCount val="27"/>
                <c:pt idx="0">
                  <c:v>4.9079767386698059</c:v>
                </c:pt>
                <c:pt idx="1">
                  <c:v>1.8170947715856256</c:v>
                </c:pt>
                <c:pt idx="2">
                  <c:v>2.9918203227940698</c:v>
                </c:pt>
                <c:pt idx="3">
                  <c:v>6.9781299766466409</c:v>
                </c:pt>
                <c:pt idx="4">
                  <c:v>8.3193045892063218</c:v>
                </c:pt>
                <c:pt idx="5">
                  <c:v>10.005562335702066</c:v>
                </c:pt>
                <c:pt idx="6">
                  <c:v>12.048831494919821</c:v>
                </c:pt>
                <c:pt idx="7">
                  <c:v>14.676655753991186</c:v>
                </c:pt>
                <c:pt idx="8">
                  <c:v>17.344408765000818</c:v>
                </c:pt>
                <c:pt idx="9">
                  <c:v>20.552107794400655</c:v>
                </c:pt>
                <c:pt idx="10">
                  <c:v>23.621252674074434</c:v>
                </c:pt>
                <c:pt idx="11">
                  <c:v>26.793708088195768</c:v>
                </c:pt>
                <c:pt idx="12">
                  <c:v>29.985675414631629</c:v>
                </c:pt>
                <c:pt idx="13">
                  <c:v>33.313455710154493</c:v>
                </c:pt>
                <c:pt idx="14">
                  <c:v>36.744372787935596</c:v>
                </c:pt>
                <c:pt idx="15">
                  <c:v>39.249651711511746</c:v>
                </c:pt>
                <c:pt idx="16">
                  <c:v>40.845956836059713</c:v>
                </c:pt>
                <c:pt idx="17">
                  <c:v>42.22656023661068</c:v>
                </c:pt>
                <c:pt idx="18">
                  <c:v>43.46291383459414</c:v>
                </c:pt>
                <c:pt idx="19">
                  <c:v>45.37295000327132</c:v>
                </c:pt>
                <c:pt idx="20">
                  <c:v>45.421616669312556</c:v>
                </c:pt>
                <c:pt idx="21">
                  <c:v>45.449135160735068</c:v>
                </c:pt>
                <c:pt idx="22">
                  <c:v>46.284594171572571</c:v>
                </c:pt>
                <c:pt idx="23">
                  <c:v>46.747871493534674</c:v>
                </c:pt>
                <c:pt idx="24">
                  <c:v>48.039508794072738</c:v>
                </c:pt>
                <c:pt idx="25">
                  <c:v>47.994968128076643</c:v>
                </c:pt>
                <c:pt idx="26">
                  <c:v>48.181642016893278</c:v>
                </c:pt>
              </c:numCache>
            </c:numRef>
          </c:yVal>
          <c:smooth val="1"/>
        </c:ser>
        <c:dLbls>
          <c:showLegendKey val="0"/>
          <c:showVal val="0"/>
          <c:showCatName val="0"/>
          <c:showSerName val="0"/>
          <c:showPercent val="0"/>
          <c:showBubbleSize val="0"/>
        </c:dLbls>
        <c:axId val="228317440"/>
        <c:axId val="228327424"/>
      </c:scatterChart>
      <c:valAx>
        <c:axId val="228317440"/>
        <c:scaling>
          <c:orientation val="minMax"/>
          <c:max val="150"/>
          <c:min val="-50"/>
        </c:scaling>
        <c:delete val="0"/>
        <c:axPos val="b"/>
        <c:numFmt formatCode="0" sourceLinked="0"/>
        <c:majorTickMark val="out"/>
        <c:minorTickMark val="none"/>
        <c:tickLblPos val="nextTo"/>
        <c:crossAx val="228327424"/>
        <c:crosses val="autoZero"/>
        <c:crossBetween val="midCat"/>
        <c:majorUnit val="25"/>
      </c:valAx>
      <c:valAx>
        <c:axId val="228327424"/>
        <c:scaling>
          <c:orientation val="minMax"/>
        </c:scaling>
        <c:delete val="0"/>
        <c:axPos val="l"/>
        <c:numFmt formatCode="0.00" sourceLinked="1"/>
        <c:majorTickMark val="out"/>
        <c:minorTickMark val="none"/>
        <c:tickLblPos val="nextTo"/>
        <c:crossAx val="228317440"/>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2000-4000</c:v>
          </c:tx>
          <c:xVal>
            <c:numRef>
              <c:f>'Burnout 2013 Broker'!$A$164:$A$167</c:f>
              <c:numCache>
                <c:formatCode>0.00</c:formatCode>
                <c:ptCount val="4"/>
                <c:pt idx="0">
                  <c:v>139.77321883310699</c:v>
                </c:pt>
                <c:pt idx="1">
                  <c:v>162.61850206686299</c:v>
                </c:pt>
                <c:pt idx="2">
                  <c:v>184.33409581337199</c:v>
                </c:pt>
                <c:pt idx="3">
                  <c:v>208.47161923908499</c:v>
                </c:pt>
              </c:numCache>
            </c:numRef>
          </c:xVal>
          <c:yVal>
            <c:numRef>
              <c:f>'Burnout 2013 Broker'!$G$164:$G$167</c:f>
              <c:numCache>
                <c:formatCode>0.00</c:formatCode>
                <c:ptCount val="4"/>
                <c:pt idx="0">
                  <c:v>43.944672269755777</c:v>
                </c:pt>
                <c:pt idx="1">
                  <c:v>45.083899409068287</c:v>
                </c:pt>
                <c:pt idx="2">
                  <c:v>43.255576375590799</c:v>
                </c:pt>
                <c:pt idx="3">
                  <c:v>50.063258192618342</c:v>
                </c:pt>
              </c:numCache>
            </c:numRef>
          </c:yVal>
          <c:smooth val="1"/>
        </c:ser>
        <c:ser>
          <c:idx val="3"/>
          <c:order val="1"/>
          <c:tx>
            <c:v>high_media_model</c:v>
          </c:tx>
          <c:xVal>
            <c:numRef>
              <c:f>'Burnout 2013 Broker'!$A$164:$A$168</c:f>
              <c:numCache>
                <c:formatCode>0.00</c:formatCode>
                <c:ptCount val="5"/>
                <c:pt idx="0">
                  <c:v>139.77321883310699</c:v>
                </c:pt>
                <c:pt idx="1">
                  <c:v>162.61850206686299</c:v>
                </c:pt>
                <c:pt idx="2">
                  <c:v>184.33409581337199</c:v>
                </c:pt>
                <c:pt idx="3">
                  <c:v>208.47161923908499</c:v>
                </c:pt>
                <c:pt idx="4">
                  <c:v>233.11643332779701</c:v>
                </c:pt>
              </c:numCache>
            </c:numRef>
          </c:xVal>
          <c:yVal>
            <c:numRef>
              <c:f>'Burnout 2013 Broker'!$T$165:$T$168</c:f>
              <c:numCache>
                <c:formatCode>0.00</c:formatCode>
                <c:ptCount val="4"/>
                <c:pt idx="0">
                  <c:v>45.651083448622778</c:v>
                </c:pt>
                <c:pt idx="1">
                  <c:v>45.222620062107545</c:v>
                </c:pt>
                <c:pt idx="2">
                  <c:v>45.365359574212036</c:v>
                </c:pt>
                <c:pt idx="3">
                  <c:v>45.666922053740031</c:v>
                </c:pt>
              </c:numCache>
            </c:numRef>
          </c:yVal>
          <c:smooth val="1"/>
        </c:ser>
        <c:ser>
          <c:idx val="1"/>
          <c:order val="2"/>
          <c:tx>
            <c:v>new model_after burnout dial</c:v>
          </c:tx>
          <c:xVal>
            <c:numRef>
              <c:f>'Burnout 2013 Broker'!$A$164:$A$167</c:f>
              <c:numCache>
                <c:formatCode>0.00</c:formatCode>
                <c:ptCount val="4"/>
                <c:pt idx="0">
                  <c:v>139.77321883310699</c:v>
                </c:pt>
                <c:pt idx="1">
                  <c:v>162.61850206686299</c:v>
                </c:pt>
                <c:pt idx="2">
                  <c:v>184.33409581337199</c:v>
                </c:pt>
                <c:pt idx="3">
                  <c:v>208.47161923908499</c:v>
                </c:pt>
              </c:numCache>
            </c:numRef>
          </c:xVal>
          <c:yVal>
            <c:numRef>
              <c:f>'Burnout 2013 Broker'!$U$164:$U$167</c:f>
              <c:numCache>
                <c:formatCode>0.00</c:formatCode>
                <c:ptCount val="4"/>
                <c:pt idx="0">
                  <c:v>46.57013581283195</c:v>
                </c:pt>
                <c:pt idx="1">
                  <c:v>45.651083448622778</c:v>
                </c:pt>
                <c:pt idx="2">
                  <c:v>45.222620062107545</c:v>
                </c:pt>
                <c:pt idx="3">
                  <c:v>45.365359574212036</c:v>
                </c:pt>
              </c:numCache>
            </c:numRef>
          </c:yVal>
          <c:smooth val="1"/>
        </c:ser>
        <c:dLbls>
          <c:showLegendKey val="0"/>
          <c:showVal val="0"/>
          <c:showCatName val="0"/>
          <c:showSerName val="0"/>
          <c:showPercent val="0"/>
          <c:showBubbleSize val="0"/>
        </c:dLbls>
        <c:axId val="311437568"/>
        <c:axId val="311439360"/>
      </c:scatterChart>
      <c:valAx>
        <c:axId val="311437568"/>
        <c:scaling>
          <c:orientation val="minMax"/>
          <c:min val="-50"/>
        </c:scaling>
        <c:delete val="0"/>
        <c:axPos val="b"/>
        <c:numFmt formatCode="0" sourceLinked="0"/>
        <c:majorTickMark val="out"/>
        <c:minorTickMark val="none"/>
        <c:tickLblPos val="nextTo"/>
        <c:crossAx val="311439360"/>
        <c:crosses val="autoZero"/>
        <c:crossBetween val="midCat"/>
        <c:majorUnit val="25"/>
      </c:valAx>
      <c:valAx>
        <c:axId val="311439360"/>
        <c:scaling>
          <c:orientation val="minMax"/>
          <c:min val="0"/>
        </c:scaling>
        <c:delete val="0"/>
        <c:axPos val="l"/>
        <c:numFmt formatCode="0.00" sourceLinked="1"/>
        <c:majorTickMark val="out"/>
        <c:minorTickMark val="none"/>
        <c:tickLblPos val="nextTo"/>
        <c:crossAx val="311437568"/>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4000-6000</c:v>
          </c:tx>
          <c:xVal>
            <c:numRef>
              <c:f>'Burnout 2013 Broker'!$A$211:$A$214</c:f>
              <c:numCache>
                <c:formatCode>0.00</c:formatCode>
                <c:ptCount val="4"/>
                <c:pt idx="0">
                  <c:v>189.94437416189001</c:v>
                </c:pt>
                <c:pt idx="1">
                  <c:v>212.649738760883</c:v>
                </c:pt>
                <c:pt idx="2">
                  <c:v>235.007849665093</c:v>
                </c:pt>
                <c:pt idx="3">
                  <c:v>262.52574219043299</c:v>
                </c:pt>
              </c:numCache>
            </c:numRef>
          </c:xVal>
          <c:yVal>
            <c:numRef>
              <c:f>'Burnout 2013 Broker'!$G$211:$G$214</c:f>
              <c:numCache>
                <c:formatCode>0.00</c:formatCode>
                <c:ptCount val="4"/>
                <c:pt idx="0">
                  <c:v>38.537029056871418</c:v>
                </c:pt>
                <c:pt idx="1">
                  <c:v>46.106845565156632</c:v>
                </c:pt>
                <c:pt idx="2">
                  <c:v>33.990454326658167</c:v>
                </c:pt>
                <c:pt idx="3">
                  <c:v>38.708425248212343</c:v>
                </c:pt>
              </c:numCache>
            </c:numRef>
          </c:yVal>
          <c:smooth val="1"/>
        </c:ser>
        <c:ser>
          <c:idx val="3"/>
          <c:order val="1"/>
          <c:tx>
            <c:v>high_media_model</c:v>
          </c:tx>
          <c:xVal>
            <c:numRef>
              <c:f>'Burnout 2013 Broker'!$A$211:$A$214</c:f>
              <c:numCache>
                <c:formatCode>0.00</c:formatCode>
                <c:ptCount val="4"/>
                <c:pt idx="0">
                  <c:v>189.94437416189001</c:v>
                </c:pt>
                <c:pt idx="1">
                  <c:v>212.649738760883</c:v>
                </c:pt>
                <c:pt idx="2">
                  <c:v>235.007849665093</c:v>
                </c:pt>
                <c:pt idx="3">
                  <c:v>262.52574219043299</c:v>
                </c:pt>
              </c:numCache>
            </c:numRef>
          </c:xVal>
          <c:yVal>
            <c:numRef>
              <c:f>'Burnout 2013 Broker'!$T$211:$T$214</c:f>
              <c:numCache>
                <c:formatCode>0.00</c:formatCode>
                <c:ptCount val="4"/>
                <c:pt idx="0">
                  <c:v>40.337247121656304</c:v>
                </c:pt>
                <c:pt idx="1">
                  <c:v>40.379840870209307</c:v>
                </c:pt>
                <c:pt idx="2">
                  <c:v>41.658215307299038</c:v>
                </c:pt>
                <c:pt idx="3">
                  <c:v>41.221241348555672</c:v>
                </c:pt>
              </c:numCache>
            </c:numRef>
          </c:yVal>
          <c:smooth val="1"/>
        </c:ser>
        <c:ser>
          <c:idx val="1"/>
          <c:order val="2"/>
          <c:tx>
            <c:v>new model_after burnout dial</c:v>
          </c:tx>
          <c:xVal>
            <c:numRef>
              <c:f>'Burnout 2013 Broker'!$A$211:$A$214</c:f>
              <c:numCache>
                <c:formatCode>0.00</c:formatCode>
                <c:ptCount val="4"/>
                <c:pt idx="0">
                  <c:v>189.94437416189001</c:v>
                </c:pt>
                <c:pt idx="1">
                  <c:v>212.649738760883</c:v>
                </c:pt>
                <c:pt idx="2">
                  <c:v>235.007849665093</c:v>
                </c:pt>
                <c:pt idx="3">
                  <c:v>262.52574219043299</c:v>
                </c:pt>
              </c:numCache>
            </c:numRef>
          </c:xVal>
          <c:yVal>
            <c:numRef>
              <c:f>'Burnout 2013 Broker'!$U$211:$U$214</c:f>
              <c:numCache>
                <c:formatCode>0.00</c:formatCode>
                <c:ptCount val="4"/>
                <c:pt idx="0">
                  <c:v>40.337247121656304</c:v>
                </c:pt>
                <c:pt idx="1">
                  <c:v>40.379840870209307</c:v>
                </c:pt>
                <c:pt idx="2">
                  <c:v>41.658215307299038</c:v>
                </c:pt>
                <c:pt idx="3">
                  <c:v>41.221241348555672</c:v>
                </c:pt>
              </c:numCache>
            </c:numRef>
          </c:yVal>
          <c:smooth val="1"/>
        </c:ser>
        <c:dLbls>
          <c:showLegendKey val="0"/>
          <c:showVal val="0"/>
          <c:showCatName val="0"/>
          <c:showSerName val="0"/>
          <c:showPercent val="0"/>
          <c:showBubbleSize val="0"/>
        </c:dLbls>
        <c:axId val="312715520"/>
        <c:axId val="312729600"/>
      </c:scatterChart>
      <c:valAx>
        <c:axId val="312715520"/>
        <c:scaling>
          <c:orientation val="minMax"/>
          <c:min val="-50"/>
        </c:scaling>
        <c:delete val="0"/>
        <c:axPos val="b"/>
        <c:numFmt formatCode="0" sourceLinked="0"/>
        <c:majorTickMark val="out"/>
        <c:minorTickMark val="none"/>
        <c:tickLblPos val="nextTo"/>
        <c:crossAx val="312729600"/>
        <c:crosses val="autoZero"/>
        <c:crossBetween val="midCat"/>
        <c:majorUnit val="25"/>
      </c:valAx>
      <c:valAx>
        <c:axId val="312729600"/>
        <c:scaling>
          <c:orientation val="minMax"/>
        </c:scaling>
        <c:delete val="0"/>
        <c:axPos val="l"/>
        <c:numFmt formatCode="0.00" sourceLinked="1"/>
        <c:majorTickMark val="out"/>
        <c:minorTickMark val="none"/>
        <c:tickLblPos val="nextTo"/>
        <c:crossAx val="312715520"/>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0-2000</c:v>
          </c:tx>
          <c:xVal>
            <c:numRef>
              <c:f>'Burnout 2013 NonCW'!$A$86:$A$112</c:f>
              <c:numCache>
                <c:formatCode>0.00</c:formatCode>
                <c:ptCount val="27"/>
                <c:pt idx="0">
                  <c:v>-84.467718519781101</c:v>
                </c:pt>
                <c:pt idx="1">
                  <c:v>-56.808618320161699</c:v>
                </c:pt>
                <c:pt idx="2">
                  <c:v>-33.426627884314101</c:v>
                </c:pt>
                <c:pt idx="3">
                  <c:v>-22.347277204719301</c:v>
                </c:pt>
                <c:pt idx="4">
                  <c:v>-17.383839824316201</c:v>
                </c:pt>
                <c:pt idx="5">
                  <c:v>-12.387981044926301</c:v>
                </c:pt>
                <c:pt idx="6">
                  <c:v>-7.4396034037135701</c:v>
                </c:pt>
                <c:pt idx="7">
                  <c:v>-2.3961540498359502</c:v>
                </c:pt>
                <c:pt idx="8">
                  <c:v>2.5728035527417998</c:v>
                </c:pt>
                <c:pt idx="9">
                  <c:v>7.5880621822887901</c:v>
                </c:pt>
                <c:pt idx="10">
                  <c:v>12.5806723556453</c:v>
                </c:pt>
                <c:pt idx="11">
                  <c:v>17.569140352017499</c:v>
                </c:pt>
                <c:pt idx="12">
                  <c:v>22.567100051053298</c:v>
                </c:pt>
                <c:pt idx="13">
                  <c:v>27.552431543686001</c:v>
                </c:pt>
                <c:pt idx="14">
                  <c:v>32.522226934949302</c:v>
                </c:pt>
                <c:pt idx="15">
                  <c:v>37.513319813532803</c:v>
                </c:pt>
                <c:pt idx="16">
                  <c:v>42.489317449278502</c:v>
                </c:pt>
                <c:pt idx="17">
                  <c:v>47.544537496227299</c:v>
                </c:pt>
                <c:pt idx="18">
                  <c:v>52.532569319769003</c:v>
                </c:pt>
                <c:pt idx="19">
                  <c:v>57.505105926582701</c:v>
                </c:pt>
                <c:pt idx="20">
                  <c:v>62.515125404733602</c:v>
                </c:pt>
                <c:pt idx="21">
                  <c:v>67.517627106661095</c:v>
                </c:pt>
                <c:pt idx="22">
                  <c:v>72.539794286483897</c:v>
                </c:pt>
                <c:pt idx="23">
                  <c:v>86.818601173581399</c:v>
                </c:pt>
                <c:pt idx="24">
                  <c:v>112.46756410455301</c:v>
                </c:pt>
                <c:pt idx="25">
                  <c:v>135.43507063732301</c:v>
                </c:pt>
                <c:pt idx="26">
                  <c:v>158.93308303662801</c:v>
                </c:pt>
              </c:numCache>
            </c:numRef>
          </c:xVal>
          <c:yVal>
            <c:numRef>
              <c:f>'Burnout 2013 NonCW'!$G$86:$G$112</c:f>
              <c:numCache>
                <c:formatCode>0.00</c:formatCode>
                <c:ptCount val="27"/>
                <c:pt idx="0">
                  <c:v>2.735381406077797</c:v>
                </c:pt>
                <c:pt idx="1">
                  <c:v>2.5766161876005444</c:v>
                </c:pt>
                <c:pt idx="2">
                  <c:v>3.2945067444213327</c:v>
                </c:pt>
                <c:pt idx="3">
                  <c:v>2.8619289022231542</c:v>
                </c:pt>
                <c:pt idx="4">
                  <c:v>3.615224201838807</c:v>
                </c:pt>
                <c:pt idx="5">
                  <c:v>3.7798664246297187</c:v>
                </c:pt>
                <c:pt idx="6">
                  <c:v>4.6711998551786866</c:v>
                </c:pt>
                <c:pt idx="7">
                  <c:v>4.8991568739183089</c:v>
                </c:pt>
                <c:pt idx="8">
                  <c:v>6.4977392981921174</c:v>
                </c:pt>
                <c:pt idx="9">
                  <c:v>5.8793882888622973</c:v>
                </c:pt>
                <c:pt idx="10">
                  <c:v>8.1845142920415004</c:v>
                </c:pt>
                <c:pt idx="11">
                  <c:v>8.5878549916851838</c:v>
                </c:pt>
                <c:pt idx="12">
                  <c:v>9.5242364787280209</c:v>
                </c:pt>
                <c:pt idx="13">
                  <c:v>11.402033438971426</c:v>
                </c:pt>
                <c:pt idx="14">
                  <c:v>12.896464638540561</c:v>
                </c:pt>
                <c:pt idx="15">
                  <c:v>13.988563516685758</c:v>
                </c:pt>
                <c:pt idx="16">
                  <c:v>16.520540705063581</c:v>
                </c:pt>
                <c:pt idx="17">
                  <c:v>17.805750441855629</c:v>
                </c:pt>
                <c:pt idx="18">
                  <c:v>21.479599815138318</c:v>
                </c:pt>
                <c:pt idx="19">
                  <c:v>22.43317573147301</c:v>
                </c:pt>
                <c:pt idx="20">
                  <c:v>25.764556390649485</c:v>
                </c:pt>
                <c:pt idx="21">
                  <c:v>28.795809567442689</c:v>
                </c:pt>
                <c:pt idx="22">
                  <c:v>29.350461811454444</c:v>
                </c:pt>
                <c:pt idx="23">
                  <c:v>33.613033607390562</c:v>
                </c:pt>
                <c:pt idx="24">
                  <c:v>37.642046388413732</c:v>
                </c:pt>
                <c:pt idx="25">
                  <c:v>40.236146024013664</c:v>
                </c:pt>
                <c:pt idx="26">
                  <c:v>37.671299265980615</c:v>
                </c:pt>
              </c:numCache>
            </c:numRef>
          </c:yVal>
          <c:smooth val="1"/>
        </c:ser>
        <c:ser>
          <c:idx val="3"/>
          <c:order val="1"/>
          <c:tx>
            <c:v>high_media_model</c:v>
          </c:tx>
          <c:xVal>
            <c:numRef>
              <c:f>'Burnout 2013 NonCW'!$A$86:$A$111</c:f>
              <c:numCache>
                <c:formatCode>0.00</c:formatCode>
                <c:ptCount val="26"/>
                <c:pt idx="0">
                  <c:v>-84.467718519781101</c:v>
                </c:pt>
                <c:pt idx="1">
                  <c:v>-56.808618320161699</c:v>
                </c:pt>
                <c:pt idx="2">
                  <c:v>-33.426627884314101</c:v>
                </c:pt>
                <c:pt idx="3">
                  <c:v>-22.347277204719301</c:v>
                </c:pt>
                <c:pt idx="4">
                  <c:v>-17.383839824316201</c:v>
                </c:pt>
                <c:pt idx="5">
                  <c:v>-12.387981044926301</c:v>
                </c:pt>
                <c:pt idx="6">
                  <c:v>-7.4396034037135701</c:v>
                </c:pt>
                <c:pt idx="7">
                  <c:v>-2.3961540498359502</c:v>
                </c:pt>
                <c:pt idx="8">
                  <c:v>2.5728035527417998</c:v>
                </c:pt>
                <c:pt idx="9">
                  <c:v>7.5880621822887901</c:v>
                </c:pt>
                <c:pt idx="10">
                  <c:v>12.5806723556453</c:v>
                </c:pt>
                <c:pt idx="11">
                  <c:v>17.569140352017499</c:v>
                </c:pt>
                <c:pt idx="12">
                  <c:v>22.567100051053298</c:v>
                </c:pt>
                <c:pt idx="13">
                  <c:v>27.552431543686001</c:v>
                </c:pt>
                <c:pt idx="14">
                  <c:v>32.522226934949302</c:v>
                </c:pt>
                <c:pt idx="15">
                  <c:v>37.513319813532803</c:v>
                </c:pt>
                <c:pt idx="16">
                  <c:v>42.489317449278502</c:v>
                </c:pt>
                <c:pt idx="17">
                  <c:v>47.544537496227299</c:v>
                </c:pt>
                <c:pt idx="18">
                  <c:v>52.532569319769003</c:v>
                </c:pt>
                <c:pt idx="19">
                  <c:v>57.505105926582701</c:v>
                </c:pt>
                <c:pt idx="20">
                  <c:v>62.515125404733602</c:v>
                </c:pt>
                <c:pt idx="21">
                  <c:v>67.517627106661095</c:v>
                </c:pt>
                <c:pt idx="22">
                  <c:v>72.539794286483897</c:v>
                </c:pt>
                <c:pt idx="23">
                  <c:v>86.818601173581399</c:v>
                </c:pt>
                <c:pt idx="24">
                  <c:v>112.46756410455301</c:v>
                </c:pt>
                <c:pt idx="25">
                  <c:v>135.43507063732301</c:v>
                </c:pt>
              </c:numCache>
            </c:numRef>
          </c:xVal>
          <c:yVal>
            <c:numRef>
              <c:f>'Burnout 2013 NonCW'!$T$86:$T$111</c:f>
              <c:numCache>
                <c:formatCode>0.00</c:formatCode>
                <c:ptCount val="26"/>
                <c:pt idx="0">
                  <c:v>8.4959404643126906</c:v>
                </c:pt>
                <c:pt idx="1">
                  <c:v>2.6269666694503591</c:v>
                </c:pt>
                <c:pt idx="2">
                  <c:v>3.2592531606885022</c:v>
                </c:pt>
                <c:pt idx="3">
                  <c:v>4.2221619215739858</c:v>
                </c:pt>
                <c:pt idx="4">
                  <c:v>2.9652504921974687</c:v>
                </c:pt>
                <c:pt idx="5">
                  <c:v>3.6365461128871623</c:v>
                </c:pt>
                <c:pt idx="6">
                  <c:v>4.5159592070310168</c:v>
                </c:pt>
                <c:pt idx="7">
                  <c:v>5.1786461008966889</c:v>
                </c:pt>
                <c:pt idx="8">
                  <c:v>5.8723382261430812</c:v>
                </c:pt>
                <c:pt idx="9">
                  <c:v>6.552661561856798</c:v>
                </c:pt>
                <c:pt idx="10">
                  <c:v>7.4343047440941774</c:v>
                </c:pt>
                <c:pt idx="11">
                  <c:v>8.5539424739302543</c:v>
                </c:pt>
                <c:pt idx="12">
                  <c:v>9.8019697451598553</c:v>
                </c:pt>
                <c:pt idx="13">
                  <c:v>11.303304574716243</c:v>
                </c:pt>
                <c:pt idx="14">
                  <c:v>12.998665295231804</c:v>
                </c:pt>
                <c:pt idx="15">
                  <c:v>15.026113202598646</c:v>
                </c:pt>
                <c:pt idx="16">
                  <c:v>17.166437730808425</c:v>
                </c:pt>
                <c:pt idx="17">
                  <c:v>19.39343045669748</c:v>
                </c:pt>
                <c:pt idx="18">
                  <c:v>21.859306873948736</c:v>
                </c:pt>
                <c:pt idx="19">
                  <c:v>24.535357815539037</c:v>
                </c:pt>
                <c:pt idx="20">
                  <c:v>27.470286461083749</c:v>
                </c:pt>
                <c:pt idx="21">
                  <c:v>30.224855045989074</c:v>
                </c:pt>
                <c:pt idx="22">
                  <c:v>31.760875417421808</c:v>
                </c:pt>
                <c:pt idx="23">
                  <c:v>33.346678800667327</c:v>
                </c:pt>
                <c:pt idx="24">
                  <c:v>37.320554954401544</c:v>
                </c:pt>
                <c:pt idx="25">
                  <c:v>37.914411869379869</c:v>
                </c:pt>
              </c:numCache>
            </c:numRef>
          </c:yVal>
          <c:smooth val="1"/>
        </c:ser>
        <c:ser>
          <c:idx val="1"/>
          <c:order val="2"/>
          <c:tx>
            <c:v>new model_after burnout dial</c:v>
          </c:tx>
          <c:xVal>
            <c:numRef>
              <c:f>'Burnout 2013 NonCW'!$A$86:$A$112</c:f>
              <c:numCache>
                <c:formatCode>0.00</c:formatCode>
                <c:ptCount val="27"/>
                <c:pt idx="0">
                  <c:v>-84.467718519781101</c:v>
                </c:pt>
                <c:pt idx="1">
                  <c:v>-56.808618320161699</c:v>
                </c:pt>
                <c:pt idx="2">
                  <c:v>-33.426627884314101</c:v>
                </c:pt>
                <c:pt idx="3">
                  <c:v>-22.347277204719301</c:v>
                </c:pt>
                <c:pt idx="4">
                  <c:v>-17.383839824316201</c:v>
                </c:pt>
                <c:pt idx="5">
                  <c:v>-12.387981044926301</c:v>
                </c:pt>
                <c:pt idx="6">
                  <c:v>-7.4396034037135701</c:v>
                </c:pt>
                <c:pt idx="7">
                  <c:v>-2.3961540498359502</c:v>
                </c:pt>
                <c:pt idx="8">
                  <c:v>2.5728035527417998</c:v>
                </c:pt>
                <c:pt idx="9">
                  <c:v>7.5880621822887901</c:v>
                </c:pt>
                <c:pt idx="10">
                  <c:v>12.5806723556453</c:v>
                </c:pt>
                <c:pt idx="11">
                  <c:v>17.569140352017499</c:v>
                </c:pt>
                <c:pt idx="12">
                  <c:v>22.567100051053298</c:v>
                </c:pt>
                <c:pt idx="13">
                  <c:v>27.552431543686001</c:v>
                </c:pt>
                <c:pt idx="14">
                  <c:v>32.522226934949302</c:v>
                </c:pt>
                <c:pt idx="15">
                  <c:v>37.513319813532803</c:v>
                </c:pt>
                <c:pt idx="16">
                  <c:v>42.489317449278502</c:v>
                </c:pt>
                <c:pt idx="17">
                  <c:v>47.544537496227299</c:v>
                </c:pt>
                <c:pt idx="18">
                  <c:v>52.532569319769003</c:v>
                </c:pt>
                <c:pt idx="19">
                  <c:v>57.505105926582701</c:v>
                </c:pt>
                <c:pt idx="20">
                  <c:v>62.515125404733602</c:v>
                </c:pt>
                <c:pt idx="21">
                  <c:v>67.517627106661095</c:v>
                </c:pt>
                <c:pt idx="22">
                  <c:v>72.539794286483897</c:v>
                </c:pt>
                <c:pt idx="23">
                  <c:v>86.818601173581399</c:v>
                </c:pt>
                <c:pt idx="24">
                  <c:v>112.46756410455301</c:v>
                </c:pt>
                <c:pt idx="25">
                  <c:v>135.43507063732301</c:v>
                </c:pt>
                <c:pt idx="26">
                  <c:v>158.93308303662801</c:v>
                </c:pt>
              </c:numCache>
            </c:numRef>
          </c:xVal>
          <c:yVal>
            <c:numRef>
              <c:f>'Burnout 2013 NonCW'!$U$86:$U$112</c:f>
              <c:numCache>
                <c:formatCode>0.00</c:formatCode>
                <c:ptCount val="27"/>
                <c:pt idx="0">
                  <c:v>8.4959404643126906</c:v>
                </c:pt>
                <c:pt idx="1">
                  <c:v>2.6269666694503591</c:v>
                </c:pt>
                <c:pt idx="2">
                  <c:v>3.2592531606885022</c:v>
                </c:pt>
                <c:pt idx="3">
                  <c:v>4.2221619215739858</c:v>
                </c:pt>
                <c:pt idx="4">
                  <c:v>2.9652504921974687</c:v>
                </c:pt>
                <c:pt idx="5">
                  <c:v>3.6365461128871623</c:v>
                </c:pt>
                <c:pt idx="6">
                  <c:v>4.5159592070310168</c:v>
                </c:pt>
                <c:pt idx="7">
                  <c:v>5.1786461008966889</c:v>
                </c:pt>
                <c:pt idx="8">
                  <c:v>5.8723382261430812</c:v>
                </c:pt>
                <c:pt idx="9">
                  <c:v>6.552661561856798</c:v>
                </c:pt>
                <c:pt idx="10">
                  <c:v>7.4343047440941774</c:v>
                </c:pt>
                <c:pt idx="11">
                  <c:v>8.5539424739302543</c:v>
                </c:pt>
                <c:pt idx="12">
                  <c:v>9.8019697451598553</c:v>
                </c:pt>
                <c:pt idx="13">
                  <c:v>11.303304574716243</c:v>
                </c:pt>
                <c:pt idx="14">
                  <c:v>12.998665295231804</c:v>
                </c:pt>
                <c:pt idx="15">
                  <c:v>15.026113202598646</c:v>
                </c:pt>
                <c:pt idx="16">
                  <c:v>17.166437730808425</c:v>
                </c:pt>
                <c:pt idx="17">
                  <c:v>19.39343045669748</c:v>
                </c:pt>
                <c:pt idx="18">
                  <c:v>21.859306873948736</c:v>
                </c:pt>
                <c:pt idx="19">
                  <c:v>24.535357815539037</c:v>
                </c:pt>
                <c:pt idx="20">
                  <c:v>27.470286461083749</c:v>
                </c:pt>
                <c:pt idx="21">
                  <c:v>30.224855045989074</c:v>
                </c:pt>
                <c:pt idx="22">
                  <c:v>31.760875417421808</c:v>
                </c:pt>
                <c:pt idx="23">
                  <c:v>33.346678800667327</c:v>
                </c:pt>
                <c:pt idx="24">
                  <c:v>37.320554954401544</c:v>
                </c:pt>
                <c:pt idx="25">
                  <c:v>37.914411869379869</c:v>
                </c:pt>
                <c:pt idx="26">
                  <c:v>39.083128457380781</c:v>
                </c:pt>
              </c:numCache>
            </c:numRef>
          </c:yVal>
          <c:smooth val="1"/>
        </c:ser>
        <c:dLbls>
          <c:showLegendKey val="0"/>
          <c:showVal val="0"/>
          <c:showCatName val="0"/>
          <c:showSerName val="0"/>
          <c:showPercent val="0"/>
          <c:showBubbleSize val="0"/>
        </c:dLbls>
        <c:axId val="313668736"/>
        <c:axId val="313670272"/>
      </c:scatterChart>
      <c:valAx>
        <c:axId val="313668736"/>
        <c:scaling>
          <c:orientation val="minMax"/>
          <c:min val="-50"/>
        </c:scaling>
        <c:delete val="0"/>
        <c:axPos val="b"/>
        <c:numFmt formatCode="0" sourceLinked="0"/>
        <c:majorTickMark val="out"/>
        <c:minorTickMark val="none"/>
        <c:tickLblPos val="nextTo"/>
        <c:crossAx val="313670272"/>
        <c:crosses val="autoZero"/>
        <c:crossBetween val="midCat"/>
        <c:majorUnit val="25"/>
      </c:valAx>
      <c:valAx>
        <c:axId val="313670272"/>
        <c:scaling>
          <c:orientation val="minMax"/>
        </c:scaling>
        <c:delete val="0"/>
        <c:axPos val="l"/>
        <c:numFmt formatCode="0.00" sourceLinked="1"/>
        <c:majorTickMark val="out"/>
        <c:minorTickMark val="none"/>
        <c:tickLblPos val="nextTo"/>
        <c:crossAx val="313668736"/>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2000-4000</c:v>
          </c:tx>
          <c:xVal>
            <c:numRef>
              <c:f>'Burnout 2013 NonCW'!$A$165:$A$168</c:f>
              <c:numCache>
                <c:formatCode>0.00</c:formatCode>
                <c:ptCount val="4"/>
                <c:pt idx="0">
                  <c:v>140.62959511809501</c:v>
                </c:pt>
                <c:pt idx="1">
                  <c:v>162.75349245071899</c:v>
                </c:pt>
                <c:pt idx="2">
                  <c:v>184.14327691484399</c:v>
                </c:pt>
                <c:pt idx="3">
                  <c:v>208.438939601453</c:v>
                </c:pt>
              </c:numCache>
            </c:numRef>
          </c:xVal>
          <c:yVal>
            <c:numRef>
              <c:f>'Burnout 2013 NonCW'!$G$165:$G$168</c:f>
              <c:numCache>
                <c:formatCode>0.00</c:formatCode>
                <c:ptCount val="4"/>
                <c:pt idx="0">
                  <c:v>43.849101342837237</c:v>
                </c:pt>
                <c:pt idx="1">
                  <c:v>42.627981813489178</c:v>
                </c:pt>
                <c:pt idx="2">
                  <c:v>40.760343437696775</c:v>
                </c:pt>
                <c:pt idx="3">
                  <c:v>40.190975703625178</c:v>
                </c:pt>
              </c:numCache>
            </c:numRef>
          </c:yVal>
          <c:smooth val="1"/>
        </c:ser>
        <c:ser>
          <c:idx val="3"/>
          <c:order val="1"/>
          <c:tx>
            <c:v>high_media_model</c:v>
          </c:tx>
          <c:xVal>
            <c:numRef>
              <c:f>'Burnout 2013 NonCW'!$A$165:$A$168</c:f>
              <c:numCache>
                <c:formatCode>0.00</c:formatCode>
                <c:ptCount val="4"/>
                <c:pt idx="0">
                  <c:v>140.62959511809501</c:v>
                </c:pt>
                <c:pt idx="1">
                  <c:v>162.75349245071899</c:v>
                </c:pt>
                <c:pt idx="2">
                  <c:v>184.14327691484399</c:v>
                </c:pt>
                <c:pt idx="3">
                  <c:v>208.438939601453</c:v>
                </c:pt>
              </c:numCache>
            </c:numRef>
          </c:xVal>
          <c:yVal>
            <c:numRef>
              <c:f>'Burnout 2013 NonCW'!$T$165:$T$168</c:f>
              <c:numCache>
                <c:formatCode>0.00</c:formatCode>
                <c:ptCount val="4"/>
                <c:pt idx="0">
                  <c:v>38.415206263857534</c:v>
                </c:pt>
                <c:pt idx="1">
                  <c:v>37.602412108782659</c:v>
                </c:pt>
                <c:pt idx="2">
                  <c:v>37.138381180722121</c:v>
                </c:pt>
                <c:pt idx="3">
                  <c:v>36.683471137969818</c:v>
                </c:pt>
              </c:numCache>
            </c:numRef>
          </c:yVal>
          <c:smooth val="1"/>
        </c:ser>
        <c:ser>
          <c:idx val="1"/>
          <c:order val="2"/>
          <c:tx>
            <c:v>new model_after burnout dial</c:v>
          </c:tx>
          <c:xVal>
            <c:numRef>
              <c:f>'Burnout 2013 NonCW'!$A$165:$A$168</c:f>
              <c:numCache>
                <c:formatCode>0.00</c:formatCode>
                <c:ptCount val="4"/>
                <c:pt idx="0">
                  <c:v>140.62959511809501</c:v>
                </c:pt>
                <c:pt idx="1">
                  <c:v>162.75349245071899</c:v>
                </c:pt>
                <c:pt idx="2">
                  <c:v>184.14327691484399</c:v>
                </c:pt>
                <c:pt idx="3">
                  <c:v>208.438939601453</c:v>
                </c:pt>
              </c:numCache>
            </c:numRef>
          </c:xVal>
          <c:yVal>
            <c:numRef>
              <c:f>'Burnout 2013 NonCW'!$U$165:$U$168</c:f>
              <c:numCache>
                <c:formatCode>0.00</c:formatCode>
                <c:ptCount val="4"/>
                <c:pt idx="0">
                  <c:v>42.832663726750489</c:v>
                </c:pt>
                <c:pt idx="1">
                  <c:v>41.958772019976465</c:v>
                </c:pt>
                <c:pt idx="2">
                  <c:v>41.459123554270484</c:v>
                </c:pt>
                <c:pt idx="3">
                  <c:v>40.968781012152547</c:v>
                </c:pt>
              </c:numCache>
            </c:numRef>
          </c:yVal>
          <c:smooth val="1"/>
        </c:ser>
        <c:dLbls>
          <c:showLegendKey val="0"/>
          <c:showVal val="0"/>
          <c:showCatName val="0"/>
          <c:showSerName val="0"/>
          <c:showPercent val="0"/>
          <c:showBubbleSize val="0"/>
        </c:dLbls>
        <c:axId val="313492608"/>
        <c:axId val="313494144"/>
      </c:scatterChart>
      <c:valAx>
        <c:axId val="313492608"/>
        <c:scaling>
          <c:orientation val="minMax"/>
          <c:min val="-50"/>
        </c:scaling>
        <c:delete val="0"/>
        <c:axPos val="b"/>
        <c:numFmt formatCode="0" sourceLinked="0"/>
        <c:majorTickMark val="out"/>
        <c:minorTickMark val="none"/>
        <c:tickLblPos val="nextTo"/>
        <c:crossAx val="313494144"/>
        <c:crosses val="autoZero"/>
        <c:crossBetween val="midCat"/>
        <c:majorUnit val="25"/>
      </c:valAx>
      <c:valAx>
        <c:axId val="313494144"/>
        <c:scaling>
          <c:orientation val="minMax"/>
          <c:min val="0"/>
        </c:scaling>
        <c:delete val="0"/>
        <c:axPos val="l"/>
        <c:numFmt formatCode="0.00" sourceLinked="1"/>
        <c:majorTickMark val="out"/>
        <c:minorTickMark val="none"/>
        <c:tickLblPos val="nextTo"/>
        <c:crossAx val="313492608"/>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4000-6000</c:v>
          </c:tx>
          <c:xVal>
            <c:numRef>
              <c:f>'Burnout 2013 NonCW'!$A$212:$A$215</c:f>
              <c:numCache>
                <c:formatCode>0.00</c:formatCode>
                <c:ptCount val="4"/>
                <c:pt idx="0">
                  <c:v>190.73263498008299</c:v>
                </c:pt>
                <c:pt idx="1">
                  <c:v>213.06494243084799</c:v>
                </c:pt>
                <c:pt idx="2">
                  <c:v>233.82974533569299</c:v>
                </c:pt>
                <c:pt idx="3">
                  <c:v>265.54811241113401</c:v>
                </c:pt>
              </c:numCache>
            </c:numRef>
          </c:xVal>
          <c:yVal>
            <c:numRef>
              <c:f>'Burnout 2013 NonCW'!$G$212:$G$215</c:f>
              <c:numCache>
                <c:formatCode>0.00</c:formatCode>
                <c:ptCount val="4"/>
                <c:pt idx="0">
                  <c:v>38.36259425755172</c:v>
                </c:pt>
                <c:pt idx="1">
                  <c:v>35.315922348771132</c:v>
                </c:pt>
                <c:pt idx="2">
                  <c:v>28.135041571570941</c:v>
                </c:pt>
                <c:pt idx="3">
                  <c:v>46.027606864277551</c:v>
                </c:pt>
              </c:numCache>
            </c:numRef>
          </c:yVal>
          <c:smooth val="1"/>
        </c:ser>
        <c:ser>
          <c:idx val="3"/>
          <c:order val="1"/>
          <c:tx>
            <c:v>high_media_model</c:v>
          </c:tx>
          <c:xVal>
            <c:numRef>
              <c:f>'Burnout 2013 NonCW'!$A$212:$A$215</c:f>
              <c:numCache>
                <c:formatCode>0.00</c:formatCode>
                <c:ptCount val="4"/>
                <c:pt idx="0">
                  <c:v>190.73263498008299</c:v>
                </c:pt>
                <c:pt idx="1">
                  <c:v>213.06494243084799</c:v>
                </c:pt>
                <c:pt idx="2">
                  <c:v>233.82974533569299</c:v>
                </c:pt>
                <c:pt idx="3">
                  <c:v>265.54811241113401</c:v>
                </c:pt>
              </c:numCache>
            </c:numRef>
          </c:xVal>
          <c:yVal>
            <c:numRef>
              <c:f>'Burnout 2013 NonCW'!$T$212:$T$215</c:f>
              <c:numCache>
                <c:formatCode>0.00</c:formatCode>
                <c:ptCount val="4"/>
                <c:pt idx="0">
                  <c:v>31.964695146159993</c:v>
                </c:pt>
                <c:pt idx="1">
                  <c:v>31.810102258121663</c:v>
                </c:pt>
                <c:pt idx="2">
                  <c:v>31.83436768442921</c:v>
                </c:pt>
                <c:pt idx="3">
                  <c:v>32.725927511706956</c:v>
                </c:pt>
              </c:numCache>
            </c:numRef>
          </c:yVal>
          <c:smooth val="1"/>
        </c:ser>
        <c:ser>
          <c:idx val="1"/>
          <c:order val="2"/>
          <c:tx>
            <c:v>new model_after burnout dial</c:v>
          </c:tx>
          <c:xVal>
            <c:numRef>
              <c:f>'Burnout 2013 NonCW'!$A$212:$A$215</c:f>
              <c:numCache>
                <c:formatCode>0.00</c:formatCode>
                <c:ptCount val="4"/>
                <c:pt idx="0">
                  <c:v>190.73263498008299</c:v>
                </c:pt>
                <c:pt idx="1">
                  <c:v>213.06494243084799</c:v>
                </c:pt>
                <c:pt idx="2">
                  <c:v>233.82974533569299</c:v>
                </c:pt>
                <c:pt idx="3">
                  <c:v>265.54811241113401</c:v>
                </c:pt>
              </c:numCache>
            </c:numRef>
          </c:xVal>
          <c:yVal>
            <c:numRef>
              <c:f>'Burnout 2013 NonCW'!$U$212:$U$215</c:f>
              <c:numCache>
                <c:formatCode>0.00</c:formatCode>
                <c:ptCount val="4"/>
                <c:pt idx="0">
                  <c:v>31.964695146159993</c:v>
                </c:pt>
                <c:pt idx="1">
                  <c:v>31.810102258121663</c:v>
                </c:pt>
                <c:pt idx="2">
                  <c:v>31.83436768442921</c:v>
                </c:pt>
                <c:pt idx="3">
                  <c:v>32.725927511706956</c:v>
                </c:pt>
              </c:numCache>
            </c:numRef>
          </c:yVal>
          <c:smooth val="1"/>
        </c:ser>
        <c:dLbls>
          <c:showLegendKey val="0"/>
          <c:showVal val="0"/>
          <c:showCatName val="0"/>
          <c:showSerName val="0"/>
          <c:showPercent val="0"/>
          <c:showBubbleSize val="0"/>
        </c:dLbls>
        <c:axId val="313799808"/>
        <c:axId val="313801344"/>
      </c:scatterChart>
      <c:valAx>
        <c:axId val="313799808"/>
        <c:scaling>
          <c:orientation val="minMax"/>
          <c:min val="-50"/>
        </c:scaling>
        <c:delete val="0"/>
        <c:axPos val="b"/>
        <c:numFmt formatCode="0" sourceLinked="0"/>
        <c:majorTickMark val="out"/>
        <c:minorTickMark val="none"/>
        <c:tickLblPos val="nextTo"/>
        <c:crossAx val="313801344"/>
        <c:crosses val="autoZero"/>
        <c:crossBetween val="midCat"/>
        <c:majorUnit val="25"/>
      </c:valAx>
      <c:valAx>
        <c:axId val="313801344"/>
        <c:scaling>
          <c:orientation val="minMax"/>
        </c:scaling>
        <c:delete val="0"/>
        <c:axPos val="l"/>
        <c:numFmt formatCode="0.00" sourceLinked="1"/>
        <c:majorTickMark val="out"/>
        <c:minorTickMark val="none"/>
        <c:tickLblPos val="nextTo"/>
        <c:crossAx val="313799808"/>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60</xdr:col>
      <xdr:colOff>0</xdr:colOff>
      <xdr:row>104</xdr:row>
      <xdr:rowOff>0</xdr:rowOff>
    </xdr:from>
    <xdr:to>
      <xdr:col>89</xdr:col>
      <xdr:colOff>154781</xdr:colOff>
      <xdr:row>178</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60</xdr:col>
      <xdr:colOff>0</xdr:colOff>
      <xdr:row>2</xdr:row>
      <xdr:rowOff>0</xdr:rowOff>
    </xdr:from>
    <xdr:to>
      <xdr:col>89</xdr:col>
      <xdr:colOff>154781</xdr:colOff>
      <xdr:row>75</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70</xdr:row>
      <xdr:rowOff>130968</xdr:rowOff>
    </xdr:from>
    <xdr:to>
      <xdr:col>59</xdr:col>
      <xdr:colOff>23812</xdr:colOff>
      <xdr:row>90</xdr:row>
      <xdr:rowOff>166687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205</xdr:row>
      <xdr:rowOff>0</xdr:rowOff>
    </xdr:from>
    <xdr:to>
      <xdr:col>89</xdr:col>
      <xdr:colOff>154781</xdr:colOff>
      <xdr:row>280</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381000</xdr:colOff>
      <xdr:row>176</xdr:row>
      <xdr:rowOff>119063</xdr:rowOff>
    </xdr:from>
    <xdr:to>
      <xdr:col>59</xdr:col>
      <xdr:colOff>404812</xdr:colOff>
      <xdr:row>196</xdr:row>
      <xdr:rowOff>154782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381000</xdr:colOff>
      <xdr:row>277</xdr:row>
      <xdr:rowOff>119063</xdr:rowOff>
    </xdr:from>
    <xdr:to>
      <xdr:col>59</xdr:col>
      <xdr:colOff>404812</xdr:colOff>
      <xdr:row>297</xdr:row>
      <xdr:rowOff>154782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85</xdr:row>
      <xdr:rowOff>130969</xdr:rowOff>
    </xdr:to>
    <xdr:sp macro="" textlink="">
      <xdr:nvSpPr>
        <xdr:cNvPr id="3" name="TextBox 2"/>
        <xdr:cNvSpPr txBox="1"/>
      </xdr:nvSpPr>
      <xdr:spPr>
        <a:xfrm>
          <a:off x="40147875" y="381000"/>
          <a:ext cx="17833181" cy="14037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523876</xdr:colOff>
      <xdr:row>80</xdr:row>
      <xdr:rowOff>190499</xdr:rowOff>
    </xdr:from>
    <xdr:to>
      <xdr:col>32</xdr:col>
      <xdr:colOff>261937</xdr:colOff>
      <xdr:row>101</xdr:row>
      <xdr:rowOff>35718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121</xdr:row>
      <xdr:rowOff>0</xdr:rowOff>
    </xdr:from>
    <xdr:to>
      <xdr:col>89</xdr:col>
      <xdr:colOff>154781</xdr:colOff>
      <xdr:row>160</xdr:row>
      <xdr:rowOff>130969</xdr:rowOff>
    </xdr:to>
    <xdr:sp macro="" textlink="">
      <xdr:nvSpPr>
        <xdr:cNvPr id="8" name="TextBox 7"/>
        <xdr:cNvSpPr txBox="1"/>
      </xdr:nvSpPr>
      <xdr:spPr>
        <a:xfrm>
          <a:off x="40231219" y="381000"/>
          <a:ext cx="17764125" cy="1594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152</xdr:row>
      <xdr:rowOff>178593</xdr:rowOff>
    </xdr:from>
    <xdr:to>
      <xdr:col>32</xdr:col>
      <xdr:colOff>214312</xdr:colOff>
      <xdr:row>173</xdr:row>
      <xdr:rowOff>23812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178</xdr:row>
      <xdr:rowOff>0</xdr:rowOff>
    </xdr:from>
    <xdr:to>
      <xdr:col>89</xdr:col>
      <xdr:colOff>154781</xdr:colOff>
      <xdr:row>217</xdr:row>
      <xdr:rowOff>130969</xdr:rowOff>
    </xdr:to>
    <xdr:sp macro="" textlink="">
      <xdr:nvSpPr>
        <xdr:cNvPr id="10" name="TextBox 9"/>
        <xdr:cNvSpPr txBox="1"/>
      </xdr:nvSpPr>
      <xdr:spPr>
        <a:xfrm>
          <a:off x="40231219" y="23050500"/>
          <a:ext cx="17764125"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209</xdr:row>
      <xdr:rowOff>178593</xdr:rowOff>
    </xdr:from>
    <xdr:to>
      <xdr:col>32</xdr:col>
      <xdr:colOff>214312</xdr:colOff>
      <xdr:row>230</xdr:row>
      <xdr:rowOff>23812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443150" y="381000"/>
          <a:ext cx="17833181"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139</xdr:row>
      <xdr:rowOff>130969</xdr:rowOff>
    </xdr:to>
    <xdr:sp macro="" textlink="">
      <xdr:nvSpPr>
        <xdr:cNvPr id="4" name="TextBox 3"/>
        <xdr:cNvSpPr txBox="1"/>
      </xdr:nvSpPr>
      <xdr:spPr>
        <a:xfrm>
          <a:off x="40443150" y="23241000"/>
          <a:ext cx="17833181"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150</xdr:row>
      <xdr:rowOff>0</xdr:rowOff>
    </xdr:from>
    <xdr:to>
      <xdr:col>89</xdr:col>
      <xdr:colOff>154781</xdr:colOff>
      <xdr:row>174</xdr:row>
      <xdr:rowOff>130969</xdr:rowOff>
    </xdr:to>
    <xdr:sp macro="" textlink="">
      <xdr:nvSpPr>
        <xdr:cNvPr id="5" name="TextBox 4"/>
        <xdr:cNvSpPr txBox="1"/>
      </xdr:nvSpPr>
      <xdr:spPr>
        <a:xfrm>
          <a:off x="40443150" y="28575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162</xdr:row>
      <xdr:rowOff>130969</xdr:rowOff>
    </xdr:to>
    <xdr:sp macro="" textlink="">
      <xdr:nvSpPr>
        <xdr:cNvPr id="6" name="TextBox 5"/>
        <xdr:cNvSpPr txBox="1"/>
      </xdr:nvSpPr>
      <xdr:spPr>
        <a:xfrm>
          <a:off x="40443150" y="23241000"/>
          <a:ext cx="17833181"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158</xdr:row>
      <xdr:rowOff>83343</xdr:rowOff>
    </xdr:from>
    <xdr:to>
      <xdr:col>36</xdr:col>
      <xdr:colOff>428624</xdr:colOff>
      <xdr:row>179</xdr:row>
      <xdr:rowOff>35719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183</xdr:row>
      <xdr:rowOff>0</xdr:rowOff>
    </xdr:from>
    <xdr:to>
      <xdr:col>89</xdr:col>
      <xdr:colOff>154781</xdr:colOff>
      <xdr:row>194</xdr:row>
      <xdr:rowOff>130969</xdr:rowOff>
    </xdr:to>
    <xdr:sp macro="" textlink="">
      <xdr:nvSpPr>
        <xdr:cNvPr id="8" name="TextBox 7"/>
        <xdr:cNvSpPr txBox="1"/>
      </xdr:nvSpPr>
      <xdr:spPr>
        <a:xfrm>
          <a:off x="40443150" y="34861500"/>
          <a:ext cx="17833181" cy="2226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200</xdr:row>
      <xdr:rowOff>0</xdr:rowOff>
    </xdr:from>
    <xdr:to>
      <xdr:col>89</xdr:col>
      <xdr:colOff>154781</xdr:colOff>
      <xdr:row>224</xdr:row>
      <xdr:rowOff>130969</xdr:rowOff>
    </xdr:to>
    <xdr:sp macro="" textlink="">
      <xdr:nvSpPr>
        <xdr:cNvPr id="9" name="TextBox 8"/>
        <xdr:cNvSpPr txBox="1"/>
      </xdr:nvSpPr>
      <xdr:spPr>
        <a:xfrm>
          <a:off x="40443150" y="38100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183</xdr:row>
      <xdr:rowOff>0</xdr:rowOff>
    </xdr:from>
    <xdr:to>
      <xdr:col>89</xdr:col>
      <xdr:colOff>154781</xdr:colOff>
      <xdr:row>212</xdr:row>
      <xdr:rowOff>130969</xdr:rowOff>
    </xdr:to>
    <xdr:sp macro="" textlink="">
      <xdr:nvSpPr>
        <xdr:cNvPr id="10" name="TextBox 9"/>
        <xdr:cNvSpPr txBox="1"/>
      </xdr:nvSpPr>
      <xdr:spPr>
        <a:xfrm>
          <a:off x="40443150" y="34861500"/>
          <a:ext cx="17833181" cy="5655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202</xdr:row>
      <xdr:rowOff>190499</xdr:rowOff>
    </xdr:from>
    <xdr:to>
      <xdr:col>36</xdr:col>
      <xdr:colOff>404811</xdr:colOff>
      <xdr:row>223</xdr:row>
      <xdr:rowOff>35718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147875" y="381000"/>
          <a:ext cx="17833181" cy="1594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139</xdr:row>
      <xdr:rowOff>130969</xdr:rowOff>
    </xdr:to>
    <xdr:sp macro="" textlink="">
      <xdr:nvSpPr>
        <xdr:cNvPr id="4" name="TextBox 3"/>
        <xdr:cNvSpPr txBox="1"/>
      </xdr:nvSpPr>
      <xdr:spPr>
        <a:xfrm>
          <a:off x="40147875" y="23050500"/>
          <a:ext cx="17833181"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150</xdr:row>
      <xdr:rowOff>0</xdr:rowOff>
    </xdr:from>
    <xdr:to>
      <xdr:col>89</xdr:col>
      <xdr:colOff>154781</xdr:colOff>
      <xdr:row>174</xdr:row>
      <xdr:rowOff>130969</xdr:rowOff>
    </xdr:to>
    <xdr:sp macro="" textlink="">
      <xdr:nvSpPr>
        <xdr:cNvPr id="6" name="TextBox 5"/>
        <xdr:cNvSpPr txBox="1"/>
      </xdr:nvSpPr>
      <xdr:spPr>
        <a:xfrm>
          <a:off x="40147875" y="33909000"/>
          <a:ext cx="17833181"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162</xdr:row>
      <xdr:rowOff>130969</xdr:rowOff>
    </xdr:to>
    <xdr:sp macro="" textlink="">
      <xdr:nvSpPr>
        <xdr:cNvPr id="8" name="TextBox 7"/>
        <xdr:cNvSpPr txBox="1"/>
      </xdr:nvSpPr>
      <xdr:spPr>
        <a:xfrm>
          <a:off x="40528875" y="381000"/>
          <a:ext cx="17764125"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158</xdr:row>
      <xdr:rowOff>83343</xdr:rowOff>
    </xdr:from>
    <xdr:to>
      <xdr:col>36</xdr:col>
      <xdr:colOff>428624</xdr:colOff>
      <xdr:row>178</xdr:row>
      <xdr:rowOff>119062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183</xdr:row>
      <xdr:rowOff>0</xdr:rowOff>
    </xdr:from>
    <xdr:to>
      <xdr:col>89</xdr:col>
      <xdr:colOff>154781</xdr:colOff>
      <xdr:row>194</xdr:row>
      <xdr:rowOff>130969</xdr:rowOff>
    </xdr:to>
    <xdr:sp macro="" textlink="">
      <xdr:nvSpPr>
        <xdr:cNvPr id="10" name="TextBox 9"/>
        <xdr:cNvSpPr txBox="1"/>
      </xdr:nvSpPr>
      <xdr:spPr>
        <a:xfrm>
          <a:off x="40528875" y="23241000"/>
          <a:ext cx="17764125"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200</xdr:row>
      <xdr:rowOff>0</xdr:rowOff>
    </xdr:from>
    <xdr:to>
      <xdr:col>89</xdr:col>
      <xdr:colOff>154781</xdr:colOff>
      <xdr:row>224</xdr:row>
      <xdr:rowOff>130969</xdr:rowOff>
    </xdr:to>
    <xdr:sp macro="" textlink="">
      <xdr:nvSpPr>
        <xdr:cNvPr id="11" name="TextBox 10"/>
        <xdr:cNvSpPr txBox="1"/>
      </xdr:nvSpPr>
      <xdr:spPr>
        <a:xfrm>
          <a:off x="40528875" y="285750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183</xdr:row>
      <xdr:rowOff>0</xdr:rowOff>
    </xdr:from>
    <xdr:to>
      <xdr:col>89</xdr:col>
      <xdr:colOff>154781</xdr:colOff>
      <xdr:row>212</xdr:row>
      <xdr:rowOff>130969</xdr:rowOff>
    </xdr:to>
    <xdr:sp macro="" textlink="">
      <xdr:nvSpPr>
        <xdr:cNvPr id="12" name="TextBox 11"/>
        <xdr:cNvSpPr txBox="1"/>
      </xdr:nvSpPr>
      <xdr:spPr>
        <a:xfrm>
          <a:off x="40528875" y="23241000"/>
          <a:ext cx="17764125"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202</xdr:row>
      <xdr:rowOff>190499</xdr:rowOff>
    </xdr:from>
    <xdr:to>
      <xdr:col>36</xdr:col>
      <xdr:colOff>404811</xdr:colOff>
      <xdr:row>223</xdr:row>
      <xdr:rowOff>35718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443150" y="381000"/>
          <a:ext cx="17833181"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139</xdr:row>
      <xdr:rowOff>130969</xdr:rowOff>
    </xdr:to>
    <xdr:sp macro="" textlink="">
      <xdr:nvSpPr>
        <xdr:cNvPr id="4" name="TextBox 3"/>
        <xdr:cNvSpPr txBox="1"/>
      </xdr:nvSpPr>
      <xdr:spPr>
        <a:xfrm>
          <a:off x="40443150" y="23241000"/>
          <a:ext cx="17833181"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150</xdr:row>
      <xdr:rowOff>0</xdr:rowOff>
    </xdr:from>
    <xdr:to>
      <xdr:col>89</xdr:col>
      <xdr:colOff>154781</xdr:colOff>
      <xdr:row>174</xdr:row>
      <xdr:rowOff>130969</xdr:rowOff>
    </xdr:to>
    <xdr:sp macro="" textlink="">
      <xdr:nvSpPr>
        <xdr:cNvPr id="5" name="TextBox 4"/>
        <xdr:cNvSpPr txBox="1"/>
      </xdr:nvSpPr>
      <xdr:spPr>
        <a:xfrm>
          <a:off x="40443150" y="28575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162</xdr:row>
      <xdr:rowOff>130969</xdr:rowOff>
    </xdr:to>
    <xdr:sp macro="" textlink="">
      <xdr:nvSpPr>
        <xdr:cNvPr id="6" name="TextBox 5"/>
        <xdr:cNvSpPr txBox="1"/>
      </xdr:nvSpPr>
      <xdr:spPr>
        <a:xfrm>
          <a:off x="40443150" y="23241000"/>
          <a:ext cx="17833181"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158</xdr:row>
      <xdr:rowOff>83343</xdr:rowOff>
    </xdr:from>
    <xdr:to>
      <xdr:col>36</xdr:col>
      <xdr:colOff>428624</xdr:colOff>
      <xdr:row>178</xdr:row>
      <xdr:rowOff>119062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183</xdr:row>
      <xdr:rowOff>0</xdr:rowOff>
    </xdr:from>
    <xdr:to>
      <xdr:col>89</xdr:col>
      <xdr:colOff>154781</xdr:colOff>
      <xdr:row>194</xdr:row>
      <xdr:rowOff>130969</xdr:rowOff>
    </xdr:to>
    <xdr:sp macro="" textlink="">
      <xdr:nvSpPr>
        <xdr:cNvPr id="8" name="TextBox 7"/>
        <xdr:cNvSpPr txBox="1"/>
      </xdr:nvSpPr>
      <xdr:spPr>
        <a:xfrm>
          <a:off x="40443150" y="34861500"/>
          <a:ext cx="17833181" cy="2226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200</xdr:row>
      <xdr:rowOff>0</xdr:rowOff>
    </xdr:from>
    <xdr:to>
      <xdr:col>89</xdr:col>
      <xdr:colOff>154781</xdr:colOff>
      <xdr:row>224</xdr:row>
      <xdr:rowOff>130969</xdr:rowOff>
    </xdr:to>
    <xdr:sp macro="" textlink="">
      <xdr:nvSpPr>
        <xdr:cNvPr id="9" name="TextBox 8"/>
        <xdr:cNvSpPr txBox="1"/>
      </xdr:nvSpPr>
      <xdr:spPr>
        <a:xfrm>
          <a:off x="40443150" y="38100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183</xdr:row>
      <xdr:rowOff>0</xdr:rowOff>
    </xdr:from>
    <xdr:to>
      <xdr:col>89</xdr:col>
      <xdr:colOff>154781</xdr:colOff>
      <xdr:row>212</xdr:row>
      <xdr:rowOff>130969</xdr:rowOff>
    </xdr:to>
    <xdr:sp macro="" textlink="">
      <xdr:nvSpPr>
        <xdr:cNvPr id="10" name="TextBox 9"/>
        <xdr:cNvSpPr txBox="1"/>
      </xdr:nvSpPr>
      <xdr:spPr>
        <a:xfrm>
          <a:off x="40443150" y="34861500"/>
          <a:ext cx="17833181" cy="5655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202</xdr:row>
      <xdr:rowOff>190499</xdr:rowOff>
    </xdr:from>
    <xdr:to>
      <xdr:col>36</xdr:col>
      <xdr:colOff>404811</xdr:colOff>
      <xdr:row>223</xdr:row>
      <xdr:rowOff>35718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selection activeCell="J23" sqref="J23"/>
    </sheetView>
  </sheetViews>
  <sheetFormatPr defaultRowHeight="15" x14ac:dyDescent="0.25"/>
  <cols>
    <col min="1" max="1" width="13.28515625" bestFit="1" customWidth="1"/>
    <col min="7" max="7" width="1" customWidth="1"/>
    <col min="9" max="9" width="10.57031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 min="22" max="22" width="11" bestFit="1" customWidth="1"/>
  </cols>
  <sheetData>
    <row r="1" spans="1:24" x14ac:dyDescent="0.25">
      <c r="A1" t="s">
        <v>0</v>
      </c>
      <c r="B1" t="s">
        <v>1</v>
      </c>
      <c r="I1" t="s">
        <v>0</v>
      </c>
      <c r="J1" s="1" t="s">
        <v>11</v>
      </c>
      <c r="K1" t="s">
        <v>12</v>
      </c>
      <c r="L1" t="s">
        <v>13</v>
      </c>
      <c r="M1" t="s">
        <v>14</v>
      </c>
      <c r="N1" t="s">
        <v>15</v>
      </c>
      <c r="O1" t="s">
        <v>16</v>
      </c>
      <c r="P1" t="s">
        <v>18</v>
      </c>
      <c r="Q1" t="s">
        <v>106</v>
      </c>
      <c r="R1" t="s">
        <v>107</v>
      </c>
      <c r="S1" t="s">
        <v>109</v>
      </c>
      <c r="T1" t="s">
        <v>111</v>
      </c>
      <c r="U1" t="s">
        <v>123</v>
      </c>
      <c r="V1" t="s">
        <v>175</v>
      </c>
      <c r="X1" t="s">
        <v>182</v>
      </c>
    </row>
    <row r="2" spans="1:24" x14ac:dyDescent="0.25">
      <c r="A2" s="6">
        <v>1096925</v>
      </c>
      <c r="B2" t="s">
        <v>2</v>
      </c>
      <c r="C2" t="s">
        <v>3</v>
      </c>
      <c r="I2" s="6"/>
      <c r="J2" s="1"/>
      <c r="T2" s="26"/>
    </row>
    <row r="3" spans="1:24" x14ac:dyDescent="0.25">
      <c r="A3" s="6">
        <v>466351</v>
      </c>
      <c r="B3" t="s">
        <v>4</v>
      </c>
      <c r="I3" s="6">
        <f>SUM('Burnout 2013 Corres+CW'!AR3:AR36)</f>
        <v>3951976</v>
      </c>
      <c r="J3" s="1" t="s">
        <v>174</v>
      </c>
      <c r="K3" t="s">
        <v>112</v>
      </c>
      <c r="L3" t="s">
        <v>113</v>
      </c>
      <c r="M3" t="s">
        <v>17</v>
      </c>
      <c r="N3" t="s">
        <v>17</v>
      </c>
      <c r="O3" t="s">
        <v>114</v>
      </c>
      <c r="P3" t="s">
        <v>19</v>
      </c>
      <c r="Q3" t="s">
        <v>177</v>
      </c>
      <c r="R3" t="s">
        <v>108</v>
      </c>
      <c r="S3" t="s">
        <v>110</v>
      </c>
      <c r="T3" s="26"/>
      <c r="U3" t="s">
        <v>124</v>
      </c>
      <c r="V3" s="39" t="s">
        <v>176</v>
      </c>
    </row>
    <row r="4" spans="1:24" x14ac:dyDescent="0.25">
      <c r="A4" s="6">
        <v>230769</v>
      </c>
      <c r="B4" t="s">
        <v>5</v>
      </c>
      <c r="I4" s="6">
        <f>SUM('Burnout 2013 Corres+CW'!AR123:AR134)</f>
        <v>104779</v>
      </c>
      <c r="J4" s="1" t="s">
        <v>174</v>
      </c>
      <c r="K4" t="s">
        <v>112</v>
      </c>
      <c r="L4" t="s">
        <v>113</v>
      </c>
      <c r="M4" t="s">
        <v>17</v>
      </c>
      <c r="N4" t="s">
        <v>17</v>
      </c>
      <c r="O4" t="s">
        <v>114</v>
      </c>
      <c r="P4" t="s">
        <v>19</v>
      </c>
      <c r="Q4" t="s">
        <v>177</v>
      </c>
      <c r="R4" t="s">
        <v>108</v>
      </c>
      <c r="S4" t="s">
        <v>110</v>
      </c>
      <c r="T4" s="26"/>
      <c r="U4" t="s">
        <v>124</v>
      </c>
      <c r="V4" s="39" t="s">
        <v>178</v>
      </c>
    </row>
    <row r="5" spans="1:24" x14ac:dyDescent="0.25">
      <c r="A5" s="6">
        <v>144409</v>
      </c>
      <c r="B5" t="s">
        <v>6</v>
      </c>
      <c r="I5" s="6">
        <f>SUM('Burnout 2013 Corres+CW'!AR184:AR189)</f>
        <v>2518</v>
      </c>
      <c r="J5" s="1" t="s">
        <v>174</v>
      </c>
      <c r="K5" t="s">
        <v>112</v>
      </c>
      <c r="L5" t="s">
        <v>113</v>
      </c>
      <c r="M5" t="s">
        <v>17</v>
      </c>
      <c r="N5" t="s">
        <v>17</v>
      </c>
      <c r="O5" t="s">
        <v>114</v>
      </c>
      <c r="P5" t="s">
        <v>19</v>
      </c>
      <c r="Q5" t="s">
        <v>177</v>
      </c>
      <c r="R5" t="s">
        <v>108</v>
      </c>
      <c r="S5" t="s">
        <v>110</v>
      </c>
      <c r="T5" s="26"/>
      <c r="U5" t="s">
        <v>124</v>
      </c>
      <c r="V5" s="39" t="s">
        <v>179</v>
      </c>
    </row>
    <row r="6" spans="1:24" x14ac:dyDescent="0.25">
      <c r="A6" s="6">
        <v>124596</v>
      </c>
      <c r="B6" t="s">
        <v>7</v>
      </c>
      <c r="I6" s="6">
        <f>SUM('Burnout 2013 Broker'!AR3:AR35)</f>
        <v>960295</v>
      </c>
      <c r="J6" s="1" t="s">
        <v>174</v>
      </c>
      <c r="K6" t="s">
        <v>112</v>
      </c>
      <c r="L6" t="s">
        <v>113</v>
      </c>
      <c r="M6" t="s">
        <v>17</v>
      </c>
      <c r="N6" t="s">
        <v>17</v>
      </c>
      <c r="O6" t="s">
        <v>114</v>
      </c>
      <c r="P6" t="s">
        <v>19</v>
      </c>
      <c r="Q6" t="s">
        <v>177</v>
      </c>
      <c r="R6" t="s">
        <v>108</v>
      </c>
      <c r="S6" t="s">
        <v>110</v>
      </c>
      <c r="T6" s="26"/>
      <c r="U6" t="s">
        <v>183</v>
      </c>
      <c r="V6" s="39" t="s">
        <v>176</v>
      </c>
    </row>
    <row r="7" spans="1:24" x14ac:dyDescent="0.25">
      <c r="A7" s="6">
        <v>57525</v>
      </c>
      <c r="B7" t="s">
        <v>8</v>
      </c>
      <c r="I7" s="6">
        <f>SUM('Burnout 2013 Broker'!AR123:AR133)</f>
        <v>29518</v>
      </c>
      <c r="J7" s="1" t="s">
        <v>174</v>
      </c>
      <c r="K7" t="s">
        <v>112</v>
      </c>
      <c r="L7" t="s">
        <v>113</v>
      </c>
      <c r="M7" t="s">
        <v>17</v>
      </c>
      <c r="N7" t="s">
        <v>17</v>
      </c>
      <c r="O7" t="s">
        <v>114</v>
      </c>
      <c r="P7" t="s">
        <v>19</v>
      </c>
      <c r="Q7" t="s">
        <v>177</v>
      </c>
      <c r="R7" t="s">
        <v>108</v>
      </c>
      <c r="S7" t="s">
        <v>110</v>
      </c>
      <c r="T7" s="26"/>
      <c r="U7" t="s">
        <v>183</v>
      </c>
      <c r="V7" s="39" t="s">
        <v>178</v>
      </c>
    </row>
    <row r="8" spans="1:24" x14ac:dyDescent="0.25">
      <c r="A8" s="6">
        <v>2</v>
      </c>
      <c r="B8" t="s">
        <v>9</v>
      </c>
      <c r="I8" s="6">
        <f>SUM('Burnout 2013 Broker'!AR184:AR189)</f>
        <v>686</v>
      </c>
      <c r="J8" s="1" t="s">
        <v>174</v>
      </c>
      <c r="K8" t="s">
        <v>112</v>
      </c>
      <c r="L8" t="s">
        <v>113</v>
      </c>
      <c r="M8" t="s">
        <v>17</v>
      </c>
      <c r="N8" t="s">
        <v>17</v>
      </c>
      <c r="O8" t="s">
        <v>114</v>
      </c>
      <c r="P8" t="s">
        <v>19</v>
      </c>
      <c r="Q8" t="s">
        <v>177</v>
      </c>
      <c r="R8" t="s">
        <v>108</v>
      </c>
      <c r="S8" t="s">
        <v>110</v>
      </c>
      <c r="T8" s="26"/>
      <c r="U8" t="s">
        <v>183</v>
      </c>
      <c r="V8" s="39" t="s">
        <v>179</v>
      </c>
    </row>
    <row r="9" spans="1:24" x14ac:dyDescent="0.25">
      <c r="A9" s="6"/>
      <c r="I9" s="6">
        <f>SUM('Burnout 2013 NonCW'!AR3:AR36)</f>
        <v>2402977</v>
      </c>
      <c r="J9" s="1" t="s">
        <v>174</v>
      </c>
      <c r="K9" t="s">
        <v>112</v>
      </c>
      <c r="L9" t="s">
        <v>113</v>
      </c>
      <c r="M9" t="s">
        <v>17</v>
      </c>
      <c r="N9" t="s">
        <v>17</v>
      </c>
      <c r="O9" t="s">
        <v>114</v>
      </c>
      <c r="P9" t="s">
        <v>19</v>
      </c>
      <c r="Q9" t="s">
        <v>177</v>
      </c>
      <c r="R9" t="s">
        <v>108</v>
      </c>
      <c r="S9" t="s">
        <v>110</v>
      </c>
      <c r="T9" s="26"/>
      <c r="U9" t="s">
        <v>122</v>
      </c>
      <c r="V9" s="39" t="s">
        <v>176</v>
      </c>
    </row>
    <row r="10" spans="1:24" x14ac:dyDescent="0.25">
      <c r="A10" s="6">
        <f>SUM(A2:A8)</f>
        <v>2120577</v>
      </c>
      <c r="B10" t="s">
        <v>10</v>
      </c>
      <c r="I10" s="6">
        <f>SUM('Burnout 2013 NonCW'!AR123:AR134)</f>
        <v>136528</v>
      </c>
      <c r="J10" s="1" t="s">
        <v>174</v>
      </c>
      <c r="K10" t="s">
        <v>112</v>
      </c>
      <c r="L10" t="s">
        <v>113</v>
      </c>
      <c r="M10" t="s">
        <v>17</v>
      </c>
      <c r="N10" t="s">
        <v>17</v>
      </c>
      <c r="O10" t="s">
        <v>114</v>
      </c>
      <c r="P10" t="s">
        <v>19</v>
      </c>
      <c r="Q10" t="s">
        <v>177</v>
      </c>
      <c r="R10" t="s">
        <v>108</v>
      </c>
      <c r="S10" t="s">
        <v>110</v>
      </c>
      <c r="T10" s="26"/>
      <c r="U10" t="s">
        <v>122</v>
      </c>
      <c r="V10" s="39" t="s">
        <v>178</v>
      </c>
      <c r="X10">
        <v>1.1499999999999999</v>
      </c>
    </row>
    <row r="11" spans="1:24" x14ac:dyDescent="0.25">
      <c r="I11" s="6">
        <f>SUM('Burnout 2013 NonCW'!AR195:AR201)</f>
        <v>3921</v>
      </c>
      <c r="J11" s="1" t="s">
        <v>174</v>
      </c>
      <c r="K11" t="s">
        <v>112</v>
      </c>
      <c r="L11" t="s">
        <v>113</v>
      </c>
      <c r="M11" t="s">
        <v>17</v>
      </c>
      <c r="N11" t="s">
        <v>17</v>
      </c>
      <c r="O11" t="s">
        <v>114</v>
      </c>
      <c r="P11" t="s">
        <v>19</v>
      </c>
      <c r="Q11" t="s">
        <v>177</v>
      </c>
      <c r="R11" t="s">
        <v>108</v>
      </c>
      <c r="S11" t="s">
        <v>110</v>
      </c>
      <c r="T11" s="26"/>
      <c r="U11" t="s">
        <v>122</v>
      </c>
      <c r="V11" s="39" t="s">
        <v>179</v>
      </c>
    </row>
  </sheetData>
  <conditionalFormatting sqref="I3:I11">
    <cfRule type="dataBar" priority="1">
      <dataBar>
        <cfvo type="min"/>
        <cfvo type="max"/>
        <color rgb="FF638EC6"/>
      </dataBar>
      <extLst>
        <ext xmlns:x14="http://schemas.microsoft.com/office/spreadsheetml/2009/9/main" uri="{B025F937-C7B1-47D3-B67F-A62EFF666E3E}">
          <x14:id>{BEBA9DA6-8622-40F3-8428-F1C9E2F617DE}</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EBA9DA6-8622-40F3-8428-F1C9E2F617DE}">
            <x14:dataBar minLength="0" maxLength="100" border="1" negativeBarBorderColorSameAsPositive="0">
              <x14:cfvo type="autoMin"/>
              <x14:cfvo type="autoMax"/>
              <x14:borderColor rgb="FF638EC6"/>
              <x14:negativeFillColor rgb="FFFF0000"/>
              <x14:negativeBorderColor rgb="FFFF0000"/>
              <x14:axisColor rgb="FF000000"/>
            </x14:dataBar>
          </x14:cfRule>
          <xm:sqref>I3:I11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6"/>
  <sheetViews>
    <sheetView topLeftCell="A226" zoomScale="80" zoomScaleNormal="80" workbookViewId="0">
      <pane xSplit="28200" topLeftCell="AY1"/>
      <selection activeCell="L271" sqref="L271:M272"/>
      <selection pane="topRight" activeCell="AM109" sqref="AM109"/>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27" t="s">
        <v>115</v>
      </c>
      <c r="C1" t="s">
        <v>125</v>
      </c>
      <c r="F1" t="s">
        <v>166</v>
      </c>
      <c r="AS1" s="17" t="s">
        <v>88</v>
      </c>
      <c r="AT1" s="17" t="s">
        <v>89</v>
      </c>
      <c r="AU1" s="17"/>
      <c r="AV1" s="17"/>
      <c r="AW1" s="17" t="s">
        <v>90</v>
      </c>
      <c r="AX1" s="17"/>
    </row>
    <row r="2" spans="1:50"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row>
    <row r="3" spans="1:50" x14ac:dyDescent="0.25">
      <c r="A3">
        <v>97</v>
      </c>
      <c r="B3" s="4">
        <v>0.98839691295162402</v>
      </c>
      <c r="C3" s="4">
        <v>96.635072994504696</v>
      </c>
      <c r="D3" s="4">
        <v>13.068622054212801</v>
      </c>
      <c r="E3" s="4">
        <v>0.246214167387873</v>
      </c>
      <c r="F3" s="5">
        <v>1.16030870483756E-2</v>
      </c>
      <c r="G3" s="5">
        <v>0</v>
      </c>
      <c r="H3" s="4">
        <v>3.4287964166450302</v>
      </c>
      <c r="I3" s="4">
        <v>3.91704975017845</v>
      </c>
      <c r="J3" s="4">
        <v>-60.571903422629902</v>
      </c>
      <c r="K3" s="4">
        <v>-108.578018402354</v>
      </c>
      <c r="L3" s="4">
        <v>100</v>
      </c>
      <c r="M3" s="4">
        <v>13.3720061524357</v>
      </c>
      <c r="N3" s="4">
        <v>76.773095921128601</v>
      </c>
      <c r="O3" s="4">
        <v>12.785691774995</v>
      </c>
      <c r="P3" s="4">
        <v>34194.875474468201</v>
      </c>
      <c r="Q3" s="4">
        <v>31481.2983333333</v>
      </c>
      <c r="R3" s="4">
        <v>792.65592773360299</v>
      </c>
      <c r="S3" s="4">
        <v>0</v>
      </c>
      <c r="T3" s="4">
        <v>0</v>
      </c>
      <c r="U3" s="4">
        <v>6.0023572725373002E-2</v>
      </c>
      <c r="V3" s="4">
        <v>0.43037133316028497</v>
      </c>
      <c r="W3" s="4">
        <v>0</v>
      </c>
      <c r="X3" s="4">
        <v>6.0023572725373002E-2</v>
      </c>
      <c r="Y3" s="4">
        <v>0</v>
      </c>
      <c r="Z3" s="5">
        <v>5.5161512962823003E-3</v>
      </c>
      <c r="AA3" s="5">
        <v>1.2412018925098301E-5</v>
      </c>
      <c r="AB3" s="10">
        <v>6.0745137331682398E-3</v>
      </c>
      <c r="AC3" s="10">
        <v>0</v>
      </c>
      <c r="AD3" s="10">
        <v>0</v>
      </c>
      <c r="AE3" s="4">
        <v>5.9792222330949697E-2</v>
      </c>
      <c r="AF3" s="4">
        <v>0.396959379957804</v>
      </c>
      <c r="AG3" s="4">
        <v>1</v>
      </c>
      <c r="AH3" s="4">
        <v>1</v>
      </c>
      <c r="AI3" s="4">
        <v>1</v>
      </c>
      <c r="AJ3" s="4">
        <v>1</v>
      </c>
      <c r="AK3" s="4">
        <v>1</v>
      </c>
      <c r="AL3" s="4">
        <v>1</v>
      </c>
      <c r="AM3" s="4">
        <v>0</v>
      </c>
      <c r="AN3" s="4">
        <v>0</v>
      </c>
      <c r="AO3" s="4" t="s">
        <v>63</v>
      </c>
      <c r="AP3" s="4">
        <f>-125--100</f>
        <v>-25</v>
      </c>
      <c r="AQ3" s="6">
        <v>188887.79</v>
      </c>
      <c r="AR3" s="4">
        <v>6</v>
      </c>
      <c r="AS3" s="15">
        <v>0</v>
      </c>
      <c r="AT3" s="15">
        <v>56.962866683971399</v>
      </c>
      <c r="AU3" s="15">
        <v>56.962866683971399</v>
      </c>
      <c r="AV3" s="15">
        <v>43.037133316028502</v>
      </c>
      <c r="AW3" s="15">
        <v>43.037133316028502</v>
      </c>
      <c r="AX3" s="15">
        <v>0</v>
      </c>
    </row>
    <row r="4" spans="1:50" x14ac:dyDescent="0.25">
      <c r="A4">
        <v>97</v>
      </c>
      <c r="B4" s="4">
        <v>0.98844184458268503</v>
      </c>
      <c r="C4" s="4">
        <v>49.843412446041498</v>
      </c>
      <c r="D4" s="4">
        <v>13.0211883325379</v>
      </c>
      <c r="E4" s="4">
        <v>5.5879708576945603E-2</v>
      </c>
      <c r="F4" s="5">
        <v>1.15581554173143E-2</v>
      </c>
      <c r="G4" s="5">
        <v>0</v>
      </c>
      <c r="H4" s="4">
        <v>3.4420777735950598</v>
      </c>
      <c r="I4" s="4">
        <v>3.9164769328445201</v>
      </c>
      <c r="J4" s="4">
        <v>-59.517625870796103</v>
      </c>
      <c r="K4" s="4">
        <v>-81.597641416613001</v>
      </c>
      <c r="L4" s="4">
        <v>68.465588986040203</v>
      </c>
      <c r="M4" s="4">
        <v>14.548948065077701</v>
      </c>
      <c r="N4" s="4">
        <v>71.385985516596406</v>
      </c>
      <c r="O4" s="4">
        <v>24.9343409415644</v>
      </c>
      <c r="P4" s="4">
        <v>117969.24064847099</v>
      </c>
      <c r="Q4" s="4">
        <v>40852.783265306098</v>
      </c>
      <c r="R4" s="4">
        <v>786.04463125580799</v>
      </c>
      <c r="S4" s="4">
        <v>0</v>
      </c>
      <c r="T4" s="4">
        <v>0</v>
      </c>
      <c r="U4" s="4">
        <v>2.7485083931216799E-2</v>
      </c>
      <c r="V4" s="4">
        <v>0.68664471913664704</v>
      </c>
      <c r="W4" s="4">
        <v>0</v>
      </c>
      <c r="X4" s="4">
        <v>5.8346254042684897E-2</v>
      </c>
      <c r="Y4" s="4">
        <v>0</v>
      </c>
      <c r="Z4" s="5">
        <v>4.3983282513129001E-3</v>
      </c>
      <c r="AA4" s="5">
        <v>3.4939807129436697E-5</v>
      </c>
      <c r="AB4" s="10">
        <v>7.0998510279103796E-3</v>
      </c>
      <c r="AC4" s="10">
        <v>3.0794399622034899E-6</v>
      </c>
      <c r="AD4" s="10">
        <v>2.1947121089164302E-5</v>
      </c>
      <c r="AE4" s="4">
        <v>9.21135829391653E-2</v>
      </c>
      <c r="AF4" s="4">
        <v>0.20636363473176</v>
      </c>
      <c r="AG4" s="4">
        <v>0.92741588140888398</v>
      </c>
      <c r="AH4" s="4">
        <v>1</v>
      </c>
      <c r="AI4" s="4">
        <v>1</v>
      </c>
      <c r="AJ4" s="4">
        <v>1</v>
      </c>
      <c r="AK4" s="4">
        <v>1</v>
      </c>
      <c r="AL4" s="4">
        <v>1</v>
      </c>
      <c r="AM4" s="4">
        <v>0</v>
      </c>
      <c r="AN4" s="4">
        <v>0</v>
      </c>
      <c r="AO4" s="4" t="s">
        <v>64</v>
      </c>
      <c r="AP4" s="4">
        <f>-100--75</f>
        <v>-25</v>
      </c>
      <c r="AQ4" s="6">
        <v>6005359.1399999997</v>
      </c>
      <c r="AR4" s="4">
        <v>147</v>
      </c>
      <c r="AS4" s="15">
        <v>0</v>
      </c>
      <c r="AT4" s="15">
        <v>31.335528086335199</v>
      </c>
      <c r="AU4" s="15">
        <v>31.335528086335199</v>
      </c>
      <c r="AV4" s="15">
        <v>68.664471913664698</v>
      </c>
      <c r="AW4" s="15">
        <v>68.664471913664698</v>
      </c>
      <c r="AX4" s="15">
        <v>0</v>
      </c>
    </row>
    <row r="5" spans="1:50" x14ac:dyDescent="0.25">
      <c r="A5">
        <v>97</v>
      </c>
      <c r="B5" s="4">
        <v>0.99124721252352599</v>
      </c>
      <c r="C5" s="4">
        <v>38.817419629464197</v>
      </c>
      <c r="D5" s="4">
        <v>10.012176335801501</v>
      </c>
      <c r="E5" s="4">
        <v>4.0115492029250598E-2</v>
      </c>
      <c r="F5" s="5">
        <v>8.7527874764737994E-3</v>
      </c>
      <c r="G5" s="5">
        <v>0</v>
      </c>
      <c r="H5" s="4">
        <v>3.4962707191612101</v>
      </c>
      <c r="I5" s="4">
        <v>3.8952663717381002</v>
      </c>
      <c r="J5" s="4">
        <v>-53.707825071717302</v>
      </c>
      <c r="K5" s="4">
        <v>-57.582086422781103</v>
      </c>
      <c r="L5" s="4">
        <v>45.4142541041237</v>
      </c>
      <c r="M5" s="4">
        <v>15.142775015815699</v>
      </c>
      <c r="N5" s="4">
        <v>73.296275862445697</v>
      </c>
      <c r="O5" s="4">
        <v>43.303250407380702</v>
      </c>
      <c r="P5" s="4">
        <v>173908.23575928801</v>
      </c>
      <c r="Q5" s="4">
        <v>63191.424262773697</v>
      </c>
      <c r="R5" s="4">
        <v>782.07674140783899</v>
      </c>
      <c r="S5" s="4">
        <v>0</v>
      </c>
      <c r="T5" s="4">
        <v>0</v>
      </c>
      <c r="U5" s="4">
        <v>5.4816653512266902E-2</v>
      </c>
      <c r="V5" s="4">
        <v>0.72447447238175799</v>
      </c>
      <c r="W5" s="4">
        <v>0</v>
      </c>
      <c r="X5" s="4">
        <v>0.21958318038074301</v>
      </c>
      <c r="Y5" s="4">
        <v>0</v>
      </c>
      <c r="Z5" s="5">
        <v>2.37775269006528E-3</v>
      </c>
      <c r="AA5" s="5">
        <v>3.8438749550962903E-5</v>
      </c>
      <c r="AB5" s="10">
        <v>6.1975187592755304E-3</v>
      </c>
      <c r="AC5" s="10">
        <v>2.5173010347235501E-6</v>
      </c>
      <c r="AD5" s="10">
        <v>1.3654950501987799E-4</v>
      </c>
      <c r="AE5" s="4">
        <v>8.7867306003377596E-2</v>
      </c>
      <c r="AF5" s="4">
        <v>0.19207693806993101</v>
      </c>
      <c r="AG5" s="4">
        <v>0.95406742249342402</v>
      </c>
      <c r="AH5" s="4">
        <v>0.99472364373737099</v>
      </c>
      <c r="AI5" s="4">
        <v>1</v>
      </c>
      <c r="AJ5" s="4">
        <v>1</v>
      </c>
      <c r="AK5" s="4">
        <v>1</v>
      </c>
      <c r="AL5" s="4">
        <v>1</v>
      </c>
      <c r="AM5" s="4">
        <v>0</v>
      </c>
      <c r="AN5" s="4">
        <v>0</v>
      </c>
      <c r="AO5" s="4" t="s">
        <v>65</v>
      </c>
      <c r="AP5" s="4">
        <f>-75--50</f>
        <v>-25</v>
      </c>
      <c r="AQ5" s="6">
        <v>43286125.619999997</v>
      </c>
      <c r="AR5" s="4">
        <v>685</v>
      </c>
      <c r="AS5" s="15">
        <v>0</v>
      </c>
      <c r="AT5" s="15">
        <v>27.552552761824099</v>
      </c>
      <c r="AU5" s="15">
        <v>27.552552761824099</v>
      </c>
      <c r="AV5" s="15">
        <v>72.447447238175798</v>
      </c>
      <c r="AW5" s="15">
        <v>72.447447238175798</v>
      </c>
      <c r="AX5" s="15">
        <v>0</v>
      </c>
    </row>
    <row r="6" spans="1:50" x14ac:dyDescent="0.25">
      <c r="A6">
        <v>97</v>
      </c>
      <c r="B6" s="4">
        <v>0.99390274422373104</v>
      </c>
      <c r="C6" s="4">
        <v>9.3616256297720604</v>
      </c>
      <c r="D6" s="4">
        <v>7.0762609413456303</v>
      </c>
      <c r="E6" s="4">
        <v>8.1575868587733403E-3</v>
      </c>
      <c r="F6" s="5">
        <v>6.0972557762685202E-3</v>
      </c>
      <c r="G6" s="5">
        <v>0</v>
      </c>
      <c r="H6" s="4">
        <v>3.4645783128407999</v>
      </c>
      <c r="I6" s="4">
        <v>3.9281772325332298</v>
      </c>
      <c r="J6" s="4">
        <v>-54.768892318669401</v>
      </c>
      <c r="K6" s="4">
        <v>-31.153905229681801</v>
      </c>
      <c r="L6" s="4">
        <v>18.9854380076249</v>
      </c>
      <c r="M6" s="4">
        <v>14.446285067014999</v>
      </c>
      <c r="N6" s="4">
        <v>73.016693343652506</v>
      </c>
      <c r="O6" s="4">
        <v>63.087717188671697</v>
      </c>
      <c r="P6" s="4">
        <v>251793.26011386499</v>
      </c>
      <c r="Q6" s="4">
        <v>201489.600417654</v>
      </c>
      <c r="R6" s="4">
        <v>781.12104959006103</v>
      </c>
      <c r="S6" s="4">
        <v>0</v>
      </c>
      <c r="T6" s="4">
        <v>0</v>
      </c>
      <c r="U6" s="4">
        <v>5.3843460155916199E-2</v>
      </c>
      <c r="V6" s="4">
        <v>0.61549502924427302</v>
      </c>
      <c r="W6" s="4">
        <v>0</v>
      </c>
      <c r="X6" s="4">
        <v>0.51591271497440805</v>
      </c>
      <c r="Y6" s="4">
        <v>0</v>
      </c>
      <c r="Z6" s="5">
        <v>5.3383380906762902E-4</v>
      </c>
      <c r="AA6" s="5">
        <v>3.2372878298387803E-5</v>
      </c>
      <c r="AB6" s="10">
        <v>5.0501465403966E-3</v>
      </c>
      <c r="AC6" s="10">
        <v>9.7848669986580294E-7</v>
      </c>
      <c r="AD6" s="10">
        <v>4.79909514994625E-4</v>
      </c>
      <c r="AE6" s="4">
        <v>8.0951619879287104E-2</v>
      </c>
      <c r="AF6" s="4">
        <v>0.19860855213662701</v>
      </c>
      <c r="AG6" s="4">
        <v>0.95610793181590803</v>
      </c>
      <c r="AH6" s="4">
        <v>0.99846456830369301</v>
      </c>
      <c r="AI6" s="4">
        <v>1</v>
      </c>
      <c r="AJ6" s="4">
        <v>1</v>
      </c>
      <c r="AK6" s="4">
        <v>1</v>
      </c>
      <c r="AL6" s="4">
        <v>1</v>
      </c>
      <c r="AM6" s="4">
        <v>0</v>
      </c>
      <c r="AN6" s="4">
        <v>0</v>
      </c>
      <c r="AO6" s="4" t="s">
        <v>66</v>
      </c>
      <c r="AP6" s="4">
        <f>-50--25</f>
        <v>-25</v>
      </c>
      <c r="AQ6" s="6">
        <v>1360457782.02</v>
      </c>
      <c r="AR6" s="4">
        <v>6752</v>
      </c>
      <c r="AS6" s="15">
        <v>0</v>
      </c>
      <c r="AT6" s="15">
        <v>38.450497075572599</v>
      </c>
      <c r="AU6" s="15">
        <v>38.450497075572599</v>
      </c>
      <c r="AV6" s="15">
        <v>61.549502924427301</v>
      </c>
      <c r="AW6" s="15">
        <v>61.549502924427301</v>
      </c>
      <c r="AX6" s="15">
        <v>0</v>
      </c>
    </row>
    <row r="7" spans="1:50" x14ac:dyDescent="0.25">
      <c r="A7">
        <v>97</v>
      </c>
      <c r="B7" s="4">
        <v>0.99378325204644202</v>
      </c>
      <c r="C7" s="4">
        <v>7.4169520185996403</v>
      </c>
      <c r="D7" s="4">
        <v>7.2102336553348101</v>
      </c>
      <c r="E7" s="4">
        <v>6.40143364910652E-3</v>
      </c>
      <c r="F7" s="5">
        <v>6.21674795355792E-3</v>
      </c>
      <c r="G7" s="5">
        <v>0</v>
      </c>
      <c r="H7" s="4">
        <v>3.5241189786675098</v>
      </c>
      <c r="I7" s="4">
        <v>3.9299140834033301</v>
      </c>
      <c r="J7" s="4">
        <v>-48.414066096287002</v>
      </c>
      <c r="K7" s="4">
        <v>-22.221984905528</v>
      </c>
      <c r="L7" s="4">
        <v>16.498898875196101</v>
      </c>
      <c r="M7" s="4">
        <v>14.363460023279</v>
      </c>
      <c r="N7" s="4">
        <v>73.186500140265295</v>
      </c>
      <c r="O7" s="4">
        <v>65.100598315088007</v>
      </c>
      <c r="P7" s="4">
        <v>268436.493084563</v>
      </c>
      <c r="Q7" s="4">
        <v>239394.873623299</v>
      </c>
      <c r="R7" s="4">
        <v>780.93529317341995</v>
      </c>
      <c r="S7" s="4">
        <v>0</v>
      </c>
      <c r="T7" s="4">
        <v>0</v>
      </c>
      <c r="U7" s="4">
        <v>6.8865837090412996E-2</v>
      </c>
      <c r="V7" s="4">
        <v>0.61045470146802305</v>
      </c>
      <c r="W7" s="4">
        <v>0</v>
      </c>
      <c r="X7" s="4">
        <v>0.56189339707719199</v>
      </c>
      <c r="Y7" s="4">
        <v>0</v>
      </c>
      <c r="Z7" s="5">
        <v>4.0143177276656699E-4</v>
      </c>
      <c r="AA7" s="5">
        <v>3.2732742537330699E-5</v>
      </c>
      <c r="AB7" s="10">
        <v>4.9308651556381096E-3</v>
      </c>
      <c r="AC7" s="10">
        <v>7.3330337917188099E-7</v>
      </c>
      <c r="AD7" s="10">
        <v>8.5097056142083695E-4</v>
      </c>
      <c r="AE7" s="4">
        <v>8.0623269547647897E-2</v>
      </c>
      <c r="AF7" s="4">
        <v>0.166818829176376</v>
      </c>
      <c r="AG7" s="4">
        <v>0.96699981521991096</v>
      </c>
      <c r="AH7" s="4">
        <v>0.99933096588499903</v>
      </c>
      <c r="AI7" s="4">
        <v>1</v>
      </c>
      <c r="AJ7" s="4">
        <v>1</v>
      </c>
      <c r="AK7" s="4">
        <v>1</v>
      </c>
      <c r="AL7" s="4">
        <v>1</v>
      </c>
      <c r="AM7" s="4">
        <v>0</v>
      </c>
      <c r="AN7" s="4">
        <v>0</v>
      </c>
      <c r="AO7" s="4" t="s">
        <v>137</v>
      </c>
      <c r="AP7" s="4">
        <f>-25--20</f>
        <v>-5</v>
      </c>
      <c r="AQ7" s="6">
        <v>1565881868.3699999</v>
      </c>
      <c r="AR7" s="4">
        <v>6541</v>
      </c>
      <c r="AS7" s="15">
        <v>0</v>
      </c>
      <c r="AT7" s="15">
        <v>38.954529853197599</v>
      </c>
      <c r="AU7" s="15">
        <v>38.954529853197599</v>
      </c>
      <c r="AV7" s="15">
        <v>61.045470146802302</v>
      </c>
      <c r="AW7" s="15">
        <v>61.045470146802302</v>
      </c>
      <c r="AX7" s="15">
        <v>0</v>
      </c>
    </row>
    <row r="8" spans="1:50" x14ac:dyDescent="0.25">
      <c r="A8">
        <v>97</v>
      </c>
      <c r="B8" s="4">
        <v>0.99345355375078004</v>
      </c>
      <c r="C8" s="4">
        <v>4.8879394238986897</v>
      </c>
      <c r="D8" s="4">
        <v>7.5789683977161397</v>
      </c>
      <c r="E8" s="4">
        <v>4.1674921801230901E-3</v>
      </c>
      <c r="F8" s="5">
        <v>6.5464462492194897E-3</v>
      </c>
      <c r="G8" s="5">
        <v>0</v>
      </c>
      <c r="H8" s="4">
        <v>3.55578831828034</v>
      </c>
      <c r="I8" s="4">
        <v>3.9208747434133402</v>
      </c>
      <c r="J8" s="4">
        <v>-45.581680974170197</v>
      </c>
      <c r="K8" s="4">
        <v>-17.210662166123701</v>
      </c>
      <c r="L8" s="4">
        <v>15.9615822829376</v>
      </c>
      <c r="M8" s="4">
        <v>14.4834893493198</v>
      </c>
      <c r="N8" s="4">
        <v>71.604870364836302</v>
      </c>
      <c r="O8" s="4">
        <v>63.812829794852199</v>
      </c>
      <c r="P8" s="4">
        <v>272723.21225718397</v>
      </c>
      <c r="Q8" s="4">
        <v>249028.123531241</v>
      </c>
      <c r="R8" s="4">
        <v>781.78180833694103</v>
      </c>
      <c r="S8" s="4">
        <v>0</v>
      </c>
      <c r="T8" s="4">
        <v>0</v>
      </c>
      <c r="U8" s="4">
        <v>7.8276982963012096E-2</v>
      </c>
      <c r="V8" s="4">
        <v>0.60553233955875296</v>
      </c>
      <c r="W8" s="4">
        <v>0</v>
      </c>
      <c r="X8" s="4">
        <v>0.54899390787379698</v>
      </c>
      <c r="Y8" s="4">
        <v>0</v>
      </c>
      <c r="Z8" s="5">
        <v>3.8737512573907602E-4</v>
      </c>
      <c r="AA8" s="5">
        <v>3.3488464569822501E-5</v>
      </c>
      <c r="AB8" s="10">
        <v>5.0609118427279304E-3</v>
      </c>
      <c r="AC8" s="10">
        <v>9.2107341840493997E-7</v>
      </c>
      <c r="AD8" s="10">
        <v>1.0637354514825999E-3</v>
      </c>
      <c r="AE8" s="4">
        <v>8.2238648625693495E-2</v>
      </c>
      <c r="AF8" s="4">
        <v>0.16530941385805201</v>
      </c>
      <c r="AG8" s="4">
        <v>0.96394511473476197</v>
      </c>
      <c r="AH8" s="4">
        <v>0.99885027070053101</v>
      </c>
      <c r="AI8" s="4">
        <v>1</v>
      </c>
      <c r="AJ8" s="4">
        <v>1</v>
      </c>
      <c r="AK8" s="4">
        <v>1</v>
      </c>
      <c r="AL8" s="4">
        <v>1</v>
      </c>
      <c r="AM8" s="4">
        <v>0</v>
      </c>
      <c r="AN8" s="4">
        <v>0</v>
      </c>
      <c r="AO8" s="4" t="s">
        <v>138</v>
      </c>
      <c r="AP8" s="4">
        <f>-20--15</f>
        <v>-5</v>
      </c>
      <c r="AQ8" s="6">
        <v>2722126418.3200002</v>
      </c>
      <c r="AR8" s="4">
        <v>10931</v>
      </c>
      <c r="AS8" s="15">
        <v>0</v>
      </c>
      <c r="AT8" s="15">
        <v>39.446766044124601</v>
      </c>
      <c r="AU8" s="15">
        <v>39.446766044124601</v>
      </c>
      <c r="AV8" s="15">
        <v>60.553233955875299</v>
      </c>
      <c r="AW8" s="15">
        <v>60.553233955875299</v>
      </c>
      <c r="AX8" s="15">
        <v>0</v>
      </c>
    </row>
    <row r="9" spans="1:50" x14ac:dyDescent="0.25">
      <c r="A9">
        <v>97</v>
      </c>
      <c r="B9" s="4">
        <v>0.99328989137337198</v>
      </c>
      <c r="C9" s="4">
        <v>8.2597330356965806</v>
      </c>
      <c r="D9" s="4">
        <v>7.7615091686501296</v>
      </c>
      <c r="E9" s="4">
        <v>7.1583218538122297E-3</v>
      </c>
      <c r="F9" s="5">
        <v>6.7101086266274099E-3</v>
      </c>
      <c r="G9" s="5">
        <v>0</v>
      </c>
      <c r="H9" s="4">
        <v>3.5954185022115501</v>
      </c>
      <c r="I9" s="4">
        <v>3.9147199363700498</v>
      </c>
      <c r="J9" s="4">
        <v>-41.886542976424003</v>
      </c>
      <c r="K9" s="4">
        <v>-12.281777926707001</v>
      </c>
      <c r="L9" s="4">
        <v>15.428090705280599</v>
      </c>
      <c r="M9" s="4">
        <v>14.5508417179772</v>
      </c>
      <c r="N9" s="4">
        <v>72.176440032546594</v>
      </c>
      <c r="O9" s="4">
        <v>64.441152578267804</v>
      </c>
      <c r="P9" s="4">
        <v>279936.80242920801</v>
      </c>
      <c r="Q9" s="4">
        <v>258280.896372908</v>
      </c>
      <c r="R9" s="4">
        <v>781.46675990429799</v>
      </c>
      <c r="S9" s="4">
        <v>0</v>
      </c>
      <c r="T9" s="4">
        <v>0</v>
      </c>
      <c r="U9" s="4">
        <v>8.7735292163956494E-2</v>
      </c>
      <c r="V9" s="4">
        <v>0.60964009151038201</v>
      </c>
      <c r="W9" s="4">
        <v>0</v>
      </c>
      <c r="X9" s="4">
        <v>0.54254679102473802</v>
      </c>
      <c r="Y9" s="4">
        <v>0</v>
      </c>
      <c r="Z9" s="5">
        <v>3.7560676927914398E-4</v>
      </c>
      <c r="AA9" s="5">
        <v>3.3985792382957697E-5</v>
      </c>
      <c r="AB9" s="10">
        <v>5.0442271707637999E-3</v>
      </c>
      <c r="AC9" s="10">
        <v>1.08446901149523E-6</v>
      </c>
      <c r="AD9" s="10">
        <v>1.2551901741168999E-3</v>
      </c>
      <c r="AE9" s="4">
        <v>8.3439746706334694E-2</v>
      </c>
      <c r="AF9" s="4">
        <v>0.148596806610586</v>
      </c>
      <c r="AG9" s="4">
        <v>0.96165329273047295</v>
      </c>
      <c r="AH9" s="4">
        <v>0.99909454892149696</v>
      </c>
      <c r="AI9" s="4">
        <v>1</v>
      </c>
      <c r="AJ9" s="4">
        <v>1</v>
      </c>
      <c r="AK9" s="4">
        <v>1</v>
      </c>
      <c r="AL9" s="4">
        <v>1</v>
      </c>
      <c r="AM9" s="4">
        <v>0</v>
      </c>
      <c r="AN9" s="4">
        <v>0</v>
      </c>
      <c r="AO9" s="4" t="s">
        <v>139</v>
      </c>
      <c r="AP9" s="4">
        <f>-15--10</f>
        <v>-5</v>
      </c>
      <c r="AQ9" s="6">
        <v>4583711067.9300003</v>
      </c>
      <c r="AR9" s="4">
        <v>17747</v>
      </c>
      <c r="AS9" s="15">
        <v>0</v>
      </c>
      <c r="AT9" s="15">
        <v>39.035990848961703</v>
      </c>
      <c r="AU9" s="15">
        <v>39.035990848961703</v>
      </c>
      <c r="AV9" s="15">
        <v>60.964009151038198</v>
      </c>
      <c r="AW9" s="15">
        <v>60.964009151038198</v>
      </c>
      <c r="AX9" s="15">
        <v>0</v>
      </c>
    </row>
    <row r="10" spans="1:50" x14ac:dyDescent="0.25">
      <c r="A10">
        <v>97</v>
      </c>
      <c r="B10" s="4">
        <v>0.99296878800914701</v>
      </c>
      <c r="C10" s="4">
        <v>7.9191915722246096</v>
      </c>
      <c r="D10" s="4">
        <v>8.1186917282546904</v>
      </c>
      <c r="E10" s="4">
        <v>6.8517226727116904E-3</v>
      </c>
      <c r="F10" s="5">
        <v>7.03121199085208E-3</v>
      </c>
      <c r="G10" s="5">
        <v>0</v>
      </c>
      <c r="H10" s="4">
        <v>3.6231364137351401</v>
      </c>
      <c r="I10" s="4">
        <v>3.8984103854215499</v>
      </c>
      <c r="J10" s="4">
        <v>-39.585383301116401</v>
      </c>
      <c r="K10" s="4">
        <v>-7.4062627631793401</v>
      </c>
      <c r="L10" s="4">
        <v>15.2963411402886</v>
      </c>
      <c r="M10" s="4">
        <v>14.9118761066684</v>
      </c>
      <c r="N10" s="4">
        <v>71.1097769119269</v>
      </c>
      <c r="O10" s="4">
        <v>63.291882778441</v>
      </c>
      <c r="P10" s="4">
        <v>281675.23525969998</v>
      </c>
      <c r="Q10" s="4">
        <v>260533.881113991</v>
      </c>
      <c r="R10" s="4">
        <v>781.48996365660105</v>
      </c>
      <c r="S10" s="4">
        <v>0</v>
      </c>
      <c r="T10" s="4">
        <v>0</v>
      </c>
      <c r="U10" s="4">
        <v>9.1236558026107598E-2</v>
      </c>
      <c r="V10" s="4">
        <v>0.60130513904551797</v>
      </c>
      <c r="W10" s="4">
        <v>0</v>
      </c>
      <c r="X10" s="4">
        <v>0.55636661918217301</v>
      </c>
      <c r="Y10" s="4">
        <v>0</v>
      </c>
      <c r="Z10" s="5">
        <v>3.7442917624000199E-4</v>
      </c>
      <c r="AA10" s="5">
        <v>3.4860008195260898E-5</v>
      </c>
      <c r="AB10" s="10">
        <v>5.1831358788390399E-3</v>
      </c>
      <c r="AC10" s="10">
        <v>1.50322990840331E-6</v>
      </c>
      <c r="AD10" s="10">
        <v>1.4372692143405899E-3</v>
      </c>
      <c r="AE10" s="4">
        <v>8.6115168655646404E-2</v>
      </c>
      <c r="AF10" s="4">
        <v>0.14110782297354901</v>
      </c>
      <c r="AG10" s="4">
        <v>0.95021425026857897</v>
      </c>
      <c r="AH10" s="4">
        <v>0.99893122593038397</v>
      </c>
      <c r="AI10" s="4">
        <v>1</v>
      </c>
      <c r="AJ10" s="4">
        <v>1</v>
      </c>
      <c r="AK10" s="4">
        <v>1</v>
      </c>
      <c r="AL10" s="4">
        <v>1</v>
      </c>
      <c r="AM10" s="4">
        <v>0</v>
      </c>
      <c r="AN10" s="4">
        <v>0</v>
      </c>
      <c r="AO10" s="4" t="s">
        <v>140</v>
      </c>
      <c r="AP10" s="4">
        <f>-10--5</f>
        <v>-5</v>
      </c>
      <c r="AQ10" s="6">
        <v>6632671545.3999996</v>
      </c>
      <c r="AR10" s="4">
        <v>25458</v>
      </c>
      <c r="AS10" s="15">
        <v>0</v>
      </c>
      <c r="AT10" s="15">
        <v>39.869486095448103</v>
      </c>
      <c r="AU10" s="15">
        <v>39.869486095448103</v>
      </c>
      <c r="AV10" s="15">
        <v>60.130513904551798</v>
      </c>
      <c r="AW10" s="15">
        <v>60.130513904551798</v>
      </c>
      <c r="AX10" s="15">
        <v>0</v>
      </c>
    </row>
    <row r="11" spans="1:50" x14ac:dyDescent="0.25">
      <c r="A11">
        <v>97</v>
      </c>
      <c r="B11" s="4">
        <v>0.99281459386834903</v>
      </c>
      <c r="C11" s="4">
        <v>8.6514849093234094</v>
      </c>
      <c r="D11" s="4">
        <v>8.2897601326667392</v>
      </c>
      <c r="E11" s="4">
        <v>7.5123202736240898E-3</v>
      </c>
      <c r="F11" s="5">
        <v>7.18540613165017E-3</v>
      </c>
      <c r="G11" s="5">
        <v>0</v>
      </c>
      <c r="H11" s="4">
        <v>3.65517218297403</v>
      </c>
      <c r="I11" s="4">
        <v>3.8826853845174898</v>
      </c>
      <c r="J11" s="4">
        <v>-36.811227690370899</v>
      </c>
      <c r="K11" s="4">
        <v>-2.3916673630081098</v>
      </c>
      <c r="L11" s="4">
        <v>15.0508309607172</v>
      </c>
      <c r="M11" s="4">
        <v>15.2103017537755</v>
      </c>
      <c r="N11" s="4">
        <v>71.233242743099098</v>
      </c>
      <c r="O11" s="4">
        <v>63.416484751897499</v>
      </c>
      <c r="P11" s="4">
        <v>286027.38109064603</v>
      </c>
      <c r="Q11" s="4">
        <v>264953.55378140102</v>
      </c>
      <c r="R11" s="4">
        <v>781.41774258180601</v>
      </c>
      <c r="S11" s="4">
        <v>0</v>
      </c>
      <c r="T11" s="4">
        <v>0</v>
      </c>
      <c r="U11" s="4">
        <v>9.2835680846677995E-2</v>
      </c>
      <c r="V11" s="4">
        <v>0.595368171227041</v>
      </c>
      <c r="W11" s="4">
        <v>0</v>
      </c>
      <c r="X11" s="4">
        <v>0.56119431821802801</v>
      </c>
      <c r="Y11" s="4">
        <v>0</v>
      </c>
      <c r="Z11" s="5">
        <v>3.7069366550900002E-4</v>
      </c>
      <c r="AA11" s="5">
        <v>3.5818180440031503E-5</v>
      </c>
      <c r="AB11" s="10">
        <v>5.1417376729479903E-3</v>
      </c>
      <c r="AC11" s="10">
        <v>1.8486999128251201E-6</v>
      </c>
      <c r="AD11" s="10">
        <v>1.6352935870066899E-3</v>
      </c>
      <c r="AE11" s="4">
        <v>8.7190227785364102E-2</v>
      </c>
      <c r="AF11" s="4">
        <v>0.136754792534203</v>
      </c>
      <c r="AG11" s="4">
        <v>0.95105333389301605</v>
      </c>
      <c r="AH11" s="4">
        <v>0.998881084146651</v>
      </c>
      <c r="AI11" s="4">
        <v>1</v>
      </c>
      <c r="AJ11" s="4">
        <v>1</v>
      </c>
      <c r="AK11" s="4">
        <v>1</v>
      </c>
      <c r="AL11" s="4">
        <v>1</v>
      </c>
      <c r="AM11" s="4">
        <v>0</v>
      </c>
      <c r="AN11" s="4">
        <v>0</v>
      </c>
      <c r="AO11" s="4" t="s">
        <v>67</v>
      </c>
      <c r="AP11" s="4">
        <f>-25-0</f>
        <v>-25</v>
      </c>
      <c r="AQ11" s="6">
        <v>9798247372.3899994</v>
      </c>
      <c r="AR11" s="4">
        <v>36981</v>
      </c>
      <c r="AS11" s="15">
        <v>0</v>
      </c>
      <c r="AT11" s="15">
        <v>40.4631828772958</v>
      </c>
      <c r="AU11" s="15">
        <v>40.4631828772958</v>
      </c>
      <c r="AV11" s="15">
        <v>59.5368171227041</v>
      </c>
      <c r="AW11" s="15">
        <v>59.5368171227041</v>
      </c>
      <c r="AX11" s="15">
        <v>0</v>
      </c>
    </row>
    <row r="12" spans="1:50" x14ac:dyDescent="0.25">
      <c r="A12">
        <v>97</v>
      </c>
      <c r="B12" s="4">
        <v>0.99252654140233298</v>
      </c>
      <c r="C12" s="4">
        <v>9.6587779073636497</v>
      </c>
      <c r="D12" s="4">
        <v>8.6085537446582201</v>
      </c>
      <c r="E12" s="4">
        <v>8.4289693606750104E-3</v>
      </c>
      <c r="F12" s="5">
        <v>7.4734585976668896E-3</v>
      </c>
      <c r="G12" s="5">
        <v>0</v>
      </c>
      <c r="H12" s="4">
        <v>3.6936875758959302</v>
      </c>
      <c r="I12" s="4">
        <v>3.8737928243406499</v>
      </c>
      <c r="J12" s="4">
        <v>-33.806204807925504</v>
      </c>
      <c r="K12" s="4">
        <v>2.6121767058530199</v>
      </c>
      <c r="L12" s="4">
        <v>15.0594160753288</v>
      </c>
      <c r="M12" s="4">
        <v>15.3983674525161</v>
      </c>
      <c r="N12" s="4">
        <v>71.201969540982901</v>
      </c>
      <c r="O12" s="4">
        <v>63.304989935090603</v>
      </c>
      <c r="P12" s="4">
        <v>284835.157170747</v>
      </c>
      <c r="Q12" s="4">
        <v>264994.10161202902</v>
      </c>
      <c r="R12" s="4">
        <v>781.444752447268</v>
      </c>
      <c r="S12" s="4">
        <v>0</v>
      </c>
      <c r="T12" s="4">
        <v>0</v>
      </c>
      <c r="U12" s="4">
        <v>9.9676388145856998E-2</v>
      </c>
      <c r="V12" s="4">
        <v>0.60069539772743896</v>
      </c>
      <c r="W12" s="4">
        <v>0</v>
      </c>
      <c r="X12" s="4">
        <v>0.56479508819872604</v>
      </c>
      <c r="Y12" s="4">
        <v>0</v>
      </c>
      <c r="Z12" s="5">
        <v>3.7035539637007099E-4</v>
      </c>
      <c r="AA12" s="5">
        <v>3.6686619327300098E-5</v>
      </c>
      <c r="AB12" s="10">
        <v>5.20907674887576E-3</v>
      </c>
      <c r="AC12" s="10">
        <v>3.0870020772277998E-6</v>
      </c>
      <c r="AD12" s="10">
        <v>1.8542383843236901E-3</v>
      </c>
      <c r="AE12" s="4">
        <v>8.9425467665792402E-2</v>
      </c>
      <c r="AF12" s="4">
        <v>0.124634899280138</v>
      </c>
      <c r="AG12" s="4">
        <v>0.94265683424121804</v>
      </c>
      <c r="AH12" s="4">
        <v>0.997428336344926</v>
      </c>
      <c r="AI12" s="4">
        <v>1</v>
      </c>
      <c r="AJ12" s="4">
        <v>1</v>
      </c>
      <c r="AK12" s="4">
        <v>1</v>
      </c>
      <c r="AL12" s="4">
        <v>1</v>
      </c>
      <c r="AM12" s="4">
        <v>0</v>
      </c>
      <c r="AN12" s="4">
        <v>0</v>
      </c>
      <c r="AO12" s="4" t="s">
        <v>141</v>
      </c>
      <c r="AP12" s="4" t="s">
        <v>127</v>
      </c>
      <c r="AQ12" s="6">
        <v>12626438953.610001</v>
      </c>
      <c r="AR12" s="4">
        <v>47648</v>
      </c>
      <c r="AS12" s="15">
        <v>0</v>
      </c>
      <c r="AT12" s="15">
        <v>39.930460227255999</v>
      </c>
      <c r="AU12" s="15">
        <v>39.930460227255999</v>
      </c>
      <c r="AV12" s="15">
        <v>60.069539772743902</v>
      </c>
      <c r="AW12" s="15">
        <v>60.069539772743902</v>
      </c>
      <c r="AX12" s="15">
        <v>0</v>
      </c>
    </row>
    <row r="13" spans="1:50" x14ac:dyDescent="0.25">
      <c r="A13">
        <v>97</v>
      </c>
      <c r="B13" s="4">
        <v>0.99219485710885902</v>
      </c>
      <c r="C13" s="4">
        <v>11.895024020955599</v>
      </c>
      <c r="D13" s="4">
        <v>8.9743771565215091</v>
      </c>
      <c r="E13" s="4">
        <v>1.04979390617564E-2</v>
      </c>
      <c r="F13" s="5">
        <v>7.80514289114018E-3</v>
      </c>
      <c r="G13" s="5">
        <v>0</v>
      </c>
      <c r="H13" s="4">
        <v>3.7178014123093499</v>
      </c>
      <c r="I13" s="4">
        <v>3.8530513745856401</v>
      </c>
      <c r="J13" s="4">
        <v>-32.195354237485198</v>
      </c>
      <c r="K13" s="4">
        <v>7.6142858592155003</v>
      </c>
      <c r="L13" s="4">
        <v>14.5585826793544</v>
      </c>
      <c r="M13" s="4">
        <v>15.8217450560948</v>
      </c>
      <c r="N13" s="4">
        <v>70.946759198271707</v>
      </c>
      <c r="O13" s="4">
        <v>62.934601191293901</v>
      </c>
      <c r="P13" s="4">
        <v>293115.39463996299</v>
      </c>
      <c r="Q13" s="4">
        <v>274145.146926291</v>
      </c>
      <c r="R13" s="4">
        <v>781.38452580405306</v>
      </c>
      <c r="S13" s="4">
        <v>0</v>
      </c>
      <c r="T13" s="4">
        <v>0</v>
      </c>
      <c r="U13" s="4">
        <v>0.10103850324253601</v>
      </c>
      <c r="V13" s="4">
        <v>0.60196444439579699</v>
      </c>
      <c r="W13" s="4">
        <v>0</v>
      </c>
      <c r="X13" s="4">
        <v>0.558140452973378</v>
      </c>
      <c r="Y13" s="4">
        <v>0</v>
      </c>
      <c r="Z13" s="5">
        <v>3.7043940627890101E-4</v>
      </c>
      <c r="AA13" s="5">
        <v>3.8612944120510601E-5</v>
      </c>
      <c r="AB13" s="10">
        <v>5.2327257250319604E-3</v>
      </c>
      <c r="AC13" s="10">
        <v>4.0688357912032996E-6</v>
      </c>
      <c r="AD13" s="10">
        <v>2.1592815821732301E-3</v>
      </c>
      <c r="AE13" s="4">
        <v>9.1144609181119704E-2</v>
      </c>
      <c r="AF13" s="4">
        <v>0.12017603446151399</v>
      </c>
      <c r="AG13" s="4">
        <v>0.93715127572321499</v>
      </c>
      <c r="AH13" s="4">
        <v>0.99640247978094798</v>
      </c>
      <c r="AI13" s="4">
        <v>1</v>
      </c>
      <c r="AJ13" s="4">
        <v>1</v>
      </c>
      <c r="AK13" s="4">
        <v>1</v>
      </c>
      <c r="AL13" s="4">
        <v>1</v>
      </c>
      <c r="AM13" s="4">
        <v>0</v>
      </c>
      <c r="AN13" s="4">
        <v>0</v>
      </c>
      <c r="AO13" s="4" t="s">
        <v>142</v>
      </c>
      <c r="AP13" s="4">
        <v>43230</v>
      </c>
      <c r="AQ13" s="6">
        <v>16004319532.41</v>
      </c>
      <c r="AR13" s="4">
        <v>58379</v>
      </c>
      <c r="AS13" s="15">
        <v>0</v>
      </c>
      <c r="AT13" s="15">
        <v>39.8035555604202</v>
      </c>
      <c r="AU13" s="15">
        <v>39.8035555604202</v>
      </c>
      <c r="AV13" s="15">
        <v>60.1964444395797</v>
      </c>
      <c r="AW13" s="15">
        <v>60.1964444395797</v>
      </c>
      <c r="AX13" s="15">
        <v>0</v>
      </c>
    </row>
    <row r="14" spans="1:50" x14ac:dyDescent="0.25">
      <c r="A14">
        <v>97</v>
      </c>
      <c r="B14" s="4">
        <v>0.99187172020381398</v>
      </c>
      <c r="C14" s="4">
        <v>13.6192264367755</v>
      </c>
      <c r="D14" s="4">
        <v>9.3294821011724398</v>
      </c>
      <c r="E14" s="4">
        <v>1.2126298532894E-2</v>
      </c>
      <c r="F14" s="5">
        <v>8.1282797961851304E-3</v>
      </c>
      <c r="G14" s="5">
        <v>0</v>
      </c>
      <c r="H14" s="4">
        <v>3.7551712164154898</v>
      </c>
      <c r="I14" s="4">
        <v>3.8414164322624602</v>
      </c>
      <c r="J14" s="4">
        <v>-29.577044388697502</v>
      </c>
      <c r="K14" s="4">
        <v>12.5558164019022</v>
      </c>
      <c r="L14" s="4">
        <v>14.663930208648701</v>
      </c>
      <c r="M14" s="4">
        <v>16.078430018217698</v>
      </c>
      <c r="N14" s="4">
        <v>70.781193462219704</v>
      </c>
      <c r="O14" s="4">
        <v>62.654425857410203</v>
      </c>
      <c r="P14" s="4">
        <v>292854.45057630399</v>
      </c>
      <c r="Q14" s="4">
        <v>272182.21040313703</v>
      </c>
      <c r="R14" s="4">
        <v>781.20433269940304</v>
      </c>
      <c r="S14" s="4">
        <v>0</v>
      </c>
      <c r="T14" s="4">
        <v>0</v>
      </c>
      <c r="U14" s="4">
        <v>0.1106144416273</v>
      </c>
      <c r="V14" s="4">
        <v>0.59893119776263004</v>
      </c>
      <c r="W14" s="4">
        <v>0</v>
      </c>
      <c r="X14" s="4">
        <v>0.57020663904295299</v>
      </c>
      <c r="Y14" s="4">
        <v>0</v>
      </c>
      <c r="Z14" s="5">
        <v>3.7059973091381699E-4</v>
      </c>
      <c r="AA14" s="5">
        <v>4.1935797136370899E-5</v>
      </c>
      <c r="AB14" s="10">
        <v>5.2190159512459401E-3</v>
      </c>
      <c r="AC14" s="10">
        <v>5.8672202445040402E-6</v>
      </c>
      <c r="AD14" s="10">
        <v>2.4908466114218E-3</v>
      </c>
      <c r="AE14" s="4">
        <v>9.3267642824272995E-2</v>
      </c>
      <c r="AF14" s="4">
        <v>0.11238081883869799</v>
      </c>
      <c r="AG14" s="4">
        <v>0.92893430848063296</v>
      </c>
      <c r="AH14" s="4">
        <v>0.99520281799537302</v>
      </c>
      <c r="AI14" s="4">
        <v>1</v>
      </c>
      <c r="AJ14" s="4">
        <v>1</v>
      </c>
      <c r="AK14" s="4">
        <v>1</v>
      </c>
      <c r="AL14" s="4">
        <v>1</v>
      </c>
      <c r="AM14" s="4">
        <v>0</v>
      </c>
      <c r="AN14" s="4">
        <v>0</v>
      </c>
      <c r="AO14" s="4" t="s">
        <v>143</v>
      </c>
      <c r="AP14" s="4">
        <v>43388</v>
      </c>
      <c r="AQ14" s="6">
        <v>17351615913.200001</v>
      </c>
      <c r="AR14" s="4">
        <v>63750</v>
      </c>
      <c r="AS14" s="15">
        <v>0</v>
      </c>
      <c r="AT14" s="15">
        <v>40.106880223736901</v>
      </c>
      <c r="AU14" s="15">
        <v>40.106880223736901</v>
      </c>
      <c r="AV14" s="15">
        <v>59.893119776262999</v>
      </c>
      <c r="AW14" s="15">
        <v>59.893119776262999</v>
      </c>
      <c r="AX14" s="15">
        <v>0</v>
      </c>
    </row>
    <row r="15" spans="1:50" x14ac:dyDescent="0.25">
      <c r="A15">
        <v>97</v>
      </c>
      <c r="B15" s="4">
        <v>0.99145545301600202</v>
      </c>
      <c r="C15" s="4">
        <v>12.9615601485088</v>
      </c>
      <c r="D15" s="4">
        <v>9.7850591183452291</v>
      </c>
      <c r="E15" s="4">
        <v>1.15017044265628E-2</v>
      </c>
      <c r="F15" s="5">
        <v>8.5445469839971599E-3</v>
      </c>
      <c r="G15" s="5">
        <v>0</v>
      </c>
      <c r="H15" s="4">
        <v>3.79317704280583</v>
      </c>
      <c r="I15" s="4">
        <v>3.8307620654365699</v>
      </c>
      <c r="J15" s="4">
        <v>-27.475239300882599</v>
      </c>
      <c r="K15" s="4">
        <v>17.5590794388905</v>
      </c>
      <c r="L15" s="4">
        <v>14.8638939340474</v>
      </c>
      <c r="M15" s="4">
        <v>16.339959109868101</v>
      </c>
      <c r="N15" s="4">
        <v>70.435491375875799</v>
      </c>
      <c r="O15" s="4">
        <v>62.357252076067603</v>
      </c>
      <c r="P15" s="4">
        <v>287175.276405218</v>
      </c>
      <c r="Q15" s="4">
        <v>268515.13530426298</v>
      </c>
      <c r="R15" s="4">
        <v>781.17368652557798</v>
      </c>
      <c r="S15" s="4">
        <v>0</v>
      </c>
      <c r="T15" s="4">
        <v>0</v>
      </c>
      <c r="U15" s="4">
        <v>0.11020424431039801</v>
      </c>
      <c r="V15" s="4">
        <v>0.59692517423743696</v>
      </c>
      <c r="W15" s="4">
        <v>0</v>
      </c>
      <c r="X15" s="4">
        <v>0.55869534513488806</v>
      </c>
      <c r="Y15" s="4">
        <v>0</v>
      </c>
      <c r="Z15" s="5">
        <v>3.7026405557666797E-4</v>
      </c>
      <c r="AA15" s="5">
        <v>4.4001409128777102E-5</v>
      </c>
      <c r="AB15" s="10">
        <v>5.2680608909025598E-3</v>
      </c>
      <c r="AC15" s="10">
        <v>7.3344627727731097E-6</v>
      </c>
      <c r="AD15" s="10">
        <v>2.85487174390954E-3</v>
      </c>
      <c r="AE15" s="4">
        <v>9.36737860467457E-2</v>
      </c>
      <c r="AF15" s="4">
        <v>0.121674599455421</v>
      </c>
      <c r="AG15" s="4">
        <v>0.92555840990926697</v>
      </c>
      <c r="AH15" s="4">
        <v>0.99393651129467397</v>
      </c>
      <c r="AI15" s="4">
        <v>1</v>
      </c>
      <c r="AJ15" s="4">
        <v>1</v>
      </c>
      <c r="AK15" s="4">
        <v>1</v>
      </c>
      <c r="AL15" s="4">
        <v>1</v>
      </c>
      <c r="AM15" s="4">
        <v>0</v>
      </c>
      <c r="AN15" s="4">
        <v>0</v>
      </c>
      <c r="AO15" s="4" t="s">
        <v>144</v>
      </c>
      <c r="AP15" s="4" t="s">
        <v>128</v>
      </c>
      <c r="AQ15" s="6">
        <v>19009260488.73</v>
      </c>
      <c r="AR15" s="4">
        <v>70794</v>
      </c>
      <c r="AS15" s="15">
        <v>0</v>
      </c>
      <c r="AT15" s="15">
        <v>40.307482576256199</v>
      </c>
      <c r="AU15" s="15">
        <v>40.307482576256199</v>
      </c>
      <c r="AV15" s="15">
        <v>59.692517423743702</v>
      </c>
      <c r="AW15" s="15">
        <v>59.692517423743702</v>
      </c>
      <c r="AX15" s="15">
        <v>0</v>
      </c>
    </row>
    <row r="16" spans="1:50" x14ac:dyDescent="0.25">
      <c r="A16">
        <v>97</v>
      </c>
      <c r="B16" s="4">
        <v>0.99104262685573796</v>
      </c>
      <c r="C16" s="4">
        <v>14.637116188280199</v>
      </c>
      <c r="D16" s="4">
        <v>10.234796904888499</v>
      </c>
      <c r="E16" s="4">
        <v>1.31016492568942E-2</v>
      </c>
      <c r="F16" s="5">
        <v>8.9573731442618206E-3</v>
      </c>
      <c r="G16" s="5">
        <v>0</v>
      </c>
      <c r="H16" s="4">
        <v>3.8324935491416499</v>
      </c>
      <c r="I16" s="4">
        <v>3.8215181607251898</v>
      </c>
      <c r="J16" s="4">
        <v>-25.058838398208799</v>
      </c>
      <c r="K16" s="4">
        <v>22.4927153045133</v>
      </c>
      <c r="L16" s="4">
        <v>14.6190272038041</v>
      </c>
      <c r="M16" s="4">
        <v>16.595066055777298</v>
      </c>
      <c r="N16" s="4">
        <v>72.560470832801599</v>
      </c>
      <c r="O16" s="4">
        <v>64.111066403677995</v>
      </c>
      <c r="P16" s="4">
        <v>291993.21601963002</v>
      </c>
      <c r="Q16" s="4">
        <v>273045.96557043202</v>
      </c>
      <c r="R16" s="4">
        <v>780.70104700847196</v>
      </c>
      <c r="S16" s="4">
        <v>0</v>
      </c>
      <c r="T16" s="4">
        <v>0</v>
      </c>
      <c r="U16" s="4">
        <v>0.117393661507167</v>
      </c>
      <c r="V16" s="4">
        <v>0.59923875413218697</v>
      </c>
      <c r="W16" s="4">
        <v>0</v>
      </c>
      <c r="X16" s="4">
        <v>0.53772357996811604</v>
      </c>
      <c r="Y16" s="4">
        <v>0</v>
      </c>
      <c r="Z16" s="5">
        <v>3.7045613497825797E-4</v>
      </c>
      <c r="AA16" s="5">
        <v>4.78417288071386E-5</v>
      </c>
      <c r="AB16" s="10">
        <v>5.2312754286190401E-3</v>
      </c>
      <c r="AC16" s="10">
        <v>9.0230904490075992E-6</v>
      </c>
      <c r="AD16" s="10">
        <v>3.29876228578213E-3</v>
      </c>
      <c r="AE16" s="4">
        <v>9.5232532823371394E-2</v>
      </c>
      <c r="AF16" s="4">
        <v>0.10930375282561</v>
      </c>
      <c r="AG16" s="4">
        <v>0.92375779394623503</v>
      </c>
      <c r="AH16" s="4">
        <v>0.99317012941264804</v>
      </c>
      <c r="AI16" s="4">
        <v>1</v>
      </c>
      <c r="AJ16" s="4">
        <v>1</v>
      </c>
      <c r="AK16" s="4">
        <v>1</v>
      </c>
      <c r="AL16" s="4">
        <v>1</v>
      </c>
      <c r="AM16" s="4">
        <v>0</v>
      </c>
      <c r="AN16" s="4">
        <v>0</v>
      </c>
      <c r="AO16" s="4" t="s">
        <v>68</v>
      </c>
      <c r="AP16" s="4" t="s">
        <v>69</v>
      </c>
      <c r="AQ16" s="6">
        <v>21372399909.060001</v>
      </c>
      <c r="AR16" s="4">
        <v>78274</v>
      </c>
      <c r="AS16" s="15">
        <v>0</v>
      </c>
      <c r="AT16" s="15">
        <v>40.076124586781198</v>
      </c>
      <c r="AU16" s="15">
        <v>40.076124586781198</v>
      </c>
      <c r="AV16" s="15">
        <v>59.923875413218703</v>
      </c>
      <c r="AW16" s="15">
        <v>59.923875413218703</v>
      </c>
      <c r="AX16" s="15">
        <v>0</v>
      </c>
    </row>
    <row r="17" spans="1:50" x14ac:dyDescent="0.25">
      <c r="A17">
        <v>97</v>
      </c>
      <c r="B17" s="4">
        <v>0.99054163898203096</v>
      </c>
      <c r="C17" s="4">
        <v>14.604826379650699</v>
      </c>
      <c r="D17" s="4">
        <v>10.777818391010999</v>
      </c>
      <c r="E17" s="4">
        <v>1.30705455402231E-2</v>
      </c>
      <c r="F17" s="5">
        <v>9.4583610179686094E-3</v>
      </c>
      <c r="G17" s="5">
        <v>0</v>
      </c>
      <c r="H17" s="4">
        <v>3.880251283727</v>
      </c>
      <c r="I17" s="4">
        <v>3.8260683077784701</v>
      </c>
      <c r="J17" s="4">
        <v>-23.149488027191001</v>
      </c>
      <c r="K17" s="4">
        <v>27.497283324516701</v>
      </c>
      <c r="L17" s="4">
        <v>14.7831739066753</v>
      </c>
      <c r="M17" s="4">
        <v>16.760812662185501</v>
      </c>
      <c r="N17" s="4">
        <v>71.002036804671505</v>
      </c>
      <c r="O17" s="4">
        <v>62.660570436552902</v>
      </c>
      <c r="P17" s="4">
        <v>290042.04885639402</v>
      </c>
      <c r="Q17" s="4">
        <v>270022.59578906198</v>
      </c>
      <c r="R17" s="4">
        <v>780.65054561934505</v>
      </c>
      <c r="S17" s="4">
        <v>0</v>
      </c>
      <c r="T17" s="4">
        <v>0</v>
      </c>
      <c r="U17" s="4">
        <v>0.12762313742518799</v>
      </c>
      <c r="V17" s="4">
        <v>0.60434037568856702</v>
      </c>
      <c r="W17" s="4">
        <v>0</v>
      </c>
      <c r="X17" s="4">
        <v>0.54144112627993402</v>
      </c>
      <c r="Y17" s="4">
        <v>0</v>
      </c>
      <c r="Z17" s="5">
        <v>3.7040791613356702E-4</v>
      </c>
      <c r="AA17" s="5">
        <v>5.2756991300097802E-5</v>
      </c>
      <c r="AB17" s="10">
        <v>5.2657744183218702E-3</v>
      </c>
      <c r="AC17" s="10">
        <v>1.1995207252168401E-5</v>
      </c>
      <c r="AD17" s="10">
        <v>3.7574120210194799E-3</v>
      </c>
      <c r="AE17" s="4">
        <v>9.6874646798579905E-2</v>
      </c>
      <c r="AF17" s="4">
        <v>0.107693566142781</v>
      </c>
      <c r="AG17" s="4">
        <v>0.91569525090828896</v>
      </c>
      <c r="AH17" s="4">
        <v>0.99057481877871101</v>
      </c>
      <c r="AI17" s="4">
        <v>1</v>
      </c>
      <c r="AJ17" s="4">
        <v>1</v>
      </c>
      <c r="AK17" s="4">
        <v>1</v>
      </c>
      <c r="AL17" s="4">
        <v>1</v>
      </c>
      <c r="AM17" s="4">
        <v>0</v>
      </c>
      <c r="AN17" s="4">
        <v>0</v>
      </c>
      <c r="AO17" s="4" t="s">
        <v>145</v>
      </c>
      <c r="AP17" s="4" t="s">
        <v>129</v>
      </c>
      <c r="AQ17" s="6">
        <v>21784882983.07</v>
      </c>
      <c r="AR17" s="4">
        <v>80678</v>
      </c>
      <c r="AS17" s="15">
        <v>0</v>
      </c>
      <c r="AT17" s="15">
        <v>39.565962431143198</v>
      </c>
      <c r="AU17" s="15">
        <v>39.565962431143198</v>
      </c>
      <c r="AV17" s="15">
        <v>60.434037568856702</v>
      </c>
      <c r="AW17" s="15">
        <v>60.434037568856702</v>
      </c>
      <c r="AX17" s="15">
        <v>0</v>
      </c>
    </row>
    <row r="18" spans="1:50" x14ac:dyDescent="0.25">
      <c r="A18">
        <v>97</v>
      </c>
      <c r="B18" s="4">
        <v>0.99006339505212904</v>
      </c>
      <c r="C18" s="4">
        <v>17.0549651807919</v>
      </c>
      <c r="D18" s="4">
        <v>11.2933768162089</v>
      </c>
      <c r="E18" s="4">
        <v>1.5461887447761001E-2</v>
      </c>
      <c r="F18" s="5">
        <v>9.9366049478703793E-3</v>
      </c>
      <c r="G18" s="5">
        <v>0</v>
      </c>
      <c r="H18" s="4">
        <v>3.93336623518233</v>
      </c>
      <c r="I18" s="4">
        <v>3.8273206621379701</v>
      </c>
      <c r="J18" s="4">
        <v>-21.054766036242299</v>
      </c>
      <c r="K18" s="4">
        <v>32.544833811052797</v>
      </c>
      <c r="L18" s="4">
        <v>14.7194921336313</v>
      </c>
      <c r="M18" s="4">
        <v>16.9450806751775</v>
      </c>
      <c r="N18" s="4">
        <v>72.455905704519196</v>
      </c>
      <c r="O18" s="4">
        <v>63.979811826779702</v>
      </c>
      <c r="P18" s="4">
        <v>289962.48893096298</v>
      </c>
      <c r="Q18" s="4">
        <v>271195.833957878</v>
      </c>
      <c r="R18" s="4">
        <v>780.30112530101201</v>
      </c>
      <c r="S18" s="4">
        <v>0</v>
      </c>
      <c r="T18" s="4">
        <v>0</v>
      </c>
      <c r="U18" s="4">
        <v>0.13215230875867301</v>
      </c>
      <c r="V18" s="4">
        <v>0.60288164965152202</v>
      </c>
      <c r="W18" s="4">
        <v>0</v>
      </c>
      <c r="X18" s="4">
        <v>0.50110059309053401</v>
      </c>
      <c r="Y18" s="4">
        <v>0</v>
      </c>
      <c r="Z18" s="5">
        <v>3.6949257815700802E-4</v>
      </c>
      <c r="AA18" s="5">
        <v>5.8408594009183103E-5</v>
      </c>
      <c r="AB18" s="10">
        <v>5.2867021653446398E-3</v>
      </c>
      <c r="AC18" s="10">
        <v>1.4083395215594901E-5</v>
      </c>
      <c r="AD18" s="10">
        <v>4.2079037137324202E-3</v>
      </c>
      <c r="AE18" s="4">
        <v>9.6559649227686103E-2</v>
      </c>
      <c r="AF18" s="4">
        <v>0.109694425844587</v>
      </c>
      <c r="AG18" s="4">
        <v>0.91444606591980904</v>
      </c>
      <c r="AH18" s="4">
        <v>0.98982816569134802</v>
      </c>
      <c r="AI18" s="4">
        <v>1</v>
      </c>
      <c r="AJ18" s="4">
        <v>1</v>
      </c>
      <c r="AK18" s="4">
        <v>1</v>
      </c>
      <c r="AL18" s="4">
        <v>1</v>
      </c>
      <c r="AM18" s="4">
        <v>0</v>
      </c>
      <c r="AN18" s="4">
        <v>0</v>
      </c>
      <c r="AO18" s="4" t="s">
        <v>146</v>
      </c>
      <c r="AP18" s="4" t="s">
        <v>130</v>
      </c>
      <c r="AQ18" s="6">
        <v>23345622170.43</v>
      </c>
      <c r="AR18" s="4">
        <v>86084</v>
      </c>
      <c r="AS18" s="15">
        <v>0</v>
      </c>
      <c r="AT18" s="15">
        <v>39.711835034847702</v>
      </c>
      <c r="AU18" s="15">
        <v>39.711835034847702</v>
      </c>
      <c r="AV18" s="15">
        <v>60.288164965152198</v>
      </c>
      <c r="AW18" s="15">
        <v>60.288164965152198</v>
      </c>
      <c r="AX18" s="15">
        <v>0</v>
      </c>
    </row>
    <row r="19" spans="1:50" x14ac:dyDescent="0.25">
      <c r="A19">
        <v>97</v>
      </c>
      <c r="B19" s="4">
        <v>0.989561591245818</v>
      </c>
      <c r="C19" s="4">
        <v>17.472775127191898</v>
      </c>
      <c r="D19" s="4">
        <v>11.831396234419</v>
      </c>
      <c r="E19" s="4">
        <v>1.58761201711657E-2</v>
      </c>
      <c r="F19" s="5">
        <v>1.04384087541813E-2</v>
      </c>
      <c r="G19" s="5">
        <v>0</v>
      </c>
      <c r="H19" s="4">
        <v>3.9887988488161099</v>
      </c>
      <c r="I19" s="4">
        <v>3.8342698597759801</v>
      </c>
      <c r="J19" s="4">
        <v>-18.859195605011301</v>
      </c>
      <c r="K19" s="4">
        <v>37.532819362479898</v>
      </c>
      <c r="L19" s="4">
        <v>14.890848859558099</v>
      </c>
      <c r="M19" s="4">
        <v>17.238108865447298</v>
      </c>
      <c r="N19" s="4">
        <v>73.129166767380994</v>
      </c>
      <c r="O19" s="4">
        <v>64.3786779181643</v>
      </c>
      <c r="P19" s="4">
        <v>287507.91579316597</v>
      </c>
      <c r="Q19" s="4">
        <v>268087.65446086501</v>
      </c>
      <c r="R19" s="4">
        <v>780.22665707104795</v>
      </c>
      <c r="S19" s="4">
        <v>0</v>
      </c>
      <c r="T19" s="4">
        <v>0</v>
      </c>
      <c r="U19" s="4">
        <v>0.14165558177235099</v>
      </c>
      <c r="V19" s="4">
        <v>0.59860946783241997</v>
      </c>
      <c r="W19" s="4">
        <v>0</v>
      </c>
      <c r="X19" s="4">
        <v>0.480354180948739</v>
      </c>
      <c r="Y19" s="4">
        <v>0</v>
      </c>
      <c r="Z19" s="5">
        <v>3.7065482748436802E-4</v>
      </c>
      <c r="AA19" s="5">
        <v>6.2690999947724894E-5</v>
      </c>
      <c r="AB19" s="10">
        <v>5.35811557883672E-3</v>
      </c>
      <c r="AC19" s="10">
        <v>1.8733744337394999E-5</v>
      </c>
      <c r="AD19" s="10">
        <v>4.6281989937483102E-3</v>
      </c>
      <c r="AE19" s="4">
        <v>9.9074578893689202E-2</v>
      </c>
      <c r="AF19" s="4">
        <v>9.8689397587508998E-2</v>
      </c>
      <c r="AG19" s="4">
        <v>0.90334814921412998</v>
      </c>
      <c r="AH19" s="4">
        <v>0.98636648612465405</v>
      </c>
      <c r="AI19" s="4">
        <v>1</v>
      </c>
      <c r="AJ19" s="4">
        <v>1</v>
      </c>
      <c r="AK19" s="4">
        <v>1</v>
      </c>
      <c r="AL19" s="4">
        <v>1</v>
      </c>
      <c r="AM19" s="4">
        <v>0</v>
      </c>
      <c r="AN19" s="4">
        <v>0</v>
      </c>
      <c r="AO19" s="4" t="s">
        <v>147</v>
      </c>
      <c r="AP19" s="4" t="s">
        <v>131</v>
      </c>
      <c r="AQ19" s="6">
        <v>23599756222.189999</v>
      </c>
      <c r="AR19" s="4">
        <v>88030</v>
      </c>
      <c r="AS19" s="15">
        <v>0</v>
      </c>
      <c r="AT19" s="15">
        <v>40.139053216757901</v>
      </c>
      <c r="AU19" s="15">
        <v>40.139053216757901</v>
      </c>
      <c r="AV19" s="15">
        <v>59.860946783241999</v>
      </c>
      <c r="AW19" s="15">
        <v>59.860946783241999</v>
      </c>
      <c r="AX19" s="15">
        <v>0</v>
      </c>
    </row>
    <row r="20" spans="1:50" x14ac:dyDescent="0.25">
      <c r="A20">
        <v>97</v>
      </c>
      <c r="B20" s="4">
        <v>0.98904608909620695</v>
      </c>
      <c r="C20" s="4">
        <v>19.2568037919098</v>
      </c>
      <c r="D20" s="4">
        <v>12.380986346788999</v>
      </c>
      <c r="E20" s="4">
        <v>1.7666786672552601E-2</v>
      </c>
      <c r="F20" s="5">
        <v>1.0953910903792E-2</v>
      </c>
      <c r="G20" s="5">
        <v>0</v>
      </c>
      <c r="H20" s="4">
        <v>4.0333097004014604</v>
      </c>
      <c r="I20" s="4">
        <v>3.83298796095607</v>
      </c>
      <c r="J20" s="4">
        <v>-16.933643258354699</v>
      </c>
      <c r="K20" s="4">
        <v>42.527555224659899</v>
      </c>
      <c r="L20" s="4">
        <v>15.0304777294507</v>
      </c>
      <c r="M20" s="4">
        <v>17.4244122823719</v>
      </c>
      <c r="N20" s="4">
        <v>72.829279323424004</v>
      </c>
      <c r="O20" s="4">
        <v>64.077189087949407</v>
      </c>
      <c r="P20" s="4">
        <v>283449.61040101701</v>
      </c>
      <c r="Q20" s="4">
        <v>265599.93795253203</v>
      </c>
      <c r="R20" s="4">
        <v>779.89641691846703</v>
      </c>
      <c r="S20" s="4">
        <v>0</v>
      </c>
      <c r="T20" s="4">
        <v>0</v>
      </c>
      <c r="U20" s="4">
        <v>0.144293942280737</v>
      </c>
      <c r="V20" s="4">
        <v>0.59294042579279305</v>
      </c>
      <c r="W20" s="4">
        <v>0</v>
      </c>
      <c r="X20" s="4">
        <v>0.46244590067629798</v>
      </c>
      <c r="Y20" s="4">
        <v>0</v>
      </c>
      <c r="Z20" s="5">
        <v>3.6993666193940901E-4</v>
      </c>
      <c r="AA20" s="5">
        <v>6.5548211264281896E-5</v>
      </c>
      <c r="AB20" s="10">
        <v>5.4431870065713003E-3</v>
      </c>
      <c r="AC20" s="10">
        <v>2.5274335178821502E-5</v>
      </c>
      <c r="AD20" s="10">
        <v>5.04995006200799E-3</v>
      </c>
      <c r="AE20" s="4">
        <v>0.100184949552674</v>
      </c>
      <c r="AF20" s="4">
        <v>0.104386700095582</v>
      </c>
      <c r="AG20" s="4">
        <v>0.89247885690653195</v>
      </c>
      <c r="AH20" s="4">
        <v>0.98180659953468297</v>
      </c>
      <c r="AI20" s="4">
        <v>1</v>
      </c>
      <c r="AJ20" s="4">
        <v>1</v>
      </c>
      <c r="AK20" s="4">
        <v>1</v>
      </c>
      <c r="AL20" s="4">
        <v>1</v>
      </c>
      <c r="AM20" s="4">
        <v>0</v>
      </c>
      <c r="AN20" s="4">
        <v>0</v>
      </c>
      <c r="AO20" s="4" t="s">
        <v>148</v>
      </c>
      <c r="AP20" s="4" t="s">
        <v>132</v>
      </c>
      <c r="AQ20" s="6">
        <v>23903728815.790001</v>
      </c>
      <c r="AR20" s="4">
        <v>89999</v>
      </c>
      <c r="AS20" s="15">
        <v>0</v>
      </c>
      <c r="AT20" s="15">
        <v>40.704450969267803</v>
      </c>
      <c r="AU20" s="15">
        <v>40.704450969267803</v>
      </c>
      <c r="AV20" s="15">
        <v>59.295549030732097</v>
      </c>
      <c r="AW20" s="15">
        <v>59.295549030732097</v>
      </c>
      <c r="AX20" s="15">
        <v>0</v>
      </c>
    </row>
    <row r="21" spans="1:50" x14ac:dyDescent="0.25">
      <c r="A21">
        <v>97</v>
      </c>
      <c r="B21" s="4">
        <v>0.98854525464107101</v>
      </c>
      <c r="C21" s="4">
        <v>21.387619930494498</v>
      </c>
      <c r="D21" s="4">
        <v>12.911929567417101</v>
      </c>
      <c r="E21" s="4">
        <v>1.98536835635536E-2</v>
      </c>
      <c r="F21" s="5">
        <v>1.14547453589288E-2</v>
      </c>
      <c r="G21" s="5">
        <v>0</v>
      </c>
      <c r="H21" s="4">
        <v>4.0756896600704202</v>
      </c>
      <c r="I21" s="4">
        <v>3.8275303216299199</v>
      </c>
      <c r="J21" s="4">
        <v>-14.6803688301557</v>
      </c>
      <c r="K21" s="4">
        <v>47.487927604961698</v>
      </c>
      <c r="L21" s="4">
        <v>14.7842847556441</v>
      </c>
      <c r="M21" s="4">
        <v>17.6493514528227</v>
      </c>
      <c r="N21" s="4">
        <v>74.412995566273594</v>
      </c>
      <c r="O21" s="4">
        <v>65.367046414823406</v>
      </c>
      <c r="P21" s="4">
        <v>289059.93189911998</v>
      </c>
      <c r="Q21" s="4">
        <v>270029.11437394703</v>
      </c>
      <c r="R21" s="4">
        <v>779.61413902625998</v>
      </c>
      <c r="S21" s="4">
        <v>0</v>
      </c>
      <c r="T21" s="4">
        <v>0</v>
      </c>
      <c r="U21" s="4">
        <v>0.14711552122451699</v>
      </c>
      <c r="V21" s="4">
        <v>0.58810780573371002</v>
      </c>
      <c r="W21" s="4">
        <v>0</v>
      </c>
      <c r="X21" s="4">
        <v>0.44142327528957398</v>
      </c>
      <c r="Y21" s="4">
        <v>0</v>
      </c>
      <c r="Z21" s="5">
        <v>3.6961207326738902E-4</v>
      </c>
      <c r="AA21" s="5">
        <v>6.8708407239914595E-5</v>
      </c>
      <c r="AB21" s="10">
        <v>5.4225892838054204E-3</v>
      </c>
      <c r="AC21" s="10">
        <v>3.2519154495574901E-5</v>
      </c>
      <c r="AD21" s="10">
        <v>5.5613016625030596E-3</v>
      </c>
      <c r="AE21" s="4">
        <v>0.102029948163524</v>
      </c>
      <c r="AF21" s="4">
        <v>9.7177045957907604E-2</v>
      </c>
      <c r="AG21" s="4">
        <v>0.88462841702987605</v>
      </c>
      <c r="AH21" s="4">
        <v>0.97743110624950102</v>
      </c>
      <c r="AI21" s="4">
        <v>1</v>
      </c>
      <c r="AJ21" s="4">
        <v>1</v>
      </c>
      <c r="AK21" s="4">
        <v>1</v>
      </c>
      <c r="AL21" s="4">
        <v>1</v>
      </c>
      <c r="AM21" s="4">
        <v>0</v>
      </c>
      <c r="AN21" s="4">
        <v>0</v>
      </c>
      <c r="AO21" s="4" t="s">
        <v>70</v>
      </c>
      <c r="AP21" s="4" t="s">
        <v>71</v>
      </c>
      <c r="AQ21" s="6">
        <v>25012256806.23</v>
      </c>
      <c r="AR21" s="4">
        <v>92628</v>
      </c>
      <c r="AS21" s="15">
        <v>0</v>
      </c>
      <c r="AT21" s="15">
        <v>41.188502124782097</v>
      </c>
      <c r="AU21" s="15">
        <v>41.188502124782097</v>
      </c>
      <c r="AV21" s="15">
        <v>58.811497875217803</v>
      </c>
      <c r="AW21" s="15">
        <v>58.811497875217803</v>
      </c>
      <c r="AX21" s="15">
        <v>0</v>
      </c>
    </row>
    <row r="22" spans="1:50" x14ac:dyDescent="0.25">
      <c r="A22">
        <v>97</v>
      </c>
      <c r="B22" s="4">
        <v>0.98797843512254702</v>
      </c>
      <c r="C22" s="4">
        <v>21.844647516727701</v>
      </c>
      <c r="D22" s="4">
        <v>13.509266007159001</v>
      </c>
      <c r="E22" s="4">
        <v>2.0329808716617399E-2</v>
      </c>
      <c r="F22" s="5">
        <v>1.2021564877452399E-2</v>
      </c>
      <c r="G22" s="5">
        <v>0</v>
      </c>
      <c r="H22" s="4">
        <v>4.11629041110697</v>
      </c>
      <c r="I22" s="4">
        <v>3.82500336316969</v>
      </c>
      <c r="J22" s="4">
        <v>-12.697177484089501</v>
      </c>
      <c r="K22" s="4">
        <v>52.465593574257802</v>
      </c>
      <c r="L22" s="4">
        <v>15.0171600766088</v>
      </c>
      <c r="M22" s="4">
        <v>17.858717612135202</v>
      </c>
      <c r="N22" s="4">
        <v>73.733427172565499</v>
      </c>
      <c r="O22" s="4">
        <v>64.600006333456903</v>
      </c>
      <c r="P22" s="4">
        <v>283932.105963287</v>
      </c>
      <c r="Q22" s="4">
        <v>265847.60937360802</v>
      </c>
      <c r="R22" s="4">
        <v>779.41809534705499</v>
      </c>
      <c r="S22" s="4">
        <v>0</v>
      </c>
      <c r="T22" s="4">
        <v>0</v>
      </c>
      <c r="U22" s="4">
        <v>0.14961167921667501</v>
      </c>
      <c r="V22" s="4">
        <v>0.57712389816656195</v>
      </c>
      <c r="W22" s="4">
        <v>0</v>
      </c>
      <c r="X22" s="4">
        <v>0.45869187322754501</v>
      </c>
      <c r="Y22" s="4">
        <v>0</v>
      </c>
      <c r="Z22" s="5">
        <v>3.70278659239052E-4</v>
      </c>
      <c r="AA22" s="5">
        <v>6.9688068533303802E-5</v>
      </c>
      <c r="AB22" s="10">
        <v>5.4943337924747001E-3</v>
      </c>
      <c r="AC22" s="10">
        <v>4.4868515702732503E-5</v>
      </c>
      <c r="AD22" s="10">
        <v>6.0423809489588099E-3</v>
      </c>
      <c r="AE22" s="4">
        <v>0.10498918946764201</v>
      </c>
      <c r="AF22" s="4">
        <v>9.3444581954140099E-2</v>
      </c>
      <c r="AG22" s="4">
        <v>0.86841661100206802</v>
      </c>
      <c r="AH22" s="4">
        <v>0.968677382036506</v>
      </c>
      <c r="AI22" s="4">
        <v>1</v>
      </c>
      <c r="AJ22" s="4">
        <v>1</v>
      </c>
      <c r="AK22" s="4">
        <v>1</v>
      </c>
      <c r="AL22" s="4">
        <v>1</v>
      </c>
      <c r="AM22" s="4">
        <v>0</v>
      </c>
      <c r="AN22" s="4">
        <v>0</v>
      </c>
      <c r="AO22" s="4" t="s">
        <v>149</v>
      </c>
      <c r="AP22" s="4" t="s">
        <v>133</v>
      </c>
      <c r="AQ22" s="6">
        <v>23397779796.189999</v>
      </c>
      <c r="AR22" s="4">
        <v>88012</v>
      </c>
      <c r="AS22" s="15">
        <v>0</v>
      </c>
      <c r="AT22" s="15">
        <v>42.286845198368397</v>
      </c>
      <c r="AU22" s="15">
        <v>42.286845198368397</v>
      </c>
      <c r="AV22" s="15">
        <v>57.713154801631497</v>
      </c>
      <c r="AW22" s="15">
        <v>57.713154801631497</v>
      </c>
      <c r="AX22" s="15">
        <v>0</v>
      </c>
    </row>
    <row r="23" spans="1:50" x14ac:dyDescent="0.25">
      <c r="A23">
        <v>97</v>
      </c>
      <c r="B23" s="4">
        <v>0.98733230573724795</v>
      </c>
      <c r="C23" s="4">
        <v>25.082143319889902</v>
      </c>
      <c r="D23" s="4">
        <v>14.1856001561317</v>
      </c>
      <c r="E23" s="4">
        <v>2.37775772896733E-2</v>
      </c>
      <c r="F23" s="5">
        <v>1.2667694262751101E-2</v>
      </c>
      <c r="G23" s="5">
        <v>0</v>
      </c>
      <c r="H23" s="4">
        <v>4.1452801613689303</v>
      </c>
      <c r="I23" s="4">
        <v>3.8119389716708199</v>
      </c>
      <c r="J23" s="4">
        <v>-10.2840601298303</v>
      </c>
      <c r="K23" s="4">
        <v>57.4808256739745</v>
      </c>
      <c r="L23" s="4">
        <v>14.4386636746541</v>
      </c>
      <c r="M23" s="4">
        <v>17.856393356413601</v>
      </c>
      <c r="N23" s="4">
        <v>74.381849186189896</v>
      </c>
      <c r="O23" s="4">
        <v>65.119849701106403</v>
      </c>
      <c r="P23" s="4">
        <v>293108.97791370202</v>
      </c>
      <c r="Q23" s="4">
        <v>276498.79991770902</v>
      </c>
      <c r="R23" s="4">
        <v>778.95853631872706</v>
      </c>
      <c r="S23" s="4">
        <v>0</v>
      </c>
      <c r="T23" s="4">
        <v>0</v>
      </c>
      <c r="U23" s="4">
        <v>0.15108264611716099</v>
      </c>
      <c r="V23" s="4">
        <v>0.57695187975829798</v>
      </c>
      <c r="W23" s="4">
        <v>0</v>
      </c>
      <c r="X23" s="4">
        <v>0.46632901970031299</v>
      </c>
      <c r="Y23" s="4">
        <v>0</v>
      </c>
      <c r="Z23" s="5">
        <v>3.6919672678277699E-4</v>
      </c>
      <c r="AA23" s="5">
        <v>7.2425856018509303E-5</v>
      </c>
      <c r="AB23" s="10">
        <v>5.46495082668641E-3</v>
      </c>
      <c r="AC23" s="10">
        <v>5.55203558300315E-5</v>
      </c>
      <c r="AD23" s="10">
        <v>6.7055855269224102E-3</v>
      </c>
      <c r="AE23" s="4">
        <v>0.106569109632086</v>
      </c>
      <c r="AF23" s="4">
        <v>8.3564263868225297E-2</v>
      </c>
      <c r="AG23" s="4">
        <v>0.86605026757687298</v>
      </c>
      <c r="AH23" s="4">
        <v>0.96247260441173599</v>
      </c>
      <c r="AI23" s="4">
        <v>1</v>
      </c>
      <c r="AJ23" s="4">
        <v>1</v>
      </c>
      <c r="AK23" s="4">
        <v>1</v>
      </c>
      <c r="AL23" s="4">
        <v>1</v>
      </c>
      <c r="AM23" s="4">
        <v>0</v>
      </c>
      <c r="AN23" s="4">
        <v>0</v>
      </c>
      <c r="AO23" s="4" t="s">
        <v>150</v>
      </c>
      <c r="AP23" s="4" t="s">
        <v>134</v>
      </c>
      <c r="AQ23" s="6">
        <v>22377877373.740002</v>
      </c>
      <c r="AR23" s="4">
        <v>80933</v>
      </c>
      <c r="AS23" s="15">
        <v>0</v>
      </c>
      <c r="AT23" s="15">
        <v>42.304014087676698</v>
      </c>
      <c r="AU23" s="15">
        <v>42.304014087676698</v>
      </c>
      <c r="AV23" s="15">
        <v>57.695985912323202</v>
      </c>
      <c r="AW23" s="15">
        <v>57.695985912323202</v>
      </c>
      <c r="AX23" s="15">
        <v>0</v>
      </c>
    </row>
    <row r="24" spans="1:50" x14ac:dyDescent="0.25">
      <c r="A24">
        <v>97</v>
      </c>
      <c r="B24" s="4">
        <v>0.98672236249897805</v>
      </c>
      <c r="C24" s="4">
        <v>25.678760829067599</v>
      </c>
      <c r="D24" s="4">
        <v>14.819604752485199</v>
      </c>
      <c r="E24" s="4">
        <v>2.4427809608890599E-2</v>
      </c>
      <c r="F24" s="5">
        <v>1.32776375010212E-2</v>
      </c>
      <c r="G24" s="5">
        <v>0</v>
      </c>
      <c r="H24" s="4">
        <v>4.1715759439031803</v>
      </c>
      <c r="I24" s="4">
        <v>3.8064634881135802</v>
      </c>
      <c r="J24" s="4">
        <v>-7.9445009185613698</v>
      </c>
      <c r="K24" s="4">
        <v>62.390236810112597</v>
      </c>
      <c r="L24" s="4">
        <v>14.296381921543301</v>
      </c>
      <c r="M24" s="4">
        <v>18.0254387569092</v>
      </c>
      <c r="N24" s="4">
        <v>74.543544334805304</v>
      </c>
      <c r="O24" s="4">
        <v>65.017458900285604</v>
      </c>
      <c r="P24" s="4">
        <v>297842.77237579803</v>
      </c>
      <c r="Q24" s="4">
        <v>279246.358698303</v>
      </c>
      <c r="R24" s="4">
        <v>778.62580237578004</v>
      </c>
      <c r="S24" s="4">
        <v>0</v>
      </c>
      <c r="T24" s="4">
        <v>0</v>
      </c>
      <c r="U24" s="4">
        <v>0.16554870412829401</v>
      </c>
      <c r="V24" s="4">
        <v>0.58941463358870105</v>
      </c>
      <c r="W24" s="4">
        <v>0</v>
      </c>
      <c r="X24" s="4">
        <v>0.49759965054213601</v>
      </c>
      <c r="Y24" s="4">
        <v>0</v>
      </c>
      <c r="Z24" s="5">
        <v>3.69187472315579E-4</v>
      </c>
      <c r="AA24" s="5">
        <v>7.6977537436514703E-5</v>
      </c>
      <c r="AB24" s="10">
        <v>5.4438374478526404E-3</v>
      </c>
      <c r="AC24" s="10">
        <v>6.7859738543217998E-5</v>
      </c>
      <c r="AD24" s="10">
        <v>7.3197602498306698E-3</v>
      </c>
      <c r="AE24" s="4">
        <v>0.11036000377449599</v>
      </c>
      <c r="AF24" s="4">
        <v>6.8871881364802504E-2</v>
      </c>
      <c r="AG24" s="4">
        <v>0.85240549088414796</v>
      </c>
      <c r="AH24" s="4">
        <v>0.954619990302781</v>
      </c>
      <c r="AI24" s="4">
        <v>1</v>
      </c>
      <c r="AJ24" s="4">
        <v>1</v>
      </c>
      <c r="AK24" s="4">
        <v>1</v>
      </c>
      <c r="AL24" s="4">
        <v>1</v>
      </c>
      <c r="AM24" s="4">
        <v>0</v>
      </c>
      <c r="AN24" s="4">
        <v>0</v>
      </c>
      <c r="AO24" s="4" t="s">
        <v>151</v>
      </c>
      <c r="AP24" s="4" t="s">
        <v>135</v>
      </c>
      <c r="AQ24" s="6">
        <v>17494505126.09</v>
      </c>
      <c r="AR24" s="4">
        <v>62649</v>
      </c>
      <c r="AS24" s="15">
        <v>0</v>
      </c>
      <c r="AT24" s="15">
        <v>41.055488997048599</v>
      </c>
      <c r="AU24" s="15">
        <v>41.055488997048599</v>
      </c>
      <c r="AV24" s="15">
        <v>58.944511002951302</v>
      </c>
      <c r="AW24" s="15">
        <v>58.944511002951302</v>
      </c>
      <c r="AX24" s="15">
        <v>0</v>
      </c>
    </row>
    <row r="25" spans="1:50" x14ac:dyDescent="0.25">
      <c r="A25">
        <v>97</v>
      </c>
      <c r="B25" s="4">
        <v>0.986141484877048</v>
      </c>
      <c r="C25" s="4">
        <v>25.732333959417598</v>
      </c>
      <c r="D25" s="4">
        <v>15.4194025805882</v>
      </c>
      <c r="E25" s="4">
        <v>2.4486430953052401E-2</v>
      </c>
      <c r="F25" s="5">
        <v>1.38585151229518E-2</v>
      </c>
      <c r="G25" s="5">
        <v>0</v>
      </c>
      <c r="H25" s="4">
        <v>4.2076933283961999</v>
      </c>
      <c r="I25" s="4">
        <v>3.8090936637889601</v>
      </c>
      <c r="J25" s="4">
        <v>-5.0515423145023997</v>
      </c>
      <c r="K25" s="4">
        <v>67.437797596586805</v>
      </c>
      <c r="L25" s="4">
        <v>14.773111411760899</v>
      </c>
      <c r="M25" s="4">
        <v>18.140469605461298</v>
      </c>
      <c r="N25" s="4">
        <v>75.050091386554698</v>
      </c>
      <c r="O25" s="4">
        <v>65.386412069240606</v>
      </c>
      <c r="P25" s="4">
        <v>287814.41069052502</v>
      </c>
      <c r="Q25" s="4">
        <v>270237.23343210499</v>
      </c>
      <c r="R25" s="4">
        <v>777.84025560510804</v>
      </c>
      <c r="S25" s="4">
        <v>0</v>
      </c>
      <c r="T25" s="4">
        <v>0</v>
      </c>
      <c r="U25" s="4">
        <v>0.178763545384547</v>
      </c>
      <c r="V25" s="4">
        <v>0.59239970968339895</v>
      </c>
      <c r="W25" s="4">
        <v>0</v>
      </c>
      <c r="X25" s="4">
        <v>0.51347695632368795</v>
      </c>
      <c r="Y25" s="4">
        <v>0</v>
      </c>
      <c r="Z25" s="5">
        <v>3.6854460425407598E-4</v>
      </c>
      <c r="AA25" s="5">
        <v>8.2212532984434695E-5</v>
      </c>
      <c r="AB25" s="10">
        <v>5.5341895234564597E-3</v>
      </c>
      <c r="AC25" s="10">
        <v>7.9172420071424795E-5</v>
      </c>
      <c r="AD25" s="10">
        <v>7.7943808834831096E-3</v>
      </c>
      <c r="AE25" s="4">
        <v>0.11240211493677101</v>
      </c>
      <c r="AF25" s="4">
        <v>7.1716434273322194E-2</v>
      </c>
      <c r="AG25" s="4">
        <v>0.83279077794950995</v>
      </c>
      <c r="AH25" s="4">
        <v>0.94929455569405996</v>
      </c>
      <c r="AI25" s="4">
        <v>1</v>
      </c>
      <c r="AJ25" s="4">
        <v>1</v>
      </c>
      <c r="AK25" s="4">
        <v>1</v>
      </c>
      <c r="AL25" s="4">
        <v>1</v>
      </c>
      <c r="AM25" s="4">
        <v>0</v>
      </c>
      <c r="AN25" s="4">
        <v>0</v>
      </c>
      <c r="AO25" s="4" t="s">
        <v>152</v>
      </c>
      <c r="AP25" s="4" t="s">
        <v>136</v>
      </c>
      <c r="AQ25" s="6">
        <v>13415386979.27</v>
      </c>
      <c r="AR25" s="4">
        <v>49643</v>
      </c>
      <c r="AS25" s="15">
        <v>0</v>
      </c>
      <c r="AT25" s="15">
        <v>40.760029031659997</v>
      </c>
      <c r="AU25" s="15">
        <v>40.760029031659997</v>
      </c>
      <c r="AV25" s="15">
        <v>59.239970968339897</v>
      </c>
      <c r="AW25" s="15">
        <v>59.239970968339897</v>
      </c>
      <c r="AX25" s="15">
        <v>0</v>
      </c>
    </row>
    <row r="26" spans="1:50" x14ac:dyDescent="0.25">
      <c r="A26">
        <v>97</v>
      </c>
      <c r="B26" s="4">
        <v>0.98548019060851899</v>
      </c>
      <c r="C26" s="4">
        <v>28.9134252848052</v>
      </c>
      <c r="D26" s="4">
        <v>16.0975222980883</v>
      </c>
      <c r="E26" s="4">
        <v>2.8038716849718402E-2</v>
      </c>
      <c r="F26" s="5">
        <v>1.4519809391479999E-2</v>
      </c>
      <c r="G26" s="5">
        <v>0</v>
      </c>
      <c r="H26" s="4">
        <v>4.2395863954168096</v>
      </c>
      <c r="I26" s="4">
        <v>3.8105994375721299</v>
      </c>
      <c r="J26" s="4">
        <v>-2.3814144607151801</v>
      </c>
      <c r="K26" s="4">
        <v>72.406061128575502</v>
      </c>
      <c r="L26" s="4">
        <v>14.5705433105617</v>
      </c>
      <c r="M26" s="4">
        <v>18.278508882332599</v>
      </c>
      <c r="N26" s="4">
        <v>77.9713790193249</v>
      </c>
      <c r="O26" s="4">
        <v>67.791665513611903</v>
      </c>
      <c r="P26" s="4">
        <v>291264.85533165699</v>
      </c>
      <c r="Q26" s="4">
        <v>274004.11717062799</v>
      </c>
      <c r="R26" s="4">
        <v>777.26792642735302</v>
      </c>
      <c r="S26" s="4">
        <v>0</v>
      </c>
      <c r="T26" s="4">
        <v>0</v>
      </c>
      <c r="U26" s="4">
        <v>0.17551210881710599</v>
      </c>
      <c r="V26" s="4">
        <v>0.57909796853027395</v>
      </c>
      <c r="W26" s="4">
        <v>0</v>
      </c>
      <c r="X26" s="4">
        <v>0.49760422880354999</v>
      </c>
      <c r="Y26" s="4">
        <v>0</v>
      </c>
      <c r="Z26" s="5">
        <v>3.6876269009948501E-4</v>
      </c>
      <c r="AA26" s="5">
        <v>8.8753629758086901E-5</v>
      </c>
      <c r="AB26" s="10">
        <v>5.5168836935828398E-3</v>
      </c>
      <c r="AC26" s="10">
        <v>8.5784378179381898E-5</v>
      </c>
      <c r="AD26" s="10">
        <v>8.4596096384802408E-3</v>
      </c>
      <c r="AE26" s="4">
        <v>0.11453738134305499</v>
      </c>
      <c r="AF26" s="4">
        <v>5.94467173127727E-2</v>
      </c>
      <c r="AG26" s="4">
        <v>0.82399413143491396</v>
      </c>
      <c r="AH26" s="4">
        <v>0.94859901399437696</v>
      </c>
      <c r="AI26" s="4">
        <v>1</v>
      </c>
      <c r="AJ26" s="4">
        <v>1</v>
      </c>
      <c r="AK26" s="4">
        <v>1</v>
      </c>
      <c r="AL26" s="4">
        <v>1</v>
      </c>
      <c r="AM26" s="4">
        <v>0</v>
      </c>
      <c r="AN26" s="4">
        <v>0</v>
      </c>
      <c r="AO26" s="4" t="s">
        <v>72</v>
      </c>
      <c r="AP26" s="4" t="s">
        <v>73</v>
      </c>
      <c r="AQ26" s="6">
        <v>11261843219.83</v>
      </c>
      <c r="AR26" s="4">
        <v>41101</v>
      </c>
      <c r="AS26" s="15">
        <v>0</v>
      </c>
      <c r="AT26" s="15">
        <v>42.090203146972499</v>
      </c>
      <c r="AU26" s="15">
        <v>42.090203146972499</v>
      </c>
      <c r="AV26" s="15">
        <v>57.909796853027402</v>
      </c>
      <c r="AW26" s="15">
        <v>57.909796853027402</v>
      </c>
      <c r="AX26" s="15">
        <v>0</v>
      </c>
    </row>
    <row r="27" spans="1:50" x14ac:dyDescent="0.25">
      <c r="A27">
        <v>97</v>
      </c>
      <c r="B27" s="4">
        <v>0.98355013758346799</v>
      </c>
      <c r="C27" s="4">
        <v>30.129908018969701</v>
      </c>
      <c r="D27" s="4">
        <v>18.0482859027465</v>
      </c>
      <c r="E27" s="4">
        <v>2.9435781547390901E-2</v>
      </c>
      <c r="F27" s="5">
        <v>1.6449862416531201E-2</v>
      </c>
      <c r="G27" s="5">
        <v>0</v>
      </c>
      <c r="H27" s="4">
        <v>4.2889922499330497</v>
      </c>
      <c r="I27" s="4">
        <v>3.8187371924988098</v>
      </c>
      <c r="J27" s="4">
        <v>1.8159532919146699</v>
      </c>
      <c r="K27" s="4">
        <v>85.145305523583403</v>
      </c>
      <c r="L27" s="4">
        <v>14.6309052822791</v>
      </c>
      <c r="M27" s="4">
        <v>18.8134249323574</v>
      </c>
      <c r="N27" s="4">
        <v>81.896648066689195</v>
      </c>
      <c r="O27" s="4">
        <v>70.394387509519206</v>
      </c>
      <c r="P27" s="4">
        <v>290484.93635324202</v>
      </c>
      <c r="Q27" s="4">
        <v>272878.48099124897</v>
      </c>
      <c r="R27" s="4">
        <v>775.63585790525997</v>
      </c>
      <c r="S27" s="4">
        <v>0</v>
      </c>
      <c r="T27" s="4">
        <v>0</v>
      </c>
      <c r="U27" s="4">
        <v>0.18201142668098899</v>
      </c>
      <c r="V27" s="4">
        <v>0.562379271607369</v>
      </c>
      <c r="W27" s="4">
        <v>0</v>
      </c>
      <c r="X27" s="4">
        <v>0.46728360763726301</v>
      </c>
      <c r="Y27" s="4">
        <v>0</v>
      </c>
      <c r="Z27" s="5">
        <v>3.69054266182065E-4</v>
      </c>
      <c r="AA27" s="5">
        <v>1.03163065970649E-4</v>
      </c>
      <c r="AB27" s="10">
        <v>5.6618053923404403E-3</v>
      </c>
      <c r="AC27" s="10">
        <v>1.3190846078126801E-4</v>
      </c>
      <c r="AD27" s="10">
        <v>1.01839154651581E-2</v>
      </c>
      <c r="AE27" s="4">
        <v>0.12572808722824799</v>
      </c>
      <c r="AF27" s="4">
        <v>3.7692975747617097E-2</v>
      </c>
      <c r="AG27" s="4">
        <v>0.74245925379474198</v>
      </c>
      <c r="AH27" s="4">
        <v>0.92878983734843201</v>
      </c>
      <c r="AI27" s="4">
        <v>1</v>
      </c>
      <c r="AJ27" s="4">
        <v>1</v>
      </c>
      <c r="AK27" s="4">
        <v>1</v>
      </c>
      <c r="AL27" s="4">
        <v>1</v>
      </c>
      <c r="AM27" s="4">
        <v>0</v>
      </c>
      <c r="AN27" s="4">
        <v>0</v>
      </c>
      <c r="AO27" s="4" t="s">
        <v>74</v>
      </c>
      <c r="AP27" s="4" t="s">
        <v>75</v>
      </c>
      <c r="AQ27" s="6">
        <v>29031814471.139999</v>
      </c>
      <c r="AR27" s="4">
        <v>106391</v>
      </c>
      <c r="AS27" s="15">
        <v>0</v>
      </c>
      <c r="AT27" s="15">
        <v>43.753836499841697</v>
      </c>
      <c r="AU27" s="15">
        <v>43.753836499841697</v>
      </c>
      <c r="AV27" s="15">
        <v>56.246163500158197</v>
      </c>
      <c r="AW27" s="15">
        <v>56.246163500158197</v>
      </c>
      <c r="AX27" s="15">
        <v>0</v>
      </c>
    </row>
    <row r="28" spans="1:50" x14ac:dyDescent="0.25">
      <c r="A28">
        <v>97</v>
      </c>
      <c r="B28" s="4">
        <v>0.97945386381335497</v>
      </c>
      <c r="C28" s="4">
        <v>38.954905037364099</v>
      </c>
      <c r="D28" s="4">
        <v>22.051492203922098</v>
      </c>
      <c r="E28" s="4">
        <v>4.0295426454689302E-2</v>
      </c>
      <c r="F28" s="5">
        <v>2.0546136186643998E-2</v>
      </c>
      <c r="G28" s="5">
        <v>0</v>
      </c>
      <c r="H28" s="4">
        <v>4.4064788975177498</v>
      </c>
      <c r="I28" s="4">
        <v>3.81978702797324</v>
      </c>
      <c r="J28" s="4">
        <v>11.685613103404</v>
      </c>
      <c r="K28" s="4">
        <v>109.875312895671</v>
      </c>
      <c r="L28" s="4">
        <v>14.5827710078149</v>
      </c>
      <c r="M28" s="4">
        <v>19.788489882049699</v>
      </c>
      <c r="N28" s="4">
        <v>88.307442920789001</v>
      </c>
      <c r="O28" s="4">
        <v>74.524014177613907</v>
      </c>
      <c r="P28" s="4">
        <v>291187.88506296597</v>
      </c>
      <c r="Q28" s="4">
        <v>273786.26916339702</v>
      </c>
      <c r="R28" s="4">
        <v>772.54287191486299</v>
      </c>
      <c r="S28" s="4">
        <v>0</v>
      </c>
      <c r="T28" s="4">
        <v>0</v>
      </c>
      <c r="U28" s="4">
        <v>0.21963580049481399</v>
      </c>
      <c r="V28" s="4">
        <v>0.54337624307410404</v>
      </c>
      <c r="W28" s="4">
        <v>0</v>
      </c>
      <c r="X28" s="4">
        <v>0.40993076694981401</v>
      </c>
      <c r="Y28" s="4">
        <v>0</v>
      </c>
      <c r="Z28" s="5">
        <v>3.6970634306807999E-4</v>
      </c>
      <c r="AA28" s="5">
        <v>1.3515585370994299E-4</v>
      </c>
      <c r="AB28" s="10">
        <v>5.86861406602413E-3</v>
      </c>
      <c r="AC28" s="10">
        <v>2.8653340161510402E-4</v>
      </c>
      <c r="AD28" s="10">
        <v>1.3886109763296401E-2</v>
      </c>
      <c r="AE28" s="4">
        <v>0.145368555207119</v>
      </c>
      <c r="AF28" s="4">
        <v>1.5944920214287499E-2</v>
      </c>
      <c r="AG28" s="4">
        <v>0.573098646185208</v>
      </c>
      <c r="AH28" s="4">
        <v>0.85190380458669401</v>
      </c>
      <c r="AI28" s="4">
        <v>1</v>
      </c>
      <c r="AJ28" s="4">
        <v>1</v>
      </c>
      <c r="AK28" s="4">
        <v>1</v>
      </c>
      <c r="AL28" s="4">
        <v>1</v>
      </c>
      <c r="AM28" s="4">
        <v>0</v>
      </c>
      <c r="AN28" s="4">
        <v>0</v>
      </c>
      <c r="AO28" s="4" t="s">
        <v>76</v>
      </c>
      <c r="AP28" s="4" t="s">
        <v>77</v>
      </c>
      <c r="AQ28" s="6">
        <v>8934193535.3400002</v>
      </c>
      <c r="AR28" s="4">
        <v>32632</v>
      </c>
      <c r="AS28" s="15">
        <v>0</v>
      </c>
      <c r="AT28" s="15">
        <v>45.662375692589499</v>
      </c>
      <c r="AU28" s="15">
        <v>45.662375692589499</v>
      </c>
      <c r="AV28" s="15">
        <v>54.337624307410401</v>
      </c>
      <c r="AW28" s="15">
        <v>54.337624307410401</v>
      </c>
      <c r="AX28" s="15">
        <v>0</v>
      </c>
    </row>
    <row r="29" spans="1:50" x14ac:dyDescent="0.25">
      <c r="A29">
        <v>97</v>
      </c>
      <c r="B29" s="4">
        <v>0.97476738571611599</v>
      </c>
      <c r="C29" s="4">
        <v>43.363346347877602</v>
      </c>
      <c r="D29" s="4">
        <v>26.411173263066001</v>
      </c>
      <c r="E29" s="4">
        <v>4.62714164341229E-2</v>
      </c>
      <c r="F29" s="5">
        <v>2.5232614283883299E-2</v>
      </c>
      <c r="G29" s="5">
        <v>0</v>
      </c>
      <c r="H29" s="4">
        <v>4.5835683627371999</v>
      </c>
      <c r="I29" s="4">
        <v>3.8260864161775698</v>
      </c>
      <c r="J29" s="4">
        <v>26.131892370604302</v>
      </c>
      <c r="K29" s="4">
        <v>134.559834669472</v>
      </c>
      <c r="L29" s="4">
        <v>14.6751817604835</v>
      </c>
      <c r="M29" s="4">
        <v>20.601579572041899</v>
      </c>
      <c r="N29" s="4">
        <v>91.100848750010897</v>
      </c>
      <c r="O29" s="4">
        <v>75.831773187491095</v>
      </c>
      <c r="P29" s="4">
        <v>289796.679498101</v>
      </c>
      <c r="Q29" s="4">
        <v>272074.44989901298</v>
      </c>
      <c r="R29" s="4">
        <v>770.15433473836299</v>
      </c>
      <c r="S29" s="4">
        <v>0</v>
      </c>
      <c r="T29" s="4">
        <v>0</v>
      </c>
      <c r="U29" s="4">
        <v>0.26872841891639498</v>
      </c>
      <c r="V29" s="4">
        <v>0.54554839900705898</v>
      </c>
      <c r="W29" s="4">
        <v>0</v>
      </c>
      <c r="X29" s="4">
        <v>0.383930756535655</v>
      </c>
      <c r="Y29" s="4">
        <v>0</v>
      </c>
      <c r="Z29" s="5">
        <v>3.6875835587902499E-4</v>
      </c>
      <c r="AA29" s="5">
        <v>1.9580211837811899E-4</v>
      </c>
      <c r="AB29" s="10">
        <v>6.1148212265898904E-3</v>
      </c>
      <c r="AC29" s="10">
        <v>5.1210778851051603E-4</v>
      </c>
      <c r="AD29" s="10">
        <v>1.8041107030295E-2</v>
      </c>
      <c r="AE29" s="4">
        <v>0.163056246929458</v>
      </c>
      <c r="AF29" s="4">
        <v>4.7654075428243698E-3</v>
      </c>
      <c r="AG29" s="4">
        <v>0.41030895752171198</v>
      </c>
      <c r="AH29" s="4">
        <v>0.75017076826084195</v>
      </c>
      <c r="AI29" s="4">
        <v>1</v>
      </c>
      <c r="AJ29" s="4">
        <v>1</v>
      </c>
      <c r="AK29" s="4">
        <v>1</v>
      </c>
      <c r="AL29" s="4">
        <v>1</v>
      </c>
      <c r="AM29" s="4">
        <v>0</v>
      </c>
      <c r="AN29" s="4">
        <v>0</v>
      </c>
      <c r="AO29" s="4" t="s">
        <v>78</v>
      </c>
      <c r="AP29" s="4" t="s">
        <v>79</v>
      </c>
      <c r="AQ29" s="6">
        <v>2370856756.4200001</v>
      </c>
      <c r="AR29" s="4">
        <v>8714</v>
      </c>
      <c r="AS29" s="15">
        <v>0</v>
      </c>
      <c r="AT29" s="15">
        <v>45.445160099294</v>
      </c>
      <c r="AU29" s="15">
        <v>45.445160099294</v>
      </c>
      <c r="AV29" s="15">
        <v>54.5548399007059</v>
      </c>
      <c r="AW29" s="15">
        <v>54.5548399007059</v>
      </c>
      <c r="AX29" s="15">
        <v>0</v>
      </c>
    </row>
    <row r="30" spans="1:50" x14ac:dyDescent="0.25">
      <c r="A30">
        <v>97</v>
      </c>
      <c r="B30" s="4">
        <v>0.96954789045155199</v>
      </c>
      <c r="C30" s="4">
        <v>52.058629558868901</v>
      </c>
      <c r="D30" s="4">
        <v>31.002844128211098</v>
      </c>
      <c r="E30" s="4">
        <v>5.9426936606921499E-2</v>
      </c>
      <c r="F30" s="5">
        <v>3.0452109548447799E-2</v>
      </c>
      <c r="G30" s="5">
        <v>0</v>
      </c>
      <c r="H30" s="4">
        <v>4.7418270322815399</v>
      </c>
      <c r="I30" s="4">
        <v>3.8104598633482301</v>
      </c>
      <c r="J30" s="4">
        <v>40.912482365175599</v>
      </c>
      <c r="K30" s="4">
        <v>158.33424860714999</v>
      </c>
      <c r="L30" s="4">
        <v>14.8446090847335</v>
      </c>
      <c r="M30" s="4">
        <v>21.100922571018401</v>
      </c>
      <c r="N30" s="4">
        <v>92.4796392022416</v>
      </c>
      <c r="O30" s="4">
        <v>76.033695919522302</v>
      </c>
      <c r="P30" s="4">
        <v>286767.62361687497</v>
      </c>
      <c r="Q30" s="4">
        <v>268976.59007259499</v>
      </c>
      <c r="R30" s="4">
        <v>767.81964997664602</v>
      </c>
      <c r="S30" s="4">
        <v>0</v>
      </c>
      <c r="T30" s="4">
        <v>0</v>
      </c>
      <c r="U30" s="4">
        <v>0.32796195111224302</v>
      </c>
      <c r="V30" s="4">
        <v>0.52006175060043702</v>
      </c>
      <c r="W30" s="4">
        <v>0</v>
      </c>
      <c r="X30" s="4">
        <v>0.42606259586177098</v>
      </c>
      <c r="Y30" s="4">
        <v>0</v>
      </c>
      <c r="Z30" s="5">
        <v>3.7397315233248202E-4</v>
      </c>
      <c r="AA30" s="5">
        <v>2.4616361132548999E-4</v>
      </c>
      <c r="AB30" s="10">
        <v>6.26741606669732E-3</v>
      </c>
      <c r="AC30" s="10">
        <v>7.53078208862845E-4</v>
      </c>
      <c r="AD30" s="10">
        <v>2.2811460049691899E-2</v>
      </c>
      <c r="AE30" s="4">
        <v>0.17650627513199801</v>
      </c>
      <c r="AF30" s="4">
        <v>4.5310305145780201E-3</v>
      </c>
      <c r="AG30" s="4">
        <v>0.31790552485648899</v>
      </c>
      <c r="AH30" s="4">
        <v>0.62361421470044698</v>
      </c>
      <c r="AI30" s="4">
        <v>1</v>
      </c>
      <c r="AJ30" s="4">
        <v>1</v>
      </c>
      <c r="AK30" s="4">
        <v>1</v>
      </c>
      <c r="AL30" s="4">
        <v>1</v>
      </c>
      <c r="AM30" s="4">
        <v>0</v>
      </c>
      <c r="AN30" s="4">
        <v>0</v>
      </c>
      <c r="AO30" s="4" t="s">
        <v>80</v>
      </c>
      <c r="AP30" s="4" t="s">
        <v>81</v>
      </c>
      <c r="AQ30" s="6">
        <v>444618303.38999999</v>
      </c>
      <c r="AR30" s="4">
        <v>1653</v>
      </c>
      <c r="AS30" s="15">
        <v>0</v>
      </c>
      <c r="AT30" s="15">
        <v>47.993824939956198</v>
      </c>
      <c r="AU30" s="15">
        <v>47.993824939956198</v>
      </c>
      <c r="AV30" s="15">
        <v>52.006175060043702</v>
      </c>
      <c r="AW30" s="15">
        <v>52.006175060043702</v>
      </c>
      <c r="AX30" s="15">
        <v>0</v>
      </c>
    </row>
    <row r="31" spans="1:50" x14ac:dyDescent="0.25">
      <c r="A31">
        <v>97</v>
      </c>
      <c r="B31" s="4">
        <v>0.96315263288628705</v>
      </c>
      <c r="C31" s="4">
        <v>65.682372053316996</v>
      </c>
      <c r="D31" s="4">
        <v>36.270370450470402</v>
      </c>
      <c r="E31" s="4">
        <v>8.5269615729516898E-2</v>
      </c>
      <c r="F31" s="5">
        <v>3.6847367113712899E-2</v>
      </c>
      <c r="G31" s="5">
        <v>0</v>
      </c>
      <c r="H31" s="4">
        <v>4.9545763241443597</v>
      </c>
      <c r="I31" s="4">
        <v>3.8193359061202101</v>
      </c>
      <c r="J31" s="4">
        <v>58.162217111726498</v>
      </c>
      <c r="K31" s="4">
        <v>183.00733235348699</v>
      </c>
      <c r="L31" s="4">
        <v>15.2904620245511</v>
      </c>
      <c r="M31" s="4">
        <v>21.702590313250401</v>
      </c>
      <c r="N31" s="4">
        <v>93.247837052129796</v>
      </c>
      <c r="O31" s="4">
        <v>75.856795860170195</v>
      </c>
      <c r="P31" s="4">
        <v>279876.48866802402</v>
      </c>
      <c r="Q31" s="4">
        <v>261147.61481481401</v>
      </c>
      <c r="R31" s="4">
        <v>766.37348773360497</v>
      </c>
      <c r="S31" s="4">
        <v>0</v>
      </c>
      <c r="T31" s="4">
        <v>0</v>
      </c>
      <c r="U31" s="4">
        <v>0.23961260718744601</v>
      </c>
      <c r="V31" s="4">
        <v>0.48839494155256802</v>
      </c>
      <c r="W31" s="4">
        <v>0</v>
      </c>
      <c r="X31" s="4">
        <v>0.37735595999515298</v>
      </c>
      <c r="Y31" s="4">
        <v>0</v>
      </c>
      <c r="Z31" s="5">
        <v>3.7615325087663501E-4</v>
      </c>
      <c r="AA31" s="5">
        <v>3.6027907756168702E-4</v>
      </c>
      <c r="AB31" s="10">
        <v>6.4935923375948404E-3</v>
      </c>
      <c r="AC31" s="10">
        <v>9.3139481214151495E-4</v>
      </c>
      <c r="AD31" s="10">
        <v>2.8685928516263701E-2</v>
      </c>
      <c r="AE31" s="4">
        <v>0.18752714633803599</v>
      </c>
      <c r="AF31" s="4">
        <v>0</v>
      </c>
      <c r="AG31" s="4">
        <v>0.200858109214445</v>
      </c>
      <c r="AH31" s="4">
        <v>0.48049075619401899</v>
      </c>
      <c r="AI31" s="4">
        <v>1</v>
      </c>
      <c r="AJ31" s="4">
        <v>1</v>
      </c>
      <c r="AK31" s="4">
        <v>1</v>
      </c>
      <c r="AL31" s="4">
        <v>1</v>
      </c>
      <c r="AM31" s="4">
        <v>0</v>
      </c>
      <c r="AN31" s="4">
        <v>0</v>
      </c>
      <c r="AO31" s="4" t="s">
        <v>82</v>
      </c>
      <c r="AP31" s="4" t="s">
        <v>83</v>
      </c>
      <c r="AQ31" s="6">
        <v>49356899.200000003</v>
      </c>
      <c r="AR31" s="4">
        <v>189</v>
      </c>
      <c r="AS31" s="15">
        <v>0</v>
      </c>
      <c r="AT31" s="15">
        <v>51.160505844743099</v>
      </c>
      <c r="AU31" s="15">
        <v>51.160505844743099</v>
      </c>
      <c r="AV31" s="15">
        <v>48.839494155256801</v>
      </c>
      <c r="AW31" s="15">
        <v>48.839494155256801</v>
      </c>
      <c r="AX31" s="15">
        <v>0</v>
      </c>
    </row>
    <row r="32" spans="1:50" x14ac:dyDescent="0.25">
      <c r="A32">
        <v>97</v>
      </c>
      <c r="B32" s="4">
        <v>0.96171818095592498</v>
      </c>
      <c r="C32" s="4">
        <v>94.0512035512523</v>
      </c>
      <c r="D32" s="4">
        <v>37.400060171673502</v>
      </c>
      <c r="E32" s="4">
        <v>0.20955966708731</v>
      </c>
      <c r="F32" s="5">
        <v>3.8281819044074003E-2</v>
      </c>
      <c r="G32" s="5">
        <v>0</v>
      </c>
      <c r="H32" s="4">
        <v>5.1176122626481204</v>
      </c>
      <c r="I32" s="4">
        <v>3.8034604979234001</v>
      </c>
      <c r="J32" s="4">
        <v>72.032955173815196</v>
      </c>
      <c r="K32" s="4">
        <v>203.70253597806999</v>
      </c>
      <c r="L32" s="4">
        <v>15.29574970314</v>
      </c>
      <c r="M32" s="4">
        <v>22.005306146162901</v>
      </c>
      <c r="N32" s="4">
        <v>91.060496408354794</v>
      </c>
      <c r="O32" s="4">
        <v>74.911131239741295</v>
      </c>
      <c r="P32" s="4">
        <v>287554.10702240001</v>
      </c>
      <c r="Q32" s="4">
        <v>261070.33066666601</v>
      </c>
      <c r="R32" s="4">
        <v>771.00948061770805</v>
      </c>
      <c r="S32" s="4">
        <v>0</v>
      </c>
      <c r="T32" s="4">
        <v>0</v>
      </c>
      <c r="U32" s="4">
        <v>6.3892119123884802E-2</v>
      </c>
      <c r="V32" s="4">
        <v>0.68314680139218398</v>
      </c>
      <c r="W32" s="4">
        <v>0</v>
      </c>
      <c r="X32" s="4">
        <v>0.35103800483944098</v>
      </c>
      <c r="Y32" s="4">
        <v>0</v>
      </c>
      <c r="Z32" s="5">
        <v>3.6019193153754902E-4</v>
      </c>
      <c r="AA32" s="5">
        <v>5.7121595781390601E-4</v>
      </c>
      <c r="AB32" s="10">
        <v>6.26109612940605E-3</v>
      </c>
      <c r="AC32" s="10">
        <v>1.25600329691427E-3</v>
      </c>
      <c r="AD32" s="10">
        <v>2.9833293758677399E-2</v>
      </c>
      <c r="AE32" s="4">
        <v>0.182454479685348</v>
      </c>
      <c r="AF32" s="4">
        <v>0</v>
      </c>
      <c r="AG32" s="4">
        <v>0.186779561949763</v>
      </c>
      <c r="AH32" s="4">
        <v>0.55165765599980199</v>
      </c>
      <c r="AI32" s="4">
        <v>1</v>
      </c>
      <c r="AJ32" s="4">
        <v>1</v>
      </c>
      <c r="AK32" s="4">
        <v>1</v>
      </c>
      <c r="AL32" s="4">
        <v>1</v>
      </c>
      <c r="AM32" s="4">
        <v>0</v>
      </c>
      <c r="AN32" s="4">
        <v>0</v>
      </c>
      <c r="AO32" s="4" t="s">
        <v>84</v>
      </c>
      <c r="AP32" s="4" t="s">
        <v>85</v>
      </c>
      <c r="AQ32" s="6">
        <v>3916054.96</v>
      </c>
      <c r="AR32" s="4">
        <v>15</v>
      </c>
      <c r="AS32" s="15">
        <v>0</v>
      </c>
      <c r="AT32" s="15">
        <v>31.685319860781501</v>
      </c>
      <c r="AU32" s="15">
        <v>31.685319860781501</v>
      </c>
      <c r="AV32" s="15">
        <v>68.314680139218396</v>
      </c>
      <c r="AW32" s="15">
        <v>68.314680139218396</v>
      </c>
      <c r="AX32" s="15">
        <v>0</v>
      </c>
    </row>
    <row r="33" spans="1:50" x14ac:dyDescent="0.25">
      <c r="B33" s="4"/>
      <c r="C33" s="4"/>
      <c r="D33" s="4"/>
      <c r="E33" s="4"/>
      <c r="F33" s="5"/>
      <c r="G33" s="5"/>
      <c r="H33" s="4"/>
      <c r="I33" s="4"/>
      <c r="J33" s="4"/>
      <c r="K33" s="4"/>
      <c r="L33" s="4"/>
      <c r="M33" s="4"/>
      <c r="N33" s="4"/>
      <c r="O33" s="4"/>
      <c r="P33" s="4"/>
      <c r="Q33" s="4"/>
      <c r="R33" s="4"/>
      <c r="S33" s="4"/>
      <c r="T33" s="4"/>
      <c r="U33" s="4"/>
      <c r="V33" s="4"/>
      <c r="W33" s="4"/>
      <c r="X33" s="4"/>
      <c r="Y33" s="4"/>
      <c r="Z33" s="5"/>
      <c r="AA33" s="5"/>
      <c r="AB33" s="10"/>
      <c r="AC33" s="10"/>
      <c r="AD33" s="10"/>
      <c r="AE33" s="4"/>
      <c r="AF33" s="4"/>
      <c r="AG33" s="4"/>
      <c r="AH33" s="4"/>
      <c r="AI33" s="4"/>
      <c r="AJ33" s="4"/>
      <c r="AK33" s="4"/>
      <c r="AL33" s="4"/>
      <c r="AM33" s="4"/>
      <c r="AN33" s="4"/>
      <c r="AO33" s="4"/>
      <c r="AP33" s="4"/>
      <c r="AQ33" s="6"/>
      <c r="AR33" s="4"/>
      <c r="AS33" s="15"/>
      <c r="AT33" s="15"/>
      <c r="AU33" s="15"/>
      <c r="AV33" s="15"/>
      <c r="AW33" s="15"/>
      <c r="AX33" s="15"/>
    </row>
    <row r="34" spans="1:50" x14ac:dyDescent="0.25">
      <c r="B34" s="4"/>
      <c r="C34" s="4"/>
      <c r="D34" s="4"/>
      <c r="E34" s="4"/>
      <c r="F34" s="5"/>
      <c r="G34" s="5"/>
      <c r="H34" s="4"/>
      <c r="I34" s="4"/>
      <c r="J34" s="4"/>
      <c r="K34" s="4"/>
      <c r="L34" s="4"/>
      <c r="M34" s="4"/>
      <c r="N34" s="4"/>
      <c r="O34" s="4"/>
      <c r="P34" s="4"/>
      <c r="Q34" s="4"/>
      <c r="R34" s="4"/>
      <c r="S34" s="4"/>
      <c r="T34" s="4"/>
      <c r="U34" s="4"/>
      <c r="V34" s="4"/>
      <c r="W34" s="4"/>
      <c r="X34" s="4"/>
      <c r="Y34" s="4"/>
      <c r="Z34" s="5"/>
      <c r="AA34" s="5"/>
      <c r="AB34" s="10"/>
      <c r="AC34" s="10"/>
      <c r="AD34" s="10"/>
      <c r="AE34" s="4"/>
      <c r="AF34" s="4"/>
      <c r="AG34" s="4"/>
      <c r="AH34" s="4"/>
      <c r="AI34" s="4"/>
      <c r="AJ34" s="4"/>
      <c r="AK34" s="4"/>
      <c r="AL34" s="4"/>
      <c r="AM34" s="4"/>
      <c r="AN34" s="4"/>
      <c r="AO34" s="4"/>
      <c r="AP34" s="4"/>
      <c r="AQ34" s="6"/>
      <c r="AR34" s="4"/>
      <c r="AS34" s="15"/>
      <c r="AT34" s="15"/>
      <c r="AU34" s="15"/>
      <c r="AV34" s="15"/>
      <c r="AW34" s="15"/>
      <c r="AX34" s="15"/>
    </row>
    <row r="36" spans="1:50" x14ac:dyDescent="0.25">
      <c r="F36" t="s">
        <v>167</v>
      </c>
    </row>
    <row r="37" spans="1:50" x14ac:dyDescent="0.25">
      <c r="A37" t="s">
        <v>20</v>
      </c>
      <c r="B37" t="s">
        <v>21</v>
      </c>
      <c r="C37" t="s">
        <v>22</v>
      </c>
      <c r="D37" t="s">
        <v>23</v>
      </c>
      <c r="E37" t="s">
        <v>94</v>
      </c>
      <c r="F37" t="s">
        <v>95</v>
      </c>
      <c r="G37" t="s">
        <v>24</v>
      </c>
      <c r="H37" t="s">
        <v>25</v>
      </c>
      <c r="I37" t="s">
        <v>26</v>
      </c>
      <c r="J37" t="s">
        <v>27</v>
      </c>
      <c r="K37" t="s">
        <v>28</v>
      </c>
      <c r="L37" t="s">
        <v>29</v>
      </c>
      <c r="M37" t="s">
        <v>30</v>
      </c>
      <c r="N37" t="s">
        <v>31</v>
      </c>
      <c r="O37" t="s">
        <v>32</v>
      </c>
      <c r="P37" t="s">
        <v>33</v>
      </c>
      <c r="Q37" t="s">
        <v>34</v>
      </c>
      <c r="R37" t="s">
        <v>35</v>
      </c>
      <c r="S37" t="s">
        <v>36</v>
      </c>
      <c r="T37" t="s">
        <v>37</v>
      </c>
      <c r="U37" t="s">
        <v>38</v>
      </c>
      <c r="V37" t="s">
        <v>39</v>
      </c>
      <c r="W37" t="s">
        <v>40</v>
      </c>
      <c r="X37" t="s">
        <v>41</v>
      </c>
      <c r="Y37" t="s">
        <v>42</v>
      </c>
      <c r="Z37" t="s">
        <v>43</v>
      </c>
      <c r="AA37" t="s">
        <v>44</v>
      </c>
      <c r="AB37" t="s">
        <v>45</v>
      </c>
      <c r="AC37" t="s">
        <v>46</v>
      </c>
      <c r="AD37" t="s">
        <v>47</v>
      </c>
      <c r="AE37" t="s">
        <v>48</v>
      </c>
      <c r="AF37" t="s">
        <v>49</v>
      </c>
      <c r="AG37" t="s">
        <v>50</v>
      </c>
      <c r="AH37" t="s">
        <v>51</v>
      </c>
      <c r="AI37" t="s">
        <v>52</v>
      </c>
      <c r="AJ37" t="s">
        <v>53</v>
      </c>
      <c r="AK37" t="s">
        <v>54</v>
      </c>
      <c r="AL37" t="s">
        <v>55</v>
      </c>
      <c r="AM37" t="s">
        <v>56</v>
      </c>
      <c r="AN37" t="s">
        <v>57</v>
      </c>
      <c r="AO37" t="s">
        <v>58</v>
      </c>
      <c r="AP37" t="s">
        <v>59</v>
      </c>
      <c r="AQ37" t="s">
        <v>60</v>
      </c>
      <c r="AR37" t="s">
        <v>61</v>
      </c>
      <c r="AS37" t="s">
        <v>116</v>
      </c>
      <c r="AT37" t="s">
        <v>117</v>
      </c>
      <c r="AU37" t="s">
        <v>118</v>
      </c>
      <c r="AV37" t="s">
        <v>119</v>
      </c>
      <c r="AW37" t="s">
        <v>120</v>
      </c>
      <c r="AX37" t="s">
        <v>121</v>
      </c>
    </row>
    <row r="38" spans="1:50" x14ac:dyDescent="0.25">
      <c r="A38">
        <v>96</v>
      </c>
      <c r="B38" s="4">
        <v>0.98839691295162402</v>
      </c>
      <c r="C38" s="4">
        <v>96.635072994504696</v>
      </c>
      <c r="D38" s="4">
        <v>13.068622054212801</v>
      </c>
      <c r="E38" s="4">
        <v>0.246214167387873</v>
      </c>
      <c r="F38" s="5">
        <v>1.16030870483756E-2</v>
      </c>
      <c r="G38" s="5">
        <v>0</v>
      </c>
      <c r="H38" s="4">
        <v>3.4287964166450302</v>
      </c>
      <c r="I38" s="4">
        <v>3.91704975017845</v>
      </c>
      <c r="J38" s="4">
        <v>-60.571903422629902</v>
      </c>
      <c r="K38" s="4">
        <v>-108.578018402354</v>
      </c>
      <c r="L38" s="4">
        <v>100</v>
      </c>
      <c r="M38" s="4">
        <v>13.3720061524357</v>
      </c>
      <c r="N38" s="4">
        <v>76.773095921128601</v>
      </c>
      <c r="O38" s="4">
        <v>12.785691774995</v>
      </c>
      <c r="P38" s="4">
        <v>34194.875474468201</v>
      </c>
      <c r="Q38" s="4">
        <v>31481.2983333333</v>
      </c>
      <c r="R38" s="4">
        <v>792.65592773360299</v>
      </c>
      <c r="S38" s="4">
        <v>0</v>
      </c>
      <c r="T38" s="4">
        <v>0</v>
      </c>
      <c r="U38" s="4">
        <v>6.0023572725373002E-2</v>
      </c>
      <c r="V38" s="4">
        <v>0.43037133316028497</v>
      </c>
      <c r="W38" s="4">
        <v>0</v>
      </c>
      <c r="X38" s="4">
        <v>6.0023572725373002E-2</v>
      </c>
      <c r="Y38" s="4">
        <v>0</v>
      </c>
      <c r="Z38" s="5">
        <v>5.5161512962823003E-3</v>
      </c>
      <c r="AA38" s="5">
        <v>1.2412018925098301E-5</v>
      </c>
      <c r="AB38" s="10">
        <v>6.0745137331682398E-3</v>
      </c>
      <c r="AC38" s="10">
        <v>0</v>
      </c>
      <c r="AD38" s="10">
        <v>0</v>
      </c>
      <c r="AE38" s="4">
        <v>5.9792222330949697E-2</v>
      </c>
      <c r="AF38" s="4">
        <v>0.396959379957804</v>
      </c>
      <c r="AG38" s="4">
        <v>1</v>
      </c>
      <c r="AH38" s="4">
        <v>1</v>
      </c>
      <c r="AI38" s="4">
        <v>1</v>
      </c>
      <c r="AJ38" s="4">
        <v>1</v>
      </c>
      <c r="AK38" s="4">
        <v>1</v>
      </c>
      <c r="AL38" s="4">
        <v>1</v>
      </c>
      <c r="AM38" s="4">
        <v>0</v>
      </c>
      <c r="AN38" s="4">
        <v>0</v>
      </c>
      <c r="AO38" s="4" t="s">
        <v>63</v>
      </c>
      <c r="AP38" s="4">
        <f>-125--100</f>
        <v>-25</v>
      </c>
      <c r="AQ38" s="6">
        <v>188887.79</v>
      </c>
      <c r="AR38" s="4">
        <v>6</v>
      </c>
      <c r="AS38" s="15">
        <v>0</v>
      </c>
      <c r="AT38" s="15">
        <v>56.962866683971399</v>
      </c>
      <c r="AU38" s="15">
        <v>56.962866683971399</v>
      </c>
      <c r="AV38" s="15">
        <v>43.037133316028502</v>
      </c>
      <c r="AW38" s="15">
        <v>43.037133316028502</v>
      </c>
      <c r="AX38" s="15">
        <v>0</v>
      </c>
    </row>
    <row r="39" spans="1:50" x14ac:dyDescent="0.25">
      <c r="A39">
        <v>96</v>
      </c>
      <c r="B39" s="4">
        <v>0.98826771349354703</v>
      </c>
      <c r="C39" s="4">
        <v>49.843412446041498</v>
      </c>
      <c r="D39" s="4">
        <v>13.2048841028396</v>
      </c>
      <c r="E39" s="4">
        <v>5.5879708576945603E-2</v>
      </c>
      <c r="F39" s="5">
        <v>1.17322865064528E-2</v>
      </c>
      <c r="G39" s="5">
        <v>0</v>
      </c>
      <c r="H39" s="4">
        <v>3.4420777735950598</v>
      </c>
      <c r="I39" s="4">
        <v>3.9164769328445201</v>
      </c>
      <c r="J39" s="4">
        <v>-59.517625870796103</v>
      </c>
      <c r="K39" s="4">
        <v>-81.597641416613001</v>
      </c>
      <c r="L39" s="4">
        <v>68.465588986040203</v>
      </c>
      <c r="M39" s="4">
        <v>14.548948065077701</v>
      </c>
      <c r="N39" s="4">
        <v>71.385985516596406</v>
      </c>
      <c r="O39" s="4">
        <v>24.9343409415644</v>
      </c>
      <c r="P39" s="4">
        <v>117969.24064847099</v>
      </c>
      <c r="Q39" s="4">
        <v>40852.783265306098</v>
      </c>
      <c r="R39" s="4">
        <v>786.04463125580799</v>
      </c>
      <c r="S39" s="4">
        <v>0</v>
      </c>
      <c r="T39" s="4">
        <v>0</v>
      </c>
      <c r="U39" s="4">
        <v>2.7485083931216799E-2</v>
      </c>
      <c r="V39" s="4">
        <v>0.68664471913664704</v>
      </c>
      <c r="W39" s="4">
        <v>0</v>
      </c>
      <c r="X39" s="4">
        <v>5.8346254042684897E-2</v>
      </c>
      <c r="Y39" s="4">
        <v>0</v>
      </c>
      <c r="Z39" s="5">
        <v>4.3983282513129001E-3</v>
      </c>
      <c r="AA39" s="5">
        <v>3.4939807129436697E-5</v>
      </c>
      <c r="AB39" s="10">
        <v>7.0998510279103796E-3</v>
      </c>
      <c r="AC39" s="10">
        <v>3.0794399622034899E-6</v>
      </c>
      <c r="AD39" s="10">
        <v>1.9607821022762299E-4</v>
      </c>
      <c r="AE39" s="4">
        <v>9.21135829391653E-2</v>
      </c>
      <c r="AF39" s="4">
        <v>0.20636363473176</v>
      </c>
      <c r="AG39" s="4">
        <v>0.92741588140888398</v>
      </c>
      <c r="AH39" s="4">
        <v>1</v>
      </c>
      <c r="AI39" s="4">
        <v>1</v>
      </c>
      <c r="AJ39" s="4">
        <v>1</v>
      </c>
      <c r="AK39" s="4">
        <v>1</v>
      </c>
      <c r="AL39" s="4">
        <v>1</v>
      </c>
      <c r="AM39" s="4">
        <v>0</v>
      </c>
      <c r="AN39" s="4">
        <v>0</v>
      </c>
      <c r="AO39" s="4" t="s">
        <v>64</v>
      </c>
      <c r="AP39" s="4">
        <f>-100--75</f>
        <v>-25</v>
      </c>
      <c r="AQ39" s="6">
        <v>6005359.1399999997</v>
      </c>
      <c r="AR39" s="4">
        <v>147</v>
      </c>
      <c r="AS39" s="15">
        <v>0</v>
      </c>
      <c r="AT39" s="15">
        <v>31.335528086335199</v>
      </c>
      <c r="AU39" s="15">
        <v>31.335528086335199</v>
      </c>
      <c r="AV39" s="15">
        <v>68.664471913664698</v>
      </c>
      <c r="AW39" s="15">
        <v>68.664471913664698</v>
      </c>
      <c r="AX39" s="15">
        <v>0</v>
      </c>
    </row>
    <row r="40" spans="1:50" x14ac:dyDescent="0.25">
      <c r="A40">
        <v>96</v>
      </c>
      <c r="B40" s="4">
        <v>0.99029962011811401</v>
      </c>
      <c r="C40" s="4">
        <v>38.817419629464197</v>
      </c>
      <c r="D40" s="4">
        <v>11.039062819933299</v>
      </c>
      <c r="E40" s="4">
        <v>4.0115492029250598E-2</v>
      </c>
      <c r="F40" s="5">
        <v>9.7003798818854001E-3</v>
      </c>
      <c r="G40" s="5">
        <v>0</v>
      </c>
      <c r="H40" s="4">
        <v>3.4962707191612101</v>
      </c>
      <c r="I40" s="4">
        <v>3.8952663717381002</v>
      </c>
      <c r="J40" s="4">
        <v>-53.707825071717302</v>
      </c>
      <c r="K40" s="4">
        <v>-57.582086422781103</v>
      </c>
      <c r="L40" s="4">
        <v>45.4142541041237</v>
      </c>
      <c r="M40" s="4">
        <v>15.142775015815699</v>
      </c>
      <c r="N40" s="4">
        <v>73.296275862445697</v>
      </c>
      <c r="O40" s="4">
        <v>43.303250407380702</v>
      </c>
      <c r="P40" s="4">
        <v>173908.23575928801</v>
      </c>
      <c r="Q40" s="4">
        <v>63191.424262773697</v>
      </c>
      <c r="R40" s="4">
        <v>782.07674140783899</v>
      </c>
      <c r="S40" s="4">
        <v>0</v>
      </c>
      <c r="T40" s="4">
        <v>0</v>
      </c>
      <c r="U40" s="4">
        <v>5.4816653512266902E-2</v>
      </c>
      <c r="V40" s="4">
        <v>0.72447447238175799</v>
      </c>
      <c r="W40" s="4">
        <v>0</v>
      </c>
      <c r="X40" s="4">
        <v>0.21958318038074301</v>
      </c>
      <c r="Y40" s="4">
        <v>0</v>
      </c>
      <c r="Z40" s="5">
        <v>2.37775269006528E-3</v>
      </c>
      <c r="AA40" s="5">
        <v>3.8438749550962903E-5</v>
      </c>
      <c r="AB40" s="10">
        <v>6.1975187592755304E-3</v>
      </c>
      <c r="AC40" s="10">
        <v>2.5173010347235501E-6</v>
      </c>
      <c r="AD40" s="10">
        <v>1.08414122188347E-3</v>
      </c>
      <c r="AE40" s="4">
        <v>8.7867306003377596E-2</v>
      </c>
      <c r="AF40" s="4">
        <v>0.19207693806993101</v>
      </c>
      <c r="AG40" s="4">
        <v>0.95406742249342402</v>
      </c>
      <c r="AH40" s="4">
        <v>0.99472364373737099</v>
      </c>
      <c r="AI40" s="4">
        <v>1</v>
      </c>
      <c r="AJ40" s="4">
        <v>1</v>
      </c>
      <c r="AK40" s="4">
        <v>1</v>
      </c>
      <c r="AL40" s="4">
        <v>1</v>
      </c>
      <c r="AM40" s="4">
        <v>0</v>
      </c>
      <c r="AN40" s="4">
        <v>0</v>
      </c>
      <c r="AO40" s="4" t="s">
        <v>65</v>
      </c>
      <c r="AP40" s="4">
        <f>-75--50</f>
        <v>-25</v>
      </c>
      <c r="AQ40" s="6">
        <v>43286125.619999997</v>
      </c>
      <c r="AR40" s="4">
        <v>685</v>
      </c>
      <c r="AS40" s="15">
        <v>0</v>
      </c>
      <c r="AT40" s="15">
        <v>27.552552761824099</v>
      </c>
      <c r="AU40" s="15">
        <v>27.552552761824099</v>
      </c>
      <c r="AV40" s="15">
        <v>72.447447238175798</v>
      </c>
      <c r="AW40" s="15">
        <v>72.447447238175798</v>
      </c>
      <c r="AX40" s="15">
        <v>0</v>
      </c>
    </row>
    <row r="41" spans="1:50" x14ac:dyDescent="0.25">
      <c r="A41">
        <v>96</v>
      </c>
      <c r="B41" s="4">
        <v>0.99020776715129299</v>
      </c>
      <c r="C41" s="4">
        <v>9.3616256297720604</v>
      </c>
      <c r="D41" s="4">
        <v>11.138028732244299</v>
      </c>
      <c r="E41" s="4">
        <v>8.1575868587733403E-3</v>
      </c>
      <c r="F41" s="5">
        <v>9.7922328487062595E-3</v>
      </c>
      <c r="G41" s="5">
        <v>0</v>
      </c>
      <c r="H41" s="4">
        <v>3.4645783128407999</v>
      </c>
      <c r="I41" s="4">
        <v>3.9281772325332298</v>
      </c>
      <c r="J41" s="4">
        <v>-54.768892318669401</v>
      </c>
      <c r="K41" s="4">
        <v>-31.153905229681801</v>
      </c>
      <c r="L41" s="4">
        <v>18.9854380076249</v>
      </c>
      <c r="M41" s="4">
        <v>14.446285067014999</v>
      </c>
      <c r="N41" s="4">
        <v>73.016693343652506</v>
      </c>
      <c r="O41" s="4">
        <v>63.087717188671697</v>
      </c>
      <c r="P41" s="4">
        <v>251793.26011386499</v>
      </c>
      <c r="Q41" s="4">
        <v>201489.600417654</v>
      </c>
      <c r="R41" s="4">
        <v>781.12104959006103</v>
      </c>
      <c r="S41" s="4">
        <v>0</v>
      </c>
      <c r="T41" s="4">
        <v>0</v>
      </c>
      <c r="U41" s="4">
        <v>5.3843460155916199E-2</v>
      </c>
      <c r="V41" s="4">
        <v>0.61549502924427302</v>
      </c>
      <c r="W41" s="4">
        <v>0</v>
      </c>
      <c r="X41" s="4">
        <v>0.51591271497440805</v>
      </c>
      <c r="Y41" s="4">
        <v>0</v>
      </c>
      <c r="Z41" s="5">
        <v>5.3383380906762902E-4</v>
      </c>
      <c r="AA41" s="5">
        <v>3.2372878298387803E-5</v>
      </c>
      <c r="AB41" s="10">
        <v>5.0501465403966E-3</v>
      </c>
      <c r="AC41" s="10">
        <v>9.7848669986580294E-7</v>
      </c>
      <c r="AD41" s="10">
        <v>4.1748865319998297E-3</v>
      </c>
      <c r="AE41" s="4">
        <v>8.0951619879287104E-2</v>
      </c>
      <c r="AF41" s="4">
        <v>0.19860855213662701</v>
      </c>
      <c r="AG41" s="4">
        <v>0.95610793181590803</v>
      </c>
      <c r="AH41" s="4">
        <v>0.99846456830369301</v>
      </c>
      <c r="AI41" s="4">
        <v>1</v>
      </c>
      <c r="AJ41" s="4">
        <v>1</v>
      </c>
      <c r="AK41" s="4">
        <v>1</v>
      </c>
      <c r="AL41" s="4">
        <v>1</v>
      </c>
      <c r="AM41" s="4">
        <v>0</v>
      </c>
      <c r="AN41" s="4">
        <v>0</v>
      </c>
      <c r="AO41" s="4" t="s">
        <v>66</v>
      </c>
      <c r="AP41" s="4">
        <f>-50--25</f>
        <v>-25</v>
      </c>
      <c r="AQ41" s="6">
        <v>1360457782.02</v>
      </c>
      <c r="AR41" s="4">
        <v>6752</v>
      </c>
      <c r="AS41" s="15">
        <v>0</v>
      </c>
      <c r="AT41" s="15">
        <v>38.450497075572599</v>
      </c>
      <c r="AU41" s="15">
        <v>38.450497075572599</v>
      </c>
      <c r="AV41" s="15">
        <v>61.549502924427301</v>
      </c>
      <c r="AW41" s="15">
        <v>61.549502924427301</v>
      </c>
      <c r="AX41" s="15">
        <v>0</v>
      </c>
    </row>
    <row r="42" spans="1:50" x14ac:dyDescent="0.25">
      <c r="A42">
        <v>96</v>
      </c>
      <c r="B42" s="4">
        <v>0.98750825565729405</v>
      </c>
      <c r="C42" s="4">
        <v>7.4169520185996403</v>
      </c>
      <c r="D42" s="4">
        <v>14.001907050841799</v>
      </c>
      <c r="E42" s="4">
        <v>6.40143364910652E-3</v>
      </c>
      <c r="F42" s="5">
        <v>1.2491744342705099E-2</v>
      </c>
      <c r="G42" s="5">
        <v>0</v>
      </c>
      <c r="H42" s="4">
        <v>3.5241189786675098</v>
      </c>
      <c r="I42" s="4">
        <v>3.9299140834033301</v>
      </c>
      <c r="J42" s="4">
        <v>-48.414066096287002</v>
      </c>
      <c r="K42" s="4">
        <v>-22.221984905528</v>
      </c>
      <c r="L42" s="4">
        <v>16.498898875196101</v>
      </c>
      <c r="M42" s="4">
        <v>14.363460023279</v>
      </c>
      <c r="N42" s="4">
        <v>73.186500140265295</v>
      </c>
      <c r="O42" s="4">
        <v>65.100598315088007</v>
      </c>
      <c r="P42" s="4">
        <v>268436.493084563</v>
      </c>
      <c r="Q42" s="4">
        <v>239394.873623299</v>
      </c>
      <c r="R42" s="4">
        <v>780.93529317341995</v>
      </c>
      <c r="S42" s="4">
        <v>0</v>
      </c>
      <c r="T42" s="4">
        <v>0</v>
      </c>
      <c r="U42" s="4">
        <v>6.8865837090412996E-2</v>
      </c>
      <c r="V42" s="4">
        <v>0.61045470146802305</v>
      </c>
      <c r="W42" s="4">
        <v>0</v>
      </c>
      <c r="X42" s="4">
        <v>0.56189339707719199</v>
      </c>
      <c r="Y42" s="4">
        <v>0</v>
      </c>
      <c r="Z42" s="5">
        <v>4.0143177276656699E-4</v>
      </c>
      <c r="AA42" s="5">
        <v>3.2732742537330699E-5</v>
      </c>
      <c r="AB42" s="10">
        <v>4.9308651556381096E-3</v>
      </c>
      <c r="AC42" s="10">
        <v>7.3330337917188099E-7</v>
      </c>
      <c r="AD42" s="10">
        <v>7.1259670211423903E-3</v>
      </c>
      <c r="AE42" s="4">
        <v>8.0623269547647897E-2</v>
      </c>
      <c r="AF42" s="4">
        <v>0.166818829176376</v>
      </c>
      <c r="AG42" s="4">
        <v>0.96699981521991096</v>
      </c>
      <c r="AH42" s="4">
        <v>0.99933096588499903</v>
      </c>
      <c r="AI42" s="4">
        <v>1</v>
      </c>
      <c r="AJ42" s="4">
        <v>1</v>
      </c>
      <c r="AK42" s="4">
        <v>1</v>
      </c>
      <c r="AL42" s="4">
        <v>1</v>
      </c>
      <c r="AM42" s="4">
        <v>0</v>
      </c>
      <c r="AN42" s="4">
        <v>0</v>
      </c>
      <c r="AO42" s="4" t="s">
        <v>137</v>
      </c>
      <c r="AP42" s="4">
        <f>-25--20</f>
        <v>-5</v>
      </c>
      <c r="AQ42" s="6">
        <v>1565881868.3699999</v>
      </c>
      <c r="AR42" s="4">
        <v>6541</v>
      </c>
      <c r="AS42" s="15">
        <v>0</v>
      </c>
      <c r="AT42" s="15">
        <v>38.954529853197599</v>
      </c>
      <c r="AU42" s="15">
        <v>38.954529853197599</v>
      </c>
      <c r="AV42" s="15">
        <v>61.045470146802302</v>
      </c>
      <c r="AW42" s="15">
        <v>61.045470146802302</v>
      </c>
      <c r="AX42" s="15">
        <v>0</v>
      </c>
    </row>
    <row r="43" spans="1:50" x14ac:dyDescent="0.25">
      <c r="A43">
        <v>96</v>
      </c>
      <c r="B43" s="4">
        <v>0.98587440692266703</v>
      </c>
      <c r="C43" s="4">
        <v>4.8879394238986897</v>
      </c>
      <c r="D43" s="4">
        <v>15.693878340368601</v>
      </c>
      <c r="E43" s="4">
        <v>4.1674921801230901E-3</v>
      </c>
      <c r="F43" s="5">
        <v>1.41255930773324E-2</v>
      </c>
      <c r="G43" s="5">
        <v>0</v>
      </c>
      <c r="H43" s="4">
        <v>3.55578831828034</v>
      </c>
      <c r="I43" s="4">
        <v>3.9208747434133402</v>
      </c>
      <c r="J43" s="4">
        <v>-45.581680974170197</v>
      </c>
      <c r="K43" s="4">
        <v>-17.210662166123701</v>
      </c>
      <c r="L43" s="4">
        <v>15.9615822829376</v>
      </c>
      <c r="M43" s="4">
        <v>14.4834893493198</v>
      </c>
      <c r="N43" s="4">
        <v>71.604870364836302</v>
      </c>
      <c r="O43" s="4">
        <v>63.812829794852199</v>
      </c>
      <c r="P43" s="4">
        <v>272723.21225718397</v>
      </c>
      <c r="Q43" s="4">
        <v>249028.123531241</v>
      </c>
      <c r="R43" s="4">
        <v>781.78180833694103</v>
      </c>
      <c r="S43" s="4">
        <v>0</v>
      </c>
      <c r="T43" s="4">
        <v>0</v>
      </c>
      <c r="U43" s="4">
        <v>7.8276982963012096E-2</v>
      </c>
      <c r="V43" s="4">
        <v>0.60553233955875296</v>
      </c>
      <c r="W43" s="4">
        <v>0</v>
      </c>
      <c r="X43" s="4">
        <v>0.54899390787379698</v>
      </c>
      <c r="Y43" s="4">
        <v>0</v>
      </c>
      <c r="Z43" s="5">
        <v>3.8737512573907602E-4</v>
      </c>
      <c r="AA43" s="5">
        <v>3.3488464569822501E-5</v>
      </c>
      <c r="AB43" s="10">
        <v>5.0609118427279304E-3</v>
      </c>
      <c r="AC43" s="10">
        <v>9.2107341840493997E-7</v>
      </c>
      <c r="AD43" s="10">
        <v>8.6428822356738096E-3</v>
      </c>
      <c r="AE43" s="4">
        <v>8.2238648625693495E-2</v>
      </c>
      <c r="AF43" s="4">
        <v>0.16530941385805201</v>
      </c>
      <c r="AG43" s="4">
        <v>0.96394511473476197</v>
      </c>
      <c r="AH43" s="4">
        <v>0.99885027070053101</v>
      </c>
      <c r="AI43" s="4">
        <v>1</v>
      </c>
      <c r="AJ43" s="4">
        <v>1</v>
      </c>
      <c r="AK43" s="4">
        <v>1</v>
      </c>
      <c r="AL43" s="4">
        <v>1</v>
      </c>
      <c r="AM43" s="4">
        <v>0</v>
      </c>
      <c r="AN43" s="4">
        <v>0</v>
      </c>
      <c r="AO43" s="4" t="s">
        <v>138</v>
      </c>
      <c r="AP43" s="4">
        <f>-20--15</f>
        <v>-5</v>
      </c>
      <c r="AQ43" s="6">
        <v>2722126418.3200002</v>
      </c>
      <c r="AR43" s="4">
        <v>10931</v>
      </c>
      <c r="AS43" s="15">
        <v>0</v>
      </c>
      <c r="AT43" s="15">
        <v>39.446766044124601</v>
      </c>
      <c r="AU43" s="15">
        <v>39.446766044124601</v>
      </c>
      <c r="AV43" s="15">
        <v>60.553233955875299</v>
      </c>
      <c r="AW43" s="15">
        <v>60.553233955875299</v>
      </c>
      <c r="AX43" s="15">
        <v>0</v>
      </c>
    </row>
    <row r="44" spans="1:50" x14ac:dyDescent="0.25">
      <c r="A44">
        <v>96</v>
      </c>
      <c r="B44" s="4">
        <v>0.98462512543580705</v>
      </c>
      <c r="C44" s="4">
        <v>8.2597330356965806</v>
      </c>
      <c r="D44" s="4">
        <v>16.9669548235386</v>
      </c>
      <c r="E44" s="4">
        <v>7.1583218538122297E-3</v>
      </c>
      <c r="F44" s="5">
        <v>1.5374874564192301E-2</v>
      </c>
      <c r="G44" s="5">
        <v>0</v>
      </c>
      <c r="H44" s="4">
        <v>3.5954185022115501</v>
      </c>
      <c r="I44" s="4">
        <v>3.9147199363700498</v>
      </c>
      <c r="J44" s="4">
        <v>-41.886542976424003</v>
      </c>
      <c r="K44" s="4">
        <v>-12.281777926707001</v>
      </c>
      <c r="L44" s="4">
        <v>15.428090705280599</v>
      </c>
      <c r="M44" s="4">
        <v>14.5508417179772</v>
      </c>
      <c r="N44" s="4">
        <v>72.176440032546594</v>
      </c>
      <c r="O44" s="4">
        <v>64.441152578267804</v>
      </c>
      <c r="P44" s="4">
        <v>279936.80242920801</v>
      </c>
      <c r="Q44" s="4">
        <v>258280.896372908</v>
      </c>
      <c r="R44" s="4">
        <v>781.46675990429799</v>
      </c>
      <c r="S44" s="4">
        <v>0</v>
      </c>
      <c r="T44" s="4">
        <v>0</v>
      </c>
      <c r="U44" s="4">
        <v>8.7735292163956494E-2</v>
      </c>
      <c r="V44" s="4">
        <v>0.60964009151038201</v>
      </c>
      <c r="W44" s="4">
        <v>0</v>
      </c>
      <c r="X44" s="4">
        <v>0.54254679102473802</v>
      </c>
      <c r="Y44" s="4">
        <v>0</v>
      </c>
      <c r="Z44" s="5">
        <v>3.7560676927914398E-4</v>
      </c>
      <c r="AA44" s="5">
        <v>3.3985792382957697E-5</v>
      </c>
      <c r="AB44" s="10">
        <v>5.0442271707637999E-3</v>
      </c>
      <c r="AC44" s="10">
        <v>1.08446901149523E-6</v>
      </c>
      <c r="AD44" s="10">
        <v>9.9199560297574107E-3</v>
      </c>
      <c r="AE44" s="4">
        <v>8.3439746706334694E-2</v>
      </c>
      <c r="AF44" s="4">
        <v>0.148596806610586</v>
      </c>
      <c r="AG44" s="4">
        <v>0.96165329273047295</v>
      </c>
      <c r="AH44" s="4">
        <v>0.99909454892149696</v>
      </c>
      <c r="AI44" s="4">
        <v>1</v>
      </c>
      <c r="AJ44" s="4">
        <v>1</v>
      </c>
      <c r="AK44" s="4">
        <v>1</v>
      </c>
      <c r="AL44" s="4">
        <v>1</v>
      </c>
      <c r="AM44" s="4">
        <v>0</v>
      </c>
      <c r="AN44" s="4">
        <v>0</v>
      </c>
      <c r="AO44" s="4" t="s">
        <v>139</v>
      </c>
      <c r="AP44" s="4">
        <f>-15--10</f>
        <v>-5</v>
      </c>
      <c r="AQ44" s="6">
        <v>4583711067.9300003</v>
      </c>
      <c r="AR44" s="4">
        <v>17747</v>
      </c>
      <c r="AS44" s="15">
        <v>0</v>
      </c>
      <c r="AT44" s="15">
        <v>39.035990848961703</v>
      </c>
      <c r="AU44" s="15">
        <v>39.035990848961703</v>
      </c>
      <c r="AV44" s="15">
        <v>60.964009151038198</v>
      </c>
      <c r="AW44" s="15">
        <v>60.964009151038198</v>
      </c>
      <c r="AX44" s="15">
        <v>0</v>
      </c>
    </row>
    <row r="45" spans="1:50" x14ac:dyDescent="0.25">
      <c r="A45">
        <v>96</v>
      </c>
      <c r="B45" s="4">
        <v>0.98330491506159701</v>
      </c>
      <c r="C45" s="4">
        <v>7.9191915722246096</v>
      </c>
      <c r="D45" s="4">
        <v>18.293140174642598</v>
      </c>
      <c r="E45" s="4">
        <v>6.8517226727116904E-3</v>
      </c>
      <c r="F45" s="5">
        <v>1.6695084938402601E-2</v>
      </c>
      <c r="G45" s="5">
        <v>0</v>
      </c>
      <c r="H45" s="4">
        <v>3.6231364137351401</v>
      </c>
      <c r="I45" s="4">
        <v>3.8984103854215499</v>
      </c>
      <c r="J45" s="4">
        <v>-39.585383301116401</v>
      </c>
      <c r="K45" s="4">
        <v>-7.4062627631793401</v>
      </c>
      <c r="L45" s="4">
        <v>15.2963411402886</v>
      </c>
      <c r="M45" s="4">
        <v>14.9118761066684</v>
      </c>
      <c r="N45" s="4">
        <v>71.1097769119269</v>
      </c>
      <c r="O45" s="4">
        <v>63.291882778441</v>
      </c>
      <c r="P45" s="4">
        <v>281675.23525969998</v>
      </c>
      <c r="Q45" s="4">
        <v>260533.881113991</v>
      </c>
      <c r="R45" s="4">
        <v>781.48996365660105</v>
      </c>
      <c r="S45" s="4">
        <v>0</v>
      </c>
      <c r="T45" s="4">
        <v>0</v>
      </c>
      <c r="U45" s="4">
        <v>9.1236558026107598E-2</v>
      </c>
      <c r="V45" s="4">
        <v>0.60130513904551797</v>
      </c>
      <c r="W45" s="4">
        <v>0</v>
      </c>
      <c r="X45" s="4">
        <v>0.55636661918217301</v>
      </c>
      <c r="Y45" s="4">
        <v>0</v>
      </c>
      <c r="Z45" s="5">
        <v>3.7442917624000199E-4</v>
      </c>
      <c r="AA45" s="5">
        <v>3.4860008195260898E-5</v>
      </c>
      <c r="AB45" s="10">
        <v>5.1831358788390399E-3</v>
      </c>
      <c r="AC45" s="10">
        <v>1.50322990840331E-6</v>
      </c>
      <c r="AD45" s="10">
        <v>1.11011422254819E-2</v>
      </c>
      <c r="AE45" s="4">
        <v>8.6115168655646404E-2</v>
      </c>
      <c r="AF45" s="4">
        <v>0.14110782297354901</v>
      </c>
      <c r="AG45" s="4">
        <v>0.95021425026857897</v>
      </c>
      <c r="AH45" s="4">
        <v>0.99893122593038397</v>
      </c>
      <c r="AI45" s="4">
        <v>1</v>
      </c>
      <c r="AJ45" s="4">
        <v>1</v>
      </c>
      <c r="AK45" s="4">
        <v>1</v>
      </c>
      <c r="AL45" s="4">
        <v>1</v>
      </c>
      <c r="AM45" s="4">
        <v>0</v>
      </c>
      <c r="AN45" s="4">
        <v>0</v>
      </c>
      <c r="AO45" s="4" t="s">
        <v>140</v>
      </c>
      <c r="AP45" s="4">
        <f>-10--5</f>
        <v>-5</v>
      </c>
      <c r="AQ45" s="6">
        <v>6632671545.3999996</v>
      </c>
      <c r="AR45" s="4">
        <v>25458</v>
      </c>
      <c r="AS45" s="15">
        <v>0</v>
      </c>
      <c r="AT45" s="15">
        <v>39.869486095448103</v>
      </c>
      <c r="AU45" s="15">
        <v>39.869486095448103</v>
      </c>
      <c r="AV45" s="15">
        <v>60.130513904551798</v>
      </c>
      <c r="AW45" s="15">
        <v>60.130513904551798</v>
      </c>
      <c r="AX45" s="15">
        <v>0</v>
      </c>
    </row>
    <row r="46" spans="1:50" x14ac:dyDescent="0.25">
      <c r="A46">
        <v>96</v>
      </c>
      <c r="B46" s="4">
        <v>0.98219017810701204</v>
      </c>
      <c r="C46" s="4">
        <v>8.6514849093234094</v>
      </c>
      <c r="D46" s="4">
        <v>19.397772776910401</v>
      </c>
      <c r="E46" s="4">
        <v>7.5123202736240898E-3</v>
      </c>
      <c r="F46" s="5">
        <v>1.7809821892987299E-2</v>
      </c>
      <c r="G46" s="5">
        <v>0</v>
      </c>
      <c r="H46" s="4">
        <v>3.65517218297403</v>
      </c>
      <c r="I46" s="4">
        <v>3.8826853845174898</v>
      </c>
      <c r="J46" s="4">
        <v>-36.811227690370899</v>
      </c>
      <c r="K46" s="4">
        <v>-2.3916673630081098</v>
      </c>
      <c r="L46" s="4">
        <v>15.0508309607172</v>
      </c>
      <c r="M46" s="4">
        <v>15.2103017537755</v>
      </c>
      <c r="N46" s="4">
        <v>71.233242743099098</v>
      </c>
      <c r="O46" s="4">
        <v>63.416484751897499</v>
      </c>
      <c r="P46" s="4">
        <v>286027.38109064603</v>
      </c>
      <c r="Q46" s="4">
        <v>264953.55378140102</v>
      </c>
      <c r="R46" s="4">
        <v>781.41774258180601</v>
      </c>
      <c r="S46" s="4">
        <v>0</v>
      </c>
      <c r="T46" s="4">
        <v>0</v>
      </c>
      <c r="U46" s="4">
        <v>9.2835680846677995E-2</v>
      </c>
      <c r="V46" s="4">
        <v>0.595368171227041</v>
      </c>
      <c r="W46" s="4">
        <v>0</v>
      </c>
      <c r="X46" s="4">
        <v>0.56119431821802801</v>
      </c>
      <c r="Y46" s="4">
        <v>0</v>
      </c>
      <c r="Z46" s="5">
        <v>3.7069366550900002E-4</v>
      </c>
      <c r="AA46" s="5">
        <v>3.5818180440031503E-5</v>
      </c>
      <c r="AB46" s="10">
        <v>5.1417376729479903E-3</v>
      </c>
      <c r="AC46" s="10">
        <v>1.8486999128251201E-6</v>
      </c>
      <c r="AD46" s="10">
        <v>1.22597092993191E-2</v>
      </c>
      <c r="AE46" s="4">
        <v>8.7190227785364102E-2</v>
      </c>
      <c r="AF46" s="4">
        <v>0.136754792534203</v>
      </c>
      <c r="AG46" s="4">
        <v>0.95105333389301605</v>
      </c>
      <c r="AH46" s="4">
        <v>0.998881084146651</v>
      </c>
      <c r="AI46" s="4">
        <v>1</v>
      </c>
      <c r="AJ46" s="4">
        <v>1</v>
      </c>
      <c r="AK46" s="4">
        <v>1</v>
      </c>
      <c r="AL46" s="4">
        <v>1</v>
      </c>
      <c r="AM46" s="4">
        <v>0</v>
      </c>
      <c r="AN46" s="4">
        <v>0</v>
      </c>
      <c r="AO46" s="4" t="s">
        <v>67</v>
      </c>
      <c r="AP46" s="4">
        <f>-25-0</f>
        <v>-25</v>
      </c>
      <c r="AQ46" s="6">
        <v>9798247372.3899994</v>
      </c>
      <c r="AR46" s="4">
        <v>36981</v>
      </c>
      <c r="AS46" s="15">
        <v>0</v>
      </c>
      <c r="AT46" s="15">
        <v>40.4631828772958</v>
      </c>
      <c r="AU46" s="15">
        <v>40.4631828772958</v>
      </c>
      <c r="AV46" s="15">
        <v>59.5368171227041</v>
      </c>
      <c r="AW46" s="15">
        <v>59.5368171227041</v>
      </c>
      <c r="AX46" s="15">
        <v>0</v>
      </c>
    </row>
    <row r="47" spans="1:50" x14ac:dyDescent="0.25">
      <c r="A47">
        <v>96</v>
      </c>
      <c r="B47" s="4">
        <v>0.98105310981006399</v>
      </c>
      <c r="C47" s="4">
        <v>9.6587779073636497</v>
      </c>
      <c r="D47" s="4">
        <v>20.510415803011401</v>
      </c>
      <c r="E47" s="4">
        <v>8.4289693606750104E-3</v>
      </c>
      <c r="F47" s="5">
        <v>1.8946890189935402E-2</v>
      </c>
      <c r="G47" s="5">
        <v>0</v>
      </c>
      <c r="H47" s="4">
        <v>3.6936875758959302</v>
      </c>
      <c r="I47" s="4">
        <v>3.8737928243406499</v>
      </c>
      <c r="J47" s="4">
        <v>-33.806204807925504</v>
      </c>
      <c r="K47" s="4">
        <v>2.6121767058530199</v>
      </c>
      <c r="L47" s="4">
        <v>15.0594160753288</v>
      </c>
      <c r="M47" s="4">
        <v>15.3983674525161</v>
      </c>
      <c r="N47" s="4">
        <v>71.201969540982901</v>
      </c>
      <c r="O47" s="4">
        <v>63.304989935090603</v>
      </c>
      <c r="P47" s="4">
        <v>284835.157170747</v>
      </c>
      <c r="Q47" s="4">
        <v>264994.10161202902</v>
      </c>
      <c r="R47" s="4">
        <v>781.444752447268</v>
      </c>
      <c r="S47" s="4">
        <v>0</v>
      </c>
      <c r="T47" s="4">
        <v>0</v>
      </c>
      <c r="U47" s="4">
        <v>9.9676388145856998E-2</v>
      </c>
      <c r="V47" s="4">
        <v>0.60069539772743896</v>
      </c>
      <c r="W47" s="4">
        <v>0</v>
      </c>
      <c r="X47" s="4">
        <v>0.56479508819872604</v>
      </c>
      <c r="Y47" s="4">
        <v>0</v>
      </c>
      <c r="Z47" s="5">
        <v>3.7035539637007099E-4</v>
      </c>
      <c r="AA47" s="5">
        <v>3.6686619327300098E-5</v>
      </c>
      <c r="AB47" s="10">
        <v>5.20907674887576E-3</v>
      </c>
      <c r="AC47" s="10">
        <v>3.0870020772277998E-6</v>
      </c>
      <c r="AD47" s="10">
        <v>1.3327669991242699E-2</v>
      </c>
      <c r="AE47" s="4">
        <v>8.9425467665792402E-2</v>
      </c>
      <c r="AF47" s="4">
        <v>0.124634899280138</v>
      </c>
      <c r="AG47" s="4">
        <v>0.94265683424121804</v>
      </c>
      <c r="AH47" s="4">
        <v>0.997428336344926</v>
      </c>
      <c r="AI47" s="4">
        <v>1</v>
      </c>
      <c r="AJ47" s="4">
        <v>1</v>
      </c>
      <c r="AK47" s="4">
        <v>1</v>
      </c>
      <c r="AL47" s="4">
        <v>1</v>
      </c>
      <c r="AM47" s="4">
        <v>0</v>
      </c>
      <c r="AN47" s="4">
        <v>0</v>
      </c>
      <c r="AO47" s="4" t="s">
        <v>141</v>
      </c>
      <c r="AP47" s="4" t="s">
        <v>127</v>
      </c>
      <c r="AQ47" s="6">
        <v>12626438953.610001</v>
      </c>
      <c r="AR47" s="4">
        <v>47648</v>
      </c>
      <c r="AS47" s="15">
        <v>0</v>
      </c>
      <c r="AT47" s="15">
        <v>39.930460227255999</v>
      </c>
      <c r="AU47" s="15">
        <v>39.930460227255999</v>
      </c>
      <c r="AV47" s="15">
        <v>60.069539772743902</v>
      </c>
      <c r="AW47" s="15">
        <v>60.069539772743902</v>
      </c>
      <c r="AX47" s="15">
        <v>0</v>
      </c>
    </row>
    <row r="48" spans="1:50" x14ac:dyDescent="0.25">
      <c r="A48">
        <v>96</v>
      </c>
      <c r="B48" s="4">
        <v>0.97970182250511095</v>
      </c>
      <c r="C48" s="4">
        <v>11.895024020955599</v>
      </c>
      <c r="D48" s="4">
        <v>21.814360732109702</v>
      </c>
      <c r="E48" s="4">
        <v>1.04979390617564E-2</v>
      </c>
      <c r="F48" s="5">
        <v>2.02981774948882E-2</v>
      </c>
      <c r="G48" s="5">
        <v>0</v>
      </c>
      <c r="H48" s="4">
        <v>3.7178014123093499</v>
      </c>
      <c r="I48" s="4">
        <v>3.8530513745856401</v>
      </c>
      <c r="J48" s="4">
        <v>-32.195354237485198</v>
      </c>
      <c r="K48" s="4">
        <v>7.6142858592155003</v>
      </c>
      <c r="L48" s="4">
        <v>14.5585826793544</v>
      </c>
      <c r="M48" s="4">
        <v>15.8217450560948</v>
      </c>
      <c r="N48" s="4">
        <v>70.946759198271707</v>
      </c>
      <c r="O48" s="4">
        <v>62.934601191293901</v>
      </c>
      <c r="P48" s="4">
        <v>293115.39463996299</v>
      </c>
      <c r="Q48" s="4">
        <v>274145.146926291</v>
      </c>
      <c r="R48" s="4">
        <v>781.38452580405306</v>
      </c>
      <c r="S48" s="4">
        <v>0</v>
      </c>
      <c r="T48" s="4">
        <v>0</v>
      </c>
      <c r="U48" s="4">
        <v>0.10103850324253601</v>
      </c>
      <c r="V48" s="4">
        <v>0.60196444439579699</v>
      </c>
      <c r="W48" s="4">
        <v>0</v>
      </c>
      <c r="X48" s="4">
        <v>0.558140452973378</v>
      </c>
      <c r="Y48" s="4">
        <v>0</v>
      </c>
      <c r="Z48" s="5">
        <v>3.7043940627890101E-4</v>
      </c>
      <c r="AA48" s="5">
        <v>3.8612944120510601E-5</v>
      </c>
      <c r="AB48" s="10">
        <v>5.2327257250319604E-3</v>
      </c>
      <c r="AC48" s="10">
        <v>4.0688357912032996E-6</v>
      </c>
      <c r="AD48" s="10">
        <v>1.46523161562987E-2</v>
      </c>
      <c r="AE48" s="4">
        <v>9.1144609181119704E-2</v>
      </c>
      <c r="AF48" s="4">
        <v>0.12017603446151399</v>
      </c>
      <c r="AG48" s="4">
        <v>0.93715127572321499</v>
      </c>
      <c r="AH48" s="4">
        <v>0.99640247978094798</v>
      </c>
      <c r="AI48" s="4">
        <v>1</v>
      </c>
      <c r="AJ48" s="4">
        <v>1</v>
      </c>
      <c r="AK48" s="4">
        <v>1</v>
      </c>
      <c r="AL48" s="4">
        <v>1</v>
      </c>
      <c r="AM48" s="4">
        <v>0</v>
      </c>
      <c r="AN48" s="4">
        <v>0</v>
      </c>
      <c r="AO48" s="4" t="s">
        <v>142</v>
      </c>
      <c r="AP48" s="4">
        <v>43230</v>
      </c>
      <c r="AQ48" s="6">
        <v>16004319532.41</v>
      </c>
      <c r="AR48" s="4">
        <v>58379</v>
      </c>
      <c r="AS48" s="15">
        <v>0</v>
      </c>
      <c r="AT48" s="15">
        <v>39.8035555604202</v>
      </c>
      <c r="AU48" s="15">
        <v>39.8035555604202</v>
      </c>
      <c r="AV48" s="15">
        <v>60.1964444395797</v>
      </c>
      <c r="AW48" s="15">
        <v>60.1964444395797</v>
      </c>
      <c r="AX48" s="15">
        <v>0</v>
      </c>
    </row>
    <row r="49" spans="1:50" x14ac:dyDescent="0.25">
      <c r="A49">
        <v>96</v>
      </c>
      <c r="B49" s="4">
        <v>0.97859540676262302</v>
      </c>
      <c r="C49" s="4">
        <v>13.6192264367755</v>
      </c>
      <c r="D49" s="4">
        <v>22.867381376735601</v>
      </c>
      <c r="E49" s="4">
        <v>1.2126298532894E-2</v>
      </c>
      <c r="F49" s="5">
        <v>2.1404593237376101E-2</v>
      </c>
      <c r="G49" s="5">
        <v>0</v>
      </c>
      <c r="H49" s="4">
        <v>3.7551712164154898</v>
      </c>
      <c r="I49" s="4">
        <v>3.8414164322624602</v>
      </c>
      <c r="J49" s="4">
        <v>-29.577044388697502</v>
      </c>
      <c r="K49" s="4">
        <v>12.5558164019022</v>
      </c>
      <c r="L49" s="4">
        <v>14.663930208648701</v>
      </c>
      <c r="M49" s="4">
        <v>16.078430018217698</v>
      </c>
      <c r="N49" s="4">
        <v>70.781193462219704</v>
      </c>
      <c r="O49" s="4">
        <v>62.654425857410203</v>
      </c>
      <c r="P49" s="4">
        <v>292854.45057630399</v>
      </c>
      <c r="Q49" s="4">
        <v>272182.21040313703</v>
      </c>
      <c r="R49" s="4">
        <v>781.20433269940304</v>
      </c>
      <c r="S49" s="4">
        <v>0</v>
      </c>
      <c r="T49" s="4">
        <v>0</v>
      </c>
      <c r="U49" s="4">
        <v>0.1106144416273</v>
      </c>
      <c r="V49" s="4">
        <v>0.59893119776263004</v>
      </c>
      <c r="W49" s="4">
        <v>0</v>
      </c>
      <c r="X49" s="4">
        <v>0.57020663904295299</v>
      </c>
      <c r="Y49" s="4">
        <v>0</v>
      </c>
      <c r="Z49" s="5">
        <v>3.7059973091381699E-4</v>
      </c>
      <c r="AA49" s="5">
        <v>4.1935797136370899E-5</v>
      </c>
      <c r="AB49" s="10">
        <v>5.2190159512459401E-3</v>
      </c>
      <c r="AC49" s="10">
        <v>5.8672202445040402E-6</v>
      </c>
      <c r="AD49" s="10">
        <v>1.5767160049481602E-2</v>
      </c>
      <c r="AE49" s="4">
        <v>9.3267642824272995E-2</v>
      </c>
      <c r="AF49" s="4">
        <v>0.11238081883869799</v>
      </c>
      <c r="AG49" s="4">
        <v>0.92893430848063296</v>
      </c>
      <c r="AH49" s="4">
        <v>0.99520281799537302</v>
      </c>
      <c r="AI49" s="4">
        <v>1</v>
      </c>
      <c r="AJ49" s="4">
        <v>1</v>
      </c>
      <c r="AK49" s="4">
        <v>1</v>
      </c>
      <c r="AL49" s="4">
        <v>1</v>
      </c>
      <c r="AM49" s="4">
        <v>0</v>
      </c>
      <c r="AN49" s="4">
        <v>0</v>
      </c>
      <c r="AO49" s="4" t="s">
        <v>143</v>
      </c>
      <c r="AP49" s="4">
        <v>43388</v>
      </c>
      <c r="AQ49" s="6">
        <v>17351615913.200001</v>
      </c>
      <c r="AR49" s="4">
        <v>63750</v>
      </c>
      <c r="AS49" s="15">
        <v>0</v>
      </c>
      <c r="AT49" s="15">
        <v>40.106880223736901</v>
      </c>
      <c r="AU49" s="15">
        <v>40.106880223736901</v>
      </c>
      <c r="AV49" s="15">
        <v>59.893119776262999</v>
      </c>
      <c r="AW49" s="15">
        <v>59.893119776262999</v>
      </c>
      <c r="AX49" s="15">
        <v>0</v>
      </c>
    </row>
    <row r="50" spans="1:50" x14ac:dyDescent="0.25">
      <c r="A50">
        <v>96</v>
      </c>
      <c r="B50" s="4">
        <v>0.977482814885687</v>
      </c>
      <c r="C50" s="4">
        <v>12.9615601485088</v>
      </c>
      <c r="D50" s="4">
        <v>23.913156123505601</v>
      </c>
      <c r="E50" s="4">
        <v>1.15017044265628E-2</v>
      </c>
      <c r="F50" s="5">
        <v>2.25171851143121E-2</v>
      </c>
      <c r="G50" s="5">
        <v>0</v>
      </c>
      <c r="H50" s="4">
        <v>3.79317704280583</v>
      </c>
      <c r="I50" s="4">
        <v>3.8307620654365699</v>
      </c>
      <c r="J50" s="4">
        <v>-27.475239300882599</v>
      </c>
      <c r="K50" s="4">
        <v>17.5590794388905</v>
      </c>
      <c r="L50" s="4">
        <v>14.8638939340474</v>
      </c>
      <c r="M50" s="4">
        <v>16.339959109868101</v>
      </c>
      <c r="N50" s="4">
        <v>70.435491375875799</v>
      </c>
      <c r="O50" s="4">
        <v>62.357252076067603</v>
      </c>
      <c r="P50" s="4">
        <v>287175.276405218</v>
      </c>
      <c r="Q50" s="4">
        <v>268515.13530426298</v>
      </c>
      <c r="R50" s="4">
        <v>781.17368652557798</v>
      </c>
      <c r="S50" s="4">
        <v>0</v>
      </c>
      <c r="T50" s="4">
        <v>0</v>
      </c>
      <c r="U50" s="4">
        <v>0.11020424431039801</v>
      </c>
      <c r="V50" s="4">
        <v>0.59692517423743696</v>
      </c>
      <c r="W50" s="4">
        <v>0</v>
      </c>
      <c r="X50" s="4">
        <v>0.55869534513488806</v>
      </c>
      <c r="Y50" s="4">
        <v>0</v>
      </c>
      <c r="Z50" s="5">
        <v>3.7026405557666797E-4</v>
      </c>
      <c r="AA50" s="5">
        <v>4.4001409128777102E-5</v>
      </c>
      <c r="AB50" s="10">
        <v>5.2680608909025598E-3</v>
      </c>
      <c r="AC50" s="10">
        <v>7.3344627727731097E-6</v>
      </c>
      <c r="AD50" s="10">
        <v>1.6827509914480801E-2</v>
      </c>
      <c r="AE50" s="4">
        <v>9.36737860467457E-2</v>
      </c>
      <c r="AF50" s="4">
        <v>0.121674599455421</v>
      </c>
      <c r="AG50" s="4">
        <v>0.92555840990926697</v>
      </c>
      <c r="AH50" s="4">
        <v>0.99393651129467397</v>
      </c>
      <c r="AI50" s="4">
        <v>1</v>
      </c>
      <c r="AJ50" s="4">
        <v>1</v>
      </c>
      <c r="AK50" s="4">
        <v>1</v>
      </c>
      <c r="AL50" s="4">
        <v>1</v>
      </c>
      <c r="AM50" s="4">
        <v>0</v>
      </c>
      <c r="AN50" s="4">
        <v>0</v>
      </c>
      <c r="AO50" s="4" t="s">
        <v>144</v>
      </c>
      <c r="AP50" s="4" t="s">
        <v>128</v>
      </c>
      <c r="AQ50" s="6">
        <v>19009260488.73</v>
      </c>
      <c r="AR50" s="4">
        <v>70794</v>
      </c>
      <c r="AS50" s="15">
        <v>0</v>
      </c>
      <c r="AT50" s="15">
        <v>40.307482576256199</v>
      </c>
      <c r="AU50" s="15">
        <v>40.307482576256199</v>
      </c>
      <c r="AV50" s="15">
        <v>59.692517423743702</v>
      </c>
      <c r="AW50" s="15">
        <v>59.692517423743702</v>
      </c>
      <c r="AX50" s="15">
        <v>0</v>
      </c>
    </row>
    <row r="51" spans="1:50" x14ac:dyDescent="0.25">
      <c r="A51">
        <v>96</v>
      </c>
      <c r="B51" s="4">
        <v>0.97607820895226205</v>
      </c>
      <c r="C51" s="4">
        <v>14.637116188280199</v>
      </c>
      <c r="D51" s="4">
        <v>25.214843549465701</v>
      </c>
      <c r="E51" s="4">
        <v>1.31016492568942E-2</v>
      </c>
      <c r="F51" s="5">
        <v>2.3921791047737902E-2</v>
      </c>
      <c r="G51" s="5">
        <v>0</v>
      </c>
      <c r="H51" s="4">
        <v>3.8324935491416499</v>
      </c>
      <c r="I51" s="4">
        <v>3.8215181607251898</v>
      </c>
      <c r="J51" s="4">
        <v>-25.058838398208799</v>
      </c>
      <c r="K51" s="4">
        <v>22.4927153045133</v>
      </c>
      <c r="L51" s="4">
        <v>14.6190272038041</v>
      </c>
      <c r="M51" s="4">
        <v>16.595066055777298</v>
      </c>
      <c r="N51" s="4">
        <v>72.560470832801599</v>
      </c>
      <c r="O51" s="4">
        <v>64.111066403677995</v>
      </c>
      <c r="P51" s="4">
        <v>291993.21601963002</v>
      </c>
      <c r="Q51" s="4">
        <v>273045.96557043202</v>
      </c>
      <c r="R51" s="4">
        <v>780.70104700847196</v>
      </c>
      <c r="S51" s="4">
        <v>0</v>
      </c>
      <c r="T51" s="4">
        <v>0</v>
      </c>
      <c r="U51" s="4">
        <v>0.117393661507167</v>
      </c>
      <c r="V51" s="4">
        <v>0.59923875413218697</v>
      </c>
      <c r="W51" s="4">
        <v>0</v>
      </c>
      <c r="X51" s="4">
        <v>0.53772357996811604</v>
      </c>
      <c r="Y51" s="4">
        <v>0</v>
      </c>
      <c r="Z51" s="5">
        <v>3.7045613497825797E-4</v>
      </c>
      <c r="AA51" s="5">
        <v>4.78417288071386E-5</v>
      </c>
      <c r="AB51" s="10">
        <v>5.2312754286190401E-3</v>
      </c>
      <c r="AC51" s="10">
        <v>9.0230904490075992E-6</v>
      </c>
      <c r="AD51" s="10">
        <v>1.8263180175888599E-2</v>
      </c>
      <c r="AE51" s="4">
        <v>9.5232532823371394E-2</v>
      </c>
      <c r="AF51" s="4">
        <v>0.10930375282561</v>
      </c>
      <c r="AG51" s="4">
        <v>0.92375779394623503</v>
      </c>
      <c r="AH51" s="4">
        <v>0.99317012941264804</v>
      </c>
      <c r="AI51" s="4">
        <v>1</v>
      </c>
      <c r="AJ51" s="4">
        <v>1</v>
      </c>
      <c r="AK51" s="4">
        <v>1</v>
      </c>
      <c r="AL51" s="4">
        <v>1</v>
      </c>
      <c r="AM51" s="4">
        <v>0</v>
      </c>
      <c r="AN51" s="4">
        <v>0</v>
      </c>
      <c r="AO51" s="4" t="s">
        <v>68</v>
      </c>
      <c r="AP51" s="4" t="s">
        <v>69</v>
      </c>
      <c r="AQ51" s="6">
        <v>21372399909.060001</v>
      </c>
      <c r="AR51" s="4">
        <v>78274</v>
      </c>
      <c r="AS51" s="15">
        <v>0</v>
      </c>
      <c r="AT51" s="15">
        <v>40.076124586781198</v>
      </c>
      <c r="AU51" s="15">
        <v>40.076124586781198</v>
      </c>
      <c r="AV51" s="15">
        <v>59.923875413218703</v>
      </c>
      <c r="AW51" s="15">
        <v>59.923875413218703</v>
      </c>
      <c r="AX51" s="15">
        <v>0</v>
      </c>
    </row>
    <row r="52" spans="1:50" x14ac:dyDescent="0.25">
      <c r="A52">
        <v>96</v>
      </c>
      <c r="B52" s="4">
        <v>0.97456951722524898</v>
      </c>
      <c r="C52" s="4">
        <v>14.604826379650699</v>
      </c>
      <c r="D52" s="4">
        <v>26.590227238067101</v>
      </c>
      <c r="E52" s="4">
        <v>1.30705455402231E-2</v>
      </c>
      <c r="F52" s="5">
        <v>2.5430482774750799E-2</v>
      </c>
      <c r="G52" s="5">
        <v>0</v>
      </c>
      <c r="H52" s="4">
        <v>3.880251283727</v>
      </c>
      <c r="I52" s="4">
        <v>3.8260683077784701</v>
      </c>
      <c r="J52" s="4">
        <v>-23.149488027191001</v>
      </c>
      <c r="K52" s="4">
        <v>27.497283324516701</v>
      </c>
      <c r="L52" s="4">
        <v>14.7831739066753</v>
      </c>
      <c r="M52" s="4">
        <v>16.760812662185501</v>
      </c>
      <c r="N52" s="4">
        <v>71.002036804671505</v>
      </c>
      <c r="O52" s="4">
        <v>62.660570436552902</v>
      </c>
      <c r="P52" s="4">
        <v>290042.04885639402</v>
      </c>
      <c r="Q52" s="4">
        <v>270022.59578906198</v>
      </c>
      <c r="R52" s="4">
        <v>780.65054561934505</v>
      </c>
      <c r="S52" s="4">
        <v>0</v>
      </c>
      <c r="T52" s="4">
        <v>0</v>
      </c>
      <c r="U52" s="4">
        <v>0.12762313742518799</v>
      </c>
      <c r="V52" s="4">
        <v>0.60434037568856702</v>
      </c>
      <c r="W52" s="4">
        <v>0</v>
      </c>
      <c r="X52" s="4">
        <v>0.54144112627993402</v>
      </c>
      <c r="Y52" s="4">
        <v>0</v>
      </c>
      <c r="Z52" s="5">
        <v>3.7040791613356702E-4</v>
      </c>
      <c r="AA52" s="5">
        <v>5.2756991300097802E-5</v>
      </c>
      <c r="AB52" s="10">
        <v>5.2657744183218702E-3</v>
      </c>
      <c r="AC52" s="10">
        <v>1.1995207252168401E-5</v>
      </c>
      <c r="AD52" s="10">
        <v>1.97295337879002E-2</v>
      </c>
      <c r="AE52" s="4">
        <v>9.6874646798579905E-2</v>
      </c>
      <c r="AF52" s="4">
        <v>0.107693566142781</v>
      </c>
      <c r="AG52" s="4">
        <v>0.91569525090828896</v>
      </c>
      <c r="AH52" s="4">
        <v>0.99057481877871101</v>
      </c>
      <c r="AI52" s="4">
        <v>1</v>
      </c>
      <c r="AJ52" s="4">
        <v>1</v>
      </c>
      <c r="AK52" s="4">
        <v>1</v>
      </c>
      <c r="AL52" s="4">
        <v>1</v>
      </c>
      <c r="AM52" s="4">
        <v>0</v>
      </c>
      <c r="AN52" s="4">
        <v>0</v>
      </c>
      <c r="AO52" s="4" t="s">
        <v>145</v>
      </c>
      <c r="AP52" s="4" t="s">
        <v>129</v>
      </c>
      <c r="AQ52" s="6">
        <v>21784882983.07</v>
      </c>
      <c r="AR52" s="4">
        <v>80678</v>
      </c>
      <c r="AS52" s="15">
        <v>0</v>
      </c>
      <c r="AT52" s="15">
        <v>39.565962431143198</v>
      </c>
      <c r="AU52" s="15">
        <v>39.565962431143198</v>
      </c>
      <c r="AV52" s="15">
        <v>60.434037568856702</v>
      </c>
      <c r="AW52" s="15">
        <v>60.434037568856702</v>
      </c>
      <c r="AX52" s="15">
        <v>0</v>
      </c>
    </row>
    <row r="53" spans="1:50" x14ac:dyDescent="0.25">
      <c r="A53">
        <v>96</v>
      </c>
      <c r="B53" s="4">
        <v>0.97308134042009697</v>
      </c>
      <c r="C53" s="4">
        <v>17.0549651807919</v>
      </c>
      <c r="D53" s="4">
        <v>27.924156023494</v>
      </c>
      <c r="E53" s="4">
        <v>1.5461887447761001E-2</v>
      </c>
      <c r="F53" s="5">
        <v>2.6918659579902599E-2</v>
      </c>
      <c r="G53" s="5">
        <v>0</v>
      </c>
      <c r="H53" s="4">
        <v>3.93336623518233</v>
      </c>
      <c r="I53" s="4">
        <v>3.8273206621379701</v>
      </c>
      <c r="J53" s="4">
        <v>-21.054766036242299</v>
      </c>
      <c r="K53" s="4">
        <v>32.544833811052797</v>
      </c>
      <c r="L53" s="4">
        <v>14.7194921336313</v>
      </c>
      <c r="M53" s="4">
        <v>16.9450806751775</v>
      </c>
      <c r="N53" s="4">
        <v>72.455905704519196</v>
      </c>
      <c r="O53" s="4">
        <v>63.979811826779702</v>
      </c>
      <c r="P53" s="4">
        <v>289962.48893096298</v>
      </c>
      <c r="Q53" s="4">
        <v>271195.833957878</v>
      </c>
      <c r="R53" s="4">
        <v>780.30112530101201</v>
      </c>
      <c r="S53" s="4">
        <v>0</v>
      </c>
      <c r="T53" s="4">
        <v>0</v>
      </c>
      <c r="U53" s="4">
        <v>0.13215230875867301</v>
      </c>
      <c r="V53" s="4">
        <v>0.60288164965152202</v>
      </c>
      <c r="W53" s="4">
        <v>0</v>
      </c>
      <c r="X53" s="4">
        <v>0.50110059309053401</v>
      </c>
      <c r="Y53" s="4">
        <v>0</v>
      </c>
      <c r="Z53" s="5">
        <v>3.6949257815700802E-4</v>
      </c>
      <c r="AA53" s="5">
        <v>5.8408594009183103E-5</v>
      </c>
      <c r="AB53" s="10">
        <v>5.2867021653446398E-3</v>
      </c>
      <c r="AC53" s="10">
        <v>1.4083395215594901E-5</v>
      </c>
      <c r="AD53" s="10">
        <v>2.1189958336134702E-2</v>
      </c>
      <c r="AE53" s="4">
        <v>9.6559649227686103E-2</v>
      </c>
      <c r="AF53" s="4">
        <v>0.109694425844587</v>
      </c>
      <c r="AG53" s="4">
        <v>0.91444606591980904</v>
      </c>
      <c r="AH53" s="4">
        <v>0.98982816569134802</v>
      </c>
      <c r="AI53" s="4">
        <v>1</v>
      </c>
      <c r="AJ53" s="4">
        <v>1</v>
      </c>
      <c r="AK53" s="4">
        <v>1</v>
      </c>
      <c r="AL53" s="4">
        <v>1</v>
      </c>
      <c r="AM53" s="4">
        <v>0</v>
      </c>
      <c r="AN53" s="4">
        <v>0</v>
      </c>
      <c r="AO53" s="4" t="s">
        <v>146</v>
      </c>
      <c r="AP53" s="4" t="s">
        <v>130</v>
      </c>
      <c r="AQ53" s="6">
        <v>23345622170.43</v>
      </c>
      <c r="AR53" s="4">
        <v>86084</v>
      </c>
      <c r="AS53" s="15">
        <v>0</v>
      </c>
      <c r="AT53" s="15">
        <v>39.711835034847702</v>
      </c>
      <c r="AU53" s="15">
        <v>39.711835034847702</v>
      </c>
      <c r="AV53" s="15">
        <v>60.288164965152198</v>
      </c>
      <c r="AW53" s="15">
        <v>60.288164965152198</v>
      </c>
      <c r="AX53" s="15">
        <v>0</v>
      </c>
    </row>
    <row r="54" spans="1:50" x14ac:dyDescent="0.25">
      <c r="A54">
        <v>96</v>
      </c>
      <c r="B54" s="4">
        <v>0.97160053812688696</v>
      </c>
      <c r="C54" s="4">
        <v>17.472775127191898</v>
      </c>
      <c r="D54" s="4">
        <v>29.229386568215901</v>
      </c>
      <c r="E54" s="4">
        <v>1.58761201711657E-2</v>
      </c>
      <c r="F54" s="5">
        <v>2.8399461873112701E-2</v>
      </c>
      <c r="G54" s="5">
        <v>0</v>
      </c>
      <c r="H54" s="4">
        <v>3.9887988488161099</v>
      </c>
      <c r="I54" s="4">
        <v>3.8342698597759801</v>
      </c>
      <c r="J54" s="4">
        <v>-18.859195605011301</v>
      </c>
      <c r="K54" s="4">
        <v>37.532819362479898</v>
      </c>
      <c r="L54" s="4">
        <v>14.890848859558099</v>
      </c>
      <c r="M54" s="4">
        <v>17.238108865447298</v>
      </c>
      <c r="N54" s="4">
        <v>73.129166767380994</v>
      </c>
      <c r="O54" s="4">
        <v>64.3786779181643</v>
      </c>
      <c r="P54" s="4">
        <v>287507.91579316597</v>
      </c>
      <c r="Q54" s="4">
        <v>268087.65446086501</v>
      </c>
      <c r="R54" s="4">
        <v>780.22665707104795</v>
      </c>
      <c r="S54" s="4">
        <v>0</v>
      </c>
      <c r="T54" s="4">
        <v>0</v>
      </c>
      <c r="U54" s="4">
        <v>0.14165558177235099</v>
      </c>
      <c r="V54" s="4">
        <v>0.59860946783241997</v>
      </c>
      <c r="W54" s="4">
        <v>0</v>
      </c>
      <c r="X54" s="4">
        <v>0.480354180948739</v>
      </c>
      <c r="Y54" s="4">
        <v>0</v>
      </c>
      <c r="Z54" s="5">
        <v>3.7065482748436802E-4</v>
      </c>
      <c r="AA54" s="5">
        <v>6.2690999947724894E-5</v>
      </c>
      <c r="AB54" s="10">
        <v>5.35811557883672E-3</v>
      </c>
      <c r="AC54" s="10">
        <v>1.8733744337394999E-5</v>
      </c>
      <c r="AD54" s="10">
        <v>2.2589252102001599E-2</v>
      </c>
      <c r="AE54" s="4">
        <v>9.9074578893689202E-2</v>
      </c>
      <c r="AF54" s="4">
        <v>9.8689397587508998E-2</v>
      </c>
      <c r="AG54" s="4">
        <v>0.90334814921412998</v>
      </c>
      <c r="AH54" s="4">
        <v>0.98636648612465405</v>
      </c>
      <c r="AI54" s="4">
        <v>1</v>
      </c>
      <c r="AJ54" s="4">
        <v>1</v>
      </c>
      <c r="AK54" s="4">
        <v>1</v>
      </c>
      <c r="AL54" s="4">
        <v>1</v>
      </c>
      <c r="AM54" s="4">
        <v>0</v>
      </c>
      <c r="AN54" s="4">
        <v>0</v>
      </c>
      <c r="AO54" s="4" t="s">
        <v>147</v>
      </c>
      <c r="AP54" s="4" t="s">
        <v>131</v>
      </c>
      <c r="AQ54" s="6">
        <v>23599756222.189999</v>
      </c>
      <c r="AR54" s="4">
        <v>88030</v>
      </c>
      <c r="AS54" s="15">
        <v>0</v>
      </c>
      <c r="AT54" s="15">
        <v>40.139053216757901</v>
      </c>
      <c r="AU54" s="15">
        <v>40.139053216757901</v>
      </c>
      <c r="AV54" s="15">
        <v>59.860946783241999</v>
      </c>
      <c r="AW54" s="15">
        <v>59.860946783241999</v>
      </c>
      <c r="AX54" s="15">
        <v>0</v>
      </c>
    </row>
    <row r="55" spans="1:50" x14ac:dyDescent="0.25">
      <c r="A55">
        <v>96</v>
      </c>
      <c r="B55" s="4">
        <v>0.97008146115433302</v>
      </c>
      <c r="C55" s="4">
        <v>19.2568037919098</v>
      </c>
      <c r="D55" s="4">
        <v>30.545808460807301</v>
      </c>
      <c r="E55" s="4">
        <v>1.7666786672552601E-2</v>
      </c>
      <c r="F55" s="5">
        <v>2.9918538845666798E-2</v>
      </c>
      <c r="G55" s="5">
        <v>0</v>
      </c>
      <c r="H55" s="4">
        <v>4.0333097004014604</v>
      </c>
      <c r="I55" s="4">
        <v>3.83298796095607</v>
      </c>
      <c r="J55" s="4">
        <v>-16.933643258354699</v>
      </c>
      <c r="K55" s="4">
        <v>42.527555224659899</v>
      </c>
      <c r="L55" s="4">
        <v>15.0304777294507</v>
      </c>
      <c r="M55" s="4">
        <v>17.4244122823719</v>
      </c>
      <c r="N55" s="4">
        <v>72.829279323424004</v>
      </c>
      <c r="O55" s="4">
        <v>64.077189087949407</v>
      </c>
      <c r="P55" s="4">
        <v>283449.61040101701</v>
      </c>
      <c r="Q55" s="4">
        <v>265599.93795253203</v>
      </c>
      <c r="R55" s="4">
        <v>779.89641691846703</v>
      </c>
      <c r="S55" s="4">
        <v>0</v>
      </c>
      <c r="T55" s="4">
        <v>0</v>
      </c>
      <c r="U55" s="4">
        <v>0.144293942280737</v>
      </c>
      <c r="V55" s="4">
        <v>0.59294042579279305</v>
      </c>
      <c r="W55" s="4">
        <v>0</v>
      </c>
      <c r="X55" s="4">
        <v>0.46244590067629798</v>
      </c>
      <c r="Y55" s="4">
        <v>0</v>
      </c>
      <c r="Z55" s="5">
        <v>3.6993666193940901E-4</v>
      </c>
      <c r="AA55" s="5">
        <v>6.5548211264281896E-5</v>
      </c>
      <c r="AB55" s="10">
        <v>5.4431870065713003E-3</v>
      </c>
      <c r="AC55" s="10">
        <v>2.5274335178821502E-5</v>
      </c>
      <c r="AD55" s="10">
        <v>2.4014578016174799E-2</v>
      </c>
      <c r="AE55" s="4">
        <v>0.100184949552674</v>
      </c>
      <c r="AF55" s="4">
        <v>0.104386700095582</v>
      </c>
      <c r="AG55" s="4">
        <v>0.89247885690653195</v>
      </c>
      <c r="AH55" s="4">
        <v>0.98180659953468297</v>
      </c>
      <c r="AI55" s="4">
        <v>1</v>
      </c>
      <c r="AJ55" s="4">
        <v>1</v>
      </c>
      <c r="AK55" s="4">
        <v>1</v>
      </c>
      <c r="AL55" s="4">
        <v>1</v>
      </c>
      <c r="AM55" s="4">
        <v>0</v>
      </c>
      <c r="AN55" s="4">
        <v>0</v>
      </c>
      <c r="AO55" s="4" t="s">
        <v>148</v>
      </c>
      <c r="AP55" s="4" t="s">
        <v>132</v>
      </c>
      <c r="AQ55" s="6">
        <v>23903728815.790001</v>
      </c>
      <c r="AR55" s="4">
        <v>89999</v>
      </c>
      <c r="AS55" s="15">
        <v>0</v>
      </c>
      <c r="AT55" s="15">
        <v>40.704450969267803</v>
      </c>
      <c r="AU55" s="15">
        <v>40.704450969267803</v>
      </c>
      <c r="AV55" s="15">
        <v>59.295549030732097</v>
      </c>
      <c r="AW55" s="15">
        <v>59.295549030732097</v>
      </c>
      <c r="AX55" s="15">
        <v>0</v>
      </c>
    </row>
    <row r="56" spans="1:50" x14ac:dyDescent="0.25">
      <c r="A56">
        <v>96</v>
      </c>
      <c r="B56" s="4">
        <v>0.96827651520681002</v>
      </c>
      <c r="C56" s="4">
        <v>21.387619930494498</v>
      </c>
      <c r="D56" s="4">
        <v>32.080765557372203</v>
      </c>
      <c r="E56" s="4">
        <v>1.98536835635536E-2</v>
      </c>
      <c r="F56" s="5">
        <v>3.1723484793188997E-2</v>
      </c>
      <c r="G56" s="5">
        <v>0</v>
      </c>
      <c r="H56" s="4">
        <v>4.0756896600704202</v>
      </c>
      <c r="I56" s="4">
        <v>3.8275303216299199</v>
      </c>
      <c r="J56" s="4">
        <v>-14.6803688301557</v>
      </c>
      <c r="K56" s="4">
        <v>47.487927604961698</v>
      </c>
      <c r="L56" s="4">
        <v>14.7842847556441</v>
      </c>
      <c r="M56" s="4">
        <v>17.6493514528227</v>
      </c>
      <c r="N56" s="4">
        <v>74.412995566273594</v>
      </c>
      <c r="O56" s="4">
        <v>65.367046414823406</v>
      </c>
      <c r="P56" s="4">
        <v>289059.93189911998</v>
      </c>
      <c r="Q56" s="4">
        <v>270029.11437394703</v>
      </c>
      <c r="R56" s="4">
        <v>779.61413902625998</v>
      </c>
      <c r="S56" s="4">
        <v>0</v>
      </c>
      <c r="T56" s="4">
        <v>0</v>
      </c>
      <c r="U56" s="4">
        <v>0.14711552122451699</v>
      </c>
      <c r="V56" s="4">
        <v>0.58810780573371002</v>
      </c>
      <c r="W56" s="4">
        <v>0</v>
      </c>
      <c r="X56" s="4">
        <v>0.44142327528957398</v>
      </c>
      <c r="Y56" s="4">
        <v>0</v>
      </c>
      <c r="Z56" s="5">
        <v>3.6961207326738902E-4</v>
      </c>
      <c r="AA56" s="5">
        <v>6.8708407239914595E-5</v>
      </c>
      <c r="AB56" s="10">
        <v>5.4225892838054204E-3</v>
      </c>
      <c r="AC56" s="10">
        <v>3.2519154495574901E-5</v>
      </c>
      <c r="AD56" s="10">
        <v>2.58300411191375E-2</v>
      </c>
      <c r="AE56" s="4">
        <v>0.102029948163524</v>
      </c>
      <c r="AF56" s="4">
        <v>9.7177045957907604E-2</v>
      </c>
      <c r="AG56" s="4">
        <v>0.88462841702987605</v>
      </c>
      <c r="AH56" s="4">
        <v>0.97743110624950102</v>
      </c>
      <c r="AI56" s="4">
        <v>1</v>
      </c>
      <c r="AJ56" s="4">
        <v>1</v>
      </c>
      <c r="AK56" s="4">
        <v>1</v>
      </c>
      <c r="AL56" s="4">
        <v>1</v>
      </c>
      <c r="AM56" s="4">
        <v>0</v>
      </c>
      <c r="AN56" s="4">
        <v>0</v>
      </c>
      <c r="AO56" s="4" t="s">
        <v>70</v>
      </c>
      <c r="AP56" s="4" t="s">
        <v>71</v>
      </c>
      <c r="AQ56" s="6">
        <v>25012256806.23</v>
      </c>
      <c r="AR56" s="4">
        <v>92628</v>
      </c>
      <c r="AS56" s="15">
        <v>0</v>
      </c>
      <c r="AT56" s="15">
        <v>41.188502124782097</v>
      </c>
      <c r="AU56" s="15">
        <v>41.188502124782097</v>
      </c>
      <c r="AV56" s="15">
        <v>58.811497875217803</v>
      </c>
      <c r="AW56" s="15">
        <v>58.811497875217803</v>
      </c>
      <c r="AX56" s="15">
        <v>0</v>
      </c>
    </row>
    <row r="57" spans="1:50" x14ac:dyDescent="0.25">
      <c r="A57">
        <v>96</v>
      </c>
      <c r="B57" s="4">
        <v>0.96659665006378803</v>
      </c>
      <c r="C57" s="4">
        <v>21.844647516727701</v>
      </c>
      <c r="D57" s="4">
        <v>33.481349779928102</v>
      </c>
      <c r="E57" s="4">
        <v>2.0329808716617399E-2</v>
      </c>
      <c r="F57" s="5">
        <v>3.3403349936211697E-2</v>
      </c>
      <c r="G57" s="5">
        <v>0</v>
      </c>
      <c r="H57" s="4">
        <v>4.11629041110697</v>
      </c>
      <c r="I57" s="4">
        <v>3.82500336316969</v>
      </c>
      <c r="J57" s="4">
        <v>-12.697177484089501</v>
      </c>
      <c r="K57" s="4">
        <v>52.465593574257802</v>
      </c>
      <c r="L57" s="4">
        <v>15.0171600766088</v>
      </c>
      <c r="M57" s="4">
        <v>17.858717612135202</v>
      </c>
      <c r="N57" s="4">
        <v>73.733427172565499</v>
      </c>
      <c r="O57" s="4">
        <v>64.600006333456903</v>
      </c>
      <c r="P57" s="4">
        <v>283932.105963287</v>
      </c>
      <c r="Q57" s="4">
        <v>265847.60937360802</v>
      </c>
      <c r="R57" s="4">
        <v>779.41809534705499</v>
      </c>
      <c r="S57" s="4">
        <v>0</v>
      </c>
      <c r="T57" s="4">
        <v>0</v>
      </c>
      <c r="U57" s="4">
        <v>0.14961167921667501</v>
      </c>
      <c r="V57" s="4">
        <v>0.57712389816656195</v>
      </c>
      <c r="W57" s="4">
        <v>0</v>
      </c>
      <c r="X57" s="4">
        <v>0.45869187322754501</v>
      </c>
      <c r="Y57" s="4">
        <v>0</v>
      </c>
      <c r="Z57" s="5">
        <v>3.70278659239052E-4</v>
      </c>
      <c r="AA57" s="5">
        <v>6.9688068533303802E-5</v>
      </c>
      <c r="AB57" s="10">
        <v>5.4943337924747001E-3</v>
      </c>
      <c r="AC57" s="10">
        <v>4.4868515702732503E-5</v>
      </c>
      <c r="AD57" s="10">
        <v>2.7424165990713401E-2</v>
      </c>
      <c r="AE57" s="4">
        <v>0.10498918946764201</v>
      </c>
      <c r="AF57" s="4">
        <v>9.3444581954140099E-2</v>
      </c>
      <c r="AG57" s="4">
        <v>0.86841661100206802</v>
      </c>
      <c r="AH57" s="4">
        <v>0.968677382036506</v>
      </c>
      <c r="AI57" s="4">
        <v>1</v>
      </c>
      <c r="AJ57" s="4">
        <v>1</v>
      </c>
      <c r="AK57" s="4">
        <v>1</v>
      </c>
      <c r="AL57" s="4">
        <v>1</v>
      </c>
      <c r="AM57" s="4">
        <v>0</v>
      </c>
      <c r="AN57" s="4">
        <v>0</v>
      </c>
      <c r="AO57" s="4" t="s">
        <v>149</v>
      </c>
      <c r="AP57" s="4" t="s">
        <v>133</v>
      </c>
      <c r="AQ57" s="6">
        <v>23397779796.189999</v>
      </c>
      <c r="AR57" s="4">
        <v>88012</v>
      </c>
      <c r="AS57" s="15">
        <v>0</v>
      </c>
      <c r="AT57" s="15">
        <v>42.286845198368397</v>
      </c>
      <c r="AU57" s="15">
        <v>42.286845198368397</v>
      </c>
      <c r="AV57" s="15">
        <v>57.713154801631497</v>
      </c>
      <c r="AW57" s="15">
        <v>57.713154801631497</v>
      </c>
      <c r="AX57" s="15">
        <v>0</v>
      </c>
    </row>
    <row r="58" spans="1:50" x14ac:dyDescent="0.25">
      <c r="A58">
        <v>96</v>
      </c>
      <c r="B58" s="4">
        <v>0.96432906200260005</v>
      </c>
      <c r="C58" s="4">
        <v>25.082143319889902</v>
      </c>
      <c r="D58" s="4">
        <v>35.329969824369002</v>
      </c>
      <c r="E58" s="4">
        <v>2.37775772896733E-2</v>
      </c>
      <c r="F58" s="5">
        <v>3.5670937997399302E-2</v>
      </c>
      <c r="G58" s="5">
        <v>0</v>
      </c>
      <c r="H58" s="4">
        <v>4.1452801613689303</v>
      </c>
      <c r="I58" s="4">
        <v>3.8119389716708199</v>
      </c>
      <c r="J58" s="4">
        <v>-10.2840601298303</v>
      </c>
      <c r="K58" s="4">
        <v>57.4808256739745</v>
      </c>
      <c r="L58" s="4">
        <v>14.4386636746541</v>
      </c>
      <c r="M58" s="4">
        <v>17.856393356413601</v>
      </c>
      <c r="N58" s="4">
        <v>74.381849186189896</v>
      </c>
      <c r="O58" s="4">
        <v>65.119849701106403</v>
      </c>
      <c r="P58" s="4">
        <v>293108.97791370202</v>
      </c>
      <c r="Q58" s="4">
        <v>276498.79991770902</v>
      </c>
      <c r="R58" s="4">
        <v>778.95853631872706</v>
      </c>
      <c r="S58" s="4">
        <v>0</v>
      </c>
      <c r="T58" s="4">
        <v>0</v>
      </c>
      <c r="U58" s="4">
        <v>0.15108264611716099</v>
      </c>
      <c r="V58" s="4">
        <v>0.57695187975829798</v>
      </c>
      <c r="W58" s="4">
        <v>0</v>
      </c>
      <c r="X58" s="4">
        <v>0.46632901970031299</v>
      </c>
      <c r="Y58" s="4">
        <v>0</v>
      </c>
      <c r="Z58" s="5">
        <v>3.6919672678277699E-4</v>
      </c>
      <c r="AA58" s="5">
        <v>7.2425856018509303E-5</v>
      </c>
      <c r="AB58" s="10">
        <v>5.46495082668641E-3</v>
      </c>
      <c r="AC58" s="10">
        <v>5.55203558300315E-5</v>
      </c>
      <c r="AD58" s="10">
        <v>2.9708829282971499E-2</v>
      </c>
      <c r="AE58" s="4">
        <v>0.106569109632086</v>
      </c>
      <c r="AF58" s="4">
        <v>8.3564263868225297E-2</v>
      </c>
      <c r="AG58" s="4">
        <v>0.86605026757687298</v>
      </c>
      <c r="AH58" s="4">
        <v>0.96247260441173599</v>
      </c>
      <c r="AI58" s="4">
        <v>1</v>
      </c>
      <c r="AJ58" s="4">
        <v>1</v>
      </c>
      <c r="AK58" s="4">
        <v>1</v>
      </c>
      <c r="AL58" s="4">
        <v>1</v>
      </c>
      <c r="AM58" s="4">
        <v>0</v>
      </c>
      <c r="AN58" s="4">
        <v>0</v>
      </c>
      <c r="AO58" s="4" t="s">
        <v>150</v>
      </c>
      <c r="AP58" s="4" t="s">
        <v>134</v>
      </c>
      <c r="AQ58" s="6">
        <v>22377877373.740002</v>
      </c>
      <c r="AR58" s="4">
        <v>80933</v>
      </c>
      <c r="AS58" s="15">
        <v>0</v>
      </c>
      <c r="AT58" s="15">
        <v>42.304014087676698</v>
      </c>
      <c r="AU58" s="15">
        <v>42.304014087676698</v>
      </c>
      <c r="AV58" s="15">
        <v>57.695985912323202</v>
      </c>
      <c r="AW58" s="15">
        <v>57.695985912323202</v>
      </c>
      <c r="AX58" s="15">
        <v>0</v>
      </c>
    </row>
    <row r="59" spans="1:50" x14ac:dyDescent="0.25">
      <c r="A59">
        <v>96</v>
      </c>
      <c r="B59" s="4">
        <v>0.96240407058301403</v>
      </c>
      <c r="C59" s="4">
        <v>25.678760829067599</v>
      </c>
      <c r="D59" s="4">
        <v>36.862204413161997</v>
      </c>
      <c r="E59" s="4">
        <v>2.4427809608890599E-2</v>
      </c>
      <c r="F59" s="5">
        <v>3.7595929416985099E-2</v>
      </c>
      <c r="G59" s="5">
        <v>0</v>
      </c>
      <c r="H59" s="4">
        <v>4.1715759439031803</v>
      </c>
      <c r="I59" s="4">
        <v>3.8064634881135802</v>
      </c>
      <c r="J59" s="4">
        <v>-7.9445009185613698</v>
      </c>
      <c r="K59" s="4">
        <v>62.390236810112597</v>
      </c>
      <c r="L59" s="4">
        <v>14.296381921543301</v>
      </c>
      <c r="M59" s="4">
        <v>18.0254387569092</v>
      </c>
      <c r="N59" s="4">
        <v>74.543544334805304</v>
      </c>
      <c r="O59" s="4">
        <v>65.017458900285604</v>
      </c>
      <c r="P59" s="4">
        <v>297842.77237579803</v>
      </c>
      <c r="Q59" s="4">
        <v>279246.358698303</v>
      </c>
      <c r="R59" s="4">
        <v>778.62580237578004</v>
      </c>
      <c r="S59" s="4">
        <v>0</v>
      </c>
      <c r="T59" s="4">
        <v>0</v>
      </c>
      <c r="U59" s="4">
        <v>0.16554870412829401</v>
      </c>
      <c r="V59" s="4">
        <v>0.58941463358870105</v>
      </c>
      <c r="W59" s="4">
        <v>0</v>
      </c>
      <c r="X59" s="4">
        <v>0.49759965054213601</v>
      </c>
      <c r="Y59" s="4">
        <v>0</v>
      </c>
      <c r="Z59" s="5">
        <v>3.69187472315579E-4</v>
      </c>
      <c r="AA59" s="5">
        <v>7.6977537436514703E-5</v>
      </c>
      <c r="AB59" s="10">
        <v>5.4438374478526404E-3</v>
      </c>
      <c r="AC59" s="10">
        <v>6.7859738543217998E-5</v>
      </c>
      <c r="AD59" s="10">
        <v>3.1638052196303001E-2</v>
      </c>
      <c r="AE59" s="4">
        <v>0.11036000377449599</v>
      </c>
      <c r="AF59" s="4">
        <v>6.8871881364802504E-2</v>
      </c>
      <c r="AG59" s="4">
        <v>0.85240549088414796</v>
      </c>
      <c r="AH59" s="4">
        <v>0.954619990302781</v>
      </c>
      <c r="AI59" s="4">
        <v>1</v>
      </c>
      <c r="AJ59" s="4">
        <v>1</v>
      </c>
      <c r="AK59" s="4">
        <v>1</v>
      </c>
      <c r="AL59" s="4">
        <v>1</v>
      </c>
      <c r="AM59" s="4">
        <v>0</v>
      </c>
      <c r="AN59" s="4">
        <v>0</v>
      </c>
      <c r="AO59" s="4" t="s">
        <v>151</v>
      </c>
      <c r="AP59" s="4" t="s">
        <v>135</v>
      </c>
      <c r="AQ59" s="6">
        <v>17494505126.09</v>
      </c>
      <c r="AR59" s="4">
        <v>62649</v>
      </c>
      <c r="AS59" s="15">
        <v>0</v>
      </c>
      <c r="AT59" s="15">
        <v>41.055488997048599</v>
      </c>
      <c r="AU59" s="15">
        <v>41.055488997048599</v>
      </c>
      <c r="AV59" s="15">
        <v>58.944511002951302</v>
      </c>
      <c r="AW59" s="15">
        <v>58.944511002951302</v>
      </c>
      <c r="AX59" s="15">
        <v>0</v>
      </c>
    </row>
    <row r="60" spans="1:50" x14ac:dyDescent="0.25">
      <c r="A60">
        <v>96</v>
      </c>
      <c r="B60" s="4">
        <v>0.96112263305447798</v>
      </c>
      <c r="C60" s="4">
        <v>25.732333959417598</v>
      </c>
      <c r="D60" s="4">
        <v>37.863662284373198</v>
      </c>
      <c r="E60" s="4">
        <v>2.4486430953052401E-2</v>
      </c>
      <c r="F60" s="5">
        <v>3.88773669455212E-2</v>
      </c>
      <c r="G60" s="5">
        <v>0</v>
      </c>
      <c r="H60" s="4">
        <v>4.2076933283961999</v>
      </c>
      <c r="I60" s="4">
        <v>3.8090936637889601</v>
      </c>
      <c r="J60" s="4">
        <v>-5.0515423145023997</v>
      </c>
      <c r="K60" s="4">
        <v>67.437797596586805</v>
      </c>
      <c r="L60" s="4">
        <v>14.773111411760899</v>
      </c>
      <c r="M60" s="4">
        <v>18.140469605461298</v>
      </c>
      <c r="N60" s="4">
        <v>75.050091386554698</v>
      </c>
      <c r="O60" s="4">
        <v>65.386412069240606</v>
      </c>
      <c r="P60" s="4">
        <v>287814.41069052502</v>
      </c>
      <c r="Q60" s="4">
        <v>270237.23343210499</v>
      </c>
      <c r="R60" s="4">
        <v>777.84025560510804</v>
      </c>
      <c r="S60" s="4">
        <v>0</v>
      </c>
      <c r="T60" s="4">
        <v>0</v>
      </c>
      <c r="U60" s="4">
        <v>0.178763545384547</v>
      </c>
      <c r="V60" s="4">
        <v>0.59239970968339895</v>
      </c>
      <c r="W60" s="4">
        <v>0</v>
      </c>
      <c r="X60" s="4">
        <v>0.51347695632368795</v>
      </c>
      <c r="Y60" s="4">
        <v>0</v>
      </c>
      <c r="Z60" s="5">
        <v>3.6854460425407598E-4</v>
      </c>
      <c r="AA60" s="5">
        <v>8.2212532984434695E-5</v>
      </c>
      <c r="AB60" s="10">
        <v>5.5341895234564597E-3</v>
      </c>
      <c r="AC60" s="10">
        <v>7.9172420071424795E-5</v>
      </c>
      <c r="AD60" s="10">
        <v>3.2813232709813803E-2</v>
      </c>
      <c r="AE60" s="4">
        <v>0.11240211493677101</v>
      </c>
      <c r="AF60" s="4">
        <v>7.1716434273322194E-2</v>
      </c>
      <c r="AG60" s="4">
        <v>0.83279077794950995</v>
      </c>
      <c r="AH60" s="4">
        <v>0.94929455569405996</v>
      </c>
      <c r="AI60" s="4">
        <v>1</v>
      </c>
      <c r="AJ60" s="4">
        <v>1</v>
      </c>
      <c r="AK60" s="4">
        <v>1</v>
      </c>
      <c r="AL60" s="4">
        <v>1</v>
      </c>
      <c r="AM60" s="4">
        <v>0</v>
      </c>
      <c r="AN60" s="4">
        <v>0</v>
      </c>
      <c r="AO60" s="4" t="s">
        <v>152</v>
      </c>
      <c r="AP60" s="4" t="s">
        <v>136</v>
      </c>
      <c r="AQ60" s="6">
        <v>13415386979.27</v>
      </c>
      <c r="AR60" s="4">
        <v>49643</v>
      </c>
      <c r="AS60" s="15">
        <v>0</v>
      </c>
      <c r="AT60" s="15">
        <v>40.760029031659997</v>
      </c>
      <c r="AU60" s="15">
        <v>40.760029031659997</v>
      </c>
      <c r="AV60" s="15">
        <v>59.239970968339897</v>
      </c>
      <c r="AW60" s="15">
        <v>59.239970968339897</v>
      </c>
      <c r="AX60" s="15">
        <v>0</v>
      </c>
    </row>
    <row r="61" spans="1:50" x14ac:dyDescent="0.25">
      <c r="A61">
        <v>96</v>
      </c>
      <c r="B61" s="4">
        <v>0.95927330510411601</v>
      </c>
      <c r="C61" s="4">
        <v>28.9134252848052</v>
      </c>
      <c r="D61" s="4">
        <v>39.283279236728298</v>
      </c>
      <c r="E61" s="4">
        <v>2.8038716849718402E-2</v>
      </c>
      <c r="F61" s="5">
        <v>4.07266948958835E-2</v>
      </c>
      <c r="G61" s="5">
        <v>0</v>
      </c>
      <c r="H61" s="4">
        <v>4.2395863954168096</v>
      </c>
      <c r="I61" s="4">
        <v>3.8105994375721299</v>
      </c>
      <c r="J61" s="4">
        <v>-2.3814144607151801</v>
      </c>
      <c r="K61" s="4">
        <v>72.406061128575502</v>
      </c>
      <c r="L61" s="4">
        <v>14.5705433105617</v>
      </c>
      <c r="M61" s="4">
        <v>18.278508882332599</v>
      </c>
      <c r="N61" s="4">
        <v>77.9713790193249</v>
      </c>
      <c r="O61" s="4">
        <v>67.791665513611903</v>
      </c>
      <c r="P61" s="4">
        <v>291264.85533165699</v>
      </c>
      <c r="Q61" s="4">
        <v>274004.11717062799</v>
      </c>
      <c r="R61" s="4">
        <v>777.26792642735302</v>
      </c>
      <c r="S61" s="4">
        <v>0</v>
      </c>
      <c r="T61" s="4">
        <v>0</v>
      </c>
      <c r="U61" s="4">
        <v>0.17551210881710599</v>
      </c>
      <c r="V61" s="4">
        <v>0.57909796853027395</v>
      </c>
      <c r="W61" s="4">
        <v>0</v>
      </c>
      <c r="X61" s="4">
        <v>0.49760422880354999</v>
      </c>
      <c r="Y61" s="4">
        <v>0</v>
      </c>
      <c r="Z61" s="5">
        <v>3.6876269009948501E-4</v>
      </c>
      <c r="AA61" s="5">
        <v>8.8753629758086901E-5</v>
      </c>
      <c r="AB61" s="10">
        <v>5.5168836935828398E-3</v>
      </c>
      <c r="AC61" s="10">
        <v>8.5784378179381898E-5</v>
      </c>
      <c r="AD61" s="10">
        <v>3.4666495206004601E-2</v>
      </c>
      <c r="AE61" s="4">
        <v>0.11453738134305499</v>
      </c>
      <c r="AF61" s="4">
        <v>5.94467173127727E-2</v>
      </c>
      <c r="AG61" s="4">
        <v>0.82399413143491396</v>
      </c>
      <c r="AH61" s="4">
        <v>0.94859901399437696</v>
      </c>
      <c r="AI61" s="4">
        <v>1</v>
      </c>
      <c r="AJ61" s="4">
        <v>1</v>
      </c>
      <c r="AK61" s="4">
        <v>1</v>
      </c>
      <c r="AL61" s="4">
        <v>1</v>
      </c>
      <c r="AM61" s="4">
        <v>0</v>
      </c>
      <c r="AN61" s="4">
        <v>0</v>
      </c>
      <c r="AO61" s="4" t="s">
        <v>72</v>
      </c>
      <c r="AP61" s="4" t="s">
        <v>73</v>
      </c>
      <c r="AQ61" s="6">
        <v>11261843219.83</v>
      </c>
      <c r="AR61" s="4">
        <v>41101</v>
      </c>
      <c r="AS61" s="15">
        <v>0</v>
      </c>
      <c r="AT61" s="15">
        <v>42.090203146972499</v>
      </c>
      <c r="AU61" s="15">
        <v>42.090203146972499</v>
      </c>
      <c r="AV61" s="15">
        <v>57.909796853027402</v>
      </c>
      <c r="AW61" s="15">
        <v>57.909796853027402</v>
      </c>
      <c r="AX61" s="15">
        <v>0</v>
      </c>
    </row>
    <row r="62" spans="1:50" x14ac:dyDescent="0.25">
      <c r="A62">
        <v>96</v>
      </c>
      <c r="B62" s="4">
        <v>0.95531661029877002</v>
      </c>
      <c r="C62" s="4">
        <v>30.129908018969701</v>
      </c>
      <c r="D62" s="4">
        <v>42.221275831093998</v>
      </c>
      <c r="E62" s="4">
        <v>2.9435781547390901E-2</v>
      </c>
      <c r="F62" s="5">
        <v>4.4683389701229301E-2</v>
      </c>
      <c r="G62" s="5">
        <v>0</v>
      </c>
      <c r="H62" s="4">
        <v>4.2889922499330497</v>
      </c>
      <c r="I62" s="4">
        <v>3.8187371924988098</v>
      </c>
      <c r="J62" s="4">
        <v>1.8159532919146699</v>
      </c>
      <c r="K62" s="4">
        <v>85.145305523583403</v>
      </c>
      <c r="L62" s="4">
        <v>14.6309052822791</v>
      </c>
      <c r="M62" s="4">
        <v>18.8134249323574</v>
      </c>
      <c r="N62" s="4">
        <v>81.896648066689195</v>
      </c>
      <c r="O62" s="4">
        <v>70.394387509519206</v>
      </c>
      <c r="P62" s="4">
        <v>290484.93635324202</v>
      </c>
      <c r="Q62" s="4">
        <v>272878.48099124897</v>
      </c>
      <c r="R62" s="4">
        <v>775.63585790525997</v>
      </c>
      <c r="S62" s="4">
        <v>0</v>
      </c>
      <c r="T62" s="4">
        <v>0</v>
      </c>
      <c r="U62" s="4">
        <v>0.18201142668098899</v>
      </c>
      <c r="V62" s="4">
        <v>0.562379271607369</v>
      </c>
      <c r="W62" s="4">
        <v>0</v>
      </c>
      <c r="X62" s="4">
        <v>0.46728360763726301</v>
      </c>
      <c r="Y62" s="4">
        <v>0</v>
      </c>
      <c r="Z62" s="5">
        <v>3.69054266182065E-4</v>
      </c>
      <c r="AA62" s="5">
        <v>1.03163065970649E-4</v>
      </c>
      <c r="AB62" s="10">
        <v>5.6618053923404403E-3</v>
      </c>
      <c r="AC62" s="10">
        <v>1.3190846078126801E-4</v>
      </c>
      <c r="AD62" s="10">
        <v>3.8417442755576299E-2</v>
      </c>
      <c r="AE62" s="4">
        <v>0.12572808722824799</v>
      </c>
      <c r="AF62" s="4">
        <v>3.7692975747617097E-2</v>
      </c>
      <c r="AG62" s="4">
        <v>0.74245925379474198</v>
      </c>
      <c r="AH62" s="4">
        <v>0.92878983734843201</v>
      </c>
      <c r="AI62" s="4">
        <v>1</v>
      </c>
      <c r="AJ62" s="4">
        <v>1</v>
      </c>
      <c r="AK62" s="4">
        <v>1</v>
      </c>
      <c r="AL62" s="4">
        <v>1</v>
      </c>
      <c r="AM62" s="4">
        <v>0</v>
      </c>
      <c r="AN62" s="4">
        <v>0</v>
      </c>
      <c r="AO62" s="4" t="s">
        <v>74</v>
      </c>
      <c r="AP62" s="4" t="s">
        <v>75</v>
      </c>
      <c r="AQ62" s="6">
        <v>29031814471.139999</v>
      </c>
      <c r="AR62" s="4">
        <v>106391</v>
      </c>
      <c r="AS62" s="15">
        <v>0</v>
      </c>
      <c r="AT62" s="15">
        <v>43.753836499841697</v>
      </c>
      <c r="AU62" s="15">
        <v>43.753836499841697</v>
      </c>
      <c r="AV62" s="15">
        <v>56.246163500158197</v>
      </c>
      <c r="AW62" s="15">
        <v>56.246163500158197</v>
      </c>
      <c r="AX62" s="15">
        <v>0</v>
      </c>
    </row>
    <row r="63" spans="1:50" x14ac:dyDescent="0.25">
      <c r="A63">
        <v>96</v>
      </c>
      <c r="B63" s="4">
        <v>0.94921893080124398</v>
      </c>
      <c r="C63" s="4">
        <v>38.954905037364099</v>
      </c>
      <c r="D63" s="4">
        <v>46.494713719361499</v>
      </c>
      <c r="E63" s="4">
        <v>4.0295426454689302E-2</v>
      </c>
      <c r="F63" s="5">
        <v>5.0781069198755698E-2</v>
      </c>
      <c r="G63" s="5">
        <v>0</v>
      </c>
      <c r="H63" s="4">
        <v>4.4064788975177498</v>
      </c>
      <c r="I63" s="4">
        <v>3.81978702797324</v>
      </c>
      <c r="J63" s="4">
        <v>11.685613103404</v>
      </c>
      <c r="K63" s="4">
        <v>109.875312895671</v>
      </c>
      <c r="L63" s="4">
        <v>14.5827710078149</v>
      </c>
      <c r="M63" s="4">
        <v>19.788489882049699</v>
      </c>
      <c r="N63" s="4">
        <v>88.307442920789001</v>
      </c>
      <c r="O63" s="4">
        <v>74.524014177613907</v>
      </c>
      <c r="P63" s="4">
        <v>291187.88506296597</v>
      </c>
      <c r="Q63" s="4">
        <v>273786.26916339702</v>
      </c>
      <c r="R63" s="4">
        <v>772.54287191486299</v>
      </c>
      <c r="S63" s="4">
        <v>0</v>
      </c>
      <c r="T63" s="4">
        <v>0</v>
      </c>
      <c r="U63" s="4">
        <v>0.21963580049481399</v>
      </c>
      <c r="V63" s="4">
        <v>0.54337624307410404</v>
      </c>
      <c r="W63" s="4">
        <v>0</v>
      </c>
      <c r="X63" s="4">
        <v>0.40993076694981401</v>
      </c>
      <c r="Y63" s="4">
        <v>0</v>
      </c>
      <c r="Z63" s="5">
        <v>3.6970634306807999E-4</v>
      </c>
      <c r="AA63" s="5">
        <v>1.3515585370994299E-4</v>
      </c>
      <c r="AB63" s="10">
        <v>5.86861406602413E-3</v>
      </c>
      <c r="AC63" s="10">
        <v>2.8653340161510402E-4</v>
      </c>
      <c r="AD63" s="10">
        <v>4.4121042769966701E-2</v>
      </c>
      <c r="AE63" s="4">
        <v>0.145368555207119</v>
      </c>
      <c r="AF63" s="4">
        <v>1.5944920214287499E-2</v>
      </c>
      <c r="AG63" s="4">
        <v>0.573098646185208</v>
      </c>
      <c r="AH63" s="4">
        <v>0.85190380458669401</v>
      </c>
      <c r="AI63" s="4">
        <v>1</v>
      </c>
      <c r="AJ63" s="4">
        <v>1</v>
      </c>
      <c r="AK63" s="4">
        <v>1</v>
      </c>
      <c r="AL63" s="4">
        <v>1</v>
      </c>
      <c r="AM63" s="4">
        <v>0</v>
      </c>
      <c r="AN63" s="4">
        <v>0</v>
      </c>
      <c r="AO63" s="4" t="s">
        <v>76</v>
      </c>
      <c r="AP63" s="4" t="s">
        <v>77</v>
      </c>
      <c r="AQ63" s="6">
        <v>8934193535.3400002</v>
      </c>
      <c r="AR63" s="4">
        <v>32632</v>
      </c>
      <c r="AS63" s="15">
        <v>0</v>
      </c>
      <c r="AT63" s="15">
        <v>45.662375692589499</v>
      </c>
      <c r="AU63" s="15">
        <v>45.662375692589499</v>
      </c>
      <c r="AV63" s="15">
        <v>54.337624307410401</v>
      </c>
      <c r="AW63" s="15">
        <v>54.337624307410401</v>
      </c>
      <c r="AX63" s="15">
        <v>0</v>
      </c>
    </row>
    <row r="64" spans="1:50" x14ac:dyDescent="0.25">
      <c r="A64">
        <v>96</v>
      </c>
      <c r="B64" s="4">
        <v>0.94509476808064996</v>
      </c>
      <c r="C64" s="4">
        <v>43.363346347877602</v>
      </c>
      <c r="D64" s="4">
        <v>49.218642342359999</v>
      </c>
      <c r="E64" s="4">
        <v>4.62714164341229E-2</v>
      </c>
      <c r="F64" s="5">
        <v>5.4905231919348998E-2</v>
      </c>
      <c r="G64" s="5">
        <v>0</v>
      </c>
      <c r="H64" s="4">
        <v>4.5835683627371999</v>
      </c>
      <c r="I64" s="4">
        <v>3.8260864161775698</v>
      </c>
      <c r="J64" s="4">
        <v>26.131892370604302</v>
      </c>
      <c r="K64" s="4">
        <v>134.559834669472</v>
      </c>
      <c r="L64" s="4">
        <v>14.6751817604835</v>
      </c>
      <c r="M64" s="4">
        <v>20.601579572041899</v>
      </c>
      <c r="N64" s="4">
        <v>91.100848750010897</v>
      </c>
      <c r="O64" s="4">
        <v>75.831773187491095</v>
      </c>
      <c r="P64" s="4">
        <v>289796.679498101</v>
      </c>
      <c r="Q64" s="4">
        <v>272074.44989901298</v>
      </c>
      <c r="R64" s="4">
        <v>770.15433473836299</v>
      </c>
      <c r="S64" s="4">
        <v>0</v>
      </c>
      <c r="T64" s="4">
        <v>0</v>
      </c>
      <c r="U64" s="4">
        <v>0.26872841891639498</v>
      </c>
      <c r="V64" s="4">
        <v>0.54554839900705898</v>
      </c>
      <c r="W64" s="4">
        <v>0</v>
      </c>
      <c r="X64" s="4">
        <v>0.383930756535655</v>
      </c>
      <c r="Y64" s="4">
        <v>0</v>
      </c>
      <c r="Z64" s="5">
        <v>3.6875835587902499E-4</v>
      </c>
      <c r="AA64" s="5">
        <v>1.9580211837811899E-4</v>
      </c>
      <c r="AB64" s="10">
        <v>6.1148212265898904E-3</v>
      </c>
      <c r="AC64" s="10">
        <v>5.1210778851051603E-4</v>
      </c>
      <c r="AD64" s="10">
        <v>4.7713724622697601E-2</v>
      </c>
      <c r="AE64" s="4">
        <v>0.163056246929458</v>
      </c>
      <c r="AF64" s="4">
        <v>4.7654075428243698E-3</v>
      </c>
      <c r="AG64" s="4">
        <v>0.41030895752171198</v>
      </c>
      <c r="AH64" s="4">
        <v>0.75017076826084195</v>
      </c>
      <c r="AI64" s="4">
        <v>1</v>
      </c>
      <c r="AJ64" s="4">
        <v>1</v>
      </c>
      <c r="AK64" s="4">
        <v>1</v>
      </c>
      <c r="AL64" s="4">
        <v>1</v>
      </c>
      <c r="AM64" s="4">
        <v>0</v>
      </c>
      <c r="AN64" s="4">
        <v>0</v>
      </c>
      <c r="AO64" s="4" t="s">
        <v>78</v>
      </c>
      <c r="AP64" s="4" t="s">
        <v>79</v>
      </c>
      <c r="AQ64" s="6">
        <v>2370856756.4200001</v>
      </c>
      <c r="AR64" s="4">
        <v>8714</v>
      </c>
      <c r="AS64" s="15">
        <v>0</v>
      </c>
      <c r="AT64" s="15">
        <v>45.445160099294</v>
      </c>
      <c r="AU64" s="15">
        <v>45.445160099294</v>
      </c>
      <c r="AV64" s="15">
        <v>54.5548399007059</v>
      </c>
      <c r="AW64" s="15">
        <v>54.5548399007059</v>
      </c>
      <c r="AX64" s="15">
        <v>0</v>
      </c>
    </row>
    <row r="65" spans="1:50" x14ac:dyDescent="0.25">
      <c r="A65">
        <v>96</v>
      </c>
      <c r="B65" s="4">
        <v>0.94230259787425596</v>
      </c>
      <c r="C65" s="4">
        <v>52.058629558868901</v>
      </c>
      <c r="D65" s="4">
        <v>50.990004646570704</v>
      </c>
      <c r="E65" s="4">
        <v>5.9426936606921499E-2</v>
      </c>
      <c r="F65" s="5">
        <v>5.7697402125743598E-2</v>
      </c>
      <c r="G65" s="5">
        <v>0</v>
      </c>
      <c r="H65" s="4">
        <v>4.7418270322815399</v>
      </c>
      <c r="I65" s="4">
        <v>3.8104598633482301</v>
      </c>
      <c r="J65" s="4">
        <v>40.912482365175599</v>
      </c>
      <c r="K65" s="4">
        <v>158.33424860714999</v>
      </c>
      <c r="L65" s="4">
        <v>14.8446090847335</v>
      </c>
      <c r="M65" s="4">
        <v>21.100922571018401</v>
      </c>
      <c r="N65" s="4">
        <v>92.4796392022416</v>
      </c>
      <c r="O65" s="4">
        <v>76.033695919522302</v>
      </c>
      <c r="P65" s="4">
        <v>286767.62361687497</v>
      </c>
      <c r="Q65" s="4">
        <v>268976.59007259499</v>
      </c>
      <c r="R65" s="4">
        <v>767.81964997664602</v>
      </c>
      <c r="S65" s="4">
        <v>0</v>
      </c>
      <c r="T65" s="4">
        <v>0</v>
      </c>
      <c r="U65" s="4">
        <v>0.32796195111224302</v>
      </c>
      <c r="V65" s="4">
        <v>0.52006175060043702</v>
      </c>
      <c r="W65" s="4">
        <v>0</v>
      </c>
      <c r="X65" s="4">
        <v>0.42606259586177098</v>
      </c>
      <c r="Y65" s="4">
        <v>0</v>
      </c>
      <c r="Z65" s="5">
        <v>3.7397315233248202E-4</v>
      </c>
      <c r="AA65" s="5">
        <v>2.4616361132548999E-4</v>
      </c>
      <c r="AB65" s="10">
        <v>6.26741606669732E-3</v>
      </c>
      <c r="AC65" s="10">
        <v>7.53078208862845E-4</v>
      </c>
      <c r="AD65" s="10">
        <v>5.0056752426994797E-2</v>
      </c>
      <c r="AE65" s="4">
        <v>0.17650627513199801</v>
      </c>
      <c r="AF65" s="4">
        <v>4.5310305145780201E-3</v>
      </c>
      <c r="AG65" s="4">
        <v>0.31790552485648899</v>
      </c>
      <c r="AH65" s="4">
        <v>0.62361421470044698</v>
      </c>
      <c r="AI65" s="4">
        <v>1</v>
      </c>
      <c r="AJ65" s="4">
        <v>1</v>
      </c>
      <c r="AK65" s="4">
        <v>1</v>
      </c>
      <c r="AL65" s="4">
        <v>1</v>
      </c>
      <c r="AM65" s="4">
        <v>0</v>
      </c>
      <c r="AN65" s="4">
        <v>0</v>
      </c>
      <c r="AO65" s="4" t="s">
        <v>80</v>
      </c>
      <c r="AP65" s="4" t="s">
        <v>81</v>
      </c>
      <c r="AQ65" s="6">
        <v>444618303.38999999</v>
      </c>
      <c r="AR65" s="4">
        <v>1653</v>
      </c>
      <c r="AS65" s="15">
        <v>0</v>
      </c>
      <c r="AT65" s="15">
        <v>47.993824939956198</v>
      </c>
      <c r="AU65" s="15">
        <v>47.993824939956198</v>
      </c>
      <c r="AV65" s="15">
        <v>52.006175060043702</v>
      </c>
      <c r="AW65" s="15">
        <v>52.006175060043702</v>
      </c>
      <c r="AX65" s="15">
        <v>0</v>
      </c>
    </row>
    <row r="66" spans="1:50" x14ac:dyDescent="0.25">
      <c r="A66">
        <v>96</v>
      </c>
      <c r="B66" s="4">
        <v>0.94210244308855695</v>
      </c>
      <c r="C66" s="4">
        <v>65.682372053316996</v>
      </c>
      <c r="D66" s="4">
        <v>51.114781546933003</v>
      </c>
      <c r="E66" s="4">
        <v>8.5269615729516898E-2</v>
      </c>
      <c r="F66" s="5">
        <v>5.7897556911442501E-2</v>
      </c>
      <c r="G66" s="5">
        <v>0</v>
      </c>
      <c r="H66" s="4">
        <v>4.9545763241443597</v>
      </c>
      <c r="I66" s="4">
        <v>3.8193359061202101</v>
      </c>
      <c r="J66" s="4">
        <v>58.162217111726498</v>
      </c>
      <c r="K66" s="4">
        <v>183.00733235348699</v>
      </c>
      <c r="L66" s="4">
        <v>15.2904620245511</v>
      </c>
      <c r="M66" s="4">
        <v>21.702590313250401</v>
      </c>
      <c r="N66" s="4">
        <v>93.247837052129796</v>
      </c>
      <c r="O66" s="4">
        <v>75.856795860170195</v>
      </c>
      <c r="P66" s="4">
        <v>279876.48866802402</v>
      </c>
      <c r="Q66" s="4">
        <v>261147.61481481401</v>
      </c>
      <c r="R66" s="4">
        <v>766.37348773360497</v>
      </c>
      <c r="S66" s="4">
        <v>0</v>
      </c>
      <c r="T66" s="4">
        <v>0</v>
      </c>
      <c r="U66" s="4">
        <v>0.23961260718744601</v>
      </c>
      <c r="V66" s="4">
        <v>0.48839494155256802</v>
      </c>
      <c r="W66" s="4">
        <v>0</v>
      </c>
      <c r="X66" s="4">
        <v>0.37735595999515298</v>
      </c>
      <c r="Y66" s="4">
        <v>0</v>
      </c>
      <c r="Z66" s="5">
        <v>3.7615325087663501E-4</v>
      </c>
      <c r="AA66" s="5">
        <v>3.6027907756168702E-4</v>
      </c>
      <c r="AB66" s="10">
        <v>6.4935923375948404E-3</v>
      </c>
      <c r="AC66" s="10">
        <v>9.3139481214151495E-4</v>
      </c>
      <c r="AD66" s="10">
        <v>4.9736117792680702E-2</v>
      </c>
      <c r="AE66" s="4">
        <v>0.18752714633803599</v>
      </c>
      <c r="AF66" s="4">
        <v>0</v>
      </c>
      <c r="AG66" s="4">
        <v>0.200858109214445</v>
      </c>
      <c r="AH66" s="4">
        <v>0.48049075619401899</v>
      </c>
      <c r="AI66" s="4">
        <v>1</v>
      </c>
      <c r="AJ66" s="4">
        <v>1</v>
      </c>
      <c r="AK66" s="4">
        <v>1</v>
      </c>
      <c r="AL66" s="4">
        <v>1</v>
      </c>
      <c r="AM66" s="4">
        <v>0</v>
      </c>
      <c r="AN66" s="4">
        <v>0</v>
      </c>
      <c r="AO66" s="4" t="s">
        <v>82</v>
      </c>
      <c r="AP66" s="4" t="s">
        <v>83</v>
      </c>
      <c r="AQ66" s="6">
        <v>49356899.200000003</v>
      </c>
      <c r="AR66" s="4">
        <v>189</v>
      </c>
      <c r="AS66" s="15">
        <v>0</v>
      </c>
      <c r="AT66" s="15">
        <v>51.160505844743099</v>
      </c>
      <c r="AU66" s="15">
        <v>51.160505844743099</v>
      </c>
      <c r="AV66" s="15">
        <v>48.839494155256801</v>
      </c>
      <c r="AW66" s="15">
        <v>48.839494155256801</v>
      </c>
      <c r="AX66" s="15">
        <v>0</v>
      </c>
    </row>
    <row r="67" spans="1:50" x14ac:dyDescent="0.25">
      <c r="A67">
        <v>96</v>
      </c>
      <c r="B67" s="4">
        <v>0.945461258144072</v>
      </c>
      <c r="C67" s="4">
        <v>94.0512035512523</v>
      </c>
      <c r="D67" s="4">
        <v>48.981832978920103</v>
      </c>
      <c r="E67" s="4">
        <v>0.20955966708731</v>
      </c>
      <c r="F67" s="5">
        <v>5.4538741855926998E-2</v>
      </c>
      <c r="G67" s="5">
        <v>0</v>
      </c>
      <c r="H67" s="4">
        <v>5.1176122626481204</v>
      </c>
      <c r="I67" s="4">
        <v>3.8034604979234001</v>
      </c>
      <c r="J67" s="4">
        <v>72.032955173815196</v>
      </c>
      <c r="K67" s="4">
        <v>203.70253597806999</v>
      </c>
      <c r="L67" s="4">
        <v>15.29574970314</v>
      </c>
      <c r="M67" s="4">
        <v>22.005306146162901</v>
      </c>
      <c r="N67" s="4">
        <v>91.060496408354794</v>
      </c>
      <c r="O67" s="4">
        <v>74.911131239741295</v>
      </c>
      <c r="P67" s="4">
        <v>287554.10702240001</v>
      </c>
      <c r="Q67" s="4">
        <v>261070.33066666601</v>
      </c>
      <c r="R67" s="4">
        <v>771.00948061770805</v>
      </c>
      <c r="S67" s="4">
        <v>0</v>
      </c>
      <c r="T67" s="4">
        <v>0</v>
      </c>
      <c r="U67" s="4">
        <v>6.3892119123884802E-2</v>
      </c>
      <c r="V67" s="4">
        <v>0.68314680139218398</v>
      </c>
      <c r="W67" s="4">
        <v>0</v>
      </c>
      <c r="X67" s="4">
        <v>0.35103800483944098</v>
      </c>
      <c r="Y67" s="4">
        <v>0</v>
      </c>
      <c r="Z67" s="5">
        <v>3.6019193153754902E-4</v>
      </c>
      <c r="AA67" s="5">
        <v>5.7121595781390601E-4</v>
      </c>
      <c r="AB67" s="10">
        <v>6.26109612940605E-3</v>
      </c>
      <c r="AC67" s="10">
        <v>1.25600329691427E-3</v>
      </c>
      <c r="AD67" s="10">
        <v>4.60902154457613E-2</v>
      </c>
      <c r="AE67" s="4">
        <v>0.182454479685348</v>
      </c>
      <c r="AF67" s="4">
        <v>0</v>
      </c>
      <c r="AG67" s="4">
        <v>0.186779561949763</v>
      </c>
      <c r="AH67" s="4">
        <v>0.55165765599980199</v>
      </c>
      <c r="AI67" s="4">
        <v>1</v>
      </c>
      <c r="AJ67" s="4">
        <v>1</v>
      </c>
      <c r="AK67" s="4">
        <v>1</v>
      </c>
      <c r="AL67" s="4">
        <v>1</v>
      </c>
      <c r="AM67" s="4">
        <v>0</v>
      </c>
      <c r="AN67" s="4">
        <v>0</v>
      </c>
      <c r="AO67" s="4" t="s">
        <v>84</v>
      </c>
      <c r="AP67" s="4" t="s">
        <v>85</v>
      </c>
      <c r="AQ67" s="6">
        <v>3916054.96</v>
      </c>
      <c r="AR67" s="4">
        <v>15</v>
      </c>
      <c r="AS67" s="15">
        <v>0</v>
      </c>
      <c r="AT67" s="15">
        <v>31.685319860781501</v>
      </c>
      <c r="AU67" s="15">
        <v>31.685319860781501</v>
      </c>
      <c r="AV67" s="15">
        <v>68.314680139218396</v>
      </c>
      <c r="AW67" s="15">
        <v>68.314680139218396</v>
      </c>
      <c r="AX67" s="15">
        <v>0</v>
      </c>
    </row>
    <row r="68" spans="1:50" s="35" customFormat="1" x14ac:dyDescent="0.25"/>
    <row r="69" spans="1:50" s="35" customFormat="1" x14ac:dyDescent="0.25">
      <c r="O69" s="35" t="s">
        <v>169</v>
      </c>
      <c r="P69" s="35" t="s">
        <v>170</v>
      </c>
    </row>
    <row r="70" spans="1:50" x14ac:dyDescent="0.25">
      <c r="K70" t="s">
        <v>98</v>
      </c>
      <c r="L70" t="s">
        <v>89</v>
      </c>
      <c r="M70" t="s">
        <v>90</v>
      </c>
      <c r="O70" s="39">
        <v>0.4</v>
      </c>
      <c r="P70" s="39">
        <f>1-O70</f>
        <v>0.6</v>
      </c>
    </row>
    <row r="71" spans="1:50" x14ac:dyDescent="0.25">
      <c r="A71" s="4" t="s">
        <v>93</v>
      </c>
      <c r="B71" t="str">
        <f>AQ2</f>
        <v>Balance</v>
      </c>
      <c r="C71" s="2" t="str">
        <f t="shared" ref="C71:C85" si="0">AO2</f>
        <v>groupByColumn</v>
      </c>
      <c r="D71" t="str">
        <f>E2</f>
        <v>PREPAY_SMM1</v>
      </c>
      <c r="E71" t="str">
        <f>F2</f>
        <v>PREPAY_TRACKING_SMM1</v>
      </c>
      <c r="F71" t="s">
        <v>91</v>
      </c>
      <c r="G71" t="str">
        <f>C2</f>
        <v>PREPAY_CPR1</v>
      </c>
      <c r="H71" t="str">
        <f>D2</f>
        <v>PREPAY_TRACKING_CPR1</v>
      </c>
      <c r="I71" t="s">
        <v>168</v>
      </c>
      <c r="K71" t="s">
        <v>92</v>
      </c>
      <c r="L71" t="s">
        <v>92</v>
      </c>
      <c r="M71" t="s">
        <v>92</v>
      </c>
      <c r="O71" t="s">
        <v>163</v>
      </c>
      <c r="P71" t="s">
        <v>164</v>
      </c>
      <c r="Q71" t="s">
        <v>165</v>
      </c>
      <c r="S71" t="s">
        <v>96</v>
      </c>
      <c r="T71" t="s">
        <v>97</v>
      </c>
      <c r="U71" t="s">
        <v>91</v>
      </c>
    </row>
    <row r="72" spans="1:50" s="35" customFormat="1" x14ac:dyDescent="0.25">
      <c r="A72" s="14">
        <f t="shared" ref="A72:A85" si="1">K3</f>
        <v>-108.578018402354</v>
      </c>
      <c r="B72" s="32">
        <f t="shared" ref="B72:B99" si="2">AQ3/1000000000</f>
        <v>1.8888779000000001E-4</v>
      </c>
      <c r="C72" s="33" t="str">
        <f t="shared" si="0"/>
        <v>04:-125--100</v>
      </c>
      <c r="D72" s="34">
        <f t="shared" ref="D72:D85" si="3">E3</f>
        <v>0.246214167387873</v>
      </c>
      <c r="E72" s="34">
        <f t="shared" ref="E72:E99" si="4">Z3+AA3+AB3+AC3+AD3</f>
        <v>1.1603077048375638E-2</v>
      </c>
      <c r="F72" s="32">
        <f t="shared" ref="F72:F85" si="5">D72/E72</f>
        <v>21.219730452651049</v>
      </c>
      <c r="G72" s="33">
        <f t="shared" ref="G72:G85" si="6">(1-(1-D72)^12)*100</f>
        <v>96.635072994504711</v>
      </c>
      <c r="H72" s="33">
        <f t="shared" ref="H72:H85" si="7">(1-(1-E72)^12)*100</f>
        <v>13.068611499985217</v>
      </c>
      <c r="I72" s="33">
        <f>(1-(1-SUM(Z38,AA38,AB38,AC38,AD38*M72))^12)*100</f>
        <v>13.068611499985217</v>
      </c>
      <c r="K72" s="14">
        <f>VLOOKUP($C72,'Refi Adj'!$B$2:$E$32,2,0)</f>
        <v>1</v>
      </c>
      <c r="L72" s="14">
        <f>VLOOKUP($C72,'Refi Adj'!$B$2:$E$32,3,0)</f>
        <v>1</v>
      </c>
      <c r="M72" s="14">
        <f>VLOOKUP($C72,'Refi Adj'!$B$2:$E$32,4,0)</f>
        <v>1</v>
      </c>
      <c r="O72" s="40">
        <f>AD38*M72</f>
        <v>0</v>
      </c>
      <c r="P72" s="40">
        <f>AD3</f>
        <v>0</v>
      </c>
      <c r="Q72" s="40">
        <f>(O72*$O$70+P72*$P$70)</f>
        <v>0</v>
      </c>
      <c r="R72" s="14"/>
      <c r="S72" s="34">
        <f t="shared" ref="S72:S84" si="8">Z3+AA3+AB3*K72+AC3*L72+Q72</f>
        <v>1.1603077048375638E-2</v>
      </c>
      <c r="T72" s="33">
        <f t="shared" ref="T72:T85" si="9">100*(1-(1-S72)^12)</f>
        <v>13.068611499985217</v>
      </c>
      <c r="U72" s="36">
        <f t="shared" ref="U72:U99" si="10">D72/S72</f>
        <v>21.219730452651049</v>
      </c>
      <c r="X72" s="37"/>
      <c r="Y72" s="34"/>
      <c r="Z72" s="34"/>
      <c r="AD72" s="34"/>
      <c r="AE72" s="34"/>
      <c r="AJ72" s="34"/>
    </row>
    <row r="73" spans="1:50" s="35" customFormat="1" x14ac:dyDescent="0.25">
      <c r="A73" s="14">
        <f t="shared" si="1"/>
        <v>-81.597641416613001</v>
      </c>
      <c r="B73" s="32">
        <f t="shared" si="2"/>
        <v>6.0053591399999995E-3</v>
      </c>
      <c r="C73" s="33" t="str">
        <f t="shared" si="0"/>
        <v>05:-100--75</v>
      </c>
      <c r="D73" s="34">
        <f t="shared" si="3"/>
        <v>5.5879708576945603E-2</v>
      </c>
      <c r="E73" s="34">
        <f t="shared" si="4"/>
        <v>1.1558145647404084E-2</v>
      </c>
      <c r="F73" s="32">
        <f t="shared" si="5"/>
        <v>4.8346603582985628</v>
      </c>
      <c r="G73" s="33">
        <f t="shared" si="6"/>
        <v>49.84341244604159</v>
      </c>
      <c r="H73" s="33">
        <f t="shared" si="7"/>
        <v>13.021178015994971</v>
      </c>
      <c r="I73" s="33">
        <f t="shared" ref="I73:I99" si="11">(1-(1-SUM(Z39,AA39,AB39,AC39,AD39*M73))^12)*100</f>
        <v>13.204873806270879</v>
      </c>
      <c r="K73" s="14">
        <f>VLOOKUP($C73,'Refi Adj'!$B$2:$E$32,2,0)</f>
        <v>1</v>
      </c>
      <c r="L73" s="14">
        <f>VLOOKUP($C73,'Refi Adj'!$B$2:$E$32,3,0)</f>
        <v>1</v>
      </c>
      <c r="M73" s="14">
        <f>VLOOKUP($C73,'Refi Adj'!$B$2:$E$32,4,0)</f>
        <v>1</v>
      </c>
      <c r="O73" s="40">
        <f>AD39*M73</f>
        <v>1.9607821022762299E-4</v>
      </c>
      <c r="P73" s="40">
        <f>AD4</f>
        <v>2.1947121089164302E-5</v>
      </c>
      <c r="Q73" s="40">
        <f>(O73*$O$70+P73*$P$70)</f>
        <v>9.1599556744547777E-5</v>
      </c>
      <c r="R73" s="14"/>
      <c r="S73" s="34">
        <f t="shared" si="8"/>
        <v>1.1627798083059467E-2</v>
      </c>
      <c r="T73" s="33">
        <f t="shared" si="9"/>
        <v>13.094699055135662</v>
      </c>
      <c r="U73" s="36">
        <f t="shared" si="10"/>
        <v>4.8056999423095181</v>
      </c>
      <c r="X73" s="37"/>
      <c r="Y73" s="34"/>
      <c r="Z73" s="34"/>
      <c r="AC73" s="37"/>
      <c r="AD73" s="34"/>
      <c r="AE73" s="34"/>
      <c r="AJ73" s="34"/>
    </row>
    <row r="74" spans="1:50" s="35" customFormat="1" x14ac:dyDescent="0.25">
      <c r="A74" s="14">
        <f t="shared" si="1"/>
        <v>-57.582086422781103</v>
      </c>
      <c r="B74" s="32">
        <f t="shared" si="2"/>
        <v>4.3286125619999997E-2</v>
      </c>
      <c r="C74" s="33" t="str">
        <f t="shared" si="0"/>
        <v>06:-75--50</v>
      </c>
      <c r="D74" s="34">
        <f t="shared" si="3"/>
        <v>4.0115492029250598E-2</v>
      </c>
      <c r="E74" s="34">
        <f t="shared" si="4"/>
        <v>8.7527770049463747E-3</v>
      </c>
      <c r="F74" s="32">
        <f t="shared" si="5"/>
        <v>4.5831730897040455</v>
      </c>
      <c r="G74" s="33">
        <f t="shared" si="6"/>
        <v>38.817419629464155</v>
      </c>
      <c r="H74" s="33">
        <f t="shared" si="7"/>
        <v>10.012164928233203</v>
      </c>
      <c r="I74" s="33">
        <f t="shared" si="11"/>
        <v>10.452942586437796</v>
      </c>
      <c r="K74" s="14">
        <f>VLOOKUP($C74,'Refi Adj'!$B$2:$E$32,2,0)</f>
        <v>1</v>
      </c>
      <c r="L74" s="14">
        <f>VLOOKUP($C74,'Refi Adj'!$B$2:$E$32,3,0)</f>
        <v>1</v>
      </c>
      <c r="M74" s="14">
        <f>VLOOKUP($C74,'Refi Adj'!$B$2:$E$32,4,0)</f>
        <v>0.5</v>
      </c>
      <c r="O74" s="40">
        <f t="shared" ref="O74:O99" si="12">AD40*M74</f>
        <v>5.4207061094173499E-4</v>
      </c>
      <c r="P74" s="40">
        <f t="shared" ref="P74:P99" si="13">AD5</f>
        <v>1.3654950501987799E-4</v>
      </c>
      <c r="Q74" s="40">
        <f t="shared" ref="Q74:Q99" si="14">(O74*$O$70+P74*$P$70)</f>
        <v>2.9875794738862081E-4</v>
      </c>
      <c r="R74" s="14"/>
      <c r="S74" s="34">
        <f t="shared" si="8"/>
        <v>8.9149854473151175E-3</v>
      </c>
      <c r="T74" s="33">
        <f t="shared" si="9"/>
        <v>10.18871409890153</v>
      </c>
      <c r="U74" s="36">
        <f t="shared" si="10"/>
        <v>4.4997821102817372</v>
      </c>
      <c r="X74" s="37"/>
      <c r="Y74" s="34"/>
      <c r="Z74" s="34"/>
      <c r="AC74" s="37"/>
      <c r="AD74" s="34"/>
      <c r="AE74" s="34"/>
      <c r="AJ74" s="34"/>
    </row>
    <row r="75" spans="1:50" s="35" customFormat="1" x14ac:dyDescent="0.25">
      <c r="A75" s="14">
        <f t="shared" si="1"/>
        <v>-31.153905229681801</v>
      </c>
      <c r="B75" s="32">
        <f t="shared" si="2"/>
        <v>1.3604577820199999</v>
      </c>
      <c r="C75" s="33" t="str">
        <f t="shared" si="0"/>
        <v>07:-50--25</v>
      </c>
      <c r="D75" s="34">
        <f t="shared" si="3"/>
        <v>8.1575868587733403E-3</v>
      </c>
      <c r="E75" s="34">
        <f t="shared" si="4"/>
        <v>6.0972412294571076E-3</v>
      </c>
      <c r="F75" s="32">
        <f t="shared" si="5"/>
        <v>1.3379144028880228</v>
      </c>
      <c r="G75" s="33">
        <f t="shared" si="6"/>
        <v>9.3616256297720746</v>
      </c>
      <c r="H75" s="33">
        <f t="shared" si="7"/>
        <v>7.0762446209051255</v>
      </c>
      <c r="I75" s="33">
        <f t="shared" si="11"/>
        <v>8.8638206114578395</v>
      </c>
      <c r="K75" s="14">
        <f>VLOOKUP($C75,'Refi Adj'!$B$2:$E$32,2,0)</f>
        <v>1</v>
      </c>
      <c r="L75" s="14">
        <f>VLOOKUP($C75,'Refi Adj'!$B$2:$E$32,3,0)</f>
        <v>1</v>
      </c>
      <c r="M75" s="14">
        <f>VLOOKUP($C75,'Refi Adj'!$B$2:$E$32,4,0)</f>
        <v>0.5</v>
      </c>
      <c r="O75" s="40">
        <f>AD41*M75</f>
        <v>2.0874432659999148E-3</v>
      </c>
      <c r="P75" s="40">
        <f t="shared" si="13"/>
        <v>4.79909514994625E-4</v>
      </c>
      <c r="Q75" s="40">
        <f t="shared" si="14"/>
        <v>1.1229230153967408E-3</v>
      </c>
      <c r="R75" s="14"/>
      <c r="S75" s="34">
        <f t="shared" si="8"/>
        <v>6.7402547298592236E-3</v>
      </c>
      <c r="T75" s="33">
        <f t="shared" si="9"/>
        <v>7.7950965471334506</v>
      </c>
      <c r="U75" s="36">
        <f t="shared" si="10"/>
        <v>1.2102787187901605</v>
      </c>
      <c r="X75" s="37"/>
      <c r="Y75" s="34"/>
      <c r="Z75" s="34"/>
      <c r="AC75" s="37"/>
      <c r="AD75" s="34"/>
      <c r="AE75" s="34"/>
      <c r="AH75" s="37"/>
      <c r="AI75" s="34"/>
      <c r="AJ75" s="34"/>
    </row>
    <row r="76" spans="1:50" x14ac:dyDescent="0.25">
      <c r="A76" s="4">
        <f t="shared" si="1"/>
        <v>-22.221984905528</v>
      </c>
      <c r="B76" s="3">
        <f t="shared" si="2"/>
        <v>1.56588186837</v>
      </c>
      <c r="C76" s="2" t="str">
        <f t="shared" si="0"/>
        <v>08-1:-25--20</v>
      </c>
      <c r="D76" s="8">
        <f t="shared" si="3"/>
        <v>6.40143364910652E-3</v>
      </c>
      <c r="E76" s="8">
        <f t="shared" si="4"/>
        <v>6.2167335357420162E-3</v>
      </c>
      <c r="F76" s="3">
        <f t="shared" si="5"/>
        <v>1.029710154424764</v>
      </c>
      <c r="G76" s="2">
        <f t="shared" si="6"/>
        <v>7.4169520185997317</v>
      </c>
      <c r="H76" s="2">
        <f t="shared" si="7"/>
        <v>7.2102175009969738</v>
      </c>
      <c r="I76" s="33">
        <f t="shared" si="11"/>
        <v>10.281124545382847</v>
      </c>
      <c r="K76" s="14">
        <f>VLOOKUP($C76,'Refi Adj'!$B$2:$E$32,2,0)</f>
        <v>1</v>
      </c>
      <c r="L76" s="14">
        <f>VLOOKUP($C76,'Refi Adj'!$B$2:$E$32,3,0)</f>
        <v>1</v>
      </c>
      <c r="M76" s="14">
        <f>VLOOKUP($C76,'Refi Adj'!$B$2:$E$32,4,0)</f>
        <v>0.51</v>
      </c>
      <c r="O76" s="40">
        <f t="shared" si="12"/>
        <v>3.634243180782619E-3</v>
      </c>
      <c r="P76" s="40">
        <f t="shared" si="13"/>
        <v>8.5097056142083695E-4</v>
      </c>
      <c r="Q76" s="40">
        <f t="shared" si="14"/>
        <v>1.9642796091655498E-3</v>
      </c>
      <c r="R76" s="14"/>
      <c r="S76" s="34">
        <f t="shared" si="8"/>
        <v>7.3300425834867287E-3</v>
      </c>
      <c r="T76" s="2">
        <f t="shared" si="9"/>
        <v>8.4499594754210765</v>
      </c>
      <c r="U76" s="7">
        <f t="shared" si="10"/>
        <v>0.87331466034423888</v>
      </c>
      <c r="X76" s="9"/>
      <c r="Y76" s="8"/>
      <c r="Z76" s="8"/>
      <c r="AC76" s="9"/>
      <c r="AD76" s="8"/>
      <c r="AE76" s="8"/>
      <c r="AH76" s="9"/>
      <c r="AI76" s="8"/>
      <c r="AJ76" s="8"/>
    </row>
    <row r="77" spans="1:50" x14ac:dyDescent="0.25">
      <c r="A77" s="4">
        <f t="shared" si="1"/>
        <v>-17.210662166123701</v>
      </c>
      <c r="B77" s="3">
        <f t="shared" si="2"/>
        <v>2.7221264183200002</v>
      </c>
      <c r="C77" s="2" t="str">
        <f t="shared" si="0"/>
        <v>08-2:-20--15</v>
      </c>
      <c r="D77" s="8">
        <f t="shared" si="3"/>
        <v>4.1674921801230901E-3</v>
      </c>
      <c r="E77" s="8">
        <f t="shared" si="4"/>
        <v>6.5464319579378342E-3</v>
      </c>
      <c r="F77" s="3">
        <f t="shared" si="5"/>
        <v>0.63660513191003598</v>
      </c>
      <c r="G77" s="2">
        <f t="shared" si="6"/>
        <v>4.8879394238987794</v>
      </c>
      <c r="H77" s="2">
        <f t="shared" si="7"/>
        <v>7.578952443491449</v>
      </c>
      <c r="I77" s="33">
        <f t="shared" si="11"/>
        <v>11.336793250457845</v>
      </c>
      <c r="K77" s="14">
        <f>VLOOKUP($C77,'Refi Adj'!$B$2:$E$32,2,0)</f>
        <v>1</v>
      </c>
      <c r="L77" s="14">
        <f>VLOOKUP($C77,'Refi Adj'!$B$2:$E$32,3,0)</f>
        <v>1</v>
      </c>
      <c r="M77" s="14">
        <f>VLOOKUP($C77,'Refi Adj'!$B$2:$E$32,4,0)</f>
        <v>0.52</v>
      </c>
      <c r="O77" s="40">
        <f t="shared" si="12"/>
        <v>4.4942987625503812E-3</v>
      </c>
      <c r="P77" s="40">
        <f t="shared" si="13"/>
        <v>1.0637354514825999E-3</v>
      </c>
      <c r="Q77" s="40">
        <f t="shared" si="14"/>
        <v>2.4359607759097124E-3</v>
      </c>
      <c r="R77" s="14"/>
      <c r="S77" s="34">
        <f t="shared" si="8"/>
        <v>7.9186572823649465E-3</v>
      </c>
      <c r="T77" s="2">
        <f t="shared" si="9"/>
        <v>9.0992665627114278</v>
      </c>
      <c r="U77" s="7">
        <f t="shared" si="10"/>
        <v>0.52628773181082134</v>
      </c>
      <c r="X77" s="9"/>
      <c r="Y77" s="8"/>
      <c r="Z77" s="8"/>
      <c r="AC77" s="9"/>
      <c r="AD77" s="8"/>
      <c r="AE77" s="8"/>
      <c r="AH77" s="9"/>
      <c r="AI77" s="8"/>
      <c r="AJ77" s="8"/>
    </row>
    <row r="78" spans="1:50" x14ac:dyDescent="0.25">
      <c r="A78" s="4">
        <f t="shared" si="1"/>
        <v>-12.281777926707001</v>
      </c>
      <c r="B78" s="3">
        <f t="shared" si="2"/>
        <v>4.5837110679300004</v>
      </c>
      <c r="C78" s="2" t="str">
        <f t="shared" si="0"/>
        <v>08-3:-15--10</v>
      </c>
      <c r="D78" s="8">
        <f t="shared" si="3"/>
        <v>7.1583218538122297E-3</v>
      </c>
      <c r="E78" s="8">
        <f t="shared" si="4"/>
        <v>6.7100943755542975E-3</v>
      </c>
      <c r="F78" s="3">
        <f t="shared" si="5"/>
        <v>1.0667989827223414</v>
      </c>
      <c r="G78" s="2">
        <f t="shared" si="6"/>
        <v>8.2597330356966143</v>
      </c>
      <c r="H78" s="2">
        <f t="shared" si="7"/>
        <v>7.7614932881190928</v>
      </c>
      <c r="I78" s="33">
        <f t="shared" si="11"/>
        <v>12.123983770685998</v>
      </c>
      <c r="K78" s="14">
        <f>VLOOKUP($C78,'Refi Adj'!$B$2:$E$32,2,0)</f>
        <v>1</v>
      </c>
      <c r="L78" s="14">
        <f>VLOOKUP($C78,'Refi Adj'!$B$2:$E$32,3,0)</f>
        <v>1</v>
      </c>
      <c r="M78" s="14">
        <f>VLOOKUP($C78,'Refi Adj'!$B$2:$E$32,4,0)</f>
        <v>0.53</v>
      </c>
      <c r="O78" s="40">
        <f t="shared" si="12"/>
        <v>5.2575766957714282E-3</v>
      </c>
      <c r="P78" s="40">
        <f t="shared" si="13"/>
        <v>1.2551901741168999E-3</v>
      </c>
      <c r="Q78" s="40">
        <f t="shared" si="14"/>
        <v>2.8561447827787113E-3</v>
      </c>
      <c r="R78" s="14"/>
      <c r="S78" s="34">
        <f t="shared" si="8"/>
        <v>8.3110489842161094E-3</v>
      </c>
      <c r="T78" s="2">
        <f t="shared" si="9"/>
        <v>9.5297700046020122</v>
      </c>
      <c r="U78" s="7">
        <f t="shared" si="10"/>
        <v>0.86130184858817749</v>
      </c>
      <c r="X78" s="9"/>
      <c r="Y78" s="8"/>
      <c r="Z78" s="8"/>
      <c r="AC78" s="9"/>
      <c r="AD78" s="8"/>
      <c r="AE78" s="8"/>
      <c r="AH78" s="9"/>
      <c r="AI78" s="8"/>
      <c r="AJ78" s="8"/>
    </row>
    <row r="79" spans="1:50" x14ac:dyDescent="0.25">
      <c r="A79" s="4">
        <f t="shared" si="1"/>
        <v>-7.4062627631793401</v>
      </c>
      <c r="B79" s="3">
        <f t="shared" si="2"/>
        <v>6.6326715454</v>
      </c>
      <c r="C79" s="2" t="str">
        <f t="shared" si="0"/>
        <v>08-4:-10--5</v>
      </c>
      <c r="D79" s="8">
        <f t="shared" si="3"/>
        <v>6.8517226727116904E-3</v>
      </c>
      <c r="E79" s="8">
        <f t="shared" si="4"/>
        <v>7.0311975075232963E-3</v>
      </c>
      <c r="F79" s="3">
        <f t="shared" si="5"/>
        <v>0.97447449959703591</v>
      </c>
      <c r="G79" s="2">
        <f t="shared" si="6"/>
        <v>7.919191572224582</v>
      </c>
      <c r="H79" s="2">
        <f t="shared" si="7"/>
        <v>8.1186756462109262</v>
      </c>
      <c r="I79" s="33">
        <f t="shared" si="11"/>
        <v>13.053272904496072</v>
      </c>
      <c r="K79" s="14">
        <f>VLOOKUP($C79,'Refi Adj'!$B$2:$E$32,2,0)</f>
        <v>1</v>
      </c>
      <c r="L79" s="14">
        <f>VLOOKUP($C79,'Refi Adj'!$B$2:$E$32,3,0)</f>
        <v>1</v>
      </c>
      <c r="M79" s="14">
        <f>VLOOKUP($C79,'Refi Adj'!$B$2:$E$32,4,0)</f>
        <v>0.54</v>
      </c>
      <c r="O79" s="40">
        <f t="shared" si="12"/>
        <v>5.9946168017602263E-3</v>
      </c>
      <c r="P79" s="40">
        <f t="shared" si="13"/>
        <v>1.4372692143405899E-3</v>
      </c>
      <c r="Q79" s="40">
        <f t="shared" si="14"/>
        <v>3.2602082493084442E-3</v>
      </c>
      <c r="R79" s="14"/>
      <c r="S79" s="34">
        <f t="shared" si="8"/>
        <v>8.8541365424911513E-3</v>
      </c>
      <c r="T79" s="2">
        <f t="shared" si="9"/>
        <v>10.122522834874992</v>
      </c>
      <c r="U79" s="7">
        <f t="shared" si="10"/>
        <v>0.77384425232547038</v>
      </c>
      <c r="X79" s="9"/>
      <c r="Y79" s="8"/>
      <c r="Z79" s="8"/>
      <c r="AC79" s="9"/>
      <c r="AD79" s="8"/>
      <c r="AE79" s="8"/>
      <c r="AH79" s="9"/>
      <c r="AI79" s="8"/>
      <c r="AJ79" s="8"/>
    </row>
    <row r="80" spans="1:50" x14ac:dyDescent="0.25">
      <c r="A80" s="4">
        <f t="shared" si="1"/>
        <v>-2.3916673630081098</v>
      </c>
      <c r="B80" s="3">
        <f t="shared" si="2"/>
        <v>9.7982473723899997</v>
      </c>
      <c r="C80" s="2" t="str">
        <f t="shared" si="0"/>
        <v>08:-25-0</v>
      </c>
      <c r="D80" s="8">
        <f t="shared" si="3"/>
        <v>7.5123202736240898E-3</v>
      </c>
      <c r="E80" s="8">
        <f t="shared" si="4"/>
        <v>7.1853918058165369E-3</v>
      </c>
      <c r="F80" s="3">
        <f t="shared" si="5"/>
        <v>1.0454990453746595</v>
      </c>
      <c r="G80" s="2">
        <f t="shared" si="6"/>
        <v>8.6514849093235373</v>
      </c>
      <c r="H80" s="2">
        <f t="shared" si="7"/>
        <v>8.2897442526537528</v>
      </c>
      <c r="I80" s="33">
        <f t="shared" si="11"/>
        <v>13.793918334455679</v>
      </c>
      <c r="K80" s="14">
        <f>VLOOKUP($C80,'Refi Adj'!$B$2:$E$32,2,0)</f>
        <v>1</v>
      </c>
      <c r="L80" s="14">
        <f>VLOOKUP($C80,'Refi Adj'!$B$2:$E$32,3,0)</f>
        <v>1</v>
      </c>
      <c r="M80" s="14">
        <f>VLOOKUP($C80,'Refi Adj'!$B$2:$E$32,4,0)</f>
        <v>0.55000000000000004</v>
      </c>
      <c r="O80" s="40">
        <f t="shared" si="12"/>
        <v>6.7428401146255052E-3</v>
      </c>
      <c r="P80" s="40">
        <f t="shared" si="13"/>
        <v>1.6352935870066899E-3</v>
      </c>
      <c r="Q80" s="40">
        <f t="shared" si="14"/>
        <v>3.6783121980542162E-3</v>
      </c>
      <c r="R80" s="14"/>
      <c r="S80" s="34">
        <f t="shared" si="8"/>
        <v>9.2284104168640635E-3</v>
      </c>
      <c r="T80" s="2">
        <f t="shared" si="9"/>
        <v>10.528949575252078</v>
      </c>
      <c r="U80" s="7">
        <f t="shared" si="10"/>
        <v>0.81404271529753613</v>
      </c>
      <c r="X80" s="9"/>
      <c r="Y80" s="8"/>
      <c r="Z80" s="8"/>
      <c r="AC80" s="9"/>
      <c r="AD80" s="8"/>
      <c r="AE80" s="8"/>
      <c r="AH80" s="9"/>
      <c r="AI80" s="8"/>
      <c r="AJ80" s="8"/>
    </row>
    <row r="81" spans="1:50" x14ac:dyDescent="0.25">
      <c r="A81" s="4">
        <f t="shared" si="1"/>
        <v>2.6121767058530199</v>
      </c>
      <c r="B81" s="3">
        <f t="shared" si="2"/>
        <v>12.62643895361</v>
      </c>
      <c r="C81" s="2" t="str">
        <f t="shared" si="0"/>
        <v>09-1:0-5</v>
      </c>
      <c r="D81" s="8">
        <f t="shared" si="3"/>
        <v>8.4289693606750104E-3</v>
      </c>
      <c r="E81" s="8">
        <f t="shared" si="4"/>
        <v>7.4734441509740493E-3</v>
      </c>
      <c r="F81" s="3">
        <f t="shared" si="5"/>
        <v>1.127856071497694</v>
      </c>
      <c r="G81" s="2">
        <f t="shared" si="6"/>
        <v>9.6587779073637812</v>
      </c>
      <c r="H81" s="2">
        <f t="shared" si="7"/>
        <v>8.6085377817086801</v>
      </c>
      <c r="I81" s="33">
        <f t="shared" si="11"/>
        <v>15.169262271792583</v>
      </c>
      <c r="K81" s="14">
        <f>VLOOKUP($C81,'Refi Adj'!$B$2:$E$32,2,0)</f>
        <v>1</v>
      </c>
      <c r="L81" s="14">
        <f>VLOOKUP($C81,'Refi Adj'!$B$2:$E$32,3,0)</f>
        <v>1</v>
      </c>
      <c r="M81" s="14">
        <f>VLOOKUP($C81,'Refi Adj'!$B$2:$E$32,4,0)</f>
        <v>0.60000000000000009</v>
      </c>
      <c r="O81" s="40">
        <f t="shared" si="12"/>
        <v>7.99660199474562E-3</v>
      </c>
      <c r="P81" s="40">
        <f t="shared" si="13"/>
        <v>1.8542383843236901E-3</v>
      </c>
      <c r="Q81" s="40">
        <f t="shared" si="14"/>
        <v>4.3111838284924618E-3</v>
      </c>
      <c r="R81" s="14"/>
      <c r="S81" s="34">
        <f t="shared" si="8"/>
        <v>9.9303895951428217E-3</v>
      </c>
      <c r="T81" s="2">
        <f t="shared" si="9"/>
        <v>11.286694068513869</v>
      </c>
      <c r="U81" s="7">
        <f t="shared" si="10"/>
        <v>0.84880550555617773</v>
      </c>
      <c r="X81" s="9"/>
      <c r="Y81" s="8"/>
      <c r="Z81" s="8"/>
      <c r="AC81" s="9"/>
      <c r="AD81" s="8"/>
      <c r="AE81" s="8"/>
      <c r="AH81" s="9"/>
      <c r="AI81" s="8"/>
      <c r="AJ81" s="8"/>
    </row>
    <row r="82" spans="1:50" x14ac:dyDescent="0.25">
      <c r="A82" s="4">
        <f t="shared" si="1"/>
        <v>7.6142858592155003</v>
      </c>
      <c r="B82" s="3">
        <f t="shared" si="2"/>
        <v>16.004319532410001</v>
      </c>
      <c r="C82" s="2" t="str">
        <f t="shared" si="0"/>
        <v>09-2:5-10</v>
      </c>
      <c r="D82" s="8">
        <f t="shared" si="3"/>
        <v>1.04979390617564E-2</v>
      </c>
      <c r="E82" s="8">
        <f t="shared" si="4"/>
        <v>7.8051284933958048E-3</v>
      </c>
      <c r="F82" s="3">
        <f t="shared" si="5"/>
        <v>1.3450052834670279</v>
      </c>
      <c r="G82" s="2">
        <f t="shared" si="6"/>
        <v>11.895024020955825</v>
      </c>
      <c r="H82" s="2">
        <f t="shared" si="7"/>
        <v>8.9743613060410343</v>
      </c>
      <c r="I82" s="33">
        <f t="shared" si="11"/>
        <v>16.759243816360293</v>
      </c>
      <c r="K82" s="14">
        <f>VLOOKUP($C82,'Refi Adj'!$B$2:$E$32,2,0)</f>
        <v>1</v>
      </c>
      <c r="L82" s="14">
        <f>VLOOKUP($C82,'Refi Adj'!$B$2:$E$32,3,0)</f>
        <v>1</v>
      </c>
      <c r="M82" s="14">
        <f>VLOOKUP($C82,'Refi Adj'!$B$2:$E$32,4,0)</f>
        <v>0.65</v>
      </c>
      <c r="O82" s="40">
        <f t="shared" si="12"/>
        <v>9.5240055015941554E-3</v>
      </c>
      <c r="P82" s="40">
        <f t="shared" si="13"/>
        <v>2.1592815821732301E-3</v>
      </c>
      <c r="Q82" s="40">
        <f t="shared" si="14"/>
        <v>5.1051711499416003E-3</v>
      </c>
      <c r="R82" s="14"/>
      <c r="S82" s="34">
        <f t="shared" si="8"/>
        <v>1.0751018061164175E-2</v>
      </c>
      <c r="T82" s="2">
        <f t="shared" si="9"/>
        <v>12.165052927058074</v>
      </c>
      <c r="U82" s="7">
        <f t="shared" si="10"/>
        <v>0.97645999681444395</v>
      </c>
      <c r="X82" s="9"/>
      <c r="Y82" s="8"/>
      <c r="Z82" s="8"/>
      <c r="AC82" s="9"/>
      <c r="AD82" s="8"/>
      <c r="AE82" s="8"/>
      <c r="AH82" s="9"/>
      <c r="AI82" s="8"/>
      <c r="AJ82" s="8"/>
    </row>
    <row r="83" spans="1:50" x14ac:dyDescent="0.25">
      <c r="A83" s="4">
        <f t="shared" si="1"/>
        <v>12.5558164019022</v>
      </c>
      <c r="B83" s="3">
        <f t="shared" si="2"/>
        <v>17.3516159132</v>
      </c>
      <c r="C83" s="2" t="str">
        <f t="shared" si="0"/>
        <v>09-3:10-15</v>
      </c>
      <c r="D83" s="8">
        <f t="shared" si="3"/>
        <v>1.2126298532894E-2</v>
      </c>
      <c r="E83" s="8">
        <f t="shared" si="4"/>
        <v>8.128265310962432E-3</v>
      </c>
      <c r="F83" s="3">
        <f t="shared" si="5"/>
        <v>1.4918679532445256</v>
      </c>
      <c r="G83" s="2">
        <f t="shared" si="6"/>
        <v>13.619226436775534</v>
      </c>
      <c r="H83" s="2">
        <f t="shared" si="7"/>
        <v>9.3294662114230533</v>
      </c>
      <c r="I83" s="33">
        <f t="shared" si="11"/>
        <v>18.27254287930694</v>
      </c>
      <c r="K83" s="14">
        <f>VLOOKUP($C83,'Refi Adj'!$B$2:$E$32,2,0)</f>
        <v>1</v>
      </c>
      <c r="L83" s="14">
        <f>VLOOKUP($C83,'Refi Adj'!$B$2:$E$32,3,0)</f>
        <v>1</v>
      </c>
      <c r="M83" s="14">
        <f>VLOOKUP($C83,'Refi Adj'!$B$2:$E$32,4,0)</f>
        <v>0.70000000000000007</v>
      </c>
      <c r="O83" s="40">
        <f t="shared" si="12"/>
        <v>1.1037012034637122E-2</v>
      </c>
      <c r="P83" s="40">
        <f t="shared" si="13"/>
        <v>2.4908466114218E-3</v>
      </c>
      <c r="Q83" s="40">
        <f t="shared" si="14"/>
        <v>5.9093127807079288E-3</v>
      </c>
      <c r="R83" s="14"/>
      <c r="S83" s="34">
        <f t="shared" si="8"/>
        <v>1.1546731480248561E-2</v>
      </c>
      <c r="T83" s="2">
        <f t="shared" si="9"/>
        <v>13.009124452718979</v>
      </c>
      <c r="U83" s="7">
        <f t="shared" si="10"/>
        <v>1.0501931696980074</v>
      </c>
      <c r="X83" s="9"/>
      <c r="Y83" s="8"/>
      <c r="Z83" s="8"/>
      <c r="AC83" s="9"/>
      <c r="AD83" s="8"/>
      <c r="AE83" s="8"/>
      <c r="AH83" s="9"/>
      <c r="AI83" s="8"/>
      <c r="AJ83" s="8"/>
    </row>
    <row r="84" spans="1:50" x14ac:dyDescent="0.25">
      <c r="A84" s="4">
        <f t="shared" si="1"/>
        <v>17.5590794388905</v>
      </c>
      <c r="B84" s="3">
        <f t="shared" si="2"/>
        <v>19.00926048873</v>
      </c>
      <c r="C84" s="2" t="str">
        <f t="shared" si="0"/>
        <v>09-4:15-20</v>
      </c>
      <c r="D84" s="8">
        <f t="shared" si="3"/>
        <v>1.15017044265628E-2</v>
      </c>
      <c r="E84" s="8">
        <f t="shared" si="4"/>
        <v>8.5445325622903173E-3</v>
      </c>
      <c r="F84" s="3">
        <f t="shared" si="5"/>
        <v>1.3460893668219376</v>
      </c>
      <c r="G84" s="2">
        <f t="shared" si="6"/>
        <v>12.961560148508966</v>
      </c>
      <c r="H84" s="2">
        <f t="shared" si="7"/>
        <v>9.7850433711501932</v>
      </c>
      <c r="I84" s="33">
        <f t="shared" si="11"/>
        <v>19.889240704883161</v>
      </c>
      <c r="K84" s="14">
        <f>VLOOKUP($C84,'Refi Adj'!$B$2:$E$32,2,0)</f>
        <v>1</v>
      </c>
      <c r="L84" s="14">
        <f>VLOOKUP($C84,'Refi Adj'!$B$2:$E$32,3,0)</f>
        <v>1</v>
      </c>
      <c r="M84" s="14">
        <f>VLOOKUP($C84,'Refi Adj'!$B$2:$E$32,4,0)</f>
        <v>0.75</v>
      </c>
      <c r="O84" s="40">
        <f t="shared" si="12"/>
        <v>1.2620632435860601E-2</v>
      </c>
      <c r="P84" s="40">
        <f t="shared" si="13"/>
        <v>2.85487174390954E-3</v>
      </c>
      <c r="Q84" s="40">
        <f t="shared" si="14"/>
        <v>6.7611760206899643E-3</v>
      </c>
      <c r="R84" s="14"/>
      <c r="S84" s="34">
        <f t="shared" si="8"/>
        <v>1.2450836839070742E-2</v>
      </c>
      <c r="T84" s="2">
        <f t="shared" si="9"/>
        <v>13.959147684550832</v>
      </c>
      <c r="U84" s="7">
        <f t="shared" si="10"/>
        <v>0.92376958876133031</v>
      </c>
      <c r="X84" s="9"/>
      <c r="Y84" s="8"/>
      <c r="Z84" s="8"/>
      <c r="AC84" s="9"/>
      <c r="AD84" s="8"/>
      <c r="AE84" s="8"/>
      <c r="AH84" s="9"/>
      <c r="AI84" s="8"/>
      <c r="AJ84" s="8"/>
    </row>
    <row r="85" spans="1:50" x14ac:dyDescent="0.25">
      <c r="A85" s="4">
        <f t="shared" si="1"/>
        <v>22.4927153045133</v>
      </c>
      <c r="B85" s="3">
        <f t="shared" si="2"/>
        <v>21.37239990906</v>
      </c>
      <c r="C85" s="2" t="str">
        <f t="shared" si="0"/>
        <v>09:0-25</v>
      </c>
      <c r="D85" s="8">
        <f t="shared" si="3"/>
        <v>1.31016492568942E-2</v>
      </c>
      <c r="E85" s="8">
        <f t="shared" si="4"/>
        <v>8.9573586686355743E-3</v>
      </c>
      <c r="F85" s="3">
        <f t="shared" si="5"/>
        <v>1.4626688225369346</v>
      </c>
      <c r="G85" s="2">
        <f t="shared" si="6"/>
        <v>14.637116188280253</v>
      </c>
      <c r="H85" s="2">
        <f t="shared" si="7"/>
        <v>10.234781171063201</v>
      </c>
      <c r="I85" s="33">
        <f t="shared" si="11"/>
        <v>21.786548462309273</v>
      </c>
      <c r="K85" s="14">
        <f>VLOOKUP($C85,'Refi Adj'!$B$2:$E$32,2,0)</f>
        <v>1</v>
      </c>
      <c r="L85" s="14">
        <f>VLOOKUP($C85,'Refi Adj'!$B$2:$E$32,3,0)</f>
        <v>1</v>
      </c>
      <c r="M85" s="14">
        <f>VLOOKUP($C85,'Refi Adj'!$B$2:$E$32,4,0)</f>
        <v>0.8</v>
      </c>
      <c r="O85" s="40">
        <f t="shared" si="12"/>
        <v>1.461054414071088E-2</v>
      </c>
      <c r="P85" s="40">
        <f t="shared" si="13"/>
        <v>3.29876228578213E-3</v>
      </c>
      <c r="Q85" s="40">
        <f t="shared" si="14"/>
        <v>7.8234750277536291E-3</v>
      </c>
      <c r="R85" s="14"/>
      <c r="S85" s="34">
        <f>Z16+AA16+AB16*K85+AC16*L85+Q85</f>
        <v>1.3482071410607074E-2</v>
      </c>
      <c r="T85" s="2">
        <f t="shared" si="9"/>
        <v>15.031140628952199</v>
      </c>
      <c r="U85" s="7">
        <f t="shared" si="10"/>
        <v>0.97178310794188683</v>
      </c>
      <c r="X85" s="9"/>
      <c r="Y85" s="8"/>
      <c r="Z85" s="8"/>
      <c r="AC85" s="9"/>
      <c r="AD85" s="8"/>
      <c r="AE85" s="8"/>
      <c r="AH85" s="9"/>
      <c r="AI85" s="8"/>
      <c r="AJ85" s="8"/>
    </row>
    <row r="86" spans="1:50" s="24" customFormat="1" x14ac:dyDescent="0.25">
      <c r="A86" s="4">
        <f t="shared" ref="A86:A99" si="15">K17</f>
        <v>27.497283324516701</v>
      </c>
      <c r="B86" s="3">
        <f t="shared" si="2"/>
        <v>21.784882983069998</v>
      </c>
      <c r="C86" s="2" t="str">
        <f t="shared" ref="C86:C99" si="16">AO17</f>
        <v>10-1:25-30</v>
      </c>
      <c r="D86" s="8">
        <f t="shared" ref="D86:D99" si="17">E17</f>
        <v>1.30705455402231E-2</v>
      </c>
      <c r="E86" s="8">
        <f t="shared" si="4"/>
        <v>9.4583465540271829E-3</v>
      </c>
      <c r="F86" s="3">
        <f t="shared" ref="F86:F99" si="18">D86/E86</f>
        <v>1.3819059669216616</v>
      </c>
      <c r="G86" s="2">
        <f t="shared" ref="G86:G99" si="19">(1-(1-D86)^12)*100</f>
        <v>14.60482637965076</v>
      </c>
      <c r="H86" s="2">
        <f t="shared" ref="H86:H99" si="20">(1-(1-E86)^12)*100</f>
        <v>10.777802757085697</v>
      </c>
      <c r="I86" s="33">
        <f t="shared" si="11"/>
        <v>23.870040306015472</v>
      </c>
      <c r="J86"/>
      <c r="K86" s="14">
        <f>VLOOKUP($C86,'Refi Adj'!$B$2:$E$32,2,0)</f>
        <v>1</v>
      </c>
      <c r="L86" s="14">
        <f>VLOOKUP($C86,'Refi Adj'!$B$2:$E$32,3,0)</f>
        <v>1</v>
      </c>
      <c r="M86" s="14">
        <f>VLOOKUP($C86,'Refi Adj'!$B$2:$E$32,4,0)</f>
        <v>0.85000000000000009</v>
      </c>
      <c r="O86" s="40">
        <f t="shared" si="12"/>
        <v>1.6770103719715171E-2</v>
      </c>
      <c r="P86" s="40">
        <f t="shared" si="13"/>
        <v>3.7574120210194799E-3</v>
      </c>
      <c r="Q86" s="40">
        <f t="shared" si="14"/>
        <v>8.9624887004977564E-3</v>
      </c>
      <c r="R86" s="14"/>
      <c r="S86" s="34">
        <f t="shared" ref="S86:S99" si="21">Z17+AA17+AB17*K86+AC17*L86+Q86</f>
        <v>1.466342323350546E-2</v>
      </c>
      <c r="T86" s="2">
        <f t="shared" ref="T86:T99" si="22">100*(1-(1-S86)^12)</f>
        <v>16.244129859696677</v>
      </c>
      <c r="U86" s="7">
        <f t="shared" si="10"/>
        <v>0.89137068009858134</v>
      </c>
      <c r="V86"/>
      <c r="W86"/>
      <c r="X86" s="9"/>
      <c r="Y86" s="8"/>
      <c r="Z86" s="8"/>
      <c r="AA86"/>
      <c r="AB86"/>
      <c r="AC86" s="9"/>
      <c r="AD86" s="8"/>
      <c r="AE86" s="8"/>
      <c r="AF86"/>
      <c r="AG86"/>
      <c r="AH86" s="9"/>
      <c r="AI86" s="8"/>
      <c r="AJ86" s="8"/>
    </row>
    <row r="87" spans="1:50" s="24" customFormat="1" x14ac:dyDescent="0.25">
      <c r="A87" s="4">
        <f t="shared" si="15"/>
        <v>32.544833811052797</v>
      </c>
      <c r="B87" s="3">
        <f t="shared" si="2"/>
        <v>23.345622170430001</v>
      </c>
      <c r="C87" s="2" t="str">
        <f t="shared" si="16"/>
        <v>10-2:30-35</v>
      </c>
      <c r="D87" s="8">
        <f t="shared" si="17"/>
        <v>1.5461887447761001E-2</v>
      </c>
      <c r="E87" s="8">
        <f t="shared" si="4"/>
        <v>9.9365904464588477E-3</v>
      </c>
      <c r="F87" s="3">
        <f t="shared" si="18"/>
        <v>1.5560556240165087</v>
      </c>
      <c r="G87" s="2">
        <f t="shared" si="19"/>
        <v>17.054965180791893</v>
      </c>
      <c r="H87" s="2">
        <f t="shared" si="20"/>
        <v>11.293361224827281</v>
      </c>
      <c r="I87" s="33">
        <f t="shared" si="11"/>
        <v>26.017979872958385</v>
      </c>
      <c r="J87"/>
      <c r="K87" s="14">
        <f>VLOOKUP($C87,'Refi Adj'!$B$2:$E$32,2,0)</f>
        <v>1</v>
      </c>
      <c r="L87" s="14">
        <f>VLOOKUP($C87,'Refi Adj'!$B$2:$E$32,3,0)</f>
        <v>1</v>
      </c>
      <c r="M87" s="14">
        <f>VLOOKUP($C87,'Refi Adj'!$B$2:$E$32,4,0)</f>
        <v>0.9</v>
      </c>
      <c r="O87" s="40">
        <f t="shared" si="12"/>
        <v>1.9070962502521233E-2</v>
      </c>
      <c r="P87" s="40">
        <f t="shared" si="13"/>
        <v>4.2079037137324202E-3</v>
      </c>
      <c r="Q87" s="40">
        <f t="shared" si="14"/>
        <v>1.0153127229247945E-2</v>
      </c>
      <c r="R87" s="14"/>
      <c r="S87" s="34">
        <f t="shared" si="21"/>
        <v>1.588181396197437E-2</v>
      </c>
      <c r="T87" s="2">
        <f t="shared" si="22"/>
        <v>17.478504622982726</v>
      </c>
      <c r="U87" s="7">
        <f t="shared" si="10"/>
        <v>0.97355928515352252</v>
      </c>
      <c r="V87"/>
      <c r="W87"/>
      <c r="X87" s="9"/>
      <c r="Y87" s="8"/>
      <c r="Z87" s="8"/>
      <c r="AA87"/>
      <c r="AB87"/>
      <c r="AC87" s="9"/>
      <c r="AD87" s="8"/>
      <c r="AE87" s="8"/>
      <c r="AF87"/>
      <c r="AG87"/>
      <c r="AH87" s="9"/>
      <c r="AI87" s="8"/>
      <c r="AJ87" s="8"/>
    </row>
    <row r="88" spans="1:50" s="24" customFormat="1" x14ac:dyDescent="0.25">
      <c r="A88" s="4">
        <f t="shared" si="15"/>
        <v>37.532819362479898</v>
      </c>
      <c r="B88" s="3">
        <f t="shared" si="2"/>
        <v>23.599756222189999</v>
      </c>
      <c r="C88" s="2" t="str">
        <f t="shared" si="16"/>
        <v>10-3:35-40</v>
      </c>
      <c r="D88" s="8">
        <f t="shared" si="17"/>
        <v>1.58761201711657E-2</v>
      </c>
      <c r="E88" s="8">
        <f t="shared" si="4"/>
        <v>1.0438394144354518E-2</v>
      </c>
      <c r="F88" s="3">
        <f t="shared" si="18"/>
        <v>1.5209351123948611</v>
      </c>
      <c r="G88" s="2">
        <f t="shared" si="19"/>
        <v>17.472775127191941</v>
      </c>
      <c r="H88" s="2">
        <f t="shared" si="20"/>
        <v>11.831380613827347</v>
      </c>
      <c r="I88" s="33">
        <f t="shared" si="11"/>
        <v>28.235807193398699</v>
      </c>
      <c r="J88"/>
      <c r="K88" s="14">
        <f>VLOOKUP($C88,'Refi Adj'!$B$2:$E$32,2,0)</f>
        <v>1</v>
      </c>
      <c r="L88" s="14">
        <f>VLOOKUP($C88,'Refi Adj'!$B$2:$E$32,3,0)</f>
        <v>1</v>
      </c>
      <c r="M88" s="14">
        <f>VLOOKUP($C88,'Refi Adj'!$B$2:$E$32,4,0)</f>
        <v>0.95000000000000007</v>
      </c>
      <c r="O88" s="40">
        <f t="shared" si="12"/>
        <v>2.145978949690152E-2</v>
      </c>
      <c r="P88" s="40">
        <f t="shared" si="13"/>
        <v>4.6281989937483102E-3</v>
      </c>
      <c r="Q88" s="40">
        <f t="shared" si="14"/>
        <v>1.1360835195009595E-2</v>
      </c>
      <c r="R88" s="14"/>
      <c r="S88" s="34">
        <f t="shared" si="21"/>
        <v>1.7171030345615804E-2</v>
      </c>
      <c r="T88" s="2">
        <f t="shared" si="22"/>
        <v>18.766458008484786</v>
      </c>
      <c r="U88" s="7">
        <f t="shared" si="10"/>
        <v>0.92458750882233887</v>
      </c>
      <c r="V88"/>
      <c r="W88"/>
      <c r="X88" s="9"/>
      <c r="Y88" s="8"/>
      <c r="Z88" s="8"/>
      <c r="AA88"/>
      <c r="AB88"/>
      <c r="AC88" s="9"/>
      <c r="AD88" s="8"/>
      <c r="AE88" s="8"/>
      <c r="AF88"/>
      <c r="AG88"/>
      <c r="AH88" s="9"/>
      <c r="AI88" s="8"/>
      <c r="AJ88" s="8"/>
    </row>
    <row r="89" spans="1:50" s="24" customFormat="1" x14ac:dyDescent="0.25">
      <c r="A89" s="4">
        <f t="shared" si="15"/>
        <v>42.527555224659899</v>
      </c>
      <c r="B89" s="3">
        <f t="shared" si="2"/>
        <v>23.90372881579</v>
      </c>
      <c r="C89" s="2" t="str">
        <f t="shared" si="16"/>
        <v>10-4:40-45</v>
      </c>
      <c r="D89" s="8">
        <f t="shared" si="17"/>
        <v>1.7666786672552601E-2</v>
      </c>
      <c r="E89" s="8">
        <f t="shared" si="4"/>
        <v>1.0953896276961802E-2</v>
      </c>
      <c r="F89" s="3">
        <f t="shared" si="18"/>
        <v>1.6128312908813394</v>
      </c>
      <c r="G89" s="2">
        <f t="shared" si="19"/>
        <v>19.256803791909849</v>
      </c>
      <c r="H89" s="2">
        <f t="shared" si="20"/>
        <v>12.380970797399826</v>
      </c>
      <c r="I89" s="33">
        <f t="shared" si="11"/>
        <v>30.545795904653449</v>
      </c>
      <c r="J89"/>
      <c r="K89" s="14">
        <f>VLOOKUP($C89,'Refi Adj'!$B$2:$E$32,2,0)</f>
        <v>1</v>
      </c>
      <c r="L89" s="14">
        <f>VLOOKUP($C89,'Refi Adj'!$B$2:$E$32,3,0)</f>
        <v>1</v>
      </c>
      <c r="M89" s="14">
        <f>VLOOKUP($C89,'Refi Adj'!$B$2:$E$32,4,0)</f>
        <v>1</v>
      </c>
      <c r="O89" s="40">
        <f t="shared" si="12"/>
        <v>2.4014578016174799E-2</v>
      </c>
      <c r="P89" s="40">
        <f t="shared" si="13"/>
        <v>5.04995006200799E-3</v>
      </c>
      <c r="Q89" s="40">
        <f t="shared" si="14"/>
        <v>1.2635801243674714E-2</v>
      </c>
      <c r="R89" s="14"/>
      <c r="S89" s="34">
        <f t="shared" si="21"/>
        <v>1.8539747458628526E-2</v>
      </c>
      <c r="T89" s="2">
        <f t="shared" si="22"/>
        <v>20.113647318060412</v>
      </c>
      <c r="U89" s="7">
        <f t="shared" si="10"/>
        <v>0.95291409508010083</v>
      </c>
      <c r="V89"/>
      <c r="W89"/>
      <c r="X89" s="9"/>
      <c r="Y89" s="8"/>
      <c r="Z89" s="8"/>
      <c r="AA89"/>
      <c r="AB89"/>
      <c r="AC89" s="9"/>
      <c r="AD89" s="8"/>
      <c r="AE89" s="8"/>
      <c r="AF89"/>
      <c r="AG89"/>
      <c r="AH89" s="9"/>
      <c r="AI89" s="8"/>
      <c r="AJ89" s="8"/>
    </row>
    <row r="90" spans="1:50" x14ac:dyDescent="0.25">
      <c r="A90" s="4">
        <f t="shared" si="15"/>
        <v>47.487927604961698</v>
      </c>
      <c r="B90" s="3">
        <f t="shared" si="2"/>
        <v>25.012256806229999</v>
      </c>
      <c r="C90" s="2" t="str">
        <f t="shared" si="16"/>
        <v>10:25-50</v>
      </c>
      <c r="D90" s="8">
        <f t="shared" si="17"/>
        <v>1.98536835635536E-2</v>
      </c>
      <c r="E90" s="8">
        <f t="shared" si="4"/>
        <v>1.145473058131136E-2</v>
      </c>
      <c r="F90" s="3">
        <f t="shared" si="18"/>
        <v>1.7332300766589233</v>
      </c>
      <c r="G90" s="2">
        <f t="shared" si="19"/>
        <v>21.387619930494584</v>
      </c>
      <c r="H90" s="2">
        <f t="shared" si="20"/>
        <v>12.911913945014996</v>
      </c>
      <c r="I90" s="33">
        <f t="shared" si="11"/>
        <v>33.159914306512029</v>
      </c>
      <c r="K90" s="14">
        <f>VLOOKUP($C90,'Refi Adj'!$B$2:$E$32,2,0)</f>
        <v>1</v>
      </c>
      <c r="L90" s="14">
        <f>VLOOKUP($C90,'Refi Adj'!$B$2:$E$32,3,0)</f>
        <v>1</v>
      </c>
      <c r="M90" s="14">
        <f>VLOOKUP($C90,'Refi Adj'!$B$2:$E$32,4,0)</f>
        <v>1.05</v>
      </c>
      <c r="O90" s="40">
        <f t="shared" si="12"/>
        <v>2.7121543175094374E-2</v>
      </c>
      <c r="P90" s="40">
        <f t="shared" si="13"/>
        <v>5.5613016625030596E-3</v>
      </c>
      <c r="Q90" s="40">
        <f t="shared" si="14"/>
        <v>1.4185398267539586E-2</v>
      </c>
      <c r="R90" s="14"/>
      <c r="S90" s="34">
        <f t="shared" si="21"/>
        <v>2.0078827186347886E-2</v>
      </c>
      <c r="T90" s="2">
        <f t="shared" si="22"/>
        <v>21.604037406147469</v>
      </c>
      <c r="U90" s="7">
        <f t="shared" si="10"/>
        <v>0.98878701327000984</v>
      </c>
      <c r="X90" s="9"/>
      <c r="Y90" s="8"/>
      <c r="Z90" s="8"/>
      <c r="AC90" s="9"/>
      <c r="AD90" s="8"/>
      <c r="AE90" s="8"/>
      <c r="AH90" s="9"/>
      <c r="AI90" s="8"/>
      <c r="AJ90" s="8"/>
    </row>
    <row r="91" spans="1:50" x14ac:dyDescent="0.25">
      <c r="A91" s="4">
        <f t="shared" si="15"/>
        <v>52.465593574257802</v>
      </c>
      <c r="B91" s="3">
        <f t="shared" si="2"/>
        <v>23.397779796189997</v>
      </c>
      <c r="C91" s="2" t="str">
        <f t="shared" si="16"/>
        <v>11-1:50-55</v>
      </c>
      <c r="D91" s="8">
        <f t="shared" si="17"/>
        <v>2.0329808716617399E-2</v>
      </c>
      <c r="E91" s="8">
        <f t="shared" si="4"/>
        <v>1.2021549984908599E-2</v>
      </c>
      <c r="F91" s="3">
        <f t="shared" si="18"/>
        <v>1.6911137700328722</v>
      </c>
      <c r="G91" s="2">
        <f t="shared" si="19"/>
        <v>21.844647516727711</v>
      </c>
      <c r="H91" s="2">
        <f t="shared" si="20"/>
        <v>13.509250362277159</v>
      </c>
      <c r="I91" s="33">
        <f t="shared" si="11"/>
        <v>35.711041321601634</v>
      </c>
      <c r="K91" s="14">
        <f>VLOOKUP($C91,'Refi Adj'!$B$2:$E$32,2,0)</f>
        <v>1</v>
      </c>
      <c r="L91" s="14">
        <f>VLOOKUP($C91,'Refi Adj'!$B$2:$E$32,3,0)</f>
        <v>1</v>
      </c>
      <c r="M91" s="14">
        <f>VLOOKUP($C91,'Refi Adj'!$B$2:$E$32,4,0)</f>
        <v>1.1000000000000001</v>
      </c>
      <c r="O91" s="40">
        <f t="shared" si="12"/>
        <v>3.0166582589784743E-2</v>
      </c>
      <c r="P91" s="40">
        <f t="shared" si="13"/>
        <v>6.0423809489588099E-3</v>
      </c>
      <c r="Q91" s="40">
        <f t="shared" si="14"/>
        <v>1.5692061605289184E-2</v>
      </c>
      <c r="R91" s="14"/>
      <c r="S91" s="34">
        <f t="shared" si="21"/>
        <v>2.1671230641238971E-2</v>
      </c>
      <c r="T91" s="2">
        <f t="shared" si="22"/>
        <v>23.119199219066864</v>
      </c>
      <c r="U91" s="7">
        <f t="shared" si="10"/>
        <v>0.93810125752300688</v>
      </c>
      <c r="X91" s="9"/>
      <c r="Y91" s="8"/>
      <c r="Z91" s="8"/>
      <c r="AC91" s="9"/>
      <c r="AD91" s="8"/>
      <c r="AE91" s="8"/>
      <c r="AH91" s="9"/>
      <c r="AI91" s="8"/>
      <c r="AJ91" s="8"/>
    </row>
    <row r="92" spans="1:50" x14ac:dyDescent="0.25">
      <c r="A92" s="4">
        <f t="shared" si="15"/>
        <v>57.4808256739745</v>
      </c>
      <c r="B92" s="3">
        <f t="shared" si="2"/>
        <v>22.377877373740002</v>
      </c>
      <c r="C92" s="2" t="str">
        <f t="shared" si="16"/>
        <v>11-2:55-60</v>
      </c>
      <c r="D92" s="8">
        <f t="shared" si="17"/>
        <v>2.37775772896733E-2</v>
      </c>
      <c r="E92" s="8">
        <f t="shared" si="4"/>
        <v>1.2667679292240138E-2</v>
      </c>
      <c r="F92" s="3">
        <f t="shared" si="18"/>
        <v>1.8770270971604699</v>
      </c>
      <c r="G92" s="2">
        <f t="shared" si="19"/>
        <v>25.082143319889973</v>
      </c>
      <c r="H92" s="2">
        <f t="shared" si="20"/>
        <v>14.185584542111751</v>
      </c>
      <c r="I92" s="33">
        <f t="shared" si="11"/>
        <v>37.680668248568836</v>
      </c>
      <c r="K92" s="14">
        <f>VLOOKUP($C92,'Refi Adj'!$B$2:$E$32,2,0)</f>
        <v>1</v>
      </c>
      <c r="L92" s="14">
        <f>VLOOKUP($C92,'Refi Adj'!$B$2:$E$32,3,0)</f>
        <v>1</v>
      </c>
      <c r="M92" s="14">
        <f>VLOOKUP($C92,'Refi Adj'!$B$2:$E$32,4,0)</f>
        <v>1.1000000000000001</v>
      </c>
      <c r="O92" s="40">
        <f t="shared" si="12"/>
        <v>3.2679712211268655E-2</v>
      </c>
      <c r="P92" s="40">
        <f t="shared" si="13"/>
        <v>6.7055855269224102E-3</v>
      </c>
      <c r="Q92" s="40">
        <f t="shared" si="14"/>
        <v>1.7095236200660908E-2</v>
      </c>
      <c r="R92" s="14"/>
      <c r="S92" s="34">
        <f t="shared" si="21"/>
        <v>2.3057329965978635E-2</v>
      </c>
      <c r="T92" s="2">
        <f t="shared" si="22"/>
        <v>24.416161271902361</v>
      </c>
      <c r="U92" s="7">
        <f t="shared" si="10"/>
        <v>1.0312372388631901</v>
      </c>
      <c r="X92" s="9"/>
      <c r="Y92" s="8"/>
      <c r="Z92" s="8"/>
      <c r="AC92" s="9"/>
      <c r="AD92" s="8"/>
      <c r="AE92" s="8"/>
      <c r="AH92" s="9"/>
      <c r="AI92" s="8"/>
      <c r="AJ92" s="8"/>
    </row>
    <row r="93" spans="1:50" x14ac:dyDescent="0.25">
      <c r="A93" s="4">
        <f t="shared" si="15"/>
        <v>62.390236810112597</v>
      </c>
      <c r="B93" s="3">
        <f t="shared" si="2"/>
        <v>17.494505126090001</v>
      </c>
      <c r="C93" s="2" t="str">
        <f t="shared" si="16"/>
        <v>11-3:60-65</v>
      </c>
      <c r="D93" s="8">
        <f t="shared" si="17"/>
        <v>2.4427809608890599E-2</v>
      </c>
      <c r="E93" s="8">
        <f t="shared" si="4"/>
        <v>1.3277622445978621E-2</v>
      </c>
      <c r="F93" s="3">
        <f t="shared" si="18"/>
        <v>1.8397728741179127</v>
      </c>
      <c r="G93" s="2">
        <f t="shared" si="19"/>
        <v>25.678760829067581</v>
      </c>
      <c r="H93" s="2">
        <f t="shared" si="20"/>
        <v>14.819589156674763</v>
      </c>
      <c r="I93" s="33">
        <f t="shared" si="11"/>
        <v>39.308357881165868</v>
      </c>
      <c r="K93" s="14">
        <f>VLOOKUP($C93,'Refi Adj'!$B$2:$E$32,2,0)</f>
        <v>1</v>
      </c>
      <c r="L93" s="14">
        <f>VLOOKUP($C93,'Refi Adj'!$B$2:$E$32,3,0)</f>
        <v>1</v>
      </c>
      <c r="M93" s="14">
        <f>VLOOKUP($C93,'Refi Adj'!$B$2:$E$32,4,0)</f>
        <v>1.1000000000000001</v>
      </c>
      <c r="O93" s="40">
        <f t="shared" si="12"/>
        <v>3.4801857415933307E-2</v>
      </c>
      <c r="P93" s="40">
        <f t="shared" si="13"/>
        <v>7.3197602498306698E-3</v>
      </c>
      <c r="Q93" s="40">
        <f t="shared" si="14"/>
        <v>1.8312599116271724E-2</v>
      </c>
      <c r="R93" s="14"/>
      <c r="S93" s="34">
        <f t="shared" si="21"/>
        <v>2.4270461312419674E-2</v>
      </c>
      <c r="T93" s="2">
        <f t="shared" si="22"/>
        <v>25.534787477698938</v>
      </c>
      <c r="U93" s="7">
        <f t="shared" si="10"/>
        <v>1.0064831193130395</v>
      </c>
      <c r="X93" s="9"/>
      <c r="Y93" s="8"/>
      <c r="Z93" s="8"/>
      <c r="AC93" s="9"/>
      <c r="AD93" s="8"/>
      <c r="AE93" s="8"/>
      <c r="AH93" s="9"/>
      <c r="AI93" s="8"/>
      <c r="AJ93" s="8"/>
      <c r="AK93" s="4"/>
      <c r="AL93" s="4"/>
      <c r="AM93" s="4"/>
      <c r="AN93" s="4"/>
      <c r="AO93" s="4"/>
      <c r="AP93" s="4"/>
      <c r="AQ93" s="6"/>
      <c r="AR93" s="4"/>
      <c r="AS93" s="15"/>
      <c r="AT93" s="15"/>
      <c r="AU93" s="15"/>
      <c r="AV93" s="15"/>
      <c r="AW93" s="15"/>
      <c r="AX93" s="15"/>
    </row>
    <row r="94" spans="1:50" x14ac:dyDescent="0.25">
      <c r="A94" s="4">
        <f t="shared" si="15"/>
        <v>67.437797596586805</v>
      </c>
      <c r="B94" s="3">
        <f t="shared" si="2"/>
        <v>13.41538697927</v>
      </c>
      <c r="C94" s="2" t="str">
        <f t="shared" si="16"/>
        <v>11-4:65-70</v>
      </c>
      <c r="D94" s="8">
        <f t="shared" si="17"/>
        <v>2.4486430953052401E-2</v>
      </c>
      <c r="E94" s="8">
        <f t="shared" si="4"/>
        <v>1.3858499964249505E-2</v>
      </c>
      <c r="F94" s="3">
        <f t="shared" si="18"/>
        <v>1.7668889862697663</v>
      </c>
      <c r="G94" s="2">
        <f t="shared" si="19"/>
        <v>25.732333959417652</v>
      </c>
      <c r="H94" s="2">
        <f t="shared" si="20"/>
        <v>15.419386978783811</v>
      </c>
      <c r="I94" s="33">
        <f t="shared" si="11"/>
        <v>40.362031287353005</v>
      </c>
      <c r="K94" s="14">
        <f>VLOOKUP($C94,'Refi Adj'!$B$2:$E$32,2,0)</f>
        <v>1</v>
      </c>
      <c r="L94" s="14">
        <f>VLOOKUP($C94,'Refi Adj'!$B$2:$E$32,3,0)</f>
        <v>1</v>
      </c>
      <c r="M94" s="14">
        <f>VLOOKUP($C94,'Refi Adj'!$B$2:$E$32,4,0)</f>
        <v>1.1000000000000001</v>
      </c>
      <c r="O94" s="40">
        <f t="shared" si="12"/>
        <v>3.6094555980795189E-2</v>
      </c>
      <c r="P94" s="40">
        <f t="shared" si="13"/>
        <v>7.7943808834831096E-3</v>
      </c>
      <c r="Q94" s="40">
        <f t="shared" si="14"/>
        <v>1.9114450922407943E-2</v>
      </c>
      <c r="R94" s="14"/>
      <c r="S94" s="34">
        <f t="shared" si="21"/>
        <v>2.517857000317434E-2</v>
      </c>
      <c r="T94" s="2">
        <f t="shared" si="22"/>
        <v>26.362198277895576</v>
      </c>
      <c r="U94" s="7">
        <f t="shared" si="10"/>
        <v>0.97251078794249712</v>
      </c>
      <c r="X94" s="9"/>
      <c r="Y94" s="8"/>
      <c r="Z94" s="8"/>
      <c r="AC94" s="9"/>
      <c r="AD94" s="8"/>
      <c r="AE94" s="8"/>
      <c r="AH94" s="9"/>
      <c r="AI94" s="8"/>
      <c r="AJ94" s="8"/>
    </row>
    <row r="95" spans="1:50" x14ac:dyDescent="0.25">
      <c r="A95" s="4">
        <f t="shared" si="15"/>
        <v>72.406061128575502</v>
      </c>
      <c r="B95" s="3">
        <f t="shared" si="2"/>
        <v>11.26184321983</v>
      </c>
      <c r="C95" s="2" t="str">
        <f t="shared" si="16"/>
        <v>11:50-75</v>
      </c>
      <c r="D95" s="8">
        <f t="shared" si="17"/>
        <v>2.8038716849718402E-2</v>
      </c>
      <c r="E95" s="8">
        <f t="shared" si="4"/>
        <v>1.4519794030100034E-2</v>
      </c>
      <c r="F95" s="3">
        <f t="shared" si="18"/>
        <v>1.931068498051224</v>
      </c>
      <c r="G95" s="2">
        <f t="shared" si="19"/>
        <v>28.913425284805161</v>
      </c>
      <c r="H95" s="2">
        <f t="shared" si="20"/>
        <v>16.097506603916724</v>
      </c>
      <c r="I95" s="33">
        <f t="shared" si="11"/>
        <v>41.8645970092591</v>
      </c>
      <c r="K95" s="14">
        <f>VLOOKUP($C95,'Refi Adj'!$B$2:$E$32,2,0)</f>
        <v>1</v>
      </c>
      <c r="L95" s="14">
        <f>VLOOKUP($C95,'Refi Adj'!$B$2:$E$32,3,0)</f>
        <v>1</v>
      </c>
      <c r="M95" s="14">
        <f>VLOOKUP($C95,'Refi Adj'!$B$2:$E$32,4,0)</f>
        <v>1.1000000000000001</v>
      </c>
      <c r="O95" s="40">
        <f t="shared" si="12"/>
        <v>3.8133144726605062E-2</v>
      </c>
      <c r="P95" s="40">
        <f t="shared" si="13"/>
        <v>8.4596096384802408E-3</v>
      </c>
      <c r="Q95" s="40">
        <f t="shared" si="14"/>
        <v>2.032902367373017E-2</v>
      </c>
      <c r="R95" s="14"/>
      <c r="S95" s="34">
        <f t="shared" si="21"/>
        <v>2.6389208065349966E-2</v>
      </c>
      <c r="T95" s="2">
        <f t="shared" si="22"/>
        <v>27.452149405445738</v>
      </c>
      <c r="U95" s="7">
        <f t="shared" si="10"/>
        <v>1.0625069452741291</v>
      </c>
      <c r="X95" s="9"/>
      <c r="Y95" s="8"/>
      <c r="Z95" s="8"/>
      <c r="AC95" s="9"/>
      <c r="AD95" s="8"/>
      <c r="AE95" s="8"/>
      <c r="AH95" s="9"/>
      <c r="AI95" s="8"/>
      <c r="AJ95" s="8"/>
    </row>
    <row r="96" spans="1:50" x14ac:dyDescent="0.25">
      <c r="A96" s="4">
        <f t="shared" si="15"/>
        <v>85.145305523583403</v>
      </c>
      <c r="B96" s="3">
        <f t="shared" si="2"/>
        <v>29.031814471139999</v>
      </c>
      <c r="C96" s="2" t="str">
        <f t="shared" si="16"/>
        <v>12:75-100</v>
      </c>
      <c r="D96" s="8">
        <f t="shared" si="17"/>
        <v>2.9435781547390901E-2</v>
      </c>
      <c r="E96" s="8">
        <f t="shared" si="4"/>
        <v>1.6449846650432521E-2</v>
      </c>
      <c r="F96" s="3">
        <f t="shared" si="18"/>
        <v>1.7894258939257004</v>
      </c>
      <c r="G96" s="2">
        <f t="shared" si="19"/>
        <v>30.129908018969775</v>
      </c>
      <c r="H96" s="2">
        <f t="shared" si="20"/>
        <v>18.048270138723367</v>
      </c>
      <c r="I96" s="33">
        <f t="shared" si="11"/>
        <v>42.776452504911248</v>
      </c>
      <c r="K96" s="14">
        <f>VLOOKUP($C96,'Refi Adj'!$B$2:$E$32,2,0)</f>
        <v>1</v>
      </c>
      <c r="L96" s="14">
        <f>VLOOKUP($C96,'Refi Adj'!$B$2:$E$32,3,0)</f>
        <v>1</v>
      </c>
      <c r="M96" s="14">
        <f>VLOOKUP($C96,'Refi Adj'!$B$2:$E$32,4,0)</f>
        <v>1.02</v>
      </c>
      <c r="O96" s="40">
        <f t="shared" si="12"/>
        <v>3.9185791610687824E-2</v>
      </c>
      <c r="P96" s="40">
        <f t="shared" si="13"/>
        <v>1.01839154651581E-2</v>
      </c>
      <c r="Q96" s="40">
        <f t="shared" si="14"/>
        <v>2.178466592336999E-2</v>
      </c>
      <c r="R96" s="14"/>
      <c r="S96" s="34">
        <f t="shared" si="21"/>
        <v>2.8050597108644413E-2</v>
      </c>
      <c r="T96" s="2">
        <f t="shared" si="22"/>
        <v>28.923851257398027</v>
      </c>
      <c r="U96" s="7">
        <f t="shared" si="10"/>
        <v>1.0493816382368422</v>
      </c>
      <c r="X96" s="9"/>
      <c r="Y96" s="8"/>
      <c r="Z96" s="8"/>
      <c r="AC96" s="9"/>
      <c r="AD96" s="8"/>
      <c r="AE96" s="8"/>
      <c r="AH96" s="9"/>
      <c r="AI96" s="8"/>
      <c r="AJ96" s="8"/>
    </row>
    <row r="97" spans="1:50" x14ac:dyDescent="0.25">
      <c r="A97" s="4">
        <f t="shared" si="15"/>
        <v>109.875312895671</v>
      </c>
      <c r="B97" s="3">
        <f t="shared" si="2"/>
        <v>8.9341935353400004</v>
      </c>
      <c r="C97" s="2" t="str">
        <f t="shared" si="16"/>
        <v>13:100-125</v>
      </c>
      <c r="D97" s="8">
        <f t="shared" si="17"/>
        <v>4.0295426454689302E-2</v>
      </c>
      <c r="E97" s="8">
        <f t="shared" si="4"/>
        <v>2.0546119427713658E-2</v>
      </c>
      <c r="F97" s="3">
        <f t="shared" si="18"/>
        <v>1.9612183505726521</v>
      </c>
      <c r="G97" s="2">
        <f t="shared" si="19"/>
        <v>38.954905037364107</v>
      </c>
      <c r="H97" s="2">
        <f t="shared" si="20"/>
        <v>22.051476199079612</v>
      </c>
      <c r="I97" s="33">
        <f t="shared" si="11"/>
        <v>44.983278676485973</v>
      </c>
      <c r="K97" s="14">
        <f>VLOOKUP($C97,'Refi Adj'!$B$2:$E$32,2,0)</f>
        <v>1</v>
      </c>
      <c r="L97" s="14">
        <f>VLOOKUP($C97,'Refi Adj'!$B$2:$E$32,3,0)</f>
        <v>1</v>
      </c>
      <c r="M97" s="14">
        <f>VLOOKUP($C97,'Refi Adj'!$B$2:$E$32,4,0)</f>
        <v>0.95</v>
      </c>
      <c r="O97" s="40">
        <f t="shared" si="12"/>
        <v>4.1914990631468363E-2</v>
      </c>
      <c r="P97" s="40">
        <f t="shared" si="13"/>
        <v>1.3886109763296401E-2</v>
      </c>
      <c r="Q97" s="40">
        <f t="shared" si="14"/>
        <v>2.5097662110565185E-2</v>
      </c>
      <c r="R97" s="14"/>
      <c r="S97" s="34">
        <f t="shared" si="21"/>
        <v>3.1757671774982441E-2</v>
      </c>
      <c r="T97" s="2">
        <f t="shared" si="22"/>
        <v>32.109536299002158</v>
      </c>
      <c r="U97" s="7">
        <f t="shared" si="10"/>
        <v>1.2688406990348895</v>
      </c>
      <c r="X97" s="9"/>
      <c r="Y97" s="8"/>
      <c r="Z97" s="8"/>
      <c r="AC97" s="9"/>
      <c r="AD97" s="8"/>
      <c r="AE97" s="8"/>
      <c r="AH97" s="9"/>
      <c r="AI97" s="8"/>
      <c r="AJ97" s="8"/>
    </row>
    <row r="98" spans="1:50" x14ac:dyDescent="0.25">
      <c r="A98" s="4">
        <f t="shared" si="15"/>
        <v>134.559834669472</v>
      </c>
      <c r="B98" s="3">
        <f t="shared" si="2"/>
        <v>2.3708567564200003</v>
      </c>
      <c r="C98" s="2" t="str">
        <f t="shared" si="16"/>
        <v>14:125-150</v>
      </c>
      <c r="D98" s="8">
        <f t="shared" si="17"/>
        <v>4.62714164341229E-2</v>
      </c>
      <c r="E98" s="8">
        <f t="shared" si="4"/>
        <v>2.523259651965255E-2</v>
      </c>
      <c r="F98" s="3">
        <f t="shared" si="18"/>
        <v>1.83379528135696</v>
      </c>
      <c r="G98" s="2">
        <f t="shared" si="19"/>
        <v>43.363346347877709</v>
      </c>
      <c r="H98" s="2">
        <f t="shared" si="20"/>
        <v>26.411157170007694</v>
      </c>
      <c r="I98" s="33">
        <f t="shared" si="11"/>
        <v>46.702034968535969</v>
      </c>
      <c r="K98" s="14">
        <f>VLOOKUP($C98,'Refi Adj'!$B$2:$E$32,2,0)</f>
        <v>1</v>
      </c>
      <c r="L98" s="14">
        <f>VLOOKUP($C98,'Refi Adj'!$B$2:$E$32,3,0)</f>
        <v>1</v>
      </c>
      <c r="M98" s="14">
        <f>VLOOKUP($C98,'Refi Adj'!$B$2:$E$32,4,0)</f>
        <v>0.92</v>
      </c>
      <c r="O98" s="40">
        <f t="shared" si="12"/>
        <v>4.3896626652881791E-2</v>
      </c>
      <c r="P98" s="40">
        <f t="shared" si="13"/>
        <v>1.8041107030295E-2</v>
      </c>
      <c r="Q98" s="40">
        <f t="shared" si="14"/>
        <v>2.838331487932972E-2</v>
      </c>
      <c r="R98" s="14"/>
      <c r="S98" s="34">
        <f t="shared" si="21"/>
        <v>3.557480436868727E-2</v>
      </c>
      <c r="T98" s="2">
        <f t="shared" si="22"/>
        <v>35.252564198843331</v>
      </c>
      <c r="U98" s="7">
        <f t="shared" si="10"/>
        <v>1.3006794346520911</v>
      </c>
      <c r="X98" s="9"/>
      <c r="Y98" s="8"/>
      <c r="Z98" s="8"/>
      <c r="AC98" s="9"/>
      <c r="AD98" s="8"/>
      <c r="AE98" s="8"/>
      <c r="AH98" s="9"/>
      <c r="AI98" s="8"/>
      <c r="AJ98" s="8"/>
    </row>
    <row r="99" spans="1:50" x14ac:dyDescent="0.25">
      <c r="A99" s="4">
        <f t="shared" si="15"/>
        <v>158.33424860714999</v>
      </c>
      <c r="B99" s="3">
        <f t="shared" si="2"/>
        <v>0.44461830338999997</v>
      </c>
      <c r="C99" s="2" t="str">
        <f t="shared" si="16"/>
        <v>15:150-175</v>
      </c>
      <c r="D99" s="8">
        <f t="shared" si="17"/>
        <v>5.9426936606921499E-2</v>
      </c>
      <c r="E99" s="8">
        <f t="shared" si="4"/>
        <v>3.0452091088910036E-2</v>
      </c>
      <c r="F99" s="3">
        <f t="shared" si="18"/>
        <v>1.9514895195017805</v>
      </c>
      <c r="G99" s="2">
        <f t="shared" si="19"/>
        <v>52.058629558868951</v>
      </c>
      <c r="H99" s="2">
        <f t="shared" si="20"/>
        <v>31.002828364297862</v>
      </c>
      <c r="I99" s="33">
        <f t="shared" si="11"/>
        <v>47.772881625764626</v>
      </c>
      <c r="K99" s="14">
        <f>VLOOKUP($C99,'Refi Adj'!$B$2:$E$32,2,0)</f>
        <v>1</v>
      </c>
      <c r="L99" s="14">
        <f>VLOOKUP($C99,'Refi Adj'!$B$2:$E$32,3,0)</f>
        <v>1</v>
      </c>
      <c r="M99" s="14">
        <f>VLOOKUP($C99,'Refi Adj'!$B$2:$E$32,4,0)</f>
        <v>0.9</v>
      </c>
      <c r="O99" s="40">
        <f t="shared" si="12"/>
        <v>4.5051077184295317E-2</v>
      </c>
      <c r="P99" s="40">
        <f t="shared" si="13"/>
        <v>2.2811460049691899E-2</v>
      </c>
      <c r="Q99" s="40">
        <f t="shared" si="14"/>
        <v>3.1707306903533267E-2</v>
      </c>
      <c r="R99" s="14"/>
      <c r="S99" s="34">
        <f t="shared" si="21"/>
        <v>3.9347937942751404E-2</v>
      </c>
      <c r="T99" s="2">
        <f t="shared" si="22"/>
        <v>38.227748388437931</v>
      </c>
      <c r="U99" s="7">
        <f t="shared" si="10"/>
        <v>1.5102935430411546</v>
      </c>
      <c r="X99" s="9"/>
      <c r="Y99" s="8"/>
      <c r="Z99" s="8"/>
      <c r="AC99" s="9"/>
      <c r="AD99" s="8"/>
      <c r="AE99" s="8"/>
      <c r="AH99" s="9"/>
      <c r="AI99" s="8"/>
      <c r="AJ99" s="8"/>
    </row>
    <row r="100" spans="1:50" x14ac:dyDescent="0.25">
      <c r="A100" s="4"/>
      <c r="B100" s="3"/>
      <c r="C100" s="2"/>
      <c r="D100" s="8"/>
      <c r="E100" s="8"/>
      <c r="F100" s="3"/>
      <c r="G100" s="2"/>
      <c r="H100" s="2"/>
      <c r="K100" s="14"/>
      <c r="L100" s="14"/>
      <c r="M100" s="14"/>
      <c r="O100" s="35"/>
      <c r="P100" s="38"/>
      <c r="Q100" s="35"/>
      <c r="S100" s="34"/>
      <c r="T100" s="2"/>
      <c r="U100" s="7"/>
      <c r="AC100" s="9"/>
      <c r="AD100" s="8"/>
      <c r="AE100" s="8"/>
      <c r="AH100" s="9"/>
      <c r="AI100" s="8"/>
      <c r="AJ100" s="8"/>
    </row>
    <row r="102" spans="1:50" s="25" customFormat="1" x14ac:dyDescent="0.25"/>
    <row r="103" spans="1:50" x14ac:dyDescent="0.25">
      <c r="A103" s="27" t="s">
        <v>115</v>
      </c>
      <c r="C103" t="s">
        <v>126</v>
      </c>
      <c r="F103" t="s">
        <v>166</v>
      </c>
      <c r="AS103" s="17" t="s">
        <v>88</v>
      </c>
      <c r="AT103" s="17" t="s">
        <v>89</v>
      </c>
      <c r="AU103" s="17"/>
      <c r="AV103" s="17"/>
      <c r="AW103" s="17" t="s">
        <v>90</v>
      </c>
      <c r="AX103" s="17"/>
    </row>
    <row r="104" spans="1:50" x14ac:dyDescent="0.25">
      <c r="A104" t="s">
        <v>20</v>
      </c>
      <c r="B104" t="s">
        <v>21</v>
      </c>
      <c r="C104" t="s">
        <v>22</v>
      </c>
      <c r="D104" t="s">
        <v>23</v>
      </c>
      <c r="E104" t="s">
        <v>94</v>
      </c>
      <c r="F104" t="s">
        <v>95</v>
      </c>
      <c r="G104" t="s">
        <v>24</v>
      </c>
      <c r="H104" t="s">
        <v>25</v>
      </c>
      <c r="I104" t="s">
        <v>26</v>
      </c>
      <c r="J104" t="s">
        <v>27</v>
      </c>
      <c r="K104" t="s">
        <v>28</v>
      </c>
      <c r="L104" t="s">
        <v>29</v>
      </c>
      <c r="M104" t="s">
        <v>30</v>
      </c>
      <c r="N104" t="s">
        <v>31</v>
      </c>
      <c r="O104" t="s">
        <v>32</v>
      </c>
      <c r="P104" t="s">
        <v>33</v>
      </c>
      <c r="Q104" t="s">
        <v>34</v>
      </c>
      <c r="R104" t="s">
        <v>35</v>
      </c>
      <c r="S104" t="s">
        <v>36</v>
      </c>
      <c r="T104" t="s">
        <v>37</v>
      </c>
      <c r="U104" t="s">
        <v>38</v>
      </c>
      <c r="V104" t="s">
        <v>39</v>
      </c>
      <c r="W104" t="s">
        <v>40</v>
      </c>
      <c r="X104" t="s">
        <v>41</v>
      </c>
      <c r="Y104" t="s">
        <v>42</v>
      </c>
      <c r="Z104" t="s">
        <v>43</v>
      </c>
      <c r="AA104" t="s">
        <v>44</v>
      </c>
      <c r="AB104" s="1" t="s">
        <v>45</v>
      </c>
      <c r="AC104" s="1" t="s">
        <v>46</v>
      </c>
      <c r="AD104" s="1" t="s">
        <v>47</v>
      </c>
      <c r="AE104" t="s">
        <v>48</v>
      </c>
      <c r="AF104" t="s">
        <v>49</v>
      </c>
      <c r="AG104" t="s">
        <v>50</v>
      </c>
      <c r="AH104" t="s">
        <v>51</v>
      </c>
      <c r="AI104" t="s">
        <v>52</v>
      </c>
      <c r="AJ104" t="s">
        <v>53</v>
      </c>
      <c r="AK104" t="s">
        <v>54</v>
      </c>
      <c r="AL104" t="s">
        <v>55</v>
      </c>
      <c r="AM104" t="s">
        <v>56</v>
      </c>
      <c r="AN104" t="s">
        <v>57</v>
      </c>
      <c r="AO104" t="s">
        <v>58</v>
      </c>
      <c r="AP104" t="s">
        <v>59</v>
      </c>
      <c r="AQ104" t="s">
        <v>60</v>
      </c>
      <c r="AR104" t="s">
        <v>61</v>
      </c>
      <c r="AS104" s="28" t="s">
        <v>116</v>
      </c>
      <c r="AT104" s="28" t="s">
        <v>117</v>
      </c>
      <c r="AU104" s="28" t="s">
        <v>118</v>
      </c>
      <c r="AV104" s="28" t="s">
        <v>119</v>
      </c>
      <c r="AW104" s="28" t="s">
        <v>120</v>
      </c>
      <c r="AX104" s="28" t="s">
        <v>121</v>
      </c>
    </row>
    <row r="105" spans="1:50" x14ac:dyDescent="0.25">
      <c r="A105">
        <v>97</v>
      </c>
      <c r="B105" s="4">
        <v>0.98717804500378603</v>
      </c>
      <c r="C105" s="4">
        <v>51.093738393217798</v>
      </c>
      <c r="D105" s="4">
        <v>14.3463536039286</v>
      </c>
      <c r="E105" s="4">
        <v>5.7863768756070598E-2</v>
      </c>
      <c r="F105" s="5">
        <v>1.2821954996213501E-2</v>
      </c>
      <c r="G105" s="5">
        <v>0</v>
      </c>
      <c r="H105" s="4">
        <v>3.5</v>
      </c>
      <c r="I105" s="4">
        <v>3.96411771441293</v>
      </c>
      <c r="J105" s="4">
        <v>-46.820879646941499</v>
      </c>
      <c r="K105" s="4">
        <v>-104.381927300386</v>
      </c>
      <c r="L105" s="4">
        <v>100</v>
      </c>
      <c r="M105" s="4">
        <v>14.4796469415598</v>
      </c>
      <c r="N105" s="4">
        <v>70</v>
      </c>
      <c r="O105" s="4">
        <v>9.1018930385053007</v>
      </c>
      <c r="P105" s="4">
        <v>31499.593103748899</v>
      </c>
      <c r="Q105" s="4">
        <v>31447.485000000001</v>
      </c>
      <c r="R105" s="4">
        <v>813</v>
      </c>
      <c r="S105" s="4">
        <v>0</v>
      </c>
      <c r="T105" s="4">
        <v>0</v>
      </c>
      <c r="U105" s="4">
        <v>0</v>
      </c>
      <c r="V105" s="4">
        <v>0</v>
      </c>
      <c r="W105" s="4">
        <v>0</v>
      </c>
      <c r="X105" s="4">
        <v>0</v>
      </c>
      <c r="Y105" s="4">
        <v>0</v>
      </c>
      <c r="Z105" s="5">
        <v>7.3728503057764296E-3</v>
      </c>
      <c r="AA105" s="5">
        <v>4.3457552413173799E-5</v>
      </c>
      <c r="AB105" s="10">
        <v>5.4056319344933301E-3</v>
      </c>
      <c r="AC105" s="10">
        <v>0</v>
      </c>
      <c r="AD105" s="10">
        <v>0</v>
      </c>
      <c r="AE105" s="4">
        <v>6.5095111151803803E-2</v>
      </c>
      <c r="AF105" s="4">
        <v>0</v>
      </c>
      <c r="AG105" s="4">
        <v>1</v>
      </c>
      <c r="AH105" s="4">
        <v>1</v>
      </c>
      <c r="AI105" s="4">
        <v>1</v>
      </c>
      <c r="AJ105" s="4">
        <v>1</v>
      </c>
      <c r="AK105" s="4">
        <v>1</v>
      </c>
      <c r="AL105" s="4">
        <v>1</v>
      </c>
      <c r="AM105" s="4">
        <v>0</v>
      </c>
      <c r="AN105" s="4">
        <v>0</v>
      </c>
      <c r="AO105" s="4" t="s">
        <v>63</v>
      </c>
      <c r="AP105" s="4">
        <f>-125--100</f>
        <v>-25</v>
      </c>
      <c r="AQ105" s="6">
        <v>62894.97</v>
      </c>
      <c r="AR105" s="4">
        <v>2</v>
      </c>
      <c r="AS105" s="29">
        <v>100</v>
      </c>
      <c r="AT105" s="29">
        <v>0</v>
      </c>
      <c r="AU105" s="29">
        <v>100</v>
      </c>
      <c r="AV105" s="29">
        <v>0</v>
      </c>
      <c r="AW105" s="29">
        <v>0</v>
      </c>
      <c r="AX105" s="29">
        <v>0</v>
      </c>
    </row>
    <row r="106" spans="1:50" x14ac:dyDescent="0.25">
      <c r="A106">
        <v>97</v>
      </c>
      <c r="B106" s="4">
        <v>0.98521580628210104</v>
      </c>
      <c r="C106" s="4">
        <v>14.9463859735129</v>
      </c>
      <c r="D106" s="4">
        <v>16.3672360687357</v>
      </c>
      <c r="E106" s="4">
        <v>1.34001062976118E-2</v>
      </c>
      <c r="F106" s="5">
        <v>1.47841937178982E-2</v>
      </c>
      <c r="G106" s="5">
        <v>0</v>
      </c>
      <c r="H106" s="4">
        <v>3.6082279749412001</v>
      </c>
      <c r="I106" s="4">
        <v>3.88454447858481</v>
      </c>
      <c r="J106" s="4">
        <v>-39.2783720551191</v>
      </c>
      <c r="K106" s="4">
        <v>-84.523744470233098</v>
      </c>
      <c r="L106" s="4">
        <v>97.152157701241507</v>
      </c>
      <c r="M106" s="4">
        <v>15.1477053696849</v>
      </c>
      <c r="N106" s="4">
        <v>80.018451957770495</v>
      </c>
      <c r="O106" s="4">
        <v>8.1523317249261993</v>
      </c>
      <c r="P106" s="4">
        <v>30663.841658868001</v>
      </c>
      <c r="Q106" s="4">
        <v>26200.371481481401</v>
      </c>
      <c r="R106" s="4">
        <v>804.43111787657199</v>
      </c>
      <c r="S106" s="4">
        <v>0</v>
      </c>
      <c r="T106" s="4">
        <v>0</v>
      </c>
      <c r="U106" s="4">
        <v>0</v>
      </c>
      <c r="V106" s="4">
        <v>0</v>
      </c>
      <c r="W106" s="4">
        <v>0</v>
      </c>
      <c r="X106" s="4">
        <v>0</v>
      </c>
      <c r="Y106" s="4">
        <v>0</v>
      </c>
      <c r="Z106" s="5">
        <v>6.7212369573498897E-3</v>
      </c>
      <c r="AA106" s="5">
        <v>2.8119532491785501E-5</v>
      </c>
      <c r="AB106" s="10">
        <v>8.0348285196838298E-3</v>
      </c>
      <c r="AC106" s="10">
        <v>0</v>
      </c>
      <c r="AD106" s="10">
        <v>0</v>
      </c>
      <c r="AE106" s="4">
        <v>9.6546189918763306E-2</v>
      </c>
      <c r="AF106" s="4">
        <v>0</v>
      </c>
      <c r="AG106" s="4">
        <v>1</v>
      </c>
      <c r="AH106" s="4">
        <v>1</v>
      </c>
      <c r="AI106" s="4">
        <v>1</v>
      </c>
      <c r="AJ106" s="4">
        <v>1</v>
      </c>
      <c r="AK106" s="4">
        <v>1</v>
      </c>
      <c r="AL106" s="4">
        <v>1</v>
      </c>
      <c r="AM106" s="4">
        <v>0</v>
      </c>
      <c r="AN106" s="4">
        <v>0</v>
      </c>
      <c r="AO106" s="4" t="s">
        <v>64</v>
      </c>
      <c r="AP106" s="4">
        <f>-100--75</f>
        <v>-25</v>
      </c>
      <c r="AQ106" s="6">
        <v>707410.03</v>
      </c>
      <c r="AR106" s="4">
        <v>27</v>
      </c>
      <c r="AS106" s="29">
        <v>100</v>
      </c>
      <c r="AT106" s="29">
        <v>0</v>
      </c>
      <c r="AU106" s="29">
        <v>100</v>
      </c>
      <c r="AV106" s="29">
        <v>0</v>
      </c>
      <c r="AW106" s="29">
        <v>0</v>
      </c>
      <c r="AX106" s="29">
        <v>0</v>
      </c>
    </row>
    <row r="107" spans="1:50" x14ac:dyDescent="0.25">
      <c r="A107">
        <v>97</v>
      </c>
      <c r="B107" s="4">
        <v>0.99081350844148697</v>
      </c>
      <c r="C107" s="4">
        <v>18.096061958631601</v>
      </c>
      <c r="D107" s="4">
        <v>10.4835135065962</v>
      </c>
      <c r="E107" s="4">
        <v>1.6497657539165898E-2</v>
      </c>
      <c r="F107" s="5">
        <v>9.1864915585121998E-3</v>
      </c>
      <c r="G107" s="5">
        <v>0</v>
      </c>
      <c r="H107" s="4">
        <v>3.4613011198961101</v>
      </c>
      <c r="I107" s="4">
        <v>3.90596067343846</v>
      </c>
      <c r="J107" s="4">
        <v>-55.632560599367103</v>
      </c>
      <c r="K107" s="4">
        <v>-57.377777162715397</v>
      </c>
      <c r="L107" s="4">
        <v>48.596687335697702</v>
      </c>
      <c r="M107" s="4">
        <v>14.375748756243199</v>
      </c>
      <c r="N107" s="4">
        <v>70.0455440834222</v>
      </c>
      <c r="O107" s="4">
        <v>39.201412006610099</v>
      </c>
      <c r="P107" s="4">
        <v>171695.99467653499</v>
      </c>
      <c r="Q107" s="4">
        <v>59778.379589040997</v>
      </c>
      <c r="R107" s="4">
        <v>781.89643531747299</v>
      </c>
      <c r="S107" s="4">
        <v>0</v>
      </c>
      <c r="T107" s="4">
        <v>0</v>
      </c>
      <c r="U107" s="4">
        <v>0.182471985089418</v>
      </c>
      <c r="V107" s="4">
        <v>0</v>
      </c>
      <c r="W107" s="4">
        <v>0</v>
      </c>
      <c r="X107" s="4">
        <v>0.57703132880742702</v>
      </c>
      <c r="Y107" s="4">
        <v>0</v>
      </c>
      <c r="Z107" s="5">
        <v>2.6065178533445101E-3</v>
      </c>
      <c r="AA107" s="5">
        <v>3.04739380340999E-5</v>
      </c>
      <c r="AB107" s="10">
        <v>6.5425673048854398E-3</v>
      </c>
      <c r="AC107" s="10">
        <v>6.9220063799994196E-6</v>
      </c>
      <c r="AD107" s="10">
        <v>0</v>
      </c>
      <c r="AE107" s="4">
        <v>9.8877050501754798E-2</v>
      </c>
      <c r="AF107" s="4">
        <v>0.184850737176427</v>
      </c>
      <c r="AG107" s="4">
        <v>0.87192064957209203</v>
      </c>
      <c r="AH107" s="4">
        <v>1</v>
      </c>
      <c r="AI107" s="4">
        <v>1</v>
      </c>
      <c r="AJ107" s="4">
        <v>1</v>
      </c>
      <c r="AK107" s="4">
        <v>1</v>
      </c>
      <c r="AL107" s="4">
        <v>1</v>
      </c>
      <c r="AM107" s="4">
        <v>0</v>
      </c>
      <c r="AN107" s="4">
        <v>0</v>
      </c>
      <c r="AO107" s="4" t="s">
        <v>65</v>
      </c>
      <c r="AP107" s="4">
        <f>-75--50</f>
        <v>-25</v>
      </c>
      <c r="AQ107" s="6">
        <v>4363821.71</v>
      </c>
      <c r="AR107" s="4">
        <v>73</v>
      </c>
      <c r="AS107" s="29">
        <v>100</v>
      </c>
      <c r="AT107" s="29">
        <v>0</v>
      </c>
      <c r="AU107" s="29">
        <v>100</v>
      </c>
      <c r="AV107" s="29">
        <v>0</v>
      </c>
      <c r="AW107" s="29">
        <v>0</v>
      </c>
      <c r="AX107" s="29">
        <v>0</v>
      </c>
    </row>
    <row r="108" spans="1:50" x14ac:dyDescent="0.25">
      <c r="A108">
        <v>97</v>
      </c>
      <c r="B108" s="4">
        <v>0.99371971980781404</v>
      </c>
      <c r="C108" s="4">
        <v>4.3036058051398296</v>
      </c>
      <c r="D108" s="4">
        <v>7.2813928647199297</v>
      </c>
      <c r="E108" s="4">
        <v>3.6590863725861401E-3</v>
      </c>
      <c r="F108" s="5">
        <v>6.2802801921856503E-3</v>
      </c>
      <c r="G108" s="5">
        <v>0</v>
      </c>
      <c r="H108" s="4">
        <v>3.4453894261002702</v>
      </c>
      <c r="I108" s="4">
        <v>3.9257790177865601</v>
      </c>
      <c r="J108" s="4">
        <v>-56.578360084162298</v>
      </c>
      <c r="K108" s="4">
        <v>-31.114896038936202</v>
      </c>
      <c r="L108" s="4">
        <v>17.359003266414899</v>
      </c>
      <c r="M108" s="4">
        <v>14.460238058420201</v>
      </c>
      <c r="N108" s="4">
        <v>69.8174928198478</v>
      </c>
      <c r="O108" s="4">
        <v>60.987955469063301</v>
      </c>
      <c r="P108" s="4">
        <v>265956.17573180399</v>
      </c>
      <c r="Q108" s="4">
        <v>221964.68431372501</v>
      </c>
      <c r="R108" s="4">
        <v>780.78901794072397</v>
      </c>
      <c r="S108" s="4">
        <v>0</v>
      </c>
      <c r="T108" s="4">
        <v>0</v>
      </c>
      <c r="U108" s="4">
        <v>0.26399511861344799</v>
      </c>
      <c r="V108" s="4">
        <v>0</v>
      </c>
      <c r="W108" s="4">
        <v>0</v>
      </c>
      <c r="X108" s="4">
        <v>0.63616983561422502</v>
      </c>
      <c r="Y108" s="4">
        <v>0</v>
      </c>
      <c r="Z108" s="5">
        <v>4.5874414839759198E-4</v>
      </c>
      <c r="AA108" s="5">
        <v>3.3580202334424199E-5</v>
      </c>
      <c r="AB108" s="10">
        <v>5.2362434862087796E-3</v>
      </c>
      <c r="AC108" s="10">
        <v>2.0813513735245999E-6</v>
      </c>
      <c r="AD108" s="10">
        <v>5.4961611570779898E-4</v>
      </c>
      <c r="AE108" s="4">
        <v>8.8177656858444697E-2</v>
      </c>
      <c r="AF108" s="4">
        <v>0.12789084403808401</v>
      </c>
      <c r="AG108" s="4">
        <v>0.93950860480610998</v>
      </c>
      <c r="AH108" s="4">
        <v>0.99912392116478899</v>
      </c>
      <c r="AI108" s="4">
        <v>1</v>
      </c>
      <c r="AJ108" s="4">
        <v>1</v>
      </c>
      <c r="AK108" s="4">
        <v>1</v>
      </c>
      <c r="AL108" s="4">
        <v>1</v>
      </c>
      <c r="AM108" s="4">
        <v>0</v>
      </c>
      <c r="AN108" s="4">
        <v>0</v>
      </c>
      <c r="AO108" s="4" t="s">
        <v>66</v>
      </c>
      <c r="AP108" s="4">
        <f>-50--25</f>
        <v>-25</v>
      </c>
      <c r="AQ108" s="6">
        <v>169802983.5</v>
      </c>
      <c r="AR108" s="4">
        <v>765</v>
      </c>
      <c r="AS108" s="29">
        <v>100</v>
      </c>
      <c r="AT108" s="29">
        <v>0</v>
      </c>
      <c r="AU108" s="29">
        <v>100</v>
      </c>
      <c r="AV108" s="29">
        <v>0</v>
      </c>
      <c r="AW108" s="29">
        <v>0</v>
      </c>
      <c r="AX108" s="29">
        <v>0</v>
      </c>
    </row>
    <row r="109" spans="1:50" x14ac:dyDescent="0.25">
      <c r="A109">
        <v>97</v>
      </c>
      <c r="B109" s="4">
        <v>0.99340684636174403</v>
      </c>
      <c r="C109" s="4">
        <v>9.35464732984547</v>
      </c>
      <c r="D109" s="4">
        <v>7.6310972043182099</v>
      </c>
      <c r="E109" s="4">
        <v>8.1512235407507801E-3</v>
      </c>
      <c r="F109" s="5">
        <v>6.5931536382557903E-3</v>
      </c>
      <c r="G109" s="5">
        <v>0</v>
      </c>
      <c r="H109" s="4">
        <v>3.5138820361428502</v>
      </c>
      <c r="I109" s="4">
        <v>3.94214928867249</v>
      </c>
      <c r="J109" s="4">
        <v>-48.996049463074399</v>
      </c>
      <c r="K109" s="4">
        <v>-22.229761036076098</v>
      </c>
      <c r="L109" s="4">
        <v>14.7883588659138</v>
      </c>
      <c r="M109" s="4">
        <v>14.3566132124866</v>
      </c>
      <c r="N109" s="4">
        <v>71.651333958558297</v>
      </c>
      <c r="O109" s="4">
        <v>63.350333676551998</v>
      </c>
      <c r="P109" s="4">
        <v>294036.63858037803</v>
      </c>
      <c r="Q109" s="4">
        <v>268956.38971153798</v>
      </c>
      <c r="R109" s="4">
        <v>780.794422326838</v>
      </c>
      <c r="S109" s="4">
        <v>0</v>
      </c>
      <c r="T109" s="4">
        <v>0</v>
      </c>
      <c r="U109" s="4">
        <v>0.38598226354649801</v>
      </c>
      <c r="V109" s="4">
        <v>0</v>
      </c>
      <c r="W109" s="4">
        <v>0</v>
      </c>
      <c r="X109" s="4">
        <v>0.700460369316243</v>
      </c>
      <c r="Y109" s="4">
        <v>0</v>
      </c>
      <c r="Z109" s="5">
        <v>3.7936105245507602E-4</v>
      </c>
      <c r="AA109" s="5">
        <v>3.9222507221363501E-5</v>
      </c>
      <c r="AB109" s="10">
        <v>5.1312787421112496E-3</v>
      </c>
      <c r="AC109" s="10">
        <v>9.4363456881354697E-7</v>
      </c>
      <c r="AD109" s="10">
        <v>1.0423330357023199E-3</v>
      </c>
      <c r="AE109" s="4">
        <v>9.1495906708384894E-2</v>
      </c>
      <c r="AF109" s="4">
        <v>0.118192083058584</v>
      </c>
      <c r="AG109" s="4">
        <v>0.94190371343419899</v>
      </c>
      <c r="AH109" s="4">
        <v>0.99858000134539204</v>
      </c>
      <c r="AI109" s="4">
        <v>1</v>
      </c>
      <c r="AJ109" s="4">
        <v>1</v>
      </c>
      <c r="AK109" s="4">
        <v>1</v>
      </c>
      <c r="AL109" s="4">
        <v>1</v>
      </c>
      <c r="AM109" s="4">
        <v>0</v>
      </c>
      <c r="AN109" s="4">
        <v>0</v>
      </c>
      <c r="AO109" s="4" t="s">
        <v>137</v>
      </c>
      <c r="AP109" s="4">
        <f>-25--20</f>
        <v>-5</v>
      </c>
      <c r="AQ109" s="6">
        <v>279714645.30000001</v>
      </c>
      <c r="AR109" s="4">
        <v>1040</v>
      </c>
      <c r="AS109" s="29">
        <v>100</v>
      </c>
      <c r="AT109" s="29">
        <v>0</v>
      </c>
      <c r="AU109" s="29">
        <v>100</v>
      </c>
      <c r="AV109" s="29">
        <v>0</v>
      </c>
      <c r="AW109" s="29">
        <v>0</v>
      </c>
      <c r="AX109" s="29">
        <v>0</v>
      </c>
    </row>
    <row r="110" spans="1:50" x14ac:dyDescent="0.25">
      <c r="A110">
        <v>97</v>
      </c>
      <c r="B110" s="4">
        <v>0.993109342892603</v>
      </c>
      <c r="C110" s="4">
        <v>6.3762957514387297</v>
      </c>
      <c r="D110" s="4">
        <v>7.9625004080994302</v>
      </c>
      <c r="E110" s="4">
        <v>5.4755031569692402E-3</v>
      </c>
      <c r="F110" s="5">
        <v>6.8906571073967197E-3</v>
      </c>
      <c r="G110" s="5">
        <v>0</v>
      </c>
      <c r="H110" s="4">
        <v>3.5419733401890898</v>
      </c>
      <c r="I110" s="4">
        <v>3.9369233551362002</v>
      </c>
      <c r="J110" s="4">
        <v>-46.111294757852797</v>
      </c>
      <c r="K110" s="4">
        <v>-17.0962901576066</v>
      </c>
      <c r="L110" s="4">
        <v>14.336891685468199</v>
      </c>
      <c r="M110" s="4">
        <v>14.480166678604901</v>
      </c>
      <c r="N110" s="4">
        <v>67.370984888328707</v>
      </c>
      <c r="O110" s="4">
        <v>59.748077224388901</v>
      </c>
      <c r="P110" s="4">
        <v>300547.542182712</v>
      </c>
      <c r="Q110" s="4">
        <v>277965.94418422302</v>
      </c>
      <c r="R110" s="4">
        <v>781.833218683582</v>
      </c>
      <c r="S110" s="4">
        <v>0</v>
      </c>
      <c r="T110" s="4">
        <v>0</v>
      </c>
      <c r="U110" s="4">
        <v>0.36754756493103502</v>
      </c>
      <c r="V110" s="4">
        <v>0</v>
      </c>
      <c r="W110" s="4">
        <v>0</v>
      </c>
      <c r="X110" s="4">
        <v>0.73746028696017396</v>
      </c>
      <c r="Y110" s="4">
        <v>0</v>
      </c>
      <c r="Z110" s="5">
        <v>3.7098605932877102E-4</v>
      </c>
      <c r="AA110" s="5">
        <v>3.7428241830707499E-5</v>
      </c>
      <c r="AB110" s="10">
        <v>5.1694195563811102E-3</v>
      </c>
      <c r="AC110" s="10">
        <v>1.2743154306298301E-6</v>
      </c>
      <c r="AD110" s="10">
        <v>1.3115340055439399E-3</v>
      </c>
      <c r="AE110" s="4">
        <v>9.2634213615473304E-2</v>
      </c>
      <c r="AF110" s="4">
        <v>0.109423488325783</v>
      </c>
      <c r="AG110" s="4">
        <v>0.92712820719011102</v>
      </c>
      <c r="AH110" s="4">
        <v>0.99703860528167598</v>
      </c>
      <c r="AI110" s="4">
        <v>1</v>
      </c>
      <c r="AJ110" s="4">
        <v>1</v>
      </c>
      <c r="AK110" s="4">
        <v>1</v>
      </c>
      <c r="AL110" s="4">
        <v>1</v>
      </c>
      <c r="AM110" s="4">
        <v>0</v>
      </c>
      <c r="AN110" s="4">
        <v>0</v>
      </c>
      <c r="AO110" s="4" t="s">
        <v>138</v>
      </c>
      <c r="AP110" s="4">
        <f>-20--15</f>
        <v>-5</v>
      </c>
      <c r="AQ110" s="6">
        <v>567328492.08000004</v>
      </c>
      <c r="AR110" s="4">
        <v>2041</v>
      </c>
      <c r="AS110" s="29">
        <v>100</v>
      </c>
      <c r="AT110" s="29">
        <v>0</v>
      </c>
      <c r="AU110" s="29">
        <v>100</v>
      </c>
      <c r="AV110" s="29">
        <v>0</v>
      </c>
      <c r="AW110" s="29">
        <v>0</v>
      </c>
      <c r="AX110" s="29">
        <v>0</v>
      </c>
    </row>
    <row r="111" spans="1:50" x14ac:dyDescent="0.25">
      <c r="A111">
        <v>97</v>
      </c>
      <c r="B111" s="4">
        <v>0.99286803688249003</v>
      </c>
      <c r="C111" s="4">
        <v>10.5821110024436</v>
      </c>
      <c r="D111" s="4">
        <v>8.2305016605244408</v>
      </c>
      <c r="E111" s="4">
        <v>9.2774813926804495E-3</v>
      </c>
      <c r="F111" s="5">
        <v>7.1319631175099703E-3</v>
      </c>
      <c r="G111" s="5">
        <v>0</v>
      </c>
      <c r="H111" s="4">
        <v>3.5865161842212299</v>
      </c>
      <c r="I111" s="4">
        <v>3.92753573793994</v>
      </c>
      <c r="J111" s="4">
        <v>-42.2716187267959</v>
      </c>
      <c r="K111" s="4">
        <v>-12.256696498839601</v>
      </c>
      <c r="L111" s="4">
        <v>13.9937272360684</v>
      </c>
      <c r="M111" s="4">
        <v>14.577939514488801</v>
      </c>
      <c r="N111" s="4">
        <v>69.5223428850218</v>
      </c>
      <c r="O111" s="4">
        <v>61.743512524171003</v>
      </c>
      <c r="P111" s="4">
        <v>304068.02259481</v>
      </c>
      <c r="Q111" s="4">
        <v>284638.85198339698</v>
      </c>
      <c r="R111" s="4">
        <v>781.408490500982</v>
      </c>
      <c r="S111" s="4">
        <v>0</v>
      </c>
      <c r="T111" s="4">
        <v>0</v>
      </c>
      <c r="U111" s="4">
        <v>0.32304256752404797</v>
      </c>
      <c r="V111" s="4">
        <v>0</v>
      </c>
      <c r="W111" s="4">
        <v>0</v>
      </c>
      <c r="X111" s="4">
        <v>0.72316378990541297</v>
      </c>
      <c r="Y111" s="4">
        <v>0</v>
      </c>
      <c r="Z111" s="5">
        <v>3.6858220806847098E-4</v>
      </c>
      <c r="AA111" s="5">
        <v>3.7570907417967299E-5</v>
      </c>
      <c r="AB111" s="10">
        <v>5.1978836872456696E-3</v>
      </c>
      <c r="AC111" s="10">
        <v>1.80387829903978E-6</v>
      </c>
      <c r="AD111" s="10">
        <v>1.52610787115483E-3</v>
      </c>
      <c r="AE111" s="4">
        <v>9.3150694916675894E-2</v>
      </c>
      <c r="AF111" s="4">
        <v>9.3081841887913505E-2</v>
      </c>
      <c r="AG111" s="4">
        <v>0.93741737477037901</v>
      </c>
      <c r="AH111" s="4">
        <v>0.99868890069376204</v>
      </c>
      <c r="AI111" s="4">
        <v>1</v>
      </c>
      <c r="AJ111" s="4">
        <v>1</v>
      </c>
      <c r="AK111" s="4">
        <v>1</v>
      </c>
      <c r="AL111" s="4">
        <v>1</v>
      </c>
      <c r="AM111" s="4">
        <v>0</v>
      </c>
      <c r="AN111" s="4">
        <v>0</v>
      </c>
      <c r="AO111" s="4" t="s">
        <v>139</v>
      </c>
      <c r="AP111" s="4">
        <f>-15--10</f>
        <v>-5</v>
      </c>
      <c r="AQ111" s="6">
        <v>960086847.74000001</v>
      </c>
      <c r="AR111" s="4">
        <v>3373</v>
      </c>
      <c r="AS111" s="29">
        <v>100</v>
      </c>
      <c r="AT111" s="29">
        <v>0</v>
      </c>
      <c r="AU111" s="29">
        <v>100</v>
      </c>
      <c r="AV111" s="29">
        <v>0</v>
      </c>
      <c r="AW111" s="29">
        <v>0</v>
      </c>
      <c r="AX111" s="29">
        <v>0</v>
      </c>
    </row>
    <row r="112" spans="1:50" x14ac:dyDescent="0.25">
      <c r="A112">
        <v>97</v>
      </c>
      <c r="B112" s="4">
        <v>0.99248716235937695</v>
      </c>
      <c r="C112" s="4">
        <v>9.2241763055223096</v>
      </c>
      <c r="D112" s="4">
        <v>8.6520563288686105</v>
      </c>
      <c r="E112" s="4">
        <v>8.0323332450160101E-3</v>
      </c>
      <c r="F112" s="5">
        <v>7.5128376406222597E-3</v>
      </c>
      <c r="G112" s="5">
        <v>0</v>
      </c>
      <c r="H112" s="4">
        <v>3.61055685342368</v>
      </c>
      <c r="I112" s="4">
        <v>3.90980776310988</v>
      </c>
      <c r="J112" s="4">
        <v>-40.343517054827501</v>
      </c>
      <c r="K112" s="4">
        <v>-7.4527447893761396</v>
      </c>
      <c r="L112" s="4">
        <v>13.8530940292409</v>
      </c>
      <c r="M112" s="4">
        <v>14.999494653552</v>
      </c>
      <c r="N112" s="4">
        <v>67.471237760278896</v>
      </c>
      <c r="O112" s="4">
        <v>59.733140799727202</v>
      </c>
      <c r="P112" s="4">
        <v>307262.74521672999</v>
      </c>
      <c r="Q112" s="4">
        <v>287755.53053564602</v>
      </c>
      <c r="R112" s="4">
        <v>781.79493510899295</v>
      </c>
      <c r="S112" s="4">
        <v>0</v>
      </c>
      <c r="T112" s="4">
        <v>0</v>
      </c>
      <c r="U112" s="4">
        <v>0.28637137975315502</v>
      </c>
      <c r="V112" s="4">
        <v>0</v>
      </c>
      <c r="W112" s="4">
        <v>0</v>
      </c>
      <c r="X112" s="4">
        <v>0.72878788004050599</v>
      </c>
      <c r="Y112" s="4">
        <v>0</v>
      </c>
      <c r="Z112" s="5">
        <v>3.6754879293203702E-4</v>
      </c>
      <c r="AA112" s="5">
        <v>3.83193793558467E-5</v>
      </c>
      <c r="AB112" s="10">
        <v>5.3630768976484803E-3</v>
      </c>
      <c r="AC112" s="10">
        <v>2.5850054748448899E-6</v>
      </c>
      <c r="AD112" s="10">
        <v>1.74129284952605E-3</v>
      </c>
      <c r="AE112" s="4">
        <v>9.5958295145734604E-2</v>
      </c>
      <c r="AF112" s="4">
        <v>8.4816308249806197E-2</v>
      </c>
      <c r="AG112" s="4">
        <v>0.932696640210531</v>
      </c>
      <c r="AH112" s="4">
        <v>0.99827065865827602</v>
      </c>
      <c r="AI112" s="4">
        <v>1</v>
      </c>
      <c r="AJ112" s="4">
        <v>1</v>
      </c>
      <c r="AK112" s="4">
        <v>1</v>
      </c>
      <c r="AL112" s="4">
        <v>1</v>
      </c>
      <c r="AM112" s="4">
        <v>0</v>
      </c>
      <c r="AN112" s="4">
        <v>0</v>
      </c>
      <c r="AO112" s="4" t="s">
        <v>140</v>
      </c>
      <c r="AP112" s="4">
        <f>-10--5</f>
        <v>-5</v>
      </c>
      <c r="AQ112" s="6">
        <v>1509565513.1900001</v>
      </c>
      <c r="AR112" s="4">
        <v>5246</v>
      </c>
      <c r="AS112" s="29">
        <v>100</v>
      </c>
      <c r="AT112" s="29">
        <v>0</v>
      </c>
      <c r="AU112" s="29">
        <v>100</v>
      </c>
      <c r="AV112" s="29">
        <v>0</v>
      </c>
      <c r="AW112" s="29">
        <v>0</v>
      </c>
      <c r="AX112" s="29">
        <v>0</v>
      </c>
    </row>
    <row r="113" spans="1:50" x14ac:dyDescent="0.25">
      <c r="A113">
        <v>97</v>
      </c>
      <c r="B113" s="4">
        <v>0.99229330243119296</v>
      </c>
      <c r="C113" s="4">
        <v>9.4723739778586395</v>
      </c>
      <c r="D113" s="4">
        <v>8.8659395230636093</v>
      </c>
      <c r="E113" s="4">
        <v>8.2586353692454696E-3</v>
      </c>
      <c r="F113" s="5">
        <v>7.7066975688064501E-3</v>
      </c>
      <c r="G113" s="5">
        <v>0</v>
      </c>
      <c r="H113" s="4">
        <v>3.6389091972279601</v>
      </c>
      <c r="I113" s="4">
        <v>3.8902957024247198</v>
      </c>
      <c r="J113" s="4">
        <v>-38.093673556291897</v>
      </c>
      <c r="K113" s="4">
        <v>-2.4416225084396102</v>
      </c>
      <c r="L113" s="4">
        <v>13.613077587684799</v>
      </c>
      <c r="M113" s="4">
        <v>15.348969380580799</v>
      </c>
      <c r="N113" s="4">
        <v>67.730736943717503</v>
      </c>
      <c r="O113" s="4">
        <v>59.905590789519401</v>
      </c>
      <c r="P113" s="4">
        <v>312221.39169962902</v>
      </c>
      <c r="Q113" s="4">
        <v>292946.10689809901</v>
      </c>
      <c r="R113" s="4">
        <v>781.20772334746005</v>
      </c>
      <c r="S113" s="4">
        <v>0</v>
      </c>
      <c r="T113" s="4">
        <v>0</v>
      </c>
      <c r="U113" s="4">
        <v>0.26810644127623601</v>
      </c>
      <c r="V113" s="4">
        <v>0</v>
      </c>
      <c r="W113" s="4">
        <v>0</v>
      </c>
      <c r="X113" s="4">
        <v>0.72810249111638703</v>
      </c>
      <c r="Y113" s="4">
        <v>0</v>
      </c>
      <c r="Z113" s="5">
        <v>3.6582088713110799E-4</v>
      </c>
      <c r="AA113" s="5">
        <v>3.8897980995926003E-5</v>
      </c>
      <c r="AB113" s="10">
        <v>5.3178106248198999E-3</v>
      </c>
      <c r="AC113" s="10">
        <v>2.8809183275511901E-6</v>
      </c>
      <c r="AD113" s="10">
        <v>1.9812726021335098E-3</v>
      </c>
      <c r="AE113" s="4">
        <v>9.6502524613227197E-2</v>
      </c>
      <c r="AF113" s="4">
        <v>7.7194886875542504E-2</v>
      </c>
      <c r="AG113" s="4">
        <v>0.93772655514332404</v>
      </c>
      <c r="AH113" s="4">
        <v>0.99772432808585898</v>
      </c>
      <c r="AI113" s="4">
        <v>1</v>
      </c>
      <c r="AJ113" s="4">
        <v>1</v>
      </c>
      <c r="AK113" s="4">
        <v>1</v>
      </c>
      <c r="AL113" s="4">
        <v>1</v>
      </c>
      <c r="AM113" s="4">
        <v>0</v>
      </c>
      <c r="AN113" s="4">
        <v>0</v>
      </c>
      <c r="AO113" s="4" t="s">
        <v>67</v>
      </c>
      <c r="AP113" s="4">
        <f>-25-0</f>
        <v>-25</v>
      </c>
      <c r="AQ113" s="6">
        <v>2219359705.8600001</v>
      </c>
      <c r="AR113" s="4">
        <v>7576</v>
      </c>
      <c r="AS113" s="29">
        <v>100</v>
      </c>
      <c r="AT113" s="29">
        <v>0</v>
      </c>
      <c r="AU113" s="29">
        <v>100</v>
      </c>
      <c r="AV113" s="29">
        <v>0</v>
      </c>
      <c r="AW113" s="29">
        <v>0</v>
      </c>
      <c r="AX113" s="29">
        <v>0</v>
      </c>
    </row>
    <row r="114" spans="1:50" x14ac:dyDescent="0.25">
      <c r="A114">
        <v>97</v>
      </c>
      <c r="B114" s="4">
        <v>0.99197633986862099</v>
      </c>
      <c r="C114" s="4">
        <v>15.393160676049799</v>
      </c>
      <c r="D114" s="4">
        <v>9.2146516374633194</v>
      </c>
      <c r="E114" s="4">
        <v>1.38330221293978E-2</v>
      </c>
      <c r="F114" s="5">
        <v>8.0236601313788992E-3</v>
      </c>
      <c r="G114" s="5">
        <v>0</v>
      </c>
      <c r="H114" s="4">
        <v>3.6729898283352602</v>
      </c>
      <c r="I114" s="4">
        <v>3.8752550296350901</v>
      </c>
      <c r="J114" s="4">
        <v>-35.426086323802203</v>
      </c>
      <c r="K114" s="4">
        <v>2.5942210785805702</v>
      </c>
      <c r="L114" s="4">
        <v>13.7203675816928</v>
      </c>
      <c r="M114" s="4">
        <v>15.735453510808799</v>
      </c>
      <c r="N114" s="4">
        <v>67.889185586530104</v>
      </c>
      <c r="O114" s="4">
        <v>59.896447204506501</v>
      </c>
      <c r="P114" s="4">
        <v>309762.466843476</v>
      </c>
      <c r="Q114" s="4">
        <v>290905.55742664298</v>
      </c>
      <c r="R114" s="4">
        <v>781.35175508720602</v>
      </c>
      <c r="S114" s="4">
        <v>0</v>
      </c>
      <c r="T114" s="4">
        <v>0</v>
      </c>
      <c r="U114" s="4">
        <v>0.274401320749115</v>
      </c>
      <c r="V114" s="4">
        <v>0</v>
      </c>
      <c r="W114" s="4">
        <v>0</v>
      </c>
      <c r="X114" s="4">
        <v>0.73132600585876595</v>
      </c>
      <c r="Y114" s="4">
        <v>0</v>
      </c>
      <c r="Z114" s="5">
        <v>3.6572817036884003E-4</v>
      </c>
      <c r="AA114" s="5">
        <v>4.0387583316218602E-5</v>
      </c>
      <c r="AB114" s="10">
        <v>5.3689263424699001E-3</v>
      </c>
      <c r="AC114" s="10">
        <v>5.5813746856888301E-6</v>
      </c>
      <c r="AD114" s="10">
        <v>2.2430222183007702E-3</v>
      </c>
      <c r="AE114" s="4">
        <v>9.9839640494548201E-2</v>
      </c>
      <c r="AF114" s="4">
        <v>7.3680052255928205E-2</v>
      </c>
      <c r="AG114" s="4">
        <v>0.92019324964461002</v>
      </c>
      <c r="AH114" s="4">
        <v>0.99207841453947299</v>
      </c>
      <c r="AI114" s="4">
        <v>1</v>
      </c>
      <c r="AJ114" s="4">
        <v>1</v>
      </c>
      <c r="AK114" s="4">
        <v>1</v>
      </c>
      <c r="AL114" s="4">
        <v>1</v>
      </c>
      <c r="AM114" s="4">
        <v>0</v>
      </c>
      <c r="AN114" s="4">
        <v>0</v>
      </c>
      <c r="AO114" s="4" t="s">
        <v>141</v>
      </c>
      <c r="AP114" s="4" t="s">
        <v>127</v>
      </c>
      <c r="AQ114" s="6">
        <v>2716476095.25</v>
      </c>
      <c r="AR114" s="4">
        <v>9338</v>
      </c>
      <c r="AS114" s="29">
        <v>100</v>
      </c>
      <c r="AT114" s="29">
        <v>0</v>
      </c>
      <c r="AU114" s="29">
        <v>100</v>
      </c>
      <c r="AV114" s="29">
        <v>0</v>
      </c>
      <c r="AW114" s="29">
        <v>0</v>
      </c>
      <c r="AX114" s="29">
        <v>0</v>
      </c>
    </row>
    <row r="115" spans="1:50" x14ac:dyDescent="0.25">
      <c r="A115">
        <v>97</v>
      </c>
      <c r="B115" s="4">
        <v>0.99159781996252905</v>
      </c>
      <c r="C115" s="4">
        <v>19.374143441593699</v>
      </c>
      <c r="D115" s="4">
        <v>9.6294845160247693</v>
      </c>
      <c r="E115" s="4">
        <v>1.7785830224231001E-2</v>
      </c>
      <c r="F115" s="5">
        <v>8.4021800374707301E-3</v>
      </c>
      <c r="G115" s="5">
        <v>0</v>
      </c>
      <c r="H115" s="4">
        <v>3.70180309666413</v>
      </c>
      <c r="I115" s="4">
        <v>3.8523686795718102</v>
      </c>
      <c r="J115" s="4">
        <v>-33.608499050214903</v>
      </c>
      <c r="K115" s="4">
        <v>7.5978709381280796</v>
      </c>
      <c r="L115" s="4">
        <v>13.555931150603501</v>
      </c>
      <c r="M115" s="4">
        <v>16.153041261630101</v>
      </c>
      <c r="N115" s="4">
        <v>68.349284014779499</v>
      </c>
      <c r="O115" s="4">
        <v>60.209077629773802</v>
      </c>
      <c r="P115" s="4">
        <v>312318.424610221</v>
      </c>
      <c r="Q115" s="4">
        <v>294443.203850216</v>
      </c>
      <c r="R115" s="4">
        <v>780.75007877716996</v>
      </c>
      <c r="S115" s="4">
        <v>0</v>
      </c>
      <c r="T115" s="4">
        <v>0</v>
      </c>
      <c r="U115" s="4">
        <v>0.25445128867858002</v>
      </c>
      <c r="V115" s="4">
        <v>0</v>
      </c>
      <c r="W115" s="4">
        <v>0</v>
      </c>
      <c r="X115" s="4">
        <v>0.71538393741984896</v>
      </c>
      <c r="Y115" s="4">
        <v>0</v>
      </c>
      <c r="Z115" s="5">
        <v>3.6549653611087199E-4</v>
      </c>
      <c r="AA115" s="5">
        <v>4.1631700595597E-5</v>
      </c>
      <c r="AB115" s="10">
        <v>5.4127243527492801E-3</v>
      </c>
      <c r="AC115" s="10">
        <v>5.8972403240684396E-6</v>
      </c>
      <c r="AD115" s="10">
        <v>2.57641568236649E-3</v>
      </c>
      <c r="AE115" s="4">
        <v>0.100790020166552</v>
      </c>
      <c r="AF115" s="4">
        <v>7.2350374335298007E-2</v>
      </c>
      <c r="AG115" s="4">
        <v>0.92325489862090504</v>
      </c>
      <c r="AH115" s="4">
        <v>0.99228220669329903</v>
      </c>
      <c r="AI115" s="4">
        <v>1</v>
      </c>
      <c r="AJ115" s="4">
        <v>1</v>
      </c>
      <c r="AK115" s="4">
        <v>1</v>
      </c>
      <c r="AL115" s="4">
        <v>1</v>
      </c>
      <c r="AM115" s="4">
        <v>0</v>
      </c>
      <c r="AN115" s="4">
        <v>0</v>
      </c>
      <c r="AO115" s="4" t="s">
        <v>142</v>
      </c>
      <c r="AP115" s="4">
        <v>43230</v>
      </c>
      <c r="AQ115" s="6">
        <v>3400819004.4699998</v>
      </c>
      <c r="AR115" s="4">
        <v>11550</v>
      </c>
      <c r="AS115" s="29">
        <v>100</v>
      </c>
      <c r="AT115" s="29">
        <v>0</v>
      </c>
      <c r="AU115" s="29">
        <v>100</v>
      </c>
      <c r="AV115" s="29">
        <v>0</v>
      </c>
      <c r="AW115" s="29">
        <v>0</v>
      </c>
      <c r="AX115" s="29">
        <v>0</v>
      </c>
    </row>
    <row r="116" spans="1:50" x14ac:dyDescent="0.25">
      <c r="A116">
        <v>97</v>
      </c>
      <c r="B116" s="4">
        <v>0.991211615421702</v>
      </c>
      <c r="C116" s="4">
        <v>21.536671117698202</v>
      </c>
      <c r="D116" s="4">
        <v>10.050947771177899</v>
      </c>
      <c r="E116" s="4">
        <v>2.00086836217447E-2</v>
      </c>
      <c r="F116" s="5">
        <v>8.7883845782970992E-3</v>
      </c>
      <c r="G116" s="5">
        <v>0</v>
      </c>
      <c r="H116" s="4">
        <v>3.7336879397118201</v>
      </c>
      <c r="I116" s="4">
        <v>3.8353193726366901</v>
      </c>
      <c r="J116" s="4">
        <v>-31.218814312789601</v>
      </c>
      <c r="K116" s="4">
        <v>12.5847834434162</v>
      </c>
      <c r="L116" s="4">
        <v>13.542285813512899</v>
      </c>
      <c r="M116" s="4">
        <v>16.4284539164168</v>
      </c>
      <c r="N116" s="4">
        <v>68.213844626702596</v>
      </c>
      <c r="O116" s="4">
        <v>59.996082186435203</v>
      </c>
      <c r="P116" s="4">
        <v>312667.75253463798</v>
      </c>
      <c r="Q116" s="4">
        <v>294763.932901263</v>
      </c>
      <c r="R116" s="4">
        <v>780.56210406977596</v>
      </c>
      <c r="S116" s="4">
        <v>0</v>
      </c>
      <c r="T116" s="4">
        <v>0</v>
      </c>
      <c r="U116" s="4">
        <v>0.22768862636757201</v>
      </c>
      <c r="V116" s="4">
        <v>0</v>
      </c>
      <c r="W116" s="4">
        <v>0</v>
      </c>
      <c r="X116" s="4">
        <v>0.71399456924282201</v>
      </c>
      <c r="Y116" s="4">
        <v>0</v>
      </c>
      <c r="Z116" s="5">
        <v>3.6600119737039398E-4</v>
      </c>
      <c r="AA116" s="5">
        <v>4.4028749622839902E-5</v>
      </c>
      <c r="AB116" s="10">
        <v>5.3939822504160103E-3</v>
      </c>
      <c r="AC116" s="10">
        <v>7.3101586767819702E-6</v>
      </c>
      <c r="AD116" s="10">
        <v>2.9770477092795301E-3</v>
      </c>
      <c r="AE116" s="4">
        <v>0.102055257988584</v>
      </c>
      <c r="AF116" s="4">
        <v>6.7915560888004406E-2</v>
      </c>
      <c r="AG116" s="4">
        <v>0.92503791027090299</v>
      </c>
      <c r="AH116" s="4">
        <v>0.99162115851473698</v>
      </c>
      <c r="AI116" s="4">
        <v>1</v>
      </c>
      <c r="AJ116" s="4">
        <v>1</v>
      </c>
      <c r="AK116" s="4">
        <v>1</v>
      </c>
      <c r="AL116" s="4">
        <v>1</v>
      </c>
      <c r="AM116" s="4">
        <v>0</v>
      </c>
      <c r="AN116" s="4">
        <v>0</v>
      </c>
      <c r="AO116" s="4" t="s">
        <v>143</v>
      </c>
      <c r="AP116" s="4">
        <v>43388</v>
      </c>
      <c r="AQ116" s="6">
        <v>3731711390.5300002</v>
      </c>
      <c r="AR116" s="4">
        <v>12660</v>
      </c>
      <c r="AS116" s="29">
        <v>100</v>
      </c>
      <c r="AT116" s="29">
        <v>0</v>
      </c>
      <c r="AU116" s="29">
        <v>100</v>
      </c>
      <c r="AV116" s="29">
        <v>0</v>
      </c>
      <c r="AW116" s="29">
        <v>0</v>
      </c>
      <c r="AX116" s="29">
        <v>0</v>
      </c>
    </row>
    <row r="117" spans="1:50" x14ac:dyDescent="0.25">
      <c r="A117">
        <v>97</v>
      </c>
      <c r="B117" s="4">
        <v>0.99076023614823605</v>
      </c>
      <c r="C117" s="4">
        <v>22.1020741273033</v>
      </c>
      <c r="D117" s="4">
        <v>10.541251983653501</v>
      </c>
      <c r="E117" s="4">
        <v>2.05991171039458E-2</v>
      </c>
      <c r="F117" s="5">
        <v>9.2397638517638294E-3</v>
      </c>
      <c r="G117" s="5">
        <v>0</v>
      </c>
      <c r="H117" s="4">
        <v>3.7702087844635699</v>
      </c>
      <c r="I117" s="4">
        <v>3.82632711869369</v>
      </c>
      <c r="J117" s="4">
        <v>-28.959175416186699</v>
      </c>
      <c r="K117" s="4">
        <v>17.5001164285508</v>
      </c>
      <c r="L117" s="4">
        <v>13.734289300708999</v>
      </c>
      <c r="M117" s="4">
        <v>16.664462522079901</v>
      </c>
      <c r="N117" s="4">
        <v>67.006821897450095</v>
      </c>
      <c r="O117" s="4">
        <v>58.877310887666702</v>
      </c>
      <c r="P117" s="4">
        <v>309456.94920062402</v>
      </c>
      <c r="Q117" s="4">
        <v>290646.95349901897</v>
      </c>
      <c r="R117" s="4">
        <v>780.42452214288699</v>
      </c>
      <c r="S117" s="4">
        <v>0</v>
      </c>
      <c r="T117" s="4">
        <v>0</v>
      </c>
      <c r="U117" s="4">
        <v>0.22507980515894099</v>
      </c>
      <c r="V117" s="4">
        <v>0</v>
      </c>
      <c r="W117" s="4">
        <v>0</v>
      </c>
      <c r="X117" s="4">
        <v>0.709411738345195</v>
      </c>
      <c r="Y117" s="4">
        <v>0</v>
      </c>
      <c r="Z117" s="5">
        <v>3.6583591543634197E-4</v>
      </c>
      <c r="AA117" s="5">
        <v>4.5257751268169897E-5</v>
      </c>
      <c r="AB117" s="10">
        <v>5.4132136837259101E-3</v>
      </c>
      <c r="AC117" s="10">
        <v>9.1615112908753395E-6</v>
      </c>
      <c r="AD117" s="10">
        <v>3.4062804583516498E-3</v>
      </c>
      <c r="AE117" s="4">
        <v>0.103384816850663</v>
      </c>
      <c r="AF117" s="4">
        <v>7.10253760820274E-2</v>
      </c>
      <c r="AG117" s="4">
        <v>0.92095468735345298</v>
      </c>
      <c r="AH117" s="4">
        <v>0.990222545905865</v>
      </c>
      <c r="AI117" s="4">
        <v>1</v>
      </c>
      <c r="AJ117" s="4">
        <v>1</v>
      </c>
      <c r="AK117" s="4">
        <v>1</v>
      </c>
      <c r="AL117" s="4">
        <v>1</v>
      </c>
      <c r="AM117" s="4">
        <v>0</v>
      </c>
      <c r="AN117" s="4">
        <v>0</v>
      </c>
      <c r="AO117" s="4" t="s">
        <v>144</v>
      </c>
      <c r="AP117" s="4" t="s">
        <v>128</v>
      </c>
      <c r="AQ117" s="6">
        <v>3853397309.4899998</v>
      </c>
      <c r="AR117" s="4">
        <v>13258</v>
      </c>
      <c r="AS117" s="29">
        <v>100</v>
      </c>
      <c r="AT117" s="29">
        <v>0</v>
      </c>
      <c r="AU117" s="29">
        <v>100</v>
      </c>
      <c r="AV117" s="29">
        <v>0</v>
      </c>
      <c r="AW117" s="29">
        <v>0</v>
      </c>
      <c r="AX117" s="29">
        <v>0</v>
      </c>
    </row>
    <row r="118" spans="1:50" x14ac:dyDescent="0.25">
      <c r="A118">
        <v>97</v>
      </c>
      <c r="B118" s="4">
        <v>0.990296709474077</v>
      </c>
      <c r="C118" s="4">
        <v>22.682516231668401</v>
      </c>
      <c r="D118" s="4">
        <v>11.042200408966201</v>
      </c>
      <c r="E118" s="4">
        <v>2.1209356166096999E-2</v>
      </c>
      <c r="F118" s="5">
        <v>9.7032905259223905E-3</v>
      </c>
      <c r="G118" s="5">
        <v>0</v>
      </c>
      <c r="H118" s="4">
        <v>3.8240921079235002</v>
      </c>
      <c r="I118" s="4">
        <v>3.82037383217033</v>
      </c>
      <c r="J118" s="4">
        <v>-25.925003572563799</v>
      </c>
      <c r="K118" s="4">
        <v>22.488530607683099</v>
      </c>
      <c r="L118" s="4">
        <v>13.878578451025501</v>
      </c>
      <c r="M118" s="4">
        <v>16.730958632466201</v>
      </c>
      <c r="N118" s="4">
        <v>71.299151621491404</v>
      </c>
      <c r="O118" s="4">
        <v>62.7005039989618</v>
      </c>
      <c r="P118" s="4">
        <v>305355.70843983401</v>
      </c>
      <c r="Q118" s="4">
        <v>287632.387117429</v>
      </c>
      <c r="R118" s="4">
        <v>779.576525988772</v>
      </c>
      <c r="S118" s="4">
        <v>0</v>
      </c>
      <c r="T118" s="4">
        <v>0</v>
      </c>
      <c r="U118" s="4">
        <v>0.23416700757262501</v>
      </c>
      <c r="V118" s="4">
        <v>0</v>
      </c>
      <c r="W118" s="4">
        <v>0</v>
      </c>
      <c r="X118" s="4">
        <v>0.63976586352607401</v>
      </c>
      <c r="Y118" s="4">
        <v>0</v>
      </c>
      <c r="Z118" s="5">
        <v>3.6540967287679798E-4</v>
      </c>
      <c r="AA118" s="5">
        <v>4.9480736783165302E-5</v>
      </c>
      <c r="AB118" s="10">
        <v>5.4207146019774697E-3</v>
      </c>
      <c r="AC118" s="10">
        <v>1.2126789092075201E-5</v>
      </c>
      <c r="AD118" s="10">
        <v>3.8555443473728699E-3</v>
      </c>
      <c r="AE118" s="4">
        <v>0.10276232109988601</v>
      </c>
      <c r="AF118" s="4">
        <v>7.67158919748092E-2</v>
      </c>
      <c r="AG118" s="4">
        <v>0.92016769950817401</v>
      </c>
      <c r="AH118" s="4">
        <v>0.98817962387328195</v>
      </c>
      <c r="AI118" s="4">
        <v>1</v>
      </c>
      <c r="AJ118" s="4">
        <v>1</v>
      </c>
      <c r="AK118" s="4">
        <v>1</v>
      </c>
      <c r="AL118" s="4">
        <v>1</v>
      </c>
      <c r="AM118" s="4">
        <v>0</v>
      </c>
      <c r="AN118" s="4">
        <v>0</v>
      </c>
      <c r="AO118" s="4" t="s">
        <v>68</v>
      </c>
      <c r="AP118" s="4" t="s">
        <v>69</v>
      </c>
      <c r="AQ118" s="6">
        <v>3975367222.3499999</v>
      </c>
      <c r="AR118" s="4">
        <v>13821</v>
      </c>
      <c r="AS118" s="29">
        <v>100</v>
      </c>
      <c r="AT118" s="29">
        <v>0</v>
      </c>
      <c r="AU118" s="29">
        <v>100</v>
      </c>
      <c r="AV118" s="29">
        <v>0</v>
      </c>
      <c r="AW118" s="29">
        <v>0</v>
      </c>
      <c r="AX118" s="29">
        <v>0</v>
      </c>
    </row>
    <row r="119" spans="1:50" x14ac:dyDescent="0.25">
      <c r="A119">
        <v>97</v>
      </c>
      <c r="B119" s="4">
        <v>0.98973089706832296</v>
      </c>
      <c r="C119" s="4">
        <v>26.052643474255699</v>
      </c>
      <c r="D119" s="4">
        <v>11.6502067509214</v>
      </c>
      <c r="E119" s="4">
        <v>2.4837734184343499E-2</v>
      </c>
      <c r="F119" s="5">
        <v>1.0269102931676001E-2</v>
      </c>
      <c r="G119" s="5">
        <v>0</v>
      </c>
      <c r="H119" s="4">
        <v>3.8611126129651101</v>
      </c>
      <c r="I119" s="4">
        <v>3.8194514904279799</v>
      </c>
      <c r="J119" s="4">
        <v>-24.704014558083198</v>
      </c>
      <c r="K119" s="4">
        <v>27.484782323807899</v>
      </c>
      <c r="L119" s="4">
        <v>13.8672623445855</v>
      </c>
      <c r="M119" s="4">
        <v>16.937149611302701</v>
      </c>
      <c r="N119" s="4">
        <v>68.706808856207701</v>
      </c>
      <c r="O119" s="4">
        <v>60.315486856258303</v>
      </c>
      <c r="P119" s="4">
        <v>307000.71113092598</v>
      </c>
      <c r="Q119" s="4">
        <v>287869.18382892001</v>
      </c>
      <c r="R119" s="4">
        <v>779.88714701458503</v>
      </c>
      <c r="S119" s="4">
        <v>0</v>
      </c>
      <c r="T119" s="4">
        <v>0</v>
      </c>
      <c r="U119" s="4">
        <v>0.243128758662252</v>
      </c>
      <c r="V119" s="4">
        <v>0</v>
      </c>
      <c r="W119" s="4">
        <v>0</v>
      </c>
      <c r="X119" s="4">
        <v>0.64958666310638802</v>
      </c>
      <c r="Y119" s="4">
        <v>0</v>
      </c>
      <c r="Z119" s="5">
        <v>3.6641857159212398E-4</v>
      </c>
      <c r="AA119" s="5">
        <v>5.1789911127898099E-5</v>
      </c>
      <c r="AB119" s="10">
        <v>5.4098707892477997E-3</v>
      </c>
      <c r="AC119" s="10">
        <v>1.5751935176496499E-5</v>
      </c>
      <c r="AD119" s="10">
        <v>4.4252573358486303E-3</v>
      </c>
      <c r="AE119" s="4">
        <v>0.10434004029819199</v>
      </c>
      <c r="AF119" s="4">
        <v>7.4891196272299204E-2</v>
      </c>
      <c r="AG119" s="4">
        <v>0.913721971466537</v>
      </c>
      <c r="AH119" s="4">
        <v>0.98287058768317304</v>
      </c>
      <c r="AI119" s="4">
        <v>1</v>
      </c>
      <c r="AJ119" s="4">
        <v>1</v>
      </c>
      <c r="AK119" s="4">
        <v>1</v>
      </c>
      <c r="AL119" s="4">
        <v>1</v>
      </c>
      <c r="AM119" s="4">
        <v>0</v>
      </c>
      <c r="AN119" s="4">
        <v>0</v>
      </c>
      <c r="AO119" s="4" t="s">
        <v>145</v>
      </c>
      <c r="AP119" s="4" t="s">
        <v>129</v>
      </c>
      <c r="AQ119" s="6">
        <v>4098969308.54</v>
      </c>
      <c r="AR119" s="4">
        <v>14239</v>
      </c>
      <c r="AS119" s="29">
        <v>100</v>
      </c>
      <c r="AT119" s="29">
        <v>0</v>
      </c>
      <c r="AU119" s="29">
        <v>100</v>
      </c>
      <c r="AV119" s="29">
        <v>0</v>
      </c>
      <c r="AW119" s="29">
        <v>0</v>
      </c>
      <c r="AX119" s="29">
        <v>0</v>
      </c>
    </row>
    <row r="120" spans="1:50" x14ac:dyDescent="0.25">
      <c r="A120">
        <v>97</v>
      </c>
      <c r="B120" s="4">
        <v>0.98919367185127505</v>
      </c>
      <c r="C120" s="4">
        <v>22.490237139460199</v>
      </c>
      <c r="D120" s="4">
        <v>12.223966285057701</v>
      </c>
      <c r="E120" s="4">
        <v>2.1006742655641598E-2</v>
      </c>
      <c r="F120" s="5">
        <v>1.08063281487244E-2</v>
      </c>
      <c r="G120" s="5">
        <v>0</v>
      </c>
      <c r="H120" s="4">
        <v>3.91736798966644</v>
      </c>
      <c r="I120" s="4">
        <v>3.8193358112858999</v>
      </c>
      <c r="J120" s="4">
        <v>-21.934467391382</v>
      </c>
      <c r="K120" s="4">
        <v>32.5186468839754</v>
      </c>
      <c r="L120" s="4">
        <v>13.9561752187898</v>
      </c>
      <c r="M120" s="4">
        <v>16.961321709034799</v>
      </c>
      <c r="N120" s="4">
        <v>70.695176096170101</v>
      </c>
      <c r="O120" s="4">
        <v>62.147244938279698</v>
      </c>
      <c r="P120" s="4">
        <v>304453.943074312</v>
      </c>
      <c r="Q120" s="4">
        <v>286030.88975569</v>
      </c>
      <c r="R120" s="4">
        <v>778.75186159307998</v>
      </c>
      <c r="S120" s="4">
        <v>0</v>
      </c>
      <c r="T120" s="4">
        <v>0</v>
      </c>
      <c r="U120" s="4">
        <v>0.24836268815037299</v>
      </c>
      <c r="V120" s="4">
        <v>0</v>
      </c>
      <c r="W120" s="4">
        <v>0</v>
      </c>
      <c r="X120" s="4">
        <v>0.60559434904104303</v>
      </c>
      <c r="Y120" s="4">
        <v>0</v>
      </c>
      <c r="Z120" s="5">
        <v>3.6635310301787302E-4</v>
      </c>
      <c r="AA120" s="5">
        <v>5.7775306902587201E-5</v>
      </c>
      <c r="AB120" s="10">
        <v>5.4354146096802702E-3</v>
      </c>
      <c r="AC120" s="10">
        <v>1.71104145557818E-5</v>
      </c>
      <c r="AD120" s="10">
        <v>4.92966030459759E-3</v>
      </c>
      <c r="AE120" s="4">
        <v>0.103197377359521</v>
      </c>
      <c r="AF120" s="4">
        <v>8.5516318969606805E-2</v>
      </c>
      <c r="AG120" s="4">
        <v>0.91107804620274202</v>
      </c>
      <c r="AH120" s="4">
        <v>0.98361541189416501</v>
      </c>
      <c r="AI120" s="4">
        <v>1</v>
      </c>
      <c r="AJ120" s="4">
        <v>1</v>
      </c>
      <c r="AK120" s="4">
        <v>1</v>
      </c>
      <c r="AL120" s="4">
        <v>1</v>
      </c>
      <c r="AM120" s="4">
        <v>0</v>
      </c>
      <c r="AN120" s="4">
        <v>0</v>
      </c>
      <c r="AO120" s="4" t="s">
        <v>146</v>
      </c>
      <c r="AP120" s="4" t="s">
        <v>130</v>
      </c>
      <c r="AQ120" s="6">
        <v>4109405793.1199999</v>
      </c>
      <c r="AR120" s="4">
        <v>14367</v>
      </c>
      <c r="AS120" s="29">
        <v>100</v>
      </c>
      <c r="AT120" s="29">
        <v>0</v>
      </c>
      <c r="AU120" s="29">
        <v>100</v>
      </c>
      <c r="AV120" s="29">
        <v>0</v>
      </c>
      <c r="AW120" s="29">
        <v>0</v>
      </c>
      <c r="AX120" s="29">
        <v>0</v>
      </c>
    </row>
    <row r="121" spans="1:50" x14ac:dyDescent="0.25">
      <c r="A121">
        <v>97</v>
      </c>
      <c r="B121" s="4">
        <v>0.98867765735862001</v>
      </c>
      <c r="C121" s="4">
        <v>28.0736373503028</v>
      </c>
      <c r="D121" s="4">
        <v>12.7718547042221</v>
      </c>
      <c r="E121" s="4">
        <v>2.70869960746036E-2</v>
      </c>
      <c r="F121" s="5">
        <v>1.13223426413799E-2</v>
      </c>
      <c r="G121" s="5">
        <v>0</v>
      </c>
      <c r="H121" s="4">
        <v>3.9727195712768801</v>
      </c>
      <c r="I121" s="4">
        <v>3.8255134569547402</v>
      </c>
      <c r="J121" s="4">
        <v>-20.0348662669006</v>
      </c>
      <c r="K121" s="4">
        <v>37.512331583634101</v>
      </c>
      <c r="L121" s="4">
        <v>14.1363594889034</v>
      </c>
      <c r="M121" s="4">
        <v>17.193102355021299</v>
      </c>
      <c r="N121" s="4">
        <v>71.539238825730706</v>
      </c>
      <c r="O121" s="4">
        <v>62.764265919472898</v>
      </c>
      <c r="P121" s="4">
        <v>300857.71973774198</v>
      </c>
      <c r="Q121" s="4">
        <v>282400.23710708402</v>
      </c>
      <c r="R121" s="4">
        <v>778.62839728514098</v>
      </c>
      <c r="S121" s="4">
        <v>0</v>
      </c>
      <c r="T121" s="4">
        <v>0</v>
      </c>
      <c r="U121" s="4">
        <v>0.25340713691594202</v>
      </c>
      <c r="V121" s="4">
        <v>0</v>
      </c>
      <c r="W121" s="4">
        <v>0</v>
      </c>
      <c r="X121" s="4">
        <v>0.56893055477157095</v>
      </c>
      <c r="Y121" s="4">
        <v>0</v>
      </c>
      <c r="Z121" s="5">
        <v>3.6740262770408897E-4</v>
      </c>
      <c r="AA121" s="5">
        <v>6.2821339942183304E-5</v>
      </c>
      <c r="AB121" s="10">
        <v>5.4848605028229701E-3</v>
      </c>
      <c r="AC121" s="10">
        <v>2.0901031420757101E-5</v>
      </c>
      <c r="AD121" s="10">
        <v>5.3863425567124198E-3</v>
      </c>
      <c r="AE121" s="4">
        <v>0.10447481163816601</v>
      </c>
      <c r="AF121" s="4">
        <v>8.0848157793602396E-2</v>
      </c>
      <c r="AG121" s="4">
        <v>0.90455391494411697</v>
      </c>
      <c r="AH121" s="4">
        <v>0.98152930964643403</v>
      </c>
      <c r="AI121" s="4">
        <v>1</v>
      </c>
      <c r="AJ121" s="4">
        <v>1</v>
      </c>
      <c r="AK121" s="4">
        <v>1</v>
      </c>
      <c r="AL121" s="4">
        <v>1</v>
      </c>
      <c r="AM121" s="4">
        <v>0</v>
      </c>
      <c r="AN121" s="4">
        <v>0</v>
      </c>
      <c r="AO121" s="4" t="s">
        <v>147</v>
      </c>
      <c r="AP121" s="4" t="s">
        <v>131</v>
      </c>
      <c r="AQ121" s="6">
        <v>3958404123.5300002</v>
      </c>
      <c r="AR121" s="4">
        <v>14017</v>
      </c>
      <c r="AS121" s="29">
        <v>100</v>
      </c>
      <c r="AT121" s="29">
        <v>0</v>
      </c>
      <c r="AU121" s="29">
        <v>100</v>
      </c>
      <c r="AV121" s="29">
        <v>0</v>
      </c>
      <c r="AW121" s="29">
        <v>0</v>
      </c>
      <c r="AX121" s="29">
        <v>0</v>
      </c>
    </row>
    <row r="122" spans="1:50" x14ac:dyDescent="0.25">
      <c r="A122">
        <v>97</v>
      </c>
      <c r="B122" s="4">
        <v>0.988134028011591</v>
      </c>
      <c r="C122" s="4">
        <v>28.1884089294037</v>
      </c>
      <c r="D122" s="4">
        <v>13.3456712741248</v>
      </c>
      <c r="E122" s="4">
        <v>2.72164624089236E-2</v>
      </c>
      <c r="F122" s="5">
        <v>1.1865971988408899E-2</v>
      </c>
      <c r="G122" s="5">
        <v>0</v>
      </c>
      <c r="H122" s="4">
        <v>4.0172407653346198</v>
      </c>
      <c r="I122" s="4">
        <v>3.8247546284457101</v>
      </c>
      <c r="J122" s="4">
        <v>-18.5028911927072</v>
      </c>
      <c r="K122" s="4">
        <v>42.505751945459203</v>
      </c>
      <c r="L122" s="4">
        <v>14.3676603193828</v>
      </c>
      <c r="M122" s="4">
        <v>17.2985420231097</v>
      </c>
      <c r="N122" s="4">
        <v>70.978622454565794</v>
      </c>
      <c r="O122" s="4">
        <v>62.304936535538197</v>
      </c>
      <c r="P122" s="4">
        <v>295678.37019725598</v>
      </c>
      <c r="Q122" s="4">
        <v>277858.84915209003</v>
      </c>
      <c r="R122" s="4">
        <v>778.433851353671</v>
      </c>
      <c r="S122" s="4">
        <v>0</v>
      </c>
      <c r="T122" s="4">
        <v>0</v>
      </c>
      <c r="U122" s="4">
        <v>0.27104619679289399</v>
      </c>
      <c r="V122" s="4">
        <v>0</v>
      </c>
      <c r="W122" s="4">
        <v>0</v>
      </c>
      <c r="X122" s="4">
        <v>0.54695527010382805</v>
      </c>
      <c r="Y122" s="4">
        <v>0</v>
      </c>
      <c r="Z122" s="5">
        <v>3.66573360181903E-4</v>
      </c>
      <c r="AA122" s="5">
        <v>6.4844543864810397E-5</v>
      </c>
      <c r="AB122" s="10">
        <v>5.54902513201673E-3</v>
      </c>
      <c r="AC122" s="10">
        <v>2.7576740077698799E-5</v>
      </c>
      <c r="AD122" s="10">
        <v>5.8579376287233899E-3</v>
      </c>
      <c r="AE122" s="4">
        <v>0.104918071305224</v>
      </c>
      <c r="AF122" s="4">
        <v>9.06558499241963E-2</v>
      </c>
      <c r="AG122" s="4">
        <v>0.89679488273792096</v>
      </c>
      <c r="AH122" s="4">
        <v>0.97711291794954303</v>
      </c>
      <c r="AI122" s="4">
        <v>1</v>
      </c>
      <c r="AJ122" s="4">
        <v>1</v>
      </c>
      <c r="AK122" s="4">
        <v>1</v>
      </c>
      <c r="AL122" s="4">
        <v>1</v>
      </c>
      <c r="AM122" s="4">
        <v>0</v>
      </c>
      <c r="AN122" s="4">
        <v>0</v>
      </c>
      <c r="AO122" s="4" t="s">
        <v>148</v>
      </c>
      <c r="AP122" s="4" t="s">
        <v>132</v>
      </c>
      <c r="AQ122" s="6">
        <v>3860292991.27</v>
      </c>
      <c r="AR122" s="4">
        <v>13893</v>
      </c>
      <c r="AS122" s="29">
        <v>100</v>
      </c>
      <c r="AT122" s="29">
        <v>0</v>
      </c>
      <c r="AU122" s="29">
        <v>100</v>
      </c>
      <c r="AV122" s="29">
        <v>0</v>
      </c>
      <c r="AW122" s="29">
        <v>0</v>
      </c>
      <c r="AX122" s="29">
        <v>0</v>
      </c>
    </row>
    <row r="123" spans="1:50" x14ac:dyDescent="0.25">
      <c r="A123">
        <v>97</v>
      </c>
      <c r="B123" s="4">
        <v>0.98758905081382198</v>
      </c>
      <c r="C123" s="4">
        <v>27.031937639273099</v>
      </c>
      <c r="D123" s="4">
        <v>13.917435571930801</v>
      </c>
      <c r="E123" s="4">
        <v>2.5920505239930999E-2</v>
      </c>
      <c r="F123" s="5">
        <v>1.2410949186177101E-2</v>
      </c>
      <c r="G123" s="5">
        <v>0</v>
      </c>
      <c r="H123" s="4">
        <v>4.06128823727314</v>
      </c>
      <c r="I123" s="4">
        <v>3.8182087684673198</v>
      </c>
      <c r="J123" s="4">
        <v>-15.7713137408295</v>
      </c>
      <c r="K123" s="4">
        <v>47.461826944068903</v>
      </c>
      <c r="L123" s="4">
        <v>14.1796328036767</v>
      </c>
      <c r="M123" s="4">
        <v>17.4582326708803</v>
      </c>
      <c r="N123" s="4">
        <v>73.222493697471194</v>
      </c>
      <c r="O123" s="4">
        <v>64.178052022157701</v>
      </c>
      <c r="P123" s="4">
        <v>300122.87224109698</v>
      </c>
      <c r="Q123" s="4">
        <v>281545.65192713501</v>
      </c>
      <c r="R123" s="4">
        <v>778.26480529275102</v>
      </c>
      <c r="S123" s="4">
        <v>0</v>
      </c>
      <c r="T123" s="4">
        <v>0</v>
      </c>
      <c r="U123" s="4">
        <v>0.28966430658957998</v>
      </c>
      <c r="V123" s="4">
        <v>0</v>
      </c>
      <c r="W123" s="4">
        <v>0</v>
      </c>
      <c r="X123" s="4">
        <v>0.51534084637724697</v>
      </c>
      <c r="Y123" s="4">
        <v>0</v>
      </c>
      <c r="Z123" s="5">
        <v>3.66896993138142E-4</v>
      </c>
      <c r="AA123" s="5">
        <v>6.9321491340955399E-5</v>
      </c>
      <c r="AB123" s="10">
        <v>5.5216338077210799E-3</v>
      </c>
      <c r="AC123" s="10">
        <v>3.4076193760189998E-5</v>
      </c>
      <c r="AD123" s="10">
        <v>6.4190060322811496E-3</v>
      </c>
      <c r="AE123" s="4">
        <v>0.10653619269982</v>
      </c>
      <c r="AF123" s="4">
        <v>8.2188735068784005E-2</v>
      </c>
      <c r="AG123" s="4">
        <v>0.88760885142716095</v>
      </c>
      <c r="AH123" s="4">
        <v>0.97488923266182803</v>
      </c>
      <c r="AI123" s="4">
        <v>1</v>
      </c>
      <c r="AJ123" s="4">
        <v>1</v>
      </c>
      <c r="AK123" s="4">
        <v>1</v>
      </c>
      <c r="AL123" s="4">
        <v>1</v>
      </c>
      <c r="AM123" s="4">
        <v>0</v>
      </c>
      <c r="AN123" s="4">
        <v>0</v>
      </c>
      <c r="AO123" s="4" t="s">
        <v>70</v>
      </c>
      <c r="AP123" s="4" t="s">
        <v>71</v>
      </c>
      <c r="AQ123" s="6">
        <v>3948959313.9299998</v>
      </c>
      <c r="AR123" s="4">
        <v>14026</v>
      </c>
      <c r="AS123" s="29">
        <v>100</v>
      </c>
      <c r="AT123" s="29">
        <v>0</v>
      </c>
      <c r="AU123" s="29">
        <v>100</v>
      </c>
      <c r="AV123" s="29">
        <v>0</v>
      </c>
      <c r="AW123" s="29">
        <v>0</v>
      </c>
      <c r="AX123" s="29">
        <v>0</v>
      </c>
    </row>
    <row r="124" spans="1:50" x14ac:dyDescent="0.25">
      <c r="A124">
        <v>97</v>
      </c>
      <c r="B124" s="4">
        <v>0.98696551410868005</v>
      </c>
      <c r="C124" s="4">
        <v>29.6342330674496</v>
      </c>
      <c r="D124" s="4">
        <v>14.5673776378709</v>
      </c>
      <c r="E124" s="4">
        <v>2.88638544730737E-2</v>
      </c>
      <c r="F124" s="5">
        <v>1.30344858913191E-2</v>
      </c>
      <c r="G124" s="5">
        <v>0</v>
      </c>
      <c r="H124" s="4">
        <v>4.1003164083301504</v>
      </c>
      <c r="I124" s="4">
        <v>3.8168105935939201</v>
      </c>
      <c r="J124" s="4">
        <v>-14.200618173714</v>
      </c>
      <c r="K124" s="4">
        <v>52.451011568242599</v>
      </c>
      <c r="L124" s="4">
        <v>14.4226297374186</v>
      </c>
      <c r="M124" s="4">
        <v>17.6518738663428</v>
      </c>
      <c r="N124" s="4">
        <v>71.682711363442294</v>
      </c>
      <c r="O124" s="4">
        <v>62.656961920683798</v>
      </c>
      <c r="P124" s="4">
        <v>295482.630585576</v>
      </c>
      <c r="Q124" s="4">
        <v>276804.90373692103</v>
      </c>
      <c r="R124" s="4">
        <v>778.19195304328105</v>
      </c>
      <c r="S124" s="4">
        <v>0</v>
      </c>
      <c r="T124" s="4">
        <v>0</v>
      </c>
      <c r="U124" s="4">
        <v>0.29163470827083299</v>
      </c>
      <c r="V124" s="4">
        <v>0</v>
      </c>
      <c r="W124" s="4">
        <v>0</v>
      </c>
      <c r="X124" s="4">
        <v>0.53942584011191796</v>
      </c>
      <c r="Y124" s="4">
        <v>0</v>
      </c>
      <c r="Z124" s="5">
        <v>3.6722608037085999E-4</v>
      </c>
      <c r="AA124" s="5">
        <v>6.8901375280910497E-5</v>
      </c>
      <c r="AB124" s="10">
        <v>5.5799862449219901E-3</v>
      </c>
      <c r="AC124" s="10">
        <v>4.2674639734428902E-5</v>
      </c>
      <c r="AD124" s="10">
        <v>6.9756827550904298E-3</v>
      </c>
      <c r="AE124" s="4">
        <v>0.10880777914789901</v>
      </c>
      <c r="AF124" s="4">
        <v>7.2614864233246104E-2</v>
      </c>
      <c r="AG124" s="4">
        <v>0.87931908099335698</v>
      </c>
      <c r="AH124" s="4">
        <v>0.96952068078251397</v>
      </c>
      <c r="AI124" s="4">
        <v>1</v>
      </c>
      <c r="AJ124" s="4">
        <v>1</v>
      </c>
      <c r="AK124" s="4">
        <v>1</v>
      </c>
      <c r="AL124" s="4">
        <v>1</v>
      </c>
      <c r="AM124" s="4">
        <v>0</v>
      </c>
      <c r="AN124" s="4">
        <v>0</v>
      </c>
      <c r="AO124" s="4" t="s">
        <v>149</v>
      </c>
      <c r="AP124" s="4" t="s">
        <v>133</v>
      </c>
      <c r="AQ124" s="6">
        <v>3465874199.6900001</v>
      </c>
      <c r="AR124" s="4">
        <v>12521</v>
      </c>
      <c r="AS124" s="29">
        <v>100</v>
      </c>
      <c r="AT124" s="29">
        <v>0</v>
      </c>
      <c r="AU124" s="29">
        <v>100</v>
      </c>
      <c r="AV124" s="29">
        <v>0</v>
      </c>
      <c r="AW124" s="29">
        <v>0</v>
      </c>
      <c r="AX124" s="29">
        <v>0</v>
      </c>
    </row>
    <row r="125" spans="1:50" x14ac:dyDescent="0.25">
      <c r="A125">
        <v>97</v>
      </c>
      <c r="B125" s="4">
        <v>0.98629664286790597</v>
      </c>
      <c r="C125" s="4">
        <v>34.135848168081601</v>
      </c>
      <c r="D125" s="4">
        <v>15.259570935717299</v>
      </c>
      <c r="E125" s="4">
        <v>3.41995013451371E-2</v>
      </c>
      <c r="F125" s="5">
        <v>1.3703357132093899E-2</v>
      </c>
      <c r="G125" s="5">
        <v>0</v>
      </c>
      <c r="H125" s="4">
        <v>4.1346219759152101</v>
      </c>
      <c r="I125" s="4">
        <v>3.80696287878928</v>
      </c>
      <c r="J125" s="4">
        <v>-11.4144174243261</v>
      </c>
      <c r="K125" s="4">
        <v>57.465569603175403</v>
      </c>
      <c r="L125" s="4">
        <v>14.0244414869401</v>
      </c>
      <c r="M125" s="4">
        <v>17.6061363182964</v>
      </c>
      <c r="N125" s="4">
        <v>73.524392289876701</v>
      </c>
      <c r="O125" s="4">
        <v>64.241332809274994</v>
      </c>
      <c r="P125" s="4">
        <v>301926.45494258503</v>
      </c>
      <c r="Q125" s="4">
        <v>284664.88610976801</v>
      </c>
      <c r="R125" s="4">
        <v>777.68739726868603</v>
      </c>
      <c r="S125" s="4">
        <v>0</v>
      </c>
      <c r="T125" s="4">
        <v>0</v>
      </c>
      <c r="U125" s="4">
        <v>0.31006980816466401</v>
      </c>
      <c r="V125" s="4">
        <v>0</v>
      </c>
      <c r="W125" s="4">
        <v>0</v>
      </c>
      <c r="X125" s="4">
        <v>0.52602402303007401</v>
      </c>
      <c r="Y125" s="4">
        <v>0</v>
      </c>
      <c r="Z125" s="5">
        <v>3.6593883833652298E-4</v>
      </c>
      <c r="AA125" s="5">
        <v>7.1819514113375798E-5</v>
      </c>
      <c r="AB125" s="10">
        <v>5.5331354602380896E-3</v>
      </c>
      <c r="AC125" s="10">
        <v>5.4440637995294501E-5</v>
      </c>
      <c r="AD125" s="10">
        <v>7.6780078723136802E-3</v>
      </c>
      <c r="AE125" s="4">
        <v>0.109830046660727</v>
      </c>
      <c r="AF125" s="4">
        <v>6.9941608858275398E-2</v>
      </c>
      <c r="AG125" s="4">
        <v>0.86764494571366302</v>
      </c>
      <c r="AH125" s="4">
        <v>0.96112622199606701</v>
      </c>
      <c r="AI125" s="4">
        <v>1</v>
      </c>
      <c r="AJ125" s="4">
        <v>1</v>
      </c>
      <c r="AK125" s="4">
        <v>1</v>
      </c>
      <c r="AL125" s="4">
        <v>1</v>
      </c>
      <c r="AM125" s="4">
        <v>0</v>
      </c>
      <c r="AN125" s="4">
        <v>0</v>
      </c>
      <c r="AO125" s="4" t="s">
        <v>150</v>
      </c>
      <c r="AP125" s="4" t="s">
        <v>134</v>
      </c>
      <c r="AQ125" s="6">
        <v>3179422112.96</v>
      </c>
      <c r="AR125" s="4">
        <v>11169</v>
      </c>
      <c r="AS125" s="29">
        <v>100</v>
      </c>
      <c r="AT125" s="29">
        <v>0</v>
      </c>
      <c r="AU125" s="29">
        <v>100</v>
      </c>
      <c r="AV125" s="29">
        <v>0</v>
      </c>
      <c r="AW125" s="29">
        <v>0</v>
      </c>
      <c r="AX125" s="29">
        <v>0</v>
      </c>
    </row>
    <row r="126" spans="1:50" x14ac:dyDescent="0.25">
      <c r="A126">
        <v>97</v>
      </c>
      <c r="B126" s="4">
        <v>0.98565187504136698</v>
      </c>
      <c r="C126" s="4">
        <v>33.963542585960802</v>
      </c>
      <c r="D126" s="4">
        <v>15.9219503109145</v>
      </c>
      <c r="E126" s="4">
        <v>3.39892028106265E-2</v>
      </c>
      <c r="F126" s="5">
        <v>1.4348124958632601E-2</v>
      </c>
      <c r="G126" s="5">
        <v>0</v>
      </c>
      <c r="H126" s="4">
        <v>4.1641574392493501</v>
      </c>
      <c r="I126" s="4">
        <v>3.8010370982277002</v>
      </c>
      <c r="J126" s="4">
        <v>-8.83624612559057</v>
      </c>
      <c r="K126" s="4">
        <v>62.397341437223901</v>
      </c>
      <c r="L126" s="4">
        <v>13.9241568569749</v>
      </c>
      <c r="M126" s="4">
        <v>17.810219142718601</v>
      </c>
      <c r="N126" s="4">
        <v>74.4438212014187</v>
      </c>
      <c r="O126" s="4">
        <v>64.926923419564901</v>
      </c>
      <c r="P126" s="4">
        <v>305289.39992462401</v>
      </c>
      <c r="Q126" s="4">
        <v>286718.824101843</v>
      </c>
      <c r="R126" s="4">
        <v>777.459604018204</v>
      </c>
      <c r="S126" s="4">
        <v>0</v>
      </c>
      <c r="T126" s="4">
        <v>0</v>
      </c>
      <c r="U126" s="4">
        <v>0.31728514555209802</v>
      </c>
      <c r="V126" s="4">
        <v>0</v>
      </c>
      <c r="W126" s="4">
        <v>0</v>
      </c>
      <c r="X126" s="4">
        <v>0.53426942421902301</v>
      </c>
      <c r="Y126" s="4">
        <v>0</v>
      </c>
      <c r="Z126" s="5">
        <v>3.66708493724814E-4</v>
      </c>
      <c r="AA126" s="5">
        <v>7.8171417021401197E-5</v>
      </c>
      <c r="AB126" s="10">
        <v>5.4875738955837503E-3</v>
      </c>
      <c r="AC126" s="10">
        <v>6.5222706388294395E-5</v>
      </c>
      <c r="AD126" s="10">
        <v>8.3504333532064406E-3</v>
      </c>
      <c r="AE126" s="4">
        <v>0.112130207159454</v>
      </c>
      <c r="AF126" s="4">
        <v>6.3305209353918701E-2</v>
      </c>
      <c r="AG126" s="4">
        <v>0.86095459524439699</v>
      </c>
      <c r="AH126" s="4">
        <v>0.95390789146467703</v>
      </c>
      <c r="AI126" s="4">
        <v>1</v>
      </c>
      <c r="AJ126" s="4">
        <v>1</v>
      </c>
      <c r="AK126" s="4">
        <v>1</v>
      </c>
      <c r="AL126" s="4">
        <v>1</v>
      </c>
      <c r="AM126" s="4">
        <v>0</v>
      </c>
      <c r="AN126" s="4">
        <v>0</v>
      </c>
      <c r="AO126" s="4" t="s">
        <v>151</v>
      </c>
      <c r="AP126" s="4" t="s">
        <v>135</v>
      </c>
      <c r="AQ126" s="6">
        <v>2550650659.21</v>
      </c>
      <c r="AR126" s="4">
        <v>8896</v>
      </c>
      <c r="AS126" s="29">
        <v>100</v>
      </c>
      <c r="AT126" s="29">
        <v>0</v>
      </c>
      <c r="AU126" s="29">
        <v>100</v>
      </c>
      <c r="AV126" s="29">
        <v>0</v>
      </c>
      <c r="AW126" s="29">
        <v>0</v>
      </c>
      <c r="AX126" s="29">
        <v>0</v>
      </c>
    </row>
    <row r="127" spans="1:50" x14ac:dyDescent="0.25">
      <c r="A127">
        <v>97</v>
      </c>
      <c r="B127" s="4">
        <v>0.98504113626159295</v>
      </c>
      <c r="C127" s="4">
        <v>32.364873532834601</v>
      </c>
      <c r="D127" s="4">
        <v>16.544990836791399</v>
      </c>
      <c r="E127" s="4">
        <v>3.2061660856853101E-2</v>
      </c>
      <c r="F127" s="5">
        <v>1.49588637384062E-2</v>
      </c>
      <c r="G127" s="5">
        <v>0</v>
      </c>
      <c r="H127" s="4">
        <v>4.1962927299707298</v>
      </c>
      <c r="I127" s="4">
        <v>3.8040841779104899</v>
      </c>
      <c r="J127" s="4">
        <v>-6.2745946891092501</v>
      </c>
      <c r="K127" s="4">
        <v>67.458497390633497</v>
      </c>
      <c r="L127" s="4">
        <v>14.3866653056473</v>
      </c>
      <c r="M127" s="4">
        <v>17.8683951195407</v>
      </c>
      <c r="N127" s="4">
        <v>74.7694190333915</v>
      </c>
      <c r="O127" s="4">
        <v>65.162384419030801</v>
      </c>
      <c r="P127" s="4">
        <v>295170.682151068</v>
      </c>
      <c r="Q127" s="4">
        <v>277506.24238379899</v>
      </c>
      <c r="R127" s="4">
        <v>776.637572762942</v>
      </c>
      <c r="S127" s="4">
        <v>0</v>
      </c>
      <c r="T127" s="4">
        <v>0</v>
      </c>
      <c r="U127" s="4">
        <v>0.32492010926340897</v>
      </c>
      <c r="V127" s="4">
        <v>0</v>
      </c>
      <c r="W127" s="4">
        <v>0</v>
      </c>
      <c r="X127" s="4">
        <v>0.53117383669753204</v>
      </c>
      <c r="Y127" s="4">
        <v>0</v>
      </c>
      <c r="Z127" s="5">
        <v>3.6633725281962401E-4</v>
      </c>
      <c r="AA127" s="5">
        <v>8.1664754983017194E-5</v>
      </c>
      <c r="AB127" s="10">
        <v>5.5632693380106603E-3</v>
      </c>
      <c r="AC127" s="10">
        <v>7.1146965349476395E-5</v>
      </c>
      <c r="AD127" s="10">
        <v>8.87643034714828E-3</v>
      </c>
      <c r="AE127" s="4">
        <v>0.113001423948337</v>
      </c>
      <c r="AF127" s="4">
        <v>6.1907496820752E-2</v>
      </c>
      <c r="AG127" s="4">
        <v>0.84554838491539597</v>
      </c>
      <c r="AH127" s="4">
        <v>0.95520816560954203</v>
      </c>
      <c r="AI127" s="4">
        <v>1</v>
      </c>
      <c r="AJ127" s="4">
        <v>1</v>
      </c>
      <c r="AK127" s="4">
        <v>1</v>
      </c>
      <c r="AL127" s="4">
        <v>1</v>
      </c>
      <c r="AM127" s="4">
        <v>0</v>
      </c>
      <c r="AN127" s="4">
        <v>0</v>
      </c>
      <c r="AO127" s="4" t="s">
        <v>152</v>
      </c>
      <c r="AP127" s="4" t="s">
        <v>136</v>
      </c>
      <c r="AQ127" s="6">
        <v>1856794267.79</v>
      </c>
      <c r="AR127" s="4">
        <v>6691</v>
      </c>
      <c r="AS127" s="29">
        <v>100</v>
      </c>
      <c r="AT127" s="29">
        <v>0</v>
      </c>
      <c r="AU127" s="29">
        <v>100</v>
      </c>
      <c r="AV127" s="29">
        <v>0</v>
      </c>
      <c r="AW127" s="29">
        <v>0</v>
      </c>
      <c r="AX127" s="29">
        <v>0</v>
      </c>
    </row>
    <row r="128" spans="1:50" x14ac:dyDescent="0.25">
      <c r="A128">
        <v>97</v>
      </c>
      <c r="B128" s="4">
        <v>0.984306545163944</v>
      </c>
      <c r="C128" s="4">
        <v>32.755562905611399</v>
      </c>
      <c r="D128" s="4">
        <v>17.288770705206399</v>
      </c>
      <c r="E128" s="4">
        <v>3.2528834438444502E-2</v>
      </c>
      <c r="F128" s="5">
        <v>1.5693454836055401E-2</v>
      </c>
      <c r="G128" s="5">
        <v>0</v>
      </c>
      <c r="H128" s="4">
        <v>4.2253919903551704</v>
      </c>
      <c r="I128" s="4">
        <v>3.8067611825826102</v>
      </c>
      <c r="J128" s="4">
        <v>-3.3116473203466299</v>
      </c>
      <c r="K128" s="4">
        <v>72.403714965164497</v>
      </c>
      <c r="L128" s="4">
        <v>14.2366783579361</v>
      </c>
      <c r="M128" s="4">
        <v>17.908482129305</v>
      </c>
      <c r="N128" s="4">
        <v>78.994599503509406</v>
      </c>
      <c r="O128" s="4">
        <v>68.621471179548905</v>
      </c>
      <c r="P128" s="4">
        <v>297441.43215529999</v>
      </c>
      <c r="Q128" s="4">
        <v>280429.913308591</v>
      </c>
      <c r="R128" s="4">
        <v>775.71806098751995</v>
      </c>
      <c r="S128" s="4">
        <v>0</v>
      </c>
      <c r="T128" s="4">
        <v>0</v>
      </c>
      <c r="U128" s="4">
        <v>0.34152838947998698</v>
      </c>
      <c r="V128" s="4">
        <v>0</v>
      </c>
      <c r="W128" s="4">
        <v>0</v>
      </c>
      <c r="X128" s="4">
        <v>0.51176166490045205</v>
      </c>
      <c r="Y128" s="4">
        <v>0</v>
      </c>
      <c r="Z128" s="5">
        <v>3.6633965840128399E-4</v>
      </c>
      <c r="AA128" s="5">
        <v>8.8245576205854494E-5</v>
      </c>
      <c r="AB128" s="10">
        <v>5.5680156710083599E-3</v>
      </c>
      <c r="AC128" s="10">
        <v>8.1831751013953794E-5</v>
      </c>
      <c r="AD128" s="10">
        <v>9.5890066834325507E-3</v>
      </c>
      <c r="AE128" s="4">
        <v>0.11640521948987401</v>
      </c>
      <c r="AF128" s="4">
        <v>5.0382066746867502E-2</v>
      </c>
      <c r="AG128" s="4">
        <v>0.81694746068002499</v>
      </c>
      <c r="AH128" s="4">
        <v>0.953273656770248</v>
      </c>
      <c r="AI128" s="4">
        <v>1</v>
      </c>
      <c r="AJ128" s="4">
        <v>1</v>
      </c>
      <c r="AK128" s="4">
        <v>1</v>
      </c>
      <c r="AL128" s="4">
        <v>1</v>
      </c>
      <c r="AM128" s="4">
        <v>0</v>
      </c>
      <c r="AN128" s="4">
        <v>0</v>
      </c>
      <c r="AO128" s="4" t="s">
        <v>72</v>
      </c>
      <c r="AP128" s="4" t="s">
        <v>73</v>
      </c>
      <c r="AQ128" s="6">
        <v>1511236802.8199999</v>
      </c>
      <c r="AR128" s="4">
        <v>5389</v>
      </c>
      <c r="AS128" s="29">
        <v>100</v>
      </c>
      <c r="AT128" s="29">
        <v>0</v>
      </c>
      <c r="AU128" s="29">
        <v>100</v>
      </c>
      <c r="AV128" s="29">
        <v>0</v>
      </c>
      <c r="AW128" s="29">
        <v>0</v>
      </c>
      <c r="AX128" s="29">
        <v>0</v>
      </c>
    </row>
    <row r="129" spans="1:50" x14ac:dyDescent="0.25">
      <c r="A129">
        <v>97</v>
      </c>
      <c r="B129" s="4">
        <v>0.98216260286886004</v>
      </c>
      <c r="C129" s="4">
        <v>36.3786005819669</v>
      </c>
      <c r="D129" s="4">
        <v>19.4249237196337</v>
      </c>
      <c r="E129" s="4">
        <v>3.6983781112905303E-2</v>
      </c>
      <c r="F129" s="5">
        <v>1.7837397131139299E-2</v>
      </c>
      <c r="G129" s="5">
        <v>0</v>
      </c>
      <c r="H129" s="4">
        <v>4.2541474648340403</v>
      </c>
      <c r="I129" s="4">
        <v>3.8160431272462798</v>
      </c>
      <c r="J129" s="4">
        <v>0.241771483825859</v>
      </c>
      <c r="K129" s="4">
        <v>85.420459466450396</v>
      </c>
      <c r="L129" s="4">
        <v>14.2151090057922</v>
      </c>
      <c r="M129" s="4">
        <v>18.582247658545501</v>
      </c>
      <c r="N129" s="4">
        <v>84.061262764248895</v>
      </c>
      <c r="O129" s="4">
        <v>72.120410750881803</v>
      </c>
      <c r="P129" s="4">
        <v>298141.89025188598</v>
      </c>
      <c r="Q129" s="4">
        <v>280857.352426617</v>
      </c>
      <c r="R129" s="4">
        <v>774.71417526055302</v>
      </c>
      <c r="S129" s="4">
        <v>0</v>
      </c>
      <c r="T129" s="4">
        <v>0</v>
      </c>
      <c r="U129" s="4">
        <v>0.35431791337296897</v>
      </c>
      <c r="V129" s="4">
        <v>0</v>
      </c>
      <c r="W129" s="4">
        <v>0</v>
      </c>
      <c r="X129" s="4">
        <v>0.44128176219350002</v>
      </c>
      <c r="Y129" s="4">
        <v>0</v>
      </c>
      <c r="Z129" s="5">
        <v>3.6675844796979203E-4</v>
      </c>
      <c r="AA129" s="5">
        <v>1.0257651331336201E-4</v>
      </c>
      <c r="AB129" s="10">
        <v>5.6785282593942001E-3</v>
      </c>
      <c r="AC129" s="10">
        <v>1.3083989093487801E-4</v>
      </c>
      <c r="AD129" s="10">
        <v>1.15586781166258E-2</v>
      </c>
      <c r="AE129" s="4">
        <v>0.129126100224361</v>
      </c>
      <c r="AF129" s="4">
        <v>2.61785374067788E-2</v>
      </c>
      <c r="AG129" s="4">
        <v>0.71749744972898699</v>
      </c>
      <c r="AH129" s="4">
        <v>0.92953721536287903</v>
      </c>
      <c r="AI129" s="4">
        <v>1</v>
      </c>
      <c r="AJ129" s="4">
        <v>1</v>
      </c>
      <c r="AK129" s="4">
        <v>1</v>
      </c>
      <c r="AL129" s="4">
        <v>1</v>
      </c>
      <c r="AM129" s="4">
        <v>0</v>
      </c>
      <c r="AN129" s="4">
        <v>0</v>
      </c>
      <c r="AO129" s="4" t="s">
        <v>74</v>
      </c>
      <c r="AP129" s="4" t="s">
        <v>75</v>
      </c>
      <c r="AQ129" s="6">
        <v>3942113798.6599998</v>
      </c>
      <c r="AR129" s="4">
        <v>14036</v>
      </c>
      <c r="AS129" s="29">
        <v>100</v>
      </c>
      <c r="AT129" s="29">
        <v>0</v>
      </c>
      <c r="AU129" s="29">
        <v>100</v>
      </c>
      <c r="AV129" s="29">
        <v>0</v>
      </c>
      <c r="AW129" s="29">
        <v>0</v>
      </c>
      <c r="AX129" s="29">
        <v>0</v>
      </c>
    </row>
    <row r="130" spans="1:50" x14ac:dyDescent="0.25">
      <c r="A130">
        <v>97</v>
      </c>
      <c r="B130" s="4">
        <v>0.97774003432393097</v>
      </c>
      <c r="C130" s="4">
        <v>44.973922805988202</v>
      </c>
      <c r="D130" s="4">
        <v>23.672545876220301</v>
      </c>
      <c r="E130" s="4">
        <v>4.8561518462311201E-2</v>
      </c>
      <c r="F130" s="5">
        <v>2.2259965676068499E-2</v>
      </c>
      <c r="G130" s="5">
        <v>0</v>
      </c>
      <c r="H130" s="4">
        <v>4.3781318167505097</v>
      </c>
      <c r="I130" s="4">
        <v>3.8188425141842499</v>
      </c>
      <c r="J130" s="4">
        <v>9.7676034838956607</v>
      </c>
      <c r="K130" s="4">
        <v>110.133395013119</v>
      </c>
      <c r="L130" s="4">
        <v>14.2803825067554</v>
      </c>
      <c r="M130" s="4">
        <v>19.938341164211799</v>
      </c>
      <c r="N130" s="4">
        <v>89.547252494041103</v>
      </c>
      <c r="O130" s="4">
        <v>75.299280720216004</v>
      </c>
      <c r="P130" s="4">
        <v>296187.80040304398</v>
      </c>
      <c r="Q130" s="4">
        <v>279579.85377232102</v>
      </c>
      <c r="R130" s="4">
        <v>771.81653890908899</v>
      </c>
      <c r="S130" s="4">
        <v>0</v>
      </c>
      <c r="T130" s="4">
        <v>0</v>
      </c>
      <c r="U130" s="4">
        <v>0.39422563641157998</v>
      </c>
      <c r="V130" s="4">
        <v>0</v>
      </c>
      <c r="W130" s="4">
        <v>0</v>
      </c>
      <c r="X130" s="4">
        <v>0.36511067595160401</v>
      </c>
      <c r="Y130" s="4">
        <v>0</v>
      </c>
      <c r="Z130" s="5">
        <v>3.68089013288769E-4</v>
      </c>
      <c r="AA130" s="5">
        <v>1.3911526172589501E-4</v>
      </c>
      <c r="AB130" s="10">
        <v>5.9218845274364102E-3</v>
      </c>
      <c r="AC130" s="10">
        <v>2.8087823926602299E-4</v>
      </c>
      <c r="AD130" s="10">
        <v>1.55499817461982E-2</v>
      </c>
      <c r="AE130" s="4">
        <v>0.15035903266611</v>
      </c>
      <c r="AF130" s="4">
        <v>1.1848613247902E-2</v>
      </c>
      <c r="AG130" s="4">
        <v>0.52493314894947596</v>
      </c>
      <c r="AH130" s="4">
        <v>0.86057403017229595</v>
      </c>
      <c r="AI130" s="4">
        <v>1</v>
      </c>
      <c r="AJ130" s="4">
        <v>1</v>
      </c>
      <c r="AK130" s="4">
        <v>1</v>
      </c>
      <c r="AL130" s="4">
        <v>1</v>
      </c>
      <c r="AM130" s="4">
        <v>0</v>
      </c>
      <c r="AN130" s="4">
        <v>0</v>
      </c>
      <c r="AO130" s="4" t="s">
        <v>76</v>
      </c>
      <c r="AP130" s="4" t="s">
        <v>77</v>
      </c>
      <c r="AQ130" s="6">
        <v>1377769519.3900001</v>
      </c>
      <c r="AR130" s="4">
        <v>4928</v>
      </c>
      <c r="AS130" s="29">
        <v>100</v>
      </c>
      <c r="AT130" s="29">
        <v>0</v>
      </c>
      <c r="AU130" s="29">
        <v>100</v>
      </c>
      <c r="AV130" s="29">
        <v>0</v>
      </c>
      <c r="AW130" s="29">
        <v>0</v>
      </c>
      <c r="AX130" s="29">
        <v>0</v>
      </c>
    </row>
    <row r="131" spans="1:50" x14ac:dyDescent="0.25">
      <c r="A131">
        <v>97</v>
      </c>
      <c r="B131" s="4">
        <v>0.97245733496993603</v>
      </c>
      <c r="C131" s="4">
        <v>35.214528865599597</v>
      </c>
      <c r="D131" s="4">
        <v>28.476842769650499</v>
      </c>
      <c r="E131" s="4">
        <v>3.5527605123802097E-2</v>
      </c>
      <c r="F131" s="5">
        <v>2.75426650300638E-2</v>
      </c>
      <c r="G131" s="5">
        <v>0</v>
      </c>
      <c r="H131" s="4">
        <v>4.5825195695050303</v>
      </c>
      <c r="I131" s="4">
        <v>3.8378410767668001</v>
      </c>
      <c r="J131" s="4">
        <v>23.205797217486399</v>
      </c>
      <c r="K131" s="4">
        <v>134.97257913026701</v>
      </c>
      <c r="L131" s="4">
        <v>14.4952582073626</v>
      </c>
      <c r="M131" s="4">
        <v>20.966815365166202</v>
      </c>
      <c r="N131" s="4">
        <v>92.262398003855097</v>
      </c>
      <c r="O131" s="4">
        <v>76.256047125494504</v>
      </c>
      <c r="P131" s="4">
        <v>291499.65085388703</v>
      </c>
      <c r="Q131" s="4">
        <v>275450.25243572303</v>
      </c>
      <c r="R131" s="4">
        <v>768.30693736265596</v>
      </c>
      <c r="S131" s="4">
        <v>0</v>
      </c>
      <c r="T131" s="4">
        <v>0</v>
      </c>
      <c r="U131" s="4">
        <v>0.41019804683026601</v>
      </c>
      <c r="V131" s="4">
        <v>0</v>
      </c>
      <c r="W131" s="4">
        <v>0</v>
      </c>
      <c r="X131" s="4">
        <v>0.28323389887879902</v>
      </c>
      <c r="Y131" s="4">
        <v>0</v>
      </c>
      <c r="Z131" s="5">
        <v>3.67754413361892E-4</v>
      </c>
      <c r="AA131" s="5">
        <v>2.0960815745403E-4</v>
      </c>
      <c r="AB131" s="10">
        <v>6.3719926687221002E-3</v>
      </c>
      <c r="AC131" s="10">
        <v>5.3889674690665303E-4</v>
      </c>
      <c r="AD131" s="10">
        <v>2.0054394689236001E-2</v>
      </c>
      <c r="AE131" s="4">
        <v>0.170638985166531</v>
      </c>
      <c r="AF131" s="4">
        <v>2.5663592986144299E-3</v>
      </c>
      <c r="AG131" s="4">
        <v>0.34156213781597899</v>
      </c>
      <c r="AH131" s="4">
        <v>0.72720981635910198</v>
      </c>
      <c r="AI131" s="4">
        <v>1</v>
      </c>
      <c r="AJ131" s="4">
        <v>1</v>
      </c>
      <c r="AK131" s="4">
        <v>1</v>
      </c>
      <c r="AL131" s="4">
        <v>1</v>
      </c>
      <c r="AM131" s="4">
        <v>0</v>
      </c>
      <c r="AN131" s="4">
        <v>0</v>
      </c>
      <c r="AO131" s="4" t="s">
        <v>78</v>
      </c>
      <c r="AP131" s="4" t="s">
        <v>79</v>
      </c>
      <c r="AQ131" s="6">
        <v>407115473.10000002</v>
      </c>
      <c r="AR131" s="4">
        <v>1478</v>
      </c>
      <c r="AS131" s="29">
        <v>100</v>
      </c>
      <c r="AT131" s="29">
        <v>0</v>
      </c>
      <c r="AU131" s="29">
        <v>100</v>
      </c>
      <c r="AV131" s="29">
        <v>0</v>
      </c>
      <c r="AW131" s="29">
        <v>0</v>
      </c>
      <c r="AX131" s="29">
        <v>0</v>
      </c>
    </row>
    <row r="132" spans="1:50" x14ac:dyDescent="0.25">
      <c r="A132">
        <v>97</v>
      </c>
      <c r="B132" s="4">
        <v>0.96714625032576695</v>
      </c>
      <c r="C132" s="4">
        <v>48.305524356469803</v>
      </c>
      <c r="D132" s="4">
        <v>33.026063123179597</v>
      </c>
      <c r="E132" s="4">
        <v>5.3500596632414701E-2</v>
      </c>
      <c r="F132" s="5">
        <v>3.2853749674232297E-2</v>
      </c>
      <c r="G132" s="5">
        <v>0</v>
      </c>
      <c r="H132" s="4">
        <v>4.7387344934979199</v>
      </c>
      <c r="I132" s="4">
        <v>3.8090133524422001</v>
      </c>
      <c r="J132" s="4">
        <v>36.351427678525802</v>
      </c>
      <c r="K132" s="4">
        <v>158.04326529253601</v>
      </c>
      <c r="L132" s="4">
        <v>14.7887470110813</v>
      </c>
      <c r="M132" s="4">
        <v>21.723605109592398</v>
      </c>
      <c r="N132" s="4">
        <v>93.526998856412902</v>
      </c>
      <c r="O132" s="4">
        <v>76.332455296466506</v>
      </c>
      <c r="P132" s="4">
        <v>284456.04296251002</v>
      </c>
      <c r="Q132" s="4">
        <v>269990.24901694898</v>
      </c>
      <c r="R132" s="4">
        <v>764.54200317569098</v>
      </c>
      <c r="S132" s="4">
        <v>0</v>
      </c>
      <c r="T132" s="4">
        <v>0</v>
      </c>
      <c r="U132" s="4">
        <v>0.447240805976999</v>
      </c>
      <c r="V132" s="4">
        <v>0</v>
      </c>
      <c r="W132" s="4">
        <v>0</v>
      </c>
      <c r="X132" s="4">
        <v>0.20675656413718699</v>
      </c>
      <c r="Y132" s="4">
        <v>0</v>
      </c>
      <c r="Z132" s="5">
        <v>3.7300834954772099E-4</v>
      </c>
      <c r="AA132" s="5">
        <v>2.6788372190714199E-4</v>
      </c>
      <c r="AB132" s="10">
        <v>6.7066792306208003E-3</v>
      </c>
      <c r="AC132" s="10">
        <v>7.66863684943591E-4</v>
      </c>
      <c r="AD132" s="10">
        <v>2.4739295661368399E-2</v>
      </c>
      <c r="AE132" s="4">
        <v>0.18380824492012601</v>
      </c>
      <c r="AF132" s="4">
        <v>0</v>
      </c>
      <c r="AG132" s="4">
        <v>0.241014443411011</v>
      </c>
      <c r="AH132" s="4">
        <v>0.60775903469144499</v>
      </c>
      <c r="AI132" s="4">
        <v>1</v>
      </c>
      <c r="AJ132" s="4">
        <v>1</v>
      </c>
      <c r="AK132" s="4">
        <v>1</v>
      </c>
      <c r="AL132" s="4">
        <v>1</v>
      </c>
      <c r="AM132" s="4">
        <v>0</v>
      </c>
      <c r="AN132" s="4">
        <v>0</v>
      </c>
      <c r="AO132" s="4" t="s">
        <v>80</v>
      </c>
      <c r="AP132" s="4" t="s">
        <v>81</v>
      </c>
      <c r="AQ132" s="6">
        <v>79647123.459999993</v>
      </c>
      <c r="AR132" s="4">
        <v>295</v>
      </c>
      <c r="AS132" s="29">
        <v>100</v>
      </c>
      <c r="AT132" s="29">
        <v>0</v>
      </c>
      <c r="AU132" s="29">
        <v>100</v>
      </c>
      <c r="AV132" s="29">
        <v>0</v>
      </c>
      <c r="AW132" s="29">
        <v>0</v>
      </c>
      <c r="AX132" s="29">
        <v>0</v>
      </c>
    </row>
    <row r="133" spans="1:50" x14ac:dyDescent="0.25">
      <c r="B133" s="4"/>
      <c r="C133" s="4"/>
      <c r="D133" s="4"/>
      <c r="E133" s="4"/>
      <c r="F133" s="5"/>
      <c r="G133" s="5"/>
      <c r="H133" s="4"/>
      <c r="I133" s="4"/>
      <c r="J133" s="4"/>
      <c r="K133" s="4"/>
      <c r="L133" s="4"/>
      <c r="M133" s="4"/>
      <c r="N133" s="4"/>
      <c r="O133" s="4"/>
      <c r="P133" s="4"/>
      <c r="Q133" s="4"/>
      <c r="R133" s="4"/>
      <c r="S133" s="4"/>
      <c r="T133" s="4"/>
      <c r="U133" s="4"/>
      <c r="V133" s="4"/>
      <c r="W133" s="4"/>
      <c r="X133" s="4"/>
      <c r="Y133" s="4"/>
      <c r="Z133" s="5"/>
      <c r="AA133" s="5"/>
      <c r="AB133" s="10"/>
      <c r="AC133" s="10"/>
      <c r="AD133" s="10"/>
      <c r="AE133" s="4"/>
      <c r="AF133" s="4"/>
      <c r="AG133" s="4"/>
      <c r="AH133" s="4"/>
      <c r="AI133" s="4"/>
      <c r="AJ133" s="4"/>
      <c r="AK133" s="4"/>
      <c r="AL133" s="4"/>
      <c r="AM133" s="4"/>
      <c r="AN133" s="4"/>
      <c r="AO133" s="4"/>
      <c r="AP133" s="4"/>
      <c r="AQ133" s="6"/>
      <c r="AR133" s="4"/>
      <c r="AS133" s="29"/>
      <c r="AT133" s="29"/>
      <c r="AU133" s="29"/>
      <c r="AV133" s="29"/>
      <c r="AW133" s="29"/>
      <c r="AX133" s="29"/>
    </row>
    <row r="136" spans="1:50" x14ac:dyDescent="0.25">
      <c r="F136" t="s">
        <v>167</v>
      </c>
    </row>
    <row r="137" spans="1:50" x14ac:dyDescent="0.25">
      <c r="A137" t="s">
        <v>20</v>
      </c>
      <c r="B137" t="s">
        <v>21</v>
      </c>
      <c r="C137" t="s">
        <v>22</v>
      </c>
      <c r="D137" t="s">
        <v>23</v>
      </c>
      <c r="E137" t="s">
        <v>94</v>
      </c>
      <c r="F137" t="s">
        <v>95</v>
      </c>
      <c r="G137" t="s">
        <v>24</v>
      </c>
      <c r="H137" t="s">
        <v>25</v>
      </c>
      <c r="I137" t="s">
        <v>26</v>
      </c>
      <c r="J137" t="s">
        <v>27</v>
      </c>
      <c r="K137" t="s">
        <v>28</v>
      </c>
      <c r="L137" t="s">
        <v>29</v>
      </c>
      <c r="M137" t="s">
        <v>30</v>
      </c>
      <c r="N137" t="s">
        <v>31</v>
      </c>
      <c r="O137" t="s">
        <v>32</v>
      </c>
      <c r="P137" t="s">
        <v>33</v>
      </c>
      <c r="Q137" t="s">
        <v>34</v>
      </c>
      <c r="R137" t="s">
        <v>35</v>
      </c>
      <c r="S137" t="s">
        <v>36</v>
      </c>
      <c r="T137" t="s">
        <v>37</v>
      </c>
      <c r="U137" t="s">
        <v>38</v>
      </c>
      <c r="V137" t="s">
        <v>39</v>
      </c>
      <c r="W137" t="s">
        <v>40</v>
      </c>
      <c r="X137" t="s">
        <v>41</v>
      </c>
      <c r="Y137" t="s">
        <v>42</v>
      </c>
      <c r="Z137" t="s">
        <v>43</v>
      </c>
      <c r="AA137" t="s">
        <v>44</v>
      </c>
      <c r="AB137" t="s">
        <v>45</v>
      </c>
      <c r="AC137" t="s">
        <v>46</v>
      </c>
      <c r="AD137" t="s">
        <v>47</v>
      </c>
      <c r="AE137" t="s">
        <v>48</v>
      </c>
      <c r="AF137" t="s">
        <v>49</v>
      </c>
      <c r="AG137" t="s">
        <v>50</v>
      </c>
      <c r="AH137" t="s">
        <v>51</v>
      </c>
      <c r="AI137" t="s">
        <v>52</v>
      </c>
      <c r="AJ137" t="s">
        <v>53</v>
      </c>
      <c r="AK137" t="s">
        <v>54</v>
      </c>
      <c r="AL137" t="s">
        <v>55</v>
      </c>
      <c r="AM137" t="s">
        <v>56</v>
      </c>
      <c r="AN137" t="s">
        <v>57</v>
      </c>
      <c r="AO137" t="s">
        <v>58</v>
      </c>
      <c r="AP137" t="s">
        <v>59</v>
      </c>
      <c r="AQ137" t="s">
        <v>60</v>
      </c>
      <c r="AR137" t="s">
        <v>61</v>
      </c>
      <c r="AS137" t="s">
        <v>116</v>
      </c>
      <c r="AT137" t="s">
        <v>117</v>
      </c>
      <c r="AU137" t="s">
        <v>118</v>
      </c>
      <c r="AV137" t="s">
        <v>119</v>
      </c>
      <c r="AW137" t="s">
        <v>120</v>
      </c>
      <c r="AX137" t="s">
        <v>121</v>
      </c>
    </row>
    <row r="138" spans="1:50" x14ac:dyDescent="0.25">
      <c r="A138">
        <v>96</v>
      </c>
      <c r="B138" s="4">
        <v>0.98717804500378603</v>
      </c>
      <c r="C138" s="4">
        <v>51.093738393217798</v>
      </c>
      <c r="D138" s="4">
        <v>14.3463536039286</v>
      </c>
      <c r="E138" s="4">
        <v>5.7863768756070598E-2</v>
      </c>
      <c r="F138" s="5">
        <v>1.2821954996213501E-2</v>
      </c>
      <c r="G138" s="5">
        <v>0</v>
      </c>
      <c r="H138" s="4">
        <v>3.5</v>
      </c>
      <c r="I138" s="4">
        <v>3.96411771441293</v>
      </c>
      <c r="J138" s="4">
        <v>-46.820879646941499</v>
      </c>
      <c r="K138" s="4">
        <v>-104.381927300386</v>
      </c>
      <c r="L138" s="4">
        <v>100</v>
      </c>
      <c r="M138" s="4">
        <v>14.4796469415598</v>
      </c>
      <c r="N138" s="4">
        <v>70</v>
      </c>
      <c r="O138" s="4">
        <v>9.1018930385053007</v>
      </c>
      <c r="P138" s="4">
        <v>31499.593103748899</v>
      </c>
      <c r="Q138" s="4">
        <v>31447.485000000001</v>
      </c>
      <c r="R138" s="4">
        <v>813</v>
      </c>
      <c r="S138" s="4">
        <v>0</v>
      </c>
      <c r="T138" s="4">
        <v>0</v>
      </c>
      <c r="U138" s="4">
        <v>0</v>
      </c>
      <c r="V138" s="4">
        <v>0</v>
      </c>
      <c r="W138" s="4">
        <v>0</v>
      </c>
      <c r="X138" s="4">
        <v>0</v>
      </c>
      <c r="Y138" s="4">
        <v>0</v>
      </c>
      <c r="Z138" s="5">
        <v>7.3728503057764296E-3</v>
      </c>
      <c r="AA138" s="5">
        <v>4.3457552413173799E-5</v>
      </c>
      <c r="AB138" s="10">
        <v>5.4056319344933301E-3</v>
      </c>
      <c r="AC138" s="10">
        <v>0</v>
      </c>
      <c r="AD138" s="10">
        <v>0</v>
      </c>
      <c r="AE138" s="4">
        <v>6.5095111151803803E-2</v>
      </c>
      <c r="AF138" s="4">
        <v>0</v>
      </c>
      <c r="AG138" s="4">
        <v>1</v>
      </c>
      <c r="AH138" s="4">
        <v>1</v>
      </c>
      <c r="AI138" s="4">
        <v>1</v>
      </c>
      <c r="AJ138" s="4">
        <v>1</v>
      </c>
      <c r="AK138" s="4">
        <v>1</v>
      </c>
      <c r="AL138" s="4">
        <v>1</v>
      </c>
      <c r="AM138" s="4">
        <v>0</v>
      </c>
      <c r="AN138" s="4">
        <v>0</v>
      </c>
      <c r="AO138" s="4" t="s">
        <v>63</v>
      </c>
      <c r="AP138" s="4">
        <f>-125--100</f>
        <v>-25</v>
      </c>
      <c r="AQ138" s="6">
        <v>62894.97</v>
      </c>
      <c r="AR138" s="4">
        <v>2</v>
      </c>
      <c r="AS138" s="15">
        <v>100</v>
      </c>
      <c r="AT138" s="15">
        <v>0</v>
      </c>
      <c r="AU138" s="15">
        <v>100</v>
      </c>
      <c r="AV138" s="15">
        <v>0</v>
      </c>
      <c r="AW138" s="15">
        <v>0</v>
      </c>
      <c r="AX138" s="15">
        <v>0</v>
      </c>
    </row>
    <row r="139" spans="1:50" x14ac:dyDescent="0.25">
      <c r="A139">
        <v>96</v>
      </c>
      <c r="B139" s="4">
        <v>0.98521580628210104</v>
      </c>
      <c r="C139" s="4">
        <v>14.9463859735129</v>
      </c>
      <c r="D139" s="4">
        <v>16.3672360687357</v>
      </c>
      <c r="E139" s="4">
        <v>1.34001062976118E-2</v>
      </c>
      <c r="F139" s="5">
        <v>1.47841937178982E-2</v>
      </c>
      <c r="G139" s="5">
        <v>0</v>
      </c>
      <c r="H139" s="4">
        <v>3.6082279749412001</v>
      </c>
      <c r="I139" s="4">
        <v>3.88454447858481</v>
      </c>
      <c r="J139" s="4">
        <v>-39.2783720551191</v>
      </c>
      <c r="K139" s="4">
        <v>-84.523744470233098</v>
      </c>
      <c r="L139" s="4">
        <v>97.152157701241507</v>
      </c>
      <c r="M139" s="4">
        <v>15.1477053696849</v>
      </c>
      <c r="N139" s="4">
        <v>80.018451957770495</v>
      </c>
      <c r="O139" s="4">
        <v>8.1523317249261993</v>
      </c>
      <c r="P139" s="4">
        <v>30663.841658868001</v>
      </c>
      <c r="Q139" s="4">
        <v>26200.371481481401</v>
      </c>
      <c r="R139" s="4">
        <v>804.43111787657199</v>
      </c>
      <c r="S139" s="4">
        <v>0</v>
      </c>
      <c r="T139" s="4">
        <v>0</v>
      </c>
      <c r="U139" s="4">
        <v>0</v>
      </c>
      <c r="V139" s="4">
        <v>0</v>
      </c>
      <c r="W139" s="4">
        <v>0</v>
      </c>
      <c r="X139" s="4">
        <v>0</v>
      </c>
      <c r="Y139" s="4">
        <v>0</v>
      </c>
      <c r="Z139" s="5">
        <v>6.7212369573498897E-3</v>
      </c>
      <c r="AA139" s="5">
        <v>2.8119532491785501E-5</v>
      </c>
      <c r="AB139" s="10">
        <v>8.0348285196838298E-3</v>
      </c>
      <c r="AC139" s="10">
        <v>0</v>
      </c>
      <c r="AD139" s="10">
        <v>0</v>
      </c>
      <c r="AE139" s="4">
        <v>9.6546189918763306E-2</v>
      </c>
      <c r="AF139" s="4">
        <v>0</v>
      </c>
      <c r="AG139" s="4">
        <v>1</v>
      </c>
      <c r="AH139" s="4">
        <v>1</v>
      </c>
      <c r="AI139" s="4">
        <v>1</v>
      </c>
      <c r="AJ139" s="4">
        <v>1</v>
      </c>
      <c r="AK139" s="4">
        <v>1</v>
      </c>
      <c r="AL139" s="4">
        <v>1</v>
      </c>
      <c r="AM139" s="4">
        <v>0</v>
      </c>
      <c r="AN139" s="4">
        <v>0</v>
      </c>
      <c r="AO139" s="4" t="s">
        <v>64</v>
      </c>
      <c r="AP139" s="4">
        <f>-100--75</f>
        <v>-25</v>
      </c>
      <c r="AQ139" s="6">
        <v>707410.03</v>
      </c>
      <c r="AR139" s="4">
        <v>27</v>
      </c>
      <c r="AS139" s="15">
        <v>100</v>
      </c>
      <c r="AT139" s="15">
        <v>0</v>
      </c>
      <c r="AU139" s="15">
        <v>100</v>
      </c>
      <c r="AV139" s="15">
        <v>0</v>
      </c>
      <c r="AW139" s="15">
        <v>0</v>
      </c>
      <c r="AX139" s="15">
        <v>0</v>
      </c>
    </row>
    <row r="140" spans="1:50" x14ac:dyDescent="0.25">
      <c r="A140">
        <v>96</v>
      </c>
      <c r="B140" s="4">
        <v>0.99081349134564001</v>
      </c>
      <c r="C140" s="4">
        <v>18.096061958631601</v>
      </c>
      <c r="D140" s="4">
        <v>10.483532041184001</v>
      </c>
      <c r="E140" s="4">
        <v>1.6497657539165898E-2</v>
      </c>
      <c r="F140" s="5">
        <v>9.1865086543591792E-3</v>
      </c>
      <c r="G140" s="5">
        <v>0</v>
      </c>
      <c r="H140" s="4">
        <v>3.4613011198961101</v>
      </c>
      <c r="I140" s="4">
        <v>3.90596067343846</v>
      </c>
      <c r="J140" s="4">
        <v>-55.632560599367103</v>
      </c>
      <c r="K140" s="4">
        <v>-57.377777162715397</v>
      </c>
      <c r="L140" s="4">
        <v>48.596687335697702</v>
      </c>
      <c r="M140" s="4">
        <v>14.375748756243199</v>
      </c>
      <c r="N140" s="4">
        <v>70.0455440834222</v>
      </c>
      <c r="O140" s="4">
        <v>39.201412006610099</v>
      </c>
      <c r="P140" s="4">
        <v>171695.99467653499</v>
      </c>
      <c r="Q140" s="4">
        <v>59778.379589040997</v>
      </c>
      <c r="R140" s="4">
        <v>781.89643531747299</v>
      </c>
      <c r="S140" s="4">
        <v>0</v>
      </c>
      <c r="T140" s="4">
        <v>0</v>
      </c>
      <c r="U140" s="4">
        <v>0.182471985089418</v>
      </c>
      <c r="V140" s="4">
        <v>0</v>
      </c>
      <c r="W140" s="4">
        <v>0</v>
      </c>
      <c r="X140" s="4">
        <v>0.57703132880742702</v>
      </c>
      <c r="Y140" s="4">
        <v>0</v>
      </c>
      <c r="Z140" s="5">
        <v>2.6065178533445101E-3</v>
      </c>
      <c r="AA140" s="5">
        <v>3.04739380340999E-5</v>
      </c>
      <c r="AB140" s="10">
        <v>6.5425673048854398E-3</v>
      </c>
      <c r="AC140" s="10">
        <v>6.9220063799994196E-6</v>
      </c>
      <c r="AD140" s="10">
        <v>1.6997499858902301E-8</v>
      </c>
      <c r="AE140" s="4">
        <v>9.8877050501754798E-2</v>
      </c>
      <c r="AF140" s="4">
        <v>0.184850737176427</v>
      </c>
      <c r="AG140" s="4">
        <v>0.87192064957209203</v>
      </c>
      <c r="AH140" s="4">
        <v>1</v>
      </c>
      <c r="AI140" s="4">
        <v>1</v>
      </c>
      <c r="AJ140" s="4">
        <v>1</v>
      </c>
      <c r="AK140" s="4">
        <v>1</v>
      </c>
      <c r="AL140" s="4">
        <v>1</v>
      </c>
      <c r="AM140" s="4">
        <v>0</v>
      </c>
      <c r="AN140" s="4">
        <v>0</v>
      </c>
      <c r="AO140" s="4" t="s">
        <v>65</v>
      </c>
      <c r="AP140" s="4">
        <f>-75--50</f>
        <v>-25</v>
      </c>
      <c r="AQ140" s="6">
        <v>4363821.71</v>
      </c>
      <c r="AR140" s="4">
        <v>73</v>
      </c>
      <c r="AS140" s="15">
        <v>100</v>
      </c>
      <c r="AT140" s="15">
        <v>0</v>
      </c>
      <c r="AU140" s="15">
        <v>100</v>
      </c>
      <c r="AV140" s="15">
        <v>0</v>
      </c>
      <c r="AW140" s="15">
        <v>0</v>
      </c>
      <c r="AX140" s="15">
        <v>0</v>
      </c>
    </row>
    <row r="141" spans="1:50" x14ac:dyDescent="0.25">
      <c r="A141">
        <v>96</v>
      </c>
      <c r="B141" s="4">
        <v>0.98945411873299405</v>
      </c>
      <c r="C141" s="4">
        <v>4.3036058051398296</v>
      </c>
      <c r="D141" s="4">
        <v>11.9462354930034</v>
      </c>
      <c r="E141" s="4">
        <v>3.6590863725861401E-3</v>
      </c>
      <c r="F141" s="5">
        <v>1.0545881267005799E-2</v>
      </c>
      <c r="G141" s="5">
        <v>0</v>
      </c>
      <c r="H141" s="4">
        <v>3.4453894261002702</v>
      </c>
      <c r="I141" s="4">
        <v>3.9257790177865601</v>
      </c>
      <c r="J141" s="4">
        <v>-56.578360084162298</v>
      </c>
      <c r="K141" s="4">
        <v>-31.114896038936202</v>
      </c>
      <c r="L141" s="4">
        <v>17.359003266414899</v>
      </c>
      <c r="M141" s="4">
        <v>14.460238058420201</v>
      </c>
      <c r="N141" s="4">
        <v>69.8174928198478</v>
      </c>
      <c r="O141" s="4">
        <v>60.987955469063301</v>
      </c>
      <c r="P141" s="4">
        <v>265956.17573180399</v>
      </c>
      <c r="Q141" s="4">
        <v>221964.68431372501</v>
      </c>
      <c r="R141" s="4">
        <v>780.78901794072397</v>
      </c>
      <c r="S141" s="4">
        <v>0</v>
      </c>
      <c r="T141" s="4">
        <v>0</v>
      </c>
      <c r="U141" s="4">
        <v>0.26399511861344799</v>
      </c>
      <c r="V141" s="4">
        <v>0</v>
      </c>
      <c r="W141" s="4">
        <v>0</v>
      </c>
      <c r="X141" s="4">
        <v>0.63616983561422502</v>
      </c>
      <c r="Y141" s="4">
        <v>0</v>
      </c>
      <c r="Z141" s="5">
        <v>4.5874414839759198E-4</v>
      </c>
      <c r="AA141" s="5">
        <v>3.3580202334424199E-5</v>
      </c>
      <c r="AB141" s="10">
        <v>5.2362434862087796E-3</v>
      </c>
      <c r="AC141" s="10">
        <v>2.0813513735245999E-6</v>
      </c>
      <c r="AD141" s="10">
        <v>4.8152170285518398E-3</v>
      </c>
      <c r="AE141" s="4">
        <v>8.8177656858444697E-2</v>
      </c>
      <c r="AF141" s="4">
        <v>0.12789084403808401</v>
      </c>
      <c r="AG141" s="4">
        <v>0.93950860480610998</v>
      </c>
      <c r="AH141" s="4">
        <v>0.99912392116478899</v>
      </c>
      <c r="AI141" s="4">
        <v>1</v>
      </c>
      <c r="AJ141" s="4">
        <v>1</v>
      </c>
      <c r="AK141" s="4">
        <v>1</v>
      </c>
      <c r="AL141" s="4">
        <v>1</v>
      </c>
      <c r="AM141" s="4">
        <v>0</v>
      </c>
      <c r="AN141" s="4">
        <v>0</v>
      </c>
      <c r="AO141" s="4" t="s">
        <v>66</v>
      </c>
      <c r="AP141" s="4">
        <f>-50--25</f>
        <v>-25</v>
      </c>
      <c r="AQ141" s="6">
        <v>169802983.5</v>
      </c>
      <c r="AR141" s="4">
        <v>765</v>
      </c>
      <c r="AS141" s="15">
        <v>100</v>
      </c>
      <c r="AT141" s="15">
        <v>0</v>
      </c>
      <c r="AU141" s="15">
        <v>100</v>
      </c>
      <c r="AV141" s="15">
        <v>0</v>
      </c>
      <c r="AW141" s="15">
        <v>0</v>
      </c>
      <c r="AX141" s="15">
        <v>0</v>
      </c>
    </row>
    <row r="142" spans="1:50" x14ac:dyDescent="0.25">
      <c r="A142">
        <v>96</v>
      </c>
      <c r="B142" s="4">
        <v>0.98576006180884501</v>
      </c>
      <c r="C142" s="4">
        <v>9.35464732984547</v>
      </c>
      <c r="D142" s="4">
        <v>15.811140895698401</v>
      </c>
      <c r="E142" s="4">
        <v>8.1512235407507801E-3</v>
      </c>
      <c r="F142" s="5">
        <v>1.42399381911541E-2</v>
      </c>
      <c r="G142" s="5">
        <v>0</v>
      </c>
      <c r="H142" s="4">
        <v>3.5138820361428502</v>
      </c>
      <c r="I142" s="4">
        <v>3.94214928867249</v>
      </c>
      <c r="J142" s="4">
        <v>-48.996049463074399</v>
      </c>
      <c r="K142" s="4">
        <v>-22.229761036076098</v>
      </c>
      <c r="L142" s="4">
        <v>14.7883588659138</v>
      </c>
      <c r="M142" s="4">
        <v>14.3566132124866</v>
      </c>
      <c r="N142" s="4">
        <v>71.651333958558297</v>
      </c>
      <c r="O142" s="4">
        <v>63.350333676551998</v>
      </c>
      <c r="P142" s="4">
        <v>294036.63858037803</v>
      </c>
      <c r="Q142" s="4">
        <v>268956.38971153798</v>
      </c>
      <c r="R142" s="4">
        <v>780.794422326838</v>
      </c>
      <c r="S142" s="4">
        <v>0</v>
      </c>
      <c r="T142" s="4">
        <v>0</v>
      </c>
      <c r="U142" s="4">
        <v>0.38598226354649801</v>
      </c>
      <c r="V142" s="4">
        <v>0</v>
      </c>
      <c r="W142" s="4">
        <v>0</v>
      </c>
      <c r="X142" s="4">
        <v>0.700460369316243</v>
      </c>
      <c r="Y142" s="4">
        <v>0</v>
      </c>
      <c r="Z142" s="5">
        <v>3.7936105245507602E-4</v>
      </c>
      <c r="AA142" s="5">
        <v>3.9222507221363501E-5</v>
      </c>
      <c r="AB142" s="10">
        <v>5.1312787421112496E-3</v>
      </c>
      <c r="AC142" s="10">
        <v>9.4363456881354697E-7</v>
      </c>
      <c r="AD142" s="10">
        <v>8.6891173415518993E-3</v>
      </c>
      <c r="AE142" s="4">
        <v>9.1495906708384894E-2</v>
      </c>
      <c r="AF142" s="4">
        <v>0.118192083058584</v>
      </c>
      <c r="AG142" s="4">
        <v>0.94190371343419899</v>
      </c>
      <c r="AH142" s="4">
        <v>0.99858000134539204</v>
      </c>
      <c r="AI142" s="4">
        <v>1</v>
      </c>
      <c r="AJ142" s="4">
        <v>1</v>
      </c>
      <c r="AK142" s="4">
        <v>1</v>
      </c>
      <c r="AL142" s="4">
        <v>1</v>
      </c>
      <c r="AM142" s="4">
        <v>0</v>
      </c>
      <c r="AN142" s="4">
        <v>0</v>
      </c>
      <c r="AO142" s="4" t="s">
        <v>137</v>
      </c>
      <c r="AP142" s="4">
        <f>-25--20</f>
        <v>-5</v>
      </c>
      <c r="AQ142" s="6">
        <v>279714645.30000001</v>
      </c>
      <c r="AR142" s="4">
        <v>1040</v>
      </c>
      <c r="AS142" s="15">
        <v>100</v>
      </c>
      <c r="AT142" s="15">
        <v>0</v>
      </c>
      <c r="AU142" s="15">
        <v>100</v>
      </c>
      <c r="AV142" s="15">
        <v>0</v>
      </c>
      <c r="AW142" s="15">
        <v>0</v>
      </c>
      <c r="AX142" s="15">
        <v>0</v>
      </c>
    </row>
    <row r="143" spans="1:50" x14ac:dyDescent="0.25">
      <c r="A143">
        <v>96</v>
      </c>
      <c r="B143" s="4">
        <v>0.98376381363229204</v>
      </c>
      <c r="C143" s="4">
        <v>6.3762957514387297</v>
      </c>
      <c r="D143" s="4">
        <v>17.834382535402099</v>
      </c>
      <c r="E143" s="4">
        <v>5.4755031569692402E-3</v>
      </c>
      <c r="F143" s="5">
        <v>1.6236186367707801E-2</v>
      </c>
      <c r="G143" s="5">
        <v>0</v>
      </c>
      <c r="H143" s="4">
        <v>3.5419733401890898</v>
      </c>
      <c r="I143" s="4">
        <v>3.9369233551362002</v>
      </c>
      <c r="J143" s="4">
        <v>-46.111294757852797</v>
      </c>
      <c r="K143" s="4">
        <v>-17.0962901576066</v>
      </c>
      <c r="L143" s="4">
        <v>14.336891685468199</v>
      </c>
      <c r="M143" s="4">
        <v>14.480166678604901</v>
      </c>
      <c r="N143" s="4">
        <v>67.370984888328707</v>
      </c>
      <c r="O143" s="4">
        <v>59.748077224388901</v>
      </c>
      <c r="P143" s="4">
        <v>300547.542182712</v>
      </c>
      <c r="Q143" s="4">
        <v>277965.94418422302</v>
      </c>
      <c r="R143" s="4">
        <v>781.833218683582</v>
      </c>
      <c r="S143" s="4">
        <v>0</v>
      </c>
      <c r="T143" s="4">
        <v>0</v>
      </c>
      <c r="U143" s="4">
        <v>0.36754756493103502</v>
      </c>
      <c r="V143" s="4">
        <v>0</v>
      </c>
      <c r="W143" s="4">
        <v>0</v>
      </c>
      <c r="X143" s="4">
        <v>0.73746028696017396</v>
      </c>
      <c r="Y143" s="4">
        <v>0</v>
      </c>
      <c r="Z143" s="5">
        <v>3.7098605932877102E-4</v>
      </c>
      <c r="AA143" s="5">
        <v>3.7428241830707499E-5</v>
      </c>
      <c r="AB143" s="10">
        <v>5.1694195563811102E-3</v>
      </c>
      <c r="AC143" s="10">
        <v>1.2743154306298301E-6</v>
      </c>
      <c r="AD143" s="10">
        <v>1.06570634088503E-2</v>
      </c>
      <c r="AE143" s="4">
        <v>9.2634213615473304E-2</v>
      </c>
      <c r="AF143" s="4">
        <v>0.109423488325783</v>
      </c>
      <c r="AG143" s="4">
        <v>0.92712820719011102</v>
      </c>
      <c r="AH143" s="4">
        <v>0.99703860528167598</v>
      </c>
      <c r="AI143" s="4">
        <v>1</v>
      </c>
      <c r="AJ143" s="4">
        <v>1</v>
      </c>
      <c r="AK143" s="4">
        <v>1</v>
      </c>
      <c r="AL143" s="4">
        <v>1</v>
      </c>
      <c r="AM143" s="4">
        <v>0</v>
      </c>
      <c r="AN143" s="4">
        <v>0</v>
      </c>
      <c r="AO143" s="4" t="s">
        <v>138</v>
      </c>
      <c r="AP143" s="4">
        <f>-20--15</f>
        <v>-5</v>
      </c>
      <c r="AQ143" s="6">
        <v>567328492.08000004</v>
      </c>
      <c r="AR143" s="4">
        <v>2041</v>
      </c>
      <c r="AS143" s="15">
        <v>100</v>
      </c>
      <c r="AT143" s="15">
        <v>0</v>
      </c>
      <c r="AU143" s="15">
        <v>100</v>
      </c>
      <c r="AV143" s="15">
        <v>0</v>
      </c>
      <c r="AW143" s="15">
        <v>0</v>
      </c>
      <c r="AX143" s="15">
        <v>0</v>
      </c>
    </row>
    <row r="144" spans="1:50" x14ac:dyDescent="0.25">
      <c r="A144">
        <v>96</v>
      </c>
      <c r="B144" s="4">
        <v>0.98233578742843897</v>
      </c>
      <c r="C144" s="4">
        <v>10.5821110024436</v>
      </c>
      <c r="D144" s="4">
        <v>19.254264806553799</v>
      </c>
      <c r="E144" s="4">
        <v>9.2774813926804495E-3</v>
      </c>
      <c r="F144" s="5">
        <v>1.7664212571560301E-2</v>
      </c>
      <c r="G144" s="5">
        <v>0</v>
      </c>
      <c r="H144" s="4">
        <v>3.5865161842212299</v>
      </c>
      <c r="I144" s="4">
        <v>3.92753573793994</v>
      </c>
      <c r="J144" s="4">
        <v>-42.2716187267959</v>
      </c>
      <c r="K144" s="4">
        <v>-12.256696498839601</v>
      </c>
      <c r="L144" s="4">
        <v>13.9937272360684</v>
      </c>
      <c r="M144" s="4">
        <v>14.577939514488801</v>
      </c>
      <c r="N144" s="4">
        <v>69.5223428850218</v>
      </c>
      <c r="O144" s="4">
        <v>61.743512524171003</v>
      </c>
      <c r="P144" s="4">
        <v>304068.02259481</v>
      </c>
      <c r="Q144" s="4">
        <v>284638.85198339698</v>
      </c>
      <c r="R144" s="4">
        <v>781.408490500982</v>
      </c>
      <c r="S144" s="4">
        <v>0</v>
      </c>
      <c r="T144" s="4">
        <v>0</v>
      </c>
      <c r="U144" s="4">
        <v>0.32304256752404797</v>
      </c>
      <c r="V144" s="4">
        <v>0</v>
      </c>
      <c r="W144" s="4">
        <v>0</v>
      </c>
      <c r="X144" s="4">
        <v>0.72316378990541297</v>
      </c>
      <c r="Y144" s="4">
        <v>0</v>
      </c>
      <c r="Z144" s="5">
        <v>3.6858220806847098E-4</v>
      </c>
      <c r="AA144" s="5">
        <v>3.7570907417967299E-5</v>
      </c>
      <c r="AB144" s="10">
        <v>5.1978836872456696E-3</v>
      </c>
      <c r="AC144" s="10">
        <v>1.80387829903978E-6</v>
      </c>
      <c r="AD144" s="10">
        <v>1.2058357522188499E-2</v>
      </c>
      <c r="AE144" s="4">
        <v>9.3150694916675894E-2</v>
      </c>
      <c r="AF144" s="4">
        <v>9.3081841887913505E-2</v>
      </c>
      <c r="AG144" s="4">
        <v>0.93741737477037901</v>
      </c>
      <c r="AH144" s="4">
        <v>0.99868890069376204</v>
      </c>
      <c r="AI144" s="4">
        <v>1</v>
      </c>
      <c r="AJ144" s="4">
        <v>1</v>
      </c>
      <c r="AK144" s="4">
        <v>1</v>
      </c>
      <c r="AL144" s="4">
        <v>1</v>
      </c>
      <c r="AM144" s="4">
        <v>0</v>
      </c>
      <c r="AN144" s="4">
        <v>0</v>
      </c>
      <c r="AO144" s="4" t="s">
        <v>139</v>
      </c>
      <c r="AP144" s="4">
        <f>-15--10</f>
        <v>-5</v>
      </c>
      <c r="AQ144" s="6">
        <v>960086847.74000001</v>
      </c>
      <c r="AR144" s="4">
        <v>3373</v>
      </c>
      <c r="AS144" s="15">
        <v>100</v>
      </c>
      <c r="AT144" s="15">
        <v>0</v>
      </c>
      <c r="AU144" s="15">
        <v>100</v>
      </c>
      <c r="AV144" s="15">
        <v>0</v>
      </c>
      <c r="AW144" s="15">
        <v>0</v>
      </c>
      <c r="AX144" s="15">
        <v>0</v>
      </c>
    </row>
    <row r="145" spans="1:50" x14ac:dyDescent="0.25">
      <c r="A145">
        <v>96</v>
      </c>
      <c r="B145" s="4">
        <v>0.98077372474769298</v>
      </c>
      <c r="C145" s="4">
        <v>9.2241763055223096</v>
      </c>
      <c r="D145" s="4">
        <v>20.781635992451601</v>
      </c>
      <c r="E145" s="4">
        <v>8.0323332450160101E-3</v>
      </c>
      <c r="F145" s="5">
        <v>1.9226275252306801E-2</v>
      </c>
      <c r="G145" s="5">
        <v>0</v>
      </c>
      <c r="H145" s="4">
        <v>3.61055685342368</v>
      </c>
      <c r="I145" s="4">
        <v>3.90980776310988</v>
      </c>
      <c r="J145" s="4">
        <v>-40.343517054827501</v>
      </c>
      <c r="K145" s="4">
        <v>-7.4527447893761396</v>
      </c>
      <c r="L145" s="4">
        <v>13.8530940292409</v>
      </c>
      <c r="M145" s="4">
        <v>14.999494653552</v>
      </c>
      <c r="N145" s="4">
        <v>67.471237760278896</v>
      </c>
      <c r="O145" s="4">
        <v>59.733140799727202</v>
      </c>
      <c r="P145" s="4">
        <v>307262.74521672999</v>
      </c>
      <c r="Q145" s="4">
        <v>287755.53053564602</v>
      </c>
      <c r="R145" s="4">
        <v>781.79493510899295</v>
      </c>
      <c r="S145" s="4">
        <v>0</v>
      </c>
      <c r="T145" s="4">
        <v>0</v>
      </c>
      <c r="U145" s="4">
        <v>0.28637137975315502</v>
      </c>
      <c r="V145" s="4">
        <v>0</v>
      </c>
      <c r="W145" s="4">
        <v>0</v>
      </c>
      <c r="X145" s="4">
        <v>0.72878788004050599</v>
      </c>
      <c r="Y145" s="4">
        <v>0</v>
      </c>
      <c r="Z145" s="5">
        <v>3.6754879293203702E-4</v>
      </c>
      <c r="AA145" s="5">
        <v>3.83193793558467E-5</v>
      </c>
      <c r="AB145" s="10">
        <v>5.3630768976484803E-3</v>
      </c>
      <c r="AC145" s="10">
        <v>2.5850054748448899E-6</v>
      </c>
      <c r="AD145" s="10">
        <v>1.34547306394941E-2</v>
      </c>
      <c r="AE145" s="4">
        <v>9.5958295145734604E-2</v>
      </c>
      <c r="AF145" s="4">
        <v>8.4816308249806197E-2</v>
      </c>
      <c r="AG145" s="4">
        <v>0.932696640210531</v>
      </c>
      <c r="AH145" s="4">
        <v>0.99827065865827602</v>
      </c>
      <c r="AI145" s="4">
        <v>1</v>
      </c>
      <c r="AJ145" s="4">
        <v>1</v>
      </c>
      <c r="AK145" s="4">
        <v>1</v>
      </c>
      <c r="AL145" s="4">
        <v>1</v>
      </c>
      <c r="AM145" s="4">
        <v>0</v>
      </c>
      <c r="AN145" s="4">
        <v>0</v>
      </c>
      <c r="AO145" s="4" t="s">
        <v>140</v>
      </c>
      <c r="AP145" s="4">
        <f>-10--5</f>
        <v>-5</v>
      </c>
      <c r="AQ145" s="6">
        <v>1509565513.1900001</v>
      </c>
      <c r="AR145" s="4">
        <v>5246</v>
      </c>
      <c r="AS145" s="15">
        <v>100</v>
      </c>
      <c r="AT145" s="15">
        <v>0</v>
      </c>
      <c r="AU145" s="15">
        <v>100</v>
      </c>
      <c r="AV145" s="15">
        <v>0</v>
      </c>
      <c r="AW145" s="15">
        <v>0</v>
      </c>
      <c r="AX145" s="15">
        <v>0</v>
      </c>
    </row>
    <row r="146" spans="1:50" x14ac:dyDescent="0.25">
      <c r="A146">
        <v>96</v>
      </c>
      <c r="B146" s="4">
        <v>0.97940978621962804</v>
      </c>
      <c r="C146" s="4">
        <v>9.4723739778586395</v>
      </c>
      <c r="D146" s="4">
        <v>22.093576053071601</v>
      </c>
      <c r="E146" s="4">
        <v>8.2586353692454696E-3</v>
      </c>
      <c r="F146" s="5">
        <v>2.0590213780371801E-2</v>
      </c>
      <c r="G146" s="5">
        <v>0</v>
      </c>
      <c r="H146" s="4">
        <v>3.6389091972279601</v>
      </c>
      <c r="I146" s="4">
        <v>3.8902957024247198</v>
      </c>
      <c r="J146" s="4">
        <v>-38.093673556291897</v>
      </c>
      <c r="K146" s="4">
        <v>-2.4416225084396102</v>
      </c>
      <c r="L146" s="4">
        <v>13.613077587684799</v>
      </c>
      <c r="M146" s="4">
        <v>15.348969380580799</v>
      </c>
      <c r="N146" s="4">
        <v>67.730736943717503</v>
      </c>
      <c r="O146" s="4">
        <v>59.905590789519401</v>
      </c>
      <c r="P146" s="4">
        <v>312221.39169962902</v>
      </c>
      <c r="Q146" s="4">
        <v>292946.10689809901</v>
      </c>
      <c r="R146" s="4">
        <v>781.20772334746005</v>
      </c>
      <c r="S146" s="4">
        <v>0</v>
      </c>
      <c r="T146" s="4">
        <v>0</v>
      </c>
      <c r="U146" s="4">
        <v>0.26810644127623601</v>
      </c>
      <c r="V146" s="4">
        <v>0</v>
      </c>
      <c r="W146" s="4">
        <v>0</v>
      </c>
      <c r="X146" s="4">
        <v>0.72810249111638703</v>
      </c>
      <c r="Y146" s="4">
        <v>0</v>
      </c>
      <c r="Z146" s="5">
        <v>3.6582088713110799E-4</v>
      </c>
      <c r="AA146" s="5">
        <v>3.8897980995926003E-5</v>
      </c>
      <c r="AB146" s="10">
        <v>5.3178106248198999E-3</v>
      </c>
      <c r="AC146" s="10">
        <v>2.8809183275511901E-6</v>
      </c>
      <c r="AD146" s="10">
        <v>1.48647888307717E-2</v>
      </c>
      <c r="AE146" s="4">
        <v>9.6502524613227197E-2</v>
      </c>
      <c r="AF146" s="4">
        <v>7.7194886875542504E-2</v>
      </c>
      <c r="AG146" s="4">
        <v>0.93772655514332404</v>
      </c>
      <c r="AH146" s="4">
        <v>0.99772432808585898</v>
      </c>
      <c r="AI146" s="4">
        <v>1</v>
      </c>
      <c r="AJ146" s="4">
        <v>1</v>
      </c>
      <c r="AK146" s="4">
        <v>1</v>
      </c>
      <c r="AL146" s="4">
        <v>1</v>
      </c>
      <c r="AM146" s="4">
        <v>0</v>
      </c>
      <c r="AN146" s="4">
        <v>0</v>
      </c>
      <c r="AO146" s="4" t="s">
        <v>67</v>
      </c>
      <c r="AP146" s="4">
        <f>-25-0</f>
        <v>-25</v>
      </c>
      <c r="AQ146" s="6">
        <v>2219359705.8600001</v>
      </c>
      <c r="AR146" s="4">
        <v>7576</v>
      </c>
      <c r="AS146" s="15">
        <v>100</v>
      </c>
      <c r="AT146" s="15">
        <v>0</v>
      </c>
      <c r="AU146" s="15">
        <v>100</v>
      </c>
      <c r="AV146" s="15">
        <v>0</v>
      </c>
      <c r="AW146" s="15">
        <v>0</v>
      </c>
      <c r="AX146" s="15">
        <v>0</v>
      </c>
    </row>
    <row r="147" spans="1:50" x14ac:dyDescent="0.25">
      <c r="A147">
        <v>96</v>
      </c>
      <c r="B147" s="4">
        <v>0.97809257022846496</v>
      </c>
      <c r="C147" s="4">
        <v>15.393160676049799</v>
      </c>
      <c r="D147" s="4">
        <v>23.341640817626899</v>
      </c>
      <c r="E147" s="4">
        <v>1.38330221293978E-2</v>
      </c>
      <c r="F147" s="5">
        <v>2.19074297715342E-2</v>
      </c>
      <c r="G147" s="5">
        <v>0</v>
      </c>
      <c r="H147" s="4">
        <v>3.6729898283352602</v>
      </c>
      <c r="I147" s="4">
        <v>3.8752550296350901</v>
      </c>
      <c r="J147" s="4">
        <v>-35.426086323802203</v>
      </c>
      <c r="K147" s="4">
        <v>2.5942210785805702</v>
      </c>
      <c r="L147" s="4">
        <v>13.7203675816928</v>
      </c>
      <c r="M147" s="4">
        <v>15.735453510808799</v>
      </c>
      <c r="N147" s="4">
        <v>67.889185586530104</v>
      </c>
      <c r="O147" s="4">
        <v>59.896447204506501</v>
      </c>
      <c r="P147" s="4">
        <v>309762.466843476</v>
      </c>
      <c r="Q147" s="4">
        <v>290905.55742664298</v>
      </c>
      <c r="R147" s="4">
        <v>781.35175508720602</v>
      </c>
      <c r="S147" s="4">
        <v>0</v>
      </c>
      <c r="T147" s="4">
        <v>0</v>
      </c>
      <c r="U147" s="4">
        <v>0.274401320749115</v>
      </c>
      <c r="V147" s="4">
        <v>0</v>
      </c>
      <c r="W147" s="4">
        <v>0</v>
      </c>
      <c r="X147" s="4">
        <v>0.73132600585876595</v>
      </c>
      <c r="Y147" s="4">
        <v>0</v>
      </c>
      <c r="Z147" s="5">
        <v>3.6572817036884003E-4</v>
      </c>
      <c r="AA147" s="5">
        <v>4.0387583316218602E-5</v>
      </c>
      <c r="AB147" s="10">
        <v>5.3689263424699001E-3</v>
      </c>
      <c r="AC147" s="10">
        <v>5.5813746856888301E-6</v>
      </c>
      <c r="AD147" s="10">
        <v>1.61267918530861E-2</v>
      </c>
      <c r="AE147" s="4">
        <v>9.9839640494548201E-2</v>
      </c>
      <c r="AF147" s="4">
        <v>7.3680052255928205E-2</v>
      </c>
      <c r="AG147" s="4">
        <v>0.92019324964461002</v>
      </c>
      <c r="AH147" s="4">
        <v>0.99207841453947299</v>
      </c>
      <c r="AI147" s="4">
        <v>1</v>
      </c>
      <c r="AJ147" s="4">
        <v>1</v>
      </c>
      <c r="AK147" s="4">
        <v>1</v>
      </c>
      <c r="AL147" s="4">
        <v>1</v>
      </c>
      <c r="AM147" s="4">
        <v>0</v>
      </c>
      <c r="AN147" s="4">
        <v>0</v>
      </c>
      <c r="AO147" s="4" t="s">
        <v>141</v>
      </c>
      <c r="AP147" s="4" t="s">
        <v>127</v>
      </c>
      <c r="AQ147" s="6">
        <v>2716476095.25</v>
      </c>
      <c r="AR147" s="4">
        <v>9338</v>
      </c>
      <c r="AS147" s="15">
        <v>100</v>
      </c>
      <c r="AT147" s="15">
        <v>0</v>
      </c>
      <c r="AU147" s="15">
        <v>100</v>
      </c>
      <c r="AV147" s="15">
        <v>0</v>
      </c>
      <c r="AW147" s="15">
        <v>0</v>
      </c>
      <c r="AX147" s="15">
        <v>0</v>
      </c>
    </row>
    <row r="148" spans="1:50" x14ac:dyDescent="0.25">
      <c r="A148">
        <v>96</v>
      </c>
      <c r="B148" s="4">
        <v>0.97668405732039398</v>
      </c>
      <c r="C148" s="4">
        <v>19.374143441593699</v>
      </c>
      <c r="D148" s="4">
        <v>24.6559113595304</v>
      </c>
      <c r="E148" s="4">
        <v>1.7785830224231001E-2</v>
      </c>
      <c r="F148" s="5">
        <v>2.3315942679605E-2</v>
      </c>
      <c r="G148" s="5">
        <v>0</v>
      </c>
      <c r="H148" s="4">
        <v>3.70180309666413</v>
      </c>
      <c r="I148" s="4">
        <v>3.8523686795718102</v>
      </c>
      <c r="J148" s="4">
        <v>-33.608499050214903</v>
      </c>
      <c r="K148" s="4">
        <v>7.5978709381280796</v>
      </c>
      <c r="L148" s="4">
        <v>13.555931150603501</v>
      </c>
      <c r="M148" s="4">
        <v>16.153041261630101</v>
      </c>
      <c r="N148" s="4">
        <v>68.349284014779499</v>
      </c>
      <c r="O148" s="4">
        <v>60.209077629773802</v>
      </c>
      <c r="P148" s="4">
        <v>312318.424610221</v>
      </c>
      <c r="Q148" s="4">
        <v>294443.203850216</v>
      </c>
      <c r="R148" s="4">
        <v>780.75007877716996</v>
      </c>
      <c r="S148" s="4">
        <v>0</v>
      </c>
      <c r="T148" s="4">
        <v>0</v>
      </c>
      <c r="U148" s="4">
        <v>0.25445128867858002</v>
      </c>
      <c r="V148" s="4">
        <v>0</v>
      </c>
      <c r="W148" s="4">
        <v>0</v>
      </c>
      <c r="X148" s="4">
        <v>0.71538393741984896</v>
      </c>
      <c r="Y148" s="4">
        <v>0</v>
      </c>
      <c r="Z148" s="5">
        <v>3.6549653611087199E-4</v>
      </c>
      <c r="AA148" s="5">
        <v>4.1631700595597E-5</v>
      </c>
      <c r="AB148" s="10">
        <v>5.4127243527492801E-3</v>
      </c>
      <c r="AC148" s="10">
        <v>5.8972403240684396E-6</v>
      </c>
      <c r="AD148" s="10">
        <v>1.7490178226444001E-2</v>
      </c>
      <c r="AE148" s="4">
        <v>0.100790020166552</v>
      </c>
      <c r="AF148" s="4">
        <v>7.2350374335298007E-2</v>
      </c>
      <c r="AG148" s="4">
        <v>0.92325489862090504</v>
      </c>
      <c r="AH148" s="4">
        <v>0.99228220669329903</v>
      </c>
      <c r="AI148" s="4">
        <v>1</v>
      </c>
      <c r="AJ148" s="4">
        <v>1</v>
      </c>
      <c r="AK148" s="4">
        <v>1</v>
      </c>
      <c r="AL148" s="4">
        <v>1</v>
      </c>
      <c r="AM148" s="4">
        <v>0</v>
      </c>
      <c r="AN148" s="4">
        <v>0</v>
      </c>
      <c r="AO148" s="4" t="s">
        <v>142</v>
      </c>
      <c r="AP148" s="4">
        <v>43230</v>
      </c>
      <c r="AQ148" s="6">
        <v>3400819004.4699998</v>
      </c>
      <c r="AR148" s="4">
        <v>11550</v>
      </c>
      <c r="AS148" s="15">
        <v>100</v>
      </c>
      <c r="AT148" s="15">
        <v>0</v>
      </c>
      <c r="AU148" s="15">
        <v>100</v>
      </c>
      <c r="AV148" s="15">
        <v>0</v>
      </c>
      <c r="AW148" s="15">
        <v>0</v>
      </c>
      <c r="AX148" s="15">
        <v>0</v>
      </c>
    </row>
    <row r="149" spans="1:50" x14ac:dyDescent="0.25">
      <c r="A149">
        <v>96</v>
      </c>
      <c r="B149" s="4">
        <v>0.975357342832742</v>
      </c>
      <c r="C149" s="4">
        <v>21.536671117698202</v>
      </c>
      <c r="D149" s="4">
        <v>25.874933826226101</v>
      </c>
      <c r="E149" s="4">
        <v>2.00086836217447E-2</v>
      </c>
      <c r="F149" s="5">
        <v>2.46426571672573E-2</v>
      </c>
      <c r="G149" s="5">
        <v>0</v>
      </c>
      <c r="H149" s="4">
        <v>3.7336879397118201</v>
      </c>
      <c r="I149" s="4">
        <v>3.8353193726366901</v>
      </c>
      <c r="J149" s="4">
        <v>-31.218814312789601</v>
      </c>
      <c r="K149" s="4">
        <v>12.5847834434162</v>
      </c>
      <c r="L149" s="4">
        <v>13.542285813512899</v>
      </c>
      <c r="M149" s="4">
        <v>16.4284539164168</v>
      </c>
      <c r="N149" s="4">
        <v>68.213844626702596</v>
      </c>
      <c r="O149" s="4">
        <v>59.996082186435203</v>
      </c>
      <c r="P149" s="4">
        <v>312667.75253463798</v>
      </c>
      <c r="Q149" s="4">
        <v>294763.932901263</v>
      </c>
      <c r="R149" s="4">
        <v>780.56210406977596</v>
      </c>
      <c r="S149" s="4">
        <v>0</v>
      </c>
      <c r="T149" s="4">
        <v>0</v>
      </c>
      <c r="U149" s="4">
        <v>0.22768862636757201</v>
      </c>
      <c r="V149" s="4">
        <v>0</v>
      </c>
      <c r="W149" s="4">
        <v>0</v>
      </c>
      <c r="X149" s="4">
        <v>0.71399456924282201</v>
      </c>
      <c r="Y149" s="4">
        <v>0</v>
      </c>
      <c r="Z149" s="5">
        <v>3.6600119737039398E-4</v>
      </c>
      <c r="AA149" s="5">
        <v>4.4028749622839902E-5</v>
      </c>
      <c r="AB149" s="10">
        <v>5.3939822504160103E-3</v>
      </c>
      <c r="AC149" s="10">
        <v>7.3101586767819702E-6</v>
      </c>
      <c r="AD149" s="10">
        <v>1.8831320374113999E-2</v>
      </c>
      <c r="AE149" s="4">
        <v>0.102055257988584</v>
      </c>
      <c r="AF149" s="4">
        <v>6.7915560888004406E-2</v>
      </c>
      <c r="AG149" s="4">
        <v>0.92503791027090299</v>
      </c>
      <c r="AH149" s="4">
        <v>0.99162115851473698</v>
      </c>
      <c r="AI149" s="4">
        <v>1</v>
      </c>
      <c r="AJ149" s="4">
        <v>1</v>
      </c>
      <c r="AK149" s="4">
        <v>1</v>
      </c>
      <c r="AL149" s="4">
        <v>1</v>
      </c>
      <c r="AM149" s="4">
        <v>0</v>
      </c>
      <c r="AN149" s="4">
        <v>0</v>
      </c>
      <c r="AO149" s="4" t="s">
        <v>143</v>
      </c>
      <c r="AP149" s="4">
        <v>43388</v>
      </c>
      <c r="AQ149" s="6">
        <v>3731711390.5300002</v>
      </c>
      <c r="AR149" s="4">
        <v>12660</v>
      </c>
      <c r="AS149" s="15">
        <v>100</v>
      </c>
      <c r="AT149" s="15">
        <v>0</v>
      </c>
      <c r="AU149" s="15">
        <v>100</v>
      </c>
      <c r="AV149" s="15">
        <v>0</v>
      </c>
      <c r="AW149" s="15">
        <v>0</v>
      </c>
      <c r="AX149" s="15">
        <v>0</v>
      </c>
    </row>
    <row r="150" spans="1:50" x14ac:dyDescent="0.25">
      <c r="A150">
        <v>96</v>
      </c>
      <c r="B150" s="4">
        <v>0.97407111062206597</v>
      </c>
      <c r="C150" s="4">
        <v>22.1020741273033</v>
      </c>
      <c r="D150" s="4">
        <v>27.039473927808999</v>
      </c>
      <c r="E150" s="4">
        <v>2.05991171039458E-2</v>
      </c>
      <c r="F150" s="5">
        <v>2.5928889377933199E-2</v>
      </c>
      <c r="G150" s="5">
        <v>0</v>
      </c>
      <c r="H150" s="4">
        <v>3.7702087844635699</v>
      </c>
      <c r="I150" s="4">
        <v>3.82632711869369</v>
      </c>
      <c r="J150" s="4">
        <v>-28.959175416186699</v>
      </c>
      <c r="K150" s="4">
        <v>17.5001164285508</v>
      </c>
      <c r="L150" s="4">
        <v>13.734289300708999</v>
      </c>
      <c r="M150" s="4">
        <v>16.664462522079901</v>
      </c>
      <c r="N150" s="4">
        <v>67.006821897450095</v>
      </c>
      <c r="O150" s="4">
        <v>58.877310887666702</v>
      </c>
      <c r="P150" s="4">
        <v>309456.94920062402</v>
      </c>
      <c r="Q150" s="4">
        <v>290646.95349901897</v>
      </c>
      <c r="R150" s="4">
        <v>780.42452214288699</v>
      </c>
      <c r="S150" s="4">
        <v>0</v>
      </c>
      <c r="T150" s="4">
        <v>0</v>
      </c>
      <c r="U150" s="4">
        <v>0.22507980515894099</v>
      </c>
      <c r="V150" s="4">
        <v>0</v>
      </c>
      <c r="W150" s="4">
        <v>0</v>
      </c>
      <c r="X150" s="4">
        <v>0.709411738345195</v>
      </c>
      <c r="Y150" s="4">
        <v>0</v>
      </c>
      <c r="Z150" s="5">
        <v>3.6583591543634197E-4</v>
      </c>
      <c r="AA150" s="5">
        <v>4.5257751268169897E-5</v>
      </c>
      <c r="AB150" s="10">
        <v>5.4132136837259101E-3</v>
      </c>
      <c r="AC150" s="10">
        <v>9.1615112908753395E-6</v>
      </c>
      <c r="AD150" s="10">
        <v>2.0095406050080099E-2</v>
      </c>
      <c r="AE150" s="4">
        <v>0.103384816850663</v>
      </c>
      <c r="AF150" s="4">
        <v>7.10253760820274E-2</v>
      </c>
      <c r="AG150" s="4">
        <v>0.92095468735345298</v>
      </c>
      <c r="AH150" s="4">
        <v>0.990222545905865</v>
      </c>
      <c r="AI150" s="4">
        <v>1</v>
      </c>
      <c r="AJ150" s="4">
        <v>1</v>
      </c>
      <c r="AK150" s="4">
        <v>1</v>
      </c>
      <c r="AL150" s="4">
        <v>1</v>
      </c>
      <c r="AM150" s="4">
        <v>0</v>
      </c>
      <c r="AN150" s="4">
        <v>0</v>
      </c>
      <c r="AO150" s="4" t="s">
        <v>144</v>
      </c>
      <c r="AP150" s="4" t="s">
        <v>128</v>
      </c>
      <c r="AQ150" s="6">
        <v>3853397309.4899998</v>
      </c>
      <c r="AR150" s="4">
        <v>13258</v>
      </c>
      <c r="AS150" s="15">
        <v>100</v>
      </c>
      <c r="AT150" s="15">
        <v>0</v>
      </c>
      <c r="AU150" s="15">
        <v>100</v>
      </c>
      <c r="AV150" s="15">
        <v>0</v>
      </c>
      <c r="AW150" s="15">
        <v>0</v>
      </c>
      <c r="AX150" s="15">
        <v>0</v>
      </c>
    </row>
    <row r="151" spans="1:50" x14ac:dyDescent="0.25">
      <c r="A151">
        <v>96</v>
      </c>
      <c r="B151" s="4">
        <v>0.97280268837766803</v>
      </c>
      <c r="C151" s="4">
        <v>22.682516231668401</v>
      </c>
      <c r="D151" s="4">
        <v>28.171442391808199</v>
      </c>
      <c r="E151" s="4">
        <v>2.1209356166096999E-2</v>
      </c>
      <c r="F151" s="5">
        <v>2.7197311622331601E-2</v>
      </c>
      <c r="G151" s="5">
        <v>0</v>
      </c>
      <c r="H151" s="4">
        <v>3.8240921079235002</v>
      </c>
      <c r="I151" s="4">
        <v>3.82037383217033</v>
      </c>
      <c r="J151" s="4">
        <v>-25.925003572563799</v>
      </c>
      <c r="K151" s="4">
        <v>22.488530607683099</v>
      </c>
      <c r="L151" s="4">
        <v>13.878578451025501</v>
      </c>
      <c r="M151" s="4">
        <v>16.730958632466201</v>
      </c>
      <c r="N151" s="4">
        <v>71.299151621491404</v>
      </c>
      <c r="O151" s="4">
        <v>62.7005039989618</v>
      </c>
      <c r="P151" s="4">
        <v>305355.70843983401</v>
      </c>
      <c r="Q151" s="4">
        <v>287632.387117429</v>
      </c>
      <c r="R151" s="4">
        <v>779.576525988772</v>
      </c>
      <c r="S151" s="4">
        <v>0</v>
      </c>
      <c r="T151" s="4">
        <v>0</v>
      </c>
      <c r="U151" s="4">
        <v>0.23416700757262501</v>
      </c>
      <c r="V151" s="4">
        <v>0</v>
      </c>
      <c r="W151" s="4">
        <v>0</v>
      </c>
      <c r="X151" s="4">
        <v>0.63976586352607401</v>
      </c>
      <c r="Y151" s="4">
        <v>0</v>
      </c>
      <c r="Z151" s="5">
        <v>3.6540967287679798E-4</v>
      </c>
      <c r="AA151" s="5">
        <v>4.9480736783165302E-5</v>
      </c>
      <c r="AB151" s="10">
        <v>5.4207146019774697E-3</v>
      </c>
      <c r="AC151" s="10">
        <v>1.2126789092075201E-5</v>
      </c>
      <c r="AD151" s="10">
        <v>2.1349565409279399E-2</v>
      </c>
      <c r="AE151" s="4">
        <v>0.10276232109988601</v>
      </c>
      <c r="AF151" s="4">
        <v>7.67158919748092E-2</v>
      </c>
      <c r="AG151" s="4">
        <v>0.92016769950817401</v>
      </c>
      <c r="AH151" s="4">
        <v>0.98817962387328195</v>
      </c>
      <c r="AI151" s="4">
        <v>1</v>
      </c>
      <c r="AJ151" s="4">
        <v>1</v>
      </c>
      <c r="AK151" s="4">
        <v>1</v>
      </c>
      <c r="AL151" s="4">
        <v>1</v>
      </c>
      <c r="AM151" s="4">
        <v>0</v>
      </c>
      <c r="AN151" s="4">
        <v>0</v>
      </c>
      <c r="AO151" s="4" t="s">
        <v>68</v>
      </c>
      <c r="AP151" s="4" t="s">
        <v>69</v>
      </c>
      <c r="AQ151" s="6">
        <v>3975367222.3499999</v>
      </c>
      <c r="AR151" s="4">
        <v>13821</v>
      </c>
      <c r="AS151" s="15">
        <v>100</v>
      </c>
      <c r="AT151" s="15">
        <v>0</v>
      </c>
      <c r="AU151" s="15">
        <v>100</v>
      </c>
      <c r="AV151" s="15">
        <v>0</v>
      </c>
      <c r="AW151" s="15">
        <v>0</v>
      </c>
      <c r="AX151" s="15">
        <v>0</v>
      </c>
    </row>
    <row r="152" spans="1:50" x14ac:dyDescent="0.25">
      <c r="A152">
        <v>96</v>
      </c>
      <c r="B152" s="4">
        <v>0.97091588965605602</v>
      </c>
      <c r="C152" s="4">
        <v>26.052643474255699</v>
      </c>
      <c r="D152" s="4">
        <v>29.825503734905901</v>
      </c>
      <c r="E152" s="4">
        <v>2.4837734184343499E-2</v>
      </c>
      <c r="F152" s="5">
        <v>2.90841103439431E-2</v>
      </c>
      <c r="G152" s="5">
        <v>0</v>
      </c>
      <c r="H152" s="4">
        <v>3.8611126129651101</v>
      </c>
      <c r="I152" s="4">
        <v>3.8194514904279799</v>
      </c>
      <c r="J152" s="4">
        <v>-24.704014558083198</v>
      </c>
      <c r="K152" s="4">
        <v>27.484782323807899</v>
      </c>
      <c r="L152" s="4">
        <v>13.8672623445855</v>
      </c>
      <c r="M152" s="4">
        <v>16.937149611302701</v>
      </c>
      <c r="N152" s="4">
        <v>68.706808856207701</v>
      </c>
      <c r="O152" s="4">
        <v>60.315486856258303</v>
      </c>
      <c r="P152" s="4">
        <v>307000.71113092598</v>
      </c>
      <c r="Q152" s="4">
        <v>287869.18382892001</v>
      </c>
      <c r="R152" s="4">
        <v>779.88714701458503</v>
      </c>
      <c r="S152" s="4">
        <v>0</v>
      </c>
      <c r="T152" s="4">
        <v>0</v>
      </c>
      <c r="U152" s="4">
        <v>0.243128758662252</v>
      </c>
      <c r="V152" s="4">
        <v>0</v>
      </c>
      <c r="W152" s="4">
        <v>0</v>
      </c>
      <c r="X152" s="4">
        <v>0.64958666310638802</v>
      </c>
      <c r="Y152" s="4">
        <v>0</v>
      </c>
      <c r="Z152" s="5">
        <v>3.6641857159212398E-4</v>
      </c>
      <c r="AA152" s="5">
        <v>5.1789911127898099E-5</v>
      </c>
      <c r="AB152" s="10">
        <v>5.4098707892477997E-3</v>
      </c>
      <c r="AC152" s="10">
        <v>1.5751935176496499E-5</v>
      </c>
      <c r="AD152" s="10">
        <v>2.3240264674665601E-2</v>
      </c>
      <c r="AE152" s="4">
        <v>0.10434004029819199</v>
      </c>
      <c r="AF152" s="4">
        <v>7.4891196272299204E-2</v>
      </c>
      <c r="AG152" s="4">
        <v>0.913721971466537</v>
      </c>
      <c r="AH152" s="4">
        <v>0.98287058768317304</v>
      </c>
      <c r="AI152" s="4">
        <v>1</v>
      </c>
      <c r="AJ152" s="4">
        <v>1</v>
      </c>
      <c r="AK152" s="4">
        <v>1</v>
      </c>
      <c r="AL152" s="4">
        <v>1</v>
      </c>
      <c r="AM152" s="4">
        <v>0</v>
      </c>
      <c r="AN152" s="4">
        <v>0</v>
      </c>
      <c r="AO152" s="4" t="s">
        <v>145</v>
      </c>
      <c r="AP152" s="4" t="s">
        <v>129</v>
      </c>
      <c r="AQ152" s="6">
        <v>4098969308.54</v>
      </c>
      <c r="AR152" s="4">
        <v>14239</v>
      </c>
      <c r="AS152" s="15">
        <v>100</v>
      </c>
      <c r="AT152" s="15">
        <v>0</v>
      </c>
      <c r="AU152" s="15">
        <v>100</v>
      </c>
      <c r="AV152" s="15">
        <v>0</v>
      </c>
      <c r="AW152" s="15">
        <v>0</v>
      </c>
      <c r="AX152" s="15">
        <v>0</v>
      </c>
    </row>
    <row r="153" spans="1:50" x14ac:dyDescent="0.25">
      <c r="A153">
        <v>96</v>
      </c>
      <c r="B153" s="4">
        <v>0.96929772782950696</v>
      </c>
      <c r="C153" s="4">
        <v>22.490237139460199</v>
      </c>
      <c r="D153" s="4">
        <v>31.216172869596601</v>
      </c>
      <c r="E153" s="4">
        <v>2.1006742655641598E-2</v>
      </c>
      <c r="F153" s="5">
        <v>3.0702272170492598E-2</v>
      </c>
      <c r="G153" s="5">
        <v>0</v>
      </c>
      <c r="H153" s="4">
        <v>3.91736798966644</v>
      </c>
      <c r="I153" s="4">
        <v>3.8193358112858999</v>
      </c>
      <c r="J153" s="4">
        <v>-21.934467391382</v>
      </c>
      <c r="K153" s="4">
        <v>32.5186468839754</v>
      </c>
      <c r="L153" s="4">
        <v>13.9561752187898</v>
      </c>
      <c r="M153" s="4">
        <v>16.961321709034799</v>
      </c>
      <c r="N153" s="4">
        <v>70.695176096170101</v>
      </c>
      <c r="O153" s="4">
        <v>62.147244938279698</v>
      </c>
      <c r="P153" s="4">
        <v>304453.943074312</v>
      </c>
      <c r="Q153" s="4">
        <v>286030.88975569</v>
      </c>
      <c r="R153" s="4">
        <v>778.75186159307998</v>
      </c>
      <c r="S153" s="4">
        <v>0</v>
      </c>
      <c r="T153" s="4">
        <v>0</v>
      </c>
      <c r="U153" s="4">
        <v>0.24836268815037299</v>
      </c>
      <c r="V153" s="4">
        <v>0</v>
      </c>
      <c r="W153" s="4">
        <v>0</v>
      </c>
      <c r="X153" s="4">
        <v>0.60559434904104303</v>
      </c>
      <c r="Y153" s="4">
        <v>0</v>
      </c>
      <c r="Z153" s="5">
        <v>3.6635310301787302E-4</v>
      </c>
      <c r="AA153" s="5">
        <v>5.7775306902587201E-5</v>
      </c>
      <c r="AB153" s="10">
        <v>5.4354146096802702E-3</v>
      </c>
      <c r="AC153" s="10">
        <v>1.71104145557818E-5</v>
      </c>
      <c r="AD153" s="10">
        <v>2.4825604269244E-2</v>
      </c>
      <c r="AE153" s="4">
        <v>0.103197377359521</v>
      </c>
      <c r="AF153" s="4">
        <v>8.5516318969606805E-2</v>
      </c>
      <c r="AG153" s="4">
        <v>0.91107804620274202</v>
      </c>
      <c r="AH153" s="4">
        <v>0.98361541189416501</v>
      </c>
      <c r="AI153" s="4">
        <v>1</v>
      </c>
      <c r="AJ153" s="4">
        <v>1</v>
      </c>
      <c r="AK153" s="4">
        <v>1</v>
      </c>
      <c r="AL153" s="4">
        <v>1</v>
      </c>
      <c r="AM153" s="4">
        <v>0</v>
      </c>
      <c r="AN153" s="4">
        <v>0</v>
      </c>
      <c r="AO153" s="4" t="s">
        <v>146</v>
      </c>
      <c r="AP153" s="4" t="s">
        <v>130</v>
      </c>
      <c r="AQ153" s="6">
        <v>4109405793.1199999</v>
      </c>
      <c r="AR153" s="4">
        <v>14367</v>
      </c>
      <c r="AS153" s="15">
        <v>100</v>
      </c>
      <c r="AT153" s="15">
        <v>0</v>
      </c>
      <c r="AU153" s="15">
        <v>100</v>
      </c>
      <c r="AV153" s="15">
        <v>0</v>
      </c>
      <c r="AW153" s="15">
        <v>0</v>
      </c>
      <c r="AX153" s="15">
        <v>0</v>
      </c>
    </row>
    <row r="154" spans="1:50" x14ac:dyDescent="0.25">
      <c r="A154">
        <v>96</v>
      </c>
      <c r="B154" s="4">
        <v>0.96777016537880201</v>
      </c>
      <c r="C154" s="4">
        <v>28.0736373503028</v>
      </c>
      <c r="D154" s="4">
        <v>32.505753466574099</v>
      </c>
      <c r="E154" s="4">
        <v>2.70869960746036E-2</v>
      </c>
      <c r="F154" s="5">
        <v>3.2229834621197502E-2</v>
      </c>
      <c r="G154" s="5">
        <v>0</v>
      </c>
      <c r="H154" s="4">
        <v>3.9727195712768801</v>
      </c>
      <c r="I154" s="4">
        <v>3.8255134569547402</v>
      </c>
      <c r="J154" s="4">
        <v>-20.0348662669006</v>
      </c>
      <c r="K154" s="4">
        <v>37.512331583634101</v>
      </c>
      <c r="L154" s="4">
        <v>14.1363594889034</v>
      </c>
      <c r="M154" s="4">
        <v>17.193102355021299</v>
      </c>
      <c r="N154" s="4">
        <v>71.539238825730706</v>
      </c>
      <c r="O154" s="4">
        <v>62.764265919472898</v>
      </c>
      <c r="P154" s="4">
        <v>300857.71973774198</v>
      </c>
      <c r="Q154" s="4">
        <v>282400.23710708402</v>
      </c>
      <c r="R154" s="4">
        <v>778.62839728514098</v>
      </c>
      <c r="S154" s="4">
        <v>0</v>
      </c>
      <c r="T154" s="4">
        <v>0</v>
      </c>
      <c r="U154" s="4">
        <v>0.25340713691594202</v>
      </c>
      <c r="V154" s="4">
        <v>0</v>
      </c>
      <c r="W154" s="4">
        <v>0</v>
      </c>
      <c r="X154" s="4">
        <v>0.56893055477157095</v>
      </c>
      <c r="Y154" s="4">
        <v>0</v>
      </c>
      <c r="Z154" s="5">
        <v>3.6740262770408897E-4</v>
      </c>
      <c r="AA154" s="5">
        <v>6.2821339942183304E-5</v>
      </c>
      <c r="AB154" s="10">
        <v>5.4848605028229701E-3</v>
      </c>
      <c r="AC154" s="10">
        <v>2.0901031420757101E-5</v>
      </c>
      <c r="AD154" s="10">
        <v>2.6293834522706099E-2</v>
      </c>
      <c r="AE154" s="4">
        <v>0.10447481163816601</v>
      </c>
      <c r="AF154" s="4">
        <v>8.0848157793602396E-2</v>
      </c>
      <c r="AG154" s="4">
        <v>0.90455391494411697</v>
      </c>
      <c r="AH154" s="4">
        <v>0.98152930964643403</v>
      </c>
      <c r="AI154" s="4">
        <v>1</v>
      </c>
      <c r="AJ154" s="4">
        <v>1</v>
      </c>
      <c r="AK154" s="4">
        <v>1</v>
      </c>
      <c r="AL154" s="4">
        <v>1</v>
      </c>
      <c r="AM154" s="4">
        <v>0</v>
      </c>
      <c r="AN154" s="4">
        <v>0</v>
      </c>
      <c r="AO154" s="4" t="s">
        <v>147</v>
      </c>
      <c r="AP154" s="4" t="s">
        <v>131</v>
      </c>
      <c r="AQ154" s="6">
        <v>3958404123.5300002</v>
      </c>
      <c r="AR154" s="4">
        <v>14017</v>
      </c>
      <c r="AS154" s="15">
        <v>100</v>
      </c>
      <c r="AT154" s="15">
        <v>0</v>
      </c>
      <c r="AU154" s="15">
        <v>100</v>
      </c>
      <c r="AV154" s="15">
        <v>0</v>
      </c>
      <c r="AW154" s="15">
        <v>0</v>
      </c>
      <c r="AX154" s="15">
        <v>0</v>
      </c>
    </row>
    <row r="155" spans="1:50" x14ac:dyDescent="0.25">
      <c r="A155">
        <v>96</v>
      </c>
      <c r="B155" s="4">
        <v>0.96613071957908603</v>
      </c>
      <c r="C155" s="4">
        <v>28.1884089294037</v>
      </c>
      <c r="D155" s="4">
        <v>33.865100715743303</v>
      </c>
      <c r="E155" s="4">
        <v>2.72164624089236E-2</v>
      </c>
      <c r="F155" s="5">
        <v>3.3869280420913701E-2</v>
      </c>
      <c r="G155" s="5">
        <v>0</v>
      </c>
      <c r="H155" s="4">
        <v>4.0172407653346198</v>
      </c>
      <c r="I155" s="4">
        <v>3.8247546284457101</v>
      </c>
      <c r="J155" s="4">
        <v>-18.5028911927072</v>
      </c>
      <c r="K155" s="4">
        <v>42.505751945459203</v>
      </c>
      <c r="L155" s="4">
        <v>14.3676603193828</v>
      </c>
      <c r="M155" s="4">
        <v>17.2985420231097</v>
      </c>
      <c r="N155" s="4">
        <v>70.978622454565794</v>
      </c>
      <c r="O155" s="4">
        <v>62.304936535538197</v>
      </c>
      <c r="P155" s="4">
        <v>295678.37019725598</v>
      </c>
      <c r="Q155" s="4">
        <v>277858.84915209003</v>
      </c>
      <c r="R155" s="4">
        <v>778.433851353671</v>
      </c>
      <c r="S155" s="4">
        <v>0</v>
      </c>
      <c r="T155" s="4">
        <v>0</v>
      </c>
      <c r="U155" s="4">
        <v>0.27104619679289399</v>
      </c>
      <c r="V155" s="4">
        <v>0</v>
      </c>
      <c r="W155" s="4">
        <v>0</v>
      </c>
      <c r="X155" s="4">
        <v>0.54695527010382805</v>
      </c>
      <c r="Y155" s="4">
        <v>0</v>
      </c>
      <c r="Z155" s="5">
        <v>3.66573360181903E-4</v>
      </c>
      <c r="AA155" s="5">
        <v>6.4844543864810397E-5</v>
      </c>
      <c r="AB155" s="10">
        <v>5.54902513201673E-3</v>
      </c>
      <c r="AC155" s="10">
        <v>2.7576740077698799E-5</v>
      </c>
      <c r="AD155" s="10">
        <v>2.7861246158246498E-2</v>
      </c>
      <c r="AE155" s="4">
        <v>0.104918071305224</v>
      </c>
      <c r="AF155" s="4">
        <v>9.06558499241963E-2</v>
      </c>
      <c r="AG155" s="4">
        <v>0.89679488273792096</v>
      </c>
      <c r="AH155" s="4">
        <v>0.97711291794954303</v>
      </c>
      <c r="AI155" s="4">
        <v>1</v>
      </c>
      <c r="AJ155" s="4">
        <v>1</v>
      </c>
      <c r="AK155" s="4">
        <v>1</v>
      </c>
      <c r="AL155" s="4">
        <v>1</v>
      </c>
      <c r="AM155" s="4">
        <v>0</v>
      </c>
      <c r="AN155" s="4">
        <v>0</v>
      </c>
      <c r="AO155" s="4" t="s">
        <v>148</v>
      </c>
      <c r="AP155" s="4" t="s">
        <v>132</v>
      </c>
      <c r="AQ155" s="6">
        <v>3860292991.27</v>
      </c>
      <c r="AR155" s="4">
        <v>13893</v>
      </c>
      <c r="AS155" s="15">
        <v>100</v>
      </c>
      <c r="AT155" s="15">
        <v>0</v>
      </c>
      <c r="AU155" s="15">
        <v>100</v>
      </c>
      <c r="AV155" s="15">
        <v>0</v>
      </c>
      <c r="AW155" s="15">
        <v>0</v>
      </c>
      <c r="AX155" s="15">
        <v>0</v>
      </c>
    </row>
    <row r="156" spans="1:50" x14ac:dyDescent="0.25">
      <c r="A156">
        <v>96</v>
      </c>
      <c r="B156" s="4">
        <v>0.96418860205601997</v>
      </c>
      <c r="C156" s="4">
        <v>27.031937639273099</v>
      </c>
      <c r="D156" s="4">
        <v>35.442913955022298</v>
      </c>
      <c r="E156" s="4">
        <v>2.5920505239930999E-2</v>
      </c>
      <c r="F156" s="5">
        <v>3.5811397943979098E-2</v>
      </c>
      <c r="G156" s="5">
        <v>0</v>
      </c>
      <c r="H156" s="4">
        <v>4.06128823727314</v>
      </c>
      <c r="I156" s="4">
        <v>3.8182087684673198</v>
      </c>
      <c r="J156" s="4">
        <v>-15.7713137408295</v>
      </c>
      <c r="K156" s="4">
        <v>47.461826944068903</v>
      </c>
      <c r="L156" s="4">
        <v>14.1796328036767</v>
      </c>
      <c r="M156" s="4">
        <v>17.4582326708803</v>
      </c>
      <c r="N156" s="4">
        <v>73.222493697471194</v>
      </c>
      <c r="O156" s="4">
        <v>64.178052022157701</v>
      </c>
      <c r="P156" s="4">
        <v>300122.87224109698</v>
      </c>
      <c r="Q156" s="4">
        <v>281545.65192713501</v>
      </c>
      <c r="R156" s="4">
        <v>778.26480529275102</v>
      </c>
      <c r="S156" s="4">
        <v>0</v>
      </c>
      <c r="T156" s="4">
        <v>0</v>
      </c>
      <c r="U156" s="4">
        <v>0.28966430658957998</v>
      </c>
      <c r="V156" s="4">
        <v>0</v>
      </c>
      <c r="W156" s="4">
        <v>0</v>
      </c>
      <c r="X156" s="4">
        <v>0.51534084637724697</v>
      </c>
      <c r="Y156" s="4">
        <v>0</v>
      </c>
      <c r="Z156" s="5">
        <v>3.66896993138142E-4</v>
      </c>
      <c r="AA156" s="5">
        <v>6.9321491340955399E-5</v>
      </c>
      <c r="AB156" s="10">
        <v>5.5216338077210799E-3</v>
      </c>
      <c r="AC156" s="10">
        <v>3.4076193760189998E-5</v>
      </c>
      <c r="AD156" s="10">
        <v>2.9819454737983499E-2</v>
      </c>
      <c r="AE156" s="4">
        <v>0.10653619269982</v>
      </c>
      <c r="AF156" s="4">
        <v>8.2188735068784005E-2</v>
      </c>
      <c r="AG156" s="4">
        <v>0.88760885142716095</v>
      </c>
      <c r="AH156" s="4">
        <v>0.97488923266182803</v>
      </c>
      <c r="AI156" s="4">
        <v>1</v>
      </c>
      <c r="AJ156" s="4">
        <v>1</v>
      </c>
      <c r="AK156" s="4">
        <v>1</v>
      </c>
      <c r="AL156" s="4">
        <v>1</v>
      </c>
      <c r="AM156" s="4">
        <v>0</v>
      </c>
      <c r="AN156" s="4">
        <v>0</v>
      </c>
      <c r="AO156" s="4" t="s">
        <v>70</v>
      </c>
      <c r="AP156" s="4" t="s">
        <v>71</v>
      </c>
      <c r="AQ156" s="6">
        <v>3948959313.9299998</v>
      </c>
      <c r="AR156" s="4">
        <v>14026</v>
      </c>
      <c r="AS156" s="15">
        <v>100</v>
      </c>
      <c r="AT156" s="15">
        <v>0</v>
      </c>
      <c r="AU156" s="15">
        <v>100</v>
      </c>
      <c r="AV156" s="15">
        <v>0</v>
      </c>
      <c r="AW156" s="15">
        <v>0</v>
      </c>
      <c r="AX156" s="15">
        <v>0</v>
      </c>
    </row>
    <row r="157" spans="1:50" x14ac:dyDescent="0.25">
      <c r="A157">
        <v>96</v>
      </c>
      <c r="B157" s="4">
        <v>0.96227819688444904</v>
      </c>
      <c r="C157" s="4">
        <v>29.6342330674496</v>
      </c>
      <c r="D157" s="4">
        <v>36.961227353288599</v>
      </c>
      <c r="E157" s="4">
        <v>2.88638544730737E-2</v>
      </c>
      <c r="F157" s="5">
        <v>3.7721803115550699E-2</v>
      </c>
      <c r="G157" s="5">
        <v>0</v>
      </c>
      <c r="H157" s="4">
        <v>4.1003164083301504</v>
      </c>
      <c r="I157" s="4">
        <v>3.8168105935939201</v>
      </c>
      <c r="J157" s="4">
        <v>-14.200618173714</v>
      </c>
      <c r="K157" s="4">
        <v>52.451011568242599</v>
      </c>
      <c r="L157" s="4">
        <v>14.4226297374186</v>
      </c>
      <c r="M157" s="4">
        <v>17.6518738663428</v>
      </c>
      <c r="N157" s="4">
        <v>71.682711363442294</v>
      </c>
      <c r="O157" s="4">
        <v>62.656961920683798</v>
      </c>
      <c r="P157" s="4">
        <v>295482.630585576</v>
      </c>
      <c r="Q157" s="4">
        <v>276804.90373692103</v>
      </c>
      <c r="R157" s="4">
        <v>778.19195304328105</v>
      </c>
      <c r="S157" s="4">
        <v>0</v>
      </c>
      <c r="T157" s="4">
        <v>0</v>
      </c>
      <c r="U157" s="4">
        <v>0.29163470827083299</v>
      </c>
      <c r="V157" s="4">
        <v>0</v>
      </c>
      <c r="W157" s="4">
        <v>0</v>
      </c>
      <c r="X157" s="4">
        <v>0.53942584011191796</v>
      </c>
      <c r="Y157" s="4">
        <v>0</v>
      </c>
      <c r="Z157" s="5">
        <v>3.6722608037085999E-4</v>
      </c>
      <c r="AA157" s="5">
        <v>6.8901375280910497E-5</v>
      </c>
      <c r="AB157" s="10">
        <v>5.5799862449219901E-3</v>
      </c>
      <c r="AC157" s="10">
        <v>4.2674639734428902E-5</v>
      </c>
      <c r="AD157" s="10">
        <v>3.1663000044790397E-2</v>
      </c>
      <c r="AE157" s="4">
        <v>0.10880777914789901</v>
      </c>
      <c r="AF157" s="4">
        <v>7.2614864233246104E-2</v>
      </c>
      <c r="AG157" s="4">
        <v>0.87931908099335698</v>
      </c>
      <c r="AH157" s="4">
        <v>0.96952068078251397</v>
      </c>
      <c r="AI157" s="4">
        <v>1</v>
      </c>
      <c r="AJ157" s="4">
        <v>1</v>
      </c>
      <c r="AK157" s="4">
        <v>1</v>
      </c>
      <c r="AL157" s="4">
        <v>1</v>
      </c>
      <c r="AM157" s="4">
        <v>0</v>
      </c>
      <c r="AN157" s="4">
        <v>0</v>
      </c>
      <c r="AO157" s="4" t="s">
        <v>149</v>
      </c>
      <c r="AP157" s="4" t="s">
        <v>133</v>
      </c>
      <c r="AQ157" s="6">
        <v>3465874199.6900001</v>
      </c>
      <c r="AR157" s="4">
        <v>12521</v>
      </c>
      <c r="AS157" s="15">
        <v>100</v>
      </c>
      <c r="AT157" s="15">
        <v>0</v>
      </c>
      <c r="AU157" s="15">
        <v>100</v>
      </c>
      <c r="AV157" s="15">
        <v>0</v>
      </c>
      <c r="AW157" s="15">
        <v>0</v>
      </c>
      <c r="AX157" s="15">
        <v>0</v>
      </c>
    </row>
    <row r="158" spans="1:50" x14ac:dyDescent="0.25">
      <c r="A158">
        <v>96</v>
      </c>
      <c r="B158" s="4">
        <v>0.95995476622947595</v>
      </c>
      <c r="C158" s="4">
        <v>34.135848168081601</v>
      </c>
      <c r="D158" s="4">
        <v>38.763659256087102</v>
      </c>
      <c r="E158" s="4">
        <v>3.41995013451371E-2</v>
      </c>
      <c r="F158" s="5">
        <v>4.0045233770523103E-2</v>
      </c>
      <c r="G158" s="5">
        <v>0</v>
      </c>
      <c r="H158" s="4">
        <v>4.1346219759152101</v>
      </c>
      <c r="I158" s="4">
        <v>3.80696287878928</v>
      </c>
      <c r="J158" s="4">
        <v>-11.4144174243261</v>
      </c>
      <c r="K158" s="4">
        <v>57.465569603175403</v>
      </c>
      <c r="L158" s="4">
        <v>14.0244414869401</v>
      </c>
      <c r="M158" s="4">
        <v>17.6061363182964</v>
      </c>
      <c r="N158" s="4">
        <v>73.524392289876701</v>
      </c>
      <c r="O158" s="4">
        <v>64.241332809274994</v>
      </c>
      <c r="P158" s="4">
        <v>301926.45494258503</v>
      </c>
      <c r="Q158" s="4">
        <v>284664.88610976801</v>
      </c>
      <c r="R158" s="4">
        <v>777.68739726868603</v>
      </c>
      <c r="S158" s="4">
        <v>0</v>
      </c>
      <c r="T158" s="4">
        <v>0</v>
      </c>
      <c r="U158" s="4">
        <v>0.31006980816466401</v>
      </c>
      <c r="V158" s="4">
        <v>0</v>
      </c>
      <c r="W158" s="4">
        <v>0</v>
      </c>
      <c r="X158" s="4">
        <v>0.52602402303007401</v>
      </c>
      <c r="Y158" s="4">
        <v>0</v>
      </c>
      <c r="Z158" s="5">
        <v>3.6593883833652298E-4</v>
      </c>
      <c r="AA158" s="5">
        <v>7.1819514113375798E-5</v>
      </c>
      <c r="AB158" s="10">
        <v>5.5331354602380896E-3</v>
      </c>
      <c r="AC158" s="10">
        <v>5.4440637995294501E-5</v>
      </c>
      <c r="AD158" s="10">
        <v>3.4019884496903498E-2</v>
      </c>
      <c r="AE158" s="4">
        <v>0.109830046660727</v>
      </c>
      <c r="AF158" s="4">
        <v>6.9941608858275398E-2</v>
      </c>
      <c r="AG158" s="4">
        <v>0.86764494571366302</v>
      </c>
      <c r="AH158" s="4">
        <v>0.96112622199606701</v>
      </c>
      <c r="AI158" s="4">
        <v>1</v>
      </c>
      <c r="AJ158" s="4">
        <v>1</v>
      </c>
      <c r="AK158" s="4">
        <v>1</v>
      </c>
      <c r="AL158" s="4">
        <v>1</v>
      </c>
      <c r="AM158" s="4">
        <v>0</v>
      </c>
      <c r="AN158" s="4">
        <v>0</v>
      </c>
      <c r="AO158" s="4" t="s">
        <v>150</v>
      </c>
      <c r="AP158" s="4" t="s">
        <v>134</v>
      </c>
      <c r="AQ158" s="6">
        <v>3179422112.96</v>
      </c>
      <c r="AR158" s="4">
        <v>11169</v>
      </c>
      <c r="AS158" s="15">
        <v>100</v>
      </c>
      <c r="AT158" s="15">
        <v>0</v>
      </c>
      <c r="AU158" s="15">
        <v>100</v>
      </c>
      <c r="AV158" s="15">
        <v>0</v>
      </c>
      <c r="AW158" s="15">
        <v>0</v>
      </c>
      <c r="AX158" s="15">
        <v>0</v>
      </c>
    </row>
    <row r="159" spans="1:50" x14ac:dyDescent="0.25">
      <c r="A159">
        <v>96</v>
      </c>
      <c r="B159" s="4">
        <v>0.95791097476306497</v>
      </c>
      <c r="C159" s="4">
        <v>33.963542585960802</v>
      </c>
      <c r="D159" s="4">
        <v>40.309971277890902</v>
      </c>
      <c r="E159" s="4">
        <v>3.39892028106265E-2</v>
      </c>
      <c r="F159" s="5">
        <v>4.2089025236934502E-2</v>
      </c>
      <c r="G159" s="5">
        <v>0</v>
      </c>
      <c r="H159" s="4">
        <v>4.1641574392493501</v>
      </c>
      <c r="I159" s="4">
        <v>3.8010370982277002</v>
      </c>
      <c r="J159" s="4">
        <v>-8.83624612559057</v>
      </c>
      <c r="K159" s="4">
        <v>62.397341437223901</v>
      </c>
      <c r="L159" s="4">
        <v>13.9241568569749</v>
      </c>
      <c r="M159" s="4">
        <v>17.810219142718601</v>
      </c>
      <c r="N159" s="4">
        <v>74.4438212014187</v>
      </c>
      <c r="O159" s="4">
        <v>64.926923419564901</v>
      </c>
      <c r="P159" s="4">
        <v>305289.39992462401</v>
      </c>
      <c r="Q159" s="4">
        <v>286718.824101843</v>
      </c>
      <c r="R159" s="4">
        <v>777.459604018204</v>
      </c>
      <c r="S159" s="4">
        <v>0</v>
      </c>
      <c r="T159" s="4">
        <v>0</v>
      </c>
      <c r="U159" s="4">
        <v>0.31728514555209802</v>
      </c>
      <c r="V159" s="4">
        <v>0</v>
      </c>
      <c r="W159" s="4">
        <v>0</v>
      </c>
      <c r="X159" s="4">
        <v>0.53426942421902301</v>
      </c>
      <c r="Y159" s="4">
        <v>0</v>
      </c>
      <c r="Z159" s="5">
        <v>3.66708493724814E-4</v>
      </c>
      <c r="AA159" s="5">
        <v>7.8171417021401197E-5</v>
      </c>
      <c r="AB159" s="10">
        <v>5.4875738955837503E-3</v>
      </c>
      <c r="AC159" s="10">
        <v>6.5222706388294395E-5</v>
      </c>
      <c r="AD159" s="10">
        <v>3.6091333664212903E-2</v>
      </c>
      <c r="AE159" s="4">
        <v>0.112130207159454</v>
      </c>
      <c r="AF159" s="4">
        <v>6.3305209353918701E-2</v>
      </c>
      <c r="AG159" s="4">
        <v>0.86095459524439699</v>
      </c>
      <c r="AH159" s="4">
        <v>0.95390789146467703</v>
      </c>
      <c r="AI159" s="4">
        <v>1</v>
      </c>
      <c r="AJ159" s="4">
        <v>1</v>
      </c>
      <c r="AK159" s="4">
        <v>1</v>
      </c>
      <c r="AL159" s="4">
        <v>1</v>
      </c>
      <c r="AM159" s="4">
        <v>0</v>
      </c>
      <c r="AN159" s="4">
        <v>0</v>
      </c>
      <c r="AO159" s="4" t="s">
        <v>151</v>
      </c>
      <c r="AP159" s="4" t="s">
        <v>135</v>
      </c>
      <c r="AQ159" s="6">
        <v>2550650659.21</v>
      </c>
      <c r="AR159" s="4">
        <v>8896</v>
      </c>
      <c r="AS159" s="15">
        <v>100</v>
      </c>
      <c r="AT159" s="15">
        <v>0</v>
      </c>
      <c r="AU159" s="15">
        <v>100</v>
      </c>
      <c r="AV159" s="15">
        <v>0</v>
      </c>
      <c r="AW159" s="15">
        <v>0</v>
      </c>
      <c r="AX159" s="15">
        <v>0</v>
      </c>
    </row>
    <row r="160" spans="1:50" x14ac:dyDescent="0.25">
      <c r="A160">
        <v>96</v>
      </c>
      <c r="B160" s="4">
        <v>0.956553597641979</v>
      </c>
      <c r="C160" s="4">
        <v>32.364873532834601</v>
      </c>
      <c r="D160" s="4">
        <v>41.317080320635597</v>
      </c>
      <c r="E160" s="4">
        <v>3.2061660856853101E-2</v>
      </c>
      <c r="F160" s="5">
        <v>4.3446402358020303E-2</v>
      </c>
      <c r="G160" s="5">
        <v>0</v>
      </c>
      <c r="H160" s="4">
        <v>4.1962927299707298</v>
      </c>
      <c r="I160" s="4">
        <v>3.8040841779104899</v>
      </c>
      <c r="J160" s="4">
        <v>-6.2745946891092501</v>
      </c>
      <c r="K160" s="4">
        <v>67.458497390633497</v>
      </c>
      <c r="L160" s="4">
        <v>14.3866653056473</v>
      </c>
      <c r="M160" s="4">
        <v>17.8683951195407</v>
      </c>
      <c r="N160" s="4">
        <v>74.7694190333915</v>
      </c>
      <c r="O160" s="4">
        <v>65.162384419030801</v>
      </c>
      <c r="P160" s="4">
        <v>295170.682151068</v>
      </c>
      <c r="Q160" s="4">
        <v>277506.24238379899</v>
      </c>
      <c r="R160" s="4">
        <v>776.637572762942</v>
      </c>
      <c r="S160" s="4">
        <v>0</v>
      </c>
      <c r="T160" s="4">
        <v>0</v>
      </c>
      <c r="U160" s="4">
        <v>0.32492010926340897</v>
      </c>
      <c r="V160" s="4">
        <v>0</v>
      </c>
      <c r="W160" s="4">
        <v>0</v>
      </c>
      <c r="X160" s="4">
        <v>0.53117383669753204</v>
      </c>
      <c r="Y160" s="4">
        <v>0</v>
      </c>
      <c r="Z160" s="5">
        <v>3.6633725281962401E-4</v>
      </c>
      <c r="AA160" s="5">
        <v>8.1664754983017194E-5</v>
      </c>
      <c r="AB160" s="10">
        <v>5.5632693380106603E-3</v>
      </c>
      <c r="AC160" s="10">
        <v>7.1146965349476395E-5</v>
      </c>
      <c r="AD160" s="10">
        <v>3.7363968922506603E-2</v>
      </c>
      <c r="AE160" s="4">
        <v>0.113001423948337</v>
      </c>
      <c r="AF160" s="4">
        <v>6.1907496820752E-2</v>
      </c>
      <c r="AG160" s="4">
        <v>0.84554838491539597</v>
      </c>
      <c r="AH160" s="4">
        <v>0.95520816560954203</v>
      </c>
      <c r="AI160" s="4">
        <v>1</v>
      </c>
      <c r="AJ160" s="4">
        <v>1</v>
      </c>
      <c r="AK160" s="4">
        <v>1</v>
      </c>
      <c r="AL160" s="4">
        <v>1</v>
      </c>
      <c r="AM160" s="4">
        <v>0</v>
      </c>
      <c r="AN160" s="4">
        <v>0</v>
      </c>
      <c r="AO160" s="4" t="s">
        <v>152</v>
      </c>
      <c r="AP160" s="4" t="s">
        <v>136</v>
      </c>
      <c r="AQ160" s="6">
        <v>1856794267.79</v>
      </c>
      <c r="AR160" s="4">
        <v>6691</v>
      </c>
      <c r="AS160" s="15">
        <v>100</v>
      </c>
      <c r="AT160" s="15">
        <v>0</v>
      </c>
      <c r="AU160" s="15">
        <v>100</v>
      </c>
      <c r="AV160" s="15">
        <v>0</v>
      </c>
      <c r="AW160" s="15">
        <v>0</v>
      </c>
      <c r="AX160" s="15">
        <v>0</v>
      </c>
    </row>
    <row r="161" spans="1:50" x14ac:dyDescent="0.25">
      <c r="A161">
        <v>96</v>
      </c>
      <c r="B161" s="4">
        <v>0.95459843761677898</v>
      </c>
      <c r="C161" s="4">
        <v>32.755562905611399</v>
      </c>
      <c r="D161" s="4">
        <v>42.740357695735099</v>
      </c>
      <c r="E161" s="4">
        <v>3.2528834438444502E-2</v>
      </c>
      <c r="F161" s="5">
        <v>4.5401562383220198E-2</v>
      </c>
      <c r="G161" s="5">
        <v>0</v>
      </c>
      <c r="H161" s="4">
        <v>4.2253919903551704</v>
      </c>
      <c r="I161" s="4">
        <v>3.8067611825826102</v>
      </c>
      <c r="J161" s="4">
        <v>-3.3116473203466299</v>
      </c>
      <c r="K161" s="4">
        <v>72.403714965164497</v>
      </c>
      <c r="L161" s="4">
        <v>14.2366783579361</v>
      </c>
      <c r="M161" s="4">
        <v>17.908482129305</v>
      </c>
      <c r="N161" s="4">
        <v>78.994599503509406</v>
      </c>
      <c r="O161" s="4">
        <v>68.621471179548905</v>
      </c>
      <c r="P161" s="4">
        <v>297441.43215529999</v>
      </c>
      <c r="Q161" s="4">
        <v>280429.913308591</v>
      </c>
      <c r="R161" s="4">
        <v>775.71806098751995</v>
      </c>
      <c r="S161" s="4">
        <v>0</v>
      </c>
      <c r="T161" s="4">
        <v>0</v>
      </c>
      <c r="U161" s="4">
        <v>0.34152838947998698</v>
      </c>
      <c r="V161" s="4">
        <v>0</v>
      </c>
      <c r="W161" s="4">
        <v>0</v>
      </c>
      <c r="X161" s="4">
        <v>0.51176166490045205</v>
      </c>
      <c r="Y161" s="4">
        <v>0</v>
      </c>
      <c r="Z161" s="5">
        <v>3.6633965840128399E-4</v>
      </c>
      <c r="AA161" s="5">
        <v>8.8245576205854494E-5</v>
      </c>
      <c r="AB161" s="10">
        <v>5.5680156710083599E-3</v>
      </c>
      <c r="AC161" s="10">
        <v>8.1831751013953794E-5</v>
      </c>
      <c r="AD161" s="10">
        <v>3.9297114217833599E-2</v>
      </c>
      <c r="AE161" s="4">
        <v>0.11640521948987401</v>
      </c>
      <c r="AF161" s="4">
        <v>5.0382066746867502E-2</v>
      </c>
      <c r="AG161" s="4">
        <v>0.81694746068002499</v>
      </c>
      <c r="AH161" s="4">
        <v>0.953273656770248</v>
      </c>
      <c r="AI161" s="4">
        <v>1</v>
      </c>
      <c r="AJ161" s="4">
        <v>1</v>
      </c>
      <c r="AK161" s="4">
        <v>1</v>
      </c>
      <c r="AL161" s="4">
        <v>1</v>
      </c>
      <c r="AM161" s="4">
        <v>0</v>
      </c>
      <c r="AN161" s="4">
        <v>0</v>
      </c>
      <c r="AO161" s="4" t="s">
        <v>72</v>
      </c>
      <c r="AP161" s="4" t="s">
        <v>73</v>
      </c>
      <c r="AQ161" s="6">
        <v>1511236802.8199999</v>
      </c>
      <c r="AR161" s="4">
        <v>5389</v>
      </c>
      <c r="AS161" s="15">
        <v>100</v>
      </c>
      <c r="AT161" s="15">
        <v>0</v>
      </c>
      <c r="AU161" s="15">
        <v>100</v>
      </c>
      <c r="AV161" s="15">
        <v>0</v>
      </c>
      <c r="AW161" s="15">
        <v>0</v>
      </c>
      <c r="AX161" s="15">
        <v>0</v>
      </c>
    </row>
    <row r="162" spans="1:50" x14ac:dyDescent="0.25">
      <c r="A162">
        <v>96</v>
      </c>
      <c r="B162" s="4">
        <v>0.95019854814844296</v>
      </c>
      <c r="C162" s="4">
        <v>36.3786005819669</v>
      </c>
      <c r="D162" s="4">
        <v>45.828314298982498</v>
      </c>
      <c r="E162" s="4">
        <v>3.6983781112905303E-2</v>
      </c>
      <c r="F162" s="5">
        <v>4.9801451851556502E-2</v>
      </c>
      <c r="G162" s="5">
        <v>0</v>
      </c>
      <c r="H162" s="4">
        <v>4.2541474648340403</v>
      </c>
      <c r="I162" s="4">
        <v>3.8160431272462798</v>
      </c>
      <c r="J162" s="4">
        <v>0.241771483825859</v>
      </c>
      <c r="K162" s="4">
        <v>85.420459466450396</v>
      </c>
      <c r="L162" s="4">
        <v>14.2151090057922</v>
      </c>
      <c r="M162" s="4">
        <v>18.582247658545501</v>
      </c>
      <c r="N162" s="4">
        <v>84.061262764248895</v>
      </c>
      <c r="O162" s="4">
        <v>72.120410750881803</v>
      </c>
      <c r="P162" s="4">
        <v>298141.89025188598</v>
      </c>
      <c r="Q162" s="4">
        <v>280857.352426617</v>
      </c>
      <c r="R162" s="4">
        <v>774.71417526055302</v>
      </c>
      <c r="S162" s="4">
        <v>0</v>
      </c>
      <c r="T162" s="4">
        <v>0</v>
      </c>
      <c r="U162" s="4">
        <v>0.35431791337296897</v>
      </c>
      <c r="V162" s="4">
        <v>0</v>
      </c>
      <c r="W162" s="4">
        <v>0</v>
      </c>
      <c r="X162" s="4">
        <v>0.44128176219350002</v>
      </c>
      <c r="Y162" s="4">
        <v>0</v>
      </c>
      <c r="Z162" s="5">
        <v>3.6675844796979203E-4</v>
      </c>
      <c r="AA162" s="5">
        <v>1.0257651331336201E-4</v>
      </c>
      <c r="AB162" s="10">
        <v>5.6785282593942001E-3</v>
      </c>
      <c r="AC162" s="10">
        <v>1.3083989093487801E-4</v>
      </c>
      <c r="AD162" s="10">
        <v>4.3522732814452E-2</v>
      </c>
      <c r="AE162" s="4">
        <v>0.129126100224361</v>
      </c>
      <c r="AF162" s="4">
        <v>2.61785374067788E-2</v>
      </c>
      <c r="AG162" s="4">
        <v>0.71749744972898699</v>
      </c>
      <c r="AH162" s="4">
        <v>0.92953721536287903</v>
      </c>
      <c r="AI162" s="4">
        <v>1</v>
      </c>
      <c r="AJ162" s="4">
        <v>1</v>
      </c>
      <c r="AK162" s="4">
        <v>1</v>
      </c>
      <c r="AL162" s="4">
        <v>1</v>
      </c>
      <c r="AM162" s="4">
        <v>0</v>
      </c>
      <c r="AN162" s="4">
        <v>0</v>
      </c>
      <c r="AO162" s="4" t="s">
        <v>74</v>
      </c>
      <c r="AP162" s="4" t="s">
        <v>75</v>
      </c>
      <c r="AQ162" s="6">
        <v>3942113798.6599998</v>
      </c>
      <c r="AR162" s="4">
        <v>14036</v>
      </c>
      <c r="AS162" s="15">
        <v>100</v>
      </c>
      <c r="AT162" s="15">
        <v>0</v>
      </c>
      <c r="AU162" s="15">
        <v>100</v>
      </c>
      <c r="AV162" s="15">
        <v>0</v>
      </c>
      <c r="AW162" s="15">
        <v>0</v>
      </c>
      <c r="AX162" s="15">
        <v>0</v>
      </c>
    </row>
    <row r="163" spans="1:50" x14ac:dyDescent="0.25">
      <c r="A163">
        <v>96</v>
      </c>
      <c r="B163" s="4">
        <v>0.94397101593259303</v>
      </c>
      <c r="C163" s="4">
        <v>44.973922805988202</v>
      </c>
      <c r="D163" s="4">
        <v>49.938493233715803</v>
      </c>
      <c r="E163" s="4">
        <v>4.8561518462311201E-2</v>
      </c>
      <c r="F163" s="5">
        <v>5.6028984067406799E-2</v>
      </c>
      <c r="G163" s="5">
        <v>0</v>
      </c>
      <c r="H163" s="4">
        <v>4.3781318167505097</v>
      </c>
      <c r="I163" s="4">
        <v>3.8188425141842499</v>
      </c>
      <c r="J163" s="4">
        <v>9.7676034838956607</v>
      </c>
      <c r="K163" s="4">
        <v>110.133395013119</v>
      </c>
      <c r="L163" s="4">
        <v>14.2803825067554</v>
      </c>
      <c r="M163" s="4">
        <v>19.938341164211799</v>
      </c>
      <c r="N163" s="4">
        <v>89.547252494041103</v>
      </c>
      <c r="O163" s="4">
        <v>75.299280720216004</v>
      </c>
      <c r="P163" s="4">
        <v>296187.80040304398</v>
      </c>
      <c r="Q163" s="4">
        <v>279579.85377232102</v>
      </c>
      <c r="R163" s="4">
        <v>771.81653890908899</v>
      </c>
      <c r="S163" s="4">
        <v>0</v>
      </c>
      <c r="T163" s="4">
        <v>0</v>
      </c>
      <c r="U163" s="4">
        <v>0.39422563641157998</v>
      </c>
      <c r="V163" s="4">
        <v>0</v>
      </c>
      <c r="W163" s="4">
        <v>0</v>
      </c>
      <c r="X163" s="4">
        <v>0.36511067595160401</v>
      </c>
      <c r="Y163" s="4">
        <v>0</v>
      </c>
      <c r="Z163" s="5">
        <v>3.68089013288769E-4</v>
      </c>
      <c r="AA163" s="5">
        <v>1.3911526172589501E-4</v>
      </c>
      <c r="AB163" s="10">
        <v>5.9218845274364102E-3</v>
      </c>
      <c r="AC163" s="10">
        <v>2.8087823926602299E-4</v>
      </c>
      <c r="AD163" s="10">
        <v>4.9319000154744497E-2</v>
      </c>
      <c r="AE163" s="4">
        <v>0.15035903266611</v>
      </c>
      <c r="AF163" s="4">
        <v>1.1848613247902E-2</v>
      </c>
      <c r="AG163" s="4">
        <v>0.52493314894947596</v>
      </c>
      <c r="AH163" s="4">
        <v>0.86057403017229595</v>
      </c>
      <c r="AI163" s="4">
        <v>1</v>
      </c>
      <c r="AJ163" s="4">
        <v>1</v>
      </c>
      <c r="AK163" s="4">
        <v>1</v>
      </c>
      <c r="AL163" s="4">
        <v>1</v>
      </c>
      <c r="AM163" s="4">
        <v>0</v>
      </c>
      <c r="AN163" s="4">
        <v>0</v>
      </c>
      <c r="AO163" s="4" t="s">
        <v>76</v>
      </c>
      <c r="AP163" s="4" t="s">
        <v>77</v>
      </c>
      <c r="AQ163" s="6">
        <v>1377769519.3900001</v>
      </c>
      <c r="AR163" s="4">
        <v>4928</v>
      </c>
      <c r="AS163" s="15">
        <v>100</v>
      </c>
      <c r="AT163" s="15">
        <v>0</v>
      </c>
      <c r="AU163" s="15">
        <v>100</v>
      </c>
      <c r="AV163" s="15">
        <v>0</v>
      </c>
      <c r="AW163" s="15">
        <v>0</v>
      </c>
      <c r="AX163" s="15">
        <v>0</v>
      </c>
    </row>
    <row r="164" spans="1:50" x14ac:dyDescent="0.25">
      <c r="A164">
        <v>96</v>
      </c>
      <c r="B164" s="4">
        <v>0.93962236855334302</v>
      </c>
      <c r="C164" s="4">
        <v>35.214528865599597</v>
      </c>
      <c r="D164" s="4">
        <v>52.636895203562801</v>
      </c>
      <c r="E164" s="4">
        <v>3.5527605123802097E-2</v>
      </c>
      <c r="F164" s="5">
        <v>6.0377631446656102E-2</v>
      </c>
      <c r="G164" s="5">
        <v>0</v>
      </c>
      <c r="H164" s="4">
        <v>4.5825195695050303</v>
      </c>
      <c r="I164" s="4">
        <v>3.8378410767668001</v>
      </c>
      <c r="J164" s="4">
        <v>23.205797217486399</v>
      </c>
      <c r="K164" s="4">
        <v>134.97257913026701</v>
      </c>
      <c r="L164" s="4">
        <v>14.4952582073626</v>
      </c>
      <c r="M164" s="4">
        <v>20.966815365166202</v>
      </c>
      <c r="N164" s="4">
        <v>92.262398003855097</v>
      </c>
      <c r="O164" s="4">
        <v>76.256047125494504</v>
      </c>
      <c r="P164" s="4">
        <v>291499.65085388703</v>
      </c>
      <c r="Q164" s="4">
        <v>275450.25243572303</v>
      </c>
      <c r="R164" s="4">
        <v>768.30693736265596</v>
      </c>
      <c r="S164" s="4">
        <v>0</v>
      </c>
      <c r="T164" s="4">
        <v>0</v>
      </c>
      <c r="U164" s="4">
        <v>0.41019804683026601</v>
      </c>
      <c r="V164" s="4">
        <v>0</v>
      </c>
      <c r="W164" s="4">
        <v>0</v>
      </c>
      <c r="X164" s="4">
        <v>0.28323389887879902</v>
      </c>
      <c r="Y164" s="4">
        <v>0</v>
      </c>
      <c r="Z164" s="5">
        <v>3.67754413361892E-4</v>
      </c>
      <c r="AA164" s="5">
        <v>2.0960815745403E-4</v>
      </c>
      <c r="AB164" s="10">
        <v>6.3719926687221002E-3</v>
      </c>
      <c r="AC164" s="10">
        <v>5.3889674690665303E-4</v>
      </c>
      <c r="AD164" s="10">
        <v>5.2889361164849401E-2</v>
      </c>
      <c r="AE164" s="4">
        <v>0.170638985166531</v>
      </c>
      <c r="AF164" s="4">
        <v>2.5663592986144299E-3</v>
      </c>
      <c r="AG164" s="4">
        <v>0.34156213781597899</v>
      </c>
      <c r="AH164" s="4">
        <v>0.72720981635910198</v>
      </c>
      <c r="AI164" s="4">
        <v>1</v>
      </c>
      <c r="AJ164" s="4">
        <v>1</v>
      </c>
      <c r="AK164" s="4">
        <v>1</v>
      </c>
      <c r="AL164" s="4">
        <v>1</v>
      </c>
      <c r="AM164" s="4">
        <v>0</v>
      </c>
      <c r="AN164" s="4">
        <v>0</v>
      </c>
      <c r="AO164" s="4" t="s">
        <v>78</v>
      </c>
      <c r="AP164" s="4" t="s">
        <v>79</v>
      </c>
      <c r="AQ164" s="6">
        <v>407115473.10000002</v>
      </c>
      <c r="AR164" s="4">
        <v>1478</v>
      </c>
      <c r="AS164" s="15">
        <v>100</v>
      </c>
      <c r="AT164" s="15">
        <v>0</v>
      </c>
      <c r="AU164" s="15">
        <v>100</v>
      </c>
      <c r="AV164" s="15">
        <v>0</v>
      </c>
      <c r="AW164" s="15">
        <v>0</v>
      </c>
      <c r="AX164" s="15">
        <v>0</v>
      </c>
    </row>
    <row r="165" spans="1:50" x14ac:dyDescent="0.25">
      <c r="A165">
        <v>96</v>
      </c>
      <c r="B165" s="4">
        <v>0.93745830752324799</v>
      </c>
      <c r="C165" s="4">
        <v>48.305524356469803</v>
      </c>
      <c r="D165" s="4">
        <v>53.929434357355198</v>
      </c>
      <c r="E165" s="4">
        <v>5.3500596632414701E-2</v>
      </c>
      <c r="F165" s="5">
        <v>6.2541692476750996E-2</v>
      </c>
      <c r="G165" s="5">
        <v>0</v>
      </c>
      <c r="H165" s="4">
        <v>4.7387344934979199</v>
      </c>
      <c r="I165" s="4">
        <v>3.8090133524422001</v>
      </c>
      <c r="J165" s="4">
        <v>36.351427678525802</v>
      </c>
      <c r="K165" s="4">
        <v>158.04326529253601</v>
      </c>
      <c r="L165" s="4">
        <v>14.7887470110813</v>
      </c>
      <c r="M165" s="4">
        <v>21.723605109592398</v>
      </c>
      <c r="N165" s="4">
        <v>93.526998856412902</v>
      </c>
      <c r="O165" s="4">
        <v>76.332455296466506</v>
      </c>
      <c r="P165" s="4">
        <v>284456.04296251002</v>
      </c>
      <c r="Q165" s="4">
        <v>269990.24901694898</v>
      </c>
      <c r="R165" s="4">
        <v>764.54200317569098</v>
      </c>
      <c r="S165" s="4">
        <v>0</v>
      </c>
      <c r="T165" s="4">
        <v>0</v>
      </c>
      <c r="U165" s="4">
        <v>0.447240805976999</v>
      </c>
      <c r="V165" s="4">
        <v>0</v>
      </c>
      <c r="W165" s="4">
        <v>0</v>
      </c>
      <c r="X165" s="4">
        <v>0.20675656413718699</v>
      </c>
      <c r="Y165" s="4">
        <v>0</v>
      </c>
      <c r="Z165" s="5">
        <v>3.7300834954772099E-4</v>
      </c>
      <c r="AA165" s="5">
        <v>2.6788372190714199E-4</v>
      </c>
      <c r="AB165" s="10">
        <v>6.7066792306208003E-3</v>
      </c>
      <c r="AC165" s="10">
        <v>7.66863684943591E-4</v>
      </c>
      <c r="AD165" s="10">
        <v>5.44272381624702E-2</v>
      </c>
      <c r="AE165" s="4">
        <v>0.18380824492012601</v>
      </c>
      <c r="AF165" s="4">
        <v>0</v>
      </c>
      <c r="AG165" s="4">
        <v>0.241014443411011</v>
      </c>
      <c r="AH165" s="4">
        <v>0.60775903469144499</v>
      </c>
      <c r="AI165" s="4">
        <v>1</v>
      </c>
      <c r="AJ165" s="4">
        <v>1</v>
      </c>
      <c r="AK165" s="4">
        <v>1</v>
      </c>
      <c r="AL165" s="4">
        <v>1</v>
      </c>
      <c r="AM165" s="4">
        <v>0</v>
      </c>
      <c r="AN165" s="4">
        <v>0</v>
      </c>
      <c r="AO165" s="4" t="s">
        <v>80</v>
      </c>
      <c r="AP165" s="4" t="s">
        <v>81</v>
      </c>
      <c r="AQ165" s="6">
        <v>79647123.459999993</v>
      </c>
      <c r="AR165" s="4">
        <v>295</v>
      </c>
      <c r="AS165" s="15">
        <v>100</v>
      </c>
      <c r="AT165" s="15">
        <v>0</v>
      </c>
      <c r="AU165" s="15">
        <v>100</v>
      </c>
      <c r="AV165" s="15">
        <v>0</v>
      </c>
      <c r="AW165" s="15">
        <v>0</v>
      </c>
      <c r="AX165" s="15">
        <v>0</v>
      </c>
    </row>
    <row r="166" spans="1:50" x14ac:dyDescent="0.25">
      <c r="A166">
        <v>96</v>
      </c>
      <c r="B166" s="4">
        <v>0.93470828666783701</v>
      </c>
      <c r="C166" s="4">
        <v>71.811017257783206</v>
      </c>
      <c r="D166" s="4">
        <v>55.5252909752896</v>
      </c>
      <c r="E166" s="4">
        <v>0.100143447021092</v>
      </c>
      <c r="F166" s="5">
        <v>6.5291713332162202E-2</v>
      </c>
      <c r="G166" s="5">
        <v>0</v>
      </c>
      <c r="H166" s="4">
        <v>4.9182321177922601</v>
      </c>
      <c r="I166" s="4">
        <v>3.8251293863004499</v>
      </c>
      <c r="J166" s="4">
        <v>51.008548257837099</v>
      </c>
      <c r="K166" s="4">
        <v>181.087773017508</v>
      </c>
      <c r="L166" s="4">
        <v>13.6443657709849</v>
      </c>
      <c r="M166" s="4">
        <v>22.319411092055201</v>
      </c>
      <c r="N166" s="4">
        <v>94.590094204686494</v>
      </c>
      <c r="O166" s="4">
        <v>76.466884077403606</v>
      </c>
      <c r="P166" s="4">
        <v>307451.36843176797</v>
      </c>
      <c r="Q166" s="4">
        <v>292646.10695652099</v>
      </c>
      <c r="R166" s="4">
        <v>758.86705058360303</v>
      </c>
      <c r="S166" s="4">
        <v>0</v>
      </c>
      <c r="T166" s="4">
        <v>0</v>
      </c>
      <c r="U166" s="4">
        <v>0.49460737000630001</v>
      </c>
      <c r="V166" s="4">
        <v>0</v>
      </c>
      <c r="W166" s="4">
        <v>0</v>
      </c>
      <c r="X166" s="4">
        <v>0.19286294043897001</v>
      </c>
      <c r="Y166" s="4">
        <v>0</v>
      </c>
      <c r="Z166" s="5">
        <v>3.8136267772731302E-4</v>
      </c>
      <c r="AA166" s="5">
        <v>2.9759609481728799E-4</v>
      </c>
      <c r="AB166" s="10">
        <v>6.3343224849341699E-3</v>
      </c>
      <c r="AC166" s="10">
        <v>9.6007778479814101E-4</v>
      </c>
      <c r="AD166" s="10">
        <v>5.73183345316483E-2</v>
      </c>
      <c r="AE166" s="4">
        <v>0.193990886924294</v>
      </c>
      <c r="AF166" s="4">
        <v>0</v>
      </c>
      <c r="AG166" s="4">
        <v>0.12029200052677901</v>
      </c>
      <c r="AH166" s="4">
        <v>0.496016582105759</v>
      </c>
      <c r="AI166" s="4">
        <v>1</v>
      </c>
      <c r="AJ166" s="4">
        <v>1</v>
      </c>
      <c r="AK166" s="4">
        <v>1</v>
      </c>
      <c r="AL166" s="4">
        <v>1</v>
      </c>
      <c r="AM166" s="4">
        <v>0</v>
      </c>
      <c r="AN166" s="4">
        <v>0</v>
      </c>
      <c r="AO166" s="4" t="s">
        <v>82</v>
      </c>
      <c r="AP166" s="4" t="s">
        <v>83</v>
      </c>
      <c r="AQ166" s="6">
        <v>6730860.46</v>
      </c>
      <c r="AR166" s="4">
        <v>23</v>
      </c>
      <c r="AS166" s="15">
        <v>100</v>
      </c>
      <c r="AT166" s="15">
        <v>0</v>
      </c>
      <c r="AU166" s="15">
        <v>100</v>
      </c>
      <c r="AV166" s="15">
        <v>0</v>
      </c>
      <c r="AW166" s="15">
        <v>0</v>
      </c>
      <c r="AX166" s="15">
        <v>0</v>
      </c>
    </row>
    <row r="169" spans="1:50" x14ac:dyDescent="0.25">
      <c r="B169" s="4"/>
      <c r="C169" s="4"/>
      <c r="D169" s="4"/>
      <c r="E169" s="4"/>
      <c r="F169" s="5"/>
      <c r="G169" s="5"/>
      <c r="H169" s="4"/>
      <c r="I169" s="4"/>
      <c r="J169" s="4"/>
      <c r="K169" s="4"/>
      <c r="L169" s="4"/>
      <c r="M169" s="4"/>
      <c r="N169" s="4"/>
      <c r="O169" s="4"/>
      <c r="P169" s="4"/>
      <c r="Q169" s="4"/>
      <c r="R169" s="4"/>
      <c r="S169" s="4"/>
      <c r="T169" s="4"/>
      <c r="U169" s="4"/>
      <c r="V169" s="4"/>
      <c r="W169" s="4"/>
      <c r="X169" s="4"/>
      <c r="Y169" s="4"/>
      <c r="Z169" s="5"/>
      <c r="AA169" s="5"/>
      <c r="AB169" s="10"/>
      <c r="AC169" s="10"/>
      <c r="AD169" s="10"/>
      <c r="AE169" s="4"/>
      <c r="AF169" s="4"/>
      <c r="AG169" s="4"/>
      <c r="AH169" s="4"/>
      <c r="AI169" s="4"/>
      <c r="AJ169" s="4"/>
      <c r="AK169" s="4"/>
      <c r="AL169" s="4"/>
      <c r="AM169" s="4"/>
      <c r="AN169" s="4"/>
      <c r="AO169" s="4"/>
      <c r="AP169" s="4"/>
      <c r="AQ169" s="6"/>
      <c r="AR169" s="4"/>
      <c r="AS169" s="29"/>
      <c r="AT169" s="29"/>
      <c r="AU169" s="29"/>
      <c r="AV169" s="29"/>
      <c r="AW169" s="29"/>
      <c r="AX169" s="29"/>
    </row>
    <row r="170" spans="1:50" x14ac:dyDescent="0.25">
      <c r="B170" s="4"/>
      <c r="C170" s="4"/>
      <c r="D170" s="4"/>
      <c r="E170" s="4"/>
      <c r="F170" s="5"/>
      <c r="G170" s="5"/>
      <c r="H170" s="4"/>
      <c r="I170" s="4"/>
      <c r="J170" s="4"/>
      <c r="K170" s="4"/>
      <c r="L170" s="4" t="s">
        <v>160</v>
      </c>
      <c r="M170" s="30" t="s">
        <v>159</v>
      </c>
      <c r="N170" s="4"/>
      <c r="O170" s="4"/>
      <c r="P170" s="4"/>
      <c r="Q170" s="4"/>
      <c r="R170" s="4"/>
      <c r="S170" s="4"/>
      <c r="T170" s="4"/>
      <c r="U170" s="4"/>
      <c r="V170" s="4"/>
      <c r="W170" s="4"/>
      <c r="X170" s="4"/>
      <c r="Y170" s="4"/>
      <c r="Z170" s="5"/>
      <c r="AA170" s="5"/>
      <c r="AB170" s="10"/>
      <c r="AC170" s="10"/>
      <c r="AD170" s="10"/>
      <c r="AE170" s="4"/>
      <c r="AF170" s="4"/>
      <c r="AG170" s="4"/>
      <c r="AH170" s="4"/>
      <c r="AI170" s="4"/>
      <c r="AJ170" s="4"/>
      <c r="AK170" s="4"/>
      <c r="AL170" s="4"/>
      <c r="AM170" s="4"/>
      <c r="AN170" s="4"/>
      <c r="AO170" s="4"/>
      <c r="AP170" s="4"/>
      <c r="AQ170" s="6"/>
      <c r="AR170" s="4"/>
      <c r="AS170" s="29"/>
      <c r="AT170" s="29"/>
      <c r="AU170" s="29"/>
      <c r="AV170" s="29"/>
      <c r="AW170" s="29"/>
      <c r="AX170" s="29"/>
    </row>
    <row r="171" spans="1:50" x14ac:dyDescent="0.25">
      <c r="L171" t="s">
        <v>153</v>
      </c>
      <c r="M171" s="4">
        <v>1.05</v>
      </c>
    </row>
    <row r="172" spans="1:50" x14ac:dyDescent="0.25">
      <c r="A172" s="35"/>
      <c r="B172" s="35"/>
      <c r="C172" s="35"/>
      <c r="D172" s="35"/>
      <c r="E172" s="35"/>
      <c r="F172" s="35"/>
      <c r="G172" s="35"/>
      <c r="H172" s="35"/>
      <c r="I172" s="35"/>
      <c r="J172" s="35"/>
      <c r="K172" s="35"/>
      <c r="L172" s="35"/>
      <c r="M172" s="35"/>
      <c r="N172" s="35"/>
      <c r="O172" s="35" t="s">
        <v>169</v>
      </c>
      <c r="P172" s="35" t="s">
        <v>170</v>
      </c>
      <c r="Q172" s="35"/>
      <c r="R172" s="35"/>
      <c r="S172" s="35"/>
      <c r="T172" s="35"/>
      <c r="U172" s="35"/>
      <c r="V172" s="35"/>
      <c r="W172" s="35"/>
      <c r="X172" s="35"/>
      <c r="Y172" s="35"/>
      <c r="Z172" s="35"/>
      <c r="AA172" s="35"/>
      <c r="AB172" s="35"/>
      <c r="AC172" s="35"/>
      <c r="AD172" s="35"/>
      <c r="AE172" s="35"/>
      <c r="AF172" s="35"/>
      <c r="AG172" s="35"/>
      <c r="AH172" s="35"/>
      <c r="AI172" s="35"/>
      <c r="AJ172" s="35"/>
    </row>
    <row r="173" spans="1:50" x14ac:dyDescent="0.25">
      <c r="K173" t="s">
        <v>98</v>
      </c>
      <c r="L173" t="s">
        <v>89</v>
      </c>
      <c r="M173" t="s">
        <v>90</v>
      </c>
      <c r="O173" s="39">
        <v>0.4</v>
      </c>
      <c r="P173" s="39">
        <f>1-O173</f>
        <v>0.6</v>
      </c>
    </row>
    <row r="174" spans="1:50" x14ac:dyDescent="0.25">
      <c r="A174" s="4" t="s">
        <v>93</v>
      </c>
      <c r="B174" t="str">
        <f>AQ104</f>
        <v>Balance</v>
      </c>
      <c r="C174" s="2" t="str">
        <f>AO104</f>
        <v>groupByColumn</v>
      </c>
      <c r="D174" t="str">
        <f>E104</f>
        <v>PREPAY_SMM1</v>
      </c>
      <c r="E174" t="str">
        <f>F104</f>
        <v>PREPAY_TRACKING_SMM1</v>
      </c>
      <c r="F174" t="s">
        <v>91</v>
      </c>
      <c r="G174" t="str">
        <f>C104</f>
        <v>PREPAY_CPR1</v>
      </c>
      <c r="H174">
        <f>D105</f>
        <v>14.3463536039286</v>
      </c>
      <c r="I174" t="s">
        <v>168</v>
      </c>
      <c r="K174" t="s">
        <v>92</v>
      </c>
      <c r="L174" t="s">
        <v>92</v>
      </c>
      <c r="M174" t="s">
        <v>92</v>
      </c>
      <c r="O174" t="s">
        <v>163</v>
      </c>
      <c r="P174" t="s">
        <v>164</v>
      </c>
      <c r="Q174" t="s">
        <v>165</v>
      </c>
      <c r="S174" t="s">
        <v>96</v>
      </c>
      <c r="T174" t="s">
        <v>97</v>
      </c>
      <c r="U174" t="s">
        <v>91</v>
      </c>
    </row>
    <row r="175" spans="1:50" s="17" customFormat="1" x14ac:dyDescent="0.25">
      <c r="A175" s="14">
        <f t="shared" ref="A175:A188" si="23">K106</f>
        <v>-84.523744470233098</v>
      </c>
      <c r="B175" s="32">
        <f t="shared" ref="B175:B200" si="24">AQ106/1000000000</f>
        <v>7.0741002999999999E-4</v>
      </c>
      <c r="C175" s="33" t="str">
        <f t="shared" ref="C175:C188" si="25">AO106</f>
        <v>05:-100--75</v>
      </c>
      <c r="D175" s="34">
        <f t="shared" ref="D175:D188" si="26">E106</f>
        <v>1.34001062976118E-2</v>
      </c>
      <c r="E175" s="34">
        <f t="shared" ref="E175:E200" si="27">Z106+AA106+AB106+AC106+AD106</f>
        <v>1.4784185009525504E-2</v>
      </c>
      <c r="F175" s="32">
        <f t="shared" ref="F175:F200" si="28">D175/E175</f>
        <v>0.90638112881961796</v>
      </c>
      <c r="G175" s="33">
        <f t="shared" ref="G175:G200" si="29">(1-(1-D175)^12)*100</f>
        <v>14.946385973512921</v>
      </c>
      <c r="H175" s="33">
        <f t="shared" ref="H175:H200" si="30">(1-(1-E175)^12)*100</f>
        <v>16.36722719792423</v>
      </c>
      <c r="I175" s="33">
        <f>(1-(1-SUM(Z141,AA141,AB141,AC141,AD141*M175))^12)*100</f>
        <v>11.946219420849779</v>
      </c>
      <c r="J175" s="35"/>
      <c r="K175" s="14">
        <f>VLOOKUP($C175,'Refi Adj'!$B$2:$E$32,2,0)</f>
        <v>1</v>
      </c>
      <c r="L175" s="14">
        <f>VLOOKUP($C175,'Refi Adj'!$B$2:$E$32,3,0)</f>
        <v>1</v>
      </c>
      <c r="M175" s="14">
        <f>VLOOKUP($C175,'Refi Adj'!$B$2:$E$32,4,0)</f>
        <v>1</v>
      </c>
      <c r="N175" s="35"/>
      <c r="O175" s="35">
        <f>AD141*M175</f>
        <v>4.8152170285518398E-3</v>
      </c>
      <c r="P175" s="38">
        <f>AD106</f>
        <v>0</v>
      </c>
      <c r="Q175" s="35">
        <f t="shared" ref="Q175:Q200" si="31">(O175*$O$173+P175*$P$173)</f>
        <v>1.926086811420736E-3</v>
      </c>
      <c r="R175" s="35"/>
      <c r="S175" s="34">
        <f>Z106+AA106+AB106*K175+AC106*L175+Q175*$M$171</f>
        <v>1.6806576161517275E-2</v>
      </c>
      <c r="T175" s="33">
        <f t="shared" ref="T175:T200" si="32">100*(1-(1-S175)^12)</f>
        <v>18.404242058287668</v>
      </c>
      <c r="U175" s="36">
        <f t="shared" ref="U175:U200" si="33">D175/S175</f>
        <v>0.79731327599577284</v>
      </c>
      <c r="V175" s="35"/>
      <c r="W175" s="35"/>
      <c r="X175" s="37"/>
      <c r="Y175" s="34"/>
      <c r="Z175" s="34"/>
      <c r="AA175" s="35"/>
      <c r="AB175" s="35"/>
      <c r="AC175" s="35"/>
      <c r="AD175" s="34"/>
      <c r="AE175" s="34"/>
      <c r="AF175" s="35"/>
      <c r="AG175" s="35"/>
      <c r="AH175" s="35"/>
      <c r="AI175" s="35"/>
      <c r="AJ175" s="34"/>
    </row>
    <row r="176" spans="1:50" s="17" customFormat="1" x14ac:dyDescent="0.25">
      <c r="A176" s="14">
        <f t="shared" si="23"/>
        <v>-57.377777162715397</v>
      </c>
      <c r="B176" s="32">
        <f t="shared" si="24"/>
        <v>4.3638217100000001E-3</v>
      </c>
      <c r="C176" s="33" t="str">
        <f t="shared" si="25"/>
        <v>06:-75--50</v>
      </c>
      <c r="D176" s="34">
        <f t="shared" si="26"/>
        <v>1.6497657539165898E-2</v>
      </c>
      <c r="E176" s="34">
        <f t="shared" si="27"/>
        <v>9.1864811026440493E-3</v>
      </c>
      <c r="F176" s="32">
        <f t="shared" si="28"/>
        <v>1.7958625674870816</v>
      </c>
      <c r="G176" s="33">
        <f t="shared" si="29"/>
        <v>18.096061958631616</v>
      </c>
      <c r="H176" s="33">
        <f t="shared" si="30"/>
        <v>10.483502170788295</v>
      </c>
      <c r="I176" s="33">
        <f t="shared" ref="I176:I200" si="34">(1-(1-SUM(Z142,AA142,AB142,AC142,AD142*M176))^12)*100</f>
        <v>11.2490265702477</v>
      </c>
      <c r="J176" s="35"/>
      <c r="K176" s="14">
        <f>VLOOKUP($C176,'Refi Adj'!$B$2:$E$32,2,0)</f>
        <v>1</v>
      </c>
      <c r="L176" s="14">
        <f>VLOOKUP($C176,'Refi Adj'!$B$2:$E$32,3,0)</f>
        <v>1</v>
      </c>
      <c r="M176" s="14">
        <f>VLOOKUP($C176,'Refi Adj'!$B$2:$E$32,4,0)</f>
        <v>0.5</v>
      </c>
      <c r="N176" s="35"/>
      <c r="O176" s="35">
        <f>AD142*M176</f>
        <v>4.3445586707759496E-3</v>
      </c>
      <c r="P176" s="38">
        <f>AD107</f>
        <v>0</v>
      </c>
      <c r="Q176" s="35">
        <f t="shared" si="31"/>
        <v>1.7378234683103799E-3</v>
      </c>
      <c r="R176" s="35"/>
      <c r="S176" s="34">
        <f>Z107+AA107+AB107*K176+AC107*L176+Q176*$M$171</f>
        <v>1.1011195744369949E-2</v>
      </c>
      <c r="T176" s="33">
        <f t="shared" si="32"/>
        <v>12.441864916752344</v>
      </c>
      <c r="U176" s="36">
        <f t="shared" si="33"/>
        <v>1.4982621254009756</v>
      </c>
      <c r="V176" s="35"/>
      <c r="W176" s="35"/>
      <c r="X176" s="37"/>
      <c r="Y176" s="34"/>
      <c r="Z176" s="34"/>
      <c r="AA176" s="35"/>
      <c r="AB176" s="35"/>
      <c r="AC176" s="37"/>
      <c r="AD176" s="34"/>
      <c r="AE176" s="34"/>
      <c r="AF176" s="35"/>
      <c r="AG176" s="35"/>
      <c r="AH176" s="35"/>
      <c r="AI176" s="35"/>
      <c r="AJ176" s="34"/>
    </row>
    <row r="177" spans="1:36" x14ac:dyDescent="0.25">
      <c r="A177" s="14">
        <f t="shared" si="23"/>
        <v>-31.114896038936202</v>
      </c>
      <c r="B177" s="32">
        <f t="shared" si="24"/>
        <v>0.1698029835</v>
      </c>
      <c r="C177" s="33" t="str">
        <f t="shared" si="25"/>
        <v>07:-50--25</v>
      </c>
      <c r="D177" s="34">
        <f t="shared" si="26"/>
        <v>3.6590863725861401E-3</v>
      </c>
      <c r="E177" s="34">
        <f t="shared" si="27"/>
        <v>6.2802653040221201E-3</v>
      </c>
      <c r="F177" s="32">
        <f t="shared" si="28"/>
        <v>0.58263245188745805</v>
      </c>
      <c r="G177" s="33">
        <f t="shared" si="29"/>
        <v>4.3036058051398758</v>
      </c>
      <c r="H177" s="33">
        <f t="shared" si="30"/>
        <v>7.281376195111533</v>
      </c>
      <c r="I177" s="33">
        <f t="shared" si="34"/>
        <v>12.331784210434771</v>
      </c>
      <c r="J177" s="35"/>
      <c r="K177" s="14">
        <f>VLOOKUP($C177,'Refi Adj'!$B$2:$E$32,2,0)</f>
        <v>1</v>
      </c>
      <c r="L177" s="14">
        <f>VLOOKUP($C177,'Refi Adj'!$B$2:$E$32,3,0)</f>
        <v>1</v>
      </c>
      <c r="M177" s="14">
        <f>VLOOKUP($C177,'Refi Adj'!$B$2:$E$32,4,0)</f>
        <v>0.5</v>
      </c>
      <c r="N177" s="35"/>
      <c r="O177" s="35">
        <f t="shared" ref="O177:O200" si="35">AD143*M177</f>
        <v>5.3285317044251502E-3</v>
      </c>
      <c r="P177" s="38">
        <f t="shared" ref="P177:P200" si="36">AD108</f>
        <v>5.4961611570779898E-4</v>
      </c>
      <c r="Q177" s="35">
        <f t="shared" si="31"/>
        <v>2.4611823511947396E-3</v>
      </c>
      <c r="R177" s="35"/>
      <c r="S177" s="34">
        <f>Z108+AA108+AB108*K177+AC108*L177+Q177*$M$171</f>
        <v>8.3148906570687971E-3</v>
      </c>
      <c r="T177" s="33">
        <f t="shared" si="32"/>
        <v>9.5339755525751908</v>
      </c>
      <c r="U177" s="36">
        <f t="shared" si="33"/>
        <v>0.44006428027714534</v>
      </c>
      <c r="V177" s="35"/>
      <c r="W177" s="35"/>
      <c r="X177" s="37"/>
      <c r="Y177" s="34"/>
      <c r="Z177" s="34"/>
      <c r="AA177" s="35"/>
      <c r="AB177" s="35"/>
      <c r="AC177" s="37"/>
      <c r="AD177" s="34"/>
      <c r="AE177" s="34"/>
      <c r="AF177" s="35"/>
      <c r="AG177" s="35"/>
      <c r="AH177" s="35"/>
      <c r="AI177" s="35"/>
      <c r="AJ177" s="34"/>
    </row>
    <row r="178" spans="1:36" x14ac:dyDescent="0.25">
      <c r="A178" s="14">
        <f t="shared" si="23"/>
        <v>-22.229761036076098</v>
      </c>
      <c r="B178" s="32">
        <f t="shared" si="24"/>
        <v>0.27971464530000001</v>
      </c>
      <c r="C178" s="33" t="str">
        <f t="shared" si="25"/>
        <v>08-1:-25--20</v>
      </c>
      <c r="D178" s="34">
        <f t="shared" si="26"/>
        <v>8.1512235407507801E-3</v>
      </c>
      <c r="E178" s="34">
        <f t="shared" si="27"/>
        <v>6.5931389720588233E-3</v>
      </c>
      <c r="F178" s="32">
        <f t="shared" si="28"/>
        <v>1.236319084929802</v>
      </c>
      <c r="G178" s="33">
        <f t="shared" si="29"/>
        <v>9.3546473298454895</v>
      </c>
      <c r="H178" s="33">
        <f t="shared" si="30"/>
        <v>7.6310808400182006</v>
      </c>
      <c r="I178" s="33">
        <f t="shared" si="34"/>
        <v>13.229454327877521</v>
      </c>
      <c r="J178" s="35"/>
      <c r="K178" s="14">
        <f>VLOOKUP($C178,'Refi Adj'!$B$2:$E$32,2,0)</f>
        <v>1</v>
      </c>
      <c r="L178" s="14">
        <f>VLOOKUP($C178,'Refi Adj'!$B$2:$E$32,3,0)</f>
        <v>1</v>
      </c>
      <c r="M178" s="14">
        <f>VLOOKUP($C178,'Refi Adj'!$B$2:$E$32,4,0)</f>
        <v>0.51</v>
      </c>
      <c r="N178" s="35"/>
      <c r="O178" s="35">
        <f t="shared" si="35"/>
        <v>6.1497623363161351E-3</v>
      </c>
      <c r="P178" s="38">
        <f t="shared" si="36"/>
        <v>1.0423330357023199E-3</v>
      </c>
      <c r="Q178" s="35">
        <f t="shared" si="31"/>
        <v>3.0853047559478461E-3</v>
      </c>
      <c r="R178" s="35"/>
      <c r="S178" s="34">
        <f t="shared" ref="S178:S195" si="37">Z109+AA109+AB109*K178+AC109*L178+Q180*$M$171</f>
        <v>9.821155888913826E-3</v>
      </c>
      <c r="T178" s="33">
        <f t="shared" si="32"/>
        <v>11.169170627080604</v>
      </c>
      <c r="U178" s="36">
        <f t="shared" si="33"/>
        <v>0.82996580371480766</v>
      </c>
      <c r="V178" s="35"/>
      <c r="W178" s="35"/>
      <c r="X178" s="37"/>
      <c r="Y178" s="34"/>
      <c r="Z178" s="34"/>
      <c r="AA178" s="35"/>
      <c r="AB178" s="35"/>
      <c r="AC178" s="37"/>
      <c r="AD178" s="34"/>
      <c r="AE178" s="34"/>
      <c r="AF178" s="35"/>
      <c r="AG178" s="35"/>
      <c r="AH178" s="37"/>
      <c r="AI178" s="34"/>
      <c r="AJ178" s="34"/>
    </row>
    <row r="179" spans="1:36" x14ac:dyDescent="0.25">
      <c r="A179" s="4">
        <f t="shared" si="23"/>
        <v>-17.0962901576066</v>
      </c>
      <c r="B179" s="3">
        <f t="shared" si="24"/>
        <v>0.56732849208000002</v>
      </c>
      <c r="C179" s="2" t="str">
        <f t="shared" si="25"/>
        <v>08-2:-20--15</v>
      </c>
      <c r="D179" s="8">
        <f t="shared" si="26"/>
        <v>5.4755031569692402E-3</v>
      </c>
      <c r="E179" s="8">
        <f t="shared" si="27"/>
        <v>6.8906421785151582E-3</v>
      </c>
      <c r="F179" s="3">
        <f t="shared" si="28"/>
        <v>0.79462886261047128</v>
      </c>
      <c r="G179" s="2">
        <f t="shared" si="29"/>
        <v>6.3762957514387093</v>
      </c>
      <c r="H179" s="2">
        <f t="shared" si="30"/>
        <v>7.962483805492127</v>
      </c>
      <c r="I179" s="33">
        <f t="shared" si="34"/>
        <v>14.290148690728843</v>
      </c>
      <c r="K179" s="14">
        <f>VLOOKUP($C179,'Refi Adj'!$B$2:$E$32,2,0)</f>
        <v>1</v>
      </c>
      <c r="L179" s="14">
        <f>VLOOKUP($C179,'Refi Adj'!$B$2:$E$32,3,0)</f>
        <v>1</v>
      </c>
      <c r="M179" s="14">
        <f>VLOOKUP($C179,'Refi Adj'!$B$2:$E$32,4,0)</f>
        <v>0.52</v>
      </c>
      <c r="O179" s="35">
        <f t="shared" si="35"/>
        <v>6.9964599325369322E-3</v>
      </c>
      <c r="P179" s="38">
        <f t="shared" si="36"/>
        <v>1.3115340055439399E-3</v>
      </c>
      <c r="Q179" s="35">
        <f t="shared" si="31"/>
        <v>3.5855043763411373E-3</v>
      </c>
      <c r="S179" s="34">
        <f t="shared" si="37"/>
        <v>1.0333679060452558E-2</v>
      </c>
      <c r="T179" s="2">
        <f t="shared" si="32"/>
        <v>11.719355737468383</v>
      </c>
      <c r="U179" s="7">
        <f t="shared" si="33"/>
        <v>0.52986967419224684</v>
      </c>
      <c r="X179" s="9"/>
      <c r="Y179" s="8"/>
      <c r="Z179" s="8"/>
      <c r="AC179" s="9"/>
      <c r="AD179" s="8"/>
      <c r="AE179" s="8"/>
      <c r="AH179" s="9"/>
      <c r="AI179" s="8"/>
      <c r="AJ179" s="8"/>
    </row>
    <row r="180" spans="1:36" x14ac:dyDescent="0.25">
      <c r="A180" s="4">
        <f t="shared" si="23"/>
        <v>-12.256696498839601</v>
      </c>
      <c r="B180" s="3">
        <f t="shared" si="24"/>
        <v>0.96008684773999997</v>
      </c>
      <c r="C180" s="2" t="str">
        <f t="shared" si="25"/>
        <v>08-3:-15--10</v>
      </c>
      <c r="D180" s="8">
        <f t="shared" si="26"/>
        <v>9.2774813926804495E-3</v>
      </c>
      <c r="E180" s="8">
        <f t="shared" si="27"/>
        <v>7.1319485521859783E-3</v>
      </c>
      <c r="F180" s="3">
        <f t="shared" si="28"/>
        <v>1.3008340322136585</v>
      </c>
      <c r="G180" s="2">
        <f t="shared" si="29"/>
        <v>10.582111002443684</v>
      </c>
      <c r="H180" s="2">
        <f t="shared" si="30"/>
        <v>8.2304855054762918</v>
      </c>
      <c r="I180" s="33">
        <f t="shared" si="34"/>
        <v>15.156816019469744</v>
      </c>
      <c r="K180" s="14">
        <f>VLOOKUP($C180,'Refi Adj'!$B$2:$E$32,2,0)</f>
        <v>1</v>
      </c>
      <c r="L180" s="14">
        <f>VLOOKUP($C180,'Refi Adj'!$B$2:$E$32,3,0)</f>
        <v>1</v>
      </c>
      <c r="M180" s="14">
        <f>VLOOKUP($C180,'Refi Adj'!$B$2:$E$32,4,0)</f>
        <v>0.53</v>
      </c>
      <c r="O180" s="35">
        <f t="shared" si="35"/>
        <v>7.8783380803090011E-3</v>
      </c>
      <c r="P180" s="38">
        <f t="shared" si="36"/>
        <v>1.52610787115483E-3</v>
      </c>
      <c r="Q180" s="35">
        <f t="shared" si="31"/>
        <v>4.0669999548164984E-3</v>
      </c>
      <c r="S180" s="34">
        <f t="shared" si="37"/>
        <v>1.0894273590683824E-2</v>
      </c>
      <c r="T180" s="2">
        <f t="shared" si="32"/>
        <v>12.317566501513866</v>
      </c>
      <c r="U180" s="7">
        <f t="shared" si="33"/>
        <v>0.85159247337188548</v>
      </c>
      <c r="X180" s="9"/>
      <c r="Y180" s="8"/>
      <c r="Z180" s="8"/>
      <c r="AC180" s="9"/>
      <c r="AD180" s="8"/>
      <c r="AE180" s="8"/>
      <c r="AH180" s="9"/>
      <c r="AI180" s="8"/>
      <c r="AJ180" s="8"/>
    </row>
    <row r="181" spans="1:36" x14ac:dyDescent="0.25">
      <c r="A181" s="4">
        <f t="shared" si="23"/>
        <v>-7.4527447893761396</v>
      </c>
      <c r="B181" s="3">
        <f t="shared" si="24"/>
        <v>1.5095655131900001</v>
      </c>
      <c r="C181" s="2" t="str">
        <f t="shared" si="25"/>
        <v>08-4:-10--5</v>
      </c>
      <c r="D181" s="8">
        <f t="shared" si="26"/>
        <v>8.0323332450160101E-3</v>
      </c>
      <c r="E181" s="8">
        <f t="shared" si="27"/>
        <v>7.5128229249372593E-3</v>
      </c>
      <c r="F181" s="3">
        <f t="shared" si="28"/>
        <v>1.0691498156244763</v>
      </c>
      <c r="G181" s="2">
        <f t="shared" si="29"/>
        <v>9.2241763055226684</v>
      </c>
      <c r="H181" s="2">
        <f t="shared" si="30"/>
        <v>8.6520400757897793</v>
      </c>
      <c r="I181" s="33">
        <f t="shared" si="34"/>
        <v>16.066133112347259</v>
      </c>
      <c r="K181" s="14">
        <f>VLOOKUP($C181,'Refi Adj'!$B$2:$E$32,2,0)</f>
        <v>1</v>
      </c>
      <c r="L181" s="14">
        <f>VLOOKUP($C181,'Refi Adj'!$B$2:$E$32,3,0)</f>
        <v>1</v>
      </c>
      <c r="M181" s="14">
        <f>VLOOKUP($C181,'Refi Adj'!$B$2:$E$32,4,0)</f>
        <v>0.54</v>
      </c>
      <c r="O181" s="35">
        <f t="shared" si="35"/>
        <v>8.708467600666495E-3</v>
      </c>
      <c r="P181" s="38">
        <f t="shared" si="36"/>
        <v>1.74129284952605E-3</v>
      </c>
      <c r="Q181" s="35">
        <f t="shared" si="31"/>
        <v>4.5281627499822279E-3</v>
      </c>
      <c r="S181" s="34">
        <f t="shared" si="37"/>
        <v>1.1930126807217424E-2</v>
      </c>
      <c r="T181" s="2">
        <f t="shared" si="32"/>
        <v>13.4131597872586</v>
      </c>
      <c r="U181" s="7">
        <f t="shared" si="33"/>
        <v>0.67328146421349455</v>
      </c>
      <c r="X181" s="9"/>
      <c r="Y181" s="8"/>
      <c r="Z181" s="8"/>
      <c r="AC181" s="9"/>
      <c r="AD181" s="8"/>
      <c r="AE181" s="8"/>
      <c r="AH181" s="9"/>
      <c r="AI181" s="8"/>
      <c r="AJ181" s="8"/>
    </row>
    <row r="182" spans="1:36" x14ac:dyDescent="0.25">
      <c r="A182" s="4">
        <f t="shared" si="23"/>
        <v>-2.4416225084396102</v>
      </c>
      <c r="B182" s="3">
        <f t="shared" si="24"/>
        <v>2.2193597058600001</v>
      </c>
      <c r="C182" s="2" t="str">
        <f t="shared" si="25"/>
        <v>08:-25-0</v>
      </c>
      <c r="D182" s="8">
        <f t="shared" si="26"/>
        <v>8.2586353692454696E-3</v>
      </c>
      <c r="E182" s="8">
        <f t="shared" si="27"/>
        <v>7.706683013407995E-3</v>
      </c>
      <c r="F182" s="3">
        <f t="shared" si="28"/>
        <v>1.0716199634625161</v>
      </c>
      <c r="G182" s="2">
        <f t="shared" si="29"/>
        <v>9.4723739778586395</v>
      </c>
      <c r="H182" s="2">
        <f t="shared" si="30"/>
        <v>8.8659234815243408</v>
      </c>
      <c r="I182" s="33">
        <f t="shared" si="34"/>
        <v>17.038242570671038</v>
      </c>
      <c r="K182" s="14">
        <f>VLOOKUP($C182,'Refi Adj'!$B$2:$E$32,2,0)</f>
        <v>1</v>
      </c>
      <c r="L182" s="14">
        <f>VLOOKUP($C182,'Refi Adj'!$B$2:$E$32,3,0)</f>
        <v>1</v>
      </c>
      <c r="M182" s="14">
        <f>VLOOKUP($C182,'Refi Adj'!$B$2:$E$32,4,0)</f>
        <v>0.55000000000000004</v>
      </c>
      <c r="O182" s="35">
        <f t="shared" si="35"/>
        <v>9.6195980245442018E-3</v>
      </c>
      <c r="P182" s="38">
        <f t="shared" si="36"/>
        <v>1.9812726021335098E-3</v>
      </c>
      <c r="Q182" s="35">
        <f t="shared" si="31"/>
        <v>5.0366027710977866E-3</v>
      </c>
      <c r="S182" s="34">
        <f t="shared" si="37"/>
        <v>1.2834598142837241E-2</v>
      </c>
      <c r="T182" s="2">
        <f t="shared" si="32"/>
        <v>14.359516643808746</v>
      </c>
      <c r="U182" s="7">
        <f t="shared" si="33"/>
        <v>0.64346661090082247</v>
      </c>
      <c r="X182" s="9"/>
      <c r="Y182" s="8"/>
      <c r="Z182" s="8"/>
      <c r="AC182" s="9"/>
      <c r="AD182" s="8"/>
      <c r="AE182" s="8"/>
      <c r="AH182" s="9"/>
      <c r="AI182" s="8"/>
      <c r="AJ182" s="8"/>
    </row>
    <row r="183" spans="1:36" x14ac:dyDescent="0.25">
      <c r="A183" s="4">
        <f t="shared" si="23"/>
        <v>2.5942210785805702</v>
      </c>
      <c r="B183" s="3">
        <f t="shared" si="24"/>
        <v>2.71647609525</v>
      </c>
      <c r="C183" s="2" t="str">
        <f t="shared" si="25"/>
        <v>09-1:0-5</v>
      </c>
      <c r="D183" s="8">
        <f t="shared" si="26"/>
        <v>1.38330221293978E-2</v>
      </c>
      <c r="E183" s="8">
        <f t="shared" si="27"/>
        <v>8.0236456891414169E-3</v>
      </c>
      <c r="F183" s="3">
        <f t="shared" si="28"/>
        <v>1.7240320255066031</v>
      </c>
      <c r="G183" s="2">
        <f t="shared" si="29"/>
        <v>15.393160676049877</v>
      </c>
      <c r="H183" s="2">
        <f t="shared" si="30"/>
        <v>9.2146357764763547</v>
      </c>
      <c r="I183" s="33">
        <f t="shared" si="34"/>
        <v>18.706019123726037</v>
      </c>
      <c r="K183" s="14">
        <f>VLOOKUP($C183,'Refi Adj'!$B$2:$E$32,2,0)</f>
        <v>1</v>
      </c>
      <c r="L183" s="14">
        <f>VLOOKUP($C183,'Refi Adj'!$B$2:$E$32,3,0)</f>
        <v>1</v>
      </c>
      <c r="M183" s="14">
        <f>VLOOKUP($C183,'Refi Adj'!$B$2:$E$32,4,0)</f>
        <v>0.60000000000000009</v>
      </c>
      <c r="O183" s="35">
        <f t="shared" si="35"/>
        <v>1.1298792224468401E-2</v>
      </c>
      <c r="P183" s="38">
        <f t="shared" si="36"/>
        <v>2.2430222183007702E-3</v>
      </c>
      <c r="Q183" s="35">
        <f t="shared" si="31"/>
        <v>5.8653302207678226E-3</v>
      </c>
      <c r="S183" s="34">
        <f t="shared" si="37"/>
        <v>1.3932935758014894E-2</v>
      </c>
      <c r="T183" s="2">
        <f t="shared" si="32"/>
        <v>15.495966804435501</v>
      </c>
      <c r="U183" s="7">
        <f t="shared" si="33"/>
        <v>0.9928289607910078</v>
      </c>
      <c r="X183" s="9"/>
      <c r="Y183" s="8"/>
      <c r="Z183" s="8"/>
      <c r="AC183" s="9"/>
      <c r="AD183" s="8"/>
      <c r="AE183" s="8"/>
      <c r="AH183" s="9"/>
      <c r="AI183" s="8"/>
      <c r="AJ183" s="8"/>
    </row>
    <row r="184" spans="1:36" x14ac:dyDescent="0.25">
      <c r="A184" s="4">
        <f t="shared" si="23"/>
        <v>7.5978709381280796</v>
      </c>
      <c r="B184" s="3">
        <f t="shared" si="24"/>
        <v>3.4008190044699997</v>
      </c>
      <c r="C184" s="2" t="str">
        <f t="shared" si="25"/>
        <v>09-2:5-10</v>
      </c>
      <c r="D184" s="8">
        <f t="shared" si="26"/>
        <v>1.7785830224231001E-2</v>
      </c>
      <c r="E184" s="8">
        <f t="shared" si="27"/>
        <v>8.4021655121463076E-3</v>
      </c>
      <c r="F184" s="3">
        <f t="shared" si="28"/>
        <v>2.1168150280447957</v>
      </c>
      <c r="G184" s="2">
        <f t="shared" si="29"/>
        <v>19.374143441593748</v>
      </c>
      <c r="H184" s="2">
        <f t="shared" si="30"/>
        <v>9.6294686306189536</v>
      </c>
      <c r="I184" s="33">
        <f t="shared" si="34"/>
        <v>20.460418137902202</v>
      </c>
      <c r="K184" s="14">
        <f>VLOOKUP($C184,'Refi Adj'!$B$2:$E$32,2,0)</f>
        <v>1</v>
      </c>
      <c r="L184" s="14">
        <f>VLOOKUP($C184,'Refi Adj'!$B$2:$E$32,3,0)</f>
        <v>1</v>
      </c>
      <c r="M184" s="14">
        <f>VLOOKUP($C184,'Refi Adj'!$B$2:$E$32,4,0)</f>
        <v>0.65</v>
      </c>
      <c r="O184" s="35">
        <f t="shared" si="35"/>
        <v>1.3062013932552066E-2</v>
      </c>
      <c r="P184" s="38">
        <f t="shared" si="36"/>
        <v>2.57641568236649E-3</v>
      </c>
      <c r="Q184" s="35">
        <f t="shared" si="31"/>
        <v>6.7706549824407209E-3</v>
      </c>
      <c r="S184" s="34">
        <f t="shared" si="37"/>
        <v>1.5292389891061024E-2</v>
      </c>
      <c r="T184" s="2">
        <f t="shared" si="32"/>
        <v>16.883445557549781</v>
      </c>
      <c r="U184" s="7">
        <f t="shared" si="33"/>
        <v>1.1630510568284351</v>
      </c>
      <c r="X184" s="9"/>
      <c r="Y184" s="8"/>
      <c r="Z184" s="8"/>
      <c r="AC184" s="9"/>
      <c r="AD184" s="8"/>
      <c r="AE184" s="8"/>
      <c r="AH184" s="9"/>
      <c r="AI184" s="8"/>
      <c r="AJ184" s="8"/>
    </row>
    <row r="185" spans="1:36" x14ac:dyDescent="0.25">
      <c r="A185" s="4">
        <f t="shared" si="23"/>
        <v>12.5847834434162</v>
      </c>
      <c r="B185" s="3">
        <f t="shared" si="24"/>
        <v>3.7317113905300001</v>
      </c>
      <c r="C185" s="2" t="str">
        <f t="shared" si="25"/>
        <v>09-3:10-15</v>
      </c>
      <c r="D185" s="8">
        <f t="shared" si="26"/>
        <v>2.00086836217447E-2</v>
      </c>
      <c r="E185" s="8">
        <f t="shared" si="27"/>
        <v>8.7883700653655569E-3</v>
      </c>
      <c r="F185" s="3">
        <f t="shared" si="28"/>
        <v>2.2767229273375427</v>
      </c>
      <c r="G185" s="2">
        <f t="shared" si="29"/>
        <v>21.536671117698226</v>
      </c>
      <c r="H185" s="2">
        <f t="shared" si="30"/>
        <v>10.050931967191801</v>
      </c>
      <c r="I185" s="33">
        <f t="shared" si="34"/>
        <v>22.286376384058038</v>
      </c>
      <c r="K185" s="14">
        <f>VLOOKUP($C185,'Refi Adj'!$B$2:$E$32,2,0)</f>
        <v>1</v>
      </c>
      <c r="L185" s="14">
        <f>VLOOKUP($C185,'Refi Adj'!$B$2:$E$32,3,0)</f>
        <v>1</v>
      </c>
      <c r="M185" s="14">
        <f>VLOOKUP($C185,'Refi Adj'!$B$2:$E$32,4,0)</f>
        <v>0.70000000000000007</v>
      </c>
      <c r="O185" s="35">
        <f t="shared" si="35"/>
        <v>1.4944695786495581E-2</v>
      </c>
      <c r="P185" s="38">
        <f t="shared" si="36"/>
        <v>2.9770477092795301E-3</v>
      </c>
      <c r="Q185" s="35">
        <f t="shared" si="31"/>
        <v>7.764106940165951E-3</v>
      </c>
      <c r="S185" s="34">
        <f t="shared" si="37"/>
        <v>1.6581718329396922E-2</v>
      </c>
      <c r="T185" s="2">
        <f t="shared" si="32"/>
        <v>18.180027279557908</v>
      </c>
      <c r="U185" s="7">
        <f t="shared" si="33"/>
        <v>1.2066713005414089</v>
      </c>
      <c r="X185" s="9"/>
      <c r="Y185" s="8"/>
      <c r="Z185" s="8"/>
      <c r="AC185" s="9"/>
      <c r="AD185" s="8"/>
      <c r="AE185" s="8"/>
      <c r="AH185" s="9"/>
      <c r="AI185" s="8"/>
      <c r="AJ185" s="8"/>
    </row>
    <row r="186" spans="1:36" x14ac:dyDescent="0.25">
      <c r="A186" s="4">
        <f t="shared" si="23"/>
        <v>17.5001164285508</v>
      </c>
      <c r="B186" s="3">
        <f t="shared" si="24"/>
        <v>3.8533973094899996</v>
      </c>
      <c r="C186" s="2" t="str">
        <f t="shared" si="25"/>
        <v>09-4:15-20</v>
      </c>
      <c r="D186" s="8">
        <f t="shared" si="26"/>
        <v>2.05991171039458E-2</v>
      </c>
      <c r="E186" s="8">
        <f t="shared" si="27"/>
        <v>9.2397493200729475E-3</v>
      </c>
      <c r="F186" s="3">
        <f t="shared" si="28"/>
        <v>2.2294021612897148</v>
      </c>
      <c r="G186" s="2">
        <f t="shared" si="29"/>
        <v>22.102074127303219</v>
      </c>
      <c r="H186" s="2">
        <f t="shared" si="30"/>
        <v>10.541236238326734</v>
      </c>
      <c r="I186" s="33">
        <f t="shared" si="34"/>
        <v>24.617102825489667</v>
      </c>
      <c r="K186" s="14">
        <f>VLOOKUP($C186,'Refi Adj'!$B$2:$E$32,2,0)</f>
        <v>1</v>
      </c>
      <c r="L186" s="14">
        <f>VLOOKUP($C186,'Refi Adj'!$B$2:$E$32,3,0)</f>
        <v>1</v>
      </c>
      <c r="M186" s="14">
        <f>VLOOKUP($C186,'Refi Adj'!$B$2:$E$32,4,0)</f>
        <v>0.75</v>
      </c>
      <c r="O186" s="35">
        <f t="shared" si="35"/>
        <v>1.7430198505999202E-2</v>
      </c>
      <c r="P186" s="38">
        <f t="shared" si="36"/>
        <v>3.4062804583516498E-3</v>
      </c>
      <c r="Q186" s="35">
        <f t="shared" si="31"/>
        <v>9.0158476774106714E-3</v>
      </c>
      <c r="S186" s="34">
        <f t="shared" si="37"/>
        <v>1.8008279907912015E-2</v>
      </c>
      <c r="T186" s="2">
        <f t="shared" si="32"/>
        <v>19.592990285191114</v>
      </c>
      <c r="U186" s="7">
        <f t="shared" si="33"/>
        <v>1.1438692206741794</v>
      </c>
      <c r="X186" s="9"/>
      <c r="Y186" s="8"/>
      <c r="Z186" s="8"/>
      <c r="AC186" s="9"/>
      <c r="AD186" s="8"/>
      <c r="AE186" s="8"/>
      <c r="AH186" s="9"/>
      <c r="AI186" s="8"/>
      <c r="AJ186" s="8"/>
    </row>
    <row r="187" spans="1:36" x14ac:dyDescent="0.25">
      <c r="A187" s="4">
        <f t="shared" si="23"/>
        <v>22.488530607683099</v>
      </c>
      <c r="B187" s="3">
        <f t="shared" si="24"/>
        <v>3.9753672223500001</v>
      </c>
      <c r="C187" s="2" t="str">
        <f t="shared" si="25"/>
        <v>09:0-25</v>
      </c>
      <c r="D187" s="8">
        <f t="shared" si="26"/>
        <v>2.1209356166096999E-2</v>
      </c>
      <c r="E187" s="8">
        <f t="shared" si="27"/>
        <v>9.7032761481023778E-3</v>
      </c>
      <c r="F187" s="3">
        <f t="shared" si="28"/>
        <v>2.1857933178831366</v>
      </c>
      <c r="G187" s="2">
        <f t="shared" si="29"/>
        <v>22.682516231668448</v>
      </c>
      <c r="H187" s="2">
        <f t="shared" si="30"/>
        <v>11.04218491034662</v>
      </c>
      <c r="I187" s="33">
        <f t="shared" si="34"/>
        <v>26.866933882053289</v>
      </c>
      <c r="K187" s="14">
        <f>VLOOKUP($C187,'Refi Adj'!$B$2:$E$32,2,0)</f>
        <v>1</v>
      </c>
      <c r="L187" s="14">
        <f>VLOOKUP($C187,'Refi Adj'!$B$2:$E$32,3,0)</f>
        <v>1</v>
      </c>
      <c r="M187" s="14">
        <f>VLOOKUP($C187,'Refi Adj'!$B$2:$E$32,4,0)</f>
        <v>0.8</v>
      </c>
      <c r="O187" s="35">
        <f t="shared" si="35"/>
        <v>1.9860483415395203E-2</v>
      </c>
      <c r="P187" s="38">
        <f t="shared" si="36"/>
        <v>3.8555443473728699E-3</v>
      </c>
      <c r="Q187" s="35">
        <f t="shared" si="31"/>
        <v>1.0257519974581804E-2</v>
      </c>
      <c r="S187" s="34">
        <f t="shared" si="37"/>
        <v>1.9484968840443165E-2</v>
      </c>
      <c r="T187" s="2">
        <f t="shared" si="32"/>
        <v>21.032012755631868</v>
      </c>
      <c r="U187" s="7">
        <f t="shared" si="33"/>
        <v>1.0884983363214151</v>
      </c>
      <c r="X187" s="9"/>
      <c r="Y187" s="8"/>
      <c r="Z187" s="8"/>
      <c r="AC187" s="9"/>
      <c r="AD187" s="8"/>
      <c r="AE187" s="8"/>
      <c r="AH187" s="9"/>
      <c r="AI187" s="8"/>
      <c r="AJ187" s="8"/>
    </row>
    <row r="188" spans="1:36" x14ac:dyDescent="0.25">
      <c r="A188" s="4">
        <f t="shared" si="23"/>
        <v>27.484782323807899</v>
      </c>
      <c r="B188" s="3">
        <f t="shared" si="24"/>
        <v>4.0989693085400001</v>
      </c>
      <c r="C188" s="2" t="str">
        <f t="shared" si="25"/>
        <v>10-1:25-30</v>
      </c>
      <c r="D188" s="8">
        <f t="shared" si="26"/>
        <v>2.4837734184343499E-2</v>
      </c>
      <c r="E188" s="8">
        <f t="shared" si="27"/>
        <v>1.0269088542992948E-2</v>
      </c>
      <c r="F188" s="3">
        <f t="shared" si="28"/>
        <v>2.4186892615013411</v>
      </c>
      <c r="G188" s="2">
        <f t="shared" si="29"/>
        <v>26.052643474255753</v>
      </c>
      <c r="H188" s="2">
        <f t="shared" si="30"/>
        <v>11.650191337795057</v>
      </c>
      <c r="I188" s="33">
        <f t="shared" si="34"/>
        <v>29.129925861334439</v>
      </c>
      <c r="K188" s="14">
        <f>VLOOKUP($C188,'Refi Adj'!$B$2:$E$32,2,0)</f>
        <v>1</v>
      </c>
      <c r="L188" s="14">
        <f>VLOOKUP($C188,'Refi Adj'!$B$2:$E$32,3,0)</f>
        <v>1</v>
      </c>
      <c r="M188" s="14">
        <f>VLOOKUP($C188,'Refi Adj'!$B$2:$E$32,4,0)</f>
        <v>0.85000000000000009</v>
      </c>
      <c r="O188" s="35">
        <f t="shared" si="35"/>
        <v>2.2349759344300186E-2</v>
      </c>
      <c r="P188" s="38">
        <f t="shared" si="36"/>
        <v>4.4252573358486303E-3</v>
      </c>
      <c r="Q188" s="35">
        <f t="shared" si="31"/>
        <v>1.1595058139229253E-2</v>
      </c>
      <c r="S188" s="34">
        <f t="shared" si="37"/>
        <v>2.1135189458328561E-2</v>
      </c>
      <c r="T188" s="2">
        <f t="shared" si="32"/>
        <v>22.61218322998775</v>
      </c>
      <c r="U188" s="7">
        <f t="shared" si="33"/>
        <v>1.1751838909849899</v>
      </c>
      <c r="X188" s="9"/>
      <c r="Y188" s="8"/>
      <c r="Z188" s="8"/>
      <c r="AC188" s="9"/>
      <c r="AD188" s="8"/>
      <c r="AE188" s="8"/>
      <c r="AH188" s="9"/>
      <c r="AI188" s="8"/>
      <c r="AJ188" s="8"/>
    </row>
    <row r="189" spans="1:36" s="17" customFormat="1" x14ac:dyDescent="0.25">
      <c r="A189" s="4">
        <f t="shared" ref="A189:A200" si="38">K120</f>
        <v>32.5186468839754</v>
      </c>
      <c r="B189" s="3">
        <f t="shared" si="24"/>
        <v>4.1094057931199997</v>
      </c>
      <c r="C189" s="2" t="str">
        <f t="shared" ref="C189:C200" si="39">AO120</f>
        <v>10-2:30-35</v>
      </c>
      <c r="D189" s="8">
        <f t="shared" ref="D189:D200" si="40">E120</f>
        <v>2.1006742655641598E-2</v>
      </c>
      <c r="E189" s="8">
        <f t="shared" si="27"/>
        <v>1.0806313738754103E-2</v>
      </c>
      <c r="F189" s="3">
        <f t="shared" si="28"/>
        <v>1.943932330995189</v>
      </c>
      <c r="G189" s="2">
        <f t="shared" si="29"/>
        <v>22.490237139460135</v>
      </c>
      <c r="H189" s="2">
        <f t="shared" si="30"/>
        <v>12.223950941043659</v>
      </c>
      <c r="I189" s="33">
        <f t="shared" si="34"/>
        <v>31.53980216647938</v>
      </c>
      <c r="J189"/>
      <c r="K189" s="14">
        <f>VLOOKUP($C189,'Refi Adj'!$B$2:$E$32,2,0)</f>
        <v>1</v>
      </c>
      <c r="L189" s="14">
        <f>VLOOKUP($C189,'Refi Adj'!$B$2:$E$32,3,0)</f>
        <v>1</v>
      </c>
      <c r="M189" s="14">
        <f>VLOOKUP($C189,'Refi Adj'!$B$2:$E$32,4,0)</f>
        <v>0.9</v>
      </c>
      <c r="N189" s="24"/>
      <c r="O189" s="35">
        <f t="shared" si="35"/>
        <v>2.5075121542421849E-2</v>
      </c>
      <c r="P189" s="38">
        <f t="shared" si="36"/>
        <v>4.92966030459759E-3</v>
      </c>
      <c r="Q189" s="35">
        <f t="shared" si="31"/>
        <v>1.2987844799727293E-2</v>
      </c>
      <c r="R189" s="24"/>
      <c r="S189" s="34">
        <f t="shared" si="37"/>
        <v>2.2865614159064216E-2</v>
      </c>
      <c r="T189" s="2">
        <f t="shared" si="32"/>
        <v>24.237977629757335</v>
      </c>
      <c r="U189" s="7">
        <f t="shared" si="33"/>
        <v>0.91870450141896853</v>
      </c>
      <c r="V189"/>
      <c r="W189"/>
      <c r="X189" s="9"/>
      <c r="Y189" s="8"/>
      <c r="Z189" s="8"/>
      <c r="AA189"/>
      <c r="AB189"/>
      <c r="AC189" s="9"/>
      <c r="AD189" s="8"/>
      <c r="AE189" s="8"/>
      <c r="AF189"/>
      <c r="AG189"/>
      <c r="AH189" s="9"/>
      <c r="AI189" s="8"/>
      <c r="AJ189" s="8"/>
    </row>
    <row r="190" spans="1:36" s="17" customFormat="1" x14ac:dyDescent="0.25">
      <c r="A190" s="4">
        <f t="shared" si="38"/>
        <v>37.512331583634101</v>
      </c>
      <c r="B190" s="3">
        <f t="shared" si="24"/>
        <v>3.9584041235300003</v>
      </c>
      <c r="C190" s="2" t="str">
        <f t="shared" si="39"/>
        <v>10-3:35-40</v>
      </c>
      <c r="D190" s="8">
        <f t="shared" si="40"/>
        <v>2.70869960746036E-2</v>
      </c>
      <c r="E190" s="8">
        <f t="shared" si="27"/>
        <v>1.1322328058602419E-2</v>
      </c>
      <c r="F190" s="3">
        <f t="shared" si="28"/>
        <v>2.3923521677172728</v>
      </c>
      <c r="G190" s="2">
        <f t="shared" si="29"/>
        <v>28.073637350302903</v>
      </c>
      <c r="H190" s="2">
        <f t="shared" si="30"/>
        <v>12.771839265069861</v>
      </c>
      <c r="I190" s="33">
        <f t="shared" si="34"/>
        <v>34.234726937405767</v>
      </c>
      <c r="J190"/>
      <c r="K190" s="14">
        <f>VLOOKUP($C190,'Refi Adj'!$B$2:$E$32,2,0)</f>
        <v>1</v>
      </c>
      <c r="L190" s="14">
        <f>VLOOKUP($C190,'Refi Adj'!$B$2:$E$32,3,0)</f>
        <v>1</v>
      </c>
      <c r="M190" s="14">
        <f>VLOOKUP($C190,'Refi Adj'!$B$2:$E$32,4,0)</f>
        <v>0.95000000000000007</v>
      </c>
      <c r="N190" s="24"/>
      <c r="O190" s="35">
        <f t="shared" si="35"/>
        <v>2.8328482001084326E-2</v>
      </c>
      <c r="P190" s="38">
        <f t="shared" si="36"/>
        <v>5.3863425567124198E-3</v>
      </c>
      <c r="Q190" s="35">
        <f t="shared" si="31"/>
        <v>1.4563198334461182E-2</v>
      </c>
      <c r="R190" s="24"/>
      <c r="S190" s="34">
        <f t="shared" si="37"/>
        <v>2.4982728365361567E-2</v>
      </c>
      <c r="T190" s="2">
        <f t="shared" si="32"/>
        <v>26.184475965336983</v>
      </c>
      <c r="U190" s="7">
        <f t="shared" si="33"/>
        <v>1.0842288992006008</v>
      </c>
      <c r="V190"/>
      <c r="W190"/>
      <c r="X190" s="9"/>
      <c r="Y190" s="8"/>
      <c r="Z190" s="8"/>
      <c r="AA190"/>
      <c r="AB190"/>
      <c r="AC190" s="9"/>
      <c r="AD190" s="8"/>
      <c r="AE190" s="8"/>
      <c r="AF190"/>
      <c r="AG190"/>
      <c r="AH190" s="9"/>
      <c r="AI190" s="8"/>
      <c r="AJ190" s="8"/>
    </row>
    <row r="191" spans="1:36" s="17" customFormat="1" x14ac:dyDescent="0.25">
      <c r="A191" s="4">
        <f t="shared" si="38"/>
        <v>42.505751945459203</v>
      </c>
      <c r="B191" s="3">
        <f t="shared" si="24"/>
        <v>3.8602929912700001</v>
      </c>
      <c r="C191" s="2" t="str">
        <f t="shared" si="39"/>
        <v>10-4:40-45</v>
      </c>
      <c r="D191" s="8">
        <f t="shared" si="40"/>
        <v>2.72164624089236E-2</v>
      </c>
      <c r="E191" s="8">
        <f t="shared" si="27"/>
        <v>1.1865957404864531E-2</v>
      </c>
      <c r="F191" s="3">
        <f t="shared" si="28"/>
        <v>2.2936592034087382</v>
      </c>
      <c r="G191" s="2">
        <f t="shared" si="29"/>
        <v>28.188408929403707</v>
      </c>
      <c r="H191" s="2">
        <f t="shared" si="30"/>
        <v>13.345655927291666</v>
      </c>
      <c r="I191" s="33">
        <f t="shared" si="34"/>
        <v>36.96121577339774</v>
      </c>
      <c r="J191"/>
      <c r="K191" s="14">
        <f>VLOOKUP($C191,'Refi Adj'!$B$2:$E$32,2,0)</f>
        <v>1</v>
      </c>
      <c r="L191" s="14">
        <f>VLOOKUP($C191,'Refi Adj'!$B$2:$E$32,3,0)</f>
        <v>1</v>
      </c>
      <c r="M191" s="14">
        <f>VLOOKUP($C191,'Refi Adj'!$B$2:$E$32,4,0)</f>
        <v>1</v>
      </c>
      <c r="N191" s="24"/>
      <c r="O191" s="35">
        <f t="shared" si="35"/>
        <v>3.1663000044790397E-2</v>
      </c>
      <c r="P191" s="38">
        <f t="shared" si="36"/>
        <v>5.8579376287233899E-3</v>
      </c>
      <c r="Q191" s="35">
        <f t="shared" si="31"/>
        <v>1.6179962595150192E-2</v>
      </c>
      <c r="R191" s="24"/>
      <c r="S191" s="34">
        <f t="shared" si="37"/>
        <v>2.707689606471448E-2</v>
      </c>
      <c r="T191" s="2">
        <f t="shared" si="32"/>
        <v>28.064676650415443</v>
      </c>
      <c r="U191" s="7">
        <f t="shared" si="33"/>
        <v>1.0051544439907569</v>
      </c>
      <c r="V191"/>
      <c r="W191"/>
      <c r="X191" s="9"/>
      <c r="Y191" s="8"/>
      <c r="Z191" s="8"/>
      <c r="AA191"/>
      <c r="AB191"/>
      <c r="AC191" s="9"/>
      <c r="AD191" s="8"/>
      <c r="AE191" s="8"/>
      <c r="AF191"/>
      <c r="AG191"/>
      <c r="AH191" s="9"/>
      <c r="AI191" s="8"/>
      <c r="AJ191" s="8"/>
    </row>
    <row r="192" spans="1:36" s="17" customFormat="1" x14ac:dyDescent="0.25">
      <c r="A192" s="4">
        <f t="shared" si="38"/>
        <v>47.461826944068903</v>
      </c>
      <c r="B192" s="3">
        <f t="shared" si="24"/>
        <v>3.9489593139299997</v>
      </c>
      <c r="C192" s="2" t="str">
        <f t="shared" si="39"/>
        <v>10:25-50</v>
      </c>
      <c r="D192" s="8">
        <f t="shared" si="40"/>
        <v>2.5920505239930999E-2</v>
      </c>
      <c r="E192" s="8">
        <f t="shared" si="27"/>
        <v>1.2410934518241518E-2</v>
      </c>
      <c r="F192" s="3">
        <f t="shared" si="28"/>
        <v>2.0885216340343424</v>
      </c>
      <c r="G192" s="2">
        <f t="shared" si="29"/>
        <v>27.031937639273018</v>
      </c>
      <c r="H192" s="2">
        <f t="shared" si="30"/>
        <v>13.917420229675326</v>
      </c>
      <c r="I192" s="33">
        <f t="shared" si="34"/>
        <v>40.053127536668363</v>
      </c>
      <c r="J192"/>
      <c r="K192" s="14">
        <f>VLOOKUP($C192,'Refi Adj'!$B$2:$E$32,2,0)</f>
        <v>1</v>
      </c>
      <c r="L192" s="14">
        <f>VLOOKUP($C192,'Refi Adj'!$B$2:$E$32,3,0)</f>
        <v>1</v>
      </c>
      <c r="M192" s="14">
        <f>VLOOKUP($C192,'Refi Adj'!$B$2:$E$32,4,0)</f>
        <v>1.05</v>
      </c>
      <c r="N192" s="24"/>
      <c r="O192" s="35">
        <f t="shared" si="35"/>
        <v>3.5720878721748672E-2</v>
      </c>
      <c r="P192" s="38">
        <f t="shared" si="36"/>
        <v>6.4190060322811496E-3</v>
      </c>
      <c r="Q192" s="35">
        <f t="shared" si="31"/>
        <v>1.8139755108068159E-2</v>
      </c>
      <c r="R192" s="24"/>
      <c r="S192" s="34">
        <f t="shared" si="37"/>
        <v>2.8091227087716036E-2</v>
      </c>
      <c r="T192" s="2">
        <f t="shared" si="32"/>
        <v>28.959497045979511</v>
      </c>
      <c r="U192" s="7">
        <f t="shared" si="33"/>
        <v>0.92272598697782526</v>
      </c>
      <c r="V192"/>
      <c r="W192"/>
      <c r="X192" s="9"/>
      <c r="Y192" s="8"/>
      <c r="Z192" s="8"/>
      <c r="AA192"/>
      <c r="AB192"/>
      <c r="AC192" s="9"/>
      <c r="AD192" s="8"/>
      <c r="AE192" s="8"/>
      <c r="AF192"/>
      <c r="AG192"/>
      <c r="AH192" s="9"/>
      <c r="AI192" s="8"/>
      <c r="AJ192" s="8"/>
    </row>
    <row r="193" spans="1:50" s="17" customFormat="1" x14ac:dyDescent="0.25">
      <c r="A193" s="4">
        <f t="shared" si="38"/>
        <v>52.451011568242599</v>
      </c>
      <c r="B193" s="3">
        <f t="shared" si="24"/>
        <v>3.46587419969</v>
      </c>
      <c r="C193" s="2" t="str">
        <f t="shared" si="39"/>
        <v>11-1:50-55</v>
      </c>
      <c r="D193" s="8">
        <f t="shared" si="40"/>
        <v>2.88638544730737E-2</v>
      </c>
      <c r="E193" s="8">
        <f t="shared" si="27"/>
        <v>1.3034471095398618E-2</v>
      </c>
      <c r="F193" s="3">
        <f t="shared" si="28"/>
        <v>2.2144246791312545</v>
      </c>
      <c r="G193" s="2">
        <f t="shared" si="29"/>
        <v>29.634233067449621</v>
      </c>
      <c r="H193" s="2">
        <f t="shared" si="30"/>
        <v>14.567362268891515</v>
      </c>
      <c r="I193" s="33">
        <f t="shared" si="34"/>
        <v>42.953471086525298</v>
      </c>
      <c r="J193"/>
      <c r="K193" s="14">
        <f>VLOOKUP($C193,'Refi Adj'!$B$2:$E$32,2,0)</f>
        <v>1</v>
      </c>
      <c r="L193" s="14">
        <f>VLOOKUP($C193,'Refi Adj'!$B$2:$E$32,3,0)</f>
        <v>1</v>
      </c>
      <c r="M193" s="14">
        <f>VLOOKUP($C193,'Refi Adj'!$B$2:$E$32,4,0)</f>
        <v>1.1000000000000001</v>
      </c>
      <c r="N193"/>
      <c r="O193" s="35">
        <f t="shared" si="35"/>
        <v>3.97004670306342E-2</v>
      </c>
      <c r="P193" s="38">
        <f t="shared" si="36"/>
        <v>6.9756827550904298E-3</v>
      </c>
      <c r="Q193" s="35">
        <f t="shared" si="31"/>
        <v>2.006559646530794E-2</v>
      </c>
      <c r="R193"/>
      <c r="S193" s="34">
        <f t="shared" si="37"/>
        <v>2.9474828121467372E-2</v>
      </c>
      <c r="T193" s="2">
        <f t="shared" si="32"/>
        <v>30.16363171189289</v>
      </c>
      <c r="U193" s="7">
        <f t="shared" si="33"/>
        <v>0.97927134143494177</v>
      </c>
      <c r="V193"/>
      <c r="W193"/>
      <c r="X193" s="9"/>
      <c r="Y193" s="8"/>
      <c r="Z193" s="8"/>
      <c r="AA193"/>
      <c r="AB193"/>
      <c r="AC193" s="9"/>
      <c r="AD193" s="8"/>
      <c r="AE193" s="8"/>
      <c r="AF193"/>
      <c r="AG193"/>
      <c r="AH193" s="9"/>
      <c r="AI193" s="8"/>
      <c r="AJ193" s="8"/>
    </row>
    <row r="194" spans="1:50" s="17" customFormat="1" x14ac:dyDescent="0.25">
      <c r="A194" s="4">
        <f t="shared" si="38"/>
        <v>57.465569603175403</v>
      </c>
      <c r="B194" s="3">
        <f t="shared" si="24"/>
        <v>3.1794221129600002</v>
      </c>
      <c r="C194" s="2" t="str">
        <f t="shared" si="39"/>
        <v>11-2:55-60</v>
      </c>
      <c r="D194" s="8">
        <f t="shared" si="40"/>
        <v>3.41995013451371E-2</v>
      </c>
      <c r="E194" s="8">
        <f t="shared" si="27"/>
        <v>1.3703342322996963E-2</v>
      </c>
      <c r="F194" s="3">
        <f t="shared" si="28"/>
        <v>2.4957051016483374</v>
      </c>
      <c r="G194" s="2">
        <f t="shared" si="29"/>
        <v>34.135848168081708</v>
      </c>
      <c r="H194" s="2">
        <f t="shared" si="30"/>
        <v>15.259555667337278</v>
      </c>
      <c r="I194" s="33">
        <f t="shared" si="34"/>
        <v>44.009396761248468</v>
      </c>
      <c r="J194"/>
      <c r="K194" s="14">
        <f>VLOOKUP($C194,'Refi Adj'!$B$2:$E$32,2,0)</f>
        <v>1</v>
      </c>
      <c r="L194" s="14">
        <f>VLOOKUP($C194,'Refi Adj'!$B$2:$E$32,3,0)</f>
        <v>1</v>
      </c>
      <c r="M194" s="14">
        <f>VLOOKUP($C194,'Refi Adj'!$B$2:$E$32,4,0)</f>
        <v>1.1000000000000001</v>
      </c>
      <c r="N194"/>
      <c r="O194" s="35">
        <f t="shared" si="35"/>
        <v>4.1100365814757268E-2</v>
      </c>
      <c r="P194" s="38">
        <f t="shared" si="36"/>
        <v>7.6780078723136802E-3</v>
      </c>
      <c r="Q194" s="35">
        <f t="shared" si="31"/>
        <v>2.1046951049291114E-2</v>
      </c>
      <c r="R194"/>
      <c r="S194" s="34">
        <f t="shared" si="37"/>
        <v>3.1724988129663532E-2</v>
      </c>
      <c r="T194" s="2">
        <f t="shared" si="32"/>
        <v>32.082030955290477</v>
      </c>
      <c r="U194" s="7">
        <f t="shared" si="33"/>
        <v>1.07799886970359</v>
      </c>
      <c r="V194"/>
      <c r="W194"/>
      <c r="X194" s="9"/>
      <c r="Y194" s="8"/>
      <c r="Z194" s="8"/>
      <c r="AA194"/>
      <c r="AB194"/>
      <c r="AC194" s="9"/>
      <c r="AD194" s="8"/>
      <c r="AE194" s="8"/>
      <c r="AF194"/>
      <c r="AG194"/>
      <c r="AH194" s="9"/>
      <c r="AI194" s="8"/>
      <c r="AJ194" s="8"/>
    </row>
    <row r="195" spans="1:50" s="17" customFormat="1" x14ac:dyDescent="0.25">
      <c r="A195" s="4">
        <f t="shared" si="38"/>
        <v>62.397341437223901</v>
      </c>
      <c r="B195" s="3">
        <f t="shared" si="24"/>
        <v>2.55065065921</v>
      </c>
      <c r="C195" s="2" t="str">
        <f t="shared" si="39"/>
        <v>11-3:60-65</v>
      </c>
      <c r="D195" s="8">
        <f t="shared" si="40"/>
        <v>3.39892028106265E-2</v>
      </c>
      <c r="E195" s="8">
        <f t="shared" si="27"/>
        <v>1.4348109865924701E-2</v>
      </c>
      <c r="F195" s="3">
        <f t="shared" si="28"/>
        <v>2.3688975849946194</v>
      </c>
      <c r="G195" s="2">
        <f t="shared" si="29"/>
        <v>33.96354258596088</v>
      </c>
      <c r="H195" s="2">
        <f t="shared" si="30"/>
        <v>15.921934861660002</v>
      </c>
      <c r="I195" s="33">
        <f t="shared" si="34"/>
        <v>45.505763423853473</v>
      </c>
      <c r="J195"/>
      <c r="K195" s="14">
        <f>VLOOKUP($C195,'Refi Adj'!$B$2:$E$32,2,0)</f>
        <v>1</v>
      </c>
      <c r="L195" s="14">
        <f>VLOOKUP($C195,'Refi Adj'!$B$2:$E$32,3,0)</f>
        <v>1</v>
      </c>
      <c r="M195" s="14">
        <f>VLOOKUP($C195,'Refi Adj'!$B$2:$E$32,4,0)</f>
        <v>1.1000000000000001</v>
      </c>
      <c r="N195"/>
      <c r="O195" s="35">
        <f t="shared" si="35"/>
        <v>4.322682563961696E-2</v>
      </c>
      <c r="P195" s="38">
        <f t="shared" si="36"/>
        <v>8.3504333532064406E-3</v>
      </c>
      <c r="Q195" s="35">
        <f t="shared" si="31"/>
        <v>2.2300990267770649E-2</v>
      </c>
      <c r="R195"/>
      <c r="S195" s="34">
        <f t="shared" si="37"/>
        <v>3.4824128794772723E-2</v>
      </c>
      <c r="T195" s="2">
        <f t="shared" si="32"/>
        <v>34.645202194336576</v>
      </c>
      <c r="U195" s="7">
        <f t="shared" si="33"/>
        <v>0.97602449758135656</v>
      </c>
      <c r="V195"/>
      <c r="W195"/>
      <c r="X195" s="9"/>
      <c r="Y195" s="8"/>
      <c r="Z195" s="8"/>
      <c r="AA195"/>
      <c r="AB195"/>
      <c r="AC195" s="9"/>
      <c r="AD195" s="8"/>
      <c r="AE195" s="8"/>
      <c r="AF195"/>
      <c r="AG195"/>
      <c r="AH195" s="9"/>
      <c r="AI195" s="8"/>
      <c r="AJ195" s="8"/>
    </row>
    <row r="196" spans="1:50" s="17" customFormat="1" x14ac:dyDescent="0.25">
      <c r="A196" s="4">
        <f t="shared" si="38"/>
        <v>67.458497390633497</v>
      </c>
      <c r="B196" s="3">
        <f t="shared" si="24"/>
        <v>1.85679426779</v>
      </c>
      <c r="C196" s="2" t="str">
        <f t="shared" si="39"/>
        <v>11-4:65-70</v>
      </c>
      <c r="D196" s="8">
        <f t="shared" si="40"/>
        <v>3.2061660856853101E-2</v>
      </c>
      <c r="E196" s="8">
        <f t="shared" si="27"/>
        <v>1.4958848658311059E-2</v>
      </c>
      <c r="F196" s="3">
        <f t="shared" si="28"/>
        <v>2.143324101286352</v>
      </c>
      <c r="G196" s="2">
        <f t="shared" si="29"/>
        <v>32.364873532834636</v>
      </c>
      <c r="H196" s="2">
        <f t="shared" si="30"/>
        <v>16.544975505335202</v>
      </c>
      <c r="I196" s="33">
        <f t="shared" si="34"/>
        <v>48.731952173963798</v>
      </c>
      <c r="J196"/>
      <c r="K196" s="14">
        <f>VLOOKUP($C196,'Refi Adj'!$B$2:$E$32,2,0)</f>
        <v>1</v>
      </c>
      <c r="L196" s="14">
        <f>VLOOKUP($C196,'Refi Adj'!$B$2:$E$32,3,0)</f>
        <v>1</v>
      </c>
      <c r="M196" s="14">
        <f>VLOOKUP($C196,'Refi Adj'!$B$2:$E$32,4,0)</f>
        <v>1.1000000000000001</v>
      </c>
      <c r="N196"/>
      <c r="O196" s="35">
        <f t="shared" si="35"/>
        <v>4.7875006095897205E-2</v>
      </c>
      <c r="P196" s="38">
        <f t="shared" si="36"/>
        <v>8.87643034714828E-3</v>
      </c>
      <c r="Q196" s="35">
        <f t="shared" si="31"/>
        <v>2.4475860646647852E-2</v>
      </c>
      <c r="R196"/>
      <c r="S196" s="34">
        <f>Z127+AA127+AB127*K196+AC127*L196+Q196*$M$171</f>
        <v>3.1782071990143025E-2</v>
      </c>
      <c r="T196" s="2">
        <f t="shared" si="32"/>
        <v>32.130063957723522</v>
      </c>
      <c r="U196" s="7">
        <f t="shared" si="33"/>
        <v>1.0087970622807974</v>
      </c>
      <c r="V196"/>
      <c r="W196"/>
      <c r="X196" s="9"/>
      <c r="Y196" s="8"/>
      <c r="Z196" s="8"/>
      <c r="AA196"/>
      <c r="AB196"/>
      <c r="AC196" s="9"/>
      <c r="AD196" s="8"/>
      <c r="AE196" s="8"/>
      <c r="AF196"/>
      <c r="AG196"/>
      <c r="AH196" s="9"/>
      <c r="AI196" s="8"/>
      <c r="AJ196" s="8"/>
    </row>
    <row r="197" spans="1:50" s="17" customFormat="1" x14ac:dyDescent="0.25">
      <c r="A197" s="4">
        <f t="shared" si="38"/>
        <v>72.403714965164497</v>
      </c>
      <c r="B197" s="3">
        <f t="shared" si="24"/>
        <v>1.5112368028199998</v>
      </c>
      <c r="C197" s="2" t="str">
        <f t="shared" si="39"/>
        <v>11:50-75</v>
      </c>
      <c r="D197" s="8">
        <f t="shared" si="40"/>
        <v>3.2528834438444502E-2</v>
      </c>
      <c r="E197" s="8">
        <f t="shared" si="27"/>
        <v>1.5693439340062003E-2</v>
      </c>
      <c r="F197" s="3">
        <f t="shared" si="28"/>
        <v>2.0727664429431556</v>
      </c>
      <c r="G197" s="2">
        <f t="shared" si="29"/>
        <v>32.755562905611448</v>
      </c>
      <c r="H197" s="2">
        <f t="shared" si="30"/>
        <v>17.288755079674502</v>
      </c>
      <c r="I197" s="33">
        <f t="shared" si="34"/>
        <v>52.988480011768125</v>
      </c>
      <c r="J197"/>
      <c r="K197" s="14">
        <f>VLOOKUP($C197,'Refi Adj'!$B$2:$E$32,2,0)</f>
        <v>1</v>
      </c>
      <c r="L197" s="14">
        <f>VLOOKUP($C197,'Refi Adj'!$B$2:$E$32,3,0)</f>
        <v>1</v>
      </c>
      <c r="M197" s="14">
        <f>VLOOKUP($C197,'Refi Adj'!$B$2:$E$32,4,0)</f>
        <v>1.1000000000000001</v>
      </c>
      <c r="N197"/>
      <c r="O197" s="35">
        <f t="shared" si="35"/>
        <v>5.4250900170218948E-2</v>
      </c>
      <c r="P197" s="38">
        <f t="shared" si="36"/>
        <v>9.5890066834325507E-3</v>
      </c>
      <c r="Q197" s="35">
        <f t="shared" si="31"/>
        <v>2.7453764078147109E-2</v>
      </c>
      <c r="R197"/>
      <c r="S197" s="34">
        <f>Z128+AA128+AB128*K197+AC128*L197+Q198*$M$171</f>
        <v>3.6044202193125194E-2</v>
      </c>
      <c r="T197" s="2">
        <f t="shared" si="32"/>
        <v>35.629714191418358</v>
      </c>
      <c r="U197" s="7">
        <f t="shared" si="33"/>
        <v>0.90247064601831617</v>
      </c>
      <c r="V197"/>
      <c r="W197"/>
      <c r="X197" s="9"/>
      <c r="Y197" s="8"/>
      <c r="Z197" s="8"/>
      <c r="AA197"/>
      <c r="AB197"/>
      <c r="AC197" s="9"/>
      <c r="AD197" s="8"/>
      <c r="AE197" s="8"/>
      <c r="AF197"/>
      <c r="AG197"/>
      <c r="AH197" s="9"/>
      <c r="AI197" s="8"/>
      <c r="AJ197" s="8"/>
    </row>
    <row r="198" spans="1:50" s="17" customFormat="1" x14ac:dyDescent="0.25">
      <c r="A198" s="4">
        <f t="shared" si="38"/>
        <v>85.420459466450396</v>
      </c>
      <c r="B198" s="3">
        <f t="shared" si="24"/>
        <v>3.9421137986599999</v>
      </c>
      <c r="C198" s="2" t="str">
        <f t="shared" si="39"/>
        <v>12:75-100</v>
      </c>
      <c r="D198" s="8">
        <f t="shared" si="40"/>
        <v>3.6983781112905303E-2</v>
      </c>
      <c r="E198" s="8">
        <f t="shared" si="27"/>
        <v>1.7837381228238032E-2</v>
      </c>
      <c r="F198" s="3">
        <f t="shared" si="28"/>
        <v>2.0733862577516118</v>
      </c>
      <c r="G198" s="2">
        <f t="shared" si="29"/>
        <v>36.378600581966971</v>
      </c>
      <c r="H198" s="2">
        <f t="shared" si="30"/>
        <v>19.424908063844093</v>
      </c>
      <c r="I198" s="33">
        <f t="shared" si="34"/>
        <v>53.27277009438555</v>
      </c>
      <c r="J198"/>
      <c r="K198" s="14">
        <f>VLOOKUP($C198,'Refi Adj'!$B$2:$E$32,2,0)</f>
        <v>1</v>
      </c>
      <c r="L198" s="14">
        <f>VLOOKUP($C198,'Refi Adj'!$B$2:$E$32,3,0)</f>
        <v>1</v>
      </c>
      <c r="M198" s="14">
        <f>VLOOKUP($C198,'Refi Adj'!$B$2:$E$32,4,0)</f>
        <v>1.02</v>
      </c>
      <c r="N198"/>
      <c r="O198" s="35">
        <f t="shared" si="35"/>
        <v>5.394714838814639E-2</v>
      </c>
      <c r="P198" s="38">
        <f t="shared" si="36"/>
        <v>1.15586781166258E-2</v>
      </c>
      <c r="Q198" s="35">
        <f t="shared" si="31"/>
        <v>2.8514066225234037E-2</v>
      </c>
      <c r="R198"/>
      <c r="S198" s="34">
        <f>Z129+AA129+AB129*K198+AC129*L198+Q199*$M$171</f>
        <v>3.779165963854271E-2</v>
      </c>
      <c r="T198" s="2">
        <f t="shared" si="32"/>
        <v>37.016120979450626</v>
      </c>
      <c r="U198" s="7">
        <f t="shared" si="33"/>
        <v>0.97862283547840079</v>
      </c>
      <c r="V198"/>
      <c r="W198"/>
      <c r="X198" s="9"/>
      <c r="Y198" s="8"/>
      <c r="Z198" s="8"/>
      <c r="AA198"/>
      <c r="AB198"/>
      <c r="AC198" s="9"/>
      <c r="AD198" s="8"/>
      <c r="AE198" s="8"/>
      <c r="AF198"/>
      <c r="AG198"/>
      <c r="AH198" s="9"/>
      <c r="AI198" s="8"/>
      <c r="AJ198" s="8"/>
    </row>
    <row r="199" spans="1:50" s="17" customFormat="1" x14ac:dyDescent="0.25">
      <c r="A199" s="4">
        <f t="shared" si="38"/>
        <v>110.133395013119</v>
      </c>
      <c r="B199" s="3">
        <f t="shared" si="24"/>
        <v>1.3777695193900001</v>
      </c>
      <c r="C199" s="2" t="str">
        <f t="shared" si="39"/>
        <v>13:100-125</v>
      </c>
      <c r="D199" s="8">
        <f t="shared" si="40"/>
        <v>4.8561518462311201E-2</v>
      </c>
      <c r="E199" s="8">
        <f t="shared" si="27"/>
        <v>2.2259948787915297E-2</v>
      </c>
      <c r="F199" s="3">
        <f t="shared" si="28"/>
        <v>2.181564698328271</v>
      </c>
      <c r="G199" s="2">
        <f t="shared" si="29"/>
        <v>44.973922805988153</v>
      </c>
      <c r="H199" s="2">
        <f t="shared" si="30"/>
        <v>23.672530055697617</v>
      </c>
      <c r="I199" s="33">
        <f t="shared" si="34"/>
        <v>52.298682350285915</v>
      </c>
      <c r="J199"/>
      <c r="K199" s="14">
        <f>VLOOKUP($C199,'Refi Adj'!$B$2:$E$32,2,0)</f>
        <v>1</v>
      </c>
      <c r="L199" s="14">
        <f>VLOOKUP($C199,'Refi Adj'!$B$2:$E$32,3,0)</f>
        <v>1</v>
      </c>
      <c r="M199" s="14">
        <f>VLOOKUP($C199,'Refi Adj'!$B$2:$E$32,4,0)</f>
        <v>0.95</v>
      </c>
      <c r="N199"/>
      <c r="O199" s="35">
        <f t="shared" si="35"/>
        <v>5.1705876254346687E-2</v>
      </c>
      <c r="P199" s="38">
        <f t="shared" si="36"/>
        <v>1.55499817461982E-2</v>
      </c>
      <c r="Q199" s="35">
        <f t="shared" si="31"/>
        <v>3.0012339549457596E-2</v>
      </c>
      <c r="R199"/>
      <c r="S199" s="34">
        <f>Z130+AA130+AB130*K199+AC130*L199+Q200*$M$171</f>
        <v>4.149204015896469E-2</v>
      </c>
      <c r="T199" s="2">
        <f t="shared" si="32"/>
        <v>39.862040889727659</v>
      </c>
      <c r="U199" s="7">
        <f t="shared" si="33"/>
        <v>1.1703815545406266</v>
      </c>
      <c r="V199"/>
      <c r="W199"/>
      <c r="X199" s="9"/>
      <c r="Y199" s="8"/>
      <c r="Z199" s="8"/>
      <c r="AA199"/>
      <c r="AB199"/>
      <c r="AC199" s="9"/>
      <c r="AD199" s="8"/>
      <c r="AE199" s="8"/>
      <c r="AF199"/>
      <c r="AG199"/>
      <c r="AH199" s="9"/>
      <c r="AI199" s="8"/>
      <c r="AJ199" s="8"/>
    </row>
    <row r="200" spans="1:50" s="17" customFormat="1" x14ac:dyDescent="0.25">
      <c r="A200" s="4">
        <f t="shared" si="38"/>
        <v>134.97257913026701</v>
      </c>
      <c r="B200" s="3">
        <f t="shared" si="24"/>
        <v>0.40711547310000001</v>
      </c>
      <c r="C200" s="2" t="str">
        <f t="shared" si="39"/>
        <v>14:125-150</v>
      </c>
      <c r="D200" s="8">
        <f t="shared" si="40"/>
        <v>3.5527605123802097E-2</v>
      </c>
      <c r="E200" s="8">
        <f t="shared" si="27"/>
        <v>2.7542646675680675E-2</v>
      </c>
      <c r="F200" s="3">
        <f t="shared" si="28"/>
        <v>1.2899125324499732</v>
      </c>
      <c r="G200" s="2">
        <f t="shared" si="29"/>
        <v>35.214528865599689</v>
      </c>
      <c r="H200" s="2">
        <f t="shared" si="30"/>
        <v>28.476826570314795</v>
      </c>
      <c r="I200" s="33">
        <f t="shared" si="34"/>
        <v>52.835273584806686</v>
      </c>
      <c r="J200"/>
      <c r="K200" s="14">
        <f>VLOOKUP($C200,'Refi Adj'!$B$2:$E$32,2,0)</f>
        <v>1</v>
      </c>
      <c r="L200" s="14">
        <f>VLOOKUP($C200,'Refi Adj'!$B$2:$E$32,3,0)</f>
        <v>1</v>
      </c>
      <c r="M200" s="14">
        <f>VLOOKUP($C200,'Refi Adj'!$B$2:$E$32,4,0)</f>
        <v>0.92</v>
      </c>
      <c r="N200"/>
      <c r="O200" s="35">
        <f t="shared" si="35"/>
        <v>5.273286776911644E-2</v>
      </c>
      <c r="P200" s="38">
        <f t="shared" si="36"/>
        <v>2.0054394689236001E-2</v>
      </c>
      <c r="Q200" s="35">
        <f t="shared" si="31"/>
        <v>3.312578392118818E-2</v>
      </c>
      <c r="R200"/>
      <c r="S200" s="34">
        <f>Z131+AA131+AB131*K200+AC131*L200+Q200*$M$171</f>
        <v>4.2270325103692268E-2</v>
      </c>
      <c r="T200" s="2">
        <f t="shared" si="32"/>
        <v>40.445397678411076</v>
      </c>
      <c r="U200" s="7">
        <f t="shared" si="33"/>
        <v>0.84048573169594099</v>
      </c>
      <c r="V200"/>
      <c r="W200"/>
      <c r="X200" s="9"/>
      <c r="Y200" s="8"/>
      <c r="Z200" s="8"/>
      <c r="AA200"/>
      <c r="AB200"/>
      <c r="AC200" s="9"/>
      <c r="AD200" s="8"/>
      <c r="AE200" s="8"/>
      <c r="AF200"/>
      <c r="AG200"/>
      <c r="AH200" s="9"/>
      <c r="AI200" s="8"/>
      <c r="AJ200" s="8"/>
    </row>
    <row r="201" spans="1:50" s="17" customFormat="1" x14ac:dyDescent="0.25">
      <c r="A201" s="4"/>
      <c r="B201" s="3"/>
      <c r="C201" s="2"/>
      <c r="D201" s="8"/>
      <c r="E201" s="8"/>
      <c r="F201" s="3"/>
      <c r="G201" s="2"/>
      <c r="H201" s="2"/>
      <c r="I201" s="33"/>
      <c r="J201"/>
      <c r="K201" s="14"/>
      <c r="L201" s="14"/>
      <c r="M201" s="14"/>
      <c r="N201"/>
      <c r="O201" s="35"/>
      <c r="P201" s="38"/>
      <c r="Q201" s="35"/>
      <c r="R201"/>
      <c r="S201" s="34"/>
      <c r="T201" s="2"/>
      <c r="U201" s="7"/>
      <c r="V201"/>
      <c r="W201"/>
      <c r="X201" s="9"/>
      <c r="Y201" s="8"/>
      <c r="Z201" s="8"/>
      <c r="AA201"/>
      <c r="AB201"/>
      <c r="AC201" s="9"/>
      <c r="AD201" s="8"/>
      <c r="AE201" s="8"/>
      <c r="AF201"/>
      <c r="AG201"/>
      <c r="AH201" s="9"/>
      <c r="AI201" s="8"/>
      <c r="AJ201" s="8"/>
    </row>
    <row r="203" spans="1:50" s="25" customFormat="1" x14ac:dyDescent="0.25"/>
    <row r="204" spans="1:50" x14ac:dyDescent="0.25">
      <c r="A204" s="27" t="s">
        <v>115</v>
      </c>
      <c r="C204" t="s">
        <v>122</v>
      </c>
      <c r="F204" t="s">
        <v>166</v>
      </c>
      <c r="AS204" s="17" t="s">
        <v>88</v>
      </c>
      <c r="AT204" s="17" t="s">
        <v>89</v>
      </c>
      <c r="AU204" s="17"/>
      <c r="AV204" s="17"/>
      <c r="AW204" s="17" t="s">
        <v>90</v>
      </c>
      <c r="AX204" s="17"/>
    </row>
    <row r="205" spans="1:50" x14ac:dyDescent="0.25">
      <c r="A205" t="s">
        <v>20</v>
      </c>
      <c r="B205" t="s">
        <v>21</v>
      </c>
      <c r="C205" t="s">
        <v>22</v>
      </c>
      <c r="D205" t="s">
        <v>23</v>
      </c>
      <c r="E205" t="s">
        <v>94</v>
      </c>
      <c r="F205" t="s">
        <v>95</v>
      </c>
      <c r="G205" t="s">
        <v>24</v>
      </c>
      <c r="H205" t="s">
        <v>25</v>
      </c>
      <c r="I205" t="s">
        <v>26</v>
      </c>
      <c r="J205" t="s">
        <v>27</v>
      </c>
      <c r="K205" t="s">
        <v>28</v>
      </c>
      <c r="L205" t="s">
        <v>29</v>
      </c>
      <c r="M205" t="s">
        <v>30</v>
      </c>
      <c r="N205" t="s">
        <v>31</v>
      </c>
      <c r="O205" t="s">
        <v>32</v>
      </c>
      <c r="P205" t="s">
        <v>33</v>
      </c>
      <c r="Q205" t="s">
        <v>34</v>
      </c>
      <c r="R205" t="s">
        <v>35</v>
      </c>
      <c r="S205" t="s">
        <v>36</v>
      </c>
      <c r="T205" t="s">
        <v>37</v>
      </c>
      <c r="U205" t="s">
        <v>38</v>
      </c>
      <c r="V205" t="s">
        <v>39</v>
      </c>
      <c r="W205" t="s">
        <v>40</v>
      </c>
      <c r="X205" t="s">
        <v>41</v>
      </c>
      <c r="Y205" t="s">
        <v>42</v>
      </c>
      <c r="Z205" t="s">
        <v>43</v>
      </c>
      <c r="AA205" t="s">
        <v>44</v>
      </c>
      <c r="AB205" s="1" t="s">
        <v>45</v>
      </c>
      <c r="AC205" s="1" t="s">
        <v>46</v>
      </c>
      <c r="AD205" s="1" t="s">
        <v>47</v>
      </c>
      <c r="AE205" t="s">
        <v>48</v>
      </c>
      <c r="AF205" t="s">
        <v>49</v>
      </c>
      <c r="AG205" t="s">
        <v>50</v>
      </c>
      <c r="AH205" t="s">
        <v>51</v>
      </c>
      <c r="AI205" t="s">
        <v>52</v>
      </c>
      <c r="AJ205" t="s">
        <v>53</v>
      </c>
      <c r="AK205" t="s">
        <v>54</v>
      </c>
      <c r="AL205" t="s">
        <v>55</v>
      </c>
      <c r="AM205" t="s">
        <v>56</v>
      </c>
      <c r="AN205" t="s">
        <v>57</v>
      </c>
      <c r="AO205" t="s">
        <v>58</v>
      </c>
      <c r="AP205" t="s">
        <v>59</v>
      </c>
      <c r="AQ205" t="s">
        <v>60</v>
      </c>
      <c r="AR205" t="s">
        <v>61</v>
      </c>
      <c r="AS205" s="28" t="s">
        <v>116</v>
      </c>
      <c r="AT205" s="28" t="s">
        <v>117</v>
      </c>
      <c r="AU205" s="28" t="s">
        <v>118</v>
      </c>
      <c r="AV205" s="28" t="s">
        <v>119</v>
      </c>
      <c r="AW205" s="28" t="s">
        <v>120</v>
      </c>
      <c r="AX205" s="28" t="s">
        <v>121</v>
      </c>
    </row>
    <row r="206" spans="1:50" x14ac:dyDescent="0.25">
      <c r="A206">
        <v>97</v>
      </c>
      <c r="B206" s="4">
        <v>0.98443959182090801</v>
      </c>
      <c r="C206" s="4">
        <v>0.81933785763306199</v>
      </c>
      <c r="D206" s="4">
        <v>17.154512077007102</v>
      </c>
      <c r="E206" s="4">
        <v>6.8535909918407401E-4</v>
      </c>
      <c r="F206" s="5">
        <v>1.55604081790915E-2</v>
      </c>
      <c r="G206" s="5">
        <v>0</v>
      </c>
      <c r="H206" s="4">
        <v>3.6601857291848199</v>
      </c>
      <c r="I206" s="4">
        <v>3.8814702049095802</v>
      </c>
      <c r="J206" s="4">
        <v>-37.1600192049846</v>
      </c>
      <c r="K206" s="4">
        <v>-81.705198080970305</v>
      </c>
      <c r="L206" s="4">
        <v>99.251211672337703</v>
      </c>
      <c r="M206" s="4">
        <v>13.3693276760945</v>
      </c>
      <c r="N206" s="4">
        <v>82.720638948689697</v>
      </c>
      <c r="O206" s="4">
        <v>9.3875843018258305</v>
      </c>
      <c r="P206" s="4">
        <v>33723.405414511901</v>
      </c>
      <c r="Q206" s="4">
        <v>33156.339999999997</v>
      </c>
      <c r="R206" s="4">
        <v>796.74945986197497</v>
      </c>
      <c r="S206" s="4">
        <v>0</v>
      </c>
      <c r="T206" s="4">
        <v>0</v>
      </c>
      <c r="U206" s="4">
        <v>0</v>
      </c>
      <c r="V206" s="4">
        <v>1</v>
      </c>
      <c r="W206" s="4">
        <v>0</v>
      </c>
      <c r="X206" s="4">
        <v>0</v>
      </c>
      <c r="Y206" s="4">
        <v>0</v>
      </c>
      <c r="Z206" s="5">
        <v>7.9476866090515408E-3</v>
      </c>
      <c r="AA206" s="5">
        <v>1.051166676147E-5</v>
      </c>
      <c r="AB206" s="10">
        <v>7.60019101362333E-3</v>
      </c>
      <c r="AC206" s="10">
        <v>2.0111334121920501E-6</v>
      </c>
      <c r="AD206" s="10">
        <v>0</v>
      </c>
      <c r="AE206" s="4">
        <v>9.3047804614946994E-2</v>
      </c>
      <c r="AF206" s="4">
        <v>0</v>
      </c>
      <c r="AG206" s="4">
        <v>0.81862407008734905</v>
      </c>
      <c r="AH206" s="4">
        <v>1</v>
      </c>
      <c r="AI206" s="4">
        <v>1</v>
      </c>
      <c r="AJ206" s="4">
        <v>1</v>
      </c>
      <c r="AK206" s="4">
        <v>1</v>
      </c>
      <c r="AL206" s="4">
        <v>1</v>
      </c>
      <c r="AM206" s="4">
        <v>0</v>
      </c>
      <c r="AN206" s="4">
        <v>0</v>
      </c>
      <c r="AO206" s="4" t="s">
        <v>64</v>
      </c>
      <c r="AP206" s="4">
        <f>-100--75</f>
        <v>-25</v>
      </c>
      <c r="AQ206" s="6">
        <v>331563.40000000002</v>
      </c>
      <c r="AR206" s="4">
        <v>10</v>
      </c>
      <c r="AS206" s="29">
        <v>0</v>
      </c>
      <c r="AT206" s="29">
        <v>0</v>
      </c>
      <c r="AU206" s="29">
        <v>0</v>
      </c>
      <c r="AV206" s="29">
        <v>100</v>
      </c>
      <c r="AW206" s="29">
        <v>0</v>
      </c>
      <c r="AX206" s="29">
        <v>100</v>
      </c>
    </row>
    <row r="207" spans="1:50" x14ac:dyDescent="0.25">
      <c r="A207">
        <v>97</v>
      </c>
      <c r="B207" s="4">
        <v>0.99328137210793399</v>
      </c>
      <c r="C207" s="4">
        <v>6.60390410710386</v>
      </c>
      <c r="D207" s="4">
        <v>7.7710020725024398</v>
      </c>
      <c r="E207" s="4">
        <v>5.6772101786271402E-3</v>
      </c>
      <c r="F207" s="5">
        <v>6.7186278920652398E-3</v>
      </c>
      <c r="G207" s="5">
        <v>0</v>
      </c>
      <c r="H207" s="4">
        <v>3.3036740898471999</v>
      </c>
      <c r="I207" s="4">
        <v>3.84316541405218</v>
      </c>
      <c r="J207" s="4">
        <v>-79.048829657968696</v>
      </c>
      <c r="K207" s="4">
        <v>-57.490556018369602</v>
      </c>
      <c r="L207" s="4">
        <v>35.908726338625598</v>
      </c>
      <c r="M207" s="4">
        <v>17.015488738734501</v>
      </c>
      <c r="N207" s="4">
        <v>79.057719171684397</v>
      </c>
      <c r="O207" s="4">
        <v>57.935423466202202</v>
      </c>
      <c r="P207" s="4">
        <v>192025.288427789</v>
      </c>
      <c r="Q207" s="4">
        <v>92935.9372072072</v>
      </c>
      <c r="R207" s="4">
        <v>783.31218082907105</v>
      </c>
      <c r="S207" s="4">
        <v>0</v>
      </c>
      <c r="T207" s="4">
        <v>0</v>
      </c>
      <c r="U207" s="4">
        <v>0</v>
      </c>
      <c r="V207" s="4">
        <v>1</v>
      </c>
      <c r="W207" s="4">
        <v>0</v>
      </c>
      <c r="X207" s="4">
        <v>0.21424881981305999</v>
      </c>
      <c r="Y207" s="4">
        <v>0</v>
      </c>
      <c r="Z207" s="5">
        <v>1.6163777448995099E-3</v>
      </c>
      <c r="AA207" s="5">
        <v>1.19106473867332E-5</v>
      </c>
      <c r="AB207" s="10">
        <v>5.0785336803553204E-3</v>
      </c>
      <c r="AC207" s="10">
        <v>3.6511060476772101E-6</v>
      </c>
      <c r="AD207" s="10">
        <v>8.1448530727748604E-6</v>
      </c>
      <c r="AE207" s="4">
        <v>6.0929971745413203E-2</v>
      </c>
      <c r="AF207" s="4">
        <v>0.50001356984352896</v>
      </c>
      <c r="AG207" s="4">
        <v>0.96769594757845101</v>
      </c>
      <c r="AH207" s="4">
        <v>0.99270782966148197</v>
      </c>
      <c r="AI207" s="4">
        <v>1</v>
      </c>
      <c r="AJ207" s="4">
        <v>1</v>
      </c>
      <c r="AK207" s="4">
        <v>1</v>
      </c>
      <c r="AL207" s="4">
        <v>1</v>
      </c>
      <c r="AM207" s="4">
        <v>0</v>
      </c>
      <c r="AN207" s="4">
        <v>0</v>
      </c>
      <c r="AO207" s="4" t="s">
        <v>65</v>
      </c>
      <c r="AP207" s="4">
        <f>-75--50</f>
        <v>-25</v>
      </c>
      <c r="AQ207" s="6">
        <v>10315889.029999999</v>
      </c>
      <c r="AR207" s="4">
        <v>111</v>
      </c>
      <c r="AS207" s="29">
        <v>0</v>
      </c>
      <c r="AT207" s="29">
        <v>0</v>
      </c>
      <c r="AU207" s="29">
        <v>0</v>
      </c>
      <c r="AV207" s="29">
        <v>100</v>
      </c>
      <c r="AW207" s="29">
        <v>0</v>
      </c>
      <c r="AX207" s="29">
        <v>100</v>
      </c>
    </row>
    <row r="208" spans="1:50" x14ac:dyDescent="0.25">
      <c r="A208">
        <v>97</v>
      </c>
      <c r="B208" s="4">
        <v>0.993663430810514</v>
      </c>
      <c r="C208" s="4">
        <v>5.1980090391392197</v>
      </c>
      <c r="D208" s="4">
        <v>7.3443974925928597</v>
      </c>
      <c r="E208" s="4">
        <v>4.4384355066976596E-3</v>
      </c>
      <c r="F208" s="5">
        <v>6.3365691894859202E-3</v>
      </c>
      <c r="G208" s="5">
        <v>0</v>
      </c>
      <c r="H208" s="4">
        <v>3.44898375349727</v>
      </c>
      <c r="I208" s="4">
        <v>3.9015990546351702</v>
      </c>
      <c r="J208" s="4">
        <v>-59.772668578609299</v>
      </c>
      <c r="K208" s="4">
        <v>-32.646231107058597</v>
      </c>
      <c r="L208" s="4">
        <v>22.2806346688829</v>
      </c>
      <c r="M208" s="4">
        <v>15.379937347304301</v>
      </c>
      <c r="N208" s="4">
        <v>72.2573854369098</v>
      </c>
      <c r="O208" s="4">
        <v>60.504649901185203</v>
      </c>
      <c r="P208" s="4">
        <v>228152.00954227499</v>
      </c>
      <c r="Q208" s="4">
        <v>167572.78715302399</v>
      </c>
      <c r="R208" s="4">
        <v>783.92557753528001</v>
      </c>
      <c r="S208" s="4">
        <v>0</v>
      </c>
      <c r="T208" s="4">
        <v>0</v>
      </c>
      <c r="U208" s="4">
        <v>0</v>
      </c>
      <c r="V208" s="4">
        <v>1</v>
      </c>
      <c r="W208" s="4">
        <v>0</v>
      </c>
      <c r="X208" s="4">
        <v>0.30001831929276002</v>
      </c>
      <c r="Y208" s="4">
        <v>0</v>
      </c>
      <c r="Z208" s="5">
        <v>6.3790838243900599E-4</v>
      </c>
      <c r="AA208" s="5">
        <v>1.5269788139672099E-5</v>
      </c>
      <c r="AB208" s="10">
        <v>5.3433395621199599E-3</v>
      </c>
      <c r="AC208" s="10">
        <v>1.4752094815824801E-6</v>
      </c>
      <c r="AD208" s="10">
        <v>3.3856136821910898E-4</v>
      </c>
      <c r="AE208" s="4">
        <v>8.0632064497830003E-2</v>
      </c>
      <c r="AF208" s="4">
        <v>0.19437593004029199</v>
      </c>
      <c r="AG208" s="4">
        <v>0.94901639044888697</v>
      </c>
      <c r="AH208" s="4">
        <v>0.99994177608466095</v>
      </c>
      <c r="AI208" s="4">
        <v>1</v>
      </c>
      <c r="AJ208" s="4">
        <v>1</v>
      </c>
      <c r="AK208" s="4">
        <v>1</v>
      </c>
      <c r="AL208" s="4">
        <v>1</v>
      </c>
      <c r="AM208" s="4">
        <v>0</v>
      </c>
      <c r="AN208" s="4">
        <v>0</v>
      </c>
      <c r="AO208" s="4" t="s">
        <v>66</v>
      </c>
      <c r="AP208" s="4">
        <f>-50--25</f>
        <v>-25</v>
      </c>
      <c r="AQ208" s="6">
        <v>94175906.379999995</v>
      </c>
      <c r="AR208" s="4">
        <v>562</v>
      </c>
      <c r="AS208" s="29">
        <v>0</v>
      </c>
      <c r="AT208" s="29">
        <v>0</v>
      </c>
      <c r="AU208" s="29">
        <v>0</v>
      </c>
      <c r="AV208" s="29">
        <v>100</v>
      </c>
      <c r="AW208" s="29">
        <v>0</v>
      </c>
      <c r="AX208" s="29">
        <v>100</v>
      </c>
    </row>
    <row r="209" spans="1:50" x14ac:dyDescent="0.25">
      <c r="A209">
        <v>97</v>
      </c>
      <c r="B209" s="4">
        <v>0.99344766823435704</v>
      </c>
      <c r="C209" s="4">
        <v>1.7879864664554099</v>
      </c>
      <c r="D209" s="4">
        <v>7.5855385421251098</v>
      </c>
      <c r="E209" s="4">
        <v>1.5023404135483299E-3</v>
      </c>
      <c r="F209" s="5">
        <v>6.5523317656427599E-3</v>
      </c>
      <c r="G209" s="5">
        <v>0</v>
      </c>
      <c r="H209" s="4">
        <v>3.5435616716823102</v>
      </c>
      <c r="I209" s="4">
        <v>3.9265782216848302</v>
      </c>
      <c r="J209" s="4">
        <v>-47.484146343905401</v>
      </c>
      <c r="K209" s="4">
        <v>-22.277532842795601</v>
      </c>
      <c r="L209" s="4">
        <v>18.748368844432701</v>
      </c>
      <c r="M209" s="4">
        <v>14.382005568449999</v>
      </c>
      <c r="N209" s="4">
        <v>72.995015538504205</v>
      </c>
      <c r="O209" s="4">
        <v>63.454553289531198</v>
      </c>
      <c r="P209" s="4">
        <v>243161.01276853299</v>
      </c>
      <c r="Q209" s="4">
        <v>208795.11830357101</v>
      </c>
      <c r="R209" s="4">
        <v>782.747833546626</v>
      </c>
      <c r="S209" s="4">
        <v>0</v>
      </c>
      <c r="T209" s="4">
        <v>0</v>
      </c>
      <c r="U209" s="4">
        <v>6.6383420572283698E-3</v>
      </c>
      <c r="V209" s="4">
        <v>1</v>
      </c>
      <c r="W209" s="4">
        <v>0</v>
      </c>
      <c r="X209" s="4">
        <v>0.34547843000956102</v>
      </c>
      <c r="Y209" s="4">
        <v>0</v>
      </c>
      <c r="Z209" s="5">
        <v>4.6607172972711102E-4</v>
      </c>
      <c r="AA209" s="5">
        <v>1.4814863380160299E-5</v>
      </c>
      <c r="AB209" s="10">
        <v>5.3688493869670697E-3</v>
      </c>
      <c r="AC209" s="10">
        <v>1.11773334248768E-6</v>
      </c>
      <c r="AD209" s="10">
        <v>7.0146447900806797E-4</v>
      </c>
      <c r="AE209" s="4">
        <v>8.3736369250488801E-2</v>
      </c>
      <c r="AF209" s="4">
        <v>0.16763262288059999</v>
      </c>
      <c r="AG209" s="4">
        <v>0.96178501229198599</v>
      </c>
      <c r="AH209" s="4">
        <v>0.99991680711695596</v>
      </c>
      <c r="AI209" s="4">
        <v>1</v>
      </c>
      <c r="AJ209" s="4">
        <v>1</v>
      </c>
      <c r="AK209" s="4">
        <v>1</v>
      </c>
      <c r="AL209" s="4">
        <v>1</v>
      </c>
      <c r="AM209" s="4">
        <v>0</v>
      </c>
      <c r="AN209" s="4">
        <v>0</v>
      </c>
      <c r="AO209" s="4" t="s">
        <v>137</v>
      </c>
      <c r="AP209" s="4">
        <f>-25--20</f>
        <v>-5</v>
      </c>
      <c r="AQ209" s="6">
        <v>93540213</v>
      </c>
      <c r="AR209" s="4">
        <v>448</v>
      </c>
      <c r="AS209" s="29">
        <v>0</v>
      </c>
      <c r="AT209" s="29">
        <v>0</v>
      </c>
      <c r="AU209" s="29">
        <v>0</v>
      </c>
      <c r="AV209" s="29">
        <v>100</v>
      </c>
      <c r="AW209" s="29">
        <v>0</v>
      </c>
      <c r="AX209" s="29">
        <v>100</v>
      </c>
    </row>
    <row r="210" spans="1:50" x14ac:dyDescent="0.25">
      <c r="A210">
        <v>97</v>
      </c>
      <c r="B210" s="4">
        <v>0.99328383788070496</v>
      </c>
      <c r="C210" s="4">
        <v>5.8545055481391701</v>
      </c>
      <c r="D210" s="4">
        <v>7.7682545868874104</v>
      </c>
      <c r="E210" s="4">
        <v>5.01478270023379E-3</v>
      </c>
      <c r="F210" s="5">
        <v>6.7161621192947203E-3</v>
      </c>
      <c r="G210" s="5">
        <v>0</v>
      </c>
      <c r="H210" s="4">
        <v>3.5803239624526699</v>
      </c>
      <c r="I210" s="4">
        <v>3.9235521795725501</v>
      </c>
      <c r="J210" s="4">
        <v>-43.120231976645798</v>
      </c>
      <c r="K210" s="4">
        <v>-17.3393634311204</v>
      </c>
      <c r="L210" s="4">
        <v>17.694652814442001</v>
      </c>
      <c r="M210" s="4">
        <v>14.4133117193277</v>
      </c>
      <c r="N210" s="4">
        <v>73.405928114737904</v>
      </c>
      <c r="O210" s="4">
        <v>64.846434581955194</v>
      </c>
      <c r="P210" s="4">
        <v>246410.34847673701</v>
      </c>
      <c r="Q210" s="4">
        <v>223854.47674242401</v>
      </c>
      <c r="R210" s="4">
        <v>783.00912877881501</v>
      </c>
      <c r="S210" s="4">
        <v>0</v>
      </c>
      <c r="T210" s="4">
        <v>0</v>
      </c>
      <c r="U210" s="4">
        <v>8.8205523857396301E-3</v>
      </c>
      <c r="V210" s="4">
        <v>1</v>
      </c>
      <c r="W210" s="4">
        <v>0</v>
      </c>
      <c r="X210" s="4">
        <v>0.31743660461620499</v>
      </c>
      <c r="Y210" s="4">
        <v>0</v>
      </c>
      <c r="Z210" s="5">
        <v>4.1189132720171299E-4</v>
      </c>
      <c r="AA210" s="5">
        <v>2.3255842290641399E-5</v>
      </c>
      <c r="AB210" s="10">
        <v>5.3952496425217298E-3</v>
      </c>
      <c r="AC210" s="10">
        <v>1.0710550468491399E-6</v>
      </c>
      <c r="AD210" s="10">
        <v>8.8468014043431695E-4</v>
      </c>
      <c r="AE210" s="4">
        <v>8.3997414141916096E-2</v>
      </c>
      <c r="AF210" s="4">
        <v>0.17940261535206301</v>
      </c>
      <c r="AG210" s="4">
        <v>0.95485406239372395</v>
      </c>
      <c r="AH210" s="4">
        <v>1</v>
      </c>
      <c r="AI210" s="4">
        <v>1</v>
      </c>
      <c r="AJ210" s="4">
        <v>1</v>
      </c>
      <c r="AK210" s="4">
        <v>1</v>
      </c>
      <c r="AL210" s="4">
        <v>1</v>
      </c>
      <c r="AM210" s="4">
        <v>0</v>
      </c>
      <c r="AN210" s="4">
        <v>0</v>
      </c>
      <c r="AO210" s="4" t="s">
        <v>138</v>
      </c>
      <c r="AP210" s="4">
        <f>-20--15</f>
        <v>-5</v>
      </c>
      <c r="AQ210" s="6">
        <v>177292745.58000001</v>
      </c>
      <c r="AR210" s="4">
        <v>792</v>
      </c>
      <c r="AS210" s="29">
        <v>0</v>
      </c>
      <c r="AT210" s="29">
        <v>0</v>
      </c>
      <c r="AU210" s="29">
        <v>0</v>
      </c>
      <c r="AV210" s="29">
        <v>100</v>
      </c>
      <c r="AW210" s="29">
        <v>0</v>
      </c>
      <c r="AX210" s="29">
        <v>100</v>
      </c>
    </row>
    <row r="211" spans="1:50" x14ac:dyDescent="0.25">
      <c r="A211">
        <v>97</v>
      </c>
      <c r="B211" s="4">
        <v>0.99307329290305602</v>
      </c>
      <c r="C211" s="4">
        <v>9.4990165587952902</v>
      </c>
      <c r="D211" s="4">
        <v>8.0025840734601204</v>
      </c>
      <c r="E211" s="4">
        <v>8.2829613821240496E-3</v>
      </c>
      <c r="F211" s="5">
        <v>6.9267070969438096E-3</v>
      </c>
      <c r="G211" s="5">
        <v>0</v>
      </c>
      <c r="H211" s="4">
        <v>3.61744677585913</v>
      </c>
      <c r="I211" s="4">
        <v>3.9156549710902802</v>
      </c>
      <c r="J211" s="4">
        <v>-39.3632652566871</v>
      </c>
      <c r="K211" s="4">
        <v>-12.3001793946232</v>
      </c>
      <c r="L211" s="4">
        <v>16.792518310387301</v>
      </c>
      <c r="M211" s="4">
        <v>14.433548022919201</v>
      </c>
      <c r="N211" s="4">
        <v>73.392320780759803</v>
      </c>
      <c r="O211" s="4">
        <v>65.123347097865604</v>
      </c>
      <c r="P211" s="4">
        <v>258485.28038212401</v>
      </c>
      <c r="Q211" s="4">
        <v>236786.015468628</v>
      </c>
      <c r="R211" s="4">
        <v>781.86815718518994</v>
      </c>
      <c r="S211" s="4">
        <v>0</v>
      </c>
      <c r="T211" s="4">
        <v>0</v>
      </c>
      <c r="U211" s="4">
        <v>1.4924267908481999E-2</v>
      </c>
      <c r="V211" s="4">
        <v>1</v>
      </c>
      <c r="W211" s="4">
        <v>0</v>
      </c>
      <c r="X211" s="4">
        <v>0.29590748654484</v>
      </c>
      <c r="Y211" s="4">
        <v>0</v>
      </c>
      <c r="Z211" s="5">
        <v>3.9111743003965202E-4</v>
      </c>
      <c r="AA211" s="5">
        <v>2.2715872842704399E-5</v>
      </c>
      <c r="AB211" s="10">
        <v>5.4402517670147704E-3</v>
      </c>
      <c r="AC211" s="10">
        <v>1.60151147007716E-6</v>
      </c>
      <c r="AD211" s="10">
        <v>1.07100580814405E-3</v>
      </c>
      <c r="AE211" s="4">
        <v>8.4495253549574795E-2</v>
      </c>
      <c r="AF211" s="4">
        <v>0.171374545846216</v>
      </c>
      <c r="AG211" s="4">
        <v>0.95051224294671699</v>
      </c>
      <c r="AH211" s="4">
        <v>0.99961865299641195</v>
      </c>
      <c r="AI211" s="4">
        <v>1</v>
      </c>
      <c r="AJ211" s="4">
        <v>1</v>
      </c>
      <c r="AK211" s="4">
        <v>1</v>
      </c>
      <c r="AL211" s="4">
        <v>1</v>
      </c>
      <c r="AM211" s="4">
        <v>0</v>
      </c>
      <c r="AN211" s="4">
        <v>0</v>
      </c>
      <c r="AO211" s="4" t="s">
        <v>139</v>
      </c>
      <c r="AP211" s="4">
        <f>-15--10</f>
        <v>-5</v>
      </c>
      <c r="AQ211" s="6">
        <v>305690745.97000003</v>
      </c>
      <c r="AR211" s="4">
        <v>1291</v>
      </c>
      <c r="AS211" s="29">
        <v>0</v>
      </c>
      <c r="AT211" s="29">
        <v>0</v>
      </c>
      <c r="AU211" s="29">
        <v>0</v>
      </c>
      <c r="AV211" s="29">
        <v>100</v>
      </c>
      <c r="AW211" s="29">
        <v>0</v>
      </c>
      <c r="AX211" s="29">
        <v>100</v>
      </c>
    </row>
    <row r="212" spans="1:50" x14ac:dyDescent="0.25">
      <c r="A212">
        <v>97</v>
      </c>
      <c r="B212" s="4">
        <v>0.99283382660205799</v>
      </c>
      <c r="C212" s="4">
        <v>6.7208491605988598</v>
      </c>
      <c r="D212" s="4">
        <v>8.2684386101103993</v>
      </c>
      <c r="E212" s="4">
        <v>5.7810224397795403E-3</v>
      </c>
      <c r="F212" s="5">
        <v>7.1661733979415604E-3</v>
      </c>
      <c r="G212" s="5">
        <v>0</v>
      </c>
      <c r="H212" s="4">
        <v>3.6404502397926901</v>
      </c>
      <c r="I212" s="4">
        <v>3.89448718592452</v>
      </c>
      <c r="J212" s="4">
        <v>-37.631538821846299</v>
      </c>
      <c r="K212" s="4">
        <v>-7.3892455028880004</v>
      </c>
      <c r="L212" s="4">
        <v>16.816051785352201</v>
      </c>
      <c r="M212" s="4">
        <v>14.906562227946401</v>
      </c>
      <c r="N212" s="4">
        <v>72.622023635097193</v>
      </c>
      <c r="O212" s="4">
        <v>64.236161867025899</v>
      </c>
      <c r="P212" s="4">
        <v>258086.30823376399</v>
      </c>
      <c r="Q212" s="4">
        <v>236372.09929648199</v>
      </c>
      <c r="R212" s="4">
        <v>782.24757842416</v>
      </c>
      <c r="S212" s="4">
        <v>0</v>
      </c>
      <c r="T212" s="4">
        <v>0</v>
      </c>
      <c r="U212" s="4">
        <v>1.47479752085319E-2</v>
      </c>
      <c r="V212" s="4">
        <v>1</v>
      </c>
      <c r="W212" s="4">
        <v>0</v>
      </c>
      <c r="X212" s="4">
        <v>0.324966557172156</v>
      </c>
      <c r="Y212" s="4">
        <v>0</v>
      </c>
      <c r="Z212" s="5">
        <v>3.8926743548966202E-4</v>
      </c>
      <c r="AA212" s="5">
        <v>3.0600898132440698E-5</v>
      </c>
      <c r="AB212" s="10">
        <v>5.5333090125691802E-3</v>
      </c>
      <c r="AC212" s="10">
        <v>1.6172749074028801E-6</v>
      </c>
      <c r="AD212" s="10">
        <v>1.2113643508668E-3</v>
      </c>
      <c r="AE212" s="4">
        <v>8.6112890844641202E-2</v>
      </c>
      <c r="AF212" s="4">
        <v>0.175091974948069</v>
      </c>
      <c r="AG212" s="4">
        <v>0.94274904072535204</v>
      </c>
      <c r="AH212" s="4">
        <v>0.99864901039988696</v>
      </c>
      <c r="AI212" s="4">
        <v>1</v>
      </c>
      <c r="AJ212" s="4">
        <v>1</v>
      </c>
      <c r="AK212" s="4">
        <v>1</v>
      </c>
      <c r="AL212" s="4">
        <v>1</v>
      </c>
      <c r="AM212" s="4">
        <v>0</v>
      </c>
      <c r="AN212" s="4">
        <v>0</v>
      </c>
      <c r="AO212" s="4" t="s">
        <v>140</v>
      </c>
      <c r="AP212" s="4">
        <f>-10--5</f>
        <v>-5</v>
      </c>
      <c r="AQ212" s="6">
        <v>423342429.83999997</v>
      </c>
      <c r="AR212" s="4">
        <v>1791</v>
      </c>
      <c r="AS212" s="29">
        <v>0</v>
      </c>
      <c r="AT212" s="29">
        <v>0</v>
      </c>
      <c r="AU212" s="29">
        <v>0</v>
      </c>
      <c r="AV212" s="29">
        <v>100</v>
      </c>
      <c r="AW212" s="29">
        <v>0</v>
      </c>
      <c r="AX212" s="29">
        <v>100</v>
      </c>
    </row>
    <row r="213" spans="1:50" x14ac:dyDescent="0.25">
      <c r="A213">
        <v>97</v>
      </c>
      <c r="B213" s="4">
        <v>0.99275467513982296</v>
      </c>
      <c r="C213" s="4">
        <v>6.0070398698800602</v>
      </c>
      <c r="D213" s="4">
        <v>8.3561572704184801</v>
      </c>
      <c r="E213" s="4">
        <v>5.14922196671259E-3</v>
      </c>
      <c r="F213" s="5">
        <v>7.2453248601767797E-3</v>
      </c>
      <c r="G213" s="5">
        <v>0</v>
      </c>
      <c r="H213" s="4">
        <v>3.6764873198822499</v>
      </c>
      <c r="I213" s="4">
        <v>3.8814197979483098</v>
      </c>
      <c r="J213" s="4">
        <v>-34.862466186620601</v>
      </c>
      <c r="K213" s="4">
        <v>-2.32456523933307</v>
      </c>
      <c r="L213" s="4">
        <v>16.5108355508806</v>
      </c>
      <c r="M213" s="4">
        <v>15.1683603368791</v>
      </c>
      <c r="N213" s="4">
        <v>72.819521431869603</v>
      </c>
      <c r="O213" s="4">
        <v>64.488171538730498</v>
      </c>
      <c r="P213" s="4">
        <v>262276.04826708703</v>
      </c>
      <c r="Q213" s="4">
        <v>241441.754253942</v>
      </c>
      <c r="R213" s="4">
        <v>780.74016177553597</v>
      </c>
      <c r="S213" s="4">
        <v>0</v>
      </c>
      <c r="T213" s="4">
        <v>0</v>
      </c>
      <c r="U213" s="4">
        <v>1.38148863881223E-2</v>
      </c>
      <c r="V213" s="4">
        <v>1</v>
      </c>
      <c r="W213" s="4">
        <v>0</v>
      </c>
      <c r="X213" s="4">
        <v>0.34330342261878999</v>
      </c>
      <c r="Y213" s="4">
        <v>0</v>
      </c>
      <c r="Z213" s="5">
        <v>3.7934164894782001E-4</v>
      </c>
      <c r="AA213" s="5">
        <v>3.00729419890606E-5</v>
      </c>
      <c r="AB213" s="10">
        <v>5.4497502046064201E-3</v>
      </c>
      <c r="AC213" s="10">
        <v>2.4215630440125001E-6</v>
      </c>
      <c r="AD213" s="10">
        <v>1.3837238875687499E-3</v>
      </c>
      <c r="AE213" s="4">
        <v>8.7565045415768497E-2</v>
      </c>
      <c r="AF213" s="4">
        <v>0.167954134723965</v>
      </c>
      <c r="AG213" s="4">
        <v>0.93979868782242904</v>
      </c>
      <c r="AH213" s="4">
        <v>0.99906862784497996</v>
      </c>
      <c r="AI213" s="4">
        <v>1</v>
      </c>
      <c r="AJ213" s="4">
        <v>1</v>
      </c>
      <c r="AK213" s="4">
        <v>1</v>
      </c>
      <c r="AL213" s="4">
        <v>1</v>
      </c>
      <c r="AM213" s="4">
        <v>0</v>
      </c>
      <c r="AN213" s="4">
        <v>0</v>
      </c>
      <c r="AO213" s="4" t="s">
        <v>67</v>
      </c>
      <c r="AP213" s="4">
        <f>-25-0</f>
        <v>-25</v>
      </c>
      <c r="AQ213" s="6">
        <v>597085458.26999998</v>
      </c>
      <c r="AR213" s="4">
        <v>2473</v>
      </c>
      <c r="AS213" s="29">
        <v>0</v>
      </c>
      <c r="AT213" s="29">
        <v>0</v>
      </c>
      <c r="AU213" s="29">
        <v>0</v>
      </c>
      <c r="AV213" s="29">
        <v>100</v>
      </c>
      <c r="AW213" s="29">
        <v>0</v>
      </c>
      <c r="AX213" s="29">
        <v>100</v>
      </c>
    </row>
    <row r="214" spans="1:50" x14ac:dyDescent="0.25">
      <c r="A214">
        <v>97</v>
      </c>
      <c r="B214" s="4">
        <v>0.99249414117863999</v>
      </c>
      <c r="C214" s="4">
        <v>7.66824604523931</v>
      </c>
      <c r="D214" s="4">
        <v>8.6443481129629998</v>
      </c>
      <c r="E214" s="4">
        <v>6.6264537317863503E-3</v>
      </c>
      <c r="F214" s="5">
        <v>7.5058588213591602E-3</v>
      </c>
      <c r="G214" s="5">
        <v>0</v>
      </c>
      <c r="H214" s="4">
        <v>3.7124575390301402</v>
      </c>
      <c r="I214" s="4">
        <v>3.8732139351738399</v>
      </c>
      <c r="J214" s="4">
        <v>-31.8491435752054</v>
      </c>
      <c r="K214" s="4">
        <v>2.6698553243783798</v>
      </c>
      <c r="L214" s="4">
        <v>16.240848916028199</v>
      </c>
      <c r="M214" s="4">
        <v>15.444026607729199</v>
      </c>
      <c r="N214" s="4">
        <v>73.373975166422596</v>
      </c>
      <c r="O214" s="4">
        <v>64.964007325755503</v>
      </c>
      <c r="P214" s="4">
        <v>263462.22156613402</v>
      </c>
      <c r="Q214" s="4">
        <v>245595.88736629</v>
      </c>
      <c r="R214" s="4">
        <v>780.56614954732197</v>
      </c>
      <c r="S214" s="4">
        <v>0</v>
      </c>
      <c r="T214" s="4">
        <v>0</v>
      </c>
      <c r="U214" s="4">
        <v>1.5382149044106499E-2</v>
      </c>
      <c r="V214" s="4">
        <v>1</v>
      </c>
      <c r="W214" s="4">
        <v>0</v>
      </c>
      <c r="X214" s="4">
        <v>0.38571928180346998</v>
      </c>
      <c r="Y214" s="4">
        <v>0</v>
      </c>
      <c r="Z214" s="5">
        <v>3.7198756401788898E-4</v>
      </c>
      <c r="AA214" s="5">
        <v>3.0194138841257999E-5</v>
      </c>
      <c r="AB214" s="10">
        <v>5.5095555161602501E-3</v>
      </c>
      <c r="AC214" s="10">
        <v>3.94833947017795E-6</v>
      </c>
      <c r="AD214" s="10">
        <v>1.5901588176348901E-3</v>
      </c>
      <c r="AE214" s="4">
        <v>9.1554582551536798E-2</v>
      </c>
      <c r="AF214" s="4">
        <v>0.14331250304443799</v>
      </c>
      <c r="AG214" s="4">
        <v>0.92147354622515998</v>
      </c>
      <c r="AH214" s="4">
        <v>0.99865687802729997</v>
      </c>
      <c r="AI214" s="4">
        <v>1</v>
      </c>
      <c r="AJ214" s="4">
        <v>1</v>
      </c>
      <c r="AK214" s="4">
        <v>1</v>
      </c>
      <c r="AL214" s="4">
        <v>1</v>
      </c>
      <c r="AM214" s="4">
        <v>0</v>
      </c>
      <c r="AN214" s="4">
        <v>0</v>
      </c>
      <c r="AO214" s="4" t="s">
        <v>141</v>
      </c>
      <c r="AP214" s="4" t="s">
        <v>127</v>
      </c>
      <c r="AQ214" s="6">
        <v>849516174.39999998</v>
      </c>
      <c r="AR214" s="4">
        <v>3459</v>
      </c>
      <c r="AS214" s="29">
        <v>0</v>
      </c>
      <c r="AT214" s="29">
        <v>0</v>
      </c>
      <c r="AU214" s="29">
        <v>0</v>
      </c>
      <c r="AV214" s="29">
        <v>100</v>
      </c>
      <c r="AW214" s="29">
        <v>0</v>
      </c>
      <c r="AX214" s="29">
        <v>100</v>
      </c>
    </row>
    <row r="215" spans="1:50" x14ac:dyDescent="0.25">
      <c r="A215">
        <v>97</v>
      </c>
      <c r="B215" s="4">
        <v>0.99221562984643896</v>
      </c>
      <c r="C215" s="4">
        <v>5.1878896729622896</v>
      </c>
      <c r="D215" s="4">
        <v>8.9515058129670209</v>
      </c>
      <c r="E215" s="4">
        <v>4.4295802433242902E-3</v>
      </c>
      <c r="F215" s="5">
        <v>7.7843701535606899E-3</v>
      </c>
      <c r="G215" s="5">
        <v>0</v>
      </c>
      <c r="H215" s="4">
        <v>3.73643475973341</v>
      </c>
      <c r="I215" s="4">
        <v>3.8572357360697498</v>
      </c>
      <c r="J215" s="4">
        <v>-30.440154084824801</v>
      </c>
      <c r="K215" s="4">
        <v>7.6123966666084604</v>
      </c>
      <c r="L215" s="4">
        <v>15.7460313373599</v>
      </c>
      <c r="M215" s="4">
        <v>15.774426758243401</v>
      </c>
      <c r="N215" s="4">
        <v>72.586664147810893</v>
      </c>
      <c r="O215" s="4">
        <v>64.150288351947296</v>
      </c>
      <c r="P215" s="4">
        <v>272319.80705944297</v>
      </c>
      <c r="Q215" s="4">
        <v>253431.75347200301</v>
      </c>
      <c r="R215" s="4">
        <v>780.18309108476399</v>
      </c>
      <c r="S215" s="4">
        <v>0</v>
      </c>
      <c r="T215" s="4">
        <v>0</v>
      </c>
      <c r="U215" s="4">
        <v>1.6623778696182302E-2</v>
      </c>
      <c r="V215" s="4">
        <v>1</v>
      </c>
      <c r="W215" s="4">
        <v>0</v>
      </c>
      <c r="X215" s="4">
        <v>0.39382023172934599</v>
      </c>
      <c r="Y215" s="4">
        <v>0</v>
      </c>
      <c r="Z215" s="5">
        <v>3.7491674916959001E-4</v>
      </c>
      <c r="AA215" s="5">
        <v>3.3604170737003703E-5</v>
      </c>
      <c r="AB215" s="10">
        <v>5.5214341064613297E-3</v>
      </c>
      <c r="AC215" s="10">
        <v>4.3796996290059301E-6</v>
      </c>
      <c r="AD215" s="10">
        <v>1.85002100422148E-3</v>
      </c>
      <c r="AE215" s="4">
        <v>9.2410738117594704E-2</v>
      </c>
      <c r="AF215" s="4">
        <v>0.142334364993286</v>
      </c>
      <c r="AG215" s="4">
        <v>0.92124897840890196</v>
      </c>
      <c r="AH215" s="4">
        <v>0.99819708481449099</v>
      </c>
      <c r="AI215" s="4">
        <v>1</v>
      </c>
      <c r="AJ215" s="4">
        <v>1</v>
      </c>
      <c r="AK215" s="4">
        <v>1</v>
      </c>
      <c r="AL215" s="4">
        <v>1</v>
      </c>
      <c r="AM215" s="4">
        <v>0</v>
      </c>
      <c r="AN215" s="4">
        <v>0</v>
      </c>
      <c r="AO215" s="4" t="s">
        <v>142</v>
      </c>
      <c r="AP215" s="4">
        <v>43230</v>
      </c>
      <c r="AQ215" s="6">
        <v>1127011007.6900001</v>
      </c>
      <c r="AR215" s="4">
        <v>4447</v>
      </c>
      <c r="AS215" s="29">
        <v>0</v>
      </c>
      <c r="AT215" s="29">
        <v>0</v>
      </c>
      <c r="AU215" s="29">
        <v>0</v>
      </c>
      <c r="AV215" s="29">
        <v>100</v>
      </c>
      <c r="AW215" s="29">
        <v>0</v>
      </c>
      <c r="AX215" s="29">
        <v>100</v>
      </c>
    </row>
    <row r="216" spans="1:50" x14ac:dyDescent="0.25">
      <c r="A216">
        <v>97</v>
      </c>
      <c r="B216" s="4">
        <v>0.99197362753080498</v>
      </c>
      <c r="C216" s="4">
        <v>9.2592249386638592</v>
      </c>
      <c r="D216" s="4">
        <v>9.2176303798450103</v>
      </c>
      <c r="E216" s="4">
        <v>8.0642555339337403E-3</v>
      </c>
      <c r="F216" s="5">
        <v>8.0263724691947702E-3</v>
      </c>
      <c r="G216" s="5">
        <v>0</v>
      </c>
      <c r="H216" s="4">
        <v>3.7850913212614201</v>
      </c>
      <c r="I216" s="4">
        <v>3.85523329268824</v>
      </c>
      <c r="J216" s="4">
        <v>-26.6785913000232</v>
      </c>
      <c r="K216" s="4">
        <v>12.518270803330701</v>
      </c>
      <c r="L216" s="4">
        <v>15.986106697423599</v>
      </c>
      <c r="M216" s="4">
        <v>15.7468533021078</v>
      </c>
      <c r="N216" s="4">
        <v>72.445560678021906</v>
      </c>
      <c r="O216" s="4">
        <v>63.9807999470383</v>
      </c>
      <c r="P216" s="4">
        <v>268969.86370102502</v>
      </c>
      <c r="Q216" s="4">
        <v>249685.96078038501</v>
      </c>
      <c r="R216" s="4">
        <v>779.82141273408899</v>
      </c>
      <c r="S216" s="4">
        <v>0</v>
      </c>
      <c r="T216" s="4">
        <v>0</v>
      </c>
      <c r="U216" s="4">
        <v>1.40044714620782E-2</v>
      </c>
      <c r="V216" s="4">
        <v>1</v>
      </c>
      <c r="W216" s="4">
        <v>0</v>
      </c>
      <c r="X216" s="4">
        <v>0.45178779799859897</v>
      </c>
      <c r="Y216" s="4">
        <v>0</v>
      </c>
      <c r="Z216" s="5">
        <v>3.7458939284810598E-4</v>
      </c>
      <c r="AA216" s="5">
        <v>3.3811884637156299E-5</v>
      </c>
      <c r="AB216" s="10">
        <v>5.4855342684645599E-3</v>
      </c>
      <c r="AC216" s="10">
        <v>5.5183110871477702E-6</v>
      </c>
      <c r="AD216" s="10">
        <v>2.1269041342321599E-3</v>
      </c>
      <c r="AE216" s="4">
        <v>9.3861309456946707E-2</v>
      </c>
      <c r="AF216" s="4">
        <v>0.13671067883270899</v>
      </c>
      <c r="AG216" s="4">
        <v>0.92028953750036302</v>
      </c>
      <c r="AH216" s="4">
        <v>0.99810050516336002</v>
      </c>
      <c r="AI216" s="4">
        <v>1</v>
      </c>
      <c r="AJ216" s="4">
        <v>1</v>
      </c>
      <c r="AK216" s="4">
        <v>1</v>
      </c>
      <c r="AL216" s="4">
        <v>1</v>
      </c>
      <c r="AM216" s="4">
        <v>0</v>
      </c>
      <c r="AN216" s="4">
        <v>0</v>
      </c>
      <c r="AO216" s="4" t="s">
        <v>143</v>
      </c>
      <c r="AP216" s="4">
        <v>43388</v>
      </c>
      <c r="AQ216" s="6">
        <v>1308604120.45</v>
      </c>
      <c r="AR216" s="4">
        <v>5241</v>
      </c>
      <c r="AS216" s="29">
        <v>0</v>
      </c>
      <c r="AT216" s="29">
        <v>0</v>
      </c>
      <c r="AU216" s="29">
        <v>0</v>
      </c>
      <c r="AV216" s="29">
        <v>100</v>
      </c>
      <c r="AW216" s="29">
        <v>0</v>
      </c>
      <c r="AX216" s="29">
        <v>100</v>
      </c>
    </row>
    <row r="217" spans="1:50" x14ac:dyDescent="0.25">
      <c r="A217">
        <v>97</v>
      </c>
      <c r="B217" s="4">
        <v>0.99155584062105995</v>
      </c>
      <c r="C217" s="4">
        <v>8.4923336479144105</v>
      </c>
      <c r="D217" s="4">
        <v>9.6753839092117193</v>
      </c>
      <c r="E217" s="4">
        <v>7.3683390293436098E-3</v>
      </c>
      <c r="F217" s="5">
        <v>8.4441593789395808E-3</v>
      </c>
      <c r="G217" s="5">
        <v>0</v>
      </c>
      <c r="H217" s="4">
        <v>3.8252954144363902</v>
      </c>
      <c r="I217" s="4">
        <v>3.8452868481930098</v>
      </c>
      <c r="J217" s="4">
        <v>-24.068465972630001</v>
      </c>
      <c r="K217" s="4">
        <v>17.603311730778401</v>
      </c>
      <c r="L217" s="4">
        <v>15.9776359144299</v>
      </c>
      <c r="M217" s="4">
        <v>15.9092501339144</v>
      </c>
      <c r="N217" s="4">
        <v>71.995071901922998</v>
      </c>
      <c r="O217" s="4">
        <v>63.560228228505601</v>
      </c>
      <c r="P217" s="4">
        <v>267914.30765701499</v>
      </c>
      <c r="Q217" s="4">
        <v>249808.78122486899</v>
      </c>
      <c r="R217" s="4">
        <v>779.43355898272705</v>
      </c>
      <c r="S217" s="4">
        <v>0</v>
      </c>
      <c r="T217" s="4">
        <v>0</v>
      </c>
      <c r="U217" s="4">
        <v>1.45812608616136E-2</v>
      </c>
      <c r="V217" s="4">
        <v>1</v>
      </c>
      <c r="W217" s="4">
        <v>0</v>
      </c>
      <c r="X217" s="4">
        <v>0.483930920199999</v>
      </c>
      <c r="Y217" s="4">
        <v>0</v>
      </c>
      <c r="Z217" s="5">
        <v>3.75578483518931E-4</v>
      </c>
      <c r="AA217" s="5">
        <v>3.55951243540409E-5</v>
      </c>
      <c r="AB217" s="10">
        <v>5.52767125366625E-3</v>
      </c>
      <c r="AC217" s="10">
        <v>8.7688242308423893E-6</v>
      </c>
      <c r="AD217" s="10">
        <v>2.49653109224174E-3</v>
      </c>
      <c r="AE217" s="4">
        <v>9.4787021834163904E-2</v>
      </c>
      <c r="AF217" s="4">
        <v>0.149438066720707</v>
      </c>
      <c r="AG217" s="4">
        <v>0.90176977393444102</v>
      </c>
      <c r="AH217" s="4">
        <v>0.99512922044611796</v>
      </c>
      <c r="AI217" s="4">
        <v>1</v>
      </c>
      <c r="AJ217" s="4">
        <v>1</v>
      </c>
      <c r="AK217" s="4">
        <v>1</v>
      </c>
      <c r="AL217" s="4">
        <v>1</v>
      </c>
      <c r="AM217" s="4">
        <v>0</v>
      </c>
      <c r="AN217" s="4">
        <v>0</v>
      </c>
      <c r="AO217" s="4" t="s">
        <v>144</v>
      </c>
      <c r="AP217" s="4" t="s">
        <v>128</v>
      </c>
      <c r="AQ217" s="6">
        <v>1478618176.0699999</v>
      </c>
      <c r="AR217" s="4">
        <v>5919</v>
      </c>
      <c r="AS217" s="29">
        <v>0</v>
      </c>
      <c r="AT217" s="29">
        <v>0</v>
      </c>
      <c r="AU217" s="29">
        <v>0</v>
      </c>
      <c r="AV217" s="29">
        <v>100</v>
      </c>
      <c r="AW217" s="29">
        <v>0</v>
      </c>
      <c r="AX217" s="29">
        <v>100</v>
      </c>
    </row>
    <row r="218" spans="1:50" x14ac:dyDescent="0.25">
      <c r="A218">
        <v>97</v>
      </c>
      <c r="B218" s="4">
        <v>0.99127825500413302</v>
      </c>
      <c r="C218" s="4">
        <v>11.616268866587699</v>
      </c>
      <c r="D218" s="4">
        <v>9.9783531712179396</v>
      </c>
      <c r="E218" s="4">
        <v>1.02374263244298E-2</v>
      </c>
      <c r="F218" s="5">
        <v>8.7217449958665906E-3</v>
      </c>
      <c r="G218" s="5">
        <v>0</v>
      </c>
      <c r="H218" s="4">
        <v>3.8564818734893</v>
      </c>
      <c r="I218" s="4">
        <v>3.8318560284955998</v>
      </c>
      <c r="J218" s="4">
        <v>-21.854620594561499</v>
      </c>
      <c r="K218" s="4">
        <v>22.556011012791899</v>
      </c>
      <c r="L218" s="4">
        <v>15.6646940279884</v>
      </c>
      <c r="M218" s="4">
        <v>16.1756838008728</v>
      </c>
      <c r="N218" s="4">
        <v>72.607452973492499</v>
      </c>
      <c r="O218" s="4">
        <v>64.016411011036396</v>
      </c>
      <c r="P218" s="4">
        <v>274373.39140692097</v>
      </c>
      <c r="Q218" s="4">
        <v>254780.03800027</v>
      </c>
      <c r="R218" s="4">
        <v>778.88991594712195</v>
      </c>
      <c r="S218" s="4">
        <v>0</v>
      </c>
      <c r="T218" s="4">
        <v>0</v>
      </c>
      <c r="U218" s="4">
        <v>1.8009694971981599E-2</v>
      </c>
      <c r="V218" s="4">
        <v>1</v>
      </c>
      <c r="W218" s="4">
        <v>0</v>
      </c>
      <c r="X218" s="4">
        <v>0.500779038672443</v>
      </c>
      <c r="Y218" s="4">
        <v>0</v>
      </c>
      <c r="Z218" s="5">
        <v>3.7721525594701898E-4</v>
      </c>
      <c r="AA218" s="5">
        <v>3.9087835093344099E-5</v>
      </c>
      <c r="AB218" s="10">
        <v>5.3882114092582301E-3</v>
      </c>
      <c r="AC218" s="10">
        <v>1.2114420645351401E-5</v>
      </c>
      <c r="AD218" s="10">
        <v>2.90510163500954E-3</v>
      </c>
      <c r="AE218" s="4">
        <v>9.6094529217764901E-2</v>
      </c>
      <c r="AF218" s="4">
        <v>0.13227824482811201</v>
      </c>
      <c r="AG218" s="4">
        <v>0.90082628888107796</v>
      </c>
      <c r="AH218" s="4">
        <v>0.99413149109806997</v>
      </c>
      <c r="AI218" s="4">
        <v>1</v>
      </c>
      <c r="AJ218" s="4">
        <v>1</v>
      </c>
      <c r="AK218" s="4">
        <v>1</v>
      </c>
      <c r="AL218" s="4">
        <v>1</v>
      </c>
      <c r="AM218" s="4">
        <v>0</v>
      </c>
      <c r="AN218" s="4">
        <v>0</v>
      </c>
      <c r="AO218" s="4" t="s">
        <v>68</v>
      </c>
      <c r="AP218" s="4" t="s">
        <v>69</v>
      </c>
      <c r="AQ218" s="6">
        <v>1884353161.05</v>
      </c>
      <c r="AR218" s="4">
        <v>7396</v>
      </c>
      <c r="AS218" s="29">
        <v>0</v>
      </c>
      <c r="AT218" s="29">
        <v>0</v>
      </c>
      <c r="AU218" s="29">
        <v>0</v>
      </c>
      <c r="AV218" s="29">
        <v>100</v>
      </c>
      <c r="AW218" s="29">
        <v>0</v>
      </c>
      <c r="AX218" s="29">
        <v>100</v>
      </c>
    </row>
    <row r="219" spans="1:50" x14ac:dyDescent="0.25">
      <c r="A219">
        <v>97</v>
      </c>
      <c r="B219" s="4">
        <v>0.99087789027141004</v>
      </c>
      <c r="C219" s="4">
        <v>9.7716999331531404</v>
      </c>
      <c r="D219" s="4">
        <v>10.4136885158513</v>
      </c>
      <c r="E219" s="4">
        <v>8.5323131104548307E-3</v>
      </c>
      <c r="F219" s="5">
        <v>9.1221097285897907E-3</v>
      </c>
      <c r="G219" s="5">
        <v>0</v>
      </c>
      <c r="H219" s="4">
        <v>3.9114645525938401</v>
      </c>
      <c r="I219" s="4">
        <v>3.8385435827348902</v>
      </c>
      <c r="J219" s="4">
        <v>-18.864562096338201</v>
      </c>
      <c r="K219" s="4">
        <v>27.554518772975999</v>
      </c>
      <c r="L219" s="4">
        <v>16.0808237394474</v>
      </c>
      <c r="M219" s="4">
        <v>16.272299254663299</v>
      </c>
      <c r="N219" s="4">
        <v>72.050502211590199</v>
      </c>
      <c r="O219" s="4">
        <v>63.567139221151102</v>
      </c>
      <c r="P219" s="4">
        <v>266834.36585523002</v>
      </c>
      <c r="Q219" s="4">
        <v>248169.27403453301</v>
      </c>
      <c r="R219" s="4">
        <v>779.20138452271794</v>
      </c>
      <c r="S219" s="4">
        <v>0</v>
      </c>
      <c r="T219" s="4">
        <v>0</v>
      </c>
      <c r="U219" s="4">
        <v>1.98110240347227E-2</v>
      </c>
      <c r="V219" s="4">
        <v>1</v>
      </c>
      <c r="W219" s="4">
        <v>0</v>
      </c>
      <c r="X219" s="4">
        <v>0.53296063180838704</v>
      </c>
      <c r="Y219" s="4">
        <v>0</v>
      </c>
      <c r="Z219" s="5">
        <v>3.7737749066794597E-4</v>
      </c>
      <c r="AA219" s="5">
        <v>3.59880022843139E-5</v>
      </c>
      <c r="AB219" s="10">
        <v>5.4125867005767802E-3</v>
      </c>
      <c r="AC219" s="10">
        <v>1.3171773471773E-5</v>
      </c>
      <c r="AD219" s="10">
        <v>3.28297130414772E-3</v>
      </c>
      <c r="AE219" s="4">
        <v>9.62364500563372E-2</v>
      </c>
      <c r="AF219" s="4">
        <v>0.132739062734614</v>
      </c>
      <c r="AG219" s="4">
        <v>0.90156881746092099</v>
      </c>
      <c r="AH219" s="4">
        <v>0.99221170121476299</v>
      </c>
      <c r="AI219" s="4">
        <v>1</v>
      </c>
      <c r="AJ219" s="4">
        <v>1</v>
      </c>
      <c r="AK219" s="4">
        <v>1</v>
      </c>
      <c r="AL219" s="4">
        <v>1</v>
      </c>
      <c r="AM219" s="4">
        <v>0</v>
      </c>
      <c r="AN219" s="4">
        <v>0</v>
      </c>
      <c r="AO219" s="4" t="s">
        <v>145</v>
      </c>
      <c r="AP219" s="4" t="s">
        <v>129</v>
      </c>
      <c r="AQ219" s="6">
        <v>2040944109.6600001</v>
      </c>
      <c r="AR219" s="4">
        <v>8224</v>
      </c>
      <c r="AS219" s="29">
        <v>0</v>
      </c>
      <c r="AT219" s="29">
        <v>0</v>
      </c>
      <c r="AU219" s="29">
        <v>0</v>
      </c>
      <c r="AV219" s="29">
        <v>100</v>
      </c>
      <c r="AW219" s="29">
        <v>0</v>
      </c>
      <c r="AX219" s="29">
        <v>100</v>
      </c>
    </row>
    <row r="220" spans="1:50" x14ac:dyDescent="0.25">
      <c r="A220">
        <v>97</v>
      </c>
      <c r="B220" s="4">
        <v>0.99035369709558196</v>
      </c>
      <c r="C220" s="4">
        <v>10.026926775989701</v>
      </c>
      <c r="D220" s="4">
        <v>10.980750968421001</v>
      </c>
      <c r="E220" s="4">
        <v>8.7663285967361903E-3</v>
      </c>
      <c r="F220" s="5">
        <v>9.6463029044173906E-3</v>
      </c>
      <c r="G220" s="5">
        <v>0</v>
      </c>
      <c r="H220" s="4">
        <v>3.9626482403850298</v>
      </c>
      <c r="I220" s="4">
        <v>3.8393567110073898</v>
      </c>
      <c r="J220" s="4">
        <v>-16.499570929984198</v>
      </c>
      <c r="K220" s="4">
        <v>32.587626652292997</v>
      </c>
      <c r="L220" s="4">
        <v>15.8905883149234</v>
      </c>
      <c r="M220" s="4">
        <v>16.593071046424601</v>
      </c>
      <c r="N220" s="4">
        <v>72.893214630954304</v>
      </c>
      <c r="O220" s="4">
        <v>64.220680941000097</v>
      </c>
      <c r="P220" s="4">
        <v>269250.453966467</v>
      </c>
      <c r="Q220" s="4">
        <v>251193.42665059699</v>
      </c>
      <c r="R220" s="4">
        <v>778.52508789601802</v>
      </c>
      <c r="S220" s="4">
        <v>0</v>
      </c>
      <c r="T220" s="4">
        <v>0</v>
      </c>
      <c r="U220" s="4">
        <v>2.5695323388919201E-2</v>
      </c>
      <c r="V220" s="4">
        <v>1</v>
      </c>
      <c r="W220" s="4">
        <v>0</v>
      </c>
      <c r="X220" s="4">
        <v>0.529337007658647</v>
      </c>
      <c r="Y220" s="4">
        <v>0</v>
      </c>
      <c r="Z220" s="5">
        <v>3.77681787407123E-4</v>
      </c>
      <c r="AA220" s="5">
        <v>3.8758691726128597E-5</v>
      </c>
      <c r="AB220" s="10">
        <v>5.4968982630936997E-3</v>
      </c>
      <c r="AC220" s="10">
        <v>1.8193869681185899E-5</v>
      </c>
      <c r="AD220" s="10">
        <v>3.7147556468783002E-3</v>
      </c>
      <c r="AE220" s="4">
        <v>9.8566398067991903E-2</v>
      </c>
      <c r="AF220" s="4">
        <v>0.119109063247976</v>
      </c>
      <c r="AG220" s="4">
        <v>0.88412035225361396</v>
      </c>
      <c r="AH220" s="4">
        <v>0.991976453179788</v>
      </c>
      <c r="AI220" s="4">
        <v>1</v>
      </c>
      <c r="AJ220" s="4">
        <v>1</v>
      </c>
      <c r="AK220" s="4">
        <v>1</v>
      </c>
      <c r="AL220" s="4">
        <v>1</v>
      </c>
      <c r="AM220" s="4">
        <v>0</v>
      </c>
      <c r="AN220" s="4">
        <v>0</v>
      </c>
      <c r="AO220" s="4" t="s">
        <v>146</v>
      </c>
      <c r="AP220" s="4" t="s">
        <v>130</v>
      </c>
      <c r="AQ220" s="6">
        <v>2396887677.0999999</v>
      </c>
      <c r="AR220" s="4">
        <v>9542</v>
      </c>
      <c r="AS220" s="29">
        <v>0</v>
      </c>
      <c r="AT220" s="29">
        <v>0</v>
      </c>
      <c r="AU220" s="29">
        <v>0</v>
      </c>
      <c r="AV220" s="29">
        <v>100</v>
      </c>
      <c r="AW220" s="29">
        <v>0</v>
      </c>
      <c r="AX220" s="29">
        <v>100</v>
      </c>
    </row>
    <row r="221" spans="1:50" x14ac:dyDescent="0.25">
      <c r="A221">
        <v>97</v>
      </c>
      <c r="B221" s="4">
        <v>0.98989453825303897</v>
      </c>
      <c r="C221" s="4">
        <v>11.6881262930467</v>
      </c>
      <c r="D221" s="4">
        <v>11.474755188230301</v>
      </c>
      <c r="E221" s="4">
        <v>1.0304509095682901E-2</v>
      </c>
      <c r="F221" s="5">
        <v>1.0105461746960301E-2</v>
      </c>
      <c r="G221" s="5">
        <v>0</v>
      </c>
      <c r="H221" s="4">
        <v>4.0148741830410497</v>
      </c>
      <c r="I221" s="4">
        <v>3.84459466572542</v>
      </c>
      <c r="J221" s="4">
        <v>-14.544859297151699</v>
      </c>
      <c r="K221" s="4">
        <v>37.551413571491402</v>
      </c>
      <c r="L221" s="4">
        <v>15.808146914406899</v>
      </c>
      <c r="M221" s="4">
        <v>16.890177231098502</v>
      </c>
      <c r="N221" s="4">
        <v>73.146633646114594</v>
      </c>
      <c r="O221" s="4">
        <v>64.244907304550793</v>
      </c>
      <c r="P221" s="4">
        <v>270669.79932689399</v>
      </c>
      <c r="Q221" s="4">
        <v>252526.553241666</v>
      </c>
      <c r="R221" s="4">
        <v>778.38634987006299</v>
      </c>
      <c r="S221" s="4">
        <v>0</v>
      </c>
      <c r="T221" s="4">
        <v>0</v>
      </c>
      <c r="U221" s="4">
        <v>3.3636106503564703E-2</v>
      </c>
      <c r="V221" s="4">
        <v>1</v>
      </c>
      <c r="W221" s="4">
        <v>0</v>
      </c>
      <c r="X221" s="4">
        <v>0.535525641774376</v>
      </c>
      <c r="Y221" s="4">
        <v>0</v>
      </c>
      <c r="Z221" s="5">
        <v>3.7757653900631502E-4</v>
      </c>
      <c r="AA221" s="5">
        <v>4.0956321940136197E-5</v>
      </c>
      <c r="AB221" s="10">
        <v>5.5316218083366299E-3</v>
      </c>
      <c r="AC221" s="10">
        <v>2.45661080658398E-5</v>
      </c>
      <c r="AD221" s="10">
        <v>4.1307262175913498E-3</v>
      </c>
      <c r="AE221" s="4">
        <v>0.101571217596313</v>
      </c>
      <c r="AF221" s="4">
        <v>0.104014655891461</v>
      </c>
      <c r="AG221" s="4">
        <v>0.87160504264216299</v>
      </c>
      <c r="AH221" s="4">
        <v>0.98595231868864897</v>
      </c>
      <c r="AI221" s="4">
        <v>1</v>
      </c>
      <c r="AJ221" s="4">
        <v>1</v>
      </c>
      <c r="AK221" s="4">
        <v>1</v>
      </c>
      <c r="AL221" s="4">
        <v>1</v>
      </c>
      <c r="AM221" s="4">
        <v>0</v>
      </c>
      <c r="AN221" s="4">
        <v>0</v>
      </c>
      <c r="AO221" s="4" t="s">
        <v>147</v>
      </c>
      <c r="AP221" s="4" t="s">
        <v>131</v>
      </c>
      <c r="AQ221" s="6">
        <v>2727286775.0100002</v>
      </c>
      <c r="AR221" s="4">
        <v>10800</v>
      </c>
      <c r="AS221" s="29">
        <v>0</v>
      </c>
      <c r="AT221" s="29">
        <v>0</v>
      </c>
      <c r="AU221" s="29">
        <v>0</v>
      </c>
      <c r="AV221" s="29">
        <v>100</v>
      </c>
      <c r="AW221" s="29">
        <v>0</v>
      </c>
      <c r="AX221" s="29">
        <v>100</v>
      </c>
    </row>
    <row r="222" spans="1:50" x14ac:dyDescent="0.25">
      <c r="A222">
        <v>97</v>
      </c>
      <c r="B222" s="4">
        <v>0.98935388089660503</v>
      </c>
      <c r="C222" s="4">
        <v>13.5688578692665</v>
      </c>
      <c r="D222" s="4">
        <v>12.0532205763809</v>
      </c>
      <c r="E222" s="4">
        <v>1.20783089859884E-2</v>
      </c>
      <c r="F222" s="5">
        <v>1.06461191033945E-2</v>
      </c>
      <c r="G222" s="5">
        <v>0</v>
      </c>
      <c r="H222" s="4">
        <v>4.0553626477317897</v>
      </c>
      <c r="I222" s="4">
        <v>3.8412618377904999</v>
      </c>
      <c r="J222" s="4">
        <v>-12.7563857676769</v>
      </c>
      <c r="K222" s="4">
        <v>42.511867495518203</v>
      </c>
      <c r="L222" s="4">
        <v>15.720369598267</v>
      </c>
      <c r="M222" s="4">
        <v>17.045142007155299</v>
      </c>
      <c r="N222" s="4">
        <v>72.194558732534702</v>
      </c>
      <c r="O222" s="4">
        <v>63.352150449952802</v>
      </c>
      <c r="P222" s="4">
        <v>270821.37744101899</v>
      </c>
      <c r="Q222" s="4">
        <v>253935.329281969</v>
      </c>
      <c r="R222" s="4">
        <v>777.89628129879395</v>
      </c>
      <c r="S222" s="4">
        <v>0</v>
      </c>
      <c r="T222" s="4">
        <v>0</v>
      </c>
      <c r="U222" s="4">
        <v>4.5966592495431197E-2</v>
      </c>
      <c r="V222" s="4">
        <v>1</v>
      </c>
      <c r="W222" s="4">
        <v>0</v>
      </c>
      <c r="X222" s="4">
        <v>0.558563767113325</v>
      </c>
      <c r="Y222" s="4">
        <v>0</v>
      </c>
      <c r="Z222" s="5">
        <v>3.79612657197006E-4</v>
      </c>
      <c r="AA222" s="5">
        <v>4.1854128251353503E-5</v>
      </c>
      <c r="AB222" s="10">
        <v>5.6194087117279103E-3</v>
      </c>
      <c r="AC222" s="10">
        <v>2.9244381440314399E-5</v>
      </c>
      <c r="AD222" s="10">
        <v>4.5759844726185796E-3</v>
      </c>
      <c r="AE222" s="4">
        <v>0.102817177211789</v>
      </c>
      <c r="AF222" s="4">
        <v>0.102659473418845</v>
      </c>
      <c r="AG222" s="4">
        <v>0.86404558320351998</v>
      </c>
      <c r="AH222" s="4">
        <v>0.98474592968353503</v>
      </c>
      <c r="AI222" s="4">
        <v>1</v>
      </c>
      <c r="AJ222" s="4">
        <v>1</v>
      </c>
      <c r="AK222" s="4">
        <v>1</v>
      </c>
      <c r="AL222" s="4">
        <v>1</v>
      </c>
      <c r="AM222" s="4">
        <v>0</v>
      </c>
      <c r="AN222" s="4">
        <v>0</v>
      </c>
      <c r="AO222" s="4" t="s">
        <v>148</v>
      </c>
      <c r="AP222" s="4" t="s">
        <v>132</v>
      </c>
      <c r="AQ222" s="6">
        <v>2857534260.4099998</v>
      </c>
      <c r="AR222" s="4">
        <v>11253</v>
      </c>
      <c r="AS222" s="29">
        <v>0</v>
      </c>
      <c r="AT222" s="29">
        <v>0</v>
      </c>
      <c r="AU222" s="29">
        <v>0</v>
      </c>
      <c r="AV222" s="29">
        <v>100</v>
      </c>
      <c r="AW222" s="29">
        <v>0</v>
      </c>
      <c r="AX222" s="29">
        <v>100</v>
      </c>
    </row>
    <row r="223" spans="1:50" x14ac:dyDescent="0.25">
      <c r="A223">
        <v>97</v>
      </c>
      <c r="B223" s="4">
        <v>0.98891595346901595</v>
      </c>
      <c r="C223" s="4">
        <v>16.018002057540201</v>
      </c>
      <c r="D223" s="4">
        <v>12.5192299428676</v>
      </c>
      <c r="E223" s="4">
        <v>1.44420091455281E-2</v>
      </c>
      <c r="F223" s="5">
        <v>1.1084046530983801E-2</v>
      </c>
      <c r="G223" s="5">
        <v>0</v>
      </c>
      <c r="H223" s="4">
        <v>4.09362945160919</v>
      </c>
      <c r="I223" s="4">
        <v>3.82941288926623</v>
      </c>
      <c r="J223" s="4">
        <v>-10.3487727351764</v>
      </c>
      <c r="K223" s="4">
        <v>47.489156243800899</v>
      </c>
      <c r="L223" s="4">
        <v>15.656055284312201</v>
      </c>
      <c r="M223" s="4">
        <v>17.3423322500166</v>
      </c>
      <c r="N223" s="4">
        <v>73.236090633044498</v>
      </c>
      <c r="O223" s="4">
        <v>64.199364262201399</v>
      </c>
      <c r="P223" s="4">
        <v>273879.29846474202</v>
      </c>
      <c r="Q223" s="4">
        <v>254997.116048792</v>
      </c>
      <c r="R223" s="4">
        <v>777.97468041714706</v>
      </c>
      <c r="S223" s="4">
        <v>0</v>
      </c>
      <c r="T223" s="4">
        <v>0</v>
      </c>
      <c r="U223" s="4">
        <v>5.5150252730766701E-2</v>
      </c>
      <c r="V223" s="4">
        <v>1</v>
      </c>
      <c r="W223" s="4">
        <v>0</v>
      </c>
      <c r="X223" s="4">
        <v>0.57120085941077403</v>
      </c>
      <c r="Y223" s="4">
        <v>0</v>
      </c>
      <c r="Z223" s="5">
        <v>3.7790230564026798E-4</v>
      </c>
      <c r="AA223" s="5">
        <v>4.48949014015347E-5</v>
      </c>
      <c r="AB223" s="10">
        <v>5.5945572851317203E-3</v>
      </c>
      <c r="AC223" s="10">
        <v>3.4927014855804798E-5</v>
      </c>
      <c r="AD223" s="10">
        <v>5.0317501264696999E-3</v>
      </c>
      <c r="AE223" s="4">
        <v>0.104987452846857</v>
      </c>
      <c r="AF223" s="4">
        <v>9.1494235202274801E-2</v>
      </c>
      <c r="AG223" s="4">
        <v>0.86242901376550596</v>
      </c>
      <c r="AH223" s="4">
        <v>0.98075138103849702</v>
      </c>
      <c r="AI223" s="4">
        <v>1</v>
      </c>
      <c r="AJ223" s="4">
        <v>1</v>
      </c>
      <c r="AK223" s="4">
        <v>1</v>
      </c>
      <c r="AL223" s="4">
        <v>1</v>
      </c>
      <c r="AM223" s="4">
        <v>0</v>
      </c>
      <c r="AN223" s="4">
        <v>0</v>
      </c>
      <c r="AO223" s="4" t="s">
        <v>70</v>
      </c>
      <c r="AP223" s="4" t="s">
        <v>71</v>
      </c>
      <c r="AQ223" s="6">
        <v>3041605600.23</v>
      </c>
      <c r="AR223" s="4">
        <v>11928</v>
      </c>
      <c r="AS223" s="29">
        <v>0</v>
      </c>
      <c r="AT223" s="29">
        <v>0</v>
      </c>
      <c r="AU223" s="29">
        <v>0</v>
      </c>
      <c r="AV223" s="29">
        <v>100</v>
      </c>
      <c r="AW223" s="29">
        <v>0</v>
      </c>
      <c r="AX223" s="29">
        <v>100</v>
      </c>
    </row>
    <row r="224" spans="1:50" x14ac:dyDescent="0.25">
      <c r="A224">
        <v>97</v>
      </c>
      <c r="B224" s="4">
        <v>0.98838778704353702</v>
      </c>
      <c r="C224" s="4">
        <v>16.062409202218898</v>
      </c>
      <c r="D224" s="4">
        <v>13.0782532556377</v>
      </c>
      <c r="E224" s="4">
        <v>1.44854474494856E-2</v>
      </c>
      <c r="F224" s="5">
        <v>1.16122129564626E-2</v>
      </c>
      <c r="G224" s="5">
        <v>0</v>
      </c>
      <c r="H224" s="4">
        <v>4.1349868716035401</v>
      </c>
      <c r="I224" s="4">
        <v>3.8261698345749902</v>
      </c>
      <c r="J224" s="4">
        <v>-8.1028812843889497</v>
      </c>
      <c r="K224" s="4">
        <v>52.483275978666299</v>
      </c>
      <c r="L224" s="4">
        <v>15.9284140201739</v>
      </c>
      <c r="M224" s="4">
        <v>17.686651313834499</v>
      </c>
      <c r="N224" s="4">
        <v>72.844392331978199</v>
      </c>
      <c r="O224" s="4">
        <v>63.6002414497217</v>
      </c>
      <c r="P224" s="4">
        <v>268045.87879440602</v>
      </c>
      <c r="Q224" s="4">
        <v>250642.32809836001</v>
      </c>
      <c r="R224" s="4">
        <v>777.69731987560795</v>
      </c>
      <c r="S224" s="4">
        <v>0</v>
      </c>
      <c r="T224" s="4">
        <v>0</v>
      </c>
      <c r="U224" s="4">
        <v>6.8677806200115807E-2</v>
      </c>
      <c r="V224" s="4">
        <v>1</v>
      </c>
      <c r="W224" s="4">
        <v>0</v>
      </c>
      <c r="X224" s="4">
        <v>0.60413467162013801</v>
      </c>
      <c r="Y224" s="4">
        <v>0</v>
      </c>
      <c r="Z224" s="5">
        <v>3.7893569592533998E-4</v>
      </c>
      <c r="AA224" s="5">
        <v>4.8307602729229201E-5</v>
      </c>
      <c r="AB224" s="10">
        <v>5.6808045498127398E-3</v>
      </c>
      <c r="AC224" s="10">
        <v>5.1178398174951598E-5</v>
      </c>
      <c r="AD224" s="10">
        <v>5.4529716833666099E-3</v>
      </c>
      <c r="AE224" s="4">
        <v>0.10883449799017</v>
      </c>
      <c r="AF224" s="4">
        <v>8.3347974007922099E-2</v>
      </c>
      <c r="AG224" s="4">
        <v>0.84213589992822402</v>
      </c>
      <c r="AH224" s="4">
        <v>0.97000498619487796</v>
      </c>
      <c r="AI224" s="4">
        <v>1</v>
      </c>
      <c r="AJ224" s="4">
        <v>1</v>
      </c>
      <c r="AK224" s="4">
        <v>1</v>
      </c>
      <c r="AL224" s="4">
        <v>1</v>
      </c>
      <c r="AM224" s="4">
        <v>0</v>
      </c>
      <c r="AN224" s="4">
        <v>0</v>
      </c>
      <c r="AO224" s="4" t="s">
        <v>149</v>
      </c>
      <c r="AP224" s="4" t="s">
        <v>133</v>
      </c>
      <c r="AQ224" s="6">
        <v>2904944582.6599998</v>
      </c>
      <c r="AR224" s="4">
        <v>11590</v>
      </c>
      <c r="AS224" s="29">
        <v>0</v>
      </c>
      <c r="AT224" s="29">
        <v>0</v>
      </c>
      <c r="AU224" s="29">
        <v>0</v>
      </c>
      <c r="AV224" s="29">
        <v>100</v>
      </c>
      <c r="AW224" s="29">
        <v>0</v>
      </c>
      <c r="AX224" s="29">
        <v>100</v>
      </c>
    </row>
    <row r="225" spans="1:50" x14ac:dyDescent="0.25">
      <c r="A225">
        <v>97</v>
      </c>
      <c r="B225" s="4">
        <v>0.98774330272284006</v>
      </c>
      <c r="C225" s="4">
        <v>21.414005570168801</v>
      </c>
      <c r="D225" s="4">
        <v>13.7559536770456</v>
      </c>
      <c r="E225" s="4">
        <v>1.9881102661791598E-2</v>
      </c>
      <c r="F225" s="5">
        <v>1.22566972771597E-2</v>
      </c>
      <c r="G225" s="5">
        <v>0</v>
      </c>
      <c r="H225" s="4">
        <v>4.16222163559405</v>
      </c>
      <c r="I225" s="4">
        <v>3.8136576461887999</v>
      </c>
      <c r="J225" s="4">
        <v>-6.3902654755271797</v>
      </c>
      <c r="K225" s="4">
        <v>57.520568586224599</v>
      </c>
      <c r="L225" s="4">
        <v>15.198017720478401</v>
      </c>
      <c r="M225" s="4">
        <v>18.000502436419101</v>
      </c>
      <c r="N225" s="4">
        <v>72.669999985929607</v>
      </c>
      <c r="O225" s="4">
        <v>63.264232821304098</v>
      </c>
      <c r="P225" s="4">
        <v>279143.01191531197</v>
      </c>
      <c r="Q225" s="4">
        <v>262683.15038162802</v>
      </c>
      <c r="R225" s="4">
        <v>777.41851286805195</v>
      </c>
      <c r="S225" s="4">
        <v>0</v>
      </c>
      <c r="T225" s="4">
        <v>0</v>
      </c>
      <c r="U225" s="4">
        <v>7.8237332610478202E-2</v>
      </c>
      <c r="V225" s="4">
        <v>1</v>
      </c>
      <c r="W225" s="4">
        <v>0</v>
      </c>
      <c r="X225" s="4">
        <v>0.63513838265133005</v>
      </c>
      <c r="Y225" s="4">
        <v>0</v>
      </c>
      <c r="Z225" s="5">
        <v>3.7929650762265701E-4</v>
      </c>
      <c r="AA225" s="5">
        <v>4.8370846465648997E-5</v>
      </c>
      <c r="AB225" s="10">
        <v>5.6481067368468196E-3</v>
      </c>
      <c r="AC225" s="10">
        <v>6.7725495219893704E-5</v>
      </c>
      <c r="AD225" s="10">
        <v>6.1131825721877199E-3</v>
      </c>
      <c r="AE225" s="4">
        <v>0.111960946327928</v>
      </c>
      <c r="AF225" s="4">
        <v>7.0582457891310804E-2</v>
      </c>
      <c r="AG225" s="4">
        <v>0.83367908792523904</v>
      </c>
      <c r="AH225" s="4">
        <v>0.96091421723047599</v>
      </c>
      <c r="AI225" s="4">
        <v>1</v>
      </c>
      <c r="AJ225" s="4">
        <v>1</v>
      </c>
      <c r="AK225" s="4">
        <v>1</v>
      </c>
      <c r="AL225" s="4">
        <v>1</v>
      </c>
      <c r="AM225" s="4">
        <v>0</v>
      </c>
      <c r="AN225" s="4">
        <v>0</v>
      </c>
      <c r="AO225" s="4" t="s">
        <v>150</v>
      </c>
      <c r="AP225" s="4" t="s">
        <v>134</v>
      </c>
      <c r="AQ225" s="6">
        <v>2773934068.0300002</v>
      </c>
      <c r="AR225" s="4">
        <v>10560</v>
      </c>
      <c r="AS225" s="29">
        <v>0</v>
      </c>
      <c r="AT225" s="29">
        <v>0</v>
      </c>
      <c r="AU225" s="29">
        <v>0</v>
      </c>
      <c r="AV225" s="29">
        <v>100</v>
      </c>
      <c r="AW225" s="29">
        <v>0</v>
      </c>
      <c r="AX225" s="29">
        <v>100</v>
      </c>
    </row>
    <row r="226" spans="1:50" x14ac:dyDescent="0.25">
      <c r="A226">
        <v>97</v>
      </c>
      <c r="B226" s="4">
        <v>0.987228955152753</v>
      </c>
      <c r="C226" s="4">
        <v>20.3901048415341</v>
      </c>
      <c r="D226" s="4">
        <v>14.293331229747601</v>
      </c>
      <c r="E226" s="4">
        <v>1.8823237047325601E-2</v>
      </c>
      <c r="F226" s="5">
        <v>1.27710448472466E-2</v>
      </c>
      <c r="G226" s="5">
        <v>0</v>
      </c>
      <c r="H226" s="4">
        <v>4.1884263743955499</v>
      </c>
      <c r="I226" s="4">
        <v>3.8064689013778099</v>
      </c>
      <c r="J226" s="4">
        <v>-4.2520619591004198</v>
      </c>
      <c r="K226" s="4">
        <v>62.421473594867102</v>
      </c>
      <c r="L226" s="4">
        <v>14.977873645314601</v>
      </c>
      <c r="M226" s="4">
        <v>18.269998999968902</v>
      </c>
      <c r="N226" s="4">
        <v>72.638926503175796</v>
      </c>
      <c r="O226" s="4">
        <v>63.020410614046398</v>
      </c>
      <c r="P226" s="4">
        <v>284902.05626692303</v>
      </c>
      <c r="Q226" s="4">
        <v>266544.596531994</v>
      </c>
      <c r="R226" s="4">
        <v>777.41358908014399</v>
      </c>
      <c r="S226" s="4">
        <v>0</v>
      </c>
      <c r="T226" s="4">
        <v>0</v>
      </c>
      <c r="U226" s="4">
        <v>9.0151278137513002E-2</v>
      </c>
      <c r="V226" s="4">
        <v>1</v>
      </c>
      <c r="W226" s="4">
        <v>0</v>
      </c>
      <c r="X226" s="4">
        <v>0.67744994581224804</v>
      </c>
      <c r="Y226" s="4">
        <v>0</v>
      </c>
      <c r="Z226" s="5">
        <v>3.80440489221373E-4</v>
      </c>
      <c r="AA226" s="5">
        <v>5.06425729401371E-5</v>
      </c>
      <c r="AB226" s="10">
        <v>5.56310661865998E-3</v>
      </c>
      <c r="AC226" s="10">
        <v>8.1968892353452306E-5</v>
      </c>
      <c r="AD226" s="10">
        <v>6.6948710637772298E-3</v>
      </c>
      <c r="AE226" s="4">
        <v>0.115412374860952</v>
      </c>
      <c r="AF226" s="4">
        <v>6.1930502213989901E-2</v>
      </c>
      <c r="AG226" s="4">
        <v>0.82470407721972205</v>
      </c>
      <c r="AH226" s="4">
        <v>0.94839427849983904</v>
      </c>
      <c r="AI226" s="4">
        <v>1</v>
      </c>
      <c r="AJ226" s="4">
        <v>1</v>
      </c>
      <c r="AK226" s="4">
        <v>1</v>
      </c>
      <c r="AL226" s="4">
        <v>1</v>
      </c>
      <c r="AM226" s="4">
        <v>0</v>
      </c>
      <c r="AN226" s="4">
        <v>0</v>
      </c>
      <c r="AO226" s="4" t="s">
        <v>151</v>
      </c>
      <c r="AP226" s="4" t="s">
        <v>135</v>
      </c>
      <c r="AQ226" s="6">
        <v>2361851669.8699999</v>
      </c>
      <c r="AR226" s="4">
        <v>8861</v>
      </c>
      <c r="AS226" s="29">
        <v>0</v>
      </c>
      <c r="AT226" s="29">
        <v>0</v>
      </c>
      <c r="AU226" s="29">
        <v>0</v>
      </c>
      <c r="AV226" s="29">
        <v>100</v>
      </c>
      <c r="AW226" s="29">
        <v>0</v>
      </c>
      <c r="AX226" s="29">
        <v>100</v>
      </c>
    </row>
    <row r="227" spans="1:50" x14ac:dyDescent="0.25">
      <c r="A227">
        <v>97</v>
      </c>
      <c r="B227" s="4">
        <v>0.98673538047523501</v>
      </c>
      <c r="C227" s="4">
        <v>24.720982650224599</v>
      </c>
      <c r="D227" s="4">
        <v>14.8061182009946</v>
      </c>
      <c r="E227" s="4">
        <v>2.33862636835654E-2</v>
      </c>
      <c r="F227" s="5">
        <v>1.32646195247644E-2</v>
      </c>
      <c r="G227" s="5">
        <v>0</v>
      </c>
      <c r="H227" s="4">
        <v>4.2301667975890203</v>
      </c>
      <c r="I227" s="4">
        <v>3.8086140601312102</v>
      </c>
      <c r="J227" s="4">
        <v>-1.75054567456736</v>
      </c>
      <c r="K227" s="4">
        <v>67.454474482929697</v>
      </c>
      <c r="L227" s="4">
        <v>15.4708356524918</v>
      </c>
      <c r="M227" s="4">
        <v>18.425508321810799</v>
      </c>
      <c r="N227" s="4">
        <v>72.645630261331902</v>
      </c>
      <c r="O227" s="4">
        <v>62.990877615277803</v>
      </c>
      <c r="P227" s="4">
        <v>275559.914796411</v>
      </c>
      <c r="Q227" s="4">
        <v>258056.29069244899</v>
      </c>
      <c r="R227" s="4">
        <v>776.802512077644</v>
      </c>
      <c r="S227" s="4">
        <v>0</v>
      </c>
      <c r="T227" s="4">
        <v>0</v>
      </c>
      <c r="U227" s="4">
        <v>0.11232056283297701</v>
      </c>
      <c r="V227" s="4">
        <v>1</v>
      </c>
      <c r="W227" s="4">
        <v>0</v>
      </c>
      <c r="X227" s="4">
        <v>0.69931139007881005</v>
      </c>
      <c r="Y227" s="4">
        <v>0</v>
      </c>
      <c r="Z227" s="5">
        <v>3.8127115208852101E-4</v>
      </c>
      <c r="AA227" s="5">
        <v>5.5311195124463001E-5</v>
      </c>
      <c r="AB227" s="10">
        <v>5.6103710901337202E-3</v>
      </c>
      <c r="AC227" s="10">
        <v>9.2205679750942006E-5</v>
      </c>
      <c r="AD227" s="10">
        <v>7.1254450722811596E-3</v>
      </c>
      <c r="AE227" s="4">
        <v>0.11634362544608599</v>
      </c>
      <c r="AF227" s="4">
        <v>6.6921836266323198E-2</v>
      </c>
      <c r="AG227" s="4">
        <v>0.81169821739163905</v>
      </c>
      <c r="AH227" s="4">
        <v>0.94123803679497198</v>
      </c>
      <c r="AI227" s="4">
        <v>1</v>
      </c>
      <c r="AJ227" s="4">
        <v>1</v>
      </c>
      <c r="AK227" s="4">
        <v>1</v>
      </c>
      <c r="AL227" s="4">
        <v>1</v>
      </c>
      <c r="AM227" s="4">
        <v>0</v>
      </c>
      <c r="AN227" s="4">
        <v>0</v>
      </c>
      <c r="AO227" s="4" t="s">
        <v>152</v>
      </c>
      <c r="AP227" s="4" t="s">
        <v>136</v>
      </c>
      <c r="AQ227" s="6">
        <v>1814909892.4400001</v>
      </c>
      <c r="AR227" s="4">
        <v>7033</v>
      </c>
      <c r="AS227" s="29">
        <v>0</v>
      </c>
      <c r="AT227" s="29">
        <v>0</v>
      </c>
      <c r="AU227" s="29">
        <v>0</v>
      </c>
      <c r="AV227" s="29">
        <v>100</v>
      </c>
      <c r="AW227" s="29">
        <v>0</v>
      </c>
      <c r="AX227" s="29">
        <v>100</v>
      </c>
    </row>
    <row r="228" spans="1:50" x14ac:dyDescent="0.25">
      <c r="A228">
        <v>97</v>
      </c>
      <c r="B228" s="4">
        <v>0.98616857475140696</v>
      </c>
      <c r="C228" s="4">
        <v>24.692609381763699</v>
      </c>
      <c r="D228" s="4">
        <v>15.3915166351028</v>
      </c>
      <c r="E228" s="4">
        <v>2.3355594515483399E-2</v>
      </c>
      <c r="F228" s="5">
        <v>1.38314252485922E-2</v>
      </c>
      <c r="G228" s="5">
        <v>0</v>
      </c>
      <c r="H228" s="4">
        <v>4.2706796899557196</v>
      </c>
      <c r="I228" s="4">
        <v>3.8111617471720498</v>
      </c>
      <c r="J228" s="4">
        <v>0.73124103764770998</v>
      </c>
      <c r="K228" s="4">
        <v>72.435125178142002</v>
      </c>
      <c r="L228" s="4">
        <v>15.3481405717566</v>
      </c>
      <c r="M228" s="4">
        <v>18.584337866702</v>
      </c>
      <c r="N228" s="4">
        <v>75.169863162485797</v>
      </c>
      <c r="O228" s="4">
        <v>65.025461977238606</v>
      </c>
      <c r="P228" s="4">
        <v>277024.59542543301</v>
      </c>
      <c r="Q228" s="4">
        <v>260120.441024156</v>
      </c>
      <c r="R228" s="4">
        <v>776.83603454901197</v>
      </c>
      <c r="S228" s="4">
        <v>0</v>
      </c>
      <c r="T228" s="4">
        <v>0</v>
      </c>
      <c r="U228" s="4">
        <v>0.111780902802035</v>
      </c>
      <c r="V228" s="4">
        <v>1</v>
      </c>
      <c r="W228" s="4">
        <v>0</v>
      </c>
      <c r="X228" s="4">
        <v>0.69331266198706099</v>
      </c>
      <c r="Y228" s="4">
        <v>0</v>
      </c>
      <c r="Z228" s="5">
        <v>3.8033528576652398E-4</v>
      </c>
      <c r="AA228" s="5">
        <v>6.3430423369608395E-5</v>
      </c>
      <c r="AB228" s="10">
        <v>5.5946747283541504E-3</v>
      </c>
      <c r="AC228" s="10">
        <v>1.0173272443231099E-4</v>
      </c>
      <c r="AD228" s="10">
        <v>7.6912367119768999E-3</v>
      </c>
      <c r="AE228" s="4">
        <v>0.118103922387853</v>
      </c>
      <c r="AF228" s="4">
        <v>6.1981929192628203E-2</v>
      </c>
      <c r="AG228" s="4">
        <v>0.80592581135900199</v>
      </c>
      <c r="AH228" s="4">
        <v>0.94340112877770699</v>
      </c>
      <c r="AI228" s="4">
        <v>1</v>
      </c>
      <c r="AJ228" s="4">
        <v>1</v>
      </c>
      <c r="AK228" s="4">
        <v>1</v>
      </c>
      <c r="AL228" s="4">
        <v>1</v>
      </c>
      <c r="AM228" s="4">
        <v>0</v>
      </c>
      <c r="AN228" s="4">
        <v>0</v>
      </c>
      <c r="AO228" s="4" t="s">
        <v>72</v>
      </c>
      <c r="AP228" s="4" t="s">
        <v>73</v>
      </c>
      <c r="AQ228" s="6">
        <v>1572167945.55</v>
      </c>
      <c r="AR228" s="4">
        <v>6044</v>
      </c>
      <c r="AS228" s="29">
        <v>0</v>
      </c>
      <c r="AT228" s="29">
        <v>0</v>
      </c>
      <c r="AU228" s="29">
        <v>0</v>
      </c>
      <c r="AV228" s="29">
        <v>100</v>
      </c>
      <c r="AW228" s="29">
        <v>0</v>
      </c>
      <c r="AX228" s="29">
        <v>100</v>
      </c>
    </row>
    <row r="229" spans="1:50" x14ac:dyDescent="0.25">
      <c r="A229">
        <v>97</v>
      </c>
      <c r="B229" s="4">
        <v>0.98448840991728603</v>
      </c>
      <c r="C229" s="4">
        <v>25.557023348694401</v>
      </c>
      <c r="D229" s="4">
        <v>17.105199201304501</v>
      </c>
      <c r="E229" s="4">
        <v>2.4294744649296301E-2</v>
      </c>
      <c r="F229" s="5">
        <v>1.55115900827135E-2</v>
      </c>
      <c r="G229" s="5">
        <v>0</v>
      </c>
      <c r="H229" s="4">
        <v>4.3524970837606602</v>
      </c>
      <c r="I229" s="4">
        <v>3.8229385189293601</v>
      </c>
      <c r="J229" s="4">
        <v>6.4195593813710499</v>
      </c>
      <c r="K229" s="4">
        <v>85.146178233817196</v>
      </c>
      <c r="L229" s="4">
        <v>15.3081719643118</v>
      </c>
      <c r="M229" s="4">
        <v>18.961356356932999</v>
      </c>
      <c r="N229" s="4">
        <v>77.656926092643801</v>
      </c>
      <c r="O229" s="4">
        <v>66.738434387152594</v>
      </c>
      <c r="P229" s="4">
        <v>279092.46046513098</v>
      </c>
      <c r="Q229" s="4">
        <v>260808.919706505</v>
      </c>
      <c r="R229" s="4">
        <v>776.32444325829101</v>
      </c>
      <c r="S229" s="4">
        <v>0</v>
      </c>
      <c r="T229" s="4">
        <v>0</v>
      </c>
      <c r="U229" s="4">
        <v>0.120492543564776</v>
      </c>
      <c r="V229" s="4">
        <v>1</v>
      </c>
      <c r="W229" s="4">
        <v>0</v>
      </c>
      <c r="X229" s="4">
        <v>0.67259619984464003</v>
      </c>
      <c r="Y229" s="4">
        <v>0</v>
      </c>
      <c r="Z229" s="5">
        <v>3.76500951334063E-4</v>
      </c>
      <c r="AA229" s="5">
        <v>8.9558617236058297E-5</v>
      </c>
      <c r="AB229" s="10">
        <v>5.6923327936586497E-3</v>
      </c>
      <c r="AC229" s="10">
        <v>1.4575767085936301E-4</v>
      </c>
      <c r="AD229" s="10">
        <v>9.2074242833670907E-3</v>
      </c>
      <c r="AE229" s="4">
        <v>0.12572460978354899</v>
      </c>
      <c r="AF229" s="4">
        <v>4.9455135334672197E-2</v>
      </c>
      <c r="AG229" s="4">
        <v>0.73691879946081296</v>
      </c>
      <c r="AH229" s="4">
        <v>0.92777147022351003</v>
      </c>
      <c r="AI229" s="4">
        <v>1</v>
      </c>
      <c r="AJ229" s="4">
        <v>1</v>
      </c>
      <c r="AK229" s="4">
        <v>1</v>
      </c>
      <c r="AL229" s="4">
        <v>1</v>
      </c>
      <c r="AM229" s="4">
        <v>0</v>
      </c>
      <c r="AN229" s="4">
        <v>0</v>
      </c>
      <c r="AO229" s="4" t="s">
        <v>74</v>
      </c>
      <c r="AP229" s="4" t="s">
        <v>75</v>
      </c>
      <c r="AQ229" s="6">
        <v>4309867398.1499996</v>
      </c>
      <c r="AR229" s="4">
        <v>16525</v>
      </c>
      <c r="AS229" s="29">
        <v>0</v>
      </c>
      <c r="AT229" s="29">
        <v>0</v>
      </c>
      <c r="AU229" s="29">
        <v>0</v>
      </c>
      <c r="AV229" s="29">
        <v>100</v>
      </c>
      <c r="AW229" s="29">
        <v>0</v>
      </c>
      <c r="AX229" s="29">
        <v>100</v>
      </c>
    </row>
    <row r="230" spans="1:50" x14ac:dyDescent="0.25">
      <c r="A230">
        <v>97</v>
      </c>
      <c r="B230" s="4">
        <v>0.981106155739213</v>
      </c>
      <c r="C230" s="4">
        <v>29.727015222869401</v>
      </c>
      <c r="D230" s="4">
        <v>20.4588240635102</v>
      </c>
      <c r="E230" s="4">
        <v>2.8970628226542301E-2</v>
      </c>
      <c r="F230" s="5">
        <v>1.8893844260786299E-2</v>
      </c>
      <c r="G230" s="5">
        <v>0</v>
      </c>
      <c r="H230" s="4">
        <v>4.48623751396104</v>
      </c>
      <c r="I230" s="4">
        <v>3.8210749348316901</v>
      </c>
      <c r="J230" s="4">
        <v>16.652147584035301</v>
      </c>
      <c r="K230" s="4">
        <v>109.69230835286599</v>
      </c>
      <c r="L230" s="4">
        <v>15.491870636317101</v>
      </c>
      <c r="M230" s="4">
        <v>19.629371038376998</v>
      </c>
      <c r="N230" s="4">
        <v>84.284160365727104</v>
      </c>
      <c r="O230" s="4">
        <v>71.5705049977595</v>
      </c>
      <c r="P230" s="4">
        <v>275536.43389843003</v>
      </c>
      <c r="Q230" s="4">
        <v>257729.667148373</v>
      </c>
      <c r="R230" s="4">
        <v>774.82656717428097</v>
      </c>
      <c r="S230" s="4">
        <v>0</v>
      </c>
      <c r="T230" s="4">
        <v>0</v>
      </c>
      <c r="U230" s="4">
        <v>0.171613653019109</v>
      </c>
      <c r="V230" s="4">
        <v>1</v>
      </c>
      <c r="W230" s="4">
        <v>0</v>
      </c>
      <c r="X230" s="4">
        <v>0.59717779366560697</v>
      </c>
      <c r="Y230" s="4">
        <v>0</v>
      </c>
      <c r="Z230" s="5">
        <v>3.7221678085053698E-4</v>
      </c>
      <c r="AA230" s="5">
        <v>1.23222995456731E-4</v>
      </c>
      <c r="AB230" s="10">
        <v>5.8221739565098001E-3</v>
      </c>
      <c r="AC230" s="10">
        <v>2.7833448998460701E-4</v>
      </c>
      <c r="AD230" s="10">
        <v>1.2297879467316499E-2</v>
      </c>
      <c r="AE230" s="4">
        <v>0.138464282293359</v>
      </c>
      <c r="AF230" s="4">
        <v>3.5188244839738501E-2</v>
      </c>
      <c r="AG230" s="4">
        <v>0.62088971522288905</v>
      </c>
      <c r="AH230" s="4">
        <v>0.85587542103624603</v>
      </c>
      <c r="AI230" s="4">
        <v>1</v>
      </c>
      <c r="AJ230" s="4">
        <v>1</v>
      </c>
      <c r="AK230" s="4">
        <v>1</v>
      </c>
      <c r="AL230" s="4">
        <v>1</v>
      </c>
      <c r="AM230" s="4">
        <v>0</v>
      </c>
      <c r="AN230" s="4">
        <v>0</v>
      </c>
      <c r="AO230" s="4" t="s">
        <v>76</v>
      </c>
      <c r="AP230" s="4" t="s">
        <v>77</v>
      </c>
      <c r="AQ230" s="6">
        <v>1268029962.3699999</v>
      </c>
      <c r="AR230" s="4">
        <v>4920</v>
      </c>
      <c r="AS230" s="29">
        <v>0</v>
      </c>
      <c r="AT230" s="29">
        <v>0</v>
      </c>
      <c r="AU230" s="29">
        <v>0</v>
      </c>
      <c r="AV230" s="29">
        <v>100</v>
      </c>
      <c r="AW230" s="29">
        <v>0</v>
      </c>
      <c r="AX230" s="29">
        <v>100</v>
      </c>
    </row>
    <row r="231" spans="1:50" x14ac:dyDescent="0.25">
      <c r="A231">
        <v>97</v>
      </c>
      <c r="B231" s="4">
        <v>0.97660634669386603</v>
      </c>
      <c r="C231" s="4">
        <v>33.420402080467298</v>
      </c>
      <c r="D231" s="4">
        <v>24.727817619117801</v>
      </c>
      <c r="E231" s="4">
        <v>3.3329577246765503E-2</v>
      </c>
      <c r="F231" s="5">
        <v>2.3393653306133501E-2</v>
      </c>
      <c r="G231" s="5">
        <v>0</v>
      </c>
      <c r="H231" s="4">
        <v>4.6161116351691396</v>
      </c>
      <c r="I231" s="4">
        <v>3.8429467469924199</v>
      </c>
      <c r="J231" s="4">
        <v>25.980793977853601</v>
      </c>
      <c r="K231" s="4">
        <v>135.45389917225501</v>
      </c>
      <c r="L231" s="4">
        <v>15.200592963311999</v>
      </c>
      <c r="M231" s="4">
        <v>20.4796874545363</v>
      </c>
      <c r="N231" s="4">
        <v>89.898939444581501</v>
      </c>
      <c r="O231" s="4">
        <v>75.317017162835498</v>
      </c>
      <c r="P231" s="4">
        <v>280888.94944707502</v>
      </c>
      <c r="Q231" s="4">
        <v>262673.195188866</v>
      </c>
      <c r="R231" s="4">
        <v>772.88333752428298</v>
      </c>
      <c r="S231" s="4">
        <v>0</v>
      </c>
      <c r="T231" s="4">
        <v>0</v>
      </c>
      <c r="U231" s="4">
        <v>0.348155048860668</v>
      </c>
      <c r="V231" s="4">
        <v>1</v>
      </c>
      <c r="W231" s="4">
        <v>0</v>
      </c>
      <c r="X231" s="4">
        <v>0.59391003729276903</v>
      </c>
      <c r="Y231" s="4">
        <v>0</v>
      </c>
      <c r="Z231" s="5">
        <v>3.7351881581578102E-4</v>
      </c>
      <c r="AA231" s="5">
        <v>1.4872405418231701E-4</v>
      </c>
      <c r="AB231" s="10">
        <v>5.9947400704197197E-3</v>
      </c>
      <c r="AC231" s="10">
        <v>4.44330200049859E-4</v>
      </c>
      <c r="AD231" s="10">
        <v>1.6432322650990299E-2</v>
      </c>
      <c r="AE231" s="4">
        <v>0.15545616442263099</v>
      </c>
      <c r="AF231" s="4">
        <v>1.4956911806786301E-2</v>
      </c>
      <c r="AG231" s="4">
        <v>0.480213910252834</v>
      </c>
      <c r="AH231" s="4">
        <v>0.80103558028968103</v>
      </c>
      <c r="AI231" s="4">
        <v>1</v>
      </c>
      <c r="AJ231" s="4">
        <v>1</v>
      </c>
      <c r="AK231" s="4">
        <v>1</v>
      </c>
      <c r="AL231" s="4">
        <v>1</v>
      </c>
      <c r="AM231" s="4">
        <v>0</v>
      </c>
      <c r="AN231" s="4">
        <v>0</v>
      </c>
      <c r="AO231" s="4" t="s">
        <v>78</v>
      </c>
      <c r="AP231" s="4" t="s">
        <v>79</v>
      </c>
      <c r="AQ231" s="6">
        <v>396373851.54000002</v>
      </c>
      <c r="AR231" s="4">
        <v>1509</v>
      </c>
      <c r="AS231" s="29">
        <v>0</v>
      </c>
      <c r="AT231" s="29">
        <v>0</v>
      </c>
      <c r="AU231" s="29">
        <v>0</v>
      </c>
      <c r="AV231" s="29">
        <v>100</v>
      </c>
      <c r="AW231" s="29">
        <v>0</v>
      </c>
      <c r="AX231" s="29">
        <v>100</v>
      </c>
    </row>
    <row r="232" spans="1:50" x14ac:dyDescent="0.25">
      <c r="A232">
        <v>97</v>
      </c>
      <c r="B232" s="4">
        <v>0.97210149908180599</v>
      </c>
      <c r="C232" s="4">
        <v>38.2087345277887</v>
      </c>
      <c r="D232" s="4">
        <v>28.790267507169499</v>
      </c>
      <c r="E232" s="4">
        <v>3.9323300224375697E-2</v>
      </c>
      <c r="F232" s="5">
        <v>2.7898500918193202E-2</v>
      </c>
      <c r="G232" s="5">
        <v>0</v>
      </c>
      <c r="H232" s="4">
        <v>4.7228744720465299</v>
      </c>
      <c r="I232" s="4">
        <v>3.80951615376437</v>
      </c>
      <c r="J232" s="4">
        <v>36.983957585395501</v>
      </c>
      <c r="K232" s="4">
        <v>159.240080075191</v>
      </c>
      <c r="L232" s="4">
        <v>15.132006632780399</v>
      </c>
      <c r="M232" s="4">
        <v>21.179519707906401</v>
      </c>
      <c r="N232" s="4">
        <v>91.026906538752101</v>
      </c>
      <c r="O232" s="4">
        <v>75.965368094445793</v>
      </c>
      <c r="P232" s="4">
        <v>279605.34082471998</v>
      </c>
      <c r="Q232" s="4">
        <v>263857.41720357898</v>
      </c>
      <c r="R232" s="4">
        <v>768.44790143845</v>
      </c>
      <c r="S232" s="4">
        <v>0</v>
      </c>
      <c r="T232" s="4">
        <v>0</v>
      </c>
      <c r="U232" s="4">
        <v>0.50877426546089799</v>
      </c>
      <c r="V232" s="4">
        <v>1</v>
      </c>
      <c r="W232" s="4">
        <v>0</v>
      </c>
      <c r="X232" s="4">
        <v>0.74699126298319096</v>
      </c>
      <c r="Y232" s="4">
        <v>0</v>
      </c>
      <c r="Z232" s="5">
        <v>3.8599952012649899E-4</v>
      </c>
      <c r="AA232" s="5">
        <v>1.62752375433079E-4</v>
      </c>
      <c r="AB232" s="10">
        <v>6.0218592865188998E-3</v>
      </c>
      <c r="AC232" s="10">
        <v>5.2477246044213403E-4</v>
      </c>
      <c r="AD232" s="10">
        <v>2.0803099675315601E-2</v>
      </c>
      <c r="AE232" s="4">
        <v>0.158649823883598</v>
      </c>
      <c r="AF232" s="4">
        <v>3.6765087153539E-3</v>
      </c>
      <c r="AG232" s="4">
        <v>0.46645148512679901</v>
      </c>
      <c r="AH232" s="4">
        <v>0.75555878651476704</v>
      </c>
      <c r="AI232" s="4">
        <v>1</v>
      </c>
      <c r="AJ232" s="4">
        <v>1</v>
      </c>
      <c r="AK232" s="4">
        <v>1</v>
      </c>
      <c r="AL232" s="4">
        <v>1</v>
      </c>
      <c r="AM232" s="4">
        <v>0</v>
      </c>
      <c r="AN232" s="4">
        <v>0</v>
      </c>
      <c r="AO232" s="4" t="s">
        <v>80</v>
      </c>
      <c r="AP232" s="4" t="s">
        <v>81</v>
      </c>
      <c r="AQ232" s="6">
        <v>117944265.48999999</v>
      </c>
      <c r="AR232" s="4">
        <v>447</v>
      </c>
      <c r="AS232" s="29">
        <v>0</v>
      </c>
      <c r="AT232" s="29">
        <v>0</v>
      </c>
      <c r="AU232" s="29">
        <v>0</v>
      </c>
      <c r="AV232" s="29">
        <v>100</v>
      </c>
      <c r="AW232" s="29">
        <v>0</v>
      </c>
      <c r="AX232" s="29">
        <v>100</v>
      </c>
    </row>
    <row r="233" spans="1:50" x14ac:dyDescent="0.25">
      <c r="A233">
        <v>97</v>
      </c>
      <c r="B233" s="4">
        <v>0.96715389504364802</v>
      </c>
      <c r="C233" s="4">
        <v>50.192595397689203</v>
      </c>
      <c r="D233" s="4">
        <v>33.019710175688097</v>
      </c>
      <c r="E233" s="4">
        <v>5.6429199944796497E-2</v>
      </c>
      <c r="F233" s="5">
        <v>3.2846104956351103E-2</v>
      </c>
      <c r="G233" s="5">
        <v>0</v>
      </c>
      <c r="H233" s="4">
        <v>4.86008479691196</v>
      </c>
      <c r="I233" s="4">
        <v>3.8038166989942401</v>
      </c>
      <c r="J233" s="4">
        <v>52.893929072386896</v>
      </c>
      <c r="K233" s="4">
        <v>183.626908811742</v>
      </c>
      <c r="L233" s="4">
        <v>15.4267194656748</v>
      </c>
      <c r="M233" s="4">
        <v>21.228986530210701</v>
      </c>
      <c r="N233" s="4">
        <v>90.552186986699496</v>
      </c>
      <c r="O233" s="4">
        <v>75.938602511225994</v>
      </c>
      <c r="P233" s="4">
        <v>271656.89474395098</v>
      </c>
      <c r="Q233" s="4">
        <v>258836.050588235</v>
      </c>
      <c r="R233" s="4">
        <v>762.66971947863897</v>
      </c>
      <c r="S233" s="4">
        <v>0</v>
      </c>
      <c r="T233" s="4">
        <v>0</v>
      </c>
      <c r="U233" s="4">
        <v>0.35617140462609298</v>
      </c>
      <c r="V233" s="4">
        <v>1</v>
      </c>
      <c r="W233" s="4">
        <v>0</v>
      </c>
      <c r="X233" s="4">
        <v>0.81931996353467296</v>
      </c>
      <c r="Y233" s="4">
        <v>0</v>
      </c>
      <c r="Z233" s="5">
        <v>3.7369878463091498E-4</v>
      </c>
      <c r="AA233" s="5">
        <v>1.18698321435948E-4</v>
      </c>
      <c r="AB233" s="10">
        <v>5.9425921603734298E-3</v>
      </c>
      <c r="AC233" s="10">
        <v>5.1007884429022201E-4</v>
      </c>
      <c r="AD233" s="10">
        <v>2.5901019215348198E-2</v>
      </c>
      <c r="AE233" s="4">
        <v>0.15491555931138601</v>
      </c>
      <c r="AF233" s="4">
        <v>1.49084549059747E-2</v>
      </c>
      <c r="AG233" s="4">
        <v>0.43870506812254501</v>
      </c>
      <c r="AH233" s="4">
        <v>0.72415491565560297</v>
      </c>
      <c r="AI233" s="4">
        <v>1</v>
      </c>
      <c r="AJ233" s="4">
        <v>1</v>
      </c>
      <c r="AK233" s="4">
        <v>1</v>
      </c>
      <c r="AL233" s="4">
        <v>1</v>
      </c>
      <c r="AM233" s="4">
        <v>0</v>
      </c>
      <c r="AN233" s="4">
        <v>0</v>
      </c>
      <c r="AO233" s="4" t="s">
        <v>82</v>
      </c>
      <c r="AP233" s="4" t="s">
        <v>83</v>
      </c>
      <c r="AQ233" s="6">
        <v>17600851.440000001</v>
      </c>
      <c r="AR233" s="4">
        <v>68</v>
      </c>
      <c r="AS233" s="29">
        <v>0</v>
      </c>
      <c r="AT233" s="29">
        <v>0</v>
      </c>
      <c r="AU233" s="29">
        <v>0</v>
      </c>
      <c r="AV233" s="29">
        <v>100</v>
      </c>
      <c r="AW233" s="29">
        <v>0</v>
      </c>
      <c r="AX233" s="29">
        <v>100</v>
      </c>
    </row>
    <row r="234" spans="1:50" x14ac:dyDescent="0.25">
      <c r="A234">
        <v>97</v>
      </c>
      <c r="B234" s="4">
        <v>0.96596813113905899</v>
      </c>
      <c r="C234" s="4">
        <v>70.665744833583602</v>
      </c>
      <c r="D234" s="4">
        <v>33.998533877896698</v>
      </c>
      <c r="E234" s="4">
        <v>9.7152107151706302E-2</v>
      </c>
      <c r="F234" s="5">
        <v>3.403186886094E-2</v>
      </c>
      <c r="G234" s="5">
        <v>0</v>
      </c>
      <c r="H234" s="4">
        <v>4.9938200967088298</v>
      </c>
      <c r="I234" s="4">
        <v>3.7630230454699598</v>
      </c>
      <c r="J234" s="4">
        <v>82.598596580852501</v>
      </c>
      <c r="K234" s="4">
        <v>210.95017391853301</v>
      </c>
      <c r="L234" s="4">
        <v>15.265280073368199</v>
      </c>
      <c r="M234" s="4">
        <v>20.366549743028099</v>
      </c>
      <c r="N234" s="4">
        <v>88.357620846171201</v>
      </c>
      <c r="O234" s="4">
        <v>76.585013320799703</v>
      </c>
      <c r="P234" s="4">
        <v>263549.80636137899</v>
      </c>
      <c r="Q234" s="4">
        <v>261590.48333333299</v>
      </c>
      <c r="R234" s="4">
        <v>764.67732189204003</v>
      </c>
      <c r="S234" s="4">
        <v>0</v>
      </c>
      <c r="T234" s="4">
        <v>0</v>
      </c>
      <c r="U234" s="4">
        <v>0</v>
      </c>
      <c r="V234" s="4">
        <v>1</v>
      </c>
      <c r="W234" s="4">
        <v>0</v>
      </c>
      <c r="X234" s="4">
        <v>0.74795381508845604</v>
      </c>
      <c r="Y234" s="4">
        <v>0</v>
      </c>
      <c r="Z234" s="5">
        <v>3.5792416932139899E-4</v>
      </c>
      <c r="AA234" s="5">
        <v>5.2745235157017096E-4</v>
      </c>
      <c r="AB234" s="10">
        <v>5.5968411918041402E-3</v>
      </c>
      <c r="AC234" s="10">
        <v>3.3840525836551898E-4</v>
      </c>
      <c r="AD234" s="10">
        <v>2.7211231425194701E-2</v>
      </c>
      <c r="AE234" s="4">
        <v>0.122254015969175</v>
      </c>
      <c r="AF234" s="4">
        <v>0</v>
      </c>
      <c r="AG234" s="4">
        <v>0.553531596152399</v>
      </c>
      <c r="AH234" s="4">
        <v>0.87405868294520594</v>
      </c>
      <c r="AI234" s="4">
        <v>1</v>
      </c>
      <c r="AJ234" s="4">
        <v>1</v>
      </c>
      <c r="AK234" s="4">
        <v>1</v>
      </c>
      <c r="AL234" s="4">
        <v>1</v>
      </c>
      <c r="AM234" s="4">
        <v>0</v>
      </c>
      <c r="AN234" s="4">
        <v>0</v>
      </c>
      <c r="AO234" s="4" t="s">
        <v>84</v>
      </c>
      <c r="AP234" s="4" t="s">
        <v>85</v>
      </c>
      <c r="AQ234" s="6">
        <v>2354314.35</v>
      </c>
      <c r="AR234" s="4">
        <v>9</v>
      </c>
      <c r="AS234" s="29">
        <v>0</v>
      </c>
      <c r="AT234" s="29">
        <v>0</v>
      </c>
      <c r="AU234" s="29">
        <v>0</v>
      </c>
      <c r="AV234" s="29">
        <v>100</v>
      </c>
      <c r="AW234" s="29">
        <v>0</v>
      </c>
      <c r="AX234" s="29">
        <v>100</v>
      </c>
    </row>
    <row r="235" spans="1:50" x14ac:dyDescent="0.25">
      <c r="B235" s="4"/>
      <c r="C235" s="4"/>
      <c r="D235" s="4"/>
      <c r="E235" s="4"/>
      <c r="F235" s="5"/>
      <c r="G235" s="5"/>
      <c r="H235" s="4"/>
      <c r="I235" s="4"/>
      <c r="J235" s="4"/>
      <c r="K235" s="4"/>
      <c r="L235" s="4"/>
      <c r="M235" s="4"/>
      <c r="N235" s="4"/>
      <c r="O235" s="4"/>
      <c r="P235" s="4"/>
      <c r="Q235" s="4"/>
      <c r="R235" s="4"/>
      <c r="S235" s="4"/>
      <c r="T235" s="4"/>
      <c r="U235" s="4"/>
      <c r="V235" s="4"/>
      <c r="W235" s="4"/>
      <c r="X235" s="4"/>
      <c r="Y235" s="4"/>
      <c r="Z235" s="5"/>
      <c r="AA235" s="5"/>
      <c r="AB235" s="10"/>
      <c r="AC235" s="10"/>
      <c r="AD235" s="10"/>
      <c r="AE235" s="4"/>
      <c r="AF235" s="4"/>
      <c r="AG235" s="4"/>
      <c r="AH235" s="4"/>
      <c r="AI235" s="4"/>
      <c r="AJ235" s="4"/>
      <c r="AK235" s="4"/>
      <c r="AL235" s="4"/>
      <c r="AM235" s="4"/>
      <c r="AN235" s="4"/>
      <c r="AO235" s="4"/>
      <c r="AP235" s="4"/>
      <c r="AQ235" s="6"/>
      <c r="AR235" s="4"/>
      <c r="AS235" s="29"/>
      <c r="AT235" s="29"/>
      <c r="AU235" s="29"/>
      <c r="AV235" s="29"/>
      <c r="AW235" s="29"/>
      <c r="AX235" s="29"/>
    </row>
    <row r="239" spans="1:50" x14ac:dyDescent="0.25">
      <c r="A239" t="s">
        <v>20</v>
      </c>
      <c r="B239" t="s">
        <v>21</v>
      </c>
      <c r="C239" t="s">
        <v>22</v>
      </c>
      <c r="D239" t="s">
        <v>23</v>
      </c>
      <c r="E239" t="s">
        <v>94</v>
      </c>
      <c r="F239" t="s">
        <v>95</v>
      </c>
      <c r="G239" t="s">
        <v>24</v>
      </c>
      <c r="H239" t="s">
        <v>25</v>
      </c>
      <c r="I239" t="s">
        <v>26</v>
      </c>
      <c r="J239" t="s">
        <v>27</v>
      </c>
      <c r="K239" t="s">
        <v>28</v>
      </c>
      <c r="L239" t="s">
        <v>29</v>
      </c>
      <c r="M239" t="s">
        <v>30</v>
      </c>
      <c r="N239" t="s">
        <v>31</v>
      </c>
      <c r="O239" t="s">
        <v>32</v>
      </c>
      <c r="P239" t="s">
        <v>33</v>
      </c>
      <c r="Q239" t="s">
        <v>34</v>
      </c>
      <c r="R239" t="s">
        <v>35</v>
      </c>
      <c r="S239" t="s">
        <v>36</v>
      </c>
      <c r="T239" t="s">
        <v>37</v>
      </c>
      <c r="U239" t="s">
        <v>38</v>
      </c>
      <c r="V239" t="s">
        <v>39</v>
      </c>
      <c r="W239" t="s">
        <v>40</v>
      </c>
      <c r="X239" t="s">
        <v>41</v>
      </c>
      <c r="Y239" t="s">
        <v>42</v>
      </c>
      <c r="Z239" t="s">
        <v>43</v>
      </c>
      <c r="AA239" t="s">
        <v>44</v>
      </c>
      <c r="AB239" t="s">
        <v>45</v>
      </c>
      <c r="AC239" t="s">
        <v>46</v>
      </c>
      <c r="AD239" t="s">
        <v>47</v>
      </c>
      <c r="AE239" t="s">
        <v>48</v>
      </c>
      <c r="AF239" t="s">
        <v>49</v>
      </c>
      <c r="AG239" t="s">
        <v>50</v>
      </c>
      <c r="AH239" t="s">
        <v>51</v>
      </c>
      <c r="AI239" t="s">
        <v>52</v>
      </c>
      <c r="AJ239" t="s">
        <v>53</v>
      </c>
      <c r="AK239" t="s">
        <v>54</v>
      </c>
      <c r="AL239" t="s">
        <v>55</v>
      </c>
      <c r="AM239" t="s">
        <v>56</v>
      </c>
      <c r="AN239" t="s">
        <v>57</v>
      </c>
      <c r="AO239" t="s">
        <v>58</v>
      </c>
      <c r="AP239" t="s">
        <v>59</v>
      </c>
      <c r="AQ239" t="s">
        <v>60</v>
      </c>
      <c r="AR239" t="s">
        <v>61</v>
      </c>
      <c r="AS239" t="s">
        <v>116</v>
      </c>
      <c r="AT239" t="s">
        <v>117</v>
      </c>
      <c r="AU239" t="s">
        <v>118</v>
      </c>
      <c r="AV239" t="s">
        <v>119</v>
      </c>
      <c r="AW239" t="s">
        <v>120</v>
      </c>
      <c r="AX239" t="s">
        <v>121</v>
      </c>
    </row>
    <row r="240" spans="1:50" x14ac:dyDescent="0.25">
      <c r="A240">
        <v>96</v>
      </c>
      <c r="B240" s="4">
        <v>0.98443959182090801</v>
      </c>
      <c r="C240" s="4">
        <v>0.81933785763306199</v>
      </c>
      <c r="D240" s="4">
        <v>17.154512077007102</v>
      </c>
      <c r="E240" s="4">
        <v>6.8535909918407401E-4</v>
      </c>
      <c r="F240" s="5">
        <v>1.55604081790915E-2</v>
      </c>
      <c r="G240" s="5">
        <v>0</v>
      </c>
      <c r="H240" s="4">
        <v>3.6601857291848199</v>
      </c>
      <c r="I240" s="4">
        <v>3.8814702049095802</v>
      </c>
      <c r="J240" s="4">
        <v>-37.1600192049846</v>
      </c>
      <c r="K240" s="4">
        <v>-81.705198080970305</v>
      </c>
      <c r="L240" s="4">
        <v>99.251211672337703</v>
      </c>
      <c r="M240" s="4">
        <v>13.3693276760945</v>
      </c>
      <c r="N240" s="4">
        <v>82.720638948689697</v>
      </c>
      <c r="O240" s="4">
        <v>9.3875843018258305</v>
      </c>
      <c r="P240" s="4">
        <v>33723.405414511901</v>
      </c>
      <c r="Q240" s="4">
        <v>33156.339999999997</v>
      </c>
      <c r="R240" s="4">
        <v>796.74945986197497</v>
      </c>
      <c r="S240" s="4">
        <v>0</v>
      </c>
      <c r="T240" s="4">
        <v>0</v>
      </c>
      <c r="U240" s="4">
        <v>0</v>
      </c>
      <c r="V240" s="4">
        <v>1</v>
      </c>
      <c r="W240" s="4">
        <v>0</v>
      </c>
      <c r="X240" s="4">
        <v>0</v>
      </c>
      <c r="Y240" s="4">
        <v>0</v>
      </c>
      <c r="Z240" s="5">
        <v>7.9476866090515408E-3</v>
      </c>
      <c r="AA240" s="5">
        <v>1.051166676147E-5</v>
      </c>
      <c r="AB240" s="10">
        <v>7.60019101362333E-3</v>
      </c>
      <c r="AC240" s="10">
        <v>2.0111334121920501E-6</v>
      </c>
      <c r="AD240" s="10">
        <v>0</v>
      </c>
      <c r="AE240" s="4">
        <v>9.3047804614946994E-2</v>
      </c>
      <c r="AF240" s="4">
        <v>0</v>
      </c>
      <c r="AG240" s="4">
        <v>0.81862407008734905</v>
      </c>
      <c r="AH240" s="4">
        <v>1</v>
      </c>
      <c r="AI240" s="4">
        <v>1</v>
      </c>
      <c r="AJ240" s="4">
        <v>1</v>
      </c>
      <c r="AK240" s="4">
        <v>1</v>
      </c>
      <c r="AL240" s="4">
        <v>1</v>
      </c>
      <c r="AM240" s="4">
        <v>0</v>
      </c>
      <c r="AN240" s="4">
        <v>0</v>
      </c>
      <c r="AO240" s="4" t="s">
        <v>64</v>
      </c>
      <c r="AP240" s="4">
        <f>-100--75</f>
        <v>-25</v>
      </c>
      <c r="AQ240" s="6">
        <v>331563.40000000002</v>
      </c>
      <c r="AR240" s="4">
        <v>10</v>
      </c>
      <c r="AS240" s="29">
        <v>0</v>
      </c>
      <c r="AT240" s="29">
        <v>0</v>
      </c>
      <c r="AU240" s="29">
        <v>0</v>
      </c>
      <c r="AV240" s="29">
        <v>100</v>
      </c>
      <c r="AW240" s="29">
        <v>0</v>
      </c>
      <c r="AX240" s="29">
        <v>100</v>
      </c>
    </row>
    <row r="241" spans="1:50" x14ac:dyDescent="0.25">
      <c r="A241">
        <v>96</v>
      </c>
      <c r="B241" s="4">
        <v>0.99321935216440205</v>
      </c>
      <c r="C241" s="4">
        <v>6.60390410710386</v>
      </c>
      <c r="D241" s="4">
        <v>7.84008308162975</v>
      </c>
      <c r="E241" s="4">
        <v>5.6772101786271402E-3</v>
      </c>
      <c r="F241" s="5">
        <v>6.7806478355977202E-3</v>
      </c>
      <c r="G241" s="5">
        <v>0</v>
      </c>
      <c r="H241" s="4">
        <v>3.3036740898471999</v>
      </c>
      <c r="I241" s="4">
        <v>3.84316541405218</v>
      </c>
      <c r="J241" s="4">
        <v>-79.048829657968696</v>
      </c>
      <c r="K241" s="4">
        <v>-57.490556018369602</v>
      </c>
      <c r="L241" s="4">
        <v>35.908726338625598</v>
      </c>
      <c r="M241" s="4">
        <v>17.015488738734501</v>
      </c>
      <c r="N241" s="4">
        <v>79.057719171684397</v>
      </c>
      <c r="O241" s="4">
        <v>57.935423466202202</v>
      </c>
      <c r="P241" s="4">
        <v>192025.288427789</v>
      </c>
      <c r="Q241" s="4">
        <v>92935.9372072072</v>
      </c>
      <c r="R241" s="4">
        <v>783.31218082907105</v>
      </c>
      <c r="S241" s="4">
        <v>0</v>
      </c>
      <c r="T241" s="4">
        <v>0</v>
      </c>
      <c r="U241" s="4">
        <v>0</v>
      </c>
      <c r="V241" s="4">
        <v>1</v>
      </c>
      <c r="W241" s="4">
        <v>0</v>
      </c>
      <c r="X241" s="4">
        <v>0.21424881981305999</v>
      </c>
      <c r="Y241" s="4">
        <v>0</v>
      </c>
      <c r="Z241" s="5">
        <v>1.6163777448995099E-3</v>
      </c>
      <c r="AA241" s="5">
        <v>1.19106473867332E-5</v>
      </c>
      <c r="AB241" s="10">
        <v>5.0785336803553204E-3</v>
      </c>
      <c r="AC241" s="10">
        <v>3.6511060476772101E-6</v>
      </c>
      <c r="AD241" s="10">
        <v>7.0164220576100897E-5</v>
      </c>
      <c r="AE241" s="4">
        <v>6.0929971745413203E-2</v>
      </c>
      <c r="AF241" s="4">
        <v>0.50001356984352896</v>
      </c>
      <c r="AG241" s="4">
        <v>0.96769594757845101</v>
      </c>
      <c r="AH241" s="4">
        <v>0.99270782966148197</v>
      </c>
      <c r="AI241" s="4">
        <v>1</v>
      </c>
      <c r="AJ241" s="4">
        <v>1</v>
      </c>
      <c r="AK241" s="4">
        <v>1</v>
      </c>
      <c r="AL241" s="4">
        <v>1</v>
      </c>
      <c r="AM241" s="4">
        <v>0</v>
      </c>
      <c r="AN241" s="4">
        <v>0</v>
      </c>
      <c r="AO241" s="4" t="s">
        <v>65</v>
      </c>
      <c r="AP241" s="4">
        <f>-75--50</f>
        <v>-25</v>
      </c>
      <c r="AQ241" s="6">
        <v>10315889.029999999</v>
      </c>
      <c r="AR241" s="4">
        <v>111</v>
      </c>
      <c r="AS241" s="29">
        <v>0</v>
      </c>
      <c r="AT241" s="29">
        <v>0</v>
      </c>
      <c r="AU241" s="29">
        <v>0</v>
      </c>
      <c r="AV241" s="29">
        <v>100</v>
      </c>
      <c r="AW241" s="29">
        <v>0</v>
      </c>
      <c r="AX241" s="29">
        <v>100</v>
      </c>
    </row>
    <row r="242" spans="1:50" x14ac:dyDescent="0.25">
      <c r="A242">
        <v>96</v>
      </c>
      <c r="B242" s="4">
        <v>0.99100368857667498</v>
      </c>
      <c r="C242" s="4">
        <v>5.1980090391392197</v>
      </c>
      <c r="D242" s="4">
        <v>10.277110491136799</v>
      </c>
      <c r="E242" s="4">
        <v>4.4384355066976596E-3</v>
      </c>
      <c r="F242" s="5">
        <v>8.9963114233245298E-3</v>
      </c>
      <c r="G242" s="5">
        <v>0</v>
      </c>
      <c r="H242" s="4">
        <v>3.44898375349727</v>
      </c>
      <c r="I242" s="4">
        <v>3.9015990546351702</v>
      </c>
      <c r="J242" s="4">
        <v>-59.772668578609299</v>
      </c>
      <c r="K242" s="4">
        <v>-32.646231107058597</v>
      </c>
      <c r="L242" s="4">
        <v>22.2806346688829</v>
      </c>
      <c r="M242" s="4">
        <v>15.379937347304301</v>
      </c>
      <c r="N242" s="4">
        <v>72.2573854369098</v>
      </c>
      <c r="O242" s="4">
        <v>60.504649901185203</v>
      </c>
      <c r="P242" s="4">
        <v>228152.00954227499</v>
      </c>
      <c r="Q242" s="4">
        <v>167572.78715302399</v>
      </c>
      <c r="R242" s="4">
        <v>783.92557753528001</v>
      </c>
      <c r="S242" s="4">
        <v>0</v>
      </c>
      <c r="T242" s="4">
        <v>0</v>
      </c>
      <c r="U242" s="4">
        <v>0</v>
      </c>
      <c r="V242" s="4">
        <v>1</v>
      </c>
      <c r="W242" s="4">
        <v>0</v>
      </c>
      <c r="X242" s="4">
        <v>0.30001831929276002</v>
      </c>
      <c r="Y242" s="4">
        <v>0</v>
      </c>
      <c r="Z242" s="5">
        <v>6.3790838243900599E-4</v>
      </c>
      <c r="AA242" s="5">
        <v>1.5269788139672099E-5</v>
      </c>
      <c r="AB242" s="10">
        <v>5.3433395621199599E-3</v>
      </c>
      <c r="AC242" s="10">
        <v>1.4752094815824801E-6</v>
      </c>
      <c r="AD242" s="10">
        <v>2.99830368133348E-3</v>
      </c>
      <c r="AE242" s="4">
        <v>8.0632064497830003E-2</v>
      </c>
      <c r="AF242" s="4">
        <v>0.19437593004029199</v>
      </c>
      <c r="AG242" s="4">
        <v>0.94901639044888697</v>
      </c>
      <c r="AH242" s="4">
        <v>0.99994177608466095</v>
      </c>
      <c r="AI242" s="4">
        <v>1</v>
      </c>
      <c r="AJ242" s="4">
        <v>1</v>
      </c>
      <c r="AK242" s="4">
        <v>1</v>
      </c>
      <c r="AL242" s="4">
        <v>1</v>
      </c>
      <c r="AM242" s="4">
        <v>0</v>
      </c>
      <c r="AN242" s="4">
        <v>0</v>
      </c>
      <c r="AO242" s="4" t="s">
        <v>66</v>
      </c>
      <c r="AP242" s="4">
        <f>-50--25</f>
        <v>-25</v>
      </c>
      <c r="AQ242" s="6">
        <v>94175906.379999995</v>
      </c>
      <c r="AR242" s="4">
        <v>562</v>
      </c>
      <c r="AS242" s="29">
        <v>0</v>
      </c>
      <c r="AT242" s="29">
        <v>0</v>
      </c>
      <c r="AU242" s="29">
        <v>0</v>
      </c>
      <c r="AV242" s="29">
        <v>100</v>
      </c>
      <c r="AW242" s="29">
        <v>0</v>
      </c>
      <c r="AX242" s="29">
        <v>100</v>
      </c>
    </row>
    <row r="243" spans="1:50" x14ac:dyDescent="0.25">
      <c r="A243">
        <v>96</v>
      </c>
      <c r="B243" s="4">
        <v>0.98825467601101202</v>
      </c>
      <c r="C243" s="4">
        <v>1.7879864664554099</v>
      </c>
      <c r="D243" s="4">
        <v>13.218623388547799</v>
      </c>
      <c r="E243" s="4">
        <v>1.5023404135483299E-3</v>
      </c>
      <c r="F243" s="5">
        <v>1.17453239889875E-2</v>
      </c>
      <c r="G243" s="5">
        <v>0</v>
      </c>
      <c r="H243" s="4">
        <v>3.5435616716823102</v>
      </c>
      <c r="I243" s="4">
        <v>3.9265782216848302</v>
      </c>
      <c r="J243" s="4">
        <v>-47.484146343905401</v>
      </c>
      <c r="K243" s="4">
        <v>-22.277532842795601</v>
      </c>
      <c r="L243" s="4">
        <v>18.748368844432701</v>
      </c>
      <c r="M243" s="4">
        <v>14.382005568449999</v>
      </c>
      <c r="N243" s="4">
        <v>72.995015538504205</v>
      </c>
      <c r="O243" s="4">
        <v>63.454553289531198</v>
      </c>
      <c r="P243" s="4">
        <v>243161.01276853299</v>
      </c>
      <c r="Q243" s="4">
        <v>208795.11830357101</v>
      </c>
      <c r="R243" s="4">
        <v>782.747833546626</v>
      </c>
      <c r="S243" s="4">
        <v>0</v>
      </c>
      <c r="T243" s="4">
        <v>0</v>
      </c>
      <c r="U243" s="4">
        <v>6.6383420572283698E-3</v>
      </c>
      <c r="V243" s="4">
        <v>1</v>
      </c>
      <c r="W243" s="4">
        <v>0</v>
      </c>
      <c r="X243" s="4">
        <v>0.34547843000956102</v>
      </c>
      <c r="Y243" s="4">
        <v>0</v>
      </c>
      <c r="Z243" s="5">
        <v>4.6607172972711102E-4</v>
      </c>
      <c r="AA243" s="5">
        <v>1.4814863380160299E-5</v>
      </c>
      <c r="AB243" s="10">
        <v>5.3688493869670697E-3</v>
      </c>
      <c r="AC243" s="10">
        <v>1.11773334248768E-6</v>
      </c>
      <c r="AD243" s="10">
        <v>5.8944563733372996E-3</v>
      </c>
      <c r="AE243" s="4">
        <v>8.3736369250488801E-2</v>
      </c>
      <c r="AF243" s="4">
        <v>0.16763262288059999</v>
      </c>
      <c r="AG243" s="4">
        <v>0.96178501229198599</v>
      </c>
      <c r="AH243" s="4">
        <v>0.99991680711695596</v>
      </c>
      <c r="AI243" s="4">
        <v>1</v>
      </c>
      <c r="AJ243" s="4">
        <v>1</v>
      </c>
      <c r="AK243" s="4">
        <v>1</v>
      </c>
      <c r="AL243" s="4">
        <v>1</v>
      </c>
      <c r="AM243" s="4">
        <v>0</v>
      </c>
      <c r="AN243" s="4">
        <v>0</v>
      </c>
      <c r="AO243" s="4" t="s">
        <v>137</v>
      </c>
      <c r="AP243" s="4">
        <f>-25--20</f>
        <v>-5</v>
      </c>
      <c r="AQ243" s="6">
        <v>93540213</v>
      </c>
      <c r="AR243" s="4">
        <v>448</v>
      </c>
      <c r="AS243" s="29">
        <v>0</v>
      </c>
      <c r="AT243" s="29">
        <v>0</v>
      </c>
      <c r="AU243" s="29">
        <v>0</v>
      </c>
      <c r="AV243" s="29">
        <v>100</v>
      </c>
      <c r="AW243" s="29">
        <v>0</v>
      </c>
      <c r="AX243" s="29">
        <v>100</v>
      </c>
    </row>
    <row r="244" spans="1:50" x14ac:dyDescent="0.25">
      <c r="A244">
        <v>96</v>
      </c>
      <c r="B244" s="4">
        <v>0.98699006572755299</v>
      </c>
      <c r="C244" s="4">
        <v>5.8545055481391701</v>
      </c>
      <c r="D244" s="4">
        <v>14.541871625924999</v>
      </c>
      <c r="E244" s="4">
        <v>5.01478270023379E-3</v>
      </c>
      <c r="F244" s="5">
        <v>1.30099342724464E-2</v>
      </c>
      <c r="G244" s="5">
        <v>0</v>
      </c>
      <c r="H244" s="4">
        <v>3.5803239624526699</v>
      </c>
      <c r="I244" s="4">
        <v>3.9235521795725501</v>
      </c>
      <c r="J244" s="4">
        <v>-43.120231976645798</v>
      </c>
      <c r="K244" s="4">
        <v>-17.3393634311204</v>
      </c>
      <c r="L244" s="4">
        <v>17.694652814442001</v>
      </c>
      <c r="M244" s="4">
        <v>14.4133117193277</v>
      </c>
      <c r="N244" s="4">
        <v>73.405928114737904</v>
      </c>
      <c r="O244" s="4">
        <v>64.846434581955194</v>
      </c>
      <c r="P244" s="4">
        <v>246410.34847673701</v>
      </c>
      <c r="Q244" s="4">
        <v>223854.47674242401</v>
      </c>
      <c r="R244" s="4">
        <v>783.00912877881501</v>
      </c>
      <c r="S244" s="4">
        <v>0</v>
      </c>
      <c r="T244" s="4">
        <v>0</v>
      </c>
      <c r="U244" s="4">
        <v>8.8205523857396301E-3</v>
      </c>
      <c r="V244" s="4">
        <v>1</v>
      </c>
      <c r="W244" s="4">
        <v>0</v>
      </c>
      <c r="X244" s="4">
        <v>0.31743660461620499</v>
      </c>
      <c r="Y244" s="4">
        <v>0</v>
      </c>
      <c r="Z244" s="5">
        <v>4.1189132720171299E-4</v>
      </c>
      <c r="AA244" s="5">
        <v>2.3255842290641399E-5</v>
      </c>
      <c r="AB244" s="10">
        <v>5.3952496425217298E-3</v>
      </c>
      <c r="AC244" s="10">
        <v>1.0710550468491399E-6</v>
      </c>
      <c r="AD244" s="10">
        <v>7.1784518744315304E-3</v>
      </c>
      <c r="AE244" s="4">
        <v>8.3997414141916096E-2</v>
      </c>
      <c r="AF244" s="4">
        <v>0.17940261535206301</v>
      </c>
      <c r="AG244" s="4">
        <v>0.95485406239372395</v>
      </c>
      <c r="AH244" s="4">
        <v>1</v>
      </c>
      <c r="AI244" s="4">
        <v>1</v>
      </c>
      <c r="AJ244" s="4">
        <v>1</v>
      </c>
      <c r="AK244" s="4">
        <v>1</v>
      </c>
      <c r="AL244" s="4">
        <v>1</v>
      </c>
      <c r="AM244" s="4">
        <v>0</v>
      </c>
      <c r="AN244" s="4">
        <v>0</v>
      </c>
      <c r="AO244" s="4" t="s">
        <v>138</v>
      </c>
      <c r="AP244" s="4">
        <f>-20--15</f>
        <v>-5</v>
      </c>
      <c r="AQ244" s="6">
        <v>177292745.58000001</v>
      </c>
      <c r="AR244" s="4">
        <v>792</v>
      </c>
      <c r="AS244" s="29">
        <v>0</v>
      </c>
      <c r="AT244" s="29">
        <v>0</v>
      </c>
      <c r="AU244" s="29">
        <v>0</v>
      </c>
      <c r="AV244" s="29">
        <v>100</v>
      </c>
      <c r="AW244" s="29">
        <v>0</v>
      </c>
      <c r="AX244" s="29">
        <v>100</v>
      </c>
    </row>
    <row r="245" spans="1:50" x14ac:dyDescent="0.25">
      <c r="A245">
        <v>96</v>
      </c>
      <c r="B245" s="4">
        <v>0.98572923187003003</v>
      </c>
      <c r="C245" s="4">
        <v>9.4990165587952902</v>
      </c>
      <c r="D245" s="4">
        <v>15.842731840226</v>
      </c>
      <c r="E245" s="4">
        <v>8.2829613821240496E-3</v>
      </c>
      <c r="F245" s="5">
        <v>1.4270768129969099E-2</v>
      </c>
      <c r="G245" s="5">
        <v>0</v>
      </c>
      <c r="H245" s="4">
        <v>3.61744677585913</v>
      </c>
      <c r="I245" s="4">
        <v>3.9156549710902802</v>
      </c>
      <c r="J245" s="4">
        <v>-39.3632652566871</v>
      </c>
      <c r="K245" s="4">
        <v>-12.3001793946232</v>
      </c>
      <c r="L245" s="4">
        <v>16.792518310387301</v>
      </c>
      <c r="M245" s="4">
        <v>14.433548022919201</v>
      </c>
      <c r="N245" s="4">
        <v>73.392320780759803</v>
      </c>
      <c r="O245" s="4">
        <v>65.123347097865604</v>
      </c>
      <c r="P245" s="4">
        <v>258485.28038212401</v>
      </c>
      <c r="Q245" s="4">
        <v>236786.015468628</v>
      </c>
      <c r="R245" s="4">
        <v>781.86815718518994</v>
      </c>
      <c r="S245" s="4">
        <v>0</v>
      </c>
      <c r="T245" s="4">
        <v>0</v>
      </c>
      <c r="U245" s="4">
        <v>1.4924267908481999E-2</v>
      </c>
      <c r="V245" s="4">
        <v>1</v>
      </c>
      <c r="W245" s="4">
        <v>0</v>
      </c>
      <c r="X245" s="4">
        <v>0.29590748654484</v>
      </c>
      <c r="Y245" s="4">
        <v>0</v>
      </c>
      <c r="Z245" s="5">
        <v>3.9111743003965202E-4</v>
      </c>
      <c r="AA245" s="5">
        <v>2.2715872842704399E-5</v>
      </c>
      <c r="AB245" s="10">
        <v>5.4402517670147704E-3</v>
      </c>
      <c r="AC245" s="10">
        <v>1.60151147007716E-6</v>
      </c>
      <c r="AD245" s="10">
        <v>8.4150668470061307E-3</v>
      </c>
      <c r="AE245" s="4">
        <v>8.4495253549574795E-2</v>
      </c>
      <c r="AF245" s="4">
        <v>0.171374545846216</v>
      </c>
      <c r="AG245" s="4">
        <v>0.95051224294671699</v>
      </c>
      <c r="AH245" s="4">
        <v>0.99961865299641195</v>
      </c>
      <c r="AI245" s="4">
        <v>1</v>
      </c>
      <c r="AJ245" s="4">
        <v>1</v>
      </c>
      <c r="AK245" s="4">
        <v>1</v>
      </c>
      <c r="AL245" s="4">
        <v>1</v>
      </c>
      <c r="AM245" s="4">
        <v>0</v>
      </c>
      <c r="AN245" s="4">
        <v>0</v>
      </c>
      <c r="AO245" s="4" t="s">
        <v>139</v>
      </c>
      <c r="AP245" s="4">
        <f>-15--10</f>
        <v>-5</v>
      </c>
      <c r="AQ245" s="6">
        <v>305690745.97000003</v>
      </c>
      <c r="AR245" s="4">
        <v>1291</v>
      </c>
      <c r="AS245" s="29">
        <v>0</v>
      </c>
      <c r="AT245" s="29">
        <v>0</v>
      </c>
      <c r="AU245" s="29">
        <v>0</v>
      </c>
      <c r="AV245" s="29">
        <v>100</v>
      </c>
      <c r="AW245" s="29">
        <v>0</v>
      </c>
      <c r="AX245" s="29">
        <v>100</v>
      </c>
    </row>
    <row r="246" spans="1:50" x14ac:dyDescent="0.25">
      <c r="A246">
        <v>96</v>
      </c>
      <c r="B246" s="4">
        <v>0.98472117971022799</v>
      </c>
      <c r="C246" s="4">
        <v>6.7208491605988598</v>
      </c>
      <c r="D246" s="4">
        <v>16.869700027657899</v>
      </c>
      <c r="E246" s="4">
        <v>5.7810224397795403E-3</v>
      </c>
      <c r="F246" s="5">
        <v>1.5278820289771001E-2</v>
      </c>
      <c r="G246" s="5">
        <v>0</v>
      </c>
      <c r="H246" s="4">
        <v>3.6404502397926901</v>
      </c>
      <c r="I246" s="4">
        <v>3.89448718592452</v>
      </c>
      <c r="J246" s="4">
        <v>-37.631538821846299</v>
      </c>
      <c r="K246" s="4">
        <v>-7.3892455028880004</v>
      </c>
      <c r="L246" s="4">
        <v>16.816051785352201</v>
      </c>
      <c r="M246" s="4">
        <v>14.906562227946401</v>
      </c>
      <c r="N246" s="4">
        <v>72.622023635097193</v>
      </c>
      <c r="O246" s="4">
        <v>64.236161867025899</v>
      </c>
      <c r="P246" s="4">
        <v>258086.30823376399</v>
      </c>
      <c r="Q246" s="4">
        <v>236372.09929648199</v>
      </c>
      <c r="R246" s="4">
        <v>782.24757842416</v>
      </c>
      <c r="S246" s="4">
        <v>0</v>
      </c>
      <c r="T246" s="4">
        <v>0</v>
      </c>
      <c r="U246" s="4">
        <v>1.47479752085319E-2</v>
      </c>
      <c r="V246" s="4">
        <v>1</v>
      </c>
      <c r="W246" s="4">
        <v>0</v>
      </c>
      <c r="X246" s="4">
        <v>0.324966557172156</v>
      </c>
      <c r="Y246" s="4">
        <v>0</v>
      </c>
      <c r="Z246" s="5">
        <v>3.8926743548966202E-4</v>
      </c>
      <c r="AA246" s="5">
        <v>3.0600898132440698E-5</v>
      </c>
      <c r="AB246" s="10">
        <v>5.5333090125691802E-3</v>
      </c>
      <c r="AC246" s="10">
        <v>1.6172749074028801E-6</v>
      </c>
      <c r="AD246" s="10">
        <v>9.3240111275313207E-3</v>
      </c>
      <c r="AE246" s="4">
        <v>8.6112890844641202E-2</v>
      </c>
      <c r="AF246" s="4">
        <v>0.175091974948069</v>
      </c>
      <c r="AG246" s="4">
        <v>0.94274904072535204</v>
      </c>
      <c r="AH246" s="4">
        <v>0.99864901039988696</v>
      </c>
      <c r="AI246" s="4">
        <v>1</v>
      </c>
      <c r="AJ246" s="4">
        <v>1</v>
      </c>
      <c r="AK246" s="4">
        <v>1</v>
      </c>
      <c r="AL246" s="4">
        <v>1</v>
      </c>
      <c r="AM246" s="4">
        <v>0</v>
      </c>
      <c r="AN246" s="4">
        <v>0</v>
      </c>
      <c r="AO246" s="4" t="s">
        <v>140</v>
      </c>
      <c r="AP246" s="4">
        <f>-10--5</f>
        <v>-5</v>
      </c>
      <c r="AQ246" s="6">
        <v>423342429.83999997</v>
      </c>
      <c r="AR246" s="4">
        <v>1791</v>
      </c>
      <c r="AS246" s="29">
        <v>0</v>
      </c>
      <c r="AT246" s="29">
        <v>0</v>
      </c>
      <c r="AU246" s="29">
        <v>0</v>
      </c>
      <c r="AV246" s="29">
        <v>100</v>
      </c>
      <c r="AW246" s="29">
        <v>0</v>
      </c>
      <c r="AX246" s="29">
        <v>100</v>
      </c>
    </row>
    <row r="247" spans="1:50" x14ac:dyDescent="0.25">
      <c r="A247">
        <v>96</v>
      </c>
      <c r="B247" s="4">
        <v>0.98380263580989102</v>
      </c>
      <c r="C247" s="4">
        <v>6.0070398698800602</v>
      </c>
      <c r="D247" s="4">
        <v>17.795464161893499</v>
      </c>
      <c r="E247" s="4">
        <v>5.14922196671259E-3</v>
      </c>
      <c r="F247" s="5">
        <v>1.6197364190108102E-2</v>
      </c>
      <c r="G247" s="5">
        <v>0</v>
      </c>
      <c r="H247" s="4">
        <v>3.6764873198822499</v>
      </c>
      <c r="I247" s="4">
        <v>3.8814197979483098</v>
      </c>
      <c r="J247" s="4">
        <v>-34.862466186620601</v>
      </c>
      <c r="K247" s="4">
        <v>-2.32456523933307</v>
      </c>
      <c r="L247" s="4">
        <v>16.5108355508806</v>
      </c>
      <c r="M247" s="4">
        <v>15.1683603368791</v>
      </c>
      <c r="N247" s="4">
        <v>72.819521431869603</v>
      </c>
      <c r="O247" s="4">
        <v>64.488171538730498</v>
      </c>
      <c r="P247" s="4">
        <v>262276.04826708703</v>
      </c>
      <c r="Q247" s="4">
        <v>241441.754253942</v>
      </c>
      <c r="R247" s="4">
        <v>780.74016177553597</v>
      </c>
      <c r="S247" s="4">
        <v>0</v>
      </c>
      <c r="T247" s="4">
        <v>0</v>
      </c>
      <c r="U247" s="4">
        <v>1.38148863881223E-2</v>
      </c>
      <c r="V247" s="4">
        <v>1</v>
      </c>
      <c r="W247" s="4">
        <v>0</v>
      </c>
      <c r="X247" s="4">
        <v>0.34330342261878999</v>
      </c>
      <c r="Y247" s="4">
        <v>0</v>
      </c>
      <c r="Z247" s="5">
        <v>3.7934164894782001E-4</v>
      </c>
      <c r="AA247" s="5">
        <v>3.00729419890606E-5</v>
      </c>
      <c r="AB247" s="10">
        <v>5.4497502046064201E-3</v>
      </c>
      <c r="AC247" s="10">
        <v>2.4215630440125001E-6</v>
      </c>
      <c r="AD247" s="10">
        <v>1.03357632196275E-2</v>
      </c>
      <c r="AE247" s="4">
        <v>8.7565045415768497E-2</v>
      </c>
      <c r="AF247" s="4">
        <v>0.167954134723965</v>
      </c>
      <c r="AG247" s="4">
        <v>0.93979868782242904</v>
      </c>
      <c r="AH247" s="4">
        <v>0.99906862784497996</v>
      </c>
      <c r="AI247" s="4">
        <v>1</v>
      </c>
      <c r="AJ247" s="4">
        <v>1</v>
      </c>
      <c r="AK247" s="4">
        <v>1</v>
      </c>
      <c r="AL247" s="4">
        <v>1</v>
      </c>
      <c r="AM247" s="4">
        <v>0</v>
      </c>
      <c r="AN247" s="4">
        <v>0</v>
      </c>
      <c r="AO247" s="4" t="s">
        <v>67</v>
      </c>
      <c r="AP247" s="4">
        <f>-25-0</f>
        <v>-25</v>
      </c>
      <c r="AQ247" s="6">
        <v>597085458.26999998</v>
      </c>
      <c r="AR247" s="4">
        <v>2473</v>
      </c>
      <c r="AS247" s="29">
        <v>0</v>
      </c>
      <c r="AT247" s="29">
        <v>0</v>
      </c>
      <c r="AU247" s="29">
        <v>0</v>
      </c>
      <c r="AV247" s="29">
        <v>100</v>
      </c>
      <c r="AW247" s="29">
        <v>0</v>
      </c>
      <c r="AX247" s="29">
        <v>100</v>
      </c>
    </row>
    <row r="248" spans="1:50" x14ac:dyDescent="0.25">
      <c r="A248">
        <v>96</v>
      </c>
      <c r="B248" s="4">
        <v>0.982690967710797</v>
      </c>
      <c r="C248" s="4">
        <v>7.66824604523931</v>
      </c>
      <c r="D248" s="4">
        <v>18.903227276974999</v>
      </c>
      <c r="E248" s="4">
        <v>6.6264537317863503E-3</v>
      </c>
      <c r="F248" s="5">
        <v>1.7309032289202799E-2</v>
      </c>
      <c r="G248" s="5">
        <v>0</v>
      </c>
      <c r="H248" s="4">
        <v>3.7124575390301402</v>
      </c>
      <c r="I248" s="4">
        <v>3.8732139351738399</v>
      </c>
      <c r="J248" s="4">
        <v>-31.8491435752054</v>
      </c>
      <c r="K248" s="4">
        <v>2.6698553243783798</v>
      </c>
      <c r="L248" s="4">
        <v>16.240848916028199</v>
      </c>
      <c r="M248" s="4">
        <v>15.444026607729199</v>
      </c>
      <c r="N248" s="4">
        <v>73.373975166422596</v>
      </c>
      <c r="O248" s="4">
        <v>64.964007325755503</v>
      </c>
      <c r="P248" s="4">
        <v>263462.22156613402</v>
      </c>
      <c r="Q248" s="4">
        <v>245595.88736629</v>
      </c>
      <c r="R248" s="4">
        <v>780.56614954732197</v>
      </c>
      <c r="S248" s="4">
        <v>0</v>
      </c>
      <c r="T248" s="4">
        <v>0</v>
      </c>
      <c r="U248" s="4">
        <v>1.5382149044106499E-2</v>
      </c>
      <c r="V248" s="4">
        <v>1</v>
      </c>
      <c r="W248" s="4">
        <v>0</v>
      </c>
      <c r="X248" s="4">
        <v>0.38571928180346998</v>
      </c>
      <c r="Y248" s="4">
        <v>0</v>
      </c>
      <c r="Z248" s="5">
        <v>3.7198756401788898E-4</v>
      </c>
      <c r="AA248" s="5">
        <v>3.0194138841257999E-5</v>
      </c>
      <c r="AB248" s="10">
        <v>5.5095555161602501E-3</v>
      </c>
      <c r="AC248" s="10">
        <v>3.94833947017795E-6</v>
      </c>
      <c r="AD248" s="10">
        <v>1.1393332324961701E-2</v>
      </c>
      <c r="AE248" s="4">
        <v>9.1554582551536798E-2</v>
      </c>
      <c r="AF248" s="4">
        <v>0.14331250304443799</v>
      </c>
      <c r="AG248" s="4">
        <v>0.92147354622515998</v>
      </c>
      <c r="AH248" s="4">
        <v>0.99865687802729997</v>
      </c>
      <c r="AI248" s="4">
        <v>1</v>
      </c>
      <c r="AJ248" s="4">
        <v>1</v>
      </c>
      <c r="AK248" s="4">
        <v>1</v>
      </c>
      <c r="AL248" s="4">
        <v>1</v>
      </c>
      <c r="AM248" s="4">
        <v>0</v>
      </c>
      <c r="AN248" s="4">
        <v>0</v>
      </c>
      <c r="AO248" s="4" t="s">
        <v>141</v>
      </c>
      <c r="AP248" s="4" t="s">
        <v>127</v>
      </c>
      <c r="AQ248" s="6">
        <v>849516174.39999998</v>
      </c>
      <c r="AR248" s="4">
        <v>3459</v>
      </c>
      <c r="AS248" s="29">
        <v>0</v>
      </c>
      <c r="AT248" s="29">
        <v>0</v>
      </c>
      <c r="AU248" s="29">
        <v>0</v>
      </c>
      <c r="AV248" s="29">
        <v>100</v>
      </c>
      <c r="AW248" s="29">
        <v>0</v>
      </c>
      <c r="AX248" s="29">
        <v>100</v>
      </c>
    </row>
    <row r="249" spans="1:50" x14ac:dyDescent="0.25">
      <c r="A249">
        <v>96</v>
      </c>
      <c r="B249" s="4">
        <v>0.98151931896095201</v>
      </c>
      <c r="C249" s="4">
        <v>5.1878896729622896</v>
      </c>
      <c r="D249" s="4">
        <v>20.055935397556901</v>
      </c>
      <c r="E249" s="4">
        <v>4.4295802433242902E-3</v>
      </c>
      <c r="F249" s="5">
        <v>1.84806810390475E-2</v>
      </c>
      <c r="G249" s="5">
        <v>0</v>
      </c>
      <c r="H249" s="4">
        <v>3.73643475973341</v>
      </c>
      <c r="I249" s="4">
        <v>3.8572357360697498</v>
      </c>
      <c r="J249" s="4">
        <v>-30.440154084824801</v>
      </c>
      <c r="K249" s="4">
        <v>7.6123966666084604</v>
      </c>
      <c r="L249" s="4">
        <v>15.7460313373599</v>
      </c>
      <c r="M249" s="4">
        <v>15.774426758243401</v>
      </c>
      <c r="N249" s="4">
        <v>72.586664147810893</v>
      </c>
      <c r="O249" s="4">
        <v>64.150288351947296</v>
      </c>
      <c r="P249" s="4">
        <v>272319.80705944297</v>
      </c>
      <c r="Q249" s="4">
        <v>253431.75347200301</v>
      </c>
      <c r="R249" s="4">
        <v>780.18309108476399</v>
      </c>
      <c r="S249" s="4">
        <v>0</v>
      </c>
      <c r="T249" s="4">
        <v>0</v>
      </c>
      <c r="U249" s="4">
        <v>1.6623778696182302E-2</v>
      </c>
      <c r="V249" s="4">
        <v>1</v>
      </c>
      <c r="W249" s="4">
        <v>0</v>
      </c>
      <c r="X249" s="4">
        <v>0.39382023172934599</v>
      </c>
      <c r="Y249" s="4">
        <v>0</v>
      </c>
      <c r="Z249" s="5">
        <v>3.7491674916959001E-4</v>
      </c>
      <c r="AA249" s="5">
        <v>3.3604170737003703E-5</v>
      </c>
      <c r="AB249" s="10">
        <v>5.5214341064613297E-3</v>
      </c>
      <c r="AC249" s="10">
        <v>4.3796996290059301E-6</v>
      </c>
      <c r="AD249" s="10">
        <v>1.25463318243522E-2</v>
      </c>
      <c r="AE249" s="4">
        <v>9.2410738117594704E-2</v>
      </c>
      <c r="AF249" s="4">
        <v>0.142334364993286</v>
      </c>
      <c r="AG249" s="4">
        <v>0.92124897840890196</v>
      </c>
      <c r="AH249" s="4">
        <v>0.99819708481449099</v>
      </c>
      <c r="AI249" s="4">
        <v>1</v>
      </c>
      <c r="AJ249" s="4">
        <v>1</v>
      </c>
      <c r="AK249" s="4">
        <v>1</v>
      </c>
      <c r="AL249" s="4">
        <v>1</v>
      </c>
      <c r="AM249" s="4">
        <v>0</v>
      </c>
      <c r="AN249" s="4">
        <v>0</v>
      </c>
      <c r="AO249" s="4" t="s">
        <v>142</v>
      </c>
      <c r="AP249" s="4">
        <v>43230</v>
      </c>
      <c r="AQ249" s="6">
        <v>1127011007.6900001</v>
      </c>
      <c r="AR249" s="4">
        <v>4447</v>
      </c>
      <c r="AS249" s="29">
        <v>0</v>
      </c>
      <c r="AT249" s="29">
        <v>0</v>
      </c>
      <c r="AU249" s="29">
        <v>0</v>
      </c>
      <c r="AV249" s="29">
        <v>100</v>
      </c>
      <c r="AW249" s="29">
        <v>0</v>
      </c>
      <c r="AX249" s="29">
        <v>100</v>
      </c>
    </row>
    <row r="250" spans="1:50" x14ac:dyDescent="0.25">
      <c r="A250">
        <v>96</v>
      </c>
      <c r="B250" s="4">
        <v>0.98063430870482904</v>
      </c>
      <c r="C250" s="4">
        <v>9.2592249386638592</v>
      </c>
      <c r="D250" s="4">
        <v>20.9166601675532</v>
      </c>
      <c r="E250" s="4">
        <v>8.0642555339337403E-3</v>
      </c>
      <c r="F250" s="5">
        <v>1.936569129517E-2</v>
      </c>
      <c r="G250" s="5">
        <v>0</v>
      </c>
      <c r="H250" s="4">
        <v>3.7850913212614201</v>
      </c>
      <c r="I250" s="4">
        <v>3.85523329268824</v>
      </c>
      <c r="J250" s="4">
        <v>-26.6785913000232</v>
      </c>
      <c r="K250" s="4">
        <v>12.518270803330701</v>
      </c>
      <c r="L250" s="4">
        <v>15.986106697423599</v>
      </c>
      <c r="M250" s="4">
        <v>15.7468533021078</v>
      </c>
      <c r="N250" s="4">
        <v>72.445560678021906</v>
      </c>
      <c r="O250" s="4">
        <v>63.9807999470383</v>
      </c>
      <c r="P250" s="4">
        <v>268969.86370102502</v>
      </c>
      <c r="Q250" s="4">
        <v>249685.96078038501</v>
      </c>
      <c r="R250" s="4">
        <v>779.82141273408899</v>
      </c>
      <c r="S250" s="4">
        <v>0</v>
      </c>
      <c r="T250" s="4">
        <v>0</v>
      </c>
      <c r="U250" s="4">
        <v>1.40044714620782E-2</v>
      </c>
      <c r="V250" s="4">
        <v>1</v>
      </c>
      <c r="W250" s="4">
        <v>0</v>
      </c>
      <c r="X250" s="4">
        <v>0.45178779799859897</v>
      </c>
      <c r="Y250" s="4">
        <v>0</v>
      </c>
      <c r="Z250" s="5">
        <v>3.7458939284810598E-4</v>
      </c>
      <c r="AA250" s="5">
        <v>3.3811884637156299E-5</v>
      </c>
      <c r="AB250" s="10">
        <v>5.4855342684645599E-3</v>
      </c>
      <c r="AC250" s="10">
        <v>5.5183110871477702E-6</v>
      </c>
      <c r="AD250" s="10">
        <v>1.3466222941655E-2</v>
      </c>
      <c r="AE250" s="4">
        <v>9.3861309456946707E-2</v>
      </c>
      <c r="AF250" s="4">
        <v>0.13671067883270899</v>
      </c>
      <c r="AG250" s="4">
        <v>0.92028953750036302</v>
      </c>
      <c r="AH250" s="4">
        <v>0.99810050516336002</v>
      </c>
      <c r="AI250" s="4">
        <v>1</v>
      </c>
      <c r="AJ250" s="4">
        <v>1</v>
      </c>
      <c r="AK250" s="4">
        <v>1</v>
      </c>
      <c r="AL250" s="4">
        <v>1</v>
      </c>
      <c r="AM250" s="4">
        <v>0</v>
      </c>
      <c r="AN250" s="4">
        <v>0</v>
      </c>
      <c r="AO250" s="4" t="s">
        <v>143</v>
      </c>
      <c r="AP250" s="4">
        <v>43388</v>
      </c>
      <c r="AQ250" s="6">
        <v>1308604120.45</v>
      </c>
      <c r="AR250" s="4">
        <v>5241</v>
      </c>
      <c r="AS250" s="29">
        <v>0</v>
      </c>
      <c r="AT250" s="29">
        <v>0</v>
      </c>
      <c r="AU250" s="29">
        <v>0</v>
      </c>
      <c r="AV250" s="29">
        <v>100</v>
      </c>
      <c r="AW250" s="29">
        <v>0</v>
      </c>
      <c r="AX250" s="29">
        <v>100</v>
      </c>
    </row>
    <row r="251" spans="1:50" x14ac:dyDescent="0.25">
      <c r="A251">
        <v>96</v>
      </c>
      <c r="B251" s="4">
        <v>0.97935343103497097</v>
      </c>
      <c r="C251" s="4">
        <v>8.4923336479144105</v>
      </c>
      <c r="D251" s="4">
        <v>22.1473518081931</v>
      </c>
      <c r="E251" s="4">
        <v>7.3683390293436098E-3</v>
      </c>
      <c r="F251" s="5">
        <v>2.0646568965028599E-2</v>
      </c>
      <c r="G251" s="5">
        <v>0</v>
      </c>
      <c r="H251" s="4">
        <v>3.8252954144363902</v>
      </c>
      <c r="I251" s="4">
        <v>3.8452868481930098</v>
      </c>
      <c r="J251" s="4">
        <v>-24.068465972630001</v>
      </c>
      <c r="K251" s="4">
        <v>17.603311730778401</v>
      </c>
      <c r="L251" s="4">
        <v>15.9776359144299</v>
      </c>
      <c r="M251" s="4">
        <v>15.9092501339144</v>
      </c>
      <c r="N251" s="4">
        <v>71.995071901922998</v>
      </c>
      <c r="O251" s="4">
        <v>63.560228228505601</v>
      </c>
      <c r="P251" s="4">
        <v>267914.30765701499</v>
      </c>
      <c r="Q251" s="4">
        <v>249808.78122486899</v>
      </c>
      <c r="R251" s="4">
        <v>779.43355898272705</v>
      </c>
      <c r="S251" s="4">
        <v>0</v>
      </c>
      <c r="T251" s="4">
        <v>0</v>
      </c>
      <c r="U251" s="4">
        <v>1.45812608616136E-2</v>
      </c>
      <c r="V251" s="4">
        <v>1</v>
      </c>
      <c r="W251" s="4">
        <v>0</v>
      </c>
      <c r="X251" s="4">
        <v>0.483930920199999</v>
      </c>
      <c r="Y251" s="4">
        <v>0</v>
      </c>
      <c r="Z251" s="5">
        <v>3.75578483518931E-4</v>
      </c>
      <c r="AA251" s="5">
        <v>3.55951243540409E-5</v>
      </c>
      <c r="AB251" s="10">
        <v>5.52767125366625E-3</v>
      </c>
      <c r="AC251" s="10">
        <v>8.7688242308423893E-6</v>
      </c>
      <c r="AD251" s="10">
        <v>1.4698940694984E-2</v>
      </c>
      <c r="AE251" s="4">
        <v>9.4787021834163904E-2</v>
      </c>
      <c r="AF251" s="4">
        <v>0.149438066720707</v>
      </c>
      <c r="AG251" s="4">
        <v>0.90176977393444102</v>
      </c>
      <c r="AH251" s="4">
        <v>0.99512922044611796</v>
      </c>
      <c r="AI251" s="4">
        <v>1</v>
      </c>
      <c r="AJ251" s="4">
        <v>1</v>
      </c>
      <c r="AK251" s="4">
        <v>1</v>
      </c>
      <c r="AL251" s="4">
        <v>1</v>
      </c>
      <c r="AM251" s="4">
        <v>0</v>
      </c>
      <c r="AN251" s="4">
        <v>0</v>
      </c>
      <c r="AO251" s="4" t="s">
        <v>144</v>
      </c>
      <c r="AP251" s="4" t="s">
        <v>128</v>
      </c>
      <c r="AQ251" s="6">
        <v>1478618176.0699999</v>
      </c>
      <c r="AR251" s="4">
        <v>5919</v>
      </c>
      <c r="AS251" s="29">
        <v>0</v>
      </c>
      <c r="AT251" s="29">
        <v>0</v>
      </c>
      <c r="AU251" s="29">
        <v>0</v>
      </c>
      <c r="AV251" s="29">
        <v>100</v>
      </c>
      <c r="AW251" s="29">
        <v>0</v>
      </c>
      <c r="AX251" s="29">
        <v>100</v>
      </c>
    </row>
    <row r="252" spans="1:50" x14ac:dyDescent="0.25">
      <c r="A252">
        <v>96</v>
      </c>
      <c r="B252" s="4">
        <v>0.97811518065639402</v>
      </c>
      <c r="C252" s="4">
        <v>11.616268866587699</v>
      </c>
      <c r="D252" s="4">
        <v>23.3203729080378</v>
      </c>
      <c r="E252" s="4">
        <v>1.02374263244298E-2</v>
      </c>
      <c r="F252" s="5">
        <v>2.18848193436058E-2</v>
      </c>
      <c r="G252" s="5">
        <v>0</v>
      </c>
      <c r="H252" s="4">
        <v>3.8564818734893</v>
      </c>
      <c r="I252" s="4">
        <v>3.8318560284955998</v>
      </c>
      <c r="J252" s="4">
        <v>-21.854620594561499</v>
      </c>
      <c r="K252" s="4">
        <v>22.556011012791899</v>
      </c>
      <c r="L252" s="4">
        <v>15.6646940279884</v>
      </c>
      <c r="M252" s="4">
        <v>16.1756838008728</v>
      </c>
      <c r="N252" s="4">
        <v>72.607452973492499</v>
      </c>
      <c r="O252" s="4">
        <v>64.016411011036396</v>
      </c>
      <c r="P252" s="4">
        <v>274373.39140692097</v>
      </c>
      <c r="Q252" s="4">
        <v>254780.03800027</v>
      </c>
      <c r="R252" s="4">
        <v>778.88991594712195</v>
      </c>
      <c r="S252" s="4">
        <v>0</v>
      </c>
      <c r="T252" s="4">
        <v>0</v>
      </c>
      <c r="U252" s="4">
        <v>1.8009694971981599E-2</v>
      </c>
      <c r="V252" s="4">
        <v>1</v>
      </c>
      <c r="W252" s="4">
        <v>0</v>
      </c>
      <c r="X252" s="4">
        <v>0.500779038672443</v>
      </c>
      <c r="Y252" s="4">
        <v>0</v>
      </c>
      <c r="Z252" s="5">
        <v>3.7721525594701898E-4</v>
      </c>
      <c r="AA252" s="5">
        <v>3.9087835093344099E-5</v>
      </c>
      <c r="AB252" s="10">
        <v>5.3882114092582301E-3</v>
      </c>
      <c r="AC252" s="10">
        <v>1.2114420645351401E-5</v>
      </c>
      <c r="AD252" s="10">
        <v>1.6068175871651099E-2</v>
      </c>
      <c r="AE252" s="4">
        <v>9.6094529217764901E-2</v>
      </c>
      <c r="AF252" s="4">
        <v>0.13227824482811201</v>
      </c>
      <c r="AG252" s="4">
        <v>0.90082628888107796</v>
      </c>
      <c r="AH252" s="4">
        <v>0.99413149109806997</v>
      </c>
      <c r="AI252" s="4">
        <v>1</v>
      </c>
      <c r="AJ252" s="4">
        <v>1</v>
      </c>
      <c r="AK252" s="4">
        <v>1</v>
      </c>
      <c r="AL252" s="4">
        <v>1</v>
      </c>
      <c r="AM252" s="4">
        <v>0</v>
      </c>
      <c r="AN252" s="4">
        <v>0</v>
      </c>
      <c r="AO252" s="4" t="s">
        <v>68</v>
      </c>
      <c r="AP252" s="4" t="s">
        <v>69</v>
      </c>
      <c r="AQ252" s="6">
        <v>1884353161.05</v>
      </c>
      <c r="AR252" s="4">
        <v>7396</v>
      </c>
      <c r="AS252" s="29">
        <v>0</v>
      </c>
      <c r="AT252" s="29">
        <v>0</v>
      </c>
      <c r="AU252" s="29">
        <v>0</v>
      </c>
      <c r="AV252" s="29">
        <v>100</v>
      </c>
      <c r="AW252" s="29">
        <v>0</v>
      </c>
      <c r="AX252" s="29">
        <v>100</v>
      </c>
    </row>
    <row r="253" spans="1:50" x14ac:dyDescent="0.25">
      <c r="A253">
        <v>96</v>
      </c>
      <c r="B253" s="4">
        <v>0.97693584321486604</v>
      </c>
      <c r="C253" s="4">
        <v>9.7716999331531404</v>
      </c>
      <c r="D253" s="4">
        <v>24.4224991344934</v>
      </c>
      <c r="E253" s="4">
        <v>8.5323131104548307E-3</v>
      </c>
      <c r="F253" s="5">
        <v>2.3064156785133801E-2</v>
      </c>
      <c r="G253" s="5">
        <v>0</v>
      </c>
      <c r="H253" s="4">
        <v>3.9114645525938401</v>
      </c>
      <c r="I253" s="4">
        <v>3.8385435827348902</v>
      </c>
      <c r="J253" s="4">
        <v>-18.864562096338201</v>
      </c>
      <c r="K253" s="4">
        <v>27.554518772975999</v>
      </c>
      <c r="L253" s="4">
        <v>16.0808237394474</v>
      </c>
      <c r="M253" s="4">
        <v>16.272299254663299</v>
      </c>
      <c r="N253" s="4">
        <v>72.050502211590199</v>
      </c>
      <c r="O253" s="4">
        <v>63.567139221151102</v>
      </c>
      <c r="P253" s="4">
        <v>266834.36585523002</v>
      </c>
      <c r="Q253" s="4">
        <v>248169.27403453301</v>
      </c>
      <c r="R253" s="4">
        <v>779.20138452271794</v>
      </c>
      <c r="S253" s="4">
        <v>0</v>
      </c>
      <c r="T253" s="4">
        <v>0</v>
      </c>
      <c r="U253" s="4">
        <v>1.98110240347227E-2</v>
      </c>
      <c r="V253" s="4">
        <v>1</v>
      </c>
      <c r="W253" s="4">
        <v>0</v>
      </c>
      <c r="X253" s="4">
        <v>0.53296063180838704</v>
      </c>
      <c r="Y253" s="4">
        <v>0</v>
      </c>
      <c r="Z253" s="5">
        <v>3.7737749066794597E-4</v>
      </c>
      <c r="AA253" s="5">
        <v>3.59880022843139E-5</v>
      </c>
      <c r="AB253" s="10">
        <v>5.4125867005767802E-3</v>
      </c>
      <c r="AC253" s="10">
        <v>1.3171773471773E-5</v>
      </c>
      <c r="AD253" s="10">
        <v>1.7225018410485401E-2</v>
      </c>
      <c r="AE253" s="4">
        <v>9.62364500563372E-2</v>
      </c>
      <c r="AF253" s="4">
        <v>0.132739062734614</v>
      </c>
      <c r="AG253" s="4">
        <v>0.90156881746092099</v>
      </c>
      <c r="AH253" s="4">
        <v>0.99221170121476299</v>
      </c>
      <c r="AI253" s="4">
        <v>1</v>
      </c>
      <c r="AJ253" s="4">
        <v>1</v>
      </c>
      <c r="AK253" s="4">
        <v>1</v>
      </c>
      <c r="AL253" s="4">
        <v>1</v>
      </c>
      <c r="AM253" s="4">
        <v>0</v>
      </c>
      <c r="AN253" s="4">
        <v>0</v>
      </c>
      <c r="AO253" s="4" t="s">
        <v>145</v>
      </c>
      <c r="AP253" s="4" t="s">
        <v>129</v>
      </c>
      <c r="AQ253" s="6">
        <v>2040944109.6600001</v>
      </c>
      <c r="AR253" s="4">
        <v>8224</v>
      </c>
      <c r="AS253" s="29">
        <v>0</v>
      </c>
      <c r="AT253" s="29">
        <v>0</v>
      </c>
      <c r="AU253" s="29">
        <v>0</v>
      </c>
      <c r="AV253" s="29">
        <v>100</v>
      </c>
      <c r="AW253" s="29">
        <v>0</v>
      </c>
      <c r="AX253" s="29">
        <v>100</v>
      </c>
    </row>
    <row r="254" spans="1:50" x14ac:dyDescent="0.25">
      <c r="A254">
        <v>96</v>
      </c>
      <c r="B254" s="4">
        <v>0.97536393814486899</v>
      </c>
      <c r="C254" s="4">
        <v>10.026926775989701</v>
      </c>
      <c r="D254" s="4">
        <v>25.868918847610299</v>
      </c>
      <c r="E254" s="4">
        <v>8.7663285967361903E-3</v>
      </c>
      <c r="F254" s="5">
        <v>2.4636061855130099E-2</v>
      </c>
      <c r="G254" s="5">
        <v>0</v>
      </c>
      <c r="H254" s="4">
        <v>3.9626482403850298</v>
      </c>
      <c r="I254" s="4">
        <v>3.8393567110073898</v>
      </c>
      <c r="J254" s="4">
        <v>-16.499570929984198</v>
      </c>
      <c r="K254" s="4">
        <v>32.587626652292997</v>
      </c>
      <c r="L254" s="4">
        <v>15.8905883149234</v>
      </c>
      <c r="M254" s="4">
        <v>16.593071046424601</v>
      </c>
      <c r="N254" s="4">
        <v>72.893214630954304</v>
      </c>
      <c r="O254" s="4">
        <v>64.220680941000097</v>
      </c>
      <c r="P254" s="4">
        <v>269250.453966467</v>
      </c>
      <c r="Q254" s="4">
        <v>251193.42665059699</v>
      </c>
      <c r="R254" s="4">
        <v>778.52508789601802</v>
      </c>
      <c r="S254" s="4">
        <v>0</v>
      </c>
      <c r="T254" s="4">
        <v>0</v>
      </c>
      <c r="U254" s="4">
        <v>2.5695323388919201E-2</v>
      </c>
      <c r="V254" s="4">
        <v>1</v>
      </c>
      <c r="W254" s="4">
        <v>0</v>
      </c>
      <c r="X254" s="4">
        <v>0.529337007658647</v>
      </c>
      <c r="Y254" s="4">
        <v>0</v>
      </c>
      <c r="Z254" s="5">
        <v>3.77681787407123E-4</v>
      </c>
      <c r="AA254" s="5">
        <v>3.8758691726128597E-5</v>
      </c>
      <c r="AB254" s="10">
        <v>5.4968982630936997E-3</v>
      </c>
      <c r="AC254" s="10">
        <v>1.8193869681185899E-5</v>
      </c>
      <c r="AD254" s="10">
        <v>1.8704514668613802E-2</v>
      </c>
      <c r="AE254" s="4">
        <v>9.8566398067991903E-2</v>
      </c>
      <c r="AF254" s="4">
        <v>0.119109063247976</v>
      </c>
      <c r="AG254" s="4">
        <v>0.88412035225361396</v>
      </c>
      <c r="AH254" s="4">
        <v>0.991976453179788</v>
      </c>
      <c r="AI254" s="4">
        <v>1</v>
      </c>
      <c r="AJ254" s="4">
        <v>1</v>
      </c>
      <c r="AK254" s="4">
        <v>1</v>
      </c>
      <c r="AL254" s="4">
        <v>1</v>
      </c>
      <c r="AM254" s="4">
        <v>0</v>
      </c>
      <c r="AN254" s="4">
        <v>0</v>
      </c>
      <c r="AO254" s="4" t="s">
        <v>146</v>
      </c>
      <c r="AP254" s="4" t="s">
        <v>130</v>
      </c>
      <c r="AQ254" s="6">
        <v>2396887677.0999999</v>
      </c>
      <c r="AR254" s="4">
        <v>9542</v>
      </c>
      <c r="AS254" s="29">
        <v>0</v>
      </c>
      <c r="AT254" s="29">
        <v>0</v>
      </c>
      <c r="AU254" s="29">
        <v>0</v>
      </c>
      <c r="AV254" s="29">
        <v>100</v>
      </c>
      <c r="AW254" s="29">
        <v>0</v>
      </c>
      <c r="AX254" s="29">
        <v>100</v>
      </c>
    </row>
    <row r="255" spans="1:50" x14ac:dyDescent="0.25">
      <c r="A255">
        <v>96</v>
      </c>
      <c r="B255" s="4">
        <v>0.973866069098409</v>
      </c>
      <c r="C255" s="4">
        <v>11.6881262930467</v>
      </c>
      <c r="D255" s="4">
        <v>27.2235585957973</v>
      </c>
      <c r="E255" s="4">
        <v>1.0304509095682901E-2</v>
      </c>
      <c r="F255" s="5">
        <v>2.6133930901590101E-2</v>
      </c>
      <c r="G255" s="5">
        <v>0</v>
      </c>
      <c r="H255" s="4">
        <v>4.0148741830410497</v>
      </c>
      <c r="I255" s="4">
        <v>3.84459466572542</v>
      </c>
      <c r="J255" s="4">
        <v>-14.544859297151699</v>
      </c>
      <c r="K255" s="4">
        <v>37.551413571491402</v>
      </c>
      <c r="L255" s="4">
        <v>15.808146914406899</v>
      </c>
      <c r="M255" s="4">
        <v>16.890177231098502</v>
      </c>
      <c r="N255" s="4">
        <v>73.146633646114594</v>
      </c>
      <c r="O255" s="4">
        <v>64.244907304550793</v>
      </c>
      <c r="P255" s="4">
        <v>270669.79932689399</v>
      </c>
      <c r="Q255" s="4">
        <v>252526.553241666</v>
      </c>
      <c r="R255" s="4">
        <v>778.38634987006299</v>
      </c>
      <c r="S255" s="4">
        <v>0</v>
      </c>
      <c r="T255" s="4">
        <v>0</v>
      </c>
      <c r="U255" s="4">
        <v>3.3636106503564703E-2</v>
      </c>
      <c r="V255" s="4">
        <v>1</v>
      </c>
      <c r="W255" s="4">
        <v>0</v>
      </c>
      <c r="X255" s="4">
        <v>0.535525641774376</v>
      </c>
      <c r="Y255" s="4">
        <v>0</v>
      </c>
      <c r="Z255" s="5">
        <v>3.7757653900631502E-4</v>
      </c>
      <c r="AA255" s="5">
        <v>4.0956321940136197E-5</v>
      </c>
      <c r="AB255" s="10">
        <v>5.5316218083366299E-3</v>
      </c>
      <c r="AC255" s="10">
        <v>2.45661080658398E-5</v>
      </c>
      <c r="AD255" s="10">
        <v>2.0159195381947801E-2</v>
      </c>
      <c r="AE255" s="4">
        <v>0.101571217596313</v>
      </c>
      <c r="AF255" s="4">
        <v>0.104014655891461</v>
      </c>
      <c r="AG255" s="4">
        <v>0.87160504264216299</v>
      </c>
      <c r="AH255" s="4">
        <v>0.98595231868864897</v>
      </c>
      <c r="AI255" s="4">
        <v>1</v>
      </c>
      <c r="AJ255" s="4">
        <v>1</v>
      </c>
      <c r="AK255" s="4">
        <v>1</v>
      </c>
      <c r="AL255" s="4">
        <v>1</v>
      </c>
      <c r="AM255" s="4">
        <v>0</v>
      </c>
      <c r="AN255" s="4">
        <v>0</v>
      </c>
      <c r="AO255" s="4" t="s">
        <v>147</v>
      </c>
      <c r="AP255" s="4" t="s">
        <v>131</v>
      </c>
      <c r="AQ255" s="6">
        <v>2727286775.0100002</v>
      </c>
      <c r="AR255" s="4">
        <v>10800</v>
      </c>
      <c r="AS255" s="29">
        <v>0</v>
      </c>
      <c r="AT255" s="29">
        <v>0</v>
      </c>
      <c r="AU255" s="29">
        <v>0</v>
      </c>
      <c r="AV255" s="29">
        <v>100</v>
      </c>
      <c r="AW255" s="29">
        <v>0</v>
      </c>
      <c r="AX255" s="29">
        <v>100</v>
      </c>
    </row>
    <row r="256" spans="1:50" x14ac:dyDescent="0.25">
      <c r="A256">
        <v>96</v>
      </c>
      <c r="B256" s="4">
        <v>0.97216739833647803</v>
      </c>
      <c r="C256" s="4">
        <v>13.5688578692665</v>
      </c>
      <c r="D256" s="4">
        <v>28.7323177764357</v>
      </c>
      <c r="E256" s="4">
        <v>1.20783089859884E-2</v>
      </c>
      <c r="F256" s="5">
        <v>2.7832601663521001E-2</v>
      </c>
      <c r="G256" s="5">
        <v>0</v>
      </c>
      <c r="H256" s="4">
        <v>4.0553626477317897</v>
      </c>
      <c r="I256" s="4">
        <v>3.8412618377904999</v>
      </c>
      <c r="J256" s="4">
        <v>-12.7563857676769</v>
      </c>
      <c r="K256" s="4">
        <v>42.511867495518203</v>
      </c>
      <c r="L256" s="4">
        <v>15.720369598267</v>
      </c>
      <c r="M256" s="4">
        <v>17.045142007155299</v>
      </c>
      <c r="N256" s="4">
        <v>72.194558732534702</v>
      </c>
      <c r="O256" s="4">
        <v>63.352150449952802</v>
      </c>
      <c r="P256" s="4">
        <v>270821.37744101899</v>
      </c>
      <c r="Q256" s="4">
        <v>253935.329281969</v>
      </c>
      <c r="R256" s="4">
        <v>777.89628129879395</v>
      </c>
      <c r="S256" s="4">
        <v>0</v>
      </c>
      <c r="T256" s="4">
        <v>0</v>
      </c>
      <c r="U256" s="4">
        <v>4.5966592495431197E-2</v>
      </c>
      <c r="V256" s="4">
        <v>1</v>
      </c>
      <c r="W256" s="4">
        <v>0</v>
      </c>
      <c r="X256" s="4">
        <v>0.558563767113325</v>
      </c>
      <c r="Y256" s="4">
        <v>0</v>
      </c>
      <c r="Z256" s="5">
        <v>3.79612657197006E-4</v>
      </c>
      <c r="AA256" s="5">
        <v>4.1854128251353503E-5</v>
      </c>
      <c r="AB256" s="10">
        <v>5.6194087117279103E-3</v>
      </c>
      <c r="AC256" s="10">
        <v>2.9244381440314399E-5</v>
      </c>
      <c r="AD256" s="10">
        <v>2.1762467036181999E-2</v>
      </c>
      <c r="AE256" s="4">
        <v>0.102817177211789</v>
      </c>
      <c r="AF256" s="4">
        <v>0.102659473418845</v>
      </c>
      <c r="AG256" s="4">
        <v>0.86404558320351998</v>
      </c>
      <c r="AH256" s="4">
        <v>0.98474592968353503</v>
      </c>
      <c r="AI256" s="4">
        <v>1</v>
      </c>
      <c r="AJ256" s="4">
        <v>1</v>
      </c>
      <c r="AK256" s="4">
        <v>1</v>
      </c>
      <c r="AL256" s="4">
        <v>1</v>
      </c>
      <c r="AM256" s="4">
        <v>0</v>
      </c>
      <c r="AN256" s="4">
        <v>0</v>
      </c>
      <c r="AO256" s="4" t="s">
        <v>148</v>
      </c>
      <c r="AP256" s="4" t="s">
        <v>132</v>
      </c>
      <c r="AQ256" s="6">
        <v>2857534260.4099998</v>
      </c>
      <c r="AR256" s="4">
        <v>11253</v>
      </c>
      <c r="AS256" s="29">
        <v>0</v>
      </c>
      <c r="AT256" s="29">
        <v>0</v>
      </c>
      <c r="AU256" s="29">
        <v>0</v>
      </c>
      <c r="AV256" s="29">
        <v>100</v>
      </c>
      <c r="AW256" s="29">
        <v>0</v>
      </c>
      <c r="AX256" s="29">
        <v>100</v>
      </c>
    </row>
    <row r="257" spans="1:50" x14ac:dyDescent="0.25">
      <c r="A257">
        <v>96</v>
      </c>
      <c r="B257" s="4">
        <v>0.970574826295732</v>
      </c>
      <c r="C257" s="4">
        <v>16.018002057540201</v>
      </c>
      <c r="D257" s="4">
        <v>30.120743672920501</v>
      </c>
      <c r="E257" s="4">
        <v>1.44420091455281E-2</v>
      </c>
      <c r="F257" s="5">
        <v>2.9425173704267601E-2</v>
      </c>
      <c r="G257" s="5">
        <v>0</v>
      </c>
      <c r="H257" s="4">
        <v>4.09362945160919</v>
      </c>
      <c r="I257" s="4">
        <v>3.82941288926623</v>
      </c>
      <c r="J257" s="4">
        <v>-10.3487727351764</v>
      </c>
      <c r="K257" s="4">
        <v>47.489156243800899</v>
      </c>
      <c r="L257" s="4">
        <v>15.656055284312201</v>
      </c>
      <c r="M257" s="4">
        <v>17.3423322500166</v>
      </c>
      <c r="N257" s="4">
        <v>73.236090633044498</v>
      </c>
      <c r="O257" s="4">
        <v>64.199364262201399</v>
      </c>
      <c r="P257" s="4">
        <v>273879.29846474202</v>
      </c>
      <c r="Q257" s="4">
        <v>254997.116048792</v>
      </c>
      <c r="R257" s="4">
        <v>777.97468041714706</v>
      </c>
      <c r="S257" s="4">
        <v>0</v>
      </c>
      <c r="T257" s="4">
        <v>0</v>
      </c>
      <c r="U257" s="4">
        <v>5.5150252730766701E-2</v>
      </c>
      <c r="V257" s="4">
        <v>1</v>
      </c>
      <c r="W257" s="4">
        <v>0</v>
      </c>
      <c r="X257" s="4">
        <v>0.57120085941077403</v>
      </c>
      <c r="Y257" s="4">
        <v>0</v>
      </c>
      <c r="Z257" s="5">
        <v>3.7790230564026798E-4</v>
      </c>
      <c r="AA257" s="5">
        <v>4.48949014015347E-5</v>
      </c>
      <c r="AB257" s="10">
        <v>5.5945572851317203E-3</v>
      </c>
      <c r="AC257" s="10">
        <v>3.4927014855804798E-5</v>
      </c>
      <c r="AD257" s="10">
        <v>2.33728772850989E-2</v>
      </c>
      <c r="AE257" s="4">
        <v>0.104987452846857</v>
      </c>
      <c r="AF257" s="4">
        <v>9.1494235202274801E-2</v>
      </c>
      <c r="AG257" s="4">
        <v>0.86242901376550596</v>
      </c>
      <c r="AH257" s="4">
        <v>0.98075138103849702</v>
      </c>
      <c r="AI257" s="4">
        <v>1</v>
      </c>
      <c r="AJ257" s="4">
        <v>1</v>
      </c>
      <c r="AK257" s="4">
        <v>1</v>
      </c>
      <c r="AL257" s="4">
        <v>1</v>
      </c>
      <c r="AM257" s="4">
        <v>0</v>
      </c>
      <c r="AN257" s="4">
        <v>0</v>
      </c>
      <c r="AO257" s="4" t="s">
        <v>70</v>
      </c>
      <c r="AP257" s="4" t="s">
        <v>71</v>
      </c>
      <c r="AQ257" s="6">
        <v>3041605600.23</v>
      </c>
      <c r="AR257" s="4">
        <v>11928</v>
      </c>
      <c r="AS257" s="29">
        <v>0</v>
      </c>
      <c r="AT257" s="29">
        <v>0</v>
      </c>
      <c r="AU257" s="29">
        <v>0</v>
      </c>
      <c r="AV257" s="29">
        <v>100</v>
      </c>
      <c r="AW257" s="29">
        <v>0</v>
      </c>
      <c r="AX257" s="29">
        <v>100</v>
      </c>
    </row>
    <row r="258" spans="1:50" x14ac:dyDescent="0.25">
      <c r="A258">
        <v>96</v>
      </c>
      <c r="B258" s="4">
        <v>0.96909401327854405</v>
      </c>
      <c r="C258" s="4">
        <v>16.062409202218898</v>
      </c>
      <c r="D258" s="4">
        <v>31.3894457084374</v>
      </c>
      <c r="E258" s="4">
        <v>1.44854474494856E-2</v>
      </c>
      <c r="F258" s="5">
        <v>3.0905986721455399E-2</v>
      </c>
      <c r="G258" s="5">
        <v>0</v>
      </c>
      <c r="H258" s="4">
        <v>4.1349868716035401</v>
      </c>
      <c r="I258" s="4">
        <v>3.8261698345749902</v>
      </c>
      <c r="J258" s="4">
        <v>-8.1028812843889497</v>
      </c>
      <c r="K258" s="4">
        <v>52.483275978666299</v>
      </c>
      <c r="L258" s="4">
        <v>15.9284140201739</v>
      </c>
      <c r="M258" s="4">
        <v>17.686651313834499</v>
      </c>
      <c r="N258" s="4">
        <v>72.844392331978199</v>
      </c>
      <c r="O258" s="4">
        <v>63.6002414497217</v>
      </c>
      <c r="P258" s="4">
        <v>268045.87879440602</v>
      </c>
      <c r="Q258" s="4">
        <v>250642.32809836001</v>
      </c>
      <c r="R258" s="4">
        <v>777.69731987560795</v>
      </c>
      <c r="S258" s="4">
        <v>0</v>
      </c>
      <c r="T258" s="4">
        <v>0</v>
      </c>
      <c r="U258" s="4">
        <v>6.8677806200115807E-2</v>
      </c>
      <c r="V258" s="4">
        <v>1</v>
      </c>
      <c r="W258" s="4">
        <v>0</v>
      </c>
      <c r="X258" s="4">
        <v>0.60413467162013801</v>
      </c>
      <c r="Y258" s="4">
        <v>0</v>
      </c>
      <c r="Z258" s="5">
        <v>3.7893569592533998E-4</v>
      </c>
      <c r="AA258" s="5">
        <v>4.8307602729229201E-5</v>
      </c>
      <c r="AB258" s="10">
        <v>5.6808045498127398E-3</v>
      </c>
      <c r="AC258" s="10">
        <v>5.1178398174951598E-5</v>
      </c>
      <c r="AD258" s="10">
        <v>2.4746745423072002E-2</v>
      </c>
      <c r="AE258" s="4">
        <v>0.10883449799017</v>
      </c>
      <c r="AF258" s="4">
        <v>8.3347974007922099E-2</v>
      </c>
      <c r="AG258" s="4">
        <v>0.84213589992822402</v>
      </c>
      <c r="AH258" s="4">
        <v>0.97000498619487796</v>
      </c>
      <c r="AI258" s="4">
        <v>1</v>
      </c>
      <c r="AJ258" s="4">
        <v>1</v>
      </c>
      <c r="AK258" s="4">
        <v>1</v>
      </c>
      <c r="AL258" s="4">
        <v>1</v>
      </c>
      <c r="AM258" s="4">
        <v>0</v>
      </c>
      <c r="AN258" s="4">
        <v>0</v>
      </c>
      <c r="AO258" s="4" t="s">
        <v>149</v>
      </c>
      <c r="AP258" s="4" t="s">
        <v>133</v>
      </c>
      <c r="AQ258" s="6">
        <v>2904944582.6599998</v>
      </c>
      <c r="AR258" s="4">
        <v>11590</v>
      </c>
      <c r="AS258" s="29">
        <v>0</v>
      </c>
      <c r="AT258" s="29">
        <v>0</v>
      </c>
      <c r="AU258" s="29">
        <v>0</v>
      </c>
      <c r="AV258" s="29">
        <v>100</v>
      </c>
      <c r="AW258" s="29">
        <v>0</v>
      </c>
      <c r="AX258" s="29">
        <v>100</v>
      </c>
    </row>
    <row r="259" spans="1:50" x14ac:dyDescent="0.25">
      <c r="A259">
        <v>96</v>
      </c>
      <c r="B259" s="4">
        <v>0.966776527691384</v>
      </c>
      <c r="C259" s="4">
        <v>21.414005570168801</v>
      </c>
      <c r="D259" s="4">
        <v>33.332653160542698</v>
      </c>
      <c r="E259" s="4">
        <v>1.9881102661791598E-2</v>
      </c>
      <c r="F259" s="5">
        <v>3.32234723086152E-2</v>
      </c>
      <c r="G259" s="5">
        <v>0</v>
      </c>
      <c r="H259" s="4">
        <v>4.16222163559405</v>
      </c>
      <c r="I259" s="4">
        <v>3.8136576461887999</v>
      </c>
      <c r="J259" s="4">
        <v>-6.3902654755271797</v>
      </c>
      <c r="K259" s="4">
        <v>57.520568586224599</v>
      </c>
      <c r="L259" s="4">
        <v>15.198017720478401</v>
      </c>
      <c r="M259" s="4">
        <v>18.000502436419101</v>
      </c>
      <c r="N259" s="4">
        <v>72.669999985929607</v>
      </c>
      <c r="O259" s="4">
        <v>63.264232821304098</v>
      </c>
      <c r="P259" s="4">
        <v>279143.01191531197</v>
      </c>
      <c r="Q259" s="4">
        <v>262683.15038162802</v>
      </c>
      <c r="R259" s="4">
        <v>777.41851286805195</v>
      </c>
      <c r="S259" s="4">
        <v>0</v>
      </c>
      <c r="T259" s="4">
        <v>0</v>
      </c>
      <c r="U259" s="4">
        <v>7.8237332610478202E-2</v>
      </c>
      <c r="V259" s="4">
        <v>1</v>
      </c>
      <c r="W259" s="4">
        <v>0</v>
      </c>
      <c r="X259" s="4">
        <v>0.63513838265133005</v>
      </c>
      <c r="Y259" s="4">
        <v>0</v>
      </c>
      <c r="Z259" s="5">
        <v>3.7929650762265701E-4</v>
      </c>
      <c r="AA259" s="5">
        <v>4.8370846465648997E-5</v>
      </c>
      <c r="AB259" s="10">
        <v>5.6481067368468196E-3</v>
      </c>
      <c r="AC259" s="10">
        <v>6.7725495219893704E-5</v>
      </c>
      <c r="AD259" s="10">
        <v>2.70799576413399E-2</v>
      </c>
      <c r="AE259" s="4">
        <v>0.111960946327928</v>
      </c>
      <c r="AF259" s="4">
        <v>7.0582457891310804E-2</v>
      </c>
      <c r="AG259" s="4">
        <v>0.83367908792523904</v>
      </c>
      <c r="AH259" s="4">
        <v>0.96091421723047599</v>
      </c>
      <c r="AI259" s="4">
        <v>1</v>
      </c>
      <c r="AJ259" s="4">
        <v>1</v>
      </c>
      <c r="AK259" s="4">
        <v>1</v>
      </c>
      <c r="AL259" s="4">
        <v>1</v>
      </c>
      <c r="AM259" s="4">
        <v>0</v>
      </c>
      <c r="AN259" s="4">
        <v>0</v>
      </c>
      <c r="AO259" s="4" t="s">
        <v>150</v>
      </c>
      <c r="AP259" s="4" t="s">
        <v>134</v>
      </c>
      <c r="AQ259" s="6">
        <v>2773934068.0300002</v>
      </c>
      <c r="AR259" s="4">
        <v>10560</v>
      </c>
      <c r="AS259" s="29">
        <v>0</v>
      </c>
      <c r="AT259" s="29">
        <v>0</v>
      </c>
      <c r="AU259" s="29">
        <v>0</v>
      </c>
      <c r="AV259" s="29">
        <v>100</v>
      </c>
      <c r="AW259" s="29">
        <v>0</v>
      </c>
      <c r="AX259" s="29">
        <v>100</v>
      </c>
    </row>
    <row r="260" spans="1:50" x14ac:dyDescent="0.25">
      <c r="A260">
        <v>96</v>
      </c>
      <c r="B260" s="4">
        <v>0.96498856026796898</v>
      </c>
      <c r="C260" s="4">
        <v>20.3901048415341</v>
      </c>
      <c r="D260" s="4">
        <v>34.797240106477801</v>
      </c>
      <c r="E260" s="4">
        <v>1.8823237047325601E-2</v>
      </c>
      <c r="F260" s="5">
        <v>3.5011439732030497E-2</v>
      </c>
      <c r="G260" s="5">
        <v>0</v>
      </c>
      <c r="H260" s="4">
        <v>4.1884263743955499</v>
      </c>
      <c r="I260" s="4">
        <v>3.8064689013778099</v>
      </c>
      <c r="J260" s="4">
        <v>-4.2520619591004198</v>
      </c>
      <c r="K260" s="4">
        <v>62.421473594867102</v>
      </c>
      <c r="L260" s="4">
        <v>14.977873645314601</v>
      </c>
      <c r="M260" s="4">
        <v>18.269998999968902</v>
      </c>
      <c r="N260" s="4">
        <v>72.638926503175796</v>
      </c>
      <c r="O260" s="4">
        <v>63.020410614046398</v>
      </c>
      <c r="P260" s="4">
        <v>284902.05626692303</v>
      </c>
      <c r="Q260" s="4">
        <v>266544.596531994</v>
      </c>
      <c r="R260" s="4">
        <v>777.41358908014399</v>
      </c>
      <c r="S260" s="4">
        <v>0</v>
      </c>
      <c r="T260" s="4">
        <v>0</v>
      </c>
      <c r="U260" s="4">
        <v>9.0151278137513002E-2</v>
      </c>
      <c r="V260" s="4">
        <v>1</v>
      </c>
      <c r="W260" s="4">
        <v>0</v>
      </c>
      <c r="X260" s="4">
        <v>0.67744994581224804</v>
      </c>
      <c r="Y260" s="4">
        <v>0</v>
      </c>
      <c r="Z260" s="5">
        <v>3.80440489221373E-4</v>
      </c>
      <c r="AA260" s="5">
        <v>5.06425729401371E-5</v>
      </c>
      <c r="AB260" s="10">
        <v>5.56310661865998E-3</v>
      </c>
      <c r="AC260" s="10">
        <v>8.1968892353452306E-5</v>
      </c>
      <c r="AD260" s="10">
        <v>2.8935265910936699E-2</v>
      </c>
      <c r="AE260" s="4">
        <v>0.115412374860952</v>
      </c>
      <c r="AF260" s="4">
        <v>6.1930502213989901E-2</v>
      </c>
      <c r="AG260" s="4">
        <v>0.82470407721972205</v>
      </c>
      <c r="AH260" s="4">
        <v>0.94839427849983904</v>
      </c>
      <c r="AI260" s="4">
        <v>1</v>
      </c>
      <c r="AJ260" s="4">
        <v>1</v>
      </c>
      <c r="AK260" s="4">
        <v>1</v>
      </c>
      <c r="AL260" s="4">
        <v>1</v>
      </c>
      <c r="AM260" s="4">
        <v>0</v>
      </c>
      <c r="AN260" s="4">
        <v>0</v>
      </c>
      <c r="AO260" s="4" t="s">
        <v>151</v>
      </c>
      <c r="AP260" s="4" t="s">
        <v>135</v>
      </c>
      <c r="AQ260" s="6">
        <v>2361851669.8699999</v>
      </c>
      <c r="AR260" s="4">
        <v>8861</v>
      </c>
      <c r="AS260" s="29">
        <v>0</v>
      </c>
      <c r="AT260" s="29">
        <v>0</v>
      </c>
      <c r="AU260" s="29">
        <v>0</v>
      </c>
      <c r="AV260" s="29">
        <v>100</v>
      </c>
      <c r="AW260" s="29">
        <v>0</v>
      </c>
      <c r="AX260" s="29">
        <v>100</v>
      </c>
    </row>
    <row r="261" spans="1:50" x14ac:dyDescent="0.25">
      <c r="A261">
        <v>96</v>
      </c>
      <c r="B261" s="4">
        <v>0.96386559164427099</v>
      </c>
      <c r="C261" s="4">
        <v>24.720982650224599</v>
      </c>
      <c r="D261" s="4">
        <v>35.701961597497501</v>
      </c>
      <c r="E261" s="4">
        <v>2.33862636835654E-2</v>
      </c>
      <c r="F261" s="5">
        <v>3.6134408355728301E-2</v>
      </c>
      <c r="G261" s="5">
        <v>0</v>
      </c>
      <c r="H261" s="4">
        <v>4.2301667975890203</v>
      </c>
      <c r="I261" s="4">
        <v>3.8086140601312102</v>
      </c>
      <c r="J261" s="4">
        <v>-1.75054567456736</v>
      </c>
      <c r="K261" s="4">
        <v>67.454474482929697</v>
      </c>
      <c r="L261" s="4">
        <v>15.4708356524918</v>
      </c>
      <c r="M261" s="4">
        <v>18.425508321810799</v>
      </c>
      <c r="N261" s="4">
        <v>72.645630261331902</v>
      </c>
      <c r="O261" s="4">
        <v>62.990877615277803</v>
      </c>
      <c r="P261" s="4">
        <v>275559.914796411</v>
      </c>
      <c r="Q261" s="4">
        <v>258056.29069244899</v>
      </c>
      <c r="R261" s="4">
        <v>776.802512077644</v>
      </c>
      <c r="S261" s="4">
        <v>0</v>
      </c>
      <c r="T261" s="4">
        <v>0</v>
      </c>
      <c r="U261" s="4">
        <v>0.11232056283297701</v>
      </c>
      <c r="V261" s="4">
        <v>1</v>
      </c>
      <c r="W261" s="4">
        <v>0</v>
      </c>
      <c r="X261" s="4">
        <v>0.69931139007881005</v>
      </c>
      <c r="Y261" s="4">
        <v>0</v>
      </c>
      <c r="Z261" s="5">
        <v>3.8127115208852101E-4</v>
      </c>
      <c r="AA261" s="5">
        <v>5.5311195124463001E-5</v>
      </c>
      <c r="AB261" s="10">
        <v>5.6103710901337202E-3</v>
      </c>
      <c r="AC261" s="10">
        <v>9.2205679750942006E-5</v>
      </c>
      <c r="AD261" s="10">
        <v>2.99952339398072E-2</v>
      </c>
      <c r="AE261" s="4">
        <v>0.11634362544608599</v>
      </c>
      <c r="AF261" s="4">
        <v>6.6921836266323198E-2</v>
      </c>
      <c r="AG261" s="4">
        <v>0.81169821739163905</v>
      </c>
      <c r="AH261" s="4">
        <v>0.94123803679497198</v>
      </c>
      <c r="AI261" s="4">
        <v>1</v>
      </c>
      <c r="AJ261" s="4">
        <v>1</v>
      </c>
      <c r="AK261" s="4">
        <v>1</v>
      </c>
      <c r="AL261" s="4">
        <v>1</v>
      </c>
      <c r="AM261" s="4">
        <v>0</v>
      </c>
      <c r="AN261" s="4">
        <v>0</v>
      </c>
      <c r="AO261" s="4" t="s">
        <v>152</v>
      </c>
      <c r="AP261" s="4" t="s">
        <v>136</v>
      </c>
      <c r="AQ261" s="6">
        <v>1814909892.4400001</v>
      </c>
      <c r="AR261" s="4">
        <v>7033</v>
      </c>
      <c r="AS261" s="29">
        <v>0</v>
      </c>
      <c r="AT261" s="29">
        <v>0</v>
      </c>
      <c r="AU261" s="29">
        <v>0</v>
      </c>
      <c r="AV261" s="29">
        <v>100</v>
      </c>
      <c r="AW261" s="29">
        <v>0</v>
      </c>
      <c r="AX261" s="29">
        <v>100</v>
      </c>
    </row>
    <row r="262" spans="1:50" x14ac:dyDescent="0.25">
      <c r="A262">
        <v>96</v>
      </c>
      <c r="B262" s="4">
        <v>0.96234830153530404</v>
      </c>
      <c r="C262" s="4">
        <v>24.692609381763699</v>
      </c>
      <c r="D262" s="4">
        <v>36.906094660479802</v>
      </c>
      <c r="E262" s="4">
        <v>2.3355594515483399E-2</v>
      </c>
      <c r="F262" s="5">
        <v>3.7651698464695703E-2</v>
      </c>
      <c r="G262" s="5">
        <v>0</v>
      </c>
      <c r="H262" s="4">
        <v>4.2706796899557196</v>
      </c>
      <c r="I262" s="4">
        <v>3.8111617471720498</v>
      </c>
      <c r="J262" s="4">
        <v>0.73124103764770998</v>
      </c>
      <c r="K262" s="4">
        <v>72.435125178142002</v>
      </c>
      <c r="L262" s="4">
        <v>15.3481405717566</v>
      </c>
      <c r="M262" s="4">
        <v>18.584337866702</v>
      </c>
      <c r="N262" s="4">
        <v>75.169863162485797</v>
      </c>
      <c r="O262" s="4">
        <v>65.025461977238606</v>
      </c>
      <c r="P262" s="4">
        <v>277024.59542543301</v>
      </c>
      <c r="Q262" s="4">
        <v>260120.441024156</v>
      </c>
      <c r="R262" s="4">
        <v>776.83603454901197</v>
      </c>
      <c r="S262" s="4">
        <v>0</v>
      </c>
      <c r="T262" s="4">
        <v>0</v>
      </c>
      <c r="U262" s="4">
        <v>0.111780902802035</v>
      </c>
      <c r="V262" s="4">
        <v>1</v>
      </c>
      <c r="W262" s="4">
        <v>0</v>
      </c>
      <c r="X262" s="4">
        <v>0.69331266198706099</v>
      </c>
      <c r="Y262" s="4">
        <v>0</v>
      </c>
      <c r="Z262" s="5">
        <v>3.8033528576652398E-4</v>
      </c>
      <c r="AA262" s="5">
        <v>6.3430423369608395E-5</v>
      </c>
      <c r="AB262" s="10">
        <v>5.5946747283541504E-3</v>
      </c>
      <c r="AC262" s="10">
        <v>1.0173272443231099E-4</v>
      </c>
      <c r="AD262" s="10">
        <v>3.1511509898893397E-2</v>
      </c>
      <c r="AE262" s="4">
        <v>0.118103922387853</v>
      </c>
      <c r="AF262" s="4">
        <v>6.1981929192628203E-2</v>
      </c>
      <c r="AG262" s="4">
        <v>0.80592581135900199</v>
      </c>
      <c r="AH262" s="4">
        <v>0.94340112877770699</v>
      </c>
      <c r="AI262" s="4">
        <v>1</v>
      </c>
      <c r="AJ262" s="4">
        <v>1</v>
      </c>
      <c r="AK262" s="4">
        <v>1</v>
      </c>
      <c r="AL262" s="4">
        <v>1</v>
      </c>
      <c r="AM262" s="4">
        <v>0</v>
      </c>
      <c r="AN262" s="4">
        <v>0</v>
      </c>
      <c r="AO262" s="4" t="s">
        <v>72</v>
      </c>
      <c r="AP262" s="4" t="s">
        <v>73</v>
      </c>
      <c r="AQ262" s="6">
        <v>1572167945.55</v>
      </c>
      <c r="AR262" s="4">
        <v>6044</v>
      </c>
      <c r="AS262" s="29">
        <v>0</v>
      </c>
      <c r="AT262" s="29">
        <v>0</v>
      </c>
      <c r="AU262" s="29">
        <v>0</v>
      </c>
      <c r="AV262" s="29">
        <v>100</v>
      </c>
      <c r="AW262" s="29">
        <v>0</v>
      </c>
      <c r="AX262" s="29">
        <v>100</v>
      </c>
    </row>
    <row r="263" spans="1:50" x14ac:dyDescent="0.25">
      <c r="A263">
        <v>96</v>
      </c>
      <c r="B263" s="4">
        <v>0.95895106413492703</v>
      </c>
      <c r="C263" s="4">
        <v>25.557023348694401</v>
      </c>
      <c r="D263" s="4">
        <v>39.527580502673899</v>
      </c>
      <c r="E263" s="4">
        <v>2.4294744649296301E-2</v>
      </c>
      <c r="F263" s="5">
        <v>4.10489358650723E-2</v>
      </c>
      <c r="G263" s="5">
        <v>0</v>
      </c>
      <c r="H263" s="4">
        <v>4.3524970837606602</v>
      </c>
      <c r="I263" s="4">
        <v>3.8229385189293601</v>
      </c>
      <c r="J263" s="4">
        <v>6.4195593813710499</v>
      </c>
      <c r="K263" s="4">
        <v>85.146178233817196</v>
      </c>
      <c r="L263" s="4">
        <v>15.3081719643118</v>
      </c>
      <c r="M263" s="4">
        <v>18.961356356932999</v>
      </c>
      <c r="N263" s="4">
        <v>77.656926092643801</v>
      </c>
      <c r="O263" s="4">
        <v>66.738434387152594</v>
      </c>
      <c r="P263" s="4">
        <v>279092.46046513098</v>
      </c>
      <c r="Q263" s="4">
        <v>260808.919706505</v>
      </c>
      <c r="R263" s="4">
        <v>776.32444325829101</v>
      </c>
      <c r="S263" s="4">
        <v>0</v>
      </c>
      <c r="T263" s="4">
        <v>0</v>
      </c>
      <c r="U263" s="4">
        <v>0.120492543564776</v>
      </c>
      <c r="V263" s="4">
        <v>1</v>
      </c>
      <c r="W263" s="4">
        <v>0</v>
      </c>
      <c r="X263" s="4">
        <v>0.67259619984464003</v>
      </c>
      <c r="Y263" s="4">
        <v>0</v>
      </c>
      <c r="Z263" s="5">
        <v>3.76500951334063E-4</v>
      </c>
      <c r="AA263" s="5">
        <v>8.9558617236058297E-5</v>
      </c>
      <c r="AB263" s="10">
        <v>5.6923327936586497E-3</v>
      </c>
      <c r="AC263" s="10">
        <v>1.4575767085936301E-4</v>
      </c>
      <c r="AD263" s="10">
        <v>3.4744769995223503E-2</v>
      </c>
      <c r="AE263" s="4">
        <v>0.12572460978354899</v>
      </c>
      <c r="AF263" s="4">
        <v>4.9455135334672197E-2</v>
      </c>
      <c r="AG263" s="4">
        <v>0.73691879946081296</v>
      </c>
      <c r="AH263" s="4">
        <v>0.92777147022351003</v>
      </c>
      <c r="AI263" s="4">
        <v>1</v>
      </c>
      <c r="AJ263" s="4">
        <v>1</v>
      </c>
      <c r="AK263" s="4">
        <v>1</v>
      </c>
      <c r="AL263" s="4">
        <v>1</v>
      </c>
      <c r="AM263" s="4">
        <v>0</v>
      </c>
      <c r="AN263" s="4">
        <v>0</v>
      </c>
      <c r="AO263" s="4" t="s">
        <v>74</v>
      </c>
      <c r="AP263" s="4" t="s">
        <v>75</v>
      </c>
      <c r="AQ263" s="6">
        <v>4309867398.1499996</v>
      </c>
      <c r="AR263" s="4">
        <v>16525</v>
      </c>
      <c r="AS263" s="29">
        <v>0</v>
      </c>
      <c r="AT263" s="29">
        <v>0</v>
      </c>
      <c r="AU263" s="29">
        <v>0</v>
      </c>
      <c r="AV263" s="29">
        <v>100</v>
      </c>
      <c r="AW263" s="29">
        <v>0</v>
      </c>
      <c r="AX263" s="29">
        <v>100</v>
      </c>
    </row>
    <row r="264" spans="1:50" x14ac:dyDescent="0.25">
      <c r="A264">
        <v>96</v>
      </c>
      <c r="B264" s="4">
        <v>0.95427589186530104</v>
      </c>
      <c r="C264" s="4">
        <v>29.727015222869401</v>
      </c>
      <c r="D264" s="4">
        <v>42.972093724681002</v>
      </c>
      <c r="E264" s="4">
        <v>2.8970628226542301E-2</v>
      </c>
      <c r="F264" s="5">
        <v>4.5724108134698599E-2</v>
      </c>
      <c r="G264" s="5">
        <v>0</v>
      </c>
      <c r="H264" s="4">
        <v>4.48623751396104</v>
      </c>
      <c r="I264" s="4">
        <v>3.8210749348316901</v>
      </c>
      <c r="J264" s="4">
        <v>16.652147584035301</v>
      </c>
      <c r="K264" s="4">
        <v>109.69230835286599</v>
      </c>
      <c r="L264" s="4">
        <v>15.491870636317101</v>
      </c>
      <c r="M264" s="4">
        <v>19.629371038376998</v>
      </c>
      <c r="N264" s="4">
        <v>84.284160365727104</v>
      </c>
      <c r="O264" s="4">
        <v>71.5705049977595</v>
      </c>
      <c r="P264" s="4">
        <v>275536.43389843003</v>
      </c>
      <c r="Q264" s="4">
        <v>257729.667148373</v>
      </c>
      <c r="R264" s="4">
        <v>774.82656717428097</v>
      </c>
      <c r="S264" s="4">
        <v>0</v>
      </c>
      <c r="T264" s="4">
        <v>0</v>
      </c>
      <c r="U264" s="4">
        <v>0.171613653019109</v>
      </c>
      <c r="V264" s="4">
        <v>1</v>
      </c>
      <c r="W264" s="4">
        <v>0</v>
      </c>
      <c r="X264" s="4">
        <v>0.59717779366560697</v>
      </c>
      <c r="Y264" s="4">
        <v>0</v>
      </c>
      <c r="Z264" s="5">
        <v>3.7221678085053698E-4</v>
      </c>
      <c r="AA264" s="5">
        <v>1.23222995456731E-4</v>
      </c>
      <c r="AB264" s="10">
        <v>5.8221739565098001E-3</v>
      </c>
      <c r="AC264" s="10">
        <v>2.7833448998460701E-4</v>
      </c>
      <c r="AD264" s="10">
        <v>3.9128143326339397E-2</v>
      </c>
      <c r="AE264" s="4">
        <v>0.138464282293359</v>
      </c>
      <c r="AF264" s="4">
        <v>3.5188244839738501E-2</v>
      </c>
      <c r="AG264" s="4">
        <v>0.62088971522288905</v>
      </c>
      <c r="AH264" s="4">
        <v>0.85587542103624603</v>
      </c>
      <c r="AI264" s="4">
        <v>1</v>
      </c>
      <c r="AJ264" s="4">
        <v>1</v>
      </c>
      <c r="AK264" s="4">
        <v>1</v>
      </c>
      <c r="AL264" s="4">
        <v>1</v>
      </c>
      <c r="AM264" s="4">
        <v>0</v>
      </c>
      <c r="AN264" s="4">
        <v>0</v>
      </c>
      <c r="AO264" s="4" t="s">
        <v>76</v>
      </c>
      <c r="AP264" s="4" t="s">
        <v>77</v>
      </c>
      <c r="AQ264" s="6">
        <v>1268029962.3699999</v>
      </c>
      <c r="AR264" s="4">
        <v>4920</v>
      </c>
      <c r="AS264" s="29">
        <v>0</v>
      </c>
      <c r="AT264" s="29">
        <v>0</v>
      </c>
      <c r="AU264" s="29">
        <v>0</v>
      </c>
      <c r="AV264" s="29">
        <v>100</v>
      </c>
      <c r="AW264" s="29">
        <v>0</v>
      </c>
      <c r="AX264" s="29">
        <v>100</v>
      </c>
    </row>
    <row r="265" spans="1:50" x14ac:dyDescent="0.25">
      <c r="A265">
        <v>96</v>
      </c>
      <c r="B265" s="4">
        <v>0.94986885528788501</v>
      </c>
      <c r="C265" s="4">
        <v>33.420402080467298</v>
      </c>
      <c r="D265" s="4">
        <v>46.053437449813103</v>
      </c>
      <c r="E265" s="4">
        <v>3.3329577246765503E-2</v>
      </c>
      <c r="F265" s="5">
        <v>5.0131144712114897E-2</v>
      </c>
      <c r="G265" s="5">
        <v>0</v>
      </c>
      <c r="H265" s="4">
        <v>4.6161116351691396</v>
      </c>
      <c r="I265" s="4">
        <v>3.8429467469924199</v>
      </c>
      <c r="J265" s="4">
        <v>25.980793977853601</v>
      </c>
      <c r="K265" s="4">
        <v>135.45389917225501</v>
      </c>
      <c r="L265" s="4">
        <v>15.200592963311999</v>
      </c>
      <c r="M265" s="4">
        <v>20.4796874545363</v>
      </c>
      <c r="N265" s="4">
        <v>89.898939444581501</v>
      </c>
      <c r="O265" s="4">
        <v>75.317017162835498</v>
      </c>
      <c r="P265" s="4">
        <v>280888.94944707502</v>
      </c>
      <c r="Q265" s="4">
        <v>262673.195188866</v>
      </c>
      <c r="R265" s="4">
        <v>772.88333752428298</v>
      </c>
      <c r="S265" s="4">
        <v>0</v>
      </c>
      <c r="T265" s="4">
        <v>0</v>
      </c>
      <c r="U265" s="4">
        <v>0.348155048860668</v>
      </c>
      <c r="V265" s="4">
        <v>1</v>
      </c>
      <c r="W265" s="4">
        <v>0</v>
      </c>
      <c r="X265" s="4">
        <v>0.59391003729276903</v>
      </c>
      <c r="Y265" s="4">
        <v>0</v>
      </c>
      <c r="Z265" s="5">
        <v>3.7351881581578102E-4</v>
      </c>
      <c r="AA265" s="5">
        <v>1.4872405418231701E-4</v>
      </c>
      <c r="AB265" s="10">
        <v>5.9947400704197197E-3</v>
      </c>
      <c r="AC265" s="10">
        <v>4.44330200049859E-4</v>
      </c>
      <c r="AD265" s="10">
        <v>4.3169814142372497E-2</v>
      </c>
      <c r="AE265" s="4">
        <v>0.15545616442263099</v>
      </c>
      <c r="AF265" s="4">
        <v>1.4956911806786301E-2</v>
      </c>
      <c r="AG265" s="4">
        <v>0.480213910252834</v>
      </c>
      <c r="AH265" s="4">
        <v>0.80103558028968103</v>
      </c>
      <c r="AI265" s="4">
        <v>1</v>
      </c>
      <c r="AJ265" s="4">
        <v>1</v>
      </c>
      <c r="AK265" s="4">
        <v>1</v>
      </c>
      <c r="AL265" s="4">
        <v>1</v>
      </c>
      <c r="AM265" s="4">
        <v>0</v>
      </c>
      <c r="AN265" s="4">
        <v>0</v>
      </c>
      <c r="AO265" s="4" t="s">
        <v>78</v>
      </c>
      <c r="AP265" s="4" t="s">
        <v>79</v>
      </c>
      <c r="AQ265" s="6">
        <v>396373851.54000002</v>
      </c>
      <c r="AR265" s="4">
        <v>1509</v>
      </c>
      <c r="AS265" s="29">
        <v>0</v>
      </c>
      <c r="AT265" s="29">
        <v>0</v>
      </c>
      <c r="AU265" s="29">
        <v>0</v>
      </c>
      <c r="AV265" s="29">
        <v>100</v>
      </c>
      <c r="AW265" s="29">
        <v>0</v>
      </c>
      <c r="AX265" s="29">
        <v>100</v>
      </c>
    </row>
    <row r="266" spans="1:50" x14ac:dyDescent="0.25">
      <c r="A266">
        <v>96</v>
      </c>
      <c r="B266" s="4">
        <v>0.94758121368563997</v>
      </c>
      <c r="C266" s="4">
        <v>38.2087345277887</v>
      </c>
      <c r="D266" s="4">
        <v>47.592034065079702</v>
      </c>
      <c r="E266" s="4">
        <v>3.9323300224375697E-2</v>
      </c>
      <c r="F266" s="5">
        <v>5.24187863143592E-2</v>
      </c>
      <c r="G266" s="5">
        <v>0</v>
      </c>
      <c r="H266" s="4">
        <v>4.7228744720465299</v>
      </c>
      <c r="I266" s="4">
        <v>3.80951615376437</v>
      </c>
      <c r="J266" s="4">
        <v>36.983957585395501</v>
      </c>
      <c r="K266" s="4">
        <v>159.240080075191</v>
      </c>
      <c r="L266" s="4">
        <v>15.132006632780399</v>
      </c>
      <c r="M266" s="4">
        <v>21.179519707906401</v>
      </c>
      <c r="N266" s="4">
        <v>91.026906538752101</v>
      </c>
      <c r="O266" s="4">
        <v>75.965368094445793</v>
      </c>
      <c r="P266" s="4">
        <v>279605.34082471998</v>
      </c>
      <c r="Q266" s="4">
        <v>263857.41720357898</v>
      </c>
      <c r="R266" s="4">
        <v>768.44790143845</v>
      </c>
      <c r="S266" s="4">
        <v>0</v>
      </c>
      <c r="T266" s="4">
        <v>0</v>
      </c>
      <c r="U266" s="4">
        <v>0.50877426546089799</v>
      </c>
      <c r="V266" s="4">
        <v>1</v>
      </c>
      <c r="W266" s="4">
        <v>0</v>
      </c>
      <c r="X266" s="4">
        <v>0.74699126298319096</v>
      </c>
      <c r="Y266" s="4">
        <v>0</v>
      </c>
      <c r="Z266" s="5">
        <v>3.8599952012649899E-4</v>
      </c>
      <c r="AA266" s="5">
        <v>1.62752375433079E-4</v>
      </c>
      <c r="AB266" s="10">
        <v>6.0218592865188998E-3</v>
      </c>
      <c r="AC266" s="10">
        <v>5.2477246044213403E-4</v>
      </c>
      <c r="AD266" s="10">
        <v>4.53233849365689E-2</v>
      </c>
      <c r="AE266" s="4">
        <v>0.158649823883598</v>
      </c>
      <c r="AF266" s="4">
        <v>3.6765087153539E-3</v>
      </c>
      <c r="AG266" s="4">
        <v>0.46645148512679901</v>
      </c>
      <c r="AH266" s="4">
        <v>0.75555878651476704</v>
      </c>
      <c r="AI266" s="4">
        <v>1</v>
      </c>
      <c r="AJ266" s="4">
        <v>1</v>
      </c>
      <c r="AK266" s="4">
        <v>1</v>
      </c>
      <c r="AL266" s="4">
        <v>1</v>
      </c>
      <c r="AM266" s="4">
        <v>0</v>
      </c>
      <c r="AN266" s="4">
        <v>0</v>
      </c>
      <c r="AO266" s="4" t="s">
        <v>80</v>
      </c>
      <c r="AP266" s="4" t="s">
        <v>81</v>
      </c>
      <c r="AQ266" s="6">
        <v>117944265.48999999</v>
      </c>
      <c r="AR266" s="4">
        <v>447</v>
      </c>
      <c r="AS266" s="29">
        <v>0</v>
      </c>
      <c r="AT266" s="29">
        <v>0</v>
      </c>
      <c r="AU266" s="29">
        <v>0</v>
      </c>
      <c r="AV266" s="29">
        <v>100</v>
      </c>
      <c r="AW266" s="29">
        <v>0</v>
      </c>
      <c r="AX266" s="29">
        <v>100</v>
      </c>
    </row>
    <row r="267" spans="1:50" x14ac:dyDescent="0.25">
      <c r="A267">
        <v>96</v>
      </c>
      <c r="B267" s="4">
        <v>0.948238390475863</v>
      </c>
      <c r="C267" s="4">
        <v>50.192595397689203</v>
      </c>
      <c r="D267" s="4">
        <v>47.154208037115801</v>
      </c>
      <c r="E267" s="4">
        <v>5.6429199944796497E-2</v>
      </c>
      <c r="F267" s="5">
        <v>5.1761609524136103E-2</v>
      </c>
      <c r="G267" s="5">
        <v>0</v>
      </c>
      <c r="H267" s="4">
        <v>4.86008479691196</v>
      </c>
      <c r="I267" s="4">
        <v>3.8038166989942401</v>
      </c>
      <c r="J267" s="4">
        <v>52.893929072386896</v>
      </c>
      <c r="K267" s="4">
        <v>183.626908811742</v>
      </c>
      <c r="L267" s="4">
        <v>15.4267194656748</v>
      </c>
      <c r="M267" s="4">
        <v>21.228986530210701</v>
      </c>
      <c r="N267" s="4">
        <v>90.552186986699496</v>
      </c>
      <c r="O267" s="4">
        <v>75.938602511225994</v>
      </c>
      <c r="P267" s="4">
        <v>271656.89474395098</v>
      </c>
      <c r="Q267" s="4">
        <v>258836.050588235</v>
      </c>
      <c r="R267" s="4">
        <v>762.66971947863897</v>
      </c>
      <c r="S267" s="4">
        <v>0</v>
      </c>
      <c r="T267" s="4">
        <v>0</v>
      </c>
      <c r="U267" s="4">
        <v>0.35617140462609298</v>
      </c>
      <c r="V267" s="4">
        <v>1</v>
      </c>
      <c r="W267" s="4">
        <v>0</v>
      </c>
      <c r="X267" s="4">
        <v>0.81931996353467296</v>
      </c>
      <c r="Y267" s="4">
        <v>0</v>
      </c>
      <c r="Z267" s="5">
        <v>3.7369878463091498E-4</v>
      </c>
      <c r="AA267" s="5">
        <v>1.18698321435948E-4</v>
      </c>
      <c r="AB267" s="10">
        <v>5.9425921603734298E-3</v>
      </c>
      <c r="AC267" s="10">
        <v>5.1007884429022201E-4</v>
      </c>
      <c r="AD267" s="10">
        <v>4.4816523795783901E-2</v>
      </c>
      <c r="AE267" s="4">
        <v>0.15491555931138601</v>
      </c>
      <c r="AF267" s="4">
        <v>1.49084549059747E-2</v>
      </c>
      <c r="AG267" s="4">
        <v>0.43870506812254501</v>
      </c>
      <c r="AH267" s="4">
        <v>0.72415491565560297</v>
      </c>
      <c r="AI267" s="4">
        <v>1</v>
      </c>
      <c r="AJ267" s="4">
        <v>1</v>
      </c>
      <c r="AK267" s="4">
        <v>1</v>
      </c>
      <c r="AL267" s="4">
        <v>1</v>
      </c>
      <c r="AM267" s="4">
        <v>0</v>
      </c>
      <c r="AN267" s="4">
        <v>0</v>
      </c>
      <c r="AO267" s="4" t="s">
        <v>82</v>
      </c>
      <c r="AP267" s="4" t="s">
        <v>83</v>
      </c>
      <c r="AQ267" s="6">
        <v>17600851.440000001</v>
      </c>
      <c r="AR267" s="4">
        <v>68</v>
      </c>
      <c r="AS267" s="29">
        <v>0</v>
      </c>
      <c r="AT267" s="29">
        <v>0</v>
      </c>
      <c r="AU267" s="29">
        <v>0</v>
      </c>
      <c r="AV267" s="29">
        <v>100</v>
      </c>
      <c r="AW267" s="29">
        <v>0</v>
      </c>
      <c r="AX267" s="29">
        <v>100</v>
      </c>
    </row>
    <row r="268" spans="1:50" x14ac:dyDescent="0.25">
      <c r="A268">
        <v>96</v>
      </c>
      <c r="B268" s="4">
        <v>0.95090632414023601</v>
      </c>
      <c r="C268" s="4">
        <v>70.665744833583602</v>
      </c>
      <c r="D268" s="4">
        <v>45.342114194205102</v>
      </c>
      <c r="E268" s="4">
        <v>9.7152107151706302E-2</v>
      </c>
      <c r="F268" s="5">
        <v>4.90936758597635E-2</v>
      </c>
      <c r="G268" s="5">
        <v>0</v>
      </c>
      <c r="H268" s="4">
        <v>4.9938200967088298</v>
      </c>
      <c r="I268" s="4">
        <v>3.7630230454699598</v>
      </c>
      <c r="J268" s="4">
        <v>82.598596580852501</v>
      </c>
      <c r="K268" s="4">
        <v>210.95017391853301</v>
      </c>
      <c r="L268" s="4">
        <v>15.265280073368199</v>
      </c>
      <c r="M268" s="4">
        <v>20.366549743028099</v>
      </c>
      <c r="N268" s="4">
        <v>88.357620846171201</v>
      </c>
      <c r="O268" s="4">
        <v>76.585013320799703</v>
      </c>
      <c r="P268" s="4">
        <v>263549.80636137899</v>
      </c>
      <c r="Q268" s="4">
        <v>261590.48333333299</v>
      </c>
      <c r="R268" s="4">
        <v>764.67732189204003</v>
      </c>
      <c r="S268" s="4">
        <v>0</v>
      </c>
      <c r="T268" s="4">
        <v>0</v>
      </c>
      <c r="U268" s="4">
        <v>0</v>
      </c>
      <c r="V268" s="4">
        <v>1</v>
      </c>
      <c r="W268" s="4">
        <v>0</v>
      </c>
      <c r="X268" s="4">
        <v>0.74795381508845604</v>
      </c>
      <c r="Y268" s="4">
        <v>0</v>
      </c>
      <c r="Z268" s="5">
        <v>3.5792416932139899E-4</v>
      </c>
      <c r="AA268" s="5">
        <v>5.2745235157017096E-4</v>
      </c>
      <c r="AB268" s="10">
        <v>5.5968411918041402E-3</v>
      </c>
      <c r="AC268" s="10">
        <v>3.3840525836551898E-4</v>
      </c>
      <c r="AD268" s="10">
        <v>4.2273033690933499E-2</v>
      </c>
      <c r="AE268" s="4">
        <v>0.122254015969175</v>
      </c>
      <c r="AF268" s="4">
        <v>0</v>
      </c>
      <c r="AG268" s="4">
        <v>0.553531596152399</v>
      </c>
      <c r="AH268" s="4">
        <v>0.87405868294520594</v>
      </c>
      <c r="AI268" s="4">
        <v>1</v>
      </c>
      <c r="AJ268" s="4">
        <v>1</v>
      </c>
      <c r="AK268" s="4">
        <v>1</v>
      </c>
      <c r="AL268" s="4">
        <v>1</v>
      </c>
      <c r="AM268" s="4">
        <v>0</v>
      </c>
      <c r="AN268" s="4">
        <v>0</v>
      </c>
      <c r="AO268" s="4" t="s">
        <v>84</v>
      </c>
      <c r="AP268" s="4" t="s">
        <v>85</v>
      </c>
      <c r="AQ268" s="6">
        <v>2354314.35</v>
      </c>
      <c r="AR268" s="4">
        <v>9</v>
      </c>
      <c r="AS268" s="29">
        <v>0</v>
      </c>
      <c r="AT268" s="29">
        <v>0</v>
      </c>
      <c r="AU268" s="29">
        <v>0</v>
      </c>
      <c r="AV268" s="29">
        <v>100</v>
      </c>
      <c r="AW268" s="29">
        <v>0</v>
      </c>
      <c r="AX268" s="29">
        <v>100</v>
      </c>
    </row>
    <row r="271" spans="1:50" x14ac:dyDescent="0.25">
      <c r="B271" s="4"/>
      <c r="C271" s="4"/>
      <c r="D271" s="4"/>
      <c r="E271" s="4"/>
      <c r="F271" s="5"/>
      <c r="G271" s="5"/>
      <c r="H271" s="4"/>
      <c r="I271" s="4"/>
      <c r="J271" s="4"/>
      <c r="K271" s="4"/>
      <c r="L271" s="4" t="s">
        <v>160</v>
      </c>
      <c r="M271" s="30" t="s">
        <v>161</v>
      </c>
      <c r="N271" s="4"/>
      <c r="O271" s="4"/>
      <c r="P271" s="4"/>
      <c r="Q271" s="4"/>
      <c r="R271" s="4"/>
      <c r="S271" s="4"/>
      <c r="T271" s="4"/>
      <c r="U271" s="4"/>
      <c r="V271" s="4"/>
      <c r="W271" s="4"/>
      <c r="X271" s="4"/>
      <c r="Y271" s="4"/>
      <c r="Z271" s="5"/>
      <c r="AA271" s="5"/>
      <c r="AB271" s="10"/>
      <c r="AC271" s="10"/>
      <c r="AD271" s="10"/>
      <c r="AE271" s="4"/>
      <c r="AF271" s="4"/>
      <c r="AG271" s="4"/>
      <c r="AH271" s="4"/>
      <c r="AI271" s="4"/>
      <c r="AJ271" s="4"/>
      <c r="AK271" s="4"/>
      <c r="AL271" s="4"/>
      <c r="AM271" s="4"/>
      <c r="AN271" s="4"/>
      <c r="AO271" s="4"/>
      <c r="AP271" s="4"/>
      <c r="AQ271" s="6"/>
      <c r="AR271" s="4"/>
      <c r="AS271" s="29"/>
      <c r="AT271" s="29"/>
      <c r="AU271" s="29"/>
      <c r="AV271" s="29"/>
      <c r="AW271" s="29"/>
      <c r="AX271" s="29"/>
    </row>
    <row r="272" spans="1:50" x14ac:dyDescent="0.25">
      <c r="L272" t="s">
        <v>153</v>
      </c>
      <c r="M272" s="4">
        <v>0.89</v>
      </c>
    </row>
    <row r="273" spans="1:36" x14ac:dyDescent="0.25">
      <c r="A273" s="35"/>
      <c r="B273" s="35"/>
      <c r="C273" s="35"/>
      <c r="D273" s="35"/>
      <c r="E273" s="35"/>
      <c r="F273" s="35"/>
      <c r="G273" s="35"/>
      <c r="H273" s="35"/>
      <c r="I273" s="35"/>
      <c r="J273" s="35"/>
      <c r="K273" s="35"/>
      <c r="L273" s="35"/>
      <c r="M273" s="35"/>
      <c r="N273" s="35"/>
      <c r="O273" s="35" t="s">
        <v>169</v>
      </c>
      <c r="P273" s="35" t="s">
        <v>170</v>
      </c>
      <c r="Q273" s="35"/>
      <c r="R273" s="35"/>
      <c r="S273" s="35"/>
      <c r="T273" s="35"/>
      <c r="U273" s="35"/>
      <c r="V273" s="35"/>
      <c r="W273" s="35"/>
      <c r="X273" s="35"/>
      <c r="Y273" s="35"/>
      <c r="Z273" s="35"/>
      <c r="AA273" s="35"/>
      <c r="AB273" s="35"/>
      <c r="AC273" s="35"/>
      <c r="AD273" s="35"/>
      <c r="AE273" s="35"/>
      <c r="AF273" s="35"/>
      <c r="AG273" s="35"/>
      <c r="AH273" s="35"/>
      <c r="AI273" s="35"/>
      <c r="AJ273" s="35"/>
    </row>
    <row r="274" spans="1:36" x14ac:dyDescent="0.25">
      <c r="K274" t="s">
        <v>98</v>
      </c>
      <c r="L274" t="s">
        <v>89</v>
      </c>
      <c r="M274" t="s">
        <v>90</v>
      </c>
      <c r="O274" s="39">
        <v>0.4</v>
      </c>
      <c r="P274" s="39">
        <f>1-O274</f>
        <v>0.6</v>
      </c>
    </row>
    <row r="275" spans="1:36" x14ac:dyDescent="0.25">
      <c r="A275" s="4" t="s">
        <v>93</v>
      </c>
      <c r="B275" t="str">
        <f>AQ205</f>
        <v>Balance</v>
      </c>
      <c r="C275" s="2" t="str">
        <f>AO205</f>
        <v>groupByColumn</v>
      </c>
      <c r="D275" t="str">
        <f>E205</f>
        <v>PREPAY_SMM1</v>
      </c>
      <c r="E275" t="str">
        <f>F205</f>
        <v>PREPAY_TRACKING_SMM1</v>
      </c>
      <c r="F275" t="s">
        <v>91</v>
      </c>
      <c r="G275" t="str">
        <f>C205</f>
        <v>PREPAY_CPR1</v>
      </c>
      <c r="H275">
        <f>D206</f>
        <v>17.154512077007102</v>
      </c>
      <c r="I275" t="s">
        <v>168</v>
      </c>
      <c r="K275" t="s">
        <v>92</v>
      </c>
      <c r="L275" t="s">
        <v>92</v>
      </c>
      <c r="M275" t="s">
        <v>92</v>
      </c>
      <c r="O275" t="s">
        <v>163</v>
      </c>
      <c r="P275" t="s">
        <v>164</v>
      </c>
      <c r="Q275" t="s">
        <v>165</v>
      </c>
      <c r="S275" t="s">
        <v>96</v>
      </c>
      <c r="T275" t="s">
        <v>97</v>
      </c>
      <c r="U275" t="s">
        <v>91</v>
      </c>
    </row>
    <row r="276" spans="1:36" s="17" customFormat="1" x14ac:dyDescent="0.25">
      <c r="A276" s="14">
        <f t="shared" ref="A276:A289" si="41">K207</f>
        <v>-57.490556018369602</v>
      </c>
      <c r="B276" s="32">
        <f t="shared" ref="B276:B301" si="42">AQ207/1000000000</f>
        <v>1.0315889029999999E-2</v>
      </c>
      <c r="C276" s="33" t="str">
        <f t="shared" ref="C276:C289" si="43">AO207</f>
        <v>06:-75--50</v>
      </c>
      <c r="D276" s="34">
        <f t="shared" ref="D276:D289" si="44">E207</f>
        <v>5.6772101786271402E-3</v>
      </c>
      <c r="E276" s="34">
        <f t="shared" ref="E276:E301" si="45">Z207+AA207+AB207+AC207+AD207</f>
        <v>6.7186180317620149E-3</v>
      </c>
      <c r="F276" s="32">
        <f t="shared" ref="F276:F301" si="46">D276/E276</f>
        <v>0.84499671685283217</v>
      </c>
      <c r="G276" s="33">
        <f t="shared" ref="G276:G301" si="47">(1-(1-D276)^12)*100</f>
        <v>6.6039041071039524</v>
      </c>
      <c r="H276" s="33">
        <f t="shared" ref="H276:H301" si="48">(1-(1-E276)^12)*100</f>
        <v>7.770991085815881</v>
      </c>
      <c r="I276" s="33">
        <f>(1-(1-SUM(Z242,AA242,AB242,AC242,AD242*M276))^12)*100</f>
        <v>8.6347224829962386</v>
      </c>
      <c r="J276" s="35"/>
      <c r="K276" s="14">
        <f>VLOOKUP($C276,'Refi Adj'!$B$2:$E$32,2,0)</f>
        <v>1</v>
      </c>
      <c r="L276" s="14">
        <f>VLOOKUP($C276,'Refi Adj'!$B$2:$E$32,3,0)</f>
        <v>1</v>
      </c>
      <c r="M276" s="14">
        <f>VLOOKUP($C276,'Refi Adj'!$B$2:$E$32,4,0)</f>
        <v>0.5</v>
      </c>
      <c r="N276" s="35"/>
      <c r="O276" s="35">
        <f>AD242*M276</f>
        <v>1.49915184066674E-3</v>
      </c>
      <c r="P276" s="38">
        <f>AD207</f>
        <v>8.1448530727748604E-6</v>
      </c>
      <c r="Q276" s="35">
        <f>(O276*$O$274+P276*$P$274)</f>
        <v>6.0454764811036094E-4</v>
      </c>
      <c r="R276" s="35"/>
      <c r="S276" s="34">
        <f>Z207+AA207+AB207*K276+AC207*L276+Q276*$M$272</f>
        <v>7.2485205855074616E-3</v>
      </c>
      <c r="T276" s="33">
        <f t="shared" ref="T276:T301" si="49">100*(1-(1-S276)^12)</f>
        <v>8.3596972793070101</v>
      </c>
      <c r="U276" s="36">
        <f t="shared" ref="U276:U301" si="50">D276/S276</f>
        <v>0.78322329524427836</v>
      </c>
      <c r="V276" s="35"/>
      <c r="W276" s="35"/>
      <c r="X276" s="37"/>
      <c r="Y276" s="34"/>
      <c r="Z276" s="34"/>
      <c r="AA276" s="35"/>
      <c r="AB276" s="35"/>
      <c r="AC276" s="35"/>
      <c r="AD276" s="34"/>
      <c r="AE276" s="34"/>
      <c r="AF276" s="35"/>
      <c r="AG276" s="35"/>
      <c r="AH276" s="35"/>
      <c r="AI276" s="35"/>
      <c r="AJ276" s="34"/>
    </row>
    <row r="277" spans="1:36" s="17" customFormat="1" x14ac:dyDescent="0.25">
      <c r="A277" s="14">
        <f t="shared" si="41"/>
        <v>-32.646231107058597</v>
      </c>
      <c r="B277" s="32">
        <f t="shared" si="42"/>
        <v>9.4175906379999993E-2</v>
      </c>
      <c r="C277" s="33" t="str">
        <f t="shared" si="43"/>
        <v>07:-50--25</v>
      </c>
      <c r="D277" s="34">
        <f t="shared" si="44"/>
        <v>4.4384355066976596E-3</v>
      </c>
      <c r="E277" s="34">
        <f t="shared" si="45"/>
        <v>6.336554310399329E-3</v>
      </c>
      <c r="F277" s="32">
        <f t="shared" si="46"/>
        <v>0.70044937505127292</v>
      </c>
      <c r="G277" s="33">
        <f t="shared" si="47"/>
        <v>5.1980090391392064</v>
      </c>
      <c r="H277" s="33">
        <f t="shared" si="48"/>
        <v>7.3443808435248226</v>
      </c>
      <c r="I277" s="33">
        <f t="shared" ref="I277:I301" si="51">(1-(1-SUM(Z243,AA243,AB243,AC243,AD243*M277))^12)*100</f>
        <v>10.061507187032214</v>
      </c>
      <c r="J277" s="35"/>
      <c r="K277" s="14">
        <f>VLOOKUP($C277,'Refi Adj'!$B$2:$E$32,2,0)</f>
        <v>1</v>
      </c>
      <c r="L277" s="14">
        <f>VLOOKUP($C277,'Refi Adj'!$B$2:$E$32,3,0)</f>
        <v>1</v>
      </c>
      <c r="M277" s="14">
        <f>VLOOKUP($C277,'Refi Adj'!$B$2:$E$32,4,0)</f>
        <v>0.5</v>
      </c>
      <c r="N277" s="35"/>
      <c r="O277" s="35">
        <f>AD243*M277</f>
        <v>2.9472281866686498E-3</v>
      </c>
      <c r="P277" s="38">
        <f>AD208</f>
        <v>3.3856136821910898E-4</v>
      </c>
      <c r="Q277" s="35">
        <f t="shared" ref="Q277:Q301" si="52">(O277*$O$274+P277*$P$274)</f>
        <v>1.3820280955989255E-3</v>
      </c>
      <c r="R277" s="35"/>
      <c r="S277" s="34">
        <f>Z208+AA208+AB208*K277+AC208*L277+Q277*$M$272</f>
        <v>7.2279979472632634E-3</v>
      </c>
      <c r="T277" s="33">
        <f t="shared" si="49"/>
        <v>8.3369615030138515</v>
      </c>
      <c r="U277" s="36">
        <f t="shared" si="50"/>
        <v>0.61406153392422924</v>
      </c>
      <c r="V277" s="35"/>
      <c r="W277" s="35"/>
      <c r="X277" s="37"/>
      <c r="Y277" s="34"/>
      <c r="Z277" s="34"/>
      <c r="AA277" s="35"/>
      <c r="AB277" s="35"/>
      <c r="AC277" s="37"/>
      <c r="AD277" s="34"/>
      <c r="AE277" s="34"/>
      <c r="AF277" s="35"/>
      <c r="AG277" s="35"/>
      <c r="AH277" s="35"/>
      <c r="AI277" s="35"/>
      <c r="AJ277" s="34"/>
    </row>
    <row r="278" spans="1:36" x14ac:dyDescent="0.25">
      <c r="A278" s="14">
        <f t="shared" si="41"/>
        <v>-22.277532842795601</v>
      </c>
      <c r="B278" s="32">
        <f t="shared" si="42"/>
        <v>9.3540212999999997E-2</v>
      </c>
      <c r="C278" s="33" t="str">
        <f t="shared" si="43"/>
        <v>08-1:-25--20</v>
      </c>
      <c r="D278" s="34">
        <f t="shared" si="44"/>
        <v>1.5023404135483299E-3</v>
      </c>
      <c r="E278" s="34">
        <f t="shared" si="45"/>
        <v>6.5523181924248969E-3</v>
      </c>
      <c r="F278" s="32">
        <f t="shared" si="46"/>
        <v>0.22928379993590334</v>
      </c>
      <c r="G278" s="33">
        <f t="shared" si="47"/>
        <v>1.7879864664556711</v>
      </c>
      <c r="H278" s="33">
        <f t="shared" si="48"/>
        <v>7.5855233905059327</v>
      </c>
      <c r="I278" s="33">
        <f t="shared" si="51"/>
        <v>10.814688446955223</v>
      </c>
      <c r="J278" s="35"/>
      <c r="K278" s="14">
        <f>VLOOKUP($C278,'Refi Adj'!$B$2:$E$32,2,0)</f>
        <v>1</v>
      </c>
      <c r="L278" s="14">
        <f>VLOOKUP($C278,'Refi Adj'!$B$2:$E$32,3,0)</f>
        <v>1</v>
      </c>
      <c r="M278" s="14">
        <f>VLOOKUP($C278,'Refi Adj'!$B$2:$E$32,4,0)</f>
        <v>0.51</v>
      </c>
      <c r="N278" s="35"/>
      <c r="O278" s="35">
        <f t="shared" ref="O278:O301" si="53">AD244*M278</f>
        <v>3.6610104559600806E-3</v>
      </c>
      <c r="P278" s="38">
        <f t="shared" ref="P278:P301" si="54">AD209</f>
        <v>7.0146447900806797E-4</v>
      </c>
      <c r="Q278" s="35">
        <f t="shared" si="52"/>
        <v>1.8852828697888729E-3</v>
      </c>
      <c r="R278" s="35"/>
      <c r="S278" s="34">
        <f>Z209+AA209+AB209*K278+AC209*L278+Q277*$M$272</f>
        <v>7.0808587184998722E-3</v>
      </c>
      <c r="T278" s="33">
        <f>100*(1-(1-S278)^12)</f>
        <v>8.1738034556723793</v>
      </c>
      <c r="U278" s="36">
        <f t="shared" si="50"/>
        <v>0.21216924009841151</v>
      </c>
      <c r="V278" s="35"/>
      <c r="W278" s="35"/>
      <c r="X278" s="37"/>
      <c r="Y278" s="34"/>
      <c r="Z278" s="34"/>
      <c r="AA278" s="35"/>
      <c r="AB278" s="35"/>
      <c r="AC278" s="37"/>
      <c r="AD278" s="34"/>
      <c r="AE278" s="34"/>
      <c r="AF278" s="35"/>
      <c r="AG278" s="35"/>
      <c r="AH278" s="35"/>
      <c r="AI278" s="35"/>
      <c r="AJ278" s="34"/>
    </row>
    <row r="279" spans="1:36" x14ac:dyDescent="0.25">
      <c r="A279" s="14">
        <f t="shared" si="41"/>
        <v>-17.3393634311204</v>
      </c>
      <c r="B279" s="32">
        <f t="shared" si="42"/>
        <v>0.17729274558000002</v>
      </c>
      <c r="C279" s="33" t="str">
        <f t="shared" si="43"/>
        <v>08-2:-20--15</v>
      </c>
      <c r="D279" s="34">
        <f t="shared" si="44"/>
        <v>5.01478270023379E-3</v>
      </c>
      <c r="E279" s="34">
        <f t="shared" si="45"/>
        <v>6.71614800749525E-3</v>
      </c>
      <c r="F279" s="32">
        <f t="shared" si="46"/>
        <v>0.74667542982037782</v>
      </c>
      <c r="G279" s="33">
        <f t="shared" si="47"/>
        <v>5.8545055481391657</v>
      </c>
      <c r="H279" s="33">
        <f t="shared" si="48"/>
        <v>7.7682388626088672</v>
      </c>
      <c r="I279" s="33">
        <f t="shared" si="51"/>
        <v>11.609941027538417</v>
      </c>
      <c r="J279" s="35"/>
      <c r="K279" s="14">
        <f>VLOOKUP($C279,'Refi Adj'!$B$2:$E$32,2,0)</f>
        <v>1</v>
      </c>
      <c r="L279" s="14">
        <f>VLOOKUP($C279,'Refi Adj'!$B$2:$E$32,3,0)</f>
        <v>1</v>
      </c>
      <c r="M279" s="14">
        <f>VLOOKUP($C279,'Refi Adj'!$B$2:$E$32,4,0)</f>
        <v>0.52</v>
      </c>
      <c r="N279" s="35"/>
      <c r="O279" s="35">
        <f t="shared" si="53"/>
        <v>4.3758347604431879E-3</v>
      </c>
      <c r="P279" s="38">
        <f t="shared" si="54"/>
        <v>8.8468014043431695E-4</v>
      </c>
      <c r="Q279" s="35">
        <f t="shared" si="52"/>
        <v>2.2811419884378654E-3</v>
      </c>
      <c r="R279" s="35"/>
      <c r="S279" s="34">
        <f>Z210+AA210+AB210*K279+AC210*L279+Q278*$M$272</f>
        <v>7.5093696211730298E-3</v>
      </c>
      <c r="T279" s="33">
        <f t="shared" si="49"/>
        <v>8.6482259212332657</v>
      </c>
      <c r="U279" s="36">
        <f t="shared" si="50"/>
        <v>0.66780341802517862</v>
      </c>
      <c r="V279" s="35"/>
      <c r="W279" s="35"/>
      <c r="X279" s="37"/>
      <c r="Y279" s="34"/>
      <c r="Z279" s="34"/>
      <c r="AA279" s="35"/>
      <c r="AB279" s="35"/>
      <c r="AC279" s="37"/>
      <c r="AD279" s="34"/>
      <c r="AE279" s="34"/>
      <c r="AF279" s="35"/>
      <c r="AG279" s="35"/>
      <c r="AH279" s="37"/>
      <c r="AI279" s="34"/>
      <c r="AJ279" s="34"/>
    </row>
    <row r="280" spans="1:36" x14ac:dyDescent="0.25">
      <c r="A280" s="4">
        <f t="shared" si="41"/>
        <v>-12.3001793946232</v>
      </c>
      <c r="B280" s="3">
        <f t="shared" si="42"/>
        <v>0.30569074597000001</v>
      </c>
      <c r="C280" s="2" t="str">
        <f t="shared" si="43"/>
        <v>08-3:-15--10</v>
      </c>
      <c r="D280" s="8">
        <f t="shared" si="44"/>
        <v>8.2829613821240496E-3</v>
      </c>
      <c r="E280" s="8">
        <f t="shared" si="45"/>
        <v>6.926692389511253E-3</v>
      </c>
      <c r="F280" s="3">
        <f t="shared" si="46"/>
        <v>1.19580326602442</v>
      </c>
      <c r="G280" s="2">
        <f t="shared" si="47"/>
        <v>9.4990165587955477</v>
      </c>
      <c r="H280" s="2">
        <f t="shared" si="48"/>
        <v>8.0025677236592365</v>
      </c>
      <c r="I280" s="33">
        <f t="shared" si="51"/>
        <v>12.319956704890899</v>
      </c>
      <c r="K280" s="14">
        <f>VLOOKUP($C280,'Refi Adj'!$B$2:$E$32,2,0)</f>
        <v>1</v>
      </c>
      <c r="L280" s="14">
        <f>VLOOKUP($C280,'Refi Adj'!$B$2:$E$32,3,0)</f>
        <v>1</v>
      </c>
      <c r="M280" s="14">
        <f>VLOOKUP($C280,'Refi Adj'!$B$2:$E$32,4,0)</f>
        <v>0.53</v>
      </c>
      <c r="O280" s="35">
        <f t="shared" si="53"/>
        <v>4.9417258975916001E-3</v>
      </c>
      <c r="P280" s="38">
        <f t="shared" si="54"/>
        <v>1.07100580814405E-3</v>
      </c>
      <c r="Q280" s="35">
        <f t="shared" si="52"/>
        <v>2.6192938439230698E-3</v>
      </c>
      <c r="S280" s="34">
        <f t="shared" ref="S280:S297" si="55">Z211+AA211+AB211*K280+AC211*L280+Q278*$M$272</f>
        <v>7.5335883354792996E-3</v>
      </c>
      <c r="T280" s="2">
        <f t="shared" si="49"/>
        <v>8.6749722768357564</v>
      </c>
      <c r="U280" s="7">
        <f t="shared" si="50"/>
        <v>1.0994709311518378</v>
      </c>
      <c r="X280" s="9"/>
      <c r="Y280" s="8"/>
      <c r="Z280" s="8"/>
      <c r="AC280" s="9"/>
      <c r="AD280" s="8"/>
      <c r="AE280" s="8"/>
      <c r="AH280" s="9"/>
      <c r="AI280" s="8"/>
      <c r="AJ280" s="8"/>
    </row>
    <row r="281" spans="1:36" x14ac:dyDescent="0.25">
      <c r="A281" s="4">
        <f t="shared" si="41"/>
        <v>-7.3892455028880004</v>
      </c>
      <c r="B281" s="3">
        <f t="shared" si="42"/>
        <v>0.42334242983999998</v>
      </c>
      <c r="C281" s="2" t="str">
        <f t="shared" si="43"/>
        <v>08-4:-10--5</v>
      </c>
      <c r="D281" s="8">
        <f t="shared" si="44"/>
        <v>5.7810224397795403E-3</v>
      </c>
      <c r="E281" s="8">
        <f t="shared" si="45"/>
        <v>7.1661589719654861E-3</v>
      </c>
      <c r="F281" s="3">
        <f t="shared" si="46"/>
        <v>0.8067114422656968</v>
      </c>
      <c r="G281" s="2">
        <f t="shared" si="47"/>
        <v>6.7208491605987071</v>
      </c>
      <c r="H281" s="2">
        <f t="shared" si="48"/>
        <v>8.2684226156828462</v>
      </c>
      <c r="I281" s="33">
        <f t="shared" si="51"/>
        <v>12.899404637501178</v>
      </c>
      <c r="K281" s="14">
        <f>VLOOKUP($C281,'Refi Adj'!$B$2:$E$32,2,0)</f>
        <v>1</v>
      </c>
      <c r="L281" s="14">
        <f>VLOOKUP($C281,'Refi Adj'!$B$2:$E$32,3,0)</f>
        <v>1</v>
      </c>
      <c r="M281" s="14">
        <f>VLOOKUP($C281,'Refi Adj'!$B$2:$E$32,4,0)</f>
        <v>0.54</v>
      </c>
      <c r="O281" s="35">
        <f t="shared" si="53"/>
        <v>5.58131213859885E-3</v>
      </c>
      <c r="P281" s="38">
        <f t="shared" si="54"/>
        <v>1.2113643508668E-3</v>
      </c>
      <c r="Q281" s="35">
        <f t="shared" si="52"/>
        <v>2.95934346595962E-3</v>
      </c>
      <c r="S281" s="34">
        <f t="shared" si="55"/>
        <v>7.9850109908083857E-3</v>
      </c>
      <c r="T281" s="2">
        <f t="shared" si="49"/>
        <v>9.1721966609698882</v>
      </c>
      <c r="U281" s="7">
        <f t="shared" si="50"/>
        <v>0.72398428085247779</v>
      </c>
      <c r="X281" s="9"/>
      <c r="Y281" s="8"/>
      <c r="Z281" s="8"/>
      <c r="AC281" s="9"/>
      <c r="AD281" s="8"/>
      <c r="AE281" s="8"/>
      <c r="AH281" s="9"/>
      <c r="AI281" s="8"/>
      <c r="AJ281" s="8"/>
    </row>
    <row r="282" spans="1:36" x14ac:dyDescent="0.25">
      <c r="A282" s="4">
        <f t="shared" si="41"/>
        <v>-2.32456523933307</v>
      </c>
      <c r="B282" s="3">
        <f t="shared" si="42"/>
        <v>0.59708545827000004</v>
      </c>
      <c r="C282" s="2" t="str">
        <f t="shared" si="43"/>
        <v>08:-25-0</v>
      </c>
      <c r="D282" s="8">
        <f t="shared" si="44"/>
        <v>5.14922196671259E-3</v>
      </c>
      <c r="E282" s="8">
        <f t="shared" si="45"/>
        <v>7.245310246156063E-3</v>
      </c>
      <c r="F282" s="3">
        <f t="shared" si="46"/>
        <v>0.71069723611138191</v>
      </c>
      <c r="G282" s="2">
        <f t="shared" si="47"/>
        <v>6.0070398698801704</v>
      </c>
      <c r="H282" s="2">
        <f t="shared" si="48"/>
        <v>8.3561410817045374</v>
      </c>
      <c r="I282" s="33">
        <f t="shared" si="51"/>
        <v>13.677674721541955</v>
      </c>
      <c r="K282" s="14">
        <f>VLOOKUP($C282,'Refi Adj'!$B$2:$E$32,2,0)</f>
        <v>1</v>
      </c>
      <c r="L282" s="14">
        <f>VLOOKUP($C282,'Refi Adj'!$B$2:$E$32,3,0)</f>
        <v>1</v>
      </c>
      <c r="M282" s="14">
        <f>VLOOKUP($C282,'Refi Adj'!$B$2:$E$32,4,0)</f>
        <v>0.55000000000000004</v>
      </c>
      <c r="O282" s="35">
        <f t="shared" si="53"/>
        <v>6.2663327787289358E-3</v>
      </c>
      <c r="P282" s="38">
        <f t="shared" si="54"/>
        <v>1.3837238875687499E-3</v>
      </c>
      <c r="Q282" s="35">
        <f t="shared" si="52"/>
        <v>3.3367674440328244E-3</v>
      </c>
      <c r="S282" s="34">
        <f t="shared" si="55"/>
        <v>8.1927578796788456E-3</v>
      </c>
      <c r="T282" s="2">
        <f t="shared" si="49"/>
        <v>9.4001868664450043</v>
      </c>
      <c r="U282" s="7">
        <f t="shared" si="50"/>
        <v>0.62850898834501356</v>
      </c>
      <c r="X282" s="9"/>
      <c r="Y282" s="8"/>
      <c r="Z282" s="8"/>
      <c r="AC282" s="9"/>
      <c r="AD282" s="8"/>
      <c r="AE282" s="8"/>
      <c r="AH282" s="9"/>
      <c r="AI282" s="8"/>
      <c r="AJ282" s="8"/>
    </row>
    <row r="283" spans="1:36" x14ac:dyDescent="0.25">
      <c r="A283" s="4">
        <f t="shared" si="41"/>
        <v>2.6698553243783798</v>
      </c>
      <c r="B283" s="3">
        <f t="shared" si="42"/>
        <v>0.84951617439999993</v>
      </c>
      <c r="C283" s="2" t="str">
        <f t="shared" si="43"/>
        <v>09-1:0-5</v>
      </c>
      <c r="D283" s="8">
        <f t="shared" si="44"/>
        <v>6.6264537317863503E-3</v>
      </c>
      <c r="E283" s="8">
        <f t="shared" si="45"/>
        <v>7.5058443761244651E-3</v>
      </c>
      <c r="F283" s="3">
        <f t="shared" si="46"/>
        <v>0.88283921165013879</v>
      </c>
      <c r="G283" s="2">
        <f t="shared" si="47"/>
        <v>7.6682460452392913</v>
      </c>
      <c r="H283" s="2">
        <f t="shared" si="48"/>
        <v>8.6443321573551053</v>
      </c>
      <c r="I283" s="33">
        <f t="shared" si="51"/>
        <v>15.010531625711831</v>
      </c>
      <c r="K283" s="14">
        <f>VLOOKUP($C283,'Refi Adj'!$B$2:$E$32,2,0)</f>
        <v>1</v>
      </c>
      <c r="L283" s="14">
        <f>VLOOKUP($C283,'Refi Adj'!$B$2:$E$32,3,0)</f>
        <v>1</v>
      </c>
      <c r="M283" s="14">
        <f>VLOOKUP($C283,'Refi Adj'!$B$2:$E$32,4,0)</f>
        <v>0.60000000000000009</v>
      </c>
      <c r="O283" s="35">
        <f t="shared" si="53"/>
        <v>7.5277990946113213E-3</v>
      </c>
      <c r="P283" s="38">
        <f t="shared" si="54"/>
        <v>1.5901588176348901E-3</v>
      </c>
      <c r="Q283" s="35">
        <f t="shared" si="52"/>
        <v>3.9652149284254623E-3</v>
      </c>
      <c r="S283" s="34">
        <f t="shared" si="55"/>
        <v>8.5495012431936364E-3</v>
      </c>
      <c r="T283" s="2">
        <f t="shared" si="49"/>
        <v>9.7904685706704964</v>
      </c>
      <c r="U283" s="7">
        <f t="shared" si="50"/>
        <v>0.77506904125685128</v>
      </c>
      <c r="X283" s="9"/>
      <c r="Y283" s="8"/>
      <c r="Z283" s="8"/>
      <c r="AC283" s="9"/>
      <c r="AD283" s="8"/>
      <c r="AE283" s="8"/>
      <c r="AH283" s="9"/>
      <c r="AI283" s="8"/>
      <c r="AJ283" s="8"/>
    </row>
    <row r="284" spans="1:36" x14ac:dyDescent="0.25">
      <c r="A284" s="4">
        <f t="shared" si="41"/>
        <v>7.6123966666084604</v>
      </c>
      <c r="B284" s="3">
        <f t="shared" si="42"/>
        <v>1.12701100769</v>
      </c>
      <c r="C284" s="2" t="str">
        <f t="shared" si="43"/>
        <v>09-2:5-10</v>
      </c>
      <c r="D284" s="8">
        <f t="shared" si="44"/>
        <v>4.4295802433242902E-3</v>
      </c>
      <c r="E284" s="8">
        <f t="shared" si="45"/>
        <v>7.7843557302184098E-3</v>
      </c>
      <c r="F284" s="3">
        <f t="shared" si="46"/>
        <v>0.56903620502964958</v>
      </c>
      <c r="G284" s="2">
        <f t="shared" si="47"/>
        <v>5.1878896729621644</v>
      </c>
      <c r="H284" s="2">
        <f t="shared" si="48"/>
        <v>8.9514899306487479</v>
      </c>
      <c r="I284" s="33">
        <f t="shared" si="51"/>
        <v>16.232985925660802</v>
      </c>
      <c r="K284" s="14">
        <f>VLOOKUP($C284,'Refi Adj'!$B$2:$E$32,2,0)</f>
        <v>1</v>
      </c>
      <c r="L284" s="14">
        <f>VLOOKUP($C284,'Refi Adj'!$B$2:$E$32,3,0)</f>
        <v>1</v>
      </c>
      <c r="M284" s="14">
        <f>VLOOKUP($C284,'Refi Adj'!$B$2:$E$32,4,0)</f>
        <v>0.65</v>
      </c>
      <c r="O284" s="35">
        <f t="shared" si="53"/>
        <v>8.7530449120757498E-3</v>
      </c>
      <c r="P284" s="38">
        <f t="shared" si="54"/>
        <v>1.85002100422148E-3</v>
      </c>
      <c r="Q284" s="35">
        <f t="shared" si="52"/>
        <v>4.6112305673631877E-3</v>
      </c>
      <c r="S284" s="34">
        <f t="shared" si="55"/>
        <v>8.9040577511861427E-3</v>
      </c>
      <c r="T284" s="2">
        <f t="shared" si="49"/>
        <v>10.176830275262949</v>
      </c>
      <c r="U284" s="7">
        <f t="shared" si="50"/>
        <v>0.49747883123671444</v>
      </c>
      <c r="X284" s="9"/>
      <c r="Y284" s="8"/>
      <c r="Z284" s="8"/>
      <c r="AC284" s="9"/>
      <c r="AD284" s="8"/>
      <c r="AE284" s="8"/>
      <c r="AH284" s="9"/>
      <c r="AI284" s="8"/>
      <c r="AJ284" s="8"/>
    </row>
    <row r="285" spans="1:36" x14ac:dyDescent="0.25">
      <c r="A285" s="4">
        <f t="shared" si="41"/>
        <v>12.518270803330701</v>
      </c>
      <c r="B285" s="3">
        <f t="shared" si="42"/>
        <v>1.3086041204500001</v>
      </c>
      <c r="C285" s="2" t="str">
        <f t="shared" si="43"/>
        <v>09-3:10-15</v>
      </c>
      <c r="D285" s="8">
        <f t="shared" si="44"/>
        <v>8.0642555339337403E-3</v>
      </c>
      <c r="E285" s="8">
        <f t="shared" si="45"/>
        <v>8.0263579912691306E-3</v>
      </c>
      <c r="F285" s="3">
        <f t="shared" si="46"/>
        <v>1.0047216362272695</v>
      </c>
      <c r="G285" s="2">
        <f t="shared" si="47"/>
        <v>9.2592249386641114</v>
      </c>
      <c r="H285" s="2">
        <f t="shared" si="48"/>
        <v>9.2176144801423341</v>
      </c>
      <c r="I285" s="33">
        <f t="shared" si="51"/>
        <v>17.835069887438028</v>
      </c>
      <c r="K285" s="14">
        <f>VLOOKUP($C285,'Refi Adj'!$B$2:$E$32,2,0)</f>
        <v>1</v>
      </c>
      <c r="L285" s="14">
        <f>VLOOKUP($C285,'Refi Adj'!$B$2:$E$32,3,0)</f>
        <v>1</v>
      </c>
      <c r="M285" s="14">
        <f>VLOOKUP($C285,'Refi Adj'!$B$2:$E$32,4,0)</f>
        <v>0.70000000000000007</v>
      </c>
      <c r="O285" s="35">
        <f t="shared" si="53"/>
        <v>1.0289258486488801E-2</v>
      </c>
      <c r="P285" s="38">
        <f t="shared" si="54"/>
        <v>2.1269041342321599E-3</v>
      </c>
      <c r="Q285" s="35">
        <f t="shared" si="52"/>
        <v>5.3918458751348163E-3</v>
      </c>
      <c r="S285" s="34">
        <f t="shared" si="55"/>
        <v>9.4284951433356318E-3</v>
      </c>
      <c r="T285" s="2">
        <f t="shared" si="49"/>
        <v>10.745531323180524</v>
      </c>
      <c r="U285" s="7">
        <f t="shared" si="50"/>
        <v>0.85530674952235819</v>
      </c>
      <c r="X285" s="9"/>
      <c r="Y285" s="8"/>
      <c r="Z285" s="8"/>
      <c r="AC285" s="9"/>
      <c r="AD285" s="8"/>
      <c r="AE285" s="8"/>
      <c r="AH285" s="9"/>
      <c r="AI285" s="8"/>
      <c r="AJ285" s="8"/>
    </row>
    <row r="286" spans="1:36" x14ac:dyDescent="0.25">
      <c r="A286" s="4">
        <f t="shared" si="41"/>
        <v>17.603311730778401</v>
      </c>
      <c r="B286" s="3">
        <f t="shared" si="42"/>
        <v>1.4786181760699999</v>
      </c>
      <c r="C286" s="2" t="str">
        <f t="shared" si="43"/>
        <v>09-4:15-20</v>
      </c>
      <c r="D286" s="8">
        <f t="shared" si="44"/>
        <v>7.3683390293436098E-3</v>
      </c>
      <c r="E286" s="8">
        <f t="shared" si="45"/>
        <v>8.4441447780118049E-3</v>
      </c>
      <c r="F286" s="3">
        <f t="shared" si="46"/>
        <v>0.87259742970424337</v>
      </c>
      <c r="G286" s="2">
        <f t="shared" si="47"/>
        <v>8.4923336479145188</v>
      </c>
      <c r="H286" s="2">
        <f t="shared" si="48"/>
        <v>9.6753679485579891</v>
      </c>
      <c r="I286" s="33">
        <f t="shared" si="51"/>
        <v>19.45481051389406</v>
      </c>
      <c r="K286" s="14">
        <f>VLOOKUP($C286,'Refi Adj'!$B$2:$E$32,2,0)</f>
        <v>1</v>
      </c>
      <c r="L286" s="14">
        <f>VLOOKUP($C286,'Refi Adj'!$B$2:$E$32,3,0)</f>
        <v>1</v>
      </c>
      <c r="M286" s="14">
        <f>VLOOKUP($C286,'Refi Adj'!$B$2:$E$32,4,0)</f>
        <v>0.75</v>
      </c>
      <c r="O286" s="35">
        <f t="shared" si="53"/>
        <v>1.2051131903738323E-2</v>
      </c>
      <c r="P286" s="38">
        <f t="shared" si="54"/>
        <v>2.49653109224174E-3</v>
      </c>
      <c r="Q286" s="35">
        <f t="shared" si="52"/>
        <v>6.3183714168403736E-3</v>
      </c>
      <c r="S286" s="34">
        <f t="shared" si="55"/>
        <v>1.0051608890723301E-2</v>
      </c>
      <c r="T286" s="2">
        <f t="shared" si="49"/>
        <v>11.416945830009407</v>
      </c>
      <c r="U286" s="7">
        <f t="shared" si="50"/>
        <v>0.7330507095380423</v>
      </c>
      <c r="X286" s="9"/>
      <c r="Y286" s="8"/>
      <c r="Z286" s="8"/>
      <c r="AC286" s="9"/>
      <c r="AD286" s="8"/>
      <c r="AE286" s="8"/>
      <c r="AH286" s="9"/>
      <c r="AI286" s="8"/>
      <c r="AJ286" s="8"/>
    </row>
    <row r="287" spans="1:36" x14ac:dyDescent="0.25">
      <c r="A287" s="4">
        <f t="shared" si="41"/>
        <v>22.556011012791899</v>
      </c>
      <c r="B287" s="3">
        <f t="shared" si="42"/>
        <v>1.8843531610499999</v>
      </c>
      <c r="C287" s="2" t="str">
        <f t="shared" si="43"/>
        <v>09:0-25</v>
      </c>
      <c r="D287" s="8">
        <f t="shared" si="44"/>
        <v>1.02374263244298E-2</v>
      </c>
      <c r="E287" s="8">
        <f t="shared" si="45"/>
        <v>8.7217305559534851E-3</v>
      </c>
      <c r="F287" s="3">
        <f t="shared" si="46"/>
        <v>1.1737838332372805</v>
      </c>
      <c r="G287" s="2">
        <f t="shared" si="47"/>
        <v>11.616268866587799</v>
      </c>
      <c r="H287" s="2">
        <f t="shared" si="48"/>
        <v>9.978337435113394</v>
      </c>
      <c r="I287" s="33">
        <f t="shared" si="51"/>
        <v>21.161583270948402</v>
      </c>
      <c r="K287" s="14">
        <f>VLOOKUP($C287,'Refi Adj'!$B$2:$E$32,2,0)</f>
        <v>1</v>
      </c>
      <c r="L287" s="14">
        <f>VLOOKUP($C287,'Refi Adj'!$B$2:$E$32,3,0)</f>
        <v>1</v>
      </c>
      <c r="M287" s="14">
        <f>VLOOKUP($C287,'Refi Adj'!$B$2:$E$32,4,0)</f>
        <v>0.8</v>
      </c>
      <c r="O287" s="35">
        <f t="shared" si="53"/>
        <v>1.3780014728388322E-2</v>
      </c>
      <c r="P287" s="38">
        <f t="shared" si="54"/>
        <v>2.90510163500954E-3</v>
      </c>
      <c r="Q287" s="35">
        <f t="shared" si="52"/>
        <v>7.2550668723610533E-3</v>
      </c>
      <c r="S287" s="34">
        <f t="shared" si="55"/>
        <v>1.0615371749813932E-2</v>
      </c>
      <c r="T287" s="2">
        <f t="shared" si="49"/>
        <v>12.020416221447194</v>
      </c>
      <c r="U287" s="7">
        <f t="shared" si="50"/>
        <v>0.96439640228419166</v>
      </c>
      <c r="X287" s="9"/>
      <c r="Y287" s="8"/>
      <c r="Z287" s="8"/>
      <c r="AC287" s="9"/>
      <c r="AD287" s="8"/>
      <c r="AE287" s="8"/>
      <c r="AH287" s="9"/>
      <c r="AI287" s="8"/>
      <c r="AJ287" s="8"/>
    </row>
    <row r="288" spans="1:36" x14ac:dyDescent="0.25">
      <c r="A288" s="4">
        <f t="shared" si="41"/>
        <v>27.554518772975999</v>
      </c>
      <c r="B288" s="3">
        <f t="shared" si="42"/>
        <v>2.0409441096600003</v>
      </c>
      <c r="C288" s="2" t="str">
        <f t="shared" si="43"/>
        <v>10-1:25-30</v>
      </c>
      <c r="D288" s="8">
        <f t="shared" si="44"/>
        <v>8.5323131104548307E-3</v>
      </c>
      <c r="E288" s="8">
        <f t="shared" si="45"/>
        <v>9.1220952711485326E-3</v>
      </c>
      <c r="F288" s="3">
        <f t="shared" si="46"/>
        <v>0.93534575739862402</v>
      </c>
      <c r="G288" s="2">
        <f t="shared" si="47"/>
        <v>9.771699933153144</v>
      </c>
      <c r="H288" s="2">
        <f t="shared" si="48"/>
        <v>10.413672830500364</v>
      </c>
      <c r="I288" s="33">
        <f t="shared" si="51"/>
        <v>23.269134430086403</v>
      </c>
      <c r="K288" s="14">
        <f>VLOOKUP($C288,'Refi Adj'!$B$2:$E$32,2,0)</f>
        <v>1</v>
      </c>
      <c r="L288" s="14">
        <f>VLOOKUP($C288,'Refi Adj'!$B$2:$E$32,3,0)</f>
        <v>1</v>
      </c>
      <c r="M288" s="14">
        <f>VLOOKUP($C288,'Refi Adj'!$B$2:$E$32,4,0)</f>
        <v>0.85000000000000009</v>
      </c>
      <c r="O288" s="35">
        <f t="shared" si="53"/>
        <v>1.5898837468321735E-2</v>
      </c>
      <c r="P288" s="38">
        <f t="shared" si="54"/>
        <v>3.28297130414772E-3</v>
      </c>
      <c r="Q288" s="35">
        <f t="shared" si="52"/>
        <v>8.3293177698173272E-3</v>
      </c>
      <c r="S288" s="34">
        <f t="shared" si="55"/>
        <v>1.1462474527988745E-2</v>
      </c>
      <c r="T288" s="2">
        <f t="shared" si="49"/>
        <v>12.920100234011677</v>
      </c>
      <c r="U288" s="7">
        <f t="shared" si="50"/>
        <v>0.74436921012307344</v>
      </c>
      <c r="X288" s="9"/>
      <c r="Y288" s="8"/>
      <c r="Z288" s="8"/>
      <c r="AC288" s="9"/>
      <c r="AD288" s="8"/>
      <c r="AE288" s="8"/>
      <c r="AH288" s="9"/>
      <c r="AI288" s="8"/>
      <c r="AJ288" s="8"/>
    </row>
    <row r="289" spans="1:36" x14ac:dyDescent="0.25">
      <c r="A289" s="4">
        <f t="shared" si="41"/>
        <v>32.587626652292997</v>
      </c>
      <c r="B289" s="3">
        <f t="shared" si="42"/>
        <v>2.3968876771000001</v>
      </c>
      <c r="C289" s="2" t="str">
        <f t="shared" si="43"/>
        <v>10-2:30-35</v>
      </c>
      <c r="D289" s="8">
        <f t="shared" si="44"/>
        <v>8.7663285967361903E-3</v>
      </c>
      <c r="E289" s="8">
        <f t="shared" si="45"/>
        <v>9.6462882587864378E-3</v>
      </c>
      <c r="F289" s="3">
        <f t="shared" si="46"/>
        <v>0.90877738271518838</v>
      </c>
      <c r="G289" s="2">
        <f t="shared" si="47"/>
        <v>10.026926775989608</v>
      </c>
      <c r="H289" s="2">
        <f t="shared" si="48"/>
        <v>10.98073517111745</v>
      </c>
      <c r="I289" s="33">
        <f t="shared" si="51"/>
        <v>25.395038777163357</v>
      </c>
      <c r="K289" s="14">
        <f>VLOOKUP($C289,'Refi Adj'!$B$2:$E$32,2,0)</f>
        <v>1</v>
      </c>
      <c r="L289" s="14">
        <f>VLOOKUP($C289,'Refi Adj'!$B$2:$E$32,3,0)</f>
        <v>1</v>
      </c>
      <c r="M289" s="14">
        <f>VLOOKUP($C289,'Refi Adj'!$B$2:$E$32,4,0)</f>
        <v>0.9</v>
      </c>
      <c r="O289" s="35">
        <f t="shared" si="53"/>
        <v>1.8143275843753023E-2</v>
      </c>
      <c r="P289" s="38">
        <f t="shared" si="54"/>
        <v>3.7147556468783002E-3</v>
      </c>
      <c r="Q289" s="35">
        <f t="shared" si="52"/>
        <v>9.4861637256281901E-3</v>
      </c>
      <c r="S289" s="34">
        <f t="shared" si="55"/>
        <v>1.2388542128309475E-2</v>
      </c>
      <c r="T289" s="2">
        <f t="shared" si="49"/>
        <v>13.893995485593225</v>
      </c>
      <c r="U289" s="7">
        <f t="shared" si="50"/>
        <v>0.70761583614459023</v>
      </c>
      <c r="X289" s="9"/>
      <c r="Y289" s="8"/>
      <c r="Z289" s="8"/>
      <c r="AC289" s="9"/>
      <c r="AD289" s="8"/>
      <c r="AE289" s="8"/>
      <c r="AH289" s="9"/>
      <c r="AI289" s="8"/>
      <c r="AJ289" s="8"/>
    </row>
    <row r="290" spans="1:36" s="17" customFormat="1" x14ac:dyDescent="0.25">
      <c r="A290" s="4">
        <f t="shared" ref="A290:A301" si="56">K221</f>
        <v>37.551413571491402</v>
      </c>
      <c r="B290" s="3">
        <f t="shared" si="42"/>
        <v>2.7272867750100001</v>
      </c>
      <c r="C290" s="2" t="str">
        <f t="shared" ref="C290:C301" si="57">AO221</f>
        <v>10-3:35-40</v>
      </c>
      <c r="D290" s="8">
        <f t="shared" ref="D290:D301" si="58">E221</f>
        <v>1.0304509095682901E-2</v>
      </c>
      <c r="E290" s="8">
        <f t="shared" si="45"/>
        <v>1.010544699494027E-2</v>
      </c>
      <c r="F290" s="3">
        <f t="shared" si="46"/>
        <v>1.0196984953602053</v>
      </c>
      <c r="G290" s="2">
        <f t="shared" si="47"/>
        <v>11.688126293046853</v>
      </c>
      <c r="H290" s="2">
        <f t="shared" si="48"/>
        <v>11.4747393571344</v>
      </c>
      <c r="I290" s="33">
        <f t="shared" si="51"/>
        <v>27.769171725219131</v>
      </c>
      <c r="J290"/>
      <c r="K290" s="14">
        <f>VLOOKUP($C290,'Refi Adj'!$B$2:$E$32,2,0)</f>
        <v>1</v>
      </c>
      <c r="L290" s="14">
        <f>VLOOKUP($C290,'Refi Adj'!$B$2:$E$32,3,0)</f>
        <v>1</v>
      </c>
      <c r="M290" s="14">
        <f>VLOOKUP($C290,'Refi Adj'!$B$2:$E$32,4,0)</f>
        <v>0.95000000000000007</v>
      </c>
      <c r="N290" s="24"/>
      <c r="O290" s="35">
        <f t="shared" si="53"/>
        <v>2.06743436843729E-2</v>
      </c>
      <c r="P290" s="38">
        <f t="shared" si="54"/>
        <v>4.1307262175913498E-3</v>
      </c>
      <c r="Q290" s="35">
        <f t="shared" si="52"/>
        <v>1.0748173204303971E-2</v>
      </c>
      <c r="R290" s="24"/>
      <c r="S290" s="34">
        <f t="shared" si="55"/>
        <v>1.3387813592486343E-2</v>
      </c>
      <c r="T290" s="2">
        <f t="shared" si="49"/>
        <v>14.933668226564834</v>
      </c>
      <c r="U290" s="7">
        <f t="shared" si="50"/>
        <v>0.76969320079763515</v>
      </c>
      <c r="V290"/>
      <c r="W290"/>
      <c r="X290" s="9"/>
      <c r="Y290" s="8"/>
      <c r="Z290" s="8"/>
      <c r="AA290"/>
      <c r="AB290"/>
      <c r="AC290" s="9"/>
      <c r="AD290" s="8"/>
      <c r="AE290" s="8"/>
      <c r="AF290"/>
      <c r="AG290"/>
      <c r="AH290" s="9"/>
      <c r="AI290" s="8"/>
      <c r="AJ290" s="8"/>
    </row>
    <row r="291" spans="1:36" s="17" customFormat="1" x14ac:dyDescent="0.25">
      <c r="A291" s="4">
        <f t="shared" si="56"/>
        <v>42.511867495518203</v>
      </c>
      <c r="B291" s="3">
        <f t="shared" si="42"/>
        <v>2.85753426041</v>
      </c>
      <c r="C291" s="2" t="str">
        <f t="shared" si="57"/>
        <v>10-4:40-45</v>
      </c>
      <c r="D291" s="8">
        <f t="shared" si="58"/>
        <v>1.20783089859884E-2</v>
      </c>
      <c r="E291" s="8">
        <f t="shared" si="45"/>
        <v>1.0646104351235164E-2</v>
      </c>
      <c r="F291" s="3">
        <f t="shared" si="46"/>
        <v>1.1345285174277924</v>
      </c>
      <c r="G291" s="2">
        <f t="shared" si="47"/>
        <v>13.568857869266571</v>
      </c>
      <c r="H291" s="2">
        <f t="shared" si="48"/>
        <v>12.053204839989274</v>
      </c>
      <c r="I291" s="33">
        <f t="shared" si="51"/>
        <v>30.120730789223938</v>
      </c>
      <c r="J291"/>
      <c r="K291" s="14">
        <f>VLOOKUP($C291,'Refi Adj'!$B$2:$E$32,2,0)</f>
        <v>1</v>
      </c>
      <c r="L291" s="14">
        <f>VLOOKUP($C291,'Refi Adj'!$B$2:$E$32,3,0)</f>
        <v>1</v>
      </c>
      <c r="M291" s="14">
        <f>VLOOKUP($C291,'Refi Adj'!$B$2:$E$32,4,0)</f>
        <v>1</v>
      </c>
      <c r="N291" s="24"/>
      <c r="O291" s="35">
        <f t="shared" si="53"/>
        <v>2.33728772850989E-2</v>
      </c>
      <c r="P291" s="38">
        <f t="shared" si="54"/>
        <v>4.5759844726185796E-3</v>
      </c>
      <c r="Q291" s="35">
        <f t="shared" si="52"/>
        <v>1.2094741597610707E-2</v>
      </c>
      <c r="R291" s="24"/>
      <c r="S291" s="34">
        <f t="shared" si="55"/>
        <v>1.4512805594425674E-2</v>
      </c>
      <c r="T291" s="2">
        <f t="shared" si="49"/>
        <v>16.090366490366325</v>
      </c>
      <c r="U291" s="7">
        <f t="shared" si="50"/>
        <v>0.83225182804265241</v>
      </c>
      <c r="V291"/>
      <c r="W291"/>
      <c r="X291" s="9"/>
      <c r="Y291" s="8"/>
      <c r="Z291" s="8"/>
      <c r="AA291"/>
      <c r="AB291"/>
      <c r="AC291" s="9"/>
      <c r="AD291" s="8"/>
      <c r="AE291" s="8"/>
      <c r="AF291"/>
      <c r="AG291"/>
      <c r="AH291" s="9"/>
      <c r="AI291" s="8"/>
      <c r="AJ291" s="8"/>
    </row>
    <row r="292" spans="1:36" s="17" customFormat="1" x14ac:dyDescent="0.25">
      <c r="A292" s="4">
        <f t="shared" si="56"/>
        <v>47.489156243800899</v>
      </c>
      <c r="B292" s="3">
        <f t="shared" si="42"/>
        <v>3.04160560023</v>
      </c>
      <c r="C292" s="2" t="str">
        <f t="shared" si="57"/>
        <v>10:25-50</v>
      </c>
      <c r="D292" s="8">
        <f t="shared" si="58"/>
        <v>1.44420091455281E-2</v>
      </c>
      <c r="E292" s="8">
        <f t="shared" si="45"/>
        <v>1.1084031633499029E-2</v>
      </c>
      <c r="F292" s="3">
        <f t="shared" si="46"/>
        <v>1.3029563269993139</v>
      </c>
      <c r="G292" s="2">
        <f t="shared" si="47"/>
        <v>16.018002057540258</v>
      </c>
      <c r="H292" s="2">
        <f t="shared" si="48"/>
        <v>12.519214128659639</v>
      </c>
      <c r="I292" s="33">
        <f t="shared" si="51"/>
        <v>32.433304138183686</v>
      </c>
      <c r="J292"/>
      <c r="K292" s="14">
        <f>VLOOKUP($C292,'Refi Adj'!$B$2:$E$32,2,0)</f>
        <v>1</v>
      </c>
      <c r="L292" s="14">
        <f>VLOOKUP($C292,'Refi Adj'!$B$2:$E$32,3,0)</f>
        <v>1</v>
      </c>
      <c r="M292" s="14">
        <f>VLOOKUP($C292,'Refi Adj'!$B$2:$E$32,4,0)</f>
        <v>1.05</v>
      </c>
      <c r="N292" s="24"/>
      <c r="O292" s="35">
        <f t="shared" si="53"/>
        <v>2.5984082694225603E-2</v>
      </c>
      <c r="P292" s="38">
        <f t="shared" si="54"/>
        <v>5.0317501264696999E-3</v>
      </c>
      <c r="Q292" s="35">
        <f t="shared" si="52"/>
        <v>1.3412683153572063E-2</v>
      </c>
      <c r="R292" s="24"/>
      <c r="S292" s="34">
        <f t="shared" si="55"/>
        <v>1.5618155658859862E-2</v>
      </c>
      <c r="T292" s="2">
        <f t="shared" si="49"/>
        <v>17.212810117505661</v>
      </c>
      <c r="U292" s="7">
        <f t="shared" si="50"/>
        <v>0.92469363611032029</v>
      </c>
      <c r="V292"/>
      <c r="W292"/>
      <c r="X292" s="9"/>
      <c r="Y292" s="8"/>
      <c r="Z292" s="8"/>
      <c r="AA292"/>
      <c r="AB292"/>
      <c r="AC292" s="9"/>
      <c r="AD292" s="8"/>
      <c r="AE292" s="8"/>
      <c r="AF292"/>
      <c r="AG292"/>
      <c r="AH292" s="9"/>
      <c r="AI292" s="8"/>
      <c r="AJ292" s="8"/>
    </row>
    <row r="293" spans="1:36" s="17" customFormat="1" x14ac:dyDescent="0.25">
      <c r="A293" s="4">
        <f t="shared" si="56"/>
        <v>52.483275978666299</v>
      </c>
      <c r="B293" s="3">
        <f t="shared" si="42"/>
        <v>2.9049445826599998</v>
      </c>
      <c r="C293" s="2" t="str">
        <f t="shared" si="57"/>
        <v>11-1:50-55</v>
      </c>
      <c r="D293" s="8">
        <f t="shared" si="58"/>
        <v>1.44854474494856E-2</v>
      </c>
      <c r="E293" s="8">
        <f t="shared" si="45"/>
        <v>1.161219793000887E-2</v>
      </c>
      <c r="F293" s="3">
        <f t="shared" si="46"/>
        <v>1.2474337362138415</v>
      </c>
      <c r="G293" s="2">
        <f t="shared" si="47"/>
        <v>16.062409202218909</v>
      </c>
      <c r="H293" s="2">
        <f t="shared" si="48"/>
        <v>13.078237397986737</v>
      </c>
      <c r="I293" s="33">
        <f t="shared" si="51"/>
        <v>35.539307111358454</v>
      </c>
      <c r="J293"/>
      <c r="K293" s="14">
        <f>VLOOKUP($C293,'Refi Adj'!$B$2:$E$32,2,0)</f>
        <v>1</v>
      </c>
      <c r="L293" s="14">
        <f>VLOOKUP($C293,'Refi Adj'!$B$2:$E$32,3,0)</f>
        <v>1</v>
      </c>
      <c r="M293" s="14">
        <f>VLOOKUP($C293,'Refi Adj'!$B$2:$E$32,4,0)</f>
        <v>1.1000000000000001</v>
      </c>
      <c r="N293" s="24"/>
      <c r="O293" s="35">
        <f t="shared" si="53"/>
        <v>2.9787953405473893E-2</v>
      </c>
      <c r="P293" s="38">
        <f t="shared" si="54"/>
        <v>5.4529716833666099E-3</v>
      </c>
      <c r="Q293" s="35">
        <f t="shared" si="52"/>
        <v>1.5186964372209524E-2</v>
      </c>
      <c r="R293" s="24"/>
      <c r="S293" s="34">
        <f t="shared" si="55"/>
        <v>1.6923546268515791E-2</v>
      </c>
      <c r="T293" s="2">
        <f t="shared" si="49"/>
        <v>18.520654820914618</v>
      </c>
      <c r="U293" s="7">
        <f t="shared" si="50"/>
        <v>0.85593451984907098</v>
      </c>
      <c r="V293"/>
      <c r="W293"/>
      <c r="X293" s="9"/>
      <c r="Y293" s="8"/>
      <c r="Z293" s="8"/>
      <c r="AA293"/>
      <c r="AB293"/>
      <c r="AC293" s="9"/>
      <c r="AD293" s="8"/>
      <c r="AE293" s="8"/>
      <c r="AF293"/>
      <c r="AG293"/>
      <c r="AH293" s="9"/>
      <c r="AI293" s="8"/>
      <c r="AJ293" s="8"/>
    </row>
    <row r="294" spans="1:36" s="17" customFormat="1" x14ac:dyDescent="0.25">
      <c r="A294" s="4">
        <f t="shared" si="56"/>
        <v>57.520568586224599</v>
      </c>
      <c r="B294" s="3">
        <f t="shared" si="42"/>
        <v>2.7739340680300004</v>
      </c>
      <c r="C294" s="2" t="str">
        <f t="shared" si="57"/>
        <v>11-2:55-60</v>
      </c>
      <c r="D294" s="8">
        <f t="shared" si="58"/>
        <v>1.9881102661791598E-2</v>
      </c>
      <c r="E294" s="8">
        <f t="shared" si="45"/>
        <v>1.225668215834274E-2</v>
      </c>
      <c r="F294" s="3">
        <f t="shared" si="46"/>
        <v>1.6220623497411291</v>
      </c>
      <c r="G294" s="2">
        <f t="shared" si="47"/>
        <v>21.414005570168882</v>
      </c>
      <c r="H294" s="2">
        <f t="shared" si="48"/>
        <v>13.755937835989773</v>
      </c>
      <c r="I294" s="33">
        <f t="shared" si="51"/>
        <v>37.105052844058719</v>
      </c>
      <c r="J294"/>
      <c r="K294" s="14">
        <f>VLOOKUP($C294,'Refi Adj'!$B$2:$E$32,2,0)</f>
        <v>1</v>
      </c>
      <c r="L294" s="14">
        <f>VLOOKUP($C294,'Refi Adj'!$B$2:$E$32,3,0)</f>
        <v>1</v>
      </c>
      <c r="M294" s="14">
        <f>VLOOKUP($C294,'Refi Adj'!$B$2:$E$32,4,0)</f>
        <v>1.1000000000000001</v>
      </c>
      <c r="N294"/>
      <c r="O294" s="35">
        <f t="shared" si="53"/>
        <v>3.182879250203037E-2</v>
      </c>
      <c r="P294" s="38">
        <f t="shared" si="54"/>
        <v>6.1131825721877199E-3</v>
      </c>
      <c r="Q294" s="35">
        <f t="shared" si="52"/>
        <v>1.6399426544124782E-2</v>
      </c>
      <c r="R294"/>
      <c r="S294" s="34">
        <f t="shared" si="55"/>
        <v>1.8080787592834154E-2</v>
      </c>
      <c r="T294" s="2">
        <f t="shared" si="49"/>
        <v>19.664205864013784</v>
      </c>
      <c r="U294" s="7">
        <f t="shared" si="50"/>
        <v>1.0995706110540755</v>
      </c>
      <c r="V294"/>
      <c r="W294"/>
      <c r="X294" s="9"/>
      <c r="Y294" s="8"/>
      <c r="Z294" s="8"/>
      <c r="AA294"/>
      <c r="AB294"/>
      <c r="AC294" s="9"/>
      <c r="AD294" s="8"/>
      <c r="AE294" s="8"/>
      <c r="AF294"/>
      <c r="AG294"/>
      <c r="AH294" s="9"/>
      <c r="AI294" s="8"/>
      <c r="AJ294" s="8"/>
    </row>
    <row r="295" spans="1:36" s="17" customFormat="1" x14ac:dyDescent="0.25">
      <c r="A295" s="4">
        <f t="shared" si="56"/>
        <v>62.421473594867102</v>
      </c>
      <c r="B295" s="3">
        <f t="shared" si="42"/>
        <v>2.3618516698700001</v>
      </c>
      <c r="C295" s="2" t="str">
        <f t="shared" si="57"/>
        <v>11-3:60-65</v>
      </c>
      <c r="D295" s="8">
        <f t="shared" si="58"/>
        <v>1.8823237047325601E-2</v>
      </c>
      <c r="E295" s="8">
        <f t="shared" si="45"/>
        <v>1.2771029636952171E-2</v>
      </c>
      <c r="F295" s="3">
        <f t="shared" si="46"/>
        <v>1.4739012892791157</v>
      </c>
      <c r="G295" s="2">
        <f t="shared" si="47"/>
        <v>20.39010484153405</v>
      </c>
      <c r="H295" s="2">
        <f t="shared" si="48"/>
        <v>14.293315383894178</v>
      </c>
      <c r="I295" s="33">
        <f t="shared" si="51"/>
        <v>38.062400684023366</v>
      </c>
      <c r="J295"/>
      <c r="K295" s="14">
        <f>VLOOKUP($C295,'Refi Adj'!$B$2:$E$32,2,0)</f>
        <v>1</v>
      </c>
      <c r="L295" s="14">
        <f>VLOOKUP($C295,'Refi Adj'!$B$2:$E$32,3,0)</f>
        <v>1</v>
      </c>
      <c r="M295" s="14">
        <f>VLOOKUP($C295,'Refi Adj'!$B$2:$E$32,4,0)</f>
        <v>1.1000000000000001</v>
      </c>
      <c r="N295"/>
      <c r="O295" s="35">
        <f t="shared" si="53"/>
        <v>3.299475733378792E-2</v>
      </c>
      <c r="P295" s="38">
        <f t="shared" si="54"/>
        <v>6.6948710637772298E-3</v>
      </c>
      <c r="Q295" s="35">
        <f t="shared" si="52"/>
        <v>1.7214825571781507E-2</v>
      </c>
      <c r="R295"/>
      <c r="S295" s="34">
        <f t="shared" si="55"/>
        <v>1.9592556864441418E-2</v>
      </c>
      <c r="T295" s="2">
        <f t="shared" si="49"/>
        <v>21.135928155533399</v>
      </c>
      <c r="U295" s="7">
        <f t="shared" si="50"/>
        <v>0.96073407761740082</v>
      </c>
      <c r="V295"/>
      <c r="W295"/>
      <c r="X295" s="9"/>
      <c r="Y295" s="8"/>
      <c r="Z295" s="8"/>
      <c r="AA295"/>
      <c r="AB295"/>
      <c r="AC295" s="9"/>
      <c r="AD295" s="8"/>
      <c r="AE295" s="8"/>
      <c r="AF295"/>
      <c r="AG295"/>
      <c r="AH295" s="9"/>
      <c r="AI295" s="8"/>
      <c r="AJ295" s="8"/>
    </row>
    <row r="296" spans="1:36" s="17" customFormat="1" x14ac:dyDescent="0.25">
      <c r="A296" s="4">
        <f t="shared" si="56"/>
        <v>67.454474482929697</v>
      </c>
      <c r="B296" s="3">
        <f t="shared" si="42"/>
        <v>1.81490989244</v>
      </c>
      <c r="C296" s="2" t="str">
        <f t="shared" si="57"/>
        <v>11-4:65-70</v>
      </c>
      <c r="D296" s="8">
        <f t="shared" si="58"/>
        <v>2.33862636835654E-2</v>
      </c>
      <c r="E296" s="8">
        <f t="shared" si="45"/>
        <v>1.3264604189378805E-2</v>
      </c>
      <c r="F296" s="3">
        <f t="shared" si="46"/>
        <v>1.7630577851912972</v>
      </c>
      <c r="G296" s="2">
        <f t="shared" si="47"/>
        <v>24.720982650224631</v>
      </c>
      <c r="H296" s="2">
        <f t="shared" si="48"/>
        <v>14.806102312465729</v>
      </c>
      <c r="I296" s="33">
        <f t="shared" si="51"/>
        <v>39.341084271462265</v>
      </c>
      <c r="J296"/>
      <c r="K296" s="14">
        <f>VLOOKUP($C296,'Refi Adj'!$B$2:$E$32,2,0)</f>
        <v>1</v>
      </c>
      <c r="L296" s="14">
        <f>VLOOKUP($C296,'Refi Adj'!$B$2:$E$32,3,0)</f>
        <v>1</v>
      </c>
      <c r="M296" s="14">
        <f>VLOOKUP($C296,'Refi Adj'!$B$2:$E$32,4,0)</f>
        <v>1.1000000000000001</v>
      </c>
      <c r="N296"/>
      <c r="O296" s="35">
        <f t="shared" si="53"/>
        <v>3.466266088878274E-2</v>
      </c>
      <c r="P296" s="38">
        <f t="shared" si="54"/>
        <v>7.1254450722811596E-3</v>
      </c>
      <c r="Q296" s="35">
        <f t="shared" si="52"/>
        <v>1.8140331398881791E-2</v>
      </c>
      <c r="R296"/>
      <c r="S296" s="34">
        <f t="shared" si="55"/>
        <v>2.0734648741368704E-2</v>
      </c>
      <c r="T296" s="2">
        <f t="shared" si="49"/>
        <v>22.231331944795706</v>
      </c>
      <c r="U296" s="7">
        <f t="shared" si="50"/>
        <v>1.1278832824838905</v>
      </c>
      <c r="V296"/>
      <c r="W296"/>
      <c r="X296" s="9"/>
      <c r="Y296" s="8"/>
      <c r="Z296" s="8"/>
      <c r="AA296"/>
      <c r="AB296"/>
      <c r="AC296" s="9"/>
      <c r="AD296" s="8"/>
      <c r="AE296" s="8"/>
      <c r="AF296"/>
      <c r="AG296"/>
      <c r="AH296" s="9"/>
      <c r="AI296" s="8"/>
      <c r="AJ296" s="8"/>
    </row>
    <row r="297" spans="1:36" s="17" customFormat="1" x14ac:dyDescent="0.25">
      <c r="A297" s="4">
        <f t="shared" si="56"/>
        <v>72.435125178142002</v>
      </c>
      <c r="B297" s="3">
        <f t="shared" si="42"/>
        <v>1.5721679455499999</v>
      </c>
      <c r="C297" s="2" t="str">
        <f t="shared" si="57"/>
        <v>11:50-75</v>
      </c>
      <c r="D297" s="8">
        <f t="shared" si="58"/>
        <v>2.3355594515483399E-2</v>
      </c>
      <c r="E297" s="8">
        <f t="shared" si="45"/>
        <v>1.3831409873899494E-2</v>
      </c>
      <c r="F297" s="3">
        <f t="shared" si="46"/>
        <v>1.688591020612908</v>
      </c>
      <c r="G297" s="2">
        <f t="shared" si="47"/>
        <v>24.692609381763731</v>
      </c>
      <c r="H297" s="2">
        <f t="shared" si="48"/>
        <v>15.3915008062122</v>
      </c>
      <c r="I297" s="33">
        <f t="shared" si="51"/>
        <v>42.105050167123402</v>
      </c>
      <c r="J297"/>
      <c r="K297" s="14">
        <f>VLOOKUP($C297,'Refi Adj'!$B$2:$E$32,2,0)</f>
        <v>1</v>
      </c>
      <c r="L297" s="14">
        <f>VLOOKUP($C297,'Refi Adj'!$B$2:$E$32,3,0)</f>
        <v>1</v>
      </c>
      <c r="M297" s="14">
        <f>VLOOKUP($C297,'Refi Adj'!$B$2:$E$32,4,0)</f>
        <v>1.1000000000000001</v>
      </c>
      <c r="N297"/>
      <c r="O297" s="35">
        <f t="shared" si="53"/>
        <v>3.8219246994745854E-2</v>
      </c>
      <c r="P297" s="38">
        <f t="shared" si="54"/>
        <v>7.6912367119768999E-3</v>
      </c>
      <c r="Q297" s="35">
        <f t="shared" si="52"/>
        <v>1.990244082508448E-2</v>
      </c>
      <c r="R297"/>
      <c r="S297" s="34">
        <f t="shared" si="55"/>
        <v>2.1461367920808133E-2</v>
      </c>
      <c r="T297" s="2">
        <f t="shared" si="49"/>
        <v>22.921063822682086</v>
      </c>
      <c r="U297" s="7">
        <f t="shared" si="50"/>
        <v>1.0882621555934791</v>
      </c>
      <c r="V297"/>
      <c r="W297"/>
      <c r="X297" s="9"/>
      <c r="Y297" s="8"/>
      <c r="Z297" s="8"/>
      <c r="AA297"/>
      <c r="AB297"/>
      <c r="AC297" s="9"/>
      <c r="AD297" s="8"/>
      <c r="AE297" s="8"/>
      <c r="AF297"/>
      <c r="AG297"/>
      <c r="AH297" s="9"/>
      <c r="AI297" s="8"/>
      <c r="AJ297" s="8"/>
    </row>
    <row r="298" spans="1:36" s="17" customFormat="1" x14ac:dyDescent="0.25">
      <c r="A298" s="4">
        <f t="shared" si="56"/>
        <v>85.146178233817196</v>
      </c>
      <c r="B298" s="3">
        <f t="shared" si="42"/>
        <v>4.3098673981499998</v>
      </c>
      <c r="C298" s="2" t="str">
        <f t="shared" si="57"/>
        <v>12:75-100</v>
      </c>
      <c r="D298" s="8">
        <f t="shared" si="58"/>
        <v>2.4294744649296301E-2</v>
      </c>
      <c r="E298" s="8">
        <f t="shared" si="45"/>
        <v>1.5511574316455223E-2</v>
      </c>
      <c r="F298" s="3">
        <f t="shared" si="46"/>
        <v>1.5662333270404141</v>
      </c>
      <c r="G298" s="2">
        <f t="shared" si="47"/>
        <v>25.557023348694418</v>
      </c>
      <c r="H298" s="2">
        <f t="shared" si="48"/>
        <v>17.105183270907197</v>
      </c>
      <c r="I298" s="33">
        <f t="shared" si="51"/>
        <v>43.530752882569715</v>
      </c>
      <c r="J298"/>
      <c r="K298" s="14">
        <f>VLOOKUP($C298,'Refi Adj'!$B$2:$E$32,2,0)</f>
        <v>1</v>
      </c>
      <c r="L298" s="14">
        <f>VLOOKUP($C298,'Refi Adj'!$B$2:$E$32,3,0)</f>
        <v>1</v>
      </c>
      <c r="M298" s="14">
        <f>VLOOKUP($C298,'Refi Adj'!$B$2:$E$32,4,0)</f>
        <v>1.02</v>
      </c>
      <c r="N298"/>
      <c r="O298" s="35">
        <f t="shared" si="53"/>
        <v>3.9910706192866185E-2</v>
      </c>
      <c r="P298" s="38">
        <f t="shared" si="54"/>
        <v>9.2074242833670907E-3</v>
      </c>
      <c r="Q298" s="35">
        <f t="shared" si="52"/>
        <v>2.148873704716673E-2</v>
      </c>
      <c r="R298"/>
      <c r="S298" s="34">
        <f>Z229+AA229+AB229*K298+AC229*L298+Q297*$M$272</f>
        <v>2.4017322367413323E-2</v>
      </c>
      <c r="T298" s="2">
        <f t="shared" si="49"/>
        <v>25.302629303821746</v>
      </c>
      <c r="U298" s="7">
        <f t="shared" si="50"/>
        <v>1.0115509246883985</v>
      </c>
      <c r="V298"/>
      <c r="W298"/>
      <c r="X298" s="9"/>
      <c r="Y298" s="8"/>
      <c r="Z298" s="8"/>
      <c r="AA298"/>
      <c r="AB298"/>
      <c r="AC298" s="9"/>
      <c r="AD298" s="8"/>
      <c r="AE298" s="8"/>
      <c r="AF298"/>
      <c r="AG298"/>
      <c r="AH298" s="9"/>
      <c r="AI298" s="8"/>
      <c r="AJ298" s="8"/>
    </row>
    <row r="299" spans="1:36" s="17" customFormat="1" x14ac:dyDescent="0.25">
      <c r="A299" s="4">
        <f t="shared" si="56"/>
        <v>109.69230835286599</v>
      </c>
      <c r="B299" s="3">
        <f t="shared" si="42"/>
        <v>1.26802996237</v>
      </c>
      <c r="C299" s="2" t="str">
        <f t="shared" si="57"/>
        <v>13:100-125</v>
      </c>
      <c r="D299" s="8">
        <f t="shared" si="58"/>
        <v>2.8970628226542301E-2</v>
      </c>
      <c r="E299" s="8">
        <f t="shared" si="45"/>
        <v>1.8893827690118173E-2</v>
      </c>
      <c r="F299" s="3">
        <f t="shared" si="46"/>
        <v>1.5333382256732702</v>
      </c>
      <c r="G299" s="2">
        <f t="shared" si="47"/>
        <v>29.72701522286939</v>
      </c>
      <c r="H299" s="2">
        <f t="shared" si="48"/>
        <v>20.45880794231223</v>
      </c>
      <c r="I299" s="33">
        <f t="shared" si="51"/>
        <v>44.563835596086484</v>
      </c>
      <c r="J299"/>
      <c r="K299" s="14">
        <f>VLOOKUP($C299,'Refi Adj'!$B$2:$E$32,2,0)</f>
        <v>1</v>
      </c>
      <c r="L299" s="14">
        <f>VLOOKUP($C299,'Refi Adj'!$B$2:$E$32,3,0)</f>
        <v>1</v>
      </c>
      <c r="M299" s="14">
        <f>VLOOKUP($C299,'Refi Adj'!$B$2:$E$32,4,0)</f>
        <v>0.95</v>
      </c>
      <c r="N299"/>
      <c r="O299" s="35">
        <f t="shared" si="53"/>
        <v>4.101132343525387E-2</v>
      </c>
      <c r="P299" s="38">
        <f t="shared" si="54"/>
        <v>1.2297879467316499E-2</v>
      </c>
      <c r="Q299" s="35">
        <f t="shared" si="52"/>
        <v>2.3783257054491448E-2</v>
      </c>
      <c r="R299"/>
      <c r="S299" s="34">
        <f>Z230+AA230+AB230*K299+AC230*L299+Q298*$M$272</f>
        <v>2.5720924194780066E-2</v>
      </c>
      <c r="T299" s="2">
        <f t="shared" si="49"/>
        <v>26.852328505324717</v>
      </c>
      <c r="U299" s="7">
        <f t="shared" si="50"/>
        <v>1.1263447614538573</v>
      </c>
      <c r="V299"/>
      <c r="W299"/>
      <c r="X299" s="9"/>
      <c r="Y299" s="8"/>
      <c r="Z299" s="8"/>
      <c r="AA299"/>
      <c r="AB299"/>
      <c r="AC299" s="9"/>
      <c r="AD299" s="8"/>
      <c r="AE299" s="8"/>
      <c r="AF299"/>
      <c r="AG299"/>
      <c r="AH299" s="9"/>
      <c r="AI299" s="8"/>
      <c r="AJ299" s="8"/>
    </row>
    <row r="300" spans="1:36" s="17" customFormat="1" x14ac:dyDescent="0.25">
      <c r="A300" s="4">
        <f t="shared" si="56"/>
        <v>135.45389917225501</v>
      </c>
      <c r="B300" s="3">
        <f t="shared" si="42"/>
        <v>0.39637385154000004</v>
      </c>
      <c r="C300" s="2" t="str">
        <f t="shared" si="57"/>
        <v>14:125-150</v>
      </c>
      <c r="D300" s="8">
        <f t="shared" si="58"/>
        <v>3.3329577246765503E-2</v>
      </c>
      <c r="E300" s="8">
        <f t="shared" si="45"/>
        <v>2.3393635791457975E-2</v>
      </c>
      <c r="F300" s="3">
        <f t="shared" si="46"/>
        <v>1.4247283980943042</v>
      </c>
      <c r="G300" s="2">
        <f t="shared" si="47"/>
        <v>33.420402080467305</v>
      </c>
      <c r="H300" s="2">
        <f t="shared" si="48"/>
        <v>24.727801419739471</v>
      </c>
      <c r="I300" s="33">
        <f t="shared" si="51"/>
        <v>45.134289001703046</v>
      </c>
      <c r="J300"/>
      <c r="K300" s="14">
        <f>VLOOKUP($C300,'Refi Adj'!$B$2:$E$32,2,0)</f>
        <v>1</v>
      </c>
      <c r="L300" s="14">
        <f>VLOOKUP($C300,'Refi Adj'!$B$2:$E$32,3,0)</f>
        <v>1</v>
      </c>
      <c r="M300" s="14">
        <f>VLOOKUP($C300,'Refi Adj'!$B$2:$E$32,4,0)</f>
        <v>0.92</v>
      </c>
      <c r="N300"/>
      <c r="O300" s="35">
        <f t="shared" si="53"/>
        <v>4.1697514141643389E-2</v>
      </c>
      <c r="P300" s="38">
        <f t="shared" si="54"/>
        <v>1.6432322650990299E-2</v>
      </c>
      <c r="Q300" s="35">
        <f t="shared" si="52"/>
        <v>2.6538399247251536E-2</v>
      </c>
      <c r="R300"/>
      <c r="S300" s="34">
        <f>Z231+AA231+AB231*K300+AC231*L300+Q299*$M$272</f>
        <v>2.8128411918965066E-2</v>
      </c>
      <c r="T300" s="2">
        <f t="shared" si="49"/>
        <v>28.992105949859702</v>
      </c>
      <c r="U300" s="7">
        <f t="shared" si="50"/>
        <v>1.1849078910954673</v>
      </c>
      <c r="V300"/>
      <c r="W300"/>
      <c r="X300" s="9"/>
      <c r="Y300" s="8"/>
      <c r="Z300" s="8"/>
      <c r="AA300"/>
      <c r="AB300"/>
      <c r="AC300" s="9"/>
      <c r="AD300" s="8"/>
      <c r="AE300" s="8"/>
      <c r="AF300"/>
      <c r="AG300"/>
      <c r="AH300" s="9"/>
      <c r="AI300" s="8"/>
      <c r="AJ300" s="8"/>
    </row>
    <row r="301" spans="1:36" s="17" customFormat="1" x14ac:dyDescent="0.25">
      <c r="A301" s="4">
        <f t="shared" si="56"/>
        <v>159.240080075191</v>
      </c>
      <c r="B301" s="3">
        <f t="shared" si="42"/>
        <v>0.11794426548999999</v>
      </c>
      <c r="C301" s="2" t="str">
        <f t="shared" si="57"/>
        <v>15:150-175</v>
      </c>
      <c r="D301" s="8">
        <f t="shared" si="58"/>
        <v>3.9323300224375697E-2</v>
      </c>
      <c r="E301" s="8">
        <f t="shared" si="45"/>
        <v>2.789848331783621E-2</v>
      </c>
      <c r="F301" s="3">
        <f t="shared" si="46"/>
        <v>1.4095139071318372</v>
      </c>
      <c r="G301" s="2">
        <f t="shared" si="47"/>
        <v>38.208734527788778</v>
      </c>
      <c r="H301" s="2">
        <f t="shared" si="48"/>
        <v>28.790252035737605</v>
      </c>
      <c r="I301" s="33">
        <f t="shared" si="51"/>
        <v>44.077868317870561</v>
      </c>
      <c r="J301"/>
      <c r="K301" s="14">
        <f>VLOOKUP($C301,'Refi Adj'!$B$2:$E$32,2,0)</f>
        <v>1</v>
      </c>
      <c r="L301" s="14">
        <f>VLOOKUP($C301,'Refi Adj'!$B$2:$E$32,3,0)</f>
        <v>1</v>
      </c>
      <c r="M301" s="14">
        <f>VLOOKUP($C301,'Refi Adj'!$B$2:$E$32,4,0)</f>
        <v>0.9</v>
      </c>
      <c r="N301"/>
      <c r="O301" s="35">
        <f t="shared" si="53"/>
        <v>4.0334871416205509E-2</v>
      </c>
      <c r="P301" s="38">
        <f t="shared" si="54"/>
        <v>2.0803099675315601E-2</v>
      </c>
      <c r="Q301" s="35">
        <f t="shared" si="52"/>
        <v>2.8615808371671561E-2</v>
      </c>
      <c r="R301"/>
      <c r="S301" s="34">
        <f>Z232+AA232+AB232*K301+AC232*L301+Q300*$M$272</f>
        <v>3.0714558972574482E-2</v>
      </c>
      <c r="T301" s="2">
        <f t="shared" si="49"/>
        <v>31.226634972139657</v>
      </c>
      <c r="U301" s="7">
        <f t="shared" si="50"/>
        <v>1.280282105287206</v>
      </c>
      <c r="V301"/>
      <c r="W301"/>
      <c r="X301" s="9"/>
      <c r="Y301" s="8"/>
      <c r="Z301" s="8"/>
      <c r="AA301"/>
      <c r="AB301"/>
      <c r="AC301" s="9"/>
      <c r="AD301" s="8"/>
      <c r="AE301" s="8"/>
      <c r="AF301"/>
      <c r="AG301"/>
      <c r="AH301" s="9"/>
      <c r="AI301" s="8"/>
      <c r="AJ301" s="8"/>
    </row>
    <row r="302" spans="1:36" s="17" customFormat="1" x14ac:dyDescent="0.25">
      <c r="A302" s="15"/>
      <c r="B302" s="20"/>
      <c r="C302" s="21"/>
      <c r="D302" s="16"/>
      <c r="E302" s="16"/>
      <c r="F302" s="20"/>
      <c r="G302" s="21"/>
      <c r="H302" s="21"/>
      <c r="K302" s="14"/>
      <c r="L302" s="14"/>
      <c r="M302" s="14"/>
      <c r="N302" s="16"/>
      <c r="O302" s="21"/>
      <c r="P302" s="22"/>
      <c r="X302" s="18"/>
      <c r="Y302" s="16"/>
      <c r="Z302" s="16"/>
      <c r="AC302" s="18"/>
      <c r="AD302" s="16"/>
      <c r="AE302" s="16"/>
    </row>
    <row r="303" spans="1:36" s="17" customFormat="1" x14ac:dyDescent="0.25">
      <c r="A303" s="15"/>
      <c r="B303" s="20"/>
      <c r="C303" s="21"/>
      <c r="D303" s="16"/>
      <c r="E303" s="16"/>
      <c r="F303" s="20"/>
      <c r="G303" s="21"/>
      <c r="H303" s="21"/>
      <c r="K303" s="14"/>
      <c r="L303" s="14"/>
      <c r="M303" s="14"/>
      <c r="N303" s="16"/>
      <c r="O303" s="21"/>
      <c r="P303" s="22"/>
      <c r="X303" s="18"/>
      <c r="Y303" s="16"/>
      <c r="Z303" s="16"/>
      <c r="AC303" s="18"/>
      <c r="AD303" s="16"/>
      <c r="AE303" s="16"/>
    </row>
    <row r="304" spans="1:36" s="17" customFormat="1" x14ac:dyDescent="0.25">
      <c r="A304" s="15"/>
      <c r="B304" s="20"/>
      <c r="C304" s="21"/>
      <c r="D304" s="16"/>
      <c r="E304" s="16"/>
      <c r="F304" s="20"/>
      <c r="G304" s="21"/>
      <c r="H304" s="21"/>
      <c r="K304" s="14"/>
      <c r="L304" s="14"/>
      <c r="M304" s="14"/>
      <c r="N304" s="16"/>
      <c r="O304" s="21"/>
      <c r="P304" s="22"/>
      <c r="X304" s="18"/>
      <c r="Y304" s="16"/>
      <c r="Z304" s="16"/>
      <c r="AC304" s="18"/>
      <c r="AD304" s="16"/>
      <c r="AE304" s="16"/>
    </row>
    <row r="305" spans="1:31" s="17" customFormat="1" x14ac:dyDescent="0.25">
      <c r="A305" s="15"/>
      <c r="B305" s="20"/>
      <c r="C305" s="21"/>
      <c r="D305" s="16"/>
      <c r="E305" s="16"/>
      <c r="F305" s="20"/>
      <c r="G305" s="21"/>
      <c r="H305" s="21"/>
      <c r="K305" s="15"/>
      <c r="L305" s="15"/>
      <c r="M305" s="15"/>
      <c r="N305" s="16"/>
      <c r="O305" s="21"/>
      <c r="P305" s="22"/>
      <c r="X305" s="18"/>
      <c r="Y305" s="16"/>
      <c r="Z305" s="16"/>
      <c r="AC305" s="18"/>
      <c r="AD305" s="16"/>
      <c r="AE305" s="16"/>
    </row>
    <row r="306" spans="1:31" s="17" customFormat="1" x14ac:dyDescent="0.25">
      <c r="A306" s="15"/>
      <c r="B306" s="20"/>
      <c r="C306" s="21"/>
      <c r="D306" s="16"/>
      <c r="E306" s="16"/>
      <c r="F306" s="20"/>
      <c r="G306" s="21"/>
      <c r="H306" s="21"/>
      <c r="K306" s="15"/>
      <c r="L306" s="15"/>
      <c r="M306" s="23"/>
      <c r="N306" s="16"/>
      <c r="O306" s="21"/>
      <c r="P306" s="22"/>
      <c r="X306" s="18"/>
      <c r="Y306" s="16"/>
      <c r="Z306" s="16"/>
      <c r="AC306" s="18"/>
      <c r="AD306" s="16"/>
      <c r="AE306" s="16"/>
    </row>
  </sheetData>
  <conditionalFormatting sqref="AQ104">
    <cfRule type="dataBar" priority="63">
      <dataBar>
        <cfvo type="min"/>
        <cfvo type="max"/>
        <color rgb="FF638EC6"/>
      </dataBar>
      <extLst>
        <ext xmlns:x14="http://schemas.microsoft.com/office/spreadsheetml/2009/9/main" uri="{B025F937-C7B1-47D3-B67F-A62EFF666E3E}">
          <x14:id>{7F887866-3709-4557-B367-E276FB81D8F0}</x14:id>
        </ext>
      </extLst>
    </cfRule>
  </conditionalFormatting>
  <conditionalFormatting sqref="F76:F100">
    <cfRule type="colorScale" priority="55">
      <colorScale>
        <cfvo type="min"/>
        <cfvo type="num" val="1"/>
        <cfvo type="max"/>
        <color rgb="FFF8696B"/>
        <color theme="0"/>
        <color theme="4"/>
      </colorScale>
    </cfRule>
  </conditionalFormatting>
  <conditionalFormatting sqref="U76:U100">
    <cfRule type="colorScale" priority="54">
      <colorScale>
        <cfvo type="min"/>
        <cfvo type="num" val="1"/>
        <cfvo type="max"/>
        <color rgb="FFF8696B"/>
        <color theme="0"/>
        <color theme="4"/>
      </colorScale>
    </cfRule>
  </conditionalFormatting>
  <conditionalFormatting sqref="AQ2:AQ34">
    <cfRule type="dataBar" priority="56">
      <dataBar>
        <cfvo type="min"/>
        <cfvo type="max"/>
        <color rgb="FF638EC6"/>
      </dataBar>
      <extLst>
        <ext xmlns:x14="http://schemas.microsoft.com/office/spreadsheetml/2009/9/main" uri="{B025F937-C7B1-47D3-B67F-A62EFF666E3E}">
          <x14:id>{9599D91F-38C6-4B2E-840A-5A1DEA62A1D2}</x14:id>
        </ext>
      </extLst>
    </cfRule>
  </conditionalFormatting>
  <conditionalFormatting sqref="B72:B99">
    <cfRule type="dataBar" priority="57">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105:AQ133">
    <cfRule type="dataBar" priority="49">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22:AQ131">
    <cfRule type="dataBar" priority="31">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132:AQ133 AQ169:AQ170">
    <cfRule type="dataBar" priority="30">
      <dataBar>
        <cfvo type="min"/>
        <cfvo type="max"/>
        <color rgb="FF638EC6"/>
      </dataBar>
      <extLst>
        <ext xmlns:x14="http://schemas.microsoft.com/office/spreadsheetml/2009/9/main" uri="{B025F937-C7B1-47D3-B67F-A62EFF666E3E}">
          <x14:id>{DE3AA7FA-72C4-4038-B11F-C5B74588139F}</x14:id>
        </ext>
      </extLst>
    </cfRule>
  </conditionalFormatting>
  <conditionalFormatting sqref="F302:F305">
    <cfRule type="colorScale" priority="24">
      <colorScale>
        <cfvo type="min"/>
        <cfvo type="num" val="1"/>
        <cfvo type="max"/>
        <color rgb="FFF8696B"/>
        <color theme="0"/>
        <color theme="4"/>
      </colorScale>
    </cfRule>
  </conditionalFormatting>
  <conditionalFormatting sqref="P302:P305">
    <cfRule type="colorScale" priority="23">
      <colorScale>
        <cfvo type="min"/>
        <cfvo type="num" val="1"/>
        <cfvo type="max"/>
        <color rgb="FFF8696B"/>
        <color theme="0"/>
        <color theme="4"/>
      </colorScale>
    </cfRule>
  </conditionalFormatting>
  <conditionalFormatting sqref="B302:B304">
    <cfRule type="dataBar" priority="26">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223:AQ232">
    <cfRule type="dataBar" priority="17">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235">
    <cfRule type="dataBar" priority="20">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205">
    <cfRule type="dataBar" priority="19">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206:AQ234">
    <cfRule type="dataBar" priority="18">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233:AQ234">
    <cfRule type="dataBar" priority="16">
      <dataBar>
        <cfvo type="min"/>
        <cfvo type="max"/>
        <color rgb="FF638EC6"/>
      </dataBar>
      <extLst>
        <ext xmlns:x14="http://schemas.microsoft.com/office/spreadsheetml/2009/9/main" uri="{B025F937-C7B1-47D3-B67F-A62EFF666E3E}">
          <x14:id>{AF94569B-8F7C-4CE9-A2EE-32898D115F75}</x14:id>
        </ext>
      </extLst>
    </cfRule>
  </conditionalFormatting>
  <conditionalFormatting sqref="AQ93">
    <cfRule type="dataBar" priority="14">
      <dataBar>
        <cfvo type="min"/>
        <cfvo type="max"/>
        <color rgb="FF638EC6"/>
      </dataBar>
      <extLst>
        <ext xmlns:x14="http://schemas.microsoft.com/office/spreadsheetml/2009/9/main" uri="{B025F937-C7B1-47D3-B67F-A62EFF666E3E}">
          <x14:id>{80159331-65D4-4396-893B-E32CAB04680C}</x14:id>
        </ext>
      </extLst>
    </cfRule>
  </conditionalFormatting>
  <conditionalFormatting sqref="AQ38:AQ67">
    <cfRule type="dataBar" priority="12">
      <dataBar>
        <cfvo type="min"/>
        <cfvo type="max"/>
        <color rgb="FF638EC6"/>
      </dataBar>
      <extLst>
        <ext xmlns:x14="http://schemas.microsoft.com/office/spreadsheetml/2009/9/main" uri="{B025F937-C7B1-47D3-B67F-A62EFF666E3E}">
          <x14:id>{858F565D-CF3B-4FA3-A9DD-00FCEFB37068}</x14:id>
        </ext>
      </extLst>
    </cfRule>
  </conditionalFormatting>
  <conditionalFormatting sqref="AQ138:AQ166">
    <cfRule type="dataBar" priority="11">
      <dataBar>
        <cfvo type="min"/>
        <cfvo type="max"/>
        <color rgb="FF638EC6"/>
      </dataBar>
      <extLst>
        <ext xmlns:x14="http://schemas.microsoft.com/office/spreadsheetml/2009/9/main" uri="{B025F937-C7B1-47D3-B67F-A62EFF666E3E}">
          <x14:id>{654B4E25-344C-47DF-B9E5-EBF770E2183A}</x14:id>
        </ext>
      </extLst>
    </cfRule>
  </conditionalFormatting>
  <conditionalFormatting sqref="F179:F201">
    <cfRule type="colorScale" priority="66">
      <colorScale>
        <cfvo type="min"/>
        <cfvo type="num" val="1"/>
        <cfvo type="max"/>
        <color rgb="FFF8696B"/>
        <color theme="0"/>
        <color theme="4"/>
      </colorScale>
    </cfRule>
  </conditionalFormatting>
  <conditionalFormatting sqref="U179:U201">
    <cfRule type="colorScale" priority="67">
      <colorScale>
        <cfvo type="min"/>
        <cfvo type="num" val="1"/>
        <cfvo type="max"/>
        <color rgb="FFF8696B"/>
        <color theme="0"/>
        <color theme="4"/>
      </colorScale>
    </cfRule>
  </conditionalFormatting>
  <conditionalFormatting sqref="B175:B201">
    <cfRule type="dataBar" priority="68">
      <dataBar>
        <cfvo type="min"/>
        <cfvo type="max"/>
        <color rgb="FF638EC6"/>
      </dataBar>
      <extLst>
        <ext xmlns:x14="http://schemas.microsoft.com/office/spreadsheetml/2009/9/main" uri="{B025F937-C7B1-47D3-B67F-A62EFF666E3E}">
          <x14:id>{3C861B96-25C7-4C1F-B940-6A8641B277E9}</x14:id>
        </ext>
      </extLst>
    </cfRule>
  </conditionalFormatting>
  <conditionalFormatting sqref="AQ257:AQ266">
    <cfRule type="dataBar" priority="6">
      <dataBar>
        <cfvo type="min"/>
        <cfvo type="max"/>
        <color rgb="FF638EC6"/>
      </dataBar>
      <extLst>
        <ext xmlns:x14="http://schemas.microsoft.com/office/spreadsheetml/2009/9/main" uri="{B025F937-C7B1-47D3-B67F-A62EFF666E3E}">
          <x14:id>{B15D0057-1C99-44BC-93A1-8B40F79EC696}</x14:id>
        </ext>
      </extLst>
    </cfRule>
  </conditionalFormatting>
  <conditionalFormatting sqref="AQ240:AQ268">
    <cfRule type="dataBar" priority="7">
      <dataBar>
        <cfvo type="min"/>
        <cfvo type="max"/>
        <color rgb="FF638EC6"/>
      </dataBar>
      <extLst>
        <ext xmlns:x14="http://schemas.microsoft.com/office/spreadsheetml/2009/9/main" uri="{B025F937-C7B1-47D3-B67F-A62EFF666E3E}">
          <x14:id>{A4DEE8B5-3A54-4330-B776-22A770E9AB16}</x14:id>
        </ext>
      </extLst>
    </cfRule>
  </conditionalFormatting>
  <conditionalFormatting sqref="AQ267:AQ268">
    <cfRule type="dataBar" priority="5">
      <dataBar>
        <cfvo type="min"/>
        <cfvo type="max"/>
        <color rgb="FF638EC6"/>
      </dataBar>
      <extLst>
        <ext xmlns:x14="http://schemas.microsoft.com/office/spreadsheetml/2009/9/main" uri="{B025F937-C7B1-47D3-B67F-A62EFF666E3E}">
          <x14:id>{5100293B-EBBA-43AC-B239-E423F2BF4B28}</x14:id>
        </ext>
      </extLst>
    </cfRule>
  </conditionalFormatting>
  <conditionalFormatting sqref="AQ271">
    <cfRule type="dataBar" priority="1">
      <dataBar>
        <cfvo type="min"/>
        <cfvo type="max"/>
        <color rgb="FF638EC6"/>
      </dataBar>
      <extLst>
        <ext xmlns:x14="http://schemas.microsoft.com/office/spreadsheetml/2009/9/main" uri="{B025F937-C7B1-47D3-B67F-A62EFF666E3E}">
          <x14:id>{CD7FB722-6D61-40CA-AA4F-BB35A2EDEA48}</x14:id>
        </ext>
      </extLst>
    </cfRule>
  </conditionalFormatting>
  <conditionalFormatting sqref="F280:F301">
    <cfRule type="colorScale" priority="2">
      <colorScale>
        <cfvo type="min"/>
        <cfvo type="num" val="1"/>
        <cfvo type="max"/>
        <color rgb="FFF8696B"/>
        <color theme="0"/>
        <color theme="4"/>
      </colorScale>
    </cfRule>
  </conditionalFormatting>
  <conditionalFormatting sqref="U280:U301">
    <cfRule type="colorScale" priority="3">
      <colorScale>
        <cfvo type="min"/>
        <cfvo type="num" val="1"/>
        <cfvo type="max"/>
        <color rgb="FFF8696B"/>
        <color theme="0"/>
        <color theme="4"/>
      </colorScale>
    </cfRule>
  </conditionalFormatting>
  <conditionalFormatting sqref="B276:B301">
    <cfRule type="dataBar" priority="4">
      <dataBar>
        <cfvo type="min"/>
        <cfvo type="max"/>
        <color rgb="FF638EC6"/>
      </dataBar>
      <extLst>
        <ext xmlns:x14="http://schemas.microsoft.com/office/spreadsheetml/2009/9/main" uri="{B025F937-C7B1-47D3-B67F-A62EFF666E3E}">
          <x14:id>{C54C4D9B-E799-4B67-8EEF-FC0940AE6F0F}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AQ2:AQ34</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B72:B99</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AQ105:AQ133</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AQ122:AQ131</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AQ132:AQ133 AQ169:AQ170</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B302:B304</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AQ223:AQ232</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AQ235</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AQ205</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AQ206:AQ234</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AQ233:AQ234</xm:sqref>
        </x14:conditionalFormatting>
        <x14:conditionalFormatting xmlns:xm="http://schemas.microsoft.com/office/excel/2006/main">
          <x14:cfRule type="dataBar" id="{80159331-65D4-4396-893B-E32CAB04680C}">
            <x14:dataBar minLength="0" maxLength="100" border="1" negativeBarBorderColorSameAsPositive="0">
              <x14:cfvo type="autoMin"/>
              <x14:cfvo type="autoMax"/>
              <x14:borderColor rgb="FF638EC6"/>
              <x14:negativeFillColor rgb="FFFF0000"/>
              <x14:negativeBorderColor rgb="FFFF0000"/>
              <x14:axisColor rgb="FF000000"/>
            </x14:dataBar>
          </x14:cfRule>
          <xm:sqref>AQ93</xm:sqref>
        </x14:conditionalFormatting>
        <x14:conditionalFormatting xmlns:xm="http://schemas.microsoft.com/office/excel/2006/main">
          <x14:cfRule type="dataBar" id="{858F565D-CF3B-4FA3-A9DD-00FCEFB37068}">
            <x14:dataBar minLength="0" maxLength="100" border="1" negativeBarBorderColorSameAsPositive="0">
              <x14:cfvo type="autoMin"/>
              <x14:cfvo type="autoMax"/>
              <x14:borderColor rgb="FF638EC6"/>
              <x14:negativeFillColor rgb="FFFF0000"/>
              <x14:negativeBorderColor rgb="FFFF0000"/>
              <x14:axisColor rgb="FF000000"/>
            </x14:dataBar>
          </x14:cfRule>
          <xm:sqref>AQ38:AQ67</xm:sqref>
        </x14:conditionalFormatting>
        <x14:conditionalFormatting xmlns:xm="http://schemas.microsoft.com/office/excel/2006/main">
          <x14:cfRule type="dataBar" id="{654B4E25-344C-47DF-B9E5-EBF770E2183A}">
            <x14:dataBar minLength="0" maxLength="100" border="1" negativeBarBorderColorSameAsPositive="0">
              <x14:cfvo type="autoMin"/>
              <x14:cfvo type="autoMax"/>
              <x14:borderColor rgb="FF638EC6"/>
              <x14:negativeFillColor rgb="FFFF0000"/>
              <x14:negativeBorderColor rgb="FFFF0000"/>
              <x14:axisColor rgb="FF000000"/>
            </x14:dataBar>
          </x14:cfRule>
          <xm:sqref>AQ138:AQ166</xm:sqref>
        </x14:conditionalFormatting>
        <x14:conditionalFormatting xmlns:xm="http://schemas.microsoft.com/office/excel/2006/main">
          <x14:cfRule type="dataBar" id="{3C861B96-25C7-4C1F-B940-6A8641B277E9}">
            <x14:dataBar minLength="0" maxLength="100" border="1" negativeBarBorderColorSameAsPositive="0">
              <x14:cfvo type="autoMin"/>
              <x14:cfvo type="autoMax"/>
              <x14:borderColor rgb="FF638EC6"/>
              <x14:negativeFillColor rgb="FFFF0000"/>
              <x14:negativeBorderColor rgb="FFFF0000"/>
              <x14:axisColor rgb="FF000000"/>
            </x14:dataBar>
          </x14:cfRule>
          <xm:sqref>B175:B201</xm:sqref>
        </x14:conditionalFormatting>
        <x14:conditionalFormatting xmlns:xm="http://schemas.microsoft.com/office/excel/2006/main">
          <x14:cfRule type="dataBar" id="{B15D0057-1C99-44BC-93A1-8B40F79EC696}">
            <x14:dataBar minLength="0" maxLength="100" border="1" negativeBarBorderColorSameAsPositive="0">
              <x14:cfvo type="autoMin"/>
              <x14:cfvo type="autoMax"/>
              <x14:borderColor rgb="FF638EC6"/>
              <x14:negativeFillColor rgb="FFFF0000"/>
              <x14:negativeBorderColor rgb="FFFF0000"/>
              <x14:axisColor rgb="FF000000"/>
            </x14:dataBar>
          </x14:cfRule>
          <xm:sqref>AQ257:AQ266</xm:sqref>
        </x14:conditionalFormatting>
        <x14:conditionalFormatting xmlns:xm="http://schemas.microsoft.com/office/excel/2006/main">
          <x14:cfRule type="dataBar" id="{A4DEE8B5-3A54-4330-B776-22A770E9AB16}">
            <x14:dataBar minLength="0" maxLength="100" border="1" negativeBarBorderColorSameAsPositive="0">
              <x14:cfvo type="autoMin"/>
              <x14:cfvo type="autoMax"/>
              <x14:borderColor rgb="FF638EC6"/>
              <x14:negativeFillColor rgb="FFFF0000"/>
              <x14:negativeBorderColor rgb="FFFF0000"/>
              <x14:axisColor rgb="FF000000"/>
            </x14:dataBar>
          </x14:cfRule>
          <xm:sqref>AQ240:AQ268</xm:sqref>
        </x14:conditionalFormatting>
        <x14:conditionalFormatting xmlns:xm="http://schemas.microsoft.com/office/excel/2006/main">
          <x14:cfRule type="dataBar" id="{5100293B-EBBA-43AC-B239-E423F2BF4B28}">
            <x14:dataBar minLength="0" maxLength="100" border="1" negativeBarBorderColorSameAsPositive="0">
              <x14:cfvo type="autoMin"/>
              <x14:cfvo type="autoMax"/>
              <x14:borderColor rgb="FF638EC6"/>
              <x14:negativeFillColor rgb="FFFF0000"/>
              <x14:negativeBorderColor rgb="FFFF0000"/>
              <x14:axisColor rgb="FF000000"/>
            </x14:dataBar>
          </x14:cfRule>
          <xm:sqref>AQ267:AQ268</xm:sqref>
        </x14:conditionalFormatting>
        <x14:conditionalFormatting xmlns:xm="http://schemas.microsoft.com/office/excel/2006/main">
          <x14:cfRule type="dataBar" id="{CD7FB722-6D61-40CA-AA4F-BB35A2EDEA48}">
            <x14:dataBar minLength="0" maxLength="100" border="1" negativeBarBorderColorSameAsPositive="0">
              <x14:cfvo type="autoMin"/>
              <x14:cfvo type="autoMax"/>
              <x14:borderColor rgb="FF638EC6"/>
              <x14:negativeFillColor rgb="FFFF0000"/>
              <x14:negativeBorderColor rgb="FFFF0000"/>
              <x14:axisColor rgb="FF000000"/>
            </x14:dataBar>
          </x14:cfRule>
          <xm:sqref>AQ271</xm:sqref>
        </x14:conditionalFormatting>
        <x14:conditionalFormatting xmlns:xm="http://schemas.microsoft.com/office/excel/2006/main">
          <x14:cfRule type="dataBar" id="{C54C4D9B-E799-4B67-8EEF-FC0940AE6F0F}">
            <x14:dataBar minLength="0" maxLength="100" border="1" negativeBarBorderColorSameAsPositive="0">
              <x14:cfvo type="autoMin"/>
              <x14:cfvo type="autoMax"/>
              <x14:borderColor rgb="FF638EC6"/>
              <x14:negativeFillColor rgb="FFFF0000"/>
              <x14:negativeBorderColor rgb="FFFF0000"/>
              <x14:axisColor rgb="FF000000"/>
            </x14:dataBar>
          </x14:cfRule>
          <xm:sqref>B276:B301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1"/>
  <sheetViews>
    <sheetView topLeftCell="A52" zoomScale="80" zoomScaleNormal="80" workbookViewId="0">
      <pane xSplit="31860" topLeftCell="AP1"/>
      <selection activeCell="AI93" sqref="AI93"/>
      <selection pane="topRight" activeCell="BC166" sqref="BC166"/>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125</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0.99833296751924105</v>
      </c>
      <c r="C3" s="4">
        <v>0.26130404937886298</v>
      </c>
      <c r="D3" s="4">
        <v>1.9821991324533701</v>
      </c>
      <c r="E3" s="4">
        <v>2.1801460161579799E-4</v>
      </c>
      <c r="F3" s="5">
        <v>1.6670324807580401E-3</v>
      </c>
      <c r="G3" s="5">
        <v>0</v>
      </c>
      <c r="H3" s="4">
        <v>3.25</v>
      </c>
      <c r="I3" s="4">
        <v>3.7357635577989301</v>
      </c>
      <c r="J3" s="4">
        <v>-40.5097267274964</v>
      </c>
      <c r="K3" s="4">
        <v>-155.500954051935</v>
      </c>
      <c r="L3" s="4">
        <v>14.5625517952497</v>
      </c>
      <c r="M3" s="4">
        <v>3.27256826010104</v>
      </c>
      <c r="N3" s="4">
        <v>80</v>
      </c>
      <c r="O3" s="4">
        <v>77.654292440335894</v>
      </c>
      <c r="P3" s="4">
        <v>291131.10861560702</v>
      </c>
      <c r="Q3" s="4">
        <v>274125.36333333299</v>
      </c>
      <c r="R3" s="4">
        <v>774.19702452681895</v>
      </c>
      <c r="S3" s="4">
        <v>0</v>
      </c>
      <c r="T3" s="4">
        <v>0</v>
      </c>
      <c r="U3" s="4">
        <v>0</v>
      </c>
      <c r="V3" s="4">
        <v>0.45074386829509999</v>
      </c>
      <c r="W3" s="4">
        <v>0</v>
      </c>
      <c r="X3" s="4">
        <v>0</v>
      </c>
      <c r="Y3" s="4">
        <v>0</v>
      </c>
      <c r="Z3" s="5">
        <v>1.60686101391882E-4</v>
      </c>
      <c r="AA3" s="5">
        <v>5.3411715082815599E-6</v>
      </c>
      <c r="AB3" s="10">
        <v>1.5009879610045501E-3</v>
      </c>
      <c r="AC3" s="10">
        <v>0</v>
      </c>
      <c r="AD3" s="10">
        <v>0</v>
      </c>
      <c r="AE3" s="4">
        <v>2.4554217237891699E-2</v>
      </c>
      <c r="AF3" s="4">
        <v>1</v>
      </c>
      <c r="AG3" s="4">
        <v>1</v>
      </c>
      <c r="AH3" s="4">
        <v>1</v>
      </c>
      <c r="AI3" s="4">
        <v>1</v>
      </c>
      <c r="AJ3" s="4">
        <v>1</v>
      </c>
      <c r="AK3" s="4">
        <v>1</v>
      </c>
      <c r="AL3" s="4">
        <v>1</v>
      </c>
      <c r="AM3" s="4">
        <v>0</v>
      </c>
      <c r="AN3" s="4">
        <v>0</v>
      </c>
      <c r="AO3" s="4" t="s">
        <v>172</v>
      </c>
      <c r="AP3" s="4">
        <f>-175--150</f>
        <v>-25</v>
      </c>
      <c r="AQ3" s="6">
        <v>822376.09</v>
      </c>
      <c r="AR3" s="4">
        <v>3</v>
      </c>
      <c r="AS3" s="15">
        <v>0</v>
      </c>
      <c r="AT3" s="15">
        <v>54.925613170489903</v>
      </c>
      <c r="AU3" s="15">
        <v>54.925613170489903</v>
      </c>
      <c r="AV3" s="15">
        <v>45.074386829509997</v>
      </c>
      <c r="AW3" s="15">
        <v>45.074386829509997</v>
      </c>
      <c r="AX3" s="15">
        <v>0</v>
      </c>
      <c r="AY3" s="31">
        <v>0</v>
      </c>
    </row>
    <row r="4" spans="1:51" x14ac:dyDescent="0.25">
      <c r="A4">
        <v>97</v>
      </c>
      <c r="B4" s="4">
        <v>0.99842361805401003</v>
      </c>
      <c r="C4" s="4">
        <v>0.16230363877051099</v>
      </c>
      <c r="D4" s="4">
        <v>1.87534334213537</v>
      </c>
      <c r="E4" s="4">
        <v>1.3535375036780899E-4</v>
      </c>
      <c r="F4" s="5">
        <v>1.57638194598959E-3</v>
      </c>
      <c r="G4" s="5">
        <v>0</v>
      </c>
      <c r="H4" s="4">
        <v>3.5272565621367198</v>
      </c>
      <c r="I4" s="4">
        <v>3.8043424532899599</v>
      </c>
      <c r="J4" s="4">
        <v>-22.033008462153099</v>
      </c>
      <c r="K4" s="4">
        <v>-133.73727504956</v>
      </c>
      <c r="L4" s="4">
        <v>15.318143543433701</v>
      </c>
      <c r="M4" s="4">
        <v>4.2985067579835601</v>
      </c>
      <c r="N4" s="4">
        <v>78.8698986087267</v>
      </c>
      <c r="O4" s="4">
        <v>77.210090162493401</v>
      </c>
      <c r="P4" s="4">
        <v>278644.18268214801</v>
      </c>
      <c r="Q4" s="4">
        <v>260629.582608695</v>
      </c>
      <c r="R4" s="4">
        <v>780.52698377827699</v>
      </c>
      <c r="S4" s="4">
        <v>0</v>
      </c>
      <c r="T4" s="4">
        <v>0</v>
      </c>
      <c r="U4" s="4">
        <v>4.42107592844911E-2</v>
      </c>
      <c r="V4" s="4">
        <v>0.62073294459349604</v>
      </c>
      <c r="W4" s="4">
        <v>0</v>
      </c>
      <c r="X4" s="4">
        <v>0.47866670479062701</v>
      </c>
      <c r="Y4" s="4">
        <v>0</v>
      </c>
      <c r="Z4" s="5">
        <v>2.1594278783547199E-4</v>
      </c>
      <c r="AA4" s="5">
        <v>1.99806738081085E-5</v>
      </c>
      <c r="AB4" s="10">
        <v>1.33892399120207E-3</v>
      </c>
      <c r="AC4" s="10">
        <v>0</v>
      </c>
      <c r="AD4" s="10">
        <v>1.52058423794329E-6</v>
      </c>
      <c r="AE4" s="4">
        <v>1.36347347220217E-2</v>
      </c>
      <c r="AF4" s="4">
        <v>0.95578924071550797</v>
      </c>
      <c r="AG4" s="4">
        <v>1</v>
      </c>
      <c r="AH4" s="4">
        <v>1</v>
      </c>
      <c r="AI4" s="4">
        <v>1</v>
      </c>
      <c r="AJ4" s="4">
        <v>1</v>
      </c>
      <c r="AK4" s="4">
        <v>1</v>
      </c>
      <c r="AL4" s="4">
        <v>1</v>
      </c>
      <c r="AM4" s="4">
        <v>0</v>
      </c>
      <c r="AN4" s="4">
        <v>0</v>
      </c>
      <c r="AO4" s="4" t="s">
        <v>62</v>
      </c>
      <c r="AP4" s="4">
        <f>-150--125</f>
        <v>-25</v>
      </c>
      <c r="AQ4" s="6">
        <v>5994480.4000000004</v>
      </c>
      <c r="AR4" s="4">
        <v>23</v>
      </c>
      <c r="AS4" s="15">
        <v>0</v>
      </c>
      <c r="AT4" s="15">
        <v>37.926705540650303</v>
      </c>
      <c r="AU4" s="15">
        <v>37.926705540650303</v>
      </c>
      <c r="AV4" s="15">
        <v>62.073294459349597</v>
      </c>
      <c r="AW4" s="15">
        <v>62.073294459349597</v>
      </c>
      <c r="AX4" s="15">
        <v>0</v>
      </c>
      <c r="AY4" s="31">
        <v>0</v>
      </c>
    </row>
    <row r="5" spans="1:51" x14ac:dyDescent="0.25">
      <c r="A5">
        <v>97</v>
      </c>
      <c r="B5" s="4">
        <v>0.99808060066035598</v>
      </c>
      <c r="C5" s="4">
        <v>0.18121176777321499</v>
      </c>
      <c r="D5" s="4">
        <v>2.2791190859844099</v>
      </c>
      <c r="E5" s="4">
        <v>1.5113537366504001E-4</v>
      </c>
      <c r="F5" s="5">
        <v>1.91939933964365E-3</v>
      </c>
      <c r="G5" s="5">
        <v>0</v>
      </c>
      <c r="H5" s="4">
        <v>3.6597933714380799</v>
      </c>
      <c r="I5" s="4">
        <v>3.8379447716388002</v>
      </c>
      <c r="J5" s="4">
        <v>-23.588856619635699</v>
      </c>
      <c r="K5" s="4">
        <v>-109.755207631009</v>
      </c>
      <c r="L5" s="4">
        <v>15.3059600022148</v>
      </c>
      <c r="M5" s="4">
        <v>4.90243141703281</v>
      </c>
      <c r="N5" s="4">
        <v>79.067811119566002</v>
      </c>
      <c r="O5" s="4">
        <v>77.250089898522702</v>
      </c>
      <c r="P5" s="4">
        <v>287089.08314355899</v>
      </c>
      <c r="Q5" s="4">
        <v>248393.64142857099</v>
      </c>
      <c r="R5" s="4">
        <v>779.35781240047402</v>
      </c>
      <c r="S5" s="4">
        <v>0</v>
      </c>
      <c r="T5" s="4">
        <v>0</v>
      </c>
      <c r="U5" s="4">
        <v>6.64775508076592E-2</v>
      </c>
      <c r="V5" s="4">
        <v>0.57868609519099201</v>
      </c>
      <c r="W5" s="4">
        <v>0</v>
      </c>
      <c r="X5" s="4">
        <v>0.66174794158583505</v>
      </c>
      <c r="Y5" s="4">
        <v>0</v>
      </c>
      <c r="Z5" s="5">
        <v>2.6488139324805197E-4</v>
      </c>
      <c r="AA5" s="5">
        <v>2.02344247242771E-5</v>
      </c>
      <c r="AB5" s="10">
        <v>1.45530049837893E-3</v>
      </c>
      <c r="AC5" s="10">
        <v>0</v>
      </c>
      <c r="AD5" s="10">
        <v>1.7896852419920799E-4</v>
      </c>
      <c r="AE5" s="4">
        <v>1.08410567072972E-2</v>
      </c>
      <c r="AF5" s="4">
        <v>0.97253223790375598</v>
      </c>
      <c r="AG5" s="4">
        <v>1</v>
      </c>
      <c r="AH5" s="4">
        <v>1</v>
      </c>
      <c r="AI5" s="4">
        <v>1</v>
      </c>
      <c r="AJ5" s="4">
        <v>1</v>
      </c>
      <c r="AK5" s="4">
        <v>1</v>
      </c>
      <c r="AL5" s="4">
        <v>1</v>
      </c>
      <c r="AM5" s="4">
        <v>0</v>
      </c>
      <c r="AN5" s="4">
        <v>0</v>
      </c>
      <c r="AO5" s="4" t="s">
        <v>63</v>
      </c>
      <c r="AP5" s="4">
        <f>-125--100</f>
        <v>-25</v>
      </c>
      <c r="AQ5" s="6">
        <v>24342576.859999999</v>
      </c>
      <c r="AR5" s="4">
        <v>98</v>
      </c>
      <c r="AS5" s="15">
        <v>0</v>
      </c>
      <c r="AT5" s="15">
        <v>42.131390480900698</v>
      </c>
      <c r="AU5" s="15">
        <v>42.131390480900698</v>
      </c>
      <c r="AV5" s="15">
        <v>57.868609519099202</v>
      </c>
      <c r="AW5" s="15">
        <v>57.868609519099202</v>
      </c>
      <c r="AX5" s="15">
        <v>0</v>
      </c>
      <c r="AY5" s="31">
        <v>0</v>
      </c>
    </row>
    <row r="6" spans="1:51" x14ac:dyDescent="0.25">
      <c r="A6">
        <v>97</v>
      </c>
      <c r="B6" s="4">
        <v>0.99802284074168102</v>
      </c>
      <c r="C6" s="4">
        <v>3.60785333005999</v>
      </c>
      <c r="D6" s="4">
        <v>2.3469599469440099</v>
      </c>
      <c r="E6" s="4">
        <v>3.0574376362177999E-3</v>
      </c>
      <c r="F6" s="5">
        <v>1.9771592583180501E-3</v>
      </c>
      <c r="G6" s="5">
        <v>0</v>
      </c>
      <c r="H6" s="4">
        <v>3.2951591661489399</v>
      </c>
      <c r="I6" s="4">
        <v>3.8031731104219801</v>
      </c>
      <c r="J6" s="4">
        <v>-51.130374264504802</v>
      </c>
      <c r="K6" s="4">
        <v>-82.887943991012307</v>
      </c>
      <c r="L6" s="4">
        <v>16.468467022167601</v>
      </c>
      <c r="M6" s="4">
        <v>4.5559091896577</v>
      </c>
      <c r="N6" s="4">
        <v>78.442480652920096</v>
      </c>
      <c r="O6" s="4">
        <v>76.520645502063999</v>
      </c>
      <c r="P6" s="4">
        <v>264670.49590421101</v>
      </c>
      <c r="Q6" s="4">
        <v>238741.99455112201</v>
      </c>
      <c r="R6" s="4">
        <v>779.20984075212596</v>
      </c>
      <c r="S6" s="4">
        <v>0</v>
      </c>
      <c r="T6" s="4">
        <v>0</v>
      </c>
      <c r="U6" s="4">
        <v>2.1720415417495701E-2</v>
      </c>
      <c r="V6" s="4">
        <v>0.72115303144906495</v>
      </c>
      <c r="W6" s="4">
        <v>0</v>
      </c>
      <c r="X6" s="4">
        <v>0.558726537379581</v>
      </c>
      <c r="Y6" s="4">
        <v>0</v>
      </c>
      <c r="Z6" s="5">
        <v>2.8078565719019802E-4</v>
      </c>
      <c r="AA6" s="5">
        <v>1.60451296004879E-5</v>
      </c>
      <c r="AB6" s="10">
        <v>1.4023498981702699E-3</v>
      </c>
      <c r="AC6" s="10">
        <v>0</v>
      </c>
      <c r="AD6" s="10">
        <v>2.77967194789438E-4</v>
      </c>
      <c r="AE6" s="4">
        <v>1.2095996819175101E-2</v>
      </c>
      <c r="AF6" s="4">
        <v>0.97058985669855802</v>
      </c>
      <c r="AG6" s="4">
        <v>1</v>
      </c>
      <c r="AH6" s="4">
        <v>1</v>
      </c>
      <c r="AI6" s="4">
        <v>1</v>
      </c>
      <c r="AJ6" s="4">
        <v>1</v>
      </c>
      <c r="AK6" s="4">
        <v>1</v>
      </c>
      <c r="AL6" s="4">
        <v>1</v>
      </c>
      <c r="AM6" s="4">
        <v>0</v>
      </c>
      <c r="AN6" s="4">
        <v>0</v>
      </c>
      <c r="AO6" s="4" t="s">
        <v>64</v>
      </c>
      <c r="AP6" s="4">
        <f>-100--75</f>
        <v>-25</v>
      </c>
      <c r="AQ6" s="6">
        <v>191471079.63</v>
      </c>
      <c r="AR6" s="4">
        <v>802</v>
      </c>
      <c r="AS6" s="15">
        <v>0</v>
      </c>
      <c r="AT6" s="15">
        <v>27.884696855093399</v>
      </c>
      <c r="AU6" s="15">
        <v>27.884696855093399</v>
      </c>
      <c r="AV6" s="15">
        <v>72.115303144906505</v>
      </c>
      <c r="AW6" s="15">
        <v>72.115303144906505</v>
      </c>
      <c r="AX6" s="15">
        <v>0</v>
      </c>
      <c r="AY6">
        <v>2.0677368331293799E-2</v>
      </c>
    </row>
    <row r="7" spans="1:51" x14ac:dyDescent="0.25">
      <c r="A7">
        <v>97</v>
      </c>
      <c r="B7" s="4">
        <v>0.99829917089660103</v>
      </c>
      <c r="C7" s="4">
        <v>2.5251789314700099</v>
      </c>
      <c r="D7" s="4">
        <v>2.0220101455705901</v>
      </c>
      <c r="E7" s="4">
        <v>2.12907087201001E-3</v>
      </c>
      <c r="F7" s="5">
        <v>1.70082910339897E-3</v>
      </c>
      <c r="G7" s="5">
        <v>0</v>
      </c>
      <c r="H7" s="4">
        <v>3.4176097693573499</v>
      </c>
      <c r="I7" s="4">
        <v>3.8696585093214</v>
      </c>
      <c r="J7" s="4">
        <v>-46.760689757214102</v>
      </c>
      <c r="K7" s="4">
        <v>-57.590533903140503</v>
      </c>
      <c r="L7" s="4">
        <v>16.353256202471101</v>
      </c>
      <c r="M7" s="4">
        <v>4.4696039194420001</v>
      </c>
      <c r="N7" s="4">
        <v>77.304997706514698</v>
      </c>
      <c r="O7" s="4">
        <v>75.8105967936078</v>
      </c>
      <c r="P7" s="4">
        <v>264339.53198124602</v>
      </c>
      <c r="Q7" s="4">
        <v>242223.693014188</v>
      </c>
      <c r="R7" s="4">
        <v>780.28506723430701</v>
      </c>
      <c r="S7" s="4">
        <v>0</v>
      </c>
      <c r="T7" s="4">
        <v>0</v>
      </c>
      <c r="U7" s="4">
        <v>4.7430635212808402E-2</v>
      </c>
      <c r="V7" s="4">
        <v>0.53831607248006696</v>
      </c>
      <c r="W7" s="4">
        <v>0</v>
      </c>
      <c r="X7" s="4">
        <v>0.53935504226089803</v>
      </c>
      <c r="Y7" s="4">
        <v>0</v>
      </c>
      <c r="Z7" s="5">
        <v>2.3385912954852699E-4</v>
      </c>
      <c r="AA7" s="5">
        <v>1.8005623618916701E-5</v>
      </c>
      <c r="AB7" s="10">
        <v>1.3467223238408899E-3</v>
      </c>
      <c r="AC7" s="10">
        <v>0</v>
      </c>
      <c r="AD7" s="10">
        <v>1.0223164095634801E-4</v>
      </c>
      <c r="AE7" s="4">
        <v>9.9080294838824797E-3</v>
      </c>
      <c r="AF7" s="4">
        <v>0.97156969270782301</v>
      </c>
      <c r="AG7" s="4">
        <v>0.999978623042723</v>
      </c>
      <c r="AH7" s="4">
        <v>1</v>
      </c>
      <c r="AI7" s="4">
        <v>1</v>
      </c>
      <c r="AJ7" s="4">
        <v>1</v>
      </c>
      <c r="AK7" s="4">
        <v>1</v>
      </c>
      <c r="AL7" s="4">
        <v>1</v>
      </c>
      <c r="AM7" s="4">
        <v>0</v>
      </c>
      <c r="AN7" s="4">
        <v>0</v>
      </c>
      <c r="AO7" s="4" t="s">
        <v>65</v>
      </c>
      <c r="AP7" s="4">
        <f>-75--50</f>
        <v>-25</v>
      </c>
      <c r="AQ7" s="6">
        <v>2099837194.74</v>
      </c>
      <c r="AR7" s="4">
        <v>8669</v>
      </c>
      <c r="AS7" s="15">
        <v>0</v>
      </c>
      <c r="AT7" s="15">
        <v>46.168392751993203</v>
      </c>
      <c r="AU7" s="15">
        <v>46.168392751993203</v>
      </c>
      <c r="AV7" s="15">
        <v>53.831607248006698</v>
      </c>
      <c r="AW7" s="15">
        <v>53.831607248006698</v>
      </c>
      <c r="AX7" s="15">
        <v>0</v>
      </c>
      <c r="AY7">
        <v>3.3571793575038797E-2</v>
      </c>
    </row>
    <row r="8" spans="1:51" x14ac:dyDescent="0.25">
      <c r="A8">
        <v>97</v>
      </c>
      <c r="B8" s="4">
        <v>0.99793548177857905</v>
      </c>
      <c r="C8" s="4">
        <v>2.2766196273813799</v>
      </c>
      <c r="D8" s="4">
        <v>2.4494838033899402</v>
      </c>
      <c r="E8" s="4">
        <v>1.91727199501012E-3</v>
      </c>
      <c r="F8" s="5">
        <v>2.06451822142085E-3</v>
      </c>
      <c r="G8" s="5">
        <v>0</v>
      </c>
      <c r="H8" s="4">
        <v>3.6403840821464302</v>
      </c>
      <c r="I8" s="4">
        <v>3.9312024985854999</v>
      </c>
      <c r="J8" s="4">
        <v>-37.175533153897497</v>
      </c>
      <c r="K8" s="4">
        <v>-33.3194821234664</v>
      </c>
      <c r="L8" s="4">
        <v>15.413076702261399</v>
      </c>
      <c r="M8" s="4">
        <v>4.7861354024731897</v>
      </c>
      <c r="N8" s="4">
        <v>74.920190466320307</v>
      </c>
      <c r="O8" s="4">
        <v>73.221329890442604</v>
      </c>
      <c r="P8" s="4">
        <v>278474.32417877601</v>
      </c>
      <c r="Q8" s="4">
        <v>258664.78670835699</v>
      </c>
      <c r="R8" s="4">
        <v>781.87720582500003</v>
      </c>
      <c r="S8" s="4">
        <v>0</v>
      </c>
      <c r="T8" s="4">
        <v>0</v>
      </c>
      <c r="U8" s="4">
        <v>9.5435757985255595E-2</v>
      </c>
      <c r="V8" s="4">
        <v>0.39247208408634598</v>
      </c>
      <c r="W8" s="4">
        <v>0</v>
      </c>
      <c r="X8" s="4">
        <v>0.620466658596601</v>
      </c>
      <c r="Y8" s="4">
        <v>0</v>
      </c>
      <c r="Z8" s="5">
        <v>2.3128470241911E-4</v>
      </c>
      <c r="AA8" s="5">
        <v>2.13921306166592E-5</v>
      </c>
      <c r="AB8" s="10">
        <v>1.58982550935032E-3</v>
      </c>
      <c r="AC8" s="10">
        <v>4.7241305432104602E-9</v>
      </c>
      <c r="AD8" s="10">
        <v>2.2199630939477301E-4</v>
      </c>
      <c r="AE8" s="4">
        <v>1.4420521699471001E-2</v>
      </c>
      <c r="AF8" s="4">
        <v>0.939783487148939</v>
      </c>
      <c r="AG8" s="4">
        <v>0.999860601737803</v>
      </c>
      <c r="AH8" s="4">
        <v>0.99999507526401299</v>
      </c>
      <c r="AI8" s="4">
        <v>0.99999664043063596</v>
      </c>
      <c r="AJ8" s="4">
        <v>1</v>
      </c>
      <c r="AK8" s="4">
        <v>1</v>
      </c>
      <c r="AL8" s="4">
        <v>1</v>
      </c>
      <c r="AM8" s="4">
        <v>0</v>
      </c>
      <c r="AN8" s="4">
        <v>0</v>
      </c>
      <c r="AO8" s="4" t="s">
        <v>66</v>
      </c>
      <c r="AP8" s="4">
        <f>-50--25</f>
        <v>-25</v>
      </c>
      <c r="AQ8" s="6">
        <v>22563329344.57</v>
      </c>
      <c r="AR8" s="4">
        <v>87230</v>
      </c>
      <c r="AS8" s="15">
        <v>0</v>
      </c>
      <c r="AT8" s="15">
        <v>60.752791591365302</v>
      </c>
      <c r="AU8" s="15">
        <v>60.752791591365302</v>
      </c>
      <c r="AV8" s="15">
        <v>39.247208408634599</v>
      </c>
      <c r="AW8" s="15">
        <v>39.247208408634599</v>
      </c>
      <c r="AX8" s="15">
        <v>0</v>
      </c>
      <c r="AY8">
        <v>2.4667823734911099E-2</v>
      </c>
    </row>
    <row r="9" spans="1:51" x14ac:dyDescent="0.25">
      <c r="A9">
        <v>97</v>
      </c>
      <c r="B9" s="4">
        <v>0.99751192797781896</v>
      </c>
      <c r="C9" s="4">
        <v>2.9023811702982898</v>
      </c>
      <c r="D9" s="4">
        <v>2.9451660745808099</v>
      </c>
      <c r="E9" s="4">
        <v>2.4514348021336899E-3</v>
      </c>
      <c r="F9" s="5">
        <v>2.4880720221803101E-3</v>
      </c>
      <c r="G9" s="5">
        <v>0</v>
      </c>
      <c r="H9" s="4">
        <v>3.7063460299953399</v>
      </c>
      <c r="I9" s="4">
        <v>3.9369142901639398</v>
      </c>
      <c r="J9" s="4">
        <v>-33.7161917339251</v>
      </c>
      <c r="K9" s="4">
        <v>-22.334932754376698</v>
      </c>
      <c r="L9" s="4">
        <v>14.857801312623801</v>
      </c>
      <c r="M9" s="4">
        <v>5.0207812339443798</v>
      </c>
      <c r="N9" s="4">
        <v>71.926173965972694</v>
      </c>
      <c r="O9" s="4">
        <v>70.058762098387504</v>
      </c>
      <c r="P9" s="4">
        <v>288330.77028609603</v>
      </c>
      <c r="Q9" s="4">
        <v>268583.17121168697</v>
      </c>
      <c r="R9" s="4">
        <v>782.78233805058096</v>
      </c>
      <c r="S9" s="4">
        <v>0</v>
      </c>
      <c r="T9" s="4">
        <v>0</v>
      </c>
      <c r="U9" s="4">
        <v>0.104450396020832</v>
      </c>
      <c r="V9" s="4">
        <v>0.36785413563971497</v>
      </c>
      <c r="W9" s="4">
        <v>0</v>
      </c>
      <c r="X9" s="4">
        <v>0.70138514568288401</v>
      </c>
      <c r="Y9" s="4">
        <v>0</v>
      </c>
      <c r="Z9" s="5">
        <v>2.39644597444152E-4</v>
      </c>
      <c r="AA9" s="5">
        <v>2.20100404142874E-5</v>
      </c>
      <c r="AB9" s="10">
        <v>1.7620537581791999E-3</v>
      </c>
      <c r="AC9" s="10">
        <v>5.5977507986603503E-9</v>
      </c>
      <c r="AD9" s="10">
        <v>4.6434321703603599E-4</v>
      </c>
      <c r="AE9" s="4">
        <v>1.7770582730678702E-2</v>
      </c>
      <c r="AF9" s="4">
        <v>0.90284197155391299</v>
      </c>
      <c r="AG9" s="4">
        <v>0.99985315200831504</v>
      </c>
      <c r="AH9" s="4">
        <v>0.99997747406464998</v>
      </c>
      <c r="AI9" s="4">
        <v>1</v>
      </c>
      <c r="AJ9" s="4">
        <v>1</v>
      </c>
      <c r="AK9" s="4">
        <v>1</v>
      </c>
      <c r="AL9" s="4">
        <v>1</v>
      </c>
      <c r="AM9" s="4">
        <v>0</v>
      </c>
      <c r="AN9" s="4">
        <v>0</v>
      </c>
      <c r="AO9" s="4" t="s">
        <v>137</v>
      </c>
      <c r="AP9" s="4">
        <f>-25--20</f>
        <v>-5</v>
      </c>
      <c r="AQ9" s="6">
        <v>12758774965.24</v>
      </c>
      <c r="AR9" s="4">
        <v>47504</v>
      </c>
      <c r="AS9" s="15">
        <v>0</v>
      </c>
      <c r="AT9" s="15">
        <v>63.214586436028398</v>
      </c>
      <c r="AU9" s="15">
        <v>63.214586436028398</v>
      </c>
      <c r="AV9" s="15">
        <v>36.785413563971503</v>
      </c>
      <c r="AW9" s="15">
        <v>36.785413563971503</v>
      </c>
      <c r="AX9" s="15">
        <v>0</v>
      </c>
      <c r="AY9">
        <v>2.8662293532796101E-2</v>
      </c>
    </row>
    <row r="10" spans="1:51" x14ac:dyDescent="0.25">
      <c r="A10">
        <v>97</v>
      </c>
      <c r="B10" s="4">
        <v>0.99729572022950896</v>
      </c>
      <c r="C10" s="4">
        <v>3.2032130934766401</v>
      </c>
      <c r="D10" s="4">
        <v>3.19730152518102</v>
      </c>
      <c r="E10" s="4">
        <v>2.7093551685901801E-3</v>
      </c>
      <c r="F10" s="5">
        <v>2.7042797704904201E-3</v>
      </c>
      <c r="G10" s="5">
        <v>0</v>
      </c>
      <c r="H10" s="4">
        <v>3.7392656178814101</v>
      </c>
      <c r="I10" s="4">
        <v>3.9359697885174199</v>
      </c>
      <c r="J10" s="4">
        <v>-32.212526627768803</v>
      </c>
      <c r="K10" s="4">
        <v>-17.367271994129499</v>
      </c>
      <c r="L10" s="4">
        <v>14.502229750330899</v>
      </c>
      <c r="M10" s="4">
        <v>5.2006650418903702</v>
      </c>
      <c r="N10" s="4">
        <v>70.594398794491298</v>
      </c>
      <c r="O10" s="4">
        <v>68.707242101531804</v>
      </c>
      <c r="P10" s="4">
        <v>295249.40506775799</v>
      </c>
      <c r="Q10" s="4">
        <v>274993.90935710102</v>
      </c>
      <c r="R10" s="4">
        <v>783.20151812670895</v>
      </c>
      <c r="S10" s="4">
        <v>0</v>
      </c>
      <c r="T10" s="4">
        <v>0</v>
      </c>
      <c r="U10" s="4">
        <v>0.10321727924959501</v>
      </c>
      <c r="V10" s="4">
        <v>0.36824829469527798</v>
      </c>
      <c r="W10" s="4">
        <v>0</v>
      </c>
      <c r="X10" s="4">
        <v>0.72838231748175697</v>
      </c>
      <c r="Y10" s="4">
        <v>0</v>
      </c>
      <c r="Z10" s="5">
        <v>2.4584603544391303E-4</v>
      </c>
      <c r="AA10" s="5">
        <v>2.3257115266836699E-5</v>
      </c>
      <c r="AB10" s="10">
        <v>1.8292368402725099E-3</v>
      </c>
      <c r="AC10" s="10">
        <v>5.1401835843712601E-9</v>
      </c>
      <c r="AD10" s="10">
        <v>6.0591993619066699E-4</v>
      </c>
      <c r="AE10" s="4">
        <v>1.8369623119643699E-2</v>
      </c>
      <c r="AF10" s="4">
        <v>0.89009888503676404</v>
      </c>
      <c r="AG10" s="4">
        <v>0.99978465124089</v>
      </c>
      <c r="AH10" s="4">
        <v>0.99997442444569695</v>
      </c>
      <c r="AI10" s="4">
        <v>1</v>
      </c>
      <c r="AJ10" s="4">
        <v>1</v>
      </c>
      <c r="AK10" s="4">
        <v>1</v>
      </c>
      <c r="AL10" s="4">
        <v>1</v>
      </c>
      <c r="AM10" s="4">
        <v>0</v>
      </c>
      <c r="AN10" s="4">
        <v>0</v>
      </c>
      <c r="AO10" s="4" t="s">
        <v>138</v>
      </c>
      <c r="AP10" s="4">
        <f>-20--15</f>
        <v>-5</v>
      </c>
      <c r="AQ10" s="6">
        <v>17092521430</v>
      </c>
      <c r="AR10" s="4">
        <v>62156</v>
      </c>
      <c r="AS10" s="15">
        <v>0</v>
      </c>
      <c r="AT10" s="15">
        <v>63.175170530472101</v>
      </c>
      <c r="AU10" s="15">
        <v>63.175170530472101</v>
      </c>
      <c r="AV10" s="15">
        <v>36.824829469527799</v>
      </c>
      <c r="AW10" s="15">
        <v>36.824829469527799</v>
      </c>
      <c r="AX10" s="15">
        <v>0</v>
      </c>
      <c r="AY10">
        <v>4.1647692573546703E-2</v>
      </c>
    </row>
    <row r="11" spans="1:51" x14ac:dyDescent="0.25">
      <c r="A11">
        <v>97</v>
      </c>
      <c r="B11" s="4">
        <v>0.997033131309079</v>
      </c>
      <c r="C11" s="4">
        <v>4.5170378360979404</v>
      </c>
      <c r="D11" s="4">
        <v>3.5027179036267602</v>
      </c>
      <c r="E11" s="4">
        <v>3.8444545130471002E-3</v>
      </c>
      <c r="F11" s="5">
        <v>2.96686869092076E-3</v>
      </c>
      <c r="G11" s="5">
        <v>0</v>
      </c>
      <c r="H11" s="4">
        <v>3.7635939674435899</v>
      </c>
      <c r="I11" s="4">
        <v>3.9206933920088498</v>
      </c>
      <c r="J11" s="4">
        <v>-30.3534959856275</v>
      </c>
      <c r="K11" s="4">
        <v>-12.402037624047001</v>
      </c>
      <c r="L11" s="4">
        <v>14.4437032472641</v>
      </c>
      <c r="M11" s="4">
        <v>5.5812301624561202</v>
      </c>
      <c r="N11" s="4">
        <v>69.030042182870702</v>
      </c>
      <c r="O11" s="4">
        <v>67.084449643889997</v>
      </c>
      <c r="P11" s="4">
        <v>296549.13373778801</v>
      </c>
      <c r="Q11" s="4">
        <v>276032.08788519801</v>
      </c>
      <c r="R11" s="4">
        <v>783.22658287242996</v>
      </c>
      <c r="S11" s="4">
        <v>0</v>
      </c>
      <c r="T11" s="4">
        <v>0</v>
      </c>
      <c r="U11" s="4">
        <v>9.42696155649803E-2</v>
      </c>
      <c r="V11" s="4">
        <v>0.36017189776403102</v>
      </c>
      <c r="W11" s="4">
        <v>0</v>
      </c>
      <c r="X11" s="4">
        <v>0.73882160374827099</v>
      </c>
      <c r="Y11" s="4">
        <v>0</v>
      </c>
      <c r="Z11" s="5">
        <v>2.5529551995772499E-4</v>
      </c>
      <c r="AA11" s="5">
        <v>2.5119770553168901E-5</v>
      </c>
      <c r="AB11" s="10">
        <v>1.93246441471383E-3</v>
      </c>
      <c r="AC11" s="10">
        <v>4.9397321102572403E-9</v>
      </c>
      <c r="AD11" s="10">
        <v>7.5396937600614696E-4</v>
      </c>
      <c r="AE11" s="4">
        <v>1.9124926068936898E-2</v>
      </c>
      <c r="AF11" s="4">
        <v>0.87409209941451904</v>
      </c>
      <c r="AG11" s="4">
        <v>0.99968867445975296</v>
      </c>
      <c r="AH11" s="4">
        <v>0.99997655423348397</v>
      </c>
      <c r="AI11" s="4">
        <v>1</v>
      </c>
      <c r="AJ11" s="4">
        <v>1</v>
      </c>
      <c r="AK11" s="4">
        <v>1</v>
      </c>
      <c r="AL11" s="4">
        <v>1</v>
      </c>
      <c r="AM11" s="4">
        <v>0</v>
      </c>
      <c r="AN11" s="4">
        <v>0</v>
      </c>
      <c r="AO11" s="4" t="s">
        <v>139</v>
      </c>
      <c r="AP11" s="4">
        <f>-15--10</f>
        <v>-5</v>
      </c>
      <c r="AQ11" s="6">
        <v>20836834218.189999</v>
      </c>
      <c r="AR11" s="4">
        <v>75487</v>
      </c>
      <c r="AS11" s="15">
        <v>0</v>
      </c>
      <c r="AT11" s="15">
        <v>63.9828102235968</v>
      </c>
      <c r="AU11" s="15">
        <v>63.9828102235968</v>
      </c>
      <c r="AV11" s="15">
        <v>36.0171897764031</v>
      </c>
      <c r="AW11" s="15">
        <v>36.0171897764031</v>
      </c>
      <c r="AX11" s="15">
        <v>0</v>
      </c>
      <c r="AY11">
        <v>0.33634651411424799</v>
      </c>
    </row>
    <row r="12" spans="1:51" x14ac:dyDescent="0.25">
      <c r="A12">
        <v>97</v>
      </c>
      <c r="B12" s="4">
        <v>0.996793911098528</v>
      </c>
      <c r="C12" s="4">
        <v>5.5688374215218204</v>
      </c>
      <c r="D12" s="4">
        <v>3.7801850574924201</v>
      </c>
      <c r="E12" s="4">
        <v>4.76353945734595E-3</v>
      </c>
      <c r="F12" s="5">
        <v>3.2060889014715898E-3</v>
      </c>
      <c r="G12" s="5">
        <v>0</v>
      </c>
      <c r="H12" s="4">
        <v>3.7981736763303302</v>
      </c>
      <c r="I12" s="4">
        <v>3.9037511792808299</v>
      </c>
      <c r="J12" s="4">
        <v>-27.922120912242601</v>
      </c>
      <c r="K12" s="4">
        <v>-7.4908217952858598</v>
      </c>
      <c r="L12" s="4">
        <v>14.4215232063278</v>
      </c>
      <c r="M12" s="4">
        <v>5.9852692121052904</v>
      </c>
      <c r="N12" s="4">
        <v>69.5100030364231</v>
      </c>
      <c r="O12" s="4">
        <v>67.501154367654706</v>
      </c>
      <c r="P12" s="4">
        <v>297178.12809103401</v>
      </c>
      <c r="Q12" s="4">
        <v>276508.015974649</v>
      </c>
      <c r="R12" s="4">
        <v>783.025634265853</v>
      </c>
      <c r="S12" s="4">
        <v>0</v>
      </c>
      <c r="T12" s="4">
        <v>0</v>
      </c>
      <c r="U12" s="4">
        <v>8.3687209463152404E-2</v>
      </c>
      <c r="V12" s="4">
        <v>0.35376724531231102</v>
      </c>
      <c r="W12" s="4">
        <v>0</v>
      </c>
      <c r="X12" s="4">
        <v>0.74337940396095303</v>
      </c>
      <c r="Y12" s="4">
        <v>0</v>
      </c>
      <c r="Z12" s="5">
        <v>2.62090416074376E-4</v>
      </c>
      <c r="AA12" s="5">
        <v>2.6911622767512198E-5</v>
      </c>
      <c r="AB12" s="10">
        <v>2.01480237879916E-3</v>
      </c>
      <c r="AC12" s="10">
        <v>7.2078781717646298E-9</v>
      </c>
      <c r="AD12" s="10">
        <v>9.0226268001442999E-4</v>
      </c>
      <c r="AE12" s="4">
        <v>1.9365973637858001E-2</v>
      </c>
      <c r="AF12" s="4">
        <v>0.85335758795825101</v>
      </c>
      <c r="AG12" s="4">
        <v>0.99948204849511701</v>
      </c>
      <c r="AH12" s="4">
        <v>0.99998624082216703</v>
      </c>
      <c r="AI12" s="4">
        <v>1</v>
      </c>
      <c r="AJ12" s="4">
        <v>1</v>
      </c>
      <c r="AK12" s="4">
        <v>1</v>
      </c>
      <c r="AL12" s="4">
        <v>1</v>
      </c>
      <c r="AM12" s="4">
        <v>0</v>
      </c>
      <c r="AN12" s="4">
        <v>0</v>
      </c>
      <c r="AO12" s="4" t="s">
        <v>140</v>
      </c>
      <c r="AP12" s="4">
        <f>-10--5</f>
        <v>-5</v>
      </c>
      <c r="AQ12" s="6">
        <v>23515900726.580002</v>
      </c>
      <c r="AR12" s="4">
        <v>85046</v>
      </c>
      <c r="AS12" s="15">
        <v>0</v>
      </c>
      <c r="AT12" s="15">
        <v>64.623275468768796</v>
      </c>
      <c r="AU12" s="15">
        <v>64.623275468768796</v>
      </c>
      <c r="AV12" s="15">
        <v>35.376724531231098</v>
      </c>
      <c r="AW12" s="15">
        <v>35.376724531231098</v>
      </c>
      <c r="AX12" s="15">
        <v>0</v>
      </c>
      <c r="AY12">
        <v>1.6271223575826399</v>
      </c>
    </row>
    <row r="13" spans="1:51" x14ac:dyDescent="0.25">
      <c r="A13">
        <v>97</v>
      </c>
      <c r="B13" s="4">
        <v>0.99653298004425594</v>
      </c>
      <c r="C13" s="4">
        <v>7.1644600983545299</v>
      </c>
      <c r="D13" s="4">
        <v>4.0820001697901498</v>
      </c>
      <c r="E13" s="4">
        <v>6.1759040882703401E-3</v>
      </c>
      <c r="F13" s="5">
        <v>3.4670199557431101E-3</v>
      </c>
      <c r="G13" s="5">
        <v>0</v>
      </c>
      <c r="H13" s="4">
        <v>3.8170273475647498</v>
      </c>
      <c r="I13" s="4">
        <v>3.8825950967968401</v>
      </c>
      <c r="J13" s="4">
        <v>-26.300375331121401</v>
      </c>
      <c r="K13" s="4">
        <v>-2.4075089201605699</v>
      </c>
      <c r="L13" s="4">
        <v>14.189774513440099</v>
      </c>
      <c r="M13" s="4">
        <v>6.3344277440703296</v>
      </c>
      <c r="N13" s="4">
        <v>68.355222132972102</v>
      </c>
      <c r="O13" s="4">
        <v>66.298160024321803</v>
      </c>
      <c r="P13" s="4">
        <v>301559.67877442099</v>
      </c>
      <c r="Q13" s="4">
        <v>280888.11580146098</v>
      </c>
      <c r="R13" s="4">
        <v>783.01120253801002</v>
      </c>
      <c r="S13" s="4">
        <v>0</v>
      </c>
      <c r="T13" s="4">
        <v>0</v>
      </c>
      <c r="U13" s="4">
        <v>7.2013207523546105E-2</v>
      </c>
      <c r="V13" s="4">
        <v>0.347423391960552</v>
      </c>
      <c r="W13" s="4">
        <v>0</v>
      </c>
      <c r="X13" s="4">
        <v>0.74814442784298296</v>
      </c>
      <c r="Y13" s="4">
        <v>0</v>
      </c>
      <c r="Z13" s="5">
        <v>2.7086981479578398E-4</v>
      </c>
      <c r="AA13" s="5">
        <v>2.8370680680371701E-5</v>
      </c>
      <c r="AB13" s="10">
        <v>2.0925006222711098E-3</v>
      </c>
      <c r="AC13" s="10">
        <v>8.6823744869647402E-9</v>
      </c>
      <c r="AD13" s="10">
        <v>1.0752557139686099E-3</v>
      </c>
      <c r="AE13" s="4">
        <v>2.0306573941900798E-2</v>
      </c>
      <c r="AF13" s="4">
        <v>0.83709037017893395</v>
      </c>
      <c r="AG13" s="4">
        <v>0.99914450295220103</v>
      </c>
      <c r="AH13" s="4">
        <v>0.99998979045362801</v>
      </c>
      <c r="AI13" s="4">
        <v>0.99999753282059101</v>
      </c>
      <c r="AJ13" s="4">
        <v>1</v>
      </c>
      <c r="AK13" s="4">
        <v>1</v>
      </c>
      <c r="AL13" s="4">
        <v>1</v>
      </c>
      <c r="AM13" s="4">
        <v>0</v>
      </c>
      <c r="AN13" s="4">
        <v>0</v>
      </c>
      <c r="AO13" s="4" t="s">
        <v>67</v>
      </c>
      <c r="AP13" s="4">
        <f>-25-0</f>
        <v>-25</v>
      </c>
      <c r="AQ13" s="6">
        <v>27364682017.610001</v>
      </c>
      <c r="AR13" s="4">
        <v>97422</v>
      </c>
      <c r="AS13" s="15">
        <v>0</v>
      </c>
      <c r="AT13" s="15">
        <v>65.257660803944702</v>
      </c>
      <c r="AU13" s="15">
        <v>65.257660803944702</v>
      </c>
      <c r="AV13" s="15">
        <v>34.742339196055198</v>
      </c>
      <c r="AW13" s="15">
        <v>34.742339196055198</v>
      </c>
      <c r="AX13" s="15">
        <v>0</v>
      </c>
      <c r="AY13">
        <v>3.8281214977943399</v>
      </c>
    </row>
    <row r="14" spans="1:51" x14ac:dyDescent="0.25">
      <c r="A14">
        <v>97</v>
      </c>
      <c r="B14" s="4">
        <v>0.99620233820197801</v>
      </c>
      <c r="C14" s="4">
        <v>8.8521007135361494</v>
      </c>
      <c r="D14" s="4">
        <v>4.4632021289662704</v>
      </c>
      <c r="E14" s="4">
        <v>7.6941417048664402E-3</v>
      </c>
      <c r="F14" s="5">
        <v>3.7976617980210398E-3</v>
      </c>
      <c r="G14" s="5">
        <v>0</v>
      </c>
      <c r="H14" s="4">
        <v>3.8637792140758802</v>
      </c>
      <c r="I14" s="4">
        <v>3.87455113722091</v>
      </c>
      <c r="J14" s="4">
        <v>-24.547965579542499</v>
      </c>
      <c r="K14" s="4">
        <v>2.5749501154257302</v>
      </c>
      <c r="L14" s="4">
        <v>14.349169589801001</v>
      </c>
      <c r="M14" s="4">
        <v>6.9661341555639096</v>
      </c>
      <c r="N14" s="4">
        <v>69.504711568072594</v>
      </c>
      <c r="O14" s="4">
        <v>67.290784604543504</v>
      </c>
      <c r="P14" s="4">
        <v>299077.72362615197</v>
      </c>
      <c r="Q14" s="4">
        <v>278046.678361781</v>
      </c>
      <c r="R14" s="4">
        <v>782.79280599694596</v>
      </c>
      <c r="S14" s="4">
        <v>0</v>
      </c>
      <c r="T14" s="4">
        <v>0</v>
      </c>
      <c r="U14" s="4">
        <v>5.9893910599329102E-2</v>
      </c>
      <c r="V14" s="4">
        <v>0.34156871702781899</v>
      </c>
      <c r="W14" s="4">
        <v>0</v>
      </c>
      <c r="X14" s="4">
        <v>0.74353845261088902</v>
      </c>
      <c r="Y14" s="4">
        <v>0</v>
      </c>
      <c r="Z14" s="5">
        <v>2.8202296718395E-4</v>
      </c>
      <c r="AA14" s="5">
        <v>3.1836050202463902E-5</v>
      </c>
      <c r="AB14" s="10">
        <v>2.1957464099786701E-3</v>
      </c>
      <c r="AC14" s="10">
        <v>1.8329034057762299E-8</v>
      </c>
      <c r="AD14" s="10">
        <v>1.28802371851793E-3</v>
      </c>
      <c r="AE14" s="4">
        <v>2.0230835757413301E-2</v>
      </c>
      <c r="AF14" s="4">
        <v>0.82736883135263894</v>
      </c>
      <c r="AG14" s="4">
        <v>0.99877998253130795</v>
      </c>
      <c r="AH14" s="4">
        <v>0.99996515656115803</v>
      </c>
      <c r="AI14" s="4">
        <v>1</v>
      </c>
      <c r="AJ14" s="4">
        <v>1</v>
      </c>
      <c r="AK14" s="4">
        <v>1</v>
      </c>
      <c r="AL14" s="4">
        <v>1</v>
      </c>
      <c r="AM14" s="4">
        <v>0</v>
      </c>
      <c r="AN14" s="4">
        <v>0</v>
      </c>
      <c r="AO14" s="4" t="s">
        <v>141</v>
      </c>
      <c r="AP14" s="4" t="s">
        <v>127</v>
      </c>
      <c r="AQ14" s="6">
        <v>28507013745.720001</v>
      </c>
      <c r="AR14" s="4">
        <v>102526</v>
      </c>
      <c r="AS14" s="15">
        <v>0</v>
      </c>
      <c r="AT14" s="15">
        <v>65.843128297218001</v>
      </c>
      <c r="AU14" s="15">
        <v>65.843128297218001</v>
      </c>
      <c r="AV14" s="15">
        <v>34.156871702781899</v>
      </c>
      <c r="AW14" s="15">
        <v>34.156871702781899</v>
      </c>
      <c r="AX14" s="15">
        <v>0</v>
      </c>
      <c r="AY14">
        <v>6.5534175621933199</v>
      </c>
    </row>
    <row r="15" spans="1:51" x14ac:dyDescent="0.25">
      <c r="A15">
        <v>97</v>
      </c>
      <c r="B15" s="4">
        <v>0.99581800038125901</v>
      </c>
      <c r="C15" s="4">
        <v>10.9042707213596</v>
      </c>
      <c r="D15" s="4">
        <v>4.9045653743425204</v>
      </c>
      <c r="E15" s="4">
        <v>9.5754262052694696E-3</v>
      </c>
      <c r="F15" s="5">
        <v>4.1819996187406096E-3</v>
      </c>
      <c r="G15" s="5">
        <v>0</v>
      </c>
      <c r="H15" s="4">
        <v>3.9014198978658401</v>
      </c>
      <c r="I15" s="4">
        <v>3.8641340357318898</v>
      </c>
      <c r="J15" s="4">
        <v>-23.498065735290499</v>
      </c>
      <c r="K15" s="4">
        <v>7.54044198090401</v>
      </c>
      <c r="L15" s="4">
        <v>14.6095014621154</v>
      </c>
      <c r="M15" s="4">
        <v>7.6447098632183401</v>
      </c>
      <c r="N15" s="4">
        <v>68.926359720982006</v>
      </c>
      <c r="O15" s="4">
        <v>66.6918380204459</v>
      </c>
      <c r="P15" s="4">
        <v>293821.84139102203</v>
      </c>
      <c r="Q15" s="4">
        <v>273049.63764918799</v>
      </c>
      <c r="R15" s="4">
        <v>782.77079991761002</v>
      </c>
      <c r="S15" s="4">
        <v>0</v>
      </c>
      <c r="T15" s="4">
        <v>0</v>
      </c>
      <c r="U15" s="4">
        <v>5.6353208890867701E-2</v>
      </c>
      <c r="V15" s="4">
        <v>0.33497239751976898</v>
      </c>
      <c r="W15" s="4">
        <v>0</v>
      </c>
      <c r="X15" s="4">
        <v>0.74153985692282098</v>
      </c>
      <c r="Y15" s="4">
        <v>0</v>
      </c>
      <c r="Z15" s="5">
        <v>2.94315000129361E-4</v>
      </c>
      <c r="AA15" s="5">
        <v>3.5237191282497398E-5</v>
      </c>
      <c r="AB15" s="10">
        <v>2.3060551692053099E-3</v>
      </c>
      <c r="AC15" s="10">
        <v>4.8883761775499701E-8</v>
      </c>
      <c r="AD15" s="10">
        <v>1.54632919390134E-3</v>
      </c>
      <c r="AE15" s="4">
        <v>1.9958803995398899E-2</v>
      </c>
      <c r="AF15" s="4">
        <v>0.81921161632659101</v>
      </c>
      <c r="AG15" s="4">
        <v>0.99804752121595097</v>
      </c>
      <c r="AH15" s="4">
        <v>0.99991392131579004</v>
      </c>
      <c r="AI15" s="4">
        <v>0.999988623070034</v>
      </c>
      <c r="AJ15" s="4">
        <v>1</v>
      </c>
      <c r="AK15" s="4">
        <v>1</v>
      </c>
      <c r="AL15" s="4">
        <v>1</v>
      </c>
      <c r="AM15" s="4">
        <v>0</v>
      </c>
      <c r="AN15" s="4">
        <v>0</v>
      </c>
      <c r="AO15" s="4" t="s">
        <v>142</v>
      </c>
      <c r="AP15" s="4">
        <v>43230</v>
      </c>
      <c r="AQ15" s="6">
        <v>30239974320.009998</v>
      </c>
      <c r="AR15" s="4">
        <v>110749</v>
      </c>
      <c r="AS15" s="15">
        <v>0</v>
      </c>
      <c r="AT15" s="15">
        <v>66.502760248022994</v>
      </c>
      <c r="AU15" s="15">
        <v>66.502760248022994</v>
      </c>
      <c r="AV15" s="15">
        <v>33.497239751976899</v>
      </c>
      <c r="AW15" s="15">
        <v>33.497239751976899</v>
      </c>
      <c r="AX15" s="15">
        <v>0</v>
      </c>
      <c r="AY15">
        <v>11.314990090656099</v>
      </c>
    </row>
    <row r="16" spans="1:51" x14ac:dyDescent="0.25">
      <c r="A16">
        <v>97</v>
      </c>
      <c r="B16" s="4">
        <v>0.99525839644340297</v>
      </c>
      <c r="C16" s="4">
        <v>14.002827185935001</v>
      </c>
      <c r="D16" s="4">
        <v>5.5438582272930699</v>
      </c>
      <c r="E16" s="4">
        <v>1.24926248326339E-2</v>
      </c>
      <c r="F16" s="5">
        <v>4.74160355659696E-3</v>
      </c>
      <c r="G16" s="5">
        <v>0</v>
      </c>
      <c r="H16" s="4">
        <v>3.9578851636893502</v>
      </c>
      <c r="I16" s="4">
        <v>3.86991645349883</v>
      </c>
      <c r="J16" s="4">
        <v>-22.980733142995501</v>
      </c>
      <c r="K16" s="4">
        <v>12.527276197463699</v>
      </c>
      <c r="L16" s="4">
        <v>14.707415704811901</v>
      </c>
      <c r="M16" s="4">
        <v>8.6019844543323103</v>
      </c>
      <c r="N16" s="4">
        <v>69.313810168204796</v>
      </c>
      <c r="O16" s="4">
        <v>66.948658583240203</v>
      </c>
      <c r="P16" s="4">
        <v>292211.25569988601</v>
      </c>
      <c r="Q16" s="4">
        <v>271327.40903213201</v>
      </c>
      <c r="R16" s="4">
        <v>782.55568254157697</v>
      </c>
      <c r="S16" s="4">
        <v>0</v>
      </c>
      <c r="T16" s="4">
        <v>0</v>
      </c>
      <c r="U16" s="4">
        <v>4.8480183924126799E-2</v>
      </c>
      <c r="V16" s="4">
        <v>0.32608776327810601</v>
      </c>
      <c r="W16" s="4">
        <v>0</v>
      </c>
      <c r="X16" s="4">
        <v>0.74323333970219796</v>
      </c>
      <c r="Y16" s="4">
        <v>0</v>
      </c>
      <c r="Z16" s="5">
        <v>3.0836331462592099E-4</v>
      </c>
      <c r="AA16" s="5">
        <v>3.9228680771699102E-5</v>
      </c>
      <c r="AB16" s="10">
        <v>2.4557606943494199E-3</v>
      </c>
      <c r="AC16" s="10">
        <v>1.2838961728948999E-7</v>
      </c>
      <c r="AD16" s="10">
        <v>1.9381085659996801E-3</v>
      </c>
      <c r="AE16" s="4">
        <v>1.9745185918758599E-2</v>
      </c>
      <c r="AF16" s="4">
        <v>0.81163826250680804</v>
      </c>
      <c r="AG16" s="4">
        <v>0.99674140229203001</v>
      </c>
      <c r="AH16" s="4">
        <v>0.99972330682944199</v>
      </c>
      <c r="AI16" s="4">
        <v>0.99995142578066498</v>
      </c>
      <c r="AJ16" s="4">
        <v>1</v>
      </c>
      <c r="AK16" s="4">
        <v>1</v>
      </c>
      <c r="AL16" s="4">
        <v>1</v>
      </c>
      <c r="AM16" s="4">
        <v>0</v>
      </c>
      <c r="AN16" s="4">
        <v>0</v>
      </c>
      <c r="AO16" s="4" t="s">
        <v>143</v>
      </c>
      <c r="AP16" s="4">
        <v>43388</v>
      </c>
      <c r="AQ16" s="6">
        <v>34873711882.900002</v>
      </c>
      <c r="AR16" s="4">
        <v>128530</v>
      </c>
      <c r="AS16" s="15">
        <v>0</v>
      </c>
      <c r="AT16" s="15">
        <v>67.389270451200701</v>
      </c>
      <c r="AU16" s="15">
        <v>67.389270451200701</v>
      </c>
      <c r="AV16" s="15">
        <v>32.610729548799199</v>
      </c>
      <c r="AW16" s="15">
        <v>32.610729548799199</v>
      </c>
      <c r="AX16" s="15">
        <v>0</v>
      </c>
      <c r="AY16">
        <v>19.077563107269899</v>
      </c>
    </row>
    <row r="17" spans="1:51" x14ac:dyDescent="0.25">
      <c r="A17">
        <v>97</v>
      </c>
      <c r="B17" s="4">
        <v>0.99463567019119303</v>
      </c>
      <c r="C17" s="4">
        <v>17.244108581958599</v>
      </c>
      <c r="D17" s="4">
        <v>6.2506293158884398</v>
      </c>
      <c r="E17" s="4">
        <v>1.5649173923988301E-2</v>
      </c>
      <c r="F17" s="5">
        <v>5.36432980880692E-3</v>
      </c>
      <c r="G17" s="5">
        <v>0</v>
      </c>
      <c r="H17" s="4">
        <v>4.0147815621110601</v>
      </c>
      <c r="I17" s="4">
        <v>3.87980091119175</v>
      </c>
      <c r="J17" s="4">
        <v>-22.7605760882151</v>
      </c>
      <c r="K17" s="4">
        <v>17.528626096559499</v>
      </c>
      <c r="L17" s="4">
        <v>14.725806879669999</v>
      </c>
      <c r="M17" s="4">
        <v>9.7205172800475808</v>
      </c>
      <c r="N17" s="4">
        <v>69.437097744705696</v>
      </c>
      <c r="O17" s="4">
        <v>66.990267778011898</v>
      </c>
      <c r="P17" s="4">
        <v>291290.278693848</v>
      </c>
      <c r="Q17" s="4">
        <v>271047.98071393301</v>
      </c>
      <c r="R17" s="4">
        <v>782.67419718899896</v>
      </c>
      <c r="S17" s="4">
        <v>0</v>
      </c>
      <c r="T17" s="4">
        <v>0</v>
      </c>
      <c r="U17" s="4">
        <v>4.2086767551250903E-2</v>
      </c>
      <c r="V17" s="4">
        <v>0.313827814830066</v>
      </c>
      <c r="W17" s="4">
        <v>0</v>
      </c>
      <c r="X17" s="4">
        <v>0.75251585303054502</v>
      </c>
      <c r="Y17" s="4">
        <v>0</v>
      </c>
      <c r="Z17" s="5">
        <v>3.2247629147612902E-4</v>
      </c>
      <c r="AA17" s="5">
        <v>4.3168091667006502E-5</v>
      </c>
      <c r="AB17" s="10">
        <v>2.5730807291059099E-3</v>
      </c>
      <c r="AC17" s="10">
        <v>2.52169640778804E-7</v>
      </c>
      <c r="AD17" s="10">
        <v>2.4253388044805698E-3</v>
      </c>
      <c r="AE17" s="4">
        <v>1.8708914106764198E-2</v>
      </c>
      <c r="AF17" s="4">
        <v>0.80916351777835804</v>
      </c>
      <c r="AG17" s="4">
        <v>0.99408255665428602</v>
      </c>
      <c r="AH17" s="4">
        <v>0.99968213917259796</v>
      </c>
      <c r="AI17" s="4">
        <v>0.99994156572321002</v>
      </c>
      <c r="AJ17" s="4">
        <v>1</v>
      </c>
      <c r="AK17" s="4">
        <v>1</v>
      </c>
      <c r="AL17" s="4">
        <v>1</v>
      </c>
      <c r="AM17" s="4">
        <v>0</v>
      </c>
      <c r="AN17" s="4">
        <v>0</v>
      </c>
      <c r="AO17" s="4" t="s">
        <v>144</v>
      </c>
      <c r="AP17" s="4" t="s">
        <v>128</v>
      </c>
      <c r="AQ17" s="6">
        <v>38504534044.260002</v>
      </c>
      <c r="AR17" s="4">
        <v>142058</v>
      </c>
      <c r="AS17" s="15">
        <v>0</v>
      </c>
      <c r="AT17" s="15">
        <v>68.614686502298994</v>
      </c>
      <c r="AU17" s="15">
        <v>68.614686502298994</v>
      </c>
      <c r="AV17" s="15">
        <v>31.385313497700899</v>
      </c>
      <c r="AW17" s="15">
        <v>31.385313497700899</v>
      </c>
      <c r="AX17" s="15">
        <v>0</v>
      </c>
      <c r="AY17">
        <v>32.921262452470501</v>
      </c>
    </row>
    <row r="18" spans="1:51" x14ac:dyDescent="0.25">
      <c r="A18">
        <v>97</v>
      </c>
      <c r="B18" s="4">
        <v>0.99397648025020802</v>
      </c>
      <c r="C18" s="4">
        <v>21.069423058598701</v>
      </c>
      <c r="D18" s="4">
        <v>6.9935008466691198</v>
      </c>
      <c r="E18" s="4">
        <v>1.95236863561607E-2</v>
      </c>
      <c r="F18" s="5">
        <v>6.0235197497912896E-3</v>
      </c>
      <c r="G18" s="5">
        <v>0</v>
      </c>
      <c r="H18" s="4">
        <v>4.0436839684218899</v>
      </c>
      <c r="I18" s="4">
        <v>3.87209515072544</v>
      </c>
      <c r="J18" s="4">
        <v>-22.362803545103599</v>
      </c>
      <c r="K18" s="4">
        <v>22.543947941116599</v>
      </c>
      <c r="L18" s="4">
        <v>14.4774097168998</v>
      </c>
      <c r="M18" s="4">
        <v>10.474530213508601</v>
      </c>
      <c r="N18" s="4">
        <v>67.823587773271797</v>
      </c>
      <c r="O18" s="4">
        <v>65.233277583911899</v>
      </c>
      <c r="P18" s="4">
        <v>296099.12575120101</v>
      </c>
      <c r="Q18" s="4">
        <v>275599.59768276702</v>
      </c>
      <c r="R18" s="4">
        <v>782.70335214632905</v>
      </c>
      <c r="S18" s="4">
        <v>0</v>
      </c>
      <c r="T18" s="4">
        <v>0</v>
      </c>
      <c r="U18" s="4">
        <v>4.0518232439720303E-2</v>
      </c>
      <c r="V18" s="4">
        <v>0.312651710072128</v>
      </c>
      <c r="W18" s="4">
        <v>0</v>
      </c>
      <c r="X18" s="4">
        <v>0.75911106405639805</v>
      </c>
      <c r="Y18" s="4">
        <v>0</v>
      </c>
      <c r="Z18" s="5">
        <v>3.32414059649931E-4</v>
      </c>
      <c r="AA18" s="5">
        <v>4.5092679055955402E-5</v>
      </c>
      <c r="AB18" s="10">
        <v>2.6704932087956799E-3</v>
      </c>
      <c r="AC18" s="10">
        <v>5.2559592468737405E-7</v>
      </c>
      <c r="AD18" s="10">
        <v>2.9749806733237998E-3</v>
      </c>
      <c r="AE18" s="4">
        <v>2.0591337033753598E-2</v>
      </c>
      <c r="AF18" s="4">
        <v>0.790972610904635</v>
      </c>
      <c r="AG18" s="4">
        <v>0.99085171431382801</v>
      </c>
      <c r="AH18" s="4">
        <v>0.99938978154525104</v>
      </c>
      <c r="AI18" s="4">
        <v>0.99986300488605195</v>
      </c>
      <c r="AJ18" s="4">
        <v>1</v>
      </c>
      <c r="AK18" s="4">
        <v>1</v>
      </c>
      <c r="AL18" s="4">
        <v>1</v>
      </c>
      <c r="AM18" s="4">
        <v>0</v>
      </c>
      <c r="AN18" s="4">
        <v>0</v>
      </c>
      <c r="AO18" s="4" t="s">
        <v>68</v>
      </c>
      <c r="AP18" s="4" t="s">
        <v>69</v>
      </c>
      <c r="AQ18" s="6">
        <v>42866485823.980003</v>
      </c>
      <c r="AR18" s="4">
        <v>155539</v>
      </c>
      <c r="AS18" s="15">
        <v>0</v>
      </c>
      <c r="AT18" s="15">
        <v>68.733948825512499</v>
      </c>
      <c r="AU18" s="15">
        <v>68.733948825512499</v>
      </c>
      <c r="AV18" s="15">
        <v>31.266051174487401</v>
      </c>
      <c r="AW18" s="15">
        <v>31.266051174487401</v>
      </c>
      <c r="AX18" s="15">
        <v>0</v>
      </c>
      <c r="AY18">
        <v>51.265645297874499</v>
      </c>
    </row>
    <row r="19" spans="1:51" x14ac:dyDescent="0.25">
      <c r="A19">
        <v>97</v>
      </c>
      <c r="B19" s="4">
        <v>0.99334905769015902</v>
      </c>
      <c r="C19" s="4">
        <v>23.063401972063001</v>
      </c>
      <c r="D19" s="4">
        <v>7.6955562166639</v>
      </c>
      <c r="E19" s="4">
        <v>2.1612080739042899E-2</v>
      </c>
      <c r="F19" s="5">
        <v>6.6509423098409298E-3</v>
      </c>
      <c r="G19" s="5">
        <v>0</v>
      </c>
      <c r="H19" s="4">
        <v>4.0805540210337004</v>
      </c>
      <c r="I19" s="4">
        <v>3.8625393820885998</v>
      </c>
      <c r="J19" s="4">
        <v>-21.393000506281702</v>
      </c>
      <c r="K19" s="4">
        <v>27.523059197893399</v>
      </c>
      <c r="L19" s="4">
        <v>14.579448293624401</v>
      </c>
      <c r="M19" s="4">
        <v>11.278875551334</v>
      </c>
      <c r="N19" s="4">
        <v>68.399354601665294</v>
      </c>
      <c r="O19" s="4">
        <v>65.529784302322795</v>
      </c>
      <c r="P19" s="4">
        <v>294526.48745317903</v>
      </c>
      <c r="Q19" s="4">
        <v>273743.06304139103</v>
      </c>
      <c r="R19" s="4">
        <v>782.53592954160001</v>
      </c>
      <c r="S19" s="4">
        <v>0</v>
      </c>
      <c r="T19" s="4">
        <v>0</v>
      </c>
      <c r="U19" s="4">
        <v>3.8080921513116497E-2</v>
      </c>
      <c r="V19" s="4">
        <v>0.31095845645047998</v>
      </c>
      <c r="W19" s="4">
        <v>0</v>
      </c>
      <c r="X19" s="4">
        <v>0.75527821490326597</v>
      </c>
      <c r="Y19" s="4">
        <v>0</v>
      </c>
      <c r="Z19" s="5">
        <v>3.4120649254615299E-4</v>
      </c>
      <c r="AA19" s="5">
        <v>4.83945685371858E-5</v>
      </c>
      <c r="AB19" s="10">
        <v>2.7433609577282498E-3</v>
      </c>
      <c r="AC19" s="10">
        <v>8.3452158098785403E-7</v>
      </c>
      <c r="AD19" s="10">
        <v>3.5171324114987501E-3</v>
      </c>
      <c r="AE19" s="4">
        <v>2.2744782988137102E-2</v>
      </c>
      <c r="AF19" s="4">
        <v>0.773711834369746</v>
      </c>
      <c r="AG19" s="4">
        <v>0.98435998489732301</v>
      </c>
      <c r="AH19" s="4">
        <v>0.99926500628806203</v>
      </c>
      <c r="AI19" s="4">
        <v>0.99978340693150303</v>
      </c>
      <c r="AJ19" s="4">
        <v>1</v>
      </c>
      <c r="AK19" s="4">
        <v>1</v>
      </c>
      <c r="AL19" s="4">
        <v>1</v>
      </c>
      <c r="AM19" s="4">
        <v>0</v>
      </c>
      <c r="AN19" s="4">
        <v>0</v>
      </c>
      <c r="AO19" s="4" t="s">
        <v>145</v>
      </c>
      <c r="AP19" s="4" t="s">
        <v>129</v>
      </c>
      <c r="AQ19" s="6">
        <v>43570040885.919998</v>
      </c>
      <c r="AR19" s="4">
        <v>159164</v>
      </c>
      <c r="AS19" s="15">
        <v>0</v>
      </c>
      <c r="AT19" s="15">
        <v>68.9025983592351</v>
      </c>
      <c r="AU19" s="15">
        <v>68.9025983592351</v>
      </c>
      <c r="AV19" s="15">
        <v>31.097401640764801</v>
      </c>
      <c r="AW19" s="15">
        <v>31.097401640764801</v>
      </c>
      <c r="AX19" s="15">
        <v>0</v>
      </c>
      <c r="AY19">
        <v>73.319059443973501</v>
      </c>
    </row>
    <row r="20" spans="1:51" x14ac:dyDescent="0.25">
      <c r="A20">
        <v>97</v>
      </c>
      <c r="B20" s="4">
        <v>0.992767835895217</v>
      </c>
      <c r="C20" s="4">
        <v>25.027503012227498</v>
      </c>
      <c r="D20" s="4">
        <v>8.34157735248073</v>
      </c>
      <c r="E20" s="4">
        <v>2.3718264248499699E-2</v>
      </c>
      <c r="F20" s="5">
        <v>7.2321641047820998E-3</v>
      </c>
      <c r="G20" s="5">
        <v>0</v>
      </c>
      <c r="H20" s="4">
        <v>4.1027405532300296</v>
      </c>
      <c r="I20" s="4">
        <v>3.8402995810437202</v>
      </c>
      <c r="J20" s="4">
        <v>-20.755639965798601</v>
      </c>
      <c r="K20" s="4">
        <v>32.511491054413902</v>
      </c>
      <c r="L20" s="4">
        <v>14.592738375513299</v>
      </c>
      <c r="M20" s="4">
        <v>11.8390075290121</v>
      </c>
      <c r="N20" s="4">
        <v>68.156253548917306</v>
      </c>
      <c r="O20" s="4">
        <v>65.177772956410493</v>
      </c>
      <c r="P20" s="4">
        <v>293515.87052853801</v>
      </c>
      <c r="Q20" s="4">
        <v>273384.448033366</v>
      </c>
      <c r="R20" s="4">
        <v>782.62380017445605</v>
      </c>
      <c r="S20" s="4">
        <v>0</v>
      </c>
      <c r="T20" s="4">
        <v>0</v>
      </c>
      <c r="U20" s="4">
        <v>3.6990864738388599E-2</v>
      </c>
      <c r="V20" s="4">
        <v>0.31948024649228901</v>
      </c>
      <c r="W20" s="4">
        <v>0</v>
      </c>
      <c r="X20" s="4">
        <v>0.75414459234881004</v>
      </c>
      <c r="Y20" s="4">
        <v>0</v>
      </c>
      <c r="Z20" s="5">
        <v>3.4765966736708201E-4</v>
      </c>
      <c r="AA20" s="5">
        <v>5.1752209162224997E-5</v>
      </c>
      <c r="AB20" s="10">
        <v>2.7994828835263001E-3</v>
      </c>
      <c r="AC20" s="10">
        <v>1.39593022489295E-6</v>
      </c>
      <c r="AD20" s="10">
        <v>4.0318601303011899E-3</v>
      </c>
      <c r="AE20" s="4">
        <v>2.45301569098028E-2</v>
      </c>
      <c r="AF20" s="4">
        <v>0.75628598751500098</v>
      </c>
      <c r="AG20" s="4">
        <v>0.97965776719801001</v>
      </c>
      <c r="AH20" s="4">
        <v>0.99872127708043201</v>
      </c>
      <c r="AI20" s="4">
        <v>0.99974782095048298</v>
      </c>
      <c r="AJ20" s="4">
        <v>1</v>
      </c>
      <c r="AK20" s="4">
        <v>1</v>
      </c>
      <c r="AL20" s="4">
        <v>1</v>
      </c>
      <c r="AM20" s="4">
        <v>0</v>
      </c>
      <c r="AN20" s="4">
        <v>0</v>
      </c>
      <c r="AO20" s="4" t="s">
        <v>146</v>
      </c>
      <c r="AP20" s="4" t="s">
        <v>130</v>
      </c>
      <c r="AQ20" s="6">
        <v>43981816615.160004</v>
      </c>
      <c r="AR20" s="4">
        <v>160879</v>
      </c>
      <c r="AS20" s="15">
        <v>0</v>
      </c>
      <c r="AT20" s="15">
        <v>68.048233289331407</v>
      </c>
      <c r="AU20" s="15">
        <v>68.048233289331407</v>
      </c>
      <c r="AV20" s="15">
        <v>31.951766710668501</v>
      </c>
      <c r="AW20" s="15">
        <v>31.951766710668501</v>
      </c>
      <c r="AX20" s="15">
        <v>0</v>
      </c>
      <c r="AY20">
        <v>94.548590404183201</v>
      </c>
    </row>
    <row r="21" spans="1:51" x14ac:dyDescent="0.25">
      <c r="A21">
        <v>97</v>
      </c>
      <c r="B21" s="4">
        <v>0.99209711752820595</v>
      </c>
      <c r="C21" s="4">
        <v>27.8309486971669</v>
      </c>
      <c r="D21" s="4">
        <v>9.0819203972355993</v>
      </c>
      <c r="E21" s="4">
        <v>2.68138572498413E-2</v>
      </c>
      <c r="F21" s="5">
        <v>7.9028824717932902E-3</v>
      </c>
      <c r="G21" s="5">
        <v>0</v>
      </c>
      <c r="H21" s="4">
        <v>4.1348421477221304</v>
      </c>
      <c r="I21" s="4">
        <v>3.8277250291846898</v>
      </c>
      <c r="J21" s="4">
        <v>-20.0389557709005</v>
      </c>
      <c r="K21" s="4">
        <v>37.477155620940799</v>
      </c>
      <c r="L21" s="4">
        <v>14.4877045600388</v>
      </c>
      <c r="M21" s="4">
        <v>12.6078128582411</v>
      </c>
      <c r="N21" s="4">
        <v>67.879501963899401</v>
      </c>
      <c r="O21" s="4">
        <v>64.682708039634605</v>
      </c>
      <c r="P21" s="4">
        <v>295895.42198303703</v>
      </c>
      <c r="Q21" s="4">
        <v>275423.54305827001</v>
      </c>
      <c r="R21" s="4">
        <v>782.57786396524398</v>
      </c>
      <c r="S21" s="4">
        <v>0</v>
      </c>
      <c r="T21" s="4">
        <v>0</v>
      </c>
      <c r="U21" s="4">
        <v>3.3245687119706303E-2</v>
      </c>
      <c r="V21" s="4">
        <v>0.31884608175692603</v>
      </c>
      <c r="W21" s="4">
        <v>0</v>
      </c>
      <c r="X21" s="4">
        <v>0.74620281227947405</v>
      </c>
      <c r="Y21" s="4">
        <v>0</v>
      </c>
      <c r="Z21" s="5">
        <v>3.5348430277968299E-4</v>
      </c>
      <c r="AA21" s="5">
        <v>5.6024626866873403E-5</v>
      </c>
      <c r="AB21" s="10">
        <v>2.8690501527125901E-3</v>
      </c>
      <c r="AC21" s="10">
        <v>1.65273831777568E-6</v>
      </c>
      <c r="AD21" s="10">
        <v>4.6226575239359802E-3</v>
      </c>
      <c r="AE21" s="4">
        <v>2.6445154231125999E-2</v>
      </c>
      <c r="AF21" s="4">
        <v>0.73125548823181896</v>
      </c>
      <c r="AG21" s="4">
        <v>0.979473890486807</v>
      </c>
      <c r="AH21" s="4">
        <v>0.99839829479854003</v>
      </c>
      <c r="AI21" s="4">
        <v>0.99967124020694698</v>
      </c>
      <c r="AJ21" s="4">
        <v>1</v>
      </c>
      <c r="AK21" s="4">
        <v>1</v>
      </c>
      <c r="AL21" s="4">
        <v>1</v>
      </c>
      <c r="AM21" s="4">
        <v>0</v>
      </c>
      <c r="AN21" s="4">
        <v>0</v>
      </c>
      <c r="AO21" s="4" t="s">
        <v>147</v>
      </c>
      <c r="AP21" s="4" t="s">
        <v>131</v>
      </c>
      <c r="AQ21" s="6">
        <v>44207957472.739998</v>
      </c>
      <c r="AR21" s="4">
        <v>160509</v>
      </c>
      <c r="AS21" s="15">
        <v>0</v>
      </c>
      <c r="AT21" s="15">
        <v>68.1145338558064</v>
      </c>
      <c r="AU21" s="15">
        <v>68.1145338558064</v>
      </c>
      <c r="AV21" s="15">
        <v>31.885466144193501</v>
      </c>
      <c r="AW21" s="15">
        <v>31.885466144193501</v>
      </c>
      <c r="AX21" s="15">
        <v>0</v>
      </c>
      <c r="AY21">
        <v>118.174201959104</v>
      </c>
    </row>
    <row r="22" spans="1:51" x14ac:dyDescent="0.25">
      <c r="A22">
        <v>97</v>
      </c>
      <c r="B22" s="4">
        <v>0.99144967387038196</v>
      </c>
      <c r="C22" s="4">
        <v>31.457809554335402</v>
      </c>
      <c r="D22" s="4">
        <v>9.7913692180842098</v>
      </c>
      <c r="E22" s="4">
        <v>3.0986490940274499E-2</v>
      </c>
      <c r="F22" s="5">
        <v>8.5503261296176608E-3</v>
      </c>
      <c r="G22" s="5">
        <v>0</v>
      </c>
      <c r="H22" s="4">
        <v>4.1831056287147099</v>
      </c>
      <c r="I22" s="4">
        <v>3.8234897991792001</v>
      </c>
      <c r="J22" s="4">
        <v>-19.308467152961001</v>
      </c>
      <c r="K22" s="4">
        <v>42.4414709362472</v>
      </c>
      <c r="L22" s="4">
        <v>14.5358316264058</v>
      </c>
      <c r="M22" s="4">
        <v>13.4661459978945</v>
      </c>
      <c r="N22" s="4">
        <v>68.134365329732702</v>
      </c>
      <c r="O22" s="4">
        <v>64.854192175624604</v>
      </c>
      <c r="P22" s="4">
        <v>295673.57968567999</v>
      </c>
      <c r="Q22" s="4">
        <v>274474.31744831899</v>
      </c>
      <c r="R22" s="4">
        <v>782.37061544591597</v>
      </c>
      <c r="S22" s="4">
        <v>0</v>
      </c>
      <c r="T22" s="4">
        <v>0</v>
      </c>
      <c r="U22" s="4">
        <v>2.9554947425934699E-2</v>
      </c>
      <c r="V22" s="4">
        <v>0.31628242699909997</v>
      </c>
      <c r="W22" s="4">
        <v>0</v>
      </c>
      <c r="X22" s="4">
        <v>0.73742216935260996</v>
      </c>
      <c r="Y22" s="4">
        <v>0</v>
      </c>
      <c r="Z22" s="5">
        <v>3.59625182460098E-4</v>
      </c>
      <c r="AA22" s="5">
        <v>6.1795145375626197E-5</v>
      </c>
      <c r="AB22" s="10">
        <v>2.9245868807497299E-3</v>
      </c>
      <c r="AC22" s="10">
        <v>2.2833316231014498E-6</v>
      </c>
      <c r="AD22" s="10">
        <v>5.2020224613426799E-3</v>
      </c>
      <c r="AE22" s="4">
        <v>2.6782477124935099E-2</v>
      </c>
      <c r="AF22" s="4">
        <v>0.724751090086039</v>
      </c>
      <c r="AG22" s="4">
        <v>0.97632536653116497</v>
      </c>
      <c r="AH22" s="4">
        <v>0.997786893837043</v>
      </c>
      <c r="AI22" s="4">
        <v>0.99977110334512298</v>
      </c>
      <c r="AJ22" s="4">
        <v>1</v>
      </c>
      <c r="AK22" s="4">
        <v>1</v>
      </c>
      <c r="AL22" s="4">
        <v>1</v>
      </c>
      <c r="AM22" s="4">
        <v>0</v>
      </c>
      <c r="AN22" s="4">
        <v>0</v>
      </c>
      <c r="AO22" s="4" t="s">
        <v>148</v>
      </c>
      <c r="AP22" s="4" t="s">
        <v>132</v>
      </c>
      <c r="AQ22" s="6">
        <v>40881577212.339996</v>
      </c>
      <c r="AR22" s="4">
        <v>148945</v>
      </c>
      <c r="AS22" s="15">
        <v>0</v>
      </c>
      <c r="AT22" s="15">
        <v>68.371757300089897</v>
      </c>
      <c r="AU22" s="15">
        <v>68.371757300089897</v>
      </c>
      <c r="AV22" s="15">
        <v>31.62824269991</v>
      </c>
      <c r="AW22" s="15">
        <v>31.62824269991</v>
      </c>
      <c r="AX22" s="15">
        <v>0</v>
      </c>
      <c r="AY22">
        <v>144.31373883304201</v>
      </c>
    </row>
    <row r="23" spans="1:51" x14ac:dyDescent="0.25">
      <c r="A23">
        <v>97</v>
      </c>
      <c r="B23" s="4">
        <v>0.99072239028534004</v>
      </c>
      <c r="C23" s="4">
        <v>33.304221716883298</v>
      </c>
      <c r="D23" s="4">
        <v>10.5822499831014</v>
      </c>
      <c r="E23" s="4">
        <v>3.3189120807656299E-2</v>
      </c>
      <c r="F23" s="5">
        <v>9.2776097146592407E-3</v>
      </c>
      <c r="G23" s="5">
        <v>0</v>
      </c>
      <c r="H23" s="4">
        <v>4.2389415300754898</v>
      </c>
      <c r="I23" s="4">
        <v>3.8269868753635499</v>
      </c>
      <c r="J23" s="4">
        <v>-18.563579512203901</v>
      </c>
      <c r="K23" s="4">
        <v>47.5181657858855</v>
      </c>
      <c r="L23" s="4">
        <v>14.521738018190099</v>
      </c>
      <c r="M23" s="4">
        <v>14.598139898686</v>
      </c>
      <c r="N23" s="4">
        <v>67.828227111409007</v>
      </c>
      <c r="O23" s="4">
        <v>64.5519156159217</v>
      </c>
      <c r="P23" s="4">
        <v>295745.68320464302</v>
      </c>
      <c r="Q23" s="4">
        <v>274652.29598887102</v>
      </c>
      <c r="R23" s="4">
        <v>782.20509203350196</v>
      </c>
      <c r="S23" s="4">
        <v>0</v>
      </c>
      <c r="T23" s="4">
        <v>0</v>
      </c>
      <c r="U23" s="4">
        <v>2.3834156897787201E-2</v>
      </c>
      <c r="V23" s="4">
        <v>0.30543286058415797</v>
      </c>
      <c r="W23" s="4">
        <v>0</v>
      </c>
      <c r="X23" s="4">
        <v>0.72540982248493402</v>
      </c>
      <c r="Y23" s="4">
        <v>0</v>
      </c>
      <c r="Z23" s="5">
        <v>3.6543652309801701E-4</v>
      </c>
      <c r="AA23" s="5">
        <v>6.9434013042086996E-5</v>
      </c>
      <c r="AB23" s="10">
        <v>3.0125580611942101E-3</v>
      </c>
      <c r="AC23" s="10">
        <v>2.5641521808826601E-6</v>
      </c>
      <c r="AD23" s="10">
        <v>5.8276037836485399E-3</v>
      </c>
      <c r="AE23" s="4">
        <v>2.5413600275352301E-2</v>
      </c>
      <c r="AF23" s="4">
        <v>0.72717762883551995</v>
      </c>
      <c r="AG23" s="4">
        <v>0.97756360695948996</v>
      </c>
      <c r="AH23" s="4">
        <v>0.99767709129697701</v>
      </c>
      <c r="AI23" s="4">
        <v>0.99980449507090297</v>
      </c>
      <c r="AJ23" s="4">
        <v>1</v>
      </c>
      <c r="AK23" s="4">
        <v>1</v>
      </c>
      <c r="AL23" s="4">
        <v>1</v>
      </c>
      <c r="AM23" s="4">
        <v>0</v>
      </c>
      <c r="AN23" s="4">
        <v>0</v>
      </c>
      <c r="AO23" s="4" t="s">
        <v>70</v>
      </c>
      <c r="AP23" s="4" t="s">
        <v>71</v>
      </c>
      <c r="AQ23" s="6">
        <v>39190960071.540001</v>
      </c>
      <c r="AR23" s="4">
        <v>142693</v>
      </c>
      <c r="AS23" s="15">
        <v>0</v>
      </c>
      <c r="AT23" s="15">
        <v>69.456713941584098</v>
      </c>
      <c r="AU23" s="15">
        <v>69.456713941584098</v>
      </c>
      <c r="AV23" s="15">
        <v>30.543286058415799</v>
      </c>
      <c r="AW23" s="15">
        <v>30.543286058415799</v>
      </c>
      <c r="AX23" s="15">
        <v>0</v>
      </c>
      <c r="AY23">
        <v>174.12595009353601</v>
      </c>
    </row>
    <row r="24" spans="1:51" x14ac:dyDescent="0.25">
      <c r="A24">
        <v>97</v>
      </c>
      <c r="B24" s="4">
        <v>0.99008101348119104</v>
      </c>
      <c r="C24" s="4">
        <v>33.412905074069897</v>
      </c>
      <c r="D24" s="4">
        <v>11.2744322799816</v>
      </c>
      <c r="E24" s="4">
        <v>3.3320506950236702E-2</v>
      </c>
      <c r="F24" s="5">
        <v>9.9189865188087697E-3</v>
      </c>
      <c r="G24" s="5">
        <v>0</v>
      </c>
      <c r="H24" s="4">
        <v>4.3180088133900201</v>
      </c>
      <c r="I24" s="4">
        <v>3.8417095635101601</v>
      </c>
      <c r="J24" s="4">
        <v>-17.463033232366499</v>
      </c>
      <c r="K24" s="4">
        <v>52.504460856871802</v>
      </c>
      <c r="L24" s="4">
        <v>14.8874961022898</v>
      </c>
      <c r="M24" s="4">
        <v>16.089801589438402</v>
      </c>
      <c r="N24" s="4">
        <v>69.557277818035402</v>
      </c>
      <c r="O24" s="4">
        <v>66.210125995491296</v>
      </c>
      <c r="P24" s="4">
        <v>289074.80954989302</v>
      </c>
      <c r="Q24" s="4">
        <v>268000.80968965101</v>
      </c>
      <c r="R24" s="4">
        <v>781.780156964767</v>
      </c>
      <c r="S24" s="4">
        <v>0</v>
      </c>
      <c r="T24" s="4">
        <v>0</v>
      </c>
      <c r="U24" s="4">
        <v>1.9533416900711299E-2</v>
      </c>
      <c r="V24" s="4">
        <v>0.293068561959486</v>
      </c>
      <c r="W24" s="4">
        <v>0</v>
      </c>
      <c r="X24" s="4">
        <v>0.70768999875706795</v>
      </c>
      <c r="Y24" s="4">
        <v>0</v>
      </c>
      <c r="Z24" s="5">
        <v>3.7173065143407798E-4</v>
      </c>
      <c r="AA24" s="5">
        <v>8.2806942032154695E-5</v>
      </c>
      <c r="AB24" s="10">
        <v>3.1134833891456799E-3</v>
      </c>
      <c r="AC24" s="10">
        <v>2.6524878513713101E-6</v>
      </c>
      <c r="AD24" s="10">
        <v>6.3482996130898696E-3</v>
      </c>
      <c r="AE24" s="4">
        <v>2.1343834427945199E-2</v>
      </c>
      <c r="AF24" s="4">
        <v>0.743219356564774</v>
      </c>
      <c r="AG24" s="4">
        <v>0.97898504923415897</v>
      </c>
      <c r="AH24" s="4">
        <v>0.99781394459043105</v>
      </c>
      <c r="AI24" s="4">
        <v>0.99980766978107405</v>
      </c>
      <c r="AJ24" s="4">
        <v>1</v>
      </c>
      <c r="AK24" s="4">
        <v>1</v>
      </c>
      <c r="AL24" s="4">
        <v>1</v>
      </c>
      <c r="AM24" s="4">
        <v>0</v>
      </c>
      <c r="AN24" s="4">
        <v>0</v>
      </c>
      <c r="AO24" s="4" t="s">
        <v>149</v>
      </c>
      <c r="AP24" s="4" t="s">
        <v>133</v>
      </c>
      <c r="AQ24" s="6">
        <v>35465887150.279999</v>
      </c>
      <c r="AR24" s="4">
        <v>132335</v>
      </c>
      <c r="AS24" s="15">
        <v>0</v>
      </c>
      <c r="AT24" s="15">
        <v>70.693143804051303</v>
      </c>
      <c r="AU24" s="15">
        <v>70.693143804051303</v>
      </c>
      <c r="AV24" s="15">
        <v>29.306856195948601</v>
      </c>
      <c r="AW24" s="15">
        <v>29.306856195948601</v>
      </c>
      <c r="AX24" s="15">
        <v>0</v>
      </c>
      <c r="AY24">
        <v>205.960894535335</v>
      </c>
    </row>
    <row r="25" spans="1:51" x14ac:dyDescent="0.25">
      <c r="A25">
        <v>97</v>
      </c>
      <c r="B25" s="4">
        <v>0.98941933975600704</v>
      </c>
      <c r="C25" s="4">
        <v>35.483122751195602</v>
      </c>
      <c r="D25" s="4">
        <v>11.983369033498301</v>
      </c>
      <c r="E25" s="4">
        <v>3.5861456913817397E-2</v>
      </c>
      <c r="F25" s="5">
        <v>1.0580660243992601E-2</v>
      </c>
      <c r="G25" s="5">
        <v>0</v>
      </c>
      <c r="H25" s="4">
        <v>4.3828476012421298</v>
      </c>
      <c r="I25" s="4">
        <v>3.85236985124663</v>
      </c>
      <c r="J25" s="4">
        <v>-17.323484782878001</v>
      </c>
      <c r="K25" s="4">
        <v>57.483952620614602</v>
      </c>
      <c r="L25" s="4">
        <v>15.128447433642799</v>
      </c>
      <c r="M25" s="4">
        <v>17.615635507674199</v>
      </c>
      <c r="N25" s="4">
        <v>69.3707222762594</v>
      </c>
      <c r="O25" s="4">
        <v>66.117421457794194</v>
      </c>
      <c r="P25" s="4">
        <v>284722.57227888302</v>
      </c>
      <c r="Q25" s="4">
        <v>263601.22499946097</v>
      </c>
      <c r="R25" s="4">
        <v>781.65218840305101</v>
      </c>
      <c r="S25" s="4">
        <v>0</v>
      </c>
      <c r="T25" s="4">
        <v>0</v>
      </c>
      <c r="U25" s="4">
        <v>1.6827545058759601E-2</v>
      </c>
      <c r="V25" s="4">
        <v>0.27475101430821303</v>
      </c>
      <c r="W25" s="4">
        <v>0</v>
      </c>
      <c r="X25" s="4">
        <v>0.70253617632027499</v>
      </c>
      <c r="Y25" s="4">
        <v>0</v>
      </c>
      <c r="Z25" s="5">
        <v>3.7826165390336599E-4</v>
      </c>
      <c r="AA25" s="5">
        <v>9.7685403267692999E-5</v>
      </c>
      <c r="AB25" s="10">
        <v>3.1965204846598201E-3</v>
      </c>
      <c r="AC25" s="10">
        <v>3.29264430798687E-6</v>
      </c>
      <c r="AD25" s="10">
        <v>6.9048864209610601E-3</v>
      </c>
      <c r="AE25" s="4">
        <v>1.7894566644767299E-2</v>
      </c>
      <c r="AF25" s="4">
        <v>0.76065412066716998</v>
      </c>
      <c r="AG25" s="4">
        <v>0.97939804238014205</v>
      </c>
      <c r="AH25" s="4">
        <v>0.99745020383035099</v>
      </c>
      <c r="AI25" s="4">
        <v>0.99959005351784602</v>
      </c>
      <c r="AJ25" s="4">
        <v>1</v>
      </c>
      <c r="AK25" s="4">
        <v>1</v>
      </c>
      <c r="AL25" s="4">
        <v>1</v>
      </c>
      <c r="AM25" s="4">
        <v>0</v>
      </c>
      <c r="AN25" s="4">
        <v>0</v>
      </c>
      <c r="AO25" s="4" t="s">
        <v>150</v>
      </c>
      <c r="AP25" s="4" t="s">
        <v>134</v>
      </c>
      <c r="AQ25" s="6">
        <v>34266577642.580002</v>
      </c>
      <c r="AR25" s="4">
        <v>129994</v>
      </c>
      <c r="AS25" s="15">
        <v>0</v>
      </c>
      <c r="AT25" s="15">
        <v>72.524898569178603</v>
      </c>
      <c r="AU25" s="15">
        <v>72.524898569178603</v>
      </c>
      <c r="AV25" s="15">
        <v>27.475101430821301</v>
      </c>
      <c r="AW25" s="15">
        <v>27.475101430821301</v>
      </c>
      <c r="AX25" s="15">
        <v>0</v>
      </c>
      <c r="AY25">
        <v>247.53419024111801</v>
      </c>
    </row>
    <row r="26" spans="1:51" x14ac:dyDescent="0.25">
      <c r="A26">
        <v>97</v>
      </c>
      <c r="B26" s="4">
        <v>0.98867875315606901</v>
      </c>
      <c r="C26" s="4">
        <v>36.916194201583203</v>
      </c>
      <c r="D26" s="4">
        <v>12.770694549005499</v>
      </c>
      <c r="E26" s="4">
        <v>3.7664536457675403E-2</v>
      </c>
      <c r="F26" s="5">
        <v>1.13212468439304E-2</v>
      </c>
      <c r="G26" s="5">
        <v>0</v>
      </c>
      <c r="H26" s="4">
        <v>4.4570138283542002</v>
      </c>
      <c r="I26" s="4">
        <v>3.87369396655901</v>
      </c>
      <c r="J26" s="4">
        <v>-17.372290288372199</v>
      </c>
      <c r="K26" s="4">
        <v>62.493872299298502</v>
      </c>
      <c r="L26" s="4">
        <v>15.300089484672499</v>
      </c>
      <c r="M26" s="4">
        <v>19.219580973313601</v>
      </c>
      <c r="N26" s="4">
        <v>69.640995457539205</v>
      </c>
      <c r="O26" s="4">
        <v>66.478468410495097</v>
      </c>
      <c r="P26" s="4">
        <v>281394.51245636097</v>
      </c>
      <c r="Q26" s="4">
        <v>260887.20038690799</v>
      </c>
      <c r="R26" s="4">
        <v>781.25668982452203</v>
      </c>
      <c r="S26" s="4">
        <v>0</v>
      </c>
      <c r="T26" s="4">
        <v>0</v>
      </c>
      <c r="U26" s="4">
        <v>1.57969973089311E-2</v>
      </c>
      <c r="V26" s="4">
        <v>0.25155198752355401</v>
      </c>
      <c r="W26" s="4">
        <v>0</v>
      </c>
      <c r="X26" s="4">
        <v>0.69517777957868698</v>
      </c>
      <c r="Y26" s="4">
        <v>0</v>
      </c>
      <c r="Z26" s="5">
        <v>3.8188402314078598E-4</v>
      </c>
      <c r="AA26" s="5">
        <v>1.16284490665927E-4</v>
      </c>
      <c r="AB26" s="10">
        <v>3.2824559609929802E-3</v>
      </c>
      <c r="AC26" s="10">
        <v>3.38563910855065E-6</v>
      </c>
      <c r="AD26" s="10">
        <v>7.5372227963035696E-3</v>
      </c>
      <c r="AE26" s="4">
        <v>1.2960874951345999E-2</v>
      </c>
      <c r="AF26" s="4">
        <v>0.77964598469661195</v>
      </c>
      <c r="AG26" s="4">
        <v>0.98196676584440401</v>
      </c>
      <c r="AH26" s="4">
        <v>0.99752558413372505</v>
      </c>
      <c r="AI26" s="4">
        <v>0.99960562277723597</v>
      </c>
      <c r="AJ26" s="4">
        <v>1</v>
      </c>
      <c r="AK26" s="4">
        <v>1</v>
      </c>
      <c r="AL26" s="4">
        <v>1</v>
      </c>
      <c r="AM26" s="4">
        <v>0</v>
      </c>
      <c r="AN26" s="4">
        <v>0</v>
      </c>
      <c r="AO26" s="4" t="s">
        <v>151</v>
      </c>
      <c r="AP26" s="4" t="s">
        <v>135</v>
      </c>
      <c r="AQ26" s="6">
        <v>35359607591.639999</v>
      </c>
      <c r="AR26" s="4">
        <v>135536</v>
      </c>
      <c r="AS26" s="15">
        <v>0</v>
      </c>
      <c r="AT26" s="15">
        <v>74.844801247644497</v>
      </c>
      <c r="AU26" s="15">
        <v>74.844801247644497</v>
      </c>
      <c r="AV26" s="15">
        <v>25.1551987523554</v>
      </c>
      <c r="AW26" s="15">
        <v>25.1551987523554</v>
      </c>
      <c r="AX26" s="15">
        <v>0</v>
      </c>
      <c r="AY26">
        <v>297.70247848189399</v>
      </c>
    </row>
    <row r="27" spans="1:51" x14ac:dyDescent="0.25">
      <c r="A27">
        <v>97</v>
      </c>
      <c r="B27" s="4">
        <v>0.98805992433676704</v>
      </c>
      <c r="C27" s="4">
        <v>37.345209881536803</v>
      </c>
      <c r="D27" s="4">
        <v>13.4236213020771</v>
      </c>
      <c r="E27" s="4">
        <v>3.8211625487718101E-2</v>
      </c>
      <c r="F27" s="5">
        <v>1.1940075663232699E-2</v>
      </c>
      <c r="G27" s="5">
        <v>0</v>
      </c>
      <c r="H27" s="4">
        <v>4.5265381369182798</v>
      </c>
      <c r="I27" s="4">
        <v>3.89317759535848</v>
      </c>
      <c r="J27" s="4">
        <v>-17.357444142943901</v>
      </c>
      <c r="K27" s="4">
        <v>67.507788310346896</v>
      </c>
      <c r="L27" s="4">
        <v>15.524625186481</v>
      </c>
      <c r="M27" s="4">
        <v>20.507182785311201</v>
      </c>
      <c r="N27" s="4">
        <v>69.628969068538396</v>
      </c>
      <c r="O27" s="4">
        <v>66.6435851183914</v>
      </c>
      <c r="P27" s="4">
        <v>277328.61571989499</v>
      </c>
      <c r="Q27" s="4">
        <v>257076.01452947801</v>
      </c>
      <c r="R27" s="4">
        <v>781.11713358103896</v>
      </c>
      <c r="S27" s="4">
        <v>0</v>
      </c>
      <c r="T27" s="4">
        <v>0</v>
      </c>
      <c r="U27" s="4">
        <v>1.6723574292648102E-2</v>
      </c>
      <c r="V27" s="4">
        <v>0.23597175168697701</v>
      </c>
      <c r="W27" s="4">
        <v>0</v>
      </c>
      <c r="X27" s="4">
        <v>0.69099867614049704</v>
      </c>
      <c r="Y27" s="4">
        <v>0</v>
      </c>
      <c r="Z27" s="5">
        <v>3.8698645243419202E-4</v>
      </c>
      <c r="AA27" s="5">
        <v>1.3357148903097999E-4</v>
      </c>
      <c r="AB27" s="10">
        <v>3.3189158032611902E-3</v>
      </c>
      <c r="AC27" s="10">
        <v>3.9252187784782198E-6</v>
      </c>
      <c r="AD27" s="10">
        <v>8.0966625121133198E-3</v>
      </c>
      <c r="AE27" s="4">
        <v>7.3625069888890102E-3</v>
      </c>
      <c r="AF27" s="4">
        <v>0.80371151762209503</v>
      </c>
      <c r="AG27" s="4">
        <v>0.98172643764080303</v>
      </c>
      <c r="AH27" s="4">
        <v>0.99727104386335996</v>
      </c>
      <c r="AI27" s="4">
        <v>0.99956676147008405</v>
      </c>
      <c r="AJ27" s="4">
        <v>1</v>
      </c>
      <c r="AK27" s="4">
        <v>1</v>
      </c>
      <c r="AL27" s="4">
        <v>1</v>
      </c>
      <c r="AM27" s="4">
        <v>0</v>
      </c>
      <c r="AN27" s="4">
        <v>0</v>
      </c>
      <c r="AO27" s="4" t="s">
        <v>152</v>
      </c>
      <c r="AP27" s="4" t="s">
        <v>136</v>
      </c>
      <c r="AQ27" s="6">
        <v>36614565521.389999</v>
      </c>
      <c r="AR27" s="4">
        <v>142427</v>
      </c>
      <c r="AS27" s="15">
        <v>0</v>
      </c>
      <c r="AT27" s="15">
        <v>76.402824831302198</v>
      </c>
      <c r="AU27" s="15">
        <v>76.402824831302198</v>
      </c>
      <c r="AV27" s="15">
        <v>23.597175168697699</v>
      </c>
      <c r="AW27" s="15">
        <v>23.597175168697699</v>
      </c>
      <c r="AX27" s="15">
        <v>0</v>
      </c>
      <c r="AY27">
        <v>353.87949161134401</v>
      </c>
    </row>
    <row r="28" spans="1:51" x14ac:dyDescent="0.25">
      <c r="A28">
        <v>97</v>
      </c>
      <c r="B28" s="4">
        <v>0.98724113486291998</v>
      </c>
      <c r="C28" s="4">
        <v>38.8004168964695</v>
      </c>
      <c r="D28" s="4">
        <v>14.2806417329684</v>
      </c>
      <c r="E28" s="4">
        <v>4.0093265411971897E-2</v>
      </c>
      <c r="F28" s="5">
        <v>1.27588651370793E-2</v>
      </c>
      <c r="G28" s="5">
        <v>0</v>
      </c>
      <c r="H28" s="4">
        <v>4.5629607377015402</v>
      </c>
      <c r="I28" s="4">
        <v>3.8915187669964801</v>
      </c>
      <c r="J28" s="4">
        <v>-17.338161738532101</v>
      </c>
      <c r="K28" s="4">
        <v>72.521817416847398</v>
      </c>
      <c r="L28" s="4">
        <v>15.200947268613699</v>
      </c>
      <c r="M28" s="4">
        <v>21.458714849890299</v>
      </c>
      <c r="N28" s="4">
        <v>68.415454658357604</v>
      </c>
      <c r="O28" s="4">
        <v>65.449720028663606</v>
      </c>
      <c r="P28" s="4">
        <v>282548.22487825499</v>
      </c>
      <c r="Q28" s="4">
        <v>262505.16866920999</v>
      </c>
      <c r="R28" s="4">
        <v>781.02953026914997</v>
      </c>
      <c r="S28" s="4">
        <v>0</v>
      </c>
      <c r="T28" s="4">
        <v>0</v>
      </c>
      <c r="U28" s="4">
        <v>1.61883880081563E-2</v>
      </c>
      <c r="V28" s="4">
        <v>0.22642586422368699</v>
      </c>
      <c r="W28" s="4">
        <v>0</v>
      </c>
      <c r="X28" s="4">
        <v>0.69552406311452897</v>
      </c>
      <c r="Y28" s="4">
        <v>0</v>
      </c>
      <c r="Z28" s="5">
        <v>3.8991503405858197E-4</v>
      </c>
      <c r="AA28" s="5">
        <v>1.4459484311078399E-4</v>
      </c>
      <c r="AB28" s="10">
        <v>3.3562305536735701E-3</v>
      </c>
      <c r="AC28" s="10">
        <v>4.5622395077121298E-6</v>
      </c>
      <c r="AD28" s="10">
        <v>8.8635481190462908E-3</v>
      </c>
      <c r="AE28" s="4">
        <v>6.2719663140639202E-3</v>
      </c>
      <c r="AF28" s="4">
        <v>0.798839584931888</v>
      </c>
      <c r="AG28" s="4">
        <v>0.98129144415896796</v>
      </c>
      <c r="AH28" s="4">
        <v>0.996895621910728</v>
      </c>
      <c r="AI28" s="4">
        <v>0.99964418117056897</v>
      </c>
      <c r="AJ28" s="4">
        <v>1</v>
      </c>
      <c r="AK28" s="4">
        <v>1</v>
      </c>
      <c r="AL28" s="4">
        <v>1</v>
      </c>
      <c r="AM28" s="4">
        <v>0</v>
      </c>
      <c r="AN28" s="4">
        <v>0</v>
      </c>
      <c r="AO28" s="4" t="s">
        <v>72</v>
      </c>
      <c r="AP28" s="4" t="s">
        <v>73</v>
      </c>
      <c r="AQ28" s="6">
        <v>39348474762.839996</v>
      </c>
      <c r="AR28" s="4">
        <v>149896</v>
      </c>
      <c r="AS28" s="15">
        <v>0</v>
      </c>
      <c r="AT28" s="15">
        <v>77.357413577631206</v>
      </c>
      <c r="AU28" s="15">
        <v>77.357413577631206</v>
      </c>
      <c r="AV28" s="15">
        <v>22.642586422368701</v>
      </c>
      <c r="AW28" s="15">
        <v>22.642586422368701</v>
      </c>
      <c r="AX28" s="15">
        <v>0</v>
      </c>
      <c r="AY28" s="31">
        <v>414.10152981060901</v>
      </c>
    </row>
    <row r="29" spans="1:51" x14ac:dyDescent="0.25">
      <c r="A29">
        <v>97</v>
      </c>
      <c r="B29" s="4">
        <v>0.985189116347018</v>
      </c>
      <c r="C29" s="4">
        <v>41.663526110259397</v>
      </c>
      <c r="D29" s="4">
        <v>16.394419804167399</v>
      </c>
      <c r="E29" s="4">
        <v>4.39182802487511E-2</v>
      </c>
      <c r="F29" s="5">
        <v>1.4810883652981501E-2</v>
      </c>
      <c r="G29" s="5">
        <v>0</v>
      </c>
      <c r="H29" s="4">
        <v>4.6771141035345503</v>
      </c>
      <c r="I29" s="4">
        <v>3.8682310350986699</v>
      </c>
      <c r="J29" s="4">
        <v>-14.4669137866847</v>
      </c>
      <c r="K29" s="4">
        <v>86.381652336578298</v>
      </c>
      <c r="L29" s="4">
        <v>15.167090269627501</v>
      </c>
      <c r="M29" s="4">
        <v>23.5896090832114</v>
      </c>
      <c r="N29" s="4">
        <v>68.121475831535406</v>
      </c>
      <c r="O29" s="4">
        <v>65.012332506715893</v>
      </c>
      <c r="P29" s="4">
        <v>283939.88182008499</v>
      </c>
      <c r="Q29" s="4">
        <v>263150.67138760298</v>
      </c>
      <c r="R29" s="4">
        <v>780.603645016418</v>
      </c>
      <c r="S29" s="4">
        <v>0</v>
      </c>
      <c r="T29" s="4">
        <v>0</v>
      </c>
      <c r="U29" s="4">
        <v>1.9316315518509E-2</v>
      </c>
      <c r="V29" s="4">
        <v>0.25174471670508403</v>
      </c>
      <c r="W29" s="4">
        <v>0</v>
      </c>
      <c r="X29" s="4">
        <v>0.68453667135252305</v>
      </c>
      <c r="Y29" s="4">
        <v>0</v>
      </c>
      <c r="Z29" s="5">
        <v>3.9604196745831699E-4</v>
      </c>
      <c r="AA29" s="5">
        <v>1.7805346180845E-4</v>
      </c>
      <c r="AB29" s="10">
        <v>3.5517711322343398E-3</v>
      </c>
      <c r="AC29" s="10">
        <v>5.4840644670977397E-6</v>
      </c>
      <c r="AD29" s="10">
        <v>1.06795183230117E-2</v>
      </c>
      <c r="AE29" s="4">
        <v>5.01347028273425E-3</v>
      </c>
      <c r="AF29" s="4">
        <v>0.79337251812276099</v>
      </c>
      <c r="AG29" s="4">
        <v>0.98091124487753401</v>
      </c>
      <c r="AH29" s="4">
        <v>0.99680692375233304</v>
      </c>
      <c r="AI29" s="4">
        <v>0.999602985111404</v>
      </c>
      <c r="AJ29" s="4">
        <v>1</v>
      </c>
      <c r="AK29" s="4">
        <v>1</v>
      </c>
      <c r="AL29" s="4">
        <v>1</v>
      </c>
      <c r="AM29" s="4">
        <v>0</v>
      </c>
      <c r="AN29" s="4">
        <v>0</v>
      </c>
      <c r="AO29" s="4" t="s">
        <v>74</v>
      </c>
      <c r="AP29" s="4" t="s">
        <v>75</v>
      </c>
      <c r="AQ29" s="6">
        <v>155582045143.14999</v>
      </c>
      <c r="AR29" s="4">
        <v>591228</v>
      </c>
      <c r="AS29" s="15">
        <v>0</v>
      </c>
      <c r="AT29" s="15">
        <v>74.825528329491505</v>
      </c>
      <c r="AU29" s="15">
        <v>74.825528329491505</v>
      </c>
      <c r="AV29" s="15">
        <v>25.1744716705084</v>
      </c>
      <c r="AW29" s="15">
        <v>25.1744716705084</v>
      </c>
      <c r="AX29" s="15">
        <v>0</v>
      </c>
      <c r="AY29" s="31">
        <v>588.23321039767404</v>
      </c>
    </row>
    <row r="30" spans="1:51" x14ac:dyDescent="0.25">
      <c r="A30">
        <v>97</v>
      </c>
      <c r="B30" s="4">
        <v>0.98145607252447398</v>
      </c>
      <c r="C30" s="4">
        <v>43.582707923872803</v>
      </c>
      <c r="D30" s="4">
        <v>20.117730032337899</v>
      </c>
      <c r="E30" s="4">
        <v>4.6579791109775802E-2</v>
      </c>
      <c r="F30" s="5">
        <v>1.85439274755256E-2</v>
      </c>
      <c r="G30" s="5">
        <v>0</v>
      </c>
      <c r="H30" s="4">
        <v>4.8588550359898797</v>
      </c>
      <c r="I30" s="4">
        <v>3.7910567111257301</v>
      </c>
      <c r="J30" s="4">
        <v>-9.8334540775723696</v>
      </c>
      <c r="K30" s="4">
        <v>112.46931674505301</v>
      </c>
      <c r="L30" s="4">
        <v>15.784600084364</v>
      </c>
      <c r="M30" s="4">
        <v>27.796089166858</v>
      </c>
      <c r="N30" s="4">
        <v>70.064948351466001</v>
      </c>
      <c r="O30" s="4">
        <v>66.347545098645099</v>
      </c>
      <c r="P30" s="4">
        <v>272726.80884855997</v>
      </c>
      <c r="Q30" s="4">
        <v>252914.40369771601</v>
      </c>
      <c r="R30" s="4">
        <v>779.73872806207703</v>
      </c>
      <c r="S30" s="4">
        <v>0</v>
      </c>
      <c r="T30" s="4">
        <v>0</v>
      </c>
      <c r="U30" s="4">
        <v>1.9795533222046201E-2</v>
      </c>
      <c r="V30" s="4">
        <v>0.241552262098745</v>
      </c>
      <c r="W30" s="4">
        <v>0</v>
      </c>
      <c r="X30" s="4">
        <v>0.63370660812620005</v>
      </c>
      <c r="Y30" s="4">
        <v>0</v>
      </c>
      <c r="Z30" s="5">
        <v>4.0992639221892299E-4</v>
      </c>
      <c r="AA30" s="5">
        <v>2.8019329161452298E-4</v>
      </c>
      <c r="AB30" s="10">
        <v>3.8676390292381401E-3</v>
      </c>
      <c r="AC30" s="10">
        <v>9.6043207129435594E-6</v>
      </c>
      <c r="AD30" s="10">
        <v>1.39765493662702E-2</v>
      </c>
      <c r="AE30" s="4">
        <v>6.7794065656833101E-3</v>
      </c>
      <c r="AF30" s="4">
        <v>0.78561958601542703</v>
      </c>
      <c r="AG30" s="4">
        <v>0.97662377834661895</v>
      </c>
      <c r="AH30" s="4">
        <v>0.99583442015679202</v>
      </c>
      <c r="AI30" s="4">
        <v>0.99926415529675505</v>
      </c>
      <c r="AJ30" s="4">
        <v>1</v>
      </c>
      <c r="AK30" s="4">
        <v>1</v>
      </c>
      <c r="AL30" s="4">
        <v>1</v>
      </c>
      <c r="AM30" s="4">
        <v>0</v>
      </c>
      <c r="AN30" s="4">
        <v>0</v>
      </c>
      <c r="AO30" s="4" t="s">
        <v>76</v>
      </c>
      <c r="AP30" s="4" t="s">
        <v>77</v>
      </c>
      <c r="AQ30" s="6">
        <v>116810540663.02</v>
      </c>
      <c r="AR30" s="4">
        <v>461858</v>
      </c>
      <c r="AS30" s="15">
        <v>0</v>
      </c>
      <c r="AT30" s="15">
        <v>75.844773790125402</v>
      </c>
      <c r="AU30" s="15">
        <v>75.844773790125402</v>
      </c>
      <c r="AV30" s="15">
        <v>24.155226209874499</v>
      </c>
      <c r="AW30" s="15">
        <v>24.155226209874499</v>
      </c>
      <c r="AX30" s="15">
        <v>0</v>
      </c>
      <c r="AY30" s="31">
        <v>977.56747258243502</v>
      </c>
    </row>
    <row r="31" spans="1:51" x14ac:dyDescent="0.25">
      <c r="A31">
        <v>97</v>
      </c>
      <c r="B31" s="4">
        <v>0.977697144549729</v>
      </c>
      <c r="C31" s="4">
        <v>44.4618263124664</v>
      </c>
      <c r="D31" s="4">
        <v>23.712714560586001</v>
      </c>
      <c r="E31" s="4">
        <v>4.7826772378772898E-2</v>
      </c>
      <c r="F31" s="5">
        <v>2.2302855450269998E-2</v>
      </c>
      <c r="G31" s="5">
        <v>0</v>
      </c>
      <c r="H31" s="4">
        <v>4.9650988652426502</v>
      </c>
      <c r="I31" s="4">
        <v>3.7053230630591898</v>
      </c>
      <c r="J31" s="4">
        <v>-5.71084192099931</v>
      </c>
      <c r="K31" s="4">
        <v>135.165840352559</v>
      </c>
      <c r="L31" s="4">
        <v>15.3990026365818</v>
      </c>
      <c r="M31" s="4">
        <v>30.780044104433401</v>
      </c>
      <c r="N31" s="4">
        <v>70.009327867641602</v>
      </c>
      <c r="O31" s="4">
        <v>65.626945783306795</v>
      </c>
      <c r="P31" s="4">
        <v>279102.02938675898</v>
      </c>
      <c r="Q31" s="4">
        <v>259272.478800974</v>
      </c>
      <c r="R31" s="4">
        <v>778.97012549147996</v>
      </c>
      <c r="S31" s="4">
        <v>0</v>
      </c>
      <c r="T31" s="4">
        <v>0</v>
      </c>
      <c r="U31" s="4">
        <v>2.3605842986567201E-2</v>
      </c>
      <c r="V31" s="4">
        <v>0.24620644548429399</v>
      </c>
      <c r="W31" s="4">
        <v>0</v>
      </c>
      <c r="X31" s="4">
        <v>0.63251039056129599</v>
      </c>
      <c r="Y31" s="4">
        <v>0</v>
      </c>
      <c r="Z31" s="5">
        <v>4.1634649105478901E-4</v>
      </c>
      <c r="AA31" s="5">
        <v>3.6385306669910899E-4</v>
      </c>
      <c r="AB31" s="10">
        <v>3.75486409491999E-3</v>
      </c>
      <c r="AC31" s="10">
        <v>1.7107634079925499E-5</v>
      </c>
      <c r="AD31" s="10">
        <v>1.77506689483811E-2</v>
      </c>
      <c r="AE31" s="4">
        <v>1.4270988979493899E-2</v>
      </c>
      <c r="AF31" s="4">
        <v>0.75695044037027504</v>
      </c>
      <c r="AG31" s="4">
        <v>0.97052950497291102</v>
      </c>
      <c r="AH31" s="4">
        <v>0.99307919065607397</v>
      </c>
      <c r="AI31" s="4">
        <v>0.99906348889741903</v>
      </c>
      <c r="AJ31" s="4">
        <v>1</v>
      </c>
      <c r="AK31" s="4">
        <v>1</v>
      </c>
      <c r="AL31" s="4">
        <v>1</v>
      </c>
      <c r="AM31" s="4">
        <v>0</v>
      </c>
      <c r="AN31" s="4">
        <v>0</v>
      </c>
      <c r="AO31" s="4" t="s">
        <v>78</v>
      </c>
      <c r="AP31" s="4" t="s">
        <v>79</v>
      </c>
      <c r="AQ31" s="6">
        <v>70585895263.649994</v>
      </c>
      <c r="AR31" s="4">
        <v>272246</v>
      </c>
      <c r="AS31" s="15">
        <v>0</v>
      </c>
      <c r="AT31" s="15">
        <v>75.379355451570504</v>
      </c>
      <c r="AU31" s="15">
        <v>75.379355451570504</v>
      </c>
      <c r="AV31" s="15">
        <v>24.6206445484294</v>
      </c>
      <c r="AW31" s="15">
        <v>24.6206445484294</v>
      </c>
      <c r="AX31" s="15">
        <v>0</v>
      </c>
      <c r="AY31">
        <v>1365.4347231936499</v>
      </c>
    </row>
    <row r="32" spans="1:51" x14ac:dyDescent="0.25">
      <c r="A32">
        <v>97</v>
      </c>
      <c r="B32" s="4">
        <v>0.97309163188686698</v>
      </c>
      <c r="C32" s="4">
        <v>43.870278179376598</v>
      </c>
      <c r="D32" s="4">
        <v>27.9150080609753</v>
      </c>
      <c r="E32" s="4">
        <v>4.6985721498659802E-2</v>
      </c>
      <c r="F32" s="5">
        <v>2.6908368113132099E-2</v>
      </c>
      <c r="G32" s="5">
        <v>0</v>
      </c>
      <c r="H32" s="4">
        <v>5.1495191242474396</v>
      </c>
      <c r="I32" s="4">
        <v>3.6724582729182602</v>
      </c>
      <c r="J32" s="4">
        <v>9.0439878032700101</v>
      </c>
      <c r="K32" s="4">
        <v>158.98119960203701</v>
      </c>
      <c r="L32" s="4">
        <v>15.7028499792658</v>
      </c>
      <c r="M32" s="4">
        <v>31.901674213905402</v>
      </c>
      <c r="N32" s="4">
        <v>78.106977687962697</v>
      </c>
      <c r="O32" s="4">
        <v>72.334267469903907</v>
      </c>
      <c r="P32" s="4">
        <v>272437.98441143101</v>
      </c>
      <c r="Q32" s="4">
        <v>254274.435876498</v>
      </c>
      <c r="R32" s="4">
        <v>777.34604176367395</v>
      </c>
      <c r="S32" s="4">
        <v>0</v>
      </c>
      <c r="T32" s="4">
        <v>0</v>
      </c>
      <c r="U32" s="4">
        <v>2.2135080233386301E-2</v>
      </c>
      <c r="V32" s="4">
        <v>0.25274713775505497</v>
      </c>
      <c r="W32" s="4">
        <v>0</v>
      </c>
      <c r="X32" s="4">
        <v>0.50714580228238104</v>
      </c>
      <c r="Y32" s="4">
        <v>0</v>
      </c>
      <c r="Z32" s="5">
        <v>4.1701641219695E-4</v>
      </c>
      <c r="AA32" s="5">
        <v>5.6926402839083405E-4</v>
      </c>
      <c r="AB32" s="10">
        <v>3.8080693494977102E-3</v>
      </c>
      <c r="AC32" s="10">
        <v>3.1916876174713902E-5</v>
      </c>
      <c r="AD32" s="10">
        <v>2.2082086175333401E-2</v>
      </c>
      <c r="AE32" s="4">
        <v>2.73667699106474E-2</v>
      </c>
      <c r="AF32" s="4">
        <v>0.71944939047686196</v>
      </c>
      <c r="AG32" s="4">
        <v>0.95228104847505801</v>
      </c>
      <c r="AH32" s="4">
        <v>0.98659828230818902</v>
      </c>
      <c r="AI32" s="4">
        <v>0.99824971911277205</v>
      </c>
      <c r="AJ32" s="4">
        <v>1</v>
      </c>
      <c r="AK32" s="4">
        <v>1</v>
      </c>
      <c r="AL32" s="4">
        <v>1</v>
      </c>
      <c r="AM32" s="4">
        <v>0</v>
      </c>
      <c r="AN32" s="4">
        <v>0</v>
      </c>
      <c r="AO32" s="4" t="s">
        <v>80</v>
      </c>
      <c r="AP32" s="4" t="s">
        <v>81</v>
      </c>
      <c r="AQ32" s="6">
        <v>13769723526.02</v>
      </c>
      <c r="AR32" s="4">
        <v>54153</v>
      </c>
      <c r="AS32" s="15">
        <v>0</v>
      </c>
      <c r="AT32" s="15">
        <v>74.725286224494397</v>
      </c>
      <c r="AU32" s="15">
        <v>74.725286224494397</v>
      </c>
      <c r="AV32" s="15">
        <v>25.2747137755055</v>
      </c>
      <c r="AW32" s="15">
        <v>25.2747137755055</v>
      </c>
      <c r="AX32" s="15">
        <v>0</v>
      </c>
      <c r="AY32">
        <v>1575.2685334069799</v>
      </c>
    </row>
    <row r="33" spans="1:51" x14ac:dyDescent="0.25">
      <c r="A33">
        <v>97</v>
      </c>
      <c r="B33" s="4">
        <v>0.96453935481976505</v>
      </c>
      <c r="C33" s="4">
        <v>41.1168166302716</v>
      </c>
      <c r="D33" s="4">
        <v>35.160534308286501</v>
      </c>
      <c r="E33" s="4">
        <v>4.31747958192161E-2</v>
      </c>
      <c r="F33" s="5">
        <v>3.5460645180234E-2</v>
      </c>
      <c r="G33" s="5">
        <v>0</v>
      </c>
      <c r="H33" s="4">
        <v>5.1775184943984396</v>
      </c>
      <c r="I33" s="4">
        <v>3.6515248507794902</v>
      </c>
      <c r="J33" s="4">
        <v>15.3606958025239</v>
      </c>
      <c r="K33" s="4">
        <v>182.017792973924</v>
      </c>
      <c r="L33" s="4">
        <v>14.8236867080627</v>
      </c>
      <c r="M33" s="4">
        <v>30.663892785691001</v>
      </c>
      <c r="N33" s="4">
        <v>84.173344763094804</v>
      </c>
      <c r="O33" s="4">
        <v>74.786262381075503</v>
      </c>
      <c r="P33" s="4">
        <v>288515.57279539702</v>
      </c>
      <c r="Q33" s="4">
        <v>269351.56885317899</v>
      </c>
      <c r="R33" s="4">
        <v>776.81334571857406</v>
      </c>
      <c r="S33" s="4">
        <v>0</v>
      </c>
      <c r="T33" s="4">
        <v>0</v>
      </c>
      <c r="U33" s="4">
        <v>2.5008630198203301E-2</v>
      </c>
      <c r="V33" s="4">
        <v>0.198616339768452</v>
      </c>
      <c r="W33" s="4">
        <v>0</v>
      </c>
      <c r="X33" s="4">
        <v>0.378677299103094</v>
      </c>
      <c r="Y33" s="4">
        <v>0</v>
      </c>
      <c r="Z33" s="5">
        <v>4.1909393731743698E-4</v>
      </c>
      <c r="AA33" s="5">
        <v>6.3439902544160098E-4</v>
      </c>
      <c r="AB33" s="10">
        <v>3.7931913681912999E-3</v>
      </c>
      <c r="AC33" s="10">
        <v>1.7487747776555101E-4</v>
      </c>
      <c r="AD33" s="10">
        <v>3.0439067713228098E-2</v>
      </c>
      <c r="AE33" s="4">
        <v>7.0485656530407101E-2</v>
      </c>
      <c r="AF33" s="4">
        <v>0.50677035714740704</v>
      </c>
      <c r="AG33" s="4">
        <v>0.82343799845488097</v>
      </c>
      <c r="AH33" s="4">
        <v>0.91611242039507101</v>
      </c>
      <c r="AI33" s="4">
        <v>0.98902791948937396</v>
      </c>
      <c r="AJ33" s="4">
        <v>1</v>
      </c>
      <c r="AK33" s="4">
        <v>1</v>
      </c>
      <c r="AL33" s="4">
        <v>1</v>
      </c>
      <c r="AM33" s="4">
        <v>0</v>
      </c>
      <c r="AN33" s="4">
        <v>0</v>
      </c>
      <c r="AO33" s="4" t="s">
        <v>82</v>
      </c>
      <c r="AP33" s="4" t="s">
        <v>83</v>
      </c>
      <c r="AQ33" s="6">
        <v>1592406475.0599999</v>
      </c>
      <c r="AR33" s="4">
        <v>5912</v>
      </c>
      <c r="AS33" s="15">
        <v>0</v>
      </c>
      <c r="AT33" s="15">
        <v>80.138366023154703</v>
      </c>
      <c r="AU33" s="15">
        <v>80.138366023154703</v>
      </c>
      <c r="AV33" s="15">
        <v>19.861633976845201</v>
      </c>
      <c r="AW33" s="15">
        <v>19.861633976845201</v>
      </c>
      <c r="AX33" s="15">
        <v>0</v>
      </c>
      <c r="AY33">
        <v>1679.0173155925099</v>
      </c>
    </row>
    <row r="34" spans="1:51" x14ac:dyDescent="0.25">
      <c r="A34">
        <v>97</v>
      </c>
      <c r="B34" s="4">
        <v>0.95724034386574897</v>
      </c>
      <c r="C34" s="4">
        <v>34.072523116587803</v>
      </c>
      <c r="D34" s="4">
        <v>40.809510807622402</v>
      </c>
      <c r="E34" s="4">
        <v>3.4122154727892602E-2</v>
      </c>
      <c r="F34" s="5">
        <v>4.275965613425E-2</v>
      </c>
      <c r="G34" s="5">
        <v>0</v>
      </c>
      <c r="H34" s="4">
        <v>5.1740589737787301</v>
      </c>
      <c r="I34" s="4">
        <v>3.6512492009647399</v>
      </c>
      <c r="J34" s="4">
        <v>20.453819121287601</v>
      </c>
      <c r="K34" s="4">
        <v>206.71666891893599</v>
      </c>
      <c r="L34" s="4">
        <v>14.916423882238499</v>
      </c>
      <c r="M34" s="4">
        <v>23.230695855899899</v>
      </c>
      <c r="N34" s="4">
        <v>90.096268408788703</v>
      </c>
      <c r="O34" s="4">
        <v>75.435918395971498</v>
      </c>
      <c r="P34" s="4">
        <v>291708.00487655698</v>
      </c>
      <c r="Q34" s="4">
        <v>267667.27677325503</v>
      </c>
      <c r="R34" s="4">
        <v>775.521621023276</v>
      </c>
      <c r="S34" s="4">
        <v>0</v>
      </c>
      <c r="T34" s="4">
        <v>0</v>
      </c>
      <c r="U34" s="4">
        <v>1.11659007631769E-2</v>
      </c>
      <c r="V34" s="4">
        <v>0.112179616982636</v>
      </c>
      <c r="W34" s="4">
        <v>0</v>
      </c>
      <c r="X34" s="4">
        <v>0.21946863030339001</v>
      </c>
      <c r="Y34" s="4">
        <v>0</v>
      </c>
      <c r="Z34" s="5">
        <v>4.1803610075456999E-4</v>
      </c>
      <c r="AA34" s="5">
        <v>4.6855603675812602E-4</v>
      </c>
      <c r="AB34" s="10">
        <v>4.2838218232518401E-3</v>
      </c>
      <c r="AC34" s="10">
        <v>6.0040626823104799E-4</v>
      </c>
      <c r="AD34" s="10">
        <v>3.6988818580615201E-2</v>
      </c>
      <c r="AE34" s="4">
        <v>0.13760138765242999</v>
      </c>
      <c r="AF34" s="4">
        <v>0.17103195720680001</v>
      </c>
      <c r="AG34" s="4">
        <v>0.50885044351304398</v>
      </c>
      <c r="AH34" s="4">
        <v>0.70452372151209497</v>
      </c>
      <c r="AI34" s="4">
        <v>0.97320598830082505</v>
      </c>
      <c r="AJ34" s="4">
        <v>1</v>
      </c>
      <c r="AK34" s="4">
        <v>1</v>
      </c>
      <c r="AL34" s="4">
        <v>1</v>
      </c>
      <c r="AM34" s="4">
        <v>0</v>
      </c>
      <c r="AN34" s="4">
        <v>0</v>
      </c>
      <c r="AO34" s="4" t="s">
        <v>84</v>
      </c>
      <c r="AP34" s="4" t="s">
        <v>85</v>
      </c>
      <c r="AQ34" s="6">
        <v>92077543.209999993</v>
      </c>
      <c r="AR34" s="4">
        <v>344</v>
      </c>
      <c r="AS34" s="15">
        <v>0</v>
      </c>
      <c r="AT34" s="15">
        <v>88.782038301736307</v>
      </c>
      <c r="AU34" s="15">
        <v>88.782038301736307</v>
      </c>
      <c r="AV34" s="15">
        <v>11.217961698263601</v>
      </c>
      <c r="AW34" s="15">
        <v>11.217961698263601</v>
      </c>
      <c r="AX34" s="15">
        <v>0</v>
      </c>
      <c r="AY34">
        <v>1761.8721425122301</v>
      </c>
    </row>
    <row r="35" spans="1:51" x14ac:dyDescent="0.25">
      <c r="A35">
        <v>97</v>
      </c>
      <c r="B35" s="4">
        <v>0.95720791939168703</v>
      </c>
      <c r="C35" s="4">
        <v>65.249593616461695</v>
      </c>
      <c r="D35" s="4">
        <v>40.833565744069197</v>
      </c>
      <c r="E35" s="4">
        <v>8.4313824915533797E-2</v>
      </c>
      <c r="F35" s="5">
        <v>4.2792080608312098E-2</v>
      </c>
      <c r="G35" s="5">
        <v>0</v>
      </c>
      <c r="H35" s="4">
        <v>5.2469082307376702</v>
      </c>
      <c r="I35" s="4">
        <v>3.6389450344276102</v>
      </c>
      <c r="J35" s="4">
        <v>35.904757076947099</v>
      </c>
      <c r="K35" s="4">
        <v>229.42153851349801</v>
      </c>
      <c r="L35" s="4">
        <v>15.6719685325213</v>
      </c>
      <c r="M35" s="4">
        <v>20.451703630200601</v>
      </c>
      <c r="N35" s="4">
        <v>94.672984605974406</v>
      </c>
      <c r="O35" s="4">
        <v>76.771882523547902</v>
      </c>
      <c r="P35" s="4">
        <v>271458.40466198901</v>
      </c>
      <c r="Q35" s="4">
        <v>254782.36</v>
      </c>
      <c r="R35" s="4">
        <v>779.03701685445697</v>
      </c>
      <c r="S35" s="4">
        <v>0</v>
      </c>
      <c r="T35" s="4">
        <v>0</v>
      </c>
      <c r="U35" s="4">
        <v>0</v>
      </c>
      <c r="V35" s="4">
        <v>0</v>
      </c>
      <c r="W35" s="4">
        <v>0</v>
      </c>
      <c r="X35" s="4">
        <v>0.16371312724741499</v>
      </c>
      <c r="Y35" s="4">
        <v>0</v>
      </c>
      <c r="Z35" s="5">
        <v>4.3284022710085698E-4</v>
      </c>
      <c r="AA35" s="5">
        <v>6.7208726957244198E-4</v>
      </c>
      <c r="AB35" s="10">
        <v>4.8549645787686196E-3</v>
      </c>
      <c r="AC35" s="10">
        <v>9.35619192423954E-4</v>
      </c>
      <c r="AD35" s="10">
        <v>3.5896555054848699E-2</v>
      </c>
      <c r="AE35" s="4">
        <v>0.17091477419512</v>
      </c>
      <c r="AF35" s="4">
        <v>0.16371312724741499</v>
      </c>
      <c r="AG35" s="4">
        <v>0.16371312724741499</v>
      </c>
      <c r="AH35" s="4">
        <v>0.35963028632328797</v>
      </c>
      <c r="AI35" s="4">
        <v>1</v>
      </c>
      <c r="AJ35" s="4">
        <v>1</v>
      </c>
      <c r="AK35" s="4">
        <v>1</v>
      </c>
      <c r="AL35" s="4">
        <v>1</v>
      </c>
      <c r="AM35" s="4">
        <v>0</v>
      </c>
      <c r="AN35" s="4">
        <v>0</v>
      </c>
      <c r="AO35" s="4" t="s">
        <v>86</v>
      </c>
      <c r="AP35" s="4" t="s">
        <v>87</v>
      </c>
      <c r="AQ35" s="6">
        <v>3312170.68</v>
      </c>
      <c r="AR35" s="4">
        <v>13</v>
      </c>
      <c r="AS35" s="15">
        <v>0</v>
      </c>
      <c r="AT35" s="15">
        <v>100</v>
      </c>
      <c r="AU35" s="15">
        <v>100</v>
      </c>
      <c r="AV35" s="15">
        <v>0</v>
      </c>
      <c r="AW35" s="15">
        <v>0</v>
      </c>
      <c r="AX35" s="15">
        <v>0</v>
      </c>
      <c r="AY35">
        <v>1812.56511987163</v>
      </c>
    </row>
    <row r="36" spans="1:51" x14ac:dyDescent="0.25">
      <c r="A36">
        <v>97</v>
      </c>
      <c r="B36" s="4">
        <v>0.96185186842882398</v>
      </c>
      <c r="C36" s="4">
        <v>84.603245466759205</v>
      </c>
      <c r="D36" s="4">
        <v>37.295556844939</v>
      </c>
      <c r="E36" s="4">
        <v>0.14437046860512701</v>
      </c>
      <c r="F36" s="5">
        <v>3.8148131571175303E-2</v>
      </c>
      <c r="G36" s="5">
        <v>0</v>
      </c>
      <c r="H36" s="4">
        <v>5.75</v>
      </c>
      <c r="I36" s="4">
        <v>4.1387573853749302</v>
      </c>
      <c r="J36" s="4">
        <v>54.455300000000001</v>
      </c>
      <c r="K36" s="4">
        <v>254.14737832477601</v>
      </c>
      <c r="L36" s="4">
        <v>23.8889254434457</v>
      </c>
      <c r="M36" s="4">
        <v>31.4262167522364</v>
      </c>
      <c r="N36" s="4">
        <v>95</v>
      </c>
      <c r="O36" s="4">
        <v>57.497761023921598</v>
      </c>
      <c r="P36" s="4">
        <v>170045.697840109</v>
      </c>
      <c r="Q36" s="4">
        <v>166421.72</v>
      </c>
      <c r="R36" s="4">
        <v>782</v>
      </c>
      <c r="S36" s="4">
        <v>0</v>
      </c>
      <c r="T36" s="4">
        <v>0</v>
      </c>
      <c r="U36" s="4">
        <v>0</v>
      </c>
      <c r="V36" s="4">
        <v>0</v>
      </c>
      <c r="W36" s="4">
        <v>0</v>
      </c>
      <c r="X36" s="4">
        <v>0</v>
      </c>
      <c r="Y36" s="4">
        <v>0</v>
      </c>
      <c r="Z36" s="5">
        <v>1.6004216761757401E-3</v>
      </c>
      <c r="AA36" s="5">
        <v>1.6422780827145E-3</v>
      </c>
      <c r="AB36" s="10">
        <v>6.1079827189533904E-3</v>
      </c>
      <c r="AC36" s="10">
        <v>0</v>
      </c>
      <c r="AD36" s="10">
        <v>2.8797429093331599E-2</v>
      </c>
      <c r="AE36" s="4">
        <v>-6.0003429533219597E-2</v>
      </c>
      <c r="AF36" s="4">
        <v>1</v>
      </c>
      <c r="AG36" s="4">
        <v>1</v>
      </c>
      <c r="AH36" s="4">
        <v>1</v>
      </c>
      <c r="AI36" s="4">
        <v>1</v>
      </c>
      <c r="AJ36" s="4">
        <v>1</v>
      </c>
      <c r="AK36" s="4">
        <v>1</v>
      </c>
      <c r="AL36" s="4">
        <v>1</v>
      </c>
      <c r="AM36" s="4">
        <v>0</v>
      </c>
      <c r="AN36" s="4">
        <v>0</v>
      </c>
      <c r="AO36" s="4" t="s">
        <v>154</v>
      </c>
      <c r="AP36" s="4" t="s">
        <v>155</v>
      </c>
      <c r="AQ36" s="6">
        <v>332843.44</v>
      </c>
      <c r="AR36" s="4">
        <v>2</v>
      </c>
      <c r="AS36" s="15">
        <v>0</v>
      </c>
      <c r="AT36" s="15">
        <v>100</v>
      </c>
      <c r="AU36" s="15">
        <v>100</v>
      </c>
      <c r="AV36" s="15">
        <v>0</v>
      </c>
      <c r="AW36" s="15">
        <v>0</v>
      </c>
      <c r="AX36" s="15">
        <v>0</v>
      </c>
      <c r="AY36">
        <v>1089.0233504472801</v>
      </c>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0.99833296751924105</v>
      </c>
      <c r="C42" s="4">
        <v>0.26130404937886298</v>
      </c>
      <c r="D42" s="4">
        <v>1.9821991324533701</v>
      </c>
      <c r="E42" s="4">
        <v>2.1801460161579799E-4</v>
      </c>
      <c r="F42" s="5">
        <v>1.6670324807580401E-3</v>
      </c>
      <c r="G42" s="5">
        <v>0</v>
      </c>
      <c r="H42" s="4">
        <v>3.25</v>
      </c>
      <c r="I42" s="4">
        <v>3.7357635577989301</v>
      </c>
      <c r="J42" s="4">
        <v>-40.5097267274964</v>
      </c>
      <c r="K42" s="4">
        <v>-155.500954051935</v>
      </c>
      <c r="L42" s="4">
        <v>14.5625517952497</v>
      </c>
      <c r="M42" s="4">
        <v>3.27256826010104</v>
      </c>
      <c r="N42" s="4">
        <v>80</v>
      </c>
      <c r="O42" s="4">
        <v>77.654292440335894</v>
      </c>
      <c r="P42" s="4">
        <v>291131.10861560702</v>
      </c>
      <c r="Q42" s="4">
        <v>274125.36333333299</v>
      </c>
      <c r="R42" s="4">
        <v>774.19702452681895</v>
      </c>
      <c r="S42" s="4">
        <v>0</v>
      </c>
      <c r="T42" s="4">
        <v>0</v>
      </c>
      <c r="U42" s="4">
        <v>0</v>
      </c>
      <c r="V42" s="4">
        <v>0.45074386829509999</v>
      </c>
      <c r="W42" s="4">
        <v>0</v>
      </c>
      <c r="X42" s="4">
        <v>0</v>
      </c>
      <c r="Y42" s="4">
        <v>0</v>
      </c>
      <c r="Z42" s="5">
        <v>1.60686101391882E-4</v>
      </c>
      <c r="AA42" s="5">
        <v>5.3411715082815599E-6</v>
      </c>
      <c r="AB42" s="10">
        <v>1.5009879610045501E-3</v>
      </c>
      <c r="AC42" s="10">
        <v>0</v>
      </c>
      <c r="AD42" s="10">
        <v>0</v>
      </c>
      <c r="AE42" s="4">
        <v>2.4554217237891699E-2</v>
      </c>
      <c r="AF42" s="4">
        <v>1</v>
      </c>
      <c r="AG42" s="4">
        <v>1</v>
      </c>
      <c r="AH42" s="4">
        <v>1</v>
      </c>
      <c r="AI42" s="4">
        <v>1</v>
      </c>
      <c r="AJ42" s="4">
        <v>1</v>
      </c>
      <c r="AK42" s="4">
        <v>1</v>
      </c>
      <c r="AL42" s="4">
        <v>1</v>
      </c>
      <c r="AM42" s="4">
        <v>0</v>
      </c>
      <c r="AN42" s="4">
        <v>0</v>
      </c>
      <c r="AO42" s="4" t="s">
        <v>172</v>
      </c>
      <c r="AP42" s="4">
        <f>-175--150</f>
        <v>-25</v>
      </c>
      <c r="AQ42" s="6">
        <v>822376.09</v>
      </c>
      <c r="AR42" s="4">
        <v>3</v>
      </c>
      <c r="AS42" s="15">
        <v>0</v>
      </c>
      <c r="AT42" s="15">
        <v>54.925613170489903</v>
      </c>
      <c r="AU42" s="15">
        <v>54.925613170489903</v>
      </c>
      <c r="AV42" s="15">
        <v>45.074386829509997</v>
      </c>
      <c r="AW42" s="15">
        <v>45.074386829509997</v>
      </c>
      <c r="AX42" s="15">
        <v>0</v>
      </c>
      <c r="AY42" s="31">
        <v>0</v>
      </c>
    </row>
    <row r="43" spans="1:51" x14ac:dyDescent="0.25">
      <c r="A43">
        <v>96</v>
      </c>
      <c r="B43" s="4">
        <v>0.99840708484982199</v>
      </c>
      <c r="C43" s="4">
        <v>0.16230363877051099</v>
      </c>
      <c r="D43" s="4">
        <v>1.89484008330599</v>
      </c>
      <c r="E43" s="4">
        <v>1.3535375036780899E-4</v>
      </c>
      <c r="F43" s="5">
        <v>1.59291515017788E-3</v>
      </c>
      <c r="G43" s="5">
        <v>0</v>
      </c>
      <c r="H43" s="4">
        <v>3.5272565621367198</v>
      </c>
      <c r="I43" s="4">
        <v>3.8043424532899599</v>
      </c>
      <c r="J43" s="4">
        <v>-22.033008462153099</v>
      </c>
      <c r="K43" s="4">
        <v>-133.73727504956</v>
      </c>
      <c r="L43" s="4">
        <v>15.318143543433701</v>
      </c>
      <c r="M43" s="4">
        <v>4.2985067579835601</v>
      </c>
      <c r="N43" s="4">
        <v>78.8698986087267</v>
      </c>
      <c r="O43" s="4">
        <v>77.210090162493401</v>
      </c>
      <c r="P43" s="4">
        <v>278644.18268214801</v>
      </c>
      <c r="Q43" s="4">
        <v>260629.582608695</v>
      </c>
      <c r="R43" s="4">
        <v>780.52698377827699</v>
      </c>
      <c r="S43" s="4">
        <v>0</v>
      </c>
      <c r="T43" s="4">
        <v>0</v>
      </c>
      <c r="U43" s="4">
        <v>4.42107592844911E-2</v>
      </c>
      <c r="V43" s="4">
        <v>0.62073294459349604</v>
      </c>
      <c r="W43" s="4">
        <v>0</v>
      </c>
      <c r="X43" s="4">
        <v>0.47866670479062701</v>
      </c>
      <c r="Y43" s="4">
        <v>0</v>
      </c>
      <c r="Z43" s="5">
        <v>2.1594278783547199E-4</v>
      </c>
      <c r="AA43" s="5">
        <v>1.99806738081085E-5</v>
      </c>
      <c r="AB43" s="10">
        <v>1.33892399120207E-3</v>
      </c>
      <c r="AC43" s="10">
        <v>0</v>
      </c>
      <c r="AD43" s="10">
        <v>1.8054136609037799E-5</v>
      </c>
      <c r="AE43" s="4">
        <v>1.36347347220217E-2</v>
      </c>
      <c r="AF43" s="4">
        <v>0.95578924071550797</v>
      </c>
      <c r="AG43" s="4">
        <v>1</v>
      </c>
      <c r="AH43" s="4">
        <v>1</v>
      </c>
      <c r="AI43" s="4">
        <v>1</v>
      </c>
      <c r="AJ43" s="4">
        <v>1</v>
      </c>
      <c r="AK43" s="4">
        <v>1</v>
      </c>
      <c r="AL43" s="4">
        <v>1</v>
      </c>
      <c r="AM43" s="4">
        <v>0</v>
      </c>
      <c r="AN43" s="4">
        <v>0</v>
      </c>
      <c r="AO43" s="4" t="s">
        <v>62</v>
      </c>
      <c r="AP43" s="4">
        <f>-150--125</f>
        <v>-25</v>
      </c>
      <c r="AQ43" s="6">
        <v>5994480.4000000004</v>
      </c>
      <c r="AR43" s="4">
        <v>23</v>
      </c>
      <c r="AS43" s="15">
        <v>0</v>
      </c>
      <c r="AT43" s="15">
        <v>37.926705540650303</v>
      </c>
      <c r="AU43" s="15">
        <v>37.926705540650303</v>
      </c>
      <c r="AV43" s="15">
        <v>62.073294459349597</v>
      </c>
      <c r="AW43" s="15">
        <v>62.073294459349597</v>
      </c>
      <c r="AX43" s="15">
        <v>0</v>
      </c>
      <c r="AY43" s="31">
        <v>0</v>
      </c>
    </row>
    <row r="44" spans="1:51" x14ac:dyDescent="0.25">
      <c r="A44">
        <v>96</v>
      </c>
      <c r="B44" s="4">
        <v>0.99672240789033495</v>
      </c>
      <c r="C44" s="4">
        <v>0.18121176777321499</v>
      </c>
      <c r="D44" s="4">
        <v>3.8629782403776098</v>
      </c>
      <c r="E44" s="4">
        <v>1.5113537366504001E-4</v>
      </c>
      <c r="F44" s="5">
        <v>3.2775921096642202E-3</v>
      </c>
      <c r="G44" s="5">
        <v>0</v>
      </c>
      <c r="H44" s="4">
        <v>3.6597933714380799</v>
      </c>
      <c r="I44" s="4">
        <v>3.8379447716388002</v>
      </c>
      <c r="J44" s="4">
        <v>-23.588856619635699</v>
      </c>
      <c r="K44" s="4">
        <v>-109.755207631009</v>
      </c>
      <c r="L44" s="4">
        <v>15.3059600022148</v>
      </c>
      <c r="M44" s="4">
        <v>4.90243141703281</v>
      </c>
      <c r="N44" s="4">
        <v>79.067811119566002</v>
      </c>
      <c r="O44" s="4">
        <v>77.250089898522702</v>
      </c>
      <c r="P44" s="4">
        <v>287089.08314355899</v>
      </c>
      <c r="Q44" s="4">
        <v>248393.64142857099</v>
      </c>
      <c r="R44" s="4">
        <v>779.35781240047402</v>
      </c>
      <c r="S44" s="4">
        <v>0</v>
      </c>
      <c r="T44" s="4">
        <v>0</v>
      </c>
      <c r="U44" s="4">
        <v>6.64775508076592E-2</v>
      </c>
      <c r="V44" s="4">
        <v>0.57868609519099201</v>
      </c>
      <c r="W44" s="4">
        <v>0</v>
      </c>
      <c r="X44" s="4">
        <v>0.66174794158583505</v>
      </c>
      <c r="Y44" s="4">
        <v>0</v>
      </c>
      <c r="Z44" s="5">
        <v>2.6488139324805197E-4</v>
      </c>
      <c r="AA44" s="5">
        <v>2.02344247242771E-5</v>
      </c>
      <c r="AB44" s="10">
        <v>1.45530049837893E-3</v>
      </c>
      <c r="AC44" s="10">
        <v>0</v>
      </c>
      <c r="AD44" s="10">
        <v>1.5371608779945101E-3</v>
      </c>
      <c r="AE44" s="4">
        <v>1.08410567072972E-2</v>
      </c>
      <c r="AF44" s="4">
        <v>0.97253223790375598</v>
      </c>
      <c r="AG44" s="4">
        <v>1</v>
      </c>
      <c r="AH44" s="4">
        <v>1</v>
      </c>
      <c r="AI44" s="4">
        <v>1</v>
      </c>
      <c r="AJ44" s="4">
        <v>1</v>
      </c>
      <c r="AK44" s="4">
        <v>1</v>
      </c>
      <c r="AL44" s="4">
        <v>1</v>
      </c>
      <c r="AM44" s="4">
        <v>0</v>
      </c>
      <c r="AN44" s="4">
        <v>0</v>
      </c>
      <c r="AO44" s="4" t="s">
        <v>63</v>
      </c>
      <c r="AP44" s="4">
        <f>-125--100</f>
        <v>-25</v>
      </c>
      <c r="AQ44" s="6">
        <v>24342576.859999999</v>
      </c>
      <c r="AR44" s="4">
        <v>98</v>
      </c>
      <c r="AS44" s="15">
        <v>0</v>
      </c>
      <c r="AT44" s="15">
        <v>42.131390480900698</v>
      </c>
      <c r="AU44" s="15">
        <v>42.131390480900698</v>
      </c>
      <c r="AV44" s="15">
        <v>57.868609519099202</v>
      </c>
      <c r="AW44" s="15">
        <v>57.868609519099202</v>
      </c>
      <c r="AX44" s="15">
        <v>0</v>
      </c>
      <c r="AY44" s="31">
        <v>0</v>
      </c>
    </row>
    <row r="45" spans="1:51" x14ac:dyDescent="0.25">
      <c r="A45">
        <v>96</v>
      </c>
      <c r="B45" s="4">
        <v>0.99631760179242201</v>
      </c>
      <c r="C45" s="4">
        <v>3.60785333005999</v>
      </c>
      <c r="D45" s="4">
        <v>4.3304709649948299</v>
      </c>
      <c r="E45" s="4">
        <v>3.0574376362177999E-3</v>
      </c>
      <c r="F45" s="5">
        <v>3.68239820757707E-3</v>
      </c>
      <c r="G45" s="5">
        <v>0</v>
      </c>
      <c r="H45" s="4">
        <v>3.2951591661489399</v>
      </c>
      <c r="I45" s="4">
        <v>3.8031731104219801</v>
      </c>
      <c r="J45" s="4">
        <v>-51.130374264504802</v>
      </c>
      <c r="K45" s="4">
        <v>-82.887943991012307</v>
      </c>
      <c r="L45" s="4">
        <v>16.468467022167601</v>
      </c>
      <c r="M45" s="4">
        <v>4.5559091896577</v>
      </c>
      <c r="N45" s="4">
        <v>78.442480652920096</v>
      </c>
      <c r="O45" s="4">
        <v>76.520645502063999</v>
      </c>
      <c r="P45" s="4">
        <v>264670.49590421101</v>
      </c>
      <c r="Q45" s="4">
        <v>238741.99455112201</v>
      </c>
      <c r="R45" s="4">
        <v>779.20984075212596</v>
      </c>
      <c r="S45" s="4">
        <v>0</v>
      </c>
      <c r="T45" s="4">
        <v>0</v>
      </c>
      <c r="U45" s="4">
        <v>2.1720415417495701E-2</v>
      </c>
      <c r="V45" s="4">
        <v>0.72115303144906495</v>
      </c>
      <c r="W45" s="4">
        <v>0</v>
      </c>
      <c r="X45" s="4">
        <v>0.558726537379581</v>
      </c>
      <c r="Y45" s="4">
        <v>0</v>
      </c>
      <c r="Z45" s="5">
        <v>2.8078565719019802E-4</v>
      </c>
      <c r="AA45" s="5">
        <v>1.60451296004879E-5</v>
      </c>
      <c r="AB45" s="10">
        <v>1.4023498981702699E-3</v>
      </c>
      <c r="AC45" s="10">
        <v>0</v>
      </c>
      <c r="AD45" s="10">
        <v>1.9832061493228899E-3</v>
      </c>
      <c r="AE45" s="4">
        <v>1.2095996819175101E-2</v>
      </c>
      <c r="AF45" s="4">
        <v>0.97058985669855802</v>
      </c>
      <c r="AG45" s="4">
        <v>1</v>
      </c>
      <c r="AH45" s="4">
        <v>1</v>
      </c>
      <c r="AI45" s="4">
        <v>1</v>
      </c>
      <c r="AJ45" s="4">
        <v>1</v>
      </c>
      <c r="AK45" s="4">
        <v>1</v>
      </c>
      <c r="AL45" s="4">
        <v>1</v>
      </c>
      <c r="AM45" s="4">
        <v>0</v>
      </c>
      <c r="AN45" s="4">
        <v>0</v>
      </c>
      <c r="AO45" s="4" t="s">
        <v>64</v>
      </c>
      <c r="AP45" s="4">
        <f>-100--75</f>
        <v>-25</v>
      </c>
      <c r="AQ45" s="6">
        <v>191471079.63</v>
      </c>
      <c r="AR45" s="4">
        <v>802</v>
      </c>
      <c r="AS45" s="15">
        <v>0</v>
      </c>
      <c r="AT45" s="15">
        <v>27.884696855093399</v>
      </c>
      <c r="AU45" s="15">
        <v>27.884696855093399</v>
      </c>
      <c r="AV45" s="15">
        <v>72.115303144906505</v>
      </c>
      <c r="AW45" s="15">
        <v>72.115303144906505</v>
      </c>
      <c r="AX45" s="15">
        <v>0</v>
      </c>
      <c r="AY45">
        <v>2.0677368331293799E-2</v>
      </c>
    </row>
    <row r="46" spans="1:51" x14ac:dyDescent="0.25">
      <c r="A46">
        <v>96</v>
      </c>
      <c r="B46" s="4">
        <v>0.99781039695922302</v>
      </c>
      <c r="C46" s="4">
        <v>2.5251789314700099</v>
      </c>
      <c r="D46" s="4">
        <v>2.5961106798294198</v>
      </c>
      <c r="E46" s="4">
        <v>2.12907087201001E-3</v>
      </c>
      <c r="F46" s="5">
        <v>2.1896030407768398E-3</v>
      </c>
      <c r="G46" s="5">
        <v>0</v>
      </c>
      <c r="H46" s="4">
        <v>3.4176097693573499</v>
      </c>
      <c r="I46" s="4">
        <v>3.8696585093214</v>
      </c>
      <c r="J46" s="4">
        <v>-46.760689757214102</v>
      </c>
      <c r="K46" s="4">
        <v>-57.590533903140503</v>
      </c>
      <c r="L46" s="4">
        <v>16.353256202471101</v>
      </c>
      <c r="M46" s="4">
        <v>4.4696039194420001</v>
      </c>
      <c r="N46" s="4">
        <v>77.304997706514698</v>
      </c>
      <c r="O46" s="4">
        <v>75.8105967936078</v>
      </c>
      <c r="P46" s="4">
        <v>264339.53198124602</v>
      </c>
      <c r="Q46" s="4">
        <v>242223.693014188</v>
      </c>
      <c r="R46" s="4">
        <v>780.28506723430701</v>
      </c>
      <c r="S46" s="4">
        <v>0</v>
      </c>
      <c r="T46" s="4">
        <v>0</v>
      </c>
      <c r="U46" s="4">
        <v>4.7430635212808402E-2</v>
      </c>
      <c r="V46" s="4">
        <v>0.53831607248006696</v>
      </c>
      <c r="W46" s="4">
        <v>0</v>
      </c>
      <c r="X46" s="4">
        <v>0.53935504226089803</v>
      </c>
      <c r="Y46" s="4">
        <v>0</v>
      </c>
      <c r="Z46" s="5">
        <v>2.3385912954852699E-4</v>
      </c>
      <c r="AA46" s="5">
        <v>1.8005623618916701E-5</v>
      </c>
      <c r="AB46" s="10">
        <v>1.3467223238408899E-3</v>
      </c>
      <c r="AC46" s="10">
        <v>0</v>
      </c>
      <c r="AD46" s="10">
        <v>5.9100511751960204E-4</v>
      </c>
      <c r="AE46" s="4">
        <v>9.9080294838824797E-3</v>
      </c>
      <c r="AF46" s="4">
        <v>0.97156969270782301</v>
      </c>
      <c r="AG46" s="4">
        <v>0.999978623042723</v>
      </c>
      <c r="AH46" s="4">
        <v>1</v>
      </c>
      <c r="AI46" s="4">
        <v>1</v>
      </c>
      <c r="AJ46" s="4">
        <v>1</v>
      </c>
      <c r="AK46" s="4">
        <v>1</v>
      </c>
      <c r="AL46" s="4">
        <v>1</v>
      </c>
      <c r="AM46" s="4">
        <v>0</v>
      </c>
      <c r="AN46" s="4">
        <v>0</v>
      </c>
      <c r="AO46" s="4" t="s">
        <v>65</v>
      </c>
      <c r="AP46" s="4">
        <f>-75--50</f>
        <v>-25</v>
      </c>
      <c r="AQ46" s="6">
        <v>2099837194.74</v>
      </c>
      <c r="AR46" s="4">
        <v>8669</v>
      </c>
      <c r="AS46" s="15">
        <v>0</v>
      </c>
      <c r="AT46" s="15">
        <v>46.168392751993203</v>
      </c>
      <c r="AU46" s="15">
        <v>46.168392751993203</v>
      </c>
      <c r="AV46" s="15">
        <v>53.831607248006698</v>
      </c>
      <c r="AW46" s="15">
        <v>53.831607248006698</v>
      </c>
      <c r="AX46" s="15">
        <v>0</v>
      </c>
      <c r="AY46">
        <v>3.3571793575038797E-2</v>
      </c>
    </row>
    <row r="47" spans="1:51" x14ac:dyDescent="0.25">
      <c r="A47">
        <v>96</v>
      </c>
      <c r="B47" s="4">
        <v>0.99625689341550905</v>
      </c>
      <c r="C47" s="4">
        <v>2.2766196273813799</v>
      </c>
      <c r="D47" s="4">
        <v>4.4004004227850304</v>
      </c>
      <c r="E47" s="4">
        <v>1.91727199501012E-3</v>
      </c>
      <c r="F47" s="5">
        <v>3.74310658449091E-3</v>
      </c>
      <c r="G47" s="5">
        <v>0</v>
      </c>
      <c r="H47" s="4">
        <v>3.6403840821464302</v>
      </c>
      <c r="I47" s="4">
        <v>3.9312024985854999</v>
      </c>
      <c r="J47" s="4">
        <v>-37.175533153897497</v>
      </c>
      <c r="K47" s="4">
        <v>-33.3194821234664</v>
      </c>
      <c r="L47" s="4">
        <v>15.413076702261399</v>
      </c>
      <c r="M47" s="4">
        <v>4.7861354024731897</v>
      </c>
      <c r="N47" s="4">
        <v>74.920190466320307</v>
      </c>
      <c r="O47" s="4">
        <v>73.221329890442604</v>
      </c>
      <c r="P47" s="4">
        <v>278474.32417877601</v>
      </c>
      <c r="Q47" s="4">
        <v>258664.78670835699</v>
      </c>
      <c r="R47" s="4">
        <v>781.87720582500003</v>
      </c>
      <c r="S47" s="4">
        <v>0</v>
      </c>
      <c r="T47" s="4">
        <v>0</v>
      </c>
      <c r="U47" s="4">
        <v>9.5435757985255595E-2</v>
      </c>
      <c r="V47" s="4">
        <v>0.39247208408634598</v>
      </c>
      <c r="W47" s="4">
        <v>0</v>
      </c>
      <c r="X47" s="4">
        <v>0.620466658596601</v>
      </c>
      <c r="Y47" s="4">
        <v>0</v>
      </c>
      <c r="Z47" s="5">
        <v>2.3128470241911E-4</v>
      </c>
      <c r="AA47" s="5">
        <v>2.13921306166592E-5</v>
      </c>
      <c r="AB47" s="10">
        <v>1.58982550935032E-3</v>
      </c>
      <c r="AC47" s="10">
        <v>4.7241305432104602E-9</v>
      </c>
      <c r="AD47" s="10">
        <v>1.9005846928536799E-3</v>
      </c>
      <c r="AE47" s="4">
        <v>1.4420521699471001E-2</v>
      </c>
      <c r="AF47" s="4">
        <v>0.939783487148939</v>
      </c>
      <c r="AG47" s="4">
        <v>0.999860601737803</v>
      </c>
      <c r="AH47" s="4">
        <v>0.99999507526401299</v>
      </c>
      <c r="AI47" s="4">
        <v>0.99999664043063596</v>
      </c>
      <c r="AJ47" s="4">
        <v>1</v>
      </c>
      <c r="AK47" s="4">
        <v>1</v>
      </c>
      <c r="AL47" s="4">
        <v>1</v>
      </c>
      <c r="AM47" s="4">
        <v>0</v>
      </c>
      <c r="AN47" s="4">
        <v>0</v>
      </c>
      <c r="AO47" s="4" t="s">
        <v>66</v>
      </c>
      <c r="AP47" s="4">
        <f>-50--25</f>
        <v>-25</v>
      </c>
      <c r="AQ47" s="6">
        <v>22563329344.57</v>
      </c>
      <c r="AR47" s="4">
        <v>87230</v>
      </c>
      <c r="AS47" s="15">
        <v>0</v>
      </c>
      <c r="AT47" s="15">
        <v>60.752791591365302</v>
      </c>
      <c r="AU47" s="15">
        <v>60.752791591365302</v>
      </c>
      <c r="AV47" s="15">
        <v>39.247208408634599</v>
      </c>
      <c r="AW47" s="15">
        <v>39.247208408634599</v>
      </c>
      <c r="AX47" s="15">
        <v>0</v>
      </c>
      <c r="AY47">
        <v>2.4667823734911099E-2</v>
      </c>
    </row>
    <row r="48" spans="1:51" x14ac:dyDescent="0.25">
      <c r="A48">
        <v>96</v>
      </c>
      <c r="B48" s="4">
        <v>0.99410144532183098</v>
      </c>
      <c r="C48" s="4">
        <v>2.9023811702982898</v>
      </c>
      <c r="D48" s="4">
        <v>6.8530878193939202</v>
      </c>
      <c r="E48" s="4">
        <v>2.4514348021336899E-3</v>
      </c>
      <c r="F48" s="5">
        <v>5.8985546781685199E-3</v>
      </c>
      <c r="G48" s="5">
        <v>0</v>
      </c>
      <c r="H48" s="4">
        <v>3.7063460299953399</v>
      </c>
      <c r="I48" s="4">
        <v>3.9369142901639398</v>
      </c>
      <c r="J48" s="4">
        <v>-33.7161917339251</v>
      </c>
      <c r="K48" s="4">
        <v>-22.334932754376698</v>
      </c>
      <c r="L48" s="4">
        <v>14.857801312623801</v>
      </c>
      <c r="M48" s="4">
        <v>5.0207812339443798</v>
      </c>
      <c r="N48" s="4">
        <v>71.926173965972694</v>
      </c>
      <c r="O48" s="4">
        <v>70.058762098387504</v>
      </c>
      <c r="P48" s="4">
        <v>288330.77028609603</v>
      </c>
      <c r="Q48" s="4">
        <v>268583.17121168697</v>
      </c>
      <c r="R48" s="4">
        <v>782.78233805058096</v>
      </c>
      <c r="S48" s="4">
        <v>0</v>
      </c>
      <c r="T48" s="4">
        <v>0</v>
      </c>
      <c r="U48" s="4">
        <v>0.104450396020832</v>
      </c>
      <c r="V48" s="4">
        <v>0.36785413563971497</v>
      </c>
      <c r="W48" s="4">
        <v>0</v>
      </c>
      <c r="X48" s="4">
        <v>0.70138514568288401</v>
      </c>
      <c r="Y48" s="4">
        <v>0</v>
      </c>
      <c r="Z48" s="5">
        <v>2.39644597444152E-4</v>
      </c>
      <c r="AA48" s="5">
        <v>2.20100404142874E-5</v>
      </c>
      <c r="AB48" s="10">
        <v>1.7620537581791999E-3</v>
      </c>
      <c r="AC48" s="10">
        <v>5.5977507986603503E-9</v>
      </c>
      <c r="AD48" s="10">
        <v>3.8748258672060298E-3</v>
      </c>
      <c r="AE48" s="4">
        <v>1.7770582730678702E-2</v>
      </c>
      <c r="AF48" s="4">
        <v>0.90284197155391299</v>
      </c>
      <c r="AG48" s="4">
        <v>0.99985315200831504</v>
      </c>
      <c r="AH48" s="4">
        <v>0.99997747406464998</v>
      </c>
      <c r="AI48" s="4">
        <v>1</v>
      </c>
      <c r="AJ48" s="4">
        <v>1</v>
      </c>
      <c r="AK48" s="4">
        <v>1</v>
      </c>
      <c r="AL48" s="4">
        <v>1</v>
      </c>
      <c r="AM48" s="4">
        <v>0</v>
      </c>
      <c r="AN48" s="4">
        <v>0</v>
      </c>
      <c r="AO48" s="4" t="s">
        <v>137</v>
      </c>
      <c r="AP48" s="4">
        <f>-25--20</f>
        <v>-5</v>
      </c>
      <c r="AQ48" s="6">
        <v>12758774965.24</v>
      </c>
      <c r="AR48" s="4">
        <v>47504</v>
      </c>
      <c r="AS48" s="15">
        <v>0</v>
      </c>
      <c r="AT48" s="15">
        <v>63.214586436028398</v>
      </c>
      <c r="AU48" s="15">
        <v>63.214586436028398</v>
      </c>
      <c r="AV48" s="15">
        <v>36.785413563971503</v>
      </c>
      <c r="AW48" s="15">
        <v>36.785413563971503</v>
      </c>
      <c r="AX48" s="15">
        <v>0</v>
      </c>
      <c r="AY48">
        <v>2.8662293532796101E-2</v>
      </c>
    </row>
    <row r="49" spans="1:51" x14ac:dyDescent="0.25">
      <c r="A49">
        <v>96</v>
      </c>
      <c r="B49" s="4">
        <v>0.99298889790627598</v>
      </c>
      <c r="C49" s="4">
        <v>3.2032130934766401</v>
      </c>
      <c r="D49" s="4">
        <v>8.0963595521725704</v>
      </c>
      <c r="E49" s="4">
        <v>2.7093551685901801E-3</v>
      </c>
      <c r="F49" s="5">
        <v>7.01110209372345E-3</v>
      </c>
      <c r="G49" s="5">
        <v>0</v>
      </c>
      <c r="H49" s="4">
        <v>3.7392656178814101</v>
      </c>
      <c r="I49" s="4">
        <v>3.9359697885174199</v>
      </c>
      <c r="J49" s="4">
        <v>-32.212526627768803</v>
      </c>
      <c r="K49" s="4">
        <v>-17.367271994129499</v>
      </c>
      <c r="L49" s="4">
        <v>14.502229750330899</v>
      </c>
      <c r="M49" s="4">
        <v>5.2006650418903702</v>
      </c>
      <c r="N49" s="4">
        <v>70.594398794491298</v>
      </c>
      <c r="O49" s="4">
        <v>68.707242101531804</v>
      </c>
      <c r="P49" s="4">
        <v>295249.40506775799</v>
      </c>
      <c r="Q49" s="4">
        <v>274993.90935710102</v>
      </c>
      <c r="R49" s="4">
        <v>783.20151812670895</v>
      </c>
      <c r="S49" s="4">
        <v>0</v>
      </c>
      <c r="T49" s="4">
        <v>0</v>
      </c>
      <c r="U49" s="4">
        <v>0.10321727924959501</v>
      </c>
      <c r="V49" s="4">
        <v>0.36824829469527798</v>
      </c>
      <c r="W49" s="4">
        <v>0</v>
      </c>
      <c r="X49" s="4">
        <v>0.72838231748175697</v>
      </c>
      <c r="Y49" s="4">
        <v>0</v>
      </c>
      <c r="Z49" s="5">
        <v>2.4584603544391303E-4</v>
      </c>
      <c r="AA49" s="5">
        <v>2.3257115266836699E-5</v>
      </c>
      <c r="AB49" s="10">
        <v>1.8292368402725099E-3</v>
      </c>
      <c r="AC49" s="10">
        <v>5.1401835843712601E-9</v>
      </c>
      <c r="AD49" s="10">
        <v>4.9127422385056201E-3</v>
      </c>
      <c r="AE49" s="4">
        <v>1.8369623119643699E-2</v>
      </c>
      <c r="AF49" s="4">
        <v>0.89009888503676404</v>
      </c>
      <c r="AG49" s="4">
        <v>0.99978465124089</v>
      </c>
      <c r="AH49" s="4">
        <v>0.99997442444569695</v>
      </c>
      <c r="AI49" s="4">
        <v>1</v>
      </c>
      <c r="AJ49" s="4">
        <v>1</v>
      </c>
      <c r="AK49" s="4">
        <v>1</v>
      </c>
      <c r="AL49" s="4">
        <v>1</v>
      </c>
      <c r="AM49" s="4">
        <v>0</v>
      </c>
      <c r="AN49" s="4">
        <v>0</v>
      </c>
      <c r="AO49" s="4" t="s">
        <v>138</v>
      </c>
      <c r="AP49" s="4">
        <f>-20--15</f>
        <v>-5</v>
      </c>
      <c r="AQ49" s="6">
        <v>17092521430</v>
      </c>
      <c r="AR49" s="4">
        <v>62156</v>
      </c>
      <c r="AS49" s="15">
        <v>0</v>
      </c>
      <c r="AT49" s="15">
        <v>63.175170530472101</v>
      </c>
      <c r="AU49" s="15">
        <v>63.175170530472101</v>
      </c>
      <c r="AV49" s="15">
        <v>36.824829469527799</v>
      </c>
      <c r="AW49" s="15">
        <v>36.824829469527799</v>
      </c>
      <c r="AX49" s="15">
        <v>0</v>
      </c>
      <c r="AY49">
        <v>4.1647692573546703E-2</v>
      </c>
    </row>
    <row r="50" spans="1:51" x14ac:dyDescent="0.25">
      <c r="A50">
        <v>96</v>
      </c>
      <c r="B50" s="4">
        <v>0.99183844310471803</v>
      </c>
      <c r="C50" s="4">
        <v>4.5170378360979404</v>
      </c>
      <c r="D50" s="4">
        <v>9.3659791003906907</v>
      </c>
      <c r="E50" s="4">
        <v>3.8444545130471002E-3</v>
      </c>
      <c r="F50" s="5">
        <v>8.1615568952815905E-3</v>
      </c>
      <c r="G50" s="5">
        <v>0</v>
      </c>
      <c r="H50" s="4">
        <v>3.7635939674435899</v>
      </c>
      <c r="I50" s="4">
        <v>3.9206933920088498</v>
      </c>
      <c r="J50" s="4">
        <v>-30.3534959856275</v>
      </c>
      <c r="K50" s="4">
        <v>-12.402037624047001</v>
      </c>
      <c r="L50" s="4">
        <v>14.4437032472641</v>
      </c>
      <c r="M50" s="4">
        <v>5.5812301624561202</v>
      </c>
      <c r="N50" s="4">
        <v>69.030042182870702</v>
      </c>
      <c r="O50" s="4">
        <v>67.084449643889997</v>
      </c>
      <c r="P50" s="4">
        <v>296549.13373778801</v>
      </c>
      <c r="Q50" s="4">
        <v>276032.08788519801</v>
      </c>
      <c r="R50" s="4">
        <v>783.22658287242996</v>
      </c>
      <c r="S50" s="4">
        <v>0</v>
      </c>
      <c r="T50" s="4">
        <v>0</v>
      </c>
      <c r="U50" s="4">
        <v>9.42696155649803E-2</v>
      </c>
      <c r="V50" s="4">
        <v>0.36017189776403102</v>
      </c>
      <c r="W50" s="4">
        <v>0</v>
      </c>
      <c r="X50" s="4">
        <v>0.73882160374827099</v>
      </c>
      <c r="Y50" s="4">
        <v>0</v>
      </c>
      <c r="Z50" s="5">
        <v>2.5529551995772499E-4</v>
      </c>
      <c r="AA50" s="5">
        <v>2.5119770553168901E-5</v>
      </c>
      <c r="AB50" s="10">
        <v>1.93246441471383E-3</v>
      </c>
      <c r="AC50" s="10">
        <v>4.9397321102572403E-9</v>
      </c>
      <c r="AD50" s="10">
        <v>5.9486576267235901E-3</v>
      </c>
      <c r="AE50" s="4">
        <v>1.9124926068936898E-2</v>
      </c>
      <c r="AF50" s="4">
        <v>0.87409209941451904</v>
      </c>
      <c r="AG50" s="4">
        <v>0.99968867445975296</v>
      </c>
      <c r="AH50" s="4">
        <v>0.99997655423348397</v>
      </c>
      <c r="AI50" s="4">
        <v>1</v>
      </c>
      <c r="AJ50" s="4">
        <v>1</v>
      </c>
      <c r="AK50" s="4">
        <v>1</v>
      </c>
      <c r="AL50" s="4">
        <v>1</v>
      </c>
      <c r="AM50" s="4">
        <v>0</v>
      </c>
      <c r="AN50" s="4">
        <v>0</v>
      </c>
      <c r="AO50" s="4" t="s">
        <v>139</v>
      </c>
      <c r="AP50" s="4">
        <f>-15--10</f>
        <v>-5</v>
      </c>
      <c r="AQ50" s="6">
        <v>20836834218.189999</v>
      </c>
      <c r="AR50" s="4">
        <v>75487</v>
      </c>
      <c r="AS50" s="15">
        <v>0</v>
      </c>
      <c r="AT50" s="15">
        <v>63.9828102235968</v>
      </c>
      <c r="AU50" s="15">
        <v>63.9828102235968</v>
      </c>
      <c r="AV50" s="15">
        <v>36.0171897764031</v>
      </c>
      <c r="AW50" s="15">
        <v>36.0171897764031</v>
      </c>
      <c r="AX50" s="15">
        <v>0</v>
      </c>
      <c r="AY50">
        <v>0.33634651411424799</v>
      </c>
    </row>
    <row r="51" spans="1:51" x14ac:dyDescent="0.25">
      <c r="A51">
        <v>96</v>
      </c>
      <c r="B51" s="4">
        <v>0.99073648392062796</v>
      </c>
      <c r="C51" s="4">
        <v>5.5688374215218204</v>
      </c>
      <c r="D51" s="4">
        <v>10.5669845189329</v>
      </c>
      <c r="E51" s="4">
        <v>4.76353945734595E-3</v>
      </c>
      <c r="F51" s="5">
        <v>9.2635160793714307E-3</v>
      </c>
      <c r="G51" s="5">
        <v>0</v>
      </c>
      <c r="H51" s="4">
        <v>3.7981736763303302</v>
      </c>
      <c r="I51" s="4">
        <v>3.9037511792808299</v>
      </c>
      <c r="J51" s="4">
        <v>-27.922120912242601</v>
      </c>
      <c r="K51" s="4">
        <v>-7.4908217952858598</v>
      </c>
      <c r="L51" s="4">
        <v>14.4215232063278</v>
      </c>
      <c r="M51" s="4">
        <v>5.9852692121052904</v>
      </c>
      <c r="N51" s="4">
        <v>69.5100030364231</v>
      </c>
      <c r="O51" s="4">
        <v>67.501154367654706</v>
      </c>
      <c r="P51" s="4">
        <v>297178.12809103401</v>
      </c>
      <c r="Q51" s="4">
        <v>276508.015974649</v>
      </c>
      <c r="R51" s="4">
        <v>783.025634265853</v>
      </c>
      <c r="S51" s="4">
        <v>0</v>
      </c>
      <c r="T51" s="4">
        <v>0</v>
      </c>
      <c r="U51" s="4">
        <v>8.3687209463152404E-2</v>
      </c>
      <c r="V51" s="4">
        <v>0.35376724531231102</v>
      </c>
      <c r="W51" s="4">
        <v>0</v>
      </c>
      <c r="X51" s="4">
        <v>0.74337940396095303</v>
      </c>
      <c r="Y51" s="4">
        <v>0</v>
      </c>
      <c r="Z51" s="5">
        <v>2.62090416074376E-4</v>
      </c>
      <c r="AA51" s="5">
        <v>2.6911622767512198E-5</v>
      </c>
      <c r="AB51" s="10">
        <v>2.01480237879916E-3</v>
      </c>
      <c r="AC51" s="10">
        <v>7.2078781717646298E-9</v>
      </c>
      <c r="AD51" s="10">
        <v>6.9596898568397196E-3</v>
      </c>
      <c r="AE51" s="4">
        <v>1.9365973637858001E-2</v>
      </c>
      <c r="AF51" s="4">
        <v>0.85335758795825101</v>
      </c>
      <c r="AG51" s="4">
        <v>0.99948204849511701</v>
      </c>
      <c r="AH51" s="4">
        <v>0.99998624082216703</v>
      </c>
      <c r="AI51" s="4">
        <v>1</v>
      </c>
      <c r="AJ51" s="4">
        <v>1</v>
      </c>
      <c r="AK51" s="4">
        <v>1</v>
      </c>
      <c r="AL51" s="4">
        <v>1</v>
      </c>
      <c r="AM51" s="4">
        <v>0</v>
      </c>
      <c r="AN51" s="4">
        <v>0</v>
      </c>
      <c r="AO51" s="4" t="s">
        <v>140</v>
      </c>
      <c r="AP51" s="4">
        <f>-10--5</f>
        <v>-5</v>
      </c>
      <c r="AQ51" s="6">
        <v>23515900726.580002</v>
      </c>
      <c r="AR51" s="4">
        <v>85046</v>
      </c>
      <c r="AS51" s="15">
        <v>0</v>
      </c>
      <c r="AT51" s="15">
        <v>64.623275468768796</v>
      </c>
      <c r="AU51" s="15">
        <v>64.623275468768796</v>
      </c>
      <c r="AV51" s="15">
        <v>35.376724531231098</v>
      </c>
      <c r="AW51" s="15">
        <v>35.376724531231098</v>
      </c>
      <c r="AX51" s="15">
        <v>0</v>
      </c>
      <c r="AY51">
        <v>1.6271223575826399</v>
      </c>
    </row>
    <row r="52" spans="1:51" x14ac:dyDescent="0.25">
      <c r="A52">
        <v>96</v>
      </c>
      <c r="B52" s="4">
        <v>0.98955811432915097</v>
      </c>
      <c r="C52" s="4">
        <v>7.1644600983545299</v>
      </c>
      <c r="D52" s="4">
        <v>11.835113625634801</v>
      </c>
      <c r="E52" s="4">
        <v>6.1759040882703401E-3</v>
      </c>
      <c r="F52" s="5">
        <v>1.04418856708482E-2</v>
      </c>
      <c r="G52" s="5">
        <v>0</v>
      </c>
      <c r="H52" s="4">
        <v>3.8170273475647498</v>
      </c>
      <c r="I52" s="4">
        <v>3.8825950967968401</v>
      </c>
      <c r="J52" s="4">
        <v>-26.300375331121401</v>
      </c>
      <c r="K52" s="4">
        <v>-2.4075089201605699</v>
      </c>
      <c r="L52" s="4">
        <v>14.189774513440099</v>
      </c>
      <c r="M52" s="4">
        <v>6.3344277440703296</v>
      </c>
      <c r="N52" s="4">
        <v>68.355222132972102</v>
      </c>
      <c r="O52" s="4">
        <v>66.298160024321803</v>
      </c>
      <c r="P52" s="4">
        <v>301559.67877442099</v>
      </c>
      <c r="Q52" s="4">
        <v>280888.11580146098</v>
      </c>
      <c r="R52" s="4">
        <v>783.01120253801002</v>
      </c>
      <c r="S52" s="4">
        <v>0</v>
      </c>
      <c r="T52" s="4">
        <v>0</v>
      </c>
      <c r="U52" s="4">
        <v>7.2013207523546105E-2</v>
      </c>
      <c r="V52" s="4">
        <v>0.347423391960552</v>
      </c>
      <c r="W52" s="4">
        <v>0</v>
      </c>
      <c r="X52" s="4">
        <v>0.74814442784298296</v>
      </c>
      <c r="Y52" s="4">
        <v>0</v>
      </c>
      <c r="Z52" s="5">
        <v>2.7086981479578398E-4</v>
      </c>
      <c r="AA52" s="5">
        <v>2.8370680680371701E-5</v>
      </c>
      <c r="AB52" s="10">
        <v>2.0925006222711098E-3</v>
      </c>
      <c r="AC52" s="10">
        <v>8.6823744869647402E-9</v>
      </c>
      <c r="AD52" s="10">
        <v>8.0501214470708599E-3</v>
      </c>
      <c r="AE52" s="4">
        <v>2.0306573941900798E-2</v>
      </c>
      <c r="AF52" s="4">
        <v>0.83709037017893395</v>
      </c>
      <c r="AG52" s="4">
        <v>0.99914450295220103</v>
      </c>
      <c r="AH52" s="4">
        <v>0.99998979045362801</v>
      </c>
      <c r="AI52" s="4">
        <v>0.99999753282059101</v>
      </c>
      <c r="AJ52" s="4">
        <v>1</v>
      </c>
      <c r="AK52" s="4">
        <v>1</v>
      </c>
      <c r="AL52" s="4">
        <v>1</v>
      </c>
      <c r="AM52" s="4">
        <v>0</v>
      </c>
      <c r="AN52" s="4">
        <v>0</v>
      </c>
      <c r="AO52" s="4" t="s">
        <v>67</v>
      </c>
      <c r="AP52" s="4">
        <f>-25-0</f>
        <v>-25</v>
      </c>
      <c r="AQ52" s="6">
        <v>27364682017.610001</v>
      </c>
      <c r="AR52" s="4">
        <v>97422</v>
      </c>
      <c r="AS52" s="15">
        <v>0</v>
      </c>
      <c r="AT52" s="15">
        <v>65.257660803944702</v>
      </c>
      <c r="AU52" s="15">
        <v>65.257660803944702</v>
      </c>
      <c r="AV52" s="15">
        <v>34.742339196055198</v>
      </c>
      <c r="AW52" s="15">
        <v>34.742339196055198</v>
      </c>
      <c r="AX52" s="15">
        <v>0</v>
      </c>
      <c r="AY52">
        <v>3.8281214977943399</v>
      </c>
    </row>
    <row r="53" spans="1:51" x14ac:dyDescent="0.25">
      <c r="A53">
        <v>96</v>
      </c>
      <c r="B53" s="4">
        <v>0.98824066431110902</v>
      </c>
      <c r="C53" s="4">
        <v>8.8521007135361494</v>
      </c>
      <c r="D53" s="4">
        <v>13.2333871107316</v>
      </c>
      <c r="E53" s="4">
        <v>7.6941417048664402E-3</v>
      </c>
      <c r="F53" s="5">
        <v>1.1759335688890701E-2</v>
      </c>
      <c r="G53" s="5">
        <v>0</v>
      </c>
      <c r="H53" s="4">
        <v>3.8637792140758802</v>
      </c>
      <c r="I53" s="4">
        <v>3.87455113722091</v>
      </c>
      <c r="J53" s="4">
        <v>-24.547965579542499</v>
      </c>
      <c r="K53" s="4">
        <v>2.5749501154257302</v>
      </c>
      <c r="L53" s="4">
        <v>14.349169589801001</v>
      </c>
      <c r="M53" s="4">
        <v>6.9661341555639096</v>
      </c>
      <c r="N53" s="4">
        <v>69.504711568072594</v>
      </c>
      <c r="O53" s="4">
        <v>67.290784604543504</v>
      </c>
      <c r="P53" s="4">
        <v>299077.72362615197</v>
      </c>
      <c r="Q53" s="4">
        <v>278046.678361781</v>
      </c>
      <c r="R53" s="4">
        <v>782.79280599694596</v>
      </c>
      <c r="S53" s="4">
        <v>0</v>
      </c>
      <c r="T53" s="4">
        <v>0</v>
      </c>
      <c r="U53" s="4">
        <v>5.9893910599329102E-2</v>
      </c>
      <c r="V53" s="4">
        <v>0.34156871702781899</v>
      </c>
      <c r="W53" s="4">
        <v>0</v>
      </c>
      <c r="X53" s="4">
        <v>0.74353845261088902</v>
      </c>
      <c r="Y53" s="4">
        <v>0</v>
      </c>
      <c r="Z53" s="5">
        <v>2.8202296718395E-4</v>
      </c>
      <c r="AA53" s="5">
        <v>3.1836050202463902E-5</v>
      </c>
      <c r="AB53" s="10">
        <v>2.1957464099786701E-3</v>
      </c>
      <c r="AC53" s="10">
        <v>1.8329034057762299E-8</v>
      </c>
      <c r="AD53" s="10">
        <v>9.2496976242294696E-3</v>
      </c>
      <c r="AE53" s="4">
        <v>2.0230835757413301E-2</v>
      </c>
      <c r="AF53" s="4">
        <v>0.82736883135263894</v>
      </c>
      <c r="AG53" s="4">
        <v>0.99877998253130795</v>
      </c>
      <c r="AH53" s="4">
        <v>0.99996515656115803</v>
      </c>
      <c r="AI53" s="4">
        <v>1</v>
      </c>
      <c r="AJ53" s="4">
        <v>1</v>
      </c>
      <c r="AK53" s="4">
        <v>1</v>
      </c>
      <c r="AL53" s="4">
        <v>1</v>
      </c>
      <c r="AM53" s="4">
        <v>0</v>
      </c>
      <c r="AN53" s="4">
        <v>0</v>
      </c>
      <c r="AO53" s="4" t="s">
        <v>141</v>
      </c>
      <c r="AP53" s="4" t="s">
        <v>127</v>
      </c>
      <c r="AQ53" s="6">
        <v>28507013745.720001</v>
      </c>
      <c r="AR53" s="4">
        <v>102526</v>
      </c>
      <c r="AS53" s="15">
        <v>0</v>
      </c>
      <c r="AT53" s="15">
        <v>65.843128297218001</v>
      </c>
      <c r="AU53" s="15">
        <v>65.843128297218001</v>
      </c>
      <c r="AV53" s="15">
        <v>34.156871702781899</v>
      </c>
      <c r="AW53" s="15">
        <v>34.156871702781899</v>
      </c>
      <c r="AX53" s="15">
        <v>0</v>
      </c>
      <c r="AY53">
        <v>6.5534175621933199</v>
      </c>
    </row>
    <row r="54" spans="1:51" x14ac:dyDescent="0.25">
      <c r="A54">
        <v>96</v>
      </c>
      <c r="B54" s="4">
        <v>0.98687261936567505</v>
      </c>
      <c r="C54" s="4">
        <v>10.9042707213596</v>
      </c>
      <c r="D54" s="4">
        <v>14.6638203321367</v>
      </c>
      <c r="E54" s="4">
        <v>9.5754262052694696E-3</v>
      </c>
      <c r="F54" s="5">
        <v>1.31273806343244E-2</v>
      </c>
      <c r="G54" s="5">
        <v>0</v>
      </c>
      <c r="H54" s="4">
        <v>3.9014198978658401</v>
      </c>
      <c r="I54" s="4">
        <v>3.8641340357318898</v>
      </c>
      <c r="J54" s="4">
        <v>-23.498065735290499</v>
      </c>
      <c r="K54" s="4">
        <v>7.54044198090401</v>
      </c>
      <c r="L54" s="4">
        <v>14.6095014621154</v>
      </c>
      <c r="M54" s="4">
        <v>7.6447098632183401</v>
      </c>
      <c r="N54" s="4">
        <v>68.926359720982006</v>
      </c>
      <c r="O54" s="4">
        <v>66.6918380204459</v>
      </c>
      <c r="P54" s="4">
        <v>293821.84139102203</v>
      </c>
      <c r="Q54" s="4">
        <v>273049.63764918799</v>
      </c>
      <c r="R54" s="4">
        <v>782.77079991761002</v>
      </c>
      <c r="S54" s="4">
        <v>0</v>
      </c>
      <c r="T54" s="4">
        <v>0</v>
      </c>
      <c r="U54" s="4">
        <v>5.6353208890867701E-2</v>
      </c>
      <c r="V54" s="4">
        <v>0.33497239751976898</v>
      </c>
      <c r="W54" s="4">
        <v>0</v>
      </c>
      <c r="X54" s="4">
        <v>0.74153985692282098</v>
      </c>
      <c r="Y54" s="4">
        <v>0</v>
      </c>
      <c r="Z54" s="5">
        <v>2.94315000129361E-4</v>
      </c>
      <c r="AA54" s="5">
        <v>3.5237191282497398E-5</v>
      </c>
      <c r="AB54" s="10">
        <v>2.3060551692053099E-3</v>
      </c>
      <c r="AC54" s="10">
        <v>4.8883761775499701E-8</v>
      </c>
      <c r="AD54" s="10">
        <v>1.04917102428907E-2</v>
      </c>
      <c r="AE54" s="4">
        <v>1.9958803995398899E-2</v>
      </c>
      <c r="AF54" s="4">
        <v>0.81921161632659101</v>
      </c>
      <c r="AG54" s="4">
        <v>0.99804752121595097</v>
      </c>
      <c r="AH54" s="4">
        <v>0.99991392131579004</v>
      </c>
      <c r="AI54" s="4">
        <v>0.999988623070034</v>
      </c>
      <c r="AJ54" s="4">
        <v>1</v>
      </c>
      <c r="AK54" s="4">
        <v>1</v>
      </c>
      <c r="AL54" s="4">
        <v>1</v>
      </c>
      <c r="AM54" s="4">
        <v>0</v>
      </c>
      <c r="AN54" s="4">
        <v>0</v>
      </c>
      <c r="AO54" s="4" t="s">
        <v>142</v>
      </c>
      <c r="AP54" s="4">
        <v>43230</v>
      </c>
      <c r="AQ54" s="6">
        <v>30239974320.009998</v>
      </c>
      <c r="AR54" s="4">
        <v>110749</v>
      </c>
      <c r="AS54" s="15">
        <v>0</v>
      </c>
      <c r="AT54" s="15">
        <v>66.502760248022994</v>
      </c>
      <c r="AU54" s="15">
        <v>66.502760248022994</v>
      </c>
      <c r="AV54" s="15">
        <v>33.497239751976899</v>
      </c>
      <c r="AW54" s="15">
        <v>33.497239751976899</v>
      </c>
      <c r="AX54" s="15">
        <v>0</v>
      </c>
      <c r="AY54">
        <v>11.314990090656099</v>
      </c>
    </row>
    <row r="55" spans="1:51" x14ac:dyDescent="0.25">
      <c r="A55">
        <v>96</v>
      </c>
      <c r="B55" s="4">
        <v>0.98493189646206702</v>
      </c>
      <c r="C55" s="4">
        <v>14.002827185935001</v>
      </c>
      <c r="D55" s="4">
        <v>16.6559837638362</v>
      </c>
      <c r="E55" s="4">
        <v>1.24926248326339E-2</v>
      </c>
      <c r="F55" s="5">
        <v>1.5068103537932699E-2</v>
      </c>
      <c r="G55" s="5">
        <v>0</v>
      </c>
      <c r="H55" s="4">
        <v>3.9578851636893502</v>
      </c>
      <c r="I55" s="4">
        <v>3.86991645349883</v>
      </c>
      <c r="J55" s="4">
        <v>-22.980733142995501</v>
      </c>
      <c r="K55" s="4">
        <v>12.527276197463699</v>
      </c>
      <c r="L55" s="4">
        <v>14.707415704811901</v>
      </c>
      <c r="M55" s="4">
        <v>8.6019844543323103</v>
      </c>
      <c r="N55" s="4">
        <v>69.313810168204796</v>
      </c>
      <c r="O55" s="4">
        <v>66.948658583240203</v>
      </c>
      <c r="P55" s="4">
        <v>292211.25569988601</v>
      </c>
      <c r="Q55" s="4">
        <v>271327.40903213201</v>
      </c>
      <c r="R55" s="4">
        <v>782.55568254157697</v>
      </c>
      <c r="S55" s="4">
        <v>0</v>
      </c>
      <c r="T55" s="4">
        <v>0</v>
      </c>
      <c r="U55" s="4">
        <v>4.8480183924126799E-2</v>
      </c>
      <c r="V55" s="4">
        <v>0.32608776327810601</v>
      </c>
      <c r="W55" s="4">
        <v>0</v>
      </c>
      <c r="X55" s="4">
        <v>0.74323333970219796</v>
      </c>
      <c r="Y55" s="4">
        <v>0</v>
      </c>
      <c r="Z55" s="5">
        <v>3.0836331462592099E-4</v>
      </c>
      <c r="AA55" s="5">
        <v>3.9228680771699102E-5</v>
      </c>
      <c r="AB55" s="10">
        <v>2.4557606943494199E-3</v>
      </c>
      <c r="AC55" s="10">
        <v>1.2838961728948999E-7</v>
      </c>
      <c r="AD55" s="10">
        <v>1.2264608551616899E-2</v>
      </c>
      <c r="AE55" s="4">
        <v>1.9745185918758599E-2</v>
      </c>
      <c r="AF55" s="4">
        <v>0.81163826250680804</v>
      </c>
      <c r="AG55" s="4">
        <v>0.99674140229203001</v>
      </c>
      <c r="AH55" s="4">
        <v>0.99972330682944199</v>
      </c>
      <c r="AI55" s="4">
        <v>0.99995142578066498</v>
      </c>
      <c r="AJ55" s="4">
        <v>1</v>
      </c>
      <c r="AK55" s="4">
        <v>1</v>
      </c>
      <c r="AL55" s="4">
        <v>1</v>
      </c>
      <c r="AM55" s="4">
        <v>0</v>
      </c>
      <c r="AN55" s="4">
        <v>0</v>
      </c>
      <c r="AO55" s="4" t="s">
        <v>143</v>
      </c>
      <c r="AP55" s="4">
        <v>43388</v>
      </c>
      <c r="AQ55" s="6">
        <v>34873711882.900002</v>
      </c>
      <c r="AR55" s="4">
        <v>128530</v>
      </c>
      <c r="AS55" s="15">
        <v>0</v>
      </c>
      <c r="AT55" s="15">
        <v>67.389270451200701</v>
      </c>
      <c r="AU55" s="15">
        <v>67.389270451200701</v>
      </c>
      <c r="AV55" s="15">
        <v>32.610729548799199</v>
      </c>
      <c r="AW55" s="15">
        <v>32.610729548799199</v>
      </c>
      <c r="AX55" s="15">
        <v>0</v>
      </c>
      <c r="AY55">
        <v>19.077563107269899</v>
      </c>
    </row>
    <row r="56" spans="1:51" x14ac:dyDescent="0.25">
      <c r="A56">
        <v>96</v>
      </c>
      <c r="B56" s="4">
        <v>0.98276911193653205</v>
      </c>
      <c r="C56" s="4">
        <v>17.244108581958599</v>
      </c>
      <c r="D56" s="4">
        <v>18.825807003820501</v>
      </c>
      <c r="E56" s="4">
        <v>1.5649173923988301E-2</v>
      </c>
      <c r="F56" s="5">
        <v>1.7230888063467099E-2</v>
      </c>
      <c r="G56" s="5">
        <v>0</v>
      </c>
      <c r="H56" s="4">
        <v>4.0147815621110601</v>
      </c>
      <c r="I56" s="4">
        <v>3.87980091119175</v>
      </c>
      <c r="J56" s="4">
        <v>-22.7605760882151</v>
      </c>
      <c r="K56" s="4">
        <v>17.528626096559499</v>
      </c>
      <c r="L56" s="4">
        <v>14.725806879669999</v>
      </c>
      <c r="M56" s="4">
        <v>9.7205172800475808</v>
      </c>
      <c r="N56" s="4">
        <v>69.437097744705696</v>
      </c>
      <c r="O56" s="4">
        <v>66.990267778011898</v>
      </c>
      <c r="P56" s="4">
        <v>291290.278693848</v>
      </c>
      <c r="Q56" s="4">
        <v>271047.98071393301</v>
      </c>
      <c r="R56" s="4">
        <v>782.67419718899896</v>
      </c>
      <c r="S56" s="4">
        <v>0</v>
      </c>
      <c r="T56" s="4">
        <v>0</v>
      </c>
      <c r="U56" s="4">
        <v>4.2086767551250903E-2</v>
      </c>
      <c r="V56" s="4">
        <v>0.313827814830066</v>
      </c>
      <c r="W56" s="4">
        <v>0</v>
      </c>
      <c r="X56" s="4">
        <v>0.75251585303054502</v>
      </c>
      <c r="Y56" s="4">
        <v>0</v>
      </c>
      <c r="Z56" s="5">
        <v>3.2247629147612902E-4</v>
      </c>
      <c r="AA56" s="5">
        <v>4.3168091667006502E-5</v>
      </c>
      <c r="AB56" s="10">
        <v>2.5730807291059099E-3</v>
      </c>
      <c r="AC56" s="10">
        <v>2.52169640778804E-7</v>
      </c>
      <c r="AD56" s="10">
        <v>1.4291897064858301E-2</v>
      </c>
      <c r="AE56" s="4">
        <v>1.8708914106764198E-2</v>
      </c>
      <c r="AF56" s="4">
        <v>0.80916351777835804</v>
      </c>
      <c r="AG56" s="4">
        <v>0.99408255665428602</v>
      </c>
      <c r="AH56" s="4">
        <v>0.99968213917259796</v>
      </c>
      <c r="AI56" s="4">
        <v>0.99994156572321002</v>
      </c>
      <c r="AJ56" s="4">
        <v>1</v>
      </c>
      <c r="AK56" s="4">
        <v>1</v>
      </c>
      <c r="AL56" s="4">
        <v>1</v>
      </c>
      <c r="AM56" s="4">
        <v>0</v>
      </c>
      <c r="AN56" s="4">
        <v>0</v>
      </c>
      <c r="AO56" s="4" t="s">
        <v>144</v>
      </c>
      <c r="AP56" s="4" t="s">
        <v>128</v>
      </c>
      <c r="AQ56" s="6">
        <v>38504534044.260002</v>
      </c>
      <c r="AR56" s="4">
        <v>142058</v>
      </c>
      <c r="AS56" s="15">
        <v>0</v>
      </c>
      <c r="AT56" s="15">
        <v>68.614686502298994</v>
      </c>
      <c r="AU56" s="15">
        <v>68.614686502298994</v>
      </c>
      <c r="AV56" s="15">
        <v>31.385313497700899</v>
      </c>
      <c r="AW56" s="15">
        <v>31.385313497700899</v>
      </c>
      <c r="AX56" s="15">
        <v>0</v>
      </c>
      <c r="AY56">
        <v>32.921262452470501</v>
      </c>
    </row>
    <row r="57" spans="1:51" x14ac:dyDescent="0.25">
      <c r="A57">
        <v>96</v>
      </c>
      <c r="B57" s="4">
        <v>0.98050078642268301</v>
      </c>
      <c r="C57" s="4">
        <v>21.069423058598701</v>
      </c>
      <c r="D57" s="4">
        <v>21.045778439427099</v>
      </c>
      <c r="E57" s="4">
        <v>1.95236863561607E-2</v>
      </c>
      <c r="F57" s="5">
        <v>1.94992135773162E-2</v>
      </c>
      <c r="G57" s="5">
        <v>0</v>
      </c>
      <c r="H57" s="4">
        <v>4.0436839684218899</v>
      </c>
      <c r="I57" s="4">
        <v>3.87209515072544</v>
      </c>
      <c r="J57" s="4">
        <v>-22.362803545103599</v>
      </c>
      <c r="K57" s="4">
        <v>22.543947941116599</v>
      </c>
      <c r="L57" s="4">
        <v>14.4774097168998</v>
      </c>
      <c r="M57" s="4">
        <v>10.474530213508601</v>
      </c>
      <c r="N57" s="4">
        <v>67.823587773271797</v>
      </c>
      <c r="O57" s="4">
        <v>65.233277583911899</v>
      </c>
      <c r="P57" s="4">
        <v>296099.12575120101</v>
      </c>
      <c r="Q57" s="4">
        <v>275599.59768276702</v>
      </c>
      <c r="R57" s="4">
        <v>782.70335214632905</v>
      </c>
      <c r="S57" s="4">
        <v>0</v>
      </c>
      <c r="T57" s="4">
        <v>0</v>
      </c>
      <c r="U57" s="4">
        <v>4.0518232439720303E-2</v>
      </c>
      <c r="V57" s="4">
        <v>0.312651710072128</v>
      </c>
      <c r="W57" s="4">
        <v>0</v>
      </c>
      <c r="X57" s="4">
        <v>0.75911106405639805</v>
      </c>
      <c r="Y57" s="4">
        <v>0</v>
      </c>
      <c r="Z57" s="5">
        <v>3.32414059649931E-4</v>
      </c>
      <c r="AA57" s="5">
        <v>4.5092679055955402E-5</v>
      </c>
      <c r="AB57" s="10">
        <v>2.6704932087956799E-3</v>
      </c>
      <c r="AC57" s="10">
        <v>5.2559592468737405E-7</v>
      </c>
      <c r="AD57" s="10">
        <v>1.64506745045351E-2</v>
      </c>
      <c r="AE57" s="4">
        <v>2.0591337033753598E-2</v>
      </c>
      <c r="AF57" s="4">
        <v>0.790972610904635</v>
      </c>
      <c r="AG57" s="4">
        <v>0.99085171431382801</v>
      </c>
      <c r="AH57" s="4">
        <v>0.99938978154525104</v>
      </c>
      <c r="AI57" s="4">
        <v>0.99986300488605195</v>
      </c>
      <c r="AJ57" s="4">
        <v>1</v>
      </c>
      <c r="AK57" s="4">
        <v>1</v>
      </c>
      <c r="AL57" s="4">
        <v>1</v>
      </c>
      <c r="AM57" s="4">
        <v>0</v>
      </c>
      <c r="AN57" s="4">
        <v>0</v>
      </c>
      <c r="AO57" s="4" t="s">
        <v>68</v>
      </c>
      <c r="AP57" s="4" t="s">
        <v>69</v>
      </c>
      <c r="AQ57" s="6">
        <v>42866485823.980003</v>
      </c>
      <c r="AR57" s="4">
        <v>155539</v>
      </c>
      <c r="AS57" s="15">
        <v>0</v>
      </c>
      <c r="AT57" s="15">
        <v>68.733948825512499</v>
      </c>
      <c r="AU57" s="15">
        <v>68.733948825512499</v>
      </c>
      <c r="AV57" s="15">
        <v>31.266051174487401</v>
      </c>
      <c r="AW57" s="15">
        <v>31.266051174487401</v>
      </c>
      <c r="AX57" s="15">
        <v>0</v>
      </c>
      <c r="AY57">
        <v>51.265645297874499</v>
      </c>
    </row>
    <row r="58" spans="1:51" x14ac:dyDescent="0.25">
      <c r="A58">
        <v>96</v>
      </c>
      <c r="B58" s="4">
        <v>0.97841115836510195</v>
      </c>
      <c r="C58" s="4">
        <v>23.063401972063001</v>
      </c>
      <c r="D58" s="4">
        <v>23.041469920317098</v>
      </c>
      <c r="E58" s="4">
        <v>2.1612080739042899E-2</v>
      </c>
      <c r="F58" s="5">
        <v>2.1588841634897299E-2</v>
      </c>
      <c r="G58" s="5">
        <v>0</v>
      </c>
      <c r="H58" s="4">
        <v>4.0805540210337004</v>
      </c>
      <c r="I58" s="4">
        <v>3.8625393820885998</v>
      </c>
      <c r="J58" s="4">
        <v>-21.393000506281702</v>
      </c>
      <c r="K58" s="4">
        <v>27.523059197893399</v>
      </c>
      <c r="L58" s="4">
        <v>14.579448293624401</v>
      </c>
      <c r="M58" s="4">
        <v>11.278875551334</v>
      </c>
      <c r="N58" s="4">
        <v>68.399354601665294</v>
      </c>
      <c r="O58" s="4">
        <v>65.529784302322795</v>
      </c>
      <c r="P58" s="4">
        <v>294526.48745317903</v>
      </c>
      <c r="Q58" s="4">
        <v>273743.06304139103</v>
      </c>
      <c r="R58" s="4">
        <v>782.53592954160001</v>
      </c>
      <c r="S58" s="4">
        <v>0</v>
      </c>
      <c r="T58" s="4">
        <v>0</v>
      </c>
      <c r="U58" s="4">
        <v>3.8080921513116497E-2</v>
      </c>
      <c r="V58" s="4">
        <v>0.31095845645047998</v>
      </c>
      <c r="W58" s="4">
        <v>0</v>
      </c>
      <c r="X58" s="4">
        <v>0.75527821490326597</v>
      </c>
      <c r="Y58" s="4">
        <v>0</v>
      </c>
      <c r="Z58" s="5">
        <v>3.4120649254615299E-4</v>
      </c>
      <c r="AA58" s="5">
        <v>4.83945685371858E-5</v>
      </c>
      <c r="AB58" s="10">
        <v>2.7433609577282498E-3</v>
      </c>
      <c r="AC58" s="10">
        <v>8.3452158098785403E-7</v>
      </c>
      <c r="AD58" s="10">
        <v>1.8455031721158401E-2</v>
      </c>
      <c r="AE58" s="4">
        <v>2.2744782988137102E-2</v>
      </c>
      <c r="AF58" s="4">
        <v>0.773711834369746</v>
      </c>
      <c r="AG58" s="4">
        <v>0.98435998489732301</v>
      </c>
      <c r="AH58" s="4">
        <v>0.99926500628806203</v>
      </c>
      <c r="AI58" s="4">
        <v>0.99978340693150303</v>
      </c>
      <c r="AJ58" s="4">
        <v>1</v>
      </c>
      <c r="AK58" s="4">
        <v>1</v>
      </c>
      <c r="AL58" s="4">
        <v>1</v>
      </c>
      <c r="AM58" s="4">
        <v>0</v>
      </c>
      <c r="AN58" s="4">
        <v>0</v>
      </c>
      <c r="AO58" s="4" t="s">
        <v>145</v>
      </c>
      <c r="AP58" s="4" t="s">
        <v>129</v>
      </c>
      <c r="AQ58" s="6">
        <v>43570040885.919998</v>
      </c>
      <c r="AR58" s="4">
        <v>159164</v>
      </c>
      <c r="AS58" s="15">
        <v>0</v>
      </c>
      <c r="AT58" s="15">
        <v>68.9025983592351</v>
      </c>
      <c r="AU58" s="15">
        <v>68.9025983592351</v>
      </c>
      <c r="AV58" s="15">
        <v>31.097401640764801</v>
      </c>
      <c r="AW58" s="15">
        <v>31.097401640764801</v>
      </c>
      <c r="AX58" s="15">
        <v>0</v>
      </c>
      <c r="AY58">
        <v>73.319059443973501</v>
      </c>
    </row>
    <row r="59" spans="1:51" x14ac:dyDescent="0.25">
      <c r="A59">
        <v>96</v>
      </c>
      <c r="B59" s="4">
        <v>0.97649386278518302</v>
      </c>
      <c r="C59" s="4">
        <v>25.027503012227498</v>
      </c>
      <c r="D59" s="4">
        <v>24.831788449342799</v>
      </c>
      <c r="E59" s="4">
        <v>2.3718264248499699E-2</v>
      </c>
      <c r="F59" s="5">
        <v>2.3506137214816002E-2</v>
      </c>
      <c r="G59" s="5">
        <v>0</v>
      </c>
      <c r="H59" s="4">
        <v>4.1027405532300296</v>
      </c>
      <c r="I59" s="4">
        <v>3.8402995810437202</v>
      </c>
      <c r="J59" s="4">
        <v>-20.755639965798601</v>
      </c>
      <c r="K59" s="4">
        <v>32.511491054413902</v>
      </c>
      <c r="L59" s="4">
        <v>14.592738375513299</v>
      </c>
      <c r="M59" s="4">
        <v>11.8390075290121</v>
      </c>
      <c r="N59" s="4">
        <v>68.156253548917306</v>
      </c>
      <c r="O59" s="4">
        <v>65.177772956410493</v>
      </c>
      <c r="P59" s="4">
        <v>293515.87052853801</v>
      </c>
      <c r="Q59" s="4">
        <v>273384.448033366</v>
      </c>
      <c r="R59" s="4">
        <v>782.62380017445605</v>
      </c>
      <c r="S59" s="4">
        <v>0</v>
      </c>
      <c r="T59" s="4">
        <v>0</v>
      </c>
      <c r="U59" s="4">
        <v>3.6990864738388599E-2</v>
      </c>
      <c r="V59" s="4">
        <v>0.31948024649228901</v>
      </c>
      <c r="W59" s="4">
        <v>0</v>
      </c>
      <c r="X59" s="4">
        <v>0.75414459234881004</v>
      </c>
      <c r="Y59" s="4">
        <v>0</v>
      </c>
      <c r="Z59" s="5">
        <v>3.4765966736708201E-4</v>
      </c>
      <c r="AA59" s="5">
        <v>5.1752209162224997E-5</v>
      </c>
      <c r="AB59" s="10">
        <v>2.7994828835263001E-3</v>
      </c>
      <c r="AC59" s="10">
        <v>1.39593022489295E-6</v>
      </c>
      <c r="AD59" s="10">
        <v>2.0305833243858699E-2</v>
      </c>
      <c r="AE59" s="4">
        <v>2.45301569098028E-2</v>
      </c>
      <c r="AF59" s="4">
        <v>0.75628598751500098</v>
      </c>
      <c r="AG59" s="4">
        <v>0.97965776719801001</v>
      </c>
      <c r="AH59" s="4">
        <v>0.99872127708043201</v>
      </c>
      <c r="AI59" s="4">
        <v>0.99974782095048298</v>
      </c>
      <c r="AJ59" s="4">
        <v>1</v>
      </c>
      <c r="AK59" s="4">
        <v>1</v>
      </c>
      <c r="AL59" s="4">
        <v>1</v>
      </c>
      <c r="AM59" s="4">
        <v>0</v>
      </c>
      <c r="AN59" s="4">
        <v>0</v>
      </c>
      <c r="AO59" s="4" t="s">
        <v>146</v>
      </c>
      <c r="AP59" s="4" t="s">
        <v>130</v>
      </c>
      <c r="AQ59" s="6">
        <v>43981816615.160004</v>
      </c>
      <c r="AR59" s="4">
        <v>160879</v>
      </c>
      <c r="AS59" s="15">
        <v>0</v>
      </c>
      <c r="AT59" s="15">
        <v>68.048233289331407</v>
      </c>
      <c r="AU59" s="15">
        <v>68.048233289331407</v>
      </c>
      <c r="AV59" s="15">
        <v>31.951766710668501</v>
      </c>
      <c r="AW59" s="15">
        <v>31.951766710668501</v>
      </c>
      <c r="AX59" s="15">
        <v>0</v>
      </c>
      <c r="AY59">
        <v>94.548590404183201</v>
      </c>
    </row>
    <row r="60" spans="1:51" x14ac:dyDescent="0.25">
      <c r="A60">
        <v>96</v>
      </c>
      <c r="B60" s="4">
        <v>0.97414940574810105</v>
      </c>
      <c r="C60" s="4">
        <v>27.8309486971669</v>
      </c>
      <c r="D60" s="4">
        <v>26.969068641034799</v>
      </c>
      <c r="E60" s="4">
        <v>2.68138572498413E-2</v>
      </c>
      <c r="F60" s="5">
        <v>2.5850594251898899E-2</v>
      </c>
      <c r="G60" s="5">
        <v>0</v>
      </c>
      <c r="H60" s="4">
        <v>4.1348421477221304</v>
      </c>
      <c r="I60" s="4">
        <v>3.8277250291846898</v>
      </c>
      <c r="J60" s="4">
        <v>-20.0389557709005</v>
      </c>
      <c r="K60" s="4">
        <v>37.477155620940799</v>
      </c>
      <c r="L60" s="4">
        <v>14.4877045600388</v>
      </c>
      <c r="M60" s="4">
        <v>12.6078128582411</v>
      </c>
      <c r="N60" s="4">
        <v>67.879501963899401</v>
      </c>
      <c r="O60" s="4">
        <v>64.682708039634605</v>
      </c>
      <c r="P60" s="4">
        <v>295895.42198303703</v>
      </c>
      <c r="Q60" s="4">
        <v>275423.54305827001</v>
      </c>
      <c r="R60" s="4">
        <v>782.57786396524398</v>
      </c>
      <c r="S60" s="4">
        <v>0</v>
      </c>
      <c r="T60" s="4">
        <v>0</v>
      </c>
      <c r="U60" s="4">
        <v>3.3245687119706303E-2</v>
      </c>
      <c r="V60" s="4">
        <v>0.31884608175692603</v>
      </c>
      <c r="W60" s="4">
        <v>0</v>
      </c>
      <c r="X60" s="4">
        <v>0.74620281227947405</v>
      </c>
      <c r="Y60" s="4">
        <v>0</v>
      </c>
      <c r="Z60" s="5">
        <v>3.5348430277968299E-4</v>
      </c>
      <c r="AA60" s="5">
        <v>5.6024626866873403E-5</v>
      </c>
      <c r="AB60" s="10">
        <v>2.8690501527125901E-3</v>
      </c>
      <c r="AC60" s="10">
        <v>1.65273831777568E-6</v>
      </c>
      <c r="AD60" s="10">
        <v>2.25703693113622E-2</v>
      </c>
      <c r="AE60" s="4">
        <v>2.6445154231125999E-2</v>
      </c>
      <c r="AF60" s="4">
        <v>0.73125548823181896</v>
      </c>
      <c r="AG60" s="4">
        <v>0.979473890486807</v>
      </c>
      <c r="AH60" s="4">
        <v>0.99839829479854003</v>
      </c>
      <c r="AI60" s="4">
        <v>0.99967124020694698</v>
      </c>
      <c r="AJ60" s="4">
        <v>1</v>
      </c>
      <c r="AK60" s="4">
        <v>1</v>
      </c>
      <c r="AL60" s="4">
        <v>1</v>
      </c>
      <c r="AM60" s="4">
        <v>0</v>
      </c>
      <c r="AN60" s="4">
        <v>0</v>
      </c>
      <c r="AO60" s="4" t="s">
        <v>147</v>
      </c>
      <c r="AP60" s="4" t="s">
        <v>131</v>
      </c>
      <c r="AQ60" s="6">
        <v>44207957472.739998</v>
      </c>
      <c r="AR60" s="4">
        <v>160509</v>
      </c>
      <c r="AS60" s="15">
        <v>0</v>
      </c>
      <c r="AT60" s="15">
        <v>68.1145338558064</v>
      </c>
      <c r="AU60" s="15">
        <v>68.1145338558064</v>
      </c>
      <c r="AV60" s="15">
        <v>31.885466144193501</v>
      </c>
      <c r="AW60" s="15">
        <v>31.885466144193501</v>
      </c>
      <c r="AX60" s="15">
        <v>0</v>
      </c>
      <c r="AY60">
        <v>118.174201959104</v>
      </c>
    </row>
    <row r="61" spans="1:51" x14ac:dyDescent="0.25">
      <c r="A61">
        <v>96</v>
      </c>
      <c r="B61" s="4">
        <v>0.97190419294824204</v>
      </c>
      <c r="C61" s="4">
        <v>31.457809554335402</v>
      </c>
      <c r="D61" s="4">
        <v>28.963514145429201</v>
      </c>
      <c r="E61" s="4">
        <v>3.0986490940274499E-2</v>
      </c>
      <c r="F61" s="5">
        <v>2.8095807051756998E-2</v>
      </c>
      <c r="G61" s="5">
        <v>0</v>
      </c>
      <c r="H61" s="4">
        <v>4.1831056287147099</v>
      </c>
      <c r="I61" s="4">
        <v>3.8234897991792001</v>
      </c>
      <c r="J61" s="4">
        <v>-19.308467152961001</v>
      </c>
      <c r="K61" s="4">
        <v>42.4414709362472</v>
      </c>
      <c r="L61" s="4">
        <v>14.5358316264058</v>
      </c>
      <c r="M61" s="4">
        <v>13.4661459978945</v>
      </c>
      <c r="N61" s="4">
        <v>68.134365329732702</v>
      </c>
      <c r="O61" s="4">
        <v>64.854192175624604</v>
      </c>
      <c r="P61" s="4">
        <v>295673.57968567999</v>
      </c>
      <c r="Q61" s="4">
        <v>274474.31744831899</v>
      </c>
      <c r="R61" s="4">
        <v>782.37061544591597</v>
      </c>
      <c r="S61" s="4">
        <v>0</v>
      </c>
      <c r="T61" s="4">
        <v>0</v>
      </c>
      <c r="U61" s="4">
        <v>2.9554947425934699E-2</v>
      </c>
      <c r="V61" s="4">
        <v>0.31628242699909997</v>
      </c>
      <c r="W61" s="4">
        <v>0</v>
      </c>
      <c r="X61" s="4">
        <v>0.73742216935260996</v>
      </c>
      <c r="Y61" s="4">
        <v>0</v>
      </c>
      <c r="Z61" s="5">
        <v>3.59625182460098E-4</v>
      </c>
      <c r="AA61" s="5">
        <v>6.1795145375626197E-5</v>
      </c>
      <c r="AB61" s="10">
        <v>2.9245868807497299E-3</v>
      </c>
      <c r="AC61" s="10">
        <v>2.2833316231014498E-6</v>
      </c>
      <c r="AD61" s="10">
        <v>2.47475033711449E-2</v>
      </c>
      <c r="AE61" s="4">
        <v>2.6782477124935099E-2</v>
      </c>
      <c r="AF61" s="4">
        <v>0.724751090086039</v>
      </c>
      <c r="AG61" s="4">
        <v>0.97632536653116497</v>
      </c>
      <c r="AH61" s="4">
        <v>0.997786893837043</v>
      </c>
      <c r="AI61" s="4">
        <v>0.99977110334512298</v>
      </c>
      <c r="AJ61" s="4">
        <v>1</v>
      </c>
      <c r="AK61" s="4">
        <v>1</v>
      </c>
      <c r="AL61" s="4">
        <v>1</v>
      </c>
      <c r="AM61" s="4">
        <v>0</v>
      </c>
      <c r="AN61" s="4">
        <v>0</v>
      </c>
      <c r="AO61" s="4" t="s">
        <v>148</v>
      </c>
      <c r="AP61" s="4" t="s">
        <v>132</v>
      </c>
      <c r="AQ61" s="6">
        <v>40881577212.339996</v>
      </c>
      <c r="AR61" s="4">
        <v>148945</v>
      </c>
      <c r="AS61" s="15">
        <v>0</v>
      </c>
      <c r="AT61" s="15">
        <v>68.371757300089897</v>
      </c>
      <c r="AU61" s="15">
        <v>68.371757300089897</v>
      </c>
      <c r="AV61" s="15">
        <v>31.62824269991</v>
      </c>
      <c r="AW61" s="15">
        <v>31.62824269991</v>
      </c>
      <c r="AX61" s="15">
        <v>0</v>
      </c>
      <c r="AY61">
        <v>144.31373883304201</v>
      </c>
    </row>
    <row r="62" spans="1:51" x14ac:dyDescent="0.25">
      <c r="A62">
        <v>96</v>
      </c>
      <c r="B62" s="4">
        <v>0.96949187585329999</v>
      </c>
      <c r="C62" s="4">
        <v>33.304221716883298</v>
      </c>
      <c r="D62" s="4">
        <v>31.050663778917102</v>
      </c>
      <c r="E62" s="4">
        <v>3.3189120807656299E-2</v>
      </c>
      <c r="F62" s="5">
        <v>3.0508124146699601E-2</v>
      </c>
      <c r="G62" s="5">
        <v>0</v>
      </c>
      <c r="H62" s="4">
        <v>4.2389415300754898</v>
      </c>
      <c r="I62" s="4">
        <v>3.8269868753635499</v>
      </c>
      <c r="J62" s="4">
        <v>-18.563579512203901</v>
      </c>
      <c r="K62" s="4">
        <v>47.5181657858855</v>
      </c>
      <c r="L62" s="4">
        <v>14.521738018190099</v>
      </c>
      <c r="M62" s="4">
        <v>14.598139898686</v>
      </c>
      <c r="N62" s="4">
        <v>67.828227111409007</v>
      </c>
      <c r="O62" s="4">
        <v>64.5519156159217</v>
      </c>
      <c r="P62" s="4">
        <v>295745.68320464302</v>
      </c>
      <c r="Q62" s="4">
        <v>274652.29598887102</v>
      </c>
      <c r="R62" s="4">
        <v>782.20509203350196</v>
      </c>
      <c r="S62" s="4">
        <v>0</v>
      </c>
      <c r="T62" s="4">
        <v>0</v>
      </c>
      <c r="U62" s="4">
        <v>2.3834156897787201E-2</v>
      </c>
      <c r="V62" s="4">
        <v>0.30543286058415797</v>
      </c>
      <c r="W62" s="4">
        <v>0</v>
      </c>
      <c r="X62" s="4">
        <v>0.72540982248493402</v>
      </c>
      <c r="Y62" s="4">
        <v>0</v>
      </c>
      <c r="Z62" s="5">
        <v>3.6543652309801701E-4</v>
      </c>
      <c r="AA62" s="5">
        <v>6.9434013042086996E-5</v>
      </c>
      <c r="AB62" s="10">
        <v>3.0125580611942101E-3</v>
      </c>
      <c r="AC62" s="10">
        <v>2.5641521808826601E-6</v>
      </c>
      <c r="AD62" s="10">
        <v>2.7058118204199299E-2</v>
      </c>
      <c r="AE62" s="4">
        <v>2.5413600275352301E-2</v>
      </c>
      <c r="AF62" s="4">
        <v>0.72717762883551995</v>
      </c>
      <c r="AG62" s="4">
        <v>0.97756360695948996</v>
      </c>
      <c r="AH62" s="4">
        <v>0.99767709129697701</v>
      </c>
      <c r="AI62" s="4">
        <v>0.99980449507090297</v>
      </c>
      <c r="AJ62" s="4">
        <v>1</v>
      </c>
      <c r="AK62" s="4">
        <v>1</v>
      </c>
      <c r="AL62" s="4">
        <v>1</v>
      </c>
      <c r="AM62" s="4">
        <v>0</v>
      </c>
      <c r="AN62" s="4">
        <v>0</v>
      </c>
      <c r="AO62" s="4" t="s">
        <v>70</v>
      </c>
      <c r="AP62" s="4" t="s">
        <v>71</v>
      </c>
      <c r="AQ62" s="6">
        <v>39190960071.540001</v>
      </c>
      <c r="AR62" s="4">
        <v>142693</v>
      </c>
      <c r="AS62" s="15">
        <v>0</v>
      </c>
      <c r="AT62" s="15">
        <v>69.456713941584098</v>
      </c>
      <c r="AU62" s="15">
        <v>69.456713941584098</v>
      </c>
      <c r="AV62" s="15">
        <v>30.543286058415799</v>
      </c>
      <c r="AW62" s="15">
        <v>30.543286058415799</v>
      </c>
      <c r="AX62" s="15">
        <v>0</v>
      </c>
      <c r="AY62">
        <v>174.12595009353601</v>
      </c>
    </row>
    <row r="63" spans="1:51" x14ac:dyDescent="0.25">
      <c r="A63">
        <v>96</v>
      </c>
      <c r="B63" s="4">
        <v>0.96762603449884199</v>
      </c>
      <c r="C63" s="4">
        <v>33.412905074069897</v>
      </c>
      <c r="D63" s="4">
        <v>32.626278455390398</v>
      </c>
      <c r="E63" s="4">
        <v>3.3320506950236702E-2</v>
      </c>
      <c r="F63" s="5">
        <v>3.2373965501157599E-2</v>
      </c>
      <c r="G63" s="5">
        <v>0</v>
      </c>
      <c r="H63" s="4">
        <v>4.3180088133900201</v>
      </c>
      <c r="I63" s="4">
        <v>3.8417095635101601</v>
      </c>
      <c r="J63" s="4">
        <v>-17.463033232366499</v>
      </c>
      <c r="K63" s="4">
        <v>52.504460856871802</v>
      </c>
      <c r="L63" s="4">
        <v>14.8874961022898</v>
      </c>
      <c r="M63" s="4">
        <v>16.089801589438402</v>
      </c>
      <c r="N63" s="4">
        <v>69.557277818035402</v>
      </c>
      <c r="O63" s="4">
        <v>66.210125995491296</v>
      </c>
      <c r="P63" s="4">
        <v>289074.80954989302</v>
      </c>
      <c r="Q63" s="4">
        <v>268000.80968965101</v>
      </c>
      <c r="R63" s="4">
        <v>781.780156964767</v>
      </c>
      <c r="S63" s="4">
        <v>0</v>
      </c>
      <c r="T63" s="4">
        <v>0</v>
      </c>
      <c r="U63" s="4">
        <v>1.9533416900711299E-2</v>
      </c>
      <c r="V63" s="4">
        <v>0.293068561959486</v>
      </c>
      <c r="W63" s="4">
        <v>0</v>
      </c>
      <c r="X63" s="4">
        <v>0.70768999875706795</v>
      </c>
      <c r="Y63" s="4">
        <v>0</v>
      </c>
      <c r="Z63" s="5">
        <v>3.7173065143407798E-4</v>
      </c>
      <c r="AA63" s="5">
        <v>8.2806942032154695E-5</v>
      </c>
      <c r="AB63" s="10">
        <v>3.1134833891456799E-3</v>
      </c>
      <c r="AC63" s="10">
        <v>2.6524878513713101E-6</v>
      </c>
      <c r="AD63" s="10">
        <v>2.8803278583595299E-2</v>
      </c>
      <c r="AE63" s="4">
        <v>2.1343834427945199E-2</v>
      </c>
      <c r="AF63" s="4">
        <v>0.743219356564774</v>
      </c>
      <c r="AG63" s="4">
        <v>0.97898504923415897</v>
      </c>
      <c r="AH63" s="4">
        <v>0.99781394459043105</v>
      </c>
      <c r="AI63" s="4">
        <v>0.99980766978107405</v>
      </c>
      <c r="AJ63" s="4">
        <v>1</v>
      </c>
      <c r="AK63" s="4">
        <v>1</v>
      </c>
      <c r="AL63" s="4">
        <v>1</v>
      </c>
      <c r="AM63" s="4">
        <v>0</v>
      </c>
      <c r="AN63" s="4">
        <v>0</v>
      </c>
      <c r="AO63" s="4" t="s">
        <v>149</v>
      </c>
      <c r="AP63" s="4" t="s">
        <v>133</v>
      </c>
      <c r="AQ63" s="6">
        <v>35465887150.279999</v>
      </c>
      <c r="AR63" s="4">
        <v>132335</v>
      </c>
      <c r="AS63" s="15">
        <v>0</v>
      </c>
      <c r="AT63" s="15">
        <v>70.693143804051303</v>
      </c>
      <c r="AU63" s="15">
        <v>70.693143804051303</v>
      </c>
      <c r="AV63" s="15">
        <v>29.306856195948601</v>
      </c>
      <c r="AW63" s="15">
        <v>29.306856195948601</v>
      </c>
      <c r="AX63" s="15">
        <v>0</v>
      </c>
      <c r="AY63">
        <v>205.960894535335</v>
      </c>
    </row>
    <row r="64" spans="1:51" x14ac:dyDescent="0.25">
      <c r="A64">
        <v>96</v>
      </c>
      <c r="B64" s="4">
        <v>0.96572974323679595</v>
      </c>
      <c r="C64" s="4">
        <v>35.483122751195602</v>
      </c>
      <c r="D64" s="4">
        <v>34.193728050572602</v>
      </c>
      <c r="E64" s="4">
        <v>3.5861456913817397E-2</v>
      </c>
      <c r="F64" s="5">
        <v>3.4270256763203298E-2</v>
      </c>
      <c r="G64" s="5">
        <v>0</v>
      </c>
      <c r="H64" s="4">
        <v>4.3828476012421298</v>
      </c>
      <c r="I64" s="4">
        <v>3.85236985124663</v>
      </c>
      <c r="J64" s="4">
        <v>-17.323484782878001</v>
      </c>
      <c r="K64" s="4">
        <v>57.483952620614602</v>
      </c>
      <c r="L64" s="4">
        <v>15.128447433642799</v>
      </c>
      <c r="M64" s="4">
        <v>17.615635507674199</v>
      </c>
      <c r="N64" s="4">
        <v>69.3707222762594</v>
      </c>
      <c r="O64" s="4">
        <v>66.117421457794194</v>
      </c>
      <c r="P64" s="4">
        <v>284722.57227888302</v>
      </c>
      <c r="Q64" s="4">
        <v>263601.22499946097</v>
      </c>
      <c r="R64" s="4">
        <v>781.65218840305101</v>
      </c>
      <c r="S64" s="4">
        <v>0</v>
      </c>
      <c r="T64" s="4">
        <v>0</v>
      </c>
      <c r="U64" s="4">
        <v>1.6827545058759601E-2</v>
      </c>
      <c r="V64" s="4">
        <v>0.27475101430821303</v>
      </c>
      <c r="W64" s="4">
        <v>0</v>
      </c>
      <c r="X64" s="4">
        <v>0.70253617632027499</v>
      </c>
      <c r="Y64" s="4">
        <v>0</v>
      </c>
      <c r="Z64" s="5">
        <v>3.7826165390336599E-4</v>
      </c>
      <c r="AA64" s="5">
        <v>9.7685403267692999E-5</v>
      </c>
      <c r="AB64" s="10">
        <v>3.1965204846598201E-3</v>
      </c>
      <c r="AC64" s="10">
        <v>3.29264430798687E-6</v>
      </c>
      <c r="AD64" s="10">
        <v>3.0594482898370901E-2</v>
      </c>
      <c r="AE64" s="4">
        <v>1.7894566644767299E-2</v>
      </c>
      <c r="AF64" s="4">
        <v>0.76065412066716998</v>
      </c>
      <c r="AG64" s="4">
        <v>0.97939804238014205</v>
      </c>
      <c r="AH64" s="4">
        <v>0.99745020383035099</v>
      </c>
      <c r="AI64" s="4">
        <v>0.99959005351784602</v>
      </c>
      <c r="AJ64" s="4">
        <v>1</v>
      </c>
      <c r="AK64" s="4">
        <v>1</v>
      </c>
      <c r="AL64" s="4">
        <v>1</v>
      </c>
      <c r="AM64" s="4">
        <v>0</v>
      </c>
      <c r="AN64" s="4">
        <v>0</v>
      </c>
      <c r="AO64" s="4" t="s">
        <v>150</v>
      </c>
      <c r="AP64" s="4" t="s">
        <v>134</v>
      </c>
      <c r="AQ64" s="6">
        <v>34266577642.580002</v>
      </c>
      <c r="AR64" s="4">
        <v>129994</v>
      </c>
      <c r="AS64" s="15">
        <v>0</v>
      </c>
      <c r="AT64" s="15">
        <v>72.524898569178603</v>
      </c>
      <c r="AU64" s="15">
        <v>72.524898569178603</v>
      </c>
      <c r="AV64" s="15">
        <v>27.475101430821301</v>
      </c>
      <c r="AW64" s="15">
        <v>27.475101430821301</v>
      </c>
      <c r="AX64" s="15">
        <v>0</v>
      </c>
      <c r="AY64">
        <v>247.53419024111801</v>
      </c>
    </row>
    <row r="65" spans="1:51" x14ac:dyDescent="0.25">
      <c r="A65">
        <v>96</v>
      </c>
      <c r="B65" s="4">
        <v>0.96365242117522998</v>
      </c>
      <c r="C65" s="4">
        <v>36.916194201583203</v>
      </c>
      <c r="D65" s="4">
        <v>35.872397596195498</v>
      </c>
      <c r="E65" s="4">
        <v>3.7664536457675403E-2</v>
      </c>
      <c r="F65" s="5">
        <v>3.6347578824769203E-2</v>
      </c>
      <c r="G65" s="5">
        <v>0</v>
      </c>
      <c r="H65" s="4">
        <v>4.4570138283542002</v>
      </c>
      <c r="I65" s="4">
        <v>3.87369396655901</v>
      </c>
      <c r="J65" s="4">
        <v>-17.372290288372199</v>
      </c>
      <c r="K65" s="4">
        <v>62.493872299298502</v>
      </c>
      <c r="L65" s="4">
        <v>15.300089484672499</v>
      </c>
      <c r="M65" s="4">
        <v>19.219580973313601</v>
      </c>
      <c r="N65" s="4">
        <v>69.640995457539205</v>
      </c>
      <c r="O65" s="4">
        <v>66.478468410495097</v>
      </c>
      <c r="P65" s="4">
        <v>281394.51245636097</v>
      </c>
      <c r="Q65" s="4">
        <v>260887.20038690799</v>
      </c>
      <c r="R65" s="4">
        <v>781.25668982452203</v>
      </c>
      <c r="S65" s="4">
        <v>0</v>
      </c>
      <c r="T65" s="4">
        <v>0</v>
      </c>
      <c r="U65" s="4">
        <v>1.57969973089311E-2</v>
      </c>
      <c r="V65" s="4">
        <v>0.25155198752355401</v>
      </c>
      <c r="W65" s="4">
        <v>0</v>
      </c>
      <c r="X65" s="4">
        <v>0.69517777957868698</v>
      </c>
      <c r="Y65" s="4">
        <v>0</v>
      </c>
      <c r="Z65" s="5">
        <v>3.8188402314078598E-4</v>
      </c>
      <c r="AA65" s="5">
        <v>1.16284490665927E-4</v>
      </c>
      <c r="AB65" s="10">
        <v>3.2824559609929802E-3</v>
      </c>
      <c r="AC65" s="10">
        <v>3.38563910855065E-6</v>
      </c>
      <c r="AD65" s="10">
        <v>3.2563554759025698E-2</v>
      </c>
      <c r="AE65" s="4">
        <v>1.2960874951345999E-2</v>
      </c>
      <c r="AF65" s="4">
        <v>0.77964598469661195</v>
      </c>
      <c r="AG65" s="4">
        <v>0.98196676584440401</v>
      </c>
      <c r="AH65" s="4">
        <v>0.99752558413372505</v>
      </c>
      <c r="AI65" s="4">
        <v>0.99960562277723597</v>
      </c>
      <c r="AJ65" s="4">
        <v>1</v>
      </c>
      <c r="AK65" s="4">
        <v>1</v>
      </c>
      <c r="AL65" s="4">
        <v>1</v>
      </c>
      <c r="AM65" s="4">
        <v>0</v>
      </c>
      <c r="AN65" s="4">
        <v>0</v>
      </c>
      <c r="AO65" s="4" t="s">
        <v>151</v>
      </c>
      <c r="AP65" s="4" t="s">
        <v>135</v>
      </c>
      <c r="AQ65" s="6">
        <v>35359607591.639999</v>
      </c>
      <c r="AR65" s="4">
        <v>135536</v>
      </c>
      <c r="AS65" s="15">
        <v>0</v>
      </c>
      <c r="AT65" s="15">
        <v>74.844801247644497</v>
      </c>
      <c r="AU65" s="15">
        <v>74.844801247644497</v>
      </c>
      <c r="AV65" s="15">
        <v>25.1551987523554</v>
      </c>
      <c r="AW65" s="15">
        <v>25.1551987523554</v>
      </c>
      <c r="AX65" s="15">
        <v>0</v>
      </c>
      <c r="AY65" s="31">
        <v>297.70247848189399</v>
      </c>
    </row>
    <row r="66" spans="1:51" x14ac:dyDescent="0.25">
      <c r="A66">
        <v>96</v>
      </c>
      <c r="B66" s="4">
        <v>0.96208001904468698</v>
      </c>
      <c r="C66" s="4">
        <v>37.345209881536803</v>
      </c>
      <c r="D66" s="4">
        <v>37.116842393943301</v>
      </c>
      <c r="E66" s="4">
        <v>3.8211625487718101E-2</v>
      </c>
      <c r="F66" s="5">
        <v>3.79199809553128E-2</v>
      </c>
      <c r="G66" s="5">
        <v>0</v>
      </c>
      <c r="H66" s="4">
        <v>4.5265381369182798</v>
      </c>
      <c r="I66" s="4">
        <v>3.89317759535848</v>
      </c>
      <c r="J66" s="4">
        <v>-17.357444142943901</v>
      </c>
      <c r="K66" s="4">
        <v>67.507788310346896</v>
      </c>
      <c r="L66" s="4">
        <v>15.524625186481</v>
      </c>
      <c r="M66" s="4">
        <v>20.507182785311201</v>
      </c>
      <c r="N66" s="4">
        <v>69.628969068538396</v>
      </c>
      <c r="O66" s="4">
        <v>66.6435851183914</v>
      </c>
      <c r="P66" s="4">
        <v>277328.61571989499</v>
      </c>
      <c r="Q66" s="4">
        <v>257076.01452947801</v>
      </c>
      <c r="R66" s="4">
        <v>781.11713358103896</v>
      </c>
      <c r="S66" s="4">
        <v>0</v>
      </c>
      <c r="T66" s="4">
        <v>0</v>
      </c>
      <c r="U66" s="4">
        <v>1.6723574292648102E-2</v>
      </c>
      <c r="V66" s="4">
        <v>0.23597175168697701</v>
      </c>
      <c r="W66" s="4">
        <v>0</v>
      </c>
      <c r="X66" s="4">
        <v>0.69099867614049704</v>
      </c>
      <c r="Y66" s="4">
        <v>0</v>
      </c>
      <c r="Z66" s="5">
        <v>3.8698645243419202E-4</v>
      </c>
      <c r="AA66" s="5">
        <v>1.3357148903097999E-4</v>
      </c>
      <c r="AB66" s="10">
        <v>3.3189158032611902E-3</v>
      </c>
      <c r="AC66" s="10">
        <v>3.9252187784782198E-6</v>
      </c>
      <c r="AD66" s="10">
        <v>3.4076567780001302E-2</v>
      </c>
      <c r="AE66" s="4">
        <v>7.3625069888890102E-3</v>
      </c>
      <c r="AF66" s="4">
        <v>0.80371151762209503</v>
      </c>
      <c r="AG66" s="4">
        <v>0.98172643764080303</v>
      </c>
      <c r="AH66" s="4">
        <v>0.99727104386335996</v>
      </c>
      <c r="AI66" s="4">
        <v>0.99956676147008405</v>
      </c>
      <c r="AJ66" s="4">
        <v>1</v>
      </c>
      <c r="AK66" s="4">
        <v>1</v>
      </c>
      <c r="AL66" s="4">
        <v>1</v>
      </c>
      <c r="AM66" s="4">
        <v>0</v>
      </c>
      <c r="AN66" s="4">
        <v>0</v>
      </c>
      <c r="AO66" s="4" t="s">
        <v>152</v>
      </c>
      <c r="AP66" s="4" t="s">
        <v>136</v>
      </c>
      <c r="AQ66" s="6">
        <v>36614565521.389999</v>
      </c>
      <c r="AR66" s="4">
        <v>142427</v>
      </c>
      <c r="AS66" s="15">
        <v>0</v>
      </c>
      <c r="AT66" s="15">
        <v>76.402824831302198</v>
      </c>
      <c r="AU66" s="15">
        <v>76.402824831302198</v>
      </c>
      <c r="AV66" s="15">
        <v>23.597175168697699</v>
      </c>
      <c r="AW66" s="15">
        <v>23.597175168697699</v>
      </c>
      <c r="AX66" s="15">
        <v>0</v>
      </c>
      <c r="AY66" s="31">
        <v>353.87949161134401</v>
      </c>
    </row>
    <row r="67" spans="1:51" x14ac:dyDescent="0.25">
      <c r="A67">
        <v>96</v>
      </c>
      <c r="B67" s="4">
        <v>0.95981027637191596</v>
      </c>
      <c r="C67" s="4">
        <v>38.8004168964695</v>
      </c>
      <c r="D67" s="4">
        <v>38.8741733261405</v>
      </c>
      <c r="E67" s="4">
        <v>4.0093265411971897E-2</v>
      </c>
      <c r="F67" s="5">
        <v>4.0189723628083297E-2</v>
      </c>
      <c r="G67" s="5">
        <v>0</v>
      </c>
      <c r="H67" s="4">
        <v>4.5629607377015402</v>
      </c>
      <c r="I67" s="4">
        <v>3.8915187669964801</v>
      </c>
      <c r="J67" s="4">
        <v>-17.338161738532101</v>
      </c>
      <c r="K67" s="4">
        <v>72.521817416847398</v>
      </c>
      <c r="L67" s="4">
        <v>15.200947268613699</v>
      </c>
      <c r="M67" s="4">
        <v>21.458714849890299</v>
      </c>
      <c r="N67" s="4">
        <v>68.415454658357604</v>
      </c>
      <c r="O67" s="4">
        <v>65.449720028663606</v>
      </c>
      <c r="P67" s="4">
        <v>282548.22487825499</v>
      </c>
      <c r="Q67" s="4">
        <v>262505.16866920999</v>
      </c>
      <c r="R67" s="4">
        <v>781.02953026914997</v>
      </c>
      <c r="S67" s="4">
        <v>0</v>
      </c>
      <c r="T67" s="4">
        <v>0</v>
      </c>
      <c r="U67" s="4">
        <v>1.61883880081563E-2</v>
      </c>
      <c r="V67" s="4">
        <v>0.22642586422368699</v>
      </c>
      <c r="W67" s="4">
        <v>0</v>
      </c>
      <c r="X67" s="4">
        <v>0.69552406311452897</v>
      </c>
      <c r="Y67" s="4">
        <v>0</v>
      </c>
      <c r="Z67" s="5">
        <v>3.8991503405858197E-4</v>
      </c>
      <c r="AA67" s="5">
        <v>1.4459484311078399E-4</v>
      </c>
      <c r="AB67" s="10">
        <v>3.3562305536735701E-3</v>
      </c>
      <c r="AC67" s="10">
        <v>4.5622395077121298E-6</v>
      </c>
      <c r="AD67" s="10">
        <v>3.6294406599672903E-2</v>
      </c>
      <c r="AE67" s="4">
        <v>6.2719663140639202E-3</v>
      </c>
      <c r="AF67" s="4">
        <v>0.798839584931888</v>
      </c>
      <c r="AG67" s="4">
        <v>0.98129144415896796</v>
      </c>
      <c r="AH67" s="4">
        <v>0.996895621910728</v>
      </c>
      <c r="AI67" s="4">
        <v>0.99964418117056897</v>
      </c>
      <c r="AJ67" s="4">
        <v>1</v>
      </c>
      <c r="AK67" s="4">
        <v>1</v>
      </c>
      <c r="AL67" s="4">
        <v>1</v>
      </c>
      <c r="AM67" s="4">
        <v>0</v>
      </c>
      <c r="AN67" s="4">
        <v>0</v>
      </c>
      <c r="AO67" s="4" t="s">
        <v>72</v>
      </c>
      <c r="AP67" s="4" t="s">
        <v>73</v>
      </c>
      <c r="AQ67" s="6">
        <v>39348474762.839996</v>
      </c>
      <c r="AR67" s="4">
        <v>149896</v>
      </c>
      <c r="AS67" s="15">
        <v>0</v>
      </c>
      <c r="AT67" s="15">
        <v>77.357413577631206</v>
      </c>
      <c r="AU67" s="15">
        <v>77.357413577631206</v>
      </c>
      <c r="AV67" s="15">
        <v>22.642586422368701</v>
      </c>
      <c r="AW67" s="15">
        <v>22.642586422368701</v>
      </c>
      <c r="AX67" s="15">
        <v>0</v>
      </c>
      <c r="AY67" s="31">
        <v>414.10152981060901</v>
      </c>
    </row>
    <row r="68" spans="1:51" x14ac:dyDescent="0.25">
      <c r="A68">
        <v>96</v>
      </c>
      <c r="B68" s="4">
        <v>0.95589950409408198</v>
      </c>
      <c r="C68" s="4">
        <v>41.663526110259397</v>
      </c>
      <c r="D68" s="4">
        <v>41.796803632926803</v>
      </c>
      <c r="E68" s="4">
        <v>4.39182802487511E-2</v>
      </c>
      <c r="F68" s="5">
        <v>4.4100495905917803E-2</v>
      </c>
      <c r="G68" s="5">
        <v>0</v>
      </c>
      <c r="H68" s="4">
        <v>4.6771141035345503</v>
      </c>
      <c r="I68" s="4">
        <v>3.8682310350986699</v>
      </c>
      <c r="J68" s="4">
        <v>-14.4669137866847</v>
      </c>
      <c r="K68" s="4">
        <v>86.381652336578298</v>
      </c>
      <c r="L68" s="4">
        <v>15.167090269627501</v>
      </c>
      <c r="M68" s="4">
        <v>23.5896090832114</v>
      </c>
      <c r="N68" s="4">
        <v>68.121475831535406</v>
      </c>
      <c r="O68" s="4">
        <v>65.012332506715893</v>
      </c>
      <c r="P68" s="4">
        <v>283939.88182008499</v>
      </c>
      <c r="Q68" s="4">
        <v>263150.67138760298</v>
      </c>
      <c r="R68" s="4">
        <v>780.603645016418</v>
      </c>
      <c r="S68" s="4">
        <v>0</v>
      </c>
      <c r="T68" s="4">
        <v>0</v>
      </c>
      <c r="U68" s="4">
        <v>1.9316315518509E-2</v>
      </c>
      <c r="V68" s="4">
        <v>0.25174471670508403</v>
      </c>
      <c r="W68" s="4">
        <v>0</v>
      </c>
      <c r="X68" s="4">
        <v>0.68453667135252305</v>
      </c>
      <c r="Y68" s="4">
        <v>0</v>
      </c>
      <c r="Z68" s="5">
        <v>3.9604196745831699E-4</v>
      </c>
      <c r="AA68" s="5">
        <v>1.7805346180845E-4</v>
      </c>
      <c r="AB68" s="10">
        <v>3.5517711322343398E-3</v>
      </c>
      <c r="AC68" s="10">
        <v>5.4840644670977397E-6</v>
      </c>
      <c r="AD68" s="10">
        <v>3.9969130583966402E-2</v>
      </c>
      <c r="AE68" s="4">
        <v>5.01347028273425E-3</v>
      </c>
      <c r="AF68" s="4">
        <v>0.79337251812276099</v>
      </c>
      <c r="AG68" s="4">
        <v>0.98091124487753401</v>
      </c>
      <c r="AH68" s="4">
        <v>0.99680692375233304</v>
      </c>
      <c r="AI68" s="4">
        <v>0.999602985111404</v>
      </c>
      <c r="AJ68" s="4">
        <v>1</v>
      </c>
      <c r="AK68" s="4">
        <v>1</v>
      </c>
      <c r="AL68" s="4">
        <v>1</v>
      </c>
      <c r="AM68" s="4">
        <v>0</v>
      </c>
      <c r="AN68" s="4">
        <v>0</v>
      </c>
      <c r="AO68" s="4" t="s">
        <v>74</v>
      </c>
      <c r="AP68" s="4" t="s">
        <v>75</v>
      </c>
      <c r="AQ68" s="6">
        <v>155582045143.14999</v>
      </c>
      <c r="AR68" s="4">
        <v>591228</v>
      </c>
      <c r="AS68" s="15">
        <v>0</v>
      </c>
      <c r="AT68" s="15">
        <v>74.825528329491505</v>
      </c>
      <c r="AU68" s="15">
        <v>74.825528329491505</v>
      </c>
      <c r="AV68" s="15">
        <v>25.1744716705084</v>
      </c>
      <c r="AW68" s="15">
        <v>25.1744716705084</v>
      </c>
      <c r="AX68" s="15">
        <v>0</v>
      </c>
      <c r="AY68">
        <v>588.23321039767404</v>
      </c>
    </row>
    <row r="69" spans="1:51" x14ac:dyDescent="0.25">
      <c r="A69">
        <v>96</v>
      </c>
      <c r="B69" s="4">
        <v>0.95185156889923195</v>
      </c>
      <c r="C69" s="4">
        <v>43.582707923872803</v>
      </c>
      <c r="D69" s="4">
        <v>44.686548240865001</v>
      </c>
      <c r="E69" s="4">
        <v>4.6579791109775802E-2</v>
      </c>
      <c r="F69" s="5">
        <v>4.8148431100767899E-2</v>
      </c>
      <c r="G69" s="5">
        <v>0</v>
      </c>
      <c r="H69" s="4">
        <v>4.8588550359898797</v>
      </c>
      <c r="I69" s="4">
        <v>3.7910567111257301</v>
      </c>
      <c r="J69" s="4">
        <v>-9.8334540775723696</v>
      </c>
      <c r="K69" s="4">
        <v>112.46931674505301</v>
      </c>
      <c r="L69" s="4">
        <v>15.784600084364</v>
      </c>
      <c r="M69" s="4">
        <v>27.796089166858</v>
      </c>
      <c r="N69" s="4">
        <v>70.064948351466001</v>
      </c>
      <c r="O69" s="4">
        <v>66.347545098645099</v>
      </c>
      <c r="P69" s="4">
        <v>272726.80884855997</v>
      </c>
      <c r="Q69" s="4">
        <v>252914.40369771601</v>
      </c>
      <c r="R69" s="4">
        <v>779.73872806207703</v>
      </c>
      <c r="S69" s="4">
        <v>0</v>
      </c>
      <c r="T69" s="4">
        <v>0</v>
      </c>
      <c r="U69" s="4">
        <v>1.9795533222046201E-2</v>
      </c>
      <c r="V69" s="4">
        <v>0.241552262098745</v>
      </c>
      <c r="W69" s="4">
        <v>0</v>
      </c>
      <c r="X69" s="4">
        <v>0.63370660812620005</v>
      </c>
      <c r="Y69" s="4">
        <v>0</v>
      </c>
      <c r="Z69" s="5">
        <v>4.0992639221892299E-4</v>
      </c>
      <c r="AA69" s="5">
        <v>2.8019329161452298E-4</v>
      </c>
      <c r="AB69" s="10">
        <v>3.8676390292381401E-3</v>
      </c>
      <c r="AC69" s="10">
        <v>9.6043207129435594E-6</v>
      </c>
      <c r="AD69" s="10">
        <v>4.3581052986834498E-2</v>
      </c>
      <c r="AE69" s="4">
        <v>6.7794065656833101E-3</v>
      </c>
      <c r="AF69" s="4">
        <v>0.78561958601542703</v>
      </c>
      <c r="AG69" s="4">
        <v>0.97662377834661895</v>
      </c>
      <c r="AH69" s="4">
        <v>0.99583442015679202</v>
      </c>
      <c r="AI69" s="4">
        <v>0.99926415529675505</v>
      </c>
      <c r="AJ69" s="4">
        <v>1</v>
      </c>
      <c r="AK69" s="4">
        <v>1</v>
      </c>
      <c r="AL69" s="4">
        <v>1</v>
      </c>
      <c r="AM69" s="4">
        <v>0</v>
      </c>
      <c r="AN69" s="4">
        <v>0</v>
      </c>
      <c r="AO69" s="4" t="s">
        <v>76</v>
      </c>
      <c r="AP69" s="4" t="s">
        <v>77</v>
      </c>
      <c r="AQ69" s="6">
        <v>116810540663.02</v>
      </c>
      <c r="AR69" s="4">
        <v>461858</v>
      </c>
      <c r="AS69" s="15">
        <v>0</v>
      </c>
      <c r="AT69" s="15">
        <v>75.844773790125402</v>
      </c>
      <c r="AU69" s="15">
        <v>75.844773790125402</v>
      </c>
      <c r="AV69" s="15">
        <v>24.155226209874499</v>
      </c>
      <c r="AW69" s="15">
        <v>24.155226209874499</v>
      </c>
      <c r="AX69" s="15">
        <v>0</v>
      </c>
      <c r="AY69">
        <v>977.56747258243502</v>
      </c>
    </row>
    <row r="70" spans="1:51" x14ac:dyDescent="0.25">
      <c r="A70">
        <v>96</v>
      </c>
      <c r="B70" s="4">
        <v>0.94873978555595795</v>
      </c>
      <c r="C70" s="4">
        <v>44.4618263124664</v>
      </c>
      <c r="D70" s="4">
        <v>46.817915214802603</v>
      </c>
      <c r="E70" s="4">
        <v>4.7826772378772898E-2</v>
      </c>
      <c r="F70" s="5">
        <v>5.1260214444041198E-2</v>
      </c>
      <c r="G70" s="5">
        <v>0</v>
      </c>
      <c r="H70" s="4">
        <v>4.9650988652426502</v>
      </c>
      <c r="I70" s="4">
        <v>3.7053230630591898</v>
      </c>
      <c r="J70" s="4">
        <v>-5.71084192099931</v>
      </c>
      <c r="K70" s="4">
        <v>135.165840352559</v>
      </c>
      <c r="L70" s="4">
        <v>15.3990026365818</v>
      </c>
      <c r="M70" s="4">
        <v>30.780044104433401</v>
      </c>
      <c r="N70" s="4">
        <v>70.009327867641602</v>
      </c>
      <c r="O70" s="4">
        <v>65.626945783306795</v>
      </c>
      <c r="P70" s="4">
        <v>279102.02938675898</v>
      </c>
      <c r="Q70" s="4">
        <v>259272.478800974</v>
      </c>
      <c r="R70" s="4">
        <v>778.97012549147996</v>
      </c>
      <c r="S70" s="4">
        <v>0</v>
      </c>
      <c r="T70" s="4">
        <v>0</v>
      </c>
      <c r="U70" s="4">
        <v>2.3605842986567201E-2</v>
      </c>
      <c r="V70" s="4">
        <v>0.24620644548429399</v>
      </c>
      <c r="W70" s="4">
        <v>0</v>
      </c>
      <c r="X70" s="4">
        <v>0.63251039056129599</v>
      </c>
      <c r="Y70" s="4">
        <v>0</v>
      </c>
      <c r="Z70" s="5">
        <v>4.1634649105478901E-4</v>
      </c>
      <c r="AA70" s="5">
        <v>3.6385306669910899E-4</v>
      </c>
      <c r="AB70" s="10">
        <v>3.75486409491999E-3</v>
      </c>
      <c r="AC70" s="10">
        <v>1.7107634079925499E-5</v>
      </c>
      <c r="AD70" s="10">
        <v>4.6708027939964397E-2</v>
      </c>
      <c r="AE70" s="4">
        <v>1.4270988979493899E-2</v>
      </c>
      <c r="AF70" s="4">
        <v>0.75695044037027504</v>
      </c>
      <c r="AG70" s="4">
        <v>0.97052950497291102</v>
      </c>
      <c r="AH70" s="4">
        <v>0.99307919065607397</v>
      </c>
      <c r="AI70" s="4">
        <v>0.99906348889741903</v>
      </c>
      <c r="AJ70" s="4">
        <v>1</v>
      </c>
      <c r="AK70" s="4">
        <v>1</v>
      </c>
      <c r="AL70" s="4">
        <v>1</v>
      </c>
      <c r="AM70" s="4">
        <v>0</v>
      </c>
      <c r="AN70" s="4">
        <v>0</v>
      </c>
      <c r="AO70" s="4" t="s">
        <v>78</v>
      </c>
      <c r="AP70" s="4" t="s">
        <v>79</v>
      </c>
      <c r="AQ70" s="6">
        <v>70585895263.649994</v>
      </c>
      <c r="AR70" s="4">
        <v>272246</v>
      </c>
      <c r="AS70" s="15">
        <v>0</v>
      </c>
      <c r="AT70" s="15">
        <v>75.379355451570504</v>
      </c>
      <c r="AU70" s="15">
        <v>75.379355451570504</v>
      </c>
      <c r="AV70" s="15">
        <v>24.6206445484294</v>
      </c>
      <c r="AW70" s="15">
        <v>24.6206445484294</v>
      </c>
      <c r="AX70" s="15">
        <v>0</v>
      </c>
      <c r="AY70">
        <v>1365.4347231936499</v>
      </c>
    </row>
    <row r="71" spans="1:51" x14ac:dyDescent="0.25">
      <c r="A71">
        <v>96</v>
      </c>
      <c r="B71" s="4">
        <v>0.94703013967003202</v>
      </c>
      <c r="C71" s="4">
        <v>43.870278179376598</v>
      </c>
      <c r="D71" s="4">
        <v>47.956606132431297</v>
      </c>
      <c r="E71" s="4">
        <v>4.6985721498659802E-2</v>
      </c>
      <c r="F71" s="5">
        <v>5.2969860329967103E-2</v>
      </c>
      <c r="G71" s="5">
        <v>0</v>
      </c>
      <c r="H71" s="4">
        <v>5.1495191242474396</v>
      </c>
      <c r="I71" s="4">
        <v>3.6724582729182602</v>
      </c>
      <c r="J71" s="4">
        <v>9.0439878032700101</v>
      </c>
      <c r="K71" s="4">
        <v>158.98119960203701</v>
      </c>
      <c r="L71" s="4">
        <v>15.7028499792658</v>
      </c>
      <c r="M71" s="4">
        <v>31.901674213905402</v>
      </c>
      <c r="N71" s="4">
        <v>78.106977687962697</v>
      </c>
      <c r="O71" s="4">
        <v>72.334267469903907</v>
      </c>
      <c r="P71" s="4">
        <v>272437.98441143101</v>
      </c>
      <c r="Q71" s="4">
        <v>254274.435876498</v>
      </c>
      <c r="R71" s="4">
        <v>777.34604176367395</v>
      </c>
      <c r="S71" s="4">
        <v>0</v>
      </c>
      <c r="T71" s="4">
        <v>0</v>
      </c>
      <c r="U71" s="4">
        <v>2.2135080233386301E-2</v>
      </c>
      <c r="V71" s="4">
        <v>0.25274713775505497</v>
      </c>
      <c r="W71" s="4">
        <v>0</v>
      </c>
      <c r="X71" s="4">
        <v>0.50714580228238104</v>
      </c>
      <c r="Y71" s="4">
        <v>0</v>
      </c>
      <c r="Z71" s="5">
        <v>4.1701641219695E-4</v>
      </c>
      <c r="AA71" s="5">
        <v>5.6926402839083405E-4</v>
      </c>
      <c r="AB71" s="10">
        <v>3.8080693494977102E-3</v>
      </c>
      <c r="AC71" s="10">
        <v>3.1916876174713902E-5</v>
      </c>
      <c r="AD71" s="10">
        <v>4.81435783836478E-2</v>
      </c>
      <c r="AE71" s="4">
        <v>2.73667699106474E-2</v>
      </c>
      <c r="AF71" s="4">
        <v>0.71944939047686196</v>
      </c>
      <c r="AG71" s="4">
        <v>0.95228104847505801</v>
      </c>
      <c r="AH71" s="4">
        <v>0.98659828230818902</v>
      </c>
      <c r="AI71" s="4">
        <v>0.99824971911277205</v>
      </c>
      <c r="AJ71" s="4">
        <v>1</v>
      </c>
      <c r="AK71" s="4">
        <v>1</v>
      </c>
      <c r="AL71" s="4">
        <v>1</v>
      </c>
      <c r="AM71" s="4">
        <v>0</v>
      </c>
      <c r="AN71" s="4">
        <v>0</v>
      </c>
      <c r="AO71" s="4" t="s">
        <v>80</v>
      </c>
      <c r="AP71" s="4" t="s">
        <v>81</v>
      </c>
      <c r="AQ71" s="6">
        <v>13769723526.02</v>
      </c>
      <c r="AR71" s="4">
        <v>54153</v>
      </c>
      <c r="AS71" s="15">
        <v>0</v>
      </c>
      <c r="AT71" s="15">
        <v>74.725286224494397</v>
      </c>
      <c r="AU71" s="15">
        <v>74.725286224494397</v>
      </c>
      <c r="AV71" s="15">
        <v>25.2747137755055</v>
      </c>
      <c r="AW71" s="15">
        <v>25.2747137755055</v>
      </c>
      <c r="AX71" s="15">
        <v>0</v>
      </c>
      <c r="AY71">
        <v>1575.2685334069799</v>
      </c>
    </row>
    <row r="72" spans="1:51" x14ac:dyDescent="0.25">
      <c r="A72">
        <v>96</v>
      </c>
      <c r="B72" s="4">
        <v>0.941847404364754</v>
      </c>
      <c r="C72" s="4">
        <v>41.1168166302716</v>
      </c>
      <c r="D72" s="4">
        <v>51.2733512731091</v>
      </c>
      <c r="E72" s="4">
        <v>4.31747958192161E-2</v>
      </c>
      <c r="F72" s="5">
        <v>5.8152595635245101E-2</v>
      </c>
      <c r="G72" s="5">
        <v>0</v>
      </c>
      <c r="H72" s="4">
        <v>5.1775184943984396</v>
      </c>
      <c r="I72" s="4">
        <v>3.6515248507794902</v>
      </c>
      <c r="J72" s="4">
        <v>15.3606958025239</v>
      </c>
      <c r="K72" s="4">
        <v>182.017792973924</v>
      </c>
      <c r="L72" s="4">
        <v>14.8236867080627</v>
      </c>
      <c r="M72" s="4">
        <v>30.663892785691001</v>
      </c>
      <c r="N72" s="4">
        <v>84.173344763094804</v>
      </c>
      <c r="O72" s="4">
        <v>74.786262381075503</v>
      </c>
      <c r="P72" s="4">
        <v>288515.57279539702</v>
      </c>
      <c r="Q72" s="4">
        <v>269351.56885317899</v>
      </c>
      <c r="R72" s="4">
        <v>776.81334571857406</v>
      </c>
      <c r="S72" s="4">
        <v>0</v>
      </c>
      <c r="T72" s="4">
        <v>0</v>
      </c>
      <c r="U72" s="4">
        <v>2.5008630198203301E-2</v>
      </c>
      <c r="V72" s="4">
        <v>0.198616339768452</v>
      </c>
      <c r="W72" s="4">
        <v>0</v>
      </c>
      <c r="X72" s="4">
        <v>0.378677299103094</v>
      </c>
      <c r="Y72" s="4">
        <v>0</v>
      </c>
      <c r="Z72" s="5">
        <v>4.1909393731743698E-4</v>
      </c>
      <c r="AA72" s="5">
        <v>6.3439902544160098E-4</v>
      </c>
      <c r="AB72" s="10">
        <v>3.7931913681912999E-3</v>
      </c>
      <c r="AC72" s="10">
        <v>1.7487747776555101E-4</v>
      </c>
      <c r="AD72" s="10">
        <v>5.3131018238934499E-2</v>
      </c>
      <c r="AE72" s="4">
        <v>7.0485656530407101E-2</v>
      </c>
      <c r="AF72" s="4">
        <v>0.50677035714740704</v>
      </c>
      <c r="AG72" s="4">
        <v>0.82343799845488097</v>
      </c>
      <c r="AH72" s="4">
        <v>0.91611242039507101</v>
      </c>
      <c r="AI72" s="4">
        <v>0.98902791948937396</v>
      </c>
      <c r="AJ72" s="4">
        <v>1</v>
      </c>
      <c r="AK72" s="4">
        <v>1</v>
      </c>
      <c r="AL72" s="4">
        <v>1</v>
      </c>
      <c r="AM72" s="4">
        <v>0</v>
      </c>
      <c r="AN72" s="4">
        <v>0</v>
      </c>
      <c r="AO72" s="4" t="s">
        <v>82</v>
      </c>
      <c r="AP72" s="4" t="s">
        <v>83</v>
      </c>
      <c r="AQ72" s="6">
        <v>1592406475.0599999</v>
      </c>
      <c r="AR72" s="4">
        <v>5912</v>
      </c>
      <c r="AS72" s="15">
        <v>0</v>
      </c>
      <c r="AT72" s="15">
        <v>80.138366023154703</v>
      </c>
      <c r="AU72" s="15">
        <v>80.138366023154703</v>
      </c>
      <c r="AV72" s="15">
        <v>19.861633976845201</v>
      </c>
      <c r="AW72" s="15">
        <v>19.861633976845201</v>
      </c>
      <c r="AX72" s="15">
        <v>0</v>
      </c>
      <c r="AY72">
        <v>1679.0173155925099</v>
      </c>
    </row>
    <row r="73" spans="1:51" x14ac:dyDescent="0.25">
      <c r="A73">
        <v>96</v>
      </c>
      <c r="B73" s="4">
        <v>0.93677063155269102</v>
      </c>
      <c r="C73" s="4">
        <v>34.072523116587803</v>
      </c>
      <c r="D73" s="4">
        <v>54.333344954209103</v>
      </c>
      <c r="E73" s="4">
        <v>3.4122154727892602E-2</v>
      </c>
      <c r="F73" s="5">
        <v>6.3229368447308601E-2</v>
      </c>
      <c r="G73" s="5">
        <v>0</v>
      </c>
      <c r="H73" s="4">
        <v>5.1740589737787301</v>
      </c>
      <c r="I73" s="4">
        <v>3.6512492009647399</v>
      </c>
      <c r="J73" s="4">
        <v>20.453819121287601</v>
      </c>
      <c r="K73" s="4">
        <v>206.71666891893599</v>
      </c>
      <c r="L73" s="4">
        <v>14.916423882238499</v>
      </c>
      <c r="M73" s="4">
        <v>23.230695855899899</v>
      </c>
      <c r="N73" s="4">
        <v>90.096268408788703</v>
      </c>
      <c r="O73" s="4">
        <v>75.435918395971498</v>
      </c>
      <c r="P73" s="4">
        <v>291708.00487655698</v>
      </c>
      <c r="Q73" s="4">
        <v>267667.27677325503</v>
      </c>
      <c r="R73" s="4">
        <v>775.521621023276</v>
      </c>
      <c r="S73" s="4">
        <v>0</v>
      </c>
      <c r="T73" s="4">
        <v>0</v>
      </c>
      <c r="U73" s="4">
        <v>1.11659007631769E-2</v>
      </c>
      <c r="V73" s="4">
        <v>0.112179616982636</v>
      </c>
      <c r="W73" s="4">
        <v>0</v>
      </c>
      <c r="X73" s="4">
        <v>0.21946863030339001</v>
      </c>
      <c r="Y73" s="4">
        <v>0</v>
      </c>
      <c r="Z73" s="5">
        <v>4.1803610075456999E-4</v>
      </c>
      <c r="AA73" s="5">
        <v>4.6855603675812602E-4</v>
      </c>
      <c r="AB73" s="10">
        <v>4.2838218232518401E-3</v>
      </c>
      <c r="AC73" s="10">
        <v>6.0040626823104799E-4</v>
      </c>
      <c r="AD73" s="10">
        <v>5.7458531122980702E-2</v>
      </c>
      <c r="AE73" s="4">
        <v>0.13760138765242999</v>
      </c>
      <c r="AF73" s="4">
        <v>0.17103195720680001</v>
      </c>
      <c r="AG73" s="4">
        <v>0.50885044351304398</v>
      </c>
      <c r="AH73" s="4">
        <v>0.70452372151209497</v>
      </c>
      <c r="AI73" s="4">
        <v>0.97320598830082505</v>
      </c>
      <c r="AJ73" s="4">
        <v>1</v>
      </c>
      <c r="AK73" s="4">
        <v>1</v>
      </c>
      <c r="AL73" s="4">
        <v>1</v>
      </c>
      <c r="AM73" s="4">
        <v>0</v>
      </c>
      <c r="AN73" s="4">
        <v>0</v>
      </c>
      <c r="AO73" s="4" t="s">
        <v>84</v>
      </c>
      <c r="AP73" s="4" t="s">
        <v>85</v>
      </c>
      <c r="AQ73" s="6">
        <v>92077543.209999993</v>
      </c>
      <c r="AR73" s="4">
        <v>344</v>
      </c>
      <c r="AS73" s="15">
        <v>0</v>
      </c>
      <c r="AT73" s="15">
        <v>88.782038301736307</v>
      </c>
      <c r="AU73" s="15">
        <v>88.782038301736307</v>
      </c>
      <c r="AV73" s="15">
        <v>11.217961698263601</v>
      </c>
      <c r="AW73" s="15">
        <v>11.217961698263601</v>
      </c>
      <c r="AX73" s="15">
        <v>0</v>
      </c>
      <c r="AY73">
        <v>1761.8721425122301</v>
      </c>
    </row>
    <row r="74" spans="1:51" x14ac:dyDescent="0.25">
      <c r="A74">
        <v>96</v>
      </c>
      <c r="B74" s="4">
        <v>0.935268264850453</v>
      </c>
      <c r="C74" s="4">
        <v>65.249593616461695</v>
      </c>
      <c r="D74" s="4">
        <v>55.204500930054998</v>
      </c>
      <c r="E74" s="4">
        <v>8.4313824915533797E-2</v>
      </c>
      <c r="F74" s="5">
        <v>6.4731735149546596E-2</v>
      </c>
      <c r="G74" s="5">
        <v>0</v>
      </c>
      <c r="H74" s="4">
        <v>5.2469082307376702</v>
      </c>
      <c r="I74" s="4">
        <v>3.6389450344276102</v>
      </c>
      <c r="J74" s="4">
        <v>35.904757076947099</v>
      </c>
      <c r="K74" s="4">
        <v>229.42153851349801</v>
      </c>
      <c r="L74" s="4">
        <v>15.6719685325213</v>
      </c>
      <c r="M74" s="4">
        <v>20.451703630200601</v>
      </c>
      <c r="N74" s="4">
        <v>94.672984605974406</v>
      </c>
      <c r="O74" s="4">
        <v>76.771882523547902</v>
      </c>
      <c r="P74" s="4">
        <v>271458.40466198901</v>
      </c>
      <c r="Q74" s="4">
        <v>254782.36</v>
      </c>
      <c r="R74" s="4">
        <v>779.03701685445697</v>
      </c>
      <c r="S74" s="4">
        <v>0</v>
      </c>
      <c r="T74" s="4">
        <v>0</v>
      </c>
      <c r="U74" s="4">
        <v>0</v>
      </c>
      <c r="V74" s="4">
        <v>0</v>
      </c>
      <c r="W74" s="4">
        <v>0</v>
      </c>
      <c r="X74" s="4">
        <v>0.16371312724741499</v>
      </c>
      <c r="Y74" s="4">
        <v>0</v>
      </c>
      <c r="Z74" s="5">
        <v>4.3284022710085698E-4</v>
      </c>
      <c r="AA74" s="5">
        <v>6.7208726957244198E-4</v>
      </c>
      <c r="AB74" s="10">
        <v>4.8549645787686196E-3</v>
      </c>
      <c r="AC74" s="10">
        <v>9.35619192423954E-4</v>
      </c>
      <c r="AD74" s="10">
        <v>5.7836208506031897E-2</v>
      </c>
      <c r="AE74" s="4">
        <v>0.17091477419512</v>
      </c>
      <c r="AF74" s="4">
        <v>0.16371312724741499</v>
      </c>
      <c r="AG74" s="4">
        <v>0.16371312724741499</v>
      </c>
      <c r="AH74" s="4">
        <v>0.35963028632328797</v>
      </c>
      <c r="AI74" s="4">
        <v>1</v>
      </c>
      <c r="AJ74" s="4">
        <v>1</v>
      </c>
      <c r="AK74" s="4">
        <v>1</v>
      </c>
      <c r="AL74" s="4">
        <v>1</v>
      </c>
      <c r="AM74" s="4">
        <v>0</v>
      </c>
      <c r="AN74" s="4">
        <v>0</v>
      </c>
      <c r="AO74" s="4" t="s">
        <v>86</v>
      </c>
      <c r="AP74" s="4" t="s">
        <v>87</v>
      </c>
      <c r="AQ74" s="6">
        <v>3312170.68</v>
      </c>
      <c r="AR74" s="4">
        <v>13</v>
      </c>
      <c r="AS74" s="15">
        <v>0</v>
      </c>
      <c r="AT74" s="15">
        <v>100</v>
      </c>
      <c r="AU74" s="15">
        <v>100</v>
      </c>
      <c r="AV74" s="15">
        <v>0</v>
      </c>
      <c r="AW74" s="15">
        <v>0</v>
      </c>
      <c r="AX74" s="15">
        <v>0</v>
      </c>
      <c r="AY74">
        <v>1812.56511987163</v>
      </c>
    </row>
    <row r="75" spans="1:51" x14ac:dyDescent="0.25">
      <c r="A75">
        <v>96</v>
      </c>
      <c r="B75" s="4">
        <v>0.94271986061480195</v>
      </c>
      <c r="C75" s="4">
        <v>84.603245466759205</v>
      </c>
      <c r="D75" s="4">
        <v>50.728942979373599</v>
      </c>
      <c r="E75" s="4">
        <v>0.14437046860512701</v>
      </c>
      <c r="F75" s="5">
        <v>5.7280139385197097E-2</v>
      </c>
      <c r="G75" s="5">
        <v>0</v>
      </c>
      <c r="H75" s="4">
        <v>5.75</v>
      </c>
      <c r="I75" s="4">
        <v>4.1387573853749302</v>
      </c>
      <c r="J75" s="4">
        <v>54.455300000000001</v>
      </c>
      <c r="K75" s="4">
        <v>254.14737832477601</v>
      </c>
      <c r="L75" s="4">
        <v>23.8889254434457</v>
      </c>
      <c r="M75" s="4">
        <v>31.4262167522364</v>
      </c>
      <c r="N75" s="4">
        <v>95</v>
      </c>
      <c r="O75" s="4">
        <v>57.497761023921598</v>
      </c>
      <c r="P75" s="4">
        <v>170045.697840109</v>
      </c>
      <c r="Q75" s="4">
        <v>166421.72</v>
      </c>
      <c r="R75" s="4">
        <v>782</v>
      </c>
      <c r="S75" s="4">
        <v>0</v>
      </c>
      <c r="T75" s="4">
        <v>0</v>
      </c>
      <c r="U75" s="4">
        <v>0</v>
      </c>
      <c r="V75" s="4">
        <v>0</v>
      </c>
      <c r="W75" s="4">
        <v>0</v>
      </c>
      <c r="X75" s="4">
        <v>0</v>
      </c>
      <c r="Y75" s="4">
        <v>0</v>
      </c>
      <c r="Z75" s="5">
        <v>1.6004216761757401E-3</v>
      </c>
      <c r="AA75" s="5">
        <v>1.6422780827145E-3</v>
      </c>
      <c r="AB75" s="10">
        <v>6.1079827189533904E-3</v>
      </c>
      <c r="AC75" s="10">
        <v>0</v>
      </c>
      <c r="AD75" s="10">
        <v>4.7929432645185899E-2</v>
      </c>
      <c r="AE75" s="4">
        <v>-6.0003429533219597E-2</v>
      </c>
      <c r="AF75" s="4">
        <v>1</v>
      </c>
      <c r="AG75" s="4">
        <v>1</v>
      </c>
      <c r="AH75" s="4">
        <v>1</v>
      </c>
      <c r="AI75" s="4">
        <v>1</v>
      </c>
      <c r="AJ75" s="4">
        <v>1</v>
      </c>
      <c r="AK75" s="4">
        <v>1</v>
      </c>
      <c r="AL75" s="4">
        <v>1</v>
      </c>
      <c r="AM75" s="4">
        <v>0</v>
      </c>
      <c r="AN75" s="4">
        <v>0</v>
      </c>
      <c r="AO75" s="4" t="s">
        <v>154</v>
      </c>
      <c r="AP75" s="4" t="s">
        <v>155</v>
      </c>
      <c r="AQ75" s="6">
        <v>332843.44</v>
      </c>
      <c r="AR75" s="4">
        <v>2</v>
      </c>
      <c r="AS75" s="15">
        <v>0</v>
      </c>
      <c r="AT75" s="15">
        <v>100</v>
      </c>
      <c r="AU75" s="15">
        <v>100</v>
      </c>
      <c r="AV75" s="15">
        <v>0</v>
      </c>
      <c r="AW75" s="15">
        <v>0</v>
      </c>
      <c r="AX75" s="15">
        <v>0</v>
      </c>
      <c r="AY75">
        <v>1089.0233504472801</v>
      </c>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8" spans="1:51" s="35" customFormat="1" x14ac:dyDescent="0.25"/>
    <row r="79" spans="1:51" s="35" customFormat="1" x14ac:dyDescent="0.25">
      <c r="O79" s="35" t="s">
        <v>169</v>
      </c>
      <c r="P79" s="35" t="s">
        <v>170</v>
      </c>
    </row>
    <row r="80" spans="1:51" x14ac:dyDescent="0.25">
      <c r="K80" t="s">
        <v>98</v>
      </c>
      <c r="L80" t="s">
        <v>89</v>
      </c>
      <c r="M80" t="s">
        <v>90</v>
      </c>
      <c r="O80" s="39">
        <v>1</v>
      </c>
      <c r="P80" s="39">
        <f>1-O80</f>
        <v>0</v>
      </c>
    </row>
    <row r="81" spans="1:36" x14ac:dyDescent="0.25">
      <c r="A81" s="4" t="s">
        <v>93</v>
      </c>
      <c r="B81" t="str">
        <f>AQ2</f>
        <v>Balance</v>
      </c>
      <c r="C81" s="2" t="str">
        <f t="shared" ref="C81:C109" si="0">AO2</f>
        <v>groupByColumn</v>
      </c>
      <c r="D81" t="str">
        <f>E2</f>
        <v>PREPAY_SMM1</v>
      </c>
      <c r="E81" t="str">
        <f>F2</f>
        <v>PREPAY_TRACKING_SMM1</v>
      </c>
      <c r="F81" t="s">
        <v>91</v>
      </c>
      <c r="G81" t="str">
        <f>C2</f>
        <v>PREPAY_CPR1</v>
      </c>
      <c r="H81" t="str">
        <f>D2</f>
        <v>PREPAY_TRACKING_CPR1</v>
      </c>
      <c r="I81" t="s">
        <v>168</v>
      </c>
      <c r="K81" t="s">
        <v>92</v>
      </c>
      <c r="L81" t="s">
        <v>92</v>
      </c>
      <c r="M81" t="s">
        <v>92</v>
      </c>
      <c r="O81" t="s">
        <v>163</v>
      </c>
      <c r="P81" t="s">
        <v>164</v>
      </c>
      <c r="Q81" t="s">
        <v>165</v>
      </c>
      <c r="S81" t="s">
        <v>96</v>
      </c>
      <c r="T81" t="s">
        <v>97</v>
      </c>
      <c r="U81" t="s">
        <v>91</v>
      </c>
    </row>
    <row r="82" spans="1:36" s="35" customFormat="1" x14ac:dyDescent="0.25">
      <c r="A82" s="14">
        <f t="shared" ref="A82:A109" si="1">K3</f>
        <v>-155.500954051935</v>
      </c>
      <c r="B82" s="32">
        <f t="shared" ref="B82:B109" si="2">AQ3/1000000000</f>
        <v>8.2237608999999995E-4</v>
      </c>
      <c r="C82" s="33" t="str">
        <f t="shared" si="0"/>
        <v>02:-175--150</v>
      </c>
      <c r="D82" s="34">
        <f t="shared" ref="D82:D109" si="3">E3</f>
        <v>2.1801460161579799E-4</v>
      </c>
      <c r="E82" s="34">
        <f t="shared" ref="E82:E109" si="4">Z3+AA3+AB3+AC3+AD3</f>
        <v>1.6670152339047137E-3</v>
      </c>
      <c r="F82" s="32">
        <f t="shared" ref="F82:F109" si="5">D82/E82</f>
        <v>0.13078140930070209</v>
      </c>
      <c r="G82" s="33">
        <f t="shared" ref="G82:H97" si="6">(1-(1-D82)^12)*100</f>
        <v>0.26130404937899643</v>
      </c>
      <c r="H82" s="33">
        <f t="shared" si="6"/>
        <v>1.9821788125938822</v>
      </c>
      <c r="I82" s="33">
        <f t="shared" ref="I82:I109" si="7">(1-(1-SUM(Z42,AA42,AB42,AC42,AD42*M82))^12)*100</f>
        <v>1.9821788125938822</v>
      </c>
      <c r="K82" s="14">
        <f>VLOOKUP($C82,'Refi Adj'!$B$2:$E$32,2,0)</f>
        <v>1</v>
      </c>
      <c r="L82" s="14">
        <f>VLOOKUP($C82,'Refi Adj'!$B$2:$E$32,3,0)</f>
        <v>1</v>
      </c>
      <c r="M82" s="14">
        <f>VLOOKUP($C82,'Refi Adj'!$B$2:$E$32,4,0)</f>
        <v>1</v>
      </c>
      <c r="O82" s="40">
        <f t="shared" ref="O82:O109" si="8">AD42*M82</f>
        <v>0</v>
      </c>
      <c r="P82" s="40">
        <f t="shared" ref="P82:P109" si="9">AD3</f>
        <v>0</v>
      </c>
      <c r="Q82" s="40">
        <f>(O82*$O$80+P82*$P$80)</f>
        <v>0</v>
      </c>
      <c r="R82" s="14"/>
      <c r="S82" s="34">
        <f t="shared" ref="S82:S109" si="10">Z3+AA3+AB3*K82+AC3*L82+Q82</f>
        <v>1.6670152339047137E-3</v>
      </c>
      <c r="T82" s="33">
        <f t="shared" ref="T82:T109" si="11">100*(1-(1-S82)^12)</f>
        <v>1.9821788125938822</v>
      </c>
      <c r="U82" s="36">
        <f t="shared" ref="U82:U109" si="12">D82/S82</f>
        <v>0.13078140930070209</v>
      </c>
      <c r="X82" s="37"/>
      <c r="Y82" s="34"/>
      <c r="Z82" s="34"/>
      <c r="AD82" s="34"/>
      <c r="AE82" s="34"/>
      <c r="AJ82" s="34"/>
    </row>
    <row r="83" spans="1:36" s="35" customFormat="1" x14ac:dyDescent="0.25">
      <c r="A83" s="14">
        <f t="shared" si="1"/>
        <v>-133.73727504956</v>
      </c>
      <c r="B83" s="32">
        <f t="shared" si="2"/>
        <v>5.9944804000000001E-3</v>
      </c>
      <c r="C83" s="33" t="str">
        <f t="shared" si="0"/>
        <v>03:-150--125</v>
      </c>
      <c r="D83" s="34">
        <f t="shared" si="3"/>
        <v>1.3535375036780899E-4</v>
      </c>
      <c r="E83" s="34">
        <f t="shared" si="4"/>
        <v>1.5763680370835937E-3</v>
      </c>
      <c r="F83" s="32">
        <f t="shared" si="5"/>
        <v>8.5864307816228114E-2</v>
      </c>
      <c r="G83" s="33">
        <f t="shared" si="6"/>
        <v>0.16230363877050014</v>
      </c>
      <c r="H83" s="33">
        <f t="shared" si="6"/>
        <v>1.8753269385964444</v>
      </c>
      <c r="I83" s="33">
        <f t="shared" si="7"/>
        <v>1.8948240933110427</v>
      </c>
      <c r="K83" s="14">
        <f>VLOOKUP($C83,'Refi Adj'!$B$2:$E$32,2,0)</f>
        <v>1</v>
      </c>
      <c r="L83" s="14">
        <f>VLOOKUP($C83,'Refi Adj'!$B$2:$E$32,3,0)</f>
        <v>1</v>
      </c>
      <c r="M83" s="14">
        <f>VLOOKUP($C83,'Refi Adj'!$B$2:$E$32,4,0)</f>
        <v>1</v>
      </c>
      <c r="O83" s="40">
        <f t="shared" si="8"/>
        <v>1.8054136609037799E-5</v>
      </c>
      <c r="P83" s="40">
        <f t="shared" si="9"/>
        <v>1.52058423794329E-6</v>
      </c>
      <c r="Q83" s="40">
        <f>(O83*$O$80+P83*$P$80)</f>
        <v>1.8054136609037799E-5</v>
      </c>
      <c r="R83" s="14"/>
      <c r="S83" s="34">
        <f t="shared" si="10"/>
        <v>1.5929015894546883E-3</v>
      </c>
      <c r="T83" s="33">
        <f t="shared" si="11"/>
        <v>1.8948240933110427</v>
      </c>
      <c r="U83" s="36">
        <f t="shared" si="12"/>
        <v>8.4973077598689453E-2</v>
      </c>
      <c r="X83" s="37"/>
      <c r="Y83" s="34"/>
      <c r="Z83" s="34"/>
      <c r="AC83" s="37"/>
      <c r="AD83" s="34"/>
      <c r="AE83" s="34"/>
      <c r="AJ83" s="34"/>
    </row>
    <row r="84" spans="1:36" s="35" customFormat="1" x14ac:dyDescent="0.25">
      <c r="A84" s="14">
        <f t="shared" si="1"/>
        <v>-109.755207631009</v>
      </c>
      <c r="B84" s="32">
        <f t="shared" si="2"/>
        <v>2.4342576859999999E-2</v>
      </c>
      <c r="C84" s="33" t="str">
        <f t="shared" si="0"/>
        <v>04:-125--100</v>
      </c>
      <c r="D84" s="34">
        <f t="shared" si="3"/>
        <v>1.5113537366504001E-4</v>
      </c>
      <c r="E84" s="34">
        <f t="shared" si="4"/>
        <v>1.919384840550467E-3</v>
      </c>
      <c r="F84" s="32">
        <f t="shared" si="5"/>
        <v>7.8741568898551564E-2</v>
      </c>
      <c r="G84" s="33">
        <f t="shared" si="6"/>
        <v>0.18121176777337045</v>
      </c>
      <c r="H84" s="33">
        <f t="shared" si="6"/>
        <v>2.2791020509160043</v>
      </c>
      <c r="I84" s="33">
        <f t="shared" si="7"/>
        <v>3.8629609768216944</v>
      </c>
      <c r="K84" s="14">
        <f>VLOOKUP($C84,'Refi Adj'!$B$2:$E$32,2,0)</f>
        <v>1</v>
      </c>
      <c r="L84" s="14">
        <f>VLOOKUP($C84,'Refi Adj'!$B$2:$E$32,3,0)</f>
        <v>1</v>
      </c>
      <c r="M84" s="14">
        <f>VLOOKUP($C84,'Refi Adj'!$B$2:$E$32,4,0)</f>
        <v>1</v>
      </c>
      <c r="O84" s="40">
        <f t="shared" si="8"/>
        <v>1.5371608779945101E-3</v>
      </c>
      <c r="P84" s="40">
        <f t="shared" si="9"/>
        <v>1.7896852419920799E-4</v>
      </c>
      <c r="Q84" s="40">
        <f t="shared" ref="Q84:Q109" si="13">(O84*$O$80+P84*$P$80)</f>
        <v>1.5371608779945101E-3</v>
      </c>
      <c r="R84" s="14"/>
      <c r="S84" s="34">
        <f t="shared" si="10"/>
        <v>3.2775771943457689E-3</v>
      </c>
      <c r="T84" s="33">
        <f t="shared" si="11"/>
        <v>3.8629609768216944</v>
      </c>
      <c r="U84" s="36">
        <f t="shared" si="12"/>
        <v>4.6111918866706618E-2</v>
      </c>
      <c r="X84" s="37"/>
      <c r="Y84" s="34"/>
      <c r="Z84" s="34"/>
      <c r="AC84" s="37"/>
      <c r="AD84" s="34"/>
      <c r="AE84" s="34"/>
      <c r="AJ84" s="34"/>
    </row>
    <row r="85" spans="1:36" s="35" customFormat="1" x14ac:dyDescent="0.25">
      <c r="A85" s="14">
        <f t="shared" si="1"/>
        <v>-82.887943991012307</v>
      </c>
      <c r="B85" s="32">
        <f t="shared" si="2"/>
        <v>0.19147107962999999</v>
      </c>
      <c r="C85" s="33" t="str">
        <f t="shared" si="0"/>
        <v>05:-100--75</v>
      </c>
      <c r="D85" s="34">
        <f t="shared" si="3"/>
        <v>3.0574376362177999E-3</v>
      </c>
      <c r="E85" s="34">
        <f t="shared" si="4"/>
        <v>1.9771478797503939E-3</v>
      </c>
      <c r="F85" s="32">
        <f t="shared" si="5"/>
        <v>1.5463879396839997</v>
      </c>
      <c r="G85" s="33">
        <f t="shared" si="6"/>
        <v>3.6078533300600069</v>
      </c>
      <c r="H85" s="33">
        <f t="shared" si="6"/>
        <v>2.3469465867071104</v>
      </c>
      <c r="I85" s="33">
        <f t="shared" si="7"/>
        <v>4.3304578598042482</v>
      </c>
      <c r="K85" s="14">
        <f>VLOOKUP($C85,'Refi Adj'!$B$2:$E$32,2,0)</f>
        <v>1</v>
      </c>
      <c r="L85" s="14">
        <f>VLOOKUP($C85,'Refi Adj'!$B$2:$E$32,3,0)</f>
        <v>1</v>
      </c>
      <c r="M85" s="14">
        <f>VLOOKUP($C85,'Refi Adj'!$B$2:$E$32,4,0)</f>
        <v>1</v>
      </c>
      <c r="O85" s="40">
        <f t="shared" si="8"/>
        <v>1.9832061493228899E-3</v>
      </c>
      <c r="P85" s="40">
        <f t="shared" si="9"/>
        <v>2.77967194789438E-4</v>
      </c>
      <c r="Q85" s="40">
        <f t="shared" si="13"/>
        <v>1.9832061493228899E-3</v>
      </c>
      <c r="R85" s="14"/>
      <c r="S85" s="34">
        <f t="shared" si="10"/>
        <v>3.6823868342838457E-3</v>
      </c>
      <c r="T85" s="33">
        <f t="shared" si="11"/>
        <v>4.3304578598042482</v>
      </c>
      <c r="U85" s="36">
        <f t="shared" si="12"/>
        <v>0.83028692362040057</v>
      </c>
      <c r="X85" s="37"/>
      <c r="Y85" s="34"/>
      <c r="Z85" s="34"/>
      <c r="AC85" s="37"/>
      <c r="AD85" s="34"/>
      <c r="AE85" s="34"/>
      <c r="AH85" s="37"/>
      <c r="AI85" s="34"/>
      <c r="AJ85" s="34"/>
    </row>
    <row r="86" spans="1:36" x14ac:dyDescent="0.25">
      <c r="A86" s="4">
        <f t="shared" si="1"/>
        <v>-57.590533903140503</v>
      </c>
      <c r="B86" s="3">
        <f t="shared" si="2"/>
        <v>2.0998371947400001</v>
      </c>
      <c r="C86" s="2" t="str">
        <f t="shared" si="0"/>
        <v>06:-75--50</v>
      </c>
      <c r="D86" s="8">
        <f t="shared" si="3"/>
        <v>2.12907087201001E-3</v>
      </c>
      <c r="E86" s="8">
        <f t="shared" si="4"/>
        <v>1.7008187179646816E-3</v>
      </c>
      <c r="F86" s="3">
        <f t="shared" si="5"/>
        <v>1.2517917691767908</v>
      </c>
      <c r="G86" s="2">
        <f t="shared" si="6"/>
        <v>2.525178931469918</v>
      </c>
      <c r="H86" s="2">
        <f t="shared" si="6"/>
        <v>2.0219979142390154</v>
      </c>
      <c r="I86" s="33">
        <f t="shared" si="7"/>
        <v>2.2493784233023062</v>
      </c>
      <c r="K86" s="14">
        <f>VLOOKUP($C86,'Refi Adj'!$B$2:$E$32,2,0)</f>
        <v>1</v>
      </c>
      <c r="L86" s="14">
        <f>VLOOKUP($C86,'Refi Adj'!$B$2:$E$32,3,0)</f>
        <v>1</v>
      </c>
      <c r="M86" s="14">
        <f>VLOOKUP($C86,'Refi Adj'!$B$2:$E$32,4,0)</f>
        <v>0.5</v>
      </c>
      <c r="O86" s="40">
        <f t="shared" si="8"/>
        <v>2.9550255875980102E-4</v>
      </c>
      <c r="P86" s="40">
        <f t="shared" si="9"/>
        <v>1.0223164095634801E-4</v>
      </c>
      <c r="Q86" s="40">
        <f t="shared" si="13"/>
        <v>2.9550255875980102E-4</v>
      </c>
      <c r="R86" s="14"/>
      <c r="S86" s="34">
        <f t="shared" si="10"/>
        <v>1.8940896357681346E-3</v>
      </c>
      <c r="T86" s="2">
        <f t="shared" si="11"/>
        <v>2.2493784233023062</v>
      </c>
      <c r="U86" s="7">
        <f t="shared" si="12"/>
        <v>1.1240602513231008</v>
      </c>
      <c r="X86" s="9"/>
      <c r="Y86" s="8"/>
      <c r="Z86" s="8"/>
      <c r="AC86" s="9"/>
      <c r="AD86" s="8"/>
      <c r="AE86" s="8"/>
      <c r="AH86" s="9"/>
      <c r="AI86" s="8"/>
      <c r="AJ86" s="8"/>
    </row>
    <row r="87" spans="1:36" x14ac:dyDescent="0.25">
      <c r="A87" s="4">
        <f t="shared" si="1"/>
        <v>-33.3194821234664</v>
      </c>
      <c r="B87" s="3">
        <f t="shared" si="2"/>
        <v>22.563329344570001</v>
      </c>
      <c r="C87" s="2" t="str">
        <f t="shared" si="0"/>
        <v>07:-50--25</v>
      </c>
      <c r="D87" s="8">
        <f t="shared" si="3"/>
        <v>1.91727199501012E-3</v>
      </c>
      <c r="E87" s="8">
        <f t="shared" si="4"/>
        <v>2.0645033759114054E-3</v>
      </c>
      <c r="F87" s="3">
        <f t="shared" si="5"/>
        <v>0.92868435933833826</v>
      </c>
      <c r="G87" s="2">
        <f t="shared" si="6"/>
        <v>2.2766196273815043</v>
      </c>
      <c r="H87" s="2">
        <f t="shared" si="6"/>
        <v>2.4494663891911017</v>
      </c>
      <c r="I87" s="33">
        <f t="shared" si="7"/>
        <v>3.3003573167737721</v>
      </c>
      <c r="K87" s="14">
        <f>VLOOKUP($C87,'Refi Adj'!$B$2:$E$32,2,0)</f>
        <v>1</v>
      </c>
      <c r="L87" s="14">
        <f>VLOOKUP($C87,'Refi Adj'!$B$2:$E$32,3,0)</f>
        <v>1</v>
      </c>
      <c r="M87" s="14">
        <f>VLOOKUP($C87,'Refi Adj'!$B$2:$E$32,4,0)</f>
        <v>0.5</v>
      </c>
      <c r="O87" s="40">
        <f t="shared" si="8"/>
        <v>9.5029234642683995E-4</v>
      </c>
      <c r="P87" s="40">
        <f t="shared" si="9"/>
        <v>2.2199630939477301E-4</v>
      </c>
      <c r="Q87" s="40">
        <f t="shared" si="13"/>
        <v>9.5029234642683995E-4</v>
      </c>
      <c r="R87" s="14"/>
      <c r="S87" s="34">
        <f t="shared" si="10"/>
        <v>2.7927994129434723E-3</v>
      </c>
      <c r="T87" s="2">
        <f t="shared" si="11"/>
        <v>3.3003573167737721</v>
      </c>
      <c r="U87" s="7">
        <f t="shared" si="12"/>
        <v>0.68650544186036266</v>
      </c>
      <c r="X87" s="9"/>
      <c r="Y87" s="8"/>
      <c r="Z87" s="8"/>
      <c r="AC87" s="9"/>
      <c r="AD87" s="8"/>
      <c r="AE87" s="8"/>
      <c r="AH87" s="9"/>
      <c r="AI87" s="8"/>
      <c r="AJ87" s="8"/>
    </row>
    <row r="88" spans="1:36" x14ac:dyDescent="0.25">
      <c r="A88" s="4">
        <f t="shared" si="1"/>
        <v>-22.334932754376698</v>
      </c>
      <c r="B88" s="3">
        <f t="shared" si="2"/>
        <v>12.758774965240001</v>
      </c>
      <c r="C88" s="2" t="str">
        <f t="shared" si="0"/>
        <v>08-1:-25--20</v>
      </c>
      <c r="D88" s="8">
        <f t="shared" si="3"/>
        <v>2.4514348021336899E-3</v>
      </c>
      <c r="E88" s="8">
        <f t="shared" si="4"/>
        <v>2.4880572108244739E-3</v>
      </c>
      <c r="F88" s="3">
        <f t="shared" si="5"/>
        <v>0.98528072082448281</v>
      </c>
      <c r="G88" s="2">
        <f t="shared" si="6"/>
        <v>2.9023811702985625</v>
      </c>
      <c r="H88" s="2">
        <f t="shared" si="6"/>
        <v>2.9451487813885735</v>
      </c>
      <c r="I88" s="33">
        <f t="shared" si="7"/>
        <v>4.6956520918424394</v>
      </c>
      <c r="K88" s="14">
        <f>VLOOKUP($C88,'Refi Adj'!$B$2:$E$32,2,0)</f>
        <v>1</v>
      </c>
      <c r="L88" s="14">
        <f>VLOOKUP($C88,'Refi Adj'!$B$2:$E$32,3,0)</f>
        <v>1</v>
      </c>
      <c r="M88" s="14">
        <f>VLOOKUP($C88,'Refi Adj'!$B$2:$E$32,4,0)</f>
        <v>0.51</v>
      </c>
      <c r="O88" s="40">
        <f t="shared" si="8"/>
        <v>1.9761611922750754E-3</v>
      </c>
      <c r="P88" s="40">
        <f t="shared" si="9"/>
        <v>4.6434321703603599E-4</v>
      </c>
      <c r="Q88" s="40">
        <f t="shared" si="13"/>
        <v>1.9761611922750754E-3</v>
      </c>
      <c r="R88" s="14"/>
      <c r="S88" s="34">
        <f t="shared" si="10"/>
        <v>3.9998751860635135E-3</v>
      </c>
      <c r="T88" s="2">
        <f t="shared" si="11"/>
        <v>4.6956520918424394</v>
      </c>
      <c r="U88" s="7">
        <f t="shared" si="12"/>
        <v>0.61287782445688643</v>
      </c>
      <c r="X88" s="9"/>
      <c r="Y88" s="8"/>
      <c r="Z88" s="8"/>
      <c r="AC88" s="9"/>
      <c r="AD88" s="8"/>
      <c r="AE88" s="8"/>
      <c r="AH88" s="9"/>
      <c r="AI88" s="8"/>
      <c r="AJ88" s="8"/>
    </row>
    <row r="89" spans="1:36" x14ac:dyDescent="0.25">
      <c r="A89" s="4">
        <f t="shared" si="1"/>
        <v>-17.367271994129499</v>
      </c>
      <c r="B89" s="3">
        <f t="shared" si="2"/>
        <v>17.092521430000001</v>
      </c>
      <c r="C89" s="2" t="str">
        <f t="shared" si="0"/>
        <v>08-2:-20--15</v>
      </c>
      <c r="D89" s="8">
        <f t="shared" si="3"/>
        <v>2.7093551685901801E-3</v>
      </c>
      <c r="E89" s="8">
        <f t="shared" si="4"/>
        <v>2.704265067357511E-3</v>
      </c>
      <c r="F89" s="3">
        <f t="shared" si="5"/>
        <v>1.0018822493749264</v>
      </c>
      <c r="G89" s="2">
        <f t="shared" si="6"/>
        <v>3.2032130934767422</v>
      </c>
      <c r="H89" s="2">
        <f t="shared" si="6"/>
        <v>3.1972843992309818</v>
      </c>
      <c r="I89" s="33">
        <f t="shared" si="7"/>
        <v>5.4428675843450787</v>
      </c>
      <c r="K89" s="14">
        <f>VLOOKUP($C89,'Refi Adj'!$B$2:$E$32,2,0)</f>
        <v>1</v>
      </c>
      <c r="L89" s="14">
        <f>VLOOKUP($C89,'Refi Adj'!$B$2:$E$32,3,0)</f>
        <v>1</v>
      </c>
      <c r="M89" s="14">
        <f>VLOOKUP($C89,'Refi Adj'!$B$2:$E$32,4,0)</f>
        <v>0.52</v>
      </c>
      <c r="O89" s="40">
        <f t="shared" si="8"/>
        <v>2.5546259640229227E-3</v>
      </c>
      <c r="P89" s="40">
        <f t="shared" si="9"/>
        <v>6.0591993619066699E-4</v>
      </c>
      <c r="Q89" s="40">
        <f t="shared" si="13"/>
        <v>2.5546259640229227E-3</v>
      </c>
      <c r="R89" s="14"/>
      <c r="S89" s="34">
        <f t="shared" si="10"/>
        <v>4.6529710951897663E-3</v>
      </c>
      <c r="T89" s="2">
        <f t="shared" si="11"/>
        <v>5.4428675843450787</v>
      </c>
      <c r="U89" s="7">
        <f t="shared" si="12"/>
        <v>0.58228497731075679</v>
      </c>
      <c r="X89" s="9"/>
      <c r="Y89" s="8"/>
      <c r="Z89" s="8"/>
      <c r="AC89" s="9"/>
      <c r="AD89" s="8"/>
      <c r="AE89" s="8"/>
      <c r="AH89" s="9"/>
      <c r="AI89" s="8"/>
      <c r="AJ89" s="8"/>
    </row>
    <row r="90" spans="1:36" x14ac:dyDescent="0.25">
      <c r="A90" s="4">
        <f t="shared" si="1"/>
        <v>-12.402037624047001</v>
      </c>
      <c r="B90" s="3">
        <f t="shared" si="2"/>
        <v>20.836834218189999</v>
      </c>
      <c r="C90" s="2" t="str">
        <f t="shared" si="0"/>
        <v>08-3:-15--10</v>
      </c>
      <c r="D90" s="8">
        <f t="shared" si="3"/>
        <v>3.8444545130471002E-3</v>
      </c>
      <c r="E90" s="8">
        <f t="shared" si="4"/>
        <v>2.966854020962981E-3</v>
      </c>
      <c r="F90" s="3">
        <f t="shared" si="5"/>
        <v>1.2958017097852585</v>
      </c>
      <c r="G90" s="2">
        <f t="shared" si="6"/>
        <v>4.5170378360978036</v>
      </c>
      <c r="H90" s="2">
        <f t="shared" si="6"/>
        <v>3.5027008657435799</v>
      </c>
      <c r="I90" s="33">
        <f t="shared" si="7"/>
        <v>6.2521487458430887</v>
      </c>
      <c r="K90" s="14">
        <f>VLOOKUP($C90,'Refi Adj'!$B$2:$E$32,2,0)</f>
        <v>1</v>
      </c>
      <c r="L90" s="14">
        <f>VLOOKUP($C90,'Refi Adj'!$B$2:$E$32,3,0)</f>
        <v>1</v>
      </c>
      <c r="M90" s="14">
        <f>VLOOKUP($C90,'Refi Adj'!$B$2:$E$32,4,0)</f>
        <v>0.53</v>
      </c>
      <c r="O90" s="40">
        <f t="shared" si="8"/>
        <v>3.152788542163503E-3</v>
      </c>
      <c r="P90" s="40">
        <f t="shared" si="9"/>
        <v>7.5396937600614696E-4</v>
      </c>
      <c r="Q90" s="40">
        <f t="shared" si="13"/>
        <v>3.152788542163503E-3</v>
      </c>
      <c r="R90" s="14"/>
      <c r="S90" s="34">
        <f t="shared" si="10"/>
        <v>5.3656731871203371E-3</v>
      </c>
      <c r="T90" s="2">
        <f t="shared" si="11"/>
        <v>6.2521487458430887</v>
      </c>
      <c r="U90" s="7">
        <f t="shared" si="12"/>
        <v>0.71649062083677739</v>
      </c>
      <c r="X90" s="9"/>
      <c r="Y90" s="8"/>
      <c r="Z90" s="8"/>
      <c r="AC90" s="9"/>
      <c r="AD90" s="8"/>
      <c r="AE90" s="8"/>
      <c r="AH90" s="9"/>
      <c r="AI90" s="8"/>
      <c r="AJ90" s="8"/>
    </row>
    <row r="91" spans="1:36" x14ac:dyDescent="0.25">
      <c r="A91" s="4">
        <f t="shared" si="1"/>
        <v>-7.4908217952858598</v>
      </c>
      <c r="B91" s="3">
        <f t="shared" si="2"/>
        <v>23.515900726580004</v>
      </c>
      <c r="C91" s="2" t="str">
        <f t="shared" si="0"/>
        <v>08-4:-10--5</v>
      </c>
      <c r="D91" s="8">
        <f t="shared" si="3"/>
        <v>4.76353945734595E-3</v>
      </c>
      <c r="E91" s="8">
        <f t="shared" si="4"/>
        <v>3.2060743055336502E-3</v>
      </c>
      <c r="F91" s="3">
        <f t="shared" si="5"/>
        <v>1.4857857315172427</v>
      </c>
      <c r="G91" s="2">
        <f t="shared" si="6"/>
        <v>5.5688374215219438</v>
      </c>
      <c r="H91" s="2">
        <f t="shared" si="6"/>
        <v>3.7801681502636408</v>
      </c>
      <c r="I91" s="33">
        <f t="shared" si="7"/>
        <v>7.0367484181738771</v>
      </c>
      <c r="K91" s="14">
        <f>VLOOKUP($C91,'Refi Adj'!$B$2:$E$32,2,0)</f>
        <v>1</v>
      </c>
      <c r="L91" s="14">
        <f>VLOOKUP($C91,'Refi Adj'!$B$2:$E$32,3,0)</f>
        <v>1</v>
      </c>
      <c r="M91" s="14">
        <f>VLOOKUP($C91,'Refi Adj'!$B$2:$E$32,4,0)</f>
        <v>0.54</v>
      </c>
      <c r="O91" s="40">
        <f t="shared" si="8"/>
        <v>3.7582325226934487E-3</v>
      </c>
      <c r="P91" s="40">
        <f t="shared" si="9"/>
        <v>9.0226268001442999E-4</v>
      </c>
      <c r="Q91" s="40">
        <f t="shared" si="13"/>
        <v>3.7582325226934487E-3</v>
      </c>
      <c r="R91" s="14"/>
      <c r="S91" s="34">
        <f t="shared" si="10"/>
        <v>6.0620441482126686E-3</v>
      </c>
      <c r="T91" s="2">
        <f t="shared" si="11"/>
        <v>7.0367484181738771</v>
      </c>
      <c r="U91" s="7">
        <f t="shared" si="12"/>
        <v>0.7857975529179263</v>
      </c>
      <c r="X91" s="9"/>
      <c r="Y91" s="8"/>
      <c r="Z91" s="8"/>
      <c r="AC91" s="9"/>
      <c r="AD91" s="8"/>
      <c r="AE91" s="8"/>
      <c r="AH91" s="9"/>
      <c r="AI91" s="8"/>
      <c r="AJ91" s="8"/>
    </row>
    <row r="92" spans="1:36" x14ac:dyDescent="0.25">
      <c r="A92" s="4">
        <f t="shared" si="1"/>
        <v>-2.4075089201605699</v>
      </c>
      <c r="B92" s="3">
        <f t="shared" si="2"/>
        <v>27.364682017610001</v>
      </c>
      <c r="C92" s="2" t="str">
        <f t="shared" si="0"/>
        <v>08:-25-0</v>
      </c>
      <c r="D92" s="8">
        <f t="shared" si="3"/>
        <v>6.1759040882703401E-3</v>
      </c>
      <c r="E92" s="8">
        <f t="shared" si="4"/>
        <v>3.4670055140903627E-3</v>
      </c>
      <c r="F92" s="3">
        <f t="shared" si="5"/>
        <v>1.7813366789209477</v>
      </c>
      <c r="G92" s="2">
        <f t="shared" si="6"/>
        <v>7.1644600983545086</v>
      </c>
      <c r="H92" s="2">
        <f t="shared" si="6"/>
        <v>4.0819834893841218</v>
      </c>
      <c r="I92" s="33">
        <f t="shared" si="7"/>
        <v>7.883130330848287</v>
      </c>
      <c r="K92" s="14">
        <f>VLOOKUP($C92,'Refi Adj'!$B$2:$E$32,2,0)</f>
        <v>1</v>
      </c>
      <c r="L92" s="14">
        <f>VLOOKUP($C92,'Refi Adj'!$B$2:$E$32,3,0)</f>
        <v>1</v>
      </c>
      <c r="M92" s="14">
        <f>VLOOKUP($C92,'Refi Adj'!$B$2:$E$32,4,0)</f>
        <v>0.55000000000000004</v>
      </c>
      <c r="O92" s="40">
        <f t="shared" si="8"/>
        <v>4.4275667958889736E-3</v>
      </c>
      <c r="P92" s="40">
        <f t="shared" si="9"/>
        <v>1.0752557139686099E-3</v>
      </c>
      <c r="Q92" s="40">
        <f t="shared" si="13"/>
        <v>4.4275667958889736E-3</v>
      </c>
      <c r="R92" s="14"/>
      <c r="S92" s="34">
        <f t="shared" si="10"/>
        <v>6.8193165960107258E-3</v>
      </c>
      <c r="T92" s="2">
        <f t="shared" si="11"/>
        <v>7.883130330848287</v>
      </c>
      <c r="U92" s="7">
        <f t="shared" si="12"/>
        <v>0.90564853549741631</v>
      </c>
      <c r="X92" s="9"/>
      <c r="Y92" s="8"/>
      <c r="Z92" s="8"/>
      <c r="AC92" s="9"/>
      <c r="AD92" s="8"/>
      <c r="AE92" s="8"/>
      <c r="AH92" s="9"/>
      <c r="AI92" s="8"/>
      <c r="AJ92" s="8"/>
    </row>
    <row r="93" spans="1:36" x14ac:dyDescent="0.25">
      <c r="A93" s="4">
        <f t="shared" si="1"/>
        <v>2.5749501154257302</v>
      </c>
      <c r="B93" s="3">
        <f t="shared" si="2"/>
        <v>28.507013745720002</v>
      </c>
      <c r="C93" s="2" t="str">
        <f t="shared" si="0"/>
        <v>09-1:0-5</v>
      </c>
      <c r="D93" s="8">
        <f t="shared" si="3"/>
        <v>7.6941417048664402E-3</v>
      </c>
      <c r="E93" s="8">
        <f t="shared" si="4"/>
        <v>3.7976474749170722E-3</v>
      </c>
      <c r="F93" s="3">
        <f t="shared" si="5"/>
        <v>2.0260284177731518</v>
      </c>
      <c r="G93" s="2">
        <f t="shared" si="6"/>
        <v>8.8521007135361707</v>
      </c>
      <c r="H93" s="2">
        <f t="shared" si="6"/>
        <v>4.4631856457653996</v>
      </c>
      <c r="I93" s="33">
        <f t="shared" si="7"/>
        <v>9.2539411436710637</v>
      </c>
      <c r="K93" s="14">
        <f>VLOOKUP($C93,'Refi Adj'!$B$2:$E$32,2,0)</f>
        <v>1</v>
      </c>
      <c r="L93" s="14">
        <f>VLOOKUP($C93,'Refi Adj'!$B$2:$E$32,3,0)</f>
        <v>1</v>
      </c>
      <c r="M93" s="14">
        <f>VLOOKUP($C93,'Refi Adj'!$B$2:$E$32,4,0)</f>
        <v>0.60000000000000009</v>
      </c>
      <c r="O93" s="40">
        <f t="shared" si="8"/>
        <v>5.5498185745376828E-3</v>
      </c>
      <c r="P93" s="40">
        <f t="shared" si="9"/>
        <v>1.28802371851793E-3</v>
      </c>
      <c r="Q93" s="40">
        <f t="shared" si="13"/>
        <v>5.5498185745376828E-3</v>
      </c>
      <c r="R93" s="14"/>
      <c r="S93" s="34">
        <f t="shared" si="10"/>
        <v>8.0594423309368248E-3</v>
      </c>
      <c r="T93" s="2">
        <f t="shared" si="11"/>
        <v>9.2539411436710637</v>
      </c>
      <c r="U93" s="7">
        <f t="shared" si="12"/>
        <v>0.95467420560003902</v>
      </c>
      <c r="X93" s="9"/>
      <c r="Y93" s="8"/>
      <c r="Z93" s="8"/>
      <c r="AC93" s="9"/>
      <c r="AD93" s="8"/>
      <c r="AE93" s="8"/>
      <c r="AH93" s="9"/>
      <c r="AI93" s="8"/>
      <c r="AJ93" s="8"/>
    </row>
    <row r="94" spans="1:36" x14ac:dyDescent="0.25">
      <c r="A94" s="4">
        <f t="shared" si="1"/>
        <v>7.54044198090401</v>
      </c>
      <c r="B94" s="3">
        <f t="shared" si="2"/>
        <v>30.239974320009999</v>
      </c>
      <c r="C94" s="2" t="str">
        <f t="shared" si="0"/>
        <v>09-2:5-10</v>
      </c>
      <c r="D94" s="8">
        <f t="shared" si="3"/>
        <v>9.5754262052694696E-3</v>
      </c>
      <c r="E94" s="8">
        <f t="shared" si="4"/>
        <v>4.1819854382802836E-3</v>
      </c>
      <c r="F94" s="3">
        <f t="shared" si="5"/>
        <v>2.2896842532304649</v>
      </c>
      <c r="G94" s="2">
        <f t="shared" si="6"/>
        <v>10.904270721359744</v>
      </c>
      <c r="H94" s="2">
        <f t="shared" si="6"/>
        <v>4.904549124419832</v>
      </c>
      <c r="I94" s="33">
        <f t="shared" si="7"/>
        <v>10.774475016914254</v>
      </c>
      <c r="K94" s="14">
        <f>VLOOKUP($C94,'Refi Adj'!$B$2:$E$32,2,0)</f>
        <v>1</v>
      </c>
      <c r="L94" s="14">
        <f>VLOOKUP($C94,'Refi Adj'!$B$2:$E$32,3,0)</f>
        <v>1</v>
      </c>
      <c r="M94" s="14">
        <f>VLOOKUP($C94,'Refi Adj'!$B$2:$E$32,4,0)</f>
        <v>0.65</v>
      </c>
      <c r="O94" s="40">
        <f t="shared" si="8"/>
        <v>6.819611657878955E-3</v>
      </c>
      <c r="P94" s="40">
        <f t="shared" si="9"/>
        <v>1.54632919390134E-3</v>
      </c>
      <c r="Q94" s="40">
        <f t="shared" si="13"/>
        <v>6.819611657878955E-3</v>
      </c>
      <c r="R94" s="14"/>
      <c r="S94" s="34">
        <f t="shared" si="10"/>
        <v>9.4552679022578984E-3</v>
      </c>
      <c r="T94" s="2">
        <f t="shared" si="11"/>
        <v>10.774475016914254</v>
      </c>
      <c r="U94" s="7">
        <f t="shared" si="12"/>
        <v>1.0127080802208552</v>
      </c>
      <c r="X94" s="9"/>
      <c r="Y94" s="8"/>
      <c r="Z94" s="8"/>
      <c r="AC94" s="9"/>
      <c r="AD94" s="8"/>
      <c r="AE94" s="8"/>
      <c r="AH94" s="9"/>
      <c r="AI94" s="8"/>
      <c r="AJ94" s="8"/>
    </row>
    <row r="95" spans="1:36" x14ac:dyDescent="0.25">
      <c r="A95" s="4">
        <f t="shared" si="1"/>
        <v>12.527276197463699</v>
      </c>
      <c r="B95" s="3">
        <f t="shared" si="2"/>
        <v>34.873711882900004</v>
      </c>
      <c r="C95" s="2" t="str">
        <f t="shared" si="0"/>
        <v>09-3:10-15</v>
      </c>
      <c r="D95" s="8">
        <f t="shared" si="3"/>
        <v>1.24926248326339E-2</v>
      </c>
      <c r="E95" s="8">
        <f t="shared" si="4"/>
        <v>4.7415896453640097E-3</v>
      </c>
      <c r="F95" s="3">
        <f t="shared" si="5"/>
        <v>2.634691267484166</v>
      </c>
      <c r="G95" s="2">
        <f t="shared" si="6"/>
        <v>14.002827185935029</v>
      </c>
      <c r="H95" s="2">
        <f t="shared" si="6"/>
        <v>5.5438423841532529</v>
      </c>
      <c r="I95" s="33">
        <f t="shared" si="7"/>
        <v>12.842090444815868</v>
      </c>
      <c r="K95" s="14">
        <f>VLOOKUP($C95,'Refi Adj'!$B$2:$E$32,2,0)</f>
        <v>1</v>
      </c>
      <c r="L95" s="14">
        <f>VLOOKUP($C95,'Refi Adj'!$B$2:$E$32,3,0)</f>
        <v>1</v>
      </c>
      <c r="M95" s="14">
        <f>VLOOKUP($C95,'Refi Adj'!$B$2:$E$32,4,0)</f>
        <v>0.70000000000000007</v>
      </c>
      <c r="O95" s="40">
        <f t="shared" si="8"/>
        <v>8.5852259861318309E-3</v>
      </c>
      <c r="P95" s="40">
        <f t="shared" si="9"/>
        <v>1.9381085659996801E-3</v>
      </c>
      <c r="Q95" s="40">
        <f t="shared" si="13"/>
        <v>8.5852259861318309E-3</v>
      </c>
      <c r="R95" s="14"/>
      <c r="S95" s="34">
        <f t="shared" si="10"/>
        <v>1.138870706549616E-2</v>
      </c>
      <c r="T95" s="2">
        <f t="shared" si="11"/>
        <v>12.842090444815868</v>
      </c>
      <c r="U95" s="7">
        <f t="shared" si="12"/>
        <v>1.0969309124195694</v>
      </c>
      <c r="X95" s="9"/>
      <c r="Y95" s="8"/>
      <c r="Z95" s="8"/>
      <c r="AC95" s="9"/>
      <c r="AD95" s="8"/>
      <c r="AE95" s="8"/>
      <c r="AH95" s="9"/>
      <c r="AI95" s="8"/>
      <c r="AJ95" s="8"/>
    </row>
    <row r="96" spans="1:36" s="24" customFormat="1" x14ac:dyDescent="0.25">
      <c r="A96" s="4">
        <f t="shared" si="1"/>
        <v>17.528626096559499</v>
      </c>
      <c r="B96" s="3">
        <f t="shared" si="2"/>
        <v>38.504534044260005</v>
      </c>
      <c r="C96" s="2" t="str">
        <f t="shared" si="0"/>
        <v>09-4:15-20</v>
      </c>
      <c r="D96" s="8">
        <f t="shared" si="3"/>
        <v>1.5649173923988301E-2</v>
      </c>
      <c r="E96" s="8">
        <f t="shared" si="4"/>
        <v>5.3643160863703944E-3</v>
      </c>
      <c r="F96" s="3">
        <f t="shared" si="5"/>
        <v>2.9172728959334782</v>
      </c>
      <c r="G96" s="2">
        <f t="shared" si="6"/>
        <v>17.244108581958663</v>
      </c>
      <c r="H96" s="2">
        <f t="shared" si="6"/>
        <v>6.2506137949907341</v>
      </c>
      <c r="I96" s="33">
        <f t="shared" si="7"/>
        <v>15.212692220142577</v>
      </c>
      <c r="J96"/>
      <c r="K96" s="14">
        <f>VLOOKUP($C96,'Refi Adj'!$B$2:$E$32,2,0)</f>
        <v>1</v>
      </c>
      <c r="L96" s="14">
        <f>VLOOKUP($C96,'Refi Adj'!$B$2:$E$32,3,0)</f>
        <v>1</v>
      </c>
      <c r="M96" s="14">
        <f>VLOOKUP($C96,'Refi Adj'!$B$2:$E$32,4,0)</f>
        <v>0.75</v>
      </c>
      <c r="O96" s="40">
        <f t="shared" si="8"/>
        <v>1.0718922798643726E-2</v>
      </c>
      <c r="P96" s="40">
        <f t="shared" si="9"/>
        <v>2.4253388044805698E-3</v>
      </c>
      <c r="Q96" s="40">
        <f t="shared" si="13"/>
        <v>1.0718922798643726E-2</v>
      </c>
      <c r="R96" s="14"/>
      <c r="S96" s="34">
        <f t="shared" si="10"/>
        <v>1.3657900080533551E-2</v>
      </c>
      <c r="T96" s="2">
        <f t="shared" si="11"/>
        <v>15.212692220142577</v>
      </c>
      <c r="U96" s="7">
        <f t="shared" si="12"/>
        <v>1.1457964864081038</v>
      </c>
      <c r="V96"/>
      <c r="W96"/>
      <c r="X96" s="9"/>
      <c r="Y96" s="8"/>
      <c r="Z96" s="8"/>
      <c r="AA96"/>
      <c r="AB96"/>
      <c r="AC96" s="9"/>
      <c r="AD96" s="8"/>
      <c r="AE96" s="8"/>
      <c r="AF96"/>
      <c r="AG96"/>
      <c r="AH96" s="9"/>
      <c r="AI96" s="8"/>
      <c r="AJ96" s="8"/>
    </row>
    <row r="97" spans="1:50" s="24" customFormat="1" x14ac:dyDescent="0.25">
      <c r="A97" s="4">
        <f t="shared" si="1"/>
        <v>22.543947941116599</v>
      </c>
      <c r="B97" s="3">
        <f t="shared" si="2"/>
        <v>42.866485823980007</v>
      </c>
      <c r="C97" s="2" t="str">
        <f t="shared" si="0"/>
        <v>09:0-25</v>
      </c>
      <c r="D97" s="8">
        <f t="shared" si="3"/>
        <v>1.95236863561607E-2</v>
      </c>
      <c r="E97" s="8">
        <f t="shared" si="4"/>
        <v>6.0235062167500533E-3</v>
      </c>
      <c r="F97" s="3">
        <f t="shared" si="5"/>
        <v>3.2412494739143125</v>
      </c>
      <c r="G97" s="2">
        <f t="shared" si="6"/>
        <v>21.06942305859878</v>
      </c>
      <c r="H97" s="2">
        <f t="shared" si="6"/>
        <v>6.9934856512083314</v>
      </c>
      <c r="I97" s="33">
        <f t="shared" si="7"/>
        <v>17.807195890776441</v>
      </c>
      <c r="J97"/>
      <c r="K97" s="14">
        <f>VLOOKUP($C97,'Refi Adj'!$B$2:$E$32,2,0)</f>
        <v>1</v>
      </c>
      <c r="L97" s="14">
        <f>VLOOKUP($C97,'Refi Adj'!$B$2:$E$32,3,0)</f>
        <v>1</v>
      </c>
      <c r="M97" s="14">
        <f>VLOOKUP($C97,'Refi Adj'!$B$2:$E$32,4,0)</f>
        <v>0.8</v>
      </c>
      <c r="O97" s="40">
        <f t="shared" si="8"/>
        <v>1.316053960362808E-2</v>
      </c>
      <c r="P97" s="40">
        <f t="shared" si="9"/>
        <v>2.9749806733237998E-3</v>
      </c>
      <c r="Q97" s="40">
        <f t="shared" si="13"/>
        <v>1.316053960362808E-2</v>
      </c>
      <c r="R97" s="14"/>
      <c r="S97" s="34">
        <f t="shared" si="10"/>
        <v>1.6209065147054336E-2</v>
      </c>
      <c r="T97" s="2">
        <f t="shared" si="11"/>
        <v>17.807195890776441</v>
      </c>
      <c r="U97" s="7">
        <f t="shared" si="12"/>
        <v>1.2044918185617095</v>
      </c>
      <c r="V97"/>
      <c r="W97"/>
      <c r="X97" s="9"/>
      <c r="Y97" s="8"/>
      <c r="Z97" s="8"/>
      <c r="AA97"/>
      <c r="AB97"/>
      <c r="AC97" s="9"/>
      <c r="AD97" s="8"/>
      <c r="AE97" s="8"/>
      <c r="AF97"/>
      <c r="AG97"/>
      <c r="AH97" s="9"/>
      <c r="AI97" s="8"/>
      <c r="AJ97" s="8"/>
    </row>
    <row r="98" spans="1:50" s="24" customFormat="1" x14ac:dyDescent="0.25">
      <c r="A98" s="4">
        <f t="shared" si="1"/>
        <v>27.523059197893399</v>
      </c>
      <c r="B98" s="3">
        <f t="shared" si="2"/>
        <v>43.570040885920001</v>
      </c>
      <c r="C98" s="2" t="str">
        <f t="shared" si="0"/>
        <v>10-1:25-30</v>
      </c>
      <c r="D98" s="8">
        <f t="shared" si="3"/>
        <v>2.1612080739042899E-2</v>
      </c>
      <c r="E98" s="8">
        <f t="shared" si="4"/>
        <v>6.6509289518913266E-3</v>
      </c>
      <c r="F98" s="3">
        <f t="shared" si="5"/>
        <v>3.2494830264119821</v>
      </c>
      <c r="G98" s="2">
        <f t="shared" ref="G98:H109" si="14">(1-(1-D98)^12)*100</f>
        <v>23.063401972062913</v>
      </c>
      <c r="H98" s="2">
        <f t="shared" si="14"/>
        <v>7.6955413216194035</v>
      </c>
      <c r="I98" s="33">
        <f t="shared" si="7"/>
        <v>20.387511454143127</v>
      </c>
      <c r="J98"/>
      <c r="K98" s="14">
        <f>VLOOKUP($C98,'Refi Adj'!$B$2:$E$32,2,0)</f>
        <v>1</v>
      </c>
      <c r="L98" s="14">
        <f>VLOOKUP($C98,'Refi Adj'!$B$2:$E$32,3,0)</f>
        <v>1</v>
      </c>
      <c r="M98" s="14">
        <f>VLOOKUP($C98,'Refi Adj'!$B$2:$E$32,4,0)</f>
        <v>0.85000000000000009</v>
      </c>
      <c r="O98" s="40">
        <f t="shared" si="8"/>
        <v>1.5686776962984643E-2</v>
      </c>
      <c r="P98" s="40">
        <f t="shared" si="9"/>
        <v>3.5171324114987501E-3</v>
      </c>
      <c r="Q98" s="40">
        <f t="shared" si="13"/>
        <v>1.5686776962984643E-2</v>
      </c>
      <c r="R98" s="14"/>
      <c r="S98" s="34">
        <f t="shared" si="10"/>
        <v>1.8820573503377219E-2</v>
      </c>
      <c r="T98" s="2">
        <f t="shared" si="11"/>
        <v>20.387511454143127</v>
      </c>
      <c r="U98" s="7">
        <f t="shared" si="12"/>
        <v>1.1483221133067365</v>
      </c>
      <c r="V98"/>
      <c r="W98"/>
      <c r="X98" s="9"/>
      <c r="Y98" s="8"/>
      <c r="Z98" s="8"/>
      <c r="AA98"/>
      <c r="AB98"/>
      <c r="AC98" s="9"/>
      <c r="AD98" s="8"/>
      <c r="AE98" s="8"/>
      <c r="AF98"/>
      <c r="AG98"/>
      <c r="AH98" s="9"/>
      <c r="AI98" s="8"/>
      <c r="AJ98" s="8"/>
    </row>
    <row r="99" spans="1:50" s="24" customFormat="1" x14ac:dyDescent="0.25">
      <c r="A99" s="4">
        <f t="shared" si="1"/>
        <v>32.511491054413902</v>
      </c>
      <c r="B99" s="3">
        <f t="shared" si="2"/>
        <v>43.981816615160007</v>
      </c>
      <c r="C99" s="2" t="str">
        <f t="shared" si="0"/>
        <v>10-2:30-35</v>
      </c>
      <c r="D99" s="8">
        <f t="shared" si="3"/>
        <v>2.3718264248499699E-2</v>
      </c>
      <c r="E99" s="8">
        <f t="shared" si="4"/>
        <v>7.2321508205816908E-3</v>
      </c>
      <c r="F99" s="3">
        <f t="shared" si="5"/>
        <v>3.2795588528105406</v>
      </c>
      <c r="G99" s="2">
        <f t="shared" si="14"/>
        <v>25.027503012227449</v>
      </c>
      <c r="H99" s="2">
        <f t="shared" si="14"/>
        <v>8.3415626347323695</v>
      </c>
      <c r="I99" s="33">
        <f t="shared" si="7"/>
        <v>22.934459252158877</v>
      </c>
      <c r="J99"/>
      <c r="K99" s="14">
        <f>VLOOKUP($C99,'Refi Adj'!$B$2:$E$32,2,0)</f>
        <v>1</v>
      </c>
      <c r="L99" s="14">
        <f>VLOOKUP($C99,'Refi Adj'!$B$2:$E$32,3,0)</f>
        <v>1</v>
      </c>
      <c r="M99" s="14">
        <f>VLOOKUP($C99,'Refi Adj'!$B$2:$E$32,4,0)</f>
        <v>0.9</v>
      </c>
      <c r="O99" s="40">
        <f t="shared" si="8"/>
        <v>1.8275249919472832E-2</v>
      </c>
      <c r="P99" s="40">
        <f t="shared" si="9"/>
        <v>4.0318601303011899E-3</v>
      </c>
      <c r="Q99" s="40">
        <f t="shared" si="13"/>
        <v>1.8275249919472832E-2</v>
      </c>
      <c r="R99" s="14"/>
      <c r="S99" s="34">
        <f t="shared" si="10"/>
        <v>2.1475540609753332E-2</v>
      </c>
      <c r="T99" s="2">
        <f t="shared" si="11"/>
        <v>22.934459252158877</v>
      </c>
      <c r="U99" s="7">
        <f t="shared" si="12"/>
        <v>1.1044315335059742</v>
      </c>
      <c r="V99"/>
      <c r="W99"/>
      <c r="X99" s="9"/>
      <c r="Y99" s="8"/>
      <c r="Z99" s="8"/>
      <c r="AA99"/>
      <c r="AB99"/>
      <c r="AC99" s="9"/>
      <c r="AD99" s="8"/>
      <c r="AE99" s="8"/>
      <c r="AF99"/>
      <c r="AG99"/>
      <c r="AH99" s="9"/>
      <c r="AI99" s="8"/>
      <c r="AJ99" s="8"/>
    </row>
    <row r="100" spans="1:50" x14ac:dyDescent="0.25">
      <c r="A100" s="4">
        <f t="shared" si="1"/>
        <v>37.477155620940799</v>
      </c>
      <c r="B100" s="3">
        <f t="shared" si="2"/>
        <v>44.207957472739999</v>
      </c>
      <c r="C100" s="2" t="str">
        <f t="shared" si="0"/>
        <v>10-3:35-40</v>
      </c>
      <c r="D100" s="8">
        <f t="shared" si="3"/>
        <v>2.68138572498413E-2</v>
      </c>
      <c r="E100" s="8">
        <f t="shared" si="4"/>
        <v>7.9028693446129023E-3</v>
      </c>
      <c r="F100" s="3">
        <f t="shared" si="5"/>
        <v>3.3929268067830742</v>
      </c>
      <c r="G100" s="2">
        <f t="shared" si="14"/>
        <v>27.830948697166903</v>
      </c>
      <c r="H100" s="2">
        <f t="shared" si="14"/>
        <v>9.0819059611715538</v>
      </c>
      <c r="I100" s="33">
        <f t="shared" si="7"/>
        <v>25.947317181462324</v>
      </c>
      <c r="K100" s="14">
        <f>VLOOKUP($C100,'Refi Adj'!$B$2:$E$32,2,0)</f>
        <v>1</v>
      </c>
      <c r="L100" s="14">
        <f>VLOOKUP($C100,'Refi Adj'!$B$2:$E$32,3,0)</f>
        <v>1</v>
      </c>
      <c r="M100" s="14">
        <f>VLOOKUP($C100,'Refi Adj'!$B$2:$E$32,4,0)</f>
        <v>0.95000000000000007</v>
      </c>
      <c r="O100" s="40">
        <f t="shared" si="8"/>
        <v>2.1441850845794093E-2</v>
      </c>
      <c r="P100" s="40">
        <f t="shared" si="9"/>
        <v>4.6226575239359802E-3</v>
      </c>
      <c r="Q100" s="40">
        <f t="shared" si="13"/>
        <v>2.1441850845794093E-2</v>
      </c>
      <c r="R100" s="14"/>
      <c r="S100" s="34">
        <f t="shared" si="10"/>
        <v>2.4722062666471017E-2</v>
      </c>
      <c r="T100" s="2">
        <f t="shared" si="11"/>
        <v>25.947317181462324</v>
      </c>
      <c r="U100" s="7">
        <f t="shared" si="12"/>
        <v>1.0846124618156257</v>
      </c>
      <c r="X100" s="9"/>
      <c r="Y100" s="8"/>
      <c r="Z100" s="8"/>
      <c r="AC100" s="9"/>
      <c r="AD100" s="8"/>
      <c r="AE100" s="8"/>
      <c r="AH100" s="9"/>
      <c r="AI100" s="8"/>
      <c r="AJ100" s="8"/>
    </row>
    <row r="101" spans="1:50" x14ac:dyDescent="0.25">
      <c r="A101" s="4">
        <f t="shared" si="1"/>
        <v>42.4414709362472</v>
      </c>
      <c r="B101" s="3">
        <f t="shared" si="2"/>
        <v>40.881577212339998</v>
      </c>
      <c r="C101" s="2" t="str">
        <f t="shared" si="0"/>
        <v>10-4:40-45</v>
      </c>
      <c r="D101" s="8">
        <f t="shared" si="3"/>
        <v>3.0986490940274499E-2</v>
      </c>
      <c r="E101" s="8">
        <f t="shared" si="4"/>
        <v>8.5503130015512352E-3</v>
      </c>
      <c r="F101" s="3">
        <f t="shared" si="5"/>
        <v>3.6240183177683432</v>
      </c>
      <c r="G101" s="2">
        <f t="shared" si="14"/>
        <v>31.45780955433537</v>
      </c>
      <c r="H101" s="2">
        <f t="shared" si="14"/>
        <v>9.7913548843460152</v>
      </c>
      <c r="I101" s="33">
        <f t="shared" si="7"/>
        <v>28.963502620241766</v>
      </c>
      <c r="K101" s="14">
        <f>VLOOKUP($C101,'Refi Adj'!$B$2:$E$32,2,0)</f>
        <v>1</v>
      </c>
      <c r="L101" s="14">
        <f>VLOOKUP($C101,'Refi Adj'!$B$2:$E$32,3,0)</f>
        <v>1</v>
      </c>
      <c r="M101" s="14">
        <f>VLOOKUP($C101,'Refi Adj'!$B$2:$E$32,4,0)</f>
        <v>1</v>
      </c>
      <c r="O101" s="40">
        <f t="shared" si="8"/>
        <v>2.47475033711449E-2</v>
      </c>
      <c r="P101" s="40">
        <f t="shared" si="9"/>
        <v>5.2020224613426799E-3</v>
      </c>
      <c r="Q101" s="40">
        <f t="shared" si="13"/>
        <v>2.47475033711449E-2</v>
      </c>
      <c r="R101" s="14"/>
      <c r="S101" s="34">
        <f t="shared" si="10"/>
        <v>2.8095793911353455E-2</v>
      </c>
      <c r="T101" s="2">
        <f t="shared" si="11"/>
        <v>28.963502620241766</v>
      </c>
      <c r="U101" s="7">
        <f t="shared" si="12"/>
        <v>1.1028871808371614</v>
      </c>
      <c r="X101" s="9"/>
      <c r="Y101" s="8"/>
      <c r="Z101" s="8"/>
      <c r="AC101" s="9"/>
      <c r="AD101" s="8"/>
      <c r="AE101" s="8"/>
      <c r="AH101" s="9"/>
      <c r="AI101" s="8"/>
      <c r="AJ101" s="8"/>
    </row>
    <row r="102" spans="1:50" x14ac:dyDescent="0.25">
      <c r="A102" s="4">
        <f t="shared" si="1"/>
        <v>47.5181657858855</v>
      </c>
      <c r="B102" s="3">
        <f t="shared" si="2"/>
        <v>39.190960071539998</v>
      </c>
      <c r="C102" s="2" t="str">
        <f t="shared" si="0"/>
        <v>10:25-50</v>
      </c>
      <c r="D102" s="8">
        <f t="shared" si="3"/>
        <v>3.3189120807656299E-2</v>
      </c>
      <c r="E102" s="8">
        <f t="shared" si="4"/>
        <v>9.2775965331637362E-3</v>
      </c>
      <c r="F102" s="3">
        <f t="shared" si="5"/>
        <v>3.5773403908025454</v>
      </c>
      <c r="G102" s="2">
        <f t="shared" si="14"/>
        <v>33.304221716883319</v>
      </c>
      <c r="H102" s="2">
        <f t="shared" si="14"/>
        <v>10.582235706733844</v>
      </c>
      <c r="I102" s="33">
        <f t="shared" si="7"/>
        <v>32.196440519209411</v>
      </c>
      <c r="K102" s="14">
        <f>VLOOKUP($C102,'Refi Adj'!$B$2:$E$32,2,0)</f>
        <v>1</v>
      </c>
      <c r="L102" s="14">
        <f>VLOOKUP($C102,'Refi Adj'!$B$2:$E$32,3,0)</f>
        <v>1</v>
      </c>
      <c r="M102" s="14">
        <f>VLOOKUP($C102,'Refi Adj'!$B$2:$E$32,4,0)</f>
        <v>1.05</v>
      </c>
      <c r="O102" s="40">
        <f t="shared" si="8"/>
        <v>2.8411024114409263E-2</v>
      </c>
      <c r="P102" s="40">
        <f t="shared" si="9"/>
        <v>5.8276037836485399E-3</v>
      </c>
      <c r="Q102" s="40">
        <f t="shared" si="13"/>
        <v>2.8411024114409263E-2</v>
      </c>
      <c r="R102" s="14"/>
      <c r="S102" s="34">
        <f t="shared" si="10"/>
        <v>3.1861016863924459E-2</v>
      </c>
      <c r="T102" s="2">
        <f t="shared" si="11"/>
        <v>32.196440519209411</v>
      </c>
      <c r="U102" s="7">
        <f t="shared" si="12"/>
        <v>1.0416842924192926</v>
      </c>
      <c r="X102" s="9"/>
      <c r="Y102" s="8"/>
      <c r="Z102" s="8"/>
      <c r="AC102" s="9"/>
      <c r="AD102" s="8"/>
      <c r="AE102" s="8"/>
      <c r="AH102" s="9"/>
      <c r="AI102" s="8"/>
      <c r="AJ102" s="8"/>
    </row>
    <row r="103" spans="1:50" x14ac:dyDescent="0.25">
      <c r="A103" s="4">
        <f t="shared" si="1"/>
        <v>52.504460856871802</v>
      </c>
      <c r="B103" s="3">
        <f t="shared" si="2"/>
        <v>35.465887150279997</v>
      </c>
      <c r="C103" s="2" t="str">
        <f t="shared" si="0"/>
        <v>11-1:50-55</v>
      </c>
      <c r="D103" s="8">
        <f t="shared" si="3"/>
        <v>3.3320506950236702E-2</v>
      </c>
      <c r="E103" s="8">
        <f t="shared" si="4"/>
        <v>9.9189730835531533E-3</v>
      </c>
      <c r="F103" s="3">
        <f t="shared" si="5"/>
        <v>3.3592698225470636</v>
      </c>
      <c r="G103" s="2">
        <f t="shared" si="14"/>
        <v>33.412905074069855</v>
      </c>
      <c r="H103" s="2">
        <f t="shared" si="14"/>
        <v>11.274417832063644</v>
      </c>
      <c r="I103" s="33">
        <f t="shared" si="7"/>
        <v>34.993867760185225</v>
      </c>
      <c r="K103" s="14">
        <f>VLOOKUP($C103,'Refi Adj'!$B$2:$E$32,2,0)</f>
        <v>1</v>
      </c>
      <c r="L103" s="14">
        <f>VLOOKUP($C103,'Refi Adj'!$B$2:$E$32,3,0)</f>
        <v>1</v>
      </c>
      <c r="M103" s="14">
        <f>VLOOKUP($C103,'Refi Adj'!$B$2:$E$32,4,0)</f>
        <v>1.1000000000000001</v>
      </c>
      <c r="O103" s="40">
        <f t="shared" si="8"/>
        <v>3.168360644195483E-2</v>
      </c>
      <c r="P103" s="40">
        <f t="shared" si="9"/>
        <v>6.3482996130898696E-3</v>
      </c>
      <c r="Q103" s="40">
        <f t="shared" si="13"/>
        <v>3.168360644195483E-2</v>
      </c>
      <c r="R103" s="14"/>
      <c r="S103" s="34">
        <f t="shared" si="10"/>
        <v>3.5254279912418113E-2</v>
      </c>
      <c r="T103" s="2">
        <f t="shared" si="11"/>
        <v>34.993867760185225</v>
      </c>
      <c r="U103" s="7">
        <f t="shared" si="12"/>
        <v>0.94514785248811017</v>
      </c>
      <c r="X103" s="9"/>
      <c r="Y103" s="8"/>
      <c r="Z103" s="8"/>
      <c r="AC103" s="9"/>
      <c r="AD103" s="8"/>
      <c r="AE103" s="8"/>
      <c r="AH103" s="9"/>
      <c r="AI103" s="8"/>
      <c r="AJ103" s="8"/>
      <c r="AK103" s="4"/>
      <c r="AL103" s="4"/>
      <c r="AM103" s="4"/>
      <c r="AN103" s="4"/>
      <c r="AO103" s="4"/>
      <c r="AP103" s="4"/>
      <c r="AQ103" s="6"/>
      <c r="AR103" s="4"/>
      <c r="AS103" s="15"/>
      <c r="AT103" s="15"/>
      <c r="AU103" s="15"/>
      <c r="AV103" s="15"/>
      <c r="AW103" s="15"/>
      <c r="AX103" s="15"/>
    </row>
    <row r="104" spans="1:50" x14ac:dyDescent="0.25">
      <c r="A104" s="4">
        <f t="shared" si="1"/>
        <v>57.483952620614602</v>
      </c>
      <c r="B104" s="3">
        <f t="shared" si="2"/>
        <v>34.266577642580003</v>
      </c>
      <c r="C104" s="2" t="str">
        <f t="shared" si="0"/>
        <v>11-2:55-60</v>
      </c>
      <c r="D104" s="8">
        <f t="shared" si="3"/>
        <v>3.5861456913817397E-2</v>
      </c>
      <c r="E104" s="8">
        <f t="shared" si="4"/>
        <v>1.0580646607099927E-2</v>
      </c>
      <c r="F104" s="3">
        <f t="shared" si="5"/>
        <v>3.3893445500536137</v>
      </c>
      <c r="G104" s="2">
        <f t="shared" si="14"/>
        <v>35.483122751195552</v>
      </c>
      <c r="H104" s="2">
        <f t="shared" si="14"/>
        <v>11.983354476191099</v>
      </c>
      <c r="I104" s="33">
        <f t="shared" si="7"/>
        <v>36.652289056068412</v>
      </c>
      <c r="K104" s="14">
        <f>VLOOKUP($C104,'Refi Adj'!$B$2:$E$32,2,0)</f>
        <v>1</v>
      </c>
      <c r="L104" s="14">
        <f>VLOOKUP($C104,'Refi Adj'!$B$2:$E$32,3,0)</f>
        <v>1</v>
      </c>
      <c r="M104" s="14">
        <f>VLOOKUP($C104,'Refi Adj'!$B$2:$E$32,4,0)</f>
        <v>1.1000000000000001</v>
      </c>
      <c r="O104" s="40">
        <f t="shared" si="8"/>
        <v>3.3653931188207996E-2</v>
      </c>
      <c r="P104" s="40">
        <f t="shared" si="9"/>
        <v>6.9048864209610601E-3</v>
      </c>
      <c r="Q104" s="40">
        <f t="shared" si="13"/>
        <v>3.3653931188207996E-2</v>
      </c>
      <c r="R104" s="14"/>
      <c r="S104" s="34">
        <f t="shared" si="10"/>
        <v>3.7329691374346864E-2</v>
      </c>
      <c r="T104" s="2">
        <f t="shared" si="11"/>
        <v>36.652289056068412</v>
      </c>
      <c r="U104" s="7">
        <f t="shared" si="12"/>
        <v>0.96066845434627823</v>
      </c>
      <c r="X104" s="9"/>
      <c r="Y104" s="8"/>
      <c r="Z104" s="8"/>
      <c r="AC104" s="9"/>
      <c r="AD104" s="8"/>
      <c r="AE104" s="8"/>
      <c r="AH104" s="9"/>
      <c r="AI104" s="8"/>
      <c r="AJ104" s="8"/>
    </row>
    <row r="105" spans="1:50" x14ac:dyDescent="0.25">
      <c r="A105" s="4">
        <f t="shared" si="1"/>
        <v>62.493872299298502</v>
      </c>
      <c r="B105" s="3">
        <f t="shared" si="2"/>
        <v>35.35960759164</v>
      </c>
      <c r="C105" s="2" t="str">
        <f t="shared" si="0"/>
        <v>11-3:60-65</v>
      </c>
      <c r="D105" s="8">
        <f t="shared" si="3"/>
        <v>3.7664536457675403E-2</v>
      </c>
      <c r="E105" s="8">
        <f t="shared" si="4"/>
        <v>1.1321232910211813E-2</v>
      </c>
      <c r="F105" s="3">
        <f t="shared" si="5"/>
        <v>3.3268935244412989</v>
      </c>
      <c r="G105" s="2">
        <f t="shared" si="14"/>
        <v>36.916194201583117</v>
      </c>
      <c r="H105" s="2">
        <f t="shared" si="14"/>
        <v>12.770679796848327</v>
      </c>
      <c r="I105" s="33">
        <f t="shared" si="7"/>
        <v>38.424982616724257</v>
      </c>
      <c r="K105" s="14">
        <f>VLOOKUP($C105,'Refi Adj'!$B$2:$E$32,2,0)</f>
        <v>1</v>
      </c>
      <c r="L105" s="14">
        <f>VLOOKUP($C105,'Refi Adj'!$B$2:$E$32,3,0)</f>
        <v>1</v>
      </c>
      <c r="M105" s="14">
        <f>VLOOKUP($C105,'Refi Adj'!$B$2:$E$32,4,0)</f>
        <v>1.1000000000000001</v>
      </c>
      <c r="O105" s="40">
        <f t="shared" si="8"/>
        <v>3.5819910234928268E-2</v>
      </c>
      <c r="P105" s="40">
        <f t="shared" si="9"/>
        <v>7.5372227963035696E-3</v>
      </c>
      <c r="Q105" s="40">
        <f t="shared" si="13"/>
        <v>3.5819910234928268E-2</v>
      </c>
      <c r="R105" s="14"/>
      <c r="S105" s="34">
        <f t="shared" si="10"/>
        <v>3.9603920348836509E-2</v>
      </c>
      <c r="T105" s="2">
        <f t="shared" si="11"/>
        <v>38.424982616724257</v>
      </c>
      <c r="U105" s="7">
        <f t="shared" si="12"/>
        <v>0.95103050723062865</v>
      </c>
      <c r="X105" s="9"/>
      <c r="Y105" s="8"/>
      <c r="Z105" s="8"/>
      <c r="AC105" s="9"/>
      <c r="AD105" s="8"/>
      <c r="AE105" s="8"/>
      <c r="AH105" s="9"/>
      <c r="AI105" s="8"/>
      <c r="AJ105" s="8"/>
    </row>
    <row r="106" spans="1:50" x14ac:dyDescent="0.25">
      <c r="A106" s="4">
        <f t="shared" si="1"/>
        <v>67.507788310346896</v>
      </c>
      <c r="B106" s="3">
        <f t="shared" si="2"/>
        <v>36.614565521389999</v>
      </c>
      <c r="C106" s="2" t="str">
        <f t="shared" si="0"/>
        <v>11-4:65-70</v>
      </c>
      <c r="D106" s="8">
        <f t="shared" si="3"/>
        <v>3.8211625487718101E-2</v>
      </c>
      <c r="E106" s="8">
        <f t="shared" si="4"/>
        <v>1.194006147561816E-2</v>
      </c>
      <c r="F106" s="3">
        <f t="shared" si="5"/>
        <v>3.2002871648313529</v>
      </c>
      <c r="G106" s="2">
        <f t="shared" si="14"/>
        <v>37.345209881536881</v>
      </c>
      <c r="H106" s="2">
        <f t="shared" si="14"/>
        <v>13.423606384207998</v>
      </c>
      <c r="I106" s="33">
        <f t="shared" si="7"/>
        <v>39.738135630662306</v>
      </c>
      <c r="K106" s="14">
        <f>VLOOKUP($C106,'Refi Adj'!$B$2:$E$32,2,0)</f>
        <v>1</v>
      </c>
      <c r="L106" s="14">
        <f>VLOOKUP($C106,'Refi Adj'!$B$2:$E$32,3,0)</f>
        <v>1</v>
      </c>
      <c r="M106" s="14">
        <f>VLOOKUP($C106,'Refi Adj'!$B$2:$E$32,4,0)</f>
        <v>1.1000000000000001</v>
      </c>
      <c r="O106" s="40">
        <f t="shared" si="8"/>
        <v>3.7484224558001433E-2</v>
      </c>
      <c r="P106" s="40">
        <f t="shared" si="9"/>
        <v>8.0966625121133198E-3</v>
      </c>
      <c r="Q106" s="40">
        <f t="shared" si="13"/>
        <v>3.7484224558001433E-2</v>
      </c>
      <c r="R106" s="14"/>
      <c r="S106" s="34">
        <f t="shared" si="10"/>
        <v>4.1327623521506276E-2</v>
      </c>
      <c r="T106" s="2">
        <f t="shared" si="11"/>
        <v>39.738135630662306</v>
      </c>
      <c r="U106" s="7">
        <f t="shared" si="12"/>
        <v>0.92460253534378389</v>
      </c>
      <c r="X106" s="9"/>
      <c r="Y106" s="8"/>
      <c r="Z106" s="8"/>
      <c r="AC106" s="9"/>
      <c r="AD106" s="8"/>
      <c r="AE106" s="8"/>
      <c r="AH106" s="9"/>
      <c r="AI106" s="8"/>
      <c r="AJ106" s="8"/>
    </row>
    <row r="107" spans="1:50" x14ac:dyDescent="0.25">
      <c r="A107" s="4">
        <f t="shared" si="1"/>
        <v>72.521817416847398</v>
      </c>
      <c r="B107" s="3">
        <f t="shared" si="2"/>
        <v>39.348474762839999</v>
      </c>
      <c r="C107" s="2" t="str">
        <f t="shared" si="0"/>
        <v>11:50-75</v>
      </c>
      <c r="D107" s="8">
        <f t="shared" si="3"/>
        <v>4.0093265411971897E-2</v>
      </c>
      <c r="E107" s="8">
        <f t="shared" si="4"/>
        <v>1.2758850789396939E-2</v>
      </c>
      <c r="F107" s="3">
        <f t="shared" si="5"/>
        <v>3.1423884543967575</v>
      </c>
      <c r="G107" s="2">
        <f t="shared" si="14"/>
        <v>38.800416896469478</v>
      </c>
      <c r="H107" s="2">
        <f t="shared" si="14"/>
        <v>14.280626783742612</v>
      </c>
      <c r="I107" s="33">
        <f t="shared" si="7"/>
        <v>41.590902039999456</v>
      </c>
      <c r="K107" s="14">
        <f>VLOOKUP($C107,'Refi Adj'!$B$2:$E$32,2,0)</f>
        <v>1</v>
      </c>
      <c r="L107" s="14">
        <f>VLOOKUP($C107,'Refi Adj'!$B$2:$E$32,3,0)</f>
        <v>1</v>
      </c>
      <c r="M107" s="14">
        <f>VLOOKUP($C107,'Refi Adj'!$B$2:$E$32,4,0)</f>
        <v>1.1000000000000001</v>
      </c>
      <c r="O107" s="40">
        <f t="shared" si="8"/>
        <v>3.9923847259640197E-2</v>
      </c>
      <c r="P107" s="40">
        <f t="shared" si="9"/>
        <v>8.8635481190462908E-3</v>
      </c>
      <c r="Q107" s="40">
        <f t="shared" si="13"/>
        <v>3.9923847259640197E-2</v>
      </c>
      <c r="R107" s="14"/>
      <c r="S107" s="34">
        <f t="shared" si="10"/>
        <v>4.3819149929990843E-2</v>
      </c>
      <c r="T107" s="2">
        <f t="shared" si="11"/>
        <v>41.590902039999456</v>
      </c>
      <c r="U107" s="7">
        <f t="shared" si="12"/>
        <v>0.91497131907004736</v>
      </c>
      <c r="X107" s="9"/>
      <c r="Y107" s="8"/>
      <c r="Z107" s="8"/>
      <c r="AC107" s="9"/>
      <c r="AD107" s="8"/>
      <c r="AE107" s="8"/>
      <c r="AH107" s="9"/>
      <c r="AI107" s="8"/>
      <c r="AJ107" s="8"/>
    </row>
    <row r="108" spans="1:50" x14ac:dyDescent="0.25">
      <c r="A108" s="4">
        <f t="shared" si="1"/>
        <v>86.381652336578298</v>
      </c>
      <c r="B108" s="3">
        <f t="shared" si="2"/>
        <v>155.58204514315</v>
      </c>
      <c r="C108" s="2" t="str">
        <f t="shared" si="0"/>
        <v>12:75-100</v>
      </c>
      <c r="D108" s="8">
        <f t="shared" si="3"/>
        <v>4.39182802487511E-2</v>
      </c>
      <c r="E108" s="8">
        <f t="shared" si="4"/>
        <v>1.4810868948979903E-2</v>
      </c>
      <c r="F108" s="3">
        <f t="shared" si="5"/>
        <v>2.9652737054145608</v>
      </c>
      <c r="G108" s="2">
        <f t="shared" si="14"/>
        <v>41.663526110259518</v>
      </c>
      <c r="H108" s="2">
        <f t="shared" si="14"/>
        <v>16.394404830351682</v>
      </c>
      <c r="I108" s="33">
        <f t="shared" si="7"/>
        <v>42.378191625709647</v>
      </c>
      <c r="K108" s="14">
        <f>VLOOKUP($C108,'Refi Adj'!$B$2:$E$32,2,0)</f>
        <v>1</v>
      </c>
      <c r="L108" s="14">
        <f>VLOOKUP($C108,'Refi Adj'!$B$2:$E$32,3,0)</f>
        <v>1</v>
      </c>
      <c r="M108" s="14">
        <f>VLOOKUP($C108,'Refi Adj'!$B$2:$E$32,4,0)</f>
        <v>1.02</v>
      </c>
      <c r="O108" s="40">
        <f t="shared" si="8"/>
        <v>4.0768513195645728E-2</v>
      </c>
      <c r="P108" s="40">
        <f t="shared" si="9"/>
        <v>1.06795183230117E-2</v>
      </c>
      <c r="Q108" s="40">
        <f t="shared" si="13"/>
        <v>4.0768513195645728E-2</v>
      </c>
      <c r="R108" s="14"/>
      <c r="S108" s="34">
        <f t="shared" si="10"/>
        <v>4.4899863821613935E-2</v>
      </c>
      <c r="T108" s="2">
        <f t="shared" si="11"/>
        <v>42.378191625709647</v>
      </c>
      <c r="U108" s="7">
        <f t="shared" si="12"/>
        <v>0.97813838418836541</v>
      </c>
      <c r="X108" s="9"/>
      <c r="Y108" s="8"/>
      <c r="Z108" s="8"/>
      <c r="AC108" s="9"/>
      <c r="AD108" s="8"/>
      <c r="AE108" s="8"/>
      <c r="AH108" s="9"/>
      <c r="AI108" s="8"/>
      <c r="AJ108" s="8"/>
    </row>
    <row r="109" spans="1:50" x14ac:dyDescent="0.25">
      <c r="A109" s="4">
        <f t="shared" si="1"/>
        <v>112.46931674505301</v>
      </c>
      <c r="B109" s="3">
        <f t="shared" si="2"/>
        <v>116.81054066302001</v>
      </c>
      <c r="C109" s="2" t="str">
        <f t="shared" si="0"/>
        <v>13:100-125</v>
      </c>
      <c r="D109" s="8">
        <f t="shared" si="3"/>
        <v>4.6579791109775802E-2</v>
      </c>
      <c r="E109" s="8">
        <f t="shared" si="4"/>
        <v>1.8543912400054728E-2</v>
      </c>
      <c r="F109" s="3">
        <f t="shared" si="5"/>
        <v>2.5118642767983705</v>
      </c>
      <c r="G109" s="2">
        <f t="shared" si="14"/>
        <v>43.582707923872796</v>
      </c>
      <c r="H109" s="2">
        <f t="shared" si="14"/>
        <v>20.117715308138131</v>
      </c>
      <c r="I109" s="33">
        <f t="shared" si="7"/>
        <v>43.147723930766155</v>
      </c>
      <c r="K109" s="14">
        <f>VLOOKUP($C109,'Refi Adj'!$B$2:$E$32,2,0)</f>
        <v>1</v>
      </c>
      <c r="L109" s="14">
        <f>VLOOKUP($C109,'Refi Adj'!$B$2:$E$32,3,0)</f>
        <v>1</v>
      </c>
      <c r="M109" s="14">
        <f>VLOOKUP($C109,'Refi Adj'!$B$2:$E$32,4,0)</f>
        <v>0.95</v>
      </c>
      <c r="O109" s="40">
        <f t="shared" si="8"/>
        <v>4.1402000337492771E-2</v>
      </c>
      <c r="P109" s="40">
        <f t="shared" si="9"/>
        <v>1.39765493662702E-2</v>
      </c>
      <c r="Q109" s="40">
        <f t="shared" si="13"/>
        <v>4.1402000337492771E-2</v>
      </c>
      <c r="R109" s="14"/>
      <c r="S109" s="34">
        <f t="shared" si="10"/>
        <v>4.59693633712773E-2</v>
      </c>
      <c r="T109" s="2">
        <f t="shared" si="11"/>
        <v>43.147723930766155</v>
      </c>
      <c r="U109" s="7">
        <f t="shared" si="12"/>
        <v>1.0132790122318707</v>
      </c>
      <c r="X109" s="9"/>
      <c r="Y109" s="8"/>
      <c r="Z109" s="8"/>
      <c r="AC109" s="9"/>
      <c r="AD109" s="8"/>
      <c r="AE109" s="8"/>
      <c r="AH109" s="9"/>
      <c r="AI109" s="8"/>
      <c r="AJ109" s="8"/>
    </row>
    <row r="110" spans="1:50" x14ac:dyDescent="0.25">
      <c r="A110" s="4">
        <f t="shared" ref="A110:A112" si="15">K31</f>
        <v>135.165840352559</v>
      </c>
      <c r="B110" s="3">
        <f t="shared" ref="B110:B112" si="16">AQ31/1000000000</f>
        <v>70.585895263649988</v>
      </c>
      <c r="C110" s="2" t="str">
        <f t="shared" ref="C110:C112" si="17">AO31</f>
        <v>14:125-150</v>
      </c>
      <c r="D110" s="8">
        <f t="shared" ref="D110:D112" si="18">E31</f>
        <v>4.7826772378772898E-2</v>
      </c>
      <c r="E110" s="8">
        <f t="shared" ref="E110:E112" si="19">Z31+AA31+AB31+AC31+AD31</f>
        <v>2.2302840235134912E-2</v>
      </c>
      <c r="F110" s="3">
        <f t="shared" ref="F110:F112" si="20">D110/E110</f>
        <v>2.1444251886550623</v>
      </c>
      <c r="G110" s="2">
        <f t="shared" ref="G110:G112" si="21">(1-(1-D110)^12)*100</f>
        <v>44.461826312466357</v>
      </c>
      <c r="H110" s="2">
        <f t="shared" ref="H110:H112" si="22">(1-(1-E110)^12)*100</f>
        <v>23.712700314193246</v>
      </c>
      <c r="I110" s="33">
        <f t="shared" ref="I110:I112" si="23">(1-(1-SUM(Z70,AA70,AB70,AC70,AD70*M110))^12)*100</f>
        <v>44.249223552806662</v>
      </c>
      <c r="K110" s="14">
        <f>VLOOKUP($C110,'Refi Adj'!$B$2:$E$32,2,0)</f>
        <v>1</v>
      </c>
      <c r="L110" s="14">
        <f>VLOOKUP($C110,'Refi Adj'!$B$2:$E$32,3,0)</f>
        <v>1</v>
      </c>
      <c r="M110" s="14">
        <f>VLOOKUP($C110,'Refi Adj'!$B$2:$E$32,4,0)</f>
        <v>0.92</v>
      </c>
      <c r="O110" s="40">
        <f t="shared" ref="O110:O112" si="24">AD70*M110</f>
        <v>4.2971385704767245E-2</v>
      </c>
      <c r="P110" s="40">
        <f t="shared" ref="P110:P112" si="25">AD31</f>
        <v>1.77506689483811E-2</v>
      </c>
      <c r="Q110" s="40">
        <f t="shared" ref="Q110:Q112" si="26">(O110*$O$80+P110*$P$80)</f>
        <v>4.2971385704767245E-2</v>
      </c>
      <c r="R110" s="14"/>
      <c r="S110" s="34">
        <f t="shared" ref="S110:S112" si="27">Z31+AA31+AB31*K110+AC31*L110+Q110</f>
        <v>4.7523556991521061E-2</v>
      </c>
      <c r="T110" s="2">
        <f t="shared" ref="T110:T112" si="28">100*(1-(1-S110)^12)</f>
        <v>44.249223552806662</v>
      </c>
      <c r="U110" s="7">
        <f t="shared" ref="U110:U112" si="29">D110/S110</f>
        <v>1.0063803176034558</v>
      </c>
      <c r="AC110" s="9"/>
      <c r="AD110" s="8"/>
      <c r="AE110" s="8"/>
      <c r="AH110" s="9"/>
      <c r="AI110" s="8"/>
      <c r="AJ110" s="8"/>
    </row>
    <row r="111" spans="1:50" x14ac:dyDescent="0.25">
      <c r="A111" s="4">
        <f t="shared" si="15"/>
        <v>158.98119960203701</v>
      </c>
      <c r="B111" s="3">
        <f t="shared" si="16"/>
        <v>13.76972352602</v>
      </c>
      <c r="C111" s="2" t="str">
        <f t="shared" si="17"/>
        <v>15:150-175</v>
      </c>
      <c r="D111" s="8">
        <f t="shared" si="18"/>
        <v>4.6985721498659802E-2</v>
      </c>
      <c r="E111" s="8">
        <f t="shared" si="19"/>
        <v>2.6908352841593611E-2</v>
      </c>
      <c r="F111" s="3">
        <f t="shared" si="20"/>
        <v>1.7461388950583248</v>
      </c>
      <c r="G111" s="2">
        <f t="shared" si="21"/>
        <v>43.870278179376513</v>
      </c>
      <c r="H111" s="2">
        <f t="shared" si="22"/>
        <v>27.914994485495559</v>
      </c>
      <c r="I111" s="33">
        <f t="shared" si="23"/>
        <v>44.691468528141129</v>
      </c>
      <c r="K111" s="14">
        <f>VLOOKUP($C111,'Refi Adj'!$B$2:$E$32,2,0)</f>
        <v>1</v>
      </c>
      <c r="L111" s="14">
        <f>VLOOKUP($C111,'Refi Adj'!$B$2:$E$32,3,0)</f>
        <v>1</v>
      </c>
      <c r="M111" s="14">
        <f>VLOOKUP($C111,'Refi Adj'!$B$2:$E$32,4,0)</f>
        <v>0.9</v>
      </c>
      <c r="O111" s="40">
        <f t="shared" si="24"/>
        <v>4.3329220545283022E-2</v>
      </c>
      <c r="P111" s="40">
        <f t="shared" si="25"/>
        <v>2.2082086175333401E-2</v>
      </c>
      <c r="Q111" s="40">
        <f t="shared" si="26"/>
        <v>4.3329220545283022E-2</v>
      </c>
      <c r="R111" s="14"/>
      <c r="S111" s="34">
        <f t="shared" si="27"/>
        <v>4.8155487211543231E-2</v>
      </c>
      <c r="T111" s="2">
        <f t="shared" si="28"/>
        <v>44.691468528141129</v>
      </c>
      <c r="U111" s="7">
        <f t="shared" si="29"/>
        <v>0.97570856862594413</v>
      </c>
    </row>
    <row r="112" spans="1:50" s="17" customFormat="1" x14ac:dyDescent="0.25">
      <c r="A112" s="4">
        <f t="shared" si="15"/>
        <v>182.017792973924</v>
      </c>
      <c r="B112" s="3">
        <f t="shared" si="16"/>
        <v>1.59240647506</v>
      </c>
      <c r="C112" s="2" t="str">
        <f t="shared" si="17"/>
        <v>16:175-200</v>
      </c>
      <c r="D112" s="8">
        <f t="shared" si="18"/>
        <v>4.31747958192161E-2</v>
      </c>
      <c r="E112" s="8">
        <f t="shared" si="19"/>
        <v>3.5460629521943988E-2</v>
      </c>
      <c r="F112" s="3">
        <f t="shared" si="20"/>
        <v>1.2175417188377431</v>
      </c>
      <c r="G112" s="2">
        <f t="shared" si="21"/>
        <v>41.116816630271593</v>
      </c>
      <c r="H112" s="2">
        <f t="shared" si="22"/>
        <v>35.160521677072644</v>
      </c>
      <c r="I112" s="33" t="e">
        <f t="shared" si="23"/>
        <v>#N/A</v>
      </c>
      <c r="J112"/>
      <c r="K112" s="14" t="e">
        <f>VLOOKUP($C112,'Refi Adj'!$B$2:$E$32,2,0)</f>
        <v>#N/A</v>
      </c>
      <c r="L112" s="14" t="e">
        <f>VLOOKUP($C112,'Refi Adj'!$B$2:$E$32,3,0)</f>
        <v>#N/A</v>
      </c>
      <c r="M112" s="14" t="e">
        <f>VLOOKUP($C112,'Refi Adj'!$B$2:$E$32,4,0)</f>
        <v>#N/A</v>
      </c>
      <c r="N112"/>
      <c r="O112" s="40" t="e">
        <f t="shared" si="24"/>
        <v>#N/A</v>
      </c>
      <c r="P112" s="40">
        <f t="shared" si="25"/>
        <v>3.0439067713228098E-2</v>
      </c>
      <c r="Q112" s="40" t="e">
        <f t="shared" si="26"/>
        <v>#N/A</v>
      </c>
      <c r="R112" s="14"/>
      <c r="S112" s="34" t="e">
        <f t="shared" si="27"/>
        <v>#N/A</v>
      </c>
      <c r="T112" s="2" t="e">
        <f t="shared" si="28"/>
        <v>#N/A</v>
      </c>
      <c r="U112" s="7" t="e">
        <f t="shared" si="29"/>
        <v>#N/A</v>
      </c>
      <c r="X112" s="18"/>
      <c r="Y112" s="16"/>
      <c r="Z112" s="16"/>
      <c r="AC112" s="18"/>
      <c r="AD112" s="16"/>
      <c r="AE112" s="16"/>
    </row>
    <row r="113" spans="1:51" s="17" customFormat="1" x14ac:dyDescent="0.25">
      <c r="A113" s="15"/>
      <c r="B113" s="20"/>
      <c r="C113" s="21"/>
      <c r="D113" s="16"/>
      <c r="E113" s="16"/>
      <c r="F113" s="20"/>
      <c r="G113" s="21"/>
      <c r="H113" s="21"/>
      <c r="K113" s="14"/>
      <c r="L113" s="14"/>
      <c r="M113" s="14"/>
      <c r="N113" s="16"/>
      <c r="O113" s="21"/>
      <c r="P113" s="22"/>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5"/>
      <c r="L115" s="15"/>
      <c r="M115" s="15"/>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23"/>
      <c r="N116" s="16"/>
      <c r="O116" s="21"/>
      <c r="P116" s="22"/>
      <c r="X116" s="18"/>
      <c r="Y116" s="16"/>
      <c r="Z116" s="16"/>
      <c r="AC116" s="18"/>
      <c r="AD116" s="16"/>
      <c r="AE116" s="16"/>
    </row>
    <row r="119" spans="1:51" s="41" customFormat="1" x14ac:dyDescent="0.25"/>
    <row r="120" spans="1:51" x14ac:dyDescent="0.25">
      <c r="A120" t="s">
        <v>180</v>
      </c>
      <c r="C120" t="s">
        <v>125</v>
      </c>
      <c r="F120" t="s">
        <v>166</v>
      </c>
      <c r="AS120" s="17" t="s">
        <v>88</v>
      </c>
      <c r="AT120" s="17" t="s">
        <v>89</v>
      </c>
      <c r="AU120" s="17"/>
      <c r="AV120" s="17"/>
      <c r="AW120" s="17" t="s">
        <v>90</v>
      </c>
      <c r="AX120" s="17"/>
    </row>
    <row r="121" spans="1:51" x14ac:dyDescent="0.25">
      <c r="A121" t="s">
        <v>20</v>
      </c>
      <c r="B121" t="s">
        <v>21</v>
      </c>
      <c r="C121" t="s">
        <v>22</v>
      </c>
      <c r="D121" t="s">
        <v>23</v>
      </c>
      <c r="E121" t="s">
        <v>94</v>
      </c>
      <c r="F121" t="s">
        <v>95</v>
      </c>
      <c r="G121" t="s">
        <v>24</v>
      </c>
      <c r="H121" t="s">
        <v>25</v>
      </c>
      <c r="I121" t="s">
        <v>26</v>
      </c>
      <c r="J121" t="s">
        <v>27</v>
      </c>
      <c r="K121" t="s">
        <v>28</v>
      </c>
      <c r="L121" t="s">
        <v>29</v>
      </c>
      <c r="M121" t="s">
        <v>30</v>
      </c>
      <c r="N121" t="s">
        <v>31</v>
      </c>
      <c r="O121" t="s">
        <v>32</v>
      </c>
      <c r="P121" t="s">
        <v>33</v>
      </c>
      <c r="Q121" t="s">
        <v>34</v>
      </c>
      <c r="R121" t="s">
        <v>35</v>
      </c>
      <c r="S121" t="s">
        <v>36</v>
      </c>
      <c r="T121" t="s">
        <v>37</v>
      </c>
      <c r="U121" t="s">
        <v>38</v>
      </c>
      <c r="V121" t="s">
        <v>39</v>
      </c>
      <c r="W121" t="s">
        <v>40</v>
      </c>
      <c r="X121" t="s">
        <v>41</v>
      </c>
      <c r="Y121" t="s">
        <v>42</v>
      </c>
      <c r="Z121" t="s">
        <v>43</v>
      </c>
      <c r="AA121" t="s">
        <v>44</v>
      </c>
      <c r="AB121" s="1" t="s">
        <v>45</v>
      </c>
      <c r="AC121" s="1" t="s">
        <v>46</v>
      </c>
      <c r="AD121" s="1" t="s">
        <v>47</v>
      </c>
      <c r="AE121" t="s">
        <v>48</v>
      </c>
      <c r="AF121" t="s">
        <v>49</v>
      </c>
      <c r="AG121" t="s">
        <v>50</v>
      </c>
      <c r="AH121" t="s">
        <v>51</v>
      </c>
      <c r="AI121" t="s">
        <v>52</v>
      </c>
      <c r="AJ121" t="s">
        <v>53</v>
      </c>
      <c r="AK121" t="s">
        <v>54</v>
      </c>
      <c r="AL121" t="s">
        <v>55</v>
      </c>
      <c r="AM121" t="s">
        <v>56</v>
      </c>
      <c r="AN121" t="s">
        <v>57</v>
      </c>
      <c r="AO121" t="s">
        <v>58</v>
      </c>
      <c r="AP121" t="s">
        <v>59</v>
      </c>
      <c r="AQ121" t="s">
        <v>60</v>
      </c>
      <c r="AR121" t="s">
        <v>61</v>
      </c>
      <c r="AS121" s="19" t="s">
        <v>116</v>
      </c>
      <c r="AT121" s="19" t="s">
        <v>117</v>
      </c>
      <c r="AU121" s="17" t="s">
        <v>118</v>
      </c>
      <c r="AV121" s="17" t="s">
        <v>119</v>
      </c>
      <c r="AW121" s="19" t="s">
        <v>120</v>
      </c>
      <c r="AX121" s="17" t="s">
        <v>121</v>
      </c>
      <c r="AY121" t="s">
        <v>171</v>
      </c>
    </row>
    <row r="122" spans="1:51" x14ac:dyDescent="0.25">
      <c r="A122">
        <v>97</v>
      </c>
      <c r="B122" s="4">
        <v>0.98205363700914705</v>
      </c>
      <c r="C122" s="4">
        <v>0</v>
      </c>
      <c r="D122" s="4">
        <v>19.5321309408702</v>
      </c>
      <c r="E122" s="4">
        <v>0</v>
      </c>
      <c r="F122" s="5">
        <v>1.79463629908523E-2</v>
      </c>
      <c r="G122" s="5">
        <v>0</v>
      </c>
      <c r="H122" s="4">
        <v>5.0073041679842198</v>
      </c>
      <c r="I122" s="4">
        <v>3.8587570826493698</v>
      </c>
      <c r="J122" s="4">
        <v>-7.7679575478322702</v>
      </c>
      <c r="K122" s="4">
        <v>45.850296896758998</v>
      </c>
      <c r="L122" s="4">
        <v>100</v>
      </c>
      <c r="M122" s="4">
        <v>38.235944426876998</v>
      </c>
      <c r="N122" s="4">
        <v>54.294377770750799</v>
      </c>
      <c r="O122" s="4">
        <v>6.1854485354935402</v>
      </c>
      <c r="P122" s="4">
        <v>28883.501833127801</v>
      </c>
      <c r="Q122" s="4">
        <v>26580.115000000002</v>
      </c>
      <c r="R122" s="4">
        <v>778.29216671936797</v>
      </c>
      <c r="S122" s="4">
        <v>0</v>
      </c>
      <c r="T122" s="4">
        <v>0</v>
      </c>
      <c r="U122" s="4">
        <v>0</v>
      </c>
      <c r="V122" s="4">
        <v>0.35281111462459802</v>
      </c>
      <c r="W122" s="4">
        <v>0</v>
      </c>
      <c r="X122" s="4">
        <v>0</v>
      </c>
      <c r="Y122" s="4">
        <v>0</v>
      </c>
      <c r="Z122" s="5">
        <v>1.03643553667487E-2</v>
      </c>
      <c r="AA122" s="5">
        <v>4.1857955041014599E-4</v>
      </c>
      <c r="AB122" s="10">
        <v>6.9299003284109097E-3</v>
      </c>
      <c r="AC122" s="10">
        <v>0</v>
      </c>
      <c r="AD122" s="10">
        <v>2.3351774528251599E-4</v>
      </c>
      <c r="AE122" s="4">
        <v>-6.4847236463565106E-2</v>
      </c>
      <c r="AF122" s="4">
        <v>1</v>
      </c>
      <c r="AG122" s="4">
        <v>1</v>
      </c>
      <c r="AH122" s="4">
        <v>1</v>
      </c>
      <c r="AI122" s="4">
        <v>1</v>
      </c>
      <c r="AJ122" s="4">
        <v>1</v>
      </c>
      <c r="AK122" s="4">
        <v>1</v>
      </c>
      <c r="AL122" s="4">
        <v>1</v>
      </c>
      <c r="AM122" s="4">
        <v>0</v>
      </c>
      <c r="AN122" s="4">
        <v>0</v>
      </c>
      <c r="AO122" s="4" t="s">
        <v>70</v>
      </c>
      <c r="AP122" s="4" t="s">
        <v>71</v>
      </c>
      <c r="AQ122" s="6">
        <v>53160.23</v>
      </c>
      <c r="AR122" s="4">
        <v>2</v>
      </c>
      <c r="AS122" s="15">
        <v>0</v>
      </c>
      <c r="AT122" s="15">
        <v>64.718888537540096</v>
      </c>
      <c r="AU122" s="15">
        <v>64.718888537540096</v>
      </c>
      <c r="AV122" s="15">
        <v>35.281111462459798</v>
      </c>
      <c r="AW122" s="15">
        <v>35.281111462459798</v>
      </c>
      <c r="AX122" s="15">
        <v>0</v>
      </c>
      <c r="AY122" s="31">
        <v>2048.3802431046602</v>
      </c>
    </row>
    <row r="123" spans="1:51" x14ac:dyDescent="0.25">
      <c r="A123">
        <v>97</v>
      </c>
      <c r="B123" s="4">
        <v>0.97712858000000002</v>
      </c>
      <c r="C123" s="4">
        <v>0</v>
      </c>
      <c r="D123" s="4">
        <v>24.243379317178398</v>
      </c>
      <c r="E123" s="4">
        <v>0</v>
      </c>
      <c r="F123" s="5">
        <v>2.287142E-2</v>
      </c>
      <c r="G123" s="5">
        <v>0</v>
      </c>
      <c r="H123" s="4">
        <v>5.25</v>
      </c>
      <c r="I123" s="4">
        <v>3.8890630000000002</v>
      </c>
      <c r="J123" s="4">
        <v>15.349500000000001</v>
      </c>
      <c r="K123" s="4">
        <v>58.82</v>
      </c>
      <c r="L123" s="4">
        <v>100</v>
      </c>
      <c r="M123" s="4">
        <v>36</v>
      </c>
      <c r="N123" s="4">
        <v>53</v>
      </c>
      <c r="O123" s="4">
        <v>2.17</v>
      </c>
      <c r="P123" s="4">
        <v>16446.75</v>
      </c>
      <c r="Q123" s="4">
        <v>16446.75</v>
      </c>
      <c r="R123" s="4">
        <v>788</v>
      </c>
      <c r="S123" s="4">
        <v>0</v>
      </c>
      <c r="T123" s="4">
        <v>0</v>
      </c>
      <c r="U123" s="4">
        <v>0</v>
      </c>
      <c r="V123" s="4">
        <v>1</v>
      </c>
      <c r="W123" s="4">
        <v>0</v>
      </c>
      <c r="X123" s="4">
        <v>0</v>
      </c>
      <c r="Y123" s="4">
        <v>0</v>
      </c>
      <c r="Z123" s="5">
        <v>1.4091060000000001E-2</v>
      </c>
      <c r="AA123" s="5">
        <v>5.9011999999999997E-4</v>
      </c>
      <c r="AB123" s="10">
        <v>8.0348499999999996E-3</v>
      </c>
      <c r="AC123" s="10">
        <v>0</v>
      </c>
      <c r="AD123" s="10">
        <v>1.5537999999999999E-4</v>
      </c>
      <c r="AE123" s="4">
        <v>-3.6703079895407401E-2</v>
      </c>
      <c r="AF123" s="4">
        <v>1</v>
      </c>
      <c r="AG123" s="4">
        <v>1</v>
      </c>
      <c r="AH123" s="4">
        <v>1</v>
      </c>
      <c r="AI123" s="4">
        <v>1</v>
      </c>
      <c r="AJ123" s="4">
        <v>1</v>
      </c>
      <c r="AK123" s="4">
        <v>1</v>
      </c>
      <c r="AL123" s="4">
        <v>1</v>
      </c>
      <c r="AM123" s="4">
        <v>0</v>
      </c>
      <c r="AN123" s="4">
        <v>0</v>
      </c>
      <c r="AO123" s="4" t="s">
        <v>150</v>
      </c>
      <c r="AP123" s="4" t="s">
        <v>134</v>
      </c>
      <c r="AQ123" s="6">
        <v>16446.75</v>
      </c>
      <c r="AR123" s="4">
        <v>1</v>
      </c>
      <c r="AS123" s="15">
        <v>0</v>
      </c>
      <c r="AT123" s="15">
        <v>0</v>
      </c>
      <c r="AU123" s="15">
        <v>0</v>
      </c>
      <c r="AV123" s="15">
        <v>100</v>
      </c>
      <c r="AW123" s="15">
        <v>100</v>
      </c>
      <c r="AX123" s="15">
        <v>0</v>
      </c>
      <c r="AY123" s="31">
        <v>2114.96</v>
      </c>
    </row>
    <row r="124" spans="1:51" x14ac:dyDescent="0.25">
      <c r="A124">
        <v>97</v>
      </c>
      <c r="B124" s="4">
        <v>0.98826510999999995</v>
      </c>
      <c r="C124" s="4">
        <v>0</v>
      </c>
      <c r="D124" s="4">
        <v>13.207627900865001</v>
      </c>
      <c r="E124" s="4">
        <v>0</v>
      </c>
      <c r="F124" s="5">
        <v>1.173489E-2</v>
      </c>
      <c r="G124" s="5">
        <v>0</v>
      </c>
      <c r="H124" s="4">
        <v>5</v>
      </c>
      <c r="I124" s="4">
        <v>4.1538250000000003</v>
      </c>
      <c r="J124" s="4">
        <v>-14.481199999999999</v>
      </c>
      <c r="K124" s="4">
        <v>65.92</v>
      </c>
      <c r="L124" s="4">
        <v>17.18</v>
      </c>
      <c r="M124" s="4">
        <v>26</v>
      </c>
      <c r="N124" s="4">
        <v>95</v>
      </c>
      <c r="O124" s="4">
        <v>79.180000000000007</v>
      </c>
      <c r="P124" s="4">
        <v>232170.07</v>
      </c>
      <c r="Q124" s="4">
        <v>232170.07</v>
      </c>
      <c r="R124" s="4">
        <v>770</v>
      </c>
      <c r="S124" s="4">
        <v>0</v>
      </c>
      <c r="T124" s="4">
        <v>0</v>
      </c>
      <c r="U124" s="4">
        <v>0</v>
      </c>
      <c r="V124" s="4">
        <v>0</v>
      </c>
      <c r="W124" s="4">
        <v>0</v>
      </c>
      <c r="X124" s="4">
        <v>1</v>
      </c>
      <c r="Y124" s="4">
        <v>0</v>
      </c>
      <c r="Z124" s="5">
        <v>8.03E-4</v>
      </c>
      <c r="AA124" s="5">
        <v>2.9902999999999999E-4</v>
      </c>
      <c r="AB124" s="10">
        <v>3.5227399999999999E-3</v>
      </c>
      <c r="AC124" s="10">
        <v>0</v>
      </c>
      <c r="AD124" s="10">
        <v>7.1101200000000002E-3</v>
      </c>
      <c r="AE124" s="4">
        <v>-2.60238420301135E-2</v>
      </c>
      <c r="AF124" s="4">
        <v>1</v>
      </c>
      <c r="AG124" s="4">
        <v>1</v>
      </c>
      <c r="AH124" s="4">
        <v>1</v>
      </c>
      <c r="AI124" s="4">
        <v>1</v>
      </c>
      <c r="AJ124" s="4">
        <v>1</v>
      </c>
      <c r="AK124" s="4">
        <v>1</v>
      </c>
      <c r="AL124" s="4">
        <v>1</v>
      </c>
      <c r="AM124" s="4">
        <v>0</v>
      </c>
      <c r="AN124" s="4">
        <v>0</v>
      </c>
      <c r="AO124" s="4" t="s">
        <v>152</v>
      </c>
      <c r="AP124" s="4" t="s">
        <v>136</v>
      </c>
      <c r="AQ124" s="6">
        <v>232170.07</v>
      </c>
      <c r="AR124" s="4">
        <v>1</v>
      </c>
      <c r="AS124" s="15">
        <v>0</v>
      </c>
      <c r="AT124" s="15">
        <v>100</v>
      </c>
      <c r="AU124" s="15">
        <v>100</v>
      </c>
      <c r="AV124" s="15">
        <v>0</v>
      </c>
      <c r="AW124" s="15">
        <v>0</v>
      </c>
      <c r="AX124" s="15">
        <v>0</v>
      </c>
      <c r="AY124" s="31">
        <v>2007.21</v>
      </c>
    </row>
    <row r="125" spans="1:51" x14ac:dyDescent="0.25">
      <c r="A125">
        <v>97</v>
      </c>
      <c r="B125" s="4">
        <v>0.98596422124986605</v>
      </c>
      <c r="C125" s="4">
        <v>31.735277406766802</v>
      </c>
      <c r="D125" s="4">
        <v>15.601667495132199</v>
      </c>
      <c r="E125" s="4">
        <v>3.1313990262908799E-2</v>
      </c>
      <c r="F125" s="5">
        <v>1.40357787501336E-2</v>
      </c>
      <c r="G125" s="5">
        <v>0</v>
      </c>
      <c r="H125" s="4">
        <v>4.9804384293016399</v>
      </c>
      <c r="I125" s="4">
        <v>4.0911030379198401</v>
      </c>
      <c r="J125" s="4">
        <v>-2.4334576543689899</v>
      </c>
      <c r="K125" s="4">
        <v>71.878077995950505</v>
      </c>
      <c r="L125" s="4">
        <v>29.082250803690801</v>
      </c>
      <c r="M125" s="4">
        <v>31.443907676979698</v>
      </c>
      <c r="N125" s="4">
        <v>84.867200245266901</v>
      </c>
      <c r="O125" s="4">
        <v>64.273713047745503</v>
      </c>
      <c r="P125" s="4">
        <v>231308.58544930001</v>
      </c>
      <c r="Q125" s="4">
        <v>89953.178181818104</v>
      </c>
      <c r="R125" s="4">
        <v>771.59719130041105</v>
      </c>
      <c r="S125" s="4">
        <v>0</v>
      </c>
      <c r="T125" s="4">
        <v>0</v>
      </c>
      <c r="U125" s="4">
        <v>0</v>
      </c>
      <c r="V125" s="4">
        <v>5.2587469343647199E-2</v>
      </c>
      <c r="W125" s="4">
        <v>0</v>
      </c>
      <c r="X125" s="4">
        <v>0.27504309918970299</v>
      </c>
      <c r="Y125" s="4">
        <v>0</v>
      </c>
      <c r="Z125" s="5">
        <v>2.1991696951558499E-3</v>
      </c>
      <c r="AA125" s="5">
        <v>2.1787541964447799E-4</v>
      </c>
      <c r="AB125" s="10">
        <v>4.6047121189032496E-3</v>
      </c>
      <c r="AC125" s="10">
        <v>0</v>
      </c>
      <c r="AD125" s="10">
        <v>7.0140027373375097E-3</v>
      </c>
      <c r="AE125" s="4">
        <v>-5.8853977838413201E-4</v>
      </c>
      <c r="AF125" s="4">
        <v>0.945650189569329</v>
      </c>
      <c r="AG125" s="4">
        <v>1</v>
      </c>
      <c r="AH125" s="4">
        <v>1</v>
      </c>
      <c r="AI125" s="4">
        <v>1</v>
      </c>
      <c r="AJ125" s="4">
        <v>1</v>
      </c>
      <c r="AK125" s="4">
        <v>1</v>
      </c>
      <c r="AL125" s="4">
        <v>1</v>
      </c>
      <c r="AM125" s="4">
        <v>0</v>
      </c>
      <c r="AN125" s="4">
        <v>0</v>
      </c>
      <c r="AO125" s="4" t="s">
        <v>72</v>
      </c>
      <c r="AP125" s="4" t="s">
        <v>73</v>
      </c>
      <c r="AQ125" s="6">
        <v>989484.96</v>
      </c>
      <c r="AR125" s="4">
        <v>11</v>
      </c>
      <c r="AS125" s="15">
        <v>0</v>
      </c>
      <c r="AT125" s="15">
        <v>94.741253065635206</v>
      </c>
      <c r="AU125" s="15">
        <v>94.741253065635206</v>
      </c>
      <c r="AV125" s="15">
        <v>5.2587469343647202</v>
      </c>
      <c r="AW125" s="15">
        <v>5.2587469343647202</v>
      </c>
      <c r="AX125" s="15">
        <v>0</v>
      </c>
      <c r="AY125">
        <v>2085.51504008964</v>
      </c>
    </row>
    <row r="126" spans="1:51" x14ac:dyDescent="0.25">
      <c r="A126">
        <v>97</v>
      </c>
      <c r="B126" s="4">
        <v>0.985032776015071</v>
      </c>
      <c r="C126" s="4">
        <v>75.124019535480699</v>
      </c>
      <c r="D126" s="4">
        <v>16.553490037770199</v>
      </c>
      <c r="E126" s="4">
        <v>0.109470418065753</v>
      </c>
      <c r="F126" s="5">
        <v>1.49672239849286E-2</v>
      </c>
      <c r="G126" s="5">
        <v>0</v>
      </c>
      <c r="H126" s="4">
        <v>5.0874262883111898</v>
      </c>
      <c r="I126" s="4">
        <v>3.8991321592864501</v>
      </c>
      <c r="J126" s="4">
        <v>4.6528774739591103</v>
      </c>
      <c r="K126" s="4">
        <v>92.496267748053299</v>
      </c>
      <c r="L126" s="4">
        <v>46.9228838633883</v>
      </c>
      <c r="M126" s="4">
        <v>34.635218935948203</v>
      </c>
      <c r="N126" s="4">
        <v>79.346613803623896</v>
      </c>
      <c r="O126" s="4">
        <v>48.924294121475803</v>
      </c>
      <c r="P126" s="4">
        <v>163922.02523695899</v>
      </c>
      <c r="Q126" s="4">
        <v>63864.501960784299</v>
      </c>
      <c r="R126" s="4">
        <v>775.13983581845503</v>
      </c>
      <c r="S126" s="4">
        <v>0</v>
      </c>
      <c r="T126" s="4">
        <v>0</v>
      </c>
      <c r="U126" s="4">
        <v>0</v>
      </c>
      <c r="V126" s="4">
        <v>0.34323436327941298</v>
      </c>
      <c r="W126" s="4">
        <v>0</v>
      </c>
      <c r="X126" s="4">
        <v>0.35260476254629203</v>
      </c>
      <c r="Y126" s="4">
        <v>0</v>
      </c>
      <c r="Z126" s="5">
        <v>3.5263311692951701E-3</v>
      </c>
      <c r="AA126" s="5">
        <v>4.4628964594606101E-4</v>
      </c>
      <c r="AB126" s="10">
        <v>5.1085607535648796E-3</v>
      </c>
      <c r="AC126" s="10">
        <v>2.3829554986942899E-5</v>
      </c>
      <c r="AD126" s="10">
        <v>5.8621989488794202E-3</v>
      </c>
      <c r="AE126" s="4">
        <v>1.3044208218705699E-2</v>
      </c>
      <c r="AF126" s="4">
        <v>0.848615567714194</v>
      </c>
      <c r="AG126" s="4">
        <v>0.98179977148924602</v>
      </c>
      <c r="AH126" s="4">
        <v>0.98179977148924602</v>
      </c>
      <c r="AI126" s="4">
        <v>0.99703063894834199</v>
      </c>
      <c r="AJ126" s="4">
        <v>1</v>
      </c>
      <c r="AK126" s="4">
        <v>1</v>
      </c>
      <c r="AL126" s="4">
        <v>1</v>
      </c>
      <c r="AM126" s="4">
        <v>0</v>
      </c>
      <c r="AN126" s="4">
        <v>0</v>
      </c>
      <c r="AO126" s="4" t="s">
        <v>74</v>
      </c>
      <c r="AP126" s="4" t="s">
        <v>75</v>
      </c>
      <c r="AQ126" s="6">
        <v>6514179.2000000002</v>
      </c>
      <c r="AR126" s="4">
        <v>102</v>
      </c>
      <c r="AS126" s="15">
        <v>0</v>
      </c>
      <c r="AT126" s="15">
        <v>65.676563672058606</v>
      </c>
      <c r="AU126" s="15">
        <v>65.676563672058606</v>
      </c>
      <c r="AV126" s="15">
        <v>34.323436327941302</v>
      </c>
      <c r="AW126" s="15">
        <v>34.323436327941302</v>
      </c>
      <c r="AX126" s="15">
        <v>0</v>
      </c>
      <c r="AY126">
        <v>2232.8265864746299</v>
      </c>
    </row>
    <row r="127" spans="1:51" x14ac:dyDescent="0.25">
      <c r="A127">
        <v>97</v>
      </c>
      <c r="B127" s="4">
        <v>0.98333707511725998</v>
      </c>
      <c r="C127" s="4">
        <v>41.152210633880102</v>
      </c>
      <c r="D127" s="4">
        <v>18.261066666000598</v>
      </c>
      <c r="E127" s="4">
        <v>4.3222737079615603E-2</v>
      </c>
      <c r="F127" s="5">
        <v>1.66629248827391E-2</v>
      </c>
      <c r="G127" s="5">
        <v>0</v>
      </c>
      <c r="H127" s="4">
        <v>5.1566288950098702</v>
      </c>
      <c r="I127" s="4">
        <v>3.8626142054681698</v>
      </c>
      <c r="J127" s="4">
        <v>7.4998932782244001</v>
      </c>
      <c r="K127" s="4">
        <v>117.342308486322</v>
      </c>
      <c r="L127" s="4">
        <v>30.356748064891601</v>
      </c>
      <c r="M127" s="4">
        <v>36.270305423053998</v>
      </c>
      <c r="N127" s="4">
        <v>79.198828528754305</v>
      </c>
      <c r="O127" s="4">
        <v>56.200870835114401</v>
      </c>
      <c r="P127" s="4">
        <v>182615.02382989501</v>
      </c>
      <c r="Q127" s="4">
        <v>124724.042230046</v>
      </c>
      <c r="R127" s="4">
        <v>777.94792253176399</v>
      </c>
      <c r="S127" s="4">
        <v>0</v>
      </c>
      <c r="T127" s="4">
        <v>0</v>
      </c>
      <c r="U127" s="4">
        <v>1.2453105771508301E-2</v>
      </c>
      <c r="V127" s="4">
        <v>0.35469301511771101</v>
      </c>
      <c r="W127" s="4">
        <v>0</v>
      </c>
      <c r="X127" s="4">
        <v>0.45074757667843401</v>
      </c>
      <c r="Y127" s="4">
        <v>0</v>
      </c>
      <c r="Z127" s="5">
        <v>1.6673738032852701E-3</v>
      </c>
      <c r="AA127" s="5">
        <v>5.1598675583165298E-4</v>
      </c>
      <c r="AB127" s="10">
        <v>4.9197501347803298E-3</v>
      </c>
      <c r="AC127" s="10">
        <v>5.0875095141999104E-6</v>
      </c>
      <c r="AD127" s="10">
        <v>9.5547115026282901E-3</v>
      </c>
      <c r="AE127" s="4">
        <v>-8.7515520667380293E-3</v>
      </c>
      <c r="AF127" s="4">
        <v>0.81499603835543499</v>
      </c>
      <c r="AG127" s="4">
        <v>0.99409152754433705</v>
      </c>
      <c r="AH127" s="4">
        <v>1</v>
      </c>
      <c r="AI127" s="4">
        <v>1</v>
      </c>
      <c r="AJ127" s="4">
        <v>1</v>
      </c>
      <c r="AK127" s="4">
        <v>1</v>
      </c>
      <c r="AL127" s="4">
        <v>1</v>
      </c>
      <c r="AM127" s="4">
        <v>0</v>
      </c>
      <c r="AN127" s="4">
        <v>0</v>
      </c>
      <c r="AO127" s="4" t="s">
        <v>76</v>
      </c>
      <c r="AP127" s="4" t="s">
        <v>77</v>
      </c>
      <c r="AQ127" s="6">
        <v>53132441.990000002</v>
      </c>
      <c r="AR127" s="4">
        <v>426</v>
      </c>
      <c r="AS127" s="15">
        <v>0</v>
      </c>
      <c r="AT127" s="15">
        <v>64.530698488228794</v>
      </c>
      <c r="AU127" s="15">
        <v>64.530698488228794</v>
      </c>
      <c r="AV127" s="15">
        <v>35.4693015117711</v>
      </c>
      <c r="AW127" s="15">
        <v>35.4693015117711</v>
      </c>
      <c r="AX127" s="15">
        <v>0</v>
      </c>
      <c r="AY127">
        <v>2251.1840630444199</v>
      </c>
    </row>
    <row r="128" spans="1:51" x14ac:dyDescent="0.25">
      <c r="A128">
        <v>97</v>
      </c>
      <c r="B128" s="4">
        <v>0.97705967451932496</v>
      </c>
      <c r="C128" s="4">
        <v>42.593394175043898</v>
      </c>
      <c r="D128" s="4">
        <v>24.30746122835</v>
      </c>
      <c r="E128" s="4">
        <v>4.5197628195578002E-2</v>
      </c>
      <c r="F128" s="5">
        <v>2.29403254806748E-2</v>
      </c>
      <c r="G128" s="5">
        <v>0</v>
      </c>
      <c r="H128" s="4">
        <v>5.14599848903873</v>
      </c>
      <c r="I128" s="4">
        <v>3.8623083493636798</v>
      </c>
      <c r="J128" s="4">
        <v>5.7406040455530798</v>
      </c>
      <c r="K128" s="4">
        <v>140.24589755189501</v>
      </c>
      <c r="L128" s="4">
        <v>15.5735861940892</v>
      </c>
      <c r="M128" s="4">
        <v>35.9830764752734</v>
      </c>
      <c r="N128" s="4">
        <v>61.597253376050702</v>
      </c>
      <c r="O128" s="4">
        <v>58.063223113101998</v>
      </c>
      <c r="P128" s="4">
        <v>281106.91761845798</v>
      </c>
      <c r="Q128" s="4">
        <v>256245.20191089399</v>
      </c>
      <c r="R128" s="4">
        <v>779.24518118946196</v>
      </c>
      <c r="S128" s="4">
        <v>0</v>
      </c>
      <c r="T128" s="4">
        <v>0</v>
      </c>
      <c r="U128" s="4">
        <v>2.9072545076421201E-2</v>
      </c>
      <c r="V128" s="4">
        <v>0.330359655043093</v>
      </c>
      <c r="W128" s="4">
        <v>0</v>
      </c>
      <c r="X128" s="4">
        <v>0.75179068932019399</v>
      </c>
      <c r="Y128" s="4">
        <v>0</v>
      </c>
      <c r="Z128" s="5">
        <v>4.6621188782963198E-4</v>
      </c>
      <c r="AA128" s="5">
        <v>4.75825117473808E-4</v>
      </c>
      <c r="AB128" s="10">
        <v>4.2176460484573E-3</v>
      </c>
      <c r="AC128" s="10">
        <v>8.1820361629714505E-6</v>
      </c>
      <c r="AD128" s="10">
        <v>1.7772445197277699E-2</v>
      </c>
      <c r="AE128" s="4">
        <v>-7.2979565237926399E-3</v>
      </c>
      <c r="AF128" s="4">
        <v>0.78579818138815105</v>
      </c>
      <c r="AG128" s="4">
        <v>0.98693772862067397</v>
      </c>
      <c r="AH128" s="4">
        <v>0.99693465369308198</v>
      </c>
      <c r="AI128" s="4">
        <v>0.99949472010374796</v>
      </c>
      <c r="AJ128" s="4">
        <v>1</v>
      </c>
      <c r="AK128" s="4">
        <v>1</v>
      </c>
      <c r="AL128" s="4">
        <v>1</v>
      </c>
      <c r="AM128" s="4">
        <v>0</v>
      </c>
      <c r="AN128" s="4">
        <v>0</v>
      </c>
      <c r="AO128" s="4" t="s">
        <v>78</v>
      </c>
      <c r="AP128" s="4" t="s">
        <v>79</v>
      </c>
      <c r="AQ128" s="6">
        <v>5371924412.8599997</v>
      </c>
      <c r="AR128" s="4">
        <v>20964</v>
      </c>
      <c r="AS128" s="15">
        <v>0</v>
      </c>
      <c r="AT128" s="15">
        <v>66.964034495690598</v>
      </c>
      <c r="AU128" s="15">
        <v>66.964034495690598</v>
      </c>
      <c r="AV128" s="15">
        <v>33.035965504309303</v>
      </c>
      <c r="AW128" s="15">
        <v>33.035965504309303</v>
      </c>
      <c r="AX128" s="15">
        <v>0</v>
      </c>
      <c r="AY128">
        <v>2205.1880326340602</v>
      </c>
    </row>
    <row r="129" spans="1:51" x14ac:dyDescent="0.25">
      <c r="A129">
        <v>97</v>
      </c>
      <c r="B129" s="4">
        <v>0.973910442039013</v>
      </c>
      <c r="C129" s="4">
        <v>44.106171142447103</v>
      </c>
      <c r="D129" s="4">
        <v>27.183757055909599</v>
      </c>
      <c r="E129" s="4">
        <v>4.7320130719114298E-2</v>
      </c>
      <c r="F129" s="5">
        <v>2.60895579609869E-2</v>
      </c>
      <c r="G129" s="5">
        <v>0</v>
      </c>
      <c r="H129" s="4">
        <v>5.2439504527306902</v>
      </c>
      <c r="I129" s="4">
        <v>3.7219745079558701</v>
      </c>
      <c r="J129" s="4">
        <v>13.9541430361732</v>
      </c>
      <c r="K129" s="4">
        <v>162.73199149239801</v>
      </c>
      <c r="L129" s="4">
        <v>15.9141482645589</v>
      </c>
      <c r="M129" s="4">
        <v>36.169459299271601</v>
      </c>
      <c r="N129" s="4">
        <v>65.351666256464995</v>
      </c>
      <c r="O129" s="4">
        <v>61.8739327048362</v>
      </c>
      <c r="P129" s="4">
        <v>271939.58822083799</v>
      </c>
      <c r="Q129" s="4">
        <v>250869.374836934</v>
      </c>
      <c r="R129" s="4">
        <v>778.43785484015802</v>
      </c>
      <c r="S129" s="4">
        <v>0</v>
      </c>
      <c r="T129" s="4">
        <v>0</v>
      </c>
      <c r="U129" s="4">
        <v>2.50797809795393E-2</v>
      </c>
      <c r="V129" s="4">
        <v>0.32896083365780998</v>
      </c>
      <c r="W129" s="4">
        <v>0</v>
      </c>
      <c r="X129" s="4">
        <v>0.72400655226285004</v>
      </c>
      <c r="Y129" s="4">
        <v>0</v>
      </c>
      <c r="Z129" s="5">
        <v>4.4736571943522301E-4</v>
      </c>
      <c r="AA129" s="5">
        <v>6.5345171891145997E-4</v>
      </c>
      <c r="AB129" s="10">
        <v>3.9919847506482004E-3</v>
      </c>
      <c r="AC129" s="10">
        <v>8.1232066316245305E-6</v>
      </c>
      <c r="AD129" s="10">
        <v>2.0988617275955E-2</v>
      </c>
      <c r="AE129" s="4">
        <v>-6.30896204176581E-3</v>
      </c>
      <c r="AF129" s="4">
        <v>0.84009366075193603</v>
      </c>
      <c r="AG129" s="4">
        <v>0.98653978453454505</v>
      </c>
      <c r="AH129" s="4">
        <v>0.99740945695906902</v>
      </c>
      <c r="AI129" s="4">
        <v>0.99926471125791405</v>
      </c>
      <c r="AJ129" s="4">
        <v>1</v>
      </c>
      <c r="AK129" s="4">
        <v>1</v>
      </c>
      <c r="AL129" s="4">
        <v>1</v>
      </c>
      <c r="AM129" s="4">
        <v>0</v>
      </c>
      <c r="AN129" s="4">
        <v>0</v>
      </c>
      <c r="AO129" s="4" t="s">
        <v>80</v>
      </c>
      <c r="AP129" s="4" t="s">
        <v>81</v>
      </c>
      <c r="AQ129" s="6">
        <v>13676896577.360001</v>
      </c>
      <c r="AR129" s="4">
        <v>54518</v>
      </c>
      <c r="AS129" s="15">
        <v>0</v>
      </c>
      <c r="AT129" s="15">
        <v>67.103916634218905</v>
      </c>
      <c r="AU129" s="15">
        <v>67.103916634218905</v>
      </c>
      <c r="AV129" s="15">
        <v>32.896083365781003</v>
      </c>
      <c r="AW129" s="15">
        <v>32.896083365781003</v>
      </c>
      <c r="AX129" s="15">
        <v>0</v>
      </c>
      <c r="AY129">
        <v>2425.0501523237399</v>
      </c>
    </row>
    <row r="130" spans="1:51" x14ac:dyDescent="0.25">
      <c r="A130">
        <v>97</v>
      </c>
      <c r="B130" s="4">
        <v>0.96918600062915605</v>
      </c>
      <c r="C130" s="4">
        <v>41.5255824206847</v>
      </c>
      <c r="D130" s="4">
        <v>31.311253925403101</v>
      </c>
      <c r="E130" s="4">
        <v>4.37300864949315E-2</v>
      </c>
      <c r="F130" s="5">
        <v>3.0813999370843701E-2</v>
      </c>
      <c r="G130" s="5">
        <v>0</v>
      </c>
      <c r="H130" s="4">
        <v>5.3866835131610298</v>
      </c>
      <c r="I130" s="4">
        <v>3.6742414017541498</v>
      </c>
      <c r="J130" s="4">
        <v>28.739008956545501</v>
      </c>
      <c r="K130" s="4">
        <v>184.21087175120201</v>
      </c>
      <c r="L130" s="4">
        <v>15.4064097916386</v>
      </c>
      <c r="M130" s="4">
        <v>37.638587185095602</v>
      </c>
      <c r="N130" s="4">
        <v>69.217315277148401</v>
      </c>
      <c r="O130" s="4">
        <v>64.848874196635194</v>
      </c>
      <c r="P130" s="4">
        <v>279528.26083682402</v>
      </c>
      <c r="Q130" s="4">
        <v>259154.72291148899</v>
      </c>
      <c r="R130" s="4">
        <v>777.53517943268798</v>
      </c>
      <c r="S130" s="4">
        <v>0</v>
      </c>
      <c r="T130" s="4">
        <v>0</v>
      </c>
      <c r="U130" s="4">
        <v>2.9845573088348398E-2</v>
      </c>
      <c r="V130" s="4">
        <v>0.30028449668260598</v>
      </c>
      <c r="W130" s="4">
        <v>0</v>
      </c>
      <c r="X130" s="4">
        <v>0.67116564685123903</v>
      </c>
      <c r="Y130" s="4">
        <v>0</v>
      </c>
      <c r="Z130" s="5">
        <v>4.4682849035121598E-4</v>
      </c>
      <c r="AA130" s="5">
        <v>8.5731119087694904E-4</v>
      </c>
      <c r="AB130" s="10">
        <v>3.7609579371743001E-3</v>
      </c>
      <c r="AC130" s="10">
        <v>1.74501448003322E-5</v>
      </c>
      <c r="AD130" s="10">
        <v>2.5731436392256401E-2</v>
      </c>
      <c r="AE130" s="4">
        <v>4.7000378225220598E-3</v>
      </c>
      <c r="AF130" s="4">
        <v>0.79385594220579903</v>
      </c>
      <c r="AG130" s="4">
        <v>0.98041365220994303</v>
      </c>
      <c r="AH130" s="4">
        <v>0.99450896097572905</v>
      </c>
      <c r="AI130" s="4">
        <v>0.99807632794319101</v>
      </c>
      <c r="AJ130" s="4">
        <v>1</v>
      </c>
      <c r="AK130" s="4">
        <v>1</v>
      </c>
      <c r="AL130" s="4">
        <v>1</v>
      </c>
      <c r="AM130" s="4">
        <v>0</v>
      </c>
      <c r="AN130" s="4">
        <v>0</v>
      </c>
      <c r="AO130" s="4" t="s">
        <v>82</v>
      </c>
      <c r="AP130" s="4" t="s">
        <v>83</v>
      </c>
      <c r="AQ130" s="6">
        <v>6403454048.4200001</v>
      </c>
      <c r="AR130" s="4">
        <v>24709</v>
      </c>
      <c r="AS130" s="15">
        <v>0</v>
      </c>
      <c r="AT130" s="15">
        <v>69.971550331739294</v>
      </c>
      <c r="AU130" s="15">
        <v>69.971550331739294</v>
      </c>
      <c r="AV130" s="15">
        <v>30.028449668260599</v>
      </c>
      <c r="AW130" s="15">
        <v>30.028449668260599</v>
      </c>
      <c r="AX130" s="15">
        <v>0</v>
      </c>
      <c r="AY130">
        <v>2860.1966548696601</v>
      </c>
    </row>
    <row r="131" spans="1:51" x14ac:dyDescent="0.25">
      <c r="A131">
        <v>97</v>
      </c>
      <c r="B131" s="4">
        <v>0.96660881301408696</v>
      </c>
      <c r="C131" s="4">
        <v>37.052644492752698</v>
      </c>
      <c r="D131" s="4">
        <v>33.471304816095</v>
      </c>
      <c r="E131" s="4">
        <v>3.7838169652353301E-2</v>
      </c>
      <c r="F131" s="5">
        <v>3.3391186985912501E-2</v>
      </c>
      <c r="G131" s="5">
        <v>0</v>
      </c>
      <c r="H131" s="4">
        <v>5.4948867278319797</v>
      </c>
      <c r="I131" s="4">
        <v>3.6704199318889899</v>
      </c>
      <c r="J131" s="4">
        <v>41.263996953935703</v>
      </c>
      <c r="K131" s="4">
        <v>208.14902295197399</v>
      </c>
      <c r="L131" s="4">
        <v>15.672693656781499</v>
      </c>
      <c r="M131" s="4">
        <v>37.422384027670098</v>
      </c>
      <c r="N131" s="4">
        <v>78.959214316140503</v>
      </c>
      <c r="O131" s="4">
        <v>71.656854239044193</v>
      </c>
      <c r="P131" s="4">
        <v>274574.82309055497</v>
      </c>
      <c r="Q131" s="4">
        <v>254761.15270022201</v>
      </c>
      <c r="R131" s="4">
        <v>775.65877373740602</v>
      </c>
      <c r="S131" s="4">
        <v>0</v>
      </c>
      <c r="T131" s="4">
        <v>0</v>
      </c>
      <c r="U131" s="4">
        <v>2.2791785009136801E-2</v>
      </c>
      <c r="V131" s="4">
        <v>0.263465944353523</v>
      </c>
      <c r="W131" s="4">
        <v>0</v>
      </c>
      <c r="X131" s="4">
        <v>0.482186573954061</v>
      </c>
      <c r="Y131" s="4">
        <v>0</v>
      </c>
      <c r="Z131" s="5">
        <v>4.4560604042087599E-4</v>
      </c>
      <c r="AA131" s="5">
        <v>9.9275164089254503E-4</v>
      </c>
      <c r="AB131" s="10">
        <v>3.8411009480878501E-3</v>
      </c>
      <c r="AC131" s="10">
        <v>7.6864766527537002E-5</v>
      </c>
      <c r="AD131" s="10">
        <v>2.8034848063758201E-2</v>
      </c>
      <c r="AE131" s="4">
        <v>3.7903054673449697E-2</v>
      </c>
      <c r="AF131" s="4">
        <v>0.63450754458953695</v>
      </c>
      <c r="AG131" s="4">
        <v>0.91546237961551902</v>
      </c>
      <c r="AH131" s="4">
        <v>0.97599908216571396</v>
      </c>
      <c r="AI131" s="4">
        <v>0.99078251824687902</v>
      </c>
      <c r="AJ131" s="4">
        <v>1</v>
      </c>
      <c r="AK131" s="4">
        <v>1</v>
      </c>
      <c r="AL131" s="4">
        <v>1</v>
      </c>
      <c r="AM131" s="4">
        <v>0</v>
      </c>
      <c r="AN131" s="4">
        <v>0</v>
      </c>
      <c r="AO131" s="4" t="s">
        <v>84</v>
      </c>
      <c r="AP131" s="4" t="s">
        <v>85</v>
      </c>
      <c r="AQ131" s="6">
        <v>916121105.11000001</v>
      </c>
      <c r="AR131" s="4">
        <v>3596</v>
      </c>
      <c r="AS131" s="15">
        <v>0</v>
      </c>
      <c r="AT131" s="15">
        <v>73.653405564647599</v>
      </c>
      <c r="AU131" s="15">
        <v>73.653405564647599</v>
      </c>
      <c r="AV131" s="15">
        <v>26.346594435352301</v>
      </c>
      <c r="AW131" s="15">
        <v>26.346594435352301</v>
      </c>
      <c r="AX131" s="15">
        <v>0</v>
      </c>
      <c r="AY131">
        <v>3108.4242104977702</v>
      </c>
    </row>
    <row r="132" spans="1:51" x14ac:dyDescent="0.25">
      <c r="A132">
        <v>97</v>
      </c>
      <c r="B132" s="4">
        <v>0.96659129655595999</v>
      </c>
      <c r="C132" s="4">
        <v>34.341607142168797</v>
      </c>
      <c r="D132" s="4">
        <v>33.4857706179329</v>
      </c>
      <c r="E132" s="4">
        <v>3.4451291354717001E-2</v>
      </c>
      <c r="F132" s="5">
        <v>3.3408703444039803E-2</v>
      </c>
      <c r="G132" s="5">
        <v>0</v>
      </c>
      <c r="H132" s="4">
        <v>5.4921254425275299</v>
      </c>
      <c r="I132" s="4">
        <v>3.6556027119444701</v>
      </c>
      <c r="J132" s="4">
        <v>42.3685487719398</v>
      </c>
      <c r="K132" s="4">
        <v>232.20992092417401</v>
      </c>
      <c r="L132" s="4">
        <v>15.296587053947301</v>
      </c>
      <c r="M132" s="4">
        <v>35.803611725478198</v>
      </c>
      <c r="N132" s="4">
        <v>86.981575897974295</v>
      </c>
      <c r="O132" s="4">
        <v>75.157305227225507</v>
      </c>
      <c r="P132" s="4">
        <v>281144.61146103998</v>
      </c>
      <c r="Q132" s="4">
        <v>261019.520506912</v>
      </c>
      <c r="R132" s="4">
        <v>778.15277872154195</v>
      </c>
      <c r="S132" s="4">
        <v>0</v>
      </c>
      <c r="T132" s="4">
        <v>0</v>
      </c>
      <c r="U132" s="4">
        <v>1.0950428245378001E-2</v>
      </c>
      <c r="V132" s="4">
        <v>0.213892304286838</v>
      </c>
      <c r="W132" s="4">
        <v>0</v>
      </c>
      <c r="X132" s="4">
        <v>0.24164736866056999</v>
      </c>
      <c r="Y132" s="4">
        <v>0</v>
      </c>
      <c r="Z132" s="5">
        <v>4.5418907949004901E-4</v>
      </c>
      <c r="AA132" s="5">
        <v>1.0867688280056899E-3</v>
      </c>
      <c r="AB132" s="10">
        <v>3.9097385917449103E-3</v>
      </c>
      <c r="AC132" s="10">
        <v>3.6608169962016598E-4</v>
      </c>
      <c r="AD132" s="10">
        <v>2.7591908920227701E-2</v>
      </c>
      <c r="AE132" s="4">
        <v>8.9261420602844602E-2</v>
      </c>
      <c r="AF132" s="4">
        <v>0.42925328618292602</v>
      </c>
      <c r="AG132" s="4">
        <v>0.72155098188672195</v>
      </c>
      <c r="AH132" s="4">
        <v>0.83787515480583297</v>
      </c>
      <c r="AI132" s="4">
        <v>0.98175486087711294</v>
      </c>
      <c r="AJ132" s="4">
        <v>1</v>
      </c>
      <c r="AK132" s="4">
        <v>1</v>
      </c>
      <c r="AL132" s="4">
        <v>1</v>
      </c>
      <c r="AM132" s="4">
        <v>0</v>
      </c>
      <c r="AN132" s="4">
        <v>0</v>
      </c>
      <c r="AO132" s="4" t="s">
        <v>86</v>
      </c>
      <c r="AP132" s="4" t="s">
        <v>87</v>
      </c>
      <c r="AQ132" s="6">
        <v>113282471.90000001</v>
      </c>
      <c r="AR132" s="4">
        <v>434</v>
      </c>
      <c r="AS132" s="15">
        <v>0</v>
      </c>
      <c r="AT132" s="15">
        <v>78.610769571316098</v>
      </c>
      <c r="AU132" s="15">
        <v>78.610769571316098</v>
      </c>
      <c r="AV132" s="15">
        <v>21.389230428683799</v>
      </c>
      <c r="AW132" s="15">
        <v>21.389230428683799</v>
      </c>
      <c r="AX132" s="15">
        <v>0</v>
      </c>
      <c r="AY132">
        <v>3264.9183065628899</v>
      </c>
    </row>
    <row r="133" spans="1:51" x14ac:dyDescent="0.25">
      <c r="A133">
        <v>97</v>
      </c>
      <c r="B133" s="4">
        <v>0.96856618577197995</v>
      </c>
      <c r="C133" s="4">
        <v>86.5289243380698</v>
      </c>
      <c r="D133" s="4">
        <v>31.8365385416216</v>
      </c>
      <c r="E133" s="4">
        <v>0.15384448457170499</v>
      </c>
      <c r="F133" s="5">
        <v>3.1433814228019302E-2</v>
      </c>
      <c r="G133" s="5">
        <v>0</v>
      </c>
      <c r="H133" s="4">
        <v>5.3898897410292896</v>
      </c>
      <c r="I133" s="4">
        <v>3.6359111191731301</v>
      </c>
      <c r="J133" s="4">
        <v>35.222487972689201</v>
      </c>
      <c r="K133" s="4">
        <v>254.97823537785101</v>
      </c>
      <c r="L133" s="4">
        <v>13.9770839986061</v>
      </c>
      <c r="M133" s="4">
        <v>36.520121195186299</v>
      </c>
      <c r="N133" s="4">
        <v>90.915794046843899</v>
      </c>
      <c r="O133" s="4">
        <v>75.934593344940595</v>
      </c>
      <c r="P133" s="4">
        <v>300055.06642833003</v>
      </c>
      <c r="Q133" s="4">
        <v>285614.64399999997</v>
      </c>
      <c r="R133" s="4">
        <v>776.66316762805695</v>
      </c>
      <c r="S133" s="4">
        <v>0</v>
      </c>
      <c r="T133" s="4">
        <v>0</v>
      </c>
      <c r="U133" s="4">
        <v>0</v>
      </c>
      <c r="V133" s="4">
        <v>0.31513295935904401</v>
      </c>
      <c r="W133" s="4">
        <v>0</v>
      </c>
      <c r="X133" s="4">
        <v>0.247307279757919</v>
      </c>
      <c r="Y133" s="4">
        <v>0</v>
      </c>
      <c r="Z133" s="5">
        <v>5.0009393581686699E-4</v>
      </c>
      <c r="AA133" s="5">
        <v>6.70340809806586E-4</v>
      </c>
      <c r="AB133" s="10">
        <v>3.8426655784630798E-3</v>
      </c>
      <c r="AC133" s="10">
        <v>2.3045849866176E-4</v>
      </c>
      <c r="AD133" s="10">
        <v>2.6190236764057601E-2</v>
      </c>
      <c r="AE133" s="4">
        <v>0.11049626184761301</v>
      </c>
      <c r="AF133" s="4">
        <v>0.36306355262839102</v>
      </c>
      <c r="AG133" s="4">
        <v>0.45685609173456798</v>
      </c>
      <c r="AH133" s="4">
        <v>0.93049474965529599</v>
      </c>
      <c r="AI133" s="4">
        <v>1</v>
      </c>
      <c r="AJ133" s="4">
        <v>1</v>
      </c>
      <c r="AK133" s="4">
        <v>1</v>
      </c>
      <c r="AL133" s="4">
        <v>1</v>
      </c>
      <c r="AM133" s="4">
        <v>0</v>
      </c>
      <c r="AN133" s="4">
        <v>0</v>
      </c>
      <c r="AO133" s="4" t="s">
        <v>154</v>
      </c>
      <c r="AP133" s="4" t="s">
        <v>155</v>
      </c>
      <c r="AQ133" s="6">
        <v>4284219.66</v>
      </c>
      <c r="AR133" s="4">
        <v>15</v>
      </c>
      <c r="AS133" s="15">
        <v>0</v>
      </c>
      <c r="AT133" s="15">
        <v>68.486704064095505</v>
      </c>
      <c r="AU133" s="15">
        <v>68.486704064095505</v>
      </c>
      <c r="AV133" s="15">
        <v>31.513295935904399</v>
      </c>
      <c r="AW133" s="15">
        <v>31.513295935904399</v>
      </c>
      <c r="AX133" s="15">
        <v>0</v>
      </c>
      <c r="AY133">
        <v>3735.86264209099</v>
      </c>
    </row>
    <row r="134" spans="1:51" x14ac:dyDescent="0.25">
      <c r="B134" s="4"/>
      <c r="C134" s="4"/>
      <c r="D134" s="4"/>
      <c r="E134" s="4"/>
      <c r="F134" s="5"/>
      <c r="G134" s="5"/>
      <c r="H134" s="4"/>
      <c r="I134" s="4"/>
      <c r="J134" s="4"/>
      <c r="K134" s="4"/>
      <c r="L134" s="4"/>
      <c r="M134" s="4"/>
      <c r="N134" s="4"/>
      <c r="O134" s="4"/>
      <c r="P134" s="4"/>
      <c r="Q134" s="4"/>
      <c r="R134" s="4"/>
      <c r="S134" s="4"/>
      <c r="T134" s="4"/>
      <c r="U134" s="4"/>
      <c r="V134" s="4"/>
      <c r="W134" s="4"/>
      <c r="X134" s="4"/>
      <c r="Y134" s="4"/>
      <c r="Z134" s="5"/>
      <c r="AA134" s="5"/>
      <c r="AB134" s="10"/>
      <c r="AC134" s="10"/>
      <c r="AD134" s="10"/>
      <c r="AE134" s="4"/>
      <c r="AF134" s="4"/>
      <c r="AG134" s="4"/>
      <c r="AH134" s="4"/>
      <c r="AI134" s="4"/>
      <c r="AJ134" s="4"/>
      <c r="AK134" s="4"/>
      <c r="AL134" s="4"/>
      <c r="AM134" s="4"/>
      <c r="AN134" s="4"/>
      <c r="AO134" s="4"/>
      <c r="AP134" s="4"/>
      <c r="AQ134" s="6"/>
      <c r="AR134" s="4"/>
      <c r="AS134" s="15"/>
      <c r="AT134" s="15"/>
      <c r="AU134" s="15"/>
      <c r="AV134" s="15"/>
      <c r="AW134" s="15"/>
      <c r="AX134" s="15"/>
    </row>
    <row r="137" spans="1:51" x14ac:dyDescent="0.25">
      <c r="F137" t="s">
        <v>167</v>
      </c>
    </row>
    <row r="138" spans="1:51" x14ac:dyDescent="0.25">
      <c r="A138" t="s">
        <v>20</v>
      </c>
      <c r="B138" t="s">
        <v>21</v>
      </c>
      <c r="C138" t="s">
        <v>22</v>
      </c>
      <c r="D138" t="s">
        <v>23</v>
      </c>
      <c r="E138" t="s">
        <v>94</v>
      </c>
      <c r="F138" t="s">
        <v>95</v>
      </c>
      <c r="G138" t="s">
        <v>24</v>
      </c>
      <c r="H138" t="s">
        <v>25</v>
      </c>
      <c r="I138" t="s">
        <v>26</v>
      </c>
      <c r="J138" t="s">
        <v>27</v>
      </c>
      <c r="K138" t="s">
        <v>28</v>
      </c>
      <c r="L138" t="s">
        <v>29</v>
      </c>
      <c r="M138" t="s">
        <v>30</v>
      </c>
      <c r="N138" t="s">
        <v>31</v>
      </c>
      <c r="O138" t="s">
        <v>32</v>
      </c>
      <c r="P138" t="s">
        <v>33</v>
      </c>
      <c r="Q138" t="s">
        <v>34</v>
      </c>
      <c r="R138" t="s">
        <v>35</v>
      </c>
      <c r="S138" t="s">
        <v>36</v>
      </c>
      <c r="T138" t="s">
        <v>37</v>
      </c>
      <c r="U138" t="s">
        <v>38</v>
      </c>
      <c r="V138" t="s">
        <v>39</v>
      </c>
      <c r="W138" t="s">
        <v>40</v>
      </c>
      <c r="X138" t="s">
        <v>41</v>
      </c>
      <c r="Y138" t="s">
        <v>42</v>
      </c>
      <c r="Z138" t="s">
        <v>43</v>
      </c>
      <c r="AA138" t="s">
        <v>44</v>
      </c>
      <c r="AB138" t="s">
        <v>45</v>
      </c>
      <c r="AC138" t="s">
        <v>46</v>
      </c>
      <c r="AD138" t="s">
        <v>47</v>
      </c>
      <c r="AE138" t="s">
        <v>48</v>
      </c>
      <c r="AF138" t="s">
        <v>49</v>
      </c>
      <c r="AG138" t="s">
        <v>50</v>
      </c>
      <c r="AH138" t="s">
        <v>51</v>
      </c>
      <c r="AI138" t="s">
        <v>52</v>
      </c>
      <c r="AJ138" t="s">
        <v>53</v>
      </c>
      <c r="AK138" t="s">
        <v>54</v>
      </c>
      <c r="AL138" t="s">
        <v>55</v>
      </c>
      <c r="AM138" t="s">
        <v>56</v>
      </c>
      <c r="AN138" t="s">
        <v>57</v>
      </c>
      <c r="AO138" t="s">
        <v>58</v>
      </c>
      <c r="AP138" t="s">
        <v>59</v>
      </c>
      <c r="AQ138" t="s">
        <v>60</v>
      </c>
      <c r="AR138" t="s">
        <v>61</v>
      </c>
      <c r="AS138" t="s">
        <v>116</v>
      </c>
      <c r="AT138" t="s">
        <v>117</v>
      </c>
      <c r="AU138" t="s">
        <v>118</v>
      </c>
      <c r="AV138" t="s">
        <v>119</v>
      </c>
      <c r="AW138" t="s">
        <v>120</v>
      </c>
      <c r="AX138" t="s">
        <v>121</v>
      </c>
      <c r="AY138" t="s">
        <v>171</v>
      </c>
    </row>
    <row r="139" spans="1:51" x14ac:dyDescent="0.25">
      <c r="A139">
        <v>96</v>
      </c>
      <c r="B139" s="4">
        <v>0.98119233181778098</v>
      </c>
      <c r="C139" s="4">
        <v>0</v>
      </c>
      <c r="D139" s="4">
        <v>20.374944956723901</v>
      </c>
      <c r="E139" s="4">
        <v>0</v>
      </c>
      <c r="F139" s="5">
        <v>1.8807668182218101E-2</v>
      </c>
      <c r="G139" s="5">
        <v>0</v>
      </c>
      <c r="H139" s="4">
        <v>5.0073041679842198</v>
      </c>
      <c r="I139" s="4">
        <v>3.8587570826493698</v>
      </c>
      <c r="J139" s="4">
        <v>-7.7679575478322702</v>
      </c>
      <c r="K139" s="4">
        <v>45.850296896758998</v>
      </c>
      <c r="L139" s="4">
        <v>100</v>
      </c>
      <c r="M139" s="4">
        <v>38.235944426876998</v>
      </c>
      <c r="N139" s="4">
        <v>54.294377770750799</v>
      </c>
      <c r="O139" s="4">
        <v>6.1854485354935402</v>
      </c>
      <c r="P139" s="4">
        <v>28883.501833127801</v>
      </c>
      <c r="Q139" s="4">
        <v>26580.115000000002</v>
      </c>
      <c r="R139" s="4">
        <v>778.29216671936797</v>
      </c>
      <c r="S139" s="4">
        <v>0</v>
      </c>
      <c r="T139" s="4">
        <v>0</v>
      </c>
      <c r="U139" s="4">
        <v>0</v>
      </c>
      <c r="V139" s="4">
        <v>0.35281111462459802</v>
      </c>
      <c r="W139" s="4">
        <v>0</v>
      </c>
      <c r="X139" s="4">
        <v>0</v>
      </c>
      <c r="Y139" s="4">
        <v>0</v>
      </c>
      <c r="Z139" s="5">
        <v>1.03643553667487E-2</v>
      </c>
      <c r="AA139" s="5">
        <v>4.1857955041014599E-4</v>
      </c>
      <c r="AB139" s="10">
        <v>6.9299003284109097E-3</v>
      </c>
      <c r="AC139" s="10">
        <v>0</v>
      </c>
      <c r="AD139" s="10">
        <v>1.0948164647594601E-3</v>
      </c>
      <c r="AE139" s="4">
        <v>-6.4847236463565106E-2</v>
      </c>
      <c r="AF139" s="4">
        <v>1</v>
      </c>
      <c r="AG139" s="4">
        <v>1</v>
      </c>
      <c r="AH139" s="4">
        <v>1</v>
      </c>
      <c r="AI139" s="4">
        <v>1</v>
      </c>
      <c r="AJ139" s="4">
        <v>1</v>
      </c>
      <c r="AK139" s="4">
        <v>1</v>
      </c>
      <c r="AL139" s="4">
        <v>1</v>
      </c>
      <c r="AM139" s="4">
        <v>0</v>
      </c>
      <c r="AN139" s="4">
        <v>0</v>
      </c>
      <c r="AO139" s="4" t="s">
        <v>70</v>
      </c>
      <c r="AP139" s="4" t="s">
        <v>71</v>
      </c>
      <c r="AQ139" s="6">
        <v>53160.23</v>
      </c>
      <c r="AR139" s="4">
        <v>2</v>
      </c>
      <c r="AS139" s="15">
        <v>0</v>
      </c>
      <c r="AT139" s="15">
        <v>64.718888537540096</v>
      </c>
      <c r="AU139" s="15">
        <v>64.718888537540096</v>
      </c>
      <c r="AV139" s="15">
        <v>35.281111462459798</v>
      </c>
      <c r="AW139" s="15">
        <v>35.281111462459798</v>
      </c>
      <c r="AX139" s="15">
        <v>0</v>
      </c>
      <c r="AY139" s="31">
        <v>2048.3802431046602</v>
      </c>
    </row>
    <row r="140" spans="1:51" x14ac:dyDescent="0.25">
      <c r="A140">
        <v>96</v>
      </c>
      <c r="B140" s="4">
        <v>0.97659978999999997</v>
      </c>
      <c r="C140" s="4">
        <v>0</v>
      </c>
      <c r="D140" s="4">
        <v>24.733881701348601</v>
      </c>
      <c r="E140" s="4">
        <v>0</v>
      </c>
      <c r="F140" s="5">
        <v>2.3400210000000001E-2</v>
      </c>
      <c r="G140" s="5">
        <v>0</v>
      </c>
      <c r="H140" s="4">
        <v>5.25</v>
      </c>
      <c r="I140" s="4">
        <v>3.8890630000000002</v>
      </c>
      <c r="J140" s="4">
        <v>15.349500000000001</v>
      </c>
      <c r="K140" s="4">
        <v>58.82</v>
      </c>
      <c r="L140" s="4">
        <v>100</v>
      </c>
      <c r="M140" s="4">
        <v>36</v>
      </c>
      <c r="N140" s="4">
        <v>53</v>
      </c>
      <c r="O140" s="4">
        <v>2.17</v>
      </c>
      <c r="P140" s="4">
        <v>16446.75</v>
      </c>
      <c r="Q140" s="4">
        <v>16446.75</v>
      </c>
      <c r="R140" s="4">
        <v>788</v>
      </c>
      <c r="S140" s="4">
        <v>0</v>
      </c>
      <c r="T140" s="4">
        <v>0</v>
      </c>
      <c r="U140" s="4">
        <v>0</v>
      </c>
      <c r="V140" s="4">
        <v>1</v>
      </c>
      <c r="W140" s="4">
        <v>0</v>
      </c>
      <c r="X140" s="4">
        <v>0</v>
      </c>
      <c r="Y140" s="4">
        <v>0</v>
      </c>
      <c r="Z140" s="5">
        <v>1.4091060000000001E-2</v>
      </c>
      <c r="AA140" s="5">
        <v>5.9011999999999997E-4</v>
      </c>
      <c r="AB140" s="10">
        <v>8.0348499999999996E-3</v>
      </c>
      <c r="AC140" s="10">
        <v>0</v>
      </c>
      <c r="AD140" s="10">
        <v>6.8418000000000005E-4</v>
      </c>
      <c r="AE140" s="4">
        <v>-3.6703079895407401E-2</v>
      </c>
      <c r="AF140" s="4">
        <v>1</v>
      </c>
      <c r="AG140" s="4">
        <v>1</v>
      </c>
      <c r="AH140" s="4">
        <v>1</v>
      </c>
      <c r="AI140" s="4">
        <v>1</v>
      </c>
      <c r="AJ140" s="4">
        <v>1</v>
      </c>
      <c r="AK140" s="4">
        <v>1</v>
      </c>
      <c r="AL140" s="4">
        <v>1</v>
      </c>
      <c r="AM140" s="4">
        <v>0</v>
      </c>
      <c r="AN140" s="4">
        <v>0</v>
      </c>
      <c r="AO140" s="4" t="s">
        <v>150</v>
      </c>
      <c r="AP140" s="4" t="s">
        <v>134</v>
      </c>
      <c r="AQ140" s="6">
        <v>16446.75</v>
      </c>
      <c r="AR140" s="4">
        <v>1</v>
      </c>
      <c r="AS140" s="15">
        <v>0</v>
      </c>
      <c r="AT140" s="15">
        <v>0</v>
      </c>
      <c r="AU140" s="15">
        <v>0</v>
      </c>
      <c r="AV140" s="15">
        <v>100</v>
      </c>
      <c r="AW140" s="15">
        <v>100</v>
      </c>
      <c r="AX140" s="15">
        <v>0</v>
      </c>
      <c r="AY140" s="31">
        <v>2114.96</v>
      </c>
    </row>
    <row r="141" spans="1:51" x14ac:dyDescent="0.25">
      <c r="A141">
        <v>96</v>
      </c>
      <c r="B141" s="4">
        <v>0.96519014999999997</v>
      </c>
      <c r="C141" s="4">
        <v>0</v>
      </c>
      <c r="D141" s="4">
        <v>34.633598957569497</v>
      </c>
      <c r="E141" s="4">
        <v>0</v>
      </c>
      <c r="F141" s="5">
        <v>3.4809850000000003E-2</v>
      </c>
      <c r="G141" s="5">
        <v>0</v>
      </c>
      <c r="H141" s="4">
        <v>5</v>
      </c>
      <c r="I141" s="4">
        <v>4.1538250000000003</v>
      </c>
      <c r="J141" s="4">
        <v>-14.481199999999999</v>
      </c>
      <c r="K141" s="4">
        <v>65.92</v>
      </c>
      <c r="L141" s="4">
        <v>17.18</v>
      </c>
      <c r="M141" s="4">
        <v>26</v>
      </c>
      <c r="N141" s="4">
        <v>95</v>
      </c>
      <c r="O141" s="4">
        <v>79.180000000000007</v>
      </c>
      <c r="P141" s="4">
        <v>232170.07</v>
      </c>
      <c r="Q141" s="4">
        <v>232170.07</v>
      </c>
      <c r="R141" s="4">
        <v>770</v>
      </c>
      <c r="S141" s="4">
        <v>0</v>
      </c>
      <c r="T141" s="4">
        <v>0</v>
      </c>
      <c r="U141" s="4">
        <v>0</v>
      </c>
      <c r="V141" s="4">
        <v>0</v>
      </c>
      <c r="W141" s="4">
        <v>0</v>
      </c>
      <c r="X141" s="4">
        <v>1</v>
      </c>
      <c r="Y141" s="4">
        <v>0</v>
      </c>
      <c r="Z141" s="5">
        <v>8.03E-4</v>
      </c>
      <c r="AA141" s="5">
        <v>2.9902999999999999E-4</v>
      </c>
      <c r="AB141" s="10">
        <v>3.5227399999999999E-3</v>
      </c>
      <c r="AC141" s="10">
        <v>0</v>
      </c>
      <c r="AD141" s="10">
        <v>3.0185070000000001E-2</v>
      </c>
      <c r="AE141" s="4">
        <v>-2.60238420301135E-2</v>
      </c>
      <c r="AF141" s="4">
        <v>1</v>
      </c>
      <c r="AG141" s="4">
        <v>1</v>
      </c>
      <c r="AH141" s="4">
        <v>1</v>
      </c>
      <c r="AI141" s="4">
        <v>1</v>
      </c>
      <c r="AJ141" s="4">
        <v>1</v>
      </c>
      <c r="AK141" s="4">
        <v>1</v>
      </c>
      <c r="AL141" s="4">
        <v>1</v>
      </c>
      <c r="AM141" s="4">
        <v>0</v>
      </c>
      <c r="AN141" s="4">
        <v>0</v>
      </c>
      <c r="AO141" s="4" t="s">
        <v>152</v>
      </c>
      <c r="AP141" s="4" t="s">
        <v>136</v>
      </c>
      <c r="AQ141" s="6">
        <v>232170.07</v>
      </c>
      <c r="AR141" s="4">
        <v>1</v>
      </c>
      <c r="AS141" s="15">
        <v>0</v>
      </c>
      <c r="AT141" s="15">
        <v>100</v>
      </c>
      <c r="AU141" s="15">
        <v>100</v>
      </c>
      <c r="AV141" s="15">
        <v>0</v>
      </c>
      <c r="AW141" s="15">
        <v>0</v>
      </c>
      <c r="AX141" s="15">
        <v>0</v>
      </c>
      <c r="AY141" s="31">
        <v>2007.21</v>
      </c>
    </row>
    <row r="142" spans="1:51" x14ac:dyDescent="0.25">
      <c r="A142">
        <v>96</v>
      </c>
      <c r="B142" s="4">
        <v>0.964166549066095</v>
      </c>
      <c r="C142" s="4">
        <v>31.735277406766802</v>
      </c>
      <c r="D142" s="4">
        <v>35.460630377125597</v>
      </c>
      <c r="E142" s="4">
        <v>3.1313990262908799E-2</v>
      </c>
      <c r="F142" s="5">
        <v>3.5833450933904797E-2</v>
      </c>
      <c r="G142" s="5">
        <v>0</v>
      </c>
      <c r="H142" s="4">
        <v>4.9804384293016399</v>
      </c>
      <c r="I142" s="4">
        <v>4.0911030379198401</v>
      </c>
      <c r="J142" s="4">
        <v>-2.4334576543689899</v>
      </c>
      <c r="K142" s="4">
        <v>71.878077995950505</v>
      </c>
      <c r="L142" s="4">
        <v>29.082250803690801</v>
      </c>
      <c r="M142" s="4">
        <v>31.443907676979698</v>
      </c>
      <c r="N142" s="4">
        <v>84.867200245266901</v>
      </c>
      <c r="O142" s="4">
        <v>64.273713047745503</v>
      </c>
      <c r="P142" s="4">
        <v>231308.58544930001</v>
      </c>
      <c r="Q142" s="4">
        <v>89953.178181818104</v>
      </c>
      <c r="R142" s="4">
        <v>771.59719130041105</v>
      </c>
      <c r="S142" s="4">
        <v>0</v>
      </c>
      <c r="T142" s="4">
        <v>0</v>
      </c>
      <c r="U142" s="4">
        <v>0</v>
      </c>
      <c r="V142" s="4">
        <v>5.2587469343647199E-2</v>
      </c>
      <c r="W142" s="4">
        <v>0</v>
      </c>
      <c r="X142" s="4">
        <v>0.27504309918970299</v>
      </c>
      <c r="Y142" s="4">
        <v>0</v>
      </c>
      <c r="Z142" s="5">
        <v>2.1991696951558499E-3</v>
      </c>
      <c r="AA142" s="5">
        <v>2.1787541964447799E-4</v>
      </c>
      <c r="AB142" s="10">
        <v>4.6047121189032496E-3</v>
      </c>
      <c r="AC142" s="10">
        <v>0</v>
      </c>
      <c r="AD142" s="10">
        <v>2.8811680563163598E-2</v>
      </c>
      <c r="AE142" s="4">
        <v>-5.8853977838413201E-4</v>
      </c>
      <c r="AF142" s="4">
        <v>0.945650189569329</v>
      </c>
      <c r="AG142" s="4">
        <v>1</v>
      </c>
      <c r="AH142" s="4">
        <v>1</v>
      </c>
      <c r="AI142" s="4">
        <v>1</v>
      </c>
      <c r="AJ142" s="4">
        <v>1</v>
      </c>
      <c r="AK142" s="4">
        <v>1</v>
      </c>
      <c r="AL142" s="4">
        <v>1</v>
      </c>
      <c r="AM142" s="4">
        <v>0</v>
      </c>
      <c r="AN142" s="4">
        <v>0</v>
      </c>
      <c r="AO142" s="4" t="s">
        <v>72</v>
      </c>
      <c r="AP142" s="4" t="s">
        <v>73</v>
      </c>
      <c r="AQ142" s="6">
        <v>989484.96</v>
      </c>
      <c r="AR142" s="4">
        <v>11</v>
      </c>
      <c r="AS142" s="15">
        <v>0</v>
      </c>
      <c r="AT142" s="15">
        <v>94.741253065635206</v>
      </c>
      <c r="AU142" s="15">
        <v>94.741253065635206</v>
      </c>
      <c r="AV142" s="15">
        <v>5.2587469343647202</v>
      </c>
      <c r="AW142" s="15">
        <v>5.2587469343647202</v>
      </c>
      <c r="AX142" s="15">
        <v>0</v>
      </c>
      <c r="AY142">
        <v>2085.51504008964</v>
      </c>
    </row>
    <row r="143" spans="1:51" x14ac:dyDescent="0.25">
      <c r="A143">
        <v>96</v>
      </c>
      <c r="B143" s="4">
        <v>0.96999665376661104</v>
      </c>
      <c r="C143" s="4">
        <v>75.124019535480699</v>
      </c>
      <c r="D143" s="4">
        <v>30.618636124485299</v>
      </c>
      <c r="E143" s="4">
        <v>0.109470418065753</v>
      </c>
      <c r="F143" s="5">
        <v>3.0003346233388802E-2</v>
      </c>
      <c r="G143" s="5">
        <v>0</v>
      </c>
      <c r="H143" s="4">
        <v>5.0874262883111898</v>
      </c>
      <c r="I143" s="4">
        <v>3.8991321592864501</v>
      </c>
      <c r="J143" s="4">
        <v>4.6528774739591103</v>
      </c>
      <c r="K143" s="4">
        <v>92.496267748053299</v>
      </c>
      <c r="L143" s="4">
        <v>46.9228838633883</v>
      </c>
      <c r="M143" s="4">
        <v>34.635218935948203</v>
      </c>
      <c r="N143" s="4">
        <v>79.346613803623896</v>
      </c>
      <c r="O143" s="4">
        <v>48.924294121475803</v>
      </c>
      <c r="P143" s="4">
        <v>163922.02523695899</v>
      </c>
      <c r="Q143" s="4">
        <v>63864.501960784299</v>
      </c>
      <c r="R143" s="4">
        <v>775.13983581845503</v>
      </c>
      <c r="S143" s="4">
        <v>0</v>
      </c>
      <c r="T143" s="4">
        <v>0</v>
      </c>
      <c r="U143" s="4">
        <v>0</v>
      </c>
      <c r="V143" s="4">
        <v>0.34323436327941298</v>
      </c>
      <c r="W143" s="4">
        <v>0</v>
      </c>
      <c r="X143" s="4">
        <v>0.35260476254629203</v>
      </c>
      <c r="Y143" s="4">
        <v>0</v>
      </c>
      <c r="Z143" s="5">
        <v>3.5263311692951701E-3</v>
      </c>
      <c r="AA143" s="5">
        <v>4.4628964594606101E-4</v>
      </c>
      <c r="AB143" s="10">
        <v>5.1085607535648796E-3</v>
      </c>
      <c r="AC143" s="10">
        <v>2.3829554986942899E-5</v>
      </c>
      <c r="AD143" s="10">
        <v>2.0898321150485399E-2</v>
      </c>
      <c r="AE143" s="4">
        <v>1.3044208218705699E-2</v>
      </c>
      <c r="AF143" s="4">
        <v>0.848615567714194</v>
      </c>
      <c r="AG143" s="4">
        <v>0.98179977148924602</v>
      </c>
      <c r="AH143" s="4">
        <v>0.98179977148924602</v>
      </c>
      <c r="AI143" s="4">
        <v>0.99703063894834199</v>
      </c>
      <c r="AJ143" s="4">
        <v>1</v>
      </c>
      <c r="AK143" s="4">
        <v>1</v>
      </c>
      <c r="AL143" s="4">
        <v>1</v>
      </c>
      <c r="AM143" s="4">
        <v>0</v>
      </c>
      <c r="AN143" s="4">
        <v>0</v>
      </c>
      <c r="AO143" s="4" t="s">
        <v>74</v>
      </c>
      <c r="AP143" s="4" t="s">
        <v>75</v>
      </c>
      <c r="AQ143" s="6">
        <v>6514179.2000000002</v>
      </c>
      <c r="AR143" s="4">
        <v>102</v>
      </c>
      <c r="AS143" s="15">
        <v>0</v>
      </c>
      <c r="AT143" s="15">
        <v>65.676563672058606</v>
      </c>
      <c r="AU143" s="15">
        <v>65.676563672058606</v>
      </c>
      <c r="AV143" s="15">
        <v>34.323436327941302</v>
      </c>
      <c r="AW143" s="15">
        <v>34.323436327941302</v>
      </c>
      <c r="AX143" s="15">
        <v>0</v>
      </c>
      <c r="AY143">
        <v>2232.8265864746299</v>
      </c>
    </row>
    <row r="144" spans="1:51" x14ac:dyDescent="0.25">
      <c r="A144">
        <v>96</v>
      </c>
      <c r="B144" s="4">
        <v>0.96482394272026495</v>
      </c>
      <c r="C144" s="4">
        <v>41.152210633880102</v>
      </c>
      <c r="D144" s="4">
        <v>34.930590331637703</v>
      </c>
      <c r="E144" s="4">
        <v>4.3222737079615603E-2</v>
      </c>
      <c r="F144" s="5">
        <v>3.5176057279734101E-2</v>
      </c>
      <c r="G144" s="5">
        <v>0</v>
      </c>
      <c r="H144" s="4">
        <v>5.1566288950098702</v>
      </c>
      <c r="I144" s="4">
        <v>3.8626142054681698</v>
      </c>
      <c r="J144" s="4">
        <v>7.4998932782244001</v>
      </c>
      <c r="K144" s="4">
        <v>117.342308486322</v>
      </c>
      <c r="L144" s="4">
        <v>30.356748064891601</v>
      </c>
      <c r="M144" s="4">
        <v>36.270305423053998</v>
      </c>
      <c r="N144" s="4">
        <v>79.198828528754305</v>
      </c>
      <c r="O144" s="4">
        <v>56.200870835114401</v>
      </c>
      <c r="P144" s="4">
        <v>182615.02382989501</v>
      </c>
      <c r="Q144" s="4">
        <v>124724.042230046</v>
      </c>
      <c r="R144" s="4">
        <v>777.94792253176399</v>
      </c>
      <c r="S144" s="4">
        <v>0</v>
      </c>
      <c r="T144" s="4">
        <v>0</v>
      </c>
      <c r="U144" s="4">
        <v>1.2453105771508301E-2</v>
      </c>
      <c r="V144" s="4">
        <v>0.35469301511771101</v>
      </c>
      <c r="W144" s="4">
        <v>0</v>
      </c>
      <c r="X144" s="4">
        <v>0.45074757667843401</v>
      </c>
      <c r="Y144" s="4">
        <v>0</v>
      </c>
      <c r="Z144" s="5">
        <v>1.6673738032852701E-3</v>
      </c>
      <c r="AA144" s="5">
        <v>5.1598675583165298E-4</v>
      </c>
      <c r="AB144" s="10">
        <v>4.9197501347803298E-3</v>
      </c>
      <c r="AC144" s="10">
        <v>5.0875095141999104E-6</v>
      </c>
      <c r="AD144" s="10">
        <v>2.8067843467998899E-2</v>
      </c>
      <c r="AE144" s="4">
        <v>-8.7515520667380293E-3</v>
      </c>
      <c r="AF144" s="4">
        <v>0.81499603835543499</v>
      </c>
      <c r="AG144" s="4">
        <v>0.99409152754433705</v>
      </c>
      <c r="AH144" s="4">
        <v>1</v>
      </c>
      <c r="AI144" s="4">
        <v>1</v>
      </c>
      <c r="AJ144" s="4">
        <v>1</v>
      </c>
      <c r="AK144" s="4">
        <v>1</v>
      </c>
      <c r="AL144" s="4">
        <v>1</v>
      </c>
      <c r="AM144" s="4">
        <v>0</v>
      </c>
      <c r="AN144" s="4">
        <v>0</v>
      </c>
      <c r="AO144" s="4" t="s">
        <v>76</v>
      </c>
      <c r="AP144" s="4" t="s">
        <v>77</v>
      </c>
      <c r="AQ144" s="6">
        <v>53132441.990000002</v>
      </c>
      <c r="AR144" s="4">
        <v>426</v>
      </c>
      <c r="AS144" s="15">
        <v>0</v>
      </c>
      <c r="AT144" s="15">
        <v>64.530698488228794</v>
      </c>
      <c r="AU144" s="15">
        <v>64.530698488228794</v>
      </c>
      <c r="AV144" s="15">
        <v>35.4693015117711</v>
      </c>
      <c r="AW144" s="15">
        <v>35.4693015117711</v>
      </c>
      <c r="AX144" s="15">
        <v>0</v>
      </c>
      <c r="AY144">
        <v>2251.1840630444199</v>
      </c>
    </row>
    <row r="145" spans="1:51" x14ac:dyDescent="0.25">
      <c r="A145">
        <v>96</v>
      </c>
      <c r="B145" s="4">
        <v>0.94982991492128199</v>
      </c>
      <c r="C145" s="4">
        <v>42.593394175043898</v>
      </c>
      <c r="D145" s="4">
        <v>46.079970274674402</v>
      </c>
      <c r="E145" s="4">
        <v>4.5197628195578002E-2</v>
      </c>
      <c r="F145" s="5">
        <v>5.0170085078717799E-2</v>
      </c>
      <c r="G145" s="5">
        <v>0</v>
      </c>
      <c r="H145" s="4">
        <v>5.14599848903873</v>
      </c>
      <c r="I145" s="4">
        <v>3.8623083493636798</v>
      </c>
      <c r="J145" s="4">
        <v>5.7406040455530798</v>
      </c>
      <c r="K145" s="4">
        <v>140.24589755189501</v>
      </c>
      <c r="L145" s="4">
        <v>15.5735861940892</v>
      </c>
      <c r="M145" s="4">
        <v>35.9830764752734</v>
      </c>
      <c r="N145" s="4">
        <v>61.597253376050702</v>
      </c>
      <c r="O145" s="4">
        <v>58.063223113101998</v>
      </c>
      <c r="P145" s="4">
        <v>281106.91761845798</v>
      </c>
      <c r="Q145" s="4">
        <v>256245.20191089399</v>
      </c>
      <c r="R145" s="4">
        <v>779.24518118946196</v>
      </c>
      <c r="S145" s="4">
        <v>0</v>
      </c>
      <c r="T145" s="4">
        <v>0</v>
      </c>
      <c r="U145" s="4">
        <v>2.9072545076421201E-2</v>
      </c>
      <c r="V145" s="4">
        <v>0.330359655043093</v>
      </c>
      <c r="W145" s="4">
        <v>0</v>
      </c>
      <c r="X145" s="4">
        <v>0.75179068932019399</v>
      </c>
      <c r="Y145" s="4">
        <v>0</v>
      </c>
      <c r="Z145" s="5">
        <v>4.6621188782963198E-4</v>
      </c>
      <c r="AA145" s="5">
        <v>4.75825117473808E-4</v>
      </c>
      <c r="AB145" s="10">
        <v>4.2176460484573E-3</v>
      </c>
      <c r="AC145" s="10">
        <v>8.1820361629714505E-6</v>
      </c>
      <c r="AD145" s="10">
        <v>4.50022047545975E-2</v>
      </c>
      <c r="AE145" s="4">
        <v>-7.2979565237926399E-3</v>
      </c>
      <c r="AF145" s="4">
        <v>0.78579818138815105</v>
      </c>
      <c r="AG145" s="4">
        <v>0.98693772862067397</v>
      </c>
      <c r="AH145" s="4">
        <v>0.99693465369308198</v>
      </c>
      <c r="AI145" s="4">
        <v>0.99949472010374796</v>
      </c>
      <c r="AJ145" s="4">
        <v>1</v>
      </c>
      <c r="AK145" s="4">
        <v>1</v>
      </c>
      <c r="AL145" s="4">
        <v>1</v>
      </c>
      <c r="AM145" s="4">
        <v>0</v>
      </c>
      <c r="AN145" s="4">
        <v>0</v>
      </c>
      <c r="AO145" s="4" t="s">
        <v>78</v>
      </c>
      <c r="AP145" s="4" t="s">
        <v>79</v>
      </c>
      <c r="AQ145" s="6">
        <v>5371924412.8599997</v>
      </c>
      <c r="AR145" s="4">
        <v>20964</v>
      </c>
      <c r="AS145" s="15">
        <v>0</v>
      </c>
      <c r="AT145" s="15">
        <v>66.964034495690598</v>
      </c>
      <c r="AU145" s="15">
        <v>66.964034495690598</v>
      </c>
      <c r="AV145" s="15">
        <v>33.035965504309303</v>
      </c>
      <c r="AW145" s="15">
        <v>33.035965504309303</v>
      </c>
      <c r="AX145" s="15">
        <v>0</v>
      </c>
      <c r="AY145">
        <v>2205.1880326340602</v>
      </c>
    </row>
    <row r="146" spans="1:51" x14ac:dyDescent="0.25">
      <c r="A146">
        <v>96</v>
      </c>
      <c r="B146" s="4">
        <v>0.95046077387578498</v>
      </c>
      <c r="C146" s="4">
        <v>44.106171142447103</v>
      </c>
      <c r="D146" s="4">
        <v>45.648645020266599</v>
      </c>
      <c r="E146" s="4">
        <v>4.7320130719114298E-2</v>
      </c>
      <c r="F146" s="5">
        <v>4.95392261242142E-2</v>
      </c>
      <c r="G146" s="5">
        <v>0</v>
      </c>
      <c r="H146" s="4">
        <v>5.2439504527306902</v>
      </c>
      <c r="I146" s="4">
        <v>3.7219745079558701</v>
      </c>
      <c r="J146" s="4">
        <v>13.9541430361732</v>
      </c>
      <c r="K146" s="4">
        <v>162.73199149239801</v>
      </c>
      <c r="L146" s="4">
        <v>15.9141482645589</v>
      </c>
      <c r="M146" s="4">
        <v>36.169459299271601</v>
      </c>
      <c r="N146" s="4">
        <v>65.351666256464995</v>
      </c>
      <c r="O146" s="4">
        <v>61.8739327048362</v>
      </c>
      <c r="P146" s="4">
        <v>271939.58822083799</v>
      </c>
      <c r="Q146" s="4">
        <v>250869.374836934</v>
      </c>
      <c r="R146" s="4">
        <v>778.43785484015802</v>
      </c>
      <c r="S146" s="4">
        <v>0</v>
      </c>
      <c r="T146" s="4">
        <v>0</v>
      </c>
      <c r="U146" s="4">
        <v>2.50797809795393E-2</v>
      </c>
      <c r="V146" s="4">
        <v>0.32896083365780998</v>
      </c>
      <c r="W146" s="4">
        <v>0</v>
      </c>
      <c r="X146" s="4">
        <v>0.72400655226285004</v>
      </c>
      <c r="Y146" s="4">
        <v>0</v>
      </c>
      <c r="Z146" s="5">
        <v>4.4736571943522301E-4</v>
      </c>
      <c r="AA146" s="5">
        <v>6.5345171891145997E-4</v>
      </c>
      <c r="AB146" s="10">
        <v>3.9919847506482004E-3</v>
      </c>
      <c r="AC146" s="10">
        <v>8.1232066316245305E-6</v>
      </c>
      <c r="AD146" s="10">
        <v>4.4438285422921699E-2</v>
      </c>
      <c r="AE146" s="4">
        <v>-6.30896204176581E-3</v>
      </c>
      <c r="AF146" s="4">
        <v>0.84009366075193603</v>
      </c>
      <c r="AG146" s="4">
        <v>0.98653978453454505</v>
      </c>
      <c r="AH146" s="4">
        <v>0.99740945695906902</v>
      </c>
      <c r="AI146" s="4">
        <v>0.99926471125791405</v>
      </c>
      <c r="AJ146" s="4">
        <v>1</v>
      </c>
      <c r="AK146" s="4">
        <v>1</v>
      </c>
      <c r="AL146" s="4">
        <v>1</v>
      </c>
      <c r="AM146" s="4">
        <v>0</v>
      </c>
      <c r="AN146" s="4">
        <v>0</v>
      </c>
      <c r="AO146" s="4" t="s">
        <v>80</v>
      </c>
      <c r="AP146" s="4" t="s">
        <v>81</v>
      </c>
      <c r="AQ146" s="6">
        <v>13676896577.360001</v>
      </c>
      <c r="AR146" s="4">
        <v>54518</v>
      </c>
      <c r="AS146" s="15">
        <v>0</v>
      </c>
      <c r="AT146" s="15">
        <v>67.103916634218905</v>
      </c>
      <c r="AU146" s="15">
        <v>67.103916634218905</v>
      </c>
      <c r="AV146" s="15">
        <v>32.896083365781003</v>
      </c>
      <c r="AW146" s="15">
        <v>32.896083365781003</v>
      </c>
      <c r="AX146" s="15">
        <v>0</v>
      </c>
      <c r="AY146">
        <v>2425.0501523237399</v>
      </c>
    </row>
    <row r="147" spans="1:51" x14ac:dyDescent="0.25">
      <c r="A147">
        <v>96</v>
      </c>
      <c r="B147" s="4">
        <v>0.95094103930237295</v>
      </c>
      <c r="C147" s="4">
        <v>41.5255824206847</v>
      </c>
      <c r="D147" s="4">
        <v>45.318164347307402</v>
      </c>
      <c r="E147" s="4">
        <v>4.37300864949315E-2</v>
      </c>
      <c r="F147" s="5">
        <v>4.9058960697626899E-2</v>
      </c>
      <c r="G147" s="5">
        <v>0</v>
      </c>
      <c r="H147" s="4">
        <v>5.3866835131610298</v>
      </c>
      <c r="I147" s="4">
        <v>3.6742414017541498</v>
      </c>
      <c r="J147" s="4">
        <v>28.739008956545501</v>
      </c>
      <c r="K147" s="4">
        <v>184.21087175120201</v>
      </c>
      <c r="L147" s="4">
        <v>15.4064097916386</v>
      </c>
      <c r="M147" s="4">
        <v>37.638587185095602</v>
      </c>
      <c r="N147" s="4">
        <v>69.217315277148401</v>
      </c>
      <c r="O147" s="4">
        <v>64.848874196635194</v>
      </c>
      <c r="P147" s="4">
        <v>279528.26083682402</v>
      </c>
      <c r="Q147" s="4">
        <v>259154.72291148899</v>
      </c>
      <c r="R147" s="4">
        <v>777.53517943268798</v>
      </c>
      <c r="S147" s="4">
        <v>0</v>
      </c>
      <c r="T147" s="4">
        <v>0</v>
      </c>
      <c r="U147" s="4">
        <v>2.9845573088348398E-2</v>
      </c>
      <c r="V147" s="4">
        <v>0.30028449668260598</v>
      </c>
      <c r="W147" s="4">
        <v>0</v>
      </c>
      <c r="X147" s="4">
        <v>0.67116564685123903</v>
      </c>
      <c r="Y147" s="4">
        <v>0</v>
      </c>
      <c r="Z147" s="5">
        <v>4.4682849035121598E-4</v>
      </c>
      <c r="AA147" s="5">
        <v>8.5731119087694904E-4</v>
      </c>
      <c r="AB147" s="10">
        <v>3.7609579371743001E-3</v>
      </c>
      <c r="AC147" s="10">
        <v>1.74501448003322E-5</v>
      </c>
      <c r="AD147" s="10">
        <v>4.3976397694021702E-2</v>
      </c>
      <c r="AE147" s="4">
        <v>4.7000378225220598E-3</v>
      </c>
      <c r="AF147" s="4">
        <v>0.79385594220579903</v>
      </c>
      <c r="AG147" s="4">
        <v>0.98041365220994303</v>
      </c>
      <c r="AH147" s="4">
        <v>0.99450896097572905</v>
      </c>
      <c r="AI147" s="4">
        <v>0.99807632794319101</v>
      </c>
      <c r="AJ147" s="4">
        <v>1</v>
      </c>
      <c r="AK147" s="4">
        <v>1</v>
      </c>
      <c r="AL147" s="4">
        <v>1</v>
      </c>
      <c r="AM147" s="4">
        <v>0</v>
      </c>
      <c r="AN147" s="4">
        <v>0</v>
      </c>
      <c r="AO147" s="4" t="s">
        <v>82</v>
      </c>
      <c r="AP147" s="4" t="s">
        <v>83</v>
      </c>
      <c r="AQ147" s="6">
        <v>6403454048.4200001</v>
      </c>
      <c r="AR147" s="4">
        <v>24709</v>
      </c>
      <c r="AS147" s="15">
        <v>0</v>
      </c>
      <c r="AT147" s="15">
        <v>69.971550331739294</v>
      </c>
      <c r="AU147" s="15">
        <v>69.971550331739294</v>
      </c>
      <c r="AV147" s="15">
        <v>30.028449668260599</v>
      </c>
      <c r="AW147" s="15">
        <v>30.028449668260599</v>
      </c>
      <c r="AX147" s="15">
        <v>0</v>
      </c>
      <c r="AY147">
        <v>2860.1966548696601</v>
      </c>
    </row>
    <row r="148" spans="1:51" x14ac:dyDescent="0.25">
      <c r="A148">
        <v>96</v>
      </c>
      <c r="B148" s="4">
        <v>0.95098782866841103</v>
      </c>
      <c r="C148" s="4">
        <v>37.052644492752698</v>
      </c>
      <c r="D148" s="4">
        <v>45.285869336596903</v>
      </c>
      <c r="E148" s="4">
        <v>3.7838169652353301E-2</v>
      </c>
      <c r="F148" s="5">
        <v>4.9012171331588097E-2</v>
      </c>
      <c r="G148" s="5">
        <v>0</v>
      </c>
      <c r="H148" s="4">
        <v>5.4948867278319797</v>
      </c>
      <c r="I148" s="4">
        <v>3.6704199318889899</v>
      </c>
      <c r="J148" s="4">
        <v>41.263996953935703</v>
      </c>
      <c r="K148" s="4">
        <v>208.14902295197399</v>
      </c>
      <c r="L148" s="4">
        <v>15.672693656781499</v>
      </c>
      <c r="M148" s="4">
        <v>37.422384027670098</v>
      </c>
      <c r="N148" s="4">
        <v>78.959214316140503</v>
      </c>
      <c r="O148" s="4">
        <v>71.656854239044193</v>
      </c>
      <c r="P148" s="4">
        <v>274574.82309055497</v>
      </c>
      <c r="Q148" s="4">
        <v>254761.15270022201</v>
      </c>
      <c r="R148" s="4">
        <v>775.65877373740602</v>
      </c>
      <c r="S148" s="4">
        <v>0</v>
      </c>
      <c r="T148" s="4">
        <v>0</v>
      </c>
      <c r="U148" s="4">
        <v>2.2791785009136801E-2</v>
      </c>
      <c r="V148" s="4">
        <v>0.263465944353523</v>
      </c>
      <c r="W148" s="4">
        <v>0</v>
      </c>
      <c r="X148" s="4">
        <v>0.482186573954061</v>
      </c>
      <c r="Y148" s="4">
        <v>0</v>
      </c>
      <c r="Z148" s="5">
        <v>4.4560604042087599E-4</v>
      </c>
      <c r="AA148" s="5">
        <v>9.9275164089254503E-4</v>
      </c>
      <c r="AB148" s="10">
        <v>3.8411009480878501E-3</v>
      </c>
      <c r="AC148" s="10">
        <v>7.6864766527537002E-5</v>
      </c>
      <c r="AD148" s="10">
        <v>4.3655832422771601E-2</v>
      </c>
      <c r="AE148" s="4">
        <v>3.7903054673449697E-2</v>
      </c>
      <c r="AF148" s="4">
        <v>0.63450754458953695</v>
      </c>
      <c r="AG148" s="4">
        <v>0.91546237961551902</v>
      </c>
      <c r="AH148" s="4">
        <v>0.97599908216571396</v>
      </c>
      <c r="AI148" s="4">
        <v>0.99078251824687902</v>
      </c>
      <c r="AJ148" s="4">
        <v>1</v>
      </c>
      <c r="AK148" s="4">
        <v>1</v>
      </c>
      <c r="AL148" s="4">
        <v>1</v>
      </c>
      <c r="AM148" s="4">
        <v>0</v>
      </c>
      <c r="AN148" s="4">
        <v>0</v>
      </c>
      <c r="AO148" s="4" t="s">
        <v>84</v>
      </c>
      <c r="AP148" s="4" t="s">
        <v>85</v>
      </c>
      <c r="AQ148" s="6">
        <v>916121105.11000001</v>
      </c>
      <c r="AR148" s="4">
        <v>3596</v>
      </c>
      <c r="AS148" s="15">
        <v>0</v>
      </c>
      <c r="AT148" s="15">
        <v>73.653405564647599</v>
      </c>
      <c r="AU148" s="15">
        <v>73.653405564647599</v>
      </c>
      <c r="AV148" s="15">
        <v>26.346594435352301</v>
      </c>
      <c r="AW148" s="15">
        <v>26.346594435352301</v>
      </c>
      <c r="AX148" s="15">
        <v>0</v>
      </c>
      <c r="AY148">
        <v>3108.4242104977702</v>
      </c>
    </row>
    <row r="149" spans="1:51" x14ac:dyDescent="0.25">
      <c r="A149">
        <v>96</v>
      </c>
      <c r="B149" s="4">
        <v>0.94956951338927098</v>
      </c>
      <c r="C149" s="4">
        <v>34.341607142168797</v>
      </c>
      <c r="D149" s="4">
        <v>46.257093010161697</v>
      </c>
      <c r="E149" s="4">
        <v>3.4451291354717001E-2</v>
      </c>
      <c r="F149" s="5">
        <v>5.0430486610728298E-2</v>
      </c>
      <c r="G149" s="5">
        <v>0</v>
      </c>
      <c r="H149" s="4">
        <v>5.4921254425275299</v>
      </c>
      <c r="I149" s="4">
        <v>3.6556027119444701</v>
      </c>
      <c r="J149" s="4">
        <v>42.3685487719398</v>
      </c>
      <c r="K149" s="4">
        <v>232.20992092417401</v>
      </c>
      <c r="L149" s="4">
        <v>15.296587053947301</v>
      </c>
      <c r="M149" s="4">
        <v>35.803611725478198</v>
      </c>
      <c r="N149" s="4">
        <v>86.981575897974295</v>
      </c>
      <c r="O149" s="4">
        <v>75.157305227225507</v>
      </c>
      <c r="P149" s="4">
        <v>281144.61146103998</v>
      </c>
      <c r="Q149" s="4">
        <v>261019.520506912</v>
      </c>
      <c r="R149" s="4">
        <v>778.15277872154195</v>
      </c>
      <c r="S149" s="4">
        <v>0</v>
      </c>
      <c r="T149" s="4">
        <v>0</v>
      </c>
      <c r="U149" s="4">
        <v>1.0950428245378001E-2</v>
      </c>
      <c r="V149" s="4">
        <v>0.213892304286838</v>
      </c>
      <c r="W149" s="4">
        <v>0</v>
      </c>
      <c r="X149" s="4">
        <v>0.24164736866056999</v>
      </c>
      <c r="Y149" s="4">
        <v>0</v>
      </c>
      <c r="Z149" s="5">
        <v>4.5418907949004901E-4</v>
      </c>
      <c r="AA149" s="5">
        <v>1.0867688280056899E-3</v>
      </c>
      <c r="AB149" s="10">
        <v>3.9097385917449103E-3</v>
      </c>
      <c r="AC149" s="10">
        <v>3.6608169962016598E-4</v>
      </c>
      <c r="AD149" s="10">
        <v>4.4613692712079399E-2</v>
      </c>
      <c r="AE149" s="4">
        <v>8.9261420602844602E-2</v>
      </c>
      <c r="AF149" s="4">
        <v>0.42925328618292602</v>
      </c>
      <c r="AG149" s="4">
        <v>0.72155098188672195</v>
      </c>
      <c r="AH149" s="4">
        <v>0.83787515480583297</v>
      </c>
      <c r="AI149" s="4">
        <v>0.98175486087711294</v>
      </c>
      <c r="AJ149" s="4">
        <v>1</v>
      </c>
      <c r="AK149" s="4">
        <v>1</v>
      </c>
      <c r="AL149" s="4">
        <v>1</v>
      </c>
      <c r="AM149" s="4">
        <v>0</v>
      </c>
      <c r="AN149" s="4">
        <v>0</v>
      </c>
      <c r="AO149" s="4" t="s">
        <v>86</v>
      </c>
      <c r="AP149" s="4" t="s">
        <v>87</v>
      </c>
      <c r="AQ149" s="6">
        <v>113282471.90000001</v>
      </c>
      <c r="AR149" s="4">
        <v>434</v>
      </c>
      <c r="AS149" s="15">
        <v>0</v>
      </c>
      <c r="AT149" s="15">
        <v>78.610769571316098</v>
      </c>
      <c r="AU149" s="15">
        <v>78.610769571316098</v>
      </c>
      <c r="AV149" s="15">
        <v>21.389230428683799</v>
      </c>
      <c r="AW149" s="15">
        <v>21.389230428683799</v>
      </c>
      <c r="AX149" s="15">
        <v>0</v>
      </c>
      <c r="AY149">
        <v>3264.9183065628899</v>
      </c>
    </row>
    <row r="150" spans="1:51" x14ac:dyDescent="0.25">
      <c r="A150">
        <v>96</v>
      </c>
      <c r="B150" s="4">
        <v>0.95112132541473204</v>
      </c>
      <c r="C150" s="4">
        <v>86.5289243380698</v>
      </c>
      <c r="D150" s="4">
        <v>45.193630927001699</v>
      </c>
      <c r="E150" s="4">
        <v>0.15384448457170499</v>
      </c>
      <c r="F150" s="5">
        <v>4.88786745852672E-2</v>
      </c>
      <c r="G150" s="5">
        <v>0</v>
      </c>
      <c r="H150" s="4">
        <v>5.3898897410292896</v>
      </c>
      <c r="I150" s="4">
        <v>3.6359111191731301</v>
      </c>
      <c r="J150" s="4">
        <v>35.222487972689201</v>
      </c>
      <c r="K150" s="4">
        <v>254.97823537785101</v>
      </c>
      <c r="L150" s="4">
        <v>13.9770839986061</v>
      </c>
      <c r="M150" s="4">
        <v>36.520121195186299</v>
      </c>
      <c r="N150" s="4">
        <v>90.915794046843899</v>
      </c>
      <c r="O150" s="4">
        <v>75.934593344940595</v>
      </c>
      <c r="P150" s="4">
        <v>300055.06642833003</v>
      </c>
      <c r="Q150" s="4">
        <v>285614.64399999997</v>
      </c>
      <c r="R150" s="4">
        <v>776.66316762805695</v>
      </c>
      <c r="S150" s="4">
        <v>0</v>
      </c>
      <c r="T150" s="4">
        <v>0</v>
      </c>
      <c r="U150" s="4">
        <v>0</v>
      </c>
      <c r="V150" s="4">
        <v>0.31513295935904401</v>
      </c>
      <c r="W150" s="4">
        <v>0</v>
      </c>
      <c r="X150" s="4">
        <v>0.247307279757919</v>
      </c>
      <c r="Y150" s="4">
        <v>0</v>
      </c>
      <c r="Z150" s="5">
        <v>5.0009393581686699E-4</v>
      </c>
      <c r="AA150" s="5">
        <v>6.70340809806586E-4</v>
      </c>
      <c r="AB150" s="10">
        <v>3.8426655784630798E-3</v>
      </c>
      <c r="AC150" s="10">
        <v>2.3045849866176E-4</v>
      </c>
      <c r="AD150" s="10">
        <v>4.3635094972077702E-2</v>
      </c>
      <c r="AE150" s="4">
        <v>0.11049626184761301</v>
      </c>
      <c r="AF150" s="4">
        <v>0.36306355262839102</v>
      </c>
      <c r="AG150" s="4">
        <v>0.45685609173456798</v>
      </c>
      <c r="AH150" s="4">
        <v>0.93049474965529599</v>
      </c>
      <c r="AI150" s="4">
        <v>1</v>
      </c>
      <c r="AJ150" s="4">
        <v>1</v>
      </c>
      <c r="AK150" s="4">
        <v>1</v>
      </c>
      <c r="AL150" s="4">
        <v>1</v>
      </c>
      <c r="AM150" s="4">
        <v>0</v>
      </c>
      <c r="AN150" s="4">
        <v>0</v>
      </c>
      <c r="AO150" s="4" t="s">
        <v>154</v>
      </c>
      <c r="AP150" s="4" t="s">
        <v>155</v>
      </c>
      <c r="AQ150" s="6">
        <v>4284219.66</v>
      </c>
      <c r="AR150" s="4">
        <v>15</v>
      </c>
      <c r="AS150" s="15">
        <v>0</v>
      </c>
      <c r="AT150" s="15">
        <v>68.486704064095505</v>
      </c>
      <c r="AU150" s="15">
        <v>68.486704064095505</v>
      </c>
      <c r="AV150" s="15">
        <v>31.513295935904399</v>
      </c>
      <c r="AW150" s="15">
        <v>31.513295935904399</v>
      </c>
      <c r="AX150" s="15">
        <v>0</v>
      </c>
      <c r="AY150">
        <v>3735.86264209099</v>
      </c>
    </row>
    <row r="151" spans="1:51" s="17" customFormat="1" x14ac:dyDescent="0.25">
      <c r="A151" s="15"/>
      <c r="B151" s="20"/>
      <c r="C151" s="21"/>
      <c r="D151" s="16"/>
      <c r="E151" s="16"/>
      <c r="F151" s="20"/>
      <c r="G151" s="21"/>
      <c r="H151" s="21"/>
      <c r="K151" s="15"/>
      <c r="L151" s="15"/>
      <c r="M151" s="23"/>
      <c r="N151" s="16"/>
      <c r="O151" s="21"/>
      <c r="P151" s="22"/>
      <c r="X151" s="18"/>
      <c r="Y151" s="16"/>
      <c r="Z151" s="16"/>
      <c r="AC151" s="18"/>
      <c r="AD151" s="16"/>
      <c r="AE151" s="16"/>
    </row>
    <row r="153" spans="1:51" s="35" customFormat="1" x14ac:dyDescent="0.25"/>
    <row r="154" spans="1:51" s="35" customFormat="1" x14ac:dyDescent="0.25">
      <c r="O154" s="35" t="s">
        <v>169</v>
      </c>
      <c r="P154" s="35" t="s">
        <v>170</v>
      </c>
    </row>
    <row r="155" spans="1:51" x14ac:dyDescent="0.25">
      <c r="K155" t="s">
        <v>98</v>
      </c>
      <c r="L155" t="s">
        <v>89</v>
      </c>
      <c r="M155" t="s">
        <v>90</v>
      </c>
      <c r="O155" s="39">
        <v>1</v>
      </c>
      <c r="P155" s="39">
        <f>1-O155</f>
        <v>0</v>
      </c>
    </row>
    <row r="156" spans="1:51" x14ac:dyDescent="0.25">
      <c r="A156" s="4" t="s">
        <v>93</v>
      </c>
      <c r="B156" t="str">
        <f>AQ121</f>
        <v>Balance</v>
      </c>
      <c r="C156" s="2" t="str">
        <f t="shared" ref="C156:C168" si="30">AO121</f>
        <v>groupByColumn</v>
      </c>
      <c r="D156" t="str">
        <f>E121</f>
        <v>PREPAY_SMM1</v>
      </c>
      <c r="E156" t="str">
        <f>F121</f>
        <v>PREPAY_TRACKING_SMM1</v>
      </c>
      <c r="F156" t="s">
        <v>91</v>
      </c>
      <c r="G156" t="str">
        <f>C121</f>
        <v>PREPAY_CPR1</v>
      </c>
      <c r="H156" t="str">
        <f>D121</f>
        <v>PREPAY_TRACKING_CPR1</v>
      </c>
      <c r="I156" t="s">
        <v>168</v>
      </c>
      <c r="K156" t="s">
        <v>92</v>
      </c>
      <c r="L156" t="s">
        <v>92</v>
      </c>
      <c r="M156" t="s">
        <v>92</v>
      </c>
      <c r="O156" t="s">
        <v>163</v>
      </c>
      <c r="P156" t="s">
        <v>164</v>
      </c>
      <c r="Q156" t="s">
        <v>165</v>
      </c>
      <c r="S156" t="s">
        <v>96</v>
      </c>
      <c r="T156" t="s">
        <v>97</v>
      </c>
      <c r="U156" t="s">
        <v>91</v>
      </c>
    </row>
    <row r="157" spans="1:51" s="35" customFormat="1" x14ac:dyDescent="0.25">
      <c r="A157" s="14">
        <f t="shared" ref="A157:A168" si="31">K122</f>
        <v>45.850296896758998</v>
      </c>
      <c r="B157" s="32">
        <f t="shared" ref="B157:B168" si="32">AQ122/1000000000</f>
        <v>5.3160230000000002E-5</v>
      </c>
      <c r="C157" s="33" t="str">
        <f t="shared" si="30"/>
        <v>10:25-50</v>
      </c>
      <c r="D157" s="34">
        <f t="shared" ref="D157:D168" si="33">E122</f>
        <v>0</v>
      </c>
      <c r="E157" s="34">
        <f t="shared" ref="E157:E168" si="34">Z122+AA122+AB122+AC122+AD122</f>
        <v>1.7946352990852271E-2</v>
      </c>
      <c r="F157" s="32">
        <f t="shared" ref="F157:F168" si="35">D157/E157</f>
        <v>0</v>
      </c>
      <c r="G157" s="33">
        <f t="shared" ref="G157:G168" si="36">(1-(1-D157)^12)*100</f>
        <v>0</v>
      </c>
      <c r="H157" s="33">
        <f t="shared" ref="H157:H168" si="37">(1-(1-E157)^12)*100</f>
        <v>19.532121108265709</v>
      </c>
      <c r="I157" s="33">
        <f t="shared" ref="I157:I168" si="38">(1-(1-SUM(Z139,AA139,AB139,AC139,AD139*M157))^12)*100</f>
        <v>20.428220054051248</v>
      </c>
      <c r="K157" s="14">
        <f>VLOOKUP($C157,'Refi Adj'!$B$2:$E$32,2,0)</f>
        <v>1</v>
      </c>
      <c r="L157" s="14">
        <f>VLOOKUP($C157,'Refi Adj'!$B$2:$E$32,3,0)</f>
        <v>1</v>
      </c>
      <c r="M157" s="14">
        <f>VLOOKUP($C157,'Refi Adj'!$B$2:$E$32,4,0)</f>
        <v>1.05</v>
      </c>
      <c r="O157" s="40">
        <f t="shared" ref="O157:O168" si="39">AD139*M157</f>
        <v>1.149557287997433E-3</v>
      </c>
      <c r="P157" s="40">
        <f t="shared" ref="P157:P168" si="40">AD122</f>
        <v>2.3351774528251599E-4</v>
      </c>
      <c r="Q157" s="40">
        <f>(O157*$O$155+P157*$P$155)</f>
        <v>1.149557287997433E-3</v>
      </c>
      <c r="R157" s="14"/>
      <c r="S157" s="34">
        <f t="shared" ref="S157:S168" si="41">Z122+AA122+AB122*K157+AC122*L157+Q157</f>
        <v>1.8862392533567189E-2</v>
      </c>
      <c r="T157" s="33">
        <f t="shared" ref="T157:T168" si="42">100*(1-(1-S157)^12)</f>
        <v>20.428220054051248</v>
      </c>
      <c r="U157" s="36">
        <f t="shared" ref="U157:U168" si="43">D157/S157</f>
        <v>0</v>
      </c>
      <c r="X157" s="37"/>
      <c r="Y157" s="34"/>
      <c r="Z157" s="34"/>
      <c r="AD157" s="34"/>
      <c r="AE157" s="34"/>
      <c r="AJ157" s="34"/>
    </row>
    <row r="158" spans="1:51" s="35" customFormat="1" x14ac:dyDescent="0.25">
      <c r="A158" s="14">
        <f t="shared" si="31"/>
        <v>58.82</v>
      </c>
      <c r="B158" s="32">
        <f t="shared" si="32"/>
        <v>1.644675E-5</v>
      </c>
      <c r="C158" s="33" t="str">
        <f t="shared" si="30"/>
        <v>11-2:55-60</v>
      </c>
      <c r="D158" s="34">
        <f t="shared" si="33"/>
        <v>0</v>
      </c>
      <c r="E158" s="34">
        <f t="shared" si="34"/>
        <v>2.2871409999999998E-2</v>
      </c>
      <c r="F158" s="32">
        <f t="shared" si="35"/>
        <v>0</v>
      </c>
      <c r="G158" s="33">
        <f t="shared" si="36"/>
        <v>0</v>
      </c>
      <c r="H158" s="33">
        <f t="shared" si="37"/>
        <v>24.243370013597353</v>
      </c>
      <c r="I158" s="33">
        <f t="shared" si="38"/>
        <v>24.797132669784759</v>
      </c>
      <c r="K158" s="14">
        <f>VLOOKUP($C158,'Refi Adj'!$B$2:$E$32,2,0)</f>
        <v>1</v>
      </c>
      <c r="L158" s="14">
        <f>VLOOKUP($C158,'Refi Adj'!$B$2:$E$32,3,0)</f>
        <v>1</v>
      </c>
      <c r="M158" s="14">
        <f>VLOOKUP($C158,'Refi Adj'!$B$2:$E$32,4,0)</f>
        <v>1.1000000000000001</v>
      </c>
      <c r="O158" s="40">
        <f t="shared" si="39"/>
        <v>7.5259800000000016E-4</v>
      </c>
      <c r="P158" s="40">
        <f t="shared" si="40"/>
        <v>1.5537999999999999E-4</v>
      </c>
      <c r="Q158" s="40">
        <f t="shared" ref="Q158:Q168" si="44">(O158*$O$155+P158*$P$155)</f>
        <v>7.5259800000000016E-4</v>
      </c>
      <c r="R158" s="14"/>
      <c r="S158" s="34">
        <f t="shared" si="41"/>
        <v>2.3468627999999998E-2</v>
      </c>
      <c r="T158" s="33">
        <f t="shared" si="42"/>
        <v>24.797132669784759</v>
      </c>
      <c r="U158" s="36">
        <f t="shared" si="43"/>
        <v>0</v>
      </c>
      <c r="X158" s="37"/>
      <c r="Y158" s="34"/>
      <c r="Z158" s="34"/>
      <c r="AC158" s="37"/>
      <c r="AD158" s="34"/>
      <c r="AE158" s="34"/>
      <c r="AJ158" s="34"/>
    </row>
    <row r="159" spans="1:51" s="35" customFormat="1" x14ac:dyDescent="0.25">
      <c r="A159" s="14">
        <f t="shared" si="31"/>
        <v>65.92</v>
      </c>
      <c r="B159" s="32">
        <f t="shared" si="32"/>
        <v>2.3217007000000001E-4</v>
      </c>
      <c r="C159" s="33" t="str">
        <f t="shared" si="30"/>
        <v>11-4:65-70</v>
      </c>
      <c r="D159" s="34">
        <f t="shared" si="33"/>
        <v>0</v>
      </c>
      <c r="E159" s="34">
        <f t="shared" si="34"/>
        <v>1.1734890000000001E-2</v>
      </c>
      <c r="F159" s="32">
        <f t="shared" si="35"/>
        <v>0</v>
      </c>
      <c r="G159" s="33">
        <f t="shared" si="36"/>
        <v>0</v>
      </c>
      <c r="H159" s="33">
        <f t="shared" si="37"/>
        <v>13.207627900865004</v>
      </c>
      <c r="I159" s="33">
        <f t="shared" si="38"/>
        <v>37.044932550470442</v>
      </c>
      <c r="K159" s="14">
        <f>VLOOKUP($C159,'Refi Adj'!$B$2:$E$32,2,0)</f>
        <v>1</v>
      </c>
      <c r="L159" s="14">
        <f>VLOOKUP($C159,'Refi Adj'!$B$2:$E$32,3,0)</f>
        <v>1</v>
      </c>
      <c r="M159" s="14">
        <f>VLOOKUP($C159,'Refi Adj'!$B$2:$E$32,4,0)</f>
        <v>1.1000000000000001</v>
      </c>
      <c r="O159" s="40">
        <f t="shared" si="39"/>
        <v>3.3203577000000005E-2</v>
      </c>
      <c r="P159" s="40">
        <f t="shared" si="40"/>
        <v>7.1101200000000002E-3</v>
      </c>
      <c r="Q159" s="40">
        <f t="shared" si="44"/>
        <v>3.3203577000000005E-2</v>
      </c>
      <c r="R159" s="14"/>
      <c r="S159" s="34">
        <f t="shared" si="41"/>
        <v>3.7828347000000005E-2</v>
      </c>
      <c r="T159" s="33">
        <f t="shared" si="42"/>
        <v>37.044932550470442</v>
      </c>
      <c r="U159" s="36">
        <f t="shared" si="43"/>
        <v>0</v>
      </c>
      <c r="X159" s="37"/>
      <c r="Y159" s="34"/>
      <c r="Z159" s="34"/>
      <c r="AC159" s="37"/>
      <c r="AD159" s="34"/>
      <c r="AE159" s="34"/>
      <c r="AJ159" s="34"/>
    </row>
    <row r="160" spans="1:51" s="35" customFormat="1" x14ac:dyDescent="0.25">
      <c r="A160" s="14">
        <f t="shared" si="31"/>
        <v>71.878077995950505</v>
      </c>
      <c r="B160" s="32">
        <f t="shared" si="32"/>
        <v>9.8948495999999996E-4</v>
      </c>
      <c r="C160" s="33" t="str">
        <f t="shared" si="30"/>
        <v>11:50-75</v>
      </c>
      <c r="D160" s="34">
        <f t="shared" si="33"/>
        <v>3.1313990262908799E-2</v>
      </c>
      <c r="E160" s="34">
        <f t="shared" si="34"/>
        <v>1.4035759971041086E-2</v>
      </c>
      <c r="F160" s="32">
        <f t="shared" si="35"/>
        <v>2.2310149452196795</v>
      </c>
      <c r="G160" s="33">
        <f t="shared" si="36"/>
        <v>31.735277406766691</v>
      </c>
      <c r="H160" s="33">
        <f t="shared" si="37"/>
        <v>15.601648205293229</v>
      </c>
      <c r="I160" s="33">
        <f t="shared" si="38"/>
        <v>37.73727504427751</v>
      </c>
      <c r="K160" s="14">
        <f>VLOOKUP($C160,'Refi Adj'!$B$2:$E$32,2,0)</f>
        <v>1</v>
      </c>
      <c r="L160" s="14">
        <f>VLOOKUP($C160,'Refi Adj'!$B$2:$E$32,3,0)</f>
        <v>1</v>
      </c>
      <c r="M160" s="14">
        <f>VLOOKUP($C160,'Refi Adj'!$B$2:$E$32,4,0)</f>
        <v>1.1000000000000001</v>
      </c>
      <c r="O160" s="40">
        <f t="shared" si="39"/>
        <v>3.1692848619479963E-2</v>
      </c>
      <c r="P160" s="40">
        <f t="shared" si="40"/>
        <v>7.0140027373375097E-3</v>
      </c>
      <c r="Q160" s="40">
        <f t="shared" si="44"/>
        <v>3.1692848619479963E-2</v>
      </c>
      <c r="R160" s="14"/>
      <c r="S160" s="34">
        <f t="shared" si="41"/>
        <v>3.8714605853183537E-2</v>
      </c>
      <c r="T160" s="33">
        <f t="shared" si="42"/>
        <v>37.73727504427751</v>
      </c>
      <c r="U160" s="36">
        <f t="shared" si="43"/>
        <v>0.80884176844419098</v>
      </c>
      <c r="X160" s="37"/>
      <c r="Y160" s="34"/>
      <c r="Z160" s="34"/>
      <c r="AC160" s="37"/>
      <c r="AD160" s="34"/>
      <c r="AE160" s="34"/>
      <c r="AH160" s="37"/>
      <c r="AI160" s="34"/>
      <c r="AJ160" s="34"/>
    </row>
    <row r="161" spans="1:36" x14ac:dyDescent="0.25">
      <c r="A161" s="4">
        <f t="shared" si="31"/>
        <v>92.496267748053299</v>
      </c>
      <c r="B161" s="3">
        <f t="shared" si="32"/>
        <v>6.5141792000000002E-3</v>
      </c>
      <c r="C161" s="2" t="str">
        <f t="shared" si="30"/>
        <v>12:75-100</v>
      </c>
      <c r="D161" s="8">
        <f t="shared" si="33"/>
        <v>0.109470418065753</v>
      </c>
      <c r="E161" s="8">
        <f t="shared" si="34"/>
        <v>1.4967210072672474E-2</v>
      </c>
      <c r="F161" s="3">
        <f t="shared" si="35"/>
        <v>7.3140162751925937</v>
      </c>
      <c r="G161" s="2">
        <f t="shared" si="36"/>
        <v>75.124019535480699</v>
      </c>
      <c r="H161" s="2">
        <f t="shared" si="37"/>
        <v>16.553475894939616</v>
      </c>
      <c r="I161" s="33">
        <f t="shared" si="38"/>
        <v>30.976527952728759</v>
      </c>
      <c r="K161" s="14">
        <f>VLOOKUP($C161,'Refi Adj'!$B$2:$E$32,2,0)</f>
        <v>1</v>
      </c>
      <c r="L161" s="14">
        <f>VLOOKUP($C161,'Refi Adj'!$B$2:$E$32,3,0)</f>
        <v>1</v>
      </c>
      <c r="M161" s="14">
        <f>VLOOKUP($C161,'Refi Adj'!$B$2:$E$32,4,0)</f>
        <v>1.02</v>
      </c>
      <c r="O161" s="40">
        <f t="shared" si="39"/>
        <v>2.1316287573495109E-2</v>
      </c>
      <c r="P161" s="40">
        <f t="shared" si="40"/>
        <v>5.8621989488794202E-3</v>
      </c>
      <c r="Q161" s="40">
        <f t="shared" si="44"/>
        <v>2.1316287573495109E-2</v>
      </c>
      <c r="R161" s="14"/>
      <c r="S161" s="34">
        <f t="shared" si="41"/>
        <v>3.0421298697288164E-2</v>
      </c>
      <c r="T161" s="2">
        <f t="shared" si="42"/>
        <v>30.976527952728759</v>
      </c>
      <c r="U161" s="7">
        <f t="shared" si="43"/>
        <v>3.5984794454390432</v>
      </c>
      <c r="X161" s="9"/>
      <c r="Y161" s="8"/>
      <c r="Z161" s="8"/>
      <c r="AC161" s="9"/>
      <c r="AD161" s="8"/>
      <c r="AE161" s="8"/>
      <c r="AH161" s="9"/>
      <c r="AI161" s="8"/>
      <c r="AJ161" s="8"/>
    </row>
    <row r="162" spans="1:36" x14ac:dyDescent="0.25">
      <c r="A162" s="4">
        <f t="shared" si="31"/>
        <v>117.342308486322</v>
      </c>
      <c r="B162" s="3">
        <f t="shared" si="32"/>
        <v>5.3132441990000001E-2</v>
      </c>
      <c r="C162" s="2" t="str">
        <f t="shared" si="30"/>
        <v>13:100-125</v>
      </c>
      <c r="D162" s="8">
        <f t="shared" si="33"/>
        <v>4.3222737079615603E-2</v>
      </c>
      <c r="E162" s="8">
        <f t="shared" si="34"/>
        <v>1.6662909706039744E-2</v>
      </c>
      <c r="F162" s="3">
        <f t="shared" si="35"/>
        <v>2.5939489466205781</v>
      </c>
      <c r="G162" s="2">
        <f t="shared" si="36"/>
        <v>41.152210633880159</v>
      </c>
      <c r="H162" s="2">
        <f t="shared" si="37"/>
        <v>18.261051527419713</v>
      </c>
      <c r="I162" s="33">
        <f t="shared" si="38"/>
        <v>33.785680493388995</v>
      </c>
      <c r="K162" s="14">
        <f>VLOOKUP($C162,'Refi Adj'!$B$2:$E$32,2,0)</f>
        <v>1</v>
      </c>
      <c r="L162" s="14">
        <f>VLOOKUP($C162,'Refi Adj'!$B$2:$E$32,3,0)</f>
        <v>1</v>
      </c>
      <c r="M162" s="14">
        <f>VLOOKUP($C162,'Refi Adj'!$B$2:$E$32,4,0)</f>
        <v>0.95</v>
      </c>
      <c r="O162" s="40">
        <f t="shared" si="39"/>
        <v>2.6664451294598952E-2</v>
      </c>
      <c r="P162" s="40">
        <f t="shared" si="40"/>
        <v>9.5547115026282901E-3</v>
      </c>
      <c r="Q162" s="40">
        <f t="shared" si="44"/>
        <v>2.6664451294598952E-2</v>
      </c>
      <c r="R162" s="14"/>
      <c r="S162" s="34">
        <f t="shared" si="41"/>
        <v>3.3772649498010406E-2</v>
      </c>
      <c r="T162" s="2">
        <f t="shared" si="42"/>
        <v>33.785680493388995</v>
      </c>
      <c r="U162" s="7">
        <f t="shared" si="43"/>
        <v>1.2798148123428077</v>
      </c>
      <c r="X162" s="9"/>
      <c r="Y162" s="8"/>
      <c r="Z162" s="8"/>
      <c r="AC162" s="9"/>
      <c r="AD162" s="8"/>
      <c r="AE162" s="8"/>
      <c r="AH162" s="9"/>
      <c r="AI162" s="8"/>
      <c r="AJ162" s="8"/>
    </row>
    <row r="163" spans="1:36" x14ac:dyDescent="0.25">
      <c r="A163" s="4">
        <f t="shared" si="31"/>
        <v>140.24589755189501</v>
      </c>
      <c r="B163" s="3">
        <f t="shared" si="32"/>
        <v>5.3719244128599994</v>
      </c>
      <c r="C163" s="2" t="str">
        <f t="shared" si="30"/>
        <v>14:125-150</v>
      </c>
      <c r="D163" s="8">
        <f t="shared" si="33"/>
        <v>4.5197628195578002E-2</v>
      </c>
      <c r="E163" s="8">
        <f t="shared" si="34"/>
        <v>2.294031028720141E-2</v>
      </c>
      <c r="F163" s="3">
        <f t="shared" si="35"/>
        <v>1.9702274132183004</v>
      </c>
      <c r="G163" s="2">
        <f t="shared" si="36"/>
        <v>42.593394175043912</v>
      </c>
      <c r="H163" s="2">
        <f t="shared" si="37"/>
        <v>24.307447103939396</v>
      </c>
      <c r="I163" s="33">
        <f t="shared" si="38"/>
        <v>43.575679372443062</v>
      </c>
      <c r="K163" s="14">
        <f>VLOOKUP($C163,'Refi Adj'!$B$2:$E$32,2,0)</f>
        <v>1</v>
      </c>
      <c r="L163" s="14">
        <f>VLOOKUP($C163,'Refi Adj'!$B$2:$E$32,3,0)</f>
        <v>1</v>
      </c>
      <c r="M163" s="14">
        <f>VLOOKUP($C163,'Refi Adj'!$B$2:$E$32,4,0)</f>
        <v>0.92</v>
      </c>
      <c r="O163" s="40">
        <f t="shared" si="39"/>
        <v>4.1402028374229703E-2</v>
      </c>
      <c r="P163" s="40">
        <f t="shared" si="40"/>
        <v>1.7772445197277699E-2</v>
      </c>
      <c r="Q163" s="40">
        <f t="shared" si="44"/>
        <v>4.1402028374229703E-2</v>
      </c>
      <c r="R163" s="14"/>
      <c r="S163" s="34">
        <f t="shared" si="41"/>
        <v>4.6569893464153411E-2</v>
      </c>
      <c r="T163" s="2">
        <f t="shared" si="42"/>
        <v>43.575679372443062</v>
      </c>
      <c r="U163" s="7">
        <f t="shared" si="43"/>
        <v>0.9705332100527202</v>
      </c>
      <c r="X163" s="9"/>
      <c r="Y163" s="8"/>
      <c r="Z163" s="8"/>
      <c r="AC163" s="9"/>
      <c r="AD163" s="8"/>
      <c r="AE163" s="8"/>
      <c r="AH163" s="9"/>
      <c r="AI163" s="8"/>
      <c r="AJ163" s="8"/>
    </row>
    <row r="164" spans="1:36" x14ac:dyDescent="0.25">
      <c r="A164" s="4">
        <f t="shared" si="31"/>
        <v>162.73199149239801</v>
      </c>
      <c r="B164" s="3">
        <f t="shared" si="32"/>
        <v>13.676896577360001</v>
      </c>
      <c r="C164" s="2" t="str">
        <f t="shared" si="30"/>
        <v>15:150-175</v>
      </c>
      <c r="D164" s="8">
        <f t="shared" si="33"/>
        <v>4.7320130719114298E-2</v>
      </c>
      <c r="E164" s="8">
        <f t="shared" si="34"/>
        <v>2.6089542671581506E-2</v>
      </c>
      <c r="F164" s="3">
        <f t="shared" si="35"/>
        <v>1.8137585359308956</v>
      </c>
      <c r="G164" s="2">
        <f t="shared" si="36"/>
        <v>44.106171142447167</v>
      </c>
      <c r="H164" s="2">
        <f t="shared" si="37"/>
        <v>27.183743338215205</v>
      </c>
      <c r="I164" s="33">
        <f t="shared" si="38"/>
        <v>42.519581420179705</v>
      </c>
      <c r="K164" s="14">
        <f>VLOOKUP($C164,'Refi Adj'!$B$2:$E$36,2,0)</f>
        <v>1</v>
      </c>
      <c r="L164" s="14">
        <f>VLOOKUP($C164,'Refi Adj'!$B$2:$E$36,3,0)</f>
        <v>1</v>
      </c>
      <c r="M164" s="14">
        <f>VLOOKUP($C164,'Refi Adj'!$B$2:$E$36,4,0)</f>
        <v>0.9</v>
      </c>
      <c r="O164" s="40">
        <f t="shared" si="39"/>
        <v>3.9994456880629532E-2</v>
      </c>
      <c r="P164" s="40">
        <f t="shared" si="40"/>
        <v>2.0988617275955E-2</v>
      </c>
      <c r="Q164" s="40">
        <f t="shared" si="44"/>
        <v>3.9994456880629532E-2</v>
      </c>
      <c r="R164" s="14"/>
      <c r="S164" s="34">
        <f t="shared" si="41"/>
        <v>4.5095382276256042E-2</v>
      </c>
      <c r="T164" s="2">
        <f t="shared" si="42"/>
        <v>42.519581420179705</v>
      </c>
      <c r="U164" s="7">
        <f t="shared" si="43"/>
        <v>1.0493342850323202</v>
      </c>
      <c r="X164" s="9"/>
      <c r="Y164" s="8"/>
      <c r="Z164" s="8"/>
      <c r="AC164" s="9"/>
      <c r="AD164" s="8"/>
      <c r="AE164" s="8"/>
      <c r="AH164" s="9"/>
      <c r="AI164" s="8"/>
      <c r="AJ164" s="8"/>
    </row>
    <row r="165" spans="1:36" x14ac:dyDescent="0.25">
      <c r="A165" s="4">
        <f t="shared" si="31"/>
        <v>184.21087175120201</v>
      </c>
      <c r="B165" s="3">
        <f t="shared" si="32"/>
        <v>6.4034540484200004</v>
      </c>
      <c r="C165" s="2" t="str">
        <f t="shared" si="30"/>
        <v>16:175-200</v>
      </c>
      <c r="D165" s="8">
        <f t="shared" si="33"/>
        <v>4.37300864949315E-2</v>
      </c>
      <c r="E165" s="8">
        <f t="shared" si="34"/>
        <v>3.0813984155459197E-2</v>
      </c>
      <c r="F165" s="3">
        <f t="shared" si="35"/>
        <v>1.4191636587566689</v>
      </c>
      <c r="G165" s="2">
        <f t="shared" si="36"/>
        <v>41.525582420684806</v>
      </c>
      <c r="H165" s="2">
        <f t="shared" si="37"/>
        <v>31.311240985152988</v>
      </c>
      <c r="I165" s="33">
        <f t="shared" si="38"/>
        <v>42.205245773402531</v>
      </c>
      <c r="K165" s="14">
        <f>VLOOKUP($C165,'Refi Adj'!$B$2:$E$36,2,0)</f>
        <v>1</v>
      </c>
      <c r="L165" s="14">
        <f>VLOOKUP($C165,'Refi Adj'!$B$2:$E$36,3,0)</f>
        <v>1</v>
      </c>
      <c r="M165" s="14">
        <f>VLOOKUP($C165,'Refi Adj'!$B$2:$E$36,4,0)</f>
        <v>0.9</v>
      </c>
      <c r="O165" s="40">
        <f t="shared" si="39"/>
        <v>3.9578757924619533E-2</v>
      </c>
      <c r="P165" s="40">
        <f t="shared" si="40"/>
        <v>2.5731436392256401E-2</v>
      </c>
      <c r="Q165" s="40">
        <f t="shared" si="44"/>
        <v>3.9578757924619533E-2</v>
      </c>
      <c r="R165" s="14"/>
      <c r="S165" s="34">
        <f t="shared" si="41"/>
        <v>4.4661305687822332E-2</v>
      </c>
      <c r="T165" s="2">
        <f t="shared" si="42"/>
        <v>42.205245773402531</v>
      </c>
      <c r="U165" s="7">
        <f t="shared" si="43"/>
        <v>0.97914930657424226</v>
      </c>
      <c r="X165" s="9"/>
      <c r="Y165" s="8"/>
      <c r="Z165" s="8"/>
      <c r="AC165" s="9"/>
      <c r="AD165" s="8"/>
      <c r="AE165" s="8"/>
      <c r="AH165" s="9"/>
      <c r="AI165" s="8"/>
      <c r="AJ165" s="8"/>
    </row>
    <row r="166" spans="1:36" x14ac:dyDescent="0.25">
      <c r="A166" s="4">
        <f t="shared" si="31"/>
        <v>208.14902295197399</v>
      </c>
      <c r="B166" s="3">
        <f t="shared" si="32"/>
        <v>0.91612110511</v>
      </c>
      <c r="C166" s="2" t="str">
        <f t="shared" si="30"/>
        <v>17:200-225</v>
      </c>
      <c r="D166" s="8">
        <f t="shared" si="33"/>
        <v>3.7838169652353301E-2</v>
      </c>
      <c r="E166" s="8">
        <f t="shared" si="34"/>
        <v>3.3391171459687008E-2</v>
      </c>
      <c r="F166" s="3">
        <f t="shared" si="35"/>
        <v>1.1331788613057536</v>
      </c>
      <c r="G166" s="2">
        <f t="shared" si="36"/>
        <v>37.052644492752627</v>
      </c>
      <c r="H166" s="2">
        <f t="shared" si="37"/>
        <v>33.471291992628984</v>
      </c>
      <c r="I166" s="33">
        <f t="shared" si="38"/>
        <v>42.194549226279165</v>
      </c>
      <c r="K166" s="14">
        <f>VLOOKUP($C166,'Refi Adj'!$B$2:$E$36,2,0)</f>
        <v>1</v>
      </c>
      <c r="L166" s="14">
        <f>VLOOKUP($C166,'Refi Adj'!$B$2:$E$36,3,0)</f>
        <v>1</v>
      </c>
      <c r="M166" s="14">
        <f>VLOOKUP($C166,'Refi Adj'!$B$2:$E$36,4,0)</f>
        <v>0.9</v>
      </c>
      <c r="O166" s="40">
        <f t="shared" si="39"/>
        <v>3.9290249180494445E-2</v>
      </c>
      <c r="P166" s="40">
        <f t="shared" si="40"/>
        <v>2.8034848063758201E-2</v>
      </c>
      <c r="Q166" s="40">
        <f t="shared" si="44"/>
        <v>3.9290249180494445E-2</v>
      </c>
      <c r="R166" s="14"/>
      <c r="S166" s="34">
        <f t="shared" si="41"/>
        <v>4.4646572576423252E-2</v>
      </c>
      <c r="T166" s="2">
        <f t="shared" si="42"/>
        <v>42.194549226279165</v>
      </c>
      <c r="U166" s="7">
        <f t="shared" si="43"/>
        <v>0.84750446605020469</v>
      </c>
      <c r="X166" s="9"/>
      <c r="Y166" s="8"/>
      <c r="Z166" s="8"/>
      <c r="AC166" s="9"/>
      <c r="AD166" s="8"/>
      <c r="AE166" s="8"/>
      <c r="AH166" s="9"/>
      <c r="AI166" s="8"/>
      <c r="AJ166" s="8"/>
    </row>
    <row r="167" spans="1:36" x14ac:dyDescent="0.25">
      <c r="A167" s="4">
        <f t="shared" si="31"/>
        <v>232.20992092417401</v>
      </c>
      <c r="B167" s="3">
        <f t="shared" si="32"/>
        <v>0.1132824719</v>
      </c>
      <c r="C167" s="2" t="str">
        <f t="shared" si="30"/>
        <v>18:225-250</v>
      </c>
      <c r="D167" s="8">
        <f t="shared" si="33"/>
        <v>3.4451291354717001E-2</v>
      </c>
      <c r="E167" s="8">
        <f t="shared" si="34"/>
        <v>3.3408687119088516E-2</v>
      </c>
      <c r="F167" s="3">
        <f t="shared" si="35"/>
        <v>1.0312075787926662</v>
      </c>
      <c r="G167" s="2">
        <f t="shared" si="36"/>
        <v>34.341607142168826</v>
      </c>
      <c r="H167" s="2">
        <f t="shared" si="37"/>
        <v>33.485757137468283</v>
      </c>
      <c r="I167" s="33">
        <f t="shared" si="38"/>
        <v>43.147536766254689</v>
      </c>
      <c r="K167" s="14">
        <f>VLOOKUP($C167,'Refi Adj'!$B$2:$E$36,2,0)</f>
        <v>1</v>
      </c>
      <c r="L167" s="14">
        <f>VLOOKUP($C167,'Refi Adj'!$B$2:$E$36,3,0)</f>
        <v>1</v>
      </c>
      <c r="M167" s="14">
        <f>VLOOKUP($C167,'Refi Adj'!$B$2:$E$36,4,0)</f>
        <v>0.9</v>
      </c>
      <c r="O167" s="40">
        <f t="shared" si="39"/>
        <v>4.0152323440871461E-2</v>
      </c>
      <c r="P167" s="40">
        <f t="shared" si="40"/>
        <v>2.7591908920227701E-2</v>
      </c>
      <c r="Q167" s="40">
        <f t="shared" si="44"/>
        <v>4.0152323440871461E-2</v>
      </c>
      <c r="R167" s="14"/>
      <c r="S167" s="34">
        <f t="shared" si="41"/>
        <v>4.5969101639732279E-2</v>
      </c>
      <c r="T167" s="2">
        <f t="shared" si="42"/>
        <v>43.147536766254689</v>
      </c>
      <c r="U167" s="7">
        <f t="shared" si="43"/>
        <v>0.74944452090270697</v>
      </c>
      <c r="X167" s="9"/>
      <c r="Y167" s="8"/>
      <c r="Z167" s="8"/>
      <c r="AC167" s="9"/>
      <c r="AD167" s="8"/>
      <c r="AE167" s="8"/>
      <c r="AH167" s="9"/>
      <c r="AI167" s="8"/>
      <c r="AJ167" s="8"/>
    </row>
    <row r="168" spans="1:36" x14ac:dyDescent="0.25">
      <c r="A168" s="4">
        <f t="shared" si="31"/>
        <v>254.97823537785101</v>
      </c>
      <c r="B168" s="3">
        <f t="shared" si="32"/>
        <v>4.2842196600000005E-3</v>
      </c>
      <c r="C168" s="2" t="str">
        <f t="shared" si="30"/>
        <v>999:&gt;= 250</v>
      </c>
      <c r="D168" s="8">
        <f t="shared" si="33"/>
        <v>0.15384448457170499</v>
      </c>
      <c r="E168" s="8">
        <f t="shared" si="34"/>
        <v>3.1433795586805896E-2</v>
      </c>
      <c r="F168" s="3">
        <f t="shared" si="35"/>
        <v>4.8942382458031917</v>
      </c>
      <c r="G168" s="2">
        <f t="shared" si="36"/>
        <v>86.528924338069885</v>
      </c>
      <c r="H168" s="2">
        <f t="shared" si="37"/>
        <v>31.836522798972922</v>
      </c>
      <c r="I168" s="33">
        <f t="shared" si="38"/>
        <v>42.099049215156334</v>
      </c>
      <c r="K168" s="14">
        <f>VLOOKUP($C168,'Refi Adj'!$B$2:$E$36,2,0)</f>
        <v>1</v>
      </c>
      <c r="L168" s="14">
        <f>VLOOKUP($C168,'Refi Adj'!$B$2:$E$36,3,0)</f>
        <v>1</v>
      </c>
      <c r="M168" s="14">
        <f>VLOOKUP($C168,'Refi Adj'!$B$2:$E$36,4,0)</f>
        <v>0.9</v>
      </c>
      <c r="O168" s="40">
        <f t="shared" si="39"/>
        <v>3.9271585474869933E-2</v>
      </c>
      <c r="P168" s="40">
        <f t="shared" si="40"/>
        <v>2.6190236764057601E-2</v>
      </c>
      <c r="Q168" s="40">
        <f t="shared" si="44"/>
        <v>3.9271585474869933E-2</v>
      </c>
      <c r="R168" s="14"/>
      <c r="S168" s="34">
        <f t="shared" si="41"/>
        <v>4.4515144297618228E-2</v>
      </c>
      <c r="T168" s="2">
        <f t="shared" si="42"/>
        <v>42.099049215156334</v>
      </c>
      <c r="U168" s="7">
        <f t="shared" si="43"/>
        <v>3.4560032770675844</v>
      </c>
      <c r="X168" s="9"/>
      <c r="Y168" s="8"/>
      <c r="Z168" s="8"/>
      <c r="AC168" s="9"/>
      <c r="AD168" s="8"/>
      <c r="AE168" s="8"/>
      <c r="AH168" s="9"/>
      <c r="AI168" s="8"/>
      <c r="AJ168" s="8"/>
    </row>
    <row r="169" spans="1:36" x14ac:dyDescent="0.25">
      <c r="A169" s="4"/>
      <c r="B169" s="3"/>
      <c r="C169" s="2"/>
      <c r="D169" s="8"/>
      <c r="E169" s="8"/>
      <c r="F169" s="3"/>
      <c r="G169" s="2"/>
      <c r="H169" s="2"/>
      <c r="I169" s="33"/>
      <c r="K169" s="14"/>
      <c r="L169" s="14"/>
      <c r="M169" s="14"/>
      <c r="O169" s="40"/>
      <c r="P169" s="40"/>
      <c r="Q169" s="40"/>
      <c r="R169" s="14"/>
      <c r="S169" s="34"/>
      <c r="T169" s="2"/>
      <c r="U169" s="7"/>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7"/>
      <c r="X170" s="9"/>
      <c r="Y170" s="8"/>
      <c r="Z170" s="8"/>
      <c r="AC170" s="9"/>
      <c r="AD170" s="8"/>
      <c r="AE170" s="8"/>
      <c r="AH170" s="9"/>
      <c r="AI170" s="8"/>
      <c r="AJ170" s="8"/>
    </row>
    <row r="171" spans="1:36" s="24" customFormat="1" x14ac:dyDescent="0.25">
      <c r="A171" s="4"/>
      <c r="B171" s="3"/>
      <c r="C171" s="2"/>
      <c r="D171" s="8"/>
      <c r="E171" s="8"/>
      <c r="F171" s="3"/>
      <c r="G171" s="2"/>
      <c r="H171" s="2"/>
      <c r="I171" s="33"/>
      <c r="J171"/>
      <c r="K171" s="14"/>
      <c r="L171" s="14"/>
      <c r="M171" s="14"/>
      <c r="O171" s="40"/>
      <c r="P171" s="40"/>
      <c r="Q171" s="40"/>
      <c r="R171" s="14"/>
      <c r="S171" s="34"/>
      <c r="T171" s="2"/>
      <c r="U171" s="7"/>
      <c r="V171"/>
      <c r="W171"/>
      <c r="X171" s="9"/>
      <c r="Y171" s="8"/>
      <c r="Z171" s="8"/>
      <c r="AA171"/>
      <c r="AB171"/>
      <c r="AC171" s="9"/>
      <c r="AD171" s="8"/>
      <c r="AE171" s="8"/>
      <c r="AF171"/>
      <c r="AG171"/>
      <c r="AH171" s="9"/>
      <c r="AI171" s="8"/>
      <c r="AJ171" s="8"/>
    </row>
    <row r="172" spans="1:36" s="24" customFormat="1" x14ac:dyDescent="0.25">
      <c r="A172" s="4"/>
      <c r="B172" s="3"/>
      <c r="C172" s="2"/>
      <c r="D172" s="8"/>
      <c r="E172" s="8"/>
      <c r="F172" s="3"/>
      <c r="G172" s="2"/>
      <c r="H172" s="2"/>
      <c r="I172" s="33"/>
      <c r="J172"/>
      <c r="K172" s="14"/>
      <c r="L172" s="14"/>
      <c r="M172" s="14"/>
      <c r="O172" s="40"/>
      <c r="P172" s="40"/>
      <c r="Q172" s="40"/>
      <c r="R172" s="14"/>
      <c r="S172" s="34"/>
      <c r="T172" s="2"/>
      <c r="U172" s="7"/>
      <c r="V172"/>
      <c r="W172"/>
      <c r="X172" s="9"/>
      <c r="Y172" s="8"/>
      <c r="Z172" s="8"/>
      <c r="AA172"/>
      <c r="AB172"/>
      <c r="AC172" s="9"/>
      <c r="AD172" s="8"/>
      <c r="AE172" s="8"/>
      <c r="AF172"/>
      <c r="AG172"/>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7"/>
      <c r="V173"/>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7"/>
      <c r="V174"/>
      <c r="W174"/>
      <c r="X174" s="9"/>
      <c r="Y174" s="8"/>
      <c r="Z174" s="8"/>
      <c r="AA174"/>
      <c r="AB174"/>
      <c r="AC174" s="9"/>
      <c r="AD174" s="8"/>
      <c r="AE174" s="8"/>
      <c r="AF174"/>
      <c r="AG174"/>
      <c r="AH174" s="9"/>
      <c r="AI174" s="8"/>
      <c r="AJ174" s="8"/>
    </row>
    <row r="175" spans="1:36" x14ac:dyDescent="0.25">
      <c r="A175" s="4"/>
      <c r="B175" s="3"/>
      <c r="C175" s="2"/>
      <c r="D175" s="8"/>
      <c r="E175" s="8"/>
      <c r="F175" s="3"/>
      <c r="G175" s="2"/>
      <c r="H175" s="2"/>
      <c r="I175" s="33"/>
      <c r="K175" s="14"/>
      <c r="L175" s="14"/>
      <c r="M175" s="14"/>
      <c r="O175" s="40"/>
      <c r="P175" s="40"/>
      <c r="Q175" s="40"/>
      <c r="R175" s="14"/>
      <c r="S175" s="34"/>
      <c r="T175" s="2"/>
      <c r="U175" s="7"/>
      <c r="X175" s="9"/>
      <c r="Y175" s="8"/>
      <c r="Z175" s="8"/>
      <c r="AC175" s="9"/>
      <c r="AD175" s="8"/>
      <c r="AE175" s="8"/>
      <c r="AH175" s="9"/>
      <c r="AI175" s="8"/>
      <c r="AJ175" s="8"/>
    </row>
    <row r="176" spans="1:36" s="41" customFormat="1" x14ac:dyDescent="0.25"/>
    <row r="177" spans="1:51" x14ac:dyDescent="0.25">
      <c r="A177" t="s">
        <v>181</v>
      </c>
      <c r="C177" t="s">
        <v>125</v>
      </c>
      <c r="F177" t="s">
        <v>166</v>
      </c>
      <c r="AS177" s="17" t="s">
        <v>88</v>
      </c>
      <c r="AT177" s="17" t="s">
        <v>89</v>
      </c>
      <c r="AU177" s="17"/>
      <c r="AV177" s="17"/>
      <c r="AW177" s="17" t="s">
        <v>90</v>
      </c>
      <c r="AX177" s="17"/>
    </row>
    <row r="178" spans="1:51" x14ac:dyDescent="0.25">
      <c r="A178" t="s">
        <v>20</v>
      </c>
      <c r="B178" t="s">
        <v>21</v>
      </c>
      <c r="C178" t="s">
        <v>22</v>
      </c>
      <c r="D178" t="s">
        <v>23</v>
      </c>
      <c r="E178" t="s">
        <v>94</v>
      </c>
      <c r="F178" t="s">
        <v>95</v>
      </c>
      <c r="G178" t="s">
        <v>24</v>
      </c>
      <c r="H178" t="s">
        <v>25</v>
      </c>
      <c r="I178" t="s">
        <v>26</v>
      </c>
      <c r="J178" t="s">
        <v>27</v>
      </c>
      <c r="K178" t="s">
        <v>28</v>
      </c>
      <c r="L178" t="s">
        <v>29</v>
      </c>
      <c r="M178" t="s">
        <v>30</v>
      </c>
      <c r="N178" t="s">
        <v>31</v>
      </c>
      <c r="O178" t="s">
        <v>32</v>
      </c>
      <c r="P178" t="s">
        <v>33</v>
      </c>
      <c r="Q178" t="s">
        <v>34</v>
      </c>
      <c r="R178" t="s">
        <v>35</v>
      </c>
      <c r="S178" t="s">
        <v>36</v>
      </c>
      <c r="T178" t="s">
        <v>37</v>
      </c>
      <c r="U178" t="s">
        <v>38</v>
      </c>
      <c r="V178" t="s">
        <v>39</v>
      </c>
      <c r="W178" t="s">
        <v>40</v>
      </c>
      <c r="X178" t="s">
        <v>41</v>
      </c>
      <c r="Y178" t="s">
        <v>42</v>
      </c>
      <c r="Z178" t="s">
        <v>43</v>
      </c>
      <c r="AA178" t="s">
        <v>44</v>
      </c>
      <c r="AB178" s="1" t="s">
        <v>45</v>
      </c>
      <c r="AC178" s="1" t="s">
        <v>46</v>
      </c>
      <c r="AD178" s="1" t="s">
        <v>47</v>
      </c>
      <c r="AE178" t="s">
        <v>48</v>
      </c>
      <c r="AF178" t="s">
        <v>49</v>
      </c>
      <c r="AG178" t="s">
        <v>50</v>
      </c>
      <c r="AH178" t="s">
        <v>51</v>
      </c>
      <c r="AI178" t="s">
        <v>52</v>
      </c>
      <c r="AJ178" t="s">
        <v>53</v>
      </c>
      <c r="AK178" t="s">
        <v>54</v>
      </c>
      <c r="AL178" t="s">
        <v>55</v>
      </c>
      <c r="AM178" t="s">
        <v>56</v>
      </c>
      <c r="AN178" t="s">
        <v>57</v>
      </c>
      <c r="AO178" t="s">
        <v>58</v>
      </c>
      <c r="AP178" t="s">
        <v>59</v>
      </c>
      <c r="AQ178" t="s">
        <v>60</v>
      </c>
      <c r="AR178" t="s">
        <v>61</v>
      </c>
      <c r="AS178" s="19" t="s">
        <v>116</v>
      </c>
      <c r="AT178" s="19" t="s">
        <v>117</v>
      </c>
      <c r="AU178" s="17" t="s">
        <v>118</v>
      </c>
      <c r="AV178" s="17" t="s">
        <v>119</v>
      </c>
      <c r="AW178" s="19" t="s">
        <v>120</v>
      </c>
      <c r="AX178" s="17" t="s">
        <v>121</v>
      </c>
      <c r="AY178" t="s">
        <v>171</v>
      </c>
    </row>
    <row r="179" spans="1:51" x14ac:dyDescent="0.25">
      <c r="A179">
        <v>97</v>
      </c>
      <c r="B179" s="4">
        <v>0.98047788999999996</v>
      </c>
      <c r="C179" s="4">
        <v>100</v>
      </c>
      <c r="D179" s="4">
        <v>21.067900241987299</v>
      </c>
      <c r="E179" s="4">
        <v>1</v>
      </c>
      <c r="F179" s="5">
        <v>1.9522109999999999E-2</v>
      </c>
      <c r="G179" s="5">
        <v>0</v>
      </c>
      <c r="H179" s="4">
        <v>5.875</v>
      </c>
      <c r="I179" s="4">
        <v>3.7846229999999998</v>
      </c>
      <c r="J179" s="4">
        <v>66.835700000000003</v>
      </c>
      <c r="K179" s="4">
        <v>145.06</v>
      </c>
      <c r="L179" s="4">
        <v>100</v>
      </c>
      <c r="M179" s="4">
        <v>42</v>
      </c>
      <c r="N179" s="4">
        <v>90</v>
      </c>
      <c r="O179" s="4">
        <v>8.5</v>
      </c>
      <c r="P179" s="4">
        <v>32753.46</v>
      </c>
      <c r="Q179" s="4">
        <v>32753.46</v>
      </c>
      <c r="R179" s="4">
        <v>794</v>
      </c>
      <c r="S179" s="4">
        <v>0</v>
      </c>
      <c r="T179" s="4">
        <v>0</v>
      </c>
      <c r="U179" s="4">
        <v>0</v>
      </c>
      <c r="V179" s="4">
        <v>0</v>
      </c>
      <c r="W179" s="4">
        <v>0</v>
      </c>
      <c r="X179" s="4">
        <v>0</v>
      </c>
      <c r="Y179" s="4">
        <v>0</v>
      </c>
      <c r="Z179" s="5">
        <v>1.096083E-2</v>
      </c>
      <c r="AA179" s="5">
        <v>1.64101E-3</v>
      </c>
      <c r="AB179" s="10">
        <v>6.2107500000000001E-3</v>
      </c>
      <c r="AC179" s="10">
        <v>0</v>
      </c>
      <c r="AD179" s="10">
        <v>7.0951E-4</v>
      </c>
      <c r="AE179" s="4">
        <v>7.0374509803919405E-2</v>
      </c>
      <c r="AF179" s="4">
        <v>0</v>
      </c>
      <c r="AG179" s="4">
        <v>1</v>
      </c>
      <c r="AH179" s="4">
        <v>1</v>
      </c>
      <c r="AI179" s="4">
        <v>1</v>
      </c>
      <c r="AJ179" s="4">
        <v>1</v>
      </c>
      <c r="AK179" s="4">
        <v>1</v>
      </c>
      <c r="AL179" s="4">
        <v>1</v>
      </c>
      <c r="AM179" s="4">
        <v>0</v>
      </c>
      <c r="AN179" s="4">
        <v>0</v>
      </c>
      <c r="AO179" s="4" t="s">
        <v>78</v>
      </c>
      <c r="AP179" s="4" t="s">
        <v>79</v>
      </c>
      <c r="AQ179" s="6">
        <v>32753.46</v>
      </c>
      <c r="AR179" s="4">
        <v>1</v>
      </c>
      <c r="AS179" s="15">
        <v>0</v>
      </c>
      <c r="AT179" s="15">
        <v>100</v>
      </c>
      <c r="AU179" s="15">
        <v>100</v>
      </c>
      <c r="AV179" s="15">
        <v>0</v>
      </c>
      <c r="AW179" s="15">
        <v>0</v>
      </c>
      <c r="AX179" s="15">
        <v>0</v>
      </c>
      <c r="AY179" s="31">
        <v>5546.85</v>
      </c>
    </row>
    <row r="180" spans="1:51" x14ac:dyDescent="0.25">
      <c r="A180">
        <v>97</v>
      </c>
      <c r="B180" s="4">
        <v>0.981895100308249</v>
      </c>
      <c r="C180" s="4">
        <v>53.926505587231098</v>
      </c>
      <c r="D180" s="4">
        <v>19.6878754652755</v>
      </c>
      <c r="E180" s="4">
        <v>6.2536726327087594E-2</v>
      </c>
      <c r="F180" s="5">
        <v>1.8104899691750401E-2</v>
      </c>
      <c r="G180" s="5">
        <v>0</v>
      </c>
      <c r="H180" s="4">
        <v>5.4800507467645003</v>
      </c>
      <c r="I180" s="4">
        <v>3.75700708557296</v>
      </c>
      <c r="J180" s="4">
        <v>35.647117275124103</v>
      </c>
      <c r="K180" s="4">
        <v>166.13016914246199</v>
      </c>
      <c r="L180" s="4">
        <v>31.278566249640399</v>
      </c>
      <c r="M180" s="4">
        <v>41.499524460816502</v>
      </c>
      <c r="N180" s="4">
        <v>85.599477447759199</v>
      </c>
      <c r="O180" s="4">
        <v>59.3373631490158</v>
      </c>
      <c r="P180" s="4">
        <v>170189.90339858999</v>
      </c>
      <c r="Q180" s="4">
        <v>125688.486</v>
      </c>
      <c r="R180" s="4">
        <v>777.53033686792901</v>
      </c>
      <c r="S180" s="4">
        <v>0</v>
      </c>
      <c r="T180" s="4">
        <v>0</v>
      </c>
      <c r="U180" s="4">
        <v>0</v>
      </c>
      <c r="V180" s="4">
        <v>0.40375193635477402</v>
      </c>
      <c r="W180" s="4">
        <v>0</v>
      </c>
      <c r="X180" s="4">
        <v>0.32434272459929198</v>
      </c>
      <c r="Y180" s="4">
        <v>0</v>
      </c>
      <c r="Z180" s="5">
        <v>1.79786928120403E-3</v>
      </c>
      <c r="AA180" s="5">
        <v>1.0201989025972E-3</v>
      </c>
      <c r="AB180" s="10">
        <v>4.8905802023871603E-3</v>
      </c>
      <c r="AC180" s="10">
        <v>0</v>
      </c>
      <c r="AD180" s="10">
        <v>1.03962336012446E-2</v>
      </c>
      <c r="AE180" s="4">
        <v>-5.1932766820140201E-3</v>
      </c>
      <c r="AF180" s="4">
        <v>0.89651138927713703</v>
      </c>
      <c r="AG180" s="4">
        <v>1</v>
      </c>
      <c r="AH180" s="4">
        <v>1</v>
      </c>
      <c r="AI180" s="4">
        <v>1</v>
      </c>
      <c r="AJ180" s="4">
        <v>1</v>
      </c>
      <c r="AK180" s="4">
        <v>1</v>
      </c>
      <c r="AL180" s="4">
        <v>1</v>
      </c>
      <c r="AM180" s="4">
        <v>0</v>
      </c>
      <c r="AN180" s="4">
        <v>0</v>
      </c>
      <c r="AO180" s="4" t="s">
        <v>80</v>
      </c>
      <c r="AP180" s="4" t="s">
        <v>81</v>
      </c>
      <c r="AQ180" s="6">
        <v>3142212.15</v>
      </c>
      <c r="AR180" s="4">
        <v>25</v>
      </c>
      <c r="AS180" s="15">
        <v>0</v>
      </c>
      <c r="AT180" s="15">
        <v>59.624806364522499</v>
      </c>
      <c r="AU180" s="15">
        <v>59.624806364522499</v>
      </c>
      <c r="AV180" s="15">
        <v>40.375193635477402</v>
      </c>
      <c r="AW180" s="15">
        <v>40.375193635477402</v>
      </c>
      <c r="AX180" s="15">
        <v>0</v>
      </c>
      <c r="AY180" s="31">
        <v>4308.7926875862904</v>
      </c>
    </row>
    <row r="181" spans="1:51" x14ac:dyDescent="0.25">
      <c r="A181">
        <v>97</v>
      </c>
      <c r="B181" s="4">
        <v>0.97299871261527404</v>
      </c>
      <c r="C181" s="4">
        <v>45.7420497333543</v>
      </c>
      <c r="D181" s="4">
        <v>27.9975643353125</v>
      </c>
      <c r="E181" s="4">
        <v>4.9675450142089399E-2</v>
      </c>
      <c r="F181" s="5">
        <v>2.70012873847255E-2</v>
      </c>
      <c r="G181" s="5">
        <v>0</v>
      </c>
      <c r="H181" s="4">
        <v>5.5215956509271802</v>
      </c>
      <c r="I181" s="4">
        <v>3.7784990685883701</v>
      </c>
      <c r="J181" s="4">
        <v>41.977464769770201</v>
      </c>
      <c r="K181" s="4">
        <v>190.39197835595601</v>
      </c>
      <c r="L181" s="4">
        <v>16.2024385544734</v>
      </c>
      <c r="M181" s="4">
        <v>42.575634617058299</v>
      </c>
      <c r="N181" s="4">
        <v>60.428973611941601</v>
      </c>
      <c r="O181" s="4">
        <v>55.563464835435497</v>
      </c>
      <c r="P181" s="4">
        <v>273916.22150771902</v>
      </c>
      <c r="Q181" s="4">
        <v>246297.90532125201</v>
      </c>
      <c r="R181" s="4">
        <v>778.10853865903096</v>
      </c>
      <c r="S181" s="4">
        <v>0</v>
      </c>
      <c r="T181" s="4">
        <v>0</v>
      </c>
      <c r="U181" s="4">
        <v>3.3873697239004297E-2</v>
      </c>
      <c r="V181" s="4">
        <v>0.41882625590214301</v>
      </c>
      <c r="W181" s="4">
        <v>0</v>
      </c>
      <c r="X181" s="4">
        <v>0.70047940670892095</v>
      </c>
      <c r="Y181" s="4">
        <v>0</v>
      </c>
      <c r="Z181" s="5">
        <v>5.2001257323515903E-4</v>
      </c>
      <c r="AA181" s="5">
        <v>9.6768819732903101E-4</v>
      </c>
      <c r="AB181" s="10">
        <v>4.2033406590764001E-3</v>
      </c>
      <c r="AC181" s="10">
        <v>1.30394022591955E-5</v>
      </c>
      <c r="AD181" s="10">
        <v>2.1297192572867499E-2</v>
      </c>
      <c r="AE181" s="4">
        <v>4.5407140909657499E-4</v>
      </c>
      <c r="AF181" s="4">
        <v>0.72579029685867302</v>
      </c>
      <c r="AG181" s="4">
        <v>0.99346644542043505</v>
      </c>
      <c r="AH181" s="4">
        <v>0.99346644542043505</v>
      </c>
      <c r="AI181" s="4">
        <v>1</v>
      </c>
      <c r="AJ181" s="4">
        <v>1</v>
      </c>
      <c r="AK181" s="4">
        <v>1</v>
      </c>
      <c r="AL181" s="4">
        <v>1</v>
      </c>
      <c r="AM181" s="4">
        <v>0</v>
      </c>
      <c r="AN181" s="4">
        <v>0</v>
      </c>
      <c r="AO181" s="4" t="s">
        <v>82</v>
      </c>
      <c r="AP181" s="4" t="s">
        <v>83</v>
      </c>
      <c r="AQ181" s="6">
        <v>149502828.53</v>
      </c>
      <c r="AR181" s="4">
        <v>607</v>
      </c>
      <c r="AS181" s="15">
        <v>0</v>
      </c>
      <c r="AT181" s="15">
        <v>58.117374409785597</v>
      </c>
      <c r="AU181" s="15">
        <v>58.117374409785597</v>
      </c>
      <c r="AV181" s="15">
        <v>41.882625590214303</v>
      </c>
      <c r="AW181" s="15">
        <v>41.882625590214303</v>
      </c>
      <c r="AX181" s="15">
        <v>0</v>
      </c>
      <c r="AY181" s="31">
        <v>4251.2320981783096</v>
      </c>
    </row>
    <row r="182" spans="1:51" x14ac:dyDescent="0.25">
      <c r="A182">
        <v>97</v>
      </c>
      <c r="B182" s="4">
        <v>0.97172524245020597</v>
      </c>
      <c r="C182" s="4">
        <v>36.044984186123699</v>
      </c>
      <c r="D182" s="4">
        <v>29.1203092202345</v>
      </c>
      <c r="E182" s="4">
        <v>3.6563968988251802E-2</v>
      </c>
      <c r="F182" s="5">
        <v>2.8274757549793299E-2</v>
      </c>
      <c r="G182" s="5">
        <v>0</v>
      </c>
      <c r="H182" s="4">
        <v>5.68814050444524</v>
      </c>
      <c r="I182" s="4">
        <v>3.70292444551324</v>
      </c>
      <c r="J182" s="4">
        <v>60.285902354424898</v>
      </c>
      <c r="K182" s="4">
        <v>212.532409382265</v>
      </c>
      <c r="L182" s="4">
        <v>15.520617610179601</v>
      </c>
      <c r="M182" s="4">
        <v>40.917152259145404</v>
      </c>
      <c r="N182" s="4">
        <v>63.058385981118597</v>
      </c>
      <c r="O182" s="4">
        <v>59.619903555286797</v>
      </c>
      <c r="P182" s="4">
        <v>282447.31264149997</v>
      </c>
      <c r="Q182" s="4">
        <v>257227.87382467001</v>
      </c>
      <c r="R182" s="4">
        <v>777.72147300117103</v>
      </c>
      <c r="S182" s="4">
        <v>0</v>
      </c>
      <c r="T182" s="4">
        <v>0</v>
      </c>
      <c r="U182" s="4">
        <v>2.77276374434361E-2</v>
      </c>
      <c r="V182" s="4">
        <v>0.35540294961879199</v>
      </c>
      <c r="W182" s="4">
        <v>0</v>
      </c>
      <c r="X182" s="4">
        <v>0.73970507038933297</v>
      </c>
      <c r="Y182" s="4">
        <v>0</v>
      </c>
      <c r="Z182" s="5">
        <v>4.7060161113777099E-4</v>
      </c>
      <c r="AA182" s="5">
        <v>1.1202030837076801E-3</v>
      </c>
      <c r="AB182" s="10">
        <v>3.8709796675789701E-3</v>
      </c>
      <c r="AC182" s="10">
        <v>1.94061703549869E-6</v>
      </c>
      <c r="AD182" s="10">
        <v>2.2811017749275301E-2</v>
      </c>
      <c r="AE182" s="4">
        <v>-9.1529444470746096E-3</v>
      </c>
      <c r="AF182" s="4">
        <v>0.80580144448061097</v>
      </c>
      <c r="AG182" s="4">
        <v>0.99826861244157905</v>
      </c>
      <c r="AH182" s="4">
        <v>0.99918504992789303</v>
      </c>
      <c r="AI182" s="4">
        <v>1</v>
      </c>
      <c r="AJ182" s="4">
        <v>1</v>
      </c>
      <c r="AK182" s="4">
        <v>1</v>
      </c>
      <c r="AL182" s="4">
        <v>1</v>
      </c>
      <c r="AM182" s="4">
        <v>0</v>
      </c>
      <c r="AN182" s="4">
        <v>0</v>
      </c>
      <c r="AO182" s="4" t="s">
        <v>84</v>
      </c>
      <c r="AP182" s="4" t="s">
        <v>85</v>
      </c>
      <c r="AQ182" s="6">
        <v>331566729.36000001</v>
      </c>
      <c r="AR182" s="4">
        <v>1289</v>
      </c>
      <c r="AS182" s="15">
        <v>0</v>
      </c>
      <c r="AT182" s="15">
        <v>64.459705038120703</v>
      </c>
      <c r="AU182" s="15">
        <v>64.459705038120703</v>
      </c>
      <c r="AV182" s="15">
        <v>35.540294961879198</v>
      </c>
      <c r="AW182" s="15">
        <v>35.540294961879198</v>
      </c>
      <c r="AX182" s="15">
        <v>0</v>
      </c>
      <c r="AY182">
        <v>4391.3861841347598</v>
      </c>
    </row>
    <row r="183" spans="1:51" x14ac:dyDescent="0.25">
      <c r="A183">
        <v>97</v>
      </c>
      <c r="B183" s="4">
        <v>0.97179405334903901</v>
      </c>
      <c r="C183" s="4">
        <v>45.0720353752695</v>
      </c>
      <c r="D183" s="4">
        <v>29.060055209685299</v>
      </c>
      <c r="E183" s="4">
        <v>4.8703003571695699E-2</v>
      </c>
      <c r="F183" s="5">
        <v>2.8205946650960299E-2</v>
      </c>
      <c r="G183" s="5">
        <v>0</v>
      </c>
      <c r="H183" s="4">
        <v>5.8348781883709302</v>
      </c>
      <c r="I183" s="4">
        <v>3.67307001980189</v>
      </c>
      <c r="J183" s="4">
        <v>75.657128962449505</v>
      </c>
      <c r="K183" s="4">
        <v>234.249178908365</v>
      </c>
      <c r="L183" s="4">
        <v>15.055195490620999</v>
      </c>
      <c r="M183" s="4">
        <v>40.999928162927098</v>
      </c>
      <c r="N183" s="4">
        <v>69.031724488063105</v>
      </c>
      <c r="O183" s="4">
        <v>64.295707767699398</v>
      </c>
      <c r="P183" s="4">
        <v>290583.50108907698</v>
      </c>
      <c r="Q183" s="4">
        <v>265210.59250492998</v>
      </c>
      <c r="R183" s="4">
        <v>777.30025594932897</v>
      </c>
      <c r="S183" s="4">
        <v>0</v>
      </c>
      <c r="T183" s="4">
        <v>0</v>
      </c>
      <c r="U183" s="4">
        <v>5.6566528741763399E-2</v>
      </c>
      <c r="V183" s="4">
        <v>0.38889633844951899</v>
      </c>
      <c r="W183" s="4">
        <v>0</v>
      </c>
      <c r="X183" s="4">
        <v>0.68928620718205202</v>
      </c>
      <c r="Y183" s="4">
        <v>0</v>
      </c>
      <c r="Z183" s="5">
        <v>4.6446899598775202E-4</v>
      </c>
      <c r="AA183" s="5">
        <v>1.79424675776494E-3</v>
      </c>
      <c r="AB183" s="10">
        <v>3.6791862401650399E-3</v>
      </c>
      <c r="AC183" s="10">
        <v>4.94448876754042E-6</v>
      </c>
      <c r="AD183" s="10">
        <v>2.2263085253417102E-2</v>
      </c>
      <c r="AE183" s="4">
        <v>9.6345984911288696E-3</v>
      </c>
      <c r="AF183" s="4">
        <v>0.730149320568517</v>
      </c>
      <c r="AG183" s="4">
        <v>0.99721339917743601</v>
      </c>
      <c r="AH183" s="4">
        <v>0.99721339917743601</v>
      </c>
      <c r="AI183" s="4">
        <v>1</v>
      </c>
      <c r="AJ183" s="4">
        <v>1</v>
      </c>
      <c r="AK183" s="4">
        <v>1</v>
      </c>
      <c r="AL183" s="4">
        <v>1</v>
      </c>
      <c r="AM183" s="4">
        <v>0</v>
      </c>
      <c r="AN183" s="4">
        <v>0</v>
      </c>
      <c r="AO183" s="4" t="s">
        <v>86</v>
      </c>
      <c r="AP183" s="4" t="s">
        <v>87</v>
      </c>
      <c r="AQ183" s="6">
        <v>134461770.40000001</v>
      </c>
      <c r="AR183" s="4">
        <v>507</v>
      </c>
      <c r="AS183" s="15">
        <v>0</v>
      </c>
      <c r="AT183" s="15">
        <v>61.110366155047998</v>
      </c>
      <c r="AU183" s="15">
        <v>61.110366155047998</v>
      </c>
      <c r="AV183" s="15">
        <v>38.889633844951902</v>
      </c>
      <c r="AW183" s="15">
        <v>38.889633844951902</v>
      </c>
      <c r="AX183" s="15">
        <v>0</v>
      </c>
      <c r="AY183">
        <v>4826.8002210692703</v>
      </c>
    </row>
    <row r="184" spans="1:51" x14ac:dyDescent="0.25">
      <c r="A184">
        <v>97</v>
      </c>
      <c r="B184" s="4">
        <v>0.97098280658749803</v>
      </c>
      <c r="C184" s="4">
        <v>50.113546797180099</v>
      </c>
      <c r="D184" s="4">
        <v>29.767443392516</v>
      </c>
      <c r="E184" s="4">
        <v>5.6304496682895597E-2</v>
      </c>
      <c r="F184" s="5">
        <v>2.9017193412501301E-2</v>
      </c>
      <c r="G184" s="5">
        <v>0</v>
      </c>
      <c r="H184" s="4">
        <v>5.84193448350414</v>
      </c>
      <c r="I184" s="4">
        <v>3.7028613529320098</v>
      </c>
      <c r="J184" s="4">
        <v>76.080367556486294</v>
      </c>
      <c r="K184" s="4">
        <v>268.05778266692897</v>
      </c>
      <c r="L184" s="4">
        <v>13.4415536857066</v>
      </c>
      <c r="M184" s="4">
        <v>40.562188081618899</v>
      </c>
      <c r="N184" s="4">
        <v>83.985953241832902</v>
      </c>
      <c r="O184" s="4">
        <v>72.918249079013293</v>
      </c>
      <c r="P184" s="4">
        <v>311270.154077899</v>
      </c>
      <c r="Q184" s="4">
        <v>297053.88213483099</v>
      </c>
      <c r="R184" s="4">
        <v>774.84610659393002</v>
      </c>
      <c r="S184" s="4">
        <v>0</v>
      </c>
      <c r="T184" s="4">
        <v>0</v>
      </c>
      <c r="U184" s="4">
        <v>2.0965780970290799E-2</v>
      </c>
      <c r="V184" s="4">
        <v>0.30198685956929</v>
      </c>
      <c r="W184" s="4">
        <v>0</v>
      </c>
      <c r="X184" s="4">
        <v>0.236417398252279</v>
      </c>
      <c r="Y184" s="4">
        <v>0</v>
      </c>
      <c r="Z184" s="5">
        <v>4.58926734133041E-4</v>
      </c>
      <c r="AA184" s="5">
        <v>1.39989938327469E-3</v>
      </c>
      <c r="AB184" s="10">
        <v>3.9608984178854199E-3</v>
      </c>
      <c r="AC184" s="10">
        <v>2.21628434980659E-4</v>
      </c>
      <c r="AD184" s="10">
        <v>2.29758235100446E-2</v>
      </c>
      <c r="AE184" s="4">
        <v>8.23789425730512E-2</v>
      </c>
      <c r="AF184" s="4">
        <v>0.42947216630468499</v>
      </c>
      <c r="AG184" s="4">
        <v>0.71892001444715004</v>
      </c>
      <c r="AH184" s="4">
        <v>0.91668925273414303</v>
      </c>
      <c r="AI184" s="4">
        <v>1</v>
      </c>
      <c r="AJ184" s="4">
        <v>1</v>
      </c>
      <c r="AK184" s="4">
        <v>1</v>
      </c>
      <c r="AL184" s="4">
        <v>1</v>
      </c>
      <c r="AM184" s="4">
        <v>0</v>
      </c>
      <c r="AN184" s="4">
        <v>0</v>
      </c>
      <c r="AO184" s="4" t="s">
        <v>154</v>
      </c>
      <c r="AP184" s="4" t="s">
        <v>155</v>
      </c>
      <c r="AQ184" s="6">
        <v>26437795.510000002</v>
      </c>
      <c r="AR184" s="4">
        <v>89</v>
      </c>
      <c r="AS184" s="15">
        <v>0</v>
      </c>
      <c r="AT184" s="15">
        <v>69.801314043070903</v>
      </c>
      <c r="AU184" s="15">
        <v>69.801314043070903</v>
      </c>
      <c r="AV184" s="15">
        <v>30.198685956929001</v>
      </c>
      <c r="AW184" s="15">
        <v>30.198685956929001</v>
      </c>
      <c r="AX184" s="15">
        <v>0</v>
      </c>
      <c r="AY184">
        <v>4967.6280042155404</v>
      </c>
    </row>
    <row r="185" spans="1:51" x14ac:dyDescent="0.25">
      <c r="B185" s="4"/>
      <c r="C185" s="4"/>
      <c r="D185" s="4"/>
      <c r="E185" s="4"/>
      <c r="F185" s="5"/>
      <c r="G185" s="5"/>
      <c r="H185" s="4"/>
      <c r="I185" s="4"/>
      <c r="J185" s="4"/>
      <c r="K185" s="4"/>
      <c r="L185" s="4"/>
      <c r="M185" s="4"/>
      <c r="N185" s="4"/>
      <c r="O185" s="4"/>
      <c r="P185" s="4"/>
      <c r="Q185" s="4"/>
      <c r="R185" s="4"/>
      <c r="S185" s="4"/>
      <c r="T185" s="4"/>
      <c r="U185" s="4"/>
      <c r="V185" s="4"/>
      <c r="W185" s="4"/>
      <c r="X185" s="4"/>
      <c r="Y185" s="4"/>
      <c r="Z185" s="5"/>
      <c r="AA185" s="5"/>
      <c r="AB185" s="10"/>
      <c r="AC185" s="10"/>
      <c r="AD185" s="10"/>
      <c r="AE185" s="4"/>
      <c r="AF185" s="4"/>
      <c r="AG185" s="4"/>
      <c r="AH185" s="4"/>
      <c r="AI185" s="4"/>
      <c r="AJ185" s="4"/>
      <c r="AK185" s="4"/>
      <c r="AL185" s="4"/>
      <c r="AM185" s="4"/>
      <c r="AN185" s="4"/>
      <c r="AO185" s="4"/>
      <c r="AP185" s="4"/>
      <c r="AQ185" s="6"/>
      <c r="AR185" s="4"/>
      <c r="AS185" s="15"/>
      <c r="AT185" s="15"/>
      <c r="AU185" s="15"/>
      <c r="AV185" s="15"/>
      <c r="AW185" s="15"/>
      <c r="AX185" s="15"/>
    </row>
    <row r="186" spans="1:51" x14ac:dyDescent="0.25">
      <c r="B186" s="4"/>
      <c r="C186" s="4"/>
      <c r="D186" s="4"/>
      <c r="E186" s="4"/>
      <c r="F186" s="5"/>
      <c r="G186" s="5"/>
      <c r="H186" s="4"/>
      <c r="I186" s="4"/>
      <c r="J186" s="4"/>
      <c r="K186" s="4"/>
      <c r="L186" s="4"/>
      <c r="M186" s="4"/>
      <c r="N186" s="4"/>
      <c r="O186" s="4"/>
      <c r="P186" s="4"/>
      <c r="Q186" s="4"/>
      <c r="R186" s="4"/>
      <c r="S186" s="4"/>
      <c r="T186" s="4"/>
      <c r="U186" s="4"/>
      <c r="V186" s="4"/>
      <c r="W186" s="4"/>
      <c r="X186" s="4"/>
      <c r="Y186" s="4"/>
      <c r="Z186" s="5"/>
      <c r="AA186" s="5"/>
      <c r="AB186" s="10"/>
      <c r="AC186" s="10"/>
      <c r="AD186" s="10"/>
      <c r="AE186" s="4"/>
      <c r="AF186" s="4"/>
      <c r="AG186" s="4"/>
      <c r="AH186" s="4"/>
      <c r="AI186" s="4"/>
      <c r="AJ186" s="4"/>
      <c r="AK186" s="4"/>
      <c r="AL186" s="4"/>
      <c r="AM186" s="4"/>
      <c r="AN186" s="4"/>
      <c r="AO186" s="4"/>
      <c r="AP186" s="4"/>
      <c r="AQ186" s="6"/>
      <c r="AR186" s="4"/>
      <c r="AS186" s="15"/>
      <c r="AT186" s="15"/>
      <c r="AU186" s="15"/>
      <c r="AV186" s="15"/>
      <c r="AW186" s="15"/>
      <c r="AX186" s="15"/>
    </row>
    <row r="187" spans="1:51" x14ac:dyDescent="0.25">
      <c r="B187" s="4"/>
      <c r="C187" s="4"/>
      <c r="D187" s="4"/>
      <c r="E187" s="4"/>
      <c r="F187" s="5"/>
      <c r="G187" s="5"/>
      <c r="H187" s="4"/>
      <c r="I187" s="4"/>
      <c r="J187" s="4"/>
      <c r="K187" s="4"/>
      <c r="L187" s="4"/>
      <c r="M187" s="4"/>
      <c r="N187" s="4"/>
      <c r="O187" s="4"/>
      <c r="P187" s="4"/>
      <c r="Q187" s="4"/>
      <c r="R187" s="4"/>
      <c r="S187" s="4"/>
      <c r="T187" s="4"/>
      <c r="U187" s="4"/>
      <c r="V187" s="4"/>
      <c r="W187" s="4"/>
      <c r="X187" s="4"/>
      <c r="Y187" s="4"/>
      <c r="Z187" s="5"/>
      <c r="AA187" s="5"/>
      <c r="AB187" s="10"/>
      <c r="AC187" s="10"/>
      <c r="AD187" s="10"/>
      <c r="AE187" s="4"/>
      <c r="AF187" s="4"/>
      <c r="AG187" s="4"/>
      <c r="AH187" s="4"/>
      <c r="AI187" s="4"/>
      <c r="AJ187" s="4"/>
      <c r="AK187" s="4"/>
      <c r="AL187" s="4"/>
      <c r="AM187" s="4"/>
      <c r="AN187" s="4"/>
      <c r="AO187" s="4"/>
      <c r="AP187" s="4"/>
      <c r="AQ187" s="6"/>
      <c r="AR187" s="4"/>
      <c r="AS187" s="15"/>
      <c r="AT187" s="15"/>
      <c r="AU187" s="15"/>
      <c r="AV187" s="15"/>
      <c r="AW187" s="15"/>
      <c r="AX187" s="15"/>
    </row>
    <row r="188" spans="1:51" x14ac:dyDescent="0.25">
      <c r="B188" s="4"/>
      <c r="C188" s="4"/>
      <c r="D188" s="4"/>
      <c r="E188" s="4"/>
      <c r="F188" s="5"/>
      <c r="G188" s="5"/>
      <c r="H188" s="4"/>
      <c r="I188" s="4"/>
      <c r="J188" s="4"/>
      <c r="K188" s="4"/>
      <c r="L188" s="4"/>
      <c r="M188" s="4"/>
      <c r="N188" s="4"/>
      <c r="O188" s="4"/>
      <c r="P188" s="4"/>
      <c r="Q188" s="4"/>
      <c r="R188" s="4"/>
      <c r="S188" s="4"/>
      <c r="T188" s="4"/>
      <c r="U188" s="4"/>
      <c r="V188" s="4"/>
      <c r="W188" s="4"/>
      <c r="X188" s="4"/>
      <c r="Y188" s="4"/>
      <c r="Z188" s="5"/>
      <c r="AA188" s="5"/>
      <c r="AB188" s="10"/>
      <c r="AC188" s="10"/>
      <c r="AD188" s="10"/>
      <c r="AE188" s="4"/>
      <c r="AF188" s="4"/>
      <c r="AG188" s="4"/>
      <c r="AH188" s="4"/>
      <c r="AI188" s="4"/>
      <c r="AJ188" s="4"/>
      <c r="AK188" s="4"/>
      <c r="AL188" s="4"/>
      <c r="AM188" s="4"/>
      <c r="AN188" s="4"/>
      <c r="AO188" s="4"/>
      <c r="AP188" s="4"/>
      <c r="AQ188" s="6"/>
      <c r="AR188" s="4"/>
      <c r="AS188" s="15"/>
      <c r="AT188" s="15"/>
      <c r="AU188" s="15"/>
      <c r="AV188" s="15"/>
      <c r="AW188" s="15"/>
      <c r="AX188" s="15"/>
    </row>
    <row r="189" spans="1:51" x14ac:dyDescent="0.25">
      <c r="B189" s="4"/>
      <c r="C189" s="4"/>
      <c r="D189" s="4"/>
      <c r="E189" s="4"/>
      <c r="F189" s="5"/>
      <c r="G189" s="5"/>
      <c r="H189" s="4"/>
      <c r="I189" s="4"/>
      <c r="J189" s="4"/>
      <c r="K189" s="4"/>
      <c r="L189" s="4"/>
      <c r="M189" s="4"/>
      <c r="N189" s="4"/>
      <c r="O189" s="4"/>
      <c r="P189" s="4"/>
      <c r="Q189" s="4"/>
      <c r="R189" s="4"/>
      <c r="S189" s="4"/>
      <c r="T189" s="4"/>
      <c r="U189" s="4"/>
      <c r="V189" s="4"/>
      <c r="W189" s="4"/>
      <c r="X189" s="4"/>
      <c r="Y189" s="4"/>
      <c r="Z189" s="5"/>
      <c r="AA189" s="5"/>
      <c r="AB189" s="10"/>
      <c r="AC189" s="10"/>
      <c r="AD189" s="10"/>
      <c r="AE189" s="4"/>
      <c r="AF189" s="4"/>
      <c r="AG189" s="4"/>
      <c r="AH189" s="4"/>
      <c r="AI189" s="4"/>
      <c r="AJ189" s="4"/>
      <c r="AK189" s="4"/>
      <c r="AL189" s="4"/>
      <c r="AM189" s="4"/>
      <c r="AN189" s="4"/>
      <c r="AO189" s="4"/>
      <c r="AP189" s="4"/>
      <c r="AQ189" s="6"/>
      <c r="AR189" s="4"/>
      <c r="AS189" s="15"/>
      <c r="AT189" s="15"/>
      <c r="AU189" s="15"/>
      <c r="AV189" s="15"/>
      <c r="AW189" s="15"/>
      <c r="AX189" s="15"/>
    </row>
    <row r="190" spans="1:51" x14ac:dyDescent="0.25">
      <c r="B190" s="4"/>
      <c r="C190" s="4"/>
      <c r="D190" s="4"/>
      <c r="E190" s="4"/>
      <c r="F190" s="5"/>
      <c r="G190" s="5"/>
      <c r="H190" s="4"/>
      <c r="I190" s="4"/>
      <c r="J190" s="4"/>
      <c r="K190" s="4"/>
      <c r="L190" s="4"/>
      <c r="M190" s="4"/>
      <c r="N190" s="4"/>
      <c r="O190" s="4"/>
      <c r="P190" s="4"/>
      <c r="Q190" s="4"/>
      <c r="R190" s="4"/>
      <c r="S190" s="4"/>
      <c r="T190" s="4"/>
      <c r="U190" s="4"/>
      <c r="V190" s="4"/>
      <c r="W190" s="4"/>
      <c r="X190" s="4"/>
      <c r="Y190" s="4"/>
      <c r="Z190" s="5"/>
      <c r="AA190" s="5"/>
      <c r="AB190" s="10"/>
      <c r="AC190" s="10"/>
      <c r="AD190" s="10"/>
      <c r="AE190" s="4"/>
      <c r="AF190" s="4"/>
      <c r="AG190" s="4"/>
      <c r="AH190" s="4"/>
      <c r="AI190" s="4"/>
      <c r="AJ190" s="4"/>
      <c r="AK190" s="4"/>
      <c r="AL190" s="4"/>
      <c r="AM190" s="4"/>
      <c r="AN190" s="4"/>
      <c r="AO190" s="4"/>
      <c r="AP190" s="4"/>
      <c r="AQ190" s="6"/>
      <c r="AR190" s="4"/>
      <c r="AS190" s="15"/>
      <c r="AT190" s="15"/>
      <c r="AU190" s="15"/>
      <c r="AV190" s="15"/>
      <c r="AW190" s="15"/>
      <c r="AX190" s="15"/>
    </row>
    <row r="191" spans="1:51" x14ac:dyDescent="0.25">
      <c r="B191" s="4"/>
      <c r="C191" s="4"/>
      <c r="D191" s="4"/>
      <c r="E191" s="4"/>
      <c r="F191" s="5"/>
      <c r="G191" s="5"/>
      <c r="H191" s="4"/>
      <c r="I191" s="4"/>
      <c r="J191" s="4"/>
      <c r="K191" s="4"/>
      <c r="L191" s="4"/>
      <c r="M191" s="4"/>
      <c r="N191" s="4"/>
      <c r="O191" s="4"/>
      <c r="P191" s="4"/>
      <c r="Q191" s="4"/>
      <c r="R191" s="4"/>
      <c r="S191" s="4"/>
      <c r="T191" s="4"/>
      <c r="U191" s="4"/>
      <c r="V191" s="4"/>
      <c r="W191" s="4"/>
      <c r="X191" s="4"/>
      <c r="Y191" s="4"/>
      <c r="Z191" s="5"/>
      <c r="AA191" s="5"/>
      <c r="AB191" s="10"/>
      <c r="AC191" s="10"/>
      <c r="AD191" s="10"/>
      <c r="AE191" s="4"/>
      <c r="AF191" s="4"/>
      <c r="AG191" s="4"/>
      <c r="AH191" s="4"/>
      <c r="AI191" s="4"/>
      <c r="AJ191" s="4"/>
      <c r="AK191" s="4"/>
      <c r="AL191" s="4"/>
      <c r="AM191" s="4"/>
      <c r="AN191" s="4"/>
      <c r="AO191" s="4"/>
      <c r="AP191" s="4"/>
      <c r="AQ191" s="6"/>
      <c r="AR191" s="4"/>
      <c r="AS191" s="15"/>
      <c r="AT191" s="15"/>
      <c r="AU191" s="15"/>
      <c r="AV191" s="15"/>
      <c r="AW191" s="15"/>
      <c r="AX191" s="15"/>
    </row>
    <row r="194" spans="1:51" x14ac:dyDescent="0.25">
      <c r="F194" t="s">
        <v>167</v>
      </c>
    </row>
    <row r="195" spans="1:51" x14ac:dyDescent="0.25">
      <c r="A195" t="s">
        <v>20</v>
      </c>
      <c r="B195" t="s">
        <v>21</v>
      </c>
      <c r="C195" t="s">
        <v>22</v>
      </c>
      <c r="D195" t="s">
        <v>23</v>
      </c>
      <c r="E195" t="s">
        <v>94</v>
      </c>
      <c r="F195" t="s">
        <v>95</v>
      </c>
      <c r="G195" t="s">
        <v>24</v>
      </c>
      <c r="H195" t="s">
        <v>25</v>
      </c>
      <c r="I195" t="s">
        <v>26</v>
      </c>
      <c r="J195" t="s">
        <v>27</v>
      </c>
      <c r="K195" t="s">
        <v>28</v>
      </c>
      <c r="L195" t="s">
        <v>29</v>
      </c>
      <c r="M195" t="s">
        <v>30</v>
      </c>
      <c r="N195" t="s">
        <v>31</v>
      </c>
      <c r="O195" t="s">
        <v>32</v>
      </c>
      <c r="P195" t="s">
        <v>33</v>
      </c>
      <c r="Q195" t="s">
        <v>34</v>
      </c>
      <c r="R195" t="s">
        <v>35</v>
      </c>
      <c r="S195" t="s">
        <v>36</v>
      </c>
      <c r="T195" t="s">
        <v>37</v>
      </c>
      <c r="U195" t="s">
        <v>38</v>
      </c>
      <c r="V195" t="s">
        <v>39</v>
      </c>
      <c r="W195" t="s">
        <v>40</v>
      </c>
      <c r="X195" t="s">
        <v>41</v>
      </c>
      <c r="Y195" t="s">
        <v>42</v>
      </c>
      <c r="Z195" t="s">
        <v>43</v>
      </c>
      <c r="AA195" t="s">
        <v>44</v>
      </c>
      <c r="AB195" t="s">
        <v>45</v>
      </c>
      <c r="AC195" t="s">
        <v>46</v>
      </c>
      <c r="AD195" t="s">
        <v>47</v>
      </c>
      <c r="AE195" t="s">
        <v>48</v>
      </c>
      <c r="AF195" t="s">
        <v>49</v>
      </c>
      <c r="AG195" t="s">
        <v>50</v>
      </c>
      <c r="AH195" t="s">
        <v>51</v>
      </c>
      <c r="AI195" t="s">
        <v>52</v>
      </c>
      <c r="AJ195" t="s">
        <v>53</v>
      </c>
      <c r="AK195" t="s">
        <v>54</v>
      </c>
      <c r="AL195" t="s">
        <v>55</v>
      </c>
      <c r="AM195" t="s">
        <v>56</v>
      </c>
      <c r="AN195" t="s">
        <v>57</v>
      </c>
      <c r="AO195" t="s">
        <v>58</v>
      </c>
      <c r="AP195" t="s">
        <v>59</v>
      </c>
      <c r="AQ195" t="s">
        <v>60</v>
      </c>
      <c r="AR195" t="s">
        <v>61</v>
      </c>
      <c r="AS195" t="s">
        <v>116</v>
      </c>
      <c r="AT195" t="s">
        <v>117</v>
      </c>
      <c r="AU195" t="s">
        <v>118</v>
      </c>
      <c r="AV195" t="s">
        <v>119</v>
      </c>
      <c r="AW195" t="s">
        <v>120</v>
      </c>
      <c r="AX195" t="s">
        <v>121</v>
      </c>
      <c r="AY195" t="s">
        <v>171</v>
      </c>
    </row>
    <row r="196" spans="1:51" x14ac:dyDescent="0.25">
      <c r="A196">
        <v>96</v>
      </c>
      <c r="B196" s="4">
        <v>0.97945684</v>
      </c>
      <c r="C196" s="4">
        <v>100</v>
      </c>
      <c r="D196" s="4">
        <v>22.048649887073498</v>
      </c>
      <c r="E196" s="4">
        <v>1</v>
      </c>
      <c r="F196" s="5">
        <v>2.0543160000000001E-2</v>
      </c>
      <c r="G196" s="5">
        <v>0</v>
      </c>
      <c r="H196" s="4">
        <v>5.875</v>
      </c>
      <c r="I196" s="4">
        <v>3.7846229999999998</v>
      </c>
      <c r="J196" s="4">
        <v>66.835700000000003</v>
      </c>
      <c r="K196" s="4">
        <v>145.06</v>
      </c>
      <c r="L196" s="4">
        <v>100</v>
      </c>
      <c r="M196" s="4">
        <v>42</v>
      </c>
      <c r="N196" s="4">
        <v>90</v>
      </c>
      <c r="O196" s="4">
        <v>8.5</v>
      </c>
      <c r="P196" s="4">
        <v>32753.46</v>
      </c>
      <c r="Q196" s="4">
        <v>32753.46</v>
      </c>
      <c r="R196" s="4">
        <v>794</v>
      </c>
      <c r="S196" s="4">
        <v>0</v>
      </c>
      <c r="T196" s="4">
        <v>0</v>
      </c>
      <c r="U196" s="4">
        <v>0</v>
      </c>
      <c r="V196" s="4">
        <v>0</v>
      </c>
      <c r="W196" s="4">
        <v>0</v>
      </c>
      <c r="X196" s="4">
        <v>0</v>
      </c>
      <c r="Y196" s="4">
        <v>0</v>
      </c>
      <c r="Z196" s="5">
        <v>1.096083E-2</v>
      </c>
      <c r="AA196" s="5">
        <v>1.64101E-3</v>
      </c>
      <c r="AB196" s="10">
        <v>6.2107500000000001E-3</v>
      </c>
      <c r="AC196" s="10">
        <v>0</v>
      </c>
      <c r="AD196" s="10">
        <v>1.7305599999999999E-3</v>
      </c>
      <c r="AE196" s="4">
        <v>7.0374509803919405E-2</v>
      </c>
      <c r="AF196" s="4">
        <v>0</v>
      </c>
      <c r="AG196" s="4">
        <v>1</v>
      </c>
      <c r="AH196" s="4">
        <v>1</v>
      </c>
      <c r="AI196" s="4">
        <v>1</v>
      </c>
      <c r="AJ196" s="4">
        <v>1</v>
      </c>
      <c r="AK196" s="4">
        <v>1</v>
      </c>
      <c r="AL196" s="4">
        <v>1</v>
      </c>
      <c r="AM196" s="4">
        <v>0</v>
      </c>
      <c r="AN196" s="4">
        <v>0</v>
      </c>
      <c r="AO196" s="4" t="s">
        <v>78</v>
      </c>
      <c r="AP196" s="4" t="s">
        <v>79</v>
      </c>
      <c r="AQ196" s="6">
        <v>32753.46</v>
      </c>
      <c r="AR196" s="4">
        <v>1</v>
      </c>
      <c r="AS196" s="15">
        <v>0</v>
      </c>
      <c r="AT196" s="15">
        <v>100</v>
      </c>
      <c r="AU196" s="15">
        <v>100</v>
      </c>
      <c r="AV196" s="15">
        <v>0</v>
      </c>
      <c r="AW196" s="15">
        <v>0</v>
      </c>
      <c r="AX196" s="15">
        <v>0</v>
      </c>
      <c r="AY196" s="31">
        <v>5546.85</v>
      </c>
    </row>
    <row r="197" spans="1:51" x14ac:dyDescent="0.25">
      <c r="A197">
        <v>96</v>
      </c>
      <c r="B197" s="4">
        <v>0.97094155462846699</v>
      </c>
      <c r="C197" s="4">
        <v>53.926505587231098</v>
      </c>
      <c r="D197" s="4">
        <v>29.8032407760263</v>
      </c>
      <c r="E197" s="4">
        <v>6.2536726327087594E-2</v>
      </c>
      <c r="F197" s="5">
        <v>2.9058445371532599E-2</v>
      </c>
      <c r="G197" s="5">
        <v>0</v>
      </c>
      <c r="H197" s="4">
        <v>5.4800507467645003</v>
      </c>
      <c r="I197" s="4">
        <v>3.75700708557296</v>
      </c>
      <c r="J197" s="4">
        <v>35.647117275124103</v>
      </c>
      <c r="K197" s="4">
        <v>166.13016914246199</v>
      </c>
      <c r="L197" s="4">
        <v>31.278566249640399</v>
      </c>
      <c r="M197" s="4">
        <v>41.499524460816502</v>
      </c>
      <c r="N197" s="4">
        <v>85.599477447759199</v>
      </c>
      <c r="O197" s="4">
        <v>59.3373631490158</v>
      </c>
      <c r="P197" s="4">
        <v>170189.90339858999</v>
      </c>
      <c r="Q197" s="4">
        <v>125688.486</v>
      </c>
      <c r="R197" s="4">
        <v>777.53033686792901</v>
      </c>
      <c r="S197" s="4">
        <v>0</v>
      </c>
      <c r="T197" s="4">
        <v>0</v>
      </c>
      <c r="U197" s="4">
        <v>0</v>
      </c>
      <c r="V197" s="4">
        <v>0.40375193635477402</v>
      </c>
      <c r="W197" s="4">
        <v>0</v>
      </c>
      <c r="X197" s="4">
        <v>0.32434272459929198</v>
      </c>
      <c r="Y197" s="4">
        <v>0</v>
      </c>
      <c r="Z197" s="5">
        <v>1.79786928120403E-3</v>
      </c>
      <c r="AA197" s="5">
        <v>1.0201989025972E-3</v>
      </c>
      <c r="AB197" s="10">
        <v>4.8905802023871603E-3</v>
      </c>
      <c r="AC197" s="10">
        <v>0</v>
      </c>
      <c r="AD197" s="10">
        <v>2.1349781370656198E-2</v>
      </c>
      <c r="AE197" s="4">
        <v>-5.1932766820140201E-3</v>
      </c>
      <c r="AF197" s="4">
        <v>0.89651138927713703</v>
      </c>
      <c r="AG197" s="4">
        <v>1</v>
      </c>
      <c r="AH197" s="4">
        <v>1</v>
      </c>
      <c r="AI197" s="4">
        <v>1</v>
      </c>
      <c r="AJ197" s="4">
        <v>1</v>
      </c>
      <c r="AK197" s="4">
        <v>1</v>
      </c>
      <c r="AL197" s="4">
        <v>1</v>
      </c>
      <c r="AM197" s="4">
        <v>0</v>
      </c>
      <c r="AN197" s="4">
        <v>0</v>
      </c>
      <c r="AO197" s="4" t="s">
        <v>80</v>
      </c>
      <c r="AP197" s="4" t="s">
        <v>81</v>
      </c>
      <c r="AQ197" s="6">
        <v>3142212.15</v>
      </c>
      <c r="AR197" s="4">
        <v>25</v>
      </c>
      <c r="AS197" s="15">
        <v>0</v>
      </c>
      <c r="AT197" s="15">
        <v>59.624806364522499</v>
      </c>
      <c r="AU197" s="15">
        <v>59.624806364522499</v>
      </c>
      <c r="AV197" s="15">
        <v>40.375193635477402</v>
      </c>
      <c r="AW197" s="15">
        <v>40.375193635477402</v>
      </c>
      <c r="AX197" s="15">
        <v>0</v>
      </c>
      <c r="AY197" s="31">
        <v>4308.7926875862904</v>
      </c>
    </row>
    <row r="198" spans="1:51" x14ac:dyDescent="0.25">
      <c r="A198">
        <v>96</v>
      </c>
      <c r="B198" s="4">
        <v>0.96003512460076901</v>
      </c>
      <c r="C198" s="4">
        <v>45.7420497333543</v>
      </c>
      <c r="D198" s="4">
        <v>38.702117370834301</v>
      </c>
      <c r="E198" s="4">
        <v>4.9675450142089399E-2</v>
      </c>
      <c r="F198" s="5">
        <v>3.99648753992305E-2</v>
      </c>
      <c r="G198" s="5">
        <v>0</v>
      </c>
      <c r="H198" s="4">
        <v>5.5215956509271802</v>
      </c>
      <c r="I198" s="4">
        <v>3.7784990685883701</v>
      </c>
      <c r="J198" s="4">
        <v>41.977464769770201</v>
      </c>
      <c r="K198" s="4">
        <v>190.39197835595601</v>
      </c>
      <c r="L198" s="4">
        <v>16.2024385544734</v>
      </c>
      <c r="M198" s="4">
        <v>42.575634617058299</v>
      </c>
      <c r="N198" s="4">
        <v>60.428973611941601</v>
      </c>
      <c r="O198" s="4">
        <v>55.563464835435497</v>
      </c>
      <c r="P198" s="4">
        <v>273916.22150771902</v>
      </c>
      <c r="Q198" s="4">
        <v>246297.90532125201</v>
      </c>
      <c r="R198" s="4">
        <v>778.10853865903096</v>
      </c>
      <c r="S198" s="4">
        <v>0</v>
      </c>
      <c r="T198" s="4">
        <v>0</v>
      </c>
      <c r="U198" s="4">
        <v>3.3873697239004297E-2</v>
      </c>
      <c r="V198" s="4">
        <v>0.41882625590214301</v>
      </c>
      <c r="W198" s="4">
        <v>0</v>
      </c>
      <c r="X198" s="4">
        <v>0.70047940670892095</v>
      </c>
      <c r="Y198" s="4">
        <v>0</v>
      </c>
      <c r="Z198" s="5">
        <v>5.2001257323515903E-4</v>
      </c>
      <c r="AA198" s="5">
        <v>9.6768819732903101E-4</v>
      </c>
      <c r="AB198" s="10">
        <v>4.2033406590764001E-3</v>
      </c>
      <c r="AC198" s="10">
        <v>1.30394022591955E-5</v>
      </c>
      <c r="AD198" s="10">
        <v>3.4260780385203297E-2</v>
      </c>
      <c r="AE198" s="4">
        <v>4.5407140909657499E-4</v>
      </c>
      <c r="AF198" s="4">
        <v>0.72579029685867302</v>
      </c>
      <c r="AG198" s="4">
        <v>0.99346644542043505</v>
      </c>
      <c r="AH198" s="4">
        <v>0.99346644542043505</v>
      </c>
      <c r="AI198" s="4">
        <v>1</v>
      </c>
      <c r="AJ198" s="4">
        <v>1</v>
      </c>
      <c r="AK198" s="4">
        <v>1</v>
      </c>
      <c r="AL198" s="4">
        <v>1</v>
      </c>
      <c r="AM198" s="4">
        <v>0</v>
      </c>
      <c r="AN198" s="4">
        <v>0</v>
      </c>
      <c r="AO198" s="4" t="s">
        <v>82</v>
      </c>
      <c r="AP198" s="4" t="s">
        <v>83</v>
      </c>
      <c r="AQ198" s="6">
        <v>149502828.53</v>
      </c>
      <c r="AR198" s="4">
        <v>607</v>
      </c>
      <c r="AS198" s="15">
        <v>0</v>
      </c>
      <c r="AT198" s="15">
        <v>58.117374409785597</v>
      </c>
      <c r="AU198" s="15">
        <v>58.117374409785597</v>
      </c>
      <c r="AV198" s="15">
        <v>41.882625590214303</v>
      </c>
      <c r="AW198" s="15">
        <v>41.882625590214303</v>
      </c>
      <c r="AX198" s="15">
        <v>0</v>
      </c>
      <c r="AY198" s="31">
        <v>4251.2320981783096</v>
      </c>
    </row>
    <row r="199" spans="1:51" x14ac:dyDescent="0.25">
      <c r="A199">
        <v>96</v>
      </c>
      <c r="B199" s="4">
        <v>0.95874954781349597</v>
      </c>
      <c r="C199" s="4">
        <v>36.044984186123699</v>
      </c>
      <c r="D199" s="4">
        <v>39.679898241382197</v>
      </c>
      <c r="E199" s="4">
        <v>3.6563968988251802E-2</v>
      </c>
      <c r="F199" s="5">
        <v>4.1250452186503E-2</v>
      </c>
      <c r="G199" s="5">
        <v>0</v>
      </c>
      <c r="H199" s="4">
        <v>5.68814050444524</v>
      </c>
      <c r="I199" s="4">
        <v>3.70292444551324</v>
      </c>
      <c r="J199" s="4">
        <v>60.285902354424898</v>
      </c>
      <c r="K199" s="4">
        <v>212.532409382265</v>
      </c>
      <c r="L199" s="4">
        <v>15.520617610179601</v>
      </c>
      <c r="M199" s="4">
        <v>40.917152259145404</v>
      </c>
      <c r="N199" s="4">
        <v>63.058385981118597</v>
      </c>
      <c r="O199" s="4">
        <v>59.619903555286797</v>
      </c>
      <c r="P199" s="4">
        <v>282447.31264149997</v>
      </c>
      <c r="Q199" s="4">
        <v>257227.87382467001</v>
      </c>
      <c r="R199" s="4">
        <v>777.72147300117103</v>
      </c>
      <c r="S199" s="4">
        <v>0</v>
      </c>
      <c r="T199" s="4">
        <v>0</v>
      </c>
      <c r="U199" s="4">
        <v>2.77276374434361E-2</v>
      </c>
      <c r="V199" s="4">
        <v>0.35540294961879199</v>
      </c>
      <c r="W199" s="4">
        <v>0</v>
      </c>
      <c r="X199" s="4">
        <v>0.73970507038933297</v>
      </c>
      <c r="Y199" s="4">
        <v>0</v>
      </c>
      <c r="Z199" s="5">
        <v>4.7060161113777099E-4</v>
      </c>
      <c r="AA199" s="5">
        <v>1.1202030837076801E-3</v>
      </c>
      <c r="AB199" s="10">
        <v>3.8709796675789701E-3</v>
      </c>
      <c r="AC199" s="10">
        <v>1.94061703549869E-6</v>
      </c>
      <c r="AD199" s="10">
        <v>3.5786712065514897E-2</v>
      </c>
      <c r="AE199" s="4">
        <v>-9.1529444470746096E-3</v>
      </c>
      <c r="AF199" s="4">
        <v>0.80580144448061097</v>
      </c>
      <c r="AG199" s="4">
        <v>0.99826861244157905</v>
      </c>
      <c r="AH199" s="4">
        <v>0.99918504992789303</v>
      </c>
      <c r="AI199" s="4">
        <v>1</v>
      </c>
      <c r="AJ199" s="4">
        <v>1</v>
      </c>
      <c r="AK199" s="4">
        <v>1</v>
      </c>
      <c r="AL199" s="4">
        <v>1</v>
      </c>
      <c r="AM199" s="4">
        <v>0</v>
      </c>
      <c r="AN199" s="4">
        <v>0</v>
      </c>
      <c r="AO199" s="4" t="s">
        <v>84</v>
      </c>
      <c r="AP199" s="4" t="s">
        <v>85</v>
      </c>
      <c r="AQ199" s="6">
        <v>331566729.36000001</v>
      </c>
      <c r="AR199" s="4">
        <v>1289</v>
      </c>
      <c r="AS199" s="15">
        <v>0</v>
      </c>
      <c r="AT199" s="15">
        <v>64.459705038120703</v>
      </c>
      <c r="AU199" s="15">
        <v>64.459705038120703</v>
      </c>
      <c r="AV199" s="15">
        <v>35.540294961879198</v>
      </c>
      <c r="AW199" s="15">
        <v>35.540294961879198</v>
      </c>
      <c r="AX199" s="15">
        <v>0</v>
      </c>
      <c r="AY199">
        <v>4391.3861841347598</v>
      </c>
    </row>
    <row r="200" spans="1:51" x14ac:dyDescent="0.25">
      <c r="A200">
        <v>96</v>
      </c>
      <c r="B200" s="4">
        <v>0.95795377172269303</v>
      </c>
      <c r="C200" s="4">
        <v>45.0720353752695</v>
      </c>
      <c r="D200" s="4">
        <v>40.2779618787415</v>
      </c>
      <c r="E200" s="4">
        <v>4.8703003571695699E-2</v>
      </c>
      <c r="F200" s="5">
        <v>4.2046228277306801E-2</v>
      </c>
      <c r="G200" s="5">
        <v>0</v>
      </c>
      <c r="H200" s="4">
        <v>5.8348781883709302</v>
      </c>
      <c r="I200" s="4">
        <v>3.67307001980189</v>
      </c>
      <c r="J200" s="4">
        <v>75.657128962449505</v>
      </c>
      <c r="K200" s="4">
        <v>234.249178908365</v>
      </c>
      <c r="L200" s="4">
        <v>15.055195490620999</v>
      </c>
      <c r="M200" s="4">
        <v>40.999928162927098</v>
      </c>
      <c r="N200" s="4">
        <v>69.031724488063105</v>
      </c>
      <c r="O200" s="4">
        <v>64.295707767699398</v>
      </c>
      <c r="P200" s="4">
        <v>290583.50108907698</v>
      </c>
      <c r="Q200" s="4">
        <v>265210.59250492998</v>
      </c>
      <c r="R200" s="4">
        <v>777.30025594932897</v>
      </c>
      <c r="S200" s="4">
        <v>0</v>
      </c>
      <c r="T200" s="4">
        <v>0</v>
      </c>
      <c r="U200" s="4">
        <v>5.6566528741763399E-2</v>
      </c>
      <c r="V200" s="4">
        <v>0.38889633844951899</v>
      </c>
      <c r="W200" s="4">
        <v>0</v>
      </c>
      <c r="X200" s="4">
        <v>0.68928620718205202</v>
      </c>
      <c r="Y200" s="4">
        <v>0</v>
      </c>
      <c r="Z200" s="5">
        <v>4.6446899598775202E-4</v>
      </c>
      <c r="AA200" s="5">
        <v>1.79424675776494E-3</v>
      </c>
      <c r="AB200" s="10">
        <v>3.6791862401650399E-3</v>
      </c>
      <c r="AC200" s="10">
        <v>4.94448876754042E-6</v>
      </c>
      <c r="AD200" s="10">
        <v>3.6103366772362498E-2</v>
      </c>
      <c r="AE200" s="4">
        <v>9.6345984911288696E-3</v>
      </c>
      <c r="AF200" s="4">
        <v>0.730149320568517</v>
      </c>
      <c r="AG200" s="4">
        <v>0.99721339917743601</v>
      </c>
      <c r="AH200" s="4">
        <v>0.99721339917743601</v>
      </c>
      <c r="AI200" s="4">
        <v>1</v>
      </c>
      <c r="AJ200" s="4">
        <v>1</v>
      </c>
      <c r="AK200" s="4">
        <v>1</v>
      </c>
      <c r="AL200" s="4">
        <v>1</v>
      </c>
      <c r="AM200" s="4">
        <v>0</v>
      </c>
      <c r="AN200" s="4">
        <v>0</v>
      </c>
      <c r="AO200" s="4" t="s">
        <v>86</v>
      </c>
      <c r="AP200" s="4" t="s">
        <v>87</v>
      </c>
      <c r="AQ200" s="6">
        <v>134461770.40000001</v>
      </c>
      <c r="AR200" s="4">
        <v>507</v>
      </c>
      <c r="AS200" s="15">
        <v>0</v>
      </c>
      <c r="AT200" s="15">
        <v>61.110366155047998</v>
      </c>
      <c r="AU200" s="15">
        <v>61.110366155047998</v>
      </c>
      <c r="AV200" s="15">
        <v>38.889633844951902</v>
      </c>
      <c r="AW200" s="15">
        <v>38.889633844951902</v>
      </c>
      <c r="AX200" s="15">
        <v>0</v>
      </c>
      <c r="AY200">
        <v>4826.8002210692703</v>
      </c>
    </row>
    <row r="201" spans="1:51" x14ac:dyDescent="0.25">
      <c r="A201">
        <v>96</v>
      </c>
      <c r="B201" s="4">
        <v>0.95499452100876003</v>
      </c>
      <c r="C201" s="4">
        <v>50.113546797180099</v>
      </c>
      <c r="D201" s="4">
        <v>42.454607116498799</v>
      </c>
      <c r="E201" s="4">
        <v>5.6304496682895597E-2</v>
      </c>
      <c r="F201" s="5">
        <v>4.50054789912398E-2</v>
      </c>
      <c r="G201" s="5">
        <v>0</v>
      </c>
      <c r="H201" s="4">
        <v>5.84193448350414</v>
      </c>
      <c r="I201" s="4">
        <v>3.7028613529320098</v>
      </c>
      <c r="J201" s="4">
        <v>76.080367556486294</v>
      </c>
      <c r="K201" s="4">
        <v>268.05778266692897</v>
      </c>
      <c r="L201" s="4">
        <v>13.4415536857066</v>
      </c>
      <c r="M201" s="4">
        <v>40.562188081618899</v>
      </c>
      <c r="N201" s="4">
        <v>83.985953241832902</v>
      </c>
      <c r="O201" s="4">
        <v>72.918249079013293</v>
      </c>
      <c r="P201" s="4">
        <v>311270.154077899</v>
      </c>
      <c r="Q201" s="4">
        <v>297053.88213483099</v>
      </c>
      <c r="R201" s="4">
        <v>774.84610659393002</v>
      </c>
      <c r="S201" s="4">
        <v>0</v>
      </c>
      <c r="T201" s="4">
        <v>0</v>
      </c>
      <c r="U201" s="4">
        <v>2.0965780970290799E-2</v>
      </c>
      <c r="V201" s="4">
        <v>0.30198685956929</v>
      </c>
      <c r="W201" s="4">
        <v>0</v>
      </c>
      <c r="X201" s="4">
        <v>0.236417398252279</v>
      </c>
      <c r="Y201" s="4">
        <v>0</v>
      </c>
      <c r="Z201" s="5">
        <v>4.58926734133041E-4</v>
      </c>
      <c r="AA201" s="5">
        <v>1.39989938327469E-3</v>
      </c>
      <c r="AB201" s="10">
        <v>3.9608984178854199E-3</v>
      </c>
      <c r="AC201" s="10">
        <v>2.21628434980659E-4</v>
      </c>
      <c r="AD201" s="10">
        <v>3.8964109340356497E-2</v>
      </c>
      <c r="AE201" s="4">
        <v>8.23789425730512E-2</v>
      </c>
      <c r="AF201" s="4">
        <v>0.42947216630468499</v>
      </c>
      <c r="AG201" s="4">
        <v>0.71892001444715004</v>
      </c>
      <c r="AH201" s="4">
        <v>0.91668925273414303</v>
      </c>
      <c r="AI201" s="4">
        <v>1</v>
      </c>
      <c r="AJ201" s="4">
        <v>1</v>
      </c>
      <c r="AK201" s="4">
        <v>1</v>
      </c>
      <c r="AL201" s="4">
        <v>1</v>
      </c>
      <c r="AM201" s="4">
        <v>0</v>
      </c>
      <c r="AN201" s="4">
        <v>0</v>
      </c>
      <c r="AO201" s="4" t="s">
        <v>154</v>
      </c>
      <c r="AP201" s="4" t="s">
        <v>155</v>
      </c>
      <c r="AQ201" s="6">
        <v>26437795.510000002</v>
      </c>
      <c r="AR201" s="4">
        <v>89</v>
      </c>
      <c r="AS201" s="15">
        <v>0</v>
      </c>
      <c r="AT201" s="15">
        <v>69.801314043070903</v>
      </c>
      <c r="AU201" s="15">
        <v>69.801314043070903</v>
      </c>
      <c r="AV201" s="15">
        <v>30.198685956929001</v>
      </c>
      <c r="AW201" s="15">
        <v>30.198685956929001</v>
      </c>
      <c r="AX201" s="15">
        <v>0</v>
      </c>
      <c r="AY201">
        <v>4967.6280042155404</v>
      </c>
    </row>
    <row r="202" spans="1:51" x14ac:dyDescent="0.25">
      <c r="B202" s="4"/>
      <c r="C202" s="4"/>
      <c r="D202" s="4"/>
      <c r="E202" s="4"/>
      <c r="F202" s="5"/>
      <c r="G202" s="5"/>
      <c r="H202" s="4"/>
      <c r="I202" s="4"/>
      <c r="J202" s="4"/>
      <c r="K202" s="4"/>
      <c r="L202" s="4"/>
      <c r="M202" s="4"/>
      <c r="N202" s="4"/>
      <c r="O202" s="4"/>
      <c r="P202" s="4"/>
      <c r="Q202" s="4"/>
      <c r="R202" s="4"/>
      <c r="S202" s="4"/>
      <c r="T202" s="4"/>
      <c r="U202" s="4"/>
      <c r="V202" s="4"/>
      <c r="W202" s="4"/>
      <c r="X202" s="4"/>
      <c r="Y202" s="4"/>
      <c r="Z202" s="5"/>
      <c r="AA202" s="5"/>
      <c r="AB202" s="10"/>
      <c r="AC202" s="10"/>
      <c r="AD202" s="10"/>
      <c r="AE202" s="4"/>
      <c r="AF202" s="4"/>
      <c r="AG202" s="4"/>
      <c r="AH202" s="4"/>
      <c r="AI202" s="4"/>
      <c r="AJ202" s="4"/>
      <c r="AK202" s="4"/>
      <c r="AL202" s="4"/>
      <c r="AM202" s="4"/>
      <c r="AN202" s="4"/>
      <c r="AO202" s="4"/>
      <c r="AP202" s="4"/>
      <c r="AQ202" s="6"/>
      <c r="AR202" s="4"/>
      <c r="AS202" s="15"/>
      <c r="AT202" s="15"/>
      <c r="AU202" s="15"/>
      <c r="AV202" s="15"/>
      <c r="AW202" s="15"/>
      <c r="AX202" s="15"/>
    </row>
    <row r="203" spans="1:51" x14ac:dyDescent="0.25">
      <c r="B203" s="4"/>
      <c r="C203" s="4"/>
      <c r="D203" s="4"/>
      <c r="E203" s="4"/>
      <c r="F203" s="5"/>
      <c r="G203" s="5"/>
      <c r="H203" s="4"/>
      <c r="I203" s="4"/>
      <c r="J203" s="4"/>
      <c r="K203" s="4"/>
      <c r="L203" s="4"/>
      <c r="M203" s="4"/>
      <c r="N203" s="4"/>
      <c r="O203" s="4"/>
      <c r="P203" s="4"/>
      <c r="Q203" s="4"/>
      <c r="R203" s="4"/>
      <c r="S203" s="4"/>
      <c r="T203" s="4"/>
      <c r="U203" s="4"/>
      <c r="V203" s="4"/>
      <c r="W203" s="4"/>
      <c r="X203" s="4"/>
      <c r="Y203" s="4"/>
      <c r="Z203" s="5"/>
      <c r="AA203" s="5"/>
      <c r="AB203" s="10"/>
      <c r="AC203" s="10"/>
      <c r="AD203" s="10"/>
      <c r="AE203" s="4"/>
      <c r="AF203" s="4"/>
      <c r="AG203" s="4"/>
      <c r="AH203" s="4"/>
      <c r="AI203" s="4"/>
      <c r="AJ203" s="4"/>
      <c r="AK203" s="4"/>
      <c r="AL203" s="4"/>
      <c r="AM203" s="4"/>
      <c r="AN203" s="4"/>
      <c r="AO203" s="4"/>
      <c r="AP203" s="4"/>
      <c r="AQ203" s="6"/>
      <c r="AR203" s="4"/>
      <c r="AS203" s="15"/>
      <c r="AT203" s="15"/>
      <c r="AU203" s="15"/>
      <c r="AV203" s="15"/>
      <c r="AW203" s="15"/>
      <c r="AX203" s="15"/>
    </row>
    <row r="204" spans="1:51" x14ac:dyDescent="0.25">
      <c r="B204" s="4"/>
      <c r="C204" s="4"/>
      <c r="D204" s="4"/>
      <c r="E204" s="4"/>
      <c r="F204" s="5"/>
      <c r="G204" s="5"/>
      <c r="H204" s="4"/>
      <c r="I204" s="4"/>
      <c r="J204" s="4"/>
      <c r="K204" s="4"/>
      <c r="L204" s="4"/>
      <c r="M204" s="4"/>
      <c r="N204" s="4"/>
      <c r="O204" s="4"/>
      <c r="P204" s="4"/>
      <c r="Q204" s="4"/>
      <c r="R204" s="4"/>
      <c r="S204" s="4"/>
      <c r="T204" s="4"/>
      <c r="U204" s="4"/>
      <c r="V204" s="4"/>
      <c r="W204" s="4"/>
      <c r="X204" s="4"/>
      <c r="Y204" s="4"/>
      <c r="Z204" s="5"/>
      <c r="AA204" s="5"/>
      <c r="AB204" s="10"/>
      <c r="AC204" s="10"/>
      <c r="AD204" s="10"/>
      <c r="AE204" s="4"/>
      <c r="AF204" s="4"/>
      <c r="AG204" s="4"/>
      <c r="AH204" s="4"/>
      <c r="AI204" s="4"/>
      <c r="AJ204" s="4"/>
      <c r="AK204" s="4"/>
      <c r="AL204" s="4"/>
      <c r="AM204" s="4"/>
      <c r="AN204" s="4"/>
      <c r="AO204" s="4"/>
      <c r="AP204" s="4"/>
      <c r="AQ204" s="6"/>
      <c r="AR204" s="4"/>
      <c r="AS204" s="15"/>
      <c r="AT204" s="15"/>
      <c r="AU204" s="15"/>
      <c r="AV204" s="15"/>
      <c r="AW204" s="15"/>
      <c r="AX204" s="15"/>
    </row>
    <row r="205" spans="1:51" x14ac:dyDescent="0.25">
      <c r="B205" s="4"/>
      <c r="C205" s="4"/>
      <c r="D205" s="4"/>
      <c r="E205" s="4"/>
      <c r="F205" s="5"/>
      <c r="G205" s="5"/>
      <c r="H205" s="4"/>
      <c r="I205" s="4"/>
      <c r="J205" s="4"/>
      <c r="K205" s="4"/>
      <c r="L205" s="4"/>
      <c r="M205" s="4"/>
      <c r="N205" s="4"/>
      <c r="O205" s="4"/>
      <c r="P205" s="4"/>
      <c r="Q205" s="4"/>
      <c r="R205" s="4"/>
      <c r="S205" s="4"/>
      <c r="T205" s="4"/>
      <c r="U205" s="4"/>
      <c r="V205" s="4"/>
      <c r="W205" s="4"/>
      <c r="X205" s="4"/>
      <c r="Y205" s="4"/>
      <c r="Z205" s="5"/>
      <c r="AA205" s="5"/>
      <c r="AB205" s="10"/>
      <c r="AC205" s="10"/>
      <c r="AD205" s="10"/>
      <c r="AE205" s="4"/>
      <c r="AF205" s="4"/>
      <c r="AG205" s="4"/>
      <c r="AH205" s="4"/>
      <c r="AI205" s="4"/>
      <c r="AJ205" s="4"/>
      <c r="AK205" s="4"/>
      <c r="AL205" s="4"/>
      <c r="AM205" s="4"/>
      <c r="AN205" s="4"/>
      <c r="AO205" s="4"/>
      <c r="AP205" s="4"/>
      <c r="AQ205" s="6"/>
      <c r="AR205" s="4"/>
      <c r="AS205" s="15"/>
      <c r="AT205" s="15"/>
      <c r="AU205" s="15"/>
      <c r="AV205" s="15"/>
      <c r="AW205" s="15"/>
      <c r="AX205" s="15"/>
    </row>
    <row r="206" spans="1:51" x14ac:dyDescent="0.25">
      <c r="B206" s="4"/>
      <c r="C206" s="4"/>
      <c r="D206" s="4"/>
      <c r="E206" s="4"/>
      <c r="F206" s="5"/>
      <c r="G206" s="5"/>
      <c r="H206" s="4"/>
      <c r="I206" s="4"/>
      <c r="J206" s="4"/>
      <c r="K206" s="4"/>
      <c r="L206" s="4"/>
      <c r="M206" s="4"/>
      <c r="N206" s="4"/>
      <c r="O206" s="4"/>
      <c r="P206" s="4"/>
      <c r="Q206" s="4"/>
      <c r="R206" s="4"/>
      <c r="S206" s="4"/>
      <c r="T206" s="4"/>
      <c r="U206" s="4"/>
      <c r="V206" s="4"/>
      <c r="W206" s="4"/>
      <c r="X206" s="4"/>
      <c r="Y206" s="4"/>
      <c r="Z206" s="5"/>
      <c r="AA206" s="5"/>
      <c r="AB206" s="10"/>
      <c r="AC206" s="10"/>
      <c r="AD206" s="10"/>
      <c r="AE206" s="4"/>
      <c r="AF206" s="4"/>
      <c r="AG206" s="4"/>
      <c r="AH206" s="4"/>
      <c r="AI206" s="4"/>
      <c r="AJ206" s="4"/>
      <c r="AK206" s="4"/>
      <c r="AL206" s="4"/>
      <c r="AM206" s="4"/>
      <c r="AN206" s="4"/>
      <c r="AO206" s="4"/>
      <c r="AP206" s="4"/>
      <c r="AQ206" s="6"/>
      <c r="AR206" s="4"/>
      <c r="AS206" s="15"/>
      <c r="AT206" s="15"/>
      <c r="AU206" s="15"/>
      <c r="AV206" s="15"/>
      <c r="AW206" s="15"/>
      <c r="AX206" s="15"/>
    </row>
    <row r="207" spans="1:51" x14ac:dyDescent="0.25">
      <c r="B207" s="4"/>
      <c r="C207" s="4"/>
      <c r="D207" s="4"/>
      <c r="E207" s="4"/>
      <c r="F207" s="5"/>
      <c r="G207" s="5"/>
      <c r="H207" s="4"/>
      <c r="I207" s="4"/>
      <c r="J207" s="4"/>
      <c r="K207" s="4"/>
      <c r="L207" s="4"/>
      <c r="M207" s="4"/>
      <c r="N207" s="4"/>
      <c r="O207" s="4"/>
      <c r="P207" s="4"/>
      <c r="Q207" s="4"/>
      <c r="R207" s="4"/>
      <c r="S207" s="4"/>
      <c r="T207" s="4"/>
      <c r="U207" s="4"/>
      <c r="V207" s="4"/>
      <c r="W207" s="4"/>
      <c r="X207" s="4"/>
      <c r="Y207" s="4"/>
      <c r="Z207" s="5"/>
      <c r="AA207" s="5"/>
      <c r="AB207" s="10"/>
      <c r="AC207" s="10"/>
      <c r="AD207" s="10"/>
      <c r="AE207" s="4"/>
      <c r="AF207" s="4"/>
      <c r="AG207" s="4"/>
      <c r="AH207" s="4"/>
      <c r="AI207" s="4"/>
      <c r="AJ207" s="4"/>
      <c r="AK207" s="4"/>
      <c r="AL207" s="4"/>
      <c r="AM207" s="4"/>
      <c r="AN207" s="4"/>
      <c r="AO207" s="4"/>
      <c r="AP207" s="4"/>
      <c r="AQ207" s="6"/>
      <c r="AR207" s="4"/>
      <c r="AS207" s="15"/>
      <c r="AT207" s="15"/>
      <c r="AU207" s="15"/>
      <c r="AV207" s="15"/>
      <c r="AW207" s="15"/>
      <c r="AX207" s="15"/>
    </row>
    <row r="208" spans="1:51" s="17" customFormat="1" x14ac:dyDescent="0.25">
      <c r="A208" s="15"/>
      <c r="B208" s="20"/>
      <c r="C208" s="21"/>
      <c r="D208" s="16"/>
      <c r="E208" s="16"/>
      <c r="F208" s="20"/>
      <c r="G208" s="21"/>
      <c r="H208" s="21"/>
      <c r="K208" s="15"/>
      <c r="L208" s="15"/>
      <c r="M208" s="23"/>
      <c r="N208" s="16"/>
      <c r="O208" s="21"/>
      <c r="P208" s="22"/>
      <c r="X208" s="18"/>
      <c r="Y208" s="16"/>
      <c r="Z208" s="16"/>
      <c r="AC208" s="18"/>
      <c r="AD208" s="16"/>
      <c r="AE208" s="16"/>
    </row>
    <row r="210" spans="1:36" s="35" customFormat="1" x14ac:dyDescent="0.25"/>
    <row r="211" spans="1:36" s="35" customFormat="1" x14ac:dyDescent="0.25">
      <c r="O211" s="35" t="s">
        <v>169</v>
      </c>
      <c r="P211" s="35" t="s">
        <v>170</v>
      </c>
      <c r="S211" s="35" t="s">
        <v>182</v>
      </c>
    </row>
    <row r="212" spans="1:36" x14ac:dyDescent="0.25">
      <c r="K212" t="s">
        <v>98</v>
      </c>
      <c r="L212" t="s">
        <v>89</v>
      </c>
      <c r="M212" t="s">
        <v>90</v>
      </c>
      <c r="O212" s="39">
        <v>1</v>
      </c>
      <c r="P212" s="39">
        <f>1-O212</f>
        <v>0</v>
      </c>
      <c r="S212">
        <v>1.08</v>
      </c>
    </row>
    <row r="213" spans="1:36" x14ac:dyDescent="0.25">
      <c r="A213" s="4" t="s">
        <v>93</v>
      </c>
      <c r="B213" t="str">
        <f>AQ178</f>
        <v>Balance</v>
      </c>
      <c r="C213" s="2" t="str">
        <f t="shared" ref="C213:C219" si="45">AO178</f>
        <v>groupByColumn</v>
      </c>
      <c r="D213" t="str">
        <f>E178</f>
        <v>PREPAY_SMM1</v>
      </c>
      <c r="E213" t="str">
        <f>F178</f>
        <v>PREPAY_TRACKING_SMM1</v>
      </c>
      <c r="F213" t="s">
        <v>91</v>
      </c>
      <c r="G213" t="str">
        <f>C178</f>
        <v>PREPAY_CPR1</v>
      </c>
      <c r="H213" t="str">
        <f>D178</f>
        <v>PREPAY_TRACKING_CPR1</v>
      </c>
      <c r="I213" t="s">
        <v>168</v>
      </c>
      <c r="K213" t="s">
        <v>92</v>
      </c>
      <c r="L213" t="s">
        <v>92</v>
      </c>
      <c r="M213" t="s">
        <v>92</v>
      </c>
      <c r="O213" t="s">
        <v>163</v>
      </c>
      <c r="P213" t="s">
        <v>164</v>
      </c>
      <c r="Q213" t="s">
        <v>165</v>
      </c>
      <c r="S213" t="s">
        <v>96</v>
      </c>
      <c r="T213" t="s">
        <v>97</v>
      </c>
      <c r="U213" t="s">
        <v>91</v>
      </c>
    </row>
    <row r="214" spans="1:36" s="35" customFormat="1" x14ac:dyDescent="0.25">
      <c r="A214" s="14">
        <f t="shared" ref="A214:A219" si="46">K179</f>
        <v>145.06</v>
      </c>
      <c r="B214" s="32">
        <f t="shared" ref="B214:B219" si="47">AQ179/1000000000</f>
        <v>3.2753460000000001E-5</v>
      </c>
      <c r="C214" s="33" t="str">
        <f t="shared" si="45"/>
        <v>14:125-150</v>
      </c>
      <c r="D214" s="34">
        <f t="shared" ref="D214:D219" si="48">E179</f>
        <v>1</v>
      </c>
      <c r="E214" s="34">
        <f t="shared" ref="E214:E219" si="49">Z179+AA179+AB179+AC179+AD179</f>
        <v>1.9522100000000001E-2</v>
      </c>
      <c r="F214" s="32">
        <f t="shared" ref="F214:F219" si="50">D214/E214</f>
        <v>51.223997418310532</v>
      </c>
      <c r="G214" s="33">
        <f t="shared" ref="G214:G219" si="51">(1-(1-D214)^12)*100</f>
        <v>100</v>
      </c>
      <c r="H214" s="33">
        <f t="shared" ref="H214:H219" si="52">(1-(1-E214)^12)*100</f>
        <v>21.067890581542581</v>
      </c>
      <c r="I214" s="33">
        <f t="shared" ref="I214:I219" si="53">(1-(1-SUM(Z196,AA196,AB196,AC196,AD196*M214))^12)*100</f>
        <v>21.916317763780768</v>
      </c>
      <c r="K214" s="14">
        <f>VLOOKUP($C214,'Refi Adj'!$B$2:$E$39,2,0)</f>
        <v>1</v>
      </c>
      <c r="L214" s="14">
        <f>VLOOKUP($C214,'Refi Adj'!$B$2:$E$39,3,0)</f>
        <v>1</v>
      </c>
      <c r="M214" s="14">
        <f>VLOOKUP($C214,'Refi Adj'!$B$2:$E$39,4,0)</f>
        <v>0.92</v>
      </c>
      <c r="O214" s="40">
        <f t="shared" ref="O214:O219" si="54">AD196*M214</f>
        <v>1.5921151999999999E-3</v>
      </c>
      <c r="P214" s="40">
        <f t="shared" ref="P214:P219" si="55">AD179</f>
        <v>7.0951E-4</v>
      </c>
      <c r="Q214" s="40">
        <f>(O214*$O$155+P214*$P$212)</f>
        <v>1.5921151999999999E-3</v>
      </c>
      <c r="R214" s="14"/>
      <c r="S214" s="34">
        <f>Z179+AA179+AB179*K214+AC179*L214+Q214*$S$212</f>
        <v>2.0532074415999999E-2</v>
      </c>
      <c r="T214" s="33">
        <f t="shared" ref="T214:T219" si="56">100*(1-(1-S214)^12)</f>
        <v>22.038062100066846</v>
      </c>
      <c r="U214" s="36">
        <f t="shared" ref="U214:U219" si="57">D214/S214</f>
        <v>48.704284805276735</v>
      </c>
      <c r="X214" s="37"/>
      <c r="Y214" s="34"/>
      <c r="Z214" s="34"/>
      <c r="AD214" s="34"/>
      <c r="AE214" s="34"/>
      <c r="AJ214" s="34"/>
    </row>
    <row r="215" spans="1:36" s="35" customFormat="1" x14ac:dyDescent="0.25">
      <c r="A215" s="14">
        <f t="shared" si="46"/>
        <v>166.13016914246199</v>
      </c>
      <c r="B215" s="32">
        <f t="shared" si="47"/>
        <v>3.14221215E-3</v>
      </c>
      <c r="C215" s="33" t="str">
        <f t="shared" si="45"/>
        <v>15:150-175</v>
      </c>
      <c r="D215" s="34">
        <f t="shared" si="48"/>
        <v>6.2536726327087594E-2</v>
      </c>
      <c r="E215" s="34">
        <f t="shared" si="49"/>
        <v>1.8104881987432993E-2</v>
      </c>
      <c r="F215" s="32">
        <f t="shared" si="50"/>
        <v>3.4541360927122171</v>
      </c>
      <c r="G215" s="33">
        <f t="shared" si="51"/>
        <v>53.926505587231112</v>
      </c>
      <c r="H215" s="33">
        <f t="shared" si="52"/>
        <v>19.687858088207623</v>
      </c>
      <c r="I215" s="33">
        <f t="shared" si="53"/>
        <v>27.928415247662763</v>
      </c>
      <c r="K215" s="14">
        <f>VLOOKUP($C215,'Refi Adj'!$B$2:$E$39,2,0)</f>
        <v>1</v>
      </c>
      <c r="L215" s="14">
        <f>VLOOKUP($C215,'Refi Adj'!$B$2:$E$39,3,0)</f>
        <v>1</v>
      </c>
      <c r="M215" s="14">
        <f>VLOOKUP($C215,'Refi Adj'!$B$2:$E$39,4,0)</f>
        <v>0.9</v>
      </c>
      <c r="O215" s="40">
        <f t="shared" si="54"/>
        <v>1.921480323359058E-2</v>
      </c>
      <c r="P215" s="40">
        <f t="shared" si="55"/>
        <v>1.03962336012446E-2</v>
      </c>
      <c r="Q215" s="40">
        <f t="shared" ref="Q215:Q219" si="58">(O215*$O$155+P215*$P$212)</f>
        <v>1.921480323359058E-2</v>
      </c>
      <c r="R215" s="14"/>
      <c r="S215" s="34">
        <f t="shared" ref="S215:S219" si="59">Z180+AA180+AB180*K215+AC180*L215+Q215*$S$212</f>
        <v>2.8460635878466221E-2</v>
      </c>
      <c r="T215" s="33">
        <f t="shared" si="56"/>
        <v>29.282838448764693</v>
      </c>
      <c r="U215" s="36">
        <f t="shared" si="57"/>
        <v>2.1973060122104964</v>
      </c>
      <c r="X215" s="37"/>
      <c r="Y215" s="34"/>
      <c r="Z215" s="34"/>
      <c r="AC215" s="37"/>
      <c r="AD215" s="34"/>
      <c r="AE215" s="34"/>
      <c r="AJ215" s="34"/>
    </row>
    <row r="216" spans="1:36" s="35" customFormat="1" x14ac:dyDescent="0.25">
      <c r="A216" s="14">
        <f t="shared" si="46"/>
        <v>190.39197835595601</v>
      </c>
      <c r="B216" s="32">
        <f t="shared" si="47"/>
        <v>0.14950282852999999</v>
      </c>
      <c r="C216" s="33" t="str">
        <f t="shared" si="45"/>
        <v>16:175-200</v>
      </c>
      <c r="D216" s="34">
        <f t="shared" si="48"/>
        <v>4.9675450142089399E-2</v>
      </c>
      <c r="E216" s="34">
        <f t="shared" si="49"/>
        <v>2.7001273404767285E-2</v>
      </c>
      <c r="F216" s="32">
        <f t="shared" si="50"/>
        <v>1.8397447186071902</v>
      </c>
      <c r="G216" s="33">
        <f t="shared" si="51"/>
        <v>45.742049733354342</v>
      </c>
      <c r="H216" s="33">
        <f t="shared" si="52"/>
        <v>27.997551921017248</v>
      </c>
      <c r="I216" s="33">
        <f t="shared" si="53"/>
        <v>36.024918623897186</v>
      </c>
      <c r="K216" s="14">
        <f>VLOOKUP($C216,'Refi Adj'!$B$2:$E$39,2,0)</f>
        <v>1</v>
      </c>
      <c r="L216" s="14">
        <f>VLOOKUP($C216,'Refi Adj'!$B$2:$E$39,3,0)</f>
        <v>1</v>
      </c>
      <c r="M216" s="14">
        <f>VLOOKUP($C216,'Refi Adj'!$B$2:$E$39,4,0)</f>
        <v>0.9</v>
      </c>
      <c r="O216" s="40">
        <f t="shared" si="54"/>
        <v>3.0834702346682969E-2</v>
      </c>
      <c r="P216" s="40">
        <f t="shared" si="55"/>
        <v>2.1297192572867499E-2</v>
      </c>
      <c r="Q216" s="40">
        <f t="shared" si="58"/>
        <v>3.0834702346682969E-2</v>
      </c>
      <c r="R216" s="14"/>
      <c r="S216" s="34">
        <f t="shared" si="59"/>
        <v>3.9005559366317395E-2</v>
      </c>
      <c r="T216" s="33">
        <f t="shared" si="56"/>
        <v>37.963040656634739</v>
      </c>
      <c r="U216" s="36">
        <f t="shared" si="57"/>
        <v>1.2735479492952948</v>
      </c>
      <c r="X216" s="37"/>
      <c r="Y216" s="34"/>
      <c r="Z216" s="34"/>
      <c r="AC216" s="37"/>
      <c r="AD216" s="34"/>
      <c r="AE216" s="34"/>
      <c r="AJ216" s="34"/>
    </row>
    <row r="217" spans="1:36" s="35" customFormat="1" x14ac:dyDescent="0.25">
      <c r="A217" s="14">
        <f t="shared" si="46"/>
        <v>212.532409382265</v>
      </c>
      <c r="B217" s="32">
        <f t="shared" si="47"/>
        <v>0.33156672936000003</v>
      </c>
      <c r="C217" s="33" t="str">
        <f t="shared" si="45"/>
        <v>17:200-225</v>
      </c>
      <c r="D217" s="34">
        <f t="shared" si="48"/>
        <v>3.6563968988251802E-2</v>
      </c>
      <c r="E217" s="34">
        <f t="shared" si="49"/>
        <v>2.827474272873522E-2</v>
      </c>
      <c r="F217" s="32">
        <f t="shared" si="50"/>
        <v>1.2931671682760304</v>
      </c>
      <c r="G217" s="33">
        <f t="shared" si="51"/>
        <v>36.044984186123607</v>
      </c>
      <c r="H217" s="33">
        <f t="shared" si="52"/>
        <v>29.120296247282262</v>
      </c>
      <c r="I217" s="33">
        <f t="shared" si="53"/>
        <v>36.921880842372609</v>
      </c>
      <c r="K217" s="14">
        <f>VLOOKUP($C217,'Refi Adj'!$B$2:$E$39,2,0)</f>
        <v>1</v>
      </c>
      <c r="L217" s="14">
        <f>VLOOKUP($C217,'Refi Adj'!$B$2:$E$39,3,0)</f>
        <v>1</v>
      </c>
      <c r="M217" s="14">
        <f>VLOOKUP($C217,'Refi Adj'!$B$2:$E$39,4,0)</f>
        <v>0.9</v>
      </c>
      <c r="O217" s="40">
        <f t="shared" si="54"/>
        <v>3.2208040858963408E-2</v>
      </c>
      <c r="P217" s="40">
        <f t="shared" si="55"/>
        <v>2.2811017749275301E-2</v>
      </c>
      <c r="Q217" s="40">
        <f t="shared" si="58"/>
        <v>3.2208040858963408E-2</v>
      </c>
      <c r="R217" s="14"/>
      <c r="S217" s="34">
        <f t="shared" si="59"/>
        <v>4.02484091071404E-2</v>
      </c>
      <c r="T217" s="33">
        <f t="shared" si="56"/>
        <v>38.9190070908911</v>
      </c>
      <c r="U217" s="36">
        <f t="shared" si="57"/>
        <v>0.90845749681482568</v>
      </c>
      <c r="X217" s="37"/>
      <c r="Y217" s="34"/>
      <c r="Z217" s="34"/>
      <c r="AC217" s="37"/>
      <c r="AD217" s="34"/>
      <c r="AE217" s="34"/>
      <c r="AH217" s="37"/>
      <c r="AI217" s="34"/>
      <c r="AJ217" s="34"/>
    </row>
    <row r="218" spans="1:36" x14ac:dyDescent="0.25">
      <c r="A218" s="4">
        <f t="shared" si="46"/>
        <v>234.249178908365</v>
      </c>
      <c r="B218" s="3">
        <f t="shared" si="47"/>
        <v>0.13446177040000001</v>
      </c>
      <c r="C218" s="2" t="str">
        <f t="shared" si="45"/>
        <v>18:225-250</v>
      </c>
      <c r="D218" s="8">
        <f t="shared" si="48"/>
        <v>4.8703003571695699E-2</v>
      </c>
      <c r="E218" s="8">
        <f t="shared" si="49"/>
        <v>2.8205931736102374E-2</v>
      </c>
      <c r="F218" s="3">
        <f t="shared" si="50"/>
        <v>1.7266936624312239</v>
      </c>
      <c r="G218" s="2">
        <f t="shared" si="51"/>
        <v>45.072035375269458</v>
      </c>
      <c r="H218" s="2">
        <f t="shared" si="52"/>
        <v>29.060042144456808</v>
      </c>
      <c r="I218" s="33">
        <f t="shared" si="53"/>
        <v>37.520288741114484</v>
      </c>
      <c r="K218" s="14">
        <f>VLOOKUP($C218,'Refi Adj'!$B$2:$E$39,2,0)</f>
        <v>1</v>
      </c>
      <c r="L218" s="14">
        <f>VLOOKUP($C218,'Refi Adj'!$B$2:$E$39,3,0)</f>
        <v>1</v>
      </c>
      <c r="M218" s="14">
        <f>VLOOKUP($C218,'Refi Adj'!$B$2:$E$39,4,0)</f>
        <v>0.9</v>
      </c>
      <c r="O218" s="40">
        <f t="shared" si="54"/>
        <v>3.2493030095126246E-2</v>
      </c>
      <c r="P218" s="40">
        <f t="shared" si="55"/>
        <v>2.2263085253417102E-2</v>
      </c>
      <c r="Q218" s="40">
        <f t="shared" si="58"/>
        <v>3.2493030095126246E-2</v>
      </c>
      <c r="R218" s="14"/>
      <c r="S218" s="34">
        <f t="shared" si="59"/>
        <v>4.103531898542162E-2</v>
      </c>
      <c r="T218" s="2">
        <f t="shared" si="56"/>
        <v>39.517275368211479</v>
      </c>
      <c r="U218" s="7">
        <f t="shared" si="57"/>
        <v>1.1868557324727542</v>
      </c>
      <c r="X218" s="9"/>
      <c r="Y218" s="8"/>
      <c r="Z218" s="8"/>
      <c r="AC218" s="9"/>
      <c r="AD218" s="8"/>
      <c r="AE218" s="8"/>
      <c r="AH218" s="9"/>
      <c r="AI218" s="8"/>
      <c r="AJ218" s="8"/>
    </row>
    <row r="219" spans="1:36" x14ac:dyDescent="0.25">
      <c r="A219" s="4">
        <f t="shared" si="46"/>
        <v>268.05778266692897</v>
      </c>
      <c r="B219" s="3">
        <f t="shared" si="47"/>
        <v>2.6437795510000001E-2</v>
      </c>
      <c r="C219" s="2" t="str">
        <f t="shared" si="45"/>
        <v>999:&gt;= 250</v>
      </c>
      <c r="D219" s="8">
        <f t="shared" si="48"/>
        <v>5.6304496682895597E-2</v>
      </c>
      <c r="E219" s="8">
        <f t="shared" si="49"/>
        <v>2.9017176480318409E-2</v>
      </c>
      <c r="F219" s="3">
        <f t="shared" si="50"/>
        <v>1.9403850929839939</v>
      </c>
      <c r="G219" s="2">
        <f t="shared" si="51"/>
        <v>50.113546797180163</v>
      </c>
      <c r="H219" s="2">
        <f t="shared" si="52"/>
        <v>29.767428695770448</v>
      </c>
      <c r="I219" s="33">
        <f t="shared" si="53"/>
        <v>39.573056157172182</v>
      </c>
      <c r="K219" s="14">
        <f>VLOOKUP($C219,'Refi Adj'!$B$2:$E$39,2,0)</f>
        <v>1</v>
      </c>
      <c r="L219" s="14">
        <f>VLOOKUP($C219,'Refi Adj'!$B$2:$E$39,3,0)</f>
        <v>1</v>
      </c>
      <c r="M219" s="14">
        <f>VLOOKUP($C219,'Refi Adj'!$B$2:$E$39,4,0)</f>
        <v>0.9</v>
      </c>
      <c r="O219" s="40">
        <f t="shared" si="54"/>
        <v>3.5067698406320846E-2</v>
      </c>
      <c r="P219" s="40">
        <f t="shared" si="55"/>
        <v>2.29758235100446E-2</v>
      </c>
      <c r="Q219" s="40">
        <f t="shared" si="58"/>
        <v>3.5067698406320846E-2</v>
      </c>
      <c r="R219" s="14"/>
      <c r="S219" s="34">
        <f t="shared" si="59"/>
        <v>4.3914467249100329E-2</v>
      </c>
      <c r="T219" s="2">
        <f t="shared" si="56"/>
        <v>41.660734192006231</v>
      </c>
      <c r="U219" s="7">
        <f t="shared" si="57"/>
        <v>1.2821400374394636</v>
      </c>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7"/>
      <c r="X222" s="9"/>
      <c r="Y222" s="8"/>
      <c r="Z222" s="8"/>
      <c r="AC222" s="9"/>
      <c r="AD222" s="8"/>
      <c r="AE222" s="8"/>
      <c r="AH222" s="9"/>
      <c r="AI222" s="8"/>
      <c r="AJ222" s="8"/>
    </row>
    <row r="223" spans="1:36" x14ac:dyDescent="0.25">
      <c r="A223" s="4"/>
      <c r="B223" s="3"/>
      <c r="C223" s="2"/>
      <c r="D223" s="8"/>
      <c r="E223" s="8"/>
      <c r="F223" s="3"/>
      <c r="G223" s="2"/>
      <c r="H223" s="2"/>
      <c r="I223" s="33"/>
      <c r="K223" s="14"/>
      <c r="L223" s="14"/>
      <c r="M223" s="14"/>
      <c r="O223" s="40"/>
      <c r="P223" s="40"/>
      <c r="Q223" s="40"/>
      <c r="R223" s="14"/>
      <c r="S223" s="34"/>
      <c r="T223" s="2"/>
      <c r="U223" s="7"/>
      <c r="X223" s="9"/>
      <c r="Y223" s="8"/>
      <c r="Z223" s="8"/>
      <c r="AC223" s="9"/>
      <c r="AD223" s="8"/>
      <c r="AE223" s="8"/>
      <c r="AH223" s="9"/>
      <c r="AI223" s="8"/>
      <c r="AJ223" s="8"/>
    </row>
    <row r="224" spans="1:36" x14ac:dyDescent="0.25">
      <c r="A224" s="4"/>
      <c r="B224" s="3"/>
      <c r="C224" s="2"/>
      <c r="D224" s="8"/>
      <c r="E224" s="8"/>
      <c r="F224" s="3"/>
      <c r="G224" s="2"/>
      <c r="H224" s="2"/>
      <c r="I224" s="33"/>
      <c r="K224" s="14"/>
      <c r="L224" s="14"/>
      <c r="M224" s="14"/>
      <c r="O224" s="40"/>
      <c r="P224" s="40"/>
      <c r="Q224" s="40"/>
      <c r="R224" s="14"/>
      <c r="S224" s="34"/>
      <c r="T224" s="2"/>
      <c r="U224" s="7"/>
      <c r="X224" s="9"/>
      <c r="Y224" s="8"/>
      <c r="Z224" s="8"/>
      <c r="AC224" s="9"/>
      <c r="AD224" s="8"/>
      <c r="AE224" s="8"/>
      <c r="AH224" s="9"/>
      <c r="AI224" s="8"/>
      <c r="AJ224" s="8"/>
    </row>
    <row r="225" spans="1:36" x14ac:dyDescent="0.25">
      <c r="A225" s="4"/>
      <c r="B225" s="3"/>
      <c r="C225" s="2"/>
      <c r="D225" s="8"/>
      <c r="E225" s="8"/>
      <c r="F225" s="3"/>
      <c r="G225" s="2"/>
      <c r="H225" s="2"/>
      <c r="I225" s="33"/>
      <c r="K225" s="14"/>
      <c r="L225" s="14"/>
      <c r="M225" s="14"/>
      <c r="O225" s="40"/>
      <c r="P225" s="40"/>
      <c r="Q225" s="40"/>
      <c r="R225" s="14"/>
      <c r="S225" s="34"/>
      <c r="T225" s="2"/>
      <c r="U225" s="7"/>
      <c r="X225" s="9"/>
      <c r="Y225" s="8"/>
      <c r="Z225" s="8"/>
      <c r="AC225" s="9"/>
      <c r="AD225" s="8"/>
      <c r="AE225" s="8"/>
      <c r="AH225" s="9"/>
      <c r="AI225" s="8"/>
      <c r="AJ225" s="8"/>
    </row>
    <row r="226" spans="1:36" x14ac:dyDescent="0.25">
      <c r="A226" s="4"/>
      <c r="B226" s="3"/>
      <c r="C226" s="2"/>
      <c r="D226" s="8"/>
      <c r="E226" s="8"/>
      <c r="F226" s="3"/>
      <c r="G226" s="2"/>
      <c r="H226" s="2"/>
      <c r="I226" s="33"/>
      <c r="K226" s="14"/>
      <c r="L226" s="14"/>
      <c r="M226" s="14"/>
      <c r="O226" s="40"/>
      <c r="P226" s="40"/>
      <c r="Q226" s="40"/>
      <c r="R226" s="14"/>
      <c r="S226" s="34"/>
      <c r="T226" s="2"/>
      <c r="U226" s="7"/>
      <c r="X226" s="9"/>
      <c r="Y226" s="8"/>
      <c r="Z226" s="8"/>
      <c r="AC226" s="9"/>
      <c r="AD226" s="8"/>
      <c r="AE226" s="8"/>
      <c r="AH226" s="9"/>
      <c r="AI226" s="8"/>
      <c r="AJ226" s="8"/>
    </row>
    <row r="227" spans="1:36" x14ac:dyDescent="0.25">
      <c r="A227" s="4"/>
      <c r="B227" s="3"/>
      <c r="C227" s="2"/>
      <c r="D227" s="8"/>
      <c r="E227" s="8"/>
      <c r="F227" s="3"/>
      <c r="G227" s="2"/>
      <c r="H227" s="2"/>
      <c r="I227" s="33"/>
      <c r="K227" s="14"/>
      <c r="L227" s="14"/>
      <c r="M227" s="14"/>
      <c r="O227" s="40"/>
      <c r="P227" s="40"/>
      <c r="Q227" s="40"/>
      <c r="R227" s="14"/>
      <c r="S227" s="34"/>
      <c r="T227" s="2"/>
      <c r="U227" s="7"/>
      <c r="X227" s="9"/>
      <c r="Y227" s="8"/>
      <c r="Z227" s="8"/>
      <c r="AC227" s="9"/>
      <c r="AD227" s="8"/>
      <c r="AE227" s="8"/>
      <c r="AH227" s="9"/>
      <c r="AI227" s="8"/>
      <c r="AJ227" s="8"/>
    </row>
    <row r="228" spans="1:36" s="24" customFormat="1" x14ac:dyDescent="0.25">
      <c r="A228" s="4"/>
      <c r="B228" s="3"/>
      <c r="C228" s="2"/>
      <c r="D228" s="8"/>
      <c r="E228" s="8"/>
      <c r="F228" s="3"/>
      <c r="G228" s="2"/>
      <c r="H228" s="2"/>
      <c r="I228" s="33"/>
      <c r="J228"/>
      <c r="K228" s="14"/>
      <c r="L228" s="14"/>
      <c r="M228" s="14"/>
      <c r="O228" s="40"/>
      <c r="P228" s="40"/>
      <c r="Q228" s="40"/>
      <c r="R228" s="14"/>
      <c r="S228" s="34"/>
      <c r="T228" s="2"/>
      <c r="U228" s="7"/>
      <c r="V228"/>
      <c r="W228"/>
      <c r="X228" s="9"/>
      <c r="Y228" s="8"/>
      <c r="Z228" s="8"/>
      <c r="AA228"/>
      <c r="AB228"/>
      <c r="AC228" s="9"/>
      <c r="AD228" s="8"/>
      <c r="AE228" s="8"/>
      <c r="AF228"/>
      <c r="AG228"/>
      <c r="AH228" s="9"/>
      <c r="AI228" s="8"/>
      <c r="AJ228" s="8"/>
    </row>
    <row r="229" spans="1:36" s="24" customFormat="1" x14ac:dyDescent="0.25">
      <c r="A229" s="4"/>
      <c r="B229" s="3"/>
      <c r="C229" s="2"/>
      <c r="D229" s="8"/>
      <c r="E229" s="8"/>
      <c r="F229" s="3"/>
      <c r="G229" s="2"/>
      <c r="H229" s="2"/>
      <c r="I229" s="33"/>
      <c r="J229"/>
      <c r="K229" s="14"/>
      <c r="L229" s="14"/>
      <c r="M229" s="14"/>
      <c r="O229" s="40"/>
      <c r="P229" s="40"/>
      <c r="Q229" s="40"/>
      <c r="R229" s="14"/>
      <c r="S229" s="34"/>
      <c r="T229" s="2"/>
      <c r="U229" s="7"/>
      <c r="V229"/>
      <c r="W229"/>
      <c r="X229" s="9"/>
      <c r="Y229" s="8"/>
      <c r="Z229" s="8"/>
      <c r="AA229"/>
      <c r="AB229"/>
      <c r="AC229" s="9"/>
      <c r="AD229" s="8"/>
      <c r="AE229" s="8"/>
      <c r="AF229"/>
      <c r="AG229"/>
      <c r="AH229" s="9"/>
      <c r="AI229" s="8"/>
      <c r="AJ229" s="8"/>
    </row>
    <row r="230" spans="1:36" s="24" customFormat="1" x14ac:dyDescent="0.25">
      <c r="A230" s="4"/>
      <c r="B230" s="3"/>
      <c r="C230" s="2"/>
      <c r="D230" s="8"/>
      <c r="E230" s="8"/>
      <c r="F230" s="3"/>
      <c r="G230" s="2"/>
      <c r="H230" s="2"/>
      <c r="I230" s="33"/>
      <c r="J230"/>
      <c r="K230" s="14"/>
      <c r="L230" s="14"/>
      <c r="M230" s="14"/>
      <c r="O230" s="40"/>
      <c r="P230" s="40"/>
      <c r="Q230" s="40"/>
      <c r="R230" s="14"/>
      <c r="S230" s="34"/>
      <c r="T230" s="2"/>
      <c r="U230" s="7"/>
      <c r="V230"/>
      <c r="W230"/>
      <c r="X230" s="9"/>
      <c r="Y230" s="8"/>
      <c r="Z230" s="8"/>
      <c r="AA230"/>
      <c r="AB230"/>
      <c r="AC230" s="9"/>
      <c r="AD230" s="8"/>
      <c r="AE230" s="8"/>
      <c r="AF230"/>
      <c r="AG230"/>
      <c r="AH230" s="9"/>
      <c r="AI230" s="8"/>
      <c r="AJ230" s="8"/>
    </row>
    <row r="231" spans="1:36" s="24" customFormat="1" x14ac:dyDescent="0.25">
      <c r="A231" s="4"/>
      <c r="B231" s="3"/>
      <c r="C231" s="2"/>
      <c r="D231" s="8"/>
      <c r="E231" s="8"/>
      <c r="F231" s="3"/>
      <c r="G231" s="2"/>
      <c r="H231" s="2"/>
      <c r="I231" s="33"/>
      <c r="J231"/>
      <c r="K231" s="14"/>
      <c r="L231" s="14"/>
      <c r="M231" s="14"/>
      <c r="O231" s="40"/>
      <c r="P231" s="40"/>
      <c r="Q231" s="40"/>
      <c r="R231" s="14"/>
      <c r="S231" s="34"/>
      <c r="T231" s="2"/>
      <c r="U231" s="7"/>
      <c r="V231"/>
      <c r="W231"/>
      <c r="X231" s="9"/>
      <c r="Y231" s="8"/>
      <c r="Z231" s="8"/>
      <c r="AA231"/>
      <c r="AB231"/>
      <c r="AC231" s="9"/>
      <c r="AD231" s="8"/>
      <c r="AE231" s="8"/>
      <c r="AF231"/>
      <c r="AG231"/>
      <c r="AH231" s="9"/>
      <c r="AI231" s="8"/>
      <c r="AJ231" s="8"/>
    </row>
  </sheetData>
  <conditionalFormatting sqref="F86:F112">
    <cfRule type="colorScale" priority="43">
      <colorScale>
        <cfvo type="min"/>
        <cfvo type="num" val="1"/>
        <cfvo type="max"/>
        <color rgb="FFF8696B"/>
        <color theme="0"/>
        <color theme="4"/>
      </colorScale>
    </cfRule>
  </conditionalFormatting>
  <conditionalFormatting sqref="U86:U112">
    <cfRule type="colorScale" priority="42">
      <colorScale>
        <cfvo type="min"/>
        <cfvo type="num" val="1"/>
        <cfvo type="max"/>
        <color rgb="FFF8696B"/>
        <color theme="0"/>
        <color theme="4"/>
      </colorScale>
    </cfRule>
  </conditionalFormatting>
  <conditionalFormatting sqref="B82:B112">
    <cfRule type="dataBar" priority="45">
      <dataBar>
        <cfvo type="min"/>
        <cfvo type="max"/>
        <color rgb="FF638EC6"/>
      </dataBar>
      <extLst>
        <ext xmlns:x14="http://schemas.microsoft.com/office/spreadsheetml/2009/9/main" uri="{B025F937-C7B1-47D3-B67F-A62EFF666E3E}">
          <x14:id>{E40B692F-7B69-405A-916E-99B50E5843DF}</x14:id>
        </ext>
      </extLst>
    </cfRule>
  </conditionalFormatting>
  <conditionalFormatting sqref="F113:F115">
    <cfRule type="colorScale" priority="37">
      <colorScale>
        <cfvo type="min"/>
        <cfvo type="num" val="1"/>
        <cfvo type="max"/>
        <color rgb="FFF8696B"/>
        <color theme="0"/>
        <color theme="4"/>
      </colorScale>
    </cfRule>
  </conditionalFormatting>
  <conditionalFormatting sqref="P113:P115">
    <cfRule type="colorScale" priority="36">
      <colorScale>
        <cfvo type="min"/>
        <cfvo type="num" val="1"/>
        <cfvo type="max"/>
        <color rgb="FFF8696B"/>
        <color theme="0"/>
        <color theme="4"/>
      </colorScale>
    </cfRule>
  </conditionalFormatting>
  <conditionalFormatting sqref="B113:B114">
    <cfRule type="dataBar" priority="38">
      <dataBar>
        <cfvo type="min"/>
        <cfvo type="max"/>
        <color rgb="FF638EC6"/>
      </dataBar>
      <extLst>
        <ext xmlns:x14="http://schemas.microsoft.com/office/spreadsheetml/2009/9/main" uri="{B025F937-C7B1-47D3-B67F-A62EFF666E3E}">
          <x14:id>{CEF0EFCA-F79C-462A-B78B-FC225C63EC5C}</x14:id>
        </ext>
      </extLst>
    </cfRule>
  </conditionalFormatting>
  <conditionalFormatting sqref="AQ103">
    <cfRule type="dataBar" priority="30">
      <dataBar>
        <cfvo type="min"/>
        <cfvo type="max"/>
        <color rgb="FF638EC6"/>
      </dataBar>
      <extLst>
        <ext xmlns:x14="http://schemas.microsoft.com/office/spreadsheetml/2009/9/main" uri="{B025F937-C7B1-47D3-B67F-A62EFF666E3E}">
          <x14:id>{E44E8A43-F2B1-45AC-A27B-7933DDEB68AF}</x14:id>
        </ext>
      </extLst>
    </cfRule>
  </conditionalFormatting>
  <conditionalFormatting sqref="AQ42:AQ64">
    <cfRule type="dataBar" priority="29">
      <dataBar>
        <cfvo type="min"/>
        <cfvo type="max"/>
        <color rgb="FF638EC6"/>
      </dataBar>
      <extLst>
        <ext xmlns:x14="http://schemas.microsoft.com/office/spreadsheetml/2009/9/main" uri="{B025F937-C7B1-47D3-B67F-A62EFF666E3E}">
          <x14:id>{813C9789-A23D-48BD-BCD0-E310C92FEAEF}</x14:id>
        </ext>
      </extLst>
    </cfRule>
  </conditionalFormatting>
  <conditionalFormatting sqref="AQ65:AQ75">
    <cfRule type="dataBar" priority="17">
      <dataBar>
        <cfvo type="min"/>
        <cfvo type="max"/>
        <color rgb="FF638EC6"/>
      </dataBar>
      <extLst>
        <ext xmlns:x14="http://schemas.microsoft.com/office/spreadsheetml/2009/9/main" uri="{B025F937-C7B1-47D3-B67F-A62EFF666E3E}">
          <x14:id>{0A9E7065-D44B-4F7B-9358-8099E42326A0}</x14:id>
        </ext>
      </extLst>
    </cfRule>
  </conditionalFormatting>
  <conditionalFormatting sqref="AQ3:AQ36">
    <cfRule type="dataBar" priority="16">
      <dataBar>
        <cfvo type="min"/>
        <cfvo type="max"/>
        <color rgb="FF638EC6"/>
      </dataBar>
      <extLst>
        <ext xmlns:x14="http://schemas.microsoft.com/office/spreadsheetml/2009/9/main" uri="{B025F937-C7B1-47D3-B67F-A62EFF666E3E}">
          <x14:id>{65AFCFAE-6F0B-49EA-8C57-A006F6335A80}</x14:id>
        </ext>
      </extLst>
    </cfRule>
  </conditionalFormatting>
  <conditionalFormatting sqref="F161:F175">
    <cfRule type="colorScale" priority="14">
      <colorScale>
        <cfvo type="min"/>
        <cfvo type="num" val="1"/>
        <cfvo type="max"/>
        <color rgb="FFF8696B"/>
        <color theme="0"/>
        <color theme="4"/>
      </colorScale>
    </cfRule>
  </conditionalFormatting>
  <conditionalFormatting sqref="U161:U175">
    <cfRule type="colorScale" priority="13">
      <colorScale>
        <cfvo type="min"/>
        <cfvo type="num" val="1"/>
        <cfvo type="max"/>
        <color rgb="FFF8696B"/>
        <color theme="0"/>
        <color theme="4"/>
      </colorScale>
    </cfRule>
  </conditionalFormatting>
  <conditionalFormatting sqref="B157:B175">
    <cfRule type="dataBar" priority="15">
      <dataBar>
        <cfvo type="min"/>
        <cfvo type="max"/>
        <color rgb="FF638EC6"/>
      </dataBar>
      <extLst>
        <ext xmlns:x14="http://schemas.microsoft.com/office/spreadsheetml/2009/9/main" uri="{B025F937-C7B1-47D3-B67F-A62EFF666E3E}">
          <x14:id>{DAD15381-6B5F-463A-A48B-0EDAE4301ABE}</x14:id>
        </ext>
      </extLst>
    </cfRule>
  </conditionalFormatting>
  <conditionalFormatting sqref="AQ139:AQ150">
    <cfRule type="dataBar" priority="74">
      <dataBar>
        <cfvo type="min"/>
        <cfvo type="max"/>
        <color rgb="FF638EC6"/>
      </dataBar>
      <extLst>
        <ext xmlns:x14="http://schemas.microsoft.com/office/spreadsheetml/2009/9/main" uri="{B025F937-C7B1-47D3-B67F-A62EFF666E3E}">
          <x14:id>{EEF5AEFD-E373-4FBF-A5AD-4D082B9351AA}</x14:id>
        </ext>
      </extLst>
    </cfRule>
  </conditionalFormatting>
  <conditionalFormatting sqref="AQ122:AQ134">
    <cfRule type="dataBar" priority="75">
      <dataBar>
        <cfvo type="min"/>
        <cfvo type="max"/>
        <color rgb="FF638EC6"/>
      </dataBar>
      <extLst>
        <ext xmlns:x14="http://schemas.microsoft.com/office/spreadsheetml/2009/9/main" uri="{B025F937-C7B1-47D3-B67F-A62EFF666E3E}">
          <x14:id>{60C230D8-4F08-4E30-B49A-A73DAC7E038A}</x14:id>
        </ext>
      </extLst>
    </cfRule>
  </conditionalFormatting>
  <conditionalFormatting sqref="F215:F219">
    <cfRule type="colorScale" priority="2">
      <colorScale>
        <cfvo type="min"/>
        <cfvo type="num" val="1"/>
        <cfvo type="max"/>
        <color rgb="FFF8696B"/>
        <color theme="0"/>
        <color theme="4"/>
      </colorScale>
    </cfRule>
  </conditionalFormatting>
  <conditionalFormatting sqref="U215:U219">
    <cfRule type="colorScale" priority="1">
      <colorScale>
        <cfvo type="min"/>
        <cfvo type="num" val="1"/>
        <cfvo type="max"/>
        <color rgb="FFF8696B"/>
        <color theme="0"/>
        <color theme="4"/>
      </colorScale>
    </cfRule>
  </conditionalFormatting>
  <conditionalFormatting sqref="B214:B231">
    <cfRule type="dataBar" priority="3">
      <dataBar>
        <cfvo type="min"/>
        <cfvo type="max"/>
        <color rgb="FF638EC6"/>
      </dataBar>
      <extLst>
        <ext xmlns:x14="http://schemas.microsoft.com/office/spreadsheetml/2009/9/main" uri="{B025F937-C7B1-47D3-B67F-A62EFF666E3E}">
          <x14:id>{250C2982-842F-4631-8ABC-54B27942B96E}</x14:id>
        </ext>
      </extLst>
    </cfRule>
  </conditionalFormatting>
  <conditionalFormatting sqref="AQ196:AQ207">
    <cfRule type="dataBar" priority="4">
      <dataBar>
        <cfvo type="min"/>
        <cfvo type="max"/>
        <color rgb="FF638EC6"/>
      </dataBar>
      <extLst>
        <ext xmlns:x14="http://schemas.microsoft.com/office/spreadsheetml/2009/9/main" uri="{B025F937-C7B1-47D3-B67F-A62EFF666E3E}">
          <x14:id>{48CAE0CF-A60A-4EE9-8F59-F29469A04039}</x14:id>
        </ext>
      </extLst>
    </cfRule>
  </conditionalFormatting>
  <conditionalFormatting sqref="AQ179:AQ191">
    <cfRule type="dataBar" priority="5">
      <dataBar>
        <cfvo type="min"/>
        <cfvo type="max"/>
        <color rgb="FF638EC6"/>
      </dataBar>
      <extLst>
        <ext xmlns:x14="http://schemas.microsoft.com/office/spreadsheetml/2009/9/main" uri="{B025F937-C7B1-47D3-B67F-A62EFF666E3E}">
          <x14:id>{F28C304F-B475-4AB6-B198-FDE4BEB84668}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40B692F-7B69-405A-916E-99B50E5843DF}">
            <x14:dataBar minLength="0" maxLength="100" border="1" negativeBarBorderColorSameAsPositive="0">
              <x14:cfvo type="autoMin"/>
              <x14:cfvo type="autoMax"/>
              <x14:borderColor rgb="FF638EC6"/>
              <x14:negativeFillColor rgb="FFFF0000"/>
              <x14:negativeBorderColor rgb="FFFF0000"/>
              <x14:axisColor rgb="FF000000"/>
            </x14:dataBar>
          </x14:cfRule>
          <xm:sqref>B82:B112</xm:sqref>
        </x14:conditionalFormatting>
        <x14:conditionalFormatting xmlns:xm="http://schemas.microsoft.com/office/excel/2006/main">
          <x14:cfRule type="dataBar" id="{CEF0EFCA-F79C-462A-B78B-FC225C63EC5C}">
            <x14:dataBar minLength="0" maxLength="100" border="1" negativeBarBorderColorSameAsPositive="0">
              <x14:cfvo type="autoMin"/>
              <x14:cfvo type="autoMax"/>
              <x14:borderColor rgb="FF638EC6"/>
              <x14:negativeFillColor rgb="FFFF0000"/>
              <x14:negativeBorderColor rgb="FFFF0000"/>
              <x14:axisColor rgb="FF000000"/>
            </x14:dataBar>
          </x14:cfRule>
          <xm:sqref>B113:B114</xm:sqref>
        </x14:conditionalFormatting>
        <x14:conditionalFormatting xmlns:xm="http://schemas.microsoft.com/office/excel/2006/main">
          <x14:cfRule type="dataBar" id="{E44E8A43-F2B1-45AC-A27B-7933DDEB68AF}">
            <x14:dataBar minLength="0" maxLength="100" border="1" negativeBarBorderColorSameAsPositive="0">
              <x14:cfvo type="autoMin"/>
              <x14:cfvo type="autoMax"/>
              <x14:borderColor rgb="FF638EC6"/>
              <x14:negativeFillColor rgb="FFFF0000"/>
              <x14:negativeBorderColor rgb="FFFF0000"/>
              <x14:axisColor rgb="FF000000"/>
            </x14:dataBar>
          </x14:cfRule>
          <xm:sqref>AQ103</xm:sqref>
        </x14:conditionalFormatting>
        <x14:conditionalFormatting xmlns:xm="http://schemas.microsoft.com/office/excel/2006/main">
          <x14:cfRule type="dataBar" id="{813C9789-A23D-48BD-BCD0-E310C92FEAEF}">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0A9E7065-D44B-4F7B-9358-8099E42326A0}">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65AFCFAE-6F0B-49EA-8C57-A006F6335A80}">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DAD15381-6B5F-463A-A48B-0EDAE4301ABE}">
            <x14:dataBar minLength="0" maxLength="100" border="1" negativeBarBorderColorSameAsPositive="0">
              <x14:cfvo type="autoMin"/>
              <x14:cfvo type="autoMax"/>
              <x14:borderColor rgb="FF638EC6"/>
              <x14:negativeFillColor rgb="FFFF0000"/>
              <x14:negativeBorderColor rgb="FFFF0000"/>
              <x14:axisColor rgb="FF000000"/>
            </x14:dataBar>
          </x14:cfRule>
          <xm:sqref>B157:B175</xm:sqref>
        </x14:conditionalFormatting>
        <x14:conditionalFormatting xmlns:xm="http://schemas.microsoft.com/office/excel/2006/main">
          <x14:cfRule type="dataBar" id="{EEF5AEFD-E373-4FBF-A5AD-4D082B9351AA}">
            <x14:dataBar minLength="0" maxLength="100" border="1" negativeBarBorderColorSameAsPositive="0">
              <x14:cfvo type="autoMin"/>
              <x14:cfvo type="autoMax"/>
              <x14:borderColor rgb="FF638EC6"/>
              <x14:negativeFillColor rgb="FFFF0000"/>
              <x14:negativeBorderColor rgb="FFFF0000"/>
              <x14:axisColor rgb="FF000000"/>
            </x14:dataBar>
          </x14:cfRule>
          <xm:sqref>AQ139:AQ150</xm:sqref>
        </x14:conditionalFormatting>
        <x14:conditionalFormatting xmlns:xm="http://schemas.microsoft.com/office/excel/2006/main">
          <x14:cfRule type="dataBar" id="{60C230D8-4F08-4E30-B49A-A73DAC7E038A}">
            <x14:dataBar minLength="0" maxLength="100" border="1" negativeBarBorderColorSameAsPositive="0">
              <x14:cfvo type="autoMin"/>
              <x14:cfvo type="autoMax"/>
              <x14:borderColor rgb="FF638EC6"/>
              <x14:negativeFillColor rgb="FFFF0000"/>
              <x14:negativeBorderColor rgb="FFFF0000"/>
              <x14:axisColor rgb="FF000000"/>
            </x14:dataBar>
          </x14:cfRule>
          <xm:sqref>AQ122:AQ134</xm:sqref>
        </x14:conditionalFormatting>
        <x14:conditionalFormatting xmlns:xm="http://schemas.microsoft.com/office/excel/2006/main">
          <x14:cfRule type="dataBar" id="{250C2982-842F-4631-8ABC-54B27942B96E}">
            <x14:dataBar minLength="0" maxLength="100" border="1" negativeBarBorderColorSameAsPositive="0">
              <x14:cfvo type="autoMin"/>
              <x14:cfvo type="autoMax"/>
              <x14:borderColor rgb="FF638EC6"/>
              <x14:negativeFillColor rgb="FFFF0000"/>
              <x14:negativeBorderColor rgb="FFFF0000"/>
              <x14:axisColor rgb="FF000000"/>
            </x14:dataBar>
          </x14:cfRule>
          <xm:sqref>B214:B231</xm:sqref>
        </x14:conditionalFormatting>
        <x14:conditionalFormatting xmlns:xm="http://schemas.microsoft.com/office/excel/2006/main">
          <x14:cfRule type="dataBar" id="{48CAE0CF-A60A-4EE9-8F59-F29469A04039}">
            <x14:dataBar minLength="0" maxLength="100" border="1" negativeBarBorderColorSameAsPositive="0">
              <x14:cfvo type="autoMin"/>
              <x14:cfvo type="autoMax"/>
              <x14:borderColor rgb="FF638EC6"/>
              <x14:negativeFillColor rgb="FFFF0000"/>
              <x14:negativeBorderColor rgb="FFFF0000"/>
              <x14:axisColor rgb="FF000000"/>
            </x14:dataBar>
          </x14:cfRule>
          <xm:sqref>AQ196:AQ207</xm:sqref>
        </x14:conditionalFormatting>
        <x14:conditionalFormatting xmlns:xm="http://schemas.microsoft.com/office/excel/2006/main">
          <x14:cfRule type="dataBar" id="{F28C304F-B475-4AB6-B198-FDE4BEB84668}">
            <x14:dataBar minLength="0" maxLength="100" border="1" negativeBarBorderColorSameAsPositive="0">
              <x14:cfvo type="autoMin"/>
              <x14:cfvo type="autoMax"/>
              <x14:borderColor rgb="FF638EC6"/>
              <x14:negativeFillColor rgb="FFFF0000"/>
              <x14:negativeBorderColor rgb="FFFF0000"/>
              <x14:axisColor rgb="FF000000"/>
            </x14:dataBar>
          </x14:cfRule>
          <xm:sqref>AQ179:AQ191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zoomScale="80" zoomScaleNormal="80" workbookViewId="0">
      <selection activeCell="AM109" sqref="AM109"/>
    </sheetView>
  </sheetViews>
  <sheetFormatPr defaultRowHeight="15" x14ac:dyDescent="0.25"/>
  <sheetData>
    <row r="1" spans="1:50" x14ac:dyDescent="0.25">
      <c r="A1" s="27" t="s">
        <v>115</v>
      </c>
      <c r="C1" t="s">
        <v>126</v>
      </c>
    </row>
    <row r="2" spans="1:50"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t="s">
        <v>45</v>
      </c>
      <c r="AC2" t="s">
        <v>46</v>
      </c>
      <c r="AD2" t="s">
        <v>47</v>
      </c>
      <c r="AE2" t="s">
        <v>48</v>
      </c>
      <c r="AF2" t="s">
        <v>49</v>
      </c>
      <c r="AG2" t="s">
        <v>50</v>
      </c>
      <c r="AH2" t="s">
        <v>51</v>
      </c>
      <c r="AI2" t="s">
        <v>52</v>
      </c>
      <c r="AJ2" t="s">
        <v>53</v>
      </c>
      <c r="AK2" t="s">
        <v>54</v>
      </c>
      <c r="AL2" t="s">
        <v>55</v>
      </c>
      <c r="AM2" t="s">
        <v>56</v>
      </c>
      <c r="AN2" t="s">
        <v>57</v>
      </c>
      <c r="AO2" t="s">
        <v>58</v>
      </c>
      <c r="AP2" t="s">
        <v>59</v>
      </c>
      <c r="AQ2" t="s">
        <v>60</v>
      </c>
      <c r="AR2" t="s">
        <v>61</v>
      </c>
      <c r="AS2" t="s">
        <v>116</v>
      </c>
      <c r="AT2" t="s">
        <v>117</v>
      </c>
      <c r="AU2" t="s">
        <v>118</v>
      </c>
      <c r="AV2" t="s">
        <v>119</v>
      </c>
      <c r="AW2" t="s">
        <v>120</v>
      </c>
      <c r="AX2" t="s">
        <v>121</v>
      </c>
    </row>
    <row r="3" spans="1:50" x14ac:dyDescent="0.25">
      <c r="A3">
        <v>4.3</v>
      </c>
      <c r="B3">
        <v>0.99354299212619002</v>
      </c>
      <c r="C3">
        <v>3.4433222093304501</v>
      </c>
      <c r="D3">
        <v>7.4790734680492097</v>
      </c>
      <c r="E3" s="31">
        <v>2.9157422292598401E-3</v>
      </c>
      <c r="F3">
        <v>6.45700787380945E-3</v>
      </c>
      <c r="G3" s="31">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1">
        <v>0</v>
      </c>
      <c r="T3" s="31">
        <v>0</v>
      </c>
      <c r="U3" s="31">
        <v>8.9424414388911105E-2</v>
      </c>
      <c r="V3" s="31">
        <v>0</v>
      </c>
      <c r="W3" s="31">
        <v>0</v>
      </c>
      <c r="X3" s="31">
        <v>0.58543282014561404</v>
      </c>
      <c r="Y3" s="31">
        <v>0</v>
      </c>
      <c r="Z3">
        <v>6.7107958171138803E-4</v>
      </c>
      <c r="AA3">
        <v>7.5421687846881702E-5</v>
      </c>
      <c r="AB3">
        <v>2.5087098171402999E-3</v>
      </c>
      <c r="AC3" s="31">
        <v>2.9446124619624699E-8</v>
      </c>
      <c r="AD3">
        <v>3.2017561990742198E-3</v>
      </c>
      <c r="AE3">
        <v>-2.5268185093560099E-2</v>
      </c>
      <c r="AF3">
        <v>0.99001878641810204</v>
      </c>
      <c r="AG3">
        <v>0.99720023865807905</v>
      </c>
      <c r="AH3">
        <v>1</v>
      </c>
      <c r="AI3">
        <v>1</v>
      </c>
      <c r="AJ3">
        <v>1</v>
      </c>
      <c r="AK3">
        <v>1</v>
      </c>
      <c r="AL3">
        <v>1</v>
      </c>
      <c r="AM3">
        <v>0</v>
      </c>
      <c r="AN3">
        <v>0</v>
      </c>
      <c r="AO3" t="s">
        <v>65</v>
      </c>
      <c r="AP3">
        <f>-75--50</f>
        <v>-25</v>
      </c>
      <c r="AQ3">
        <v>22048061.41</v>
      </c>
      <c r="AR3">
        <v>114</v>
      </c>
      <c r="AS3" s="31">
        <v>100</v>
      </c>
      <c r="AT3" s="31">
        <v>0</v>
      </c>
      <c r="AU3" s="31">
        <v>100</v>
      </c>
      <c r="AV3" s="31">
        <v>0</v>
      </c>
      <c r="AW3" s="31">
        <v>0</v>
      </c>
      <c r="AX3" s="31">
        <v>0</v>
      </c>
    </row>
    <row r="4" spans="1:50" x14ac:dyDescent="0.25">
      <c r="A4">
        <v>4.3</v>
      </c>
      <c r="B4">
        <v>0.99344040371019304</v>
      </c>
      <c r="C4">
        <v>2.6756425653229798</v>
      </c>
      <c r="D4">
        <v>7.5936475158731396</v>
      </c>
      <c r="E4">
        <v>2.25752251921006E-3</v>
      </c>
      <c r="F4">
        <v>6.5595962898064002E-3</v>
      </c>
      <c r="G4" s="31">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1">
        <v>0</v>
      </c>
      <c r="T4" s="31">
        <v>0</v>
      </c>
      <c r="U4" s="31">
        <v>8.3187060034362603E-2</v>
      </c>
      <c r="V4" s="31">
        <v>0</v>
      </c>
      <c r="W4" s="31">
        <v>0</v>
      </c>
      <c r="X4">
        <v>0.63466923272141795</v>
      </c>
      <c r="Y4" s="31">
        <v>0</v>
      </c>
      <c r="Z4">
        <v>4.23379175116946E-4</v>
      </c>
      <c r="AA4">
        <v>5.4947754922540903E-5</v>
      </c>
      <c r="AB4">
        <v>2.4369602344780201E-3</v>
      </c>
      <c r="AC4" s="31">
        <v>1.9932865122568199E-8</v>
      </c>
      <c r="AD4">
        <v>3.6442752604935102E-3</v>
      </c>
      <c r="AE4">
        <v>-2.0683738395817799E-2</v>
      </c>
      <c r="AF4">
        <v>0.983010735102128</v>
      </c>
      <c r="AG4">
        <v>0.99723916155715397</v>
      </c>
      <c r="AH4">
        <v>1</v>
      </c>
      <c r="AI4">
        <v>1</v>
      </c>
      <c r="AJ4">
        <v>1</v>
      </c>
      <c r="AK4">
        <v>1</v>
      </c>
      <c r="AL4">
        <v>1</v>
      </c>
      <c r="AM4">
        <v>0</v>
      </c>
      <c r="AN4">
        <v>0</v>
      </c>
      <c r="AO4" t="s">
        <v>66</v>
      </c>
      <c r="AP4">
        <f>-50--25</f>
        <v>-25</v>
      </c>
      <c r="AQ4">
        <v>248359585.03</v>
      </c>
      <c r="AR4">
        <v>943</v>
      </c>
      <c r="AS4" s="31">
        <v>100</v>
      </c>
      <c r="AT4" s="31">
        <v>0</v>
      </c>
      <c r="AU4" s="31">
        <v>100</v>
      </c>
      <c r="AV4" s="31">
        <v>0</v>
      </c>
      <c r="AW4" s="31">
        <v>0</v>
      </c>
      <c r="AX4" s="31">
        <v>0</v>
      </c>
    </row>
    <row r="5" spans="1:50" x14ac:dyDescent="0.25">
      <c r="A5">
        <v>4.3</v>
      </c>
      <c r="B5">
        <v>0.98810675044877605</v>
      </c>
      <c r="C5">
        <v>14.515410770881401</v>
      </c>
      <c r="D5">
        <v>13.3743721586024</v>
      </c>
      <c r="E5">
        <v>1.29844706370965E-2</v>
      </c>
      <c r="F5">
        <v>1.1893249551223501E-2</v>
      </c>
      <c r="G5" s="31">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1">
        <v>0</v>
      </c>
      <c r="T5" s="31">
        <v>0</v>
      </c>
      <c r="U5" s="31">
        <v>0.16198164681268501</v>
      </c>
      <c r="V5" s="31">
        <v>0</v>
      </c>
      <c r="W5" s="31">
        <v>0</v>
      </c>
      <c r="X5">
        <v>0.71326487770881197</v>
      </c>
      <c r="Y5" s="31">
        <v>0</v>
      </c>
      <c r="Z5">
        <v>3.76417188742212E-4</v>
      </c>
      <c r="AA5">
        <v>6.1641507419053201E-5</v>
      </c>
      <c r="AB5">
        <v>2.5045363785326201E-3</v>
      </c>
      <c r="AC5" s="31">
        <v>1.1985382056926201E-7</v>
      </c>
      <c r="AD5">
        <v>8.9505203136906204E-3</v>
      </c>
      <c r="AE5">
        <v>-1.5473878576498901E-2</v>
      </c>
      <c r="AF5">
        <v>0.95973186155508405</v>
      </c>
      <c r="AG5">
        <v>0.99363685535796897</v>
      </c>
      <c r="AH5">
        <v>0.99969862508294505</v>
      </c>
      <c r="AI5">
        <v>1</v>
      </c>
      <c r="AJ5">
        <v>1</v>
      </c>
      <c r="AK5">
        <v>1</v>
      </c>
      <c r="AL5">
        <v>1</v>
      </c>
      <c r="AM5">
        <v>0</v>
      </c>
      <c r="AN5">
        <v>0</v>
      </c>
      <c r="AO5" t="s">
        <v>67</v>
      </c>
      <c r="AP5">
        <f>-25-0</f>
        <v>-25</v>
      </c>
      <c r="AQ5">
        <v>2025112560.6800001</v>
      </c>
      <c r="AR5">
        <v>7391</v>
      </c>
      <c r="AS5" s="31">
        <v>100</v>
      </c>
      <c r="AT5" s="31">
        <v>0</v>
      </c>
      <c r="AU5" s="31">
        <v>100</v>
      </c>
      <c r="AV5" s="31">
        <v>0</v>
      </c>
      <c r="AW5" s="31">
        <v>0</v>
      </c>
      <c r="AX5" s="31">
        <v>0</v>
      </c>
    </row>
    <row r="6" spans="1:50" x14ac:dyDescent="0.25">
      <c r="A6">
        <v>4.3</v>
      </c>
      <c r="B6">
        <v>0.98304591532241603</v>
      </c>
      <c r="C6">
        <v>27.0489983672527</v>
      </c>
      <c r="D6">
        <v>18.551022646132601</v>
      </c>
      <c r="E6">
        <v>2.5939486473995702E-2</v>
      </c>
      <c r="F6">
        <v>1.6954084677583699E-2</v>
      </c>
      <c r="G6" s="31">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1">
        <v>0</v>
      </c>
      <c r="T6" s="31">
        <v>0</v>
      </c>
      <c r="U6">
        <v>0.233178285176594</v>
      </c>
      <c r="V6" s="31">
        <v>0</v>
      </c>
      <c r="W6" s="31">
        <v>0</v>
      </c>
      <c r="X6">
        <v>0.81770669992959</v>
      </c>
      <c r="Y6" s="31">
        <v>0</v>
      </c>
      <c r="Z6">
        <v>3.6976725643884402E-4</v>
      </c>
      <c r="AA6">
        <v>5.8793703510189399E-5</v>
      </c>
      <c r="AB6">
        <v>2.7739842653938199E-3</v>
      </c>
      <c r="AC6" s="31">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68</v>
      </c>
      <c r="AP6" t="s">
        <v>69</v>
      </c>
      <c r="AQ6">
        <v>10989092198.870001</v>
      </c>
      <c r="AR6">
        <v>39554</v>
      </c>
      <c r="AS6" s="31">
        <v>100</v>
      </c>
      <c r="AT6" s="31">
        <v>0</v>
      </c>
      <c r="AU6" s="31">
        <v>100</v>
      </c>
      <c r="AV6" s="31">
        <v>0</v>
      </c>
      <c r="AW6" s="31">
        <v>0</v>
      </c>
      <c r="AX6" s="31">
        <v>0</v>
      </c>
    </row>
    <row r="7" spans="1:50" x14ac:dyDescent="0.25">
      <c r="A7">
        <v>4.3</v>
      </c>
      <c r="B7">
        <v>0.97553016245322999</v>
      </c>
      <c r="C7">
        <v>39.511306539506997</v>
      </c>
      <c r="D7">
        <v>25.717173097763801</v>
      </c>
      <c r="E7">
        <v>4.1027432936049102E-2</v>
      </c>
      <c r="F7">
        <v>2.4469837546768999E-2</v>
      </c>
      <c r="G7" s="31">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1">
        <v>0</v>
      </c>
      <c r="T7" s="31">
        <v>0</v>
      </c>
      <c r="U7">
        <v>0.26765840150570802</v>
      </c>
      <c r="V7" s="31">
        <v>0</v>
      </c>
      <c r="W7" s="31">
        <v>0</v>
      </c>
      <c r="X7">
        <v>0.83998290548298704</v>
      </c>
      <c r="Y7" s="31">
        <v>0</v>
      </c>
      <c r="Z7">
        <v>3.68210890893817E-4</v>
      </c>
      <c r="AA7">
        <v>5.7737955584498303E-5</v>
      </c>
      <c r="AB7">
        <v>3.08401324585773E-3</v>
      </c>
      <c r="AC7" s="31">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70</v>
      </c>
      <c r="AP7" t="s">
        <v>71</v>
      </c>
      <c r="AQ7">
        <v>21924188353.619999</v>
      </c>
      <c r="AR7">
        <v>74909</v>
      </c>
      <c r="AS7" s="31">
        <v>100</v>
      </c>
      <c r="AT7" s="31">
        <v>0</v>
      </c>
      <c r="AU7" s="31">
        <v>100</v>
      </c>
      <c r="AV7" s="31">
        <v>0</v>
      </c>
      <c r="AW7" s="31">
        <v>0</v>
      </c>
      <c r="AX7" s="31">
        <v>0</v>
      </c>
    </row>
    <row r="8" spans="1:50" x14ac:dyDescent="0.25">
      <c r="A8">
        <v>4.3</v>
      </c>
      <c r="B8">
        <v>0.96749363298989</v>
      </c>
      <c r="C8">
        <v>47.215946149875997</v>
      </c>
      <c r="D8">
        <v>32.736821230086697</v>
      </c>
      <c r="E8">
        <v>5.1853975470512799E-2</v>
      </c>
      <c r="F8">
        <v>3.2506367010109498E-2</v>
      </c>
      <c r="G8" s="31">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1">
        <v>0</v>
      </c>
      <c r="T8" s="31">
        <v>0</v>
      </c>
      <c r="U8">
        <v>0.24509649363570199</v>
      </c>
      <c r="V8" s="31">
        <v>0</v>
      </c>
      <c r="W8" s="31">
        <v>0</v>
      </c>
      <c r="X8">
        <v>0.76375297630239702</v>
      </c>
      <c r="Y8" s="31">
        <v>0</v>
      </c>
      <c r="Z8">
        <v>3.7146775661998102E-4</v>
      </c>
      <c r="AA8">
        <v>8.9448587186182003E-5</v>
      </c>
      <c r="AB8">
        <v>3.2444202746527901E-3</v>
      </c>
      <c r="AC8" s="31">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72</v>
      </c>
      <c r="AP8" t="s">
        <v>73</v>
      </c>
      <c r="AQ8">
        <v>17351524861.27</v>
      </c>
      <c r="AR8">
        <v>61857</v>
      </c>
      <c r="AS8" s="31">
        <v>100</v>
      </c>
      <c r="AT8" s="31">
        <v>0</v>
      </c>
      <c r="AU8" s="31">
        <v>100</v>
      </c>
      <c r="AV8" s="31">
        <v>0</v>
      </c>
      <c r="AW8" s="31">
        <v>0</v>
      </c>
      <c r="AX8" s="31">
        <v>0</v>
      </c>
    </row>
    <row r="9" spans="1:50" x14ac:dyDescent="0.25">
      <c r="A9">
        <v>4.3</v>
      </c>
      <c r="B9">
        <v>0.96168779864429099</v>
      </c>
      <c r="C9">
        <v>45.7708272196178</v>
      </c>
      <c r="D9">
        <v>37.423787710370398</v>
      </c>
      <c r="E9">
        <v>4.9717463343028401E-2</v>
      </c>
      <c r="F9">
        <v>3.8312201355708099E-2</v>
      </c>
      <c r="G9" s="31">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1">
        <v>0</v>
      </c>
      <c r="T9" s="31">
        <v>0</v>
      </c>
      <c r="U9">
        <v>0.28399372752434199</v>
      </c>
      <c r="V9" s="31">
        <v>0</v>
      </c>
      <c r="W9" s="31">
        <v>0</v>
      </c>
      <c r="X9">
        <v>0.69290848609290001</v>
      </c>
      <c r="Y9" s="31">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74</v>
      </c>
      <c r="AP9" t="s">
        <v>75</v>
      </c>
      <c r="AQ9">
        <v>11137493667.879999</v>
      </c>
      <c r="AR9">
        <v>39788</v>
      </c>
      <c r="AS9" s="31">
        <v>100</v>
      </c>
      <c r="AT9" s="31">
        <v>0</v>
      </c>
      <c r="AU9" s="31">
        <v>100</v>
      </c>
      <c r="AV9" s="31">
        <v>0</v>
      </c>
      <c r="AW9" s="31">
        <v>0</v>
      </c>
      <c r="AX9" s="31">
        <v>0</v>
      </c>
    </row>
    <row r="10" spans="1:50" x14ac:dyDescent="0.25">
      <c r="A10">
        <v>4.3</v>
      </c>
      <c r="B10">
        <v>0.95610776010162402</v>
      </c>
      <c r="C10">
        <v>45.909203181044703</v>
      </c>
      <c r="D10">
        <v>41.644456654936</v>
      </c>
      <c r="E10">
        <v>4.9919768812099398E-2</v>
      </c>
      <c r="F10">
        <v>4.3892239898375297E-2</v>
      </c>
      <c r="G10" s="31">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1">
        <v>0</v>
      </c>
      <c r="T10" s="31">
        <v>0</v>
      </c>
      <c r="U10">
        <v>0.29515184776322501</v>
      </c>
      <c r="V10" s="31">
        <v>0</v>
      </c>
      <c r="W10" s="31">
        <v>0</v>
      </c>
      <c r="X10">
        <v>0.61609329399752699</v>
      </c>
      <c r="Y10" s="31">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76</v>
      </c>
      <c r="AP10" t="s">
        <v>77</v>
      </c>
      <c r="AQ10">
        <v>5725228804.3800001</v>
      </c>
      <c r="AR10">
        <v>21295</v>
      </c>
      <c r="AS10" s="31">
        <v>100</v>
      </c>
      <c r="AT10" s="31">
        <v>0</v>
      </c>
      <c r="AU10" s="31">
        <v>100</v>
      </c>
      <c r="AV10" s="31">
        <v>0</v>
      </c>
      <c r="AW10" s="31">
        <v>0</v>
      </c>
      <c r="AX10" s="31">
        <v>0</v>
      </c>
    </row>
    <row r="11" spans="1:50" x14ac:dyDescent="0.25">
      <c r="A11">
        <v>4.3</v>
      </c>
      <c r="B11">
        <v>0.95139204284506595</v>
      </c>
      <c r="C11">
        <v>46.476872003021001</v>
      </c>
      <c r="D11">
        <v>45.006143321778303</v>
      </c>
      <c r="E11">
        <v>5.0754696248407602E-2</v>
      </c>
      <c r="F11">
        <v>4.8607957154933899E-2</v>
      </c>
      <c r="G11" s="31">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1">
        <v>0</v>
      </c>
      <c r="T11" s="31">
        <v>0</v>
      </c>
      <c r="U11">
        <v>0.29020541166177999</v>
      </c>
      <c r="V11" s="31">
        <v>0</v>
      </c>
      <c r="W11" s="31">
        <v>0</v>
      </c>
      <c r="X11">
        <v>0.61283835550985899</v>
      </c>
      <c r="Y11" s="31">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78</v>
      </c>
      <c r="AP11" t="s">
        <v>79</v>
      </c>
      <c r="AQ11">
        <v>2620823057.1399999</v>
      </c>
      <c r="AR11">
        <v>9416</v>
      </c>
      <c r="AS11" s="31">
        <v>100</v>
      </c>
      <c r="AT11" s="31">
        <v>0</v>
      </c>
      <c r="AU11" s="31">
        <v>100</v>
      </c>
      <c r="AV11" s="31">
        <v>0</v>
      </c>
      <c r="AW11" s="31">
        <v>0</v>
      </c>
      <c r="AX11" s="31">
        <v>0</v>
      </c>
    </row>
    <row r="12" spans="1:50" x14ac:dyDescent="0.25">
      <c r="A12">
        <v>4.3</v>
      </c>
      <c r="B12">
        <v>0.94664668044911304</v>
      </c>
      <c r="C12">
        <v>44.242835662966101</v>
      </c>
      <c r="D12">
        <v>48.208916618606999</v>
      </c>
      <c r="E12">
        <v>4.7514462955103302E-2</v>
      </c>
      <c r="F12">
        <v>5.3353319550886201E-2</v>
      </c>
      <c r="G12" s="31">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1">
        <v>0</v>
      </c>
      <c r="T12" s="31">
        <v>0</v>
      </c>
      <c r="U12">
        <v>0.23643044410942601</v>
      </c>
      <c r="V12" s="31">
        <v>0</v>
      </c>
      <c r="W12" s="31">
        <v>0</v>
      </c>
      <c r="X12">
        <v>0.52204473215818603</v>
      </c>
      <c r="Y12" s="31">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80</v>
      </c>
      <c r="AP12" t="s">
        <v>81</v>
      </c>
      <c r="AQ12">
        <v>440197819.16000003</v>
      </c>
      <c r="AR12">
        <v>1549</v>
      </c>
      <c r="AS12" s="31">
        <v>100</v>
      </c>
      <c r="AT12" s="31">
        <v>0</v>
      </c>
      <c r="AU12" s="31">
        <v>100</v>
      </c>
      <c r="AV12" s="31">
        <v>0</v>
      </c>
      <c r="AW12" s="31">
        <v>0</v>
      </c>
      <c r="AX12" s="31">
        <v>0</v>
      </c>
    </row>
    <row r="13" spans="1:50" x14ac:dyDescent="0.25">
      <c r="A13">
        <v>4.3</v>
      </c>
      <c r="B13">
        <v>0.94180871701906499</v>
      </c>
      <c r="C13">
        <v>53.130436470808498</v>
      </c>
      <c r="D13">
        <v>51.297363811112703</v>
      </c>
      <c r="E13">
        <v>6.1197489207662902E-2</v>
      </c>
      <c r="F13">
        <v>5.8191282980934698E-2</v>
      </c>
      <c r="G13" s="31">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1">
        <v>0</v>
      </c>
      <c r="T13" s="31">
        <v>0</v>
      </c>
      <c r="U13">
        <v>0.23252351468115601</v>
      </c>
      <c r="V13" s="31">
        <v>0</v>
      </c>
      <c r="W13" s="31">
        <v>0</v>
      </c>
      <c r="X13">
        <v>0.402000486106938</v>
      </c>
      <c r="Y13" s="31">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82</v>
      </c>
      <c r="AP13" t="s">
        <v>83</v>
      </c>
      <c r="AQ13">
        <v>96630877.530000001</v>
      </c>
      <c r="AR13">
        <v>336</v>
      </c>
      <c r="AS13" s="31">
        <v>100</v>
      </c>
      <c r="AT13" s="31">
        <v>0</v>
      </c>
      <c r="AU13" s="31">
        <v>100</v>
      </c>
      <c r="AV13" s="31">
        <v>0</v>
      </c>
      <c r="AW13" s="31">
        <v>0</v>
      </c>
      <c r="AX13" s="31">
        <v>0</v>
      </c>
    </row>
    <row r="14" spans="1:50" x14ac:dyDescent="0.25">
      <c r="A14">
        <v>4.3</v>
      </c>
      <c r="B14">
        <v>0.94074240080284799</v>
      </c>
      <c r="C14">
        <v>47.495830730037397</v>
      </c>
      <c r="D14">
        <v>51.954952623882903</v>
      </c>
      <c r="E14">
        <v>5.2273954856408698E-2</v>
      </c>
      <c r="F14">
        <v>5.92575991971519E-2</v>
      </c>
      <c r="G14" s="31">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1">
        <v>0</v>
      </c>
      <c r="T14" s="31">
        <v>0</v>
      </c>
      <c r="U14">
        <v>8.3777428444944596E-2</v>
      </c>
      <c r="V14" s="31">
        <v>0</v>
      </c>
      <c r="W14" s="31">
        <v>0</v>
      </c>
      <c r="X14">
        <v>0.28831944805759002</v>
      </c>
      <c r="Y14" s="31">
        <v>0</v>
      </c>
      <c r="Z14">
        <v>3.7198763570191602E-4</v>
      </c>
      <c r="AA14">
        <v>3.7985114570584198E-4</v>
      </c>
      <c r="AB14">
        <v>4.3843365412793598E-3</v>
      </c>
      <c r="AC14">
        <v>5.94536303158278E-4</v>
      </c>
      <c r="AD14">
        <v>5.3526868723453899E-2</v>
      </c>
      <c r="AE14">
        <v>0.16459064505952101</v>
      </c>
      <c r="AF14" s="31">
        <v>0</v>
      </c>
      <c r="AG14">
        <v>0.467143527346496</v>
      </c>
      <c r="AH14">
        <v>0.67606014482217303</v>
      </c>
      <c r="AI14">
        <v>0.98161704517847104</v>
      </c>
      <c r="AJ14">
        <v>1</v>
      </c>
      <c r="AK14">
        <v>1</v>
      </c>
      <c r="AL14">
        <v>1</v>
      </c>
      <c r="AM14">
        <v>0</v>
      </c>
      <c r="AN14">
        <v>0</v>
      </c>
      <c r="AO14" t="s">
        <v>84</v>
      </c>
      <c r="AP14" t="s">
        <v>85</v>
      </c>
      <c r="AQ14">
        <v>20893223.300000001</v>
      </c>
      <c r="AR14">
        <v>76</v>
      </c>
      <c r="AS14" s="31">
        <v>100</v>
      </c>
      <c r="AT14" s="31">
        <v>0</v>
      </c>
      <c r="AU14" s="31">
        <v>100</v>
      </c>
      <c r="AV14" s="31">
        <v>0</v>
      </c>
      <c r="AW14" s="31">
        <v>0</v>
      </c>
      <c r="AX14" s="31">
        <v>0</v>
      </c>
    </row>
    <row r="15" spans="1:50" x14ac:dyDescent="0.25">
      <c r="A15">
        <v>4.3</v>
      </c>
      <c r="B15">
        <v>0.94906051167171401</v>
      </c>
      <c r="C15">
        <v>46.592588079016998</v>
      </c>
      <c r="D15">
        <v>46.601772073341898</v>
      </c>
      <c r="E15">
        <v>5.09258869416227E-2</v>
      </c>
      <c r="F15">
        <v>5.0939488328285501E-2</v>
      </c>
      <c r="G15" s="31">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1">
        <v>0</v>
      </c>
      <c r="T15" s="31">
        <v>0</v>
      </c>
      <c r="U15" s="31">
        <v>0</v>
      </c>
      <c r="V15" s="31">
        <v>0</v>
      </c>
      <c r="W15" s="31">
        <v>0</v>
      </c>
      <c r="X15">
        <v>0.34002479487960102</v>
      </c>
      <c r="Y15" s="31">
        <v>0</v>
      </c>
      <c r="Z15">
        <v>4.0339217660008598E-4</v>
      </c>
      <c r="AA15">
        <v>4.2794964240108403E-5</v>
      </c>
      <c r="AB15">
        <v>4.2408690282340596E-3</v>
      </c>
      <c r="AC15">
        <v>6.8165278861622E-4</v>
      </c>
      <c r="AD15">
        <v>4.5570761118122999E-2</v>
      </c>
      <c r="AE15">
        <v>0.17333362962495499</v>
      </c>
      <c r="AF15" s="31">
        <v>0</v>
      </c>
      <c r="AG15">
        <v>0.29883153731158102</v>
      </c>
      <c r="AH15">
        <v>0.63135197684278999</v>
      </c>
      <c r="AI15">
        <v>0.95367428980832403</v>
      </c>
      <c r="AJ15">
        <v>1</v>
      </c>
      <c r="AK15">
        <v>1</v>
      </c>
      <c r="AL15">
        <v>1</v>
      </c>
      <c r="AM15">
        <v>0</v>
      </c>
      <c r="AN15">
        <v>0</v>
      </c>
      <c r="AO15" t="s">
        <v>86</v>
      </c>
      <c r="AP15" t="s">
        <v>87</v>
      </c>
      <c r="AQ15">
        <v>3787136.76</v>
      </c>
      <c r="AR15">
        <v>17</v>
      </c>
      <c r="AS15" s="31">
        <v>100</v>
      </c>
      <c r="AT15" s="31">
        <v>0</v>
      </c>
      <c r="AU15" s="31">
        <v>100</v>
      </c>
      <c r="AV15" s="31">
        <v>0</v>
      </c>
      <c r="AW15" s="31">
        <v>0</v>
      </c>
      <c r="AX15" s="31">
        <v>0</v>
      </c>
    </row>
    <row r="16" spans="1:50" x14ac:dyDescent="0.25">
      <c r="G16" s="31"/>
      <c r="S16" s="31"/>
      <c r="T16" s="31"/>
      <c r="W16" s="31"/>
      <c r="Y16" s="31"/>
      <c r="AS16" s="31"/>
      <c r="AT16" s="31"/>
      <c r="AU16" s="31"/>
      <c r="AW16" s="31"/>
    </row>
    <row r="17" spans="1:50" x14ac:dyDescent="0.25">
      <c r="G17" s="31"/>
      <c r="S17" s="31"/>
      <c r="T17" s="31"/>
      <c r="W17" s="31"/>
      <c r="Y17" s="31"/>
      <c r="AS17" s="31"/>
      <c r="AT17" s="31"/>
      <c r="AU17" s="31"/>
      <c r="AW17" s="31"/>
    </row>
    <row r="18" spans="1:50" x14ac:dyDescent="0.25">
      <c r="G18" s="31"/>
      <c r="S18" s="31"/>
      <c r="T18" s="31"/>
      <c r="U18" s="31"/>
      <c r="W18" s="31"/>
      <c r="Y18" s="31"/>
      <c r="AS18" s="31"/>
      <c r="AT18" s="31"/>
      <c r="AU18" s="31"/>
      <c r="AW18" s="31"/>
    </row>
    <row r="19" spans="1:50" x14ac:dyDescent="0.25">
      <c r="A19" s="27" t="s">
        <v>115</v>
      </c>
      <c r="C19" t="s">
        <v>156</v>
      </c>
    </row>
    <row r="20" spans="1:50" x14ac:dyDescent="0.25">
      <c r="A20" t="s">
        <v>20</v>
      </c>
      <c r="B20" t="s">
        <v>21</v>
      </c>
      <c r="C20" t="s">
        <v>22</v>
      </c>
      <c r="D20" t="s">
        <v>23</v>
      </c>
      <c r="E20" t="s">
        <v>94</v>
      </c>
      <c r="F20" t="s">
        <v>95</v>
      </c>
      <c r="G20" t="s">
        <v>24</v>
      </c>
      <c r="H20" t="s">
        <v>25</v>
      </c>
      <c r="I20" t="s">
        <v>26</v>
      </c>
      <c r="J20" t="s">
        <v>27</v>
      </c>
      <c r="K20" t="s">
        <v>28</v>
      </c>
      <c r="L20" t="s">
        <v>29</v>
      </c>
      <c r="M20" t="s">
        <v>30</v>
      </c>
      <c r="N20" t="s">
        <v>31</v>
      </c>
      <c r="O20" t="s">
        <v>32</v>
      </c>
      <c r="P20" t="s">
        <v>33</v>
      </c>
      <c r="Q20" t="s">
        <v>34</v>
      </c>
      <c r="R20" t="s">
        <v>35</v>
      </c>
      <c r="S20" t="s">
        <v>36</v>
      </c>
      <c r="T20" t="s">
        <v>37</v>
      </c>
      <c r="U20" t="s">
        <v>38</v>
      </c>
      <c r="V20" t="s">
        <v>39</v>
      </c>
      <c r="W20" t="s">
        <v>40</v>
      </c>
      <c r="X20" t="s">
        <v>41</v>
      </c>
      <c r="Y20" t="s">
        <v>42</v>
      </c>
      <c r="Z20" t="s">
        <v>43</v>
      </c>
      <c r="AA20" t="s">
        <v>44</v>
      </c>
      <c r="AB20" t="s">
        <v>45</v>
      </c>
      <c r="AC20" t="s">
        <v>46</v>
      </c>
      <c r="AD20" t="s">
        <v>47</v>
      </c>
      <c r="AE20" t="s">
        <v>48</v>
      </c>
      <c r="AF20" t="s">
        <v>49</v>
      </c>
      <c r="AG20" t="s">
        <v>50</v>
      </c>
      <c r="AH20" t="s">
        <v>51</v>
      </c>
      <c r="AI20" t="s">
        <v>52</v>
      </c>
      <c r="AJ20" t="s">
        <v>53</v>
      </c>
      <c r="AK20" t="s">
        <v>54</v>
      </c>
      <c r="AL20" t="s">
        <v>55</v>
      </c>
      <c r="AM20" t="s">
        <v>56</v>
      </c>
      <c r="AN20" t="s">
        <v>57</v>
      </c>
      <c r="AO20" t="s">
        <v>58</v>
      </c>
      <c r="AP20" t="s">
        <v>59</v>
      </c>
      <c r="AQ20" t="s">
        <v>60</v>
      </c>
      <c r="AR20" t="s">
        <v>61</v>
      </c>
      <c r="AS20" t="s">
        <v>116</v>
      </c>
      <c r="AT20" t="s">
        <v>117</v>
      </c>
      <c r="AU20" t="s">
        <v>118</v>
      </c>
      <c r="AV20" t="s">
        <v>119</v>
      </c>
      <c r="AW20" t="s">
        <v>120</v>
      </c>
      <c r="AX20" t="s">
        <v>121</v>
      </c>
    </row>
    <row r="21" spans="1:50" x14ac:dyDescent="0.25">
      <c r="A21">
        <v>4.3</v>
      </c>
      <c r="B21">
        <v>0.99570059641268804</v>
      </c>
      <c r="C21" s="31">
        <v>1.21002045716522E-5</v>
      </c>
      <c r="D21">
        <v>5.0390157831752003</v>
      </c>
      <c r="E21" s="31">
        <v>1.0083504526031401E-8</v>
      </c>
      <c r="F21">
        <v>4.2994035873111297E-3</v>
      </c>
      <c r="G21" s="31">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1">
        <v>0</v>
      </c>
      <c r="T21" s="31">
        <v>0</v>
      </c>
      <c r="U21" s="31">
        <v>0</v>
      </c>
      <c r="V21" s="31">
        <v>0</v>
      </c>
      <c r="W21" s="31">
        <v>0</v>
      </c>
      <c r="X21">
        <v>0.21177998571348799</v>
      </c>
      <c r="Y21" s="31">
        <v>0</v>
      </c>
      <c r="Z21">
        <v>3.5089724352164802E-4</v>
      </c>
      <c r="AA21">
        <v>5.1078517150463303E-5</v>
      </c>
      <c r="AB21">
        <v>2.86847169235985E-3</v>
      </c>
      <c r="AC21" s="31">
        <v>0</v>
      </c>
      <c r="AD21">
        <v>1.02894218707E-3</v>
      </c>
      <c r="AE21">
        <v>-1.59662195992138E-2</v>
      </c>
      <c r="AF21">
        <v>1</v>
      </c>
      <c r="AG21">
        <v>1</v>
      </c>
      <c r="AH21">
        <v>1</v>
      </c>
      <c r="AI21">
        <v>1</v>
      </c>
      <c r="AJ21">
        <v>1</v>
      </c>
      <c r="AK21">
        <v>1</v>
      </c>
      <c r="AL21">
        <v>1</v>
      </c>
      <c r="AM21">
        <v>0</v>
      </c>
      <c r="AN21">
        <v>0</v>
      </c>
      <c r="AO21" t="s">
        <v>63</v>
      </c>
      <c r="AP21">
        <f>-125--100</f>
        <v>-25</v>
      </c>
      <c r="AQ21">
        <v>991718.69</v>
      </c>
      <c r="AR21">
        <v>5</v>
      </c>
      <c r="AS21" s="31">
        <v>0</v>
      </c>
      <c r="AT21">
        <v>100</v>
      </c>
      <c r="AU21">
        <v>100</v>
      </c>
      <c r="AV21" s="31">
        <v>0</v>
      </c>
      <c r="AW21" s="31">
        <v>0</v>
      </c>
      <c r="AX21" s="31">
        <v>0</v>
      </c>
    </row>
    <row r="22" spans="1:50" x14ac:dyDescent="0.25">
      <c r="A22">
        <v>4.3</v>
      </c>
      <c r="B22">
        <v>0.99034254472057204</v>
      </c>
      <c r="C22">
        <v>7.9358739953947399</v>
      </c>
      <c r="D22">
        <v>10.9927795747513</v>
      </c>
      <c r="E22">
        <v>6.8667181026693799E-3</v>
      </c>
      <c r="F22">
        <v>9.6574552794271903E-3</v>
      </c>
      <c r="G22" s="31">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1">
        <v>0</v>
      </c>
      <c r="T22" s="31">
        <v>0</v>
      </c>
      <c r="U22" s="31">
        <v>0</v>
      </c>
      <c r="V22" s="31">
        <v>0</v>
      </c>
      <c r="W22" s="31">
        <v>0</v>
      </c>
      <c r="X22">
        <v>0.371096018997703</v>
      </c>
      <c r="Y22" s="31">
        <v>0</v>
      </c>
      <c r="Z22">
        <v>5.35425222145016E-4</v>
      </c>
      <c r="AA22">
        <v>7.7502751175720399E-5</v>
      </c>
      <c r="AB22">
        <v>2.6030463025199899E-3</v>
      </c>
      <c r="AC22" s="31">
        <v>0</v>
      </c>
      <c r="AD22">
        <v>6.4414668119124E-3</v>
      </c>
      <c r="AE22">
        <v>-2.6461015105583002E-2</v>
      </c>
      <c r="AF22">
        <v>1</v>
      </c>
      <c r="AG22">
        <v>1</v>
      </c>
      <c r="AH22">
        <v>1</v>
      </c>
      <c r="AI22">
        <v>1</v>
      </c>
      <c r="AJ22">
        <v>1</v>
      </c>
      <c r="AK22">
        <v>1</v>
      </c>
      <c r="AL22">
        <v>1</v>
      </c>
      <c r="AM22">
        <v>0</v>
      </c>
      <c r="AN22">
        <v>0</v>
      </c>
      <c r="AO22" t="s">
        <v>64</v>
      </c>
      <c r="AP22">
        <f>-100--75</f>
        <v>-25</v>
      </c>
      <c r="AQ22">
        <v>6218380.9900000002</v>
      </c>
      <c r="AR22">
        <v>28</v>
      </c>
      <c r="AS22" s="31">
        <v>0</v>
      </c>
      <c r="AT22">
        <v>100</v>
      </c>
      <c r="AU22">
        <v>100</v>
      </c>
      <c r="AV22" s="31">
        <v>0</v>
      </c>
      <c r="AW22" s="31">
        <v>0</v>
      </c>
      <c r="AX22" s="31">
        <v>0</v>
      </c>
    </row>
    <row r="23" spans="1:50" x14ac:dyDescent="0.25">
      <c r="A23">
        <v>4.3</v>
      </c>
      <c r="B23">
        <v>0.995311943285075</v>
      </c>
      <c r="C23">
        <v>1.8301087366495701</v>
      </c>
      <c r="D23">
        <v>5.4828570840255901</v>
      </c>
      <c r="E23">
        <v>1.5380346705518499E-3</v>
      </c>
      <c r="F23">
        <v>4.6880567149246502E-3</v>
      </c>
      <c r="G23" s="31">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1">
        <v>0</v>
      </c>
      <c r="T23" s="31">
        <v>0</v>
      </c>
      <c r="U23">
        <v>2.50981339386436E-3</v>
      </c>
      <c r="V23" s="31">
        <v>0</v>
      </c>
      <c r="W23" s="31">
        <v>0</v>
      </c>
      <c r="X23">
        <v>0.46038548494865</v>
      </c>
      <c r="Y23" s="31">
        <v>0</v>
      </c>
      <c r="Z23">
        <v>4.7411809231937501E-4</v>
      </c>
      <c r="AA23">
        <v>6.1413375988147995E-5</v>
      </c>
      <c r="AB23">
        <v>2.4185358287252402E-3</v>
      </c>
      <c r="AC23" s="31">
        <v>0</v>
      </c>
      <c r="AD23">
        <v>1.73397911762863E-3</v>
      </c>
      <c r="AE23">
        <v>-2.2969111468739398E-2</v>
      </c>
      <c r="AF23">
        <v>0.99655200075893302</v>
      </c>
      <c r="AG23">
        <v>1</v>
      </c>
      <c r="AH23">
        <v>1</v>
      </c>
      <c r="AI23">
        <v>1</v>
      </c>
      <c r="AJ23">
        <v>1</v>
      </c>
      <c r="AK23">
        <v>1</v>
      </c>
      <c r="AL23">
        <v>1</v>
      </c>
      <c r="AM23">
        <v>0</v>
      </c>
      <c r="AN23">
        <v>0</v>
      </c>
      <c r="AO23" t="s">
        <v>65</v>
      </c>
      <c r="AP23">
        <f>-75--50</f>
        <v>-25</v>
      </c>
      <c r="AQ23">
        <v>139527142.08000001</v>
      </c>
      <c r="AR23">
        <v>615</v>
      </c>
      <c r="AS23" s="31">
        <v>0</v>
      </c>
      <c r="AT23">
        <v>100</v>
      </c>
      <c r="AU23">
        <v>100</v>
      </c>
      <c r="AV23" s="31">
        <v>0</v>
      </c>
      <c r="AW23" s="31">
        <v>0</v>
      </c>
      <c r="AX23" s="31">
        <v>0</v>
      </c>
    </row>
    <row r="24" spans="1:50" x14ac:dyDescent="0.25">
      <c r="A24">
        <v>4.3</v>
      </c>
      <c r="B24">
        <v>0.99386721969649605</v>
      </c>
      <c r="C24">
        <v>3.4070806667748199</v>
      </c>
      <c r="D24">
        <v>7.1161089815177903</v>
      </c>
      <c r="E24">
        <v>2.88456049451831E-3</v>
      </c>
      <c r="F24">
        <v>6.1327803035032E-3</v>
      </c>
      <c r="G24" s="31">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1">
        <v>0</v>
      </c>
      <c r="T24" s="31">
        <v>0</v>
      </c>
      <c r="U24">
        <v>1.3918239013517499E-3</v>
      </c>
      <c r="V24" s="31">
        <v>0</v>
      </c>
      <c r="W24" s="31">
        <v>0</v>
      </c>
      <c r="X24">
        <v>0.58737228270268804</v>
      </c>
      <c r="Y24" s="31">
        <v>0</v>
      </c>
      <c r="Z24">
        <v>3.9633253095045098E-4</v>
      </c>
      <c r="AA24">
        <v>5.7272474545529103E-5</v>
      </c>
      <c r="AB24">
        <v>2.53879352533228E-3</v>
      </c>
      <c r="AC24" s="31">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66</v>
      </c>
      <c r="AP24">
        <f>-50--25</f>
        <v>-25</v>
      </c>
      <c r="AQ24">
        <v>1625485923.76</v>
      </c>
      <c r="AR24">
        <v>6533</v>
      </c>
      <c r="AS24" s="31">
        <v>0</v>
      </c>
      <c r="AT24">
        <v>100</v>
      </c>
      <c r="AU24">
        <v>100</v>
      </c>
      <c r="AV24" s="31">
        <v>0</v>
      </c>
      <c r="AW24" s="31">
        <v>0</v>
      </c>
      <c r="AX24" s="31">
        <v>0</v>
      </c>
    </row>
    <row r="25" spans="1:50" x14ac:dyDescent="0.25">
      <c r="A25">
        <v>4.3</v>
      </c>
      <c r="B25">
        <v>0.98847280220232003</v>
      </c>
      <c r="C25">
        <v>8.6868545747933599</v>
      </c>
      <c r="D25">
        <v>12.98849298445</v>
      </c>
      <c r="E25">
        <v>7.5443497930416104E-3</v>
      </c>
      <c r="F25">
        <v>1.1527197797679E-2</v>
      </c>
      <c r="G25" s="31">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1">
        <v>0</v>
      </c>
      <c r="T25" s="31">
        <v>0</v>
      </c>
      <c r="U25">
        <v>2.7826060294268398E-3</v>
      </c>
      <c r="V25" s="31">
        <v>0</v>
      </c>
      <c r="W25" s="31">
        <v>0</v>
      </c>
      <c r="X25">
        <v>0.68324040354695703</v>
      </c>
      <c r="Y25" s="31">
        <v>0</v>
      </c>
      <c r="Z25">
        <v>3.74747850257503E-4</v>
      </c>
      <c r="AA25">
        <v>6.7008714587425697E-5</v>
      </c>
      <c r="AB25">
        <v>2.6069832494691899E-3</v>
      </c>
      <c r="AC25" s="31">
        <v>3.1678629608808199E-8</v>
      </c>
      <c r="AD25">
        <v>8.4784119890419507E-3</v>
      </c>
      <c r="AE25">
        <v>-1.42620517050024E-2</v>
      </c>
      <c r="AF25">
        <v>0.97210267899181302</v>
      </c>
      <c r="AG25">
        <v>0.99863120925960502</v>
      </c>
      <c r="AH25">
        <v>0.99987520672616903</v>
      </c>
      <c r="AI25">
        <v>1</v>
      </c>
      <c r="AJ25">
        <v>1</v>
      </c>
      <c r="AK25">
        <v>1</v>
      </c>
      <c r="AL25">
        <v>1</v>
      </c>
      <c r="AM25">
        <v>0</v>
      </c>
      <c r="AN25">
        <v>0</v>
      </c>
      <c r="AO25" t="s">
        <v>67</v>
      </c>
      <c r="AP25">
        <f>-25-0</f>
        <v>-25</v>
      </c>
      <c r="AQ25">
        <v>9643781295.7399998</v>
      </c>
      <c r="AR25">
        <v>37053</v>
      </c>
      <c r="AS25" s="31">
        <v>0</v>
      </c>
      <c r="AT25">
        <v>100</v>
      </c>
      <c r="AU25">
        <v>100</v>
      </c>
      <c r="AV25" s="31">
        <v>0</v>
      </c>
      <c r="AW25" s="31">
        <v>0</v>
      </c>
      <c r="AX25" s="31">
        <v>0</v>
      </c>
    </row>
    <row r="26" spans="1:50" x14ac:dyDescent="0.25">
      <c r="A26">
        <v>4.3</v>
      </c>
      <c r="B26">
        <v>0.98339762326878999</v>
      </c>
      <c r="C26">
        <v>18.623934072511801</v>
      </c>
      <c r="D26">
        <v>18.2006501371458</v>
      </c>
      <c r="E26">
        <v>1.7027448300148799E-2</v>
      </c>
      <c r="F26">
        <v>1.66023767312093E-2</v>
      </c>
      <c r="G26" s="31">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1">
        <v>0</v>
      </c>
      <c r="T26" s="31">
        <v>0</v>
      </c>
      <c r="U26">
        <v>8.9632365071564205E-3</v>
      </c>
      <c r="V26" s="31">
        <v>0</v>
      </c>
      <c r="W26" s="31">
        <v>0</v>
      </c>
      <c r="X26">
        <v>0.76936147672566901</v>
      </c>
      <c r="Y26" s="31">
        <v>0</v>
      </c>
      <c r="Z26">
        <v>3.7298469155176901E-4</v>
      </c>
      <c r="AA26">
        <v>7.4133431325726102E-5</v>
      </c>
      <c r="AB26">
        <v>2.7640145438338499E-3</v>
      </c>
      <c r="AC26" s="31">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68</v>
      </c>
      <c r="AP26" t="s">
        <v>69</v>
      </c>
      <c r="AQ26">
        <v>38876692607.830002</v>
      </c>
      <c r="AR26">
        <v>146301</v>
      </c>
      <c r="AS26" s="31">
        <v>0</v>
      </c>
      <c r="AT26">
        <v>100</v>
      </c>
      <c r="AU26">
        <v>100</v>
      </c>
      <c r="AV26" s="31">
        <v>0</v>
      </c>
      <c r="AW26" s="31">
        <v>0</v>
      </c>
      <c r="AX26" s="31">
        <v>0</v>
      </c>
    </row>
    <row r="27" spans="1:50" x14ac:dyDescent="0.25">
      <c r="A27">
        <v>4.3</v>
      </c>
      <c r="B27">
        <v>0.976366921695215</v>
      </c>
      <c r="C27">
        <v>30.1727288819705</v>
      </c>
      <c r="D27">
        <v>24.9489641823357</v>
      </c>
      <c r="E27">
        <v>2.94853641310296E-2</v>
      </c>
      <c r="F27">
        <v>2.3633078304784502E-2</v>
      </c>
      <c r="G27" s="31">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1">
        <v>0</v>
      </c>
      <c r="T27" s="31">
        <v>0</v>
      </c>
      <c r="U27">
        <v>1.70890040223067E-2</v>
      </c>
      <c r="V27" s="31">
        <v>0</v>
      </c>
      <c r="W27" s="31">
        <v>0</v>
      </c>
      <c r="X27">
        <v>0.75444376422182002</v>
      </c>
      <c r="Y27" s="31">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70</v>
      </c>
      <c r="AP27" t="s">
        <v>71</v>
      </c>
      <c r="AQ27">
        <v>61816014647.260002</v>
      </c>
      <c r="AR27">
        <v>223400</v>
      </c>
      <c r="AS27" s="31">
        <v>0</v>
      </c>
      <c r="AT27">
        <v>100</v>
      </c>
      <c r="AU27">
        <v>100</v>
      </c>
      <c r="AV27" s="31">
        <v>0</v>
      </c>
      <c r="AW27" s="31">
        <v>0</v>
      </c>
      <c r="AX27" s="31">
        <v>0</v>
      </c>
    </row>
    <row r="28" spans="1:50" x14ac:dyDescent="0.25">
      <c r="A28">
        <v>4.3</v>
      </c>
      <c r="B28">
        <v>0.96874993311925095</v>
      </c>
      <c r="C28">
        <v>38.013897829902099</v>
      </c>
      <c r="D28">
        <v>31.681200489739801</v>
      </c>
      <c r="E28">
        <v>3.9071235046389097E-2</v>
      </c>
      <c r="F28">
        <v>3.1250066880748197E-2</v>
      </c>
      <c r="G28" s="31">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1">
        <v>0</v>
      </c>
      <c r="T28" s="31">
        <v>0</v>
      </c>
      <c r="U28">
        <v>1.23799233374941E-2</v>
      </c>
      <c r="V28" s="31">
        <v>0</v>
      </c>
      <c r="W28" s="31">
        <v>0</v>
      </c>
      <c r="X28">
        <v>0.65513568301684699</v>
      </c>
      <c r="Y28" s="31">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72</v>
      </c>
      <c r="AP28" t="s">
        <v>73</v>
      </c>
      <c r="AQ28">
        <v>60848477636.25</v>
      </c>
      <c r="AR28">
        <v>227188</v>
      </c>
      <c r="AS28" s="31">
        <v>0</v>
      </c>
      <c r="AT28">
        <v>100</v>
      </c>
      <c r="AU28">
        <v>100</v>
      </c>
      <c r="AV28" s="31">
        <v>0</v>
      </c>
      <c r="AW28" s="31">
        <v>0</v>
      </c>
      <c r="AX28" s="31">
        <v>0</v>
      </c>
    </row>
    <row r="29" spans="1:50" x14ac:dyDescent="0.25">
      <c r="A29">
        <v>4.3</v>
      </c>
      <c r="B29">
        <v>0.96283573231086905</v>
      </c>
      <c r="C29">
        <v>42.416214440489</v>
      </c>
      <c r="D29">
        <v>36.521538728855603</v>
      </c>
      <c r="E29">
        <v>4.4952399751599599E-2</v>
      </c>
      <c r="F29">
        <v>3.7164267689130101E-2</v>
      </c>
      <c r="G29" s="31">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1">
        <v>0</v>
      </c>
      <c r="T29" s="31">
        <v>0</v>
      </c>
      <c r="U29">
        <v>1.49297321848574E-2</v>
      </c>
      <c r="V29" s="31">
        <v>0</v>
      </c>
      <c r="W29" s="31">
        <v>0</v>
      </c>
      <c r="X29">
        <v>0.57816442810412705</v>
      </c>
      <c r="Y29" s="31">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74</v>
      </c>
      <c r="AP29" t="s">
        <v>75</v>
      </c>
      <c r="AQ29">
        <v>45517900489.150002</v>
      </c>
      <c r="AR29">
        <v>168778</v>
      </c>
      <c r="AS29" s="31">
        <v>0</v>
      </c>
      <c r="AT29">
        <v>100</v>
      </c>
      <c r="AU29">
        <v>100</v>
      </c>
      <c r="AV29" s="31">
        <v>0</v>
      </c>
      <c r="AW29" s="31">
        <v>0</v>
      </c>
      <c r="AX29" s="31">
        <v>0</v>
      </c>
    </row>
    <row r="30" spans="1:50" x14ac:dyDescent="0.25">
      <c r="A30">
        <v>4.3</v>
      </c>
      <c r="B30">
        <v>0.95762744348464102</v>
      </c>
      <c r="C30">
        <v>42.856373232944001</v>
      </c>
      <c r="D30">
        <v>40.521637704284601</v>
      </c>
      <c r="E30">
        <v>4.5562890713052299E-2</v>
      </c>
      <c r="F30">
        <v>4.2372556515358803E-2</v>
      </c>
      <c r="G30" s="31">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1">
        <v>0</v>
      </c>
      <c r="T30" s="31">
        <v>0</v>
      </c>
      <c r="U30">
        <v>1.54637196702212E-2</v>
      </c>
      <c r="V30" s="31">
        <v>0</v>
      </c>
      <c r="W30" s="31">
        <v>0</v>
      </c>
      <c r="X30">
        <v>0.50506533538507103</v>
      </c>
      <c r="Y30" s="31">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76</v>
      </c>
      <c r="AP30" t="s">
        <v>77</v>
      </c>
      <c r="AQ30">
        <v>28020950454.400002</v>
      </c>
      <c r="AR30">
        <v>107215</v>
      </c>
      <c r="AS30" s="31">
        <v>0</v>
      </c>
      <c r="AT30">
        <v>100</v>
      </c>
      <c r="AU30">
        <v>100</v>
      </c>
      <c r="AV30" s="31">
        <v>0</v>
      </c>
      <c r="AW30" s="31">
        <v>0</v>
      </c>
      <c r="AX30" s="31">
        <v>0</v>
      </c>
    </row>
    <row r="31" spans="1:50" x14ac:dyDescent="0.25">
      <c r="A31">
        <v>4.3</v>
      </c>
      <c r="B31">
        <v>0.95271961835722196</v>
      </c>
      <c r="C31">
        <v>44.800986208120896</v>
      </c>
      <c r="D31">
        <v>44.078179729353003</v>
      </c>
      <c r="E31">
        <v>4.8312694015717403E-2</v>
      </c>
      <c r="F31">
        <v>4.7280381642777397E-2</v>
      </c>
      <c r="G31" s="31">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1">
        <v>0</v>
      </c>
      <c r="T31" s="31">
        <v>0</v>
      </c>
      <c r="U31">
        <v>1.7311251547615002E-2</v>
      </c>
      <c r="V31" s="31">
        <v>0</v>
      </c>
      <c r="W31" s="31">
        <v>0</v>
      </c>
      <c r="X31">
        <v>0.51891916282085304</v>
      </c>
      <c r="Y31" s="31">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78</v>
      </c>
      <c r="AP31" t="s">
        <v>79</v>
      </c>
      <c r="AQ31">
        <v>12692842605.610001</v>
      </c>
      <c r="AR31">
        <v>46523</v>
      </c>
      <c r="AS31" s="31">
        <v>0</v>
      </c>
      <c r="AT31">
        <v>100</v>
      </c>
      <c r="AU31">
        <v>100</v>
      </c>
      <c r="AV31" s="31">
        <v>0</v>
      </c>
      <c r="AW31" s="31">
        <v>0</v>
      </c>
      <c r="AX31" s="31">
        <v>0</v>
      </c>
    </row>
    <row r="32" spans="1:50" x14ac:dyDescent="0.25">
      <c r="A32">
        <v>4.3</v>
      </c>
      <c r="B32">
        <v>0.94907029622476002</v>
      </c>
      <c r="C32">
        <v>41.981394455784198</v>
      </c>
      <c r="D32">
        <v>46.595165446076599</v>
      </c>
      <c r="E32">
        <v>4.4353499314622603E-2</v>
      </c>
      <c r="F32">
        <v>5.0929703775239199E-2</v>
      </c>
      <c r="G32" s="31">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1">
        <v>0</v>
      </c>
      <c r="T32" s="31">
        <v>0</v>
      </c>
      <c r="U32">
        <v>1.68705343370496E-2</v>
      </c>
      <c r="V32" s="31">
        <v>0</v>
      </c>
      <c r="W32" s="31">
        <v>0</v>
      </c>
      <c r="X32">
        <v>0.476035454693018</v>
      </c>
      <c r="Y32" s="31">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80</v>
      </c>
      <c r="AP32" t="s">
        <v>81</v>
      </c>
      <c r="AQ32">
        <v>2588429976.0500002</v>
      </c>
      <c r="AR32">
        <v>9801</v>
      </c>
      <c r="AS32" s="31">
        <v>0</v>
      </c>
      <c r="AT32">
        <v>100</v>
      </c>
      <c r="AU32">
        <v>100</v>
      </c>
      <c r="AV32" s="31">
        <v>0</v>
      </c>
      <c r="AW32" s="31">
        <v>0</v>
      </c>
      <c r="AX32" s="31">
        <v>0</v>
      </c>
    </row>
    <row r="33" spans="1:50" x14ac:dyDescent="0.25">
      <c r="A33">
        <v>4.3</v>
      </c>
      <c r="B33">
        <v>0.94285433244766503</v>
      </c>
      <c r="C33">
        <v>48.655806463704401</v>
      </c>
      <c r="D33">
        <v>50.644539074373199</v>
      </c>
      <c r="E33">
        <v>5.4036720883535297E-2</v>
      </c>
      <c r="F33">
        <v>5.7145667552334301E-2</v>
      </c>
      <c r="G33" s="31">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1">
        <v>0</v>
      </c>
      <c r="T33" s="31">
        <v>0</v>
      </c>
      <c r="U33">
        <v>1.7358683532671299E-2</v>
      </c>
      <c r="V33" s="31">
        <v>0</v>
      </c>
      <c r="W33" s="31">
        <v>0</v>
      </c>
      <c r="X33">
        <v>0.46148791837647202</v>
      </c>
      <c r="Y33" s="31">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82</v>
      </c>
      <c r="AP33" t="s">
        <v>83</v>
      </c>
      <c r="AQ33">
        <v>686927282.67999995</v>
      </c>
      <c r="AR33">
        <v>2409</v>
      </c>
      <c r="AS33" s="31">
        <v>0</v>
      </c>
      <c r="AT33">
        <v>100</v>
      </c>
      <c r="AU33">
        <v>100</v>
      </c>
      <c r="AV33" s="31">
        <v>0</v>
      </c>
      <c r="AW33" s="31">
        <v>0</v>
      </c>
      <c r="AX33" s="31">
        <v>0</v>
      </c>
    </row>
    <row r="34" spans="1:50" x14ac:dyDescent="0.25">
      <c r="A34">
        <v>4.3</v>
      </c>
      <c r="B34">
        <v>0.94073990334512803</v>
      </c>
      <c r="C34">
        <v>38.318357648759203</v>
      </c>
      <c r="D34">
        <v>51.956483185988397</v>
      </c>
      <c r="E34">
        <v>3.9465442896729298E-2</v>
      </c>
      <c r="F34">
        <v>5.9260096654871697E-2</v>
      </c>
      <c r="G34" s="31">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1">
        <v>0</v>
      </c>
      <c r="T34" s="31">
        <v>0</v>
      </c>
      <c r="U34">
        <v>1.5751738026020201E-2</v>
      </c>
      <c r="V34" s="31">
        <v>0</v>
      </c>
      <c r="W34" s="31">
        <v>0</v>
      </c>
      <c r="X34">
        <v>0.29437842306420597</v>
      </c>
      <c r="Y34" s="31">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84</v>
      </c>
      <c r="AP34" t="s">
        <v>85</v>
      </c>
      <c r="AQ34">
        <v>123474615.73999999</v>
      </c>
      <c r="AR34">
        <v>449</v>
      </c>
      <c r="AS34" s="31">
        <v>0</v>
      </c>
      <c r="AT34">
        <v>100</v>
      </c>
      <c r="AU34">
        <v>100</v>
      </c>
      <c r="AV34" s="31">
        <v>0</v>
      </c>
      <c r="AW34" s="31">
        <v>0</v>
      </c>
      <c r="AX34" s="31">
        <v>0</v>
      </c>
    </row>
    <row r="35" spans="1:50" x14ac:dyDescent="0.25">
      <c r="A35">
        <v>4.3</v>
      </c>
      <c r="B35">
        <v>0.93891143794745902</v>
      </c>
      <c r="C35">
        <v>22.828420602885899</v>
      </c>
      <c r="D35">
        <v>53.065136762851999</v>
      </c>
      <c r="E35">
        <v>2.1363410908492999E-2</v>
      </c>
      <c r="F35">
        <v>6.1088562052540402E-2</v>
      </c>
      <c r="G35" s="31">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1">
        <v>0</v>
      </c>
      <c r="T35" s="31">
        <v>0</v>
      </c>
      <c r="U35" s="31">
        <v>0</v>
      </c>
      <c r="V35" s="31">
        <v>0</v>
      </c>
      <c r="W35" s="31">
        <v>0</v>
      </c>
      <c r="X35">
        <v>0.15312933358309699</v>
      </c>
      <c r="Y35" s="31">
        <v>0</v>
      </c>
      <c r="Z35">
        <v>3.8271757567737299E-4</v>
      </c>
      <c r="AA35">
        <v>5.24074838317642E-4</v>
      </c>
      <c r="AB35">
        <v>4.4067446403254001E-3</v>
      </c>
      <c r="AC35">
        <v>1.33212776177888E-3</v>
      </c>
      <c r="AD35">
        <v>5.4442878713720999E-2</v>
      </c>
      <c r="AE35">
        <v>0.19808291559358601</v>
      </c>
      <c r="AF35" s="31">
        <v>0</v>
      </c>
      <c r="AG35">
        <v>0.17645629464861901</v>
      </c>
      <c r="AH35">
        <v>0.38832439117246298</v>
      </c>
      <c r="AI35">
        <v>0.90979730138111403</v>
      </c>
      <c r="AJ35">
        <v>1</v>
      </c>
      <c r="AK35">
        <v>1</v>
      </c>
      <c r="AL35">
        <v>1</v>
      </c>
      <c r="AM35">
        <v>0</v>
      </c>
      <c r="AN35">
        <v>0</v>
      </c>
      <c r="AO35" t="s">
        <v>86</v>
      </c>
      <c r="AP35" t="s">
        <v>87</v>
      </c>
      <c r="AQ35">
        <v>22913443.739999998</v>
      </c>
      <c r="AR35">
        <v>79</v>
      </c>
      <c r="AS35" s="31">
        <v>0</v>
      </c>
      <c r="AT35">
        <v>100</v>
      </c>
      <c r="AU35">
        <v>100</v>
      </c>
      <c r="AV35" s="31">
        <v>0</v>
      </c>
      <c r="AW35" s="31">
        <v>0</v>
      </c>
      <c r="AX35" s="31">
        <v>0</v>
      </c>
    </row>
    <row r="38" spans="1:50" x14ac:dyDescent="0.25">
      <c r="A38" s="27" t="s">
        <v>115</v>
      </c>
      <c r="C38" t="s">
        <v>157</v>
      </c>
    </row>
    <row r="39" spans="1:50" x14ac:dyDescent="0.25">
      <c r="A39" t="s">
        <v>20</v>
      </c>
      <c r="B39" t="s">
        <v>21</v>
      </c>
      <c r="C39" t="s">
        <v>22</v>
      </c>
      <c r="D39" t="s">
        <v>23</v>
      </c>
      <c r="E39" t="s">
        <v>94</v>
      </c>
      <c r="F39" t="s">
        <v>95</v>
      </c>
      <c r="G39" t="s">
        <v>24</v>
      </c>
      <c r="H39" t="s">
        <v>25</v>
      </c>
      <c r="I39" t="s">
        <v>26</v>
      </c>
      <c r="J39" t="s">
        <v>27</v>
      </c>
      <c r="K39" t="s">
        <v>28</v>
      </c>
      <c r="L39" t="s">
        <v>29</v>
      </c>
      <c r="M39" t="s">
        <v>30</v>
      </c>
      <c r="N39" t="s">
        <v>31</v>
      </c>
      <c r="O39" t="s">
        <v>32</v>
      </c>
      <c r="P39" t="s">
        <v>33</v>
      </c>
      <c r="Q39" t="s">
        <v>34</v>
      </c>
      <c r="R39" t="s">
        <v>35</v>
      </c>
      <c r="S39" t="s">
        <v>36</v>
      </c>
      <c r="T39" t="s">
        <v>37</v>
      </c>
      <c r="U39" t="s">
        <v>38</v>
      </c>
      <c r="V39" t="s">
        <v>39</v>
      </c>
      <c r="W39" t="s">
        <v>40</v>
      </c>
      <c r="X39" t="s">
        <v>41</v>
      </c>
      <c r="Y39" t="s">
        <v>42</v>
      </c>
      <c r="Z39" t="s">
        <v>43</v>
      </c>
      <c r="AA39" t="s">
        <v>44</v>
      </c>
      <c r="AB39" t="s">
        <v>45</v>
      </c>
      <c r="AC39" t="s">
        <v>46</v>
      </c>
      <c r="AD39" t="s">
        <v>47</v>
      </c>
      <c r="AE39" t="s">
        <v>48</v>
      </c>
      <c r="AF39" t="s">
        <v>49</v>
      </c>
      <c r="AG39" t="s">
        <v>50</v>
      </c>
      <c r="AH39" t="s">
        <v>51</v>
      </c>
      <c r="AI39" t="s">
        <v>52</v>
      </c>
      <c r="AJ39" t="s">
        <v>53</v>
      </c>
      <c r="AK39" t="s">
        <v>54</v>
      </c>
      <c r="AL39" t="s">
        <v>55</v>
      </c>
      <c r="AM39" t="s">
        <v>56</v>
      </c>
      <c r="AN39" t="s">
        <v>57</v>
      </c>
      <c r="AO39" t="s">
        <v>58</v>
      </c>
      <c r="AP39" t="s">
        <v>59</v>
      </c>
      <c r="AQ39" t="s">
        <v>60</v>
      </c>
      <c r="AR39" t="s">
        <v>61</v>
      </c>
      <c r="AS39" t="s">
        <v>116</v>
      </c>
      <c r="AT39" t="s">
        <v>117</v>
      </c>
      <c r="AU39" t="s">
        <v>118</v>
      </c>
      <c r="AV39" t="s">
        <v>119</v>
      </c>
      <c r="AW39" t="s">
        <v>120</v>
      </c>
      <c r="AX39" t="s">
        <v>121</v>
      </c>
    </row>
    <row r="40" spans="1:50" x14ac:dyDescent="0.25">
      <c r="A40">
        <v>4.3</v>
      </c>
      <c r="B40">
        <v>0.99661761999999998</v>
      </c>
      <c r="C40">
        <v>0</v>
      </c>
      <c r="D40">
        <v>3.9841936068485002</v>
      </c>
      <c r="E40" s="31">
        <v>0</v>
      </c>
      <c r="F40">
        <v>3.3823799999999999E-3</v>
      </c>
      <c r="G40" s="31">
        <v>0</v>
      </c>
      <c r="H40">
        <v>3.875</v>
      </c>
      <c r="I40">
        <v>4.1184719999999997</v>
      </c>
      <c r="J40">
        <v>-64.061899999999994</v>
      </c>
      <c r="K40">
        <v>-131.94999999999999</v>
      </c>
      <c r="L40">
        <v>13.16</v>
      </c>
      <c r="M40">
        <v>17</v>
      </c>
      <c r="N40">
        <v>80</v>
      </c>
      <c r="O40">
        <v>77.08</v>
      </c>
      <c r="P40">
        <v>303250.44</v>
      </c>
      <c r="Q40">
        <v>303250.44</v>
      </c>
      <c r="R40">
        <v>773</v>
      </c>
      <c r="S40" s="31">
        <v>0</v>
      </c>
      <c r="T40" s="31">
        <v>0</v>
      </c>
      <c r="U40" s="31">
        <v>0</v>
      </c>
      <c r="V40">
        <v>1</v>
      </c>
      <c r="W40" s="31">
        <v>0</v>
      </c>
      <c r="X40">
        <v>1</v>
      </c>
      <c r="Y40" s="31">
        <v>0</v>
      </c>
      <c r="Z40">
        <v>3.5183000000000002E-4</v>
      </c>
      <c r="AA40">
        <v>7.7919999999999999E-5</v>
      </c>
      <c r="AB40">
        <v>2.95262E-3</v>
      </c>
      <c r="AC40" s="31">
        <v>0</v>
      </c>
      <c r="AD40" s="31">
        <v>0</v>
      </c>
      <c r="AE40">
        <v>1.1207682833043501E-2</v>
      </c>
      <c r="AF40">
        <v>1</v>
      </c>
      <c r="AG40">
        <v>1</v>
      </c>
      <c r="AH40">
        <v>1</v>
      </c>
      <c r="AI40">
        <v>1</v>
      </c>
      <c r="AJ40">
        <v>1</v>
      </c>
      <c r="AK40">
        <v>1</v>
      </c>
      <c r="AL40">
        <v>1</v>
      </c>
      <c r="AM40">
        <v>0</v>
      </c>
      <c r="AN40">
        <v>0</v>
      </c>
      <c r="AO40" t="s">
        <v>62</v>
      </c>
      <c r="AP40">
        <f>-150--125</f>
        <v>-25</v>
      </c>
      <c r="AQ40">
        <v>303250.44</v>
      </c>
      <c r="AR40">
        <v>1</v>
      </c>
      <c r="AS40" s="31">
        <v>0</v>
      </c>
      <c r="AT40" s="31">
        <v>0</v>
      </c>
      <c r="AU40" s="31">
        <v>0</v>
      </c>
      <c r="AV40">
        <v>100</v>
      </c>
      <c r="AW40">
        <v>100</v>
      </c>
      <c r="AX40" s="31">
        <v>0</v>
      </c>
    </row>
    <row r="41" spans="1:50" x14ac:dyDescent="0.25">
      <c r="A41">
        <v>4.3</v>
      </c>
      <c r="B41">
        <v>0.99173452851728106</v>
      </c>
      <c r="C41">
        <v>0</v>
      </c>
      <c r="D41">
        <v>9.4798618211770798</v>
      </c>
      <c r="E41" s="31">
        <v>0</v>
      </c>
      <c r="F41">
        <v>8.2654714827189602E-3</v>
      </c>
      <c r="G41" s="31">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1">
        <v>0</v>
      </c>
      <c r="T41" s="31">
        <v>0</v>
      </c>
      <c r="U41" s="31">
        <v>0</v>
      </c>
      <c r="V41">
        <v>1</v>
      </c>
      <c r="W41" s="31">
        <v>0</v>
      </c>
      <c r="X41">
        <v>1</v>
      </c>
      <c r="Y41" s="31">
        <v>0</v>
      </c>
      <c r="Z41">
        <v>3.5334787924355497E-4</v>
      </c>
      <c r="AA41">
        <v>5.3605207760731097E-5</v>
      </c>
      <c r="AB41">
        <v>3.1742462211523199E-3</v>
      </c>
      <c r="AC41" s="31">
        <v>0</v>
      </c>
      <c r="AD41">
        <v>4.6842575937177996E-3</v>
      </c>
      <c r="AE41">
        <v>2.9306717266170901E-2</v>
      </c>
      <c r="AF41">
        <v>1</v>
      </c>
      <c r="AG41">
        <v>1</v>
      </c>
      <c r="AH41">
        <v>1</v>
      </c>
      <c r="AI41">
        <v>1</v>
      </c>
      <c r="AJ41">
        <v>1</v>
      </c>
      <c r="AK41">
        <v>1</v>
      </c>
      <c r="AL41">
        <v>1</v>
      </c>
      <c r="AM41">
        <v>0</v>
      </c>
      <c r="AN41">
        <v>0</v>
      </c>
      <c r="AO41" t="s">
        <v>63</v>
      </c>
      <c r="AP41">
        <f>-125--100</f>
        <v>-25</v>
      </c>
      <c r="AQ41">
        <v>1114699.1000000001</v>
      </c>
      <c r="AR41">
        <v>4</v>
      </c>
      <c r="AS41" s="31">
        <v>0</v>
      </c>
      <c r="AT41" s="31">
        <v>0</v>
      </c>
      <c r="AU41" s="31">
        <v>0</v>
      </c>
      <c r="AV41">
        <v>100</v>
      </c>
      <c r="AW41">
        <v>100</v>
      </c>
      <c r="AX41" s="31">
        <v>0</v>
      </c>
    </row>
    <row r="42" spans="1:50" x14ac:dyDescent="0.25">
      <c r="A42">
        <v>4.3</v>
      </c>
      <c r="B42">
        <v>0.98992818993213105</v>
      </c>
      <c r="C42">
        <v>12.1077768525506</v>
      </c>
      <c r="D42">
        <v>11.4386352169379</v>
      </c>
      <c r="E42">
        <v>1.0697277709633701E-2</v>
      </c>
      <c r="F42">
        <v>1.0071810067868199E-2</v>
      </c>
      <c r="G42" s="31">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1">
        <v>0</v>
      </c>
      <c r="T42" s="31">
        <v>0</v>
      </c>
      <c r="U42" s="31">
        <v>0</v>
      </c>
      <c r="V42">
        <v>1</v>
      </c>
      <c r="W42" s="31">
        <v>0</v>
      </c>
      <c r="X42">
        <v>0.97979815191150998</v>
      </c>
      <c r="Y42" s="31">
        <v>0</v>
      </c>
      <c r="Z42">
        <v>5.6887344660124005E-4</v>
      </c>
      <c r="AA42">
        <v>8.1948977832638098E-5</v>
      </c>
      <c r="AB42">
        <v>3.09777160609762E-3</v>
      </c>
      <c r="AC42" s="31">
        <v>0</v>
      </c>
      <c r="AD42">
        <v>6.3232008152040104E-3</v>
      </c>
      <c r="AE42">
        <v>-2.0566970336569E-4</v>
      </c>
      <c r="AF42">
        <v>1</v>
      </c>
      <c r="AG42">
        <v>1</v>
      </c>
      <c r="AH42">
        <v>1</v>
      </c>
      <c r="AI42">
        <v>1</v>
      </c>
      <c r="AJ42">
        <v>1</v>
      </c>
      <c r="AK42">
        <v>1</v>
      </c>
      <c r="AL42">
        <v>1</v>
      </c>
      <c r="AM42">
        <v>0</v>
      </c>
      <c r="AN42">
        <v>0</v>
      </c>
      <c r="AO42" t="s">
        <v>64</v>
      </c>
      <c r="AP42">
        <f>-100--75</f>
        <v>-25</v>
      </c>
      <c r="AQ42">
        <v>2322873.62</v>
      </c>
      <c r="AR42">
        <v>12</v>
      </c>
      <c r="AS42" s="31">
        <v>0</v>
      </c>
      <c r="AT42" s="31">
        <v>0</v>
      </c>
      <c r="AU42" s="31">
        <v>0</v>
      </c>
      <c r="AV42">
        <v>100</v>
      </c>
      <c r="AW42">
        <v>100</v>
      </c>
      <c r="AX42" s="31">
        <v>0</v>
      </c>
    </row>
    <row r="43" spans="1:50" x14ac:dyDescent="0.25">
      <c r="A43">
        <v>4.3</v>
      </c>
      <c r="B43">
        <v>0.98934760844010705</v>
      </c>
      <c r="C43">
        <v>27.432197884992</v>
      </c>
      <c r="D43">
        <v>12.0599112838027</v>
      </c>
      <c r="E43">
        <v>2.6366897999839999E-2</v>
      </c>
      <c r="F43">
        <v>1.0652391559892E-2</v>
      </c>
      <c r="G43" s="31">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1">
        <v>0</v>
      </c>
      <c r="T43" s="31">
        <v>0</v>
      </c>
      <c r="U43">
        <v>8.5786690457556006E-2</v>
      </c>
      <c r="V43">
        <v>1</v>
      </c>
      <c r="W43" s="31">
        <v>0</v>
      </c>
      <c r="X43">
        <v>0.62733873006388097</v>
      </c>
      <c r="Y43" s="31">
        <v>0</v>
      </c>
      <c r="Z43">
        <v>1.04548385373196E-3</v>
      </c>
      <c r="AA43">
        <v>8.0260523885082797E-5</v>
      </c>
      <c r="AB43">
        <v>2.8381170060073199E-3</v>
      </c>
      <c r="AC43" s="31">
        <v>0</v>
      </c>
      <c r="AD43">
        <v>6.6885165049547701E-3</v>
      </c>
      <c r="AE43">
        <v>-1.0579770027668099E-2</v>
      </c>
      <c r="AF43">
        <v>0.955114364392747</v>
      </c>
      <c r="AG43">
        <v>0.99661868165892198</v>
      </c>
      <c r="AH43">
        <v>1</v>
      </c>
      <c r="AI43">
        <v>1</v>
      </c>
      <c r="AJ43">
        <v>1</v>
      </c>
      <c r="AK43">
        <v>1</v>
      </c>
      <c r="AL43">
        <v>1</v>
      </c>
      <c r="AM43">
        <v>0</v>
      </c>
      <c r="AN43">
        <v>0</v>
      </c>
      <c r="AO43" t="s">
        <v>65</v>
      </c>
      <c r="AP43">
        <f>-75--50</f>
        <v>-25</v>
      </c>
      <c r="AQ43">
        <v>13275333.9</v>
      </c>
      <c r="AR43">
        <v>86</v>
      </c>
      <c r="AS43" s="31">
        <v>0</v>
      </c>
      <c r="AT43" s="31">
        <v>0</v>
      </c>
      <c r="AU43" s="31">
        <v>0</v>
      </c>
      <c r="AV43">
        <v>100</v>
      </c>
      <c r="AW43">
        <v>100</v>
      </c>
      <c r="AX43" s="31">
        <v>0</v>
      </c>
    </row>
    <row r="44" spans="1:50" x14ac:dyDescent="0.25">
      <c r="A44">
        <v>4.3</v>
      </c>
      <c r="B44">
        <v>0.99372916415201296</v>
      </c>
      <c r="C44">
        <v>2.69719997833666</v>
      </c>
      <c r="D44">
        <v>7.2708179044393999</v>
      </c>
      <c r="E44">
        <v>2.2759411103495898E-3</v>
      </c>
      <c r="F44">
        <v>6.2708358479861802E-3</v>
      </c>
      <c r="G44" s="31">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1">
        <v>0</v>
      </c>
      <c r="T44" s="31">
        <v>0</v>
      </c>
      <c r="U44">
        <v>4.7215107460789798E-3</v>
      </c>
      <c r="V44">
        <v>1</v>
      </c>
      <c r="W44" s="31">
        <v>0</v>
      </c>
      <c r="X44">
        <v>0.55130440338213704</v>
      </c>
      <c r="Y44" s="31">
        <v>0</v>
      </c>
      <c r="Z44">
        <v>4.70307536388373E-4</v>
      </c>
      <c r="AA44">
        <v>5.2422737412395002E-5</v>
      </c>
      <c r="AB44">
        <v>2.62978052028089E-3</v>
      </c>
      <c r="AC44" s="31">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66</v>
      </c>
      <c r="AP44">
        <f>-50--25</f>
        <v>-25</v>
      </c>
      <c r="AQ44">
        <v>196162253.94999999</v>
      </c>
      <c r="AR44">
        <v>877</v>
      </c>
      <c r="AS44" s="31">
        <v>0</v>
      </c>
      <c r="AT44" s="31">
        <v>0</v>
      </c>
      <c r="AU44" s="31">
        <v>0</v>
      </c>
      <c r="AV44">
        <v>100</v>
      </c>
      <c r="AW44">
        <v>100</v>
      </c>
      <c r="AX44" s="31">
        <v>0</v>
      </c>
    </row>
    <row r="45" spans="1:50" x14ac:dyDescent="0.25">
      <c r="A45">
        <v>4.3</v>
      </c>
      <c r="B45">
        <v>0.99009165513909503</v>
      </c>
      <c r="C45">
        <v>10.2727712100098</v>
      </c>
      <c r="D45">
        <v>11.2629878473233</v>
      </c>
      <c r="E45">
        <v>8.9923175072531992E-3</v>
      </c>
      <c r="F45">
        <v>9.9083448609048001E-3</v>
      </c>
      <c r="G45" s="31">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1">
        <v>0</v>
      </c>
      <c r="T45" s="31">
        <v>0</v>
      </c>
      <c r="U45">
        <v>1.9790794002130501E-2</v>
      </c>
      <c r="V45">
        <v>1</v>
      </c>
      <c r="W45" s="31">
        <v>0</v>
      </c>
      <c r="X45">
        <v>0.71355362220850005</v>
      </c>
      <c r="Y45" s="31">
        <v>0</v>
      </c>
      <c r="Z45">
        <v>3.86812949002093E-4</v>
      </c>
      <c r="AA45">
        <v>5.60342085741688E-5</v>
      </c>
      <c r="AB45">
        <v>2.6655012744054799E-3</v>
      </c>
      <c r="AC45" s="31">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67</v>
      </c>
      <c r="AP45">
        <f>-25-0</f>
        <v>-25</v>
      </c>
      <c r="AQ45">
        <v>2057484898.0599999</v>
      </c>
      <c r="AR45">
        <v>8525</v>
      </c>
      <c r="AS45" s="31">
        <v>0</v>
      </c>
      <c r="AT45" s="31">
        <v>0</v>
      </c>
      <c r="AU45" s="31">
        <v>0</v>
      </c>
      <c r="AV45">
        <v>100</v>
      </c>
      <c r="AW45">
        <v>100</v>
      </c>
      <c r="AX45" s="31">
        <v>0</v>
      </c>
    </row>
    <row r="46" spans="1:50" x14ac:dyDescent="0.25">
      <c r="A46">
        <v>4.3</v>
      </c>
      <c r="B46">
        <v>0.98630215883754802</v>
      </c>
      <c r="C46">
        <v>18.568596333890198</v>
      </c>
      <c r="D46">
        <v>15.2538837216457</v>
      </c>
      <c r="E46">
        <v>1.6971761849218399E-2</v>
      </c>
      <c r="F46">
        <v>1.3697841162451501E-2</v>
      </c>
      <c r="G46" s="31">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1">
        <v>0</v>
      </c>
      <c r="T46" s="31">
        <v>0</v>
      </c>
      <c r="U46">
        <v>4.51710116129415E-2</v>
      </c>
      <c r="V46">
        <v>1</v>
      </c>
      <c r="W46" s="31">
        <v>0</v>
      </c>
      <c r="X46">
        <v>0.80546191975356296</v>
      </c>
      <c r="Y46" s="31">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68</v>
      </c>
      <c r="AP46" t="s">
        <v>69</v>
      </c>
      <c r="AQ46">
        <v>11257086722.280001</v>
      </c>
      <c r="AR46">
        <v>45975</v>
      </c>
      <c r="AS46" s="31">
        <v>0</v>
      </c>
      <c r="AT46" s="31">
        <v>0</v>
      </c>
      <c r="AU46" s="31">
        <v>0</v>
      </c>
      <c r="AV46">
        <v>100</v>
      </c>
      <c r="AW46">
        <v>100</v>
      </c>
      <c r="AX46" s="31">
        <v>0</v>
      </c>
    </row>
    <row r="47" spans="1:50" x14ac:dyDescent="0.25">
      <c r="A47">
        <v>4.3</v>
      </c>
      <c r="B47">
        <v>0.98060834001449804</v>
      </c>
      <c r="C47">
        <v>30.159799183788198</v>
      </c>
      <c r="D47">
        <v>20.941787475303901</v>
      </c>
      <c r="E47">
        <v>2.9470389804280701E-2</v>
      </c>
      <c r="F47">
        <v>1.9391659985501301E-2</v>
      </c>
      <c r="G47" s="31">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1">
        <v>0</v>
      </c>
      <c r="T47" s="31">
        <v>0</v>
      </c>
      <c r="U47">
        <v>4.5054977464197697E-2</v>
      </c>
      <c r="V47">
        <v>1</v>
      </c>
      <c r="W47" s="31">
        <v>0</v>
      </c>
      <c r="X47">
        <v>0.82871998262128199</v>
      </c>
      <c r="Y47" s="31">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70</v>
      </c>
      <c r="AP47" t="s">
        <v>71</v>
      </c>
      <c r="AQ47">
        <v>26377018585.889999</v>
      </c>
      <c r="AR47">
        <v>102315</v>
      </c>
      <c r="AS47" s="31">
        <v>0</v>
      </c>
      <c r="AT47" s="31">
        <v>0</v>
      </c>
      <c r="AU47" s="31">
        <v>0</v>
      </c>
      <c r="AV47">
        <v>100</v>
      </c>
      <c r="AW47">
        <v>100</v>
      </c>
      <c r="AX47" s="31">
        <v>0</v>
      </c>
    </row>
    <row r="48" spans="1:50" x14ac:dyDescent="0.25">
      <c r="A48">
        <v>4.3</v>
      </c>
      <c r="B48">
        <v>0.97389312489231605</v>
      </c>
      <c r="C48">
        <v>40.149086631306297</v>
      </c>
      <c r="D48">
        <v>27.199292524425399</v>
      </c>
      <c r="E48">
        <v>4.1874132965458298E-2</v>
      </c>
      <c r="F48">
        <v>2.6106875107683399E-2</v>
      </c>
      <c r="G48" s="31">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1">
        <v>0</v>
      </c>
      <c r="T48" s="31">
        <v>0</v>
      </c>
      <c r="U48">
        <v>2.9567307031304099E-2</v>
      </c>
      <c r="V48">
        <v>1</v>
      </c>
      <c r="W48" s="31">
        <v>0</v>
      </c>
      <c r="X48">
        <v>0.78719708820824896</v>
      </c>
      <c r="Y48" s="31">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72</v>
      </c>
      <c r="AP48" t="s">
        <v>73</v>
      </c>
      <c r="AQ48">
        <v>22196504322.330002</v>
      </c>
      <c r="AR48">
        <v>85180</v>
      </c>
      <c r="AS48" s="31">
        <v>0</v>
      </c>
      <c r="AT48" s="31">
        <v>0</v>
      </c>
      <c r="AU48" s="31">
        <v>0</v>
      </c>
      <c r="AV48">
        <v>100</v>
      </c>
      <c r="AW48">
        <v>100</v>
      </c>
      <c r="AX48" s="31">
        <v>0</v>
      </c>
    </row>
    <row r="49" spans="1:50" x14ac:dyDescent="0.25">
      <c r="A49">
        <v>4.3</v>
      </c>
      <c r="B49">
        <v>0.96868969237347302</v>
      </c>
      <c r="C49">
        <v>42.720598979704</v>
      </c>
      <c r="D49">
        <v>31.732163092261899</v>
      </c>
      <c r="E49">
        <v>4.5374116267844898E-2</v>
      </c>
      <c r="F49">
        <v>3.1310307626526902E-2</v>
      </c>
      <c r="G49" s="31">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1">
        <v>0</v>
      </c>
      <c r="T49" s="31">
        <v>0</v>
      </c>
      <c r="U49">
        <v>3.79708160786911E-2</v>
      </c>
      <c r="V49">
        <v>1</v>
      </c>
      <c r="W49" s="31">
        <v>0</v>
      </c>
      <c r="X49">
        <v>0.70634875923859797</v>
      </c>
      <c r="Y49" s="31">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74</v>
      </c>
      <c r="AP49" t="s">
        <v>75</v>
      </c>
      <c r="AQ49">
        <v>13715730601.91</v>
      </c>
      <c r="AR49">
        <v>52456</v>
      </c>
      <c r="AS49" s="31">
        <v>0</v>
      </c>
      <c r="AT49" s="31">
        <v>0</v>
      </c>
      <c r="AU49" s="31">
        <v>0</v>
      </c>
      <c r="AV49">
        <v>100</v>
      </c>
      <c r="AW49">
        <v>100</v>
      </c>
      <c r="AX49" s="31">
        <v>0</v>
      </c>
    </row>
    <row r="50" spans="1:50" x14ac:dyDescent="0.25">
      <c r="A50">
        <v>4.3</v>
      </c>
      <c r="B50">
        <v>0.96474775166165405</v>
      </c>
      <c r="C50">
        <v>43.681735268574897</v>
      </c>
      <c r="D50">
        <v>34.9922250520641</v>
      </c>
      <c r="E50">
        <v>4.6719362255706602E-2</v>
      </c>
      <c r="F50">
        <v>3.5252248338344998E-2</v>
      </c>
      <c r="G50" s="31">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1">
        <v>0</v>
      </c>
      <c r="T50" s="31">
        <v>0</v>
      </c>
      <c r="U50">
        <v>3.9785193617976E-2</v>
      </c>
      <c r="V50">
        <v>1</v>
      </c>
      <c r="W50" s="31">
        <v>0</v>
      </c>
      <c r="X50">
        <v>0.621993011200905</v>
      </c>
      <c r="Y50" s="31">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76</v>
      </c>
      <c r="AP50" t="s">
        <v>77</v>
      </c>
      <c r="AQ50">
        <v>7047903024.7399998</v>
      </c>
      <c r="AR50">
        <v>27406</v>
      </c>
      <c r="AS50" s="31">
        <v>0</v>
      </c>
      <c r="AT50" s="31">
        <v>0</v>
      </c>
      <c r="AU50" s="31">
        <v>0</v>
      </c>
      <c r="AV50">
        <v>100</v>
      </c>
      <c r="AW50">
        <v>100</v>
      </c>
      <c r="AX50" s="31">
        <v>0</v>
      </c>
    </row>
    <row r="51" spans="1:50" x14ac:dyDescent="0.25">
      <c r="A51">
        <v>4.3</v>
      </c>
      <c r="B51">
        <v>0.96091174602281304</v>
      </c>
      <c r="C51">
        <v>42.096705760367399</v>
      </c>
      <c r="D51">
        <v>38.027070516156698</v>
      </c>
      <c r="E51">
        <v>4.45119217051353E-2</v>
      </c>
      <c r="F51">
        <v>3.9088253977186502E-2</v>
      </c>
      <c r="G51" s="31">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1">
        <v>0</v>
      </c>
      <c r="T51" s="31">
        <v>0</v>
      </c>
      <c r="U51">
        <v>5.8809219123887098E-2</v>
      </c>
      <c r="V51">
        <v>1</v>
      </c>
      <c r="W51" s="31">
        <v>0</v>
      </c>
      <c r="X51">
        <v>0.64064484137608602</v>
      </c>
      <c r="Y51" s="31">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78</v>
      </c>
      <c r="AP51" t="s">
        <v>79</v>
      </c>
      <c r="AQ51">
        <v>2983748994.02</v>
      </c>
      <c r="AR51">
        <v>11472</v>
      </c>
      <c r="AS51" s="31">
        <v>0</v>
      </c>
      <c r="AT51" s="31">
        <v>0</v>
      </c>
      <c r="AU51" s="31">
        <v>0</v>
      </c>
      <c r="AV51">
        <v>100</v>
      </c>
      <c r="AW51">
        <v>100</v>
      </c>
      <c r="AX51" s="31">
        <v>0</v>
      </c>
    </row>
    <row r="52" spans="1:50" x14ac:dyDescent="0.25">
      <c r="A52">
        <v>4.3</v>
      </c>
      <c r="B52">
        <v>0.95713533987073796</v>
      </c>
      <c r="C52">
        <v>43.974174414158298</v>
      </c>
      <c r="D52">
        <v>40.887378266514197</v>
      </c>
      <c r="E52">
        <v>4.7132848981646797E-2</v>
      </c>
      <c r="F52">
        <v>4.28646601292616E-2</v>
      </c>
      <c r="G52" s="31">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1">
        <v>0</v>
      </c>
      <c r="T52" s="31">
        <v>0</v>
      </c>
      <c r="U52">
        <v>1.87766642755961E-2</v>
      </c>
      <c r="V52">
        <v>1</v>
      </c>
      <c r="W52" s="31">
        <v>0</v>
      </c>
      <c r="X52">
        <v>0.66670175788199104</v>
      </c>
      <c r="Y52" s="31">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80</v>
      </c>
      <c r="AP52" t="s">
        <v>81</v>
      </c>
      <c r="AQ52">
        <v>662452025.41999996</v>
      </c>
      <c r="AR52">
        <v>2490</v>
      </c>
      <c r="AS52" s="31">
        <v>0</v>
      </c>
      <c r="AT52" s="31">
        <v>0</v>
      </c>
      <c r="AU52" s="31">
        <v>0</v>
      </c>
      <c r="AV52">
        <v>100</v>
      </c>
      <c r="AW52">
        <v>100</v>
      </c>
      <c r="AX52" s="31">
        <v>0</v>
      </c>
    </row>
    <row r="53" spans="1:50" x14ac:dyDescent="0.25">
      <c r="A53">
        <v>4.3</v>
      </c>
      <c r="B53">
        <v>0.95312325182999502</v>
      </c>
      <c r="C53">
        <v>55.3010002587543</v>
      </c>
      <c r="D53">
        <v>43.793211243427898</v>
      </c>
      <c r="E53">
        <v>6.4899798897641206E-2</v>
      </c>
      <c r="F53">
        <v>4.6876748170004597E-2</v>
      </c>
      <c r="G53" s="31">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1">
        <v>0</v>
      </c>
      <c r="T53" s="31">
        <v>0</v>
      </c>
      <c r="U53" s="31">
        <v>0</v>
      </c>
      <c r="V53">
        <v>1</v>
      </c>
      <c r="W53" s="31">
        <v>0</v>
      </c>
      <c r="X53">
        <v>0.65481308680203199</v>
      </c>
      <c r="Y53" s="31">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82</v>
      </c>
      <c r="AP53" t="s">
        <v>83</v>
      </c>
      <c r="AQ53">
        <v>120127866.54000001</v>
      </c>
      <c r="AR53">
        <v>434</v>
      </c>
      <c r="AS53" s="31">
        <v>0</v>
      </c>
      <c r="AT53" s="31">
        <v>0</v>
      </c>
      <c r="AU53" s="31">
        <v>0</v>
      </c>
      <c r="AV53">
        <v>100</v>
      </c>
      <c r="AW53">
        <v>100</v>
      </c>
      <c r="AX53" s="31">
        <v>0</v>
      </c>
    </row>
    <row r="54" spans="1:50" x14ac:dyDescent="0.25">
      <c r="A54">
        <v>4.3</v>
      </c>
      <c r="B54">
        <v>0.95413154706949299</v>
      </c>
      <c r="C54">
        <v>53.736278937248798</v>
      </c>
      <c r="D54">
        <v>43.075520879579599</v>
      </c>
      <c r="E54">
        <v>6.22147879329044E-2</v>
      </c>
      <c r="F54">
        <v>4.5868452930506301E-2</v>
      </c>
      <c r="G54" s="31">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1">
        <v>0</v>
      </c>
      <c r="T54" s="31">
        <v>0</v>
      </c>
      <c r="U54" s="31">
        <v>0</v>
      </c>
      <c r="V54">
        <v>1</v>
      </c>
      <c r="W54" s="31">
        <v>0</v>
      </c>
      <c r="X54">
        <v>0.51070676373977897</v>
      </c>
      <c r="Y54" s="31">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84</v>
      </c>
      <c r="AP54" t="s">
        <v>85</v>
      </c>
      <c r="AQ54">
        <v>15951187.880000001</v>
      </c>
      <c r="AR54">
        <v>62</v>
      </c>
      <c r="AS54" s="31">
        <v>0</v>
      </c>
      <c r="AT54" s="31">
        <v>0</v>
      </c>
      <c r="AU54" s="31">
        <v>0</v>
      </c>
      <c r="AV54">
        <v>100</v>
      </c>
      <c r="AW54">
        <v>100</v>
      </c>
      <c r="AX54" s="31">
        <v>0</v>
      </c>
    </row>
    <row r="55" spans="1:50" x14ac:dyDescent="0.25">
      <c r="A55">
        <v>4.3</v>
      </c>
      <c r="B55">
        <v>0.95616786554540201</v>
      </c>
      <c r="C55">
        <v>0</v>
      </c>
      <c r="D55">
        <v>41.600419374232601</v>
      </c>
      <c r="E55" s="31">
        <v>0</v>
      </c>
      <c r="F55">
        <v>4.3832134454597799E-2</v>
      </c>
      <c r="G55" s="31">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1">
        <v>0</v>
      </c>
      <c r="T55" s="31">
        <v>0</v>
      </c>
      <c r="U55" s="31">
        <v>0</v>
      </c>
      <c r="V55">
        <v>1</v>
      </c>
      <c r="W55" s="31">
        <v>0</v>
      </c>
      <c r="X55" s="31">
        <v>0</v>
      </c>
      <c r="Y55" s="31">
        <v>0</v>
      </c>
      <c r="Z55">
        <v>3.5712854154316498E-4</v>
      </c>
      <c r="AA55">
        <v>1.17134227584783E-4</v>
      </c>
      <c r="AB55">
        <v>4.8422814985199097E-3</v>
      </c>
      <c r="AC55">
        <v>1.84434555156616E-3</v>
      </c>
      <c r="AD55">
        <v>3.6671224635383803E-2</v>
      </c>
      <c r="AE55">
        <v>0.232513101617222</v>
      </c>
      <c r="AF55" s="31">
        <v>0</v>
      </c>
      <c r="AG55" s="31">
        <v>0</v>
      </c>
      <c r="AH55" s="31">
        <v>0</v>
      </c>
      <c r="AI55">
        <v>1</v>
      </c>
      <c r="AJ55">
        <v>1</v>
      </c>
      <c r="AK55">
        <v>1</v>
      </c>
      <c r="AL55">
        <v>1</v>
      </c>
      <c r="AM55">
        <v>0</v>
      </c>
      <c r="AN55">
        <v>0</v>
      </c>
      <c r="AO55" t="s">
        <v>86</v>
      </c>
      <c r="AP55" t="s">
        <v>87</v>
      </c>
      <c r="AQ55">
        <v>658446.56999999995</v>
      </c>
      <c r="AR55">
        <v>3</v>
      </c>
      <c r="AS55" s="31">
        <v>0</v>
      </c>
      <c r="AT55" s="31">
        <v>0</v>
      </c>
      <c r="AU55" s="31">
        <v>0</v>
      </c>
      <c r="AV55">
        <v>100</v>
      </c>
      <c r="AW55">
        <v>100</v>
      </c>
      <c r="AX55" s="31">
        <v>0</v>
      </c>
    </row>
    <row r="59" spans="1:50" x14ac:dyDescent="0.25">
      <c r="A59" s="27" t="s">
        <v>115</v>
      </c>
      <c r="C59" t="s">
        <v>122</v>
      </c>
    </row>
    <row r="60" spans="1:50" x14ac:dyDescent="0.25">
      <c r="A60" t="s">
        <v>20</v>
      </c>
      <c r="B60" t="s">
        <v>21</v>
      </c>
      <c r="C60" t="s">
        <v>22</v>
      </c>
      <c r="D60" t="s">
        <v>23</v>
      </c>
      <c r="E60" t="s">
        <v>94</v>
      </c>
      <c r="F60" t="s">
        <v>95</v>
      </c>
      <c r="G60" t="s">
        <v>24</v>
      </c>
      <c r="H60" t="s">
        <v>25</v>
      </c>
      <c r="I60" t="s">
        <v>26</v>
      </c>
      <c r="J60" t="s">
        <v>27</v>
      </c>
      <c r="K60" t="s">
        <v>28</v>
      </c>
      <c r="L60" t="s">
        <v>29</v>
      </c>
      <c r="M60" t="s">
        <v>30</v>
      </c>
      <c r="N60" t="s">
        <v>31</v>
      </c>
      <c r="O60" t="s">
        <v>32</v>
      </c>
      <c r="P60" t="s">
        <v>33</v>
      </c>
      <c r="Q60" t="s">
        <v>34</v>
      </c>
      <c r="R60" t="s">
        <v>35</v>
      </c>
      <c r="S60" t="s">
        <v>36</v>
      </c>
      <c r="T60" t="s">
        <v>37</v>
      </c>
      <c r="U60" t="s">
        <v>38</v>
      </c>
      <c r="V60" t="s">
        <v>39</v>
      </c>
      <c r="W60" t="s">
        <v>40</v>
      </c>
      <c r="X60" t="s">
        <v>41</v>
      </c>
      <c r="Y60" t="s">
        <v>42</v>
      </c>
      <c r="Z60" t="s">
        <v>43</v>
      </c>
      <c r="AA60" t="s">
        <v>44</v>
      </c>
      <c r="AB60" t="s">
        <v>45</v>
      </c>
      <c r="AC60" t="s">
        <v>46</v>
      </c>
      <c r="AD60" t="s">
        <v>47</v>
      </c>
      <c r="AE60" t="s">
        <v>48</v>
      </c>
      <c r="AF60" t="s">
        <v>49</v>
      </c>
      <c r="AG60" t="s">
        <v>50</v>
      </c>
      <c r="AH60" t="s">
        <v>51</v>
      </c>
      <c r="AI60" t="s">
        <v>52</v>
      </c>
      <c r="AJ60" t="s">
        <v>53</v>
      </c>
      <c r="AK60" t="s">
        <v>54</v>
      </c>
      <c r="AL60" t="s">
        <v>55</v>
      </c>
      <c r="AM60" t="s">
        <v>56</v>
      </c>
      <c r="AN60" t="s">
        <v>57</v>
      </c>
      <c r="AO60" t="s">
        <v>58</v>
      </c>
      <c r="AP60" t="s">
        <v>59</v>
      </c>
      <c r="AQ60" t="s">
        <v>60</v>
      </c>
      <c r="AR60" t="s">
        <v>61</v>
      </c>
      <c r="AS60" t="s">
        <v>116</v>
      </c>
      <c r="AT60" t="s">
        <v>117</v>
      </c>
      <c r="AU60" t="s">
        <v>118</v>
      </c>
      <c r="AV60" t="s">
        <v>119</v>
      </c>
      <c r="AW60" t="s">
        <v>120</v>
      </c>
      <c r="AX60" t="s">
        <v>121</v>
      </c>
    </row>
    <row r="61" spans="1:50" x14ac:dyDescent="0.25">
      <c r="A61">
        <v>4.3</v>
      </c>
      <c r="B61">
        <v>0.99502774202643496</v>
      </c>
      <c r="C61">
        <v>0</v>
      </c>
      <c r="D61">
        <v>5.8062099244318599</v>
      </c>
      <c r="E61" s="31">
        <v>0</v>
      </c>
      <c r="F61">
        <v>4.9722579735641901E-3</v>
      </c>
      <c r="G61" s="31">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1">
        <v>0</v>
      </c>
      <c r="T61" s="31">
        <v>0</v>
      </c>
      <c r="U61" s="31">
        <v>0</v>
      </c>
      <c r="V61">
        <v>1</v>
      </c>
      <c r="W61" s="31">
        <v>0</v>
      </c>
      <c r="X61" s="31">
        <v>0</v>
      </c>
      <c r="Y61" s="31">
        <v>0</v>
      </c>
      <c r="Z61">
        <v>3.5354267024575401E-4</v>
      </c>
      <c r="AA61">
        <v>1.33949922462921E-5</v>
      </c>
      <c r="AB61">
        <v>3.8048393520865201E-3</v>
      </c>
      <c r="AC61" s="31">
        <v>0</v>
      </c>
      <c r="AD61">
        <v>8.0046846476781205E-4</v>
      </c>
      <c r="AE61">
        <v>-1.2605143054186499E-3</v>
      </c>
      <c r="AF61">
        <v>1</v>
      </c>
      <c r="AG61">
        <v>1</v>
      </c>
      <c r="AH61">
        <v>1</v>
      </c>
      <c r="AI61">
        <v>1</v>
      </c>
      <c r="AJ61">
        <v>1</v>
      </c>
      <c r="AK61">
        <v>1</v>
      </c>
      <c r="AL61">
        <v>1</v>
      </c>
      <c r="AM61">
        <v>0</v>
      </c>
      <c r="AN61">
        <v>0</v>
      </c>
      <c r="AO61" t="s">
        <v>63</v>
      </c>
      <c r="AP61">
        <f>-125--100</f>
        <v>-25</v>
      </c>
      <c r="AQ61">
        <v>710950.18</v>
      </c>
      <c r="AR61">
        <v>4</v>
      </c>
      <c r="AS61" s="31">
        <v>0</v>
      </c>
      <c r="AT61" s="31">
        <v>0</v>
      </c>
      <c r="AU61" s="31">
        <v>0</v>
      </c>
      <c r="AV61">
        <v>100</v>
      </c>
      <c r="AW61" s="31">
        <v>0</v>
      </c>
      <c r="AX61">
        <v>100</v>
      </c>
    </row>
    <row r="62" spans="1:50" x14ac:dyDescent="0.25">
      <c r="A62">
        <v>4.3</v>
      </c>
      <c r="B62">
        <v>0.99155721853217005</v>
      </c>
      <c r="C62">
        <v>2.1576303824956899</v>
      </c>
      <c r="D62">
        <v>9.6738776673459803</v>
      </c>
      <c r="E62">
        <v>1.8160552716067701E-3</v>
      </c>
      <c r="F62">
        <v>8.4427814678294695E-3</v>
      </c>
      <c r="G62" s="31">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1">
        <v>0</v>
      </c>
      <c r="T62" s="31">
        <v>0</v>
      </c>
      <c r="U62" s="31">
        <v>0</v>
      </c>
      <c r="V62">
        <v>1</v>
      </c>
      <c r="W62" s="31">
        <v>0</v>
      </c>
      <c r="X62">
        <v>0.13217823177046001</v>
      </c>
      <c r="Y62" s="31">
        <v>0</v>
      </c>
      <c r="Z62">
        <v>3.7752422054304499E-4</v>
      </c>
      <c r="AA62">
        <v>4.28706961381961E-5</v>
      </c>
      <c r="AB62">
        <v>3.1142536262320098E-3</v>
      </c>
      <c r="AC62" s="31">
        <v>0</v>
      </c>
      <c r="AD62">
        <v>4.9081176036822301E-3</v>
      </c>
      <c r="AE62">
        <v>-2.40998460287251E-2</v>
      </c>
      <c r="AF62">
        <v>1</v>
      </c>
      <c r="AG62">
        <v>1</v>
      </c>
      <c r="AH62">
        <v>1</v>
      </c>
      <c r="AI62">
        <v>1</v>
      </c>
      <c r="AJ62">
        <v>1</v>
      </c>
      <c r="AK62">
        <v>1</v>
      </c>
      <c r="AL62">
        <v>1</v>
      </c>
      <c r="AM62">
        <v>0</v>
      </c>
      <c r="AN62">
        <v>0</v>
      </c>
      <c r="AO62" t="s">
        <v>64</v>
      </c>
      <c r="AP62">
        <f>-100--75</f>
        <v>-25</v>
      </c>
      <c r="AQ62">
        <v>2985839.61</v>
      </c>
      <c r="AR62">
        <v>15</v>
      </c>
      <c r="AS62" s="31">
        <v>0</v>
      </c>
      <c r="AT62" s="31">
        <v>0</v>
      </c>
      <c r="AU62" s="31">
        <v>0</v>
      </c>
      <c r="AV62">
        <v>100</v>
      </c>
      <c r="AW62" s="31">
        <v>0</v>
      </c>
      <c r="AX62">
        <v>100</v>
      </c>
    </row>
    <row r="63" spans="1:50" x14ac:dyDescent="0.25">
      <c r="A63">
        <v>4.3</v>
      </c>
      <c r="B63">
        <v>0.99550634475364297</v>
      </c>
      <c r="C63">
        <v>8.8452660536773493</v>
      </c>
      <c r="D63">
        <v>5.2610891509947102</v>
      </c>
      <c r="E63">
        <v>7.6879413060304503E-3</v>
      </c>
      <c r="F63">
        <v>4.49365524635647E-3</v>
      </c>
      <c r="G63" s="31">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1">
        <v>0</v>
      </c>
      <c r="T63" s="31">
        <v>0</v>
      </c>
      <c r="U63" s="31">
        <v>0</v>
      </c>
      <c r="V63">
        <v>1</v>
      </c>
      <c r="W63" s="31">
        <v>0</v>
      </c>
      <c r="X63">
        <v>0.15768331110903</v>
      </c>
      <c r="Y63" s="31">
        <v>0</v>
      </c>
      <c r="Z63">
        <v>7.1264657948908296E-4</v>
      </c>
      <c r="AA63">
        <v>7.5896280950531197E-5</v>
      </c>
      <c r="AB63">
        <v>2.63746209696412E-3</v>
      </c>
      <c r="AC63" s="31">
        <v>0</v>
      </c>
      <c r="AD63">
        <v>1.06764049105882E-3</v>
      </c>
      <c r="AE63">
        <v>-2.1212521517532001E-2</v>
      </c>
      <c r="AF63">
        <v>0.99566701819617198</v>
      </c>
      <c r="AG63">
        <v>1</v>
      </c>
      <c r="AH63">
        <v>1</v>
      </c>
      <c r="AI63">
        <v>1</v>
      </c>
      <c r="AJ63">
        <v>1</v>
      </c>
      <c r="AK63">
        <v>1</v>
      </c>
      <c r="AL63">
        <v>1</v>
      </c>
      <c r="AM63">
        <v>0</v>
      </c>
      <c r="AN63">
        <v>0</v>
      </c>
      <c r="AO63" t="s">
        <v>65</v>
      </c>
      <c r="AP63">
        <f>-75--50</f>
        <v>-25</v>
      </c>
      <c r="AQ63">
        <v>54598129.119999997</v>
      </c>
      <c r="AR63">
        <v>298</v>
      </c>
      <c r="AS63" s="31">
        <v>0</v>
      </c>
      <c r="AT63" s="31">
        <v>0</v>
      </c>
      <c r="AU63" s="31">
        <v>0</v>
      </c>
      <c r="AV63">
        <v>100</v>
      </c>
      <c r="AW63" s="31">
        <v>0</v>
      </c>
      <c r="AX63">
        <v>100</v>
      </c>
    </row>
    <row r="64" spans="1:50" x14ac:dyDescent="0.25">
      <c r="A64">
        <v>4.3</v>
      </c>
      <c r="B64">
        <v>0.99412404119775899</v>
      </c>
      <c r="C64">
        <v>6.10911542156789</v>
      </c>
      <c r="D64">
        <v>6.8276779473100699</v>
      </c>
      <c r="E64">
        <v>5.2393000986796501E-3</v>
      </c>
      <c r="F64">
        <v>5.87595880224045E-3</v>
      </c>
      <c r="G64" s="31">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1">
        <v>0</v>
      </c>
      <c r="T64" s="31">
        <v>0</v>
      </c>
      <c r="U64">
        <v>2.28414120258448E-3</v>
      </c>
      <c r="V64">
        <v>1</v>
      </c>
      <c r="W64" s="31">
        <v>0</v>
      </c>
      <c r="X64">
        <v>0.308707954423458</v>
      </c>
      <c r="Y64" s="31">
        <v>0</v>
      </c>
      <c r="Z64">
        <v>4.4169029644841698E-4</v>
      </c>
      <c r="AA64">
        <v>6.3523872468606701E-5</v>
      </c>
      <c r="AB64">
        <v>2.7300308982072499E-3</v>
      </c>
      <c r="AC64" s="31">
        <v>7.7476567074194104E-9</v>
      </c>
      <c r="AD64">
        <v>2.6406919329238E-3</v>
      </c>
      <c r="AE64">
        <v>-1.20608263629062E-2</v>
      </c>
      <c r="AF64">
        <v>0.97597850851066403</v>
      </c>
      <c r="AG64">
        <v>0.99876642381705805</v>
      </c>
      <c r="AH64">
        <v>1</v>
      </c>
      <c r="AI64">
        <v>1</v>
      </c>
      <c r="AJ64">
        <v>1</v>
      </c>
      <c r="AK64">
        <v>1</v>
      </c>
      <c r="AL64">
        <v>1</v>
      </c>
      <c r="AM64">
        <v>0</v>
      </c>
      <c r="AN64">
        <v>0</v>
      </c>
      <c r="AO64" t="s">
        <v>66</v>
      </c>
      <c r="AP64">
        <f>-50--25</f>
        <v>-25</v>
      </c>
      <c r="AQ64">
        <v>586914306.55999994</v>
      </c>
      <c r="AR64">
        <v>2546</v>
      </c>
      <c r="AS64" s="31">
        <v>0</v>
      </c>
      <c r="AT64" s="31">
        <v>0</v>
      </c>
      <c r="AU64" s="31">
        <v>0</v>
      </c>
      <c r="AV64">
        <v>100</v>
      </c>
      <c r="AW64" s="31">
        <v>0</v>
      </c>
      <c r="AX64">
        <v>100</v>
      </c>
    </row>
    <row r="65" spans="1:50" x14ac:dyDescent="0.25">
      <c r="A65">
        <v>4.3</v>
      </c>
      <c r="B65">
        <v>0.98985186207867903</v>
      </c>
      <c r="C65">
        <v>7.5476108074383204</v>
      </c>
      <c r="D65">
        <v>11.5205421640827</v>
      </c>
      <c r="E65">
        <v>6.5183614926363001E-3</v>
      </c>
      <c r="F65">
        <v>1.01481379213207E-2</v>
      </c>
      <c r="G65" s="31">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1">
        <v>0</v>
      </c>
      <c r="T65" s="31">
        <v>0</v>
      </c>
      <c r="U65">
        <v>2.84639604014668E-3</v>
      </c>
      <c r="V65">
        <v>1</v>
      </c>
      <c r="W65" s="31">
        <v>0</v>
      </c>
      <c r="X65">
        <v>0.58850586069084199</v>
      </c>
      <c r="Y65" s="31">
        <v>0</v>
      </c>
      <c r="Z65">
        <v>3.8877255911479099E-4</v>
      </c>
      <c r="AA65">
        <v>6.7447232582009905E-5</v>
      </c>
      <c r="AB65">
        <v>2.6347467579886899E-3</v>
      </c>
      <c r="AC65" s="31">
        <v>1.15326951253463E-8</v>
      </c>
      <c r="AD65">
        <v>7.0571456725335904E-3</v>
      </c>
      <c r="AE65">
        <v>-1.55467071100808E-2</v>
      </c>
      <c r="AF65">
        <v>0.97687924584899199</v>
      </c>
      <c r="AG65">
        <v>0.99866326521162996</v>
      </c>
      <c r="AH65">
        <v>0.99989613458823201</v>
      </c>
      <c r="AI65">
        <v>1</v>
      </c>
      <c r="AJ65">
        <v>1</v>
      </c>
      <c r="AK65">
        <v>1</v>
      </c>
      <c r="AL65">
        <v>1</v>
      </c>
      <c r="AM65">
        <v>0</v>
      </c>
      <c r="AN65">
        <v>0</v>
      </c>
      <c r="AO65" t="s">
        <v>67</v>
      </c>
      <c r="AP65">
        <f>-25-0</f>
        <v>-25</v>
      </c>
      <c r="AQ65">
        <v>4533562732.6599998</v>
      </c>
      <c r="AR65">
        <v>17758</v>
      </c>
      <c r="AS65" s="31">
        <v>0</v>
      </c>
      <c r="AT65" s="31">
        <v>0</v>
      </c>
      <c r="AU65" s="31">
        <v>0</v>
      </c>
      <c r="AV65">
        <v>100</v>
      </c>
      <c r="AW65" s="31">
        <v>0</v>
      </c>
      <c r="AX65">
        <v>100</v>
      </c>
    </row>
    <row r="66" spans="1:50" x14ac:dyDescent="0.25">
      <c r="A66">
        <v>4.3</v>
      </c>
      <c r="B66">
        <v>0.98591471544224596</v>
      </c>
      <c r="C66">
        <v>11.797692900111899</v>
      </c>
      <c r="D66">
        <v>15.652505696396201</v>
      </c>
      <c r="E66">
        <v>1.04068917875793E-2</v>
      </c>
      <c r="F66">
        <v>1.4085284557753401E-2</v>
      </c>
      <c r="G66" s="31">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1">
        <v>0</v>
      </c>
      <c r="T66" s="31">
        <v>0</v>
      </c>
      <c r="U66">
        <v>9.3631668724412608E-3</v>
      </c>
      <c r="V66">
        <v>1</v>
      </c>
      <c r="W66" s="31">
        <v>0</v>
      </c>
      <c r="X66">
        <v>0.76846681733277</v>
      </c>
      <c r="Y66" s="31">
        <v>0</v>
      </c>
      <c r="Z66">
        <v>3.7706138541062002E-4</v>
      </c>
      <c r="AA66">
        <v>7.1435676803686401E-5</v>
      </c>
      <c r="AB66">
        <v>2.7606001825981699E-3</v>
      </c>
      <c r="AC66" s="31">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68</v>
      </c>
      <c r="AP66" t="s">
        <v>69</v>
      </c>
      <c r="AQ66">
        <v>23068557056.880001</v>
      </c>
      <c r="AR66">
        <v>88752</v>
      </c>
      <c r="AS66" s="31">
        <v>0</v>
      </c>
      <c r="AT66" s="31">
        <v>0</v>
      </c>
      <c r="AU66" s="31">
        <v>0</v>
      </c>
      <c r="AV66">
        <v>100</v>
      </c>
      <c r="AW66" s="31">
        <v>0</v>
      </c>
      <c r="AX66">
        <v>100</v>
      </c>
    </row>
    <row r="67" spans="1:50" x14ac:dyDescent="0.25">
      <c r="A67">
        <v>4.3</v>
      </c>
      <c r="B67">
        <v>0.98030231227533804</v>
      </c>
      <c r="C67">
        <v>17.559910432581599</v>
      </c>
      <c r="D67">
        <v>21.237349167788501</v>
      </c>
      <c r="E67">
        <v>1.5962751643881098E-2</v>
      </c>
      <c r="F67">
        <v>1.9697687724661302E-2</v>
      </c>
      <c r="G67" s="31">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1">
        <v>0</v>
      </c>
      <c r="T67" s="31">
        <v>0</v>
      </c>
      <c r="U67">
        <v>1.1352927442291799E-2</v>
      </c>
      <c r="V67">
        <v>1</v>
      </c>
      <c r="W67" s="31">
        <v>0</v>
      </c>
      <c r="X67">
        <v>0.83557601798435299</v>
      </c>
      <c r="Y67" s="31">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70</v>
      </c>
      <c r="AP67" t="s">
        <v>71</v>
      </c>
      <c r="AQ67">
        <v>46900706937.18</v>
      </c>
      <c r="AR67">
        <v>177926</v>
      </c>
      <c r="AS67" s="31">
        <v>0</v>
      </c>
      <c r="AT67" s="31">
        <v>0</v>
      </c>
      <c r="AU67" s="31">
        <v>0</v>
      </c>
      <c r="AV67">
        <v>100</v>
      </c>
      <c r="AW67" s="31">
        <v>0</v>
      </c>
      <c r="AX67">
        <v>100</v>
      </c>
    </row>
    <row r="68" spans="1:50" x14ac:dyDescent="0.25">
      <c r="A68">
        <v>4.3</v>
      </c>
      <c r="B68">
        <v>0.97383996754805202</v>
      </c>
      <c r="C68">
        <v>25.676065547610602</v>
      </c>
      <c r="D68">
        <v>27.2469617887025</v>
      </c>
      <c r="E68">
        <v>2.4424861373680599E-2</v>
      </c>
      <c r="F68">
        <v>2.6160032451947701E-2</v>
      </c>
      <c r="G68" s="31">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1">
        <v>0</v>
      </c>
      <c r="T68" s="31">
        <v>0</v>
      </c>
      <c r="U68">
        <v>9.1287563315835298E-3</v>
      </c>
      <c r="V68">
        <v>1</v>
      </c>
      <c r="W68" s="31">
        <v>0</v>
      </c>
      <c r="X68">
        <v>0.81147445723386702</v>
      </c>
      <c r="Y68" s="31">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72</v>
      </c>
      <c r="AP68" t="s">
        <v>73</v>
      </c>
      <c r="AQ68">
        <v>59067740841.589996</v>
      </c>
      <c r="AR68">
        <v>229656</v>
      </c>
      <c r="AS68" s="31">
        <v>0</v>
      </c>
      <c r="AT68" s="31">
        <v>0</v>
      </c>
      <c r="AU68" s="31">
        <v>0</v>
      </c>
      <c r="AV68">
        <v>100</v>
      </c>
      <c r="AW68" s="31">
        <v>0</v>
      </c>
      <c r="AX68">
        <v>100</v>
      </c>
    </row>
    <row r="69" spans="1:50" x14ac:dyDescent="0.25">
      <c r="A69">
        <v>4.3</v>
      </c>
      <c r="B69">
        <v>0.96838283481545295</v>
      </c>
      <c r="C69">
        <v>31.506465312099301</v>
      </c>
      <c r="D69">
        <v>31.991218711502</v>
      </c>
      <c r="E69">
        <v>3.1043832062453099E-2</v>
      </c>
      <c r="F69">
        <v>3.1617165184546402E-2</v>
      </c>
      <c r="G69" s="31">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1">
        <v>0</v>
      </c>
      <c r="T69" s="31">
        <v>0</v>
      </c>
      <c r="U69">
        <v>1.08206367285758E-2</v>
      </c>
      <c r="V69">
        <v>1</v>
      </c>
      <c r="W69" s="31">
        <v>0</v>
      </c>
      <c r="X69">
        <v>0.80359527928966801</v>
      </c>
      <c r="Y69" s="31">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74</v>
      </c>
      <c r="AP69" t="s">
        <v>75</v>
      </c>
      <c r="AQ69">
        <v>52624891923.059998</v>
      </c>
      <c r="AR69">
        <v>201881</v>
      </c>
      <c r="AS69" s="31">
        <v>0</v>
      </c>
      <c r="AT69" s="31">
        <v>0</v>
      </c>
      <c r="AU69" s="31">
        <v>0</v>
      </c>
      <c r="AV69">
        <v>100</v>
      </c>
      <c r="AW69" s="31">
        <v>0</v>
      </c>
      <c r="AX69">
        <v>100</v>
      </c>
    </row>
    <row r="70" spans="1:50" x14ac:dyDescent="0.25">
      <c r="A70">
        <v>4.3</v>
      </c>
      <c r="B70">
        <v>0.96402649348351799</v>
      </c>
      <c r="C70">
        <v>35.202875340900803</v>
      </c>
      <c r="D70">
        <v>35.573041008297103</v>
      </c>
      <c r="E70">
        <v>3.5513148980895901E-2</v>
      </c>
      <c r="F70">
        <v>3.5973506516481603E-2</v>
      </c>
      <c r="G70" s="31">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1">
        <v>0</v>
      </c>
      <c r="T70" s="31">
        <v>0</v>
      </c>
      <c r="U70">
        <v>1.09320845296691E-2</v>
      </c>
      <c r="V70">
        <v>1</v>
      </c>
      <c r="W70" s="31">
        <v>0</v>
      </c>
      <c r="X70">
        <v>0.75570179325089804</v>
      </c>
      <c r="Y70" s="31">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76</v>
      </c>
      <c r="AP70" t="s">
        <v>77</v>
      </c>
      <c r="AQ70">
        <v>30215665261.599998</v>
      </c>
      <c r="AR70">
        <v>117984</v>
      </c>
      <c r="AS70" s="31">
        <v>0</v>
      </c>
      <c r="AT70" s="31">
        <v>0</v>
      </c>
      <c r="AU70" s="31">
        <v>0</v>
      </c>
      <c r="AV70">
        <v>100</v>
      </c>
      <c r="AW70" s="31">
        <v>0</v>
      </c>
      <c r="AX70">
        <v>100</v>
      </c>
    </row>
    <row r="71" spans="1:50" x14ac:dyDescent="0.25">
      <c r="A71">
        <v>4.3</v>
      </c>
      <c r="B71">
        <v>0.960024139589714</v>
      </c>
      <c r="C71">
        <v>35.292651765802297</v>
      </c>
      <c r="D71">
        <v>38.710533507200701</v>
      </c>
      <c r="E71">
        <v>3.5624577813361397E-2</v>
      </c>
      <c r="F71">
        <v>3.9975860410285897E-2</v>
      </c>
      <c r="G71" s="31">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1">
        <v>0</v>
      </c>
      <c r="T71" s="31">
        <v>0</v>
      </c>
      <c r="U71">
        <v>1.20813835521534E-2</v>
      </c>
      <c r="V71">
        <v>1</v>
      </c>
      <c r="W71" s="31">
        <v>0</v>
      </c>
      <c r="X71">
        <v>0.77661137775031597</v>
      </c>
      <c r="Y71" s="31">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78</v>
      </c>
      <c r="AP71" t="s">
        <v>79</v>
      </c>
      <c r="AQ71">
        <v>14091587718.83</v>
      </c>
      <c r="AR71">
        <v>53800</v>
      </c>
      <c r="AS71" s="31">
        <v>0</v>
      </c>
      <c r="AT71" s="31">
        <v>0</v>
      </c>
      <c r="AU71" s="31">
        <v>0</v>
      </c>
      <c r="AV71">
        <v>100</v>
      </c>
      <c r="AW71" s="31">
        <v>0</v>
      </c>
      <c r="AX71">
        <v>100</v>
      </c>
    </row>
    <row r="72" spans="1:50" x14ac:dyDescent="0.25">
      <c r="A72">
        <v>4.3</v>
      </c>
      <c r="B72">
        <v>0.95692142077054998</v>
      </c>
      <c r="C72">
        <v>34.084038108405203</v>
      </c>
      <c r="D72">
        <v>41.045723098493497</v>
      </c>
      <c r="E72">
        <v>3.4136214325988998E-2</v>
      </c>
      <c r="F72">
        <v>4.3078579229449E-2</v>
      </c>
      <c r="G72" s="31">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1">
        <v>0</v>
      </c>
      <c r="T72" s="31">
        <v>0</v>
      </c>
      <c r="U72">
        <v>1.1262599635283199E-2</v>
      </c>
      <c r="V72">
        <v>1</v>
      </c>
      <c r="W72" s="31">
        <v>0</v>
      </c>
      <c r="X72">
        <v>0.86951356159132298</v>
      </c>
      <c r="Y72" s="31">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80</v>
      </c>
      <c r="AP72" t="s">
        <v>81</v>
      </c>
      <c r="AQ72">
        <v>3440641617.8200002</v>
      </c>
      <c r="AR72">
        <v>13479</v>
      </c>
      <c r="AS72" s="31">
        <v>0</v>
      </c>
      <c r="AT72" s="31">
        <v>0</v>
      </c>
      <c r="AU72" s="31">
        <v>0</v>
      </c>
      <c r="AV72">
        <v>100</v>
      </c>
      <c r="AW72" s="31">
        <v>0</v>
      </c>
      <c r="AX72">
        <v>100</v>
      </c>
    </row>
    <row r="73" spans="1:50" x14ac:dyDescent="0.25">
      <c r="A73">
        <v>4.3</v>
      </c>
      <c r="B73">
        <v>0.95324539802312203</v>
      </c>
      <c r="C73">
        <v>33.665359871941803</v>
      </c>
      <c r="D73">
        <v>43.706713052519298</v>
      </c>
      <c r="E73">
        <v>3.3626457099512501E-2</v>
      </c>
      <c r="F73">
        <v>4.6754601976877398E-2</v>
      </c>
      <c r="G73" s="31">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1">
        <v>0</v>
      </c>
      <c r="T73" s="31">
        <v>0</v>
      </c>
      <c r="U73">
        <v>1.3852780085121599E-2</v>
      </c>
      <c r="V73">
        <v>1</v>
      </c>
      <c r="W73" s="31">
        <v>0</v>
      </c>
      <c r="X73">
        <v>0.85221977638386703</v>
      </c>
      <c r="Y73" s="31">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82</v>
      </c>
      <c r="AP73" t="s">
        <v>83</v>
      </c>
      <c r="AQ73">
        <v>827843987.96000004</v>
      </c>
      <c r="AR73">
        <v>3062</v>
      </c>
      <c r="AS73" s="31">
        <v>0</v>
      </c>
      <c r="AT73" s="31">
        <v>0</v>
      </c>
      <c r="AU73" s="31">
        <v>0</v>
      </c>
      <c r="AV73">
        <v>100</v>
      </c>
      <c r="AW73" s="31">
        <v>0</v>
      </c>
      <c r="AX73">
        <v>100</v>
      </c>
    </row>
    <row r="74" spans="1:50" x14ac:dyDescent="0.25">
      <c r="A74">
        <v>4.3</v>
      </c>
      <c r="B74">
        <v>0.95105383007684796</v>
      </c>
      <c r="C74">
        <v>28.261046737152199</v>
      </c>
      <c r="D74">
        <v>45.240284040715402</v>
      </c>
      <c r="E74">
        <v>2.7298498426786399E-2</v>
      </c>
      <c r="F74">
        <v>4.8946169923151102E-2</v>
      </c>
      <c r="G74" s="31">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1">
        <v>0</v>
      </c>
      <c r="T74" s="31">
        <v>0</v>
      </c>
      <c r="U74">
        <v>1.8733180614728201E-2</v>
      </c>
      <c r="V74">
        <v>1</v>
      </c>
      <c r="W74" s="31">
        <v>0</v>
      </c>
      <c r="X74">
        <v>0.76619444473884202</v>
      </c>
      <c r="Y74" s="31">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84</v>
      </c>
      <c r="AP74" t="s">
        <v>85</v>
      </c>
      <c r="AQ74">
        <v>109751194.54000001</v>
      </c>
      <c r="AR74">
        <v>414</v>
      </c>
      <c r="AS74" s="31">
        <v>0</v>
      </c>
      <c r="AT74" s="31">
        <v>0</v>
      </c>
      <c r="AU74" s="31">
        <v>0</v>
      </c>
      <c r="AV74">
        <v>100</v>
      </c>
      <c r="AW74" s="31">
        <v>0</v>
      </c>
      <c r="AX74">
        <v>100</v>
      </c>
    </row>
    <row r="75" spans="1:50" x14ac:dyDescent="0.25">
      <c r="A75">
        <v>4.3</v>
      </c>
      <c r="B75">
        <v>0.95106712329963905</v>
      </c>
      <c r="C75">
        <v>0.36622219306755499</v>
      </c>
      <c r="D75">
        <v>45.231098578728002</v>
      </c>
      <c r="E75">
        <v>3.0569862156209999E-4</v>
      </c>
      <c r="F75">
        <v>4.8932876700360402E-2</v>
      </c>
      <c r="G75" s="31">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1">
        <v>0</v>
      </c>
      <c r="T75" s="31">
        <v>0</v>
      </c>
      <c r="U75">
        <v>2.8012040363361902E-2</v>
      </c>
      <c r="V75">
        <v>1</v>
      </c>
      <c r="W75" s="31">
        <v>0</v>
      </c>
      <c r="X75">
        <v>0.75461686920681104</v>
      </c>
      <c r="Y75" s="31">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86</v>
      </c>
      <c r="AP75" t="s">
        <v>87</v>
      </c>
      <c r="AQ75">
        <v>39971318.600000001</v>
      </c>
      <c r="AR75">
        <v>147</v>
      </c>
      <c r="AS75" s="31">
        <v>0</v>
      </c>
      <c r="AT75" s="31">
        <v>0</v>
      </c>
      <c r="AU75" s="31">
        <v>0</v>
      </c>
      <c r="AV75">
        <v>100</v>
      </c>
      <c r="AW75" s="31">
        <v>0</v>
      </c>
      <c r="AX75">
        <v>100</v>
      </c>
    </row>
    <row r="76" spans="1:50" x14ac:dyDescent="0.25">
      <c r="A76">
        <v>4.3</v>
      </c>
      <c r="B76">
        <v>0.95286034594978397</v>
      </c>
      <c r="C76">
        <v>34.576458281537199</v>
      </c>
      <c r="D76">
        <v>43.978975645168497</v>
      </c>
      <c r="E76">
        <v>3.4739567290702898E-2</v>
      </c>
      <c r="F76">
        <v>4.7139654050215501E-2</v>
      </c>
      <c r="G76" s="31">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1">
        <v>0</v>
      </c>
      <c r="T76" s="31">
        <v>0</v>
      </c>
      <c r="U76" s="31">
        <v>0</v>
      </c>
      <c r="V76">
        <v>1</v>
      </c>
      <c r="W76" s="31">
        <v>0</v>
      </c>
      <c r="X76">
        <v>0.94361767122689999</v>
      </c>
      <c r="Y76" s="31">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154</v>
      </c>
      <c r="AP76" t="s">
        <v>155</v>
      </c>
      <c r="AQ76">
        <v>15942773.73</v>
      </c>
      <c r="AR76">
        <v>57</v>
      </c>
      <c r="AS76" s="31">
        <v>0</v>
      </c>
      <c r="AT76" s="31">
        <v>0</v>
      </c>
      <c r="AU76" s="31">
        <v>0</v>
      </c>
      <c r="AV76">
        <v>100</v>
      </c>
      <c r="AW76" s="31">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158</v>
      </c>
      <c r="H81" t="str">
        <f t="shared" ref="H81:H96" si="0">AO20</f>
        <v>groupByColumn</v>
      </c>
      <c r="I81" t="str">
        <f t="shared" ref="I81:I96" si="1">E20</f>
        <v>PREPAY_SMM1</v>
      </c>
      <c r="J81" t="s">
        <v>158</v>
      </c>
      <c r="L81" t="str">
        <f t="shared" ref="L81:L97" si="2">AO39</f>
        <v>groupByColumn</v>
      </c>
      <c r="M81" t="str">
        <f t="shared" ref="M81:M97" si="3">E39</f>
        <v>PREPAY_SMM1</v>
      </c>
      <c r="N81" t="s">
        <v>158</v>
      </c>
      <c r="P81" t="str">
        <f t="shared" ref="P81:P96" si="4">AO60</f>
        <v>groupByColumn</v>
      </c>
      <c r="Q81" t="str">
        <f t="shared" ref="Q81:Q96" si="5">E60</f>
        <v>PREPAY_SMM1</v>
      </c>
      <c r="R81" t="s">
        <v>158</v>
      </c>
      <c r="U81" t="s">
        <v>58</v>
      </c>
      <c r="V81" t="s">
        <v>126</v>
      </c>
      <c r="W81" t="s">
        <v>156</v>
      </c>
      <c r="X81" t="s">
        <v>157</v>
      </c>
      <c r="Y81" t="s">
        <v>122</v>
      </c>
    </row>
    <row r="82" spans="4:25" x14ac:dyDescent="0.25">
      <c r="D82" t="str">
        <f t="shared" ref="D82:D94" si="6">AO3</f>
        <v>06:-75--50</v>
      </c>
      <c r="E82">
        <f t="shared" ref="E82:E94" si="7">E3</f>
        <v>2.9157422292598401E-3</v>
      </c>
      <c r="F82">
        <f>100*(1-(1-E82)^12)</f>
        <v>3.4433222093304794</v>
      </c>
      <c r="H82" t="str">
        <f t="shared" si="0"/>
        <v>04:-125--100</v>
      </c>
      <c r="I82">
        <f t="shared" si="1"/>
        <v>1.0083504526031401E-8</v>
      </c>
      <c r="J82">
        <f>100*(1-(1-I82)^12)</f>
        <v>1.2100204682674587E-5</v>
      </c>
      <c r="L82" t="str">
        <f t="shared" si="2"/>
        <v>03:-150--125</v>
      </c>
      <c r="M82">
        <f t="shared" si="3"/>
        <v>0</v>
      </c>
      <c r="N82">
        <f>100*(1-(1-M82)^12)</f>
        <v>0</v>
      </c>
      <c r="P82" t="str">
        <f t="shared" si="4"/>
        <v>04:-125--100</v>
      </c>
      <c r="Q82">
        <f t="shared" si="5"/>
        <v>0</v>
      </c>
      <c r="R82">
        <f>100*(1-(1-Q82)^12)</f>
        <v>0</v>
      </c>
      <c r="U82" t="s">
        <v>62</v>
      </c>
      <c r="V82" t="e">
        <f>VLOOKUP(U82,$D$81:$F$98,3,0)</f>
        <v>#N/A</v>
      </c>
      <c r="W82" t="e">
        <f>VLOOKUP(U82,$H$81:$J$98,3,0)</f>
        <v>#N/A</v>
      </c>
      <c r="X82">
        <f>VLOOKUP(U82,$L$81:$N$98,3,0)</f>
        <v>0</v>
      </c>
      <c r="Y82" t="e">
        <f>VLOOKUP(U82,$P$81:$R$98,3,0)</f>
        <v>#N/A</v>
      </c>
    </row>
    <row r="83" spans="4:25" x14ac:dyDescent="0.25">
      <c r="D83" t="str">
        <f t="shared" si="6"/>
        <v>07:-50--25</v>
      </c>
      <c r="E83">
        <f t="shared" si="7"/>
        <v>2.25752251921006E-3</v>
      </c>
      <c r="F83">
        <f t="shared" ref="F83:F94" si="8">100*(1-(1-E83)^12)</f>
        <v>2.6756425653229554</v>
      </c>
      <c r="H83" t="str">
        <f t="shared" si="0"/>
        <v>05:-100--75</v>
      </c>
      <c r="I83">
        <f t="shared" si="1"/>
        <v>6.8667181026693799E-3</v>
      </c>
      <c r="J83">
        <f t="shared" ref="J83:J96" si="9">100*(1-(1-I83)^12)</f>
        <v>7.9358739953947595</v>
      </c>
      <c r="L83" t="str">
        <f t="shared" si="2"/>
        <v>04:-125--100</v>
      </c>
      <c r="M83">
        <f t="shared" si="3"/>
        <v>0</v>
      </c>
      <c r="N83">
        <f t="shared" ref="N83:N97" si="10">100*(1-(1-M83)^12)</f>
        <v>0</v>
      </c>
      <c r="P83" t="str">
        <f t="shared" si="4"/>
        <v>05:-100--75</v>
      </c>
      <c r="Q83">
        <f t="shared" si="5"/>
        <v>1.8160552716067701E-3</v>
      </c>
      <c r="R83">
        <f t="shared" ref="R83:R96" si="11">100*(1-(1-Q83)^12)</f>
        <v>2.1576303824957122</v>
      </c>
      <c r="U83" t="s">
        <v>63</v>
      </c>
      <c r="V83" t="e">
        <f t="shared" ref="V83:V97" si="12">VLOOKUP(U83,$D$81:$F$98,3,0)</f>
        <v>#N/A</v>
      </c>
      <c r="W83">
        <f t="shared" ref="W83:W97" si="13">VLOOKUP(U83,$H$81:$J$98,3,0)</f>
        <v>1.2100204682674587E-5</v>
      </c>
      <c r="X83">
        <f t="shared" ref="X83:X97" si="14">VLOOKUP(U83,$L$81:$N$98,3,0)</f>
        <v>0</v>
      </c>
      <c r="Y83">
        <f t="shared" ref="Y83:Y97" si="15">VLOOKUP(U83,$P$81:$R$98,3,0)</f>
        <v>0</v>
      </c>
    </row>
    <row r="84" spans="4:25" x14ac:dyDescent="0.25">
      <c r="D84" t="str">
        <f t="shared" si="6"/>
        <v>08:-25-0</v>
      </c>
      <c r="E84">
        <f t="shared" si="7"/>
        <v>1.29844706370965E-2</v>
      </c>
      <c r="F84">
        <f t="shared" si="8"/>
        <v>14.515410770881477</v>
      </c>
      <c r="H84" t="str">
        <f t="shared" si="0"/>
        <v>06:-75--50</v>
      </c>
      <c r="I84">
        <f t="shared" si="1"/>
        <v>1.5380346705518499E-3</v>
      </c>
      <c r="J84">
        <f t="shared" si="9"/>
        <v>1.8301087366494606</v>
      </c>
      <c r="L84" t="str">
        <f t="shared" si="2"/>
        <v>05:-100--75</v>
      </c>
      <c r="M84">
        <f t="shared" si="3"/>
        <v>1.0697277709633701E-2</v>
      </c>
      <c r="N84">
        <f t="shared" si="10"/>
        <v>12.107776852550668</v>
      </c>
      <c r="P84" t="str">
        <f t="shared" si="4"/>
        <v>06:-75--50</v>
      </c>
      <c r="Q84">
        <f t="shared" si="5"/>
        <v>7.6879413060304503E-3</v>
      </c>
      <c r="R84">
        <f t="shared" si="11"/>
        <v>8.845266053677193</v>
      </c>
      <c r="U84" t="s">
        <v>64</v>
      </c>
      <c r="V84" t="e">
        <f t="shared" si="12"/>
        <v>#N/A</v>
      </c>
      <c r="W84">
        <f t="shared" si="13"/>
        <v>7.9358739953947595</v>
      </c>
      <c r="X84">
        <f t="shared" si="14"/>
        <v>12.107776852550668</v>
      </c>
      <c r="Y84">
        <f t="shared" si="15"/>
        <v>2.1576303824957122</v>
      </c>
    </row>
    <row r="85" spans="4:25" x14ac:dyDescent="0.25">
      <c r="D85" t="str">
        <f t="shared" si="6"/>
        <v>09:0-25</v>
      </c>
      <c r="E85">
        <f t="shared" si="7"/>
        <v>2.5939486473995702E-2</v>
      </c>
      <c r="F85">
        <f t="shared" si="8"/>
        <v>27.048998367252651</v>
      </c>
      <c r="H85" t="str">
        <f t="shared" si="0"/>
        <v>07:-50--25</v>
      </c>
      <c r="I85">
        <f t="shared" si="1"/>
        <v>2.88456049451831E-3</v>
      </c>
      <c r="J85">
        <f t="shared" si="9"/>
        <v>3.4070806667749864</v>
      </c>
      <c r="L85" t="str">
        <f t="shared" si="2"/>
        <v>06:-75--50</v>
      </c>
      <c r="M85">
        <f t="shared" si="3"/>
        <v>2.6366897999839999E-2</v>
      </c>
      <c r="N85">
        <f t="shared" si="10"/>
        <v>27.432197884991893</v>
      </c>
      <c r="P85" t="str">
        <f t="shared" si="4"/>
        <v>07:-50--25</v>
      </c>
      <c r="Q85">
        <f t="shared" si="5"/>
        <v>5.2393000986796501E-3</v>
      </c>
      <c r="R85">
        <f t="shared" si="11"/>
        <v>6.1091154215680232</v>
      </c>
      <c r="U85" t="s">
        <v>65</v>
      </c>
      <c r="V85">
        <f t="shared" si="12"/>
        <v>3.4433222093304794</v>
      </c>
      <c r="W85">
        <f t="shared" si="13"/>
        <v>1.8301087366494606</v>
      </c>
      <c r="X85">
        <f t="shared" si="14"/>
        <v>27.432197884991893</v>
      </c>
      <c r="Y85">
        <f t="shared" si="15"/>
        <v>8.845266053677193</v>
      </c>
    </row>
    <row r="86" spans="4:25" x14ac:dyDescent="0.25">
      <c r="D86" t="str">
        <f t="shared" si="6"/>
        <v>10:25-50</v>
      </c>
      <c r="E86">
        <f t="shared" si="7"/>
        <v>4.1027432936049102E-2</v>
      </c>
      <c r="F86">
        <f t="shared" si="8"/>
        <v>39.511306539507082</v>
      </c>
      <c r="H86" t="str">
        <f t="shared" si="0"/>
        <v>08:-25-0</v>
      </c>
      <c r="I86">
        <f t="shared" si="1"/>
        <v>7.5443497930416104E-3</v>
      </c>
      <c r="J86">
        <f t="shared" si="9"/>
        <v>8.6868545747934895</v>
      </c>
      <c r="L86" t="str">
        <f t="shared" si="2"/>
        <v>07:-50--25</v>
      </c>
      <c r="M86">
        <f t="shared" si="3"/>
        <v>2.2759411103495898E-3</v>
      </c>
      <c r="N86">
        <f t="shared" si="10"/>
        <v>2.6971999783365286</v>
      </c>
      <c r="P86" t="str">
        <f t="shared" si="4"/>
        <v>08:-25-0</v>
      </c>
      <c r="Q86">
        <f t="shared" si="5"/>
        <v>6.5183614926363001E-3</v>
      </c>
      <c r="R86">
        <f t="shared" si="11"/>
        <v>7.5476108074383212</v>
      </c>
      <c r="U86" t="s">
        <v>66</v>
      </c>
      <c r="V86">
        <f t="shared" si="12"/>
        <v>2.6756425653229554</v>
      </c>
      <c r="W86">
        <f t="shared" si="13"/>
        <v>3.4070806667749864</v>
      </c>
      <c r="X86">
        <f t="shared" si="14"/>
        <v>2.6971999783365286</v>
      </c>
      <c r="Y86">
        <f t="shared" si="15"/>
        <v>6.1091154215680232</v>
      </c>
    </row>
    <row r="87" spans="4:25" x14ac:dyDescent="0.25">
      <c r="D87" t="str">
        <f t="shared" si="6"/>
        <v>11:50-75</v>
      </c>
      <c r="E87">
        <f t="shared" si="7"/>
        <v>5.1853975470512799E-2</v>
      </c>
      <c r="F87">
        <f t="shared" si="8"/>
        <v>47.215946149876075</v>
      </c>
      <c r="H87" t="str">
        <f t="shared" si="0"/>
        <v>09:0-25</v>
      </c>
      <c r="I87">
        <f t="shared" si="1"/>
        <v>1.7027448300148799E-2</v>
      </c>
      <c r="J87">
        <f t="shared" si="9"/>
        <v>18.62393407251194</v>
      </c>
      <c r="L87" t="str">
        <f t="shared" si="2"/>
        <v>08:-25-0</v>
      </c>
      <c r="M87">
        <f t="shared" si="3"/>
        <v>8.9923175072531992E-3</v>
      </c>
      <c r="N87">
        <f t="shared" si="10"/>
        <v>10.272771210009758</v>
      </c>
      <c r="P87" t="str">
        <f t="shared" si="4"/>
        <v>09:0-25</v>
      </c>
      <c r="Q87">
        <f t="shared" si="5"/>
        <v>1.04068917875793E-2</v>
      </c>
      <c r="R87">
        <f t="shared" si="11"/>
        <v>11.797692900111823</v>
      </c>
      <c r="U87" t="s">
        <v>67</v>
      </c>
      <c r="V87">
        <f t="shared" si="12"/>
        <v>14.515410770881477</v>
      </c>
      <c r="W87">
        <f t="shared" si="13"/>
        <v>8.6868545747934895</v>
      </c>
      <c r="X87">
        <f t="shared" si="14"/>
        <v>10.272771210009758</v>
      </c>
      <c r="Y87">
        <f t="shared" si="15"/>
        <v>7.5476108074383212</v>
      </c>
    </row>
    <row r="88" spans="4:25" x14ac:dyDescent="0.25">
      <c r="D88" t="str">
        <f t="shared" si="6"/>
        <v>12:75-100</v>
      </c>
      <c r="E88">
        <f t="shared" si="7"/>
        <v>4.9717463343028401E-2</v>
      </c>
      <c r="F88">
        <f t="shared" si="8"/>
        <v>45.770827219617814</v>
      </c>
      <c r="H88" t="str">
        <f t="shared" si="0"/>
        <v>10:25-50</v>
      </c>
      <c r="I88">
        <f t="shared" si="1"/>
        <v>2.94853641310296E-2</v>
      </c>
      <c r="J88">
        <f t="shared" si="9"/>
        <v>30.1727288819705</v>
      </c>
      <c r="L88" t="str">
        <f t="shared" si="2"/>
        <v>09:0-25</v>
      </c>
      <c r="M88">
        <f t="shared" si="3"/>
        <v>1.6971761849218399E-2</v>
      </c>
      <c r="N88">
        <f t="shared" si="10"/>
        <v>18.56859633389023</v>
      </c>
      <c r="P88" t="str">
        <f t="shared" si="4"/>
        <v>10:25-50</v>
      </c>
      <c r="Q88">
        <f t="shared" si="5"/>
        <v>1.5962751643881098E-2</v>
      </c>
      <c r="R88">
        <f t="shared" si="11"/>
        <v>17.559910432581518</v>
      </c>
      <c r="U88" t="s">
        <v>68</v>
      </c>
      <c r="V88">
        <f t="shared" si="12"/>
        <v>27.048998367252651</v>
      </c>
      <c r="W88">
        <f t="shared" si="13"/>
        <v>18.62393407251194</v>
      </c>
      <c r="X88">
        <f t="shared" si="14"/>
        <v>18.56859633389023</v>
      </c>
      <c r="Y88">
        <f t="shared" si="15"/>
        <v>11.797692900111823</v>
      </c>
    </row>
    <row r="89" spans="4:25" x14ac:dyDescent="0.25">
      <c r="D89" t="str">
        <f t="shared" si="6"/>
        <v>13:100-125</v>
      </c>
      <c r="E89">
        <f t="shared" si="7"/>
        <v>4.9919768812099398E-2</v>
      </c>
      <c r="F89">
        <f t="shared" si="8"/>
        <v>45.909203181044674</v>
      </c>
      <c r="H89" t="str">
        <f t="shared" si="0"/>
        <v>11:50-75</v>
      </c>
      <c r="I89">
        <f t="shared" si="1"/>
        <v>3.9071235046389097E-2</v>
      </c>
      <c r="J89">
        <f t="shared" si="9"/>
        <v>38.013897829902064</v>
      </c>
      <c r="L89" t="str">
        <f t="shared" si="2"/>
        <v>10:25-50</v>
      </c>
      <c r="M89">
        <f t="shared" si="3"/>
        <v>2.9470389804280701E-2</v>
      </c>
      <c r="N89">
        <f t="shared" si="10"/>
        <v>30.159799183788238</v>
      </c>
      <c r="P89" t="str">
        <f t="shared" si="4"/>
        <v>11:50-75</v>
      </c>
      <c r="Q89">
        <f t="shared" si="5"/>
        <v>2.4424861373680599E-2</v>
      </c>
      <c r="R89">
        <f t="shared" si="11"/>
        <v>25.676065547610772</v>
      </c>
      <c r="U89" t="s">
        <v>70</v>
      </c>
      <c r="V89">
        <f t="shared" si="12"/>
        <v>39.511306539507082</v>
      </c>
      <c r="W89">
        <f t="shared" si="13"/>
        <v>30.1727288819705</v>
      </c>
      <c r="X89">
        <f t="shared" si="14"/>
        <v>30.159799183788238</v>
      </c>
      <c r="Y89">
        <f t="shared" si="15"/>
        <v>17.559910432581518</v>
      </c>
    </row>
    <row r="90" spans="4:25" x14ac:dyDescent="0.25">
      <c r="D90" t="str">
        <f t="shared" si="6"/>
        <v>14:125-150</v>
      </c>
      <c r="E90">
        <f t="shared" si="7"/>
        <v>5.0754696248407602E-2</v>
      </c>
      <c r="F90">
        <f t="shared" si="8"/>
        <v>46.476872003021043</v>
      </c>
      <c r="H90" t="str">
        <f t="shared" si="0"/>
        <v>12:75-100</v>
      </c>
      <c r="I90">
        <f t="shared" si="1"/>
        <v>4.4952399751599599E-2</v>
      </c>
      <c r="J90">
        <f t="shared" si="9"/>
        <v>42.416214440489064</v>
      </c>
      <c r="L90" t="str">
        <f t="shared" si="2"/>
        <v>11:50-75</v>
      </c>
      <c r="M90">
        <f t="shared" si="3"/>
        <v>4.1874132965458298E-2</v>
      </c>
      <c r="N90">
        <f t="shared" si="10"/>
        <v>40.14908663130624</v>
      </c>
      <c r="P90" t="str">
        <f t="shared" si="4"/>
        <v>12:75-100</v>
      </c>
      <c r="Q90">
        <f t="shared" si="5"/>
        <v>3.1043832062453099E-2</v>
      </c>
      <c r="R90">
        <f t="shared" si="11"/>
        <v>31.50646531209922</v>
      </c>
      <c r="U90" t="s">
        <v>72</v>
      </c>
      <c r="V90">
        <f t="shared" si="12"/>
        <v>47.215946149876075</v>
      </c>
      <c r="W90">
        <f t="shared" si="13"/>
        <v>38.013897829902064</v>
      </c>
      <c r="X90">
        <f t="shared" si="14"/>
        <v>40.14908663130624</v>
      </c>
      <c r="Y90">
        <f t="shared" si="15"/>
        <v>25.676065547610772</v>
      </c>
    </row>
    <row r="91" spans="4:25" x14ac:dyDescent="0.25">
      <c r="D91" t="str">
        <f t="shared" si="6"/>
        <v>15:150-175</v>
      </c>
      <c r="E91">
        <f t="shared" si="7"/>
        <v>4.7514462955103302E-2</v>
      </c>
      <c r="F91">
        <f t="shared" si="8"/>
        <v>44.242835662966016</v>
      </c>
      <c r="H91" t="str">
        <f t="shared" si="0"/>
        <v>13:100-125</v>
      </c>
      <c r="I91">
        <f t="shared" si="1"/>
        <v>4.5562890713052299E-2</v>
      </c>
      <c r="J91">
        <f t="shared" si="9"/>
        <v>42.85637323294408</v>
      </c>
      <c r="L91" t="str">
        <f t="shared" si="2"/>
        <v>12:75-100</v>
      </c>
      <c r="M91">
        <f t="shared" si="3"/>
        <v>4.5374116267844898E-2</v>
      </c>
      <c r="N91">
        <f t="shared" si="10"/>
        <v>42.720598979704036</v>
      </c>
      <c r="P91" t="str">
        <f t="shared" si="4"/>
        <v>13:100-125</v>
      </c>
      <c r="Q91">
        <f t="shared" si="5"/>
        <v>3.5513148980895901E-2</v>
      </c>
      <c r="R91">
        <f t="shared" si="11"/>
        <v>35.20287534090081</v>
      </c>
      <c r="U91" t="s">
        <v>74</v>
      </c>
      <c r="V91">
        <f t="shared" si="12"/>
        <v>45.770827219617814</v>
      </c>
      <c r="W91">
        <f t="shared" si="13"/>
        <v>42.416214440489064</v>
      </c>
      <c r="X91">
        <f t="shared" si="14"/>
        <v>42.720598979704036</v>
      </c>
      <c r="Y91">
        <f t="shared" si="15"/>
        <v>31.50646531209922</v>
      </c>
    </row>
    <row r="92" spans="4:25" x14ac:dyDescent="0.25">
      <c r="D92" t="str">
        <f t="shared" si="6"/>
        <v>16:175-200</v>
      </c>
      <c r="E92">
        <f t="shared" si="7"/>
        <v>6.1197489207662902E-2</v>
      </c>
      <c r="F92">
        <f t="shared" si="8"/>
        <v>53.130436470808448</v>
      </c>
      <c r="H92" t="str">
        <f t="shared" si="0"/>
        <v>14:125-150</v>
      </c>
      <c r="I92">
        <f t="shared" si="1"/>
        <v>4.8312694015717403E-2</v>
      </c>
      <c r="J92">
        <f t="shared" si="9"/>
        <v>44.800986208120854</v>
      </c>
      <c r="L92" t="str">
        <f t="shared" si="2"/>
        <v>13:100-125</v>
      </c>
      <c r="M92">
        <f t="shared" si="3"/>
        <v>4.6719362255706602E-2</v>
      </c>
      <c r="N92">
        <f t="shared" si="10"/>
        <v>43.681735268574954</v>
      </c>
      <c r="P92" t="str">
        <f t="shared" si="4"/>
        <v>14:125-150</v>
      </c>
      <c r="Q92">
        <f t="shared" si="5"/>
        <v>3.5624577813361397E-2</v>
      </c>
      <c r="R92">
        <f t="shared" si="11"/>
        <v>35.292651765802354</v>
      </c>
      <c r="U92" t="s">
        <v>76</v>
      </c>
      <c r="V92">
        <f t="shared" si="12"/>
        <v>45.909203181044674</v>
      </c>
      <c r="W92">
        <f t="shared" si="13"/>
        <v>42.85637323294408</v>
      </c>
      <c r="X92">
        <f t="shared" si="14"/>
        <v>43.681735268574954</v>
      </c>
      <c r="Y92">
        <f t="shared" si="15"/>
        <v>35.20287534090081</v>
      </c>
    </row>
    <row r="93" spans="4:25" x14ac:dyDescent="0.25">
      <c r="D93" t="str">
        <f t="shared" si="6"/>
        <v>17:200-225</v>
      </c>
      <c r="E93">
        <f t="shared" si="7"/>
        <v>5.2273954856408698E-2</v>
      </c>
      <c r="F93">
        <f t="shared" si="8"/>
        <v>47.495830730037483</v>
      </c>
      <c r="H93" t="str">
        <f t="shared" si="0"/>
        <v>15:150-175</v>
      </c>
      <c r="I93">
        <f t="shared" si="1"/>
        <v>4.4353499314622603E-2</v>
      </c>
      <c r="J93">
        <f t="shared" si="9"/>
        <v>41.981394455784212</v>
      </c>
      <c r="L93" t="str">
        <f t="shared" si="2"/>
        <v>14:125-150</v>
      </c>
      <c r="M93">
        <f t="shared" si="3"/>
        <v>4.45119217051353E-2</v>
      </c>
      <c r="N93">
        <f t="shared" si="10"/>
        <v>42.096705760367449</v>
      </c>
      <c r="P93" t="str">
        <f t="shared" si="4"/>
        <v>15:150-175</v>
      </c>
      <c r="Q93">
        <f t="shared" si="5"/>
        <v>3.4136214325988998E-2</v>
      </c>
      <c r="R93">
        <f t="shared" si="11"/>
        <v>34.084038108405224</v>
      </c>
      <c r="U93" t="s">
        <v>78</v>
      </c>
      <c r="V93">
        <f t="shared" si="12"/>
        <v>46.476872003021043</v>
      </c>
      <c r="W93">
        <f t="shared" si="13"/>
        <v>44.800986208120854</v>
      </c>
      <c r="X93">
        <f t="shared" si="14"/>
        <v>42.096705760367449</v>
      </c>
      <c r="Y93">
        <f t="shared" si="15"/>
        <v>35.292651765802354</v>
      </c>
    </row>
    <row r="94" spans="4:25" x14ac:dyDescent="0.25">
      <c r="D94" t="str">
        <f t="shared" si="6"/>
        <v>18:225-250</v>
      </c>
      <c r="E94">
        <f t="shared" si="7"/>
        <v>5.09258869416227E-2</v>
      </c>
      <c r="F94">
        <f t="shared" si="8"/>
        <v>46.59258807901702</v>
      </c>
      <c r="H94" t="str">
        <f t="shared" si="0"/>
        <v>16:175-200</v>
      </c>
      <c r="I94">
        <f t="shared" si="1"/>
        <v>5.4036720883535297E-2</v>
      </c>
      <c r="J94">
        <f t="shared" si="9"/>
        <v>48.655806463704451</v>
      </c>
      <c r="L94" t="str">
        <f t="shared" si="2"/>
        <v>15:150-175</v>
      </c>
      <c r="M94">
        <f t="shared" si="3"/>
        <v>4.7132848981646797E-2</v>
      </c>
      <c r="N94">
        <f t="shared" si="10"/>
        <v>43.974174414158249</v>
      </c>
      <c r="P94" t="str">
        <f t="shared" si="4"/>
        <v>16:175-200</v>
      </c>
      <c r="Q94">
        <f t="shared" si="5"/>
        <v>3.3626457099512501E-2</v>
      </c>
      <c r="R94">
        <f t="shared" si="11"/>
        <v>33.665359871941824</v>
      </c>
      <c r="U94" t="s">
        <v>80</v>
      </c>
      <c r="V94">
        <f t="shared" si="12"/>
        <v>44.242835662966016</v>
      </c>
      <c r="W94">
        <f t="shared" si="13"/>
        <v>41.981394455784212</v>
      </c>
      <c r="X94">
        <f t="shared" si="14"/>
        <v>43.974174414158249</v>
      </c>
      <c r="Y94">
        <f t="shared" si="15"/>
        <v>34.084038108405224</v>
      </c>
    </row>
    <row r="95" spans="4:25" x14ac:dyDescent="0.25">
      <c r="H95" t="str">
        <f t="shared" si="0"/>
        <v>17:200-225</v>
      </c>
      <c r="I95">
        <f t="shared" si="1"/>
        <v>3.9465442896729298E-2</v>
      </c>
      <c r="J95">
        <f t="shared" si="9"/>
        <v>38.318357648759196</v>
      </c>
      <c r="L95" t="str">
        <f t="shared" si="2"/>
        <v>16:175-200</v>
      </c>
      <c r="M95">
        <f t="shared" si="3"/>
        <v>6.4899798897641206E-2</v>
      </c>
      <c r="N95">
        <f t="shared" si="10"/>
        <v>55.301000258754321</v>
      </c>
      <c r="P95" t="str">
        <f t="shared" si="4"/>
        <v>17:200-225</v>
      </c>
      <c r="Q95">
        <f t="shared" si="5"/>
        <v>2.7298498426786399E-2</v>
      </c>
      <c r="R95">
        <f t="shared" si="11"/>
        <v>28.261046737152341</v>
      </c>
      <c r="U95" t="s">
        <v>82</v>
      </c>
      <c r="V95">
        <f t="shared" si="12"/>
        <v>53.130436470808448</v>
      </c>
      <c r="W95">
        <f t="shared" si="13"/>
        <v>48.655806463704451</v>
      </c>
      <c r="X95">
        <f t="shared" si="14"/>
        <v>55.301000258754321</v>
      </c>
      <c r="Y95">
        <f t="shared" si="15"/>
        <v>33.665359871941824</v>
      </c>
    </row>
    <row r="96" spans="4:25" x14ac:dyDescent="0.25">
      <c r="H96" t="str">
        <f t="shared" si="0"/>
        <v>18:225-250</v>
      </c>
      <c r="I96">
        <f t="shared" si="1"/>
        <v>2.1363410908492999E-2</v>
      </c>
      <c r="J96">
        <f t="shared" si="9"/>
        <v>22.828420602886045</v>
      </c>
      <c r="L96" t="str">
        <f t="shared" si="2"/>
        <v>17:200-225</v>
      </c>
      <c r="M96">
        <f t="shared" si="3"/>
        <v>6.22147879329044E-2</v>
      </c>
      <c r="N96">
        <f t="shared" si="10"/>
        <v>53.736278937248748</v>
      </c>
      <c r="P96" t="str">
        <f t="shared" si="4"/>
        <v>18:225-250</v>
      </c>
      <c r="Q96">
        <f t="shared" si="5"/>
        <v>3.0569862156209999E-4</v>
      </c>
      <c r="R96">
        <f t="shared" si="11"/>
        <v>0.36622219306756687</v>
      </c>
      <c r="U96" t="s">
        <v>84</v>
      </c>
      <c r="V96">
        <f t="shared" si="12"/>
        <v>47.495830730037483</v>
      </c>
      <c r="W96">
        <f t="shared" si="13"/>
        <v>38.318357648759196</v>
      </c>
      <c r="X96">
        <f t="shared" si="14"/>
        <v>53.736278937248748</v>
      </c>
      <c r="Y96">
        <f t="shared" si="15"/>
        <v>28.261046737152341</v>
      </c>
    </row>
    <row r="97" spans="12:25" x14ac:dyDescent="0.25">
      <c r="L97" t="str">
        <f t="shared" si="2"/>
        <v>18:225-250</v>
      </c>
      <c r="M97">
        <f t="shared" si="3"/>
        <v>0</v>
      </c>
      <c r="N97">
        <f t="shared" si="10"/>
        <v>0</v>
      </c>
      <c r="U97" t="s">
        <v>86</v>
      </c>
      <c r="V97">
        <f t="shared" si="12"/>
        <v>46.59258807901702</v>
      </c>
      <c r="W97">
        <f t="shared" si="13"/>
        <v>22.828420602886045</v>
      </c>
      <c r="X97">
        <f t="shared" si="14"/>
        <v>0</v>
      </c>
      <c r="Y97">
        <f t="shared" si="15"/>
        <v>0.36622219306756687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103</v>
      </c>
      <c r="B1" t="s">
        <v>104</v>
      </c>
      <c r="F1" s="13" t="s">
        <v>103</v>
      </c>
      <c r="G1" t="s">
        <v>102</v>
      </c>
      <c r="K1" s="13" t="s">
        <v>103</v>
      </c>
      <c r="L1" t="s">
        <v>105</v>
      </c>
    </row>
    <row r="3" spans="1:12" x14ac:dyDescent="0.25">
      <c r="A3" s="13" t="s">
        <v>99</v>
      </c>
      <c r="B3" t="s">
        <v>100</v>
      </c>
      <c r="F3" s="13" t="s">
        <v>99</v>
      </c>
      <c r="G3" t="s">
        <v>100</v>
      </c>
      <c r="K3" s="13" t="s">
        <v>99</v>
      </c>
      <c r="L3" t="s">
        <v>100</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101</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101</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101</v>
      </c>
      <c r="B915" s="12">
        <v>0.92777098243689093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0"/>
  <sheetViews>
    <sheetView topLeftCell="A52" zoomScale="80" zoomScaleNormal="80" workbookViewId="0">
      <pane xSplit="31860" topLeftCell="AR1"/>
      <selection activeCell="H125" sqref="H125"/>
      <selection pane="topRight" activeCell="BC166" sqref="BC166"/>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186</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0.99833296751924105</v>
      </c>
      <c r="C3" s="4">
        <v>0.26130404937886298</v>
      </c>
      <c r="D3" s="4">
        <v>1.9821991324533701</v>
      </c>
      <c r="E3" s="4">
        <v>2.1801460161579799E-4</v>
      </c>
      <c r="F3" s="5">
        <v>1.6670324807580401E-3</v>
      </c>
      <c r="G3" s="5">
        <v>0</v>
      </c>
      <c r="H3" s="4">
        <v>3.25</v>
      </c>
      <c r="I3" s="4">
        <v>3.7357635577989301</v>
      </c>
      <c r="J3" s="4">
        <v>-40.5097267274964</v>
      </c>
      <c r="K3" s="4">
        <v>-155.500954051935</v>
      </c>
      <c r="L3" s="4">
        <v>14.5625517952497</v>
      </c>
      <c r="M3" s="4">
        <v>3.27256826010104</v>
      </c>
      <c r="N3" s="4">
        <v>80</v>
      </c>
      <c r="O3" s="4">
        <v>77.654292440335894</v>
      </c>
      <c r="P3" s="4">
        <v>291131.10861560702</v>
      </c>
      <c r="Q3" s="4">
        <v>274125.36333333299</v>
      </c>
      <c r="R3" s="4">
        <v>774.19702452681895</v>
      </c>
      <c r="S3" s="4">
        <v>0</v>
      </c>
      <c r="T3" s="4">
        <v>0</v>
      </c>
      <c r="U3" s="4">
        <v>0</v>
      </c>
      <c r="V3" s="4">
        <v>0.45074386829509999</v>
      </c>
      <c r="W3" s="4">
        <v>0</v>
      </c>
      <c r="X3" s="4">
        <v>0</v>
      </c>
      <c r="Y3" s="4">
        <v>0</v>
      </c>
      <c r="Z3" s="5">
        <v>1.60686101391882E-4</v>
      </c>
      <c r="AA3" s="5">
        <v>5.3411715082815599E-6</v>
      </c>
      <c r="AB3" s="10">
        <v>1.5009879610045501E-3</v>
      </c>
      <c r="AC3" s="10">
        <v>0</v>
      </c>
      <c r="AD3" s="10">
        <v>0</v>
      </c>
      <c r="AE3" s="4">
        <v>2.4554217237891699E-2</v>
      </c>
      <c r="AF3" s="4">
        <v>1</v>
      </c>
      <c r="AG3" s="4">
        <v>1</v>
      </c>
      <c r="AH3" s="4">
        <v>1</v>
      </c>
      <c r="AI3" s="4">
        <v>1</v>
      </c>
      <c r="AJ3" s="4">
        <v>1</v>
      </c>
      <c r="AK3" s="4">
        <v>1</v>
      </c>
      <c r="AL3" s="4">
        <v>1</v>
      </c>
      <c r="AM3" s="4">
        <v>0</v>
      </c>
      <c r="AN3" s="4">
        <v>0</v>
      </c>
      <c r="AO3" s="4" t="s">
        <v>172</v>
      </c>
      <c r="AP3" s="4">
        <f>-175--150</f>
        <v>-25</v>
      </c>
      <c r="AQ3" s="6">
        <v>822376.09</v>
      </c>
      <c r="AR3" s="4">
        <v>3</v>
      </c>
      <c r="AS3" s="15">
        <v>0</v>
      </c>
      <c r="AT3" s="15">
        <v>54.925613170489903</v>
      </c>
      <c r="AU3" s="15">
        <v>54.925613170489903</v>
      </c>
      <c r="AV3" s="15">
        <v>45.074386829509997</v>
      </c>
      <c r="AW3" s="15">
        <v>45.074386829509997</v>
      </c>
      <c r="AX3" s="15">
        <v>0</v>
      </c>
      <c r="AY3" s="31">
        <v>0</v>
      </c>
    </row>
    <row r="4" spans="1:51" x14ac:dyDescent="0.25">
      <c r="A4">
        <v>97</v>
      </c>
      <c r="B4" s="4">
        <v>0.99842361805401003</v>
      </c>
      <c r="C4" s="4">
        <v>0.16230363877051099</v>
      </c>
      <c r="D4" s="4">
        <v>1.87534334213537</v>
      </c>
      <c r="E4" s="4">
        <v>1.3535375036780899E-4</v>
      </c>
      <c r="F4" s="5">
        <v>1.57638194598959E-3</v>
      </c>
      <c r="G4" s="5">
        <v>0</v>
      </c>
      <c r="H4" s="4">
        <v>3.5272565621367198</v>
      </c>
      <c r="I4" s="4">
        <v>3.8043424532899599</v>
      </c>
      <c r="J4" s="4">
        <v>-22.033008462153099</v>
      </c>
      <c r="K4" s="4">
        <v>-133.73727504956</v>
      </c>
      <c r="L4" s="4">
        <v>15.318143543433701</v>
      </c>
      <c r="M4" s="4">
        <v>4.2985067579835601</v>
      </c>
      <c r="N4" s="4">
        <v>78.8698986087267</v>
      </c>
      <c r="O4" s="4">
        <v>77.210090162493401</v>
      </c>
      <c r="P4" s="4">
        <v>278644.18268214801</v>
      </c>
      <c r="Q4" s="4">
        <v>260629.582608695</v>
      </c>
      <c r="R4" s="4">
        <v>780.52698377827699</v>
      </c>
      <c r="S4" s="4">
        <v>0</v>
      </c>
      <c r="T4" s="4">
        <v>0</v>
      </c>
      <c r="U4" s="4">
        <v>4.42107592844911E-2</v>
      </c>
      <c r="V4" s="4">
        <v>0.62073294459349604</v>
      </c>
      <c r="W4" s="4">
        <v>0</v>
      </c>
      <c r="X4" s="4">
        <v>0.47866670479062701</v>
      </c>
      <c r="Y4" s="4">
        <v>0</v>
      </c>
      <c r="Z4" s="5">
        <v>2.1594278783547199E-4</v>
      </c>
      <c r="AA4" s="5">
        <v>1.99806738081085E-5</v>
      </c>
      <c r="AB4" s="10">
        <v>1.33892399120207E-3</v>
      </c>
      <c r="AC4" s="10">
        <v>0</v>
      </c>
      <c r="AD4" s="10">
        <v>1.52058423794329E-6</v>
      </c>
      <c r="AE4" s="4">
        <v>1.36347347220217E-2</v>
      </c>
      <c r="AF4" s="4">
        <v>0.95578924071550797</v>
      </c>
      <c r="AG4" s="4">
        <v>1</v>
      </c>
      <c r="AH4" s="4">
        <v>1</v>
      </c>
      <c r="AI4" s="4">
        <v>1</v>
      </c>
      <c r="AJ4" s="4">
        <v>1</v>
      </c>
      <c r="AK4" s="4">
        <v>1</v>
      </c>
      <c r="AL4" s="4">
        <v>1</v>
      </c>
      <c r="AM4" s="4">
        <v>0</v>
      </c>
      <c r="AN4" s="4">
        <v>0</v>
      </c>
      <c r="AO4" s="4" t="s">
        <v>62</v>
      </c>
      <c r="AP4" s="4">
        <f>-150--125</f>
        <v>-25</v>
      </c>
      <c r="AQ4" s="6">
        <v>5994480.4000000004</v>
      </c>
      <c r="AR4" s="4">
        <v>23</v>
      </c>
      <c r="AS4" s="15">
        <v>0</v>
      </c>
      <c r="AT4" s="15">
        <v>37.926705540650303</v>
      </c>
      <c r="AU4" s="15">
        <v>37.926705540650303</v>
      </c>
      <c r="AV4" s="15">
        <v>62.073294459349597</v>
      </c>
      <c r="AW4" s="15">
        <v>62.073294459349597</v>
      </c>
      <c r="AX4" s="15">
        <v>0</v>
      </c>
      <c r="AY4" s="31">
        <v>0</v>
      </c>
    </row>
    <row r="5" spans="1:51" x14ac:dyDescent="0.25">
      <c r="A5">
        <v>97</v>
      </c>
      <c r="B5" s="4">
        <v>0.99808060066035598</v>
      </c>
      <c r="C5" s="4">
        <v>0.18121176777321499</v>
      </c>
      <c r="D5" s="4">
        <v>2.2791190859844099</v>
      </c>
      <c r="E5" s="4">
        <v>1.5113537366504001E-4</v>
      </c>
      <c r="F5" s="5">
        <v>1.91939933964365E-3</v>
      </c>
      <c r="G5" s="5">
        <v>0</v>
      </c>
      <c r="H5" s="4">
        <v>3.6597933714380799</v>
      </c>
      <c r="I5" s="4">
        <v>3.8379447716388002</v>
      </c>
      <c r="J5" s="4">
        <v>-23.588856619635699</v>
      </c>
      <c r="K5" s="4">
        <v>-109.755207631009</v>
      </c>
      <c r="L5" s="4">
        <v>15.3059600022148</v>
      </c>
      <c r="M5" s="4">
        <v>4.90243141703281</v>
      </c>
      <c r="N5" s="4">
        <v>79.067811119566002</v>
      </c>
      <c r="O5" s="4">
        <v>77.250089898522702</v>
      </c>
      <c r="P5" s="4">
        <v>287089.08314355899</v>
      </c>
      <c r="Q5" s="4">
        <v>248393.64142857099</v>
      </c>
      <c r="R5" s="4">
        <v>779.35781240047402</v>
      </c>
      <c r="S5" s="4">
        <v>0</v>
      </c>
      <c r="T5" s="4">
        <v>0</v>
      </c>
      <c r="U5" s="4">
        <v>6.64775508076592E-2</v>
      </c>
      <c r="V5" s="4">
        <v>0.57868609519099201</v>
      </c>
      <c r="W5" s="4">
        <v>0</v>
      </c>
      <c r="X5" s="4">
        <v>0.66174794158583505</v>
      </c>
      <c r="Y5" s="4">
        <v>0</v>
      </c>
      <c r="Z5" s="5">
        <v>2.6488139324805197E-4</v>
      </c>
      <c r="AA5" s="5">
        <v>2.02344247242771E-5</v>
      </c>
      <c r="AB5" s="10">
        <v>1.45530049837893E-3</v>
      </c>
      <c r="AC5" s="10">
        <v>0</v>
      </c>
      <c r="AD5" s="10">
        <v>1.7896852419920799E-4</v>
      </c>
      <c r="AE5" s="4">
        <v>1.08410567072972E-2</v>
      </c>
      <c r="AF5" s="4">
        <v>0.97253223790375598</v>
      </c>
      <c r="AG5" s="4">
        <v>1</v>
      </c>
      <c r="AH5" s="4">
        <v>1</v>
      </c>
      <c r="AI5" s="4">
        <v>1</v>
      </c>
      <c r="AJ5" s="4">
        <v>1</v>
      </c>
      <c r="AK5" s="4">
        <v>1</v>
      </c>
      <c r="AL5" s="4">
        <v>1</v>
      </c>
      <c r="AM5" s="4">
        <v>0</v>
      </c>
      <c r="AN5" s="4">
        <v>0</v>
      </c>
      <c r="AO5" s="4" t="s">
        <v>63</v>
      </c>
      <c r="AP5" s="4">
        <f>-125--100</f>
        <v>-25</v>
      </c>
      <c r="AQ5" s="6">
        <v>24342576.859999999</v>
      </c>
      <c r="AR5" s="4">
        <v>98</v>
      </c>
      <c r="AS5" s="15">
        <v>0</v>
      </c>
      <c r="AT5" s="15">
        <v>42.131390480900698</v>
      </c>
      <c r="AU5" s="15">
        <v>42.131390480900698</v>
      </c>
      <c r="AV5" s="15">
        <v>57.868609519099202</v>
      </c>
      <c r="AW5" s="15">
        <v>57.868609519099202</v>
      </c>
      <c r="AX5" s="15">
        <v>0</v>
      </c>
      <c r="AY5" s="31">
        <v>0</v>
      </c>
    </row>
    <row r="6" spans="1:51" x14ac:dyDescent="0.25">
      <c r="A6">
        <v>97</v>
      </c>
      <c r="B6" s="4">
        <v>0.99802284074168102</v>
      </c>
      <c r="C6" s="4">
        <v>3.60785333005999</v>
      </c>
      <c r="D6" s="4">
        <v>2.3469599469440099</v>
      </c>
      <c r="E6" s="4">
        <v>3.0574376362177999E-3</v>
      </c>
      <c r="F6" s="5">
        <v>1.9771592583180501E-3</v>
      </c>
      <c r="G6" s="5">
        <v>0</v>
      </c>
      <c r="H6" s="4">
        <v>3.2951591661489399</v>
      </c>
      <c r="I6" s="4">
        <v>3.8031731104219801</v>
      </c>
      <c r="J6" s="4">
        <v>-51.130374264504802</v>
      </c>
      <c r="K6" s="4">
        <v>-82.887943991012307</v>
      </c>
      <c r="L6" s="4">
        <v>16.468467022167601</v>
      </c>
      <c r="M6" s="4">
        <v>4.5559091896577</v>
      </c>
      <c r="N6" s="4">
        <v>78.442480652920096</v>
      </c>
      <c r="O6" s="4">
        <v>76.520645502063999</v>
      </c>
      <c r="P6" s="4">
        <v>264670.49590421101</v>
      </c>
      <c r="Q6" s="4">
        <v>238741.99455112201</v>
      </c>
      <c r="R6" s="4">
        <v>779.20984075212596</v>
      </c>
      <c r="S6" s="4">
        <v>0</v>
      </c>
      <c r="T6" s="4">
        <v>0</v>
      </c>
      <c r="U6" s="4">
        <v>2.1720415417495701E-2</v>
      </c>
      <c r="V6" s="4">
        <v>0.72115303144906495</v>
      </c>
      <c r="W6" s="4">
        <v>0</v>
      </c>
      <c r="X6" s="4">
        <v>0.558726537379581</v>
      </c>
      <c r="Y6" s="4">
        <v>0</v>
      </c>
      <c r="Z6" s="5">
        <v>2.8078565719019802E-4</v>
      </c>
      <c r="AA6" s="5">
        <v>1.60451296004879E-5</v>
      </c>
      <c r="AB6" s="10">
        <v>1.4023498981702699E-3</v>
      </c>
      <c r="AC6" s="10">
        <v>0</v>
      </c>
      <c r="AD6" s="10">
        <v>2.77967194789438E-4</v>
      </c>
      <c r="AE6" s="4">
        <v>1.2095996819175101E-2</v>
      </c>
      <c r="AF6" s="4">
        <v>0.97058985669855802</v>
      </c>
      <c r="AG6" s="4">
        <v>1</v>
      </c>
      <c r="AH6" s="4">
        <v>1</v>
      </c>
      <c r="AI6" s="4">
        <v>1</v>
      </c>
      <c r="AJ6" s="4">
        <v>1</v>
      </c>
      <c r="AK6" s="4">
        <v>1</v>
      </c>
      <c r="AL6" s="4">
        <v>1</v>
      </c>
      <c r="AM6" s="4">
        <v>0</v>
      </c>
      <c r="AN6" s="4">
        <v>0</v>
      </c>
      <c r="AO6" s="4" t="s">
        <v>64</v>
      </c>
      <c r="AP6" s="4">
        <f>-100--75</f>
        <v>-25</v>
      </c>
      <c r="AQ6" s="6">
        <v>191471079.63</v>
      </c>
      <c r="AR6" s="4">
        <v>802</v>
      </c>
      <c r="AS6" s="15">
        <v>0</v>
      </c>
      <c r="AT6" s="15">
        <v>27.884696855093399</v>
      </c>
      <c r="AU6" s="15">
        <v>27.884696855093399</v>
      </c>
      <c r="AV6" s="15">
        <v>72.115303144906505</v>
      </c>
      <c r="AW6" s="15">
        <v>72.115303144906505</v>
      </c>
      <c r="AX6" s="15">
        <v>0</v>
      </c>
      <c r="AY6">
        <v>2.0677368331293799E-2</v>
      </c>
    </row>
    <row r="7" spans="1:51" x14ac:dyDescent="0.25">
      <c r="A7">
        <v>97</v>
      </c>
      <c r="B7" s="4">
        <v>0.99829917089660103</v>
      </c>
      <c r="C7" s="4">
        <v>2.5251789314700099</v>
      </c>
      <c r="D7" s="4">
        <v>2.0220101455705901</v>
      </c>
      <c r="E7" s="4">
        <v>2.12907087201001E-3</v>
      </c>
      <c r="F7" s="5">
        <v>1.70082910339897E-3</v>
      </c>
      <c r="G7" s="5">
        <v>0</v>
      </c>
      <c r="H7" s="4">
        <v>3.4176097693573499</v>
      </c>
      <c r="I7" s="4">
        <v>3.8696585093214</v>
      </c>
      <c r="J7" s="4">
        <v>-46.760689757214102</v>
      </c>
      <c r="K7" s="4">
        <v>-57.590533903140503</v>
      </c>
      <c r="L7" s="4">
        <v>16.353256202471101</v>
      </c>
      <c r="M7" s="4">
        <v>4.4696039194420001</v>
      </c>
      <c r="N7" s="4">
        <v>77.304997706514698</v>
      </c>
      <c r="O7" s="4">
        <v>75.8105967936078</v>
      </c>
      <c r="P7" s="4">
        <v>264339.53198124602</v>
      </c>
      <c r="Q7" s="4">
        <v>242223.693014188</v>
      </c>
      <c r="R7" s="4">
        <v>780.28506723430701</v>
      </c>
      <c r="S7" s="4">
        <v>0</v>
      </c>
      <c r="T7" s="4">
        <v>0</v>
      </c>
      <c r="U7" s="4">
        <v>4.7430635212808402E-2</v>
      </c>
      <c r="V7" s="4">
        <v>0.53831607248006696</v>
      </c>
      <c r="W7" s="4">
        <v>0</v>
      </c>
      <c r="X7" s="4">
        <v>0.53935504226089803</v>
      </c>
      <c r="Y7" s="4">
        <v>0</v>
      </c>
      <c r="Z7" s="5">
        <v>2.3385912954852699E-4</v>
      </c>
      <c r="AA7" s="5">
        <v>1.8005623618916701E-5</v>
      </c>
      <c r="AB7" s="10">
        <v>1.3467223238408899E-3</v>
      </c>
      <c r="AC7" s="10">
        <v>0</v>
      </c>
      <c r="AD7" s="10">
        <v>1.0223164095634801E-4</v>
      </c>
      <c r="AE7" s="4">
        <v>9.9080294838824797E-3</v>
      </c>
      <c r="AF7" s="4">
        <v>0.97156969270782301</v>
      </c>
      <c r="AG7" s="4">
        <v>0.999978623042723</v>
      </c>
      <c r="AH7" s="4">
        <v>1</v>
      </c>
      <c r="AI7" s="4">
        <v>1</v>
      </c>
      <c r="AJ7" s="4">
        <v>1</v>
      </c>
      <c r="AK7" s="4">
        <v>1</v>
      </c>
      <c r="AL7" s="4">
        <v>1</v>
      </c>
      <c r="AM7" s="4">
        <v>0</v>
      </c>
      <c r="AN7" s="4">
        <v>0</v>
      </c>
      <c r="AO7" s="4" t="s">
        <v>65</v>
      </c>
      <c r="AP7" s="4">
        <f>-75--50</f>
        <v>-25</v>
      </c>
      <c r="AQ7" s="6">
        <v>2099837194.74</v>
      </c>
      <c r="AR7" s="4">
        <v>8669</v>
      </c>
      <c r="AS7" s="15">
        <v>0</v>
      </c>
      <c r="AT7" s="15">
        <v>46.168392751993203</v>
      </c>
      <c r="AU7" s="15">
        <v>46.168392751993203</v>
      </c>
      <c r="AV7" s="15">
        <v>53.831607248006698</v>
      </c>
      <c r="AW7" s="15">
        <v>53.831607248006698</v>
      </c>
      <c r="AX7" s="15">
        <v>0</v>
      </c>
      <c r="AY7">
        <v>3.3571793575038797E-2</v>
      </c>
    </row>
    <row r="8" spans="1:51" x14ac:dyDescent="0.25">
      <c r="A8">
        <v>97</v>
      </c>
      <c r="B8" s="4">
        <v>0.99793548177857905</v>
      </c>
      <c r="C8" s="4">
        <v>2.2766196273813799</v>
      </c>
      <c r="D8" s="4">
        <v>2.4494838033899402</v>
      </c>
      <c r="E8" s="4">
        <v>1.91727199501012E-3</v>
      </c>
      <c r="F8" s="5">
        <v>2.06451822142085E-3</v>
      </c>
      <c r="G8" s="5">
        <v>0</v>
      </c>
      <c r="H8" s="4">
        <v>3.6403840821464302</v>
      </c>
      <c r="I8" s="4">
        <v>3.9312024985854999</v>
      </c>
      <c r="J8" s="4">
        <v>-37.175533153897497</v>
      </c>
      <c r="K8" s="4">
        <v>-33.3194821234664</v>
      </c>
      <c r="L8" s="4">
        <v>15.413076702261399</v>
      </c>
      <c r="M8" s="4">
        <v>4.7861354024731897</v>
      </c>
      <c r="N8" s="4">
        <v>74.920190466320307</v>
      </c>
      <c r="O8" s="4">
        <v>73.221329890442604</v>
      </c>
      <c r="P8" s="4">
        <v>278474.32417877601</v>
      </c>
      <c r="Q8" s="4">
        <v>258664.78670835699</v>
      </c>
      <c r="R8" s="4">
        <v>781.87720582500003</v>
      </c>
      <c r="S8" s="4">
        <v>0</v>
      </c>
      <c r="T8" s="4">
        <v>0</v>
      </c>
      <c r="U8" s="4">
        <v>9.5435757985255595E-2</v>
      </c>
      <c r="V8" s="4">
        <v>0.39247208408634598</v>
      </c>
      <c r="W8" s="4">
        <v>0</v>
      </c>
      <c r="X8" s="4">
        <v>0.620466658596601</v>
      </c>
      <c r="Y8" s="4">
        <v>0</v>
      </c>
      <c r="Z8" s="5">
        <v>2.3128470241911E-4</v>
      </c>
      <c r="AA8" s="5">
        <v>2.13921306166592E-5</v>
      </c>
      <c r="AB8" s="10">
        <v>1.58982550935032E-3</v>
      </c>
      <c r="AC8" s="10">
        <v>4.7241305432104602E-9</v>
      </c>
      <c r="AD8" s="10">
        <v>2.2199630939477301E-4</v>
      </c>
      <c r="AE8" s="4">
        <v>1.4420521699471001E-2</v>
      </c>
      <c r="AF8" s="4">
        <v>0.939783487148939</v>
      </c>
      <c r="AG8" s="4">
        <v>0.999860601737803</v>
      </c>
      <c r="AH8" s="4">
        <v>0.99999507526401299</v>
      </c>
      <c r="AI8" s="4">
        <v>0.99999664043063596</v>
      </c>
      <c r="AJ8" s="4">
        <v>1</v>
      </c>
      <c r="AK8" s="4">
        <v>1</v>
      </c>
      <c r="AL8" s="4">
        <v>1</v>
      </c>
      <c r="AM8" s="4">
        <v>0</v>
      </c>
      <c r="AN8" s="4">
        <v>0</v>
      </c>
      <c r="AO8" s="4" t="s">
        <v>66</v>
      </c>
      <c r="AP8" s="4">
        <f>-50--25</f>
        <v>-25</v>
      </c>
      <c r="AQ8" s="6">
        <v>22563329344.57</v>
      </c>
      <c r="AR8" s="4">
        <v>87230</v>
      </c>
      <c r="AS8" s="15">
        <v>0</v>
      </c>
      <c r="AT8" s="15">
        <v>60.752791591365302</v>
      </c>
      <c r="AU8" s="15">
        <v>60.752791591365302</v>
      </c>
      <c r="AV8" s="15">
        <v>39.247208408634599</v>
      </c>
      <c r="AW8" s="15">
        <v>39.247208408634599</v>
      </c>
      <c r="AX8" s="15">
        <v>0</v>
      </c>
      <c r="AY8">
        <v>2.4667823734911099E-2</v>
      </c>
    </row>
    <row r="9" spans="1:51" x14ac:dyDescent="0.25">
      <c r="A9">
        <v>97</v>
      </c>
      <c r="B9" s="4">
        <v>0.99751192797781896</v>
      </c>
      <c r="C9" s="4">
        <v>2.9023811702982898</v>
      </c>
      <c r="D9" s="4">
        <v>2.9451660745808099</v>
      </c>
      <c r="E9" s="4">
        <v>2.4514348021336899E-3</v>
      </c>
      <c r="F9" s="5">
        <v>2.4880720221803101E-3</v>
      </c>
      <c r="G9" s="5">
        <v>0</v>
      </c>
      <c r="H9" s="4">
        <v>3.7063460299953399</v>
      </c>
      <c r="I9" s="4">
        <v>3.9369142901639398</v>
      </c>
      <c r="J9" s="4">
        <v>-33.7161917339251</v>
      </c>
      <c r="K9" s="4">
        <v>-22.334932754376698</v>
      </c>
      <c r="L9" s="4">
        <v>14.857801312623801</v>
      </c>
      <c r="M9" s="4">
        <v>5.0207812339443798</v>
      </c>
      <c r="N9" s="4">
        <v>71.926173965972694</v>
      </c>
      <c r="O9" s="4">
        <v>70.058762098387504</v>
      </c>
      <c r="P9" s="4">
        <v>288330.77028609603</v>
      </c>
      <c r="Q9" s="4">
        <v>268583.17121168697</v>
      </c>
      <c r="R9" s="4">
        <v>782.78233805058096</v>
      </c>
      <c r="S9" s="4">
        <v>0</v>
      </c>
      <c r="T9" s="4">
        <v>0</v>
      </c>
      <c r="U9" s="4">
        <v>0.104450396020832</v>
      </c>
      <c r="V9" s="4">
        <v>0.36785413563971497</v>
      </c>
      <c r="W9" s="4">
        <v>0</v>
      </c>
      <c r="X9" s="4">
        <v>0.70138514568288401</v>
      </c>
      <c r="Y9" s="4">
        <v>0</v>
      </c>
      <c r="Z9" s="5">
        <v>2.39644597444152E-4</v>
      </c>
      <c r="AA9" s="5">
        <v>2.20100404142874E-5</v>
      </c>
      <c r="AB9" s="10">
        <v>1.7620537581791999E-3</v>
      </c>
      <c r="AC9" s="10">
        <v>5.5977507986603503E-9</v>
      </c>
      <c r="AD9" s="10">
        <v>4.6434321703603599E-4</v>
      </c>
      <c r="AE9" s="4">
        <v>1.7770582730678702E-2</v>
      </c>
      <c r="AF9" s="4">
        <v>0.90284197155391299</v>
      </c>
      <c r="AG9" s="4">
        <v>0.99985315200831504</v>
      </c>
      <c r="AH9" s="4">
        <v>0.99997747406464998</v>
      </c>
      <c r="AI9" s="4">
        <v>1</v>
      </c>
      <c r="AJ9" s="4">
        <v>1</v>
      </c>
      <c r="AK9" s="4">
        <v>1</v>
      </c>
      <c r="AL9" s="4">
        <v>1</v>
      </c>
      <c r="AM9" s="4">
        <v>0</v>
      </c>
      <c r="AN9" s="4">
        <v>0</v>
      </c>
      <c r="AO9" s="4" t="s">
        <v>137</v>
      </c>
      <c r="AP9" s="4">
        <f>-25--20</f>
        <v>-5</v>
      </c>
      <c r="AQ9" s="6">
        <v>12758774965.24</v>
      </c>
      <c r="AR9" s="4">
        <v>47504</v>
      </c>
      <c r="AS9" s="15">
        <v>0</v>
      </c>
      <c r="AT9" s="15">
        <v>63.214586436028398</v>
      </c>
      <c r="AU9" s="15">
        <v>63.214586436028398</v>
      </c>
      <c r="AV9" s="15">
        <v>36.785413563971503</v>
      </c>
      <c r="AW9" s="15">
        <v>36.785413563971503</v>
      </c>
      <c r="AX9" s="15">
        <v>0</v>
      </c>
      <c r="AY9">
        <v>2.8662293532796101E-2</v>
      </c>
    </row>
    <row r="10" spans="1:51" x14ac:dyDescent="0.25">
      <c r="A10">
        <v>97</v>
      </c>
      <c r="B10" s="4">
        <v>0.99729572022950896</v>
      </c>
      <c r="C10" s="4">
        <v>3.2032130934766401</v>
      </c>
      <c r="D10" s="4">
        <v>3.19730152518102</v>
      </c>
      <c r="E10" s="4">
        <v>2.7093551685901801E-3</v>
      </c>
      <c r="F10" s="5">
        <v>2.7042797704904201E-3</v>
      </c>
      <c r="G10" s="5">
        <v>0</v>
      </c>
      <c r="H10" s="4">
        <v>3.7392656178814101</v>
      </c>
      <c r="I10" s="4">
        <v>3.9359697885174199</v>
      </c>
      <c r="J10" s="4">
        <v>-32.212526627768803</v>
      </c>
      <c r="K10" s="4">
        <v>-17.367271994129499</v>
      </c>
      <c r="L10" s="4">
        <v>14.502229750330899</v>
      </c>
      <c r="M10" s="4">
        <v>5.2006650418903702</v>
      </c>
      <c r="N10" s="4">
        <v>70.594398794491298</v>
      </c>
      <c r="O10" s="4">
        <v>68.707242101531804</v>
      </c>
      <c r="P10" s="4">
        <v>295249.40506775799</v>
      </c>
      <c r="Q10" s="4">
        <v>274993.90935710102</v>
      </c>
      <c r="R10" s="4">
        <v>783.20151812670895</v>
      </c>
      <c r="S10" s="4">
        <v>0</v>
      </c>
      <c r="T10" s="4">
        <v>0</v>
      </c>
      <c r="U10" s="4">
        <v>0.10321727924959501</v>
      </c>
      <c r="V10" s="4">
        <v>0.36824829469527798</v>
      </c>
      <c r="W10" s="4">
        <v>0</v>
      </c>
      <c r="X10" s="4">
        <v>0.72838231748175697</v>
      </c>
      <c r="Y10" s="4">
        <v>0</v>
      </c>
      <c r="Z10" s="5">
        <v>2.4584603544391303E-4</v>
      </c>
      <c r="AA10" s="5">
        <v>2.3257115266836699E-5</v>
      </c>
      <c r="AB10" s="10">
        <v>1.8292368402725099E-3</v>
      </c>
      <c r="AC10" s="10">
        <v>5.1401835843712601E-9</v>
      </c>
      <c r="AD10" s="10">
        <v>6.0591993619066699E-4</v>
      </c>
      <c r="AE10" s="4">
        <v>1.8369623119643699E-2</v>
      </c>
      <c r="AF10" s="4">
        <v>0.89009888503676404</v>
      </c>
      <c r="AG10" s="4">
        <v>0.99978465124089</v>
      </c>
      <c r="AH10" s="4">
        <v>0.99997442444569695</v>
      </c>
      <c r="AI10" s="4">
        <v>1</v>
      </c>
      <c r="AJ10" s="4">
        <v>1</v>
      </c>
      <c r="AK10" s="4">
        <v>1</v>
      </c>
      <c r="AL10" s="4">
        <v>1</v>
      </c>
      <c r="AM10" s="4">
        <v>0</v>
      </c>
      <c r="AN10" s="4">
        <v>0</v>
      </c>
      <c r="AO10" s="4" t="s">
        <v>138</v>
      </c>
      <c r="AP10" s="4">
        <f>-20--15</f>
        <v>-5</v>
      </c>
      <c r="AQ10" s="6">
        <v>17092521430</v>
      </c>
      <c r="AR10" s="4">
        <v>62156</v>
      </c>
      <c r="AS10" s="15">
        <v>0</v>
      </c>
      <c r="AT10" s="15">
        <v>63.175170530472101</v>
      </c>
      <c r="AU10" s="15">
        <v>63.175170530472101</v>
      </c>
      <c r="AV10" s="15">
        <v>36.824829469527799</v>
      </c>
      <c r="AW10" s="15">
        <v>36.824829469527799</v>
      </c>
      <c r="AX10" s="15">
        <v>0</v>
      </c>
      <c r="AY10">
        <v>4.1647692573546703E-2</v>
      </c>
    </row>
    <row r="11" spans="1:51" x14ac:dyDescent="0.25">
      <c r="A11">
        <v>97</v>
      </c>
      <c r="B11" s="4">
        <v>0.997033131309079</v>
      </c>
      <c r="C11" s="4">
        <v>4.5170378360979404</v>
      </c>
      <c r="D11" s="4">
        <v>3.5027179036267602</v>
      </c>
      <c r="E11" s="4">
        <v>3.8444545130471002E-3</v>
      </c>
      <c r="F11" s="5">
        <v>2.96686869092076E-3</v>
      </c>
      <c r="G11" s="5">
        <v>0</v>
      </c>
      <c r="H11" s="4">
        <v>3.7635939674435899</v>
      </c>
      <c r="I11" s="4">
        <v>3.9206933920088498</v>
      </c>
      <c r="J11" s="4">
        <v>-30.3534959856275</v>
      </c>
      <c r="K11" s="4">
        <v>-12.402037624047001</v>
      </c>
      <c r="L11" s="4">
        <v>14.4437032472641</v>
      </c>
      <c r="M11" s="4">
        <v>5.5812301624561202</v>
      </c>
      <c r="N11" s="4">
        <v>69.030042182870702</v>
      </c>
      <c r="O11" s="4">
        <v>67.084449643889997</v>
      </c>
      <c r="P11" s="4">
        <v>296549.13373778801</v>
      </c>
      <c r="Q11" s="4">
        <v>276032.08788519801</v>
      </c>
      <c r="R11" s="4">
        <v>783.22658287242996</v>
      </c>
      <c r="S11" s="4">
        <v>0</v>
      </c>
      <c r="T11" s="4">
        <v>0</v>
      </c>
      <c r="U11" s="4">
        <v>9.42696155649803E-2</v>
      </c>
      <c r="V11" s="4">
        <v>0.36017189776403102</v>
      </c>
      <c r="W11" s="4">
        <v>0</v>
      </c>
      <c r="X11" s="4">
        <v>0.73882160374827099</v>
      </c>
      <c r="Y11" s="4">
        <v>0</v>
      </c>
      <c r="Z11" s="5">
        <v>2.5529551995772499E-4</v>
      </c>
      <c r="AA11" s="5">
        <v>2.5119770553168901E-5</v>
      </c>
      <c r="AB11" s="10">
        <v>1.93246441471383E-3</v>
      </c>
      <c r="AC11" s="10">
        <v>4.9397321102572403E-9</v>
      </c>
      <c r="AD11" s="10">
        <v>7.5396937600614696E-4</v>
      </c>
      <c r="AE11" s="4">
        <v>1.9124926068936898E-2</v>
      </c>
      <c r="AF11" s="4">
        <v>0.87409209941451904</v>
      </c>
      <c r="AG11" s="4">
        <v>0.99968867445975296</v>
      </c>
      <c r="AH11" s="4">
        <v>0.99997655423348397</v>
      </c>
      <c r="AI11" s="4">
        <v>1</v>
      </c>
      <c r="AJ11" s="4">
        <v>1</v>
      </c>
      <c r="AK11" s="4">
        <v>1</v>
      </c>
      <c r="AL11" s="4">
        <v>1</v>
      </c>
      <c r="AM11" s="4">
        <v>0</v>
      </c>
      <c r="AN11" s="4">
        <v>0</v>
      </c>
      <c r="AO11" s="4" t="s">
        <v>139</v>
      </c>
      <c r="AP11" s="4">
        <f>-15--10</f>
        <v>-5</v>
      </c>
      <c r="AQ11" s="6">
        <v>20836834218.189999</v>
      </c>
      <c r="AR11" s="4">
        <v>75487</v>
      </c>
      <c r="AS11" s="15">
        <v>0</v>
      </c>
      <c r="AT11" s="15">
        <v>63.9828102235968</v>
      </c>
      <c r="AU11" s="15">
        <v>63.9828102235968</v>
      </c>
      <c r="AV11" s="15">
        <v>36.0171897764031</v>
      </c>
      <c r="AW11" s="15">
        <v>36.0171897764031</v>
      </c>
      <c r="AX11" s="15">
        <v>0</v>
      </c>
      <c r="AY11">
        <v>0.33634651411424799</v>
      </c>
    </row>
    <row r="12" spans="1:51" x14ac:dyDescent="0.25">
      <c r="A12">
        <v>97</v>
      </c>
      <c r="B12" s="4">
        <v>0.996793911098528</v>
      </c>
      <c r="C12" s="4">
        <v>5.5688374215218204</v>
      </c>
      <c r="D12" s="4">
        <v>3.7801850574924201</v>
      </c>
      <c r="E12" s="4">
        <v>4.76353945734595E-3</v>
      </c>
      <c r="F12" s="5">
        <v>3.2060889014715898E-3</v>
      </c>
      <c r="G12" s="5">
        <v>0</v>
      </c>
      <c r="H12" s="4">
        <v>3.7981736763303302</v>
      </c>
      <c r="I12" s="4">
        <v>3.9037511792808299</v>
      </c>
      <c r="J12" s="4">
        <v>-27.922120912242601</v>
      </c>
      <c r="K12" s="4">
        <v>-7.4908217952858598</v>
      </c>
      <c r="L12" s="4">
        <v>14.4215232063278</v>
      </c>
      <c r="M12" s="4">
        <v>5.9852692121052904</v>
      </c>
      <c r="N12" s="4">
        <v>69.5100030364231</v>
      </c>
      <c r="O12" s="4">
        <v>67.501154367654706</v>
      </c>
      <c r="P12" s="4">
        <v>297178.12809103401</v>
      </c>
      <c r="Q12" s="4">
        <v>276508.015974649</v>
      </c>
      <c r="R12" s="4">
        <v>783.025634265853</v>
      </c>
      <c r="S12" s="4">
        <v>0</v>
      </c>
      <c r="T12" s="4">
        <v>0</v>
      </c>
      <c r="U12" s="4">
        <v>8.3687209463152404E-2</v>
      </c>
      <c r="V12" s="4">
        <v>0.35376724531231102</v>
      </c>
      <c r="W12" s="4">
        <v>0</v>
      </c>
      <c r="X12" s="4">
        <v>0.74337940396095303</v>
      </c>
      <c r="Y12" s="4">
        <v>0</v>
      </c>
      <c r="Z12" s="5">
        <v>2.62090416074376E-4</v>
      </c>
      <c r="AA12" s="5">
        <v>2.6911622767512198E-5</v>
      </c>
      <c r="AB12" s="10">
        <v>2.01480237879916E-3</v>
      </c>
      <c r="AC12" s="10">
        <v>7.2078781717646298E-9</v>
      </c>
      <c r="AD12" s="10">
        <v>9.0226268001442999E-4</v>
      </c>
      <c r="AE12" s="4">
        <v>1.9365973637858001E-2</v>
      </c>
      <c r="AF12" s="4">
        <v>0.85335758795825101</v>
      </c>
      <c r="AG12" s="4">
        <v>0.99948204849511701</v>
      </c>
      <c r="AH12" s="4">
        <v>0.99998624082216703</v>
      </c>
      <c r="AI12" s="4">
        <v>1</v>
      </c>
      <c r="AJ12" s="4">
        <v>1</v>
      </c>
      <c r="AK12" s="4">
        <v>1</v>
      </c>
      <c r="AL12" s="4">
        <v>1</v>
      </c>
      <c r="AM12" s="4">
        <v>0</v>
      </c>
      <c r="AN12" s="4">
        <v>0</v>
      </c>
      <c r="AO12" s="4" t="s">
        <v>140</v>
      </c>
      <c r="AP12" s="4">
        <f>-10--5</f>
        <v>-5</v>
      </c>
      <c r="AQ12" s="6">
        <v>23515900726.580002</v>
      </c>
      <c r="AR12" s="4">
        <v>85046</v>
      </c>
      <c r="AS12" s="15">
        <v>0</v>
      </c>
      <c r="AT12" s="15">
        <v>64.623275468768796</v>
      </c>
      <c r="AU12" s="15">
        <v>64.623275468768796</v>
      </c>
      <c r="AV12" s="15">
        <v>35.376724531231098</v>
      </c>
      <c r="AW12" s="15">
        <v>35.376724531231098</v>
      </c>
      <c r="AX12" s="15">
        <v>0</v>
      </c>
      <c r="AY12">
        <v>1.6271223575826399</v>
      </c>
    </row>
    <row r="13" spans="1:51" x14ac:dyDescent="0.25">
      <c r="A13">
        <v>97</v>
      </c>
      <c r="B13" s="4">
        <v>0.99653298004425594</v>
      </c>
      <c r="C13" s="4">
        <v>7.1644600983545299</v>
      </c>
      <c r="D13" s="4">
        <v>4.0820001697901498</v>
      </c>
      <c r="E13" s="4">
        <v>6.1759040882703401E-3</v>
      </c>
      <c r="F13" s="5">
        <v>3.4670199557431101E-3</v>
      </c>
      <c r="G13" s="5">
        <v>0</v>
      </c>
      <c r="H13" s="4">
        <v>3.8170273475647498</v>
      </c>
      <c r="I13" s="4">
        <v>3.8825950967968401</v>
      </c>
      <c r="J13" s="4">
        <v>-26.300375331121401</v>
      </c>
      <c r="K13" s="4">
        <v>-2.4075089201605699</v>
      </c>
      <c r="L13" s="4">
        <v>14.189774513440099</v>
      </c>
      <c r="M13" s="4">
        <v>6.3344277440703296</v>
      </c>
      <c r="N13" s="4">
        <v>68.355222132972102</v>
      </c>
      <c r="O13" s="4">
        <v>66.298160024321803</v>
      </c>
      <c r="P13" s="4">
        <v>301559.67877442099</v>
      </c>
      <c r="Q13" s="4">
        <v>280888.11580146098</v>
      </c>
      <c r="R13" s="4">
        <v>783.01120253801002</v>
      </c>
      <c r="S13" s="4">
        <v>0</v>
      </c>
      <c r="T13" s="4">
        <v>0</v>
      </c>
      <c r="U13" s="4">
        <v>7.2013207523546105E-2</v>
      </c>
      <c r="V13" s="4">
        <v>0.347423391960552</v>
      </c>
      <c r="W13" s="4">
        <v>0</v>
      </c>
      <c r="X13" s="4">
        <v>0.74814442784298296</v>
      </c>
      <c r="Y13" s="4">
        <v>0</v>
      </c>
      <c r="Z13" s="5">
        <v>2.7086981479578398E-4</v>
      </c>
      <c r="AA13" s="5">
        <v>2.8370680680371701E-5</v>
      </c>
      <c r="AB13" s="10">
        <v>2.0925006222711098E-3</v>
      </c>
      <c r="AC13" s="10">
        <v>8.6823744869647402E-9</v>
      </c>
      <c r="AD13" s="10">
        <v>1.0752557139686099E-3</v>
      </c>
      <c r="AE13" s="4">
        <v>2.0306573941900798E-2</v>
      </c>
      <c r="AF13" s="4">
        <v>0.83709037017893395</v>
      </c>
      <c r="AG13" s="4">
        <v>0.99914450295220103</v>
      </c>
      <c r="AH13" s="4">
        <v>0.99998979045362801</v>
      </c>
      <c r="AI13" s="4">
        <v>0.99999753282059101</v>
      </c>
      <c r="AJ13" s="4">
        <v>1</v>
      </c>
      <c r="AK13" s="4">
        <v>1</v>
      </c>
      <c r="AL13" s="4">
        <v>1</v>
      </c>
      <c r="AM13" s="4">
        <v>0</v>
      </c>
      <c r="AN13" s="4">
        <v>0</v>
      </c>
      <c r="AO13" s="4" t="s">
        <v>67</v>
      </c>
      <c r="AP13" s="4">
        <f>-25-0</f>
        <v>-25</v>
      </c>
      <c r="AQ13" s="6">
        <v>27364682017.610001</v>
      </c>
      <c r="AR13" s="4">
        <v>97422</v>
      </c>
      <c r="AS13" s="15">
        <v>0</v>
      </c>
      <c r="AT13" s="15">
        <v>65.257660803944702</v>
      </c>
      <c r="AU13" s="15">
        <v>65.257660803944702</v>
      </c>
      <c r="AV13" s="15">
        <v>34.742339196055198</v>
      </c>
      <c r="AW13" s="15">
        <v>34.742339196055198</v>
      </c>
      <c r="AX13" s="15">
        <v>0</v>
      </c>
      <c r="AY13">
        <v>3.8281214977943399</v>
      </c>
    </row>
    <row r="14" spans="1:51" x14ac:dyDescent="0.25">
      <c r="A14">
        <v>97</v>
      </c>
      <c r="B14" s="4">
        <v>0.99620233820197801</v>
      </c>
      <c r="C14" s="4">
        <v>8.8521007135361494</v>
      </c>
      <c r="D14" s="4">
        <v>4.4632021289662704</v>
      </c>
      <c r="E14" s="4">
        <v>7.6941417048664402E-3</v>
      </c>
      <c r="F14" s="5">
        <v>3.7976617980210398E-3</v>
      </c>
      <c r="G14" s="5">
        <v>0</v>
      </c>
      <c r="H14" s="4">
        <v>3.8637792140758802</v>
      </c>
      <c r="I14" s="4">
        <v>3.87455113722091</v>
      </c>
      <c r="J14" s="4">
        <v>-24.547965579542499</v>
      </c>
      <c r="K14" s="4">
        <v>2.5749501154257302</v>
      </c>
      <c r="L14" s="4">
        <v>14.349169589801001</v>
      </c>
      <c r="M14" s="4">
        <v>6.9661341555639096</v>
      </c>
      <c r="N14" s="4">
        <v>69.504711568072594</v>
      </c>
      <c r="O14" s="4">
        <v>67.290784604543504</v>
      </c>
      <c r="P14" s="4">
        <v>299077.72362615197</v>
      </c>
      <c r="Q14" s="4">
        <v>278046.678361781</v>
      </c>
      <c r="R14" s="4">
        <v>782.79280599694596</v>
      </c>
      <c r="S14" s="4">
        <v>0</v>
      </c>
      <c r="T14" s="4">
        <v>0</v>
      </c>
      <c r="U14" s="4">
        <v>5.9893910599329102E-2</v>
      </c>
      <c r="V14" s="4">
        <v>0.34156871702781899</v>
      </c>
      <c r="W14" s="4">
        <v>0</v>
      </c>
      <c r="X14" s="4">
        <v>0.74353845261088902</v>
      </c>
      <c r="Y14" s="4">
        <v>0</v>
      </c>
      <c r="Z14" s="5">
        <v>2.8202296718395E-4</v>
      </c>
      <c r="AA14" s="5">
        <v>3.1836050202463902E-5</v>
      </c>
      <c r="AB14" s="10">
        <v>2.1957464099786701E-3</v>
      </c>
      <c r="AC14" s="10">
        <v>1.8329034057762299E-8</v>
      </c>
      <c r="AD14" s="10">
        <v>1.28802371851793E-3</v>
      </c>
      <c r="AE14" s="4">
        <v>2.0230835757413301E-2</v>
      </c>
      <c r="AF14" s="4">
        <v>0.82736883135263894</v>
      </c>
      <c r="AG14" s="4">
        <v>0.99877998253130795</v>
      </c>
      <c r="AH14" s="4">
        <v>0.99996515656115803</v>
      </c>
      <c r="AI14" s="4">
        <v>1</v>
      </c>
      <c r="AJ14" s="4">
        <v>1</v>
      </c>
      <c r="AK14" s="4">
        <v>1</v>
      </c>
      <c r="AL14" s="4">
        <v>1</v>
      </c>
      <c r="AM14" s="4">
        <v>0</v>
      </c>
      <c r="AN14" s="4">
        <v>0</v>
      </c>
      <c r="AO14" s="4" t="s">
        <v>141</v>
      </c>
      <c r="AP14" s="4" t="s">
        <v>127</v>
      </c>
      <c r="AQ14" s="6">
        <v>28507013745.720001</v>
      </c>
      <c r="AR14" s="4">
        <v>102526</v>
      </c>
      <c r="AS14" s="15">
        <v>0</v>
      </c>
      <c r="AT14" s="15">
        <v>65.843128297218001</v>
      </c>
      <c r="AU14" s="15">
        <v>65.843128297218001</v>
      </c>
      <c r="AV14" s="15">
        <v>34.156871702781899</v>
      </c>
      <c r="AW14" s="15">
        <v>34.156871702781899</v>
      </c>
      <c r="AX14" s="15">
        <v>0</v>
      </c>
      <c r="AY14">
        <v>6.5534175621933199</v>
      </c>
    </row>
    <row r="15" spans="1:51" x14ac:dyDescent="0.25">
      <c r="A15">
        <v>97</v>
      </c>
      <c r="B15" s="4">
        <v>0.99581800038125901</v>
      </c>
      <c r="C15" s="4">
        <v>10.9042707213596</v>
      </c>
      <c r="D15" s="4">
        <v>4.9045653743425204</v>
      </c>
      <c r="E15" s="4">
        <v>9.5754262052694696E-3</v>
      </c>
      <c r="F15" s="5">
        <v>4.1819996187406096E-3</v>
      </c>
      <c r="G15" s="5">
        <v>0</v>
      </c>
      <c r="H15" s="4">
        <v>3.9014198978658401</v>
      </c>
      <c r="I15" s="4">
        <v>3.8641340357318898</v>
      </c>
      <c r="J15" s="4">
        <v>-23.498065735290499</v>
      </c>
      <c r="K15" s="4">
        <v>7.54044198090401</v>
      </c>
      <c r="L15" s="4">
        <v>14.6095014621154</v>
      </c>
      <c r="M15" s="4">
        <v>7.6447098632183401</v>
      </c>
      <c r="N15" s="4">
        <v>68.926359720982006</v>
      </c>
      <c r="O15" s="4">
        <v>66.6918380204459</v>
      </c>
      <c r="P15" s="4">
        <v>293821.84139102203</v>
      </c>
      <c r="Q15" s="4">
        <v>273049.63764918799</v>
      </c>
      <c r="R15" s="4">
        <v>782.77079991761002</v>
      </c>
      <c r="S15" s="4">
        <v>0</v>
      </c>
      <c r="T15" s="4">
        <v>0</v>
      </c>
      <c r="U15" s="4">
        <v>5.6353208890867701E-2</v>
      </c>
      <c r="V15" s="4">
        <v>0.33497239751976898</v>
      </c>
      <c r="W15" s="4">
        <v>0</v>
      </c>
      <c r="X15" s="4">
        <v>0.74153985692282098</v>
      </c>
      <c r="Y15" s="4">
        <v>0</v>
      </c>
      <c r="Z15" s="5">
        <v>2.94315000129361E-4</v>
      </c>
      <c r="AA15" s="5">
        <v>3.5237191282497398E-5</v>
      </c>
      <c r="AB15" s="10">
        <v>2.3060551692053099E-3</v>
      </c>
      <c r="AC15" s="10">
        <v>4.8883761775499701E-8</v>
      </c>
      <c r="AD15" s="10">
        <v>1.54632919390134E-3</v>
      </c>
      <c r="AE15" s="4">
        <v>1.9958803995398899E-2</v>
      </c>
      <c r="AF15" s="4">
        <v>0.81921161632659101</v>
      </c>
      <c r="AG15" s="4">
        <v>0.99804752121595097</v>
      </c>
      <c r="AH15" s="4">
        <v>0.99991392131579004</v>
      </c>
      <c r="AI15" s="4">
        <v>0.999988623070034</v>
      </c>
      <c r="AJ15" s="4">
        <v>1</v>
      </c>
      <c r="AK15" s="4">
        <v>1</v>
      </c>
      <c r="AL15" s="4">
        <v>1</v>
      </c>
      <c r="AM15" s="4">
        <v>0</v>
      </c>
      <c r="AN15" s="4">
        <v>0</v>
      </c>
      <c r="AO15" s="4" t="s">
        <v>142</v>
      </c>
      <c r="AP15" s="4">
        <v>43230</v>
      </c>
      <c r="AQ15" s="6">
        <v>30239974320.009998</v>
      </c>
      <c r="AR15" s="4">
        <v>110749</v>
      </c>
      <c r="AS15" s="15">
        <v>0</v>
      </c>
      <c r="AT15" s="15">
        <v>66.502760248022994</v>
      </c>
      <c r="AU15" s="15">
        <v>66.502760248022994</v>
      </c>
      <c r="AV15" s="15">
        <v>33.497239751976899</v>
      </c>
      <c r="AW15" s="15">
        <v>33.497239751976899</v>
      </c>
      <c r="AX15" s="15">
        <v>0</v>
      </c>
      <c r="AY15">
        <v>11.314990090656099</v>
      </c>
    </row>
    <row r="16" spans="1:51" x14ac:dyDescent="0.25">
      <c r="A16">
        <v>97</v>
      </c>
      <c r="B16" s="4">
        <v>0.99525839644340297</v>
      </c>
      <c r="C16" s="4">
        <v>14.002827185935001</v>
      </c>
      <c r="D16" s="4">
        <v>5.5438582272930699</v>
      </c>
      <c r="E16" s="4">
        <v>1.24926248326339E-2</v>
      </c>
      <c r="F16" s="5">
        <v>4.74160355659696E-3</v>
      </c>
      <c r="G16" s="5">
        <v>0</v>
      </c>
      <c r="H16" s="4">
        <v>3.9578851636893502</v>
      </c>
      <c r="I16" s="4">
        <v>3.86991645349883</v>
      </c>
      <c r="J16" s="4">
        <v>-22.980733142995501</v>
      </c>
      <c r="K16" s="4">
        <v>12.527276197463699</v>
      </c>
      <c r="L16" s="4">
        <v>14.707415704811901</v>
      </c>
      <c r="M16" s="4">
        <v>8.6019844543323103</v>
      </c>
      <c r="N16" s="4">
        <v>69.313810168204796</v>
      </c>
      <c r="O16" s="4">
        <v>66.948658583240203</v>
      </c>
      <c r="P16" s="4">
        <v>292211.25569988601</v>
      </c>
      <c r="Q16" s="4">
        <v>271327.40903213201</v>
      </c>
      <c r="R16" s="4">
        <v>782.55568254157697</v>
      </c>
      <c r="S16" s="4">
        <v>0</v>
      </c>
      <c r="T16" s="4">
        <v>0</v>
      </c>
      <c r="U16" s="4">
        <v>4.8480183924126799E-2</v>
      </c>
      <c r="V16" s="4">
        <v>0.32608776327810601</v>
      </c>
      <c r="W16" s="4">
        <v>0</v>
      </c>
      <c r="X16" s="4">
        <v>0.74323333970219796</v>
      </c>
      <c r="Y16" s="4">
        <v>0</v>
      </c>
      <c r="Z16" s="5">
        <v>3.0836331462592099E-4</v>
      </c>
      <c r="AA16" s="5">
        <v>3.9228680771699102E-5</v>
      </c>
      <c r="AB16" s="10">
        <v>2.4557606943494199E-3</v>
      </c>
      <c r="AC16" s="10">
        <v>1.2838961728948999E-7</v>
      </c>
      <c r="AD16" s="10">
        <v>1.9381085659996801E-3</v>
      </c>
      <c r="AE16" s="4">
        <v>1.9745185918758599E-2</v>
      </c>
      <c r="AF16" s="4">
        <v>0.81163826250680804</v>
      </c>
      <c r="AG16" s="4">
        <v>0.99674140229203001</v>
      </c>
      <c r="AH16" s="4">
        <v>0.99972330682944199</v>
      </c>
      <c r="AI16" s="4">
        <v>0.99995142578066498</v>
      </c>
      <c r="AJ16" s="4">
        <v>1</v>
      </c>
      <c r="AK16" s="4">
        <v>1</v>
      </c>
      <c r="AL16" s="4">
        <v>1</v>
      </c>
      <c r="AM16" s="4">
        <v>0</v>
      </c>
      <c r="AN16" s="4">
        <v>0</v>
      </c>
      <c r="AO16" s="4" t="s">
        <v>143</v>
      </c>
      <c r="AP16" s="4">
        <v>43388</v>
      </c>
      <c r="AQ16" s="6">
        <v>34873711882.900002</v>
      </c>
      <c r="AR16" s="4">
        <v>128530</v>
      </c>
      <c r="AS16" s="15">
        <v>0</v>
      </c>
      <c r="AT16" s="15">
        <v>67.389270451200701</v>
      </c>
      <c r="AU16" s="15">
        <v>67.389270451200701</v>
      </c>
      <c r="AV16" s="15">
        <v>32.610729548799199</v>
      </c>
      <c r="AW16" s="15">
        <v>32.610729548799199</v>
      </c>
      <c r="AX16" s="15">
        <v>0</v>
      </c>
      <c r="AY16">
        <v>19.077563107269899</v>
      </c>
    </row>
    <row r="17" spans="1:51" x14ac:dyDescent="0.25">
      <c r="A17">
        <v>97</v>
      </c>
      <c r="B17" s="4">
        <v>0.99463567019119303</v>
      </c>
      <c r="C17" s="4">
        <v>17.244108581958599</v>
      </c>
      <c r="D17" s="4">
        <v>6.2506293158884398</v>
      </c>
      <c r="E17" s="4">
        <v>1.5649173923988301E-2</v>
      </c>
      <c r="F17" s="5">
        <v>5.36432980880692E-3</v>
      </c>
      <c r="G17" s="5">
        <v>0</v>
      </c>
      <c r="H17" s="4">
        <v>4.0147815621110601</v>
      </c>
      <c r="I17" s="4">
        <v>3.87980091119175</v>
      </c>
      <c r="J17" s="4">
        <v>-22.7605760882151</v>
      </c>
      <c r="K17" s="4">
        <v>17.528626096559499</v>
      </c>
      <c r="L17" s="4">
        <v>14.725806879669999</v>
      </c>
      <c r="M17" s="4">
        <v>9.7205172800475808</v>
      </c>
      <c r="N17" s="4">
        <v>69.437097744705696</v>
      </c>
      <c r="O17" s="4">
        <v>66.990267778011898</v>
      </c>
      <c r="P17" s="4">
        <v>291290.278693848</v>
      </c>
      <c r="Q17" s="4">
        <v>271047.98071393301</v>
      </c>
      <c r="R17" s="4">
        <v>782.67419718899896</v>
      </c>
      <c r="S17" s="4">
        <v>0</v>
      </c>
      <c r="T17" s="4">
        <v>0</v>
      </c>
      <c r="U17" s="4">
        <v>4.2086767551250903E-2</v>
      </c>
      <c r="V17" s="4">
        <v>0.313827814830066</v>
      </c>
      <c r="W17" s="4">
        <v>0</v>
      </c>
      <c r="X17" s="4">
        <v>0.75251585303054502</v>
      </c>
      <c r="Y17" s="4">
        <v>0</v>
      </c>
      <c r="Z17" s="5">
        <v>3.2247629147612902E-4</v>
      </c>
      <c r="AA17" s="5">
        <v>4.3168091667006502E-5</v>
      </c>
      <c r="AB17" s="10">
        <v>2.5730807291059099E-3</v>
      </c>
      <c r="AC17" s="10">
        <v>2.52169640778804E-7</v>
      </c>
      <c r="AD17" s="10">
        <v>2.4253388044805698E-3</v>
      </c>
      <c r="AE17" s="4">
        <v>1.8708914106764198E-2</v>
      </c>
      <c r="AF17" s="4">
        <v>0.80916351777835804</v>
      </c>
      <c r="AG17" s="4">
        <v>0.99408255665428602</v>
      </c>
      <c r="AH17" s="4">
        <v>0.99968213917259796</v>
      </c>
      <c r="AI17" s="4">
        <v>0.99994156572321002</v>
      </c>
      <c r="AJ17" s="4">
        <v>1</v>
      </c>
      <c r="AK17" s="4">
        <v>1</v>
      </c>
      <c r="AL17" s="4">
        <v>1</v>
      </c>
      <c r="AM17" s="4">
        <v>0</v>
      </c>
      <c r="AN17" s="4">
        <v>0</v>
      </c>
      <c r="AO17" s="4" t="s">
        <v>144</v>
      </c>
      <c r="AP17" s="4" t="s">
        <v>128</v>
      </c>
      <c r="AQ17" s="6">
        <v>38504534044.260002</v>
      </c>
      <c r="AR17" s="4">
        <v>142058</v>
      </c>
      <c r="AS17" s="15">
        <v>0</v>
      </c>
      <c r="AT17" s="15">
        <v>68.614686502298994</v>
      </c>
      <c r="AU17" s="15">
        <v>68.614686502298994</v>
      </c>
      <c r="AV17" s="15">
        <v>31.385313497700899</v>
      </c>
      <c r="AW17" s="15">
        <v>31.385313497700899</v>
      </c>
      <c r="AX17" s="15">
        <v>0</v>
      </c>
      <c r="AY17">
        <v>32.921262452470501</v>
      </c>
    </row>
    <row r="18" spans="1:51" x14ac:dyDescent="0.25">
      <c r="A18">
        <v>97</v>
      </c>
      <c r="B18" s="4">
        <v>0.99397648025020802</v>
      </c>
      <c r="C18" s="4">
        <v>21.069423058598701</v>
      </c>
      <c r="D18" s="4">
        <v>6.9935008466691198</v>
      </c>
      <c r="E18" s="4">
        <v>1.95236863561607E-2</v>
      </c>
      <c r="F18" s="5">
        <v>6.0235197497912896E-3</v>
      </c>
      <c r="G18" s="5">
        <v>0</v>
      </c>
      <c r="H18" s="4">
        <v>4.0436839684218899</v>
      </c>
      <c r="I18" s="4">
        <v>3.87209515072544</v>
      </c>
      <c r="J18" s="4">
        <v>-22.362803545103599</v>
      </c>
      <c r="K18" s="4">
        <v>22.543947941116599</v>
      </c>
      <c r="L18" s="4">
        <v>14.4774097168998</v>
      </c>
      <c r="M18" s="4">
        <v>10.474530213508601</v>
      </c>
      <c r="N18" s="4">
        <v>67.823587773271797</v>
      </c>
      <c r="O18" s="4">
        <v>65.233277583911899</v>
      </c>
      <c r="P18" s="4">
        <v>296099.12575120101</v>
      </c>
      <c r="Q18" s="4">
        <v>275599.59768276702</v>
      </c>
      <c r="R18" s="4">
        <v>782.70335214632905</v>
      </c>
      <c r="S18" s="4">
        <v>0</v>
      </c>
      <c r="T18" s="4">
        <v>0</v>
      </c>
      <c r="U18" s="4">
        <v>4.0518232439720303E-2</v>
      </c>
      <c r="V18" s="4">
        <v>0.312651710072128</v>
      </c>
      <c r="W18" s="4">
        <v>0</v>
      </c>
      <c r="X18" s="4">
        <v>0.75911106405639805</v>
      </c>
      <c r="Y18" s="4">
        <v>0</v>
      </c>
      <c r="Z18" s="5">
        <v>3.32414059649931E-4</v>
      </c>
      <c r="AA18" s="5">
        <v>4.5092679055955402E-5</v>
      </c>
      <c r="AB18" s="10">
        <v>2.6704932087956799E-3</v>
      </c>
      <c r="AC18" s="10">
        <v>5.2559592468737405E-7</v>
      </c>
      <c r="AD18" s="10">
        <v>2.9749806733237998E-3</v>
      </c>
      <c r="AE18" s="4">
        <v>2.0591337033753598E-2</v>
      </c>
      <c r="AF18" s="4">
        <v>0.790972610904635</v>
      </c>
      <c r="AG18" s="4">
        <v>0.99085171431382801</v>
      </c>
      <c r="AH18" s="4">
        <v>0.99938978154525104</v>
      </c>
      <c r="AI18" s="4">
        <v>0.99986300488605195</v>
      </c>
      <c r="AJ18" s="4">
        <v>1</v>
      </c>
      <c r="AK18" s="4">
        <v>1</v>
      </c>
      <c r="AL18" s="4">
        <v>1</v>
      </c>
      <c r="AM18" s="4">
        <v>0</v>
      </c>
      <c r="AN18" s="4">
        <v>0</v>
      </c>
      <c r="AO18" s="4" t="s">
        <v>68</v>
      </c>
      <c r="AP18" s="4" t="s">
        <v>69</v>
      </c>
      <c r="AQ18" s="6">
        <v>42866485823.980003</v>
      </c>
      <c r="AR18" s="4">
        <v>155539</v>
      </c>
      <c r="AS18" s="15">
        <v>0</v>
      </c>
      <c r="AT18" s="15">
        <v>68.733948825512499</v>
      </c>
      <c r="AU18" s="15">
        <v>68.733948825512499</v>
      </c>
      <c r="AV18" s="15">
        <v>31.266051174487401</v>
      </c>
      <c r="AW18" s="15">
        <v>31.266051174487401</v>
      </c>
      <c r="AX18" s="15">
        <v>0</v>
      </c>
      <c r="AY18">
        <v>51.265645297874499</v>
      </c>
    </row>
    <row r="19" spans="1:51" x14ac:dyDescent="0.25">
      <c r="A19">
        <v>97</v>
      </c>
      <c r="B19" s="4">
        <v>0.99334905769015902</v>
      </c>
      <c r="C19" s="4">
        <v>23.063401972063001</v>
      </c>
      <c r="D19" s="4">
        <v>7.6955562166639</v>
      </c>
      <c r="E19" s="4">
        <v>2.1612080739042899E-2</v>
      </c>
      <c r="F19" s="5">
        <v>6.6509423098409298E-3</v>
      </c>
      <c r="G19" s="5">
        <v>0</v>
      </c>
      <c r="H19" s="4">
        <v>4.0805540210337004</v>
      </c>
      <c r="I19" s="4">
        <v>3.8625393820885998</v>
      </c>
      <c r="J19" s="4">
        <v>-21.393000506281702</v>
      </c>
      <c r="K19" s="4">
        <v>27.523059197893399</v>
      </c>
      <c r="L19" s="4">
        <v>14.579448293624401</v>
      </c>
      <c r="M19" s="4">
        <v>11.278875551334</v>
      </c>
      <c r="N19" s="4">
        <v>68.399354601665294</v>
      </c>
      <c r="O19" s="4">
        <v>65.529784302322795</v>
      </c>
      <c r="P19" s="4">
        <v>294526.48745317903</v>
      </c>
      <c r="Q19" s="4">
        <v>273743.06304139103</v>
      </c>
      <c r="R19" s="4">
        <v>782.53592954160001</v>
      </c>
      <c r="S19" s="4">
        <v>0</v>
      </c>
      <c r="T19" s="4">
        <v>0</v>
      </c>
      <c r="U19" s="4">
        <v>3.8080921513116497E-2</v>
      </c>
      <c r="V19" s="4">
        <v>0.31095845645047998</v>
      </c>
      <c r="W19" s="4">
        <v>0</v>
      </c>
      <c r="X19" s="4">
        <v>0.75527821490326597</v>
      </c>
      <c r="Y19" s="4">
        <v>0</v>
      </c>
      <c r="Z19" s="5">
        <v>3.4120649254615299E-4</v>
      </c>
      <c r="AA19" s="5">
        <v>4.83945685371858E-5</v>
      </c>
      <c r="AB19" s="10">
        <v>2.7433609577282498E-3</v>
      </c>
      <c r="AC19" s="10">
        <v>8.3452158098785403E-7</v>
      </c>
      <c r="AD19" s="10">
        <v>3.5171324114987501E-3</v>
      </c>
      <c r="AE19" s="4">
        <v>2.2744782988137102E-2</v>
      </c>
      <c r="AF19" s="4">
        <v>0.773711834369746</v>
      </c>
      <c r="AG19" s="4">
        <v>0.98435998489732301</v>
      </c>
      <c r="AH19" s="4">
        <v>0.99926500628806203</v>
      </c>
      <c r="AI19" s="4">
        <v>0.99978340693150303</v>
      </c>
      <c r="AJ19" s="4">
        <v>1</v>
      </c>
      <c r="AK19" s="4">
        <v>1</v>
      </c>
      <c r="AL19" s="4">
        <v>1</v>
      </c>
      <c r="AM19" s="4">
        <v>0</v>
      </c>
      <c r="AN19" s="4">
        <v>0</v>
      </c>
      <c r="AO19" s="4" t="s">
        <v>145</v>
      </c>
      <c r="AP19" s="4" t="s">
        <v>129</v>
      </c>
      <c r="AQ19" s="6">
        <v>43570040885.919998</v>
      </c>
      <c r="AR19" s="4">
        <v>159164</v>
      </c>
      <c r="AS19" s="15">
        <v>0</v>
      </c>
      <c r="AT19" s="15">
        <v>68.9025983592351</v>
      </c>
      <c r="AU19" s="15">
        <v>68.9025983592351</v>
      </c>
      <c r="AV19" s="15">
        <v>31.097401640764801</v>
      </c>
      <c r="AW19" s="15">
        <v>31.097401640764801</v>
      </c>
      <c r="AX19" s="15">
        <v>0</v>
      </c>
      <c r="AY19">
        <v>73.319059443973501</v>
      </c>
    </row>
    <row r="20" spans="1:51" x14ac:dyDescent="0.25">
      <c r="A20">
        <v>97</v>
      </c>
      <c r="B20" s="4">
        <v>0.992767835895217</v>
      </c>
      <c r="C20" s="4">
        <v>25.027503012227498</v>
      </c>
      <c r="D20" s="4">
        <v>8.34157735248073</v>
      </c>
      <c r="E20" s="4">
        <v>2.3718264248499699E-2</v>
      </c>
      <c r="F20" s="5">
        <v>7.2321641047820998E-3</v>
      </c>
      <c r="G20" s="5">
        <v>0</v>
      </c>
      <c r="H20" s="4">
        <v>4.1027405532300296</v>
      </c>
      <c r="I20" s="4">
        <v>3.8402995810437202</v>
      </c>
      <c r="J20" s="4">
        <v>-20.755639965798601</v>
      </c>
      <c r="K20" s="4">
        <v>32.511491054413902</v>
      </c>
      <c r="L20" s="4">
        <v>14.592738375513299</v>
      </c>
      <c r="M20" s="4">
        <v>11.8390075290121</v>
      </c>
      <c r="N20" s="4">
        <v>68.156253548917306</v>
      </c>
      <c r="O20" s="4">
        <v>65.177772956410493</v>
      </c>
      <c r="P20" s="4">
        <v>293515.87052853801</v>
      </c>
      <c r="Q20" s="4">
        <v>273384.448033366</v>
      </c>
      <c r="R20" s="4">
        <v>782.62380017445605</v>
      </c>
      <c r="S20" s="4">
        <v>0</v>
      </c>
      <c r="T20" s="4">
        <v>0</v>
      </c>
      <c r="U20" s="4">
        <v>3.6990864738388599E-2</v>
      </c>
      <c r="V20" s="4">
        <v>0.31948024649228901</v>
      </c>
      <c r="W20" s="4">
        <v>0</v>
      </c>
      <c r="X20" s="4">
        <v>0.75414459234881004</v>
      </c>
      <c r="Y20" s="4">
        <v>0</v>
      </c>
      <c r="Z20" s="5">
        <v>3.4765966736708201E-4</v>
      </c>
      <c r="AA20" s="5">
        <v>5.1752209162224997E-5</v>
      </c>
      <c r="AB20" s="10">
        <v>2.7994828835263001E-3</v>
      </c>
      <c r="AC20" s="10">
        <v>1.39593022489295E-6</v>
      </c>
      <c r="AD20" s="10">
        <v>4.0318601303011899E-3</v>
      </c>
      <c r="AE20" s="4">
        <v>2.45301569098028E-2</v>
      </c>
      <c r="AF20" s="4">
        <v>0.75628598751500098</v>
      </c>
      <c r="AG20" s="4">
        <v>0.97965776719801001</v>
      </c>
      <c r="AH20" s="4">
        <v>0.99872127708043201</v>
      </c>
      <c r="AI20" s="4">
        <v>0.99974782095048298</v>
      </c>
      <c r="AJ20" s="4">
        <v>1</v>
      </c>
      <c r="AK20" s="4">
        <v>1</v>
      </c>
      <c r="AL20" s="4">
        <v>1</v>
      </c>
      <c r="AM20" s="4">
        <v>0</v>
      </c>
      <c r="AN20" s="4">
        <v>0</v>
      </c>
      <c r="AO20" s="4" t="s">
        <v>146</v>
      </c>
      <c r="AP20" s="4" t="s">
        <v>130</v>
      </c>
      <c r="AQ20" s="6">
        <v>43981816615.160004</v>
      </c>
      <c r="AR20" s="4">
        <v>160879</v>
      </c>
      <c r="AS20" s="15">
        <v>0</v>
      </c>
      <c r="AT20" s="15">
        <v>68.048233289331407</v>
      </c>
      <c r="AU20" s="15">
        <v>68.048233289331407</v>
      </c>
      <c r="AV20" s="15">
        <v>31.951766710668501</v>
      </c>
      <c r="AW20" s="15">
        <v>31.951766710668501</v>
      </c>
      <c r="AX20" s="15">
        <v>0</v>
      </c>
      <c r="AY20">
        <v>94.548590404183201</v>
      </c>
    </row>
    <row r="21" spans="1:51" x14ac:dyDescent="0.25">
      <c r="A21">
        <v>97</v>
      </c>
      <c r="B21" s="4">
        <v>0.99209711752820595</v>
      </c>
      <c r="C21" s="4">
        <v>27.8309486971669</v>
      </c>
      <c r="D21" s="4">
        <v>9.0819203972355993</v>
      </c>
      <c r="E21" s="4">
        <v>2.68138572498413E-2</v>
      </c>
      <c r="F21" s="5">
        <v>7.9028824717932902E-3</v>
      </c>
      <c r="G21" s="5">
        <v>0</v>
      </c>
      <c r="H21" s="4">
        <v>4.1348421477221304</v>
      </c>
      <c r="I21" s="4">
        <v>3.8277250291846898</v>
      </c>
      <c r="J21" s="4">
        <v>-20.0389557709005</v>
      </c>
      <c r="K21" s="4">
        <v>37.477155620940799</v>
      </c>
      <c r="L21" s="4">
        <v>14.4877045600388</v>
      </c>
      <c r="M21" s="4">
        <v>12.6078128582411</v>
      </c>
      <c r="N21" s="4">
        <v>67.879501963899401</v>
      </c>
      <c r="O21" s="4">
        <v>64.682708039634605</v>
      </c>
      <c r="P21" s="4">
        <v>295895.42198303703</v>
      </c>
      <c r="Q21" s="4">
        <v>275423.54305827001</v>
      </c>
      <c r="R21" s="4">
        <v>782.57786396524398</v>
      </c>
      <c r="S21" s="4">
        <v>0</v>
      </c>
      <c r="T21" s="4">
        <v>0</v>
      </c>
      <c r="U21" s="4">
        <v>3.3245687119706303E-2</v>
      </c>
      <c r="V21" s="4">
        <v>0.31884608175692603</v>
      </c>
      <c r="W21" s="4">
        <v>0</v>
      </c>
      <c r="X21" s="4">
        <v>0.74620281227947405</v>
      </c>
      <c r="Y21" s="4">
        <v>0</v>
      </c>
      <c r="Z21" s="5">
        <v>3.5348430277968299E-4</v>
      </c>
      <c r="AA21" s="5">
        <v>5.6024626866873403E-5</v>
      </c>
      <c r="AB21" s="10">
        <v>2.8690501527125901E-3</v>
      </c>
      <c r="AC21" s="10">
        <v>1.65273831777568E-6</v>
      </c>
      <c r="AD21" s="10">
        <v>4.6226575239359802E-3</v>
      </c>
      <c r="AE21" s="4">
        <v>2.6445154231125999E-2</v>
      </c>
      <c r="AF21" s="4">
        <v>0.73125548823181896</v>
      </c>
      <c r="AG21" s="4">
        <v>0.979473890486807</v>
      </c>
      <c r="AH21" s="4">
        <v>0.99839829479854003</v>
      </c>
      <c r="AI21" s="4">
        <v>0.99967124020694698</v>
      </c>
      <c r="AJ21" s="4">
        <v>1</v>
      </c>
      <c r="AK21" s="4">
        <v>1</v>
      </c>
      <c r="AL21" s="4">
        <v>1</v>
      </c>
      <c r="AM21" s="4">
        <v>0</v>
      </c>
      <c r="AN21" s="4">
        <v>0</v>
      </c>
      <c r="AO21" s="4" t="s">
        <v>147</v>
      </c>
      <c r="AP21" s="4" t="s">
        <v>131</v>
      </c>
      <c r="AQ21" s="6">
        <v>44207957472.739998</v>
      </c>
      <c r="AR21" s="4">
        <v>160509</v>
      </c>
      <c r="AS21" s="15">
        <v>0</v>
      </c>
      <c r="AT21" s="15">
        <v>68.1145338558064</v>
      </c>
      <c r="AU21" s="15">
        <v>68.1145338558064</v>
      </c>
      <c r="AV21" s="15">
        <v>31.885466144193501</v>
      </c>
      <c r="AW21" s="15">
        <v>31.885466144193501</v>
      </c>
      <c r="AX21" s="15">
        <v>0</v>
      </c>
      <c r="AY21">
        <v>118.174201959104</v>
      </c>
    </row>
    <row r="22" spans="1:51" x14ac:dyDescent="0.25">
      <c r="A22">
        <v>97</v>
      </c>
      <c r="B22" s="4">
        <v>0.99144967387038196</v>
      </c>
      <c r="C22" s="4">
        <v>31.457809554335402</v>
      </c>
      <c r="D22" s="4">
        <v>9.7913692180842098</v>
      </c>
      <c r="E22" s="4">
        <v>3.0986490940274499E-2</v>
      </c>
      <c r="F22" s="5">
        <v>8.5503261296176608E-3</v>
      </c>
      <c r="G22" s="5">
        <v>0</v>
      </c>
      <c r="H22" s="4">
        <v>4.1831056287147099</v>
      </c>
      <c r="I22" s="4">
        <v>3.8234897991792001</v>
      </c>
      <c r="J22" s="4">
        <v>-19.308467152961001</v>
      </c>
      <c r="K22" s="4">
        <v>42.4414709362472</v>
      </c>
      <c r="L22" s="4">
        <v>14.5358316264058</v>
      </c>
      <c r="M22" s="4">
        <v>13.4661459978945</v>
      </c>
      <c r="N22" s="4">
        <v>68.134365329732702</v>
      </c>
      <c r="O22" s="4">
        <v>64.854192175624604</v>
      </c>
      <c r="P22" s="4">
        <v>295673.57968567999</v>
      </c>
      <c r="Q22" s="4">
        <v>274474.31744831899</v>
      </c>
      <c r="R22" s="4">
        <v>782.37061544591597</v>
      </c>
      <c r="S22" s="4">
        <v>0</v>
      </c>
      <c r="T22" s="4">
        <v>0</v>
      </c>
      <c r="U22" s="4">
        <v>2.9554947425934699E-2</v>
      </c>
      <c r="V22" s="4">
        <v>0.31628242699909997</v>
      </c>
      <c r="W22" s="4">
        <v>0</v>
      </c>
      <c r="X22" s="4">
        <v>0.73742216935260996</v>
      </c>
      <c r="Y22" s="4">
        <v>0</v>
      </c>
      <c r="Z22" s="5">
        <v>3.59625182460098E-4</v>
      </c>
      <c r="AA22" s="5">
        <v>6.1795145375626197E-5</v>
      </c>
      <c r="AB22" s="10">
        <v>2.9245868807497299E-3</v>
      </c>
      <c r="AC22" s="10">
        <v>2.2833316231014498E-6</v>
      </c>
      <c r="AD22" s="10">
        <v>5.2020224613426799E-3</v>
      </c>
      <c r="AE22" s="4">
        <v>2.6782477124935099E-2</v>
      </c>
      <c r="AF22" s="4">
        <v>0.724751090086039</v>
      </c>
      <c r="AG22" s="4">
        <v>0.97632536653116497</v>
      </c>
      <c r="AH22" s="4">
        <v>0.997786893837043</v>
      </c>
      <c r="AI22" s="4">
        <v>0.99977110334512298</v>
      </c>
      <c r="AJ22" s="4">
        <v>1</v>
      </c>
      <c r="AK22" s="4">
        <v>1</v>
      </c>
      <c r="AL22" s="4">
        <v>1</v>
      </c>
      <c r="AM22" s="4">
        <v>0</v>
      </c>
      <c r="AN22" s="4">
        <v>0</v>
      </c>
      <c r="AO22" s="4" t="s">
        <v>148</v>
      </c>
      <c r="AP22" s="4" t="s">
        <v>132</v>
      </c>
      <c r="AQ22" s="6">
        <v>40881577212.339996</v>
      </c>
      <c r="AR22" s="4">
        <v>148945</v>
      </c>
      <c r="AS22" s="15">
        <v>0</v>
      </c>
      <c r="AT22" s="15">
        <v>68.371757300089897</v>
      </c>
      <c r="AU22" s="15">
        <v>68.371757300089897</v>
      </c>
      <c r="AV22" s="15">
        <v>31.62824269991</v>
      </c>
      <c r="AW22" s="15">
        <v>31.62824269991</v>
      </c>
      <c r="AX22" s="15">
        <v>0</v>
      </c>
      <c r="AY22">
        <v>144.31373883304201</v>
      </c>
    </row>
    <row r="23" spans="1:51" x14ac:dyDescent="0.25">
      <c r="A23">
        <v>97</v>
      </c>
      <c r="B23" s="4">
        <v>0.99072239028534004</v>
      </c>
      <c r="C23" s="4">
        <v>33.304221716883298</v>
      </c>
      <c r="D23" s="4">
        <v>10.5822499831014</v>
      </c>
      <c r="E23" s="4">
        <v>3.3189120807656299E-2</v>
      </c>
      <c r="F23" s="5">
        <v>9.2776097146592407E-3</v>
      </c>
      <c r="G23" s="5">
        <v>0</v>
      </c>
      <c r="H23" s="4">
        <v>4.2389415300754898</v>
      </c>
      <c r="I23" s="4">
        <v>3.8269868753635499</v>
      </c>
      <c r="J23" s="4">
        <v>-18.563579512203901</v>
      </c>
      <c r="K23" s="4">
        <v>47.5181657858855</v>
      </c>
      <c r="L23" s="4">
        <v>14.521738018190099</v>
      </c>
      <c r="M23" s="4">
        <v>14.598139898686</v>
      </c>
      <c r="N23" s="4">
        <v>67.828227111409007</v>
      </c>
      <c r="O23" s="4">
        <v>64.5519156159217</v>
      </c>
      <c r="P23" s="4">
        <v>295745.68320464302</v>
      </c>
      <c r="Q23" s="4">
        <v>274652.29598887102</v>
      </c>
      <c r="R23" s="4">
        <v>782.20509203350196</v>
      </c>
      <c r="S23" s="4">
        <v>0</v>
      </c>
      <c r="T23" s="4">
        <v>0</v>
      </c>
      <c r="U23" s="4">
        <v>2.3834156897787201E-2</v>
      </c>
      <c r="V23" s="4">
        <v>0.30543286058415797</v>
      </c>
      <c r="W23" s="4">
        <v>0</v>
      </c>
      <c r="X23" s="4">
        <v>0.72540982248493402</v>
      </c>
      <c r="Y23" s="4">
        <v>0</v>
      </c>
      <c r="Z23" s="5">
        <v>3.6543652309801701E-4</v>
      </c>
      <c r="AA23" s="5">
        <v>6.9434013042086996E-5</v>
      </c>
      <c r="AB23" s="10">
        <v>3.0125580611942101E-3</v>
      </c>
      <c r="AC23" s="10">
        <v>2.5641521808826601E-6</v>
      </c>
      <c r="AD23" s="10">
        <v>5.8276037836485399E-3</v>
      </c>
      <c r="AE23" s="4">
        <v>2.5413600275352301E-2</v>
      </c>
      <c r="AF23" s="4">
        <v>0.72717762883551995</v>
      </c>
      <c r="AG23" s="4">
        <v>0.97756360695948996</v>
      </c>
      <c r="AH23" s="4">
        <v>0.99767709129697701</v>
      </c>
      <c r="AI23" s="4">
        <v>0.99980449507090297</v>
      </c>
      <c r="AJ23" s="4">
        <v>1</v>
      </c>
      <c r="AK23" s="4">
        <v>1</v>
      </c>
      <c r="AL23" s="4">
        <v>1</v>
      </c>
      <c r="AM23" s="4">
        <v>0</v>
      </c>
      <c r="AN23" s="4">
        <v>0</v>
      </c>
      <c r="AO23" s="4" t="s">
        <v>70</v>
      </c>
      <c r="AP23" s="4" t="s">
        <v>71</v>
      </c>
      <c r="AQ23" s="6">
        <v>39190960071.540001</v>
      </c>
      <c r="AR23" s="4">
        <v>142693</v>
      </c>
      <c r="AS23" s="15">
        <v>0</v>
      </c>
      <c r="AT23" s="15">
        <v>69.456713941584098</v>
      </c>
      <c r="AU23" s="15">
        <v>69.456713941584098</v>
      </c>
      <c r="AV23" s="15">
        <v>30.543286058415799</v>
      </c>
      <c r="AW23" s="15">
        <v>30.543286058415799</v>
      </c>
      <c r="AX23" s="15">
        <v>0</v>
      </c>
      <c r="AY23">
        <v>174.12595009353601</v>
      </c>
    </row>
    <row r="24" spans="1:51" x14ac:dyDescent="0.25">
      <c r="A24">
        <v>97</v>
      </c>
      <c r="B24" s="4">
        <v>0.99008101348119104</v>
      </c>
      <c r="C24" s="4">
        <v>33.412905074069897</v>
      </c>
      <c r="D24" s="4">
        <v>11.2744322799816</v>
      </c>
      <c r="E24" s="4">
        <v>3.3320506950236702E-2</v>
      </c>
      <c r="F24" s="5">
        <v>9.9189865188087697E-3</v>
      </c>
      <c r="G24" s="5">
        <v>0</v>
      </c>
      <c r="H24" s="4">
        <v>4.3180088133900201</v>
      </c>
      <c r="I24" s="4">
        <v>3.8417095635101601</v>
      </c>
      <c r="J24" s="4">
        <v>-17.463033232366499</v>
      </c>
      <c r="K24" s="4">
        <v>52.504460856871802</v>
      </c>
      <c r="L24" s="4">
        <v>14.8874961022898</v>
      </c>
      <c r="M24" s="4">
        <v>16.089801589438402</v>
      </c>
      <c r="N24" s="4">
        <v>69.557277818035402</v>
      </c>
      <c r="O24" s="4">
        <v>66.210125995491296</v>
      </c>
      <c r="P24" s="4">
        <v>289074.80954989302</v>
      </c>
      <c r="Q24" s="4">
        <v>268000.80968965101</v>
      </c>
      <c r="R24" s="4">
        <v>781.780156964767</v>
      </c>
      <c r="S24" s="4">
        <v>0</v>
      </c>
      <c r="T24" s="4">
        <v>0</v>
      </c>
      <c r="U24" s="4">
        <v>1.9533416900711299E-2</v>
      </c>
      <c r="V24" s="4">
        <v>0.293068561959486</v>
      </c>
      <c r="W24" s="4">
        <v>0</v>
      </c>
      <c r="X24" s="4">
        <v>0.70768999875706795</v>
      </c>
      <c r="Y24" s="4">
        <v>0</v>
      </c>
      <c r="Z24" s="5">
        <v>3.7173065143407798E-4</v>
      </c>
      <c r="AA24" s="5">
        <v>8.2806942032154695E-5</v>
      </c>
      <c r="AB24" s="10">
        <v>3.1134833891456799E-3</v>
      </c>
      <c r="AC24" s="10">
        <v>2.6524878513713101E-6</v>
      </c>
      <c r="AD24" s="10">
        <v>6.3482996130898696E-3</v>
      </c>
      <c r="AE24" s="4">
        <v>2.1343834427945199E-2</v>
      </c>
      <c r="AF24" s="4">
        <v>0.743219356564774</v>
      </c>
      <c r="AG24" s="4">
        <v>0.97898504923415897</v>
      </c>
      <c r="AH24" s="4">
        <v>0.99781394459043105</v>
      </c>
      <c r="AI24" s="4">
        <v>0.99980766978107405</v>
      </c>
      <c r="AJ24" s="4">
        <v>1</v>
      </c>
      <c r="AK24" s="4">
        <v>1</v>
      </c>
      <c r="AL24" s="4">
        <v>1</v>
      </c>
      <c r="AM24" s="4">
        <v>0</v>
      </c>
      <c r="AN24" s="4">
        <v>0</v>
      </c>
      <c r="AO24" s="4" t="s">
        <v>149</v>
      </c>
      <c r="AP24" s="4" t="s">
        <v>133</v>
      </c>
      <c r="AQ24" s="6">
        <v>35465887150.279999</v>
      </c>
      <c r="AR24" s="4">
        <v>132335</v>
      </c>
      <c r="AS24" s="15">
        <v>0</v>
      </c>
      <c r="AT24" s="15">
        <v>70.693143804051303</v>
      </c>
      <c r="AU24" s="15">
        <v>70.693143804051303</v>
      </c>
      <c r="AV24" s="15">
        <v>29.306856195948601</v>
      </c>
      <c r="AW24" s="15">
        <v>29.306856195948601</v>
      </c>
      <c r="AX24" s="15">
        <v>0</v>
      </c>
      <c r="AY24">
        <v>205.960894535335</v>
      </c>
    </row>
    <row r="25" spans="1:51" x14ac:dyDescent="0.25">
      <c r="A25">
        <v>97</v>
      </c>
      <c r="B25" s="4">
        <v>0.98941933975600704</v>
      </c>
      <c r="C25" s="4">
        <v>35.483122751195602</v>
      </c>
      <c r="D25" s="4">
        <v>11.983369033498301</v>
      </c>
      <c r="E25" s="4">
        <v>3.5861456913817397E-2</v>
      </c>
      <c r="F25" s="5">
        <v>1.0580660243992601E-2</v>
      </c>
      <c r="G25" s="5">
        <v>0</v>
      </c>
      <c r="H25" s="4">
        <v>4.3828476012421298</v>
      </c>
      <c r="I25" s="4">
        <v>3.85236985124663</v>
      </c>
      <c r="J25" s="4">
        <v>-17.323484782878001</v>
      </c>
      <c r="K25" s="4">
        <v>57.483952620614602</v>
      </c>
      <c r="L25" s="4">
        <v>15.128447433642799</v>
      </c>
      <c r="M25" s="4">
        <v>17.615635507674199</v>
      </c>
      <c r="N25" s="4">
        <v>69.3707222762594</v>
      </c>
      <c r="O25" s="4">
        <v>66.117421457794194</v>
      </c>
      <c r="P25" s="4">
        <v>284722.57227888302</v>
      </c>
      <c r="Q25" s="4">
        <v>263601.22499946097</v>
      </c>
      <c r="R25" s="4">
        <v>781.65218840305101</v>
      </c>
      <c r="S25" s="4">
        <v>0</v>
      </c>
      <c r="T25" s="4">
        <v>0</v>
      </c>
      <c r="U25" s="4">
        <v>1.6827545058759601E-2</v>
      </c>
      <c r="V25" s="4">
        <v>0.27475101430821303</v>
      </c>
      <c r="W25" s="4">
        <v>0</v>
      </c>
      <c r="X25" s="4">
        <v>0.70253617632027499</v>
      </c>
      <c r="Y25" s="4">
        <v>0</v>
      </c>
      <c r="Z25" s="5">
        <v>3.7826165390336599E-4</v>
      </c>
      <c r="AA25" s="5">
        <v>9.7685403267692999E-5</v>
      </c>
      <c r="AB25" s="10">
        <v>3.1965204846598201E-3</v>
      </c>
      <c r="AC25" s="10">
        <v>3.29264430798687E-6</v>
      </c>
      <c r="AD25" s="10">
        <v>6.9048864209610601E-3</v>
      </c>
      <c r="AE25" s="4">
        <v>1.7894566644767299E-2</v>
      </c>
      <c r="AF25" s="4">
        <v>0.76065412066716998</v>
      </c>
      <c r="AG25" s="4">
        <v>0.97939804238014205</v>
      </c>
      <c r="AH25" s="4">
        <v>0.99745020383035099</v>
      </c>
      <c r="AI25" s="4">
        <v>0.99959005351784602</v>
      </c>
      <c r="AJ25" s="4">
        <v>1</v>
      </c>
      <c r="AK25" s="4">
        <v>1</v>
      </c>
      <c r="AL25" s="4">
        <v>1</v>
      </c>
      <c r="AM25" s="4">
        <v>0</v>
      </c>
      <c r="AN25" s="4">
        <v>0</v>
      </c>
      <c r="AO25" s="4" t="s">
        <v>150</v>
      </c>
      <c r="AP25" s="4" t="s">
        <v>134</v>
      </c>
      <c r="AQ25" s="6">
        <v>34266577642.580002</v>
      </c>
      <c r="AR25" s="4">
        <v>129994</v>
      </c>
      <c r="AS25" s="15">
        <v>0</v>
      </c>
      <c r="AT25" s="15">
        <v>72.524898569178603</v>
      </c>
      <c r="AU25" s="15">
        <v>72.524898569178603</v>
      </c>
      <c r="AV25" s="15">
        <v>27.475101430821301</v>
      </c>
      <c r="AW25" s="15">
        <v>27.475101430821301</v>
      </c>
      <c r="AX25" s="15">
        <v>0</v>
      </c>
      <c r="AY25">
        <v>247.53419024111801</v>
      </c>
    </row>
    <row r="26" spans="1:51" x14ac:dyDescent="0.25">
      <c r="A26">
        <v>97</v>
      </c>
      <c r="B26" s="4">
        <v>0.98867875315606901</v>
      </c>
      <c r="C26" s="4">
        <v>36.916194201583203</v>
      </c>
      <c r="D26" s="4">
        <v>12.770694549005499</v>
      </c>
      <c r="E26" s="4">
        <v>3.7664536457675403E-2</v>
      </c>
      <c r="F26" s="5">
        <v>1.13212468439304E-2</v>
      </c>
      <c r="G26" s="5">
        <v>0</v>
      </c>
      <c r="H26" s="4">
        <v>4.4570138283542002</v>
      </c>
      <c r="I26" s="4">
        <v>3.87369396655901</v>
      </c>
      <c r="J26" s="4">
        <v>-17.372290288372199</v>
      </c>
      <c r="K26" s="4">
        <v>62.493872299298502</v>
      </c>
      <c r="L26" s="4">
        <v>15.300089484672499</v>
      </c>
      <c r="M26" s="4">
        <v>19.219580973313601</v>
      </c>
      <c r="N26" s="4">
        <v>69.640995457539205</v>
      </c>
      <c r="O26" s="4">
        <v>66.478468410495097</v>
      </c>
      <c r="P26" s="4">
        <v>281394.51245636097</v>
      </c>
      <c r="Q26" s="4">
        <v>260887.20038690799</v>
      </c>
      <c r="R26" s="4">
        <v>781.25668982452203</v>
      </c>
      <c r="S26" s="4">
        <v>0</v>
      </c>
      <c r="T26" s="4">
        <v>0</v>
      </c>
      <c r="U26" s="4">
        <v>1.57969973089311E-2</v>
      </c>
      <c r="V26" s="4">
        <v>0.25155198752355401</v>
      </c>
      <c r="W26" s="4">
        <v>0</v>
      </c>
      <c r="X26" s="4">
        <v>0.69517777957868698</v>
      </c>
      <c r="Y26" s="4">
        <v>0</v>
      </c>
      <c r="Z26" s="5">
        <v>3.8188402314078598E-4</v>
      </c>
      <c r="AA26" s="5">
        <v>1.16284490665927E-4</v>
      </c>
      <c r="AB26" s="10">
        <v>3.2824559609929802E-3</v>
      </c>
      <c r="AC26" s="10">
        <v>3.38563910855065E-6</v>
      </c>
      <c r="AD26" s="10">
        <v>7.5372227963035696E-3</v>
      </c>
      <c r="AE26" s="4">
        <v>1.2960874951345999E-2</v>
      </c>
      <c r="AF26" s="4">
        <v>0.77964598469661195</v>
      </c>
      <c r="AG26" s="4">
        <v>0.98196676584440401</v>
      </c>
      <c r="AH26" s="4">
        <v>0.99752558413372505</v>
      </c>
      <c r="AI26" s="4">
        <v>0.99960562277723597</v>
      </c>
      <c r="AJ26" s="4">
        <v>1</v>
      </c>
      <c r="AK26" s="4">
        <v>1</v>
      </c>
      <c r="AL26" s="4">
        <v>1</v>
      </c>
      <c r="AM26" s="4">
        <v>0</v>
      </c>
      <c r="AN26" s="4">
        <v>0</v>
      </c>
      <c r="AO26" s="4" t="s">
        <v>151</v>
      </c>
      <c r="AP26" s="4" t="s">
        <v>135</v>
      </c>
      <c r="AQ26" s="6">
        <v>35359607591.639999</v>
      </c>
      <c r="AR26" s="4">
        <v>135536</v>
      </c>
      <c r="AS26" s="15">
        <v>0</v>
      </c>
      <c r="AT26" s="15">
        <v>74.844801247644497</v>
      </c>
      <c r="AU26" s="15">
        <v>74.844801247644497</v>
      </c>
      <c r="AV26" s="15">
        <v>25.1551987523554</v>
      </c>
      <c r="AW26" s="15">
        <v>25.1551987523554</v>
      </c>
      <c r="AX26" s="15">
        <v>0</v>
      </c>
      <c r="AY26">
        <v>297.70247848189399</v>
      </c>
    </row>
    <row r="27" spans="1:51" x14ac:dyDescent="0.25">
      <c r="A27">
        <v>97</v>
      </c>
      <c r="B27" s="4">
        <v>0.98805992433676704</v>
      </c>
      <c r="C27" s="4">
        <v>37.345209881536803</v>
      </c>
      <c r="D27" s="4">
        <v>13.4236213020771</v>
      </c>
      <c r="E27" s="4">
        <v>3.8211625487718101E-2</v>
      </c>
      <c r="F27" s="5">
        <v>1.1940075663232699E-2</v>
      </c>
      <c r="G27" s="5">
        <v>0</v>
      </c>
      <c r="H27" s="4">
        <v>4.5265381369182798</v>
      </c>
      <c r="I27" s="4">
        <v>3.89317759535848</v>
      </c>
      <c r="J27" s="4">
        <v>-17.357444142943901</v>
      </c>
      <c r="K27" s="4">
        <v>67.507788310346896</v>
      </c>
      <c r="L27" s="4">
        <v>15.524625186481</v>
      </c>
      <c r="M27" s="4">
        <v>20.507182785311201</v>
      </c>
      <c r="N27" s="4">
        <v>69.628969068538396</v>
      </c>
      <c r="O27" s="4">
        <v>66.6435851183914</v>
      </c>
      <c r="P27" s="4">
        <v>277328.61571989499</v>
      </c>
      <c r="Q27" s="4">
        <v>257076.01452947801</v>
      </c>
      <c r="R27" s="4">
        <v>781.11713358103896</v>
      </c>
      <c r="S27" s="4">
        <v>0</v>
      </c>
      <c r="T27" s="4">
        <v>0</v>
      </c>
      <c r="U27" s="4">
        <v>1.6723574292648102E-2</v>
      </c>
      <c r="V27" s="4">
        <v>0.23597175168697701</v>
      </c>
      <c r="W27" s="4">
        <v>0</v>
      </c>
      <c r="X27" s="4">
        <v>0.69099867614049704</v>
      </c>
      <c r="Y27" s="4">
        <v>0</v>
      </c>
      <c r="Z27" s="5">
        <v>3.8698645243419202E-4</v>
      </c>
      <c r="AA27" s="5">
        <v>1.3357148903097999E-4</v>
      </c>
      <c r="AB27" s="10">
        <v>3.3189158032611902E-3</v>
      </c>
      <c r="AC27" s="10">
        <v>3.9252187784782198E-6</v>
      </c>
      <c r="AD27" s="10">
        <v>8.0966625121133198E-3</v>
      </c>
      <c r="AE27" s="4">
        <v>7.3625069888890102E-3</v>
      </c>
      <c r="AF27" s="4">
        <v>0.80371151762209503</v>
      </c>
      <c r="AG27" s="4">
        <v>0.98172643764080303</v>
      </c>
      <c r="AH27" s="4">
        <v>0.99727104386335996</v>
      </c>
      <c r="AI27" s="4">
        <v>0.99956676147008405</v>
      </c>
      <c r="AJ27" s="4">
        <v>1</v>
      </c>
      <c r="AK27" s="4">
        <v>1</v>
      </c>
      <c r="AL27" s="4">
        <v>1</v>
      </c>
      <c r="AM27" s="4">
        <v>0</v>
      </c>
      <c r="AN27" s="4">
        <v>0</v>
      </c>
      <c r="AO27" s="4" t="s">
        <v>152</v>
      </c>
      <c r="AP27" s="4" t="s">
        <v>136</v>
      </c>
      <c r="AQ27" s="6">
        <v>36614565521.389999</v>
      </c>
      <c r="AR27" s="4">
        <v>142427</v>
      </c>
      <c r="AS27" s="15">
        <v>0</v>
      </c>
      <c r="AT27" s="15">
        <v>76.402824831302198</v>
      </c>
      <c r="AU27" s="15">
        <v>76.402824831302198</v>
      </c>
      <c r="AV27" s="15">
        <v>23.597175168697699</v>
      </c>
      <c r="AW27" s="15">
        <v>23.597175168697699</v>
      </c>
      <c r="AX27" s="15">
        <v>0</v>
      </c>
      <c r="AY27">
        <v>353.87949161134401</v>
      </c>
    </row>
    <row r="28" spans="1:51" x14ac:dyDescent="0.25">
      <c r="A28">
        <v>97</v>
      </c>
      <c r="B28" s="4">
        <v>0.98724113486291998</v>
      </c>
      <c r="C28" s="4">
        <v>38.8004168964695</v>
      </c>
      <c r="D28" s="4">
        <v>14.2806417329684</v>
      </c>
      <c r="E28" s="4">
        <v>4.0093265411971897E-2</v>
      </c>
      <c r="F28" s="5">
        <v>1.27588651370793E-2</v>
      </c>
      <c r="G28" s="5">
        <v>0</v>
      </c>
      <c r="H28" s="4">
        <v>4.5629607377015402</v>
      </c>
      <c r="I28" s="4">
        <v>3.8915187669964801</v>
      </c>
      <c r="J28" s="4">
        <v>-17.338161738532101</v>
      </c>
      <c r="K28" s="4">
        <v>72.521817416847398</v>
      </c>
      <c r="L28" s="4">
        <v>15.200947268613699</v>
      </c>
      <c r="M28" s="4">
        <v>21.458714849890299</v>
      </c>
      <c r="N28" s="4">
        <v>68.415454658357604</v>
      </c>
      <c r="O28" s="4">
        <v>65.449720028663606</v>
      </c>
      <c r="P28" s="4">
        <v>282548.22487825499</v>
      </c>
      <c r="Q28" s="4">
        <v>262505.16866920999</v>
      </c>
      <c r="R28" s="4">
        <v>781.02953026914997</v>
      </c>
      <c r="S28" s="4">
        <v>0</v>
      </c>
      <c r="T28" s="4">
        <v>0</v>
      </c>
      <c r="U28" s="4">
        <v>1.61883880081563E-2</v>
      </c>
      <c r="V28" s="4">
        <v>0.22642586422368699</v>
      </c>
      <c r="W28" s="4">
        <v>0</v>
      </c>
      <c r="X28" s="4">
        <v>0.69552406311452897</v>
      </c>
      <c r="Y28" s="4">
        <v>0</v>
      </c>
      <c r="Z28" s="5">
        <v>3.8991503405858197E-4</v>
      </c>
      <c r="AA28" s="5">
        <v>1.4459484311078399E-4</v>
      </c>
      <c r="AB28" s="10">
        <v>3.3562305536735701E-3</v>
      </c>
      <c r="AC28" s="10">
        <v>4.5622395077121298E-6</v>
      </c>
      <c r="AD28" s="10">
        <v>8.8635481190462908E-3</v>
      </c>
      <c r="AE28" s="4">
        <v>6.2719663140639202E-3</v>
      </c>
      <c r="AF28" s="4">
        <v>0.798839584931888</v>
      </c>
      <c r="AG28" s="4">
        <v>0.98129144415896796</v>
      </c>
      <c r="AH28" s="4">
        <v>0.996895621910728</v>
      </c>
      <c r="AI28" s="4">
        <v>0.99964418117056897</v>
      </c>
      <c r="AJ28" s="4">
        <v>1</v>
      </c>
      <c r="AK28" s="4">
        <v>1</v>
      </c>
      <c r="AL28" s="4">
        <v>1</v>
      </c>
      <c r="AM28" s="4">
        <v>0</v>
      </c>
      <c r="AN28" s="4">
        <v>0</v>
      </c>
      <c r="AO28" s="4" t="s">
        <v>72</v>
      </c>
      <c r="AP28" s="4" t="s">
        <v>73</v>
      </c>
      <c r="AQ28" s="6">
        <v>39348474762.839996</v>
      </c>
      <c r="AR28" s="4">
        <v>149896</v>
      </c>
      <c r="AS28" s="15">
        <v>0</v>
      </c>
      <c r="AT28" s="15">
        <v>77.357413577631206</v>
      </c>
      <c r="AU28" s="15">
        <v>77.357413577631206</v>
      </c>
      <c r="AV28" s="15">
        <v>22.642586422368701</v>
      </c>
      <c r="AW28" s="15">
        <v>22.642586422368701</v>
      </c>
      <c r="AX28" s="15">
        <v>0</v>
      </c>
      <c r="AY28" s="31">
        <v>414.10152981060901</v>
      </c>
    </row>
    <row r="29" spans="1:51" x14ac:dyDescent="0.25">
      <c r="A29">
        <v>97</v>
      </c>
      <c r="B29" s="4">
        <v>0.985189116347018</v>
      </c>
      <c r="C29" s="4">
        <v>41.663526110259397</v>
      </c>
      <c r="D29" s="4">
        <v>16.394419804167399</v>
      </c>
      <c r="E29" s="4">
        <v>4.39182802487511E-2</v>
      </c>
      <c r="F29" s="5">
        <v>1.4810883652981501E-2</v>
      </c>
      <c r="G29" s="5">
        <v>0</v>
      </c>
      <c r="H29" s="4">
        <v>4.6771141035345503</v>
      </c>
      <c r="I29" s="4">
        <v>3.8682310350986699</v>
      </c>
      <c r="J29" s="4">
        <v>-14.4669137866847</v>
      </c>
      <c r="K29" s="4">
        <v>86.381652336578298</v>
      </c>
      <c r="L29" s="4">
        <v>15.167090269627501</v>
      </c>
      <c r="M29" s="4">
        <v>23.5896090832114</v>
      </c>
      <c r="N29" s="4">
        <v>68.121475831535406</v>
      </c>
      <c r="O29" s="4">
        <v>65.012332506715893</v>
      </c>
      <c r="P29" s="4">
        <v>283939.88182008499</v>
      </c>
      <c r="Q29" s="4">
        <v>263150.67138760298</v>
      </c>
      <c r="R29" s="4">
        <v>780.603645016418</v>
      </c>
      <c r="S29" s="4">
        <v>0</v>
      </c>
      <c r="T29" s="4">
        <v>0</v>
      </c>
      <c r="U29" s="4">
        <v>1.9316315518509E-2</v>
      </c>
      <c r="V29" s="4">
        <v>0.25174471670508403</v>
      </c>
      <c r="W29" s="4">
        <v>0</v>
      </c>
      <c r="X29" s="4">
        <v>0.68453667135252305</v>
      </c>
      <c r="Y29" s="4">
        <v>0</v>
      </c>
      <c r="Z29" s="5">
        <v>3.9604196745831699E-4</v>
      </c>
      <c r="AA29" s="5">
        <v>1.7805346180845E-4</v>
      </c>
      <c r="AB29" s="10">
        <v>3.5517711322343398E-3</v>
      </c>
      <c r="AC29" s="10">
        <v>5.4840644670977397E-6</v>
      </c>
      <c r="AD29" s="10">
        <v>1.06795183230117E-2</v>
      </c>
      <c r="AE29" s="4">
        <v>5.01347028273425E-3</v>
      </c>
      <c r="AF29" s="4">
        <v>0.79337251812276099</v>
      </c>
      <c r="AG29" s="4">
        <v>0.98091124487753401</v>
      </c>
      <c r="AH29" s="4">
        <v>0.99680692375233304</v>
      </c>
      <c r="AI29" s="4">
        <v>0.999602985111404</v>
      </c>
      <c r="AJ29" s="4">
        <v>1</v>
      </c>
      <c r="AK29" s="4">
        <v>1</v>
      </c>
      <c r="AL29" s="4">
        <v>1</v>
      </c>
      <c r="AM29" s="4">
        <v>0</v>
      </c>
      <c r="AN29" s="4">
        <v>0</v>
      </c>
      <c r="AO29" s="4" t="s">
        <v>74</v>
      </c>
      <c r="AP29" s="4" t="s">
        <v>75</v>
      </c>
      <c r="AQ29" s="6">
        <v>155582045143.14999</v>
      </c>
      <c r="AR29" s="4">
        <v>591228</v>
      </c>
      <c r="AS29" s="15">
        <v>0</v>
      </c>
      <c r="AT29" s="15">
        <v>74.825528329491505</v>
      </c>
      <c r="AU29" s="15">
        <v>74.825528329491505</v>
      </c>
      <c r="AV29" s="15">
        <v>25.1744716705084</v>
      </c>
      <c r="AW29" s="15">
        <v>25.1744716705084</v>
      </c>
      <c r="AX29" s="15">
        <v>0</v>
      </c>
      <c r="AY29" s="31">
        <v>588.23321039767404</v>
      </c>
    </row>
    <row r="30" spans="1:51" x14ac:dyDescent="0.25">
      <c r="A30">
        <v>97</v>
      </c>
      <c r="B30" s="4">
        <v>0.98145607252447398</v>
      </c>
      <c r="C30" s="4">
        <v>43.582707923872803</v>
      </c>
      <c r="D30" s="4">
        <v>20.117730032337899</v>
      </c>
      <c r="E30" s="4">
        <v>4.6579791109775802E-2</v>
      </c>
      <c r="F30" s="5">
        <v>1.85439274755256E-2</v>
      </c>
      <c r="G30" s="5">
        <v>0</v>
      </c>
      <c r="H30" s="4">
        <v>4.8588550359898797</v>
      </c>
      <c r="I30" s="4">
        <v>3.7910567111257301</v>
      </c>
      <c r="J30" s="4">
        <v>-9.8334540775723696</v>
      </c>
      <c r="K30" s="4">
        <v>112.46931674505301</v>
      </c>
      <c r="L30" s="4">
        <v>15.784600084364</v>
      </c>
      <c r="M30" s="4">
        <v>27.796089166858</v>
      </c>
      <c r="N30" s="4">
        <v>70.064948351466001</v>
      </c>
      <c r="O30" s="4">
        <v>66.347545098645099</v>
      </c>
      <c r="P30" s="4">
        <v>272726.80884855997</v>
      </c>
      <c r="Q30" s="4">
        <v>252914.40369771601</v>
      </c>
      <c r="R30" s="4">
        <v>779.73872806207703</v>
      </c>
      <c r="S30" s="4">
        <v>0</v>
      </c>
      <c r="T30" s="4">
        <v>0</v>
      </c>
      <c r="U30" s="4">
        <v>1.9795533222046201E-2</v>
      </c>
      <c r="V30" s="4">
        <v>0.241552262098745</v>
      </c>
      <c r="W30" s="4">
        <v>0</v>
      </c>
      <c r="X30" s="4">
        <v>0.63370660812620005</v>
      </c>
      <c r="Y30" s="4">
        <v>0</v>
      </c>
      <c r="Z30" s="5">
        <v>4.0992639221892299E-4</v>
      </c>
      <c r="AA30" s="5">
        <v>2.8019329161452298E-4</v>
      </c>
      <c r="AB30" s="10">
        <v>3.8676390292381401E-3</v>
      </c>
      <c r="AC30" s="10">
        <v>9.6043207129435594E-6</v>
      </c>
      <c r="AD30" s="10">
        <v>1.39765493662702E-2</v>
      </c>
      <c r="AE30" s="4">
        <v>6.7794065656833101E-3</v>
      </c>
      <c r="AF30" s="4">
        <v>0.78561958601542703</v>
      </c>
      <c r="AG30" s="4">
        <v>0.97662377834661895</v>
      </c>
      <c r="AH30" s="4">
        <v>0.99583442015679202</v>
      </c>
      <c r="AI30" s="4">
        <v>0.99926415529675505</v>
      </c>
      <c r="AJ30" s="4">
        <v>1</v>
      </c>
      <c r="AK30" s="4">
        <v>1</v>
      </c>
      <c r="AL30" s="4">
        <v>1</v>
      </c>
      <c r="AM30" s="4">
        <v>0</v>
      </c>
      <c r="AN30" s="4">
        <v>0</v>
      </c>
      <c r="AO30" s="4" t="s">
        <v>76</v>
      </c>
      <c r="AP30" s="4" t="s">
        <v>77</v>
      </c>
      <c r="AQ30" s="6">
        <v>116810540663.02</v>
      </c>
      <c r="AR30" s="4">
        <v>461858</v>
      </c>
      <c r="AS30" s="15">
        <v>0</v>
      </c>
      <c r="AT30" s="15">
        <v>75.844773790125402</v>
      </c>
      <c r="AU30" s="15">
        <v>75.844773790125402</v>
      </c>
      <c r="AV30" s="15">
        <v>24.155226209874499</v>
      </c>
      <c r="AW30" s="15">
        <v>24.155226209874499</v>
      </c>
      <c r="AX30" s="15">
        <v>0</v>
      </c>
      <c r="AY30" s="31">
        <v>977.56747258243502</v>
      </c>
    </row>
    <row r="31" spans="1:51" x14ac:dyDescent="0.25">
      <c r="A31">
        <v>97</v>
      </c>
      <c r="B31" s="4">
        <v>0.977697144549729</v>
      </c>
      <c r="C31" s="4">
        <v>44.4618263124664</v>
      </c>
      <c r="D31" s="4">
        <v>23.712714560586001</v>
      </c>
      <c r="E31" s="4">
        <v>4.7826772378772898E-2</v>
      </c>
      <c r="F31" s="5">
        <v>2.2302855450269998E-2</v>
      </c>
      <c r="G31" s="5">
        <v>0</v>
      </c>
      <c r="H31" s="4">
        <v>4.9650988652426502</v>
      </c>
      <c r="I31" s="4">
        <v>3.7053230630591898</v>
      </c>
      <c r="J31" s="4">
        <v>-5.71084192099931</v>
      </c>
      <c r="K31" s="4">
        <v>135.165840352559</v>
      </c>
      <c r="L31" s="4">
        <v>15.3990026365818</v>
      </c>
      <c r="M31" s="4">
        <v>30.780044104433401</v>
      </c>
      <c r="N31" s="4">
        <v>70.009327867641602</v>
      </c>
      <c r="O31" s="4">
        <v>65.626945783306795</v>
      </c>
      <c r="P31" s="4">
        <v>279102.02938675898</v>
      </c>
      <c r="Q31" s="4">
        <v>259272.478800974</v>
      </c>
      <c r="R31" s="4">
        <v>778.97012549147996</v>
      </c>
      <c r="S31" s="4">
        <v>0</v>
      </c>
      <c r="T31" s="4">
        <v>0</v>
      </c>
      <c r="U31" s="4">
        <v>2.3605842986567201E-2</v>
      </c>
      <c r="V31" s="4">
        <v>0.24620644548429399</v>
      </c>
      <c r="W31" s="4">
        <v>0</v>
      </c>
      <c r="X31" s="4">
        <v>0.63251039056129599</v>
      </c>
      <c r="Y31" s="4">
        <v>0</v>
      </c>
      <c r="Z31" s="5">
        <v>4.1634649105478901E-4</v>
      </c>
      <c r="AA31" s="5">
        <v>3.6385306669910899E-4</v>
      </c>
      <c r="AB31" s="10">
        <v>3.75486409491999E-3</v>
      </c>
      <c r="AC31" s="10">
        <v>1.7107634079925499E-5</v>
      </c>
      <c r="AD31" s="10">
        <v>1.77506689483811E-2</v>
      </c>
      <c r="AE31" s="4">
        <v>1.4270988979493899E-2</v>
      </c>
      <c r="AF31" s="4">
        <v>0.75695044037027504</v>
      </c>
      <c r="AG31" s="4">
        <v>0.97052950497291102</v>
      </c>
      <c r="AH31" s="4">
        <v>0.99307919065607397</v>
      </c>
      <c r="AI31" s="4">
        <v>0.99906348889741903</v>
      </c>
      <c r="AJ31" s="4">
        <v>1</v>
      </c>
      <c r="AK31" s="4">
        <v>1</v>
      </c>
      <c r="AL31" s="4">
        <v>1</v>
      </c>
      <c r="AM31" s="4">
        <v>0</v>
      </c>
      <c r="AN31" s="4">
        <v>0</v>
      </c>
      <c r="AO31" s="4" t="s">
        <v>78</v>
      </c>
      <c r="AP31" s="4" t="s">
        <v>79</v>
      </c>
      <c r="AQ31" s="6">
        <v>70585895263.649994</v>
      </c>
      <c r="AR31" s="4">
        <v>272246</v>
      </c>
      <c r="AS31" s="15">
        <v>0</v>
      </c>
      <c r="AT31" s="15">
        <v>75.379355451570504</v>
      </c>
      <c r="AU31" s="15">
        <v>75.379355451570504</v>
      </c>
      <c r="AV31" s="15">
        <v>24.6206445484294</v>
      </c>
      <c r="AW31" s="15">
        <v>24.6206445484294</v>
      </c>
      <c r="AX31" s="15">
        <v>0</v>
      </c>
      <c r="AY31">
        <v>1365.4347231936499</v>
      </c>
    </row>
    <row r="32" spans="1:51" x14ac:dyDescent="0.25">
      <c r="A32">
        <v>97</v>
      </c>
      <c r="B32" s="4">
        <v>0.97309163188686698</v>
      </c>
      <c r="C32" s="4">
        <v>43.870278179376598</v>
      </c>
      <c r="D32" s="4">
        <v>27.9150080609753</v>
      </c>
      <c r="E32" s="4">
        <v>4.6985721498659802E-2</v>
      </c>
      <c r="F32" s="5">
        <v>2.6908368113132099E-2</v>
      </c>
      <c r="G32" s="5">
        <v>0</v>
      </c>
      <c r="H32" s="4">
        <v>5.1495191242474396</v>
      </c>
      <c r="I32" s="4">
        <v>3.6724582729182602</v>
      </c>
      <c r="J32" s="4">
        <v>9.0439878032700101</v>
      </c>
      <c r="K32" s="4">
        <v>158.98119960203701</v>
      </c>
      <c r="L32" s="4">
        <v>15.7028499792658</v>
      </c>
      <c r="M32" s="4">
        <v>31.901674213905402</v>
      </c>
      <c r="N32" s="4">
        <v>78.106977687962697</v>
      </c>
      <c r="O32" s="4">
        <v>72.334267469903907</v>
      </c>
      <c r="P32" s="4">
        <v>272437.98441143101</v>
      </c>
      <c r="Q32" s="4">
        <v>254274.435876498</v>
      </c>
      <c r="R32" s="4">
        <v>777.34604176367395</v>
      </c>
      <c r="S32" s="4">
        <v>0</v>
      </c>
      <c r="T32" s="4">
        <v>0</v>
      </c>
      <c r="U32" s="4">
        <v>2.2135080233386301E-2</v>
      </c>
      <c r="V32" s="4">
        <v>0.25274713775505497</v>
      </c>
      <c r="W32" s="4">
        <v>0</v>
      </c>
      <c r="X32" s="4">
        <v>0.50714580228238104</v>
      </c>
      <c r="Y32" s="4">
        <v>0</v>
      </c>
      <c r="Z32" s="5">
        <v>4.1701641219695E-4</v>
      </c>
      <c r="AA32" s="5">
        <v>5.6926402839083405E-4</v>
      </c>
      <c r="AB32" s="10">
        <v>3.8080693494977102E-3</v>
      </c>
      <c r="AC32" s="10">
        <v>3.1916876174713902E-5</v>
      </c>
      <c r="AD32" s="10">
        <v>2.2082086175333401E-2</v>
      </c>
      <c r="AE32" s="4">
        <v>2.73667699106474E-2</v>
      </c>
      <c r="AF32" s="4">
        <v>0.71944939047686196</v>
      </c>
      <c r="AG32" s="4">
        <v>0.95228104847505801</v>
      </c>
      <c r="AH32" s="4">
        <v>0.98659828230818902</v>
      </c>
      <c r="AI32" s="4">
        <v>0.99824971911277205</v>
      </c>
      <c r="AJ32" s="4">
        <v>1</v>
      </c>
      <c r="AK32" s="4">
        <v>1</v>
      </c>
      <c r="AL32" s="4">
        <v>1</v>
      </c>
      <c r="AM32" s="4">
        <v>0</v>
      </c>
      <c r="AN32" s="4">
        <v>0</v>
      </c>
      <c r="AO32" s="4" t="s">
        <v>80</v>
      </c>
      <c r="AP32" s="4" t="s">
        <v>81</v>
      </c>
      <c r="AQ32" s="6">
        <v>13769723526.02</v>
      </c>
      <c r="AR32" s="4">
        <v>54153</v>
      </c>
      <c r="AS32" s="15">
        <v>0</v>
      </c>
      <c r="AT32" s="15">
        <v>74.725286224494397</v>
      </c>
      <c r="AU32" s="15">
        <v>74.725286224494397</v>
      </c>
      <c r="AV32" s="15">
        <v>25.2747137755055</v>
      </c>
      <c r="AW32" s="15">
        <v>25.2747137755055</v>
      </c>
      <c r="AX32" s="15">
        <v>0</v>
      </c>
      <c r="AY32">
        <v>1575.2685334069799</v>
      </c>
    </row>
    <row r="33" spans="1:51" x14ac:dyDescent="0.25">
      <c r="A33">
        <v>97</v>
      </c>
      <c r="B33" s="4">
        <v>0.96453935481976505</v>
      </c>
      <c r="C33" s="4">
        <v>41.1168166302716</v>
      </c>
      <c r="D33" s="4">
        <v>35.160534308286501</v>
      </c>
      <c r="E33" s="4">
        <v>4.31747958192161E-2</v>
      </c>
      <c r="F33" s="5">
        <v>3.5460645180234E-2</v>
      </c>
      <c r="G33" s="5">
        <v>0</v>
      </c>
      <c r="H33" s="4">
        <v>5.1775184943984396</v>
      </c>
      <c r="I33" s="4">
        <v>3.6515248507794902</v>
      </c>
      <c r="J33" s="4">
        <v>15.3606958025239</v>
      </c>
      <c r="K33" s="4">
        <v>182.017792973924</v>
      </c>
      <c r="L33" s="4">
        <v>14.8236867080627</v>
      </c>
      <c r="M33" s="4">
        <v>30.663892785691001</v>
      </c>
      <c r="N33" s="4">
        <v>84.173344763094804</v>
      </c>
      <c r="O33" s="4">
        <v>74.786262381075503</v>
      </c>
      <c r="P33" s="4">
        <v>288515.57279539702</v>
      </c>
      <c r="Q33" s="4">
        <v>269351.56885317899</v>
      </c>
      <c r="R33" s="4">
        <v>776.81334571857406</v>
      </c>
      <c r="S33" s="4">
        <v>0</v>
      </c>
      <c r="T33" s="4">
        <v>0</v>
      </c>
      <c r="U33" s="4">
        <v>2.5008630198203301E-2</v>
      </c>
      <c r="V33" s="4">
        <v>0.198616339768452</v>
      </c>
      <c r="W33" s="4">
        <v>0</v>
      </c>
      <c r="X33" s="4">
        <v>0.378677299103094</v>
      </c>
      <c r="Y33" s="4">
        <v>0</v>
      </c>
      <c r="Z33" s="5">
        <v>4.1909393731743698E-4</v>
      </c>
      <c r="AA33" s="5">
        <v>6.3439902544160098E-4</v>
      </c>
      <c r="AB33" s="10">
        <v>3.7931913681912999E-3</v>
      </c>
      <c r="AC33" s="10">
        <v>1.7487747776555101E-4</v>
      </c>
      <c r="AD33" s="10">
        <v>3.0439067713228098E-2</v>
      </c>
      <c r="AE33" s="4">
        <v>7.0485656530407101E-2</v>
      </c>
      <c r="AF33" s="4">
        <v>0.50677035714740704</v>
      </c>
      <c r="AG33" s="4">
        <v>0.82343799845488097</v>
      </c>
      <c r="AH33" s="4">
        <v>0.91611242039507101</v>
      </c>
      <c r="AI33" s="4">
        <v>0.98902791948937396</v>
      </c>
      <c r="AJ33" s="4">
        <v>1</v>
      </c>
      <c r="AK33" s="4">
        <v>1</v>
      </c>
      <c r="AL33" s="4">
        <v>1</v>
      </c>
      <c r="AM33" s="4">
        <v>0</v>
      </c>
      <c r="AN33" s="4">
        <v>0</v>
      </c>
      <c r="AO33" s="4" t="s">
        <v>82</v>
      </c>
      <c r="AP33" s="4" t="s">
        <v>83</v>
      </c>
      <c r="AQ33" s="6">
        <v>1592406475.0599999</v>
      </c>
      <c r="AR33" s="4">
        <v>5912</v>
      </c>
      <c r="AS33" s="15">
        <v>0</v>
      </c>
      <c r="AT33" s="15">
        <v>80.138366023154703</v>
      </c>
      <c r="AU33" s="15">
        <v>80.138366023154703</v>
      </c>
      <c r="AV33" s="15">
        <v>19.861633976845201</v>
      </c>
      <c r="AW33" s="15">
        <v>19.861633976845201</v>
      </c>
      <c r="AX33" s="15">
        <v>0</v>
      </c>
      <c r="AY33">
        <v>1679.0173155925099</v>
      </c>
    </row>
    <row r="34" spans="1:51" x14ac:dyDescent="0.25">
      <c r="A34">
        <v>97</v>
      </c>
      <c r="B34" s="4">
        <v>0.95724034386574897</v>
      </c>
      <c r="C34" s="4">
        <v>34.072523116587803</v>
      </c>
      <c r="D34" s="4">
        <v>40.809510807622402</v>
      </c>
      <c r="E34" s="4">
        <v>3.4122154727892602E-2</v>
      </c>
      <c r="F34" s="5">
        <v>4.275965613425E-2</v>
      </c>
      <c r="G34" s="5">
        <v>0</v>
      </c>
      <c r="H34" s="4">
        <v>5.1740589737787301</v>
      </c>
      <c r="I34" s="4">
        <v>3.6512492009647399</v>
      </c>
      <c r="J34" s="4">
        <v>20.453819121287601</v>
      </c>
      <c r="K34" s="4">
        <v>206.71666891893599</v>
      </c>
      <c r="L34" s="4">
        <v>14.916423882238499</v>
      </c>
      <c r="M34" s="4">
        <v>23.230695855899899</v>
      </c>
      <c r="N34" s="4">
        <v>90.096268408788703</v>
      </c>
      <c r="O34" s="4">
        <v>75.435918395971498</v>
      </c>
      <c r="P34" s="4">
        <v>291708.00487655698</v>
      </c>
      <c r="Q34" s="4">
        <v>267667.27677325503</v>
      </c>
      <c r="R34" s="4">
        <v>775.521621023276</v>
      </c>
      <c r="S34" s="4">
        <v>0</v>
      </c>
      <c r="T34" s="4">
        <v>0</v>
      </c>
      <c r="U34" s="4">
        <v>1.11659007631769E-2</v>
      </c>
      <c r="V34" s="4">
        <v>0.112179616982636</v>
      </c>
      <c r="W34" s="4">
        <v>0</v>
      </c>
      <c r="X34" s="4">
        <v>0.21946863030339001</v>
      </c>
      <c r="Y34" s="4">
        <v>0</v>
      </c>
      <c r="Z34" s="5">
        <v>4.1803610075456999E-4</v>
      </c>
      <c r="AA34" s="5">
        <v>4.6855603675812602E-4</v>
      </c>
      <c r="AB34" s="10">
        <v>4.2838218232518401E-3</v>
      </c>
      <c r="AC34" s="10">
        <v>6.0040626823104799E-4</v>
      </c>
      <c r="AD34" s="10">
        <v>3.6988818580615201E-2</v>
      </c>
      <c r="AE34" s="4">
        <v>0.13760138765242999</v>
      </c>
      <c r="AF34" s="4">
        <v>0.17103195720680001</v>
      </c>
      <c r="AG34" s="4">
        <v>0.50885044351304398</v>
      </c>
      <c r="AH34" s="4">
        <v>0.70452372151209497</v>
      </c>
      <c r="AI34" s="4">
        <v>0.97320598830082505</v>
      </c>
      <c r="AJ34" s="4">
        <v>1</v>
      </c>
      <c r="AK34" s="4">
        <v>1</v>
      </c>
      <c r="AL34" s="4">
        <v>1</v>
      </c>
      <c r="AM34" s="4">
        <v>0</v>
      </c>
      <c r="AN34" s="4">
        <v>0</v>
      </c>
      <c r="AO34" s="4" t="s">
        <v>84</v>
      </c>
      <c r="AP34" s="4" t="s">
        <v>85</v>
      </c>
      <c r="AQ34" s="6">
        <v>92077543.209999993</v>
      </c>
      <c r="AR34" s="4">
        <v>344</v>
      </c>
      <c r="AS34" s="15">
        <v>0</v>
      </c>
      <c r="AT34" s="15">
        <v>88.782038301736307</v>
      </c>
      <c r="AU34" s="15">
        <v>88.782038301736307</v>
      </c>
      <c r="AV34" s="15">
        <v>11.217961698263601</v>
      </c>
      <c r="AW34" s="15">
        <v>11.217961698263601</v>
      </c>
      <c r="AX34" s="15">
        <v>0</v>
      </c>
      <c r="AY34">
        <v>1761.8721425122301</v>
      </c>
    </row>
    <row r="35" spans="1:51" x14ac:dyDescent="0.25">
      <c r="A35">
        <v>97</v>
      </c>
      <c r="B35" s="4">
        <v>0.95720791939168703</v>
      </c>
      <c r="C35" s="4">
        <v>65.249593616461695</v>
      </c>
      <c r="D35" s="4">
        <v>40.833565744069197</v>
      </c>
      <c r="E35" s="4">
        <v>8.4313824915533797E-2</v>
      </c>
      <c r="F35" s="5">
        <v>4.2792080608312098E-2</v>
      </c>
      <c r="G35" s="5">
        <v>0</v>
      </c>
      <c r="H35" s="4">
        <v>5.2469082307376702</v>
      </c>
      <c r="I35" s="4">
        <v>3.6389450344276102</v>
      </c>
      <c r="J35" s="4">
        <v>35.904757076947099</v>
      </c>
      <c r="K35" s="4">
        <v>229.42153851349801</v>
      </c>
      <c r="L35" s="4">
        <v>15.6719685325213</v>
      </c>
      <c r="M35" s="4">
        <v>20.451703630200601</v>
      </c>
      <c r="N35" s="4">
        <v>94.672984605974406</v>
      </c>
      <c r="O35" s="4">
        <v>76.771882523547902</v>
      </c>
      <c r="P35" s="4">
        <v>271458.40466198901</v>
      </c>
      <c r="Q35" s="4">
        <v>254782.36</v>
      </c>
      <c r="R35" s="4">
        <v>779.03701685445697</v>
      </c>
      <c r="S35" s="4">
        <v>0</v>
      </c>
      <c r="T35" s="4">
        <v>0</v>
      </c>
      <c r="U35" s="4">
        <v>0</v>
      </c>
      <c r="V35" s="4">
        <v>0</v>
      </c>
      <c r="W35" s="4">
        <v>0</v>
      </c>
      <c r="X35" s="4">
        <v>0.16371312724741499</v>
      </c>
      <c r="Y35" s="4">
        <v>0</v>
      </c>
      <c r="Z35" s="5">
        <v>4.3284022710085698E-4</v>
      </c>
      <c r="AA35" s="5">
        <v>6.7208726957244198E-4</v>
      </c>
      <c r="AB35" s="10">
        <v>4.8549645787686196E-3</v>
      </c>
      <c r="AC35" s="10">
        <v>9.35619192423954E-4</v>
      </c>
      <c r="AD35" s="10">
        <v>3.5896555054848699E-2</v>
      </c>
      <c r="AE35" s="4">
        <v>0.17091477419512</v>
      </c>
      <c r="AF35" s="4">
        <v>0.16371312724741499</v>
      </c>
      <c r="AG35" s="4">
        <v>0.16371312724741499</v>
      </c>
      <c r="AH35" s="4">
        <v>0.35963028632328797</v>
      </c>
      <c r="AI35" s="4">
        <v>1</v>
      </c>
      <c r="AJ35" s="4">
        <v>1</v>
      </c>
      <c r="AK35" s="4">
        <v>1</v>
      </c>
      <c r="AL35" s="4">
        <v>1</v>
      </c>
      <c r="AM35" s="4">
        <v>0</v>
      </c>
      <c r="AN35" s="4">
        <v>0</v>
      </c>
      <c r="AO35" s="4" t="s">
        <v>86</v>
      </c>
      <c r="AP35" s="4" t="s">
        <v>87</v>
      </c>
      <c r="AQ35" s="6">
        <v>3312170.68</v>
      </c>
      <c r="AR35" s="4">
        <v>13</v>
      </c>
      <c r="AS35" s="15">
        <v>0</v>
      </c>
      <c r="AT35" s="15">
        <v>100</v>
      </c>
      <c r="AU35" s="15">
        <v>100</v>
      </c>
      <c r="AV35" s="15">
        <v>0</v>
      </c>
      <c r="AW35" s="15">
        <v>0</v>
      </c>
      <c r="AX35" s="15">
        <v>0</v>
      </c>
      <c r="AY35">
        <v>1812.56511987163</v>
      </c>
    </row>
    <row r="36" spans="1:51" x14ac:dyDescent="0.25">
      <c r="A36">
        <v>97</v>
      </c>
      <c r="B36" s="4">
        <v>0.96185186842882398</v>
      </c>
      <c r="C36" s="4">
        <v>84.603245466759205</v>
      </c>
      <c r="D36" s="4">
        <v>37.295556844939</v>
      </c>
      <c r="E36" s="4">
        <v>0.14437046860512701</v>
      </c>
      <c r="F36" s="5">
        <v>3.8148131571175303E-2</v>
      </c>
      <c r="G36" s="5">
        <v>0</v>
      </c>
      <c r="H36" s="4">
        <v>5.75</v>
      </c>
      <c r="I36" s="4">
        <v>4.1387573853749302</v>
      </c>
      <c r="J36" s="4">
        <v>54.455300000000001</v>
      </c>
      <c r="K36" s="4">
        <v>254.14737832477601</v>
      </c>
      <c r="L36" s="4">
        <v>23.8889254434457</v>
      </c>
      <c r="M36" s="4">
        <v>31.4262167522364</v>
      </c>
      <c r="N36" s="4">
        <v>95</v>
      </c>
      <c r="O36" s="4">
        <v>57.497761023921598</v>
      </c>
      <c r="P36" s="4">
        <v>170045.697840109</v>
      </c>
      <c r="Q36" s="4">
        <v>166421.72</v>
      </c>
      <c r="R36" s="4">
        <v>782</v>
      </c>
      <c r="S36" s="4">
        <v>0</v>
      </c>
      <c r="T36" s="4">
        <v>0</v>
      </c>
      <c r="U36" s="4">
        <v>0</v>
      </c>
      <c r="V36" s="4">
        <v>0</v>
      </c>
      <c r="W36" s="4">
        <v>0</v>
      </c>
      <c r="X36" s="4">
        <v>0</v>
      </c>
      <c r="Y36" s="4">
        <v>0</v>
      </c>
      <c r="Z36" s="5">
        <v>1.6004216761757401E-3</v>
      </c>
      <c r="AA36" s="5">
        <v>1.6422780827145E-3</v>
      </c>
      <c r="AB36" s="10">
        <v>6.1079827189533904E-3</v>
      </c>
      <c r="AC36" s="10">
        <v>0</v>
      </c>
      <c r="AD36" s="10">
        <v>2.8797429093331599E-2</v>
      </c>
      <c r="AE36" s="4">
        <v>-6.0003429533219597E-2</v>
      </c>
      <c r="AF36" s="4">
        <v>1</v>
      </c>
      <c r="AG36" s="4">
        <v>1</v>
      </c>
      <c r="AH36" s="4">
        <v>1</v>
      </c>
      <c r="AI36" s="4">
        <v>1</v>
      </c>
      <c r="AJ36" s="4">
        <v>1</v>
      </c>
      <c r="AK36" s="4">
        <v>1</v>
      </c>
      <c r="AL36" s="4">
        <v>1</v>
      </c>
      <c r="AM36" s="4">
        <v>0</v>
      </c>
      <c r="AN36" s="4">
        <v>0</v>
      </c>
      <c r="AO36" s="4" t="s">
        <v>154</v>
      </c>
      <c r="AP36" s="4" t="s">
        <v>155</v>
      </c>
      <c r="AQ36" s="6">
        <v>332843.44</v>
      </c>
      <c r="AR36" s="4">
        <v>2</v>
      </c>
      <c r="AS36" s="15">
        <v>0</v>
      </c>
      <c r="AT36" s="15">
        <v>100</v>
      </c>
      <c r="AU36" s="15">
        <v>100</v>
      </c>
      <c r="AV36" s="15">
        <v>0</v>
      </c>
      <c r="AW36" s="15">
        <v>0</v>
      </c>
      <c r="AX36" s="15">
        <v>0</v>
      </c>
      <c r="AY36">
        <v>1089.0233504472801</v>
      </c>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0.99833296751924105</v>
      </c>
      <c r="C42" s="4">
        <v>0.26130404937886298</v>
      </c>
      <c r="D42" s="4">
        <v>1.9821991324533701</v>
      </c>
      <c r="E42" s="4">
        <v>2.1801460161579799E-4</v>
      </c>
      <c r="F42" s="5">
        <v>1.6670324807580401E-3</v>
      </c>
      <c r="G42" s="5">
        <v>0</v>
      </c>
      <c r="H42" s="4">
        <v>3.25</v>
      </c>
      <c r="I42" s="4">
        <v>3.7357635577989301</v>
      </c>
      <c r="J42" s="4">
        <v>-40.5097267274964</v>
      </c>
      <c r="K42" s="4">
        <v>-155.500954051935</v>
      </c>
      <c r="L42" s="4">
        <v>14.5625517952497</v>
      </c>
      <c r="M42" s="4">
        <v>3.27256826010104</v>
      </c>
      <c r="N42" s="4">
        <v>80</v>
      </c>
      <c r="O42" s="4">
        <v>77.654292440335894</v>
      </c>
      <c r="P42" s="4">
        <v>291131.10861560702</v>
      </c>
      <c r="Q42" s="4">
        <v>274125.36333333299</v>
      </c>
      <c r="R42" s="4">
        <v>774.19702452681895</v>
      </c>
      <c r="S42" s="4">
        <v>0</v>
      </c>
      <c r="T42" s="4">
        <v>0</v>
      </c>
      <c r="U42" s="4">
        <v>0</v>
      </c>
      <c r="V42" s="4">
        <v>0.45074386829509999</v>
      </c>
      <c r="W42" s="4">
        <v>0</v>
      </c>
      <c r="X42" s="4">
        <v>0</v>
      </c>
      <c r="Y42" s="4">
        <v>0</v>
      </c>
      <c r="Z42" s="5">
        <v>1.60686101391882E-4</v>
      </c>
      <c r="AA42" s="5">
        <v>5.3411715082815599E-6</v>
      </c>
      <c r="AB42" s="10">
        <v>1.5009879610045501E-3</v>
      </c>
      <c r="AC42" s="10">
        <v>0</v>
      </c>
      <c r="AD42" s="10">
        <v>0</v>
      </c>
      <c r="AE42" s="4">
        <v>2.4554217237891699E-2</v>
      </c>
      <c r="AF42" s="4">
        <v>1</v>
      </c>
      <c r="AG42" s="4">
        <v>1</v>
      </c>
      <c r="AH42" s="4">
        <v>1</v>
      </c>
      <c r="AI42" s="4">
        <v>1</v>
      </c>
      <c r="AJ42" s="4">
        <v>1</v>
      </c>
      <c r="AK42" s="4">
        <v>1</v>
      </c>
      <c r="AL42" s="4">
        <v>1</v>
      </c>
      <c r="AM42" s="4">
        <v>0</v>
      </c>
      <c r="AN42" s="4">
        <v>0</v>
      </c>
      <c r="AO42" s="4" t="s">
        <v>172</v>
      </c>
      <c r="AP42" s="4">
        <f>-175--150</f>
        <v>-25</v>
      </c>
      <c r="AQ42" s="6">
        <v>822376.09</v>
      </c>
      <c r="AR42" s="4">
        <v>3</v>
      </c>
      <c r="AS42" s="15">
        <v>0</v>
      </c>
      <c r="AT42" s="15">
        <v>54.925613170489903</v>
      </c>
      <c r="AU42" s="15">
        <v>54.925613170489903</v>
      </c>
      <c r="AV42" s="15">
        <v>45.074386829509997</v>
      </c>
      <c r="AW42" s="15">
        <v>45.074386829509997</v>
      </c>
      <c r="AX42" s="15">
        <v>0</v>
      </c>
      <c r="AY42" s="31">
        <v>0</v>
      </c>
    </row>
    <row r="43" spans="1:51" x14ac:dyDescent="0.25">
      <c r="A43">
        <v>96</v>
      </c>
      <c r="B43" s="4">
        <v>0.99840708484982199</v>
      </c>
      <c r="C43" s="4">
        <v>0.16230363877051099</v>
      </c>
      <c r="D43" s="4">
        <v>1.89484008330599</v>
      </c>
      <c r="E43" s="4">
        <v>1.3535375036780899E-4</v>
      </c>
      <c r="F43" s="5">
        <v>1.59291515017788E-3</v>
      </c>
      <c r="G43" s="5">
        <v>0</v>
      </c>
      <c r="H43" s="4">
        <v>3.5272565621367198</v>
      </c>
      <c r="I43" s="4">
        <v>3.8043424532899599</v>
      </c>
      <c r="J43" s="4">
        <v>-22.033008462153099</v>
      </c>
      <c r="K43" s="4">
        <v>-133.73727504956</v>
      </c>
      <c r="L43" s="4">
        <v>15.318143543433701</v>
      </c>
      <c r="M43" s="4">
        <v>4.2985067579835601</v>
      </c>
      <c r="N43" s="4">
        <v>78.8698986087267</v>
      </c>
      <c r="O43" s="4">
        <v>77.210090162493401</v>
      </c>
      <c r="P43" s="4">
        <v>278644.18268214801</v>
      </c>
      <c r="Q43" s="4">
        <v>260629.582608695</v>
      </c>
      <c r="R43" s="4">
        <v>780.52698377827699</v>
      </c>
      <c r="S43" s="4">
        <v>0</v>
      </c>
      <c r="T43" s="4">
        <v>0</v>
      </c>
      <c r="U43" s="4">
        <v>4.42107592844911E-2</v>
      </c>
      <c r="V43" s="4">
        <v>0.62073294459349604</v>
      </c>
      <c r="W43" s="4">
        <v>0</v>
      </c>
      <c r="X43" s="4">
        <v>0.47866670479062701</v>
      </c>
      <c r="Y43" s="4">
        <v>0</v>
      </c>
      <c r="Z43" s="5">
        <v>2.1594278783547199E-4</v>
      </c>
      <c r="AA43" s="5">
        <v>1.99806738081085E-5</v>
      </c>
      <c r="AB43" s="10">
        <v>1.33892399120207E-3</v>
      </c>
      <c r="AC43" s="10">
        <v>0</v>
      </c>
      <c r="AD43" s="10">
        <v>1.8054136609037799E-5</v>
      </c>
      <c r="AE43" s="4">
        <v>1.36347347220217E-2</v>
      </c>
      <c r="AF43" s="4">
        <v>0.95578924071550797</v>
      </c>
      <c r="AG43" s="4">
        <v>1</v>
      </c>
      <c r="AH43" s="4">
        <v>1</v>
      </c>
      <c r="AI43" s="4">
        <v>1</v>
      </c>
      <c r="AJ43" s="4">
        <v>1</v>
      </c>
      <c r="AK43" s="4">
        <v>1</v>
      </c>
      <c r="AL43" s="4">
        <v>1</v>
      </c>
      <c r="AM43" s="4">
        <v>0</v>
      </c>
      <c r="AN43" s="4">
        <v>0</v>
      </c>
      <c r="AO43" s="4" t="s">
        <v>62</v>
      </c>
      <c r="AP43" s="4">
        <f>-150--125</f>
        <v>-25</v>
      </c>
      <c r="AQ43" s="6">
        <v>5994480.4000000004</v>
      </c>
      <c r="AR43" s="4">
        <v>23</v>
      </c>
      <c r="AS43" s="15">
        <v>0</v>
      </c>
      <c r="AT43" s="15">
        <v>37.926705540650303</v>
      </c>
      <c r="AU43" s="15">
        <v>37.926705540650303</v>
      </c>
      <c r="AV43" s="15">
        <v>62.073294459349597</v>
      </c>
      <c r="AW43" s="15">
        <v>62.073294459349597</v>
      </c>
      <c r="AX43" s="15">
        <v>0</v>
      </c>
      <c r="AY43" s="31">
        <v>0</v>
      </c>
    </row>
    <row r="44" spans="1:51" x14ac:dyDescent="0.25">
      <c r="A44">
        <v>96</v>
      </c>
      <c r="B44" s="4">
        <v>0.99672240789033495</v>
      </c>
      <c r="C44" s="4">
        <v>0.18121176777321499</v>
      </c>
      <c r="D44" s="4">
        <v>3.8629782403776098</v>
      </c>
      <c r="E44" s="4">
        <v>1.5113537366504001E-4</v>
      </c>
      <c r="F44" s="5">
        <v>3.2775921096642202E-3</v>
      </c>
      <c r="G44" s="5">
        <v>0</v>
      </c>
      <c r="H44" s="4">
        <v>3.6597933714380799</v>
      </c>
      <c r="I44" s="4">
        <v>3.8379447716388002</v>
      </c>
      <c r="J44" s="4">
        <v>-23.588856619635699</v>
      </c>
      <c r="K44" s="4">
        <v>-109.755207631009</v>
      </c>
      <c r="L44" s="4">
        <v>15.3059600022148</v>
      </c>
      <c r="M44" s="4">
        <v>4.90243141703281</v>
      </c>
      <c r="N44" s="4">
        <v>79.067811119566002</v>
      </c>
      <c r="O44" s="4">
        <v>77.250089898522702</v>
      </c>
      <c r="P44" s="4">
        <v>287089.08314355899</v>
      </c>
      <c r="Q44" s="4">
        <v>248393.64142857099</v>
      </c>
      <c r="R44" s="4">
        <v>779.35781240047402</v>
      </c>
      <c r="S44" s="4">
        <v>0</v>
      </c>
      <c r="T44" s="4">
        <v>0</v>
      </c>
      <c r="U44" s="4">
        <v>6.64775508076592E-2</v>
      </c>
      <c r="V44" s="4">
        <v>0.57868609519099201</v>
      </c>
      <c r="W44" s="4">
        <v>0</v>
      </c>
      <c r="X44" s="4">
        <v>0.66174794158583505</v>
      </c>
      <c r="Y44" s="4">
        <v>0</v>
      </c>
      <c r="Z44" s="5">
        <v>2.6488139324805197E-4</v>
      </c>
      <c r="AA44" s="5">
        <v>2.02344247242771E-5</v>
      </c>
      <c r="AB44" s="10">
        <v>1.45530049837893E-3</v>
      </c>
      <c r="AC44" s="10">
        <v>0</v>
      </c>
      <c r="AD44" s="10">
        <v>1.5371608779945101E-3</v>
      </c>
      <c r="AE44" s="4">
        <v>1.08410567072972E-2</v>
      </c>
      <c r="AF44" s="4">
        <v>0.97253223790375598</v>
      </c>
      <c r="AG44" s="4">
        <v>1</v>
      </c>
      <c r="AH44" s="4">
        <v>1</v>
      </c>
      <c r="AI44" s="4">
        <v>1</v>
      </c>
      <c r="AJ44" s="4">
        <v>1</v>
      </c>
      <c r="AK44" s="4">
        <v>1</v>
      </c>
      <c r="AL44" s="4">
        <v>1</v>
      </c>
      <c r="AM44" s="4">
        <v>0</v>
      </c>
      <c r="AN44" s="4">
        <v>0</v>
      </c>
      <c r="AO44" s="4" t="s">
        <v>63</v>
      </c>
      <c r="AP44" s="4">
        <f>-125--100</f>
        <v>-25</v>
      </c>
      <c r="AQ44" s="6">
        <v>24342576.859999999</v>
      </c>
      <c r="AR44" s="4">
        <v>98</v>
      </c>
      <c r="AS44" s="15">
        <v>0</v>
      </c>
      <c r="AT44" s="15">
        <v>42.131390480900698</v>
      </c>
      <c r="AU44" s="15">
        <v>42.131390480900698</v>
      </c>
      <c r="AV44" s="15">
        <v>57.868609519099202</v>
      </c>
      <c r="AW44" s="15">
        <v>57.868609519099202</v>
      </c>
      <c r="AX44" s="15">
        <v>0</v>
      </c>
      <c r="AY44" s="31">
        <v>0</v>
      </c>
    </row>
    <row r="45" spans="1:51" x14ac:dyDescent="0.25">
      <c r="A45">
        <v>96</v>
      </c>
      <c r="B45" s="4">
        <v>0.99631760179242201</v>
      </c>
      <c r="C45" s="4">
        <v>3.60785333005999</v>
      </c>
      <c r="D45" s="4">
        <v>4.3304709649948299</v>
      </c>
      <c r="E45" s="4">
        <v>3.0574376362177999E-3</v>
      </c>
      <c r="F45" s="5">
        <v>3.68239820757707E-3</v>
      </c>
      <c r="G45" s="5">
        <v>0</v>
      </c>
      <c r="H45" s="4">
        <v>3.2951591661489399</v>
      </c>
      <c r="I45" s="4">
        <v>3.8031731104219801</v>
      </c>
      <c r="J45" s="4">
        <v>-51.130374264504802</v>
      </c>
      <c r="K45" s="4">
        <v>-82.887943991012307</v>
      </c>
      <c r="L45" s="4">
        <v>16.468467022167601</v>
      </c>
      <c r="M45" s="4">
        <v>4.5559091896577</v>
      </c>
      <c r="N45" s="4">
        <v>78.442480652920096</v>
      </c>
      <c r="O45" s="4">
        <v>76.520645502063999</v>
      </c>
      <c r="P45" s="4">
        <v>264670.49590421101</v>
      </c>
      <c r="Q45" s="4">
        <v>238741.99455112201</v>
      </c>
      <c r="R45" s="4">
        <v>779.20984075212596</v>
      </c>
      <c r="S45" s="4">
        <v>0</v>
      </c>
      <c r="T45" s="4">
        <v>0</v>
      </c>
      <c r="U45" s="4">
        <v>2.1720415417495701E-2</v>
      </c>
      <c r="V45" s="4">
        <v>0.72115303144906495</v>
      </c>
      <c r="W45" s="4">
        <v>0</v>
      </c>
      <c r="X45" s="4">
        <v>0.558726537379581</v>
      </c>
      <c r="Y45" s="4">
        <v>0</v>
      </c>
      <c r="Z45" s="5">
        <v>2.8078565719019802E-4</v>
      </c>
      <c r="AA45" s="5">
        <v>1.60451296004879E-5</v>
      </c>
      <c r="AB45" s="10">
        <v>1.4023498981702699E-3</v>
      </c>
      <c r="AC45" s="10">
        <v>0</v>
      </c>
      <c r="AD45" s="10">
        <v>1.9832061493228899E-3</v>
      </c>
      <c r="AE45" s="4">
        <v>1.2095996819175101E-2</v>
      </c>
      <c r="AF45" s="4">
        <v>0.97058985669855802</v>
      </c>
      <c r="AG45" s="4">
        <v>1</v>
      </c>
      <c r="AH45" s="4">
        <v>1</v>
      </c>
      <c r="AI45" s="4">
        <v>1</v>
      </c>
      <c r="AJ45" s="4">
        <v>1</v>
      </c>
      <c r="AK45" s="4">
        <v>1</v>
      </c>
      <c r="AL45" s="4">
        <v>1</v>
      </c>
      <c r="AM45" s="4">
        <v>0</v>
      </c>
      <c r="AN45" s="4">
        <v>0</v>
      </c>
      <c r="AO45" s="4" t="s">
        <v>64</v>
      </c>
      <c r="AP45" s="4">
        <f>-100--75</f>
        <v>-25</v>
      </c>
      <c r="AQ45" s="6">
        <v>191471079.63</v>
      </c>
      <c r="AR45" s="4">
        <v>802</v>
      </c>
      <c r="AS45" s="15">
        <v>0</v>
      </c>
      <c r="AT45" s="15">
        <v>27.884696855093399</v>
      </c>
      <c r="AU45" s="15">
        <v>27.884696855093399</v>
      </c>
      <c r="AV45" s="15">
        <v>72.115303144906505</v>
      </c>
      <c r="AW45" s="15">
        <v>72.115303144906505</v>
      </c>
      <c r="AX45" s="15">
        <v>0</v>
      </c>
      <c r="AY45">
        <v>2.0677368331293799E-2</v>
      </c>
    </row>
    <row r="46" spans="1:51" x14ac:dyDescent="0.25">
      <c r="A46">
        <v>96</v>
      </c>
      <c r="B46" s="4">
        <v>0.99781039695922302</v>
      </c>
      <c r="C46" s="4">
        <v>2.5251789314700099</v>
      </c>
      <c r="D46" s="4">
        <v>2.5961106798294198</v>
      </c>
      <c r="E46" s="4">
        <v>2.12907087201001E-3</v>
      </c>
      <c r="F46" s="5">
        <v>2.1896030407768398E-3</v>
      </c>
      <c r="G46" s="5">
        <v>0</v>
      </c>
      <c r="H46" s="4">
        <v>3.4176097693573499</v>
      </c>
      <c r="I46" s="4">
        <v>3.8696585093214</v>
      </c>
      <c r="J46" s="4">
        <v>-46.760689757214102</v>
      </c>
      <c r="K46" s="4">
        <v>-57.590533903140503</v>
      </c>
      <c r="L46" s="4">
        <v>16.353256202471101</v>
      </c>
      <c r="M46" s="4">
        <v>4.4696039194420001</v>
      </c>
      <c r="N46" s="4">
        <v>77.304997706514698</v>
      </c>
      <c r="O46" s="4">
        <v>75.8105967936078</v>
      </c>
      <c r="P46" s="4">
        <v>264339.53198124602</v>
      </c>
      <c r="Q46" s="4">
        <v>242223.693014188</v>
      </c>
      <c r="R46" s="4">
        <v>780.28506723430701</v>
      </c>
      <c r="S46" s="4">
        <v>0</v>
      </c>
      <c r="T46" s="4">
        <v>0</v>
      </c>
      <c r="U46" s="4">
        <v>4.7430635212808402E-2</v>
      </c>
      <c r="V46" s="4">
        <v>0.53831607248006696</v>
      </c>
      <c r="W46" s="4">
        <v>0</v>
      </c>
      <c r="X46" s="4">
        <v>0.53935504226089803</v>
      </c>
      <c r="Y46" s="4">
        <v>0</v>
      </c>
      <c r="Z46" s="5">
        <v>2.3385912954852699E-4</v>
      </c>
      <c r="AA46" s="5">
        <v>1.8005623618916701E-5</v>
      </c>
      <c r="AB46" s="10">
        <v>1.3467223238408899E-3</v>
      </c>
      <c r="AC46" s="10">
        <v>0</v>
      </c>
      <c r="AD46" s="10">
        <v>5.9100511751960204E-4</v>
      </c>
      <c r="AE46" s="4">
        <v>9.9080294838824797E-3</v>
      </c>
      <c r="AF46" s="4">
        <v>0.97156969270782301</v>
      </c>
      <c r="AG46" s="4">
        <v>0.999978623042723</v>
      </c>
      <c r="AH46" s="4">
        <v>1</v>
      </c>
      <c r="AI46" s="4">
        <v>1</v>
      </c>
      <c r="AJ46" s="4">
        <v>1</v>
      </c>
      <c r="AK46" s="4">
        <v>1</v>
      </c>
      <c r="AL46" s="4">
        <v>1</v>
      </c>
      <c r="AM46" s="4">
        <v>0</v>
      </c>
      <c r="AN46" s="4">
        <v>0</v>
      </c>
      <c r="AO46" s="4" t="s">
        <v>65</v>
      </c>
      <c r="AP46" s="4">
        <f>-75--50</f>
        <v>-25</v>
      </c>
      <c r="AQ46" s="6">
        <v>2099837194.74</v>
      </c>
      <c r="AR46" s="4">
        <v>8669</v>
      </c>
      <c r="AS46" s="15">
        <v>0</v>
      </c>
      <c r="AT46" s="15">
        <v>46.168392751993203</v>
      </c>
      <c r="AU46" s="15">
        <v>46.168392751993203</v>
      </c>
      <c r="AV46" s="15">
        <v>53.831607248006698</v>
      </c>
      <c r="AW46" s="15">
        <v>53.831607248006698</v>
      </c>
      <c r="AX46" s="15">
        <v>0</v>
      </c>
      <c r="AY46">
        <v>3.3571793575038797E-2</v>
      </c>
    </row>
    <row r="47" spans="1:51" x14ac:dyDescent="0.25">
      <c r="A47">
        <v>96</v>
      </c>
      <c r="B47" s="4">
        <v>0.99625689341550905</v>
      </c>
      <c r="C47" s="4">
        <v>2.2766196273813799</v>
      </c>
      <c r="D47" s="4">
        <v>4.4004004227850304</v>
      </c>
      <c r="E47" s="4">
        <v>1.91727199501012E-3</v>
      </c>
      <c r="F47" s="5">
        <v>3.74310658449091E-3</v>
      </c>
      <c r="G47" s="5">
        <v>0</v>
      </c>
      <c r="H47" s="4">
        <v>3.6403840821464302</v>
      </c>
      <c r="I47" s="4">
        <v>3.9312024985854999</v>
      </c>
      <c r="J47" s="4">
        <v>-37.175533153897497</v>
      </c>
      <c r="K47" s="4">
        <v>-33.3194821234664</v>
      </c>
      <c r="L47" s="4">
        <v>15.413076702261399</v>
      </c>
      <c r="M47" s="4">
        <v>4.7861354024731897</v>
      </c>
      <c r="N47" s="4">
        <v>74.920190466320307</v>
      </c>
      <c r="O47" s="4">
        <v>73.221329890442604</v>
      </c>
      <c r="P47" s="4">
        <v>278474.32417877601</v>
      </c>
      <c r="Q47" s="4">
        <v>258664.78670835699</v>
      </c>
      <c r="R47" s="4">
        <v>781.87720582500003</v>
      </c>
      <c r="S47" s="4">
        <v>0</v>
      </c>
      <c r="T47" s="4">
        <v>0</v>
      </c>
      <c r="U47" s="4">
        <v>9.5435757985255595E-2</v>
      </c>
      <c r="V47" s="4">
        <v>0.39247208408634598</v>
      </c>
      <c r="W47" s="4">
        <v>0</v>
      </c>
      <c r="X47" s="4">
        <v>0.620466658596601</v>
      </c>
      <c r="Y47" s="4">
        <v>0</v>
      </c>
      <c r="Z47" s="5">
        <v>2.3128470241911E-4</v>
      </c>
      <c r="AA47" s="5">
        <v>2.13921306166592E-5</v>
      </c>
      <c r="AB47" s="10">
        <v>1.58982550935032E-3</v>
      </c>
      <c r="AC47" s="10">
        <v>4.7241305432104602E-9</v>
      </c>
      <c r="AD47" s="10">
        <v>1.9005846928536799E-3</v>
      </c>
      <c r="AE47" s="4">
        <v>1.4420521699471001E-2</v>
      </c>
      <c r="AF47" s="4">
        <v>0.939783487148939</v>
      </c>
      <c r="AG47" s="4">
        <v>0.999860601737803</v>
      </c>
      <c r="AH47" s="4">
        <v>0.99999507526401299</v>
      </c>
      <c r="AI47" s="4">
        <v>0.99999664043063596</v>
      </c>
      <c r="AJ47" s="4">
        <v>1</v>
      </c>
      <c r="AK47" s="4">
        <v>1</v>
      </c>
      <c r="AL47" s="4">
        <v>1</v>
      </c>
      <c r="AM47" s="4">
        <v>0</v>
      </c>
      <c r="AN47" s="4">
        <v>0</v>
      </c>
      <c r="AO47" s="4" t="s">
        <v>66</v>
      </c>
      <c r="AP47" s="4">
        <f>-50--25</f>
        <v>-25</v>
      </c>
      <c r="AQ47" s="6">
        <v>22563329344.57</v>
      </c>
      <c r="AR47" s="4">
        <v>87230</v>
      </c>
      <c r="AS47" s="15">
        <v>0</v>
      </c>
      <c r="AT47" s="15">
        <v>60.752791591365302</v>
      </c>
      <c r="AU47" s="15">
        <v>60.752791591365302</v>
      </c>
      <c r="AV47" s="15">
        <v>39.247208408634599</v>
      </c>
      <c r="AW47" s="15">
        <v>39.247208408634599</v>
      </c>
      <c r="AX47" s="15">
        <v>0</v>
      </c>
      <c r="AY47">
        <v>2.4667823734911099E-2</v>
      </c>
    </row>
    <row r="48" spans="1:51" x14ac:dyDescent="0.25">
      <c r="A48">
        <v>96</v>
      </c>
      <c r="B48" s="4">
        <v>0.99410144532183098</v>
      </c>
      <c r="C48" s="4">
        <v>2.9023811702982898</v>
      </c>
      <c r="D48" s="4">
        <v>6.8530878193939202</v>
      </c>
      <c r="E48" s="4">
        <v>2.4514348021336899E-3</v>
      </c>
      <c r="F48" s="5">
        <v>5.8985546781685199E-3</v>
      </c>
      <c r="G48" s="5">
        <v>0</v>
      </c>
      <c r="H48" s="4">
        <v>3.7063460299953399</v>
      </c>
      <c r="I48" s="4">
        <v>3.9369142901639398</v>
      </c>
      <c r="J48" s="4">
        <v>-33.7161917339251</v>
      </c>
      <c r="K48" s="4">
        <v>-22.334932754376698</v>
      </c>
      <c r="L48" s="4">
        <v>14.857801312623801</v>
      </c>
      <c r="M48" s="4">
        <v>5.0207812339443798</v>
      </c>
      <c r="N48" s="4">
        <v>71.926173965972694</v>
      </c>
      <c r="O48" s="4">
        <v>70.058762098387504</v>
      </c>
      <c r="P48" s="4">
        <v>288330.77028609603</v>
      </c>
      <c r="Q48" s="4">
        <v>268583.17121168697</v>
      </c>
      <c r="R48" s="4">
        <v>782.78233805058096</v>
      </c>
      <c r="S48" s="4">
        <v>0</v>
      </c>
      <c r="T48" s="4">
        <v>0</v>
      </c>
      <c r="U48" s="4">
        <v>0.104450396020832</v>
      </c>
      <c r="V48" s="4">
        <v>0.36785413563971497</v>
      </c>
      <c r="W48" s="4">
        <v>0</v>
      </c>
      <c r="X48" s="4">
        <v>0.70138514568288401</v>
      </c>
      <c r="Y48" s="4">
        <v>0</v>
      </c>
      <c r="Z48" s="5">
        <v>2.39644597444152E-4</v>
      </c>
      <c r="AA48" s="5">
        <v>2.20100404142874E-5</v>
      </c>
      <c r="AB48" s="10">
        <v>1.7620537581791999E-3</v>
      </c>
      <c r="AC48" s="10">
        <v>5.5977507986603503E-9</v>
      </c>
      <c r="AD48" s="10">
        <v>3.8748258672060298E-3</v>
      </c>
      <c r="AE48" s="4">
        <v>1.7770582730678702E-2</v>
      </c>
      <c r="AF48" s="4">
        <v>0.90284197155391299</v>
      </c>
      <c r="AG48" s="4">
        <v>0.99985315200831504</v>
      </c>
      <c r="AH48" s="4">
        <v>0.99997747406464998</v>
      </c>
      <c r="AI48" s="4">
        <v>1</v>
      </c>
      <c r="AJ48" s="4">
        <v>1</v>
      </c>
      <c r="AK48" s="4">
        <v>1</v>
      </c>
      <c r="AL48" s="4">
        <v>1</v>
      </c>
      <c r="AM48" s="4">
        <v>0</v>
      </c>
      <c r="AN48" s="4">
        <v>0</v>
      </c>
      <c r="AO48" s="4" t="s">
        <v>137</v>
      </c>
      <c r="AP48" s="4">
        <f>-25--20</f>
        <v>-5</v>
      </c>
      <c r="AQ48" s="6">
        <v>12758774965.24</v>
      </c>
      <c r="AR48" s="4">
        <v>47504</v>
      </c>
      <c r="AS48" s="15">
        <v>0</v>
      </c>
      <c r="AT48" s="15">
        <v>63.214586436028398</v>
      </c>
      <c r="AU48" s="15">
        <v>63.214586436028398</v>
      </c>
      <c r="AV48" s="15">
        <v>36.785413563971503</v>
      </c>
      <c r="AW48" s="15">
        <v>36.785413563971503</v>
      </c>
      <c r="AX48" s="15">
        <v>0</v>
      </c>
      <c r="AY48">
        <v>2.8662293532796101E-2</v>
      </c>
    </row>
    <row r="49" spans="1:51" x14ac:dyDescent="0.25">
      <c r="A49">
        <v>96</v>
      </c>
      <c r="B49" s="4">
        <v>0.99298889790627598</v>
      </c>
      <c r="C49" s="4">
        <v>3.2032130934766401</v>
      </c>
      <c r="D49" s="4">
        <v>8.0963595521725704</v>
      </c>
      <c r="E49" s="4">
        <v>2.7093551685901801E-3</v>
      </c>
      <c r="F49" s="5">
        <v>7.01110209372345E-3</v>
      </c>
      <c r="G49" s="5">
        <v>0</v>
      </c>
      <c r="H49" s="4">
        <v>3.7392656178814101</v>
      </c>
      <c r="I49" s="4">
        <v>3.9359697885174199</v>
      </c>
      <c r="J49" s="4">
        <v>-32.212526627768803</v>
      </c>
      <c r="K49" s="4">
        <v>-17.367271994129499</v>
      </c>
      <c r="L49" s="4">
        <v>14.502229750330899</v>
      </c>
      <c r="M49" s="4">
        <v>5.2006650418903702</v>
      </c>
      <c r="N49" s="4">
        <v>70.594398794491298</v>
      </c>
      <c r="O49" s="4">
        <v>68.707242101531804</v>
      </c>
      <c r="P49" s="4">
        <v>295249.40506775799</v>
      </c>
      <c r="Q49" s="4">
        <v>274993.90935710102</v>
      </c>
      <c r="R49" s="4">
        <v>783.20151812670895</v>
      </c>
      <c r="S49" s="4">
        <v>0</v>
      </c>
      <c r="T49" s="4">
        <v>0</v>
      </c>
      <c r="U49" s="4">
        <v>0.10321727924959501</v>
      </c>
      <c r="V49" s="4">
        <v>0.36824829469527798</v>
      </c>
      <c r="W49" s="4">
        <v>0</v>
      </c>
      <c r="X49" s="4">
        <v>0.72838231748175697</v>
      </c>
      <c r="Y49" s="4">
        <v>0</v>
      </c>
      <c r="Z49" s="5">
        <v>2.4584603544391303E-4</v>
      </c>
      <c r="AA49" s="5">
        <v>2.3257115266836699E-5</v>
      </c>
      <c r="AB49" s="10">
        <v>1.8292368402725099E-3</v>
      </c>
      <c r="AC49" s="10">
        <v>5.1401835843712601E-9</v>
      </c>
      <c r="AD49" s="10">
        <v>4.9127422385056201E-3</v>
      </c>
      <c r="AE49" s="4">
        <v>1.8369623119643699E-2</v>
      </c>
      <c r="AF49" s="4">
        <v>0.89009888503676404</v>
      </c>
      <c r="AG49" s="4">
        <v>0.99978465124089</v>
      </c>
      <c r="AH49" s="4">
        <v>0.99997442444569695</v>
      </c>
      <c r="AI49" s="4">
        <v>1</v>
      </c>
      <c r="AJ49" s="4">
        <v>1</v>
      </c>
      <c r="AK49" s="4">
        <v>1</v>
      </c>
      <c r="AL49" s="4">
        <v>1</v>
      </c>
      <c r="AM49" s="4">
        <v>0</v>
      </c>
      <c r="AN49" s="4">
        <v>0</v>
      </c>
      <c r="AO49" s="4" t="s">
        <v>138</v>
      </c>
      <c r="AP49" s="4">
        <f>-20--15</f>
        <v>-5</v>
      </c>
      <c r="AQ49" s="6">
        <v>17092521430</v>
      </c>
      <c r="AR49" s="4">
        <v>62156</v>
      </c>
      <c r="AS49" s="15">
        <v>0</v>
      </c>
      <c r="AT49" s="15">
        <v>63.175170530472101</v>
      </c>
      <c r="AU49" s="15">
        <v>63.175170530472101</v>
      </c>
      <c r="AV49" s="15">
        <v>36.824829469527799</v>
      </c>
      <c r="AW49" s="15">
        <v>36.824829469527799</v>
      </c>
      <c r="AX49" s="15">
        <v>0</v>
      </c>
      <c r="AY49">
        <v>4.1647692573546703E-2</v>
      </c>
    </row>
    <row r="50" spans="1:51" x14ac:dyDescent="0.25">
      <c r="A50">
        <v>96</v>
      </c>
      <c r="B50" s="4">
        <v>0.99183844310471803</v>
      </c>
      <c r="C50" s="4">
        <v>4.5170378360979404</v>
      </c>
      <c r="D50" s="4">
        <v>9.3659791003906907</v>
      </c>
      <c r="E50" s="4">
        <v>3.8444545130471002E-3</v>
      </c>
      <c r="F50" s="5">
        <v>8.1615568952815905E-3</v>
      </c>
      <c r="G50" s="5">
        <v>0</v>
      </c>
      <c r="H50" s="4">
        <v>3.7635939674435899</v>
      </c>
      <c r="I50" s="4">
        <v>3.9206933920088498</v>
      </c>
      <c r="J50" s="4">
        <v>-30.3534959856275</v>
      </c>
      <c r="K50" s="4">
        <v>-12.402037624047001</v>
      </c>
      <c r="L50" s="4">
        <v>14.4437032472641</v>
      </c>
      <c r="M50" s="4">
        <v>5.5812301624561202</v>
      </c>
      <c r="N50" s="4">
        <v>69.030042182870702</v>
      </c>
      <c r="O50" s="4">
        <v>67.084449643889997</v>
      </c>
      <c r="P50" s="4">
        <v>296549.13373778801</v>
      </c>
      <c r="Q50" s="4">
        <v>276032.08788519801</v>
      </c>
      <c r="R50" s="4">
        <v>783.22658287242996</v>
      </c>
      <c r="S50" s="4">
        <v>0</v>
      </c>
      <c r="T50" s="4">
        <v>0</v>
      </c>
      <c r="U50" s="4">
        <v>9.42696155649803E-2</v>
      </c>
      <c r="V50" s="4">
        <v>0.36017189776403102</v>
      </c>
      <c r="W50" s="4">
        <v>0</v>
      </c>
      <c r="X50" s="4">
        <v>0.73882160374827099</v>
      </c>
      <c r="Y50" s="4">
        <v>0</v>
      </c>
      <c r="Z50" s="5">
        <v>2.5529551995772499E-4</v>
      </c>
      <c r="AA50" s="5">
        <v>2.5119770553168901E-5</v>
      </c>
      <c r="AB50" s="10">
        <v>1.93246441471383E-3</v>
      </c>
      <c r="AC50" s="10">
        <v>4.9397321102572403E-9</v>
      </c>
      <c r="AD50" s="10">
        <v>5.9486576267235901E-3</v>
      </c>
      <c r="AE50" s="4">
        <v>1.9124926068936898E-2</v>
      </c>
      <c r="AF50" s="4">
        <v>0.87409209941451904</v>
      </c>
      <c r="AG50" s="4">
        <v>0.99968867445975296</v>
      </c>
      <c r="AH50" s="4">
        <v>0.99997655423348397</v>
      </c>
      <c r="AI50" s="4">
        <v>1</v>
      </c>
      <c r="AJ50" s="4">
        <v>1</v>
      </c>
      <c r="AK50" s="4">
        <v>1</v>
      </c>
      <c r="AL50" s="4">
        <v>1</v>
      </c>
      <c r="AM50" s="4">
        <v>0</v>
      </c>
      <c r="AN50" s="4">
        <v>0</v>
      </c>
      <c r="AO50" s="4" t="s">
        <v>139</v>
      </c>
      <c r="AP50" s="4">
        <f>-15--10</f>
        <v>-5</v>
      </c>
      <c r="AQ50" s="6">
        <v>20836834218.189999</v>
      </c>
      <c r="AR50" s="4">
        <v>75487</v>
      </c>
      <c r="AS50" s="15">
        <v>0</v>
      </c>
      <c r="AT50" s="15">
        <v>63.9828102235968</v>
      </c>
      <c r="AU50" s="15">
        <v>63.9828102235968</v>
      </c>
      <c r="AV50" s="15">
        <v>36.0171897764031</v>
      </c>
      <c r="AW50" s="15">
        <v>36.0171897764031</v>
      </c>
      <c r="AX50" s="15">
        <v>0</v>
      </c>
      <c r="AY50">
        <v>0.33634651411424799</v>
      </c>
    </row>
    <row r="51" spans="1:51" x14ac:dyDescent="0.25">
      <c r="A51">
        <v>96</v>
      </c>
      <c r="B51" s="4">
        <v>0.99073648392062796</v>
      </c>
      <c r="C51" s="4">
        <v>5.5688374215218204</v>
      </c>
      <c r="D51" s="4">
        <v>10.5669845189329</v>
      </c>
      <c r="E51" s="4">
        <v>4.76353945734595E-3</v>
      </c>
      <c r="F51" s="5">
        <v>9.2635160793714307E-3</v>
      </c>
      <c r="G51" s="5">
        <v>0</v>
      </c>
      <c r="H51" s="4">
        <v>3.7981736763303302</v>
      </c>
      <c r="I51" s="4">
        <v>3.9037511792808299</v>
      </c>
      <c r="J51" s="4">
        <v>-27.922120912242601</v>
      </c>
      <c r="K51" s="4">
        <v>-7.4908217952858598</v>
      </c>
      <c r="L51" s="4">
        <v>14.4215232063278</v>
      </c>
      <c r="M51" s="4">
        <v>5.9852692121052904</v>
      </c>
      <c r="N51" s="4">
        <v>69.5100030364231</v>
      </c>
      <c r="O51" s="4">
        <v>67.501154367654706</v>
      </c>
      <c r="P51" s="4">
        <v>297178.12809103401</v>
      </c>
      <c r="Q51" s="4">
        <v>276508.015974649</v>
      </c>
      <c r="R51" s="4">
        <v>783.025634265853</v>
      </c>
      <c r="S51" s="4">
        <v>0</v>
      </c>
      <c r="T51" s="4">
        <v>0</v>
      </c>
      <c r="U51" s="4">
        <v>8.3687209463152404E-2</v>
      </c>
      <c r="V51" s="4">
        <v>0.35376724531231102</v>
      </c>
      <c r="W51" s="4">
        <v>0</v>
      </c>
      <c r="X51" s="4">
        <v>0.74337940396095303</v>
      </c>
      <c r="Y51" s="4">
        <v>0</v>
      </c>
      <c r="Z51" s="5">
        <v>2.62090416074376E-4</v>
      </c>
      <c r="AA51" s="5">
        <v>2.6911622767512198E-5</v>
      </c>
      <c r="AB51" s="10">
        <v>2.01480237879916E-3</v>
      </c>
      <c r="AC51" s="10">
        <v>7.2078781717646298E-9</v>
      </c>
      <c r="AD51" s="10">
        <v>6.9596898568397196E-3</v>
      </c>
      <c r="AE51" s="4">
        <v>1.9365973637858001E-2</v>
      </c>
      <c r="AF51" s="4">
        <v>0.85335758795825101</v>
      </c>
      <c r="AG51" s="4">
        <v>0.99948204849511701</v>
      </c>
      <c r="AH51" s="4">
        <v>0.99998624082216703</v>
      </c>
      <c r="AI51" s="4">
        <v>1</v>
      </c>
      <c r="AJ51" s="4">
        <v>1</v>
      </c>
      <c r="AK51" s="4">
        <v>1</v>
      </c>
      <c r="AL51" s="4">
        <v>1</v>
      </c>
      <c r="AM51" s="4">
        <v>0</v>
      </c>
      <c r="AN51" s="4">
        <v>0</v>
      </c>
      <c r="AO51" s="4" t="s">
        <v>140</v>
      </c>
      <c r="AP51" s="4">
        <f>-10--5</f>
        <v>-5</v>
      </c>
      <c r="AQ51" s="6">
        <v>23515900726.580002</v>
      </c>
      <c r="AR51" s="4">
        <v>85046</v>
      </c>
      <c r="AS51" s="15">
        <v>0</v>
      </c>
      <c r="AT51" s="15">
        <v>64.623275468768796</v>
      </c>
      <c r="AU51" s="15">
        <v>64.623275468768796</v>
      </c>
      <c r="AV51" s="15">
        <v>35.376724531231098</v>
      </c>
      <c r="AW51" s="15">
        <v>35.376724531231098</v>
      </c>
      <c r="AX51" s="15">
        <v>0</v>
      </c>
      <c r="AY51">
        <v>1.6271223575826399</v>
      </c>
    </row>
    <row r="52" spans="1:51" x14ac:dyDescent="0.25">
      <c r="A52">
        <v>96</v>
      </c>
      <c r="B52" s="4">
        <v>0.98955811432915097</v>
      </c>
      <c r="C52" s="4">
        <v>7.1644600983545299</v>
      </c>
      <c r="D52" s="4">
        <v>11.835113625634801</v>
      </c>
      <c r="E52" s="4">
        <v>6.1759040882703401E-3</v>
      </c>
      <c r="F52" s="5">
        <v>1.04418856708482E-2</v>
      </c>
      <c r="G52" s="5">
        <v>0</v>
      </c>
      <c r="H52" s="4">
        <v>3.8170273475647498</v>
      </c>
      <c r="I52" s="4">
        <v>3.8825950967968401</v>
      </c>
      <c r="J52" s="4">
        <v>-26.300375331121401</v>
      </c>
      <c r="K52" s="4">
        <v>-2.4075089201605699</v>
      </c>
      <c r="L52" s="4">
        <v>14.189774513440099</v>
      </c>
      <c r="M52" s="4">
        <v>6.3344277440703296</v>
      </c>
      <c r="N52" s="4">
        <v>68.355222132972102</v>
      </c>
      <c r="O52" s="4">
        <v>66.298160024321803</v>
      </c>
      <c r="P52" s="4">
        <v>301559.67877442099</v>
      </c>
      <c r="Q52" s="4">
        <v>280888.11580146098</v>
      </c>
      <c r="R52" s="4">
        <v>783.01120253801002</v>
      </c>
      <c r="S52" s="4">
        <v>0</v>
      </c>
      <c r="T52" s="4">
        <v>0</v>
      </c>
      <c r="U52" s="4">
        <v>7.2013207523546105E-2</v>
      </c>
      <c r="V52" s="4">
        <v>0.347423391960552</v>
      </c>
      <c r="W52" s="4">
        <v>0</v>
      </c>
      <c r="X52" s="4">
        <v>0.74814442784298296</v>
      </c>
      <c r="Y52" s="4">
        <v>0</v>
      </c>
      <c r="Z52" s="5">
        <v>2.7086981479578398E-4</v>
      </c>
      <c r="AA52" s="5">
        <v>2.8370680680371701E-5</v>
      </c>
      <c r="AB52" s="10">
        <v>2.0925006222711098E-3</v>
      </c>
      <c r="AC52" s="10">
        <v>8.6823744869647402E-9</v>
      </c>
      <c r="AD52" s="10">
        <v>8.0501214470708599E-3</v>
      </c>
      <c r="AE52" s="4">
        <v>2.0306573941900798E-2</v>
      </c>
      <c r="AF52" s="4">
        <v>0.83709037017893395</v>
      </c>
      <c r="AG52" s="4">
        <v>0.99914450295220103</v>
      </c>
      <c r="AH52" s="4">
        <v>0.99998979045362801</v>
      </c>
      <c r="AI52" s="4">
        <v>0.99999753282059101</v>
      </c>
      <c r="AJ52" s="4">
        <v>1</v>
      </c>
      <c r="AK52" s="4">
        <v>1</v>
      </c>
      <c r="AL52" s="4">
        <v>1</v>
      </c>
      <c r="AM52" s="4">
        <v>0</v>
      </c>
      <c r="AN52" s="4">
        <v>0</v>
      </c>
      <c r="AO52" s="4" t="s">
        <v>67</v>
      </c>
      <c r="AP52" s="4">
        <f>-25-0</f>
        <v>-25</v>
      </c>
      <c r="AQ52" s="6">
        <v>27364682017.610001</v>
      </c>
      <c r="AR52" s="4">
        <v>97422</v>
      </c>
      <c r="AS52" s="15">
        <v>0</v>
      </c>
      <c r="AT52" s="15">
        <v>65.257660803944702</v>
      </c>
      <c r="AU52" s="15">
        <v>65.257660803944702</v>
      </c>
      <c r="AV52" s="15">
        <v>34.742339196055198</v>
      </c>
      <c r="AW52" s="15">
        <v>34.742339196055198</v>
      </c>
      <c r="AX52" s="15">
        <v>0</v>
      </c>
      <c r="AY52">
        <v>3.8281214977943399</v>
      </c>
    </row>
    <row r="53" spans="1:51" x14ac:dyDescent="0.25">
      <c r="A53">
        <v>96</v>
      </c>
      <c r="B53" s="4">
        <v>0.98824066431110902</v>
      </c>
      <c r="C53" s="4">
        <v>8.8521007135361494</v>
      </c>
      <c r="D53" s="4">
        <v>13.2333871107316</v>
      </c>
      <c r="E53" s="4">
        <v>7.6941417048664402E-3</v>
      </c>
      <c r="F53" s="5">
        <v>1.1759335688890701E-2</v>
      </c>
      <c r="G53" s="5">
        <v>0</v>
      </c>
      <c r="H53" s="4">
        <v>3.8637792140758802</v>
      </c>
      <c r="I53" s="4">
        <v>3.87455113722091</v>
      </c>
      <c r="J53" s="4">
        <v>-24.547965579542499</v>
      </c>
      <c r="K53" s="4">
        <v>2.5749501154257302</v>
      </c>
      <c r="L53" s="4">
        <v>14.349169589801001</v>
      </c>
      <c r="M53" s="4">
        <v>6.9661341555639096</v>
      </c>
      <c r="N53" s="4">
        <v>69.504711568072594</v>
      </c>
      <c r="O53" s="4">
        <v>67.290784604543504</v>
      </c>
      <c r="P53" s="4">
        <v>299077.72362615197</v>
      </c>
      <c r="Q53" s="4">
        <v>278046.678361781</v>
      </c>
      <c r="R53" s="4">
        <v>782.79280599694596</v>
      </c>
      <c r="S53" s="4">
        <v>0</v>
      </c>
      <c r="T53" s="4">
        <v>0</v>
      </c>
      <c r="U53" s="4">
        <v>5.9893910599329102E-2</v>
      </c>
      <c r="V53" s="4">
        <v>0.34156871702781899</v>
      </c>
      <c r="W53" s="4">
        <v>0</v>
      </c>
      <c r="X53" s="4">
        <v>0.74353845261088902</v>
      </c>
      <c r="Y53" s="4">
        <v>0</v>
      </c>
      <c r="Z53" s="5">
        <v>2.8202296718395E-4</v>
      </c>
      <c r="AA53" s="5">
        <v>3.1836050202463902E-5</v>
      </c>
      <c r="AB53" s="10">
        <v>2.1957464099786701E-3</v>
      </c>
      <c r="AC53" s="10">
        <v>1.8329034057762299E-8</v>
      </c>
      <c r="AD53" s="10">
        <v>9.2496976242294696E-3</v>
      </c>
      <c r="AE53" s="4">
        <v>2.0230835757413301E-2</v>
      </c>
      <c r="AF53" s="4">
        <v>0.82736883135263894</v>
      </c>
      <c r="AG53" s="4">
        <v>0.99877998253130795</v>
      </c>
      <c r="AH53" s="4">
        <v>0.99996515656115803</v>
      </c>
      <c r="AI53" s="4">
        <v>1</v>
      </c>
      <c r="AJ53" s="4">
        <v>1</v>
      </c>
      <c r="AK53" s="4">
        <v>1</v>
      </c>
      <c r="AL53" s="4">
        <v>1</v>
      </c>
      <c r="AM53" s="4">
        <v>0</v>
      </c>
      <c r="AN53" s="4">
        <v>0</v>
      </c>
      <c r="AO53" s="4" t="s">
        <v>141</v>
      </c>
      <c r="AP53" s="4" t="s">
        <v>127</v>
      </c>
      <c r="AQ53" s="6">
        <v>28507013745.720001</v>
      </c>
      <c r="AR53" s="4">
        <v>102526</v>
      </c>
      <c r="AS53" s="15">
        <v>0</v>
      </c>
      <c r="AT53" s="15">
        <v>65.843128297218001</v>
      </c>
      <c r="AU53" s="15">
        <v>65.843128297218001</v>
      </c>
      <c r="AV53" s="15">
        <v>34.156871702781899</v>
      </c>
      <c r="AW53" s="15">
        <v>34.156871702781899</v>
      </c>
      <c r="AX53" s="15">
        <v>0</v>
      </c>
      <c r="AY53">
        <v>6.5534175621933199</v>
      </c>
    </row>
    <row r="54" spans="1:51" x14ac:dyDescent="0.25">
      <c r="A54">
        <v>96</v>
      </c>
      <c r="B54" s="4">
        <v>0.98687261936567505</v>
      </c>
      <c r="C54" s="4">
        <v>10.9042707213596</v>
      </c>
      <c r="D54" s="4">
        <v>14.6638203321367</v>
      </c>
      <c r="E54" s="4">
        <v>9.5754262052694696E-3</v>
      </c>
      <c r="F54" s="5">
        <v>1.31273806343244E-2</v>
      </c>
      <c r="G54" s="5">
        <v>0</v>
      </c>
      <c r="H54" s="4">
        <v>3.9014198978658401</v>
      </c>
      <c r="I54" s="4">
        <v>3.8641340357318898</v>
      </c>
      <c r="J54" s="4">
        <v>-23.498065735290499</v>
      </c>
      <c r="K54" s="4">
        <v>7.54044198090401</v>
      </c>
      <c r="L54" s="4">
        <v>14.6095014621154</v>
      </c>
      <c r="M54" s="4">
        <v>7.6447098632183401</v>
      </c>
      <c r="N54" s="4">
        <v>68.926359720982006</v>
      </c>
      <c r="O54" s="4">
        <v>66.6918380204459</v>
      </c>
      <c r="P54" s="4">
        <v>293821.84139102203</v>
      </c>
      <c r="Q54" s="4">
        <v>273049.63764918799</v>
      </c>
      <c r="R54" s="4">
        <v>782.77079991761002</v>
      </c>
      <c r="S54" s="4">
        <v>0</v>
      </c>
      <c r="T54" s="4">
        <v>0</v>
      </c>
      <c r="U54" s="4">
        <v>5.6353208890867701E-2</v>
      </c>
      <c r="V54" s="4">
        <v>0.33497239751976898</v>
      </c>
      <c r="W54" s="4">
        <v>0</v>
      </c>
      <c r="X54" s="4">
        <v>0.74153985692282098</v>
      </c>
      <c r="Y54" s="4">
        <v>0</v>
      </c>
      <c r="Z54" s="5">
        <v>2.94315000129361E-4</v>
      </c>
      <c r="AA54" s="5">
        <v>3.5237191282497398E-5</v>
      </c>
      <c r="AB54" s="10">
        <v>2.3060551692053099E-3</v>
      </c>
      <c r="AC54" s="10">
        <v>4.8883761775499701E-8</v>
      </c>
      <c r="AD54" s="10">
        <v>1.04917102428907E-2</v>
      </c>
      <c r="AE54" s="4">
        <v>1.9958803995398899E-2</v>
      </c>
      <c r="AF54" s="4">
        <v>0.81921161632659101</v>
      </c>
      <c r="AG54" s="4">
        <v>0.99804752121595097</v>
      </c>
      <c r="AH54" s="4">
        <v>0.99991392131579004</v>
      </c>
      <c r="AI54" s="4">
        <v>0.999988623070034</v>
      </c>
      <c r="AJ54" s="4">
        <v>1</v>
      </c>
      <c r="AK54" s="4">
        <v>1</v>
      </c>
      <c r="AL54" s="4">
        <v>1</v>
      </c>
      <c r="AM54" s="4">
        <v>0</v>
      </c>
      <c r="AN54" s="4">
        <v>0</v>
      </c>
      <c r="AO54" s="4" t="s">
        <v>142</v>
      </c>
      <c r="AP54" s="4">
        <v>43230</v>
      </c>
      <c r="AQ54" s="6">
        <v>30239974320.009998</v>
      </c>
      <c r="AR54" s="4">
        <v>110749</v>
      </c>
      <c r="AS54" s="15">
        <v>0</v>
      </c>
      <c r="AT54" s="15">
        <v>66.502760248022994</v>
      </c>
      <c r="AU54" s="15">
        <v>66.502760248022994</v>
      </c>
      <c r="AV54" s="15">
        <v>33.497239751976899</v>
      </c>
      <c r="AW54" s="15">
        <v>33.497239751976899</v>
      </c>
      <c r="AX54" s="15">
        <v>0</v>
      </c>
      <c r="AY54">
        <v>11.314990090656099</v>
      </c>
    </row>
    <row r="55" spans="1:51" x14ac:dyDescent="0.25">
      <c r="A55">
        <v>96</v>
      </c>
      <c r="B55" s="4">
        <v>0.98493189646206702</v>
      </c>
      <c r="C55" s="4">
        <v>14.002827185935001</v>
      </c>
      <c r="D55" s="4">
        <v>16.6559837638362</v>
      </c>
      <c r="E55" s="4">
        <v>1.24926248326339E-2</v>
      </c>
      <c r="F55" s="5">
        <v>1.5068103537932699E-2</v>
      </c>
      <c r="G55" s="5">
        <v>0</v>
      </c>
      <c r="H55" s="4">
        <v>3.9578851636893502</v>
      </c>
      <c r="I55" s="4">
        <v>3.86991645349883</v>
      </c>
      <c r="J55" s="4">
        <v>-22.980733142995501</v>
      </c>
      <c r="K55" s="4">
        <v>12.527276197463699</v>
      </c>
      <c r="L55" s="4">
        <v>14.707415704811901</v>
      </c>
      <c r="M55" s="4">
        <v>8.6019844543323103</v>
      </c>
      <c r="N55" s="4">
        <v>69.313810168204796</v>
      </c>
      <c r="O55" s="4">
        <v>66.948658583240203</v>
      </c>
      <c r="P55" s="4">
        <v>292211.25569988601</v>
      </c>
      <c r="Q55" s="4">
        <v>271327.40903213201</v>
      </c>
      <c r="R55" s="4">
        <v>782.55568254157697</v>
      </c>
      <c r="S55" s="4">
        <v>0</v>
      </c>
      <c r="T55" s="4">
        <v>0</v>
      </c>
      <c r="U55" s="4">
        <v>4.8480183924126799E-2</v>
      </c>
      <c r="V55" s="4">
        <v>0.32608776327810601</v>
      </c>
      <c r="W55" s="4">
        <v>0</v>
      </c>
      <c r="X55" s="4">
        <v>0.74323333970219796</v>
      </c>
      <c r="Y55" s="4">
        <v>0</v>
      </c>
      <c r="Z55" s="5">
        <v>3.0836331462592099E-4</v>
      </c>
      <c r="AA55" s="5">
        <v>3.9228680771699102E-5</v>
      </c>
      <c r="AB55" s="10">
        <v>2.4557606943494199E-3</v>
      </c>
      <c r="AC55" s="10">
        <v>1.2838961728948999E-7</v>
      </c>
      <c r="AD55" s="10">
        <v>1.2264608551616899E-2</v>
      </c>
      <c r="AE55" s="4">
        <v>1.9745185918758599E-2</v>
      </c>
      <c r="AF55" s="4">
        <v>0.81163826250680804</v>
      </c>
      <c r="AG55" s="4">
        <v>0.99674140229203001</v>
      </c>
      <c r="AH55" s="4">
        <v>0.99972330682944199</v>
      </c>
      <c r="AI55" s="4">
        <v>0.99995142578066498</v>
      </c>
      <c r="AJ55" s="4">
        <v>1</v>
      </c>
      <c r="AK55" s="4">
        <v>1</v>
      </c>
      <c r="AL55" s="4">
        <v>1</v>
      </c>
      <c r="AM55" s="4">
        <v>0</v>
      </c>
      <c r="AN55" s="4">
        <v>0</v>
      </c>
      <c r="AO55" s="4" t="s">
        <v>143</v>
      </c>
      <c r="AP55" s="4">
        <v>43388</v>
      </c>
      <c r="AQ55" s="6">
        <v>34873711882.900002</v>
      </c>
      <c r="AR55" s="4">
        <v>128530</v>
      </c>
      <c r="AS55" s="15">
        <v>0</v>
      </c>
      <c r="AT55" s="15">
        <v>67.389270451200701</v>
      </c>
      <c r="AU55" s="15">
        <v>67.389270451200701</v>
      </c>
      <c r="AV55" s="15">
        <v>32.610729548799199</v>
      </c>
      <c r="AW55" s="15">
        <v>32.610729548799199</v>
      </c>
      <c r="AX55" s="15">
        <v>0</v>
      </c>
      <c r="AY55">
        <v>19.077563107269899</v>
      </c>
    </row>
    <row r="56" spans="1:51" x14ac:dyDescent="0.25">
      <c r="A56">
        <v>96</v>
      </c>
      <c r="B56" s="4">
        <v>0.98276911193653205</v>
      </c>
      <c r="C56" s="4">
        <v>17.244108581958599</v>
      </c>
      <c r="D56" s="4">
        <v>18.825807003820501</v>
      </c>
      <c r="E56" s="4">
        <v>1.5649173923988301E-2</v>
      </c>
      <c r="F56" s="5">
        <v>1.7230888063467099E-2</v>
      </c>
      <c r="G56" s="5">
        <v>0</v>
      </c>
      <c r="H56" s="4">
        <v>4.0147815621110601</v>
      </c>
      <c r="I56" s="4">
        <v>3.87980091119175</v>
      </c>
      <c r="J56" s="4">
        <v>-22.7605760882151</v>
      </c>
      <c r="K56" s="4">
        <v>17.528626096559499</v>
      </c>
      <c r="L56" s="4">
        <v>14.725806879669999</v>
      </c>
      <c r="M56" s="4">
        <v>9.7205172800475808</v>
      </c>
      <c r="N56" s="4">
        <v>69.437097744705696</v>
      </c>
      <c r="O56" s="4">
        <v>66.990267778011898</v>
      </c>
      <c r="P56" s="4">
        <v>291290.278693848</v>
      </c>
      <c r="Q56" s="4">
        <v>271047.98071393301</v>
      </c>
      <c r="R56" s="4">
        <v>782.67419718899896</v>
      </c>
      <c r="S56" s="4">
        <v>0</v>
      </c>
      <c r="T56" s="4">
        <v>0</v>
      </c>
      <c r="U56" s="4">
        <v>4.2086767551250903E-2</v>
      </c>
      <c r="V56" s="4">
        <v>0.313827814830066</v>
      </c>
      <c r="W56" s="4">
        <v>0</v>
      </c>
      <c r="X56" s="4">
        <v>0.75251585303054502</v>
      </c>
      <c r="Y56" s="4">
        <v>0</v>
      </c>
      <c r="Z56" s="5">
        <v>3.2247629147612902E-4</v>
      </c>
      <c r="AA56" s="5">
        <v>4.3168091667006502E-5</v>
      </c>
      <c r="AB56" s="10">
        <v>2.5730807291059099E-3</v>
      </c>
      <c r="AC56" s="10">
        <v>2.52169640778804E-7</v>
      </c>
      <c r="AD56" s="10">
        <v>1.4291897064858301E-2</v>
      </c>
      <c r="AE56" s="4">
        <v>1.8708914106764198E-2</v>
      </c>
      <c r="AF56" s="4">
        <v>0.80916351777835804</v>
      </c>
      <c r="AG56" s="4">
        <v>0.99408255665428602</v>
      </c>
      <c r="AH56" s="4">
        <v>0.99968213917259796</v>
      </c>
      <c r="AI56" s="4">
        <v>0.99994156572321002</v>
      </c>
      <c r="AJ56" s="4">
        <v>1</v>
      </c>
      <c r="AK56" s="4">
        <v>1</v>
      </c>
      <c r="AL56" s="4">
        <v>1</v>
      </c>
      <c r="AM56" s="4">
        <v>0</v>
      </c>
      <c r="AN56" s="4">
        <v>0</v>
      </c>
      <c r="AO56" s="4" t="s">
        <v>144</v>
      </c>
      <c r="AP56" s="4" t="s">
        <v>128</v>
      </c>
      <c r="AQ56" s="6">
        <v>38504534044.260002</v>
      </c>
      <c r="AR56" s="4">
        <v>142058</v>
      </c>
      <c r="AS56" s="15">
        <v>0</v>
      </c>
      <c r="AT56" s="15">
        <v>68.614686502298994</v>
      </c>
      <c r="AU56" s="15">
        <v>68.614686502298994</v>
      </c>
      <c r="AV56" s="15">
        <v>31.385313497700899</v>
      </c>
      <c r="AW56" s="15">
        <v>31.385313497700899</v>
      </c>
      <c r="AX56" s="15">
        <v>0</v>
      </c>
      <c r="AY56">
        <v>32.921262452470501</v>
      </c>
    </row>
    <row r="57" spans="1:51" x14ac:dyDescent="0.25">
      <c r="A57">
        <v>96</v>
      </c>
      <c r="B57" s="4">
        <v>0.98050078642268301</v>
      </c>
      <c r="C57" s="4">
        <v>21.069423058598701</v>
      </c>
      <c r="D57" s="4">
        <v>21.045778439427099</v>
      </c>
      <c r="E57" s="4">
        <v>1.95236863561607E-2</v>
      </c>
      <c r="F57" s="5">
        <v>1.94992135773162E-2</v>
      </c>
      <c r="G57" s="5">
        <v>0</v>
      </c>
      <c r="H57" s="4">
        <v>4.0436839684218899</v>
      </c>
      <c r="I57" s="4">
        <v>3.87209515072544</v>
      </c>
      <c r="J57" s="4">
        <v>-22.362803545103599</v>
      </c>
      <c r="K57" s="4">
        <v>22.543947941116599</v>
      </c>
      <c r="L57" s="4">
        <v>14.4774097168998</v>
      </c>
      <c r="M57" s="4">
        <v>10.474530213508601</v>
      </c>
      <c r="N57" s="4">
        <v>67.823587773271797</v>
      </c>
      <c r="O57" s="4">
        <v>65.233277583911899</v>
      </c>
      <c r="P57" s="4">
        <v>296099.12575120101</v>
      </c>
      <c r="Q57" s="4">
        <v>275599.59768276702</v>
      </c>
      <c r="R57" s="4">
        <v>782.70335214632905</v>
      </c>
      <c r="S57" s="4">
        <v>0</v>
      </c>
      <c r="T57" s="4">
        <v>0</v>
      </c>
      <c r="U57" s="4">
        <v>4.0518232439720303E-2</v>
      </c>
      <c r="V57" s="4">
        <v>0.312651710072128</v>
      </c>
      <c r="W57" s="4">
        <v>0</v>
      </c>
      <c r="X57" s="4">
        <v>0.75911106405639805</v>
      </c>
      <c r="Y57" s="4">
        <v>0</v>
      </c>
      <c r="Z57" s="5">
        <v>3.32414059649931E-4</v>
      </c>
      <c r="AA57" s="5">
        <v>4.5092679055955402E-5</v>
      </c>
      <c r="AB57" s="10">
        <v>2.6704932087956799E-3</v>
      </c>
      <c r="AC57" s="10">
        <v>5.2559592468737405E-7</v>
      </c>
      <c r="AD57" s="10">
        <v>1.64506745045351E-2</v>
      </c>
      <c r="AE57" s="4">
        <v>2.0591337033753598E-2</v>
      </c>
      <c r="AF57" s="4">
        <v>0.790972610904635</v>
      </c>
      <c r="AG57" s="4">
        <v>0.99085171431382801</v>
      </c>
      <c r="AH57" s="4">
        <v>0.99938978154525104</v>
      </c>
      <c r="AI57" s="4">
        <v>0.99986300488605195</v>
      </c>
      <c r="AJ57" s="4">
        <v>1</v>
      </c>
      <c r="AK57" s="4">
        <v>1</v>
      </c>
      <c r="AL57" s="4">
        <v>1</v>
      </c>
      <c r="AM57" s="4">
        <v>0</v>
      </c>
      <c r="AN57" s="4">
        <v>0</v>
      </c>
      <c r="AO57" s="4" t="s">
        <v>68</v>
      </c>
      <c r="AP57" s="4" t="s">
        <v>69</v>
      </c>
      <c r="AQ57" s="6">
        <v>42866485823.980003</v>
      </c>
      <c r="AR57" s="4">
        <v>155539</v>
      </c>
      <c r="AS57" s="15">
        <v>0</v>
      </c>
      <c r="AT57" s="15">
        <v>68.733948825512499</v>
      </c>
      <c r="AU57" s="15">
        <v>68.733948825512499</v>
      </c>
      <c r="AV57" s="15">
        <v>31.266051174487401</v>
      </c>
      <c r="AW57" s="15">
        <v>31.266051174487401</v>
      </c>
      <c r="AX57" s="15">
        <v>0</v>
      </c>
      <c r="AY57">
        <v>51.265645297874499</v>
      </c>
    </row>
    <row r="58" spans="1:51" x14ac:dyDescent="0.25">
      <c r="A58">
        <v>96</v>
      </c>
      <c r="B58" s="4">
        <v>0.97841115836510195</v>
      </c>
      <c r="C58" s="4">
        <v>23.063401972063001</v>
      </c>
      <c r="D58" s="4">
        <v>23.041469920317098</v>
      </c>
      <c r="E58" s="4">
        <v>2.1612080739042899E-2</v>
      </c>
      <c r="F58" s="5">
        <v>2.1588841634897299E-2</v>
      </c>
      <c r="G58" s="5">
        <v>0</v>
      </c>
      <c r="H58" s="4">
        <v>4.0805540210337004</v>
      </c>
      <c r="I58" s="4">
        <v>3.8625393820885998</v>
      </c>
      <c r="J58" s="4">
        <v>-21.393000506281702</v>
      </c>
      <c r="K58" s="4">
        <v>27.523059197893399</v>
      </c>
      <c r="L58" s="4">
        <v>14.579448293624401</v>
      </c>
      <c r="M58" s="4">
        <v>11.278875551334</v>
      </c>
      <c r="N58" s="4">
        <v>68.399354601665294</v>
      </c>
      <c r="O58" s="4">
        <v>65.529784302322795</v>
      </c>
      <c r="P58" s="4">
        <v>294526.48745317903</v>
      </c>
      <c r="Q58" s="4">
        <v>273743.06304139103</v>
      </c>
      <c r="R58" s="4">
        <v>782.53592954160001</v>
      </c>
      <c r="S58" s="4">
        <v>0</v>
      </c>
      <c r="T58" s="4">
        <v>0</v>
      </c>
      <c r="U58" s="4">
        <v>3.8080921513116497E-2</v>
      </c>
      <c r="V58" s="4">
        <v>0.31095845645047998</v>
      </c>
      <c r="W58" s="4">
        <v>0</v>
      </c>
      <c r="X58" s="4">
        <v>0.75527821490326597</v>
      </c>
      <c r="Y58" s="4">
        <v>0</v>
      </c>
      <c r="Z58" s="5">
        <v>3.4120649254615299E-4</v>
      </c>
      <c r="AA58" s="5">
        <v>4.83945685371858E-5</v>
      </c>
      <c r="AB58" s="10">
        <v>2.7433609577282498E-3</v>
      </c>
      <c r="AC58" s="10">
        <v>8.3452158098785403E-7</v>
      </c>
      <c r="AD58" s="10">
        <v>1.8455031721158401E-2</v>
      </c>
      <c r="AE58" s="4">
        <v>2.2744782988137102E-2</v>
      </c>
      <c r="AF58" s="4">
        <v>0.773711834369746</v>
      </c>
      <c r="AG58" s="4">
        <v>0.98435998489732301</v>
      </c>
      <c r="AH58" s="4">
        <v>0.99926500628806203</v>
      </c>
      <c r="AI58" s="4">
        <v>0.99978340693150303</v>
      </c>
      <c r="AJ58" s="4">
        <v>1</v>
      </c>
      <c r="AK58" s="4">
        <v>1</v>
      </c>
      <c r="AL58" s="4">
        <v>1</v>
      </c>
      <c r="AM58" s="4">
        <v>0</v>
      </c>
      <c r="AN58" s="4">
        <v>0</v>
      </c>
      <c r="AO58" s="4" t="s">
        <v>145</v>
      </c>
      <c r="AP58" s="4" t="s">
        <v>129</v>
      </c>
      <c r="AQ58" s="6">
        <v>43570040885.919998</v>
      </c>
      <c r="AR58" s="4">
        <v>159164</v>
      </c>
      <c r="AS58" s="15">
        <v>0</v>
      </c>
      <c r="AT58" s="15">
        <v>68.9025983592351</v>
      </c>
      <c r="AU58" s="15">
        <v>68.9025983592351</v>
      </c>
      <c r="AV58" s="15">
        <v>31.097401640764801</v>
      </c>
      <c r="AW58" s="15">
        <v>31.097401640764801</v>
      </c>
      <c r="AX58" s="15">
        <v>0</v>
      </c>
      <c r="AY58">
        <v>73.319059443973501</v>
      </c>
    </row>
    <row r="59" spans="1:51" x14ac:dyDescent="0.25">
      <c r="A59">
        <v>96</v>
      </c>
      <c r="B59" s="4">
        <v>0.97649386278518302</v>
      </c>
      <c r="C59" s="4">
        <v>25.027503012227498</v>
      </c>
      <c r="D59" s="4">
        <v>24.831788449342799</v>
      </c>
      <c r="E59" s="4">
        <v>2.3718264248499699E-2</v>
      </c>
      <c r="F59" s="5">
        <v>2.3506137214816002E-2</v>
      </c>
      <c r="G59" s="5">
        <v>0</v>
      </c>
      <c r="H59" s="4">
        <v>4.1027405532300296</v>
      </c>
      <c r="I59" s="4">
        <v>3.8402995810437202</v>
      </c>
      <c r="J59" s="4">
        <v>-20.755639965798601</v>
      </c>
      <c r="K59" s="4">
        <v>32.511491054413902</v>
      </c>
      <c r="L59" s="4">
        <v>14.592738375513299</v>
      </c>
      <c r="M59" s="4">
        <v>11.8390075290121</v>
      </c>
      <c r="N59" s="4">
        <v>68.156253548917306</v>
      </c>
      <c r="O59" s="4">
        <v>65.177772956410493</v>
      </c>
      <c r="P59" s="4">
        <v>293515.87052853801</v>
      </c>
      <c r="Q59" s="4">
        <v>273384.448033366</v>
      </c>
      <c r="R59" s="4">
        <v>782.62380017445605</v>
      </c>
      <c r="S59" s="4">
        <v>0</v>
      </c>
      <c r="T59" s="4">
        <v>0</v>
      </c>
      <c r="U59" s="4">
        <v>3.6990864738388599E-2</v>
      </c>
      <c r="V59" s="4">
        <v>0.31948024649228901</v>
      </c>
      <c r="W59" s="4">
        <v>0</v>
      </c>
      <c r="X59" s="4">
        <v>0.75414459234881004</v>
      </c>
      <c r="Y59" s="4">
        <v>0</v>
      </c>
      <c r="Z59" s="5">
        <v>3.4765966736708201E-4</v>
      </c>
      <c r="AA59" s="5">
        <v>5.1752209162224997E-5</v>
      </c>
      <c r="AB59" s="10">
        <v>2.7994828835263001E-3</v>
      </c>
      <c r="AC59" s="10">
        <v>1.39593022489295E-6</v>
      </c>
      <c r="AD59" s="10">
        <v>2.0305833243858699E-2</v>
      </c>
      <c r="AE59" s="4">
        <v>2.45301569098028E-2</v>
      </c>
      <c r="AF59" s="4">
        <v>0.75628598751500098</v>
      </c>
      <c r="AG59" s="4">
        <v>0.97965776719801001</v>
      </c>
      <c r="AH59" s="4">
        <v>0.99872127708043201</v>
      </c>
      <c r="AI59" s="4">
        <v>0.99974782095048298</v>
      </c>
      <c r="AJ59" s="4">
        <v>1</v>
      </c>
      <c r="AK59" s="4">
        <v>1</v>
      </c>
      <c r="AL59" s="4">
        <v>1</v>
      </c>
      <c r="AM59" s="4">
        <v>0</v>
      </c>
      <c r="AN59" s="4">
        <v>0</v>
      </c>
      <c r="AO59" s="4" t="s">
        <v>146</v>
      </c>
      <c r="AP59" s="4" t="s">
        <v>130</v>
      </c>
      <c r="AQ59" s="6">
        <v>43981816615.160004</v>
      </c>
      <c r="AR59" s="4">
        <v>160879</v>
      </c>
      <c r="AS59" s="15">
        <v>0</v>
      </c>
      <c r="AT59" s="15">
        <v>68.048233289331407</v>
      </c>
      <c r="AU59" s="15">
        <v>68.048233289331407</v>
      </c>
      <c r="AV59" s="15">
        <v>31.951766710668501</v>
      </c>
      <c r="AW59" s="15">
        <v>31.951766710668501</v>
      </c>
      <c r="AX59" s="15">
        <v>0</v>
      </c>
      <c r="AY59">
        <v>94.548590404183201</v>
      </c>
    </row>
    <row r="60" spans="1:51" x14ac:dyDescent="0.25">
      <c r="A60">
        <v>96</v>
      </c>
      <c r="B60" s="4">
        <v>0.97414940574810105</v>
      </c>
      <c r="C60" s="4">
        <v>27.8309486971669</v>
      </c>
      <c r="D60" s="4">
        <v>26.969068641034799</v>
      </c>
      <c r="E60" s="4">
        <v>2.68138572498413E-2</v>
      </c>
      <c r="F60" s="5">
        <v>2.5850594251898899E-2</v>
      </c>
      <c r="G60" s="5">
        <v>0</v>
      </c>
      <c r="H60" s="4">
        <v>4.1348421477221304</v>
      </c>
      <c r="I60" s="4">
        <v>3.8277250291846898</v>
      </c>
      <c r="J60" s="4">
        <v>-20.0389557709005</v>
      </c>
      <c r="K60" s="4">
        <v>37.477155620940799</v>
      </c>
      <c r="L60" s="4">
        <v>14.4877045600388</v>
      </c>
      <c r="M60" s="4">
        <v>12.6078128582411</v>
      </c>
      <c r="N60" s="4">
        <v>67.879501963899401</v>
      </c>
      <c r="O60" s="4">
        <v>64.682708039634605</v>
      </c>
      <c r="P60" s="4">
        <v>295895.42198303703</v>
      </c>
      <c r="Q60" s="4">
        <v>275423.54305827001</v>
      </c>
      <c r="R60" s="4">
        <v>782.57786396524398</v>
      </c>
      <c r="S60" s="4">
        <v>0</v>
      </c>
      <c r="T60" s="4">
        <v>0</v>
      </c>
      <c r="U60" s="4">
        <v>3.3245687119706303E-2</v>
      </c>
      <c r="V60" s="4">
        <v>0.31884608175692603</v>
      </c>
      <c r="W60" s="4">
        <v>0</v>
      </c>
      <c r="X60" s="4">
        <v>0.74620281227947405</v>
      </c>
      <c r="Y60" s="4">
        <v>0</v>
      </c>
      <c r="Z60" s="5">
        <v>3.5348430277968299E-4</v>
      </c>
      <c r="AA60" s="5">
        <v>5.6024626866873403E-5</v>
      </c>
      <c r="AB60" s="10">
        <v>2.8690501527125901E-3</v>
      </c>
      <c r="AC60" s="10">
        <v>1.65273831777568E-6</v>
      </c>
      <c r="AD60" s="10">
        <v>2.25703693113622E-2</v>
      </c>
      <c r="AE60" s="4">
        <v>2.6445154231125999E-2</v>
      </c>
      <c r="AF60" s="4">
        <v>0.73125548823181896</v>
      </c>
      <c r="AG60" s="4">
        <v>0.979473890486807</v>
      </c>
      <c r="AH60" s="4">
        <v>0.99839829479854003</v>
      </c>
      <c r="AI60" s="4">
        <v>0.99967124020694698</v>
      </c>
      <c r="AJ60" s="4">
        <v>1</v>
      </c>
      <c r="AK60" s="4">
        <v>1</v>
      </c>
      <c r="AL60" s="4">
        <v>1</v>
      </c>
      <c r="AM60" s="4">
        <v>0</v>
      </c>
      <c r="AN60" s="4">
        <v>0</v>
      </c>
      <c r="AO60" s="4" t="s">
        <v>147</v>
      </c>
      <c r="AP60" s="4" t="s">
        <v>131</v>
      </c>
      <c r="AQ60" s="6">
        <v>44207957472.739998</v>
      </c>
      <c r="AR60" s="4">
        <v>160509</v>
      </c>
      <c r="AS60" s="15">
        <v>0</v>
      </c>
      <c r="AT60" s="15">
        <v>68.1145338558064</v>
      </c>
      <c r="AU60" s="15">
        <v>68.1145338558064</v>
      </c>
      <c r="AV60" s="15">
        <v>31.885466144193501</v>
      </c>
      <c r="AW60" s="15">
        <v>31.885466144193501</v>
      </c>
      <c r="AX60" s="15">
        <v>0</v>
      </c>
      <c r="AY60">
        <v>118.174201959104</v>
      </c>
    </row>
    <row r="61" spans="1:51" x14ac:dyDescent="0.25">
      <c r="A61">
        <v>96</v>
      </c>
      <c r="B61" s="4">
        <v>0.97190419294824204</v>
      </c>
      <c r="C61" s="4">
        <v>31.457809554335402</v>
      </c>
      <c r="D61" s="4">
        <v>28.963514145429201</v>
      </c>
      <c r="E61" s="4">
        <v>3.0986490940274499E-2</v>
      </c>
      <c r="F61" s="5">
        <v>2.8095807051756998E-2</v>
      </c>
      <c r="G61" s="5">
        <v>0</v>
      </c>
      <c r="H61" s="4">
        <v>4.1831056287147099</v>
      </c>
      <c r="I61" s="4">
        <v>3.8234897991792001</v>
      </c>
      <c r="J61" s="4">
        <v>-19.308467152961001</v>
      </c>
      <c r="K61" s="4">
        <v>42.4414709362472</v>
      </c>
      <c r="L61" s="4">
        <v>14.5358316264058</v>
      </c>
      <c r="M61" s="4">
        <v>13.4661459978945</v>
      </c>
      <c r="N61" s="4">
        <v>68.134365329732702</v>
      </c>
      <c r="O61" s="4">
        <v>64.854192175624604</v>
      </c>
      <c r="P61" s="4">
        <v>295673.57968567999</v>
      </c>
      <c r="Q61" s="4">
        <v>274474.31744831899</v>
      </c>
      <c r="R61" s="4">
        <v>782.37061544591597</v>
      </c>
      <c r="S61" s="4">
        <v>0</v>
      </c>
      <c r="T61" s="4">
        <v>0</v>
      </c>
      <c r="U61" s="4">
        <v>2.9554947425934699E-2</v>
      </c>
      <c r="V61" s="4">
        <v>0.31628242699909997</v>
      </c>
      <c r="W61" s="4">
        <v>0</v>
      </c>
      <c r="X61" s="4">
        <v>0.73742216935260996</v>
      </c>
      <c r="Y61" s="4">
        <v>0</v>
      </c>
      <c r="Z61" s="5">
        <v>3.59625182460098E-4</v>
      </c>
      <c r="AA61" s="5">
        <v>6.1795145375626197E-5</v>
      </c>
      <c r="AB61" s="10">
        <v>2.9245868807497299E-3</v>
      </c>
      <c r="AC61" s="10">
        <v>2.2833316231014498E-6</v>
      </c>
      <c r="AD61" s="10">
        <v>2.47475033711449E-2</v>
      </c>
      <c r="AE61" s="4">
        <v>2.6782477124935099E-2</v>
      </c>
      <c r="AF61" s="4">
        <v>0.724751090086039</v>
      </c>
      <c r="AG61" s="4">
        <v>0.97632536653116497</v>
      </c>
      <c r="AH61" s="4">
        <v>0.997786893837043</v>
      </c>
      <c r="AI61" s="4">
        <v>0.99977110334512298</v>
      </c>
      <c r="AJ61" s="4">
        <v>1</v>
      </c>
      <c r="AK61" s="4">
        <v>1</v>
      </c>
      <c r="AL61" s="4">
        <v>1</v>
      </c>
      <c r="AM61" s="4">
        <v>0</v>
      </c>
      <c r="AN61" s="4">
        <v>0</v>
      </c>
      <c r="AO61" s="4" t="s">
        <v>148</v>
      </c>
      <c r="AP61" s="4" t="s">
        <v>132</v>
      </c>
      <c r="AQ61" s="6">
        <v>40881577212.339996</v>
      </c>
      <c r="AR61" s="4">
        <v>148945</v>
      </c>
      <c r="AS61" s="15">
        <v>0</v>
      </c>
      <c r="AT61" s="15">
        <v>68.371757300089897</v>
      </c>
      <c r="AU61" s="15">
        <v>68.371757300089897</v>
      </c>
      <c r="AV61" s="15">
        <v>31.62824269991</v>
      </c>
      <c r="AW61" s="15">
        <v>31.62824269991</v>
      </c>
      <c r="AX61" s="15">
        <v>0</v>
      </c>
      <c r="AY61">
        <v>144.31373883304201</v>
      </c>
    </row>
    <row r="62" spans="1:51" x14ac:dyDescent="0.25">
      <c r="A62">
        <v>96</v>
      </c>
      <c r="B62" s="4">
        <v>0.96949187585329999</v>
      </c>
      <c r="C62" s="4">
        <v>33.304221716883298</v>
      </c>
      <c r="D62" s="4">
        <v>31.050663778917102</v>
      </c>
      <c r="E62" s="4">
        <v>3.3189120807656299E-2</v>
      </c>
      <c r="F62" s="5">
        <v>3.0508124146699601E-2</v>
      </c>
      <c r="G62" s="5">
        <v>0</v>
      </c>
      <c r="H62" s="4">
        <v>4.2389415300754898</v>
      </c>
      <c r="I62" s="4">
        <v>3.8269868753635499</v>
      </c>
      <c r="J62" s="4">
        <v>-18.563579512203901</v>
      </c>
      <c r="K62" s="4">
        <v>47.5181657858855</v>
      </c>
      <c r="L62" s="4">
        <v>14.521738018190099</v>
      </c>
      <c r="M62" s="4">
        <v>14.598139898686</v>
      </c>
      <c r="N62" s="4">
        <v>67.828227111409007</v>
      </c>
      <c r="O62" s="4">
        <v>64.5519156159217</v>
      </c>
      <c r="P62" s="4">
        <v>295745.68320464302</v>
      </c>
      <c r="Q62" s="4">
        <v>274652.29598887102</v>
      </c>
      <c r="R62" s="4">
        <v>782.20509203350196</v>
      </c>
      <c r="S62" s="4">
        <v>0</v>
      </c>
      <c r="T62" s="4">
        <v>0</v>
      </c>
      <c r="U62" s="4">
        <v>2.3834156897787201E-2</v>
      </c>
      <c r="V62" s="4">
        <v>0.30543286058415797</v>
      </c>
      <c r="W62" s="4">
        <v>0</v>
      </c>
      <c r="X62" s="4">
        <v>0.72540982248493402</v>
      </c>
      <c r="Y62" s="4">
        <v>0</v>
      </c>
      <c r="Z62" s="5">
        <v>3.6543652309801701E-4</v>
      </c>
      <c r="AA62" s="5">
        <v>6.9434013042086996E-5</v>
      </c>
      <c r="AB62" s="10">
        <v>3.0125580611942101E-3</v>
      </c>
      <c r="AC62" s="10">
        <v>2.5641521808826601E-6</v>
      </c>
      <c r="AD62" s="10">
        <v>2.7058118204199299E-2</v>
      </c>
      <c r="AE62" s="4">
        <v>2.5413600275352301E-2</v>
      </c>
      <c r="AF62" s="4">
        <v>0.72717762883551995</v>
      </c>
      <c r="AG62" s="4">
        <v>0.97756360695948996</v>
      </c>
      <c r="AH62" s="4">
        <v>0.99767709129697701</v>
      </c>
      <c r="AI62" s="4">
        <v>0.99980449507090297</v>
      </c>
      <c r="AJ62" s="4">
        <v>1</v>
      </c>
      <c r="AK62" s="4">
        <v>1</v>
      </c>
      <c r="AL62" s="4">
        <v>1</v>
      </c>
      <c r="AM62" s="4">
        <v>0</v>
      </c>
      <c r="AN62" s="4">
        <v>0</v>
      </c>
      <c r="AO62" s="4" t="s">
        <v>70</v>
      </c>
      <c r="AP62" s="4" t="s">
        <v>71</v>
      </c>
      <c r="AQ62" s="6">
        <v>39190960071.540001</v>
      </c>
      <c r="AR62" s="4">
        <v>142693</v>
      </c>
      <c r="AS62" s="15">
        <v>0</v>
      </c>
      <c r="AT62" s="15">
        <v>69.456713941584098</v>
      </c>
      <c r="AU62" s="15">
        <v>69.456713941584098</v>
      </c>
      <c r="AV62" s="15">
        <v>30.543286058415799</v>
      </c>
      <c r="AW62" s="15">
        <v>30.543286058415799</v>
      </c>
      <c r="AX62" s="15">
        <v>0</v>
      </c>
      <c r="AY62">
        <v>174.12595009353601</v>
      </c>
    </row>
    <row r="63" spans="1:51" x14ac:dyDescent="0.25">
      <c r="A63">
        <v>96</v>
      </c>
      <c r="B63" s="4">
        <v>0.96762603449884199</v>
      </c>
      <c r="C63" s="4">
        <v>33.412905074069897</v>
      </c>
      <c r="D63" s="4">
        <v>32.626278455390398</v>
      </c>
      <c r="E63" s="4">
        <v>3.3320506950236702E-2</v>
      </c>
      <c r="F63" s="5">
        <v>3.2373965501157599E-2</v>
      </c>
      <c r="G63" s="5">
        <v>0</v>
      </c>
      <c r="H63" s="4">
        <v>4.3180088133900201</v>
      </c>
      <c r="I63" s="4">
        <v>3.8417095635101601</v>
      </c>
      <c r="J63" s="4">
        <v>-17.463033232366499</v>
      </c>
      <c r="K63" s="4">
        <v>52.504460856871802</v>
      </c>
      <c r="L63" s="4">
        <v>14.8874961022898</v>
      </c>
      <c r="M63" s="4">
        <v>16.089801589438402</v>
      </c>
      <c r="N63" s="4">
        <v>69.557277818035402</v>
      </c>
      <c r="O63" s="4">
        <v>66.210125995491296</v>
      </c>
      <c r="P63" s="4">
        <v>289074.80954989302</v>
      </c>
      <c r="Q63" s="4">
        <v>268000.80968965101</v>
      </c>
      <c r="R63" s="4">
        <v>781.780156964767</v>
      </c>
      <c r="S63" s="4">
        <v>0</v>
      </c>
      <c r="T63" s="4">
        <v>0</v>
      </c>
      <c r="U63" s="4">
        <v>1.9533416900711299E-2</v>
      </c>
      <c r="V63" s="4">
        <v>0.293068561959486</v>
      </c>
      <c r="W63" s="4">
        <v>0</v>
      </c>
      <c r="X63" s="4">
        <v>0.70768999875706795</v>
      </c>
      <c r="Y63" s="4">
        <v>0</v>
      </c>
      <c r="Z63" s="5">
        <v>3.7173065143407798E-4</v>
      </c>
      <c r="AA63" s="5">
        <v>8.2806942032154695E-5</v>
      </c>
      <c r="AB63" s="10">
        <v>3.1134833891456799E-3</v>
      </c>
      <c r="AC63" s="10">
        <v>2.6524878513713101E-6</v>
      </c>
      <c r="AD63" s="10">
        <v>2.8803278583595299E-2</v>
      </c>
      <c r="AE63" s="4">
        <v>2.1343834427945199E-2</v>
      </c>
      <c r="AF63" s="4">
        <v>0.743219356564774</v>
      </c>
      <c r="AG63" s="4">
        <v>0.97898504923415897</v>
      </c>
      <c r="AH63" s="4">
        <v>0.99781394459043105</v>
      </c>
      <c r="AI63" s="4">
        <v>0.99980766978107405</v>
      </c>
      <c r="AJ63" s="4">
        <v>1</v>
      </c>
      <c r="AK63" s="4">
        <v>1</v>
      </c>
      <c r="AL63" s="4">
        <v>1</v>
      </c>
      <c r="AM63" s="4">
        <v>0</v>
      </c>
      <c r="AN63" s="4">
        <v>0</v>
      </c>
      <c r="AO63" s="4" t="s">
        <v>149</v>
      </c>
      <c r="AP63" s="4" t="s">
        <v>133</v>
      </c>
      <c r="AQ63" s="6">
        <v>35465887150.279999</v>
      </c>
      <c r="AR63" s="4">
        <v>132335</v>
      </c>
      <c r="AS63" s="15">
        <v>0</v>
      </c>
      <c r="AT63" s="15">
        <v>70.693143804051303</v>
      </c>
      <c r="AU63" s="15">
        <v>70.693143804051303</v>
      </c>
      <c r="AV63" s="15">
        <v>29.306856195948601</v>
      </c>
      <c r="AW63" s="15">
        <v>29.306856195948601</v>
      </c>
      <c r="AX63" s="15">
        <v>0</v>
      </c>
      <c r="AY63">
        <v>205.960894535335</v>
      </c>
    </row>
    <row r="64" spans="1:51" x14ac:dyDescent="0.25">
      <c r="A64">
        <v>96</v>
      </c>
      <c r="B64" s="4">
        <v>0.96572974323679595</v>
      </c>
      <c r="C64" s="4">
        <v>35.483122751195602</v>
      </c>
      <c r="D64" s="4">
        <v>34.193728050572602</v>
      </c>
      <c r="E64" s="4">
        <v>3.5861456913817397E-2</v>
      </c>
      <c r="F64" s="5">
        <v>3.4270256763203298E-2</v>
      </c>
      <c r="G64" s="5">
        <v>0</v>
      </c>
      <c r="H64" s="4">
        <v>4.3828476012421298</v>
      </c>
      <c r="I64" s="4">
        <v>3.85236985124663</v>
      </c>
      <c r="J64" s="4">
        <v>-17.323484782878001</v>
      </c>
      <c r="K64" s="4">
        <v>57.483952620614602</v>
      </c>
      <c r="L64" s="4">
        <v>15.128447433642799</v>
      </c>
      <c r="M64" s="4">
        <v>17.615635507674199</v>
      </c>
      <c r="N64" s="4">
        <v>69.3707222762594</v>
      </c>
      <c r="O64" s="4">
        <v>66.117421457794194</v>
      </c>
      <c r="P64" s="4">
        <v>284722.57227888302</v>
      </c>
      <c r="Q64" s="4">
        <v>263601.22499946097</v>
      </c>
      <c r="R64" s="4">
        <v>781.65218840305101</v>
      </c>
      <c r="S64" s="4">
        <v>0</v>
      </c>
      <c r="T64" s="4">
        <v>0</v>
      </c>
      <c r="U64" s="4">
        <v>1.6827545058759601E-2</v>
      </c>
      <c r="V64" s="4">
        <v>0.27475101430821303</v>
      </c>
      <c r="W64" s="4">
        <v>0</v>
      </c>
      <c r="X64" s="4">
        <v>0.70253617632027499</v>
      </c>
      <c r="Y64" s="4">
        <v>0</v>
      </c>
      <c r="Z64" s="5">
        <v>3.7826165390336599E-4</v>
      </c>
      <c r="AA64" s="5">
        <v>9.7685403267692999E-5</v>
      </c>
      <c r="AB64" s="10">
        <v>3.1965204846598201E-3</v>
      </c>
      <c r="AC64" s="10">
        <v>3.29264430798687E-6</v>
      </c>
      <c r="AD64" s="10">
        <v>3.0594482898370901E-2</v>
      </c>
      <c r="AE64" s="4">
        <v>1.7894566644767299E-2</v>
      </c>
      <c r="AF64" s="4">
        <v>0.76065412066716998</v>
      </c>
      <c r="AG64" s="4">
        <v>0.97939804238014205</v>
      </c>
      <c r="AH64" s="4">
        <v>0.99745020383035099</v>
      </c>
      <c r="AI64" s="4">
        <v>0.99959005351784602</v>
      </c>
      <c r="AJ64" s="4">
        <v>1</v>
      </c>
      <c r="AK64" s="4">
        <v>1</v>
      </c>
      <c r="AL64" s="4">
        <v>1</v>
      </c>
      <c r="AM64" s="4">
        <v>0</v>
      </c>
      <c r="AN64" s="4">
        <v>0</v>
      </c>
      <c r="AO64" s="4" t="s">
        <v>150</v>
      </c>
      <c r="AP64" s="4" t="s">
        <v>134</v>
      </c>
      <c r="AQ64" s="6">
        <v>34266577642.580002</v>
      </c>
      <c r="AR64" s="4">
        <v>129994</v>
      </c>
      <c r="AS64" s="15">
        <v>0</v>
      </c>
      <c r="AT64" s="15">
        <v>72.524898569178603</v>
      </c>
      <c r="AU64" s="15">
        <v>72.524898569178603</v>
      </c>
      <c r="AV64" s="15">
        <v>27.475101430821301</v>
      </c>
      <c r="AW64" s="15">
        <v>27.475101430821301</v>
      </c>
      <c r="AX64" s="15">
        <v>0</v>
      </c>
      <c r="AY64">
        <v>247.53419024111801</v>
      </c>
    </row>
    <row r="65" spans="1:51" x14ac:dyDescent="0.25">
      <c r="A65">
        <v>96</v>
      </c>
      <c r="B65" s="4">
        <v>0.96365242117522998</v>
      </c>
      <c r="C65" s="4">
        <v>36.916194201583203</v>
      </c>
      <c r="D65" s="4">
        <v>35.872397596195498</v>
      </c>
      <c r="E65" s="4">
        <v>3.7664536457675403E-2</v>
      </c>
      <c r="F65" s="5">
        <v>3.6347578824769203E-2</v>
      </c>
      <c r="G65" s="5">
        <v>0</v>
      </c>
      <c r="H65" s="4">
        <v>4.4570138283542002</v>
      </c>
      <c r="I65" s="4">
        <v>3.87369396655901</v>
      </c>
      <c r="J65" s="4">
        <v>-17.372290288372199</v>
      </c>
      <c r="K65" s="4">
        <v>62.493872299298502</v>
      </c>
      <c r="L65" s="4">
        <v>15.300089484672499</v>
      </c>
      <c r="M65" s="4">
        <v>19.219580973313601</v>
      </c>
      <c r="N65" s="4">
        <v>69.640995457539205</v>
      </c>
      <c r="O65" s="4">
        <v>66.478468410495097</v>
      </c>
      <c r="P65" s="4">
        <v>281394.51245636097</v>
      </c>
      <c r="Q65" s="4">
        <v>260887.20038690799</v>
      </c>
      <c r="R65" s="4">
        <v>781.25668982452203</v>
      </c>
      <c r="S65" s="4">
        <v>0</v>
      </c>
      <c r="T65" s="4">
        <v>0</v>
      </c>
      <c r="U65" s="4">
        <v>1.57969973089311E-2</v>
      </c>
      <c r="V65" s="4">
        <v>0.25155198752355401</v>
      </c>
      <c r="W65" s="4">
        <v>0</v>
      </c>
      <c r="X65" s="4">
        <v>0.69517777957868698</v>
      </c>
      <c r="Y65" s="4">
        <v>0</v>
      </c>
      <c r="Z65" s="5">
        <v>3.8188402314078598E-4</v>
      </c>
      <c r="AA65" s="5">
        <v>1.16284490665927E-4</v>
      </c>
      <c r="AB65" s="10">
        <v>3.2824559609929802E-3</v>
      </c>
      <c r="AC65" s="10">
        <v>3.38563910855065E-6</v>
      </c>
      <c r="AD65" s="10">
        <v>3.2563554759025698E-2</v>
      </c>
      <c r="AE65" s="4">
        <v>1.2960874951345999E-2</v>
      </c>
      <c r="AF65" s="4">
        <v>0.77964598469661195</v>
      </c>
      <c r="AG65" s="4">
        <v>0.98196676584440401</v>
      </c>
      <c r="AH65" s="4">
        <v>0.99752558413372505</v>
      </c>
      <c r="AI65" s="4">
        <v>0.99960562277723597</v>
      </c>
      <c r="AJ65" s="4">
        <v>1</v>
      </c>
      <c r="AK65" s="4">
        <v>1</v>
      </c>
      <c r="AL65" s="4">
        <v>1</v>
      </c>
      <c r="AM65" s="4">
        <v>0</v>
      </c>
      <c r="AN65" s="4">
        <v>0</v>
      </c>
      <c r="AO65" s="4" t="s">
        <v>151</v>
      </c>
      <c r="AP65" s="4" t="s">
        <v>135</v>
      </c>
      <c r="AQ65" s="6">
        <v>35359607591.639999</v>
      </c>
      <c r="AR65" s="4">
        <v>135536</v>
      </c>
      <c r="AS65" s="15">
        <v>0</v>
      </c>
      <c r="AT65" s="15">
        <v>74.844801247644497</v>
      </c>
      <c r="AU65" s="15">
        <v>74.844801247644497</v>
      </c>
      <c r="AV65" s="15">
        <v>25.1551987523554</v>
      </c>
      <c r="AW65" s="15">
        <v>25.1551987523554</v>
      </c>
      <c r="AX65" s="15">
        <v>0</v>
      </c>
      <c r="AY65" s="31">
        <v>297.70247848189399</v>
      </c>
    </row>
    <row r="66" spans="1:51" x14ac:dyDescent="0.25">
      <c r="A66">
        <v>96</v>
      </c>
      <c r="B66" s="4">
        <v>0.96208001904468698</v>
      </c>
      <c r="C66" s="4">
        <v>37.345209881536803</v>
      </c>
      <c r="D66" s="4">
        <v>37.116842393943301</v>
      </c>
      <c r="E66" s="4">
        <v>3.8211625487718101E-2</v>
      </c>
      <c r="F66" s="5">
        <v>3.79199809553128E-2</v>
      </c>
      <c r="G66" s="5">
        <v>0</v>
      </c>
      <c r="H66" s="4">
        <v>4.5265381369182798</v>
      </c>
      <c r="I66" s="4">
        <v>3.89317759535848</v>
      </c>
      <c r="J66" s="4">
        <v>-17.357444142943901</v>
      </c>
      <c r="K66" s="4">
        <v>67.507788310346896</v>
      </c>
      <c r="L66" s="4">
        <v>15.524625186481</v>
      </c>
      <c r="M66" s="4">
        <v>20.507182785311201</v>
      </c>
      <c r="N66" s="4">
        <v>69.628969068538396</v>
      </c>
      <c r="O66" s="4">
        <v>66.6435851183914</v>
      </c>
      <c r="P66" s="4">
        <v>277328.61571989499</v>
      </c>
      <c r="Q66" s="4">
        <v>257076.01452947801</v>
      </c>
      <c r="R66" s="4">
        <v>781.11713358103896</v>
      </c>
      <c r="S66" s="4">
        <v>0</v>
      </c>
      <c r="T66" s="4">
        <v>0</v>
      </c>
      <c r="U66" s="4">
        <v>1.6723574292648102E-2</v>
      </c>
      <c r="V66" s="4">
        <v>0.23597175168697701</v>
      </c>
      <c r="W66" s="4">
        <v>0</v>
      </c>
      <c r="X66" s="4">
        <v>0.69099867614049704</v>
      </c>
      <c r="Y66" s="4">
        <v>0</v>
      </c>
      <c r="Z66" s="5">
        <v>3.8698645243419202E-4</v>
      </c>
      <c r="AA66" s="5">
        <v>1.3357148903097999E-4</v>
      </c>
      <c r="AB66" s="10">
        <v>3.3189158032611902E-3</v>
      </c>
      <c r="AC66" s="10">
        <v>3.9252187784782198E-6</v>
      </c>
      <c r="AD66" s="10">
        <v>3.4076567780001302E-2</v>
      </c>
      <c r="AE66" s="4">
        <v>7.3625069888890102E-3</v>
      </c>
      <c r="AF66" s="4">
        <v>0.80371151762209503</v>
      </c>
      <c r="AG66" s="4">
        <v>0.98172643764080303</v>
      </c>
      <c r="AH66" s="4">
        <v>0.99727104386335996</v>
      </c>
      <c r="AI66" s="4">
        <v>0.99956676147008405</v>
      </c>
      <c r="AJ66" s="4">
        <v>1</v>
      </c>
      <c r="AK66" s="4">
        <v>1</v>
      </c>
      <c r="AL66" s="4">
        <v>1</v>
      </c>
      <c r="AM66" s="4">
        <v>0</v>
      </c>
      <c r="AN66" s="4">
        <v>0</v>
      </c>
      <c r="AO66" s="4" t="s">
        <v>152</v>
      </c>
      <c r="AP66" s="4" t="s">
        <v>136</v>
      </c>
      <c r="AQ66" s="6">
        <v>36614565521.389999</v>
      </c>
      <c r="AR66" s="4">
        <v>142427</v>
      </c>
      <c r="AS66" s="15">
        <v>0</v>
      </c>
      <c r="AT66" s="15">
        <v>76.402824831302198</v>
      </c>
      <c r="AU66" s="15">
        <v>76.402824831302198</v>
      </c>
      <c r="AV66" s="15">
        <v>23.597175168697699</v>
      </c>
      <c r="AW66" s="15">
        <v>23.597175168697699</v>
      </c>
      <c r="AX66" s="15">
        <v>0</v>
      </c>
      <c r="AY66" s="31">
        <v>353.87949161134401</v>
      </c>
    </row>
    <row r="67" spans="1:51" x14ac:dyDescent="0.25">
      <c r="A67">
        <v>96</v>
      </c>
      <c r="B67" s="4">
        <v>0.95981027637191596</v>
      </c>
      <c r="C67" s="4">
        <v>38.8004168964695</v>
      </c>
      <c r="D67" s="4">
        <v>38.8741733261405</v>
      </c>
      <c r="E67" s="4">
        <v>4.0093265411971897E-2</v>
      </c>
      <c r="F67" s="5">
        <v>4.0189723628083297E-2</v>
      </c>
      <c r="G67" s="5">
        <v>0</v>
      </c>
      <c r="H67" s="4">
        <v>4.5629607377015402</v>
      </c>
      <c r="I67" s="4">
        <v>3.8915187669964801</v>
      </c>
      <c r="J67" s="4">
        <v>-17.338161738532101</v>
      </c>
      <c r="K67" s="4">
        <v>72.521817416847398</v>
      </c>
      <c r="L67" s="4">
        <v>15.200947268613699</v>
      </c>
      <c r="M67" s="4">
        <v>21.458714849890299</v>
      </c>
      <c r="N67" s="4">
        <v>68.415454658357604</v>
      </c>
      <c r="O67" s="4">
        <v>65.449720028663606</v>
      </c>
      <c r="P67" s="4">
        <v>282548.22487825499</v>
      </c>
      <c r="Q67" s="4">
        <v>262505.16866920999</v>
      </c>
      <c r="R67" s="4">
        <v>781.02953026914997</v>
      </c>
      <c r="S67" s="4">
        <v>0</v>
      </c>
      <c r="T67" s="4">
        <v>0</v>
      </c>
      <c r="U67" s="4">
        <v>1.61883880081563E-2</v>
      </c>
      <c r="V67" s="4">
        <v>0.22642586422368699</v>
      </c>
      <c r="W67" s="4">
        <v>0</v>
      </c>
      <c r="X67" s="4">
        <v>0.69552406311452897</v>
      </c>
      <c r="Y67" s="4">
        <v>0</v>
      </c>
      <c r="Z67" s="5">
        <v>3.8991503405858197E-4</v>
      </c>
      <c r="AA67" s="5">
        <v>1.4459484311078399E-4</v>
      </c>
      <c r="AB67" s="10">
        <v>3.3562305536735701E-3</v>
      </c>
      <c r="AC67" s="10">
        <v>4.5622395077121298E-6</v>
      </c>
      <c r="AD67" s="10">
        <v>3.6294406599672903E-2</v>
      </c>
      <c r="AE67" s="4">
        <v>6.2719663140639202E-3</v>
      </c>
      <c r="AF67" s="4">
        <v>0.798839584931888</v>
      </c>
      <c r="AG67" s="4">
        <v>0.98129144415896796</v>
      </c>
      <c r="AH67" s="4">
        <v>0.996895621910728</v>
      </c>
      <c r="AI67" s="4">
        <v>0.99964418117056897</v>
      </c>
      <c r="AJ67" s="4">
        <v>1</v>
      </c>
      <c r="AK67" s="4">
        <v>1</v>
      </c>
      <c r="AL67" s="4">
        <v>1</v>
      </c>
      <c r="AM67" s="4">
        <v>0</v>
      </c>
      <c r="AN67" s="4">
        <v>0</v>
      </c>
      <c r="AO67" s="4" t="s">
        <v>72</v>
      </c>
      <c r="AP67" s="4" t="s">
        <v>73</v>
      </c>
      <c r="AQ67" s="6">
        <v>39348474762.839996</v>
      </c>
      <c r="AR67" s="4">
        <v>149896</v>
      </c>
      <c r="AS67" s="15">
        <v>0</v>
      </c>
      <c r="AT67" s="15">
        <v>77.357413577631206</v>
      </c>
      <c r="AU67" s="15">
        <v>77.357413577631206</v>
      </c>
      <c r="AV67" s="15">
        <v>22.642586422368701</v>
      </c>
      <c r="AW67" s="15">
        <v>22.642586422368701</v>
      </c>
      <c r="AX67" s="15">
        <v>0</v>
      </c>
      <c r="AY67" s="31">
        <v>414.10152981060901</v>
      </c>
    </row>
    <row r="68" spans="1:51" x14ac:dyDescent="0.25">
      <c r="A68">
        <v>96</v>
      </c>
      <c r="B68" s="4">
        <v>0.95589950409408198</v>
      </c>
      <c r="C68" s="4">
        <v>41.663526110259397</v>
      </c>
      <c r="D68" s="4">
        <v>41.796803632926803</v>
      </c>
      <c r="E68" s="4">
        <v>4.39182802487511E-2</v>
      </c>
      <c r="F68" s="5">
        <v>4.4100495905917803E-2</v>
      </c>
      <c r="G68" s="5">
        <v>0</v>
      </c>
      <c r="H68" s="4">
        <v>4.6771141035345503</v>
      </c>
      <c r="I68" s="4">
        <v>3.8682310350986699</v>
      </c>
      <c r="J68" s="4">
        <v>-14.4669137866847</v>
      </c>
      <c r="K68" s="4">
        <v>86.381652336578298</v>
      </c>
      <c r="L68" s="4">
        <v>15.167090269627501</v>
      </c>
      <c r="M68" s="4">
        <v>23.5896090832114</v>
      </c>
      <c r="N68" s="4">
        <v>68.121475831535406</v>
      </c>
      <c r="O68" s="4">
        <v>65.012332506715893</v>
      </c>
      <c r="P68" s="4">
        <v>283939.88182008499</v>
      </c>
      <c r="Q68" s="4">
        <v>263150.67138760298</v>
      </c>
      <c r="R68" s="4">
        <v>780.603645016418</v>
      </c>
      <c r="S68" s="4">
        <v>0</v>
      </c>
      <c r="T68" s="4">
        <v>0</v>
      </c>
      <c r="U68" s="4">
        <v>1.9316315518509E-2</v>
      </c>
      <c r="V68" s="4">
        <v>0.25174471670508403</v>
      </c>
      <c r="W68" s="4">
        <v>0</v>
      </c>
      <c r="X68" s="4">
        <v>0.68453667135252305</v>
      </c>
      <c r="Y68" s="4">
        <v>0</v>
      </c>
      <c r="Z68" s="5">
        <v>3.9604196745831699E-4</v>
      </c>
      <c r="AA68" s="5">
        <v>1.7805346180845E-4</v>
      </c>
      <c r="AB68" s="10">
        <v>3.5517711322343398E-3</v>
      </c>
      <c r="AC68" s="10">
        <v>5.4840644670977397E-6</v>
      </c>
      <c r="AD68" s="10">
        <v>3.9969130583966402E-2</v>
      </c>
      <c r="AE68" s="4">
        <v>5.01347028273425E-3</v>
      </c>
      <c r="AF68" s="4">
        <v>0.79337251812276099</v>
      </c>
      <c r="AG68" s="4">
        <v>0.98091124487753401</v>
      </c>
      <c r="AH68" s="4">
        <v>0.99680692375233304</v>
      </c>
      <c r="AI68" s="4">
        <v>0.999602985111404</v>
      </c>
      <c r="AJ68" s="4">
        <v>1</v>
      </c>
      <c r="AK68" s="4">
        <v>1</v>
      </c>
      <c r="AL68" s="4">
        <v>1</v>
      </c>
      <c r="AM68" s="4">
        <v>0</v>
      </c>
      <c r="AN68" s="4">
        <v>0</v>
      </c>
      <c r="AO68" s="4" t="s">
        <v>74</v>
      </c>
      <c r="AP68" s="4" t="s">
        <v>75</v>
      </c>
      <c r="AQ68" s="6">
        <v>155582045143.14999</v>
      </c>
      <c r="AR68" s="4">
        <v>591228</v>
      </c>
      <c r="AS68" s="15">
        <v>0</v>
      </c>
      <c r="AT68" s="15">
        <v>74.825528329491505</v>
      </c>
      <c r="AU68" s="15">
        <v>74.825528329491505</v>
      </c>
      <c r="AV68" s="15">
        <v>25.1744716705084</v>
      </c>
      <c r="AW68" s="15">
        <v>25.1744716705084</v>
      </c>
      <c r="AX68" s="15">
        <v>0</v>
      </c>
      <c r="AY68">
        <v>588.23321039767404</v>
      </c>
    </row>
    <row r="69" spans="1:51" x14ac:dyDescent="0.25">
      <c r="A69">
        <v>96</v>
      </c>
      <c r="B69" s="4">
        <v>0.95185156889923195</v>
      </c>
      <c r="C69" s="4">
        <v>43.582707923872803</v>
      </c>
      <c r="D69" s="4">
        <v>44.686548240865001</v>
      </c>
      <c r="E69" s="4">
        <v>4.6579791109775802E-2</v>
      </c>
      <c r="F69" s="5">
        <v>4.8148431100767899E-2</v>
      </c>
      <c r="G69" s="5">
        <v>0</v>
      </c>
      <c r="H69" s="4">
        <v>4.8588550359898797</v>
      </c>
      <c r="I69" s="4">
        <v>3.7910567111257301</v>
      </c>
      <c r="J69" s="4">
        <v>-9.8334540775723696</v>
      </c>
      <c r="K69" s="4">
        <v>112.46931674505301</v>
      </c>
      <c r="L69" s="4">
        <v>15.784600084364</v>
      </c>
      <c r="M69" s="4">
        <v>27.796089166858</v>
      </c>
      <c r="N69" s="4">
        <v>70.064948351466001</v>
      </c>
      <c r="O69" s="4">
        <v>66.347545098645099</v>
      </c>
      <c r="P69" s="4">
        <v>272726.80884855997</v>
      </c>
      <c r="Q69" s="4">
        <v>252914.40369771601</v>
      </c>
      <c r="R69" s="4">
        <v>779.73872806207703</v>
      </c>
      <c r="S69" s="4">
        <v>0</v>
      </c>
      <c r="T69" s="4">
        <v>0</v>
      </c>
      <c r="U69" s="4">
        <v>1.9795533222046201E-2</v>
      </c>
      <c r="V69" s="4">
        <v>0.241552262098745</v>
      </c>
      <c r="W69" s="4">
        <v>0</v>
      </c>
      <c r="X69" s="4">
        <v>0.63370660812620005</v>
      </c>
      <c r="Y69" s="4">
        <v>0</v>
      </c>
      <c r="Z69" s="5">
        <v>4.0992639221892299E-4</v>
      </c>
      <c r="AA69" s="5">
        <v>2.8019329161452298E-4</v>
      </c>
      <c r="AB69" s="10">
        <v>3.8676390292381401E-3</v>
      </c>
      <c r="AC69" s="10">
        <v>9.6043207129435594E-6</v>
      </c>
      <c r="AD69" s="10">
        <v>4.3581052986834498E-2</v>
      </c>
      <c r="AE69" s="4">
        <v>6.7794065656833101E-3</v>
      </c>
      <c r="AF69" s="4">
        <v>0.78561958601542703</v>
      </c>
      <c r="AG69" s="4">
        <v>0.97662377834661895</v>
      </c>
      <c r="AH69" s="4">
        <v>0.99583442015679202</v>
      </c>
      <c r="AI69" s="4">
        <v>0.99926415529675505</v>
      </c>
      <c r="AJ69" s="4">
        <v>1</v>
      </c>
      <c r="AK69" s="4">
        <v>1</v>
      </c>
      <c r="AL69" s="4">
        <v>1</v>
      </c>
      <c r="AM69" s="4">
        <v>0</v>
      </c>
      <c r="AN69" s="4">
        <v>0</v>
      </c>
      <c r="AO69" s="4" t="s">
        <v>76</v>
      </c>
      <c r="AP69" s="4" t="s">
        <v>77</v>
      </c>
      <c r="AQ69" s="6">
        <v>116810540663.02</v>
      </c>
      <c r="AR69" s="4">
        <v>461858</v>
      </c>
      <c r="AS69" s="15">
        <v>0</v>
      </c>
      <c r="AT69" s="15">
        <v>75.844773790125402</v>
      </c>
      <c r="AU69" s="15">
        <v>75.844773790125402</v>
      </c>
      <c r="AV69" s="15">
        <v>24.155226209874499</v>
      </c>
      <c r="AW69" s="15">
        <v>24.155226209874499</v>
      </c>
      <c r="AX69" s="15">
        <v>0</v>
      </c>
      <c r="AY69">
        <v>977.56747258243502</v>
      </c>
    </row>
    <row r="70" spans="1:51" x14ac:dyDescent="0.25">
      <c r="A70">
        <v>96</v>
      </c>
      <c r="B70" s="4">
        <v>0.94873978555595795</v>
      </c>
      <c r="C70" s="4">
        <v>44.4618263124664</v>
      </c>
      <c r="D70" s="4">
        <v>46.817915214802603</v>
      </c>
      <c r="E70" s="4">
        <v>4.7826772378772898E-2</v>
      </c>
      <c r="F70" s="5">
        <v>5.1260214444041198E-2</v>
      </c>
      <c r="G70" s="5">
        <v>0</v>
      </c>
      <c r="H70" s="4">
        <v>4.9650988652426502</v>
      </c>
      <c r="I70" s="4">
        <v>3.7053230630591898</v>
      </c>
      <c r="J70" s="4">
        <v>-5.71084192099931</v>
      </c>
      <c r="K70" s="4">
        <v>135.165840352559</v>
      </c>
      <c r="L70" s="4">
        <v>15.3990026365818</v>
      </c>
      <c r="M70" s="4">
        <v>30.780044104433401</v>
      </c>
      <c r="N70" s="4">
        <v>70.009327867641602</v>
      </c>
      <c r="O70" s="4">
        <v>65.626945783306795</v>
      </c>
      <c r="P70" s="4">
        <v>279102.02938675898</v>
      </c>
      <c r="Q70" s="4">
        <v>259272.478800974</v>
      </c>
      <c r="R70" s="4">
        <v>778.97012549147996</v>
      </c>
      <c r="S70" s="4">
        <v>0</v>
      </c>
      <c r="T70" s="4">
        <v>0</v>
      </c>
      <c r="U70" s="4">
        <v>2.3605842986567201E-2</v>
      </c>
      <c r="V70" s="4">
        <v>0.24620644548429399</v>
      </c>
      <c r="W70" s="4">
        <v>0</v>
      </c>
      <c r="X70" s="4">
        <v>0.63251039056129599</v>
      </c>
      <c r="Y70" s="4">
        <v>0</v>
      </c>
      <c r="Z70" s="5">
        <v>4.1634649105478901E-4</v>
      </c>
      <c r="AA70" s="5">
        <v>3.6385306669910899E-4</v>
      </c>
      <c r="AB70" s="10">
        <v>3.75486409491999E-3</v>
      </c>
      <c r="AC70" s="10">
        <v>1.7107634079925499E-5</v>
      </c>
      <c r="AD70" s="10">
        <v>4.6708027939964397E-2</v>
      </c>
      <c r="AE70" s="4">
        <v>1.4270988979493899E-2</v>
      </c>
      <c r="AF70" s="4">
        <v>0.75695044037027504</v>
      </c>
      <c r="AG70" s="4">
        <v>0.97052950497291102</v>
      </c>
      <c r="AH70" s="4">
        <v>0.99307919065607397</v>
      </c>
      <c r="AI70" s="4">
        <v>0.99906348889741903</v>
      </c>
      <c r="AJ70" s="4">
        <v>1</v>
      </c>
      <c r="AK70" s="4">
        <v>1</v>
      </c>
      <c r="AL70" s="4">
        <v>1</v>
      </c>
      <c r="AM70" s="4">
        <v>0</v>
      </c>
      <c r="AN70" s="4">
        <v>0</v>
      </c>
      <c r="AO70" s="4" t="s">
        <v>78</v>
      </c>
      <c r="AP70" s="4" t="s">
        <v>79</v>
      </c>
      <c r="AQ70" s="6">
        <v>70585895263.649994</v>
      </c>
      <c r="AR70" s="4">
        <v>272246</v>
      </c>
      <c r="AS70" s="15">
        <v>0</v>
      </c>
      <c r="AT70" s="15">
        <v>75.379355451570504</v>
      </c>
      <c r="AU70" s="15">
        <v>75.379355451570504</v>
      </c>
      <c r="AV70" s="15">
        <v>24.6206445484294</v>
      </c>
      <c r="AW70" s="15">
        <v>24.6206445484294</v>
      </c>
      <c r="AX70" s="15">
        <v>0</v>
      </c>
      <c r="AY70">
        <v>1365.4347231936499</v>
      </c>
    </row>
    <row r="71" spans="1:51" x14ac:dyDescent="0.25">
      <c r="A71">
        <v>96</v>
      </c>
      <c r="B71" s="4">
        <v>0.94703013967003202</v>
      </c>
      <c r="C71" s="4">
        <v>43.870278179376598</v>
      </c>
      <c r="D71" s="4">
        <v>47.956606132431297</v>
      </c>
      <c r="E71" s="4">
        <v>4.6985721498659802E-2</v>
      </c>
      <c r="F71" s="5">
        <v>5.2969860329967103E-2</v>
      </c>
      <c r="G71" s="5">
        <v>0</v>
      </c>
      <c r="H71" s="4">
        <v>5.1495191242474396</v>
      </c>
      <c r="I71" s="4">
        <v>3.6724582729182602</v>
      </c>
      <c r="J71" s="4">
        <v>9.0439878032700101</v>
      </c>
      <c r="K71" s="4">
        <v>158.98119960203701</v>
      </c>
      <c r="L71" s="4">
        <v>15.7028499792658</v>
      </c>
      <c r="M71" s="4">
        <v>31.901674213905402</v>
      </c>
      <c r="N71" s="4">
        <v>78.106977687962697</v>
      </c>
      <c r="O71" s="4">
        <v>72.334267469903907</v>
      </c>
      <c r="P71" s="4">
        <v>272437.98441143101</v>
      </c>
      <c r="Q71" s="4">
        <v>254274.435876498</v>
      </c>
      <c r="R71" s="4">
        <v>777.34604176367395</v>
      </c>
      <c r="S71" s="4">
        <v>0</v>
      </c>
      <c r="T71" s="4">
        <v>0</v>
      </c>
      <c r="U71" s="4">
        <v>2.2135080233386301E-2</v>
      </c>
      <c r="V71" s="4">
        <v>0.25274713775505497</v>
      </c>
      <c r="W71" s="4">
        <v>0</v>
      </c>
      <c r="X71" s="4">
        <v>0.50714580228238104</v>
      </c>
      <c r="Y71" s="4">
        <v>0</v>
      </c>
      <c r="Z71" s="5">
        <v>4.1701641219695E-4</v>
      </c>
      <c r="AA71" s="5">
        <v>5.6926402839083405E-4</v>
      </c>
      <c r="AB71" s="10">
        <v>3.8080693494977102E-3</v>
      </c>
      <c r="AC71" s="10">
        <v>3.1916876174713902E-5</v>
      </c>
      <c r="AD71" s="10">
        <v>4.81435783836478E-2</v>
      </c>
      <c r="AE71" s="4">
        <v>2.73667699106474E-2</v>
      </c>
      <c r="AF71" s="4">
        <v>0.71944939047686196</v>
      </c>
      <c r="AG71" s="4">
        <v>0.95228104847505801</v>
      </c>
      <c r="AH71" s="4">
        <v>0.98659828230818902</v>
      </c>
      <c r="AI71" s="4">
        <v>0.99824971911277205</v>
      </c>
      <c r="AJ71" s="4">
        <v>1</v>
      </c>
      <c r="AK71" s="4">
        <v>1</v>
      </c>
      <c r="AL71" s="4">
        <v>1</v>
      </c>
      <c r="AM71" s="4">
        <v>0</v>
      </c>
      <c r="AN71" s="4">
        <v>0</v>
      </c>
      <c r="AO71" s="4" t="s">
        <v>80</v>
      </c>
      <c r="AP71" s="4" t="s">
        <v>81</v>
      </c>
      <c r="AQ71" s="6">
        <v>13769723526.02</v>
      </c>
      <c r="AR71" s="4">
        <v>54153</v>
      </c>
      <c r="AS71" s="15">
        <v>0</v>
      </c>
      <c r="AT71" s="15">
        <v>74.725286224494397</v>
      </c>
      <c r="AU71" s="15">
        <v>74.725286224494397</v>
      </c>
      <c r="AV71" s="15">
        <v>25.2747137755055</v>
      </c>
      <c r="AW71" s="15">
        <v>25.2747137755055</v>
      </c>
      <c r="AX71" s="15">
        <v>0</v>
      </c>
      <c r="AY71">
        <v>1575.2685334069799</v>
      </c>
    </row>
    <row r="72" spans="1:51" x14ac:dyDescent="0.25">
      <c r="A72">
        <v>96</v>
      </c>
      <c r="B72" s="4">
        <v>0.941847404364754</v>
      </c>
      <c r="C72" s="4">
        <v>41.1168166302716</v>
      </c>
      <c r="D72" s="4">
        <v>51.2733512731091</v>
      </c>
      <c r="E72" s="4">
        <v>4.31747958192161E-2</v>
      </c>
      <c r="F72" s="5">
        <v>5.8152595635245101E-2</v>
      </c>
      <c r="G72" s="5">
        <v>0</v>
      </c>
      <c r="H72" s="4">
        <v>5.1775184943984396</v>
      </c>
      <c r="I72" s="4">
        <v>3.6515248507794902</v>
      </c>
      <c r="J72" s="4">
        <v>15.3606958025239</v>
      </c>
      <c r="K72" s="4">
        <v>182.017792973924</v>
      </c>
      <c r="L72" s="4">
        <v>14.8236867080627</v>
      </c>
      <c r="M72" s="4">
        <v>30.663892785691001</v>
      </c>
      <c r="N72" s="4">
        <v>84.173344763094804</v>
      </c>
      <c r="O72" s="4">
        <v>74.786262381075503</v>
      </c>
      <c r="P72" s="4">
        <v>288515.57279539702</v>
      </c>
      <c r="Q72" s="4">
        <v>269351.56885317899</v>
      </c>
      <c r="R72" s="4">
        <v>776.81334571857406</v>
      </c>
      <c r="S72" s="4">
        <v>0</v>
      </c>
      <c r="T72" s="4">
        <v>0</v>
      </c>
      <c r="U72" s="4">
        <v>2.5008630198203301E-2</v>
      </c>
      <c r="V72" s="4">
        <v>0.198616339768452</v>
      </c>
      <c r="W72" s="4">
        <v>0</v>
      </c>
      <c r="X72" s="4">
        <v>0.378677299103094</v>
      </c>
      <c r="Y72" s="4">
        <v>0</v>
      </c>
      <c r="Z72" s="5">
        <v>4.1909393731743698E-4</v>
      </c>
      <c r="AA72" s="5">
        <v>6.3439902544160098E-4</v>
      </c>
      <c r="AB72" s="10">
        <v>3.7931913681912999E-3</v>
      </c>
      <c r="AC72" s="10">
        <v>1.7487747776555101E-4</v>
      </c>
      <c r="AD72" s="10">
        <v>5.3131018238934499E-2</v>
      </c>
      <c r="AE72" s="4">
        <v>7.0485656530407101E-2</v>
      </c>
      <c r="AF72" s="4">
        <v>0.50677035714740704</v>
      </c>
      <c r="AG72" s="4">
        <v>0.82343799845488097</v>
      </c>
      <c r="AH72" s="4">
        <v>0.91611242039507101</v>
      </c>
      <c r="AI72" s="4">
        <v>0.98902791948937396</v>
      </c>
      <c r="AJ72" s="4">
        <v>1</v>
      </c>
      <c r="AK72" s="4">
        <v>1</v>
      </c>
      <c r="AL72" s="4">
        <v>1</v>
      </c>
      <c r="AM72" s="4">
        <v>0</v>
      </c>
      <c r="AN72" s="4">
        <v>0</v>
      </c>
      <c r="AO72" s="4" t="s">
        <v>82</v>
      </c>
      <c r="AP72" s="4" t="s">
        <v>83</v>
      </c>
      <c r="AQ72" s="6">
        <v>1592406475.0599999</v>
      </c>
      <c r="AR72" s="4">
        <v>5912</v>
      </c>
      <c r="AS72" s="15">
        <v>0</v>
      </c>
      <c r="AT72" s="15">
        <v>80.138366023154703</v>
      </c>
      <c r="AU72" s="15">
        <v>80.138366023154703</v>
      </c>
      <c r="AV72" s="15">
        <v>19.861633976845201</v>
      </c>
      <c r="AW72" s="15">
        <v>19.861633976845201</v>
      </c>
      <c r="AX72" s="15">
        <v>0</v>
      </c>
      <c r="AY72">
        <v>1679.0173155925099</v>
      </c>
    </row>
    <row r="73" spans="1:51" x14ac:dyDescent="0.25">
      <c r="A73">
        <v>96</v>
      </c>
      <c r="B73" s="4">
        <v>0.93677063155269102</v>
      </c>
      <c r="C73" s="4">
        <v>34.072523116587803</v>
      </c>
      <c r="D73" s="4">
        <v>54.333344954209103</v>
      </c>
      <c r="E73" s="4">
        <v>3.4122154727892602E-2</v>
      </c>
      <c r="F73" s="5">
        <v>6.3229368447308601E-2</v>
      </c>
      <c r="G73" s="5">
        <v>0</v>
      </c>
      <c r="H73" s="4">
        <v>5.1740589737787301</v>
      </c>
      <c r="I73" s="4">
        <v>3.6512492009647399</v>
      </c>
      <c r="J73" s="4">
        <v>20.453819121287601</v>
      </c>
      <c r="K73" s="4">
        <v>206.71666891893599</v>
      </c>
      <c r="L73" s="4">
        <v>14.916423882238499</v>
      </c>
      <c r="M73" s="4">
        <v>23.230695855899899</v>
      </c>
      <c r="N73" s="4">
        <v>90.096268408788703</v>
      </c>
      <c r="O73" s="4">
        <v>75.435918395971498</v>
      </c>
      <c r="P73" s="4">
        <v>291708.00487655698</v>
      </c>
      <c r="Q73" s="4">
        <v>267667.27677325503</v>
      </c>
      <c r="R73" s="4">
        <v>775.521621023276</v>
      </c>
      <c r="S73" s="4">
        <v>0</v>
      </c>
      <c r="T73" s="4">
        <v>0</v>
      </c>
      <c r="U73" s="4">
        <v>1.11659007631769E-2</v>
      </c>
      <c r="V73" s="4">
        <v>0.112179616982636</v>
      </c>
      <c r="W73" s="4">
        <v>0</v>
      </c>
      <c r="X73" s="4">
        <v>0.21946863030339001</v>
      </c>
      <c r="Y73" s="4">
        <v>0</v>
      </c>
      <c r="Z73" s="5">
        <v>4.1803610075456999E-4</v>
      </c>
      <c r="AA73" s="5">
        <v>4.6855603675812602E-4</v>
      </c>
      <c r="AB73" s="10">
        <v>4.2838218232518401E-3</v>
      </c>
      <c r="AC73" s="10">
        <v>6.0040626823104799E-4</v>
      </c>
      <c r="AD73" s="10">
        <v>5.7458531122980702E-2</v>
      </c>
      <c r="AE73" s="4">
        <v>0.13760138765242999</v>
      </c>
      <c r="AF73" s="4">
        <v>0.17103195720680001</v>
      </c>
      <c r="AG73" s="4">
        <v>0.50885044351304398</v>
      </c>
      <c r="AH73" s="4">
        <v>0.70452372151209497</v>
      </c>
      <c r="AI73" s="4">
        <v>0.97320598830082505</v>
      </c>
      <c r="AJ73" s="4">
        <v>1</v>
      </c>
      <c r="AK73" s="4">
        <v>1</v>
      </c>
      <c r="AL73" s="4">
        <v>1</v>
      </c>
      <c r="AM73" s="4">
        <v>0</v>
      </c>
      <c r="AN73" s="4">
        <v>0</v>
      </c>
      <c r="AO73" s="4" t="s">
        <v>84</v>
      </c>
      <c r="AP73" s="4" t="s">
        <v>85</v>
      </c>
      <c r="AQ73" s="6">
        <v>92077543.209999993</v>
      </c>
      <c r="AR73" s="4">
        <v>344</v>
      </c>
      <c r="AS73" s="15">
        <v>0</v>
      </c>
      <c r="AT73" s="15">
        <v>88.782038301736307</v>
      </c>
      <c r="AU73" s="15">
        <v>88.782038301736307</v>
      </c>
      <c r="AV73" s="15">
        <v>11.217961698263601</v>
      </c>
      <c r="AW73" s="15">
        <v>11.217961698263601</v>
      </c>
      <c r="AX73" s="15">
        <v>0</v>
      </c>
      <c r="AY73">
        <v>1761.8721425122301</v>
      </c>
    </row>
    <row r="74" spans="1:51" x14ac:dyDescent="0.25">
      <c r="A74">
        <v>96</v>
      </c>
      <c r="B74" s="4">
        <v>0.935268264850453</v>
      </c>
      <c r="C74" s="4">
        <v>65.249593616461695</v>
      </c>
      <c r="D74" s="4">
        <v>55.204500930054998</v>
      </c>
      <c r="E74" s="4">
        <v>8.4313824915533797E-2</v>
      </c>
      <c r="F74" s="5">
        <v>6.4731735149546596E-2</v>
      </c>
      <c r="G74" s="5">
        <v>0</v>
      </c>
      <c r="H74" s="4">
        <v>5.2469082307376702</v>
      </c>
      <c r="I74" s="4">
        <v>3.6389450344276102</v>
      </c>
      <c r="J74" s="4">
        <v>35.904757076947099</v>
      </c>
      <c r="K74" s="4">
        <v>229.42153851349801</v>
      </c>
      <c r="L74" s="4">
        <v>15.6719685325213</v>
      </c>
      <c r="M74" s="4">
        <v>20.451703630200601</v>
      </c>
      <c r="N74" s="4">
        <v>94.672984605974406</v>
      </c>
      <c r="O74" s="4">
        <v>76.771882523547902</v>
      </c>
      <c r="P74" s="4">
        <v>271458.40466198901</v>
      </c>
      <c r="Q74" s="4">
        <v>254782.36</v>
      </c>
      <c r="R74" s="4">
        <v>779.03701685445697</v>
      </c>
      <c r="S74" s="4">
        <v>0</v>
      </c>
      <c r="T74" s="4">
        <v>0</v>
      </c>
      <c r="U74" s="4">
        <v>0</v>
      </c>
      <c r="V74" s="4">
        <v>0</v>
      </c>
      <c r="W74" s="4">
        <v>0</v>
      </c>
      <c r="X74" s="4">
        <v>0.16371312724741499</v>
      </c>
      <c r="Y74" s="4">
        <v>0</v>
      </c>
      <c r="Z74" s="5">
        <v>4.3284022710085698E-4</v>
      </c>
      <c r="AA74" s="5">
        <v>6.7208726957244198E-4</v>
      </c>
      <c r="AB74" s="10">
        <v>4.8549645787686196E-3</v>
      </c>
      <c r="AC74" s="10">
        <v>9.35619192423954E-4</v>
      </c>
      <c r="AD74" s="10">
        <v>5.7836208506031897E-2</v>
      </c>
      <c r="AE74" s="4">
        <v>0.17091477419512</v>
      </c>
      <c r="AF74" s="4">
        <v>0.16371312724741499</v>
      </c>
      <c r="AG74" s="4">
        <v>0.16371312724741499</v>
      </c>
      <c r="AH74" s="4">
        <v>0.35963028632328797</v>
      </c>
      <c r="AI74" s="4">
        <v>1</v>
      </c>
      <c r="AJ74" s="4">
        <v>1</v>
      </c>
      <c r="AK74" s="4">
        <v>1</v>
      </c>
      <c r="AL74" s="4">
        <v>1</v>
      </c>
      <c r="AM74" s="4">
        <v>0</v>
      </c>
      <c r="AN74" s="4">
        <v>0</v>
      </c>
      <c r="AO74" s="4" t="s">
        <v>86</v>
      </c>
      <c r="AP74" s="4" t="s">
        <v>87</v>
      </c>
      <c r="AQ74" s="6">
        <v>3312170.68</v>
      </c>
      <c r="AR74" s="4">
        <v>13</v>
      </c>
      <c r="AS74" s="15">
        <v>0</v>
      </c>
      <c r="AT74" s="15">
        <v>100</v>
      </c>
      <c r="AU74" s="15">
        <v>100</v>
      </c>
      <c r="AV74" s="15">
        <v>0</v>
      </c>
      <c r="AW74" s="15">
        <v>0</v>
      </c>
      <c r="AX74" s="15">
        <v>0</v>
      </c>
      <c r="AY74">
        <v>1812.56511987163</v>
      </c>
    </row>
    <row r="75" spans="1:51" x14ac:dyDescent="0.25">
      <c r="A75">
        <v>96</v>
      </c>
      <c r="B75" s="4">
        <v>0.94271986061480195</v>
      </c>
      <c r="C75" s="4">
        <v>84.603245466759205</v>
      </c>
      <c r="D75" s="4">
        <v>50.728942979373599</v>
      </c>
      <c r="E75" s="4">
        <v>0.14437046860512701</v>
      </c>
      <c r="F75" s="5">
        <v>5.7280139385197097E-2</v>
      </c>
      <c r="G75" s="5">
        <v>0</v>
      </c>
      <c r="H75" s="4">
        <v>5.75</v>
      </c>
      <c r="I75" s="4">
        <v>4.1387573853749302</v>
      </c>
      <c r="J75" s="4">
        <v>54.455300000000001</v>
      </c>
      <c r="K75" s="4">
        <v>254.14737832477601</v>
      </c>
      <c r="L75" s="4">
        <v>23.8889254434457</v>
      </c>
      <c r="M75" s="4">
        <v>31.4262167522364</v>
      </c>
      <c r="N75" s="4">
        <v>95</v>
      </c>
      <c r="O75" s="4">
        <v>57.497761023921598</v>
      </c>
      <c r="P75" s="4">
        <v>170045.697840109</v>
      </c>
      <c r="Q75" s="4">
        <v>166421.72</v>
      </c>
      <c r="R75" s="4">
        <v>782</v>
      </c>
      <c r="S75" s="4">
        <v>0</v>
      </c>
      <c r="T75" s="4">
        <v>0</v>
      </c>
      <c r="U75" s="4">
        <v>0</v>
      </c>
      <c r="V75" s="4">
        <v>0</v>
      </c>
      <c r="W75" s="4">
        <v>0</v>
      </c>
      <c r="X75" s="4">
        <v>0</v>
      </c>
      <c r="Y75" s="4">
        <v>0</v>
      </c>
      <c r="Z75" s="5">
        <v>1.6004216761757401E-3</v>
      </c>
      <c r="AA75" s="5">
        <v>1.6422780827145E-3</v>
      </c>
      <c r="AB75" s="10">
        <v>6.1079827189533904E-3</v>
      </c>
      <c r="AC75" s="10">
        <v>0</v>
      </c>
      <c r="AD75" s="10">
        <v>4.7929432645185899E-2</v>
      </c>
      <c r="AE75" s="4">
        <v>-6.0003429533219597E-2</v>
      </c>
      <c r="AF75" s="4">
        <v>1</v>
      </c>
      <c r="AG75" s="4">
        <v>1</v>
      </c>
      <c r="AH75" s="4">
        <v>1</v>
      </c>
      <c r="AI75" s="4">
        <v>1</v>
      </c>
      <c r="AJ75" s="4">
        <v>1</v>
      </c>
      <c r="AK75" s="4">
        <v>1</v>
      </c>
      <c r="AL75" s="4">
        <v>1</v>
      </c>
      <c r="AM75" s="4">
        <v>0</v>
      </c>
      <c r="AN75" s="4">
        <v>0</v>
      </c>
      <c r="AO75" s="4" t="s">
        <v>154</v>
      </c>
      <c r="AP75" s="4" t="s">
        <v>155</v>
      </c>
      <c r="AQ75" s="6">
        <v>332843.44</v>
      </c>
      <c r="AR75" s="4">
        <v>2</v>
      </c>
      <c r="AS75" s="15">
        <v>0</v>
      </c>
      <c r="AT75" s="15">
        <v>100</v>
      </c>
      <c r="AU75" s="15">
        <v>100</v>
      </c>
      <c r="AV75" s="15">
        <v>0</v>
      </c>
      <c r="AW75" s="15">
        <v>0</v>
      </c>
      <c r="AX75" s="15">
        <v>0</v>
      </c>
      <c r="AY75">
        <v>1089.0233504472801</v>
      </c>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7" spans="1:51" x14ac:dyDescent="0.25">
      <c r="L77" s="4" t="s">
        <v>160</v>
      </c>
      <c r="M77" s="35" t="s">
        <v>159</v>
      </c>
      <c r="O77" s="4"/>
      <c r="P77" s="30"/>
    </row>
    <row r="78" spans="1:51" s="35" customFormat="1" x14ac:dyDescent="0.25">
      <c r="L78" t="s">
        <v>153</v>
      </c>
      <c r="M78" s="42">
        <v>1</v>
      </c>
      <c r="O78" s="35" t="s">
        <v>169</v>
      </c>
      <c r="P78" s="35" t="s">
        <v>170</v>
      </c>
    </row>
    <row r="79" spans="1:51" s="35" customFormat="1" x14ac:dyDescent="0.25">
      <c r="L79" s="35" t="s">
        <v>184</v>
      </c>
      <c r="M79" s="39">
        <v>1</v>
      </c>
      <c r="O79" s="39">
        <v>1</v>
      </c>
      <c r="P79" s="35">
        <f>1-O79</f>
        <v>0</v>
      </c>
    </row>
    <row r="80" spans="1:51" s="35" customFormat="1" x14ac:dyDescent="0.25">
      <c r="M80" s="39"/>
    </row>
    <row r="81" spans="1:36" x14ac:dyDescent="0.25">
      <c r="K81" t="s">
        <v>98</v>
      </c>
      <c r="L81" t="s">
        <v>89</v>
      </c>
      <c r="M81" t="s">
        <v>90</v>
      </c>
    </row>
    <row r="82" spans="1:36" x14ac:dyDescent="0.25">
      <c r="A82" s="4" t="s">
        <v>93</v>
      </c>
      <c r="B82" t="str">
        <f>AQ2</f>
        <v>Balance</v>
      </c>
      <c r="C82" s="2" t="str">
        <f t="shared" ref="C82:C112"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185</v>
      </c>
      <c r="V82" t="s">
        <v>91</v>
      </c>
    </row>
    <row r="83" spans="1:36" s="35" customFormat="1" x14ac:dyDescent="0.25">
      <c r="A83" s="14">
        <f t="shared" ref="A83:A112" si="1">K3</f>
        <v>-155.500954051935</v>
      </c>
      <c r="B83" s="32">
        <f t="shared" ref="B83:B112" si="2">AQ3/1000000000</f>
        <v>8.2237608999999995E-4</v>
      </c>
      <c r="C83" s="33" t="str">
        <f t="shared" si="0"/>
        <v>02:-175--150</v>
      </c>
      <c r="D83" s="34">
        <f t="shared" ref="D83:D112" si="3">E3</f>
        <v>2.1801460161579799E-4</v>
      </c>
      <c r="E83" s="34">
        <f t="shared" ref="E83:E112" si="4">Z3+AA3+AB3+AC3+AD3</f>
        <v>1.6670152339047137E-3</v>
      </c>
      <c r="F83" s="32"/>
      <c r="G83" s="33">
        <f t="shared" ref="G83:H98" si="5">(1-(1-D83)^12)*100</f>
        <v>0.26130404937899643</v>
      </c>
      <c r="H83" s="33">
        <f t="shared" si="5"/>
        <v>1.9821788125938822</v>
      </c>
      <c r="I83" s="33">
        <f t="shared" ref="I83:I112" si="6">(1-(1-SUM(Z42,AA42,AB42,AC42,AD42*M83))^12)*100</f>
        <v>1.9821788125938822</v>
      </c>
      <c r="K83" s="14">
        <f>VLOOKUP($C83,'Refi Adj'!$B$2:$E$32,2,0)</f>
        <v>1</v>
      </c>
      <c r="L83" s="14">
        <f>VLOOKUP($C83,'Refi Adj'!$B$2:$E$32,3,0)</f>
        <v>1</v>
      </c>
      <c r="M83" s="14">
        <f>VLOOKUP($C83,'Refi Adj'!$B$2:$E$32,4,0)</f>
        <v>1</v>
      </c>
      <c r="O83" s="40">
        <f t="shared" ref="O83:O112" si="7">AD42*M83</f>
        <v>0</v>
      </c>
      <c r="P83" s="40">
        <f t="shared" ref="P83:P112" si="8">AD3</f>
        <v>0</v>
      </c>
      <c r="Q83" s="40">
        <f t="shared" ref="Q83:Q112" si="9">(O83*$O$79+P83*$P$79)</f>
        <v>0</v>
      </c>
      <c r="R83" s="14"/>
      <c r="S83" s="34">
        <f>Z3+AA3+AB3*K83+AC3*L83+Q83*$M$78</f>
        <v>1.6670152339047137E-3</v>
      </c>
      <c r="T83" s="33">
        <f t="shared" ref="T83:T112" si="10">100*(1-(1-S83)^12)</f>
        <v>1.9821788125938822</v>
      </c>
      <c r="U83" s="33">
        <f>100*(1-(1-S83*$M$79)^12)</f>
        <v>1.9821788125938822</v>
      </c>
      <c r="V83" s="36">
        <f t="shared" ref="V83:V112" si="11">D83/S83</f>
        <v>0.13078140930070209</v>
      </c>
      <c r="X83" s="37"/>
      <c r="Y83" s="34"/>
      <c r="Z83" s="34"/>
      <c r="AD83" s="34"/>
      <c r="AE83" s="34"/>
      <c r="AJ83" s="34"/>
    </row>
    <row r="84" spans="1:36" s="35" customFormat="1" x14ac:dyDescent="0.25">
      <c r="A84" s="14">
        <f t="shared" si="1"/>
        <v>-133.73727504956</v>
      </c>
      <c r="B84" s="32">
        <f t="shared" si="2"/>
        <v>5.9944804000000001E-3</v>
      </c>
      <c r="C84" s="33" t="str">
        <f t="shared" si="0"/>
        <v>03:-150--125</v>
      </c>
      <c r="D84" s="34">
        <f t="shared" si="3"/>
        <v>1.3535375036780899E-4</v>
      </c>
      <c r="E84" s="34">
        <f t="shared" si="4"/>
        <v>1.5763680370835937E-3</v>
      </c>
      <c r="F84" s="32"/>
      <c r="G84" s="33">
        <f t="shared" si="5"/>
        <v>0.16230363877050014</v>
      </c>
      <c r="H84" s="33">
        <f t="shared" si="5"/>
        <v>1.8753269385964444</v>
      </c>
      <c r="I84" s="33">
        <f t="shared" si="6"/>
        <v>1.8948240933110427</v>
      </c>
      <c r="K84" s="14">
        <f>VLOOKUP($C84,'Refi Adj'!$B$2:$E$32,2,0)</f>
        <v>1</v>
      </c>
      <c r="L84" s="14">
        <f>VLOOKUP($C84,'Refi Adj'!$B$2:$E$32,3,0)</f>
        <v>1</v>
      </c>
      <c r="M84" s="14">
        <f>VLOOKUP($C84,'Refi Adj'!$B$2:$E$32,4,0)</f>
        <v>1</v>
      </c>
      <c r="O84" s="40">
        <f t="shared" si="7"/>
        <v>1.8054136609037799E-5</v>
      </c>
      <c r="P84" s="40">
        <f t="shared" si="8"/>
        <v>1.52058423794329E-6</v>
      </c>
      <c r="Q84" s="40">
        <f t="shared" si="9"/>
        <v>1.8054136609037799E-5</v>
      </c>
      <c r="R84" s="14"/>
      <c r="S84" s="34">
        <f t="shared" ref="S84:S112" si="12">Z4+AA4+AB4*K84+AC4*L84+Q84*$M$78</f>
        <v>1.5929015894546883E-3</v>
      </c>
      <c r="T84" s="33">
        <f t="shared" si="10"/>
        <v>1.8948240933110427</v>
      </c>
      <c r="U84" s="33">
        <f t="shared" ref="U84:U112" si="13">100*(1-(1-S84*$M$79)^12)</f>
        <v>1.8948240933110427</v>
      </c>
      <c r="V84" s="36">
        <f t="shared" si="11"/>
        <v>8.4973077598689453E-2</v>
      </c>
      <c r="X84" s="37"/>
      <c r="Y84" s="34"/>
      <c r="Z84" s="34"/>
      <c r="AC84" s="37"/>
      <c r="AD84" s="34"/>
      <c r="AE84" s="34"/>
      <c r="AJ84" s="34"/>
    </row>
    <row r="85" spans="1:36" s="35" customFormat="1" x14ac:dyDescent="0.25">
      <c r="A85" s="14">
        <f t="shared" si="1"/>
        <v>-109.755207631009</v>
      </c>
      <c r="B85" s="32">
        <f t="shared" si="2"/>
        <v>2.4342576859999999E-2</v>
      </c>
      <c r="C85" s="33" t="str">
        <f t="shared" si="0"/>
        <v>04:-125--100</v>
      </c>
      <c r="D85" s="34">
        <f t="shared" si="3"/>
        <v>1.5113537366504001E-4</v>
      </c>
      <c r="E85" s="34">
        <f t="shared" si="4"/>
        <v>1.919384840550467E-3</v>
      </c>
      <c r="F85" s="32"/>
      <c r="G85" s="33">
        <f t="shared" si="5"/>
        <v>0.18121176777337045</v>
      </c>
      <c r="H85" s="33">
        <f t="shared" si="5"/>
        <v>2.2791020509160043</v>
      </c>
      <c r="I85" s="33">
        <f t="shared" si="6"/>
        <v>3.8629609768216944</v>
      </c>
      <c r="K85" s="14">
        <f>VLOOKUP($C85,'Refi Adj'!$B$2:$E$32,2,0)</f>
        <v>1</v>
      </c>
      <c r="L85" s="14">
        <f>VLOOKUP($C85,'Refi Adj'!$B$2:$E$32,3,0)</f>
        <v>1</v>
      </c>
      <c r="M85" s="14">
        <f>VLOOKUP($C85,'Refi Adj'!$B$2:$E$32,4,0)</f>
        <v>1</v>
      </c>
      <c r="O85" s="40">
        <f t="shared" si="7"/>
        <v>1.5371608779945101E-3</v>
      </c>
      <c r="P85" s="40">
        <f t="shared" si="8"/>
        <v>1.7896852419920799E-4</v>
      </c>
      <c r="Q85" s="40">
        <f t="shared" si="9"/>
        <v>1.5371608779945101E-3</v>
      </c>
      <c r="R85" s="14"/>
      <c r="S85" s="34">
        <f t="shared" si="12"/>
        <v>3.2775771943457689E-3</v>
      </c>
      <c r="T85" s="33">
        <f t="shared" si="10"/>
        <v>3.8629609768216944</v>
      </c>
      <c r="U85" s="33">
        <f t="shared" si="13"/>
        <v>3.8629609768216944</v>
      </c>
      <c r="V85" s="36">
        <f t="shared" si="11"/>
        <v>4.6111918866706618E-2</v>
      </c>
      <c r="X85" s="37"/>
      <c r="Y85" s="34"/>
      <c r="Z85" s="34"/>
      <c r="AC85" s="37"/>
      <c r="AD85" s="34"/>
      <c r="AE85" s="34"/>
      <c r="AJ85" s="34"/>
    </row>
    <row r="86" spans="1:36" s="35" customFormat="1" x14ac:dyDescent="0.25">
      <c r="A86" s="14">
        <f t="shared" si="1"/>
        <v>-82.887943991012307</v>
      </c>
      <c r="B86" s="32">
        <f t="shared" si="2"/>
        <v>0.19147107962999999</v>
      </c>
      <c r="C86" s="33" t="str">
        <f t="shared" si="0"/>
        <v>05:-100--75</v>
      </c>
      <c r="D86" s="34">
        <f t="shared" si="3"/>
        <v>3.0574376362177999E-3</v>
      </c>
      <c r="E86" s="34">
        <f t="shared" si="4"/>
        <v>1.9771478797503939E-3</v>
      </c>
      <c r="F86" s="32"/>
      <c r="G86" s="33">
        <f t="shared" si="5"/>
        <v>3.6078533300600069</v>
      </c>
      <c r="H86" s="33">
        <f t="shared" si="5"/>
        <v>2.3469465867071104</v>
      </c>
      <c r="I86" s="33">
        <f t="shared" si="6"/>
        <v>4.3304578598042482</v>
      </c>
      <c r="K86" s="14">
        <f>VLOOKUP($C86,'Refi Adj'!$B$2:$E$32,2,0)</f>
        <v>1</v>
      </c>
      <c r="L86" s="14">
        <f>VLOOKUP($C86,'Refi Adj'!$B$2:$E$32,3,0)</f>
        <v>1</v>
      </c>
      <c r="M86" s="14">
        <f>VLOOKUP($C86,'Refi Adj'!$B$2:$E$32,4,0)</f>
        <v>1</v>
      </c>
      <c r="O86" s="40">
        <f t="shared" si="7"/>
        <v>1.9832061493228899E-3</v>
      </c>
      <c r="P86" s="40">
        <f t="shared" si="8"/>
        <v>2.77967194789438E-4</v>
      </c>
      <c r="Q86" s="40">
        <f t="shared" si="9"/>
        <v>1.9832061493228899E-3</v>
      </c>
      <c r="R86" s="14"/>
      <c r="S86" s="34">
        <f t="shared" si="12"/>
        <v>3.6823868342838457E-3</v>
      </c>
      <c r="T86" s="33">
        <f t="shared" si="10"/>
        <v>4.3304578598042482</v>
      </c>
      <c r="U86" s="33">
        <f t="shared" si="13"/>
        <v>4.3304578598042482</v>
      </c>
      <c r="V86" s="36">
        <f t="shared" si="11"/>
        <v>0.83028692362040057</v>
      </c>
      <c r="X86" s="37"/>
      <c r="Y86" s="34"/>
      <c r="Z86" s="34"/>
      <c r="AC86" s="37"/>
      <c r="AD86" s="34"/>
      <c r="AE86" s="34"/>
      <c r="AH86" s="37"/>
      <c r="AI86" s="34"/>
      <c r="AJ86" s="34"/>
    </row>
    <row r="87" spans="1:36" x14ac:dyDescent="0.25">
      <c r="A87" s="4">
        <f t="shared" si="1"/>
        <v>-57.590533903140503</v>
      </c>
      <c r="B87" s="3">
        <f t="shared" si="2"/>
        <v>2.0998371947400001</v>
      </c>
      <c r="C87" s="2" t="str">
        <f t="shared" si="0"/>
        <v>06:-75--50</v>
      </c>
      <c r="D87" s="8">
        <f t="shared" si="3"/>
        <v>2.12907087201001E-3</v>
      </c>
      <c r="E87" s="8">
        <f t="shared" si="4"/>
        <v>1.7008187179646816E-3</v>
      </c>
      <c r="F87" s="3"/>
      <c r="G87" s="2">
        <f t="shared" si="5"/>
        <v>2.525178931469918</v>
      </c>
      <c r="H87" s="2">
        <f t="shared" si="5"/>
        <v>2.0219979142390154</v>
      </c>
      <c r="I87" s="33">
        <f t="shared" si="6"/>
        <v>2.2493784233023062</v>
      </c>
      <c r="K87" s="14">
        <f>VLOOKUP($C87,'Refi Adj'!$B$2:$E$32,2,0)</f>
        <v>1</v>
      </c>
      <c r="L87" s="14">
        <f>VLOOKUP($C87,'Refi Adj'!$B$2:$E$32,3,0)</f>
        <v>1</v>
      </c>
      <c r="M87" s="14">
        <f>VLOOKUP($C87,'Refi Adj'!$B$2:$E$32,4,0)</f>
        <v>0.5</v>
      </c>
      <c r="O87" s="40">
        <f t="shared" si="7"/>
        <v>2.9550255875980102E-4</v>
      </c>
      <c r="P87" s="40">
        <f t="shared" si="8"/>
        <v>1.0223164095634801E-4</v>
      </c>
      <c r="Q87" s="40">
        <f t="shared" si="9"/>
        <v>2.9550255875980102E-4</v>
      </c>
      <c r="R87" s="14"/>
      <c r="S87" s="34">
        <f t="shared" si="12"/>
        <v>1.8940896357681346E-3</v>
      </c>
      <c r="T87" s="2">
        <f t="shared" si="10"/>
        <v>2.2493784233023062</v>
      </c>
      <c r="U87" s="33">
        <f t="shared" si="13"/>
        <v>2.2493784233023062</v>
      </c>
      <c r="V87" s="7">
        <f t="shared" si="11"/>
        <v>1.1240602513231008</v>
      </c>
      <c r="X87" s="9"/>
      <c r="Y87" s="8"/>
      <c r="Z87" s="8"/>
      <c r="AC87" s="9"/>
      <c r="AD87" s="8"/>
      <c r="AE87" s="8"/>
      <c r="AH87" s="9"/>
      <c r="AI87" s="8"/>
      <c r="AJ87" s="8"/>
    </row>
    <row r="88" spans="1:36" x14ac:dyDescent="0.25">
      <c r="A88" s="4">
        <f t="shared" si="1"/>
        <v>-33.3194821234664</v>
      </c>
      <c r="B88" s="3">
        <f t="shared" si="2"/>
        <v>22.563329344570001</v>
      </c>
      <c r="C88" s="2" t="str">
        <f t="shared" si="0"/>
        <v>07:-50--25</v>
      </c>
      <c r="D88" s="8">
        <f t="shared" si="3"/>
        <v>1.91727199501012E-3</v>
      </c>
      <c r="E88" s="8">
        <f t="shared" si="4"/>
        <v>2.0645033759114054E-3</v>
      </c>
      <c r="F88" s="3"/>
      <c r="G88" s="2">
        <f t="shared" si="5"/>
        <v>2.2766196273815043</v>
      </c>
      <c r="H88" s="2">
        <f t="shared" si="5"/>
        <v>2.4494663891911017</v>
      </c>
      <c r="I88" s="33">
        <f t="shared" si="6"/>
        <v>3.3003573167737721</v>
      </c>
      <c r="K88" s="14">
        <f>VLOOKUP($C88,'Refi Adj'!$B$2:$E$32,2,0)</f>
        <v>1</v>
      </c>
      <c r="L88" s="14">
        <f>VLOOKUP($C88,'Refi Adj'!$B$2:$E$32,3,0)</f>
        <v>1</v>
      </c>
      <c r="M88" s="14">
        <f>VLOOKUP($C88,'Refi Adj'!$B$2:$E$32,4,0)</f>
        <v>0.5</v>
      </c>
      <c r="O88" s="40">
        <f t="shared" si="7"/>
        <v>9.5029234642683995E-4</v>
      </c>
      <c r="P88" s="40">
        <f t="shared" si="8"/>
        <v>2.2199630939477301E-4</v>
      </c>
      <c r="Q88" s="40">
        <f t="shared" si="9"/>
        <v>9.5029234642683995E-4</v>
      </c>
      <c r="R88" s="14"/>
      <c r="S88" s="34">
        <f t="shared" si="12"/>
        <v>2.7927994129434723E-3</v>
      </c>
      <c r="T88" s="2">
        <f t="shared" si="10"/>
        <v>3.3003573167737721</v>
      </c>
      <c r="U88" s="33">
        <f t="shared" si="13"/>
        <v>3.3003573167737721</v>
      </c>
      <c r="V88" s="7">
        <f t="shared" si="11"/>
        <v>0.68650544186036266</v>
      </c>
      <c r="X88" s="9"/>
      <c r="Y88" s="8"/>
      <c r="Z88" s="8"/>
      <c r="AC88" s="9"/>
      <c r="AD88" s="8"/>
      <c r="AE88" s="8"/>
      <c r="AH88" s="9"/>
      <c r="AI88" s="8"/>
      <c r="AJ88" s="8"/>
    </row>
    <row r="89" spans="1:36" x14ac:dyDescent="0.25">
      <c r="A89" s="4">
        <f t="shared" si="1"/>
        <v>-22.334932754376698</v>
      </c>
      <c r="B89" s="3">
        <f t="shared" si="2"/>
        <v>12.758774965240001</v>
      </c>
      <c r="C89" s="2" t="str">
        <f t="shared" si="0"/>
        <v>08-1:-25--20</v>
      </c>
      <c r="D89" s="8">
        <f t="shared" si="3"/>
        <v>2.4514348021336899E-3</v>
      </c>
      <c r="E89" s="8">
        <f t="shared" si="4"/>
        <v>2.4880572108244739E-3</v>
      </c>
      <c r="F89" s="3"/>
      <c r="G89" s="2">
        <f t="shared" si="5"/>
        <v>2.9023811702985625</v>
      </c>
      <c r="H89" s="2">
        <f t="shared" si="5"/>
        <v>2.9451487813885735</v>
      </c>
      <c r="I89" s="33">
        <f t="shared" si="6"/>
        <v>4.6956520918424394</v>
      </c>
      <c r="K89" s="14">
        <f>VLOOKUP($C89,'Refi Adj'!$B$2:$E$32,2,0)</f>
        <v>1</v>
      </c>
      <c r="L89" s="14">
        <f>VLOOKUP($C89,'Refi Adj'!$B$2:$E$32,3,0)</f>
        <v>1</v>
      </c>
      <c r="M89" s="14">
        <f>VLOOKUP($C89,'Refi Adj'!$B$2:$E$32,4,0)</f>
        <v>0.51</v>
      </c>
      <c r="O89" s="40">
        <f t="shared" si="7"/>
        <v>1.9761611922750754E-3</v>
      </c>
      <c r="P89" s="40">
        <f t="shared" si="8"/>
        <v>4.6434321703603599E-4</v>
      </c>
      <c r="Q89" s="40">
        <f t="shared" si="9"/>
        <v>1.9761611922750754E-3</v>
      </c>
      <c r="R89" s="14"/>
      <c r="S89" s="34">
        <f t="shared" si="12"/>
        <v>3.9998751860635135E-3</v>
      </c>
      <c r="T89" s="2">
        <f t="shared" si="10"/>
        <v>4.6956520918424394</v>
      </c>
      <c r="U89" s="33">
        <f t="shared" si="13"/>
        <v>4.6956520918424394</v>
      </c>
      <c r="V89" s="7">
        <f t="shared" si="11"/>
        <v>0.61287782445688643</v>
      </c>
      <c r="X89" s="9"/>
      <c r="Y89" s="8"/>
      <c r="Z89" s="8"/>
      <c r="AC89" s="9"/>
      <c r="AD89" s="8"/>
      <c r="AE89" s="8"/>
      <c r="AH89" s="9"/>
      <c r="AI89" s="8"/>
      <c r="AJ89" s="8"/>
    </row>
    <row r="90" spans="1:36" x14ac:dyDescent="0.25">
      <c r="A90" s="4">
        <f t="shared" si="1"/>
        <v>-17.367271994129499</v>
      </c>
      <c r="B90" s="3">
        <f t="shared" si="2"/>
        <v>17.092521430000001</v>
      </c>
      <c r="C90" s="2" t="str">
        <f t="shared" si="0"/>
        <v>08-2:-20--15</v>
      </c>
      <c r="D90" s="8">
        <f t="shared" si="3"/>
        <v>2.7093551685901801E-3</v>
      </c>
      <c r="E90" s="8">
        <f t="shared" si="4"/>
        <v>2.704265067357511E-3</v>
      </c>
      <c r="F90" s="3"/>
      <c r="G90" s="2">
        <f t="shared" si="5"/>
        <v>3.2032130934767422</v>
      </c>
      <c r="H90" s="2">
        <f t="shared" si="5"/>
        <v>3.1972843992309818</v>
      </c>
      <c r="I90" s="33">
        <f t="shared" si="6"/>
        <v>5.4428675843450787</v>
      </c>
      <c r="K90" s="14">
        <f>VLOOKUP($C90,'Refi Adj'!$B$2:$E$32,2,0)</f>
        <v>1</v>
      </c>
      <c r="L90" s="14">
        <f>VLOOKUP($C90,'Refi Adj'!$B$2:$E$32,3,0)</f>
        <v>1</v>
      </c>
      <c r="M90" s="14">
        <f>VLOOKUP($C90,'Refi Adj'!$B$2:$E$32,4,0)</f>
        <v>0.52</v>
      </c>
      <c r="O90" s="40">
        <f t="shared" si="7"/>
        <v>2.5546259640229227E-3</v>
      </c>
      <c r="P90" s="40">
        <f t="shared" si="8"/>
        <v>6.0591993619066699E-4</v>
      </c>
      <c r="Q90" s="40">
        <f t="shared" si="9"/>
        <v>2.5546259640229227E-3</v>
      </c>
      <c r="R90" s="14"/>
      <c r="S90" s="34">
        <f t="shared" si="12"/>
        <v>4.6529710951897663E-3</v>
      </c>
      <c r="T90" s="2">
        <f t="shared" si="10"/>
        <v>5.4428675843450787</v>
      </c>
      <c r="U90" s="33">
        <f t="shared" si="13"/>
        <v>5.4428675843450787</v>
      </c>
      <c r="V90" s="7">
        <f t="shared" si="11"/>
        <v>0.58228497731075679</v>
      </c>
      <c r="X90" s="9"/>
      <c r="Y90" s="8"/>
      <c r="Z90" s="8"/>
      <c r="AC90" s="9"/>
      <c r="AD90" s="8"/>
      <c r="AE90" s="8"/>
      <c r="AH90" s="9"/>
      <c r="AI90" s="8"/>
      <c r="AJ90" s="8"/>
    </row>
    <row r="91" spans="1:36" x14ac:dyDescent="0.25">
      <c r="A91" s="4">
        <f t="shared" si="1"/>
        <v>-12.402037624047001</v>
      </c>
      <c r="B91" s="3">
        <f t="shared" si="2"/>
        <v>20.836834218189999</v>
      </c>
      <c r="C91" s="2" t="str">
        <f t="shared" si="0"/>
        <v>08-3:-15--10</v>
      </c>
      <c r="D91" s="8">
        <f t="shared" si="3"/>
        <v>3.8444545130471002E-3</v>
      </c>
      <c r="E91" s="8">
        <f t="shared" si="4"/>
        <v>2.966854020962981E-3</v>
      </c>
      <c r="F91" s="3"/>
      <c r="G91" s="2">
        <f t="shared" si="5"/>
        <v>4.5170378360978036</v>
      </c>
      <c r="H91" s="2">
        <f t="shared" si="5"/>
        <v>3.5027008657435799</v>
      </c>
      <c r="I91" s="33">
        <f t="shared" si="6"/>
        <v>6.2521487458430887</v>
      </c>
      <c r="K91" s="14">
        <f>VLOOKUP($C91,'Refi Adj'!$B$2:$E$32,2,0)</f>
        <v>1</v>
      </c>
      <c r="L91" s="14">
        <f>VLOOKUP($C91,'Refi Adj'!$B$2:$E$32,3,0)</f>
        <v>1</v>
      </c>
      <c r="M91" s="14">
        <f>VLOOKUP($C91,'Refi Adj'!$B$2:$E$32,4,0)</f>
        <v>0.53</v>
      </c>
      <c r="O91" s="40">
        <f t="shared" si="7"/>
        <v>3.152788542163503E-3</v>
      </c>
      <c r="P91" s="40">
        <f t="shared" si="8"/>
        <v>7.5396937600614696E-4</v>
      </c>
      <c r="Q91" s="40">
        <f t="shared" si="9"/>
        <v>3.152788542163503E-3</v>
      </c>
      <c r="R91" s="14"/>
      <c r="S91" s="34">
        <f t="shared" si="12"/>
        <v>5.3656731871203371E-3</v>
      </c>
      <c r="T91" s="2">
        <f t="shared" si="10"/>
        <v>6.2521487458430887</v>
      </c>
      <c r="U91" s="33">
        <f t="shared" si="13"/>
        <v>6.2521487458430887</v>
      </c>
      <c r="V91" s="7">
        <f t="shared" si="11"/>
        <v>0.71649062083677739</v>
      </c>
      <c r="X91" s="9"/>
      <c r="Y91" s="8"/>
      <c r="Z91" s="8"/>
      <c r="AC91" s="9"/>
      <c r="AD91" s="8"/>
      <c r="AE91" s="8"/>
      <c r="AH91" s="9"/>
      <c r="AI91" s="8"/>
      <c r="AJ91" s="8"/>
    </row>
    <row r="92" spans="1:36" x14ac:dyDescent="0.25">
      <c r="A92" s="4">
        <f t="shared" si="1"/>
        <v>-7.4908217952858598</v>
      </c>
      <c r="B92" s="3">
        <f t="shared" si="2"/>
        <v>23.515900726580004</v>
      </c>
      <c r="C92" s="2" t="str">
        <f t="shared" si="0"/>
        <v>08-4:-10--5</v>
      </c>
      <c r="D92" s="8">
        <f t="shared" si="3"/>
        <v>4.76353945734595E-3</v>
      </c>
      <c r="E92" s="8">
        <f t="shared" si="4"/>
        <v>3.2060743055336502E-3</v>
      </c>
      <c r="F92" s="3"/>
      <c r="G92" s="2">
        <f t="shared" si="5"/>
        <v>5.5688374215219438</v>
      </c>
      <c r="H92" s="2">
        <f t="shared" si="5"/>
        <v>3.7801681502636408</v>
      </c>
      <c r="I92" s="33">
        <f t="shared" si="6"/>
        <v>7.0367484181738771</v>
      </c>
      <c r="K92" s="14">
        <f>VLOOKUP($C92,'Refi Adj'!$B$2:$E$32,2,0)</f>
        <v>1</v>
      </c>
      <c r="L92" s="14">
        <f>VLOOKUP($C92,'Refi Adj'!$B$2:$E$32,3,0)</f>
        <v>1</v>
      </c>
      <c r="M92" s="14">
        <f>VLOOKUP($C92,'Refi Adj'!$B$2:$E$32,4,0)</f>
        <v>0.54</v>
      </c>
      <c r="O92" s="40">
        <f t="shared" si="7"/>
        <v>3.7582325226934487E-3</v>
      </c>
      <c r="P92" s="40">
        <f t="shared" si="8"/>
        <v>9.0226268001442999E-4</v>
      </c>
      <c r="Q92" s="40">
        <f t="shared" si="9"/>
        <v>3.7582325226934487E-3</v>
      </c>
      <c r="R92" s="14"/>
      <c r="S92" s="34">
        <f t="shared" si="12"/>
        <v>6.0620441482126686E-3</v>
      </c>
      <c r="T92" s="2">
        <f t="shared" si="10"/>
        <v>7.0367484181738771</v>
      </c>
      <c r="U92" s="33">
        <f t="shared" si="13"/>
        <v>7.0367484181738771</v>
      </c>
      <c r="V92" s="7">
        <f t="shared" si="11"/>
        <v>0.7857975529179263</v>
      </c>
      <c r="X92" s="9"/>
      <c r="Y92" s="8"/>
      <c r="Z92" s="8"/>
      <c r="AC92" s="9"/>
      <c r="AD92" s="8"/>
      <c r="AE92" s="8"/>
      <c r="AH92" s="9"/>
      <c r="AI92" s="8"/>
      <c r="AJ92" s="8"/>
    </row>
    <row r="93" spans="1:36" x14ac:dyDescent="0.25">
      <c r="A93" s="4">
        <f t="shared" si="1"/>
        <v>-2.4075089201605699</v>
      </c>
      <c r="B93" s="3">
        <f t="shared" si="2"/>
        <v>27.364682017610001</v>
      </c>
      <c r="C93" s="2" t="str">
        <f t="shared" si="0"/>
        <v>08:-25-0</v>
      </c>
      <c r="D93" s="8">
        <f t="shared" si="3"/>
        <v>6.1759040882703401E-3</v>
      </c>
      <c r="E93" s="8">
        <f t="shared" si="4"/>
        <v>3.4670055140903627E-3</v>
      </c>
      <c r="F93" s="3"/>
      <c r="G93" s="2">
        <f t="shared" si="5"/>
        <v>7.1644600983545086</v>
      </c>
      <c r="H93" s="2">
        <f t="shared" si="5"/>
        <v>4.0819834893841218</v>
      </c>
      <c r="I93" s="33">
        <f t="shared" si="6"/>
        <v>7.883130330848287</v>
      </c>
      <c r="K93" s="14">
        <f>VLOOKUP($C93,'Refi Adj'!$B$2:$E$32,2,0)</f>
        <v>1</v>
      </c>
      <c r="L93" s="14">
        <f>VLOOKUP($C93,'Refi Adj'!$B$2:$E$32,3,0)</f>
        <v>1</v>
      </c>
      <c r="M93" s="14">
        <f>VLOOKUP($C93,'Refi Adj'!$B$2:$E$32,4,0)</f>
        <v>0.55000000000000004</v>
      </c>
      <c r="O93" s="40">
        <f t="shared" si="7"/>
        <v>4.4275667958889736E-3</v>
      </c>
      <c r="P93" s="40">
        <f t="shared" si="8"/>
        <v>1.0752557139686099E-3</v>
      </c>
      <c r="Q93" s="40">
        <f t="shared" si="9"/>
        <v>4.4275667958889736E-3</v>
      </c>
      <c r="R93" s="14"/>
      <c r="S93" s="34">
        <f t="shared" si="12"/>
        <v>6.8193165960107258E-3</v>
      </c>
      <c r="T93" s="2">
        <f t="shared" si="10"/>
        <v>7.883130330848287</v>
      </c>
      <c r="U93" s="33">
        <f t="shared" si="13"/>
        <v>7.883130330848287</v>
      </c>
      <c r="V93" s="7">
        <f t="shared" si="11"/>
        <v>0.90564853549741631</v>
      </c>
      <c r="X93" s="9"/>
      <c r="Y93" s="8"/>
      <c r="Z93" s="8"/>
      <c r="AC93" s="9"/>
      <c r="AD93" s="8"/>
      <c r="AE93" s="8"/>
      <c r="AH93" s="9"/>
      <c r="AI93" s="8"/>
      <c r="AJ93" s="8"/>
    </row>
    <row r="94" spans="1:36" x14ac:dyDescent="0.25">
      <c r="A94" s="4">
        <f t="shared" si="1"/>
        <v>2.5749501154257302</v>
      </c>
      <c r="B94" s="3">
        <f t="shared" si="2"/>
        <v>28.507013745720002</v>
      </c>
      <c r="C94" s="2" t="str">
        <f t="shared" si="0"/>
        <v>09-1:0-5</v>
      </c>
      <c r="D94" s="8">
        <f t="shared" si="3"/>
        <v>7.6941417048664402E-3</v>
      </c>
      <c r="E94" s="8">
        <f t="shared" si="4"/>
        <v>3.7976474749170722E-3</v>
      </c>
      <c r="F94" s="3"/>
      <c r="G94" s="2">
        <f t="shared" si="5"/>
        <v>8.8521007135361707</v>
      </c>
      <c r="H94" s="2">
        <f t="shared" si="5"/>
        <v>4.4631856457653996</v>
      </c>
      <c r="I94" s="33">
        <f t="shared" si="6"/>
        <v>9.2539411436710637</v>
      </c>
      <c r="K94" s="14">
        <f>VLOOKUP($C94,'Refi Adj'!$B$2:$E$32,2,0)</f>
        <v>1</v>
      </c>
      <c r="L94" s="14">
        <f>VLOOKUP($C94,'Refi Adj'!$B$2:$E$32,3,0)</f>
        <v>1</v>
      </c>
      <c r="M94" s="14">
        <f>VLOOKUP($C94,'Refi Adj'!$B$2:$E$32,4,0)</f>
        <v>0.60000000000000009</v>
      </c>
      <c r="O94" s="40">
        <f t="shared" si="7"/>
        <v>5.5498185745376828E-3</v>
      </c>
      <c r="P94" s="40">
        <f t="shared" si="8"/>
        <v>1.28802371851793E-3</v>
      </c>
      <c r="Q94" s="40">
        <f t="shared" si="9"/>
        <v>5.5498185745376828E-3</v>
      </c>
      <c r="R94" s="14"/>
      <c r="S94" s="34">
        <f t="shared" si="12"/>
        <v>8.0594423309368248E-3</v>
      </c>
      <c r="T94" s="2">
        <f t="shared" si="10"/>
        <v>9.2539411436710637</v>
      </c>
      <c r="U94" s="33">
        <f t="shared" si="13"/>
        <v>9.2539411436710637</v>
      </c>
      <c r="V94" s="7">
        <f t="shared" si="11"/>
        <v>0.95467420560003902</v>
      </c>
      <c r="X94" s="9"/>
      <c r="Y94" s="8"/>
      <c r="Z94" s="8"/>
      <c r="AC94" s="9"/>
      <c r="AD94" s="8"/>
      <c r="AE94" s="8"/>
      <c r="AH94" s="9"/>
      <c r="AI94" s="8"/>
      <c r="AJ94" s="8"/>
    </row>
    <row r="95" spans="1:36" x14ac:dyDescent="0.25">
      <c r="A95" s="4">
        <f t="shared" si="1"/>
        <v>7.54044198090401</v>
      </c>
      <c r="B95" s="3">
        <f t="shared" si="2"/>
        <v>30.239974320009999</v>
      </c>
      <c r="C95" s="2" t="str">
        <f t="shared" si="0"/>
        <v>09-2:5-10</v>
      </c>
      <c r="D95" s="8">
        <f t="shared" si="3"/>
        <v>9.5754262052694696E-3</v>
      </c>
      <c r="E95" s="8">
        <f t="shared" si="4"/>
        <v>4.1819854382802836E-3</v>
      </c>
      <c r="F95" s="3"/>
      <c r="G95" s="2">
        <f t="shared" si="5"/>
        <v>10.904270721359744</v>
      </c>
      <c r="H95" s="2">
        <f t="shared" si="5"/>
        <v>4.904549124419832</v>
      </c>
      <c r="I95" s="33">
        <f t="shared" si="6"/>
        <v>10.774475016914254</v>
      </c>
      <c r="K95" s="14">
        <f>VLOOKUP($C95,'Refi Adj'!$B$2:$E$32,2,0)</f>
        <v>1</v>
      </c>
      <c r="L95" s="14">
        <f>VLOOKUP($C95,'Refi Adj'!$B$2:$E$32,3,0)</f>
        <v>1</v>
      </c>
      <c r="M95" s="14">
        <f>VLOOKUP($C95,'Refi Adj'!$B$2:$E$32,4,0)</f>
        <v>0.65</v>
      </c>
      <c r="O95" s="40">
        <f t="shared" si="7"/>
        <v>6.819611657878955E-3</v>
      </c>
      <c r="P95" s="40">
        <f t="shared" si="8"/>
        <v>1.54632919390134E-3</v>
      </c>
      <c r="Q95" s="40">
        <f t="shared" si="9"/>
        <v>6.819611657878955E-3</v>
      </c>
      <c r="R95" s="14"/>
      <c r="S95" s="34">
        <f t="shared" si="12"/>
        <v>9.4552679022578984E-3</v>
      </c>
      <c r="T95" s="2">
        <f t="shared" si="10"/>
        <v>10.774475016914254</v>
      </c>
      <c r="U95" s="33">
        <f t="shared" si="13"/>
        <v>10.774475016914254</v>
      </c>
      <c r="V95" s="7">
        <f t="shared" si="11"/>
        <v>1.0127080802208552</v>
      </c>
      <c r="X95" s="9"/>
      <c r="Y95" s="8"/>
      <c r="Z95" s="8"/>
      <c r="AC95" s="9"/>
      <c r="AD95" s="8"/>
      <c r="AE95" s="8"/>
      <c r="AH95" s="9"/>
      <c r="AI95" s="8"/>
      <c r="AJ95" s="8"/>
    </row>
    <row r="96" spans="1:36" x14ac:dyDescent="0.25">
      <c r="A96" s="4">
        <f t="shared" si="1"/>
        <v>12.527276197463699</v>
      </c>
      <c r="B96" s="3">
        <f t="shared" si="2"/>
        <v>34.873711882900004</v>
      </c>
      <c r="C96" s="2" t="str">
        <f t="shared" si="0"/>
        <v>09-3:10-15</v>
      </c>
      <c r="D96" s="8">
        <f t="shared" si="3"/>
        <v>1.24926248326339E-2</v>
      </c>
      <c r="E96" s="8">
        <f t="shared" si="4"/>
        <v>4.7415896453640097E-3</v>
      </c>
      <c r="F96" s="3"/>
      <c r="G96" s="2">
        <f t="shared" si="5"/>
        <v>14.002827185935029</v>
      </c>
      <c r="H96" s="2">
        <f t="shared" si="5"/>
        <v>5.5438423841532529</v>
      </c>
      <c r="I96" s="33">
        <f t="shared" si="6"/>
        <v>12.842090444815868</v>
      </c>
      <c r="K96" s="14">
        <f>VLOOKUP($C96,'Refi Adj'!$B$2:$E$32,2,0)</f>
        <v>1</v>
      </c>
      <c r="L96" s="14">
        <f>VLOOKUP($C96,'Refi Adj'!$B$2:$E$32,3,0)</f>
        <v>1</v>
      </c>
      <c r="M96" s="14">
        <f>VLOOKUP($C96,'Refi Adj'!$B$2:$E$32,4,0)</f>
        <v>0.70000000000000007</v>
      </c>
      <c r="O96" s="40">
        <f t="shared" si="7"/>
        <v>8.5852259861318309E-3</v>
      </c>
      <c r="P96" s="40">
        <f t="shared" si="8"/>
        <v>1.9381085659996801E-3</v>
      </c>
      <c r="Q96" s="40">
        <f t="shared" si="9"/>
        <v>8.5852259861318309E-3</v>
      </c>
      <c r="R96" s="14"/>
      <c r="S96" s="34">
        <f t="shared" si="12"/>
        <v>1.138870706549616E-2</v>
      </c>
      <c r="T96" s="2">
        <f t="shared" si="10"/>
        <v>12.842090444815868</v>
      </c>
      <c r="U96" s="33">
        <f t="shared" si="13"/>
        <v>12.842090444815868</v>
      </c>
      <c r="V96" s="7">
        <f t="shared" si="11"/>
        <v>1.0969309124195694</v>
      </c>
      <c r="X96" s="9"/>
      <c r="Y96" s="8"/>
      <c r="Z96" s="8"/>
      <c r="AC96" s="9"/>
      <c r="AD96" s="8"/>
      <c r="AE96" s="8"/>
      <c r="AH96" s="9"/>
      <c r="AI96" s="8"/>
      <c r="AJ96" s="8"/>
    </row>
    <row r="97" spans="1:50" s="24" customFormat="1" x14ac:dyDescent="0.25">
      <c r="A97" s="4">
        <f t="shared" si="1"/>
        <v>17.528626096559499</v>
      </c>
      <c r="B97" s="3">
        <f t="shared" si="2"/>
        <v>38.504534044260005</v>
      </c>
      <c r="C97" s="2" t="str">
        <f t="shared" si="0"/>
        <v>09-4:15-20</v>
      </c>
      <c r="D97" s="8">
        <f t="shared" si="3"/>
        <v>1.5649173923988301E-2</v>
      </c>
      <c r="E97" s="8">
        <f t="shared" si="4"/>
        <v>5.3643160863703944E-3</v>
      </c>
      <c r="F97" s="3"/>
      <c r="G97" s="2">
        <f t="shared" si="5"/>
        <v>17.244108581958663</v>
      </c>
      <c r="H97" s="2">
        <f t="shared" si="5"/>
        <v>6.2506137949907341</v>
      </c>
      <c r="I97" s="33">
        <f t="shared" si="6"/>
        <v>15.212692220142577</v>
      </c>
      <c r="J97"/>
      <c r="K97" s="14">
        <f>VLOOKUP($C97,'Refi Adj'!$B$2:$E$32,2,0)</f>
        <v>1</v>
      </c>
      <c r="L97" s="14">
        <f>VLOOKUP($C97,'Refi Adj'!$B$2:$E$32,3,0)</f>
        <v>1</v>
      </c>
      <c r="M97" s="14">
        <f>VLOOKUP($C97,'Refi Adj'!$B$2:$E$32,4,0)</f>
        <v>0.75</v>
      </c>
      <c r="O97" s="40">
        <f t="shared" si="7"/>
        <v>1.0718922798643726E-2</v>
      </c>
      <c r="P97" s="40">
        <f t="shared" si="8"/>
        <v>2.4253388044805698E-3</v>
      </c>
      <c r="Q97" s="40">
        <f t="shared" si="9"/>
        <v>1.0718922798643726E-2</v>
      </c>
      <c r="R97" s="14"/>
      <c r="S97" s="34">
        <f t="shared" si="12"/>
        <v>1.3657900080533551E-2</v>
      </c>
      <c r="T97" s="2">
        <f t="shared" si="10"/>
        <v>15.212692220142577</v>
      </c>
      <c r="U97" s="33">
        <f t="shared" si="13"/>
        <v>15.212692220142577</v>
      </c>
      <c r="V97" s="7">
        <f t="shared" si="11"/>
        <v>1.1457964864081038</v>
      </c>
      <c r="W97"/>
      <c r="X97" s="9"/>
      <c r="Y97" s="8"/>
      <c r="Z97" s="8"/>
      <c r="AA97"/>
      <c r="AB97"/>
      <c r="AC97" s="9"/>
      <c r="AD97" s="8"/>
      <c r="AE97" s="8"/>
      <c r="AF97"/>
      <c r="AG97"/>
      <c r="AH97" s="9"/>
      <c r="AI97" s="8"/>
      <c r="AJ97" s="8"/>
    </row>
    <row r="98" spans="1:50" s="24" customFormat="1" x14ac:dyDescent="0.25">
      <c r="A98" s="4">
        <f t="shared" si="1"/>
        <v>22.543947941116599</v>
      </c>
      <c r="B98" s="3">
        <f t="shared" si="2"/>
        <v>42.866485823980007</v>
      </c>
      <c r="C98" s="2" t="str">
        <f t="shared" si="0"/>
        <v>09:0-25</v>
      </c>
      <c r="D98" s="8">
        <f t="shared" si="3"/>
        <v>1.95236863561607E-2</v>
      </c>
      <c r="E98" s="8">
        <f t="shared" si="4"/>
        <v>6.0235062167500533E-3</v>
      </c>
      <c r="F98" s="3"/>
      <c r="G98" s="2">
        <f t="shared" si="5"/>
        <v>21.06942305859878</v>
      </c>
      <c r="H98" s="2">
        <f t="shared" si="5"/>
        <v>6.9934856512083314</v>
      </c>
      <c r="I98" s="33">
        <f t="shared" si="6"/>
        <v>17.807195890776441</v>
      </c>
      <c r="J98"/>
      <c r="K98" s="14">
        <f>VLOOKUP($C98,'Refi Adj'!$B$2:$E$32,2,0)</f>
        <v>1</v>
      </c>
      <c r="L98" s="14">
        <f>VLOOKUP($C98,'Refi Adj'!$B$2:$E$32,3,0)</f>
        <v>1</v>
      </c>
      <c r="M98" s="14">
        <f>VLOOKUP($C98,'Refi Adj'!$B$2:$E$32,4,0)</f>
        <v>0.8</v>
      </c>
      <c r="O98" s="40">
        <f t="shared" si="7"/>
        <v>1.316053960362808E-2</v>
      </c>
      <c r="P98" s="40">
        <f t="shared" si="8"/>
        <v>2.9749806733237998E-3</v>
      </c>
      <c r="Q98" s="40">
        <f t="shared" si="9"/>
        <v>1.316053960362808E-2</v>
      </c>
      <c r="R98" s="14"/>
      <c r="S98" s="34">
        <f t="shared" si="12"/>
        <v>1.6209065147054336E-2</v>
      </c>
      <c r="T98" s="2">
        <f t="shared" si="10"/>
        <v>17.807195890776441</v>
      </c>
      <c r="U98" s="33">
        <f t="shared" si="13"/>
        <v>17.807195890776441</v>
      </c>
      <c r="V98" s="7">
        <f t="shared" si="11"/>
        <v>1.2044918185617095</v>
      </c>
      <c r="W98"/>
      <c r="X98" s="9"/>
      <c r="Y98" s="8"/>
      <c r="Z98" s="8"/>
      <c r="AA98"/>
      <c r="AB98"/>
      <c r="AC98" s="9"/>
      <c r="AD98" s="8"/>
      <c r="AE98" s="8"/>
      <c r="AF98"/>
      <c r="AG98"/>
      <c r="AH98" s="9"/>
      <c r="AI98" s="8"/>
      <c r="AJ98" s="8"/>
    </row>
    <row r="99" spans="1:50" s="24" customFormat="1" x14ac:dyDescent="0.25">
      <c r="A99" s="4">
        <f t="shared" si="1"/>
        <v>27.523059197893399</v>
      </c>
      <c r="B99" s="3">
        <f t="shared" si="2"/>
        <v>43.570040885920001</v>
      </c>
      <c r="C99" s="2" t="str">
        <f t="shared" si="0"/>
        <v>10-1:25-30</v>
      </c>
      <c r="D99" s="8">
        <f t="shared" si="3"/>
        <v>2.1612080739042899E-2</v>
      </c>
      <c r="E99" s="8">
        <f t="shared" si="4"/>
        <v>6.6509289518913266E-3</v>
      </c>
      <c r="F99" s="3"/>
      <c r="G99" s="2">
        <f t="shared" ref="G99:H112" si="14">(1-(1-D99)^12)*100</f>
        <v>23.063401972062913</v>
      </c>
      <c r="H99" s="2">
        <f t="shared" si="14"/>
        <v>7.6955413216194035</v>
      </c>
      <c r="I99" s="33">
        <f t="shared" si="6"/>
        <v>20.387511454143127</v>
      </c>
      <c r="J99"/>
      <c r="K99" s="14">
        <f>VLOOKUP($C99,'Refi Adj'!$B$2:$E$32,2,0)</f>
        <v>1</v>
      </c>
      <c r="L99" s="14">
        <f>VLOOKUP($C99,'Refi Adj'!$B$2:$E$32,3,0)</f>
        <v>1</v>
      </c>
      <c r="M99" s="14">
        <f>VLOOKUP($C99,'Refi Adj'!$B$2:$E$32,4,0)</f>
        <v>0.85000000000000009</v>
      </c>
      <c r="O99" s="40">
        <f t="shared" si="7"/>
        <v>1.5686776962984643E-2</v>
      </c>
      <c r="P99" s="40">
        <f t="shared" si="8"/>
        <v>3.5171324114987501E-3</v>
      </c>
      <c r="Q99" s="40">
        <f t="shared" si="9"/>
        <v>1.5686776962984643E-2</v>
      </c>
      <c r="R99" s="14"/>
      <c r="S99" s="34">
        <f t="shared" si="12"/>
        <v>1.8820573503377219E-2</v>
      </c>
      <c r="T99" s="2">
        <f t="shared" si="10"/>
        <v>20.387511454143127</v>
      </c>
      <c r="U99" s="33">
        <f t="shared" si="13"/>
        <v>20.387511454143127</v>
      </c>
      <c r="V99" s="7">
        <f t="shared" si="11"/>
        <v>1.1483221133067365</v>
      </c>
      <c r="W99"/>
      <c r="X99" s="9"/>
      <c r="Y99" s="8"/>
      <c r="Z99" s="8"/>
      <c r="AA99"/>
      <c r="AB99"/>
      <c r="AC99" s="9"/>
      <c r="AD99" s="8"/>
      <c r="AE99" s="8"/>
      <c r="AF99"/>
      <c r="AG99"/>
      <c r="AH99" s="9"/>
      <c r="AI99" s="8"/>
      <c r="AJ99" s="8"/>
    </row>
    <row r="100" spans="1:50" s="24" customFormat="1" x14ac:dyDescent="0.25">
      <c r="A100" s="4">
        <f t="shared" si="1"/>
        <v>32.511491054413902</v>
      </c>
      <c r="B100" s="3">
        <f t="shared" si="2"/>
        <v>43.981816615160007</v>
      </c>
      <c r="C100" s="2" t="str">
        <f t="shared" si="0"/>
        <v>10-2:30-35</v>
      </c>
      <c r="D100" s="8">
        <f t="shared" si="3"/>
        <v>2.3718264248499699E-2</v>
      </c>
      <c r="E100" s="8">
        <f t="shared" si="4"/>
        <v>7.2321508205816908E-3</v>
      </c>
      <c r="F100" s="3"/>
      <c r="G100" s="2">
        <f t="shared" si="14"/>
        <v>25.027503012227449</v>
      </c>
      <c r="H100" s="2">
        <f t="shared" si="14"/>
        <v>8.3415626347323695</v>
      </c>
      <c r="I100" s="33">
        <f t="shared" si="6"/>
        <v>22.934459252158877</v>
      </c>
      <c r="J100"/>
      <c r="K100" s="14">
        <f>VLOOKUP($C100,'Refi Adj'!$B$2:$E$32,2,0)</f>
        <v>1</v>
      </c>
      <c r="L100" s="14">
        <f>VLOOKUP($C100,'Refi Adj'!$B$2:$E$32,3,0)</f>
        <v>1</v>
      </c>
      <c r="M100" s="14">
        <f>VLOOKUP($C100,'Refi Adj'!$B$2:$E$32,4,0)</f>
        <v>0.9</v>
      </c>
      <c r="O100" s="40">
        <f t="shared" si="7"/>
        <v>1.8275249919472832E-2</v>
      </c>
      <c r="P100" s="40">
        <f t="shared" si="8"/>
        <v>4.0318601303011899E-3</v>
      </c>
      <c r="Q100" s="40">
        <f t="shared" si="9"/>
        <v>1.8275249919472832E-2</v>
      </c>
      <c r="R100" s="14"/>
      <c r="S100" s="34">
        <f t="shared" si="12"/>
        <v>2.1475540609753332E-2</v>
      </c>
      <c r="T100" s="2">
        <f t="shared" si="10"/>
        <v>22.934459252158877</v>
      </c>
      <c r="U100" s="33">
        <f t="shared" si="13"/>
        <v>22.934459252158877</v>
      </c>
      <c r="V100" s="7">
        <f t="shared" si="11"/>
        <v>1.1044315335059742</v>
      </c>
      <c r="W100"/>
      <c r="X100" s="9"/>
      <c r="Y100" s="8"/>
      <c r="Z100" s="8"/>
      <c r="AA100"/>
      <c r="AB100"/>
      <c r="AC100" s="9"/>
      <c r="AD100" s="8"/>
      <c r="AE100" s="8"/>
      <c r="AF100"/>
      <c r="AG100"/>
      <c r="AH100" s="9"/>
      <c r="AI100" s="8"/>
      <c r="AJ100" s="8"/>
    </row>
    <row r="101" spans="1:50" x14ac:dyDescent="0.25">
      <c r="A101" s="4">
        <f t="shared" si="1"/>
        <v>37.477155620940799</v>
      </c>
      <c r="B101" s="3">
        <f t="shared" si="2"/>
        <v>44.207957472739999</v>
      </c>
      <c r="C101" s="2" t="str">
        <f t="shared" si="0"/>
        <v>10-3:35-40</v>
      </c>
      <c r="D101" s="8">
        <f t="shared" si="3"/>
        <v>2.68138572498413E-2</v>
      </c>
      <c r="E101" s="8">
        <f t="shared" si="4"/>
        <v>7.9028693446129023E-3</v>
      </c>
      <c r="F101" s="3"/>
      <c r="G101" s="2">
        <f t="shared" si="14"/>
        <v>27.830948697166903</v>
      </c>
      <c r="H101" s="2">
        <f t="shared" si="14"/>
        <v>9.0819059611715538</v>
      </c>
      <c r="I101" s="33">
        <f t="shared" si="6"/>
        <v>25.947317181462324</v>
      </c>
      <c r="K101" s="14">
        <f>VLOOKUP($C101,'Refi Adj'!$B$2:$E$32,2,0)</f>
        <v>1</v>
      </c>
      <c r="L101" s="14">
        <f>VLOOKUP($C101,'Refi Adj'!$B$2:$E$32,3,0)</f>
        <v>1</v>
      </c>
      <c r="M101" s="14">
        <f>VLOOKUP($C101,'Refi Adj'!$B$2:$E$32,4,0)</f>
        <v>0.95000000000000007</v>
      </c>
      <c r="O101" s="40">
        <f t="shared" si="7"/>
        <v>2.1441850845794093E-2</v>
      </c>
      <c r="P101" s="40">
        <f t="shared" si="8"/>
        <v>4.6226575239359802E-3</v>
      </c>
      <c r="Q101" s="40">
        <f t="shared" si="9"/>
        <v>2.1441850845794093E-2</v>
      </c>
      <c r="R101" s="14"/>
      <c r="S101" s="34">
        <f t="shared" si="12"/>
        <v>2.4722062666471017E-2</v>
      </c>
      <c r="T101" s="2">
        <f t="shared" si="10"/>
        <v>25.947317181462324</v>
      </c>
      <c r="U101" s="33">
        <f t="shared" si="13"/>
        <v>25.947317181462324</v>
      </c>
      <c r="V101" s="7">
        <f t="shared" si="11"/>
        <v>1.0846124618156257</v>
      </c>
      <c r="X101" s="9"/>
      <c r="Y101" s="8"/>
      <c r="Z101" s="8"/>
      <c r="AC101" s="9"/>
      <c r="AD101" s="8"/>
      <c r="AE101" s="8"/>
      <c r="AH101" s="9"/>
      <c r="AI101" s="8"/>
      <c r="AJ101" s="8"/>
    </row>
    <row r="102" spans="1:50" x14ac:dyDescent="0.25">
      <c r="A102" s="4">
        <f t="shared" si="1"/>
        <v>42.4414709362472</v>
      </c>
      <c r="B102" s="3">
        <f t="shared" si="2"/>
        <v>40.881577212339998</v>
      </c>
      <c r="C102" s="2" t="str">
        <f t="shared" si="0"/>
        <v>10-4:40-45</v>
      </c>
      <c r="D102" s="8">
        <f t="shared" si="3"/>
        <v>3.0986490940274499E-2</v>
      </c>
      <c r="E102" s="8">
        <f t="shared" si="4"/>
        <v>8.5503130015512352E-3</v>
      </c>
      <c r="F102" s="3"/>
      <c r="G102" s="2">
        <f t="shared" si="14"/>
        <v>31.45780955433537</v>
      </c>
      <c r="H102" s="2">
        <f t="shared" si="14"/>
        <v>9.7913548843460152</v>
      </c>
      <c r="I102" s="33">
        <f t="shared" si="6"/>
        <v>28.963502620241766</v>
      </c>
      <c r="K102" s="14">
        <f>VLOOKUP($C102,'Refi Adj'!$B$2:$E$32,2,0)</f>
        <v>1</v>
      </c>
      <c r="L102" s="14">
        <f>VLOOKUP($C102,'Refi Adj'!$B$2:$E$32,3,0)</f>
        <v>1</v>
      </c>
      <c r="M102" s="14">
        <f>VLOOKUP($C102,'Refi Adj'!$B$2:$E$32,4,0)</f>
        <v>1</v>
      </c>
      <c r="O102" s="40">
        <f t="shared" si="7"/>
        <v>2.47475033711449E-2</v>
      </c>
      <c r="P102" s="40">
        <f t="shared" si="8"/>
        <v>5.2020224613426799E-3</v>
      </c>
      <c r="Q102" s="40">
        <f t="shared" si="9"/>
        <v>2.47475033711449E-2</v>
      </c>
      <c r="R102" s="14"/>
      <c r="S102" s="34">
        <f t="shared" si="12"/>
        <v>2.8095793911353455E-2</v>
      </c>
      <c r="T102" s="2">
        <f t="shared" si="10"/>
        <v>28.963502620241766</v>
      </c>
      <c r="U102" s="33">
        <f t="shared" si="13"/>
        <v>28.963502620241766</v>
      </c>
      <c r="V102" s="7">
        <f t="shared" si="11"/>
        <v>1.1028871808371614</v>
      </c>
      <c r="X102" s="9"/>
      <c r="Y102" s="8"/>
      <c r="Z102" s="8"/>
      <c r="AC102" s="9"/>
      <c r="AD102" s="8"/>
      <c r="AE102" s="8"/>
      <c r="AH102" s="9"/>
      <c r="AI102" s="8"/>
      <c r="AJ102" s="8"/>
    </row>
    <row r="103" spans="1:50" x14ac:dyDescent="0.25">
      <c r="A103" s="4">
        <f t="shared" si="1"/>
        <v>47.5181657858855</v>
      </c>
      <c r="B103" s="3">
        <f t="shared" si="2"/>
        <v>39.190960071539998</v>
      </c>
      <c r="C103" s="2" t="str">
        <f t="shared" si="0"/>
        <v>10:25-50</v>
      </c>
      <c r="D103" s="8">
        <f t="shared" si="3"/>
        <v>3.3189120807656299E-2</v>
      </c>
      <c r="E103" s="8">
        <f t="shared" si="4"/>
        <v>9.2775965331637362E-3</v>
      </c>
      <c r="F103" s="3"/>
      <c r="G103" s="2">
        <f t="shared" si="14"/>
        <v>33.304221716883319</v>
      </c>
      <c r="H103" s="2">
        <f t="shared" si="14"/>
        <v>10.582235706733844</v>
      </c>
      <c r="I103" s="33">
        <f t="shared" si="6"/>
        <v>32.196440519209411</v>
      </c>
      <c r="K103" s="14">
        <f>VLOOKUP($C103,'Refi Adj'!$B$2:$E$32,2,0)</f>
        <v>1</v>
      </c>
      <c r="L103" s="14">
        <f>VLOOKUP($C103,'Refi Adj'!$B$2:$E$32,3,0)</f>
        <v>1</v>
      </c>
      <c r="M103" s="14">
        <f>VLOOKUP($C103,'Refi Adj'!$B$2:$E$32,4,0)</f>
        <v>1.05</v>
      </c>
      <c r="O103" s="40">
        <f t="shared" si="7"/>
        <v>2.8411024114409263E-2</v>
      </c>
      <c r="P103" s="40">
        <f t="shared" si="8"/>
        <v>5.8276037836485399E-3</v>
      </c>
      <c r="Q103" s="40">
        <f t="shared" si="9"/>
        <v>2.8411024114409263E-2</v>
      </c>
      <c r="R103" s="14"/>
      <c r="S103" s="34">
        <f t="shared" si="12"/>
        <v>3.1861016863924459E-2</v>
      </c>
      <c r="T103" s="2">
        <f t="shared" si="10"/>
        <v>32.196440519209411</v>
      </c>
      <c r="U103" s="33">
        <f t="shared" si="13"/>
        <v>32.196440519209411</v>
      </c>
      <c r="V103" s="7">
        <f t="shared" si="11"/>
        <v>1.0416842924192926</v>
      </c>
      <c r="X103" s="9"/>
      <c r="Y103" s="8"/>
      <c r="Z103" s="8"/>
      <c r="AC103" s="9"/>
      <c r="AD103" s="8"/>
      <c r="AE103" s="8"/>
      <c r="AH103" s="9"/>
      <c r="AI103" s="8"/>
      <c r="AJ103" s="8"/>
    </row>
    <row r="104" spans="1:50" x14ac:dyDescent="0.25">
      <c r="A104" s="4">
        <f t="shared" si="1"/>
        <v>52.504460856871802</v>
      </c>
      <c r="B104" s="3">
        <f t="shared" si="2"/>
        <v>35.465887150279997</v>
      </c>
      <c r="C104" s="2" t="str">
        <f t="shared" si="0"/>
        <v>11-1:50-55</v>
      </c>
      <c r="D104" s="8">
        <f t="shared" si="3"/>
        <v>3.3320506950236702E-2</v>
      </c>
      <c r="E104" s="8">
        <f t="shared" si="4"/>
        <v>9.9189730835531533E-3</v>
      </c>
      <c r="F104" s="3"/>
      <c r="G104" s="2">
        <f t="shared" si="14"/>
        <v>33.412905074069855</v>
      </c>
      <c r="H104" s="2">
        <f t="shared" si="14"/>
        <v>11.274417832063644</v>
      </c>
      <c r="I104" s="33">
        <f t="shared" si="6"/>
        <v>34.993867760185225</v>
      </c>
      <c r="K104" s="14">
        <f>VLOOKUP($C104,'Refi Adj'!$B$2:$E$32,2,0)</f>
        <v>1</v>
      </c>
      <c r="L104" s="14">
        <f>VLOOKUP($C104,'Refi Adj'!$B$2:$E$32,3,0)</f>
        <v>1</v>
      </c>
      <c r="M104" s="14">
        <f>VLOOKUP($C104,'Refi Adj'!$B$2:$E$32,4,0)</f>
        <v>1.1000000000000001</v>
      </c>
      <c r="O104" s="40">
        <f t="shared" si="7"/>
        <v>3.168360644195483E-2</v>
      </c>
      <c r="P104" s="40">
        <f t="shared" si="8"/>
        <v>6.3482996130898696E-3</v>
      </c>
      <c r="Q104" s="40">
        <f t="shared" si="9"/>
        <v>3.168360644195483E-2</v>
      </c>
      <c r="R104" s="14"/>
      <c r="S104" s="34">
        <f t="shared" si="12"/>
        <v>3.5254279912418113E-2</v>
      </c>
      <c r="T104" s="2">
        <f t="shared" si="10"/>
        <v>34.993867760185225</v>
      </c>
      <c r="U104" s="33">
        <f t="shared" si="13"/>
        <v>34.993867760185225</v>
      </c>
      <c r="V104" s="7">
        <f t="shared" si="11"/>
        <v>0.94514785248811017</v>
      </c>
      <c r="X104" s="9"/>
      <c r="Y104" s="8"/>
      <c r="Z104" s="8"/>
      <c r="AC104" s="9"/>
      <c r="AD104" s="8"/>
      <c r="AE104" s="8"/>
      <c r="AH104" s="9"/>
      <c r="AI104" s="8"/>
      <c r="AJ104" s="8"/>
      <c r="AK104" s="4"/>
      <c r="AL104" s="4"/>
      <c r="AM104" s="4"/>
      <c r="AN104" s="4"/>
      <c r="AO104" s="4"/>
      <c r="AP104" s="4"/>
      <c r="AQ104" s="6"/>
      <c r="AR104" s="4"/>
      <c r="AS104" s="15"/>
      <c r="AT104" s="15"/>
      <c r="AU104" s="15"/>
      <c r="AV104" s="15"/>
      <c r="AW104" s="15"/>
      <c r="AX104" s="15"/>
    </row>
    <row r="105" spans="1:50" x14ac:dyDescent="0.25">
      <c r="A105" s="4">
        <f t="shared" si="1"/>
        <v>57.483952620614602</v>
      </c>
      <c r="B105" s="3">
        <f t="shared" si="2"/>
        <v>34.266577642580003</v>
      </c>
      <c r="C105" s="2" t="str">
        <f t="shared" si="0"/>
        <v>11-2:55-60</v>
      </c>
      <c r="D105" s="8">
        <f t="shared" si="3"/>
        <v>3.5861456913817397E-2</v>
      </c>
      <c r="E105" s="8">
        <f t="shared" si="4"/>
        <v>1.0580646607099927E-2</v>
      </c>
      <c r="F105" s="3"/>
      <c r="G105" s="2">
        <f t="shared" si="14"/>
        <v>35.483122751195552</v>
      </c>
      <c r="H105" s="2">
        <f t="shared" si="14"/>
        <v>11.983354476191099</v>
      </c>
      <c r="I105" s="33">
        <f t="shared" si="6"/>
        <v>36.652289056068412</v>
      </c>
      <c r="K105" s="14">
        <f>VLOOKUP($C105,'Refi Adj'!$B$2:$E$32,2,0)</f>
        <v>1</v>
      </c>
      <c r="L105" s="14">
        <f>VLOOKUP($C105,'Refi Adj'!$B$2:$E$32,3,0)</f>
        <v>1</v>
      </c>
      <c r="M105" s="14">
        <f>VLOOKUP($C105,'Refi Adj'!$B$2:$E$32,4,0)</f>
        <v>1.1000000000000001</v>
      </c>
      <c r="O105" s="40">
        <f t="shared" si="7"/>
        <v>3.3653931188207996E-2</v>
      </c>
      <c r="P105" s="40">
        <f t="shared" si="8"/>
        <v>6.9048864209610601E-3</v>
      </c>
      <c r="Q105" s="40">
        <f t="shared" si="9"/>
        <v>3.3653931188207996E-2</v>
      </c>
      <c r="R105" s="14"/>
      <c r="S105" s="34">
        <f t="shared" si="12"/>
        <v>3.7329691374346864E-2</v>
      </c>
      <c r="T105" s="2">
        <f t="shared" si="10"/>
        <v>36.652289056068412</v>
      </c>
      <c r="U105" s="33">
        <f t="shared" si="13"/>
        <v>36.652289056068412</v>
      </c>
      <c r="V105" s="7">
        <f t="shared" si="11"/>
        <v>0.96066845434627823</v>
      </c>
      <c r="X105" s="9"/>
      <c r="Y105" s="8"/>
      <c r="Z105" s="8"/>
      <c r="AC105" s="9"/>
      <c r="AD105" s="8"/>
      <c r="AE105" s="8"/>
      <c r="AH105" s="9"/>
      <c r="AI105" s="8"/>
      <c r="AJ105" s="8"/>
    </row>
    <row r="106" spans="1:50" x14ac:dyDescent="0.25">
      <c r="A106" s="4">
        <f t="shared" si="1"/>
        <v>62.493872299298502</v>
      </c>
      <c r="B106" s="3">
        <f t="shared" si="2"/>
        <v>35.35960759164</v>
      </c>
      <c r="C106" s="2" t="str">
        <f t="shared" si="0"/>
        <v>11-3:60-65</v>
      </c>
      <c r="D106" s="8">
        <f t="shared" si="3"/>
        <v>3.7664536457675403E-2</v>
      </c>
      <c r="E106" s="8">
        <f t="shared" si="4"/>
        <v>1.1321232910211813E-2</v>
      </c>
      <c r="F106" s="3"/>
      <c r="G106" s="2">
        <f t="shared" si="14"/>
        <v>36.916194201583117</v>
      </c>
      <c r="H106" s="2">
        <f t="shared" si="14"/>
        <v>12.770679796848327</v>
      </c>
      <c r="I106" s="33">
        <f t="shared" si="6"/>
        <v>38.424982616724257</v>
      </c>
      <c r="K106" s="14">
        <f>VLOOKUP($C106,'Refi Adj'!$B$2:$E$32,2,0)</f>
        <v>1</v>
      </c>
      <c r="L106" s="14">
        <f>VLOOKUP($C106,'Refi Adj'!$B$2:$E$32,3,0)</f>
        <v>1</v>
      </c>
      <c r="M106" s="14">
        <f>VLOOKUP($C106,'Refi Adj'!$B$2:$E$32,4,0)</f>
        <v>1.1000000000000001</v>
      </c>
      <c r="O106" s="40">
        <f t="shared" si="7"/>
        <v>3.5819910234928268E-2</v>
      </c>
      <c r="P106" s="40">
        <f t="shared" si="8"/>
        <v>7.5372227963035696E-3</v>
      </c>
      <c r="Q106" s="40">
        <f t="shared" si="9"/>
        <v>3.5819910234928268E-2</v>
      </c>
      <c r="R106" s="14"/>
      <c r="S106" s="34">
        <f t="shared" si="12"/>
        <v>3.9603920348836509E-2</v>
      </c>
      <c r="T106" s="2">
        <f t="shared" si="10"/>
        <v>38.424982616724257</v>
      </c>
      <c r="U106" s="33">
        <f t="shared" si="13"/>
        <v>38.424982616724257</v>
      </c>
      <c r="V106" s="7">
        <f t="shared" si="11"/>
        <v>0.95103050723062865</v>
      </c>
      <c r="X106" s="9"/>
      <c r="Y106" s="8"/>
      <c r="Z106" s="8"/>
      <c r="AC106" s="9"/>
      <c r="AD106" s="8"/>
      <c r="AE106" s="8"/>
      <c r="AH106" s="9"/>
      <c r="AI106" s="8"/>
      <c r="AJ106" s="8"/>
    </row>
    <row r="107" spans="1:50" x14ac:dyDescent="0.25">
      <c r="A107" s="4">
        <f t="shared" si="1"/>
        <v>67.507788310346896</v>
      </c>
      <c r="B107" s="3">
        <f t="shared" si="2"/>
        <v>36.614565521389999</v>
      </c>
      <c r="C107" s="2" t="str">
        <f t="shared" si="0"/>
        <v>11-4:65-70</v>
      </c>
      <c r="D107" s="8">
        <f t="shared" si="3"/>
        <v>3.8211625487718101E-2</v>
      </c>
      <c r="E107" s="8">
        <f t="shared" si="4"/>
        <v>1.194006147561816E-2</v>
      </c>
      <c r="F107" s="3"/>
      <c r="G107" s="2">
        <f t="shared" si="14"/>
        <v>37.345209881536881</v>
      </c>
      <c r="H107" s="2">
        <f t="shared" si="14"/>
        <v>13.423606384207998</v>
      </c>
      <c r="I107" s="33">
        <f t="shared" si="6"/>
        <v>39.738135630662306</v>
      </c>
      <c r="K107" s="14">
        <f>VLOOKUP($C107,'Refi Adj'!$B$2:$E$32,2,0)</f>
        <v>1</v>
      </c>
      <c r="L107" s="14">
        <f>VLOOKUP($C107,'Refi Adj'!$B$2:$E$32,3,0)</f>
        <v>1</v>
      </c>
      <c r="M107" s="14">
        <f>VLOOKUP($C107,'Refi Adj'!$B$2:$E$32,4,0)</f>
        <v>1.1000000000000001</v>
      </c>
      <c r="O107" s="40">
        <f t="shared" si="7"/>
        <v>3.7484224558001433E-2</v>
      </c>
      <c r="P107" s="40">
        <f t="shared" si="8"/>
        <v>8.0966625121133198E-3</v>
      </c>
      <c r="Q107" s="40">
        <f t="shared" si="9"/>
        <v>3.7484224558001433E-2</v>
      </c>
      <c r="R107" s="14"/>
      <c r="S107" s="34">
        <f t="shared" si="12"/>
        <v>4.1327623521506276E-2</v>
      </c>
      <c r="T107" s="2">
        <f t="shared" si="10"/>
        <v>39.738135630662306</v>
      </c>
      <c r="U107" s="33">
        <f t="shared" si="13"/>
        <v>39.738135630662306</v>
      </c>
      <c r="V107" s="7">
        <f t="shared" si="11"/>
        <v>0.92460253534378389</v>
      </c>
      <c r="X107" s="9"/>
      <c r="Y107" s="8"/>
      <c r="Z107" s="8"/>
      <c r="AC107" s="9"/>
      <c r="AD107" s="8"/>
      <c r="AE107" s="8"/>
      <c r="AH107" s="9"/>
      <c r="AI107" s="8"/>
      <c r="AJ107" s="8"/>
    </row>
    <row r="108" spans="1:50" x14ac:dyDescent="0.25">
      <c r="A108" s="4">
        <f t="shared" si="1"/>
        <v>72.521817416847398</v>
      </c>
      <c r="B108" s="3">
        <f t="shared" si="2"/>
        <v>39.348474762839999</v>
      </c>
      <c r="C108" s="2" t="str">
        <f t="shared" si="0"/>
        <v>11:50-75</v>
      </c>
      <c r="D108" s="8">
        <f t="shared" si="3"/>
        <v>4.0093265411971897E-2</v>
      </c>
      <c r="E108" s="8">
        <f t="shared" si="4"/>
        <v>1.2758850789396939E-2</v>
      </c>
      <c r="F108" s="3"/>
      <c r="G108" s="2">
        <f t="shared" si="14"/>
        <v>38.800416896469478</v>
      </c>
      <c r="H108" s="2">
        <f t="shared" si="14"/>
        <v>14.280626783742612</v>
      </c>
      <c r="I108" s="33">
        <f t="shared" si="6"/>
        <v>41.590902039999456</v>
      </c>
      <c r="K108" s="14">
        <f>VLOOKUP($C108,'Refi Adj'!$B$2:$E$32,2,0)</f>
        <v>1</v>
      </c>
      <c r="L108" s="14">
        <f>VLOOKUP($C108,'Refi Adj'!$B$2:$E$32,3,0)</f>
        <v>1</v>
      </c>
      <c r="M108" s="14">
        <f>VLOOKUP($C108,'Refi Adj'!$B$2:$E$32,4,0)</f>
        <v>1.1000000000000001</v>
      </c>
      <c r="O108" s="40">
        <f t="shared" si="7"/>
        <v>3.9923847259640197E-2</v>
      </c>
      <c r="P108" s="40">
        <f t="shared" si="8"/>
        <v>8.8635481190462908E-3</v>
      </c>
      <c r="Q108" s="40">
        <f t="shared" si="9"/>
        <v>3.9923847259640197E-2</v>
      </c>
      <c r="R108" s="14"/>
      <c r="S108" s="34">
        <f t="shared" si="12"/>
        <v>4.3819149929990843E-2</v>
      </c>
      <c r="T108" s="2">
        <f t="shared" si="10"/>
        <v>41.590902039999456</v>
      </c>
      <c r="U108" s="33">
        <f t="shared" si="13"/>
        <v>41.590902039999456</v>
      </c>
      <c r="V108" s="7">
        <f t="shared" si="11"/>
        <v>0.91497131907004736</v>
      </c>
      <c r="X108" s="9"/>
      <c r="Y108" s="8"/>
      <c r="Z108" s="8"/>
      <c r="AC108" s="9"/>
      <c r="AD108" s="8"/>
      <c r="AE108" s="8"/>
      <c r="AH108" s="9"/>
      <c r="AI108" s="8"/>
      <c r="AJ108" s="8"/>
    </row>
    <row r="109" spans="1:50" x14ac:dyDescent="0.25">
      <c r="A109" s="4">
        <f t="shared" si="1"/>
        <v>86.381652336578298</v>
      </c>
      <c r="B109" s="3">
        <f t="shared" si="2"/>
        <v>155.58204514315</v>
      </c>
      <c r="C109" s="2" t="str">
        <f t="shared" si="0"/>
        <v>12:75-100</v>
      </c>
      <c r="D109" s="8">
        <f t="shared" si="3"/>
        <v>4.39182802487511E-2</v>
      </c>
      <c r="E109" s="8">
        <f t="shared" si="4"/>
        <v>1.4810868948979903E-2</v>
      </c>
      <c r="F109" s="3"/>
      <c r="G109" s="2">
        <f t="shared" si="14"/>
        <v>41.663526110259518</v>
      </c>
      <c r="H109" s="2">
        <f t="shared" si="14"/>
        <v>16.394404830351682</v>
      </c>
      <c r="I109" s="33">
        <f t="shared" si="6"/>
        <v>42.378191625709647</v>
      </c>
      <c r="K109" s="14">
        <f>VLOOKUP($C109,'Refi Adj'!$B$2:$E$32,2,0)</f>
        <v>1</v>
      </c>
      <c r="L109" s="14">
        <f>VLOOKUP($C109,'Refi Adj'!$B$2:$E$32,3,0)</f>
        <v>1</v>
      </c>
      <c r="M109" s="14">
        <f>VLOOKUP($C109,'Refi Adj'!$B$2:$E$32,4,0)</f>
        <v>1.02</v>
      </c>
      <c r="O109" s="40">
        <f t="shared" si="7"/>
        <v>4.0768513195645728E-2</v>
      </c>
      <c r="P109" s="40">
        <f t="shared" si="8"/>
        <v>1.06795183230117E-2</v>
      </c>
      <c r="Q109" s="40">
        <f t="shared" si="9"/>
        <v>4.0768513195645728E-2</v>
      </c>
      <c r="R109" s="14"/>
      <c r="S109" s="34">
        <f t="shared" si="12"/>
        <v>4.4899863821613935E-2</v>
      </c>
      <c r="T109" s="2">
        <f t="shared" si="10"/>
        <v>42.378191625709647</v>
      </c>
      <c r="U109" s="33">
        <f t="shared" si="13"/>
        <v>42.378191625709647</v>
      </c>
      <c r="V109" s="7">
        <f t="shared" si="11"/>
        <v>0.97813838418836541</v>
      </c>
      <c r="X109" s="9"/>
      <c r="Y109" s="8"/>
      <c r="Z109" s="8"/>
      <c r="AC109" s="9"/>
      <c r="AD109" s="8"/>
      <c r="AE109" s="8"/>
      <c r="AH109" s="9"/>
      <c r="AI109" s="8"/>
      <c r="AJ109" s="8"/>
    </row>
    <row r="110" spans="1:50" x14ac:dyDescent="0.25">
      <c r="A110" s="4">
        <f t="shared" si="1"/>
        <v>112.46931674505301</v>
      </c>
      <c r="B110" s="3">
        <f t="shared" si="2"/>
        <v>116.81054066302001</v>
      </c>
      <c r="C110" s="2" t="str">
        <f t="shared" si="0"/>
        <v>13:100-125</v>
      </c>
      <c r="D110" s="8">
        <f t="shared" si="3"/>
        <v>4.6579791109775802E-2</v>
      </c>
      <c r="E110" s="8">
        <f t="shared" si="4"/>
        <v>1.8543912400054728E-2</v>
      </c>
      <c r="F110" s="3"/>
      <c r="G110" s="2">
        <f t="shared" si="14"/>
        <v>43.582707923872796</v>
      </c>
      <c r="H110" s="2">
        <f t="shared" si="14"/>
        <v>20.117715308138131</v>
      </c>
      <c r="I110" s="33">
        <f t="shared" si="6"/>
        <v>43.147723930766155</v>
      </c>
      <c r="K110" s="14">
        <f>VLOOKUP($C110,'Refi Adj'!$B$2:$E$32,2,0)</f>
        <v>1</v>
      </c>
      <c r="L110" s="14">
        <f>VLOOKUP($C110,'Refi Adj'!$B$2:$E$32,3,0)</f>
        <v>1</v>
      </c>
      <c r="M110" s="14">
        <f>VLOOKUP($C110,'Refi Adj'!$B$2:$E$32,4,0)</f>
        <v>0.95</v>
      </c>
      <c r="O110" s="40">
        <f t="shared" si="7"/>
        <v>4.1402000337492771E-2</v>
      </c>
      <c r="P110" s="40">
        <f t="shared" si="8"/>
        <v>1.39765493662702E-2</v>
      </c>
      <c r="Q110" s="40">
        <f t="shared" si="9"/>
        <v>4.1402000337492771E-2</v>
      </c>
      <c r="R110" s="14"/>
      <c r="S110" s="34">
        <f t="shared" si="12"/>
        <v>4.59693633712773E-2</v>
      </c>
      <c r="T110" s="2">
        <f t="shared" si="10"/>
        <v>43.147723930766155</v>
      </c>
      <c r="U110" s="33">
        <f t="shared" si="13"/>
        <v>43.147723930766155</v>
      </c>
      <c r="V110" s="7">
        <f t="shared" si="11"/>
        <v>1.0132790122318707</v>
      </c>
      <c r="X110" s="9"/>
      <c r="Y110" s="8"/>
      <c r="Z110" s="8"/>
      <c r="AC110" s="9"/>
      <c r="AD110" s="8"/>
      <c r="AE110" s="8"/>
      <c r="AH110" s="9"/>
      <c r="AI110" s="8"/>
      <c r="AJ110" s="8"/>
    </row>
    <row r="111" spans="1:50" x14ac:dyDescent="0.25">
      <c r="A111" s="4">
        <f t="shared" si="1"/>
        <v>135.165840352559</v>
      </c>
      <c r="B111" s="3">
        <f t="shared" si="2"/>
        <v>70.585895263649988</v>
      </c>
      <c r="C111" s="2" t="str">
        <f t="shared" si="0"/>
        <v>14:125-150</v>
      </c>
      <c r="D111" s="8">
        <f t="shared" si="3"/>
        <v>4.7826772378772898E-2</v>
      </c>
      <c r="E111" s="8">
        <f t="shared" si="4"/>
        <v>2.2302840235134912E-2</v>
      </c>
      <c r="F111" s="3"/>
      <c r="G111" s="2">
        <f t="shared" si="14"/>
        <v>44.461826312466357</v>
      </c>
      <c r="H111" s="2">
        <f t="shared" si="14"/>
        <v>23.712700314193246</v>
      </c>
      <c r="I111" s="33">
        <f t="shared" si="6"/>
        <v>44.249223552806662</v>
      </c>
      <c r="K111" s="14">
        <f>VLOOKUP($C111,'Refi Adj'!$B$2:$E$32,2,0)</f>
        <v>1</v>
      </c>
      <c r="L111" s="14">
        <f>VLOOKUP($C111,'Refi Adj'!$B$2:$E$32,3,0)</f>
        <v>1</v>
      </c>
      <c r="M111" s="14">
        <f>VLOOKUP($C111,'Refi Adj'!$B$2:$E$32,4,0)</f>
        <v>0.92</v>
      </c>
      <c r="O111" s="40">
        <f t="shared" si="7"/>
        <v>4.2971385704767245E-2</v>
      </c>
      <c r="P111" s="40">
        <f t="shared" si="8"/>
        <v>1.77506689483811E-2</v>
      </c>
      <c r="Q111" s="40">
        <f t="shared" si="9"/>
        <v>4.2971385704767245E-2</v>
      </c>
      <c r="R111" s="14"/>
      <c r="S111" s="34">
        <f t="shared" si="12"/>
        <v>4.7523556991521061E-2</v>
      </c>
      <c r="T111" s="2">
        <f t="shared" si="10"/>
        <v>44.249223552806662</v>
      </c>
      <c r="U111" s="33">
        <f t="shared" si="13"/>
        <v>44.249223552806662</v>
      </c>
      <c r="V111" s="7">
        <f t="shared" si="11"/>
        <v>1.0063803176034558</v>
      </c>
      <c r="AC111" s="9"/>
      <c r="AD111" s="8"/>
      <c r="AE111" s="8"/>
      <c r="AH111" s="9"/>
      <c r="AI111" s="8"/>
      <c r="AJ111" s="8"/>
    </row>
    <row r="112" spans="1:50" x14ac:dyDescent="0.25">
      <c r="A112" s="4">
        <f t="shared" si="1"/>
        <v>158.98119960203701</v>
      </c>
      <c r="B112" s="3">
        <f t="shared" si="2"/>
        <v>13.76972352602</v>
      </c>
      <c r="C112" s="2" t="str">
        <f t="shared" si="0"/>
        <v>15:150-175</v>
      </c>
      <c r="D112" s="8">
        <f t="shared" si="3"/>
        <v>4.6985721498659802E-2</v>
      </c>
      <c r="E112" s="8">
        <f t="shared" si="4"/>
        <v>2.6908352841593611E-2</v>
      </c>
      <c r="F112" s="3"/>
      <c r="G112" s="2">
        <f t="shared" si="14"/>
        <v>43.870278179376513</v>
      </c>
      <c r="H112" s="2">
        <f t="shared" si="14"/>
        <v>27.914994485495559</v>
      </c>
      <c r="I112" s="33">
        <f t="shared" si="6"/>
        <v>44.691468528141129</v>
      </c>
      <c r="K112" s="14">
        <f>VLOOKUP($C112,'Refi Adj'!$B$2:$E$32,2,0)</f>
        <v>1</v>
      </c>
      <c r="L112" s="14">
        <f>VLOOKUP($C112,'Refi Adj'!$B$2:$E$32,3,0)</f>
        <v>1</v>
      </c>
      <c r="M112" s="14">
        <f>VLOOKUP($C112,'Refi Adj'!$B$2:$E$32,4,0)</f>
        <v>0.9</v>
      </c>
      <c r="O112" s="40">
        <f t="shared" si="7"/>
        <v>4.3329220545283022E-2</v>
      </c>
      <c r="P112" s="40">
        <f t="shared" si="8"/>
        <v>2.2082086175333401E-2</v>
      </c>
      <c r="Q112" s="40">
        <f t="shared" si="9"/>
        <v>4.3329220545283022E-2</v>
      </c>
      <c r="R112" s="14"/>
      <c r="S112" s="34">
        <f t="shared" si="12"/>
        <v>4.8155487211543231E-2</v>
      </c>
      <c r="T112" s="2">
        <f t="shared" si="10"/>
        <v>44.691468528141129</v>
      </c>
      <c r="U112" s="33">
        <f t="shared" si="13"/>
        <v>44.691468528141129</v>
      </c>
      <c r="V112" s="7">
        <f t="shared" si="11"/>
        <v>0.97570856862594413</v>
      </c>
    </row>
    <row r="113" spans="1:51" s="17" customFormat="1" x14ac:dyDescent="0.25">
      <c r="A113" s="4"/>
      <c r="B113" s="3"/>
      <c r="C113" s="2"/>
      <c r="D113" s="8"/>
      <c r="E113" s="8"/>
      <c r="F113" s="3"/>
      <c r="G113" s="2"/>
      <c r="H113" s="2"/>
      <c r="I113" s="33"/>
      <c r="J113"/>
      <c r="K113" s="14"/>
      <c r="L113" s="14"/>
      <c r="M113" s="14"/>
      <c r="N113"/>
      <c r="O113" s="40"/>
      <c r="P113" s="40"/>
      <c r="Q113" s="40"/>
      <c r="R113" s="14"/>
      <c r="S113" s="34"/>
      <c r="T113" s="2"/>
      <c r="U113" s="7"/>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row>
    <row r="120" spans="1:51" s="41" customFormat="1" x14ac:dyDescent="0.25"/>
    <row r="121" spans="1:51" x14ac:dyDescent="0.25">
      <c r="A121" t="s">
        <v>180</v>
      </c>
      <c r="C121" t="s">
        <v>186</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0.98205363700914705</v>
      </c>
      <c r="C123" s="4">
        <v>0</v>
      </c>
      <c r="D123" s="4">
        <v>19.5321309408702</v>
      </c>
      <c r="E123" s="4">
        <v>0</v>
      </c>
      <c r="F123" s="5">
        <v>1.79463629908523E-2</v>
      </c>
      <c r="G123" s="5">
        <v>0</v>
      </c>
      <c r="H123" s="4">
        <v>5.0073041679842198</v>
      </c>
      <c r="I123" s="4">
        <v>3.8587570826493698</v>
      </c>
      <c r="J123" s="4">
        <v>-7.7679575478322702</v>
      </c>
      <c r="K123" s="4">
        <v>45.850296896758998</v>
      </c>
      <c r="L123" s="4">
        <v>100</v>
      </c>
      <c r="M123" s="4">
        <v>38.235944426876998</v>
      </c>
      <c r="N123" s="4">
        <v>54.294377770750799</v>
      </c>
      <c r="O123" s="4">
        <v>6.1854485354935402</v>
      </c>
      <c r="P123" s="4">
        <v>28883.501833127801</v>
      </c>
      <c r="Q123" s="4">
        <v>26580.115000000002</v>
      </c>
      <c r="R123" s="4">
        <v>778.29216671936797</v>
      </c>
      <c r="S123" s="4">
        <v>0</v>
      </c>
      <c r="T123" s="4">
        <v>0</v>
      </c>
      <c r="U123" s="4">
        <v>0</v>
      </c>
      <c r="V123" s="4">
        <v>0.35281111462459802</v>
      </c>
      <c r="W123" s="4">
        <v>0</v>
      </c>
      <c r="X123" s="4">
        <v>0</v>
      </c>
      <c r="Y123" s="4">
        <v>0</v>
      </c>
      <c r="Z123" s="5">
        <v>1.03643553667487E-2</v>
      </c>
      <c r="AA123" s="5">
        <v>4.1857955041014599E-4</v>
      </c>
      <c r="AB123" s="10">
        <v>6.9299003284109097E-3</v>
      </c>
      <c r="AC123" s="10">
        <v>0</v>
      </c>
      <c r="AD123" s="10">
        <v>2.3351774528251599E-4</v>
      </c>
      <c r="AE123" s="4">
        <v>-6.4847236463565106E-2</v>
      </c>
      <c r="AF123" s="4">
        <v>1</v>
      </c>
      <c r="AG123" s="4">
        <v>1</v>
      </c>
      <c r="AH123" s="4">
        <v>1</v>
      </c>
      <c r="AI123" s="4">
        <v>1</v>
      </c>
      <c r="AJ123" s="4">
        <v>1</v>
      </c>
      <c r="AK123" s="4">
        <v>1</v>
      </c>
      <c r="AL123" s="4">
        <v>1</v>
      </c>
      <c r="AM123" s="4">
        <v>0</v>
      </c>
      <c r="AN123" s="4">
        <v>0</v>
      </c>
      <c r="AO123" s="4" t="s">
        <v>70</v>
      </c>
      <c r="AP123" s="4" t="s">
        <v>71</v>
      </c>
      <c r="AQ123" s="6">
        <v>53160.23</v>
      </c>
      <c r="AR123" s="4">
        <v>2</v>
      </c>
      <c r="AS123" s="15">
        <v>0</v>
      </c>
      <c r="AT123" s="15">
        <v>64.718888537540096</v>
      </c>
      <c r="AU123" s="15">
        <v>64.718888537540096</v>
      </c>
      <c r="AV123" s="15">
        <v>35.281111462459798</v>
      </c>
      <c r="AW123" s="15">
        <v>35.281111462459798</v>
      </c>
      <c r="AX123" s="15">
        <v>0</v>
      </c>
      <c r="AY123" s="31">
        <v>2048.3802431046602</v>
      </c>
    </row>
    <row r="124" spans="1:51" x14ac:dyDescent="0.25">
      <c r="A124">
        <v>97</v>
      </c>
      <c r="B124" s="4">
        <v>0.97712858000000002</v>
      </c>
      <c r="C124" s="4">
        <v>0</v>
      </c>
      <c r="D124" s="4">
        <v>24.243379317178398</v>
      </c>
      <c r="E124" s="4">
        <v>0</v>
      </c>
      <c r="F124" s="5">
        <v>2.287142E-2</v>
      </c>
      <c r="G124" s="5">
        <v>0</v>
      </c>
      <c r="H124" s="4">
        <v>5.25</v>
      </c>
      <c r="I124" s="4">
        <v>3.8890630000000002</v>
      </c>
      <c r="J124" s="4">
        <v>15.349500000000001</v>
      </c>
      <c r="K124" s="4">
        <v>58.82</v>
      </c>
      <c r="L124" s="4">
        <v>100</v>
      </c>
      <c r="M124" s="4">
        <v>36</v>
      </c>
      <c r="N124" s="4">
        <v>53</v>
      </c>
      <c r="O124" s="4">
        <v>2.17</v>
      </c>
      <c r="P124" s="4">
        <v>16446.75</v>
      </c>
      <c r="Q124" s="4">
        <v>16446.75</v>
      </c>
      <c r="R124" s="4">
        <v>788</v>
      </c>
      <c r="S124" s="4">
        <v>0</v>
      </c>
      <c r="T124" s="4">
        <v>0</v>
      </c>
      <c r="U124" s="4">
        <v>0</v>
      </c>
      <c r="V124" s="4">
        <v>1</v>
      </c>
      <c r="W124" s="4">
        <v>0</v>
      </c>
      <c r="X124" s="4">
        <v>0</v>
      </c>
      <c r="Y124" s="4">
        <v>0</v>
      </c>
      <c r="Z124" s="5">
        <v>1.4091060000000001E-2</v>
      </c>
      <c r="AA124" s="5">
        <v>5.9011999999999997E-4</v>
      </c>
      <c r="AB124" s="10">
        <v>8.0348499999999996E-3</v>
      </c>
      <c r="AC124" s="10">
        <v>0</v>
      </c>
      <c r="AD124" s="10">
        <v>1.5537999999999999E-4</v>
      </c>
      <c r="AE124" s="4">
        <v>-3.6703079895407401E-2</v>
      </c>
      <c r="AF124" s="4">
        <v>1</v>
      </c>
      <c r="AG124" s="4">
        <v>1</v>
      </c>
      <c r="AH124" s="4">
        <v>1</v>
      </c>
      <c r="AI124" s="4">
        <v>1</v>
      </c>
      <c r="AJ124" s="4">
        <v>1</v>
      </c>
      <c r="AK124" s="4">
        <v>1</v>
      </c>
      <c r="AL124" s="4">
        <v>1</v>
      </c>
      <c r="AM124" s="4">
        <v>0</v>
      </c>
      <c r="AN124" s="4">
        <v>0</v>
      </c>
      <c r="AO124" s="4" t="s">
        <v>150</v>
      </c>
      <c r="AP124" s="4" t="s">
        <v>134</v>
      </c>
      <c r="AQ124" s="6">
        <v>16446.75</v>
      </c>
      <c r="AR124" s="4">
        <v>1</v>
      </c>
      <c r="AS124" s="15">
        <v>0</v>
      </c>
      <c r="AT124" s="15">
        <v>0</v>
      </c>
      <c r="AU124" s="15">
        <v>0</v>
      </c>
      <c r="AV124" s="15">
        <v>100</v>
      </c>
      <c r="AW124" s="15">
        <v>100</v>
      </c>
      <c r="AX124" s="15">
        <v>0</v>
      </c>
      <c r="AY124" s="31">
        <v>2114.96</v>
      </c>
    </row>
    <row r="125" spans="1:51" x14ac:dyDescent="0.25">
      <c r="A125">
        <v>97</v>
      </c>
      <c r="B125" s="4">
        <v>0.98826510999999995</v>
      </c>
      <c r="C125" s="4">
        <v>0</v>
      </c>
      <c r="D125" s="4">
        <v>13.207627900865001</v>
      </c>
      <c r="E125" s="4">
        <v>0</v>
      </c>
      <c r="F125" s="5">
        <v>1.173489E-2</v>
      </c>
      <c r="G125" s="5">
        <v>0</v>
      </c>
      <c r="H125" s="4">
        <v>5</v>
      </c>
      <c r="I125" s="4">
        <v>4.1538250000000003</v>
      </c>
      <c r="J125" s="4">
        <v>-14.481199999999999</v>
      </c>
      <c r="K125" s="4">
        <v>65.92</v>
      </c>
      <c r="L125" s="4">
        <v>17.18</v>
      </c>
      <c r="M125" s="4">
        <v>26</v>
      </c>
      <c r="N125" s="4">
        <v>95</v>
      </c>
      <c r="O125" s="4">
        <v>79.180000000000007</v>
      </c>
      <c r="P125" s="4">
        <v>232170.07</v>
      </c>
      <c r="Q125" s="4">
        <v>232170.07</v>
      </c>
      <c r="R125" s="4">
        <v>770</v>
      </c>
      <c r="S125" s="4">
        <v>0</v>
      </c>
      <c r="T125" s="4">
        <v>0</v>
      </c>
      <c r="U125" s="4">
        <v>0</v>
      </c>
      <c r="V125" s="4">
        <v>0</v>
      </c>
      <c r="W125" s="4">
        <v>0</v>
      </c>
      <c r="X125" s="4">
        <v>1</v>
      </c>
      <c r="Y125" s="4">
        <v>0</v>
      </c>
      <c r="Z125" s="5">
        <v>8.03E-4</v>
      </c>
      <c r="AA125" s="5">
        <v>2.9902999999999999E-4</v>
      </c>
      <c r="AB125" s="10">
        <v>3.5227399999999999E-3</v>
      </c>
      <c r="AC125" s="10">
        <v>0</v>
      </c>
      <c r="AD125" s="10">
        <v>7.1101200000000002E-3</v>
      </c>
      <c r="AE125" s="4">
        <v>-2.60238420301135E-2</v>
      </c>
      <c r="AF125" s="4">
        <v>1</v>
      </c>
      <c r="AG125" s="4">
        <v>1</v>
      </c>
      <c r="AH125" s="4">
        <v>1</v>
      </c>
      <c r="AI125" s="4">
        <v>1</v>
      </c>
      <c r="AJ125" s="4">
        <v>1</v>
      </c>
      <c r="AK125" s="4">
        <v>1</v>
      </c>
      <c r="AL125" s="4">
        <v>1</v>
      </c>
      <c r="AM125" s="4">
        <v>0</v>
      </c>
      <c r="AN125" s="4">
        <v>0</v>
      </c>
      <c r="AO125" s="4" t="s">
        <v>152</v>
      </c>
      <c r="AP125" s="4" t="s">
        <v>136</v>
      </c>
      <c r="AQ125" s="6">
        <v>232170.07</v>
      </c>
      <c r="AR125" s="4">
        <v>1</v>
      </c>
      <c r="AS125" s="15">
        <v>0</v>
      </c>
      <c r="AT125" s="15">
        <v>100</v>
      </c>
      <c r="AU125" s="15">
        <v>100</v>
      </c>
      <c r="AV125" s="15">
        <v>0</v>
      </c>
      <c r="AW125" s="15">
        <v>0</v>
      </c>
      <c r="AX125" s="15">
        <v>0</v>
      </c>
      <c r="AY125" s="31">
        <v>2007.21</v>
      </c>
    </row>
    <row r="126" spans="1:51" x14ac:dyDescent="0.25">
      <c r="A126">
        <v>97</v>
      </c>
      <c r="B126" s="4">
        <v>0.98596422124986605</v>
      </c>
      <c r="C126" s="4">
        <v>31.735277406766802</v>
      </c>
      <c r="D126" s="4">
        <v>15.601667495132199</v>
      </c>
      <c r="E126" s="4">
        <v>3.1313990262908799E-2</v>
      </c>
      <c r="F126" s="5">
        <v>1.40357787501336E-2</v>
      </c>
      <c r="G126" s="5">
        <v>0</v>
      </c>
      <c r="H126" s="4">
        <v>4.9804384293016399</v>
      </c>
      <c r="I126" s="4">
        <v>4.0911030379198401</v>
      </c>
      <c r="J126" s="4">
        <v>-2.4334576543689899</v>
      </c>
      <c r="K126" s="4">
        <v>71.878077995950505</v>
      </c>
      <c r="L126" s="4">
        <v>29.082250803690801</v>
      </c>
      <c r="M126" s="4">
        <v>31.443907676979698</v>
      </c>
      <c r="N126" s="4">
        <v>84.867200245266901</v>
      </c>
      <c r="O126" s="4">
        <v>64.273713047745503</v>
      </c>
      <c r="P126" s="4">
        <v>231308.58544930001</v>
      </c>
      <c r="Q126" s="4">
        <v>89953.178181818104</v>
      </c>
      <c r="R126" s="4">
        <v>771.59719130041105</v>
      </c>
      <c r="S126" s="4">
        <v>0</v>
      </c>
      <c r="T126" s="4">
        <v>0</v>
      </c>
      <c r="U126" s="4">
        <v>0</v>
      </c>
      <c r="V126" s="4">
        <v>5.2587469343647199E-2</v>
      </c>
      <c r="W126" s="4">
        <v>0</v>
      </c>
      <c r="X126" s="4">
        <v>0.27504309918970299</v>
      </c>
      <c r="Y126" s="4">
        <v>0</v>
      </c>
      <c r="Z126" s="5">
        <v>2.1991696951558499E-3</v>
      </c>
      <c r="AA126" s="5">
        <v>2.1787541964447799E-4</v>
      </c>
      <c r="AB126" s="10">
        <v>4.6047121189032496E-3</v>
      </c>
      <c r="AC126" s="10">
        <v>0</v>
      </c>
      <c r="AD126" s="10">
        <v>7.0140027373375097E-3</v>
      </c>
      <c r="AE126" s="4">
        <v>-5.8853977838413201E-4</v>
      </c>
      <c r="AF126" s="4">
        <v>0.945650189569329</v>
      </c>
      <c r="AG126" s="4">
        <v>1</v>
      </c>
      <c r="AH126" s="4">
        <v>1</v>
      </c>
      <c r="AI126" s="4">
        <v>1</v>
      </c>
      <c r="AJ126" s="4">
        <v>1</v>
      </c>
      <c r="AK126" s="4">
        <v>1</v>
      </c>
      <c r="AL126" s="4">
        <v>1</v>
      </c>
      <c r="AM126" s="4">
        <v>0</v>
      </c>
      <c r="AN126" s="4">
        <v>0</v>
      </c>
      <c r="AO126" s="4" t="s">
        <v>72</v>
      </c>
      <c r="AP126" s="4" t="s">
        <v>73</v>
      </c>
      <c r="AQ126" s="6">
        <v>989484.96</v>
      </c>
      <c r="AR126" s="4">
        <v>11</v>
      </c>
      <c r="AS126" s="15">
        <v>0</v>
      </c>
      <c r="AT126" s="15">
        <v>94.741253065635206</v>
      </c>
      <c r="AU126" s="15">
        <v>94.741253065635206</v>
      </c>
      <c r="AV126" s="15">
        <v>5.2587469343647202</v>
      </c>
      <c r="AW126" s="15">
        <v>5.2587469343647202</v>
      </c>
      <c r="AX126" s="15">
        <v>0</v>
      </c>
      <c r="AY126">
        <v>2085.51504008964</v>
      </c>
    </row>
    <row r="127" spans="1:51" x14ac:dyDescent="0.25">
      <c r="A127">
        <v>97</v>
      </c>
      <c r="B127" s="4">
        <v>0.985032776015071</v>
      </c>
      <c r="C127" s="4">
        <v>75.124019535480699</v>
      </c>
      <c r="D127" s="4">
        <v>16.553490037770199</v>
      </c>
      <c r="E127" s="4">
        <v>0.109470418065753</v>
      </c>
      <c r="F127" s="5">
        <v>1.49672239849286E-2</v>
      </c>
      <c r="G127" s="5">
        <v>0</v>
      </c>
      <c r="H127" s="4">
        <v>5.0874262883111898</v>
      </c>
      <c r="I127" s="4">
        <v>3.8991321592864501</v>
      </c>
      <c r="J127" s="4">
        <v>4.6528774739591103</v>
      </c>
      <c r="K127" s="4">
        <v>92.496267748053299</v>
      </c>
      <c r="L127" s="4">
        <v>46.9228838633883</v>
      </c>
      <c r="M127" s="4">
        <v>34.635218935948203</v>
      </c>
      <c r="N127" s="4">
        <v>79.346613803623896</v>
      </c>
      <c r="O127" s="4">
        <v>48.924294121475803</v>
      </c>
      <c r="P127" s="4">
        <v>163922.02523695899</v>
      </c>
      <c r="Q127" s="4">
        <v>63864.501960784299</v>
      </c>
      <c r="R127" s="4">
        <v>775.13983581845503</v>
      </c>
      <c r="S127" s="4">
        <v>0</v>
      </c>
      <c r="T127" s="4">
        <v>0</v>
      </c>
      <c r="U127" s="4">
        <v>0</v>
      </c>
      <c r="V127" s="4">
        <v>0.34323436327941298</v>
      </c>
      <c r="W127" s="4">
        <v>0</v>
      </c>
      <c r="X127" s="4">
        <v>0.35260476254629203</v>
      </c>
      <c r="Y127" s="4">
        <v>0</v>
      </c>
      <c r="Z127" s="5">
        <v>3.5263311692951701E-3</v>
      </c>
      <c r="AA127" s="5">
        <v>4.4628964594606101E-4</v>
      </c>
      <c r="AB127" s="10">
        <v>5.1085607535648796E-3</v>
      </c>
      <c r="AC127" s="10">
        <v>2.3829554986942899E-5</v>
      </c>
      <c r="AD127" s="10">
        <v>5.8621989488794202E-3</v>
      </c>
      <c r="AE127" s="4">
        <v>1.3044208218705699E-2</v>
      </c>
      <c r="AF127" s="4">
        <v>0.848615567714194</v>
      </c>
      <c r="AG127" s="4">
        <v>0.98179977148924602</v>
      </c>
      <c r="AH127" s="4">
        <v>0.98179977148924602</v>
      </c>
      <c r="AI127" s="4">
        <v>0.99703063894834199</v>
      </c>
      <c r="AJ127" s="4">
        <v>1</v>
      </c>
      <c r="AK127" s="4">
        <v>1</v>
      </c>
      <c r="AL127" s="4">
        <v>1</v>
      </c>
      <c r="AM127" s="4">
        <v>0</v>
      </c>
      <c r="AN127" s="4">
        <v>0</v>
      </c>
      <c r="AO127" s="4" t="s">
        <v>74</v>
      </c>
      <c r="AP127" s="4" t="s">
        <v>75</v>
      </c>
      <c r="AQ127" s="6">
        <v>6514179.2000000002</v>
      </c>
      <c r="AR127" s="4">
        <v>102</v>
      </c>
      <c r="AS127" s="15">
        <v>0</v>
      </c>
      <c r="AT127" s="15">
        <v>65.676563672058606</v>
      </c>
      <c r="AU127" s="15">
        <v>65.676563672058606</v>
      </c>
      <c r="AV127" s="15">
        <v>34.323436327941302</v>
      </c>
      <c r="AW127" s="15">
        <v>34.323436327941302</v>
      </c>
      <c r="AX127" s="15">
        <v>0</v>
      </c>
      <c r="AY127">
        <v>2232.8265864746299</v>
      </c>
    </row>
    <row r="128" spans="1:51" x14ac:dyDescent="0.25">
      <c r="A128">
        <v>97</v>
      </c>
      <c r="B128" s="4">
        <v>0.98333707511725998</v>
      </c>
      <c r="C128" s="4">
        <v>41.152210633880102</v>
      </c>
      <c r="D128" s="4">
        <v>18.261066666000598</v>
      </c>
      <c r="E128" s="4">
        <v>4.3222737079615603E-2</v>
      </c>
      <c r="F128" s="5">
        <v>1.66629248827391E-2</v>
      </c>
      <c r="G128" s="5">
        <v>0</v>
      </c>
      <c r="H128" s="4">
        <v>5.1566288950098702</v>
      </c>
      <c r="I128" s="4">
        <v>3.8626142054681698</v>
      </c>
      <c r="J128" s="4">
        <v>7.4998932782244001</v>
      </c>
      <c r="K128" s="4">
        <v>117.342308486322</v>
      </c>
      <c r="L128" s="4">
        <v>30.356748064891601</v>
      </c>
      <c r="M128" s="4">
        <v>36.270305423053998</v>
      </c>
      <c r="N128" s="4">
        <v>79.198828528754305</v>
      </c>
      <c r="O128" s="4">
        <v>56.200870835114401</v>
      </c>
      <c r="P128" s="4">
        <v>182615.02382989501</v>
      </c>
      <c r="Q128" s="4">
        <v>124724.042230046</v>
      </c>
      <c r="R128" s="4">
        <v>777.94792253176399</v>
      </c>
      <c r="S128" s="4">
        <v>0</v>
      </c>
      <c r="T128" s="4">
        <v>0</v>
      </c>
      <c r="U128" s="4">
        <v>1.2453105771508301E-2</v>
      </c>
      <c r="V128" s="4">
        <v>0.35469301511771101</v>
      </c>
      <c r="W128" s="4">
        <v>0</v>
      </c>
      <c r="X128" s="4">
        <v>0.45074757667843401</v>
      </c>
      <c r="Y128" s="4">
        <v>0</v>
      </c>
      <c r="Z128" s="5">
        <v>1.6673738032852701E-3</v>
      </c>
      <c r="AA128" s="5">
        <v>5.1598675583165298E-4</v>
      </c>
      <c r="AB128" s="10">
        <v>4.9197501347803298E-3</v>
      </c>
      <c r="AC128" s="10">
        <v>5.0875095141999104E-6</v>
      </c>
      <c r="AD128" s="10">
        <v>9.5547115026282901E-3</v>
      </c>
      <c r="AE128" s="4">
        <v>-8.7515520667380293E-3</v>
      </c>
      <c r="AF128" s="4">
        <v>0.81499603835543499</v>
      </c>
      <c r="AG128" s="4">
        <v>0.99409152754433705</v>
      </c>
      <c r="AH128" s="4">
        <v>1</v>
      </c>
      <c r="AI128" s="4">
        <v>1</v>
      </c>
      <c r="AJ128" s="4">
        <v>1</v>
      </c>
      <c r="AK128" s="4">
        <v>1</v>
      </c>
      <c r="AL128" s="4">
        <v>1</v>
      </c>
      <c r="AM128" s="4">
        <v>0</v>
      </c>
      <c r="AN128" s="4">
        <v>0</v>
      </c>
      <c r="AO128" s="4" t="s">
        <v>76</v>
      </c>
      <c r="AP128" s="4" t="s">
        <v>77</v>
      </c>
      <c r="AQ128" s="6">
        <v>53132441.990000002</v>
      </c>
      <c r="AR128" s="4">
        <v>426</v>
      </c>
      <c r="AS128" s="15">
        <v>0</v>
      </c>
      <c r="AT128" s="15">
        <v>64.530698488228794</v>
      </c>
      <c r="AU128" s="15">
        <v>64.530698488228794</v>
      </c>
      <c r="AV128" s="15">
        <v>35.4693015117711</v>
      </c>
      <c r="AW128" s="15">
        <v>35.4693015117711</v>
      </c>
      <c r="AX128" s="15">
        <v>0</v>
      </c>
      <c r="AY128">
        <v>2251.1840630444199</v>
      </c>
    </row>
    <row r="129" spans="1:51" x14ac:dyDescent="0.25">
      <c r="A129">
        <v>97</v>
      </c>
      <c r="B129" s="4">
        <v>0.97705967451932496</v>
      </c>
      <c r="C129" s="4">
        <v>42.593394175043898</v>
      </c>
      <c r="D129" s="4">
        <v>24.30746122835</v>
      </c>
      <c r="E129" s="4">
        <v>4.5197628195578002E-2</v>
      </c>
      <c r="F129" s="5">
        <v>2.29403254806748E-2</v>
      </c>
      <c r="G129" s="5">
        <v>0</v>
      </c>
      <c r="H129" s="4">
        <v>5.14599848903873</v>
      </c>
      <c r="I129" s="4">
        <v>3.8623083493636798</v>
      </c>
      <c r="J129" s="4">
        <v>5.7406040455530798</v>
      </c>
      <c r="K129" s="4">
        <v>140.24589755189501</v>
      </c>
      <c r="L129" s="4">
        <v>15.5735861940892</v>
      </c>
      <c r="M129" s="4">
        <v>35.9830764752734</v>
      </c>
      <c r="N129" s="4">
        <v>61.597253376050702</v>
      </c>
      <c r="O129" s="4">
        <v>58.063223113101998</v>
      </c>
      <c r="P129" s="4">
        <v>281106.91761845798</v>
      </c>
      <c r="Q129" s="4">
        <v>256245.20191089399</v>
      </c>
      <c r="R129" s="4">
        <v>779.24518118946196</v>
      </c>
      <c r="S129" s="4">
        <v>0</v>
      </c>
      <c r="T129" s="4">
        <v>0</v>
      </c>
      <c r="U129" s="4">
        <v>2.9072545076421201E-2</v>
      </c>
      <c r="V129" s="4">
        <v>0.330359655043093</v>
      </c>
      <c r="W129" s="4">
        <v>0</v>
      </c>
      <c r="X129" s="4">
        <v>0.75179068932019399</v>
      </c>
      <c r="Y129" s="4">
        <v>0</v>
      </c>
      <c r="Z129" s="5">
        <v>4.6621188782963198E-4</v>
      </c>
      <c r="AA129" s="5">
        <v>4.75825117473808E-4</v>
      </c>
      <c r="AB129" s="10">
        <v>4.2176460484573E-3</v>
      </c>
      <c r="AC129" s="10">
        <v>8.1820361629714505E-6</v>
      </c>
      <c r="AD129" s="10">
        <v>1.7772445197277699E-2</v>
      </c>
      <c r="AE129" s="4">
        <v>-7.2979565237926399E-3</v>
      </c>
      <c r="AF129" s="4">
        <v>0.78579818138815105</v>
      </c>
      <c r="AG129" s="4">
        <v>0.98693772862067397</v>
      </c>
      <c r="AH129" s="4">
        <v>0.99693465369308198</v>
      </c>
      <c r="AI129" s="4">
        <v>0.99949472010374796</v>
      </c>
      <c r="AJ129" s="4">
        <v>1</v>
      </c>
      <c r="AK129" s="4">
        <v>1</v>
      </c>
      <c r="AL129" s="4">
        <v>1</v>
      </c>
      <c r="AM129" s="4">
        <v>0</v>
      </c>
      <c r="AN129" s="4">
        <v>0</v>
      </c>
      <c r="AO129" s="4" t="s">
        <v>78</v>
      </c>
      <c r="AP129" s="4" t="s">
        <v>79</v>
      </c>
      <c r="AQ129" s="6">
        <v>5371924412.8599997</v>
      </c>
      <c r="AR129" s="4">
        <v>20964</v>
      </c>
      <c r="AS129" s="15">
        <v>0</v>
      </c>
      <c r="AT129" s="15">
        <v>66.964034495690598</v>
      </c>
      <c r="AU129" s="15">
        <v>66.964034495690598</v>
      </c>
      <c r="AV129" s="15">
        <v>33.035965504309303</v>
      </c>
      <c r="AW129" s="15">
        <v>33.035965504309303</v>
      </c>
      <c r="AX129" s="15">
        <v>0</v>
      </c>
      <c r="AY129">
        <v>2205.1880326340602</v>
      </c>
    </row>
    <row r="130" spans="1:51" x14ac:dyDescent="0.25">
      <c r="A130">
        <v>97</v>
      </c>
      <c r="B130" s="4">
        <v>0.973910442039013</v>
      </c>
      <c r="C130" s="4">
        <v>44.106171142447103</v>
      </c>
      <c r="D130" s="4">
        <v>27.183757055909599</v>
      </c>
      <c r="E130" s="4">
        <v>4.7320130719114298E-2</v>
      </c>
      <c r="F130" s="5">
        <v>2.60895579609869E-2</v>
      </c>
      <c r="G130" s="5">
        <v>0</v>
      </c>
      <c r="H130" s="4">
        <v>5.2439504527306902</v>
      </c>
      <c r="I130" s="4">
        <v>3.7219745079558701</v>
      </c>
      <c r="J130" s="4">
        <v>13.9541430361732</v>
      </c>
      <c r="K130" s="4">
        <v>162.73199149239801</v>
      </c>
      <c r="L130" s="4">
        <v>15.9141482645589</v>
      </c>
      <c r="M130" s="4">
        <v>36.169459299271601</v>
      </c>
      <c r="N130" s="4">
        <v>65.351666256464995</v>
      </c>
      <c r="O130" s="4">
        <v>61.8739327048362</v>
      </c>
      <c r="P130" s="4">
        <v>271939.58822083799</v>
      </c>
      <c r="Q130" s="4">
        <v>250869.374836934</v>
      </c>
      <c r="R130" s="4">
        <v>778.43785484015802</v>
      </c>
      <c r="S130" s="4">
        <v>0</v>
      </c>
      <c r="T130" s="4">
        <v>0</v>
      </c>
      <c r="U130" s="4">
        <v>2.50797809795393E-2</v>
      </c>
      <c r="V130" s="4">
        <v>0.32896083365780998</v>
      </c>
      <c r="W130" s="4">
        <v>0</v>
      </c>
      <c r="X130" s="4">
        <v>0.72400655226285004</v>
      </c>
      <c r="Y130" s="4">
        <v>0</v>
      </c>
      <c r="Z130" s="5">
        <v>4.4736571943522301E-4</v>
      </c>
      <c r="AA130" s="5">
        <v>6.5345171891145997E-4</v>
      </c>
      <c r="AB130" s="10">
        <v>3.9919847506482004E-3</v>
      </c>
      <c r="AC130" s="10">
        <v>8.1232066316245305E-6</v>
      </c>
      <c r="AD130" s="10">
        <v>2.0988617275955E-2</v>
      </c>
      <c r="AE130" s="4">
        <v>-6.30896204176581E-3</v>
      </c>
      <c r="AF130" s="4">
        <v>0.84009366075193603</v>
      </c>
      <c r="AG130" s="4">
        <v>0.98653978453454505</v>
      </c>
      <c r="AH130" s="4">
        <v>0.99740945695906902</v>
      </c>
      <c r="AI130" s="4">
        <v>0.99926471125791405</v>
      </c>
      <c r="AJ130" s="4">
        <v>1</v>
      </c>
      <c r="AK130" s="4">
        <v>1</v>
      </c>
      <c r="AL130" s="4">
        <v>1</v>
      </c>
      <c r="AM130" s="4">
        <v>0</v>
      </c>
      <c r="AN130" s="4">
        <v>0</v>
      </c>
      <c r="AO130" s="4" t="s">
        <v>80</v>
      </c>
      <c r="AP130" s="4" t="s">
        <v>81</v>
      </c>
      <c r="AQ130" s="6">
        <v>13676896577.360001</v>
      </c>
      <c r="AR130" s="4">
        <v>54518</v>
      </c>
      <c r="AS130" s="15">
        <v>0</v>
      </c>
      <c r="AT130" s="15">
        <v>67.103916634218905</v>
      </c>
      <c r="AU130" s="15">
        <v>67.103916634218905</v>
      </c>
      <c r="AV130" s="15">
        <v>32.896083365781003</v>
      </c>
      <c r="AW130" s="15">
        <v>32.896083365781003</v>
      </c>
      <c r="AX130" s="15">
        <v>0</v>
      </c>
      <c r="AY130">
        <v>2425.0501523237399</v>
      </c>
    </row>
    <row r="131" spans="1:51" x14ac:dyDescent="0.25">
      <c r="A131">
        <v>97</v>
      </c>
      <c r="B131" s="4">
        <v>0.96918600062915605</v>
      </c>
      <c r="C131" s="4">
        <v>41.5255824206847</v>
      </c>
      <c r="D131" s="4">
        <v>31.311253925403101</v>
      </c>
      <c r="E131" s="4">
        <v>4.37300864949315E-2</v>
      </c>
      <c r="F131" s="5">
        <v>3.0813999370843701E-2</v>
      </c>
      <c r="G131" s="5">
        <v>0</v>
      </c>
      <c r="H131" s="4">
        <v>5.3866835131610298</v>
      </c>
      <c r="I131" s="4">
        <v>3.6742414017541498</v>
      </c>
      <c r="J131" s="4">
        <v>28.739008956545501</v>
      </c>
      <c r="K131" s="4">
        <v>184.21087175120201</v>
      </c>
      <c r="L131" s="4">
        <v>15.4064097916386</v>
      </c>
      <c r="M131" s="4">
        <v>37.638587185095602</v>
      </c>
      <c r="N131" s="4">
        <v>69.217315277148401</v>
      </c>
      <c r="O131" s="4">
        <v>64.848874196635194</v>
      </c>
      <c r="P131" s="4">
        <v>279528.26083682402</v>
      </c>
      <c r="Q131" s="4">
        <v>259154.72291148899</v>
      </c>
      <c r="R131" s="4">
        <v>777.53517943268798</v>
      </c>
      <c r="S131" s="4">
        <v>0</v>
      </c>
      <c r="T131" s="4">
        <v>0</v>
      </c>
      <c r="U131" s="4">
        <v>2.9845573088348398E-2</v>
      </c>
      <c r="V131" s="4">
        <v>0.30028449668260598</v>
      </c>
      <c r="W131" s="4">
        <v>0</v>
      </c>
      <c r="X131" s="4">
        <v>0.67116564685123903</v>
      </c>
      <c r="Y131" s="4">
        <v>0</v>
      </c>
      <c r="Z131" s="5">
        <v>4.4682849035121598E-4</v>
      </c>
      <c r="AA131" s="5">
        <v>8.5731119087694904E-4</v>
      </c>
      <c r="AB131" s="10">
        <v>3.7609579371743001E-3</v>
      </c>
      <c r="AC131" s="10">
        <v>1.74501448003322E-5</v>
      </c>
      <c r="AD131" s="10">
        <v>2.5731436392256401E-2</v>
      </c>
      <c r="AE131" s="4">
        <v>4.7000378225220598E-3</v>
      </c>
      <c r="AF131" s="4">
        <v>0.79385594220579903</v>
      </c>
      <c r="AG131" s="4">
        <v>0.98041365220994303</v>
      </c>
      <c r="AH131" s="4">
        <v>0.99450896097572905</v>
      </c>
      <c r="AI131" s="4">
        <v>0.99807632794319101</v>
      </c>
      <c r="AJ131" s="4">
        <v>1</v>
      </c>
      <c r="AK131" s="4">
        <v>1</v>
      </c>
      <c r="AL131" s="4">
        <v>1</v>
      </c>
      <c r="AM131" s="4">
        <v>0</v>
      </c>
      <c r="AN131" s="4">
        <v>0</v>
      </c>
      <c r="AO131" s="4" t="s">
        <v>82</v>
      </c>
      <c r="AP131" s="4" t="s">
        <v>83</v>
      </c>
      <c r="AQ131" s="6">
        <v>6403454048.4200001</v>
      </c>
      <c r="AR131" s="4">
        <v>24709</v>
      </c>
      <c r="AS131" s="15">
        <v>0</v>
      </c>
      <c r="AT131" s="15">
        <v>69.971550331739294</v>
      </c>
      <c r="AU131" s="15">
        <v>69.971550331739294</v>
      </c>
      <c r="AV131" s="15">
        <v>30.028449668260599</v>
      </c>
      <c r="AW131" s="15">
        <v>30.028449668260599</v>
      </c>
      <c r="AX131" s="15">
        <v>0</v>
      </c>
      <c r="AY131">
        <v>2860.1966548696601</v>
      </c>
    </row>
    <row r="132" spans="1:51" x14ac:dyDescent="0.25">
      <c r="A132">
        <v>97</v>
      </c>
      <c r="B132" s="4">
        <v>0.96660881301408696</v>
      </c>
      <c r="C132" s="4">
        <v>37.052644492752698</v>
      </c>
      <c r="D132" s="4">
        <v>33.471304816095</v>
      </c>
      <c r="E132" s="4">
        <v>3.7838169652353301E-2</v>
      </c>
      <c r="F132" s="5">
        <v>3.3391186985912501E-2</v>
      </c>
      <c r="G132" s="5">
        <v>0</v>
      </c>
      <c r="H132" s="4">
        <v>5.4948867278319797</v>
      </c>
      <c r="I132" s="4">
        <v>3.6704199318889899</v>
      </c>
      <c r="J132" s="4">
        <v>41.263996953935703</v>
      </c>
      <c r="K132" s="4">
        <v>208.14902295197399</v>
      </c>
      <c r="L132" s="4">
        <v>15.672693656781499</v>
      </c>
      <c r="M132" s="4">
        <v>37.422384027670098</v>
      </c>
      <c r="N132" s="4">
        <v>78.959214316140503</v>
      </c>
      <c r="O132" s="4">
        <v>71.656854239044193</v>
      </c>
      <c r="P132" s="4">
        <v>274574.82309055497</v>
      </c>
      <c r="Q132" s="4">
        <v>254761.15270022201</v>
      </c>
      <c r="R132" s="4">
        <v>775.65877373740602</v>
      </c>
      <c r="S132" s="4">
        <v>0</v>
      </c>
      <c r="T132" s="4">
        <v>0</v>
      </c>
      <c r="U132" s="4">
        <v>2.2791785009136801E-2</v>
      </c>
      <c r="V132" s="4">
        <v>0.263465944353523</v>
      </c>
      <c r="W132" s="4">
        <v>0</v>
      </c>
      <c r="X132" s="4">
        <v>0.482186573954061</v>
      </c>
      <c r="Y132" s="4">
        <v>0</v>
      </c>
      <c r="Z132" s="5">
        <v>4.4560604042087599E-4</v>
      </c>
      <c r="AA132" s="5">
        <v>9.9275164089254503E-4</v>
      </c>
      <c r="AB132" s="10">
        <v>3.8411009480878501E-3</v>
      </c>
      <c r="AC132" s="10">
        <v>7.6864766527537002E-5</v>
      </c>
      <c r="AD132" s="10">
        <v>2.8034848063758201E-2</v>
      </c>
      <c r="AE132" s="4">
        <v>3.7903054673449697E-2</v>
      </c>
      <c r="AF132" s="4">
        <v>0.63450754458953695</v>
      </c>
      <c r="AG132" s="4">
        <v>0.91546237961551902</v>
      </c>
      <c r="AH132" s="4">
        <v>0.97599908216571396</v>
      </c>
      <c r="AI132" s="4">
        <v>0.99078251824687902</v>
      </c>
      <c r="AJ132" s="4">
        <v>1</v>
      </c>
      <c r="AK132" s="4">
        <v>1</v>
      </c>
      <c r="AL132" s="4">
        <v>1</v>
      </c>
      <c r="AM132" s="4">
        <v>0</v>
      </c>
      <c r="AN132" s="4">
        <v>0</v>
      </c>
      <c r="AO132" s="4" t="s">
        <v>84</v>
      </c>
      <c r="AP132" s="4" t="s">
        <v>85</v>
      </c>
      <c r="AQ132" s="6">
        <v>916121105.11000001</v>
      </c>
      <c r="AR132" s="4">
        <v>3596</v>
      </c>
      <c r="AS132" s="15">
        <v>0</v>
      </c>
      <c r="AT132" s="15">
        <v>73.653405564647599</v>
      </c>
      <c r="AU132" s="15">
        <v>73.653405564647599</v>
      </c>
      <c r="AV132" s="15">
        <v>26.346594435352301</v>
      </c>
      <c r="AW132" s="15">
        <v>26.346594435352301</v>
      </c>
      <c r="AX132" s="15">
        <v>0</v>
      </c>
      <c r="AY132">
        <v>3108.4242104977702</v>
      </c>
    </row>
    <row r="133" spans="1:51" x14ac:dyDescent="0.25">
      <c r="A133">
        <v>97</v>
      </c>
      <c r="B133" s="4">
        <v>0.96659129655595999</v>
      </c>
      <c r="C133" s="4">
        <v>34.341607142168797</v>
      </c>
      <c r="D133" s="4">
        <v>33.4857706179329</v>
      </c>
      <c r="E133" s="4">
        <v>3.4451291354717001E-2</v>
      </c>
      <c r="F133" s="5">
        <v>3.3408703444039803E-2</v>
      </c>
      <c r="G133" s="5">
        <v>0</v>
      </c>
      <c r="H133" s="4">
        <v>5.4921254425275299</v>
      </c>
      <c r="I133" s="4">
        <v>3.6556027119444701</v>
      </c>
      <c r="J133" s="4">
        <v>42.3685487719398</v>
      </c>
      <c r="K133" s="4">
        <v>232.20992092417401</v>
      </c>
      <c r="L133" s="4">
        <v>15.296587053947301</v>
      </c>
      <c r="M133" s="4">
        <v>35.803611725478198</v>
      </c>
      <c r="N133" s="4">
        <v>86.981575897974295</v>
      </c>
      <c r="O133" s="4">
        <v>75.157305227225507</v>
      </c>
      <c r="P133" s="4">
        <v>281144.61146103998</v>
      </c>
      <c r="Q133" s="4">
        <v>261019.520506912</v>
      </c>
      <c r="R133" s="4">
        <v>778.15277872154195</v>
      </c>
      <c r="S133" s="4">
        <v>0</v>
      </c>
      <c r="T133" s="4">
        <v>0</v>
      </c>
      <c r="U133" s="4">
        <v>1.0950428245378001E-2</v>
      </c>
      <c r="V133" s="4">
        <v>0.213892304286838</v>
      </c>
      <c r="W133" s="4">
        <v>0</v>
      </c>
      <c r="X133" s="4">
        <v>0.24164736866056999</v>
      </c>
      <c r="Y133" s="4">
        <v>0</v>
      </c>
      <c r="Z133" s="5">
        <v>4.5418907949004901E-4</v>
      </c>
      <c r="AA133" s="5">
        <v>1.0867688280056899E-3</v>
      </c>
      <c r="AB133" s="10">
        <v>3.9097385917449103E-3</v>
      </c>
      <c r="AC133" s="10">
        <v>3.6608169962016598E-4</v>
      </c>
      <c r="AD133" s="10">
        <v>2.7591908920227701E-2</v>
      </c>
      <c r="AE133" s="4">
        <v>8.9261420602844602E-2</v>
      </c>
      <c r="AF133" s="4">
        <v>0.42925328618292602</v>
      </c>
      <c r="AG133" s="4">
        <v>0.72155098188672195</v>
      </c>
      <c r="AH133" s="4">
        <v>0.83787515480583297</v>
      </c>
      <c r="AI133" s="4">
        <v>0.98175486087711294</v>
      </c>
      <c r="AJ133" s="4">
        <v>1</v>
      </c>
      <c r="AK133" s="4">
        <v>1</v>
      </c>
      <c r="AL133" s="4">
        <v>1</v>
      </c>
      <c r="AM133" s="4">
        <v>0</v>
      </c>
      <c r="AN133" s="4">
        <v>0</v>
      </c>
      <c r="AO133" s="4" t="s">
        <v>86</v>
      </c>
      <c r="AP133" s="4" t="s">
        <v>87</v>
      </c>
      <c r="AQ133" s="6">
        <v>113282471.90000001</v>
      </c>
      <c r="AR133" s="4">
        <v>434</v>
      </c>
      <c r="AS133" s="15">
        <v>0</v>
      </c>
      <c r="AT133" s="15">
        <v>78.610769571316098</v>
      </c>
      <c r="AU133" s="15">
        <v>78.610769571316098</v>
      </c>
      <c r="AV133" s="15">
        <v>21.389230428683799</v>
      </c>
      <c r="AW133" s="15">
        <v>21.389230428683799</v>
      </c>
      <c r="AX133" s="15">
        <v>0</v>
      </c>
      <c r="AY133">
        <v>3264.9183065628899</v>
      </c>
    </row>
    <row r="134" spans="1:51" x14ac:dyDescent="0.25">
      <c r="A134">
        <v>97</v>
      </c>
      <c r="B134" s="4">
        <v>0.96856618577197995</v>
      </c>
      <c r="C134" s="4">
        <v>86.5289243380698</v>
      </c>
      <c r="D134" s="4">
        <v>31.8365385416216</v>
      </c>
      <c r="E134" s="4">
        <v>0.15384448457170499</v>
      </c>
      <c r="F134" s="5">
        <v>3.1433814228019302E-2</v>
      </c>
      <c r="G134" s="5">
        <v>0</v>
      </c>
      <c r="H134" s="4">
        <v>5.3898897410292896</v>
      </c>
      <c r="I134" s="4">
        <v>3.6359111191731301</v>
      </c>
      <c r="J134" s="4">
        <v>35.222487972689201</v>
      </c>
      <c r="K134" s="4">
        <v>254.97823537785101</v>
      </c>
      <c r="L134" s="4">
        <v>13.9770839986061</v>
      </c>
      <c r="M134" s="4">
        <v>36.520121195186299</v>
      </c>
      <c r="N134" s="4">
        <v>90.915794046843899</v>
      </c>
      <c r="O134" s="4">
        <v>75.934593344940595</v>
      </c>
      <c r="P134" s="4">
        <v>300055.06642833003</v>
      </c>
      <c r="Q134" s="4">
        <v>285614.64399999997</v>
      </c>
      <c r="R134" s="4">
        <v>776.66316762805695</v>
      </c>
      <c r="S134" s="4">
        <v>0</v>
      </c>
      <c r="T134" s="4">
        <v>0</v>
      </c>
      <c r="U134" s="4">
        <v>0</v>
      </c>
      <c r="V134" s="4">
        <v>0.31513295935904401</v>
      </c>
      <c r="W134" s="4">
        <v>0</v>
      </c>
      <c r="X134" s="4">
        <v>0.247307279757919</v>
      </c>
      <c r="Y134" s="4">
        <v>0</v>
      </c>
      <c r="Z134" s="5">
        <v>5.0009393581686699E-4</v>
      </c>
      <c r="AA134" s="5">
        <v>6.70340809806586E-4</v>
      </c>
      <c r="AB134" s="10">
        <v>3.8426655784630798E-3</v>
      </c>
      <c r="AC134" s="10">
        <v>2.3045849866176E-4</v>
      </c>
      <c r="AD134" s="10">
        <v>2.6190236764057601E-2</v>
      </c>
      <c r="AE134" s="4">
        <v>0.11049626184761301</v>
      </c>
      <c r="AF134" s="4">
        <v>0.36306355262839102</v>
      </c>
      <c r="AG134" s="4">
        <v>0.45685609173456798</v>
      </c>
      <c r="AH134" s="4">
        <v>0.93049474965529599</v>
      </c>
      <c r="AI134" s="4">
        <v>1</v>
      </c>
      <c r="AJ134" s="4">
        <v>1</v>
      </c>
      <c r="AK134" s="4">
        <v>1</v>
      </c>
      <c r="AL134" s="4">
        <v>1</v>
      </c>
      <c r="AM134" s="4">
        <v>0</v>
      </c>
      <c r="AN134" s="4">
        <v>0</v>
      </c>
      <c r="AO134" s="4" t="s">
        <v>154</v>
      </c>
      <c r="AP134" s="4" t="s">
        <v>155</v>
      </c>
      <c r="AQ134" s="6">
        <v>4284219.66</v>
      </c>
      <c r="AR134" s="4">
        <v>15</v>
      </c>
      <c r="AS134" s="15">
        <v>0</v>
      </c>
      <c r="AT134" s="15">
        <v>68.486704064095505</v>
      </c>
      <c r="AU134" s="15">
        <v>68.486704064095505</v>
      </c>
      <c r="AV134" s="15">
        <v>31.513295935904399</v>
      </c>
      <c r="AW134" s="15">
        <v>31.513295935904399</v>
      </c>
      <c r="AX134" s="15">
        <v>0</v>
      </c>
      <c r="AY134">
        <v>3735.86264209099</v>
      </c>
    </row>
    <row r="138" spans="1:51" x14ac:dyDescent="0.25">
      <c r="F138" t="s">
        <v>167</v>
      </c>
    </row>
    <row r="139" spans="1:51" x14ac:dyDescent="0.25">
      <c r="A139" t="s">
        <v>20</v>
      </c>
      <c r="B139" t="s">
        <v>21</v>
      </c>
      <c r="C139" t="s">
        <v>22</v>
      </c>
      <c r="D139" t="s">
        <v>23</v>
      </c>
      <c r="E139" t="s">
        <v>94</v>
      </c>
      <c r="F139" t="s">
        <v>95</v>
      </c>
      <c r="G139" t="s">
        <v>24</v>
      </c>
      <c r="H139" t="s">
        <v>25</v>
      </c>
      <c r="I139" t="s">
        <v>26</v>
      </c>
      <c r="J139" t="s">
        <v>27</v>
      </c>
      <c r="K139" t="s">
        <v>28</v>
      </c>
      <c r="L139" t="s">
        <v>29</v>
      </c>
      <c r="M139" t="s">
        <v>30</v>
      </c>
      <c r="N139" t="s">
        <v>31</v>
      </c>
      <c r="O139" t="s">
        <v>32</v>
      </c>
      <c r="P139" t="s">
        <v>33</v>
      </c>
      <c r="Q139" t="s">
        <v>34</v>
      </c>
      <c r="R139" t="s">
        <v>35</v>
      </c>
      <c r="S139" t="s">
        <v>36</v>
      </c>
      <c r="T139" t="s">
        <v>37</v>
      </c>
      <c r="U139" t="s">
        <v>38</v>
      </c>
      <c r="V139" t="s">
        <v>39</v>
      </c>
      <c r="W139" t="s">
        <v>40</v>
      </c>
      <c r="X139" t="s">
        <v>41</v>
      </c>
      <c r="Y139" t="s">
        <v>42</v>
      </c>
      <c r="Z139" t="s">
        <v>43</v>
      </c>
      <c r="AA139" t="s">
        <v>44</v>
      </c>
      <c r="AB139" t="s">
        <v>45</v>
      </c>
      <c r="AC139" t="s">
        <v>46</v>
      </c>
      <c r="AD139" t="s">
        <v>47</v>
      </c>
      <c r="AE139" t="s">
        <v>48</v>
      </c>
      <c r="AF139" t="s">
        <v>49</v>
      </c>
      <c r="AG139" t="s">
        <v>50</v>
      </c>
      <c r="AH139" t="s">
        <v>51</v>
      </c>
      <c r="AI139" t="s">
        <v>52</v>
      </c>
      <c r="AJ139" t="s">
        <v>53</v>
      </c>
      <c r="AK139" t="s">
        <v>54</v>
      </c>
      <c r="AL139" t="s">
        <v>55</v>
      </c>
      <c r="AM139" t="s">
        <v>56</v>
      </c>
      <c r="AN139" t="s">
        <v>57</v>
      </c>
      <c r="AO139" t="s">
        <v>58</v>
      </c>
      <c r="AP139" t="s">
        <v>59</v>
      </c>
      <c r="AQ139" t="s">
        <v>60</v>
      </c>
      <c r="AR139" t="s">
        <v>61</v>
      </c>
      <c r="AS139" t="s">
        <v>116</v>
      </c>
      <c r="AT139" t="s">
        <v>117</v>
      </c>
      <c r="AU139" t="s">
        <v>118</v>
      </c>
      <c r="AV139" t="s">
        <v>119</v>
      </c>
      <c r="AW139" t="s">
        <v>120</v>
      </c>
      <c r="AX139" t="s">
        <v>121</v>
      </c>
      <c r="AY139" t="s">
        <v>171</v>
      </c>
    </row>
    <row r="140" spans="1:51" x14ac:dyDescent="0.25">
      <c r="A140">
        <v>96</v>
      </c>
      <c r="B140" s="4">
        <v>0.98119233181778098</v>
      </c>
      <c r="C140" s="4">
        <v>0</v>
      </c>
      <c r="D140" s="4">
        <v>20.374944956723901</v>
      </c>
      <c r="E140" s="4">
        <v>0</v>
      </c>
      <c r="F140" s="5">
        <v>1.8807668182218101E-2</v>
      </c>
      <c r="G140" s="5">
        <v>0</v>
      </c>
      <c r="H140" s="4">
        <v>5.0073041679842198</v>
      </c>
      <c r="I140" s="4">
        <v>3.8587570826493698</v>
      </c>
      <c r="J140" s="4">
        <v>-7.7679575478322702</v>
      </c>
      <c r="K140" s="4">
        <v>45.850296896758998</v>
      </c>
      <c r="L140" s="4">
        <v>100</v>
      </c>
      <c r="M140" s="4">
        <v>38.235944426876998</v>
      </c>
      <c r="N140" s="4">
        <v>54.294377770750799</v>
      </c>
      <c r="O140" s="4">
        <v>6.1854485354935402</v>
      </c>
      <c r="P140" s="4">
        <v>28883.501833127801</v>
      </c>
      <c r="Q140" s="4">
        <v>26580.115000000002</v>
      </c>
      <c r="R140" s="4">
        <v>778.29216671936797</v>
      </c>
      <c r="S140" s="4">
        <v>0</v>
      </c>
      <c r="T140" s="4">
        <v>0</v>
      </c>
      <c r="U140" s="4">
        <v>0</v>
      </c>
      <c r="V140" s="4">
        <v>0.35281111462459802</v>
      </c>
      <c r="W140" s="4">
        <v>0</v>
      </c>
      <c r="X140" s="4">
        <v>0</v>
      </c>
      <c r="Y140" s="4">
        <v>0</v>
      </c>
      <c r="Z140" s="5">
        <v>1.03643553667487E-2</v>
      </c>
      <c r="AA140" s="5">
        <v>4.1857955041014599E-4</v>
      </c>
      <c r="AB140" s="10">
        <v>6.9299003284109097E-3</v>
      </c>
      <c r="AC140" s="10">
        <v>0</v>
      </c>
      <c r="AD140" s="10">
        <v>1.0948164647594601E-3</v>
      </c>
      <c r="AE140" s="4">
        <v>-6.4847236463565106E-2</v>
      </c>
      <c r="AF140" s="4">
        <v>1</v>
      </c>
      <c r="AG140" s="4">
        <v>1</v>
      </c>
      <c r="AH140" s="4">
        <v>1</v>
      </c>
      <c r="AI140" s="4">
        <v>1</v>
      </c>
      <c r="AJ140" s="4">
        <v>1</v>
      </c>
      <c r="AK140" s="4">
        <v>1</v>
      </c>
      <c r="AL140" s="4">
        <v>1</v>
      </c>
      <c r="AM140" s="4">
        <v>0</v>
      </c>
      <c r="AN140" s="4">
        <v>0</v>
      </c>
      <c r="AO140" s="4" t="s">
        <v>70</v>
      </c>
      <c r="AP140" s="4" t="s">
        <v>71</v>
      </c>
      <c r="AQ140" s="6">
        <v>53160.23</v>
      </c>
      <c r="AR140" s="4">
        <v>2</v>
      </c>
      <c r="AS140" s="15">
        <v>0</v>
      </c>
      <c r="AT140" s="15">
        <v>64.718888537540096</v>
      </c>
      <c r="AU140" s="15">
        <v>64.718888537540096</v>
      </c>
      <c r="AV140" s="15">
        <v>35.281111462459798</v>
      </c>
      <c r="AW140" s="15">
        <v>35.281111462459798</v>
      </c>
      <c r="AX140" s="15">
        <v>0</v>
      </c>
      <c r="AY140" s="31">
        <v>2048.3802431046602</v>
      </c>
    </row>
    <row r="141" spans="1:51" x14ac:dyDescent="0.25">
      <c r="A141">
        <v>96</v>
      </c>
      <c r="B141" s="4">
        <v>0.97659978999999997</v>
      </c>
      <c r="C141" s="4">
        <v>0</v>
      </c>
      <c r="D141" s="4">
        <v>24.733881701348601</v>
      </c>
      <c r="E141" s="4">
        <v>0</v>
      </c>
      <c r="F141" s="5">
        <v>2.3400210000000001E-2</v>
      </c>
      <c r="G141" s="5">
        <v>0</v>
      </c>
      <c r="H141" s="4">
        <v>5.25</v>
      </c>
      <c r="I141" s="4">
        <v>3.8890630000000002</v>
      </c>
      <c r="J141" s="4">
        <v>15.349500000000001</v>
      </c>
      <c r="K141" s="4">
        <v>58.82</v>
      </c>
      <c r="L141" s="4">
        <v>100</v>
      </c>
      <c r="M141" s="4">
        <v>36</v>
      </c>
      <c r="N141" s="4">
        <v>53</v>
      </c>
      <c r="O141" s="4">
        <v>2.17</v>
      </c>
      <c r="P141" s="4">
        <v>16446.75</v>
      </c>
      <c r="Q141" s="4">
        <v>16446.75</v>
      </c>
      <c r="R141" s="4">
        <v>788</v>
      </c>
      <c r="S141" s="4">
        <v>0</v>
      </c>
      <c r="T141" s="4">
        <v>0</v>
      </c>
      <c r="U141" s="4">
        <v>0</v>
      </c>
      <c r="V141" s="4">
        <v>1</v>
      </c>
      <c r="W141" s="4">
        <v>0</v>
      </c>
      <c r="X141" s="4">
        <v>0</v>
      </c>
      <c r="Y141" s="4">
        <v>0</v>
      </c>
      <c r="Z141" s="5">
        <v>1.4091060000000001E-2</v>
      </c>
      <c r="AA141" s="5">
        <v>5.9011999999999997E-4</v>
      </c>
      <c r="AB141" s="10">
        <v>8.0348499999999996E-3</v>
      </c>
      <c r="AC141" s="10">
        <v>0</v>
      </c>
      <c r="AD141" s="10">
        <v>6.8418000000000005E-4</v>
      </c>
      <c r="AE141" s="4">
        <v>-3.6703079895407401E-2</v>
      </c>
      <c r="AF141" s="4">
        <v>1</v>
      </c>
      <c r="AG141" s="4">
        <v>1</v>
      </c>
      <c r="AH141" s="4">
        <v>1</v>
      </c>
      <c r="AI141" s="4">
        <v>1</v>
      </c>
      <c r="AJ141" s="4">
        <v>1</v>
      </c>
      <c r="AK141" s="4">
        <v>1</v>
      </c>
      <c r="AL141" s="4">
        <v>1</v>
      </c>
      <c r="AM141" s="4">
        <v>0</v>
      </c>
      <c r="AN141" s="4">
        <v>0</v>
      </c>
      <c r="AO141" s="4" t="s">
        <v>150</v>
      </c>
      <c r="AP141" s="4" t="s">
        <v>134</v>
      </c>
      <c r="AQ141" s="6">
        <v>16446.75</v>
      </c>
      <c r="AR141" s="4">
        <v>1</v>
      </c>
      <c r="AS141" s="15">
        <v>0</v>
      </c>
      <c r="AT141" s="15">
        <v>0</v>
      </c>
      <c r="AU141" s="15">
        <v>0</v>
      </c>
      <c r="AV141" s="15">
        <v>100</v>
      </c>
      <c r="AW141" s="15">
        <v>100</v>
      </c>
      <c r="AX141" s="15">
        <v>0</v>
      </c>
      <c r="AY141" s="31">
        <v>2114.96</v>
      </c>
    </row>
    <row r="142" spans="1:51" x14ac:dyDescent="0.25">
      <c r="A142">
        <v>96</v>
      </c>
      <c r="B142" s="4">
        <v>0.96519014999999997</v>
      </c>
      <c r="C142" s="4">
        <v>0</v>
      </c>
      <c r="D142" s="4">
        <v>34.633598957569497</v>
      </c>
      <c r="E142" s="4">
        <v>0</v>
      </c>
      <c r="F142" s="5">
        <v>3.4809850000000003E-2</v>
      </c>
      <c r="G142" s="5">
        <v>0</v>
      </c>
      <c r="H142" s="4">
        <v>5</v>
      </c>
      <c r="I142" s="4">
        <v>4.1538250000000003</v>
      </c>
      <c r="J142" s="4">
        <v>-14.481199999999999</v>
      </c>
      <c r="K142" s="4">
        <v>65.92</v>
      </c>
      <c r="L142" s="4">
        <v>17.18</v>
      </c>
      <c r="M142" s="4">
        <v>26</v>
      </c>
      <c r="N142" s="4">
        <v>95</v>
      </c>
      <c r="O142" s="4">
        <v>79.180000000000007</v>
      </c>
      <c r="P142" s="4">
        <v>232170.07</v>
      </c>
      <c r="Q142" s="4">
        <v>232170.07</v>
      </c>
      <c r="R142" s="4">
        <v>770</v>
      </c>
      <c r="S142" s="4">
        <v>0</v>
      </c>
      <c r="T142" s="4">
        <v>0</v>
      </c>
      <c r="U142" s="4">
        <v>0</v>
      </c>
      <c r="V142" s="4">
        <v>0</v>
      </c>
      <c r="W142" s="4">
        <v>0</v>
      </c>
      <c r="X142" s="4">
        <v>1</v>
      </c>
      <c r="Y142" s="4">
        <v>0</v>
      </c>
      <c r="Z142" s="5">
        <v>8.03E-4</v>
      </c>
      <c r="AA142" s="5">
        <v>2.9902999999999999E-4</v>
      </c>
      <c r="AB142" s="10">
        <v>3.5227399999999999E-3</v>
      </c>
      <c r="AC142" s="10">
        <v>0</v>
      </c>
      <c r="AD142" s="10">
        <v>3.0185070000000001E-2</v>
      </c>
      <c r="AE142" s="4">
        <v>-2.60238420301135E-2</v>
      </c>
      <c r="AF142" s="4">
        <v>1</v>
      </c>
      <c r="AG142" s="4">
        <v>1</v>
      </c>
      <c r="AH142" s="4">
        <v>1</v>
      </c>
      <c r="AI142" s="4">
        <v>1</v>
      </c>
      <c r="AJ142" s="4">
        <v>1</v>
      </c>
      <c r="AK142" s="4">
        <v>1</v>
      </c>
      <c r="AL142" s="4">
        <v>1</v>
      </c>
      <c r="AM142" s="4">
        <v>0</v>
      </c>
      <c r="AN142" s="4">
        <v>0</v>
      </c>
      <c r="AO142" s="4" t="s">
        <v>152</v>
      </c>
      <c r="AP142" s="4" t="s">
        <v>136</v>
      </c>
      <c r="AQ142" s="6">
        <v>232170.07</v>
      </c>
      <c r="AR142" s="4">
        <v>1</v>
      </c>
      <c r="AS142" s="15">
        <v>0</v>
      </c>
      <c r="AT142" s="15">
        <v>100</v>
      </c>
      <c r="AU142" s="15">
        <v>100</v>
      </c>
      <c r="AV142" s="15">
        <v>0</v>
      </c>
      <c r="AW142" s="15">
        <v>0</v>
      </c>
      <c r="AX142" s="15">
        <v>0</v>
      </c>
      <c r="AY142" s="31">
        <v>2007.21</v>
      </c>
    </row>
    <row r="143" spans="1:51" x14ac:dyDescent="0.25">
      <c r="A143">
        <v>96</v>
      </c>
      <c r="B143" s="4">
        <v>0.964166549066095</v>
      </c>
      <c r="C143" s="4">
        <v>31.735277406766802</v>
      </c>
      <c r="D143" s="4">
        <v>35.460630377125597</v>
      </c>
      <c r="E143" s="4">
        <v>3.1313990262908799E-2</v>
      </c>
      <c r="F143" s="5">
        <v>3.5833450933904797E-2</v>
      </c>
      <c r="G143" s="5">
        <v>0</v>
      </c>
      <c r="H143" s="4">
        <v>4.9804384293016399</v>
      </c>
      <c r="I143" s="4">
        <v>4.0911030379198401</v>
      </c>
      <c r="J143" s="4">
        <v>-2.4334576543689899</v>
      </c>
      <c r="K143" s="4">
        <v>71.878077995950505</v>
      </c>
      <c r="L143" s="4">
        <v>29.082250803690801</v>
      </c>
      <c r="M143" s="4">
        <v>31.443907676979698</v>
      </c>
      <c r="N143" s="4">
        <v>84.867200245266901</v>
      </c>
      <c r="O143" s="4">
        <v>64.273713047745503</v>
      </c>
      <c r="P143" s="4">
        <v>231308.58544930001</v>
      </c>
      <c r="Q143" s="4">
        <v>89953.178181818104</v>
      </c>
      <c r="R143" s="4">
        <v>771.59719130041105</v>
      </c>
      <c r="S143" s="4">
        <v>0</v>
      </c>
      <c r="T143" s="4">
        <v>0</v>
      </c>
      <c r="U143" s="4">
        <v>0</v>
      </c>
      <c r="V143" s="4">
        <v>5.2587469343647199E-2</v>
      </c>
      <c r="W143" s="4">
        <v>0</v>
      </c>
      <c r="X143" s="4">
        <v>0.27504309918970299</v>
      </c>
      <c r="Y143" s="4">
        <v>0</v>
      </c>
      <c r="Z143" s="5">
        <v>2.1991696951558499E-3</v>
      </c>
      <c r="AA143" s="5">
        <v>2.1787541964447799E-4</v>
      </c>
      <c r="AB143" s="10">
        <v>4.6047121189032496E-3</v>
      </c>
      <c r="AC143" s="10">
        <v>0</v>
      </c>
      <c r="AD143" s="10">
        <v>2.8811680563163598E-2</v>
      </c>
      <c r="AE143" s="4">
        <v>-5.8853977838413201E-4</v>
      </c>
      <c r="AF143" s="4">
        <v>0.945650189569329</v>
      </c>
      <c r="AG143" s="4">
        <v>1</v>
      </c>
      <c r="AH143" s="4">
        <v>1</v>
      </c>
      <c r="AI143" s="4">
        <v>1</v>
      </c>
      <c r="AJ143" s="4">
        <v>1</v>
      </c>
      <c r="AK143" s="4">
        <v>1</v>
      </c>
      <c r="AL143" s="4">
        <v>1</v>
      </c>
      <c r="AM143" s="4">
        <v>0</v>
      </c>
      <c r="AN143" s="4">
        <v>0</v>
      </c>
      <c r="AO143" s="4" t="s">
        <v>72</v>
      </c>
      <c r="AP143" s="4" t="s">
        <v>73</v>
      </c>
      <c r="AQ143" s="6">
        <v>989484.96</v>
      </c>
      <c r="AR143" s="4">
        <v>11</v>
      </c>
      <c r="AS143" s="15">
        <v>0</v>
      </c>
      <c r="AT143" s="15">
        <v>94.741253065635206</v>
      </c>
      <c r="AU143" s="15">
        <v>94.741253065635206</v>
      </c>
      <c r="AV143" s="15">
        <v>5.2587469343647202</v>
      </c>
      <c r="AW143" s="15">
        <v>5.2587469343647202</v>
      </c>
      <c r="AX143" s="15">
        <v>0</v>
      </c>
      <c r="AY143">
        <v>2085.51504008964</v>
      </c>
    </row>
    <row r="144" spans="1:51" x14ac:dyDescent="0.25">
      <c r="A144">
        <v>96</v>
      </c>
      <c r="B144" s="4">
        <v>0.96999665376661104</v>
      </c>
      <c r="C144" s="4">
        <v>75.124019535480699</v>
      </c>
      <c r="D144" s="4">
        <v>30.618636124485299</v>
      </c>
      <c r="E144" s="4">
        <v>0.109470418065753</v>
      </c>
      <c r="F144" s="5">
        <v>3.0003346233388802E-2</v>
      </c>
      <c r="G144" s="5">
        <v>0</v>
      </c>
      <c r="H144" s="4">
        <v>5.0874262883111898</v>
      </c>
      <c r="I144" s="4">
        <v>3.8991321592864501</v>
      </c>
      <c r="J144" s="4">
        <v>4.6528774739591103</v>
      </c>
      <c r="K144" s="4">
        <v>92.496267748053299</v>
      </c>
      <c r="L144" s="4">
        <v>46.9228838633883</v>
      </c>
      <c r="M144" s="4">
        <v>34.635218935948203</v>
      </c>
      <c r="N144" s="4">
        <v>79.346613803623896</v>
      </c>
      <c r="O144" s="4">
        <v>48.924294121475803</v>
      </c>
      <c r="P144" s="4">
        <v>163922.02523695899</v>
      </c>
      <c r="Q144" s="4">
        <v>63864.501960784299</v>
      </c>
      <c r="R144" s="4">
        <v>775.13983581845503</v>
      </c>
      <c r="S144" s="4">
        <v>0</v>
      </c>
      <c r="T144" s="4">
        <v>0</v>
      </c>
      <c r="U144" s="4">
        <v>0</v>
      </c>
      <c r="V144" s="4">
        <v>0.34323436327941298</v>
      </c>
      <c r="W144" s="4">
        <v>0</v>
      </c>
      <c r="X144" s="4">
        <v>0.35260476254629203</v>
      </c>
      <c r="Y144" s="4">
        <v>0</v>
      </c>
      <c r="Z144" s="5">
        <v>3.5263311692951701E-3</v>
      </c>
      <c r="AA144" s="5">
        <v>4.4628964594606101E-4</v>
      </c>
      <c r="AB144" s="10">
        <v>5.1085607535648796E-3</v>
      </c>
      <c r="AC144" s="10">
        <v>2.3829554986942899E-5</v>
      </c>
      <c r="AD144" s="10">
        <v>2.0898321150485399E-2</v>
      </c>
      <c r="AE144" s="4">
        <v>1.3044208218705699E-2</v>
      </c>
      <c r="AF144" s="4">
        <v>0.848615567714194</v>
      </c>
      <c r="AG144" s="4">
        <v>0.98179977148924602</v>
      </c>
      <c r="AH144" s="4">
        <v>0.98179977148924602</v>
      </c>
      <c r="AI144" s="4">
        <v>0.99703063894834199</v>
      </c>
      <c r="AJ144" s="4">
        <v>1</v>
      </c>
      <c r="AK144" s="4">
        <v>1</v>
      </c>
      <c r="AL144" s="4">
        <v>1</v>
      </c>
      <c r="AM144" s="4">
        <v>0</v>
      </c>
      <c r="AN144" s="4">
        <v>0</v>
      </c>
      <c r="AO144" s="4" t="s">
        <v>74</v>
      </c>
      <c r="AP144" s="4" t="s">
        <v>75</v>
      </c>
      <c r="AQ144" s="6">
        <v>6514179.2000000002</v>
      </c>
      <c r="AR144" s="4">
        <v>102</v>
      </c>
      <c r="AS144" s="15">
        <v>0</v>
      </c>
      <c r="AT144" s="15">
        <v>65.676563672058606</v>
      </c>
      <c r="AU144" s="15">
        <v>65.676563672058606</v>
      </c>
      <c r="AV144" s="15">
        <v>34.323436327941302</v>
      </c>
      <c r="AW144" s="15">
        <v>34.323436327941302</v>
      </c>
      <c r="AX144" s="15">
        <v>0</v>
      </c>
      <c r="AY144">
        <v>2232.8265864746299</v>
      </c>
    </row>
    <row r="145" spans="1:51" x14ac:dyDescent="0.25">
      <c r="A145">
        <v>96</v>
      </c>
      <c r="B145" s="4">
        <v>0.96482394272026495</v>
      </c>
      <c r="C145" s="4">
        <v>41.152210633880102</v>
      </c>
      <c r="D145" s="4">
        <v>34.930590331637703</v>
      </c>
      <c r="E145" s="4">
        <v>4.3222737079615603E-2</v>
      </c>
      <c r="F145" s="5">
        <v>3.5176057279734101E-2</v>
      </c>
      <c r="G145" s="5">
        <v>0</v>
      </c>
      <c r="H145" s="4">
        <v>5.1566288950098702</v>
      </c>
      <c r="I145" s="4">
        <v>3.8626142054681698</v>
      </c>
      <c r="J145" s="4">
        <v>7.4998932782244001</v>
      </c>
      <c r="K145" s="4">
        <v>117.342308486322</v>
      </c>
      <c r="L145" s="4">
        <v>30.356748064891601</v>
      </c>
      <c r="M145" s="4">
        <v>36.270305423053998</v>
      </c>
      <c r="N145" s="4">
        <v>79.198828528754305</v>
      </c>
      <c r="O145" s="4">
        <v>56.200870835114401</v>
      </c>
      <c r="P145" s="4">
        <v>182615.02382989501</v>
      </c>
      <c r="Q145" s="4">
        <v>124724.042230046</v>
      </c>
      <c r="R145" s="4">
        <v>777.94792253176399</v>
      </c>
      <c r="S145" s="4">
        <v>0</v>
      </c>
      <c r="T145" s="4">
        <v>0</v>
      </c>
      <c r="U145" s="4">
        <v>1.2453105771508301E-2</v>
      </c>
      <c r="V145" s="4">
        <v>0.35469301511771101</v>
      </c>
      <c r="W145" s="4">
        <v>0</v>
      </c>
      <c r="X145" s="4">
        <v>0.45074757667843401</v>
      </c>
      <c r="Y145" s="4">
        <v>0</v>
      </c>
      <c r="Z145" s="5">
        <v>1.6673738032852701E-3</v>
      </c>
      <c r="AA145" s="5">
        <v>5.1598675583165298E-4</v>
      </c>
      <c r="AB145" s="10">
        <v>4.9197501347803298E-3</v>
      </c>
      <c r="AC145" s="10">
        <v>5.0875095141999104E-6</v>
      </c>
      <c r="AD145" s="10">
        <v>2.8067843467998899E-2</v>
      </c>
      <c r="AE145" s="4">
        <v>-8.7515520667380293E-3</v>
      </c>
      <c r="AF145" s="4">
        <v>0.81499603835543499</v>
      </c>
      <c r="AG145" s="4">
        <v>0.99409152754433705</v>
      </c>
      <c r="AH145" s="4">
        <v>1</v>
      </c>
      <c r="AI145" s="4">
        <v>1</v>
      </c>
      <c r="AJ145" s="4">
        <v>1</v>
      </c>
      <c r="AK145" s="4">
        <v>1</v>
      </c>
      <c r="AL145" s="4">
        <v>1</v>
      </c>
      <c r="AM145" s="4">
        <v>0</v>
      </c>
      <c r="AN145" s="4">
        <v>0</v>
      </c>
      <c r="AO145" s="4" t="s">
        <v>76</v>
      </c>
      <c r="AP145" s="4" t="s">
        <v>77</v>
      </c>
      <c r="AQ145" s="6">
        <v>53132441.990000002</v>
      </c>
      <c r="AR145" s="4">
        <v>426</v>
      </c>
      <c r="AS145" s="15">
        <v>0</v>
      </c>
      <c r="AT145" s="15">
        <v>64.530698488228794</v>
      </c>
      <c r="AU145" s="15">
        <v>64.530698488228794</v>
      </c>
      <c r="AV145" s="15">
        <v>35.4693015117711</v>
      </c>
      <c r="AW145" s="15">
        <v>35.4693015117711</v>
      </c>
      <c r="AX145" s="15">
        <v>0</v>
      </c>
      <c r="AY145">
        <v>2251.1840630444199</v>
      </c>
    </row>
    <row r="146" spans="1:51" x14ac:dyDescent="0.25">
      <c r="A146">
        <v>96</v>
      </c>
      <c r="B146" s="4">
        <v>0.94982991492128199</v>
      </c>
      <c r="C146" s="4">
        <v>42.593394175043898</v>
      </c>
      <c r="D146" s="4">
        <v>46.079970274674402</v>
      </c>
      <c r="E146" s="4">
        <v>4.5197628195578002E-2</v>
      </c>
      <c r="F146" s="5">
        <v>5.0170085078717799E-2</v>
      </c>
      <c r="G146" s="5">
        <v>0</v>
      </c>
      <c r="H146" s="4">
        <v>5.14599848903873</v>
      </c>
      <c r="I146" s="4">
        <v>3.8623083493636798</v>
      </c>
      <c r="J146" s="4">
        <v>5.7406040455530798</v>
      </c>
      <c r="K146" s="4">
        <v>140.24589755189501</v>
      </c>
      <c r="L146" s="4">
        <v>15.5735861940892</v>
      </c>
      <c r="M146" s="4">
        <v>35.9830764752734</v>
      </c>
      <c r="N146" s="4">
        <v>61.597253376050702</v>
      </c>
      <c r="O146" s="4">
        <v>58.063223113101998</v>
      </c>
      <c r="P146" s="4">
        <v>281106.91761845798</v>
      </c>
      <c r="Q146" s="4">
        <v>256245.20191089399</v>
      </c>
      <c r="R146" s="4">
        <v>779.24518118946196</v>
      </c>
      <c r="S146" s="4">
        <v>0</v>
      </c>
      <c r="T146" s="4">
        <v>0</v>
      </c>
      <c r="U146" s="4">
        <v>2.9072545076421201E-2</v>
      </c>
      <c r="V146" s="4">
        <v>0.330359655043093</v>
      </c>
      <c r="W146" s="4">
        <v>0</v>
      </c>
      <c r="X146" s="4">
        <v>0.75179068932019399</v>
      </c>
      <c r="Y146" s="4">
        <v>0</v>
      </c>
      <c r="Z146" s="5">
        <v>4.6621188782963198E-4</v>
      </c>
      <c r="AA146" s="5">
        <v>4.75825117473808E-4</v>
      </c>
      <c r="AB146" s="10">
        <v>4.2176460484573E-3</v>
      </c>
      <c r="AC146" s="10">
        <v>8.1820361629714505E-6</v>
      </c>
      <c r="AD146" s="10">
        <v>4.50022047545975E-2</v>
      </c>
      <c r="AE146" s="4">
        <v>-7.2979565237926399E-3</v>
      </c>
      <c r="AF146" s="4">
        <v>0.78579818138815105</v>
      </c>
      <c r="AG146" s="4">
        <v>0.98693772862067397</v>
      </c>
      <c r="AH146" s="4">
        <v>0.99693465369308198</v>
      </c>
      <c r="AI146" s="4">
        <v>0.99949472010374796</v>
      </c>
      <c r="AJ146" s="4">
        <v>1</v>
      </c>
      <c r="AK146" s="4">
        <v>1</v>
      </c>
      <c r="AL146" s="4">
        <v>1</v>
      </c>
      <c r="AM146" s="4">
        <v>0</v>
      </c>
      <c r="AN146" s="4">
        <v>0</v>
      </c>
      <c r="AO146" s="4" t="s">
        <v>78</v>
      </c>
      <c r="AP146" s="4" t="s">
        <v>79</v>
      </c>
      <c r="AQ146" s="6">
        <v>5371924412.8599997</v>
      </c>
      <c r="AR146" s="4">
        <v>20964</v>
      </c>
      <c r="AS146" s="15">
        <v>0</v>
      </c>
      <c r="AT146" s="15">
        <v>66.964034495690598</v>
      </c>
      <c r="AU146" s="15">
        <v>66.964034495690598</v>
      </c>
      <c r="AV146" s="15">
        <v>33.035965504309303</v>
      </c>
      <c r="AW146" s="15">
        <v>33.035965504309303</v>
      </c>
      <c r="AX146" s="15">
        <v>0</v>
      </c>
      <c r="AY146">
        <v>2205.1880326340602</v>
      </c>
    </row>
    <row r="147" spans="1:51" x14ac:dyDescent="0.25">
      <c r="A147">
        <v>96</v>
      </c>
      <c r="B147" s="4">
        <v>0.95046077387578498</v>
      </c>
      <c r="C147" s="4">
        <v>44.106171142447103</v>
      </c>
      <c r="D147" s="4">
        <v>45.648645020266599</v>
      </c>
      <c r="E147" s="4">
        <v>4.7320130719114298E-2</v>
      </c>
      <c r="F147" s="5">
        <v>4.95392261242142E-2</v>
      </c>
      <c r="G147" s="5">
        <v>0</v>
      </c>
      <c r="H147" s="4">
        <v>5.2439504527306902</v>
      </c>
      <c r="I147" s="4">
        <v>3.7219745079558701</v>
      </c>
      <c r="J147" s="4">
        <v>13.9541430361732</v>
      </c>
      <c r="K147" s="4">
        <v>162.73199149239801</v>
      </c>
      <c r="L147" s="4">
        <v>15.9141482645589</v>
      </c>
      <c r="M147" s="4">
        <v>36.169459299271601</v>
      </c>
      <c r="N147" s="4">
        <v>65.351666256464995</v>
      </c>
      <c r="O147" s="4">
        <v>61.8739327048362</v>
      </c>
      <c r="P147" s="4">
        <v>271939.58822083799</v>
      </c>
      <c r="Q147" s="4">
        <v>250869.374836934</v>
      </c>
      <c r="R147" s="4">
        <v>778.43785484015802</v>
      </c>
      <c r="S147" s="4">
        <v>0</v>
      </c>
      <c r="T147" s="4">
        <v>0</v>
      </c>
      <c r="U147" s="4">
        <v>2.50797809795393E-2</v>
      </c>
      <c r="V147" s="4">
        <v>0.32896083365780998</v>
      </c>
      <c r="W147" s="4">
        <v>0</v>
      </c>
      <c r="X147" s="4">
        <v>0.72400655226285004</v>
      </c>
      <c r="Y147" s="4">
        <v>0</v>
      </c>
      <c r="Z147" s="5">
        <v>4.4736571943522301E-4</v>
      </c>
      <c r="AA147" s="5">
        <v>6.5345171891145997E-4</v>
      </c>
      <c r="AB147" s="10">
        <v>3.9919847506482004E-3</v>
      </c>
      <c r="AC147" s="10">
        <v>8.1232066316245305E-6</v>
      </c>
      <c r="AD147" s="10">
        <v>4.4438285422921699E-2</v>
      </c>
      <c r="AE147" s="4">
        <v>-6.30896204176581E-3</v>
      </c>
      <c r="AF147" s="4">
        <v>0.84009366075193603</v>
      </c>
      <c r="AG147" s="4">
        <v>0.98653978453454505</v>
      </c>
      <c r="AH147" s="4">
        <v>0.99740945695906902</v>
      </c>
      <c r="AI147" s="4">
        <v>0.99926471125791405</v>
      </c>
      <c r="AJ147" s="4">
        <v>1</v>
      </c>
      <c r="AK147" s="4">
        <v>1</v>
      </c>
      <c r="AL147" s="4">
        <v>1</v>
      </c>
      <c r="AM147" s="4">
        <v>0</v>
      </c>
      <c r="AN147" s="4">
        <v>0</v>
      </c>
      <c r="AO147" s="4" t="s">
        <v>80</v>
      </c>
      <c r="AP147" s="4" t="s">
        <v>81</v>
      </c>
      <c r="AQ147" s="6">
        <v>13676896577.360001</v>
      </c>
      <c r="AR147" s="4">
        <v>54518</v>
      </c>
      <c r="AS147" s="15">
        <v>0</v>
      </c>
      <c r="AT147" s="15">
        <v>67.103916634218905</v>
      </c>
      <c r="AU147" s="15">
        <v>67.103916634218905</v>
      </c>
      <c r="AV147" s="15">
        <v>32.896083365781003</v>
      </c>
      <c r="AW147" s="15">
        <v>32.896083365781003</v>
      </c>
      <c r="AX147" s="15">
        <v>0</v>
      </c>
      <c r="AY147">
        <v>2425.0501523237399</v>
      </c>
    </row>
    <row r="148" spans="1:51" x14ac:dyDescent="0.25">
      <c r="A148">
        <v>96</v>
      </c>
      <c r="B148" s="4">
        <v>0.95094103930237295</v>
      </c>
      <c r="C148" s="4">
        <v>41.5255824206847</v>
      </c>
      <c r="D148" s="4">
        <v>45.318164347307402</v>
      </c>
      <c r="E148" s="4">
        <v>4.37300864949315E-2</v>
      </c>
      <c r="F148" s="5">
        <v>4.9058960697626899E-2</v>
      </c>
      <c r="G148" s="5">
        <v>0</v>
      </c>
      <c r="H148" s="4">
        <v>5.3866835131610298</v>
      </c>
      <c r="I148" s="4">
        <v>3.6742414017541498</v>
      </c>
      <c r="J148" s="4">
        <v>28.739008956545501</v>
      </c>
      <c r="K148" s="4">
        <v>184.21087175120201</v>
      </c>
      <c r="L148" s="4">
        <v>15.4064097916386</v>
      </c>
      <c r="M148" s="4">
        <v>37.638587185095602</v>
      </c>
      <c r="N148" s="4">
        <v>69.217315277148401</v>
      </c>
      <c r="O148" s="4">
        <v>64.848874196635194</v>
      </c>
      <c r="P148" s="4">
        <v>279528.26083682402</v>
      </c>
      <c r="Q148" s="4">
        <v>259154.72291148899</v>
      </c>
      <c r="R148" s="4">
        <v>777.53517943268798</v>
      </c>
      <c r="S148" s="4">
        <v>0</v>
      </c>
      <c r="T148" s="4">
        <v>0</v>
      </c>
      <c r="U148" s="4">
        <v>2.9845573088348398E-2</v>
      </c>
      <c r="V148" s="4">
        <v>0.30028449668260598</v>
      </c>
      <c r="W148" s="4">
        <v>0</v>
      </c>
      <c r="X148" s="4">
        <v>0.67116564685123903</v>
      </c>
      <c r="Y148" s="4">
        <v>0</v>
      </c>
      <c r="Z148" s="5">
        <v>4.4682849035121598E-4</v>
      </c>
      <c r="AA148" s="5">
        <v>8.5731119087694904E-4</v>
      </c>
      <c r="AB148" s="10">
        <v>3.7609579371743001E-3</v>
      </c>
      <c r="AC148" s="10">
        <v>1.74501448003322E-5</v>
      </c>
      <c r="AD148" s="10">
        <v>4.3976397694021702E-2</v>
      </c>
      <c r="AE148" s="4">
        <v>4.7000378225220598E-3</v>
      </c>
      <c r="AF148" s="4">
        <v>0.79385594220579903</v>
      </c>
      <c r="AG148" s="4">
        <v>0.98041365220994303</v>
      </c>
      <c r="AH148" s="4">
        <v>0.99450896097572905</v>
      </c>
      <c r="AI148" s="4">
        <v>0.99807632794319101</v>
      </c>
      <c r="AJ148" s="4">
        <v>1</v>
      </c>
      <c r="AK148" s="4">
        <v>1</v>
      </c>
      <c r="AL148" s="4">
        <v>1</v>
      </c>
      <c r="AM148" s="4">
        <v>0</v>
      </c>
      <c r="AN148" s="4">
        <v>0</v>
      </c>
      <c r="AO148" s="4" t="s">
        <v>82</v>
      </c>
      <c r="AP148" s="4" t="s">
        <v>83</v>
      </c>
      <c r="AQ148" s="6">
        <v>6403454048.4200001</v>
      </c>
      <c r="AR148" s="4">
        <v>24709</v>
      </c>
      <c r="AS148" s="15">
        <v>0</v>
      </c>
      <c r="AT148" s="15">
        <v>69.971550331739294</v>
      </c>
      <c r="AU148" s="15">
        <v>69.971550331739294</v>
      </c>
      <c r="AV148" s="15">
        <v>30.028449668260599</v>
      </c>
      <c r="AW148" s="15">
        <v>30.028449668260599</v>
      </c>
      <c r="AX148" s="15">
        <v>0</v>
      </c>
      <c r="AY148">
        <v>2860.1966548696601</v>
      </c>
    </row>
    <row r="149" spans="1:51" x14ac:dyDescent="0.25">
      <c r="A149">
        <v>96</v>
      </c>
      <c r="B149" s="4">
        <v>0.95098782866841103</v>
      </c>
      <c r="C149" s="4">
        <v>37.052644492752698</v>
      </c>
      <c r="D149" s="4">
        <v>45.285869336596903</v>
      </c>
      <c r="E149" s="4">
        <v>3.7838169652353301E-2</v>
      </c>
      <c r="F149" s="5">
        <v>4.9012171331588097E-2</v>
      </c>
      <c r="G149" s="5">
        <v>0</v>
      </c>
      <c r="H149" s="4">
        <v>5.4948867278319797</v>
      </c>
      <c r="I149" s="4">
        <v>3.6704199318889899</v>
      </c>
      <c r="J149" s="4">
        <v>41.263996953935703</v>
      </c>
      <c r="K149" s="4">
        <v>208.14902295197399</v>
      </c>
      <c r="L149" s="4">
        <v>15.672693656781499</v>
      </c>
      <c r="M149" s="4">
        <v>37.422384027670098</v>
      </c>
      <c r="N149" s="4">
        <v>78.959214316140503</v>
      </c>
      <c r="O149" s="4">
        <v>71.656854239044193</v>
      </c>
      <c r="P149" s="4">
        <v>274574.82309055497</v>
      </c>
      <c r="Q149" s="4">
        <v>254761.15270022201</v>
      </c>
      <c r="R149" s="4">
        <v>775.65877373740602</v>
      </c>
      <c r="S149" s="4">
        <v>0</v>
      </c>
      <c r="T149" s="4">
        <v>0</v>
      </c>
      <c r="U149" s="4">
        <v>2.2791785009136801E-2</v>
      </c>
      <c r="V149" s="4">
        <v>0.263465944353523</v>
      </c>
      <c r="W149" s="4">
        <v>0</v>
      </c>
      <c r="X149" s="4">
        <v>0.482186573954061</v>
      </c>
      <c r="Y149" s="4">
        <v>0</v>
      </c>
      <c r="Z149" s="5">
        <v>4.4560604042087599E-4</v>
      </c>
      <c r="AA149" s="5">
        <v>9.9275164089254503E-4</v>
      </c>
      <c r="AB149" s="10">
        <v>3.8411009480878501E-3</v>
      </c>
      <c r="AC149" s="10">
        <v>7.6864766527537002E-5</v>
      </c>
      <c r="AD149" s="10">
        <v>4.3655832422771601E-2</v>
      </c>
      <c r="AE149" s="4">
        <v>3.7903054673449697E-2</v>
      </c>
      <c r="AF149" s="4">
        <v>0.63450754458953695</v>
      </c>
      <c r="AG149" s="4">
        <v>0.91546237961551902</v>
      </c>
      <c r="AH149" s="4">
        <v>0.97599908216571396</v>
      </c>
      <c r="AI149" s="4">
        <v>0.99078251824687902</v>
      </c>
      <c r="AJ149" s="4">
        <v>1</v>
      </c>
      <c r="AK149" s="4">
        <v>1</v>
      </c>
      <c r="AL149" s="4">
        <v>1</v>
      </c>
      <c r="AM149" s="4">
        <v>0</v>
      </c>
      <c r="AN149" s="4">
        <v>0</v>
      </c>
      <c r="AO149" s="4" t="s">
        <v>84</v>
      </c>
      <c r="AP149" s="4" t="s">
        <v>85</v>
      </c>
      <c r="AQ149" s="6">
        <v>916121105.11000001</v>
      </c>
      <c r="AR149" s="4">
        <v>3596</v>
      </c>
      <c r="AS149" s="15">
        <v>0</v>
      </c>
      <c r="AT149" s="15">
        <v>73.653405564647599</v>
      </c>
      <c r="AU149" s="15">
        <v>73.653405564647599</v>
      </c>
      <c r="AV149" s="15">
        <v>26.346594435352301</v>
      </c>
      <c r="AW149" s="15">
        <v>26.346594435352301</v>
      </c>
      <c r="AX149" s="15">
        <v>0</v>
      </c>
      <c r="AY149">
        <v>3108.4242104977702</v>
      </c>
    </row>
    <row r="150" spans="1:51" x14ac:dyDescent="0.25">
      <c r="A150">
        <v>96</v>
      </c>
      <c r="B150" s="4">
        <v>0.94956951338927098</v>
      </c>
      <c r="C150" s="4">
        <v>34.341607142168797</v>
      </c>
      <c r="D150" s="4">
        <v>46.257093010161697</v>
      </c>
      <c r="E150" s="4">
        <v>3.4451291354717001E-2</v>
      </c>
      <c r="F150" s="5">
        <v>5.0430486610728298E-2</v>
      </c>
      <c r="G150" s="5">
        <v>0</v>
      </c>
      <c r="H150" s="4">
        <v>5.4921254425275299</v>
      </c>
      <c r="I150" s="4">
        <v>3.6556027119444701</v>
      </c>
      <c r="J150" s="4">
        <v>42.3685487719398</v>
      </c>
      <c r="K150" s="4">
        <v>232.20992092417401</v>
      </c>
      <c r="L150" s="4">
        <v>15.296587053947301</v>
      </c>
      <c r="M150" s="4">
        <v>35.803611725478198</v>
      </c>
      <c r="N150" s="4">
        <v>86.981575897974295</v>
      </c>
      <c r="O150" s="4">
        <v>75.157305227225507</v>
      </c>
      <c r="P150" s="4">
        <v>281144.61146103998</v>
      </c>
      <c r="Q150" s="4">
        <v>261019.520506912</v>
      </c>
      <c r="R150" s="4">
        <v>778.15277872154195</v>
      </c>
      <c r="S150" s="4">
        <v>0</v>
      </c>
      <c r="T150" s="4">
        <v>0</v>
      </c>
      <c r="U150" s="4">
        <v>1.0950428245378001E-2</v>
      </c>
      <c r="V150" s="4">
        <v>0.213892304286838</v>
      </c>
      <c r="W150" s="4">
        <v>0</v>
      </c>
      <c r="X150" s="4">
        <v>0.24164736866056999</v>
      </c>
      <c r="Y150" s="4">
        <v>0</v>
      </c>
      <c r="Z150" s="5">
        <v>4.5418907949004901E-4</v>
      </c>
      <c r="AA150" s="5">
        <v>1.0867688280056899E-3</v>
      </c>
      <c r="AB150" s="10">
        <v>3.9097385917449103E-3</v>
      </c>
      <c r="AC150" s="10">
        <v>3.6608169962016598E-4</v>
      </c>
      <c r="AD150" s="10">
        <v>4.4613692712079399E-2</v>
      </c>
      <c r="AE150" s="4">
        <v>8.9261420602844602E-2</v>
      </c>
      <c r="AF150" s="4">
        <v>0.42925328618292602</v>
      </c>
      <c r="AG150" s="4">
        <v>0.72155098188672195</v>
      </c>
      <c r="AH150" s="4">
        <v>0.83787515480583297</v>
      </c>
      <c r="AI150" s="4">
        <v>0.98175486087711294</v>
      </c>
      <c r="AJ150" s="4">
        <v>1</v>
      </c>
      <c r="AK150" s="4">
        <v>1</v>
      </c>
      <c r="AL150" s="4">
        <v>1</v>
      </c>
      <c r="AM150" s="4">
        <v>0</v>
      </c>
      <c r="AN150" s="4">
        <v>0</v>
      </c>
      <c r="AO150" s="4" t="s">
        <v>86</v>
      </c>
      <c r="AP150" s="4" t="s">
        <v>87</v>
      </c>
      <c r="AQ150" s="6">
        <v>113282471.90000001</v>
      </c>
      <c r="AR150" s="4">
        <v>434</v>
      </c>
      <c r="AS150" s="15">
        <v>0</v>
      </c>
      <c r="AT150" s="15">
        <v>78.610769571316098</v>
      </c>
      <c r="AU150" s="15">
        <v>78.610769571316098</v>
      </c>
      <c r="AV150" s="15">
        <v>21.389230428683799</v>
      </c>
      <c r="AW150" s="15">
        <v>21.389230428683799</v>
      </c>
      <c r="AX150" s="15">
        <v>0</v>
      </c>
      <c r="AY150">
        <v>3264.9183065628899</v>
      </c>
    </row>
    <row r="151" spans="1:51" x14ac:dyDescent="0.25">
      <c r="A151">
        <v>96</v>
      </c>
      <c r="B151" s="4">
        <v>0.95112132541473204</v>
      </c>
      <c r="C151" s="4">
        <v>86.5289243380698</v>
      </c>
      <c r="D151" s="4">
        <v>45.193630927001699</v>
      </c>
      <c r="E151" s="4">
        <v>0.15384448457170499</v>
      </c>
      <c r="F151" s="5">
        <v>4.88786745852672E-2</v>
      </c>
      <c r="G151" s="5">
        <v>0</v>
      </c>
      <c r="H151" s="4">
        <v>5.3898897410292896</v>
      </c>
      <c r="I151" s="4">
        <v>3.6359111191731301</v>
      </c>
      <c r="J151" s="4">
        <v>35.222487972689201</v>
      </c>
      <c r="K151" s="4">
        <v>254.97823537785101</v>
      </c>
      <c r="L151" s="4">
        <v>13.9770839986061</v>
      </c>
      <c r="M151" s="4">
        <v>36.520121195186299</v>
      </c>
      <c r="N151" s="4">
        <v>90.915794046843899</v>
      </c>
      <c r="O151" s="4">
        <v>75.934593344940595</v>
      </c>
      <c r="P151" s="4">
        <v>300055.06642833003</v>
      </c>
      <c r="Q151" s="4">
        <v>285614.64399999997</v>
      </c>
      <c r="R151" s="4">
        <v>776.66316762805695</v>
      </c>
      <c r="S151" s="4">
        <v>0</v>
      </c>
      <c r="T151" s="4">
        <v>0</v>
      </c>
      <c r="U151" s="4">
        <v>0</v>
      </c>
      <c r="V151" s="4">
        <v>0.31513295935904401</v>
      </c>
      <c r="W151" s="4">
        <v>0</v>
      </c>
      <c r="X151" s="4">
        <v>0.247307279757919</v>
      </c>
      <c r="Y151" s="4">
        <v>0</v>
      </c>
      <c r="Z151" s="5">
        <v>5.0009393581686699E-4</v>
      </c>
      <c r="AA151" s="5">
        <v>6.70340809806586E-4</v>
      </c>
      <c r="AB151" s="10">
        <v>3.8426655784630798E-3</v>
      </c>
      <c r="AC151" s="10">
        <v>2.3045849866176E-4</v>
      </c>
      <c r="AD151" s="10">
        <v>4.3635094972077702E-2</v>
      </c>
      <c r="AE151" s="4">
        <v>0.11049626184761301</v>
      </c>
      <c r="AF151" s="4">
        <v>0.36306355262839102</v>
      </c>
      <c r="AG151" s="4">
        <v>0.45685609173456798</v>
      </c>
      <c r="AH151" s="4">
        <v>0.93049474965529599</v>
      </c>
      <c r="AI151" s="4">
        <v>1</v>
      </c>
      <c r="AJ151" s="4">
        <v>1</v>
      </c>
      <c r="AK151" s="4">
        <v>1</v>
      </c>
      <c r="AL151" s="4">
        <v>1</v>
      </c>
      <c r="AM151" s="4">
        <v>0</v>
      </c>
      <c r="AN151" s="4">
        <v>0</v>
      </c>
      <c r="AO151" s="4" t="s">
        <v>154</v>
      </c>
      <c r="AP151" s="4" t="s">
        <v>155</v>
      </c>
      <c r="AQ151" s="6">
        <v>4284219.66</v>
      </c>
      <c r="AR151" s="4">
        <v>15</v>
      </c>
      <c r="AS151" s="15">
        <v>0</v>
      </c>
      <c r="AT151" s="15">
        <v>68.486704064095505</v>
      </c>
      <c r="AU151" s="15">
        <v>68.486704064095505</v>
      </c>
      <c r="AV151" s="15">
        <v>31.513295935904399</v>
      </c>
      <c r="AW151" s="15">
        <v>31.513295935904399</v>
      </c>
      <c r="AX151" s="15">
        <v>0</v>
      </c>
      <c r="AY151">
        <v>3735.86264209099</v>
      </c>
    </row>
    <row r="152" spans="1:51" s="17" customFormat="1" x14ac:dyDescent="0.25">
      <c r="A152" s="15"/>
      <c r="B152" s="20"/>
      <c r="C152" s="21"/>
      <c r="D152" s="16"/>
      <c r="E152" s="16"/>
      <c r="F152" s="20"/>
      <c r="G152" s="21"/>
      <c r="H152" s="21"/>
      <c r="K152" s="15"/>
      <c r="L152" s="15"/>
      <c r="M152" s="23"/>
      <c r="N152" s="16"/>
      <c r="O152" s="21"/>
      <c r="P152" s="22"/>
      <c r="X152" s="18"/>
      <c r="Y152" s="16"/>
      <c r="Z152" s="16"/>
      <c r="AC152" s="18"/>
      <c r="AD152" s="16"/>
      <c r="AE152" s="16"/>
    </row>
    <row r="153" spans="1:51" x14ac:dyDescent="0.25">
      <c r="L153" s="4" t="s">
        <v>160</v>
      </c>
      <c r="M153" s="35" t="s">
        <v>159</v>
      </c>
      <c r="O153" s="4"/>
      <c r="P153" s="30"/>
    </row>
    <row r="154" spans="1:51" s="35" customFormat="1" x14ac:dyDescent="0.25">
      <c r="L154" t="s">
        <v>153</v>
      </c>
      <c r="M154" s="4">
        <v>1.05</v>
      </c>
      <c r="O154" s="35" t="s">
        <v>169</v>
      </c>
      <c r="P154" s="35" t="s">
        <v>170</v>
      </c>
    </row>
    <row r="155" spans="1:51" s="35" customFormat="1" x14ac:dyDescent="0.25">
      <c r="L155" s="35" t="s">
        <v>184</v>
      </c>
      <c r="M155" s="39">
        <v>1</v>
      </c>
      <c r="O155" s="39">
        <v>1</v>
      </c>
      <c r="P155" s="35">
        <f>1-O155</f>
        <v>0</v>
      </c>
    </row>
    <row r="156" spans="1:51" s="35" customFormat="1" x14ac:dyDescent="0.25">
      <c r="M156" s="39"/>
    </row>
    <row r="157" spans="1:51" x14ac:dyDescent="0.25">
      <c r="K157" t="s">
        <v>98</v>
      </c>
      <c r="L157" t="s">
        <v>89</v>
      </c>
      <c r="M157" t="s">
        <v>90</v>
      </c>
    </row>
    <row r="158" spans="1:51" x14ac:dyDescent="0.25">
      <c r="A158" s="4" t="s">
        <v>93</v>
      </c>
      <c r="B158" t="str">
        <f>AQ122</f>
        <v>Balance</v>
      </c>
      <c r="C158" s="2" t="str">
        <f t="shared" ref="C158:C169" si="15">AO122</f>
        <v>groupByColumn</v>
      </c>
      <c r="D158" t="str">
        <f>E122</f>
        <v>PREPAY_SMM1</v>
      </c>
      <c r="E158" t="str">
        <f>F122</f>
        <v>PREPAY_TRACKING_SMM1</v>
      </c>
      <c r="G158" t="str">
        <f>C122</f>
        <v>PREPAY_CPR1</v>
      </c>
      <c r="H158" t="str">
        <f>D122</f>
        <v>PREPAY_TRACKING_CPR1</v>
      </c>
      <c r="I158" t="s">
        <v>168</v>
      </c>
      <c r="K158" t="s">
        <v>92</v>
      </c>
      <c r="L158" t="s">
        <v>92</v>
      </c>
      <c r="M158" t="s">
        <v>92</v>
      </c>
      <c r="O158" t="s">
        <v>163</v>
      </c>
      <c r="P158" t="s">
        <v>164</v>
      </c>
      <c r="Q158" t="s">
        <v>165</v>
      </c>
      <c r="S158" t="s">
        <v>96</v>
      </c>
      <c r="T158" t="s">
        <v>97</v>
      </c>
      <c r="U158" t="s">
        <v>185</v>
      </c>
      <c r="V158" t="s">
        <v>91</v>
      </c>
    </row>
    <row r="159" spans="1:51" s="35" customFormat="1" x14ac:dyDescent="0.25">
      <c r="A159" s="14">
        <f t="shared" ref="A159:A169" si="16">K123</f>
        <v>45.850296896758998</v>
      </c>
      <c r="B159" s="32">
        <f t="shared" ref="B159:B169" si="17">AQ123/1000000000</f>
        <v>5.3160230000000002E-5</v>
      </c>
      <c r="C159" s="33" t="str">
        <f t="shared" si="15"/>
        <v>10:25-50</v>
      </c>
      <c r="D159" s="34">
        <f t="shared" ref="D159:D169" si="18">E123</f>
        <v>0</v>
      </c>
      <c r="E159" s="34">
        <f t="shared" ref="E159:E169" si="19">Z123+AA123+AB123+AC123+AD123</f>
        <v>1.7946352990852271E-2</v>
      </c>
      <c r="F159" s="32"/>
      <c r="G159" s="33">
        <f t="shared" ref="G159:H169" si="20">(1-(1-D159)^12)*100</f>
        <v>0</v>
      </c>
      <c r="H159" s="33">
        <f t="shared" si="20"/>
        <v>19.532121108265709</v>
      </c>
      <c r="I159" s="33">
        <f t="shared" ref="I159:I169" si="21">(1-(1-SUM(Z140,AA140,AB140,AC140,AD140*M159))^12)*100</f>
        <v>20.428220054051248</v>
      </c>
      <c r="K159" s="14">
        <f>VLOOKUP($C159,'Refi Adj'!$B$2:$E$39,2,0)</f>
        <v>1</v>
      </c>
      <c r="L159" s="14">
        <f>VLOOKUP($C159,'Refi Adj'!$B$2:$E$39,3,0)</f>
        <v>1</v>
      </c>
      <c r="M159" s="14">
        <f>VLOOKUP($C159,'Refi Adj'!$B$2:$E$39,4,0)</f>
        <v>1.05</v>
      </c>
      <c r="O159" s="40">
        <f t="shared" ref="O159:O169" si="22">AD140*M159</f>
        <v>1.149557287997433E-3</v>
      </c>
      <c r="P159" s="40">
        <f t="shared" ref="P159:P169" si="23">AD123</f>
        <v>2.3351774528251599E-4</v>
      </c>
      <c r="Q159" s="40">
        <f t="shared" ref="Q159:Q169" si="24">(O159*$O$79+P159*$P$79)</f>
        <v>1.149557287997433E-3</v>
      </c>
      <c r="R159" s="14"/>
      <c r="S159" s="34">
        <f>Z123+AA123+AB123*K159+AC123*L159+Q159*$M$154</f>
        <v>1.891987039796706E-2</v>
      </c>
      <c r="T159" s="33">
        <f t="shared" ref="T159:T169" si="25">100*(1-(1-S159)^12)</f>
        <v>20.484140560023224</v>
      </c>
      <c r="U159" s="33">
        <f>100*(1-(1-S159*$M$155)^12)</f>
        <v>20.484140560023224</v>
      </c>
      <c r="V159" s="36">
        <f t="shared" ref="V159:V169" si="26">D159/S159</f>
        <v>0</v>
      </c>
      <c r="X159" s="37"/>
      <c r="Y159" s="34"/>
      <c r="Z159" s="34"/>
      <c r="AD159" s="34"/>
      <c r="AE159" s="34"/>
      <c r="AJ159" s="34"/>
    </row>
    <row r="160" spans="1:51" s="35" customFormat="1" x14ac:dyDescent="0.25">
      <c r="A160" s="14">
        <f t="shared" si="16"/>
        <v>58.82</v>
      </c>
      <c r="B160" s="32">
        <f t="shared" si="17"/>
        <v>1.644675E-5</v>
      </c>
      <c r="C160" s="33" t="str">
        <f t="shared" si="15"/>
        <v>11-2:55-60</v>
      </c>
      <c r="D160" s="34">
        <f t="shared" si="18"/>
        <v>0</v>
      </c>
      <c r="E160" s="34">
        <f t="shared" si="19"/>
        <v>2.2871409999999998E-2</v>
      </c>
      <c r="F160" s="32"/>
      <c r="G160" s="33">
        <f t="shared" si="20"/>
        <v>0</v>
      </c>
      <c r="H160" s="33">
        <f t="shared" si="20"/>
        <v>24.243370013597353</v>
      </c>
      <c r="I160" s="33">
        <f t="shared" si="21"/>
        <v>24.797132669784759</v>
      </c>
      <c r="K160" s="14">
        <f>VLOOKUP($C160,'Refi Adj'!$B$2:$E$39,2,0)</f>
        <v>1</v>
      </c>
      <c r="L160" s="14">
        <f>VLOOKUP($C160,'Refi Adj'!$B$2:$E$39,3,0)</f>
        <v>1</v>
      </c>
      <c r="M160" s="14">
        <f>VLOOKUP($C160,'Refi Adj'!$B$2:$E$39,4,0)</f>
        <v>1.1000000000000001</v>
      </c>
      <c r="O160" s="40">
        <f t="shared" si="22"/>
        <v>7.5259800000000016E-4</v>
      </c>
      <c r="P160" s="40">
        <f t="shared" si="23"/>
        <v>1.5537999999999999E-4</v>
      </c>
      <c r="Q160" s="40">
        <f t="shared" si="24"/>
        <v>7.5259800000000016E-4</v>
      </c>
      <c r="R160" s="14"/>
      <c r="S160" s="34">
        <f t="shared" ref="S160:S169" si="27">Z124+AA124+AB124*K160+AC124*L160+Q160*$M$154</f>
        <v>2.3506257899999997E-2</v>
      </c>
      <c r="T160" s="33">
        <f t="shared" si="25"/>
        <v>24.83189993002236</v>
      </c>
      <c r="U160" s="33">
        <f t="shared" ref="U160:U169" si="28">100*(1-(1-S160*$M$155)^12)</f>
        <v>24.83189993002236</v>
      </c>
      <c r="V160" s="36">
        <f t="shared" si="26"/>
        <v>0</v>
      </c>
      <c r="X160" s="37"/>
      <c r="Y160" s="34"/>
      <c r="Z160" s="34"/>
      <c r="AC160" s="37"/>
      <c r="AD160" s="34"/>
      <c r="AE160" s="34"/>
      <c r="AJ160" s="34"/>
    </row>
    <row r="161" spans="1:36" s="35" customFormat="1" x14ac:dyDescent="0.25">
      <c r="A161" s="14">
        <f t="shared" si="16"/>
        <v>65.92</v>
      </c>
      <c r="B161" s="32">
        <f t="shared" si="17"/>
        <v>2.3217007000000001E-4</v>
      </c>
      <c r="C161" s="33" t="str">
        <f t="shared" si="15"/>
        <v>11-4:65-70</v>
      </c>
      <c r="D161" s="34">
        <f t="shared" si="18"/>
        <v>0</v>
      </c>
      <c r="E161" s="34">
        <f t="shared" si="19"/>
        <v>1.1734890000000001E-2</v>
      </c>
      <c r="F161" s="32"/>
      <c r="G161" s="33">
        <f t="shared" si="20"/>
        <v>0</v>
      </c>
      <c r="H161" s="33">
        <f t="shared" si="20"/>
        <v>13.207627900865004</v>
      </c>
      <c r="I161" s="33">
        <f t="shared" si="21"/>
        <v>37.044932550470442</v>
      </c>
      <c r="K161" s="14">
        <f>VLOOKUP($C161,'Refi Adj'!$B$2:$E$39,2,0)</f>
        <v>1</v>
      </c>
      <c r="L161" s="14">
        <f>VLOOKUP($C161,'Refi Adj'!$B$2:$E$39,3,0)</f>
        <v>1</v>
      </c>
      <c r="M161" s="14">
        <f>VLOOKUP($C161,'Refi Adj'!$B$2:$E$39,4,0)</f>
        <v>1.1000000000000001</v>
      </c>
      <c r="O161" s="40">
        <f t="shared" si="22"/>
        <v>3.3203577000000005E-2</v>
      </c>
      <c r="P161" s="40">
        <f t="shared" si="23"/>
        <v>7.1101200000000002E-3</v>
      </c>
      <c r="Q161" s="40">
        <f t="shared" si="24"/>
        <v>3.3203577000000005E-2</v>
      </c>
      <c r="R161" s="14"/>
      <c r="S161" s="34">
        <f t="shared" si="27"/>
        <v>3.9488525850000004E-2</v>
      </c>
      <c r="T161" s="33">
        <f t="shared" si="25"/>
        <v>38.336142824142719</v>
      </c>
      <c r="U161" s="33">
        <f t="shared" si="28"/>
        <v>38.336142824142719</v>
      </c>
      <c r="V161" s="36">
        <f t="shared" si="26"/>
        <v>0</v>
      </c>
      <c r="X161" s="37"/>
      <c r="Y161" s="34"/>
      <c r="Z161" s="34"/>
      <c r="AC161" s="37"/>
      <c r="AD161" s="34"/>
      <c r="AE161" s="34"/>
      <c r="AJ161" s="34"/>
    </row>
    <row r="162" spans="1:36" s="35" customFormat="1" x14ac:dyDescent="0.25">
      <c r="A162" s="14">
        <f t="shared" si="16"/>
        <v>71.878077995950505</v>
      </c>
      <c r="B162" s="32">
        <f t="shared" si="17"/>
        <v>9.8948495999999996E-4</v>
      </c>
      <c r="C162" s="33" t="str">
        <f t="shared" si="15"/>
        <v>11:50-75</v>
      </c>
      <c r="D162" s="34">
        <f t="shared" si="18"/>
        <v>3.1313990262908799E-2</v>
      </c>
      <c r="E162" s="34">
        <f t="shared" si="19"/>
        <v>1.4035759971041086E-2</v>
      </c>
      <c r="F162" s="32"/>
      <c r="G162" s="33">
        <f t="shared" si="20"/>
        <v>31.735277406766691</v>
      </c>
      <c r="H162" s="33">
        <f t="shared" si="20"/>
        <v>15.601648205293229</v>
      </c>
      <c r="I162" s="33">
        <f t="shared" si="21"/>
        <v>37.73727504427751</v>
      </c>
      <c r="K162" s="14">
        <f>VLOOKUP($C162,'Refi Adj'!$B$2:$E$39,2,0)</f>
        <v>1</v>
      </c>
      <c r="L162" s="14">
        <f>VLOOKUP($C162,'Refi Adj'!$B$2:$E$39,3,0)</f>
        <v>1</v>
      </c>
      <c r="M162" s="14">
        <f>VLOOKUP($C162,'Refi Adj'!$B$2:$E$39,4,0)</f>
        <v>1.1000000000000001</v>
      </c>
      <c r="O162" s="40">
        <f t="shared" si="22"/>
        <v>3.1692848619479963E-2</v>
      </c>
      <c r="P162" s="40">
        <f t="shared" si="23"/>
        <v>7.0140027373375097E-3</v>
      </c>
      <c r="Q162" s="40">
        <f t="shared" si="24"/>
        <v>3.1692848619479963E-2</v>
      </c>
      <c r="R162" s="14"/>
      <c r="S162" s="34">
        <f t="shared" si="27"/>
        <v>4.0299248284157541E-2</v>
      </c>
      <c r="T162" s="33">
        <f t="shared" si="25"/>
        <v>38.957822170482117</v>
      </c>
      <c r="U162" s="33">
        <f t="shared" si="28"/>
        <v>38.957822170482117</v>
      </c>
      <c r="V162" s="36">
        <f t="shared" si="26"/>
        <v>0.77703658495334682</v>
      </c>
      <c r="X162" s="37"/>
      <c r="Y162" s="34"/>
      <c r="Z162" s="34"/>
      <c r="AC162" s="37"/>
      <c r="AD162" s="34"/>
      <c r="AE162" s="34"/>
      <c r="AH162" s="37"/>
      <c r="AI162" s="34"/>
      <c r="AJ162" s="34"/>
    </row>
    <row r="163" spans="1:36" x14ac:dyDescent="0.25">
      <c r="A163" s="4">
        <f t="shared" si="16"/>
        <v>92.496267748053299</v>
      </c>
      <c r="B163" s="3">
        <f t="shared" si="17"/>
        <v>6.5141792000000002E-3</v>
      </c>
      <c r="C163" s="2" t="str">
        <f t="shared" si="15"/>
        <v>12:75-100</v>
      </c>
      <c r="D163" s="8">
        <f t="shared" si="18"/>
        <v>0.109470418065753</v>
      </c>
      <c r="E163" s="8">
        <f t="shared" si="19"/>
        <v>1.4967210072672474E-2</v>
      </c>
      <c r="F163" s="3"/>
      <c r="G163" s="2">
        <f t="shared" si="20"/>
        <v>75.124019535480699</v>
      </c>
      <c r="H163" s="2">
        <f t="shared" si="20"/>
        <v>16.553475894939616</v>
      </c>
      <c r="I163" s="33">
        <f t="shared" si="21"/>
        <v>30.976527952728759</v>
      </c>
      <c r="K163" s="14">
        <f>VLOOKUP($C163,'Refi Adj'!$B$2:$E$39,2,0)</f>
        <v>1</v>
      </c>
      <c r="L163" s="14">
        <f>VLOOKUP($C163,'Refi Adj'!$B$2:$E$39,3,0)</f>
        <v>1</v>
      </c>
      <c r="M163" s="14">
        <f>VLOOKUP($C163,'Refi Adj'!$B$2:$E$39,4,0)</f>
        <v>1.02</v>
      </c>
      <c r="O163" s="40">
        <f t="shared" si="22"/>
        <v>2.1316287573495109E-2</v>
      </c>
      <c r="P163" s="40">
        <f t="shared" si="23"/>
        <v>5.8621989488794202E-3</v>
      </c>
      <c r="Q163" s="40">
        <f t="shared" si="24"/>
        <v>2.1316287573495109E-2</v>
      </c>
      <c r="R163" s="14"/>
      <c r="S163" s="34">
        <f t="shared" si="27"/>
        <v>3.1487113075962921E-2</v>
      </c>
      <c r="T163" s="2">
        <f t="shared" si="25"/>
        <v>31.881536205073544</v>
      </c>
      <c r="U163" s="33">
        <f t="shared" si="28"/>
        <v>31.881536205073544</v>
      </c>
      <c r="V163" s="7">
        <f t="shared" si="26"/>
        <v>3.4766737046249592</v>
      </c>
      <c r="X163" s="9"/>
      <c r="Y163" s="8"/>
      <c r="Z163" s="8"/>
      <c r="AC163" s="9"/>
      <c r="AD163" s="8"/>
      <c r="AE163" s="8"/>
      <c r="AH163" s="9"/>
      <c r="AI163" s="8"/>
      <c r="AJ163" s="8"/>
    </row>
    <row r="164" spans="1:36" x14ac:dyDescent="0.25">
      <c r="A164" s="4">
        <f t="shared" si="16"/>
        <v>117.342308486322</v>
      </c>
      <c r="B164" s="3">
        <f t="shared" si="17"/>
        <v>5.3132441990000001E-2</v>
      </c>
      <c r="C164" s="2" t="str">
        <f t="shared" si="15"/>
        <v>13:100-125</v>
      </c>
      <c r="D164" s="8">
        <f t="shared" si="18"/>
        <v>4.3222737079615603E-2</v>
      </c>
      <c r="E164" s="8">
        <f t="shared" si="19"/>
        <v>1.6662909706039744E-2</v>
      </c>
      <c r="F164" s="3"/>
      <c r="G164" s="2">
        <f t="shared" si="20"/>
        <v>41.152210633880159</v>
      </c>
      <c r="H164" s="2">
        <f t="shared" si="20"/>
        <v>18.261051527419713</v>
      </c>
      <c r="I164" s="33">
        <f t="shared" si="21"/>
        <v>33.785680493388995</v>
      </c>
      <c r="K164" s="14">
        <f>VLOOKUP($C164,'Refi Adj'!$B$2:$E$39,2,0)</f>
        <v>1</v>
      </c>
      <c r="L164" s="14">
        <f>VLOOKUP($C164,'Refi Adj'!$B$2:$E$39,3,0)</f>
        <v>1</v>
      </c>
      <c r="M164" s="14">
        <f>VLOOKUP($C164,'Refi Adj'!$B$2:$E$39,4,0)</f>
        <v>0.95</v>
      </c>
      <c r="O164" s="40">
        <f t="shared" si="22"/>
        <v>2.6664451294598952E-2</v>
      </c>
      <c r="P164" s="40">
        <f t="shared" si="23"/>
        <v>9.5547115026282901E-3</v>
      </c>
      <c r="Q164" s="40">
        <f t="shared" si="24"/>
        <v>2.6664451294598952E-2</v>
      </c>
      <c r="R164" s="14"/>
      <c r="S164" s="34">
        <f t="shared" si="27"/>
        <v>3.5105872062740351E-2</v>
      </c>
      <c r="T164" s="2">
        <f t="shared" si="25"/>
        <v>34.873766638972512</v>
      </c>
      <c r="U164" s="33">
        <f t="shared" si="28"/>
        <v>34.873766638972512</v>
      </c>
      <c r="V164" s="7">
        <f t="shared" si="26"/>
        <v>1.2312110350760976</v>
      </c>
      <c r="X164" s="9"/>
      <c r="Y164" s="8"/>
      <c r="Z164" s="8"/>
      <c r="AC164" s="9"/>
      <c r="AD164" s="8"/>
      <c r="AE164" s="8"/>
      <c r="AH164" s="9"/>
      <c r="AI164" s="8"/>
      <c r="AJ164" s="8"/>
    </row>
    <row r="165" spans="1:36" x14ac:dyDescent="0.25">
      <c r="A165" s="4">
        <f t="shared" si="16"/>
        <v>140.24589755189501</v>
      </c>
      <c r="B165" s="3">
        <f t="shared" si="17"/>
        <v>5.3719244128599994</v>
      </c>
      <c r="C165" s="2" t="str">
        <f t="shared" si="15"/>
        <v>14:125-150</v>
      </c>
      <c r="D165" s="8">
        <f t="shared" si="18"/>
        <v>4.5197628195578002E-2</v>
      </c>
      <c r="E165" s="8">
        <f t="shared" si="19"/>
        <v>2.294031028720141E-2</v>
      </c>
      <c r="F165" s="3"/>
      <c r="G165" s="2">
        <f t="shared" si="20"/>
        <v>42.593394175043912</v>
      </c>
      <c r="H165" s="2">
        <f t="shared" si="20"/>
        <v>24.307447103939396</v>
      </c>
      <c r="I165" s="33">
        <f t="shared" si="21"/>
        <v>43.575679372443062</v>
      </c>
      <c r="K165" s="14">
        <f>VLOOKUP($C165,'Refi Adj'!$B$2:$E$39,2,0)</f>
        <v>1</v>
      </c>
      <c r="L165" s="14">
        <f>VLOOKUP($C165,'Refi Adj'!$B$2:$E$39,3,0)</f>
        <v>1</v>
      </c>
      <c r="M165" s="14">
        <f>VLOOKUP($C165,'Refi Adj'!$B$2:$E$39,4,0)</f>
        <v>0.92</v>
      </c>
      <c r="O165" s="40">
        <f t="shared" si="22"/>
        <v>4.1402028374229703E-2</v>
      </c>
      <c r="P165" s="40">
        <f t="shared" si="23"/>
        <v>1.7772445197277699E-2</v>
      </c>
      <c r="Q165" s="40">
        <f t="shared" si="24"/>
        <v>4.1402028374229703E-2</v>
      </c>
      <c r="R165" s="14"/>
      <c r="S165" s="34">
        <f t="shared" si="27"/>
        <v>4.8639994882864898E-2</v>
      </c>
      <c r="T165" s="2">
        <f t="shared" si="25"/>
        <v>45.028361947004846</v>
      </c>
      <c r="U165" s="33">
        <f t="shared" si="28"/>
        <v>45.028361947004846</v>
      </c>
      <c r="V165" s="7">
        <f t="shared" si="26"/>
        <v>0.92922765112173999</v>
      </c>
      <c r="X165" s="9"/>
      <c r="Y165" s="8"/>
      <c r="Z165" s="8"/>
      <c r="AC165" s="9"/>
      <c r="AD165" s="8"/>
      <c r="AE165" s="8"/>
      <c r="AH165" s="9"/>
      <c r="AI165" s="8"/>
      <c r="AJ165" s="8"/>
    </row>
    <row r="166" spans="1:36" x14ac:dyDescent="0.25">
      <c r="A166" s="4">
        <f t="shared" si="16"/>
        <v>162.73199149239801</v>
      </c>
      <c r="B166" s="3">
        <f t="shared" si="17"/>
        <v>13.676896577360001</v>
      </c>
      <c r="C166" s="2" t="str">
        <f t="shared" si="15"/>
        <v>15:150-175</v>
      </c>
      <c r="D166" s="8">
        <f t="shared" si="18"/>
        <v>4.7320130719114298E-2</v>
      </c>
      <c r="E166" s="8">
        <f t="shared" si="19"/>
        <v>2.6089542671581506E-2</v>
      </c>
      <c r="F166" s="3"/>
      <c r="G166" s="2">
        <f t="shared" si="20"/>
        <v>44.106171142447167</v>
      </c>
      <c r="H166" s="2">
        <f t="shared" si="20"/>
        <v>27.183743338215205</v>
      </c>
      <c r="I166" s="33">
        <f t="shared" si="21"/>
        <v>42.519581420179705</v>
      </c>
      <c r="K166" s="14">
        <f>VLOOKUP($C166,'Refi Adj'!$B$2:$E$39,2,0)</f>
        <v>1</v>
      </c>
      <c r="L166" s="14">
        <f>VLOOKUP($C166,'Refi Adj'!$B$2:$E$39,3,0)</f>
        <v>1</v>
      </c>
      <c r="M166" s="14">
        <f>VLOOKUP($C166,'Refi Adj'!$B$2:$E$39,4,0)</f>
        <v>0.9</v>
      </c>
      <c r="O166" s="40">
        <f t="shared" si="22"/>
        <v>3.9994456880629532E-2</v>
      </c>
      <c r="P166" s="40">
        <f t="shared" si="23"/>
        <v>2.0988617275955E-2</v>
      </c>
      <c r="Q166" s="40">
        <f t="shared" si="24"/>
        <v>3.9994456880629532E-2</v>
      </c>
      <c r="R166" s="14"/>
      <c r="S166" s="34">
        <f t="shared" si="27"/>
        <v>4.7095105120287521E-2</v>
      </c>
      <c r="T166" s="2">
        <f t="shared" si="25"/>
        <v>43.947537856338201</v>
      </c>
      <c r="U166" s="33">
        <f t="shared" si="28"/>
        <v>43.947537856338201</v>
      </c>
      <c r="V166" s="7">
        <f t="shared" si="26"/>
        <v>1.0047781101295352</v>
      </c>
      <c r="X166" s="9"/>
      <c r="Y166" s="8"/>
      <c r="Z166" s="8"/>
      <c r="AC166" s="9"/>
      <c r="AD166" s="8"/>
      <c r="AE166" s="8"/>
      <c r="AH166" s="9"/>
      <c r="AI166" s="8"/>
      <c r="AJ166" s="8"/>
    </row>
    <row r="167" spans="1:36" x14ac:dyDescent="0.25">
      <c r="A167" s="4">
        <f t="shared" si="16"/>
        <v>184.21087175120201</v>
      </c>
      <c r="B167" s="3">
        <f t="shared" si="17"/>
        <v>6.4034540484200004</v>
      </c>
      <c r="C167" s="2" t="str">
        <f t="shared" si="15"/>
        <v>16:175-200</v>
      </c>
      <c r="D167" s="8">
        <f t="shared" si="18"/>
        <v>4.37300864949315E-2</v>
      </c>
      <c r="E167" s="8">
        <f t="shared" si="19"/>
        <v>3.0813984155459197E-2</v>
      </c>
      <c r="F167" s="3"/>
      <c r="G167" s="2">
        <f t="shared" si="20"/>
        <v>41.525582420684806</v>
      </c>
      <c r="H167" s="2">
        <f t="shared" si="20"/>
        <v>31.311240985152988</v>
      </c>
      <c r="I167" s="33">
        <f t="shared" si="21"/>
        <v>42.205245773402531</v>
      </c>
      <c r="K167" s="14">
        <f>VLOOKUP($C167,'Refi Adj'!$B$2:$E$39,2,0)</f>
        <v>1</v>
      </c>
      <c r="L167" s="14">
        <f>VLOOKUP($C167,'Refi Adj'!$B$2:$E$39,3,0)</f>
        <v>1</v>
      </c>
      <c r="M167" s="14">
        <f>VLOOKUP($C167,'Refi Adj'!$B$2:$E$39,4,0)</f>
        <v>0.9</v>
      </c>
      <c r="O167" s="40">
        <f t="shared" si="22"/>
        <v>3.9578757924619533E-2</v>
      </c>
      <c r="P167" s="40">
        <f t="shared" si="23"/>
        <v>2.5731436392256401E-2</v>
      </c>
      <c r="Q167" s="40">
        <f t="shared" si="24"/>
        <v>3.9578757924619533E-2</v>
      </c>
      <c r="R167" s="14"/>
      <c r="S167" s="34">
        <f t="shared" si="27"/>
        <v>4.6640243584053311E-2</v>
      </c>
      <c r="T167" s="2">
        <f t="shared" si="25"/>
        <v>43.625619232982181</v>
      </c>
      <c r="U167" s="33">
        <f t="shared" si="28"/>
        <v>43.625619232982181</v>
      </c>
      <c r="V167" s="7">
        <f t="shared" si="26"/>
        <v>0.93760416186769624</v>
      </c>
      <c r="X167" s="9"/>
      <c r="Y167" s="8"/>
      <c r="Z167" s="8"/>
      <c r="AC167" s="9"/>
      <c r="AD167" s="8"/>
      <c r="AE167" s="8"/>
      <c r="AH167" s="9"/>
      <c r="AI167" s="8"/>
      <c r="AJ167" s="8"/>
    </row>
    <row r="168" spans="1:36" x14ac:dyDescent="0.25">
      <c r="A168" s="4">
        <f t="shared" si="16"/>
        <v>208.14902295197399</v>
      </c>
      <c r="B168" s="3">
        <f t="shared" si="17"/>
        <v>0.91612110511</v>
      </c>
      <c r="C168" s="2" t="str">
        <f t="shared" si="15"/>
        <v>17:200-225</v>
      </c>
      <c r="D168" s="8">
        <f t="shared" si="18"/>
        <v>3.7838169652353301E-2</v>
      </c>
      <c r="E168" s="8">
        <f t="shared" si="19"/>
        <v>3.3391171459687008E-2</v>
      </c>
      <c r="F168" s="3"/>
      <c r="G168" s="2">
        <f t="shared" si="20"/>
        <v>37.052644492752627</v>
      </c>
      <c r="H168" s="2">
        <f t="shared" si="20"/>
        <v>33.471291992628984</v>
      </c>
      <c r="I168" s="33">
        <f t="shared" si="21"/>
        <v>42.194549226279165</v>
      </c>
      <c r="K168" s="14">
        <f>VLOOKUP($C168,'Refi Adj'!$B$2:$E$39,2,0)</f>
        <v>1</v>
      </c>
      <c r="L168" s="14">
        <f>VLOOKUP($C168,'Refi Adj'!$B$2:$E$39,3,0)</f>
        <v>1</v>
      </c>
      <c r="M168" s="14">
        <f>VLOOKUP($C168,'Refi Adj'!$B$2:$E$39,4,0)</f>
        <v>0.9</v>
      </c>
      <c r="O168" s="40">
        <f t="shared" si="22"/>
        <v>3.9290249180494445E-2</v>
      </c>
      <c r="P168" s="40">
        <f t="shared" si="23"/>
        <v>2.8034848063758201E-2</v>
      </c>
      <c r="Q168" s="40">
        <f t="shared" si="24"/>
        <v>3.9290249180494445E-2</v>
      </c>
      <c r="R168" s="14"/>
      <c r="S168" s="34">
        <f t="shared" si="27"/>
        <v>4.6611085035447974E-2</v>
      </c>
      <c r="T168" s="2">
        <f t="shared" si="25"/>
        <v>43.60492519817354</v>
      </c>
      <c r="U168" s="33">
        <f t="shared" si="28"/>
        <v>43.60492519817354</v>
      </c>
      <c r="V168" s="7">
        <f t="shared" si="26"/>
        <v>0.8117847851766844</v>
      </c>
      <c r="X168" s="9"/>
      <c r="Y168" s="8"/>
      <c r="Z168" s="8"/>
      <c r="AC168" s="9"/>
      <c r="AD168" s="8"/>
      <c r="AE168" s="8"/>
      <c r="AH168" s="9"/>
      <c r="AI168" s="8"/>
      <c r="AJ168" s="8"/>
    </row>
    <row r="169" spans="1:36" x14ac:dyDescent="0.25">
      <c r="A169" s="4">
        <f t="shared" si="16"/>
        <v>232.20992092417401</v>
      </c>
      <c r="B169" s="3">
        <f t="shared" si="17"/>
        <v>0.1132824719</v>
      </c>
      <c r="C169" s="2" t="str">
        <f t="shared" si="15"/>
        <v>18:225-250</v>
      </c>
      <c r="D169" s="8">
        <f t="shared" si="18"/>
        <v>3.4451291354717001E-2</v>
      </c>
      <c r="E169" s="8">
        <f t="shared" si="19"/>
        <v>3.3408687119088516E-2</v>
      </c>
      <c r="F169" s="3"/>
      <c r="G169" s="2">
        <f t="shared" si="20"/>
        <v>34.341607142168826</v>
      </c>
      <c r="H169" s="2">
        <f t="shared" si="20"/>
        <v>33.485757137468283</v>
      </c>
      <c r="I169" s="33">
        <f t="shared" si="21"/>
        <v>43.147536766254689</v>
      </c>
      <c r="K169" s="14">
        <f>VLOOKUP($C169,'Refi Adj'!$B$2:$E$39,2,0)</f>
        <v>1</v>
      </c>
      <c r="L169" s="14">
        <f>VLOOKUP($C169,'Refi Adj'!$B$2:$E$39,3,0)</f>
        <v>1</v>
      </c>
      <c r="M169" s="14">
        <f>VLOOKUP($C169,'Refi Adj'!$B$2:$E$39,4,0)</f>
        <v>0.9</v>
      </c>
      <c r="O169" s="40">
        <f t="shared" si="22"/>
        <v>4.0152323440871461E-2</v>
      </c>
      <c r="P169" s="40">
        <f t="shared" si="23"/>
        <v>2.7591908920227701E-2</v>
      </c>
      <c r="Q169" s="40">
        <f t="shared" si="24"/>
        <v>4.0152323440871461E-2</v>
      </c>
      <c r="R169" s="14"/>
      <c r="S169" s="34">
        <f t="shared" si="27"/>
        <v>4.7976717811775857E-2</v>
      </c>
      <c r="T169" s="2">
        <f t="shared" si="25"/>
        <v>44.566687313344033</v>
      </c>
      <c r="U169" s="33">
        <f t="shared" si="28"/>
        <v>44.566687313344033</v>
      </c>
      <c r="V169" s="7">
        <f t="shared" si="26"/>
        <v>0.71808353980940631</v>
      </c>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33"/>
      <c r="V170" s="7"/>
      <c r="X170" s="9"/>
      <c r="Y170" s="8"/>
      <c r="Z170" s="8"/>
      <c r="AC170" s="9"/>
      <c r="AD170" s="8"/>
      <c r="AE170" s="8"/>
      <c r="AH170" s="9"/>
      <c r="AI170" s="8"/>
      <c r="AJ170" s="8"/>
    </row>
    <row r="171" spans="1:36" x14ac:dyDescent="0.25">
      <c r="A171" s="4"/>
      <c r="B171" s="3"/>
      <c r="C171" s="2"/>
      <c r="D171" s="8"/>
      <c r="E171" s="8"/>
      <c r="F171" s="3"/>
      <c r="G171" s="2"/>
      <c r="H171" s="2"/>
      <c r="I171" s="33"/>
      <c r="K171" s="14"/>
      <c r="L171" s="14"/>
      <c r="M171" s="14"/>
      <c r="O171" s="40"/>
      <c r="P171" s="40"/>
      <c r="Q171" s="40"/>
      <c r="R171" s="14"/>
      <c r="S171" s="34"/>
      <c r="T171" s="2"/>
      <c r="U171" s="33"/>
      <c r="V171" s="7"/>
      <c r="X171" s="9"/>
      <c r="Y171" s="8"/>
      <c r="Z171" s="8"/>
      <c r="AC171" s="9"/>
      <c r="AD171" s="8"/>
      <c r="AE171" s="8"/>
      <c r="AH171" s="9"/>
      <c r="AI171" s="8"/>
      <c r="AJ171" s="8"/>
    </row>
    <row r="172" spans="1:36" x14ac:dyDescent="0.25">
      <c r="A172" s="4"/>
      <c r="B172" s="3"/>
      <c r="C172" s="2"/>
      <c r="D172" s="8"/>
      <c r="E172" s="8"/>
      <c r="F172" s="3"/>
      <c r="G172" s="2"/>
      <c r="H172" s="2"/>
      <c r="I172" s="33"/>
      <c r="K172" s="14"/>
      <c r="L172" s="14"/>
      <c r="M172" s="14"/>
      <c r="O172" s="40"/>
      <c r="P172" s="40"/>
      <c r="Q172" s="40"/>
      <c r="R172" s="14"/>
      <c r="S172" s="34"/>
      <c r="T172" s="2"/>
      <c r="U172" s="33"/>
      <c r="V172" s="7"/>
      <c r="X172" s="9"/>
      <c r="Y172" s="8"/>
      <c r="Z172" s="8"/>
      <c r="AC172" s="9"/>
      <c r="AD172" s="8"/>
      <c r="AE172" s="8"/>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33"/>
      <c r="V173" s="7"/>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33"/>
      <c r="V174" s="7"/>
      <c r="W174"/>
      <c r="X174" s="9"/>
      <c r="Y174" s="8"/>
      <c r="Z174" s="8"/>
      <c r="AA174"/>
      <c r="AB174"/>
      <c r="AC174" s="9"/>
      <c r="AD174" s="8"/>
      <c r="AE174" s="8"/>
      <c r="AF174"/>
      <c r="AG174"/>
      <c r="AH174" s="9"/>
      <c r="AI174" s="8"/>
      <c r="AJ174" s="8"/>
    </row>
    <row r="175" spans="1:36" s="24" customFormat="1" x14ac:dyDescent="0.25">
      <c r="A175" s="4"/>
      <c r="B175" s="3"/>
      <c r="C175" s="2"/>
      <c r="D175" s="8"/>
      <c r="E175" s="8"/>
      <c r="F175" s="3"/>
      <c r="G175" s="2"/>
      <c r="H175" s="2"/>
      <c r="I175" s="33"/>
      <c r="J175"/>
      <c r="K175" s="14"/>
      <c r="L175" s="14"/>
      <c r="M175" s="14"/>
      <c r="O175" s="40"/>
      <c r="P175" s="40"/>
      <c r="Q175" s="40"/>
      <c r="R175" s="14"/>
      <c r="S175" s="34"/>
      <c r="T175" s="2"/>
      <c r="U175" s="33"/>
      <c r="V175" s="7"/>
      <c r="W175"/>
      <c r="X175" s="9"/>
      <c r="Y175" s="8"/>
      <c r="Z175" s="8"/>
      <c r="AA175"/>
      <c r="AB175"/>
      <c r="AC175" s="9"/>
      <c r="AD175" s="8"/>
      <c r="AE175" s="8"/>
      <c r="AF175"/>
      <c r="AG175"/>
      <c r="AH175" s="9"/>
      <c r="AI175" s="8"/>
      <c r="AJ175" s="8"/>
    </row>
    <row r="176" spans="1:36" s="24" customFormat="1" x14ac:dyDescent="0.25">
      <c r="A176" s="4"/>
      <c r="B176" s="3"/>
      <c r="C176" s="2"/>
      <c r="D176" s="8"/>
      <c r="E176" s="8"/>
      <c r="F176" s="3"/>
      <c r="G176" s="2"/>
      <c r="H176" s="2"/>
      <c r="I176" s="33"/>
      <c r="J176"/>
      <c r="K176" s="14"/>
      <c r="L176" s="14"/>
      <c r="M176" s="14"/>
      <c r="O176" s="40"/>
      <c r="P176" s="40"/>
      <c r="Q176" s="40"/>
      <c r="R176" s="14"/>
      <c r="S176" s="34"/>
      <c r="T176" s="2"/>
      <c r="U176" s="33"/>
      <c r="V176" s="7"/>
      <c r="W176"/>
      <c r="X176" s="9"/>
      <c r="Y176" s="8"/>
      <c r="Z176" s="8"/>
      <c r="AA176"/>
      <c r="AB176"/>
      <c r="AC176" s="9"/>
      <c r="AD176" s="8"/>
      <c r="AE176" s="8"/>
      <c r="AF176"/>
      <c r="AG176"/>
      <c r="AH176" s="9"/>
      <c r="AI176" s="8"/>
      <c r="AJ176" s="8"/>
    </row>
    <row r="177" spans="1:51" x14ac:dyDescent="0.25">
      <c r="A177" s="4"/>
      <c r="B177" s="3"/>
      <c r="C177" s="2"/>
      <c r="D177" s="8"/>
      <c r="E177" s="8"/>
      <c r="F177" s="3"/>
      <c r="G177" s="2"/>
      <c r="H177" s="2"/>
      <c r="I177" s="33"/>
      <c r="K177" s="14"/>
      <c r="L177" s="14"/>
      <c r="M177" s="14"/>
      <c r="O177" s="40"/>
      <c r="P177" s="40"/>
      <c r="Q177" s="40"/>
      <c r="R177" s="14"/>
      <c r="S177" s="34"/>
      <c r="T177" s="2"/>
      <c r="U177" s="33"/>
      <c r="V177" s="7"/>
      <c r="X177" s="9"/>
      <c r="Y177" s="8"/>
      <c r="Z177" s="8"/>
      <c r="AC177" s="9"/>
      <c r="AD177" s="8"/>
      <c r="AE177" s="8"/>
      <c r="AH177" s="9"/>
      <c r="AI177" s="8"/>
      <c r="AJ177" s="8"/>
    </row>
    <row r="178" spans="1:51" x14ac:dyDescent="0.25">
      <c r="A178" s="4"/>
      <c r="B178" s="3"/>
      <c r="C178" s="2"/>
      <c r="D178" s="8"/>
      <c r="E178" s="8"/>
      <c r="F178" s="3"/>
      <c r="G178" s="2"/>
      <c r="H178" s="2"/>
      <c r="I178" s="33"/>
      <c r="K178" s="14"/>
      <c r="L178" s="14"/>
      <c r="M178" s="14"/>
      <c r="O178" s="40"/>
      <c r="P178" s="40"/>
      <c r="Q178" s="40"/>
      <c r="R178" s="14"/>
      <c r="S178" s="34"/>
      <c r="T178" s="2"/>
      <c r="U178" s="33"/>
      <c r="V178" s="7"/>
      <c r="X178" s="9"/>
      <c r="Y178" s="8"/>
      <c r="Z178" s="8"/>
      <c r="AC178" s="9"/>
      <c r="AD178" s="8"/>
      <c r="AE178" s="8"/>
      <c r="AH178" s="9"/>
      <c r="AI178" s="8"/>
      <c r="AJ178" s="8"/>
    </row>
    <row r="179" spans="1:51" x14ac:dyDescent="0.25">
      <c r="A179" s="4"/>
      <c r="B179" s="3"/>
      <c r="C179" s="2"/>
      <c r="D179" s="8"/>
      <c r="E179" s="8"/>
      <c r="F179" s="3"/>
      <c r="G179" s="2"/>
      <c r="H179" s="2"/>
      <c r="I179" s="33"/>
      <c r="K179" s="14"/>
      <c r="L179" s="14"/>
      <c r="M179" s="14"/>
      <c r="O179" s="40"/>
      <c r="P179" s="40"/>
      <c r="Q179" s="40"/>
      <c r="R179" s="14"/>
      <c r="S179" s="34"/>
      <c r="T179" s="2"/>
      <c r="U179" s="33"/>
      <c r="V179" s="7"/>
      <c r="X179" s="9"/>
      <c r="Y179" s="8"/>
      <c r="Z179" s="8"/>
      <c r="AC179" s="9"/>
      <c r="AD179" s="8"/>
      <c r="AE179" s="8"/>
      <c r="AH179" s="9"/>
      <c r="AI179" s="8"/>
      <c r="AJ179" s="8"/>
    </row>
    <row r="180" spans="1:51" x14ac:dyDescent="0.25">
      <c r="A180" s="4"/>
      <c r="B180" s="3"/>
      <c r="C180" s="2"/>
      <c r="D180" s="8"/>
      <c r="E180" s="8"/>
      <c r="F180" s="3"/>
      <c r="G180" s="2"/>
      <c r="H180" s="2"/>
      <c r="I180" s="33"/>
      <c r="K180" s="14"/>
      <c r="L180" s="14"/>
      <c r="M180" s="14"/>
      <c r="O180" s="40"/>
      <c r="P180" s="40"/>
      <c r="Q180" s="40"/>
      <c r="R180" s="14"/>
      <c r="S180" s="34"/>
      <c r="T180" s="2"/>
      <c r="U180" s="33"/>
      <c r="V180" s="7"/>
      <c r="X180" s="9"/>
      <c r="Y180" s="8"/>
      <c r="Z180" s="8"/>
      <c r="AC180" s="9"/>
      <c r="AD180" s="8"/>
      <c r="AE180" s="8"/>
      <c r="AH180" s="9"/>
      <c r="AI180" s="8"/>
      <c r="AJ180" s="8"/>
      <c r="AK180" s="4"/>
      <c r="AL180" s="4"/>
      <c r="AM180" s="4"/>
      <c r="AN180" s="4"/>
      <c r="AO180" s="4"/>
      <c r="AP180" s="4"/>
      <c r="AQ180" s="6"/>
      <c r="AR180" s="4"/>
      <c r="AS180" s="15"/>
      <c r="AT180" s="15"/>
      <c r="AU180" s="15"/>
      <c r="AV180" s="15"/>
      <c r="AW180" s="15"/>
      <c r="AX180" s="15"/>
    </row>
    <row r="181" spans="1:51" s="41" customFormat="1" x14ac:dyDescent="0.25"/>
    <row r="182" spans="1:51" x14ac:dyDescent="0.25">
      <c r="A182" t="s">
        <v>181</v>
      </c>
      <c r="C182" t="s">
        <v>186</v>
      </c>
      <c r="F182" t="s">
        <v>166</v>
      </c>
      <c r="AS182" s="17" t="s">
        <v>88</v>
      </c>
      <c r="AT182" s="17" t="s">
        <v>89</v>
      </c>
      <c r="AU182" s="17"/>
      <c r="AV182" s="17"/>
      <c r="AW182" s="17" t="s">
        <v>90</v>
      </c>
      <c r="AX182" s="17"/>
    </row>
    <row r="183" spans="1:51" x14ac:dyDescent="0.25">
      <c r="A183" t="s">
        <v>20</v>
      </c>
      <c r="B183" t="s">
        <v>21</v>
      </c>
      <c r="C183" t="s">
        <v>22</v>
      </c>
      <c r="D183" t="s">
        <v>23</v>
      </c>
      <c r="E183" t="s">
        <v>94</v>
      </c>
      <c r="F183" t="s">
        <v>95</v>
      </c>
      <c r="G183" t="s">
        <v>24</v>
      </c>
      <c r="H183" t="s">
        <v>25</v>
      </c>
      <c r="I183" t="s">
        <v>26</v>
      </c>
      <c r="J183" t="s">
        <v>27</v>
      </c>
      <c r="K183" t="s">
        <v>28</v>
      </c>
      <c r="L183" t="s">
        <v>29</v>
      </c>
      <c r="M183" t="s">
        <v>30</v>
      </c>
      <c r="N183" t="s">
        <v>31</v>
      </c>
      <c r="O183" t="s">
        <v>32</v>
      </c>
      <c r="P183" t="s">
        <v>33</v>
      </c>
      <c r="Q183" t="s">
        <v>34</v>
      </c>
      <c r="R183" t="s">
        <v>35</v>
      </c>
      <c r="S183" t="s">
        <v>36</v>
      </c>
      <c r="T183" t="s">
        <v>37</v>
      </c>
      <c r="U183" t="s">
        <v>38</v>
      </c>
      <c r="V183" t="s">
        <v>39</v>
      </c>
      <c r="W183" t="s">
        <v>40</v>
      </c>
      <c r="X183" t="s">
        <v>41</v>
      </c>
      <c r="Y183" t="s">
        <v>42</v>
      </c>
      <c r="Z183" t="s">
        <v>43</v>
      </c>
      <c r="AA183" t="s">
        <v>44</v>
      </c>
      <c r="AB183" s="1" t="s">
        <v>45</v>
      </c>
      <c r="AC183" s="1" t="s">
        <v>46</v>
      </c>
      <c r="AD183" s="1" t="s">
        <v>47</v>
      </c>
      <c r="AE183" t="s">
        <v>48</v>
      </c>
      <c r="AF183" t="s">
        <v>49</v>
      </c>
      <c r="AG183" t="s">
        <v>50</v>
      </c>
      <c r="AH183" t="s">
        <v>51</v>
      </c>
      <c r="AI183" t="s">
        <v>52</v>
      </c>
      <c r="AJ183" t="s">
        <v>53</v>
      </c>
      <c r="AK183" t="s">
        <v>54</v>
      </c>
      <c r="AL183" t="s">
        <v>55</v>
      </c>
      <c r="AM183" t="s">
        <v>56</v>
      </c>
      <c r="AN183" t="s">
        <v>57</v>
      </c>
      <c r="AO183" t="s">
        <v>58</v>
      </c>
      <c r="AP183" t="s">
        <v>59</v>
      </c>
      <c r="AQ183" t="s">
        <v>60</v>
      </c>
      <c r="AR183" t="s">
        <v>61</v>
      </c>
      <c r="AS183" s="19" t="s">
        <v>116</v>
      </c>
      <c r="AT183" s="19" t="s">
        <v>117</v>
      </c>
      <c r="AU183" s="17" t="s">
        <v>118</v>
      </c>
      <c r="AV183" s="17" t="s">
        <v>119</v>
      </c>
      <c r="AW183" s="19" t="s">
        <v>120</v>
      </c>
      <c r="AX183" s="17" t="s">
        <v>121</v>
      </c>
      <c r="AY183" t="s">
        <v>171</v>
      </c>
    </row>
    <row r="184" spans="1:51" x14ac:dyDescent="0.25">
      <c r="A184">
        <v>97</v>
      </c>
      <c r="B184" s="4">
        <v>0.98047788999999996</v>
      </c>
      <c r="C184" s="4">
        <v>100</v>
      </c>
      <c r="D184" s="4">
        <v>21.067900241987299</v>
      </c>
      <c r="E184" s="4">
        <v>1</v>
      </c>
      <c r="F184" s="5">
        <v>1.9522109999999999E-2</v>
      </c>
      <c r="G184" s="5">
        <v>0</v>
      </c>
      <c r="H184" s="4">
        <v>5.875</v>
      </c>
      <c r="I184" s="4">
        <v>3.7846229999999998</v>
      </c>
      <c r="J184" s="4">
        <v>66.835700000000003</v>
      </c>
      <c r="K184" s="4">
        <v>145.06</v>
      </c>
      <c r="L184" s="4">
        <v>100</v>
      </c>
      <c r="M184" s="4">
        <v>42</v>
      </c>
      <c r="N184" s="4">
        <v>90</v>
      </c>
      <c r="O184" s="4">
        <v>8.5</v>
      </c>
      <c r="P184" s="4">
        <v>32753.46</v>
      </c>
      <c r="Q184" s="4">
        <v>32753.46</v>
      </c>
      <c r="R184" s="4">
        <v>794</v>
      </c>
      <c r="S184" s="4">
        <v>0</v>
      </c>
      <c r="T184" s="4">
        <v>0</v>
      </c>
      <c r="U184" s="4">
        <v>0</v>
      </c>
      <c r="V184" s="4">
        <v>0</v>
      </c>
      <c r="W184" s="4">
        <v>0</v>
      </c>
      <c r="X184" s="4">
        <v>0</v>
      </c>
      <c r="Y184" s="4">
        <v>0</v>
      </c>
      <c r="Z184" s="5">
        <v>1.096083E-2</v>
      </c>
      <c r="AA184" s="5">
        <v>1.64101E-3</v>
      </c>
      <c r="AB184" s="10">
        <v>6.2107500000000001E-3</v>
      </c>
      <c r="AC184" s="10">
        <v>0</v>
      </c>
      <c r="AD184" s="10">
        <v>7.0951E-4</v>
      </c>
      <c r="AE184" s="4">
        <v>7.0374509803919405E-2</v>
      </c>
      <c r="AF184" s="4">
        <v>0</v>
      </c>
      <c r="AG184" s="4">
        <v>1</v>
      </c>
      <c r="AH184" s="4">
        <v>1</v>
      </c>
      <c r="AI184" s="4">
        <v>1</v>
      </c>
      <c r="AJ184" s="4">
        <v>1</v>
      </c>
      <c r="AK184" s="4">
        <v>1</v>
      </c>
      <c r="AL184" s="4">
        <v>1</v>
      </c>
      <c r="AM184" s="4">
        <v>0</v>
      </c>
      <c r="AN184" s="4">
        <v>0</v>
      </c>
      <c r="AO184" s="4" t="s">
        <v>78</v>
      </c>
      <c r="AP184" s="4" t="s">
        <v>79</v>
      </c>
      <c r="AQ184" s="6">
        <v>32753.46</v>
      </c>
      <c r="AR184" s="4">
        <v>1</v>
      </c>
      <c r="AS184" s="15">
        <v>0</v>
      </c>
      <c r="AT184" s="15">
        <v>100</v>
      </c>
      <c r="AU184" s="15">
        <v>100</v>
      </c>
      <c r="AV184" s="15">
        <v>0</v>
      </c>
      <c r="AW184" s="15">
        <v>0</v>
      </c>
      <c r="AX184" s="15">
        <v>0</v>
      </c>
      <c r="AY184" s="31">
        <v>5546.85</v>
      </c>
    </row>
    <row r="185" spans="1:51" x14ac:dyDescent="0.25">
      <c r="A185">
        <v>97</v>
      </c>
      <c r="B185" s="4">
        <v>0.981895100308249</v>
      </c>
      <c r="C185" s="4">
        <v>53.926505587231098</v>
      </c>
      <c r="D185" s="4">
        <v>19.6878754652755</v>
      </c>
      <c r="E185" s="4">
        <v>6.2536726327087594E-2</v>
      </c>
      <c r="F185" s="5">
        <v>1.8104899691750401E-2</v>
      </c>
      <c r="G185" s="5">
        <v>0</v>
      </c>
      <c r="H185" s="4">
        <v>5.4800507467645003</v>
      </c>
      <c r="I185" s="4">
        <v>3.75700708557296</v>
      </c>
      <c r="J185" s="4">
        <v>35.647117275124103</v>
      </c>
      <c r="K185" s="4">
        <v>166.13016914246199</v>
      </c>
      <c r="L185" s="4">
        <v>31.278566249640399</v>
      </c>
      <c r="M185" s="4">
        <v>41.499524460816502</v>
      </c>
      <c r="N185" s="4">
        <v>85.599477447759199</v>
      </c>
      <c r="O185" s="4">
        <v>59.3373631490158</v>
      </c>
      <c r="P185" s="4">
        <v>170189.90339858999</v>
      </c>
      <c r="Q185" s="4">
        <v>125688.486</v>
      </c>
      <c r="R185" s="4">
        <v>777.53033686792901</v>
      </c>
      <c r="S185" s="4">
        <v>0</v>
      </c>
      <c r="T185" s="4">
        <v>0</v>
      </c>
      <c r="U185" s="4">
        <v>0</v>
      </c>
      <c r="V185" s="4">
        <v>0.40375193635477402</v>
      </c>
      <c r="W185" s="4">
        <v>0</v>
      </c>
      <c r="X185" s="4">
        <v>0.32434272459929198</v>
      </c>
      <c r="Y185" s="4">
        <v>0</v>
      </c>
      <c r="Z185" s="5">
        <v>1.79786928120403E-3</v>
      </c>
      <c r="AA185" s="5">
        <v>1.0201989025972E-3</v>
      </c>
      <c r="AB185" s="10">
        <v>4.8905802023871603E-3</v>
      </c>
      <c r="AC185" s="10">
        <v>0</v>
      </c>
      <c r="AD185" s="10">
        <v>1.03962336012446E-2</v>
      </c>
      <c r="AE185" s="4">
        <v>-5.1932766820140201E-3</v>
      </c>
      <c r="AF185" s="4">
        <v>0.89651138927713703</v>
      </c>
      <c r="AG185" s="4">
        <v>1</v>
      </c>
      <c r="AH185" s="4">
        <v>1</v>
      </c>
      <c r="AI185" s="4">
        <v>1</v>
      </c>
      <c r="AJ185" s="4">
        <v>1</v>
      </c>
      <c r="AK185" s="4">
        <v>1</v>
      </c>
      <c r="AL185" s="4">
        <v>1</v>
      </c>
      <c r="AM185" s="4">
        <v>0</v>
      </c>
      <c r="AN185" s="4">
        <v>0</v>
      </c>
      <c r="AO185" s="4" t="s">
        <v>80</v>
      </c>
      <c r="AP185" s="4" t="s">
        <v>81</v>
      </c>
      <c r="AQ185" s="6">
        <v>3142212.15</v>
      </c>
      <c r="AR185" s="4">
        <v>25</v>
      </c>
      <c r="AS185" s="15">
        <v>0</v>
      </c>
      <c r="AT185" s="15">
        <v>59.624806364522499</v>
      </c>
      <c r="AU185" s="15">
        <v>59.624806364522499</v>
      </c>
      <c r="AV185" s="15">
        <v>40.375193635477402</v>
      </c>
      <c r="AW185" s="15">
        <v>40.375193635477402</v>
      </c>
      <c r="AX185" s="15">
        <v>0</v>
      </c>
      <c r="AY185" s="31">
        <v>4308.7926875862904</v>
      </c>
    </row>
    <row r="186" spans="1:51" x14ac:dyDescent="0.25">
      <c r="A186">
        <v>97</v>
      </c>
      <c r="B186" s="4">
        <v>0.97299871261527404</v>
      </c>
      <c r="C186" s="4">
        <v>45.7420497333543</v>
      </c>
      <c r="D186" s="4">
        <v>27.9975643353125</v>
      </c>
      <c r="E186" s="4">
        <v>4.9675450142089399E-2</v>
      </c>
      <c r="F186" s="5">
        <v>2.70012873847255E-2</v>
      </c>
      <c r="G186" s="5">
        <v>0</v>
      </c>
      <c r="H186" s="4">
        <v>5.5215956509271802</v>
      </c>
      <c r="I186" s="4">
        <v>3.7784990685883701</v>
      </c>
      <c r="J186" s="4">
        <v>41.977464769770201</v>
      </c>
      <c r="K186" s="4">
        <v>190.39197835595601</v>
      </c>
      <c r="L186" s="4">
        <v>16.2024385544734</v>
      </c>
      <c r="M186" s="4">
        <v>42.575634617058299</v>
      </c>
      <c r="N186" s="4">
        <v>60.428973611941601</v>
      </c>
      <c r="O186" s="4">
        <v>55.563464835435497</v>
      </c>
      <c r="P186" s="4">
        <v>273916.22150771902</v>
      </c>
      <c r="Q186" s="4">
        <v>246297.90532125201</v>
      </c>
      <c r="R186" s="4">
        <v>778.10853865903096</v>
      </c>
      <c r="S186" s="4">
        <v>0</v>
      </c>
      <c r="T186" s="4">
        <v>0</v>
      </c>
      <c r="U186" s="4">
        <v>3.3873697239004297E-2</v>
      </c>
      <c r="V186" s="4">
        <v>0.41882625590214301</v>
      </c>
      <c r="W186" s="4">
        <v>0</v>
      </c>
      <c r="X186" s="4">
        <v>0.70047940670892095</v>
      </c>
      <c r="Y186" s="4">
        <v>0</v>
      </c>
      <c r="Z186" s="5">
        <v>5.2001257323515903E-4</v>
      </c>
      <c r="AA186" s="5">
        <v>9.6768819732903101E-4</v>
      </c>
      <c r="AB186" s="10">
        <v>4.2033406590764001E-3</v>
      </c>
      <c r="AC186" s="10">
        <v>1.30394022591955E-5</v>
      </c>
      <c r="AD186" s="10">
        <v>2.1297192572867499E-2</v>
      </c>
      <c r="AE186" s="4">
        <v>4.5407140909657499E-4</v>
      </c>
      <c r="AF186" s="4">
        <v>0.72579029685867302</v>
      </c>
      <c r="AG186" s="4">
        <v>0.99346644542043505</v>
      </c>
      <c r="AH186" s="4">
        <v>0.99346644542043505</v>
      </c>
      <c r="AI186" s="4">
        <v>1</v>
      </c>
      <c r="AJ186" s="4">
        <v>1</v>
      </c>
      <c r="AK186" s="4">
        <v>1</v>
      </c>
      <c r="AL186" s="4">
        <v>1</v>
      </c>
      <c r="AM186" s="4">
        <v>0</v>
      </c>
      <c r="AN186" s="4">
        <v>0</v>
      </c>
      <c r="AO186" s="4" t="s">
        <v>82</v>
      </c>
      <c r="AP186" s="4" t="s">
        <v>83</v>
      </c>
      <c r="AQ186" s="6">
        <v>149502828.53</v>
      </c>
      <c r="AR186" s="4">
        <v>607</v>
      </c>
      <c r="AS186" s="15">
        <v>0</v>
      </c>
      <c r="AT186" s="15">
        <v>58.117374409785597</v>
      </c>
      <c r="AU186" s="15">
        <v>58.117374409785597</v>
      </c>
      <c r="AV186" s="15">
        <v>41.882625590214303</v>
      </c>
      <c r="AW186" s="15">
        <v>41.882625590214303</v>
      </c>
      <c r="AX186" s="15">
        <v>0</v>
      </c>
      <c r="AY186" s="31">
        <v>4251.2320981783096</v>
      </c>
    </row>
    <row r="187" spans="1:51" x14ac:dyDescent="0.25">
      <c r="A187">
        <v>97</v>
      </c>
      <c r="B187" s="4">
        <v>0.97172524245020597</v>
      </c>
      <c r="C187" s="4">
        <v>36.044984186123699</v>
      </c>
      <c r="D187" s="4">
        <v>29.1203092202345</v>
      </c>
      <c r="E187" s="4">
        <v>3.6563968988251802E-2</v>
      </c>
      <c r="F187" s="5">
        <v>2.8274757549793299E-2</v>
      </c>
      <c r="G187" s="5">
        <v>0</v>
      </c>
      <c r="H187" s="4">
        <v>5.68814050444524</v>
      </c>
      <c r="I187" s="4">
        <v>3.70292444551324</v>
      </c>
      <c r="J187" s="4">
        <v>60.285902354424898</v>
      </c>
      <c r="K187" s="4">
        <v>212.532409382265</v>
      </c>
      <c r="L187" s="4">
        <v>15.520617610179601</v>
      </c>
      <c r="M187" s="4">
        <v>40.917152259145404</v>
      </c>
      <c r="N187" s="4">
        <v>63.058385981118597</v>
      </c>
      <c r="O187" s="4">
        <v>59.619903555286797</v>
      </c>
      <c r="P187" s="4">
        <v>282447.31264149997</v>
      </c>
      <c r="Q187" s="4">
        <v>257227.87382467001</v>
      </c>
      <c r="R187" s="4">
        <v>777.72147300117103</v>
      </c>
      <c r="S187" s="4">
        <v>0</v>
      </c>
      <c r="T187" s="4">
        <v>0</v>
      </c>
      <c r="U187" s="4">
        <v>2.77276374434361E-2</v>
      </c>
      <c r="V187" s="4">
        <v>0.35540294961879199</v>
      </c>
      <c r="W187" s="4">
        <v>0</v>
      </c>
      <c r="X187" s="4">
        <v>0.73970507038933297</v>
      </c>
      <c r="Y187" s="4">
        <v>0</v>
      </c>
      <c r="Z187" s="5">
        <v>4.7060161113777099E-4</v>
      </c>
      <c r="AA187" s="5">
        <v>1.1202030837076801E-3</v>
      </c>
      <c r="AB187" s="10">
        <v>3.8709796675789701E-3</v>
      </c>
      <c r="AC187" s="10">
        <v>1.94061703549869E-6</v>
      </c>
      <c r="AD187" s="10">
        <v>2.2811017749275301E-2</v>
      </c>
      <c r="AE187" s="4">
        <v>-9.1529444470746096E-3</v>
      </c>
      <c r="AF187" s="4">
        <v>0.80580144448061097</v>
      </c>
      <c r="AG187" s="4">
        <v>0.99826861244157905</v>
      </c>
      <c r="AH187" s="4">
        <v>0.99918504992789303</v>
      </c>
      <c r="AI187" s="4">
        <v>1</v>
      </c>
      <c r="AJ187" s="4">
        <v>1</v>
      </c>
      <c r="AK187" s="4">
        <v>1</v>
      </c>
      <c r="AL187" s="4">
        <v>1</v>
      </c>
      <c r="AM187" s="4">
        <v>0</v>
      </c>
      <c r="AN187" s="4">
        <v>0</v>
      </c>
      <c r="AO187" s="4" t="s">
        <v>84</v>
      </c>
      <c r="AP187" s="4" t="s">
        <v>85</v>
      </c>
      <c r="AQ187" s="6">
        <v>331566729.36000001</v>
      </c>
      <c r="AR187" s="4">
        <v>1289</v>
      </c>
      <c r="AS187" s="15">
        <v>0</v>
      </c>
      <c r="AT187" s="15">
        <v>64.459705038120703</v>
      </c>
      <c r="AU187" s="15">
        <v>64.459705038120703</v>
      </c>
      <c r="AV187" s="15">
        <v>35.540294961879198</v>
      </c>
      <c r="AW187" s="15">
        <v>35.540294961879198</v>
      </c>
      <c r="AX187" s="15">
        <v>0</v>
      </c>
      <c r="AY187">
        <v>4391.3861841347598</v>
      </c>
    </row>
    <row r="188" spans="1:51" x14ac:dyDescent="0.25">
      <c r="A188">
        <v>97</v>
      </c>
      <c r="B188" s="4">
        <v>0.97179405334903901</v>
      </c>
      <c r="C188" s="4">
        <v>45.0720353752695</v>
      </c>
      <c r="D188" s="4">
        <v>29.060055209685299</v>
      </c>
      <c r="E188" s="4">
        <v>4.8703003571695699E-2</v>
      </c>
      <c r="F188" s="5">
        <v>2.8205946650960299E-2</v>
      </c>
      <c r="G188" s="5">
        <v>0</v>
      </c>
      <c r="H188" s="4">
        <v>5.8348781883709302</v>
      </c>
      <c r="I188" s="4">
        <v>3.67307001980189</v>
      </c>
      <c r="J188" s="4">
        <v>75.657128962449505</v>
      </c>
      <c r="K188" s="4">
        <v>234.249178908365</v>
      </c>
      <c r="L188" s="4">
        <v>15.055195490620999</v>
      </c>
      <c r="M188" s="4">
        <v>40.999928162927098</v>
      </c>
      <c r="N188" s="4">
        <v>69.031724488063105</v>
      </c>
      <c r="O188" s="4">
        <v>64.295707767699398</v>
      </c>
      <c r="P188" s="4">
        <v>290583.50108907698</v>
      </c>
      <c r="Q188" s="4">
        <v>265210.59250492998</v>
      </c>
      <c r="R188" s="4">
        <v>777.30025594932897</v>
      </c>
      <c r="S188" s="4">
        <v>0</v>
      </c>
      <c r="T188" s="4">
        <v>0</v>
      </c>
      <c r="U188" s="4">
        <v>5.6566528741763399E-2</v>
      </c>
      <c r="V188" s="4">
        <v>0.38889633844951899</v>
      </c>
      <c r="W188" s="4">
        <v>0</v>
      </c>
      <c r="X188" s="4">
        <v>0.68928620718205202</v>
      </c>
      <c r="Y188" s="4">
        <v>0</v>
      </c>
      <c r="Z188" s="5">
        <v>4.6446899598775202E-4</v>
      </c>
      <c r="AA188" s="5">
        <v>1.79424675776494E-3</v>
      </c>
      <c r="AB188" s="10">
        <v>3.6791862401650399E-3</v>
      </c>
      <c r="AC188" s="10">
        <v>4.94448876754042E-6</v>
      </c>
      <c r="AD188" s="10">
        <v>2.2263085253417102E-2</v>
      </c>
      <c r="AE188" s="4">
        <v>9.6345984911288696E-3</v>
      </c>
      <c r="AF188" s="4">
        <v>0.730149320568517</v>
      </c>
      <c r="AG188" s="4">
        <v>0.99721339917743601</v>
      </c>
      <c r="AH188" s="4">
        <v>0.99721339917743601</v>
      </c>
      <c r="AI188" s="4">
        <v>1</v>
      </c>
      <c r="AJ188" s="4">
        <v>1</v>
      </c>
      <c r="AK188" s="4">
        <v>1</v>
      </c>
      <c r="AL188" s="4">
        <v>1</v>
      </c>
      <c r="AM188" s="4">
        <v>0</v>
      </c>
      <c r="AN188" s="4">
        <v>0</v>
      </c>
      <c r="AO188" s="4" t="s">
        <v>86</v>
      </c>
      <c r="AP188" s="4" t="s">
        <v>87</v>
      </c>
      <c r="AQ188" s="6">
        <v>134461770.40000001</v>
      </c>
      <c r="AR188" s="4">
        <v>507</v>
      </c>
      <c r="AS188" s="15">
        <v>0</v>
      </c>
      <c r="AT188" s="15">
        <v>61.110366155047998</v>
      </c>
      <c r="AU188" s="15">
        <v>61.110366155047998</v>
      </c>
      <c r="AV188" s="15">
        <v>38.889633844951902</v>
      </c>
      <c r="AW188" s="15">
        <v>38.889633844951902</v>
      </c>
      <c r="AX188" s="15">
        <v>0</v>
      </c>
      <c r="AY188">
        <v>4826.8002210692703</v>
      </c>
    </row>
    <row r="189" spans="1:51" x14ac:dyDescent="0.25">
      <c r="A189">
        <v>97</v>
      </c>
      <c r="B189" s="4">
        <v>0.97098280658749803</v>
      </c>
      <c r="C189" s="4">
        <v>50.113546797180099</v>
      </c>
      <c r="D189" s="4">
        <v>29.767443392516</v>
      </c>
      <c r="E189" s="4">
        <v>5.6304496682895597E-2</v>
      </c>
      <c r="F189" s="5">
        <v>2.9017193412501301E-2</v>
      </c>
      <c r="G189" s="5">
        <v>0</v>
      </c>
      <c r="H189" s="4">
        <v>5.84193448350414</v>
      </c>
      <c r="I189" s="4">
        <v>3.7028613529320098</v>
      </c>
      <c r="J189" s="4">
        <v>76.080367556486294</v>
      </c>
      <c r="K189" s="4">
        <v>268.05778266692897</v>
      </c>
      <c r="L189" s="4">
        <v>13.4415536857066</v>
      </c>
      <c r="M189" s="4">
        <v>40.562188081618899</v>
      </c>
      <c r="N189" s="4">
        <v>83.985953241832902</v>
      </c>
      <c r="O189" s="4">
        <v>72.918249079013293</v>
      </c>
      <c r="P189" s="4">
        <v>311270.154077899</v>
      </c>
      <c r="Q189" s="4">
        <v>297053.88213483099</v>
      </c>
      <c r="R189" s="4">
        <v>774.84610659393002</v>
      </c>
      <c r="S189" s="4">
        <v>0</v>
      </c>
      <c r="T189" s="4">
        <v>0</v>
      </c>
      <c r="U189" s="4">
        <v>2.0965780970290799E-2</v>
      </c>
      <c r="V189" s="4">
        <v>0.30198685956929</v>
      </c>
      <c r="W189" s="4">
        <v>0</v>
      </c>
      <c r="X189" s="4">
        <v>0.236417398252279</v>
      </c>
      <c r="Y189" s="4">
        <v>0</v>
      </c>
      <c r="Z189" s="5">
        <v>4.58926734133041E-4</v>
      </c>
      <c r="AA189" s="5">
        <v>1.39989938327469E-3</v>
      </c>
      <c r="AB189" s="10">
        <v>3.9608984178854199E-3</v>
      </c>
      <c r="AC189" s="10">
        <v>2.21628434980659E-4</v>
      </c>
      <c r="AD189" s="10">
        <v>2.29758235100446E-2</v>
      </c>
      <c r="AE189" s="4">
        <v>8.23789425730512E-2</v>
      </c>
      <c r="AF189" s="4">
        <v>0.42947216630468499</v>
      </c>
      <c r="AG189" s="4">
        <v>0.71892001444715004</v>
      </c>
      <c r="AH189" s="4">
        <v>0.91668925273414303</v>
      </c>
      <c r="AI189" s="4">
        <v>1</v>
      </c>
      <c r="AJ189" s="4">
        <v>1</v>
      </c>
      <c r="AK189" s="4">
        <v>1</v>
      </c>
      <c r="AL189" s="4">
        <v>1</v>
      </c>
      <c r="AM189" s="4">
        <v>0</v>
      </c>
      <c r="AN189" s="4">
        <v>0</v>
      </c>
      <c r="AO189" s="4" t="s">
        <v>154</v>
      </c>
      <c r="AP189" s="4" t="s">
        <v>155</v>
      </c>
      <c r="AQ189" s="6">
        <v>26437795.510000002</v>
      </c>
      <c r="AR189" s="4">
        <v>89</v>
      </c>
      <c r="AS189" s="15">
        <v>0</v>
      </c>
      <c r="AT189" s="15">
        <v>69.801314043070903</v>
      </c>
      <c r="AU189" s="15">
        <v>69.801314043070903</v>
      </c>
      <c r="AV189" s="15">
        <v>30.198685956929001</v>
      </c>
      <c r="AW189" s="15">
        <v>30.198685956929001</v>
      </c>
      <c r="AX189" s="15">
        <v>0</v>
      </c>
      <c r="AY189">
        <v>4967.6280042155404</v>
      </c>
    </row>
    <row r="193" spans="1:51" x14ac:dyDescent="0.25">
      <c r="F193" t="s">
        <v>167</v>
      </c>
    </row>
    <row r="194" spans="1:51" x14ac:dyDescent="0.25">
      <c r="A194" t="s">
        <v>20</v>
      </c>
      <c r="B194" t="s">
        <v>21</v>
      </c>
      <c r="C194" t="s">
        <v>22</v>
      </c>
      <c r="D194" t="s">
        <v>23</v>
      </c>
      <c r="E194" t="s">
        <v>94</v>
      </c>
      <c r="F194" t="s">
        <v>95</v>
      </c>
      <c r="G194" t="s">
        <v>24</v>
      </c>
      <c r="H194" t="s">
        <v>25</v>
      </c>
      <c r="I194" t="s">
        <v>26</v>
      </c>
      <c r="J194" t="s">
        <v>27</v>
      </c>
      <c r="K194" t="s">
        <v>28</v>
      </c>
      <c r="L194" t="s">
        <v>29</v>
      </c>
      <c r="M194" t="s">
        <v>30</v>
      </c>
      <c r="N194" t="s">
        <v>31</v>
      </c>
      <c r="O194" t="s">
        <v>32</v>
      </c>
      <c r="P194" t="s">
        <v>33</v>
      </c>
      <c r="Q194" t="s">
        <v>34</v>
      </c>
      <c r="R194" t="s">
        <v>35</v>
      </c>
      <c r="S194" t="s">
        <v>36</v>
      </c>
      <c r="T194" t="s">
        <v>37</v>
      </c>
      <c r="U194" t="s">
        <v>38</v>
      </c>
      <c r="V194" t="s">
        <v>39</v>
      </c>
      <c r="W194" t="s">
        <v>40</v>
      </c>
      <c r="X194" t="s">
        <v>41</v>
      </c>
      <c r="Y194" t="s">
        <v>42</v>
      </c>
      <c r="Z194" t="s">
        <v>43</v>
      </c>
      <c r="AA194" t="s">
        <v>44</v>
      </c>
      <c r="AB194" t="s">
        <v>45</v>
      </c>
      <c r="AC194" t="s">
        <v>46</v>
      </c>
      <c r="AD194" t="s">
        <v>47</v>
      </c>
      <c r="AE194" t="s">
        <v>48</v>
      </c>
      <c r="AF194" t="s">
        <v>49</v>
      </c>
      <c r="AG194" t="s">
        <v>50</v>
      </c>
      <c r="AH194" t="s">
        <v>51</v>
      </c>
      <c r="AI194" t="s">
        <v>52</v>
      </c>
      <c r="AJ194" t="s">
        <v>53</v>
      </c>
      <c r="AK194" t="s">
        <v>54</v>
      </c>
      <c r="AL194" t="s">
        <v>55</v>
      </c>
      <c r="AM194" t="s">
        <v>56</v>
      </c>
      <c r="AN194" t="s">
        <v>57</v>
      </c>
      <c r="AO194" t="s">
        <v>58</v>
      </c>
      <c r="AP194" t="s">
        <v>59</v>
      </c>
      <c r="AQ194" t="s">
        <v>60</v>
      </c>
      <c r="AR194" t="s">
        <v>61</v>
      </c>
      <c r="AS194" t="s">
        <v>116</v>
      </c>
      <c r="AT194" t="s">
        <v>117</v>
      </c>
      <c r="AU194" t="s">
        <v>118</v>
      </c>
      <c r="AV194" t="s">
        <v>119</v>
      </c>
      <c r="AW194" t="s">
        <v>120</v>
      </c>
      <c r="AX194" t="s">
        <v>121</v>
      </c>
      <c r="AY194" t="s">
        <v>171</v>
      </c>
    </row>
    <row r="195" spans="1:51" x14ac:dyDescent="0.25">
      <c r="A195">
        <v>96</v>
      </c>
      <c r="B195" s="4">
        <v>0.97945684</v>
      </c>
      <c r="C195" s="4">
        <v>100</v>
      </c>
      <c r="D195" s="4">
        <v>22.048649887073498</v>
      </c>
      <c r="E195" s="4">
        <v>1</v>
      </c>
      <c r="F195" s="5">
        <v>2.0543160000000001E-2</v>
      </c>
      <c r="G195" s="5">
        <v>0</v>
      </c>
      <c r="H195" s="4">
        <v>5.875</v>
      </c>
      <c r="I195" s="4">
        <v>3.7846229999999998</v>
      </c>
      <c r="J195" s="4">
        <v>66.835700000000003</v>
      </c>
      <c r="K195" s="4">
        <v>145.06</v>
      </c>
      <c r="L195" s="4">
        <v>100</v>
      </c>
      <c r="M195" s="4">
        <v>42</v>
      </c>
      <c r="N195" s="4">
        <v>90</v>
      </c>
      <c r="O195" s="4">
        <v>8.5</v>
      </c>
      <c r="P195" s="4">
        <v>32753.46</v>
      </c>
      <c r="Q195" s="4">
        <v>32753.46</v>
      </c>
      <c r="R195" s="4">
        <v>794</v>
      </c>
      <c r="S195" s="4">
        <v>0</v>
      </c>
      <c r="T195" s="4">
        <v>0</v>
      </c>
      <c r="U195" s="4">
        <v>0</v>
      </c>
      <c r="V195" s="4">
        <v>0</v>
      </c>
      <c r="W195" s="4">
        <v>0</v>
      </c>
      <c r="X195" s="4">
        <v>0</v>
      </c>
      <c r="Y195" s="4">
        <v>0</v>
      </c>
      <c r="Z195" s="5">
        <v>1.096083E-2</v>
      </c>
      <c r="AA195" s="5">
        <v>1.64101E-3</v>
      </c>
      <c r="AB195" s="10">
        <v>6.2107500000000001E-3</v>
      </c>
      <c r="AC195" s="10">
        <v>0</v>
      </c>
      <c r="AD195" s="10">
        <v>1.7305599999999999E-3</v>
      </c>
      <c r="AE195" s="4">
        <v>7.0374509803919405E-2</v>
      </c>
      <c r="AF195" s="4">
        <v>0</v>
      </c>
      <c r="AG195" s="4">
        <v>1</v>
      </c>
      <c r="AH195" s="4">
        <v>1</v>
      </c>
      <c r="AI195" s="4">
        <v>1</v>
      </c>
      <c r="AJ195" s="4">
        <v>1</v>
      </c>
      <c r="AK195" s="4">
        <v>1</v>
      </c>
      <c r="AL195" s="4">
        <v>1</v>
      </c>
      <c r="AM195" s="4">
        <v>0</v>
      </c>
      <c r="AN195" s="4">
        <v>0</v>
      </c>
      <c r="AO195" s="4" t="s">
        <v>78</v>
      </c>
      <c r="AP195" s="4" t="s">
        <v>79</v>
      </c>
      <c r="AQ195" s="6">
        <v>32753.46</v>
      </c>
      <c r="AR195" s="4">
        <v>1</v>
      </c>
      <c r="AS195" s="15">
        <v>0</v>
      </c>
      <c r="AT195" s="15">
        <v>100</v>
      </c>
      <c r="AU195" s="15">
        <v>100</v>
      </c>
      <c r="AV195" s="15">
        <v>0</v>
      </c>
      <c r="AW195" s="15">
        <v>0</v>
      </c>
      <c r="AX195" s="15">
        <v>0</v>
      </c>
      <c r="AY195" s="31">
        <v>5546.85</v>
      </c>
    </row>
    <row r="196" spans="1:51" x14ac:dyDescent="0.25">
      <c r="A196">
        <v>96</v>
      </c>
      <c r="B196" s="4">
        <v>0.97094155462846699</v>
      </c>
      <c r="C196" s="4">
        <v>53.926505587231098</v>
      </c>
      <c r="D196" s="4">
        <v>29.8032407760263</v>
      </c>
      <c r="E196" s="4">
        <v>6.2536726327087594E-2</v>
      </c>
      <c r="F196" s="5">
        <v>2.9058445371532599E-2</v>
      </c>
      <c r="G196" s="5">
        <v>0</v>
      </c>
      <c r="H196" s="4">
        <v>5.4800507467645003</v>
      </c>
      <c r="I196" s="4">
        <v>3.75700708557296</v>
      </c>
      <c r="J196" s="4">
        <v>35.647117275124103</v>
      </c>
      <c r="K196" s="4">
        <v>166.13016914246199</v>
      </c>
      <c r="L196" s="4">
        <v>31.278566249640399</v>
      </c>
      <c r="M196" s="4">
        <v>41.499524460816502</v>
      </c>
      <c r="N196" s="4">
        <v>85.599477447759199</v>
      </c>
      <c r="O196" s="4">
        <v>59.3373631490158</v>
      </c>
      <c r="P196" s="4">
        <v>170189.90339858999</v>
      </c>
      <c r="Q196" s="4">
        <v>125688.486</v>
      </c>
      <c r="R196" s="4">
        <v>777.53033686792901</v>
      </c>
      <c r="S196" s="4">
        <v>0</v>
      </c>
      <c r="T196" s="4">
        <v>0</v>
      </c>
      <c r="U196" s="4">
        <v>0</v>
      </c>
      <c r="V196" s="4">
        <v>0.40375193635477402</v>
      </c>
      <c r="W196" s="4">
        <v>0</v>
      </c>
      <c r="X196" s="4">
        <v>0.32434272459929198</v>
      </c>
      <c r="Y196" s="4">
        <v>0</v>
      </c>
      <c r="Z196" s="5">
        <v>1.79786928120403E-3</v>
      </c>
      <c r="AA196" s="5">
        <v>1.0201989025972E-3</v>
      </c>
      <c r="AB196" s="10">
        <v>4.8905802023871603E-3</v>
      </c>
      <c r="AC196" s="10">
        <v>0</v>
      </c>
      <c r="AD196" s="10">
        <v>2.1349781370656198E-2</v>
      </c>
      <c r="AE196" s="4">
        <v>-5.1932766820140201E-3</v>
      </c>
      <c r="AF196" s="4">
        <v>0.89651138927713703</v>
      </c>
      <c r="AG196" s="4">
        <v>1</v>
      </c>
      <c r="AH196" s="4">
        <v>1</v>
      </c>
      <c r="AI196" s="4">
        <v>1</v>
      </c>
      <c r="AJ196" s="4">
        <v>1</v>
      </c>
      <c r="AK196" s="4">
        <v>1</v>
      </c>
      <c r="AL196" s="4">
        <v>1</v>
      </c>
      <c r="AM196" s="4">
        <v>0</v>
      </c>
      <c r="AN196" s="4">
        <v>0</v>
      </c>
      <c r="AO196" s="4" t="s">
        <v>80</v>
      </c>
      <c r="AP196" s="4" t="s">
        <v>81</v>
      </c>
      <c r="AQ196" s="6">
        <v>3142212.15</v>
      </c>
      <c r="AR196" s="4">
        <v>25</v>
      </c>
      <c r="AS196" s="15">
        <v>0</v>
      </c>
      <c r="AT196" s="15">
        <v>59.624806364522499</v>
      </c>
      <c r="AU196" s="15">
        <v>59.624806364522499</v>
      </c>
      <c r="AV196" s="15">
        <v>40.375193635477402</v>
      </c>
      <c r="AW196" s="15">
        <v>40.375193635477402</v>
      </c>
      <c r="AX196" s="15">
        <v>0</v>
      </c>
      <c r="AY196" s="31">
        <v>4308.7926875862904</v>
      </c>
    </row>
    <row r="197" spans="1:51" x14ac:dyDescent="0.25">
      <c r="A197">
        <v>96</v>
      </c>
      <c r="B197" s="4">
        <v>0.96003512460076901</v>
      </c>
      <c r="C197" s="4">
        <v>45.7420497333543</v>
      </c>
      <c r="D197" s="4">
        <v>38.702117370834301</v>
      </c>
      <c r="E197" s="4">
        <v>4.9675450142089399E-2</v>
      </c>
      <c r="F197" s="5">
        <v>3.99648753992305E-2</v>
      </c>
      <c r="G197" s="5">
        <v>0</v>
      </c>
      <c r="H197" s="4">
        <v>5.5215956509271802</v>
      </c>
      <c r="I197" s="4">
        <v>3.7784990685883701</v>
      </c>
      <c r="J197" s="4">
        <v>41.977464769770201</v>
      </c>
      <c r="K197" s="4">
        <v>190.39197835595601</v>
      </c>
      <c r="L197" s="4">
        <v>16.2024385544734</v>
      </c>
      <c r="M197" s="4">
        <v>42.575634617058299</v>
      </c>
      <c r="N197" s="4">
        <v>60.428973611941601</v>
      </c>
      <c r="O197" s="4">
        <v>55.563464835435497</v>
      </c>
      <c r="P197" s="4">
        <v>273916.22150771902</v>
      </c>
      <c r="Q197" s="4">
        <v>246297.90532125201</v>
      </c>
      <c r="R197" s="4">
        <v>778.10853865903096</v>
      </c>
      <c r="S197" s="4">
        <v>0</v>
      </c>
      <c r="T197" s="4">
        <v>0</v>
      </c>
      <c r="U197" s="4">
        <v>3.3873697239004297E-2</v>
      </c>
      <c r="V197" s="4">
        <v>0.41882625590214301</v>
      </c>
      <c r="W197" s="4">
        <v>0</v>
      </c>
      <c r="X197" s="4">
        <v>0.70047940670892095</v>
      </c>
      <c r="Y197" s="4">
        <v>0</v>
      </c>
      <c r="Z197" s="5">
        <v>5.2001257323515903E-4</v>
      </c>
      <c r="AA197" s="5">
        <v>9.6768819732903101E-4</v>
      </c>
      <c r="AB197" s="10">
        <v>4.2033406590764001E-3</v>
      </c>
      <c r="AC197" s="10">
        <v>1.30394022591955E-5</v>
      </c>
      <c r="AD197" s="10">
        <v>3.4260780385203297E-2</v>
      </c>
      <c r="AE197" s="4">
        <v>4.5407140909657499E-4</v>
      </c>
      <c r="AF197" s="4">
        <v>0.72579029685867302</v>
      </c>
      <c r="AG197" s="4">
        <v>0.99346644542043505</v>
      </c>
      <c r="AH197" s="4">
        <v>0.99346644542043505</v>
      </c>
      <c r="AI197" s="4">
        <v>1</v>
      </c>
      <c r="AJ197" s="4">
        <v>1</v>
      </c>
      <c r="AK197" s="4">
        <v>1</v>
      </c>
      <c r="AL197" s="4">
        <v>1</v>
      </c>
      <c r="AM197" s="4">
        <v>0</v>
      </c>
      <c r="AN197" s="4">
        <v>0</v>
      </c>
      <c r="AO197" s="4" t="s">
        <v>82</v>
      </c>
      <c r="AP197" s="4" t="s">
        <v>83</v>
      </c>
      <c r="AQ197" s="6">
        <v>149502828.53</v>
      </c>
      <c r="AR197" s="4">
        <v>607</v>
      </c>
      <c r="AS197" s="15">
        <v>0</v>
      </c>
      <c r="AT197" s="15">
        <v>58.117374409785597</v>
      </c>
      <c r="AU197" s="15">
        <v>58.117374409785597</v>
      </c>
      <c r="AV197" s="15">
        <v>41.882625590214303</v>
      </c>
      <c r="AW197" s="15">
        <v>41.882625590214303</v>
      </c>
      <c r="AX197" s="15">
        <v>0</v>
      </c>
      <c r="AY197" s="31">
        <v>4251.2320981783096</v>
      </c>
    </row>
    <row r="198" spans="1:51" x14ac:dyDescent="0.25">
      <c r="A198">
        <v>96</v>
      </c>
      <c r="B198" s="4">
        <v>0.95874954781349597</v>
      </c>
      <c r="C198" s="4">
        <v>36.044984186123699</v>
      </c>
      <c r="D198" s="4">
        <v>39.679898241382197</v>
      </c>
      <c r="E198" s="4">
        <v>3.6563968988251802E-2</v>
      </c>
      <c r="F198" s="5">
        <v>4.1250452186503E-2</v>
      </c>
      <c r="G198" s="5">
        <v>0</v>
      </c>
      <c r="H198" s="4">
        <v>5.68814050444524</v>
      </c>
      <c r="I198" s="4">
        <v>3.70292444551324</v>
      </c>
      <c r="J198" s="4">
        <v>60.285902354424898</v>
      </c>
      <c r="K198" s="4">
        <v>212.532409382265</v>
      </c>
      <c r="L198" s="4">
        <v>15.520617610179601</v>
      </c>
      <c r="M198" s="4">
        <v>40.917152259145404</v>
      </c>
      <c r="N198" s="4">
        <v>63.058385981118597</v>
      </c>
      <c r="O198" s="4">
        <v>59.619903555286797</v>
      </c>
      <c r="P198" s="4">
        <v>282447.31264149997</v>
      </c>
      <c r="Q198" s="4">
        <v>257227.87382467001</v>
      </c>
      <c r="R198" s="4">
        <v>777.72147300117103</v>
      </c>
      <c r="S198" s="4">
        <v>0</v>
      </c>
      <c r="T198" s="4">
        <v>0</v>
      </c>
      <c r="U198" s="4">
        <v>2.77276374434361E-2</v>
      </c>
      <c r="V198" s="4">
        <v>0.35540294961879199</v>
      </c>
      <c r="W198" s="4">
        <v>0</v>
      </c>
      <c r="X198" s="4">
        <v>0.73970507038933297</v>
      </c>
      <c r="Y198" s="4">
        <v>0</v>
      </c>
      <c r="Z198" s="5">
        <v>4.7060161113777099E-4</v>
      </c>
      <c r="AA198" s="5">
        <v>1.1202030837076801E-3</v>
      </c>
      <c r="AB198" s="10">
        <v>3.8709796675789701E-3</v>
      </c>
      <c r="AC198" s="10">
        <v>1.94061703549869E-6</v>
      </c>
      <c r="AD198" s="10">
        <v>3.5786712065514897E-2</v>
      </c>
      <c r="AE198" s="4">
        <v>-9.1529444470746096E-3</v>
      </c>
      <c r="AF198" s="4">
        <v>0.80580144448061097</v>
      </c>
      <c r="AG198" s="4">
        <v>0.99826861244157905</v>
      </c>
      <c r="AH198" s="4">
        <v>0.99918504992789303</v>
      </c>
      <c r="AI198" s="4">
        <v>1</v>
      </c>
      <c r="AJ198" s="4">
        <v>1</v>
      </c>
      <c r="AK198" s="4">
        <v>1</v>
      </c>
      <c r="AL198" s="4">
        <v>1</v>
      </c>
      <c r="AM198" s="4">
        <v>0</v>
      </c>
      <c r="AN198" s="4">
        <v>0</v>
      </c>
      <c r="AO198" s="4" t="s">
        <v>84</v>
      </c>
      <c r="AP198" s="4" t="s">
        <v>85</v>
      </c>
      <c r="AQ198" s="6">
        <v>331566729.36000001</v>
      </c>
      <c r="AR198" s="4">
        <v>1289</v>
      </c>
      <c r="AS198" s="15">
        <v>0</v>
      </c>
      <c r="AT198" s="15">
        <v>64.459705038120703</v>
      </c>
      <c r="AU198" s="15">
        <v>64.459705038120703</v>
      </c>
      <c r="AV198" s="15">
        <v>35.540294961879198</v>
      </c>
      <c r="AW198" s="15">
        <v>35.540294961879198</v>
      </c>
      <c r="AX198" s="15">
        <v>0</v>
      </c>
      <c r="AY198">
        <v>4391.3861841347598</v>
      </c>
    </row>
    <row r="199" spans="1:51" x14ac:dyDescent="0.25">
      <c r="A199">
        <v>96</v>
      </c>
      <c r="B199" s="4">
        <v>0.95795377172269303</v>
      </c>
      <c r="C199" s="4">
        <v>45.0720353752695</v>
      </c>
      <c r="D199" s="4">
        <v>40.2779618787415</v>
      </c>
      <c r="E199" s="4">
        <v>4.8703003571695699E-2</v>
      </c>
      <c r="F199" s="5">
        <v>4.2046228277306801E-2</v>
      </c>
      <c r="G199" s="5">
        <v>0</v>
      </c>
      <c r="H199" s="4">
        <v>5.8348781883709302</v>
      </c>
      <c r="I199" s="4">
        <v>3.67307001980189</v>
      </c>
      <c r="J199" s="4">
        <v>75.657128962449505</v>
      </c>
      <c r="K199" s="4">
        <v>234.249178908365</v>
      </c>
      <c r="L199" s="4">
        <v>15.055195490620999</v>
      </c>
      <c r="M199" s="4">
        <v>40.999928162927098</v>
      </c>
      <c r="N199" s="4">
        <v>69.031724488063105</v>
      </c>
      <c r="O199" s="4">
        <v>64.295707767699398</v>
      </c>
      <c r="P199" s="4">
        <v>290583.50108907698</v>
      </c>
      <c r="Q199" s="4">
        <v>265210.59250492998</v>
      </c>
      <c r="R199" s="4">
        <v>777.30025594932897</v>
      </c>
      <c r="S199" s="4">
        <v>0</v>
      </c>
      <c r="T199" s="4">
        <v>0</v>
      </c>
      <c r="U199" s="4">
        <v>5.6566528741763399E-2</v>
      </c>
      <c r="V199" s="4">
        <v>0.38889633844951899</v>
      </c>
      <c r="W199" s="4">
        <v>0</v>
      </c>
      <c r="X199" s="4">
        <v>0.68928620718205202</v>
      </c>
      <c r="Y199" s="4">
        <v>0</v>
      </c>
      <c r="Z199" s="5">
        <v>4.6446899598775202E-4</v>
      </c>
      <c r="AA199" s="5">
        <v>1.79424675776494E-3</v>
      </c>
      <c r="AB199" s="10">
        <v>3.6791862401650399E-3</v>
      </c>
      <c r="AC199" s="10">
        <v>4.94448876754042E-6</v>
      </c>
      <c r="AD199" s="10">
        <v>3.6103366772362498E-2</v>
      </c>
      <c r="AE199" s="4">
        <v>9.6345984911288696E-3</v>
      </c>
      <c r="AF199" s="4">
        <v>0.730149320568517</v>
      </c>
      <c r="AG199" s="4">
        <v>0.99721339917743601</v>
      </c>
      <c r="AH199" s="4">
        <v>0.99721339917743601</v>
      </c>
      <c r="AI199" s="4">
        <v>1</v>
      </c>
      <c r="AJ199" s="4">
        <v>1</v>
      </c>
      <c r="AK199" s="4">
        <v>1</v>
      </c>
      <c r="AL199" s="4">
        <v>1</v>
      </c>
      <c r="AM199" s="4">
        <v>0</v>
      </c>
      <c r="AN199" s="4">
        <v>0</v>
      </c>
      <c r="AO199" s="4" t="s">
        <v>86</v>
      </c>
      <c r="AP199" s="4" t="s">
        <v>87</v>
      </c>
      <c r="AQ199" s="6">
        <v>134461770.40000001</v>
      </c>
      <c r="AR199" s="4">
        <v>507</v>
      </c>
      <c r="AS199" s="15">
        <v>0</v>
      </c>
      <c r="AT199" s="15">
        <v>61.110366155047998</v>
      </c>
      <c r="AU199" s="15">
        <v>61.110366155047998</v>
      </c>
      <c r="AV199" s="15">
        <v>38.889633844951902</v>
      </c>
      <c r="AW199" s="15">
        <v>38.889633844951902</v>
      </c>
      <c r="AX199" s="15">
        <v>0</v>
      </c>
      <c r="AY199">
        <v>4826.8002210692703</v>
      </c>
    </row>
    <row r="200" spans="1:51" x14ac:dyDescent="0.25">
      <c r="A200">
        <v>96</v>
      </c>
      <c r="B200" s="4">
        <v>0.95499452100876003</v>
      </c>
      <c r="C200" s="4">
        <v>50.113546797180099</v>
      </c>
      <c r="D200" s="4">
        <v>42.454607116498799</v>
      </c>
      <c r="E200" s="4">
        <v>5.6304496682895597E-2</v>
      </c>
      <c r="F200" s="5">
        <v>4.50054789912398E-2</v>
      </c>
      <c r="G200" s="5">
        <v>0</v>
      </c>
      <c r="H200" s="4">
        <v>5.84193448350414</v>
      </c>
      <c r="I200" s="4">
        <v>3.7028613529320098</v>
      </c>
      <c r="J200" s="4">
        <v>76.080367556486294</v>
      </c>
      <c r="K200" s="4">
        <v>268.05778266692897</v>
      </c>
      <c r="L200" s="4">
        <v>13.4415536857066</v>
      </c>
      <c r="M200" s="4">
        <v>40.562188081618899</v>
      </c>
      <c r="N200" s="4">
        <v>83.985953241832902</v>
      </c>
      <c r="O200" s="4">
        <v>72.918249079013293</v>
      </c>
      <c r="P200" s="4">
        <v>311270.154077899</v>
      </c>
      <c r="Q200" s="4">
        <v>297053.88213483099</v>
      </c>
      <c r="R200" s="4">
        <v>774.84610659393002</v>
      </c>
      <c r="S200" s="4">
        <v>0</v>
      </c>
      <c r="T200" s="4">
        <v>0</v>
      </c>
      <c r="U200" s="4">
        <v>2.0965780970290799E-2</v>
      </c>
      <c r="V200" s="4">
        <v>0.30198685956929</v>
      </c>
      <c r="W200" s="4">
        <v>0</v>
      </c>
      <c r="X200" s="4">
        <v>0.236417398252279</v>
      </c>
      <c r="Y200" s="4">
        <v>0</v>
      </c>
      <c r="Z200" s="5">
        <v>4.58926734133041E-4</v>
      </c>
      <c r="AA200" s="5">
        <v>1.39989938327469E-3</v>
      </c>
      <c r="AB200" s="10">
        <v>3.9608984178854199E-3</v>
      </c>
      <c r="AC200" s="10">
        <v>2.21628434980659E-4</v>
      </c>
      <c r="AD200" s="10">
        <v>3.8964109340356497E-2</v>
      </c>
      <c r="AE200" s="4">
        <v>8.23789425730512E-2</v>
      </c>
      <c r="AF200" s="4">
        <v>0.42947216630468499</v>
      </c>
      <c r="AG200" s="4">
        <v>0.71892001444715004</v>
      </c>
      <c r="AH200" s="4">
        <v>0.91668925273414303</v>
      </c>
      <c r="AI200" s="4">
        <v>1</v>
      </c>
      <c r="AJ200" s="4">
        <v>1</v>
      </c>
      <c r="AK200" s="4">
        <v>1</v>
      </c>
      <c r="AL200" s="4">
        <v>1</v>
      </c>
      <c r="AM200" s="4">
        <v>0</v>
      </c>
      <c r="AN200" s="4">
        <v>0</v>
      </c>
      <c r="AO200" s="4" t="s">
        <v>154</v>
      </c>
      <c r="AP200" s="4" t="s">
        <v>155</v>
      </c>
      <c r="AQ200" s="6">
        <v>26437795.510000002</v>
      </c>
      <c r="AR200" s="4">
        <v>89</v>
      </c>
      <c r="AS200" s="15">
        <v>0</v>
      </c>
      <c r="AT200" s="15">
        <v>69.801314043070903</v>
      </c>
      <c r="AU200" s="15">
        <v>69.801314043070903</v>
      </c>
      <c r="AV200" s="15">
        <v>30.198685956929001</v>
      </c>
      <c r="AW200" s="15">
        <v>30.198685956929001</v>
      </c>
      <c r="AX200" s="15">
        <v>0</v>
      </c>
      <c r="AY200">
        <v>4967.6280042155404</v>
      </c>
    </row>
    <row r="201" spans="1:51" x14ac:dyDescent="0.25">
      <c r="B201" s="4"/>
      <c r="C201" s="4"/>
      <c r="D201" s="4"/>
      <c r="E201" s="4"/>
      <c r="F201" s="5"/>
      <c r="G201" s="5"/>
      <c r="H201" s="4"/>
      <c r="I201" s="4"/>
      <c r="J201" s="4"/>
      <c r="K201" s="4"/>
      <c r="L201" s="4"/>
      <c r="M201" s="4"/>
      <c r="N201" s="4"/>
      <c r="O201" s="4"/>
      <c r="P201" s="4"/>
      <c r="Q201" s="4"/>
      <c r="R201" s="4"/>
      <c r="S201" s="4"/>
      <c r="T201" s="4"/>
      <c r="U201" s="4"/>
      <c r="V201" s="4"/>
      <c r="W201" s="4"/>
      <c r="X201" s="4"/>
      <c r="Y201" s="4"/>
      <c r="Z201" s="5"/>
      <c r="AA201" s="5"/>
      <c r="AB201" s="10"/>
      <c r="AC201" s="10"/>
      <c r="AD201" s="10"/>
      <c r="AE201" s="4"/>
      <c r="AF201" s="4"/>
      <c r="AG201" s="4"/>
      <c r="AH201" s="4"/>
      <c r="AI201" s="4"/>
      <c r="AJ201" s="4"/>
      <c r="AK201" s="4"/>
      <c r="AL201" s="4"/>
      <c r="AM201" s="4"/>
      <c r="AN201" s="4"/>
      <c r="AO201" s="4"/>
      <c r="AP201" s="4"/>
      <c r="AQ201" s="6"/>
      <c r="AR201" s="4"/>
      <c r="AS201" s="15"/>
      <c r="AT201" s="15"/>
      <c r="AU201" s="15"/>
      <c r="AV201" s="15"/>
      <c r="AW201" s="15"/>
      <c r="AX201" s="15"/>
    </row>
    <row r="202" spans="1:51" s="17" customFormat="1" x14ac:dyDescent="0.25">
      <c r="A202" s="15"/>
      <c r="B202" s="20"/>
      <c r="C202" s="21"/>
      <c r="D202" s="16"/>
      <c r="E202" s="16"/>
      <c r="F202" s="20"/>
      <c r="G202" s="21"/>
      <c r="H202" s="21"/>
      <c r="K202" s="15"/>
      <c r="L202" s="15"/>
      <c r="M202" s="23"/>
      <c r="N202" s="16"/>
      <c r="O202" s="21"/>
      <c r="P202" s="22"/>
      <c r="X202" s="18"/>
      <c r="Y202" s="16"/>
      <c r="Z202" s="16"/>
      <c r="AC202" s="18"/>
      <c r="AD202" s="16"/>
      <c r="AE202" s="16"/>
    </row>
    <row r="203" spans="1:51" x14ac:dyDescent="0.25">
      <c r="L203" s="4" t="s">
        <v>160</v>
      </c>
      <c r="M203" s="35" t="s">
        <v>159</v>
      </c>
      <c r="O203" s="4"/>
      <c r="P203" s="30"/>
    </row>
    <row r="204" spans="1:51" s="35" customFormat="1" x14ac:dyDescent="0.25">
      <c r="L204" t="s">
        <v>153</v>
      </c>
      <c r="M204" s="4">
        <v>1.05</v>
      </c>
      <c r="O204" s="35" t="s">
        <v>169</v>
      </c>
      <c r="P204" s="35" t="s">
        <v>170</v>
      </c>
    </row>
    <row r="205" spans="1:51" s="35" customFormat="1" x14ac:dyDescent="0.25">
      <c r="L205" s="35" t="s">
        <v>184</v>
      </c>
      <c r="M205" s="39">
        <v>1</v>
      </c>
      <c r="O205" s="39">
        <v>1</v>
      </c>
      <c r="P205" s="35">
        <f>1-O205</f>
        <v>0</v>
      </c>
    </row>
    <row r="206" spans="1:51" s="35" customFormat="1" x14ac:dyDescent="0.25">
      <c r="M206" s="39"/>
    </row>
    <row r="207" spans="1:51" x14ac:dyDescent="0.25">
      <c r="K207" t="s">
        <v>98</v>
      </c>
      <c r="L207" t="s">
        <v>89</v>
      </c>
      <c r="M207" t="s">
        <v>90</v>
      </c>
    </row>
    <row r="208" spans="1:51" x14ac:dyDescent="0.25">
      <c r="A208" s="4" t="s">
        <v>93</v>
      </c>
      <c r="B208" t="str">
        <f>AQ183</f>
        <v>Balance</v>
      </c>
      <c r="C208" s="2" t="str">
        <f t="shared" ref="C208:C214" si="29">AO183</f>
        <v>groupByColumn</v>
      </c>
      <c r="D208" t="str">
        <f>E183</f>
        <v>PREPAY_SMM1</v>
      </c>
      <c r="E208" t="str">
        <f>F183</f>
        <v>PREPAY_TRACKING_SMM1</v>
      </c>
      <c r="G208" t="str">
        <f>C183</f>
        <v>PREPAY_CPR1</v>
      </c>
      <c r="H208" t="str">
        <f>D183</f>
        <v>PREPAY_TRACKING_CPR1</v>
      </c>
      <c r="I208" t="s">
        <v>168</v>
      </c>
      <c r="K208" t="s">
        <v>92</v>
      </c>
      <c r="L208" t="s">
        <v>92</v>
      </c>
      <c r="M208" t="s">
        <v>92</v>
      </c>
      <c r="O208" t="s">
        <v>163</v>
      </c>
      <c r="P208" t="s">
        <v>164</v>
      </c>
      <c r="Q208" t="s">
        <v>165</v>
      </c>
      <c r="S208" t="s">
        <v>96</v>
      </c>
      <c r="T208" t="s">
        <v>97</v>
      </c>
      <c r="U208" t="s">
        <v>185</v>
      </c>
      <c r="V208" t="s">
        <v>91</v>
      </c>
    </row>
    <row r="209" spans="1:36" s="35" customFormat="1" x14ac:dyDescent="0.25">
      <c r="A209" s="14">
        <f t="shared" ref="A209:A214" si="30">K184</f>
        <v>145.06</v>
      </c>
      <c r="B209" s="32">
        <f t="shared" ref="B209:B214" si="31">AQ184/1000000000</f>
        <v>3.2753460000000001E-5</v>
      </c>
      <c r="C209" s="33" t="str">
        <f t="shared" si="29"/>
        <v>14:125-150</v>
      </c>
      <c r="D209" s="34">
        <f t="shared" ref="D209:D214" si="32">E184</f>
        <v>1</v>
      </c>
      <c r="E209" s="34">
        <f t="shared" ref="E209:E214" si="33">Z184+AA184+AB184+AC184+AD184</f>
        <v>1.9522100000000001E-2</v>
      </c>
      <c r="F209" s="32"/>
      <c r="G209" s="33">
        <f t="shared" ref="G209:H214" si="34">(1-(1-D209)^12)*100</f>
        <v>100</v>
      </c>
      <c r="H209" s="33">
        <f t="shared" si="34"/>
        <v>21.067890581542581</v>
      </c>
      <c r="I209" s="33">
        <f t="shared" ref="I209:I214" si="35">(1-(1-SUM(Z195,AA195,AB195,AC195,AD195*M209))^12)*100</f>
        <v>21.916317763780768</v>
      </c>
      <c r="K209" s="14">
        <f>VLOOKUP($C209,'Refi Adj'!$B$2:$E$39,2,0)</f>
        <v>1</v>
      </c>
      <c r="L209" s="14">
        <f>VLOOKUP($C209,'Refi Adj'!$B$2:$E$39,3,0)</f>
        <v>1</v>
      </c>
      <c r="M209" s="14">
        <f>VLOOKUP($C209,'Refi Adj'!$B$2:$E$39,4,0)</f>
        <v>0.92</v>
      </c>
      <c r="O209" s="40">
        <f t="shared" ref="O209:O214" si="36">AD195*M209</f>
        <v>1.5921151999999999E-3</v>
      </c>
      <c r="P209" s="40">
        <f t="shared" ref="P209:P214" si="37">AD184</f>
        <v>7.0951E-4</v>
      </c>
      <c r="Q209" s="40">
        <f t="shared" ref="Q209:Q214" si="38">(O209*$O$79+P209*$P$79)</f>
        <v>1.5921151999999999E-3</v>
      </c>
      <c r="R209" s="14"/>
      <c r="S209" s="34">
        <f>Z184+AA184+AB184*K209+AC184*L209+Q210*$M$154</f>
        <v>3.898813339527011E-2</v>
      </c>
      <c r="T209" s="33">
        <f t="shared" ref="T209:T214" si="39">100*(1-(1-S209)^12)</f>
        <v>37.949540115508363</v>
      </c>
      <c r="U209" s="33">
        <f>100*(1-(1-S209*$M$155)^12)</f>
        <v>37.949540115508363</v>
      </c>
      <c r="V209" s="36">
        <f t="shared" ref="V209:V214" si="40">D209/S209</f>
        <v>25.648829859634063</v>
      </c>
      <c r="X209" s="37"/>
      <c r="Y209" s="34"/>
      <c r="Z209" s="34"/>
      <c r="AD209" s="34"/>
      <c r="AE209" s="34"/>
      <c r="AJ209" s="34"/>
    </row>
    <row r="210" spans="1:36" s="35" customFormat="1" x14ac:dyDescent="0.25">
      <c r="A210" s="14">
        <f t="shared" si="30"/>
        <v>166.13016914246199</v>
      </c>
      <c r="B210" s="32">
        <f t="shared" si="31"/>
        <v>3.14221215E-3</v>
      </c>
      <c r="C210" s="33" t="str">
        <f t="shared" si="29"/>
        <v>15:150-175</v>
      </c>
      <c r="D210" s="34">
        <f t="shared" si="32"/>
        <v>6.2536726327087594E-2</v>
      </c>
      <c r="E210" s="34">
        <f t="shared" si="33"/>
        <v>1.8104881987432993E-2</v>
      </c>
      <c r="F210" s="32"/>
      <c r="G210" s="33">
        <f t="shared" si="34"/>
        <v>53.926505587231112</v>
      </c>
      <c r="H210" s="33">
        <f t="shared" si="34"/>
        <v>19.687858088207623</v>
      </c>
      <c r="I210" s="33">
        <f t="shared" si="35"/>
        <v>27.928415247662763</v>
      </c>
      <c r="K210" s="14">
        <f>VLOOKUP($C210,'Refi Adj'!$B$2:$E$39,2,0)</f>
        <v>1</v>
      </c>
      <c r="L210" s="14">
        <f>VLOOKUP($C210,'Refi Adj'!$B$2:$E$39,3,0)</f>
        <v>1</v>
      </c>
      <c r="M210" s="14">
        <f>VLOOKUP($C210,'Refi Adj'!$B$2:$E$39,4,0)</f>
        <v>0.9</v>
      </c>
      <c r="O210" s="40">
        <f t="shared" si="36"/>
        <v>1.921480323359058E-2</v>
      </c>
      <c r="P210" s="40">
        <f t="shared" si="37"/>
        <v>1.03962336012446E-2</v>
      </c>
      <c r="Q210" s="40">
        <f t="shared" si="38"/>
        <v>1.921480323359058E-2</v>
      </c>
      <c r="R210" s="14"/>
      <c r="S210" s="34">
        <f>Z185+AA185+AB185*K210+AC185*L210+Q211*$M$154</f>
        <v>4.008508585020551E-2</v>
      </c>
      <c r="T210" s="33">
        <f t="shared" si="39"/>
        <v>38.794158673080091</v>
      </c>
      <c r="U210" s="33">
        <f t="shared" ref="U210:U214" si="41">100*(1-(1-S210*$M$155)^12)</f>
        <v>38.794158673080091</v>
      </c>
      <c r="V210" s="36">
        <f t="shared" si="40"/>
        <v>1.5600995981593233</v>
      </c>
      <c r="X210" s="37"/>
      <c r="Y210" s="34"/>
      <c r="Z210" s="34"/>
      <c r="AC210" s="37"/>
      <c r="AD210" s="34"/>
      <c r="AE210" s="34"/>
      <c r="AJ210" s="34"/>
    </row>
    <row r="211" spans="1:36" s="35" customFormat="1" x14ac:dyDescent="0.25">
      <c r="A211" s="14">
        <f t="shared" si="30"/>
        <v>190.39197835595601</v>
      </c>
      <c r="B211" s="32">
        <f t="shared" si="31"/>
        <v>0.14950282852999999</v>
      </c>
      <c r="C211" s="33" t="str">
        <f t="shared" si="29"/>
        <v>16:175-200</v>
      </c>
      <c r="D211" s="34">
        <f t="shared" si="32"/>
        <v>4.9675450142089399E-2</v>
      </c>
      <c r="E211" s="34">
        <f t="shared" si="33"/>
        <v>2.7001273404767285E-2</v>
      </c>
      <c r="F211" s="32"/>
      <c r="G211" s="33">
        <f t="shared" si="34"/>
        <v>45.742049733354342</v>
      </c>
      <c r="H211" s="33">
        <f t="shared" si="34"/>
        <v>27.997551921017248</v>
      </c>
      <c r="I211" s="33">
        <f t="shared" si="35"/>
        <v>36.024918623897186</v>
      </c>
      <c r="K211" s="14">
        <f>VLOOKUP($C211,'Refi Adj'!$B$2:$E$39,2,0)</f>
        <v>1</v>
      </c>
      <c r="L211" s="14">
        <f>VLOOKUP($C211,'Refi Adj'!$B$2:$E$39,3,0)</f>
        <v>1</v>
      </c>
      <c r="M211" s="14">
        <f>VLOOKUP($C211,'Refi Adj'!$B$2:$E$39,4,0)</f>
        <v>0.9</v>
      </c>
      <c r="O211" s="40">
        <f t="shared" si="36"/>
        <v>3.0834702346682969E-2</v>
      </c>
      <c r="P211" s="40">
        <f t="shared" si="37"/>
        <v>2.1297192572867499E-2</v>
      </c>
      <c r="Q211" s="40">
        <f t="shared" si="38"/>
        <v>3.0834702346682969E-2</v>
      </c>
      <c r="R211" s="14"/>
      <c r="S211" s="34">
        <f>Z186+AA186+AB186*K211+AC186*L211+Q212*$M$154</f>
        <v>3.9522523733811363E-2</v>
      </c>
      <c r="T211" s="33">
        <f t="shared" si="39"/>
        <v>38.362329279545449</v>
      </c>
      <c r="U211" s="33">
        <f t="shared" si="41"/>
        <v>38.362329279545449</v>
      </c>
      <c r="V211" s="36">
        <f t="shared" si="40"/>
        <v>1.256889627713532</v>
      </c>
      <c r="X211" s="37"/>
      <c r="Y211" s="34"/>
      <c r="Z211" s="34"/>
      <c r="AC211" s="37"/>
      <c r="AD211" s="34"/>
      <c r="AE211" s="34"/>
      <c r="AJ211" s="34"/>
    </row>
    <row r="212" spans="1:36" s="35" customFormat="1" x14ac:dyDescent="0.25">
      <c r="A212" s="14">
        <f t="shared" si="30"/>
        <v>212.532409382265</v>
      </c>
      <c r="B212" s="32">
        <f t="shared" si="31"/>
        <v>0.33156672936000003</v>
      </c>
      <c r="C212" s="33" t="str">
        <f t="shared" si="29"/>
        <v>17:200-225</v>
      </c>
      <c r="D212" s="34">
        <f t="shared" si="32"/>
        <v>3.6563968988251802E-2</v>
      </c>
      <c r="E212" s="34">
        <f t="shared" si="33"/>
        <v>2.827474272873522E-2</v>
      </c>
      <c r="F212" s="32"/>
      <c r="G212" s="33">
        <f t="shared" si="34"/>
        <v>36.044984186123607</v>
      </c>
      <c r="H212" s="33">
        <f t="shared" si="34"/>
        <v>29.120296247282262</v>
      </c>
      <c r="I212" s="33">
        <f t="shared" si="35"/>
        <v>36.921880842372609</v>
      </c>
      <c r="K212" s="14">
        <f>VLOOKUP($C212,'Refi Adj'!$B$2:$E$39,2,0)</f>
        <v>1</v>
      </c>
      <c r="L212" s="14">
        <f>VLOOKUP($C212,'Refi Adj'!$B$2:$E$39,3,0)</f>
        <v>1</v>
      </c>
      <c r="M212" s="14">
        <f>VLOOKUP($C212,'Refi Adj'!$B$2:$E$39,4,0)</f>
        <v>0.9</v>
      </c>
      <c r="O212" s="40">
        <f t="shared" si="36"/>
        <v>3.2208040858963408E-2</v>
      </c>
      <c r="P212" s="40">
        <f t="shared" si="37"/>
        <v>2.2811017749275301E-2</v>
      </c>
      <c r="Q212" s="40">
        <f t="shared" si="38"/>
        <v>3.2208040858963408E-2</v>
      </c>
      <c r="R212" s="14"/>
      <c r="S212" s="34">
        <f>Z187+AA187+AB187*K212+AC187*L212+Q213*$M$154</f>
        <v>3.9581406579342476E-2</v>
      </c>
      <c r="T212" s="33">
        <f t="shared" si="39"/>
        <v>38.407658957940313</v>
      </c>
      <c r="U212" s="33">
        <f t="shared" si="41"/>
        <v>38.407658957940313</v>
      </c>
      <c r="V212" s="36">
        <f t="shared" si="40"/>
        <v>0.92376628695490892</v>
      </c>
      <c r="X212" s="37"/>
      <c r="Y212" s="34"/>
      <c r="Z212" s="34"/>
      <c r="AC212" s="37"/>
      <c r="AD212" s="34"/>
      <c r="AE212" s="34"/>
      <c r="AH212" s="37"/>
      <c r="AI212" s="34"/>
      <c r="AJ212" s="34"/>
    </row>
    <row r="213" spans="1:36" x14ac:dyDescent="0.25">
      <c r="A213" s="4">
        <f t="shared" si="30"/>
        <v>234.249178908365</v>
      </c>
      <c r="B213" s="3">
        <f t="shared" si="31"/>
        <v>0.13446177040000001</v>
      </c>
      <c r="C213" s="2" t="str">
        <f t="shared" si="29"/>
        <v>18:225-250</v>
      </c>
      <c r="D213" s="8">
        <f t="shared" si="32"/>
        <v>4.8703003571695699E-2</v>
      </c>
      <c r="E213" s="8">
        <f t="shared" si="33"/>
        <v>2.8205931736102374E-2</v>
      </c>
      <c r="F213" s="3"/>
      <c r="G213" s="2">
        <f t="shared" si="34"/>
        <v>45.072035375269458</v>
      </c>
      <c r="H213" s="2">
        <f t="shared" si="34"/>
        <v>29.060042144456808</v>
      </c>
      <c r="I213" s="33">
        <f t="shared" si="35"/>
        <v>37.520288741114484</v>
      </c>
      <c r="K213" s="14">
        <f>VLOOKUP($C213,'Refi Adj'!$B$2:$E$39,2,0)</f>
        <v>1</v>
      </c>
      <c r="L213" s="14">
        <f>VLOOKUP($C213,'Refi Adj'!$B$2:$E$39,3,0)</f>
        <v>1</v>
      </c>
      <c r="M213" s="14">
        <f>VLOOKUP($C213,'Refi Adj'!$B$2:$E$39,4,0)</f>
        <v>0.9</v>
      </c>
      <c r="O213" s="40">
        <f t="shared" si="36"/>
        <v>3.2493030095126246E-2</v>
      </c>
      <c r="P213" s="40">
        <f t="shared" si="37"/>
        <v>2.2263085253417102E-2</v>
      </c>
      <c r="Q213" s="40">
        <f t="shared" si="38"/>
        <v>3.2493030095126246E-2</v>
      </c>
      <c r="R213" s="14"/>
      <c r="S213" s="34">
        <f>Z188+AA188+AB188*K213+AC188*L213+Q214*$M$154</f>
        <v>4.2763929809322157E-2</v>
      </c>
      <c r="T213" s="2">
        <f t="shared" si="39"/>
        <v>40.812681857088329</v>
      </c>
      <c r="U213" s="33">
        <f t="shared" si="41"/>
        <v>40.812681857088329</v>
      </c>
      <c r="V213" s="7">
        <f t="shared" si="40"/>
        <v>1.138880448753306</v>
      </c>
      <c r="X213" s="9"/>
      <c r="Y213" s="8"/>
      <c r="Z213" s="8"/>
      <c r="AC213" s="9"/>
      <c r="AD213" s="8"/>
      <c r="AE213" s="8"/>
      <c r="AH213" s="9"/>
      <c r="AI213" s="8"/>
      <c r="AJ213" s="8"/>
    </row>
    <row r="214" spans="1:36" x14ac:dyDescent="0.25">
      <c r="A214" s="4">
        <f t="shared" si="30"/>
        <v>268.05778266692897</v>
      </c>
      <c r="B214" s="3">
        <f t="shared" si="31"/>
        <v>2.6437795510000001E-2</v>
      </c>
      <c r="C214" s="2" t="str">
        <f t="shared" si="29"/>
        <v>999:&gt;= 250</v>
      </c>
      <c r="D214" s="8">
        <f t="shared" si="32"/>
        <v>5.6304496682895597E-2</v>
      </c>
      <c r="E214" s="8">
        <f t="shared" si="33"/>
        <v>2.9017176480318409E-2</v>
      </c>
      <c r="F214" s="3"/>
      <c r="G214" s="2">
        <f t="shared" si="34"/>
        <v>50.113546797180163</v>
      </c>
      <c r="H214" s="2">
        <f t="shared" si="34"/>
        <v>29.767428695770448</v>
      </c>
      <c r="I214" s="33">
        <f t="shared" si="35"/>
        <v>39.573056157172182</v>
      </c>
      <c r="K214" s="14">
        <f>VLOOKUP($C214,'Refi Adj'!$B$2:$E$39,2,0)</f>
        <v>1</v>
      </c>
      <c r="L214" s="14">
        <f>VLOOKUP($C214,'Refi Adj'!$B$2:$E$39,3,0)</f>
        <v>1</v>
      </c>
      <c r="M214" s="14">
        <f>VLOOKUP($C214,'Refi Adj'!$B$2:$E$39,4,0)</f>
        <v>0.9</v>
      </c>
      <c r="O214" s="40">
        <f t="shared" si="36"/>
        <v>3.5067698406320846E-2</v>
      </c>
      <c r="P214" s="40">
        <f t="shared" si="37"/>
        <v>2.29758235100446E-2</v>
      </c>
      <c r="Q214" s="40">
        <f t="shared" si="38"/>
        <v>3.5067698406320846E-2</v>
      </c>
      <c r="R214" s="14"/>
      <c r="S214" s="34">
        <f>Z189+AA189+AB189*K214+AC189*L214+Q214*$M$154</f>
        <v>4.2862436296910701E-2</v>
      </c>
      <c r="T214" s="2">
        <f t="shared" si="39"/>
        <v>40.88573012040623</v>
      </c>
      <c r="U214" s="33">
        <f t="shared" si="41"/>
        <v>40.88573012040623</v>
      </c>
      <c r="V214" s="7">
        <f t="shared" si="40"/>
        <v>1.3136093406560216</v>
      </c>
      <c r="X214" s="9"/>
      <c r="Y214" s="8"/>
      <c r="Z214" s="8"/>
      <c r="AC214" s="9"/>
      <c r="AD214" s="8"/>
      <c r="AE214" s="8"/>
      <c r="AH214" s="9"/>
      <c r="AI214" s="8"/>
      <c r="AJ214" s="8"/>
    </row>
    <row r="215" spans="1:36" x14ac:dyDescent="0.25">
      <c r="A215" s="4"/>
      <c r="B215" s="3"/>
      <c r="C215" s="2"/>
      <c r="D215" s="8"/>
      <c r="E215" s="8"/>
      <c r="F215" s="3"/>
      <c r="G215" s="2"/>
      <c r="H215" s="2"/>
      <c r="I215" s="33"/>
      <c r="K215" s="14"/>
      <c r="L215" s="14"/>
      <c r="M215" s="14"/>
      <c r="O215" s="40"/>
      <c r="P215" s="40"/>
      <c r="Q215" s="40"/>
      <c r="R215" s="14"/>
      <c r="S215" s="34"/>
      <c r="T215" s="2"/>
      <c r="U215" s="33"/>
      <c r="V215" s="7"/>
      <c r="X215" s="9"/>
      <c r="Y215" s="8"/>
      <c r="Z215" s="8"/>
      <c r="AC215" s="9"/>
      <c r="AD215" s="8"/>
      <c r="AE215" s="8"/>
      <c r="AH215" s="9"/>
      <c r="AI215" s="8"/>
      <c r="AJ215" s="8"/>
    </row>
    <row r="216" spans="1:36" x14ac:dyDescent="0.25">
      <c r="A216" s="4"/>
      <c r="B216" s="3"/>
      <c r="C216" s="2"/>
      <c r="D216" s="8"/>
      <c r="E216" s="8"/>
      <c r="F216" s="3"/>
      <c r="G216" s="2"/>
      <c r="H216" s="2"/>
      <c r="I216" s="33"/>
      <c r="K216" s="14"/>
      <c r="L216" s="14"/>
      <c r="M216" s="14"/>
      <c r="O216" s="40"/>
      <c r="P216" s="40"/>
      <c r="Q216" s="40"/>
      <c r="R216" s="14"/>
      <c r="S216" s="34"/>
      <c r="T216" s="2"/>
      <c r="U216" s="33"/>
      <c r="V216" s="7"/>
      <c r="X216" s="9"/>
      <c r="Y216" s="8"/>
      <c r="Z216" s="8"/>
      <c r="AC216" s="9"/>
      <c r="AD216" s="8"/>
      <c r="AE216" s="8"/>
      <c r="AH216" s="9"/>
      <c r="AI216" s="8"/>
      <c r="AJ216" s="8"/>
    </row>
    <row r="217" spans="1:36" x14ac:dyDescent="0.25">
      <c r="A217" s="4"/>
      <c r="B217" s="3"/>
      <c r="C217" s="2"/>
      <c r="D217" s="8"/>
      <c r="E217" s="8"/>
      <c r="F217" s="3"/>
      <c r="G217" s="2"/>
      <c r="H217" s="2"/>
      <c r="I217" s="33"/>
      <c r="K217" s="14"/>
      <c r="L217" s="14"/>
      <c r="M217" s="14"/>
      <c r="O217" s="40"/>
      <c r="P217" s="40"/>
      <c r="Q217" s="40"/>
      <c r="R217" s="14"/>
      <c r="S217" s="34"/>
      <c r="T217" s="2"/>
      <c r="U217" s="33"/>
      <c r="V217" s="7"/>
      <c r="X217" s="9"/>
      <c r="Y217" s="8"/>
      <c r="Z217" s="8"/>
      <c r="AC217" s="9"/>
      <c r="AD217" s="8"/>
      <c r="AE217" s="8"/>
      <c r="AH217" s="9"/>
      <c r="AI217" s="8"/>
      <c r="AJ217" s="8"/>
    </row>
    <row r="218" spans="1:36" x14ac:dyDescent="0.25">
      <c r="A218" s="4"/>
      <c r="B218" s="3"/>
      <c r="C218" s="2"/>
      <c r="D218" s="8"/>
      <c r="E218" s="8"/>
      <c r="F218" s="3"/>
      <c r="G218" s="2"/>
      <c r="H218" s="2"/>
      <c r="I218" s="33"/>
      <c r="K218" s="14"/>
      <c r="L218" s="14"/>
      <c r="M218" s="14"/>
      <c r="O218" s="40"/>
      <c r="P218" s="40"/>
      <c r="Q218" s="40"/>
      <c r="R218" s="14"/>
      <c r="S218" s="34"/>
      <c r="T218" s="2"/>
      <c r="U218" s="33"/>
      <c r="V218" s="7"/>
      <c r="X218" s="9"/>
      <c r="Y218" s="8"/>
      <c r="Z218" s="8"/>
      <c r="AC218" s="9"/>
      <c r="AD218" s="8"/>
      <c r="AE218" s="8"/>
      <c r="AH218" s="9"/>
      <c r="AI218" s="8"/>
      <c r="AJ218" s="8"/>
    </row>
    <row r="219" spans="1:36" x14ac:dyDescent="0.25">
      <c r="A219" s="4"/>
      <c r="B219" s="3"/>
      <c r="C219" s="2"/>
      <c r="D219" s="8"/>
      <c r="E219" s="8"/>
      <c r="F219" s="3"/>
      <c r="G219" s="2"/>
      <c r="H219" s="2"/>
      <c r="I219" s="33"/>
      <c r="K219" s="14"/>
      <c r="L219" s="14"/>
      <c r="M219" s="14"/>
      <c r="O219" s="40"/>
      <c r="P219" s="40"/>
      <c r="Q219" s="40"/>
      <c r="R219" s="14"/>
      <c r="S219" s="34"/>
      <c r="T219" s="2"/>
      <c r="U219" s="33"/>
      <c r="V219" s="7"/>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33"/>
      <c r="V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33"/>
      <c r="V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33"/>
      <c r="V222" s="7"/>
      <c r="X222" s="9"/>
      <c r="Y222" s="8"/>
      <c r="Z222" s="8"/>
      <c r="AC222" s="9"/>
      <c r="AD222" s="8"/>
      <c r="AE222" s="8"/>
      <c r="AH222" s="9"/>
      <c r="AI222" s="8"/>
      <c r="AJ222" s="8"/>
    </row>
    <row r="223" spans="1:36" s="24" customFormat="1" x14ac:dyDescent="0.25">
      <c r="A223" s="4"/>
      <c r="B223" s="3"/>
      <c r="C223" s="2"/>
      <c r="D223" s="8"/>
      <c r="E223" s="8"/>
      <c r="F223" s="3"/>
      <c r="G223" s="2"/>
      <c r="H223" s="2"/>
      <c r="I223" s="33"/>
      <c r="J223"/>
      <c r="K223" s="14"/>
      <c r="L223" s="14"/>
      <c r="M223" s="14"/>
      <c r="O223" s="40"/>
      <c r="P223" s="40"/>
      <c r="Q223" s="40"/>
      <c r="R223" s="14"/>
      <c r="S223" s="34"/>
      <c r="T223" s="2"/>
      <c r="U223" s="33"/>
      <c r="V223" s="7"/>
      <c r="W223"/>
      <c r="X223" s="9"/>
      <c r="Y223" s="8"/>
      <c r="Z223" s="8"/>
      <c r="AA223"/>
      <c r="AB223"/>
      <c r="AC223" s="9"/>
      <c r="AD223" s="8"/>
      <c r="AE223" s="8"/>
      <c r="AF223"/>
      <c r="AG223"/>
      <c r="AH223" s="9"/>
      <c r="AI223" s="8"/>
      <c r="AJ223" s="8"/>
    </row>
    <row r="224" spans="1:36" s="24" customFormat="1" x14ac:dyDescent="0.25">
      <c r="A224" s="4"/>
      <c r="B224" s="3"/>
      <c r="C224" s="2"/>
      <c r="D224" s="8"/>
      <c r="E224" s="8"/>
      <c r="F224" s="3"/>
      <c r="G224" s="2"/>
      <c r="H224" s="2"/>
      <c r="I224" s="33"/>
      <c r="J224"/>
      <c r="K224" s="14"/>
      <c r="L224" s="14"/>
      <c r="M224" s="14"/>
      <c r="O224" s="40"/>
      <c r="P224" s="40"/>
      <c r="Q224" s="40"/>
      <c r="R224" s="14"/>
      <c r="S224" s="34"/>
      <c r="T224" s="2"/>
      <c r="U224" s="33"/>
      <c r="V224" s="7"/>
      <c r="W224"/>
      <c r="X224" s="9"/>
      <c r="Y224" s="8"/>
      <c r="Z224" s="8"/>
      <c r="AA224"/>
      <c r="AB224"/>
      <c r="AC224" s="9"/>
      <c r="AD224" s="8"/>
      <c r="AE224" s="8"/>
      <c r="AF224"/>
      <c r="AG224"/>
      <c r="AH224" s="9"/>
      <c r="AI224" s="8"/>
      <c r="AJ224" s="8"/>
    </row>
    <row r="225" spans="1:50" s="24" customFormat="1" x14ac:dyDescent="0.25">
      <c r="A225" s="4"/>
      <c r="B225" s="3"/>
      <c r="C225" s="2"/>
      <c r="D225" s="8"/>
      <c r="E225" s="8"/>
      <c r="F225" s="3"/>
      <c r="G225" s="2"/>
      <c r="H225" s="2"/>
      <c r="I225" s="33"/>
      <c r="J225"/>
      <c r="K225" s="14"/>
      <c r="L225" s="14"/>
      <c r="M225" s="14"/>
      <c r="O225" s="40"/>
      <c r="P225" s="40"/>
      <c r="Q225" s="40"/>
      <c r="R225" s="14"/>
      <c r="S225" s="34"/>
      <c r="T225" s="2"/>
      <c r="U225" s="33"/>
      <c r="V225" s="7"/>
      <c r="W225"/>
      <c r="X225" s="9"/>
      <c r="Y225" s="8"/>
      <c r="Z225" s="8"/>
      <c r="AA225"/>
      <c r="AB225"/>
      <c r="AC225" s="9"/>
      <c r="AD225" s="8"/>
      <c r="AE225" s="8"/>
      <c r="AF225"/>
      <c r="AG225"/>
      <c r="AH225" s="9"/>
      <c r="AI225" s="8"/>
      <c r="AJ225" s="8"/>
    </row>
    <row r="226" spans="1:50" s="24" customFormat="1" x14ac:dyDescent="0.25">
      <c r="A226" s="4"/>
      <c r="B226" s="3"/>
      <c r="C226" s="2"/>
      <c r="D226" s="8"/>
      <c r="E226" s="8"/>
      <c r="F226" s="3"/>
      <c r="G226" s="2"/>
      <c r="H226" s="2"/>
      <c r="I226" s="33"/>
      <c r="J226"/>
      <c r="K226" s="14"/>
      <c r="L226" s="14"/>
      <c r="M226" s="14"/>
      <c r="O226" s="40"/>
      <c r="P226" s="40"/>
      <c r="Q226" s="40"/>
      <c r="R226" s="14"/>
      <c r="S226" s="34"/>
      <c r="T226" s="2"/>
      <c r="U226" s="33"/>
      <c r="V226" s="7"/>
      <c r="W226"/>
      <c r="X226" s="9"/>
      <c r="Y226" s="8"/>
      <c r="Z226" s="8"/>
      <c r="AA226"/>
      <c r="AB226"/>
      <c r="AC226" s="9"/>
      <c r="AD226" s="8"/>
      <c r="AE226" s="8"/>
      <c r="AF226"/>
      <c r="AG226"/>
      <c r="AH226" s="9"/>
      <c r="AI226" s="8"/>
      <c r="AJ226" s="8"/>
    </row>
    <row r="227" spans="1:50" x14ac:dyDescent="0.25">
      <c r="A227" s="4"/>
      <c r="B227" s="3"/>
      <c r="C227" s="2"/>
      <c r="D227" s="8"/>
      <c r="E227" s="8"/>
      <c r="F227" s="3"/>
      <c r="G227" s="2"/>
      <c r="H227" s="2"/>
      <c r="I227" s="33"/>
      <c r="K227" s="14"/>
      <c r="L227" s="14"/>
      <c r="M227" s="14"/>
      <c r="O227" s="40"/>
      <c r="P227" s="40"/>
      <c r="Q227" s="40"/>
      <c r="R227" s="14"/>
      <c r="S227" s="34"/>
      <c r="T227" s="2"/>
      <c r="U227" s="33"/>
      <c r="V227" s="7"/>
      <c r="X227" s="9"/>
      <c r="Y227" s="8"/>
      <c r="Z227" s="8"/>
      <c r="AC227" s="9"/>
      <c r="AD227" s="8"/>
      <c r="AE227" s="8"/>
      <c r="AH227" s="9"/>
      <c r="AI227" s="8"/>
      <c r="AJ227" s="8"/>
    </row>
    <row r="228" spans="1:50" x14ac:dyDescent="0.25">
      <c r="A228" s="4"/>
      <c r="B228" s="3"/>
      <c r="C228" s="2"/>
      <c r="D228" s="8"/>
      <c r="E228" s="8"/>
      <c r="F228" s="3"/>
      <c r="G228" s="2"/>
      <c r="H228" s="2"/>
      <c r="I228" s="33"/>
      <c r="K228" s="14"/>
      <c r="L228" s="14"/>
      <c r="M228" s="14"/>
      <c r="O228" s="40"/>
      <c r="P228" s="40"/>
      <c r="Q228" s="40"/>
      <c r="R228" s="14"/>
      <c r="S228" s="34"/>
      <c r="T228" s="2"/>
      <c r="U228" s="33"/>
      <c r="V228" s="7"/>
      <c r="X228" s="9"/>
      <c r="Y228" s="8"/>
      <c r="Z228" s="8"/>
      <c r="AC228" s="9"/>
      <c r="AD228" s="8"/>
      <c r="AE228" s="8"/>
      <c r="AH228" s="9"/>
      <c r="AI228" s="8"/>
      <c r="AJ228" s="8"/>
    </row>
    <row r="229" spans="1:50" x14ac:dyDescent="0.25">
      <c r="A229" s="4"/>
      <c r="B229" s="3"/>
      <c r="C229" s="2"/>
      <c r="D229" s="8"/>
      <c r="E229" s="8"/>
      <c r="F229" s="3"/>
      <c r="G229" s="2"/>
      <c r="H229" s="2"/>
      <c r="I229" s="33"/>
      <c r="K229" s="14"/>
      <c r="L229" s="14"/>
      <c r="M229" s="14"/>
      <c r="O229" s="40"/>
      <c r="P229" s="40"/>
      <c r="Q229" s="40"/>
      <c r="R229" s="14"/>
      <c r="S229" s="34"/>
      <c r="T229" s="2"/>
      <c r="U229" s="33"/>
      <c r="V229" s="7"/>
      <c r="X229" s="9"/>
      <c r="Y229" s="8"/>
      <c r="Z229" s="8"/>
      <c r="AC229" s="9"/>
      <c r="AD229" s="8"/>
      <c r="AE229" s="8"/>
      <c r="AH229" s="9"/>
      <c r="AI229" s="8"/>
      <c r="AJ229" s="8"/>
    </row>
    <row r="230" spans="1:50" x14ac:dyDescent="0.25">
      <c r="A230" s="4"/>
      <c r="B230" s="3"/>
      <c r="C230" s="2"/>
      <c r="D230" s="8"/>
      <c r="E230" s="8"/>
      <c r="F230" s="3"/>
      <c r="G230" s="2"/>
      <c r="H230" s="2"/>
      <c r="I230" s="33"/>
      <c r="K230" s="14"/>
      <c r="L230" s="14"/>
      <c r="M230" s="14"/>
      <c r="O230" s="40"/>
      <c r="P230" s="40"/>
      <c r="Q230" s="40"/>
      <c r="R230" s="14"/>
      <c r="S230" s="34"/>
      <c r="T230" s="2"/>
      <c r="U230" s="33"/>
      <c r="V230" s="7"/>
      <c r="X230" s="9"/>
      <c r="Y230" s="8"/>
      <c r="Z230" s="8"/>
      <c r="AC230" s="9"/>
      <c r="AD230" s="8"/>
      <c r="AE230" s="8"/>
      <c r="AH230" s="9"/>
      <c r="AI230" s="8"/>
      <c r="AJ230" s="8"/>
      <c r="AK230" s="4"/>
      <c r="AL230" s="4"/>
      <c r="AM230" s="4"/>
      <c r="AN230" s="4"/>
      <c r="AO230" s="4"/>
      <c r="AP230" s="4"/>
      <c r="AQ230" s="6"/>
      <c r="AR230" s="4"/>
      <c r="AS230" s="15"/>
      <c r="AT230" s="15"/>
      <c r="AU230" s="15"/>
      <c r="AV230" s="15"/>
      <c r="AW230" s="15"/>
      <c r="AX230" s="15"/>
    </row>
  </sheetData>
  <conditionalFormatting sqref="F87:F113">
    <cfRule type="colorScale" priority="15">
      <colorScale>
        <cfvo type="min"/>
        <cfvo type="num" val="1"/>
        <cfvo type="max"/>
        <color rgb="FFF8696B"/>
        <color theme="0"/>
        <color theme="4"/>
      </colorScale>
    </cfRule>
  </conditionalFormatting>
  <conditionalFormatting sqref="B83:B113">
    <cfRule type="dataBar" priority="16">
      <dataBar>
        <cfvo type="min"/>
        <cfvo type="max"/>
        <color rgb="FF638EC6"/>
      </dataBar>
      <extLst>
        <ext xmlns:x14="http://schemas.microsoft.com/office/spreadsheetml/2009/9/main" uri="{B025F937-C7B1-47D3-B67F-A62EFF666E3E}">
          <x14:id>{F9602AF1-D578-4C66-BA87-8671DA81AB0E}</x14:id>
        </ext>
      </extLst>
    </cfRule>
  </conditionalFormatting>
  <conditionalFormatting sqref="F114:F116">
    <cfRule type="colorScale" priority="13">
      <colorScale>
        <cfvo type="min"/>
        <cfvo type="num" val="1"/>
        <cfvo type="max"/>
        <color rgb="FFF8696B"/>
        <color theme="0"/>
        <color theme="4"/>
      </colorScale>
    </cfRule>
  </conditionalFormatting>
  <conditionalFormatting sqref="P114:P116">
    <cfRule type="colorScale" priority="12">
      <colorScale>
        <cfvo type="min"/>
        <cfvo type="num" val="1"/>
        <cfvo type="max"/>
        <color rgb="FFF8696B"/>
        <color theme="0"/>
        <color theme="4"/>
      </colorScale>
    </cfRule>
  </conditionalFormatting>
  <conditionalFormatting sqref="B114:B115">
    <cfRule type="dataBar" priority="14">
      <dataBar>
        <cfvo type="min"/>
        <cfvo type="max"/>
        <color rgb="FF638EC6"/>
      </dataBar>
      <extLst>
        <ext xmlns:x14="http://schemas.microsoft.com/office/spreadsheetml/2009/9/main" uri="{B025F937-C7B1-47D3-B67F-A62EFF666E3E}">
          <x14:id>{5185CF08-19C6-4AB5-BEF1-3A94B09EA58A}</x14:id>
        </ext>
      </extLst>
    </cfRule>
  </conditionalFormatting>
  <conditionalFormatting sqref="AQ104">
    <cfRule type="dataBar" priority="11">
      <dataBar>
        <cfvo type="min"/>
        <cfvo type="max"/>
        <color rgb="FF638EC6"/>
      </dataBar>
      <extLst>
        <ext xmlns:x14="http://schemas.microsoft.com/office/spreadsheetml/2009/9/main" uri="{B025F937-C7B1-47D3-B67F-A62EFF666E3E}">
          <x14:id>{685852A1-B3AF-4B37-95AD-7E65429FD460}</x14:id>
        </ext>
      </extLst>
    </cfRule>
  </conditionalFormatting>
  <conditionalFormatting sqref="AQ42:AQ64">
    <cfRule type="dataBar" priority="10">
      <dataBar>
        <cfvo type="min"/>
        <cfvo type="max"/>
        <color rgb="FF638EC6"/>
      </dataBar>
      <extLst>
        <ext xmlns:x14="http://schemas.microsoft.com/office/spreadsheetml/2009/9/main" uri="{B025F937-C7B1-47D3-B67F-A62EFF666E3E}">
          <x14:id>{6630EB9B-6350-43D7-9B2B-C02EC8435B7D}</x14:id>
        </ext>
      </extLst>
    </cfRule>
  </conditionalFormatting>
  <conditionalFormatting sqref="AQ65:AQ75">
    <cfRule type="dataBar" priority="9">
      <dataBar>
        <cfvo type="min"/>
        <cfvo type="max"/>
        <color rgb="FF638EC6"/>
      </dataBar>
      <extLst>
        <ext xmlns:x14="http://schemas.microsoft.com/office/spreadsheetml/2009/9/main" uri="{B025F937-C7B1-47D3-B67F-A62EFF666E3E}">
          <x14:id>{A54D0B50-514B-46FD-87FF-FCC548AF0E54}</x14:id>
        </ext>
      </extLst>
    </cfRule>
  </conditionalFormatting>
  <conditionalFormatting sqref="AQ3:AQ36">
    <cfRule type="dataBar" priority="8">
      <dataBar>
        <cfvo type="min"/>
        <cfvo type="max"/>
        <color rgb="FF638EC6"/>
      </dataBar>
      <extLst>
        <ext xmlns:x14="http://schemas.microsoft.com/office/spreadsheetml/2009/9/main" uri="{B025F937-C7B1-47D3-B67F-A62EFF666E3E}">
          <x14:id>{0E6D24D4-EAFB-44FC-BAD4-8EE2FA81B081}</x14:id>
        </ext>
      </extLst>
    </cfRule>
  </conditionalFormatting>
  <conditionalFormatting sqref="F163:F180">
    <cfRule type="colorScale" priority="6">
      <colorScale>
        <cfvo type="min"/>
        <cfvo type="num" val="1"/>
        <cfvo type="max"/>
        <color rgb="FFF8696B"/>
        <color theme="0"/>
        <color theme="4"/>
      </colorScale>
    </cfRule>
  </conditionalFormatting>
  <conditionalFormatting sqref="B159:B180">
    <cfRule type="dataBar" priority="7">
      <dataBar>
        <cfvo type="min"/>
        <cfvo type="max"/>
        <color rgb="FF638EC6"/>
      </dataBar>
      <extLst>
        <ext xmlns:x14="http://schemas.microsoft.com/office/spreadsheetml/2009/9/main" uri="{B025F937-C7B1-47D3-B67F-A62EFF666E3E}">
          <x14:id>{9A20783A-AC33-489D-AC8C-24050AE4FB00}</x14:id>
        </ext>
      </extLst>
    </cfRule>
  </conditionalFormatting>
  <conditionalFormatting sqref="AQ180">
    <cfRule type="dataBar" priority="5">
      <dataBar>
        <cfvo type="min"/>
        <cfvo type="max"/>
        <color rgb="FF638EC6"/>
      </dataBar>
      <extLst>
        <ext xmlns:x14="http://schemas.microsoft.com/office/spreadsheetml/2009/9/main" uri="{B025F937-C7B1-47D3-B67F-A62EFF666E3E}">
          <x14:id>{3EE48EB3-91F5-404D-A6FD-FF3E8578F8A7}</x14:id>
        </ext>
      </extLst>
    </cfRule>
  </conditionalFormatting>
  <conditionalFormatting sqref="AQ123:AQ134">
    <cfRule type="dataBar" priority="17">
      <dataBar>
        <cfvo type="min"/>
        <cfvo type="max"/>
        <color rgb="FF638EC6"/>
      </dataBar>
      <extLst>
        <ext xmlns:x14="http://schemas.microsoft.com/office/spreadsheetml/2009/9/main" uri="{B025F937-C7B1-47D3-B67F-A62EFF666E3E}">
          <x14:id>{5B414E5B-4629-47F1-90E7-4D9F8D18D334}</x14:id>
        </ext>
      </extLst>
    </cfRule>
  </conditionalFormatting>
  <conditionalFormatting sqref="AQ140:AQ150">
    <cfRule type="dataBar" priority="18">
      <dataBar>
        <cfvo type="min"/>
        <cfvo type="max"/>
        <color rgb="FF638EC6"/>
      </dataBar>
      <extLst>
        <ext xmlns:x14="http://schemas.microsoft.com/office/spreadsheetml/2009/9/main" uri="{B025F937-C7B1-47D3-B67F-A62EFF666E3E}">
          <x14:id>{B51E5130-EEF5-4C50-9469-573E119AD973}</x14:id>
        </ext>
      </extLst>
    </cfRule>
  </conditionalFormatting>
  <conditionalFormatting sqref="AQ151">
    <cfRule type="dataBar" priority="19">
      <dataBar>
        <cfvo type="min"/>
        <cfvo type="max"/>
        <color rgb="FF638EC6"/>
      </dataBar>
      <extLst>
        <ext xmlns:x14="http://schemas.microsoft.com/office/spreadsheetml/2009/9/main" uri="{B025F937-C7B1-47D3-B67F-A62EFF666E3E}">
          <x14:id>{9B5FC7FC-D99B-4C06-8787-EF88162B4563}</x14:id>
        </ext>
      </extLst>
    </cfRule>
  </conditionalFormatting>
  <conditionalFormatting sqref="F213:F230">
    <cfRule type="colorScale" priority="2">
      <colorScale>
        <cfvo type="min"/>
        <cfvo type="num" val="1"/>
        <cfvo type="max"/>
        <color rgb="FFF8696B"/>
        <color theme="0"/>
        <color theme="4"/>
      </colorScale>
    </cfRule>
  </conditionalFormatting>
  <conditionalFormatting sqref="B209:B230">
    <cfRule type="dataBar" priority="3">
      <dataBar>
        <cfvo type="min"/>
        <cfvo type="max"/>
        <color rgb="FF638EC6"/>
      </dataBar>
      <extLst>
        <ext xmlns:x14="http://schemas.microsoft.com/office/spreadsheetml/2009/9/main" uri="{B025F937-C7B1-47D3-B67F-A62EFF666E3E}">
          <x14:id>{F10CABCB-ED27-40F3-9187-43B4D8C18B3D}</x14:id>
        </ext>
      </extLst>
    </cfRule>
  </conditionalFormatting>
  <conditionalFormatting sqref="AQ230">
    <cfRule type="dataBar" priority="1">
      <dataBar>
        <cfvo type="min"/>
        <cfvo type="max"/>
        <color rgb="FF638EC6"/>
      </dataBar>
      <extLst>
        <ext xmlns:x14="http://schemas.microsoft.com/office/spreadsheetml/2009/9/main" uri="{B025F937-C7B1-47D3-B67F-A62EFF666E3E}">
          <x14:id>{081FD616-DC23-49B8-93D8-5C0BB44DF4A4}</x14:id>
        </ext>
      </extLst>
    </cfRule>
  </conditionalFormatting>
  <conditionalFormatting sqref="AQ201">
    <cfRule type="dataBar" priority="4">
      <dataBar>
        <cfvo type="min"/>
        <cfvo type="max"/>
        <color rgb="FF638EC6"/>
      </dataBar>
      <extLst>
        <ext xmlns:x14="http://schemas.microsoft.com/office/spreadsheetml/2009/9/main" uri="{B025F937-C7B1-47D3-B67F-A62EFF666E3E}">
          <x14:id>{DD52CD73-53DB-49A5-BC44-07DFD0763C89}</x14:id>
        </ext>
      </extLst>
    </cfRule>
  </conditionalFormatting>
  <conditionalFormatting sqref="AQ184:AQ189">
    <cfRule type="dataBar" priority="20">
      <dataBar>
        <cfvo type="min"/>
        <cfvo type="max"/>
        <color rgb="FF638EC6"/>
      </dataBar>
      <extLst>
        <ext xmlns:x14="http://schemas.microsoft.com/office/spreadsheetml/2009/9/main" uri="{B025F937-C7B1-47D3-B67F-A62EFF666E3E}">
          <x14:id>{3542B1AC-7F00-447B-A124-A892E9F688D9}</x14:id>
        </ext>
      </extLst>
    </cfRule>
  </conditionalFormatting>
  <conditionalFormatting sqref="AQ195:AQ200">
    <cfRule type="dataBar" priority="21">
      <dataBar>
        <cfvo type="min"/>
        <cfvo type="max"/>
        <color rgb="FF638EC6"/>
      </dataBar>
      <extLst>
        <ext xmlns:x14="http://schemas.microsoft.com/office/spreadsheetml/2009/9/main" uri="{B025F937-C7B1-47D3-B67F-A62EFF666E3E}">
          <x14:id>{C6751CB3-8342-4B23-A044-A9663345B489}</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9602AF1-D578-4C66-BA87-8671DA81AB0E}">
            <x14:dataBar minLength="0" maxLength="100" border="1" negativeBarBorderColorSameAsPositive="0">
              <x14:cfvo type="autoMin"/>
              <x14:cfvo type="autoMax"/>
              <x14:borderColor rgb="FF638EC6"/>
              <x14:negativeFillColor rgb="FFFF0000"/>
              <x14:negativeBorderColor rgb="FFFF0000"/>
              <x14:axisColor rgb="FF000000"/>
            </x14:dataBar>
          </x14:cfRule>
          <xm:sqref>B83:B113</xm:sqref>
        </x14:conditionalFormatting>
        <x14:conditionalFormatting xmlns:xm="http://schemas.microsoft.com/office/excel/2006/main">
          <x14:cfRule type="dataBar" id="{5185CF08-19C6-4AB5-BEF1-3A94B09EA58A}">
            <x14:dataBar minLength="0" maxLength="100" border="1" negativeBarBorderColorSameAsPositive="0">
              <x14:cfvo type="autoMin"/>
              <x14:cfvo type="autoMax"/>
              <x14:borderColor rgb="FF638EC6"/>
              <x14:negativeFillColor rgb="FFFF0000"/>
              <x14:negativeBorderColor rgb="FFFF0000"/>
              <x14:axisColor rgb="FF000000"/>
            </x14:dataBar>
          </x14:cfRule>
          <xm:sqref>B114:B115</xm:sqref>
        </x14:conditionalFormatting>
        <x14:conditionalFormatting xmlns:xm="http://schemas.microsoft.com/office/excel/2006/main">
          <x14:cfRule type="dataBar" id="{685852A1-B3AF-4B37-95AD-7E65429FD46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6630EB9B-6350-43D7-9B2B-C02EC8435B7D}">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A54D0B50-514B-46FD-87FF-FCC548AF0E54}">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0E6D24D4-EAFB-44FC-BAD4-8EE2FA81B081}">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9A20783A-AC33-489D-AC8C-24050AE4FB00}">
            <x14:dataBar minLength="0" maxLength="100" border="1" negativeBarBorderColorSameAsPositive="0">
              <x14:cfvo type="autoMin"/>
              <x14:cfvo type="autoMax"/>
              <x14:borderColor rgb="FF638EC6"/>
              <x14:negativeFillColor rgb="FFFF0000"/>
              <x14:negativeBorderColor rgb="FFFF0000"/>
              <x14:axisColor rgb="FF000000"/>
            </x14:dataBar>
          </x14:cfRule>
          <xm:sqref>B159:B180</xm:sqref>
        </x14:conditionalFormatting>
        <x14:conditionalFormatting xmlns:xm="http://schemas.microsoft.com/office/excel/2006/main">
          <x14:cfRule type="dataBar" id="{3EE48EB3-91F5-404D-A6FD-FF3E8578F8A7}">
            <x14:dataBar minLength="0" maxLength="100" border="1" negativeBarBorderColorSameAsPositive="0">
              <x14:cfvo type="autoMin"/>
              <x14:cfvo type="autoMax"/>
              <x14:borderColor rgb="FF638EC6"/>
              <x14:negativeFillColor rgb="FFFF0000"/>
              <x14:negativeBorderColor rgb="FFFF0000"/>
              <x14:axisColor rgb="FF000000"/>
            </x14:dataBar>
          </x14:cfRule>
          <xm:sqref>AQ180</xm:sqref>
        </x14:conditionalFormatting>
        <x14:conditionalFormatting xmlns:xm="http://schemas.microsoft.com/office/excel/2006/main">
          <x14:cfRule type="dataBar" id="{5B414E5B-4629-47F1-90E7-4D9F8D18D334}">
            <x14:dataBar minLength="0" maxLength="100" border="1" negativeBarBorderColorSameAsPositive="0">
              <x14:cfvo type="autoMin"/>
              <x14:cfvo type="autoMax"/>
              <x14:borderColor rgb="FF638EC6"/>
              <x14:negativeFillColor rgb="FFFF0000"/>
              <x14:negativeBorderColor rgb="FFFF0000"/>
              <x14:axisColor rgb="FF000000"/>
            </x14:dataBar>
          </x14:cfRule>
          <xm:sqref>AQ123:AQ134</xm:sqref>
        </x14:conditionalFormatting>
        <x14:conditionalFormatting xmlns:xm="http://schemas.microsoft.com/office/excel/2006/main">
          <x14:cfRule type="dataBar" id="{B51E5130-EEF5-4C50-9469-573E119AD973}">
            <x14:dataBar minLength="0" maxLength="100" border="1" negativeBarBorderColorSameAsPositive="0">
              <x14:cfvo type="autoMin"/>
              <x14:cfvo type="autoMax"/>
              <x14:borderColor rgb="FF638EC6"/>
              <x14:negativeFillColor rgb="FFFF0000"/>
              <x14:negativeBorderColor rgb="FFFF0000"/>
              <x14:axisColor rgb="FF000000"/>
            </x14:dataBar>
          </x14:cfRule>
          <xm:sqref>AQ140:AQ150</xm:sqref>
        </x14:conditionalFormatting>
        <x14:conditionalFormatting xmlns:xm="http://schemas.microsoft.com/office/excel/2006/main">
          <x14:cfRule type="dataBar" id="{9B5FC7FC-D99B-4C06-8787-EF88162B4563}">
            <x14:dataBar minLength="0" maxLength="100" border="1" negativeBarBorderColorSameAsPositive="0">
              <x14:cfvo type="autoMin"/>
              <x14:cfvo type="autoMax"/>
              <x14:borderColor rgb="FF638EC6"/>
              <x14:negativeFillColor rgb="FFFF0000"/>
              <x14:negativeBorderColor rgb="FFFF0000"/>
              <x14:axisColor rgb="FF000000"/>
            </x14:dataBar>
          </x14:cfRule>
          <xm:sqref>AQ151</xm:sqref>
        </x14:conditionalFormatting>
        <x14:conditionalFormatting xmlns:xm="http://schemas.microsoft.com/office/excel/2006/main">
          <x14:cfRule type="dataBar" id="{F10CABCB-ED27-40F3-9187-43B4D8C18B3D}">
            <x14:dataBar minLength="0" maxLength="100" border="1" negativeBarBorderColorSameAsPositive="0">
              <x14:cfvo type="autoMin"/>
              <x14:cfvo type="autoMax"/>
              <x14:borderColor rgb="FF638EC6"/>
              <x14:negativeFillColor rgb="FFFF0000"/>
              <x14:negativeBorderColor rgb="FFFF0000"/>
              <x14:axisColor rgb="FF000000"/>
            </x14:dataBar>
          </x14:cfRule>
          <xm:sqref>B209:B230</xm:sqref>
        </x14:conditionalFormatting>
        <x14:conditionalFormatting xmlns:xm="http://schemas.microsoft.com/office/excel/2006/main">
          <x14:cfRule type="dataBar" id="{081FD616-DC23-49B8-93D8-5C0BB44DF4A4}">
            <x14:dataBar minLength="0" maxLength="100" border="1" negativeBarBorderColorSameAsPositive="0">
              <x14:cfvo type="autoMin"/>
              <x14:cfvo type="autoMax"/>
              <x14:borderColor rgb="FF638EC6"/>
              <x14:negativeFillColor rgb="FFFF0000"/>
              <x14:negativeBorderColor rgb="FFFF0000"/>
              <x14:axisColor rgb="FF000000"/>
            </x14:dataBar>
          </x14:cfRule>
          <xm:sqref>AQ230</xm:sqref>
        </x14:conditionalFormatting>
        <x14:conditionalFormatting xmlns:xm="http://schemas.microsoft.com/office/excel/2006/main">
          <x14:cfRule type="dataBar" id="{DD52CD73-53DB-49A5-BC44-07DFD0763C89}">
            <x14:dataBar minLength="0" maxLength="100" border="1" negativeBarBorderColorSameAsPositive="0">
              <x14:cfvo type="autoMin"/>
              <x14:cfvo type="autoMax"/>
              <x14:borderColor rgb="FF638EC6"/>
              <x14:negativeFillColor rgb="FFFF0000"/>
              <x14:negativeBorderColor rgb="FFFF0000"/>
              <x14:axisColor rgb="FF000000"/>
            </x14:dataBar>
          </x14:cfRule>
          <xm:sqref>AQ201</xm:sqref>
        </x14:conditionalFormatting>
        <x14:conditionalFormatting xmlns:xm="http://schemas.microsoft.com/office/excel/2006/main">
          <x14:cfRule type="dataBar" id="{3542B1AC-7F00-447B-A124-A892E9F688D9}">
            <x14:dataBar minLength="0" maxLength="100" border="1" negativeBarBorderColorSameAsPositive="0">
              <x14:cfvo type="autoMin"/>
              <x14:cfvo type="autoMax"/>
              <x14:borderColor rgb="FF638EC6"/>
              <x14:negativeFillColor rgb="FFFF0000"/>
              <x14:negativeBorderColor rgb="FFFF0000"/>
              <x14:axisColor rgb="FF000000"/>
            </x14:dataBar>
          </x14:cfRule>
          <xm:sqref>AQ184:AQ189</xm:sqref>
        </x14:conditionalFormatting>
        <x14:conditionalFormatting xmlns:xm="http://schemas.microsoft.com/office/excel/2006/main">
          <x14:cfRule type="dataBar" id="{C6751CB3-8342-4B23-A044-A9663345B489}">
            <x14:dataBar minLength="0" maxLength="100" border="1" negativeBarBorderColorSameAsPositive="0">
              <x14:cfvo type="autoMin"/>
              <x14:cfvo type="autoMax"/>
              <x14:borderColor rgb="FF638EC6"/>
              <x14:negativeFillColor rgb="FFFF0000"/>
              <x14:negativeBorderColor rgb="FFFF0000"/>
              <x14:axisColor rgb="FF000000"/>
            </x14:dataBar>
          </x14:cfRule>
          <xm:sqref>AQ195:AQ200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0"/>
  <sheetViews>
    <sheetView topLeftCell="A47" zoomScale="80" zoomScaleNormal="80" workbookViewId="0">
      <pane xSplit="31860" topLeftCell="AR1"/>
      <selection activeCell="Y94" sqref="Y94"/>
      <selection pane="topRight" activeCell="BC166" sqref="BC166"/>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183</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0.99868457147581402</v>
      </c>
      <c r="C3" s="4">
        <v>1.1185068427010899E-5</v>
      </c>
      <c r="D3" s="4">
        <v>1.56714383199245</v>
      </c>
      <c r="E3" s="4">
        <v>9.3208909753931101E-9</v>
      </c>
      <c r="F3" s="5">
        <v>1.31542852418556E-3</v>
      </c>
      <c r="G3" s="5">
        <v>0</v>
      </c>
      <c r="H3" s="4">
        <v>3.25</v>
      </c>
      <c r="I3" s="4">
        <v>3.7017957802936499</v>
      </c>
      <c r="J3" s="4">
        <v>-54.032510650697901</v>
      </c>
      <c r="K3" s="4">
        <v>-155.24970909704001</v>
      </c>
      <c r="L3" s="4">
        <v>11.159843820827099</v>
      </c>
      <c r="M3" s="4">
        <v>3.99219104135604</v>
      </c>
      <c r="N3" s="4">
        <v>80</v>
      </c>
      <c r="O3" s="4">
        <v>78.5141670769722</v>
      </c>
      <c r="P3" s="4">
        <v>357624.27305952401</v>
      </c>
      <c r="Q3" s="4">
        <v>357619.6</v>
      </c>
      <c r="R3" s="4">
        <v>779</v>
      </c>
      <c r="S3" s="4">
        <v>0</v>
      </c>
      <c r="T3" s="4">
        <v>0</v>
      </c>
      <c r="U3" s="4">
        <v>0</v>
      </c>
      <c r="V3" s="4">
        <v>0</v>
      </c>
      <c r="W3" s="4">
        <v>0</v>
      </c>
      <c r="X3" s="4">
        <v>0</v>
      </c>
      <c r="Y3" s="4">
        <v>0</v>
      </c>
      <c r="Z3" s="5">
        <v>1.8591134859964701E-4</v>
      </c>
      <c r="AA3" s="5">
        <v>5.2859059174422501E-6</v>
      </c>
      <c r="AB3" s="10">
        <v>1.1242245862647499E-3</v>
      </c>
      <c r="AC3" s="10">
        <v>0</v>
      </c>
      <c r="AD3" s="10">
        <v>0</v>
      </c>
      <c r="AE3" s="4">
        <v>1.2368024043088E-2</v>
      </c>
      <c r="AF3" s="4">
        <v>1</v>
      </c>
      <c r="AG3" s="4">
        <v>1</v>
      </c>
      <c r="AH3" s="4">
        <v>1</v>
      </c>
      <c r="AI3" s="4">
        <v>1</v>
      </c>
      <c r="AJ3" s="4">
        <v>1</v>
      </c>
      <c r="AK3" s="4">
        <v>1</v>
      </c>
      <c r="AL3" s="4">
        <v>1</v>
      </c>
      <c r="AM3" s="4">
        <v>0</v>
      </c>
      <c r="AN3" s="4">
        <v>0</v>
      </c>
      <c r="AO3" s="4" t="s">
        <v>172</v>
      </c>
      <c r="AP3" s="4">
        <f>-175--150</f>
        <v>-25</v>
      </c>
      <c r="AQ3" s="6">
        <v>1072858.8</v>
      </c>
      <c r="AR3" s="4">
        <v>3</v>
      </c>
      <c r="AS3" s="15">
        <v>100</v>
      </c>
      <c r="AT3" s="15">
        <v>0</v>
      </c>
      <c r="AU3" s="15">
        <v>100</v>
      </c>
      <c r="AV3" s="15">
        <v>0</v>
      </c>
      <c r="AW3" s="15">
        <v>0</v>
      </c>
      <c r="AX3" s="15">
        <v>0</v>
      </c>
      <c r="AY3" s="31">
        <v>0</v>
      </c>
    </row>
    <row r="4" spans="1:51" x14ac:dyDescent="0.25">
      <c r="A4">
        <v>97</v>
      </c>
      <c r="B4" s="4">
        <v>0.99844265697062295</v>
      </c>
      <c r="C4" s="4">
        <v>1.72556880451146E-5</v>
      </c>
      <c r="D4" s="4">
        <v>1.85288734567682</v>
      </c>
      <c r="E4" s="4">
        <v>1.4379741360219901E-8</v>
      </c>
      <c r="F4" s="5">
        <v>1.5573430293761E-3</v>
      </c>
      <c r="G4" s="5">
        <v>0</v>
      </c>
      <c r="H4" s="4">
        <v>3.3074779152874898</v>
      </c>
      <c r="I4" s="4">
        <v>3.6737538033975699</v>
      </c>
      <c r="J4" s="4">
        <v>-44.029759552041199</v>
      </c>
      <c r="K4" s="4">
        <v>-139.56698353388001</v>
      </c>
      <c r="L4" s="4">
        <v>11.4788679327084</v>
      </c>
      <c r="M4" s="4">
        <v>4.5393153383762703</v>
      </c>
      <c r="N4" s="4">
        <v>79.770088338850002</v>
      </c>
      <c r="O4" s="4">
        <v>77.762779958054097</v>
      </c>
      <c r="P4" s="4">
        <v>348460.265062019</v>
      </c>
      <c r="Q4" s="4">
        <v>347711.39750000002</v>
      </c>
      <c r="R4" s="4">
        <v>770.953091859751</v>
      </c>
      <c r="S4" s="4">
        <v>0</v>
      </c>
      <c r="T4" s="4">
        <v>0</v>
      </c>
      <c r="U4" s="4">
        <v>0</v>
      </c>
      <c r="V4" s="4">
        <v>0</v>
      </c>
      <c r="W4" s="4">
        <v>0</v>
      </c>
      <c r="X4" s="4">
        <v>0</v>
      </c>
      <c r="Y4" s="4">
        <v>0</v>
      </c>
      <c r="Z4" s="5">
        <v>2.4735788104493999E-4</v>
      </c>
      <c r="AA4" s="5">
        <v>6.4347683834551303E-6</v>
      </c>
      <c r="AB4" s="10">
        <v>1.2996482476736999E-3</v>
      </c>
      <c r="AC4" s="10">
        <v>0</v>
      </c>
      <c r="AD4" s="10">
        <v>3.8947035398803599E-6</v>
      </c>
      <c r="AE4" s="4">
        <v>1.83568964509713E-2</v>
      </c>
      <c r="AF4" s="4">
        <v>1</v>
      </c>
      <c r="AG4" s="4">
        <v>1</v>
      </c>
      <c r="AH4" s="4">
        <v>1</v>
      </c>
      <c r="AI4" s="4">
        <v>1</v>
      </c>
      <c r="AJ4" s="4">
        <v>1</v>
      </c>
      <c r="AK4" s="4">
        <v>1</v>
      </c>
      <c r="AL4" s="4">
        <v>1</v>
      </c>
      <c r="AM4" s="4">
        <v>0</v>
      </c>
      <c r="AN4" s="4">
        <v>0</v>
      </c>
      <c r="AO4" s="4" t="s">
        <v>62</v>
      </c>
      <c r="AP4" s="4">
        <f>-150--125</f>
        <v>-25</v>
      </c>
      <c r="AQ4" s="6">
        <v>1390845.59</v>
      </c>
      <c r="AR4" s="4">
        <v>4</v>
      </c>
      <c r="AS4" s="15">
        <v>100</v>
      </c>
      <c r="AT4" s="15">
        <v>0</v>
      </c>
      <c r="AU4" s="15">
        <v>100</v>
      </c>
      <c r="AV4" s="15">
        <v>0</v>
      </c>
      <c r="AW4" s="15">
        <v>0</v>
      </c>
      <c r="AX4" s="15">
        <v>0</v>
      </c>
      <c r="AY4" s="31">
        <v>0</v>
      </c>
    </row>
    <row r="5" spans="1:51" x14ac:dyDescent="0.25">
      <c r="A5">
        <v>97</v>
      </c>
      <c r="B5" s="4">
        <v>0.99826330963369303</v>
      </c>
      <c r="C5" s="4">
        <v>0</v>
      </c>
      <c r="D5" s="4">
        <v>2.06423701034559</v>
      </c>
      <c r="E5" s="4">
        <v>0</v>
      </c>
      <c r="F5" s="5">
        <v>1.7366903663069201E-3</v>
      </c>
      <c r="G5" s="5">
        <v>0</v>
      </c>
      <c r="H5" s="4">
        <v>3.7817852356313102</v>
      </c>
      <c r="I5" s="4">
        <v>3.9660960123053499</v>
      </c>
      <c r="J5" s="4">
        <v>-34.660108882129897</v>
      </c>
      <c r="K5" s="4">
        <v>-104.159965912967</v>
      </c>
      <c r="L5" s="4">
        <v>18.902137717191302</v>
      </c>
      <c r="M5" s="4">
        <v>2.3692014778169099</v>
      </c>
      <c r="N5" s="4">
        <v>78.970644025207903</v>
      </c>
      <c r="O5" s="4">
        <v>77.485536275417005</v>
      </c>
      <c r="P5" s="4">
        <v>213229.92155003001</v>
      </c>
      <c r="Q5" s="4">
        <v>211249.44333333301</v>
      </c>
      <c r="R5" s="4">
        <v>782.08015240055897</v>
      </c>
      <c r="S5" s="4">
        <v>0</v>
      </c>
      <c r="T5" s="4">
        <v>0</v>
      </c>
      <c r="U5" s="4">
        <v>0.290953019158251</v>
      </c>
      <c r="V5" s="4">
        <v>0</v>
      </c>
      <c r="W5" s="4">
        <v>0</v>
      </c>
      <c r="X5" s="4">
        <v>0.66015449697516304</v>
      </c>
      <c r="Y5" s="4">
        <v>0</v>
      </c>
      <c r="Z5" s="5">
        <v>9.4554692535757801E-5</v>
      </c>
      <c r="AA5" s="5">
        <v>4.60174026210057E-6</v>
      </c>
      <c r="AB5" s="10">
        <v>1.5572297466639399E-3</v>
      </c>
      <c r="AC5" s="10">
        <v>0</v>
      </c>
      <c r="AD5" s="10">
        <v>8.0287096375307202E-5</v>
      </c>
      <c r="AE5" s="4">
        <v>1.55515631575585E-2</v>
      </c>
      <c r="AF5" s="4">
        <v>1</v>
      </c>
      <c r="AG5" s="4">
        <v>1</v>
      </c>
      <c r="AH5" s="4">
        <v>1</v>
      </c>
      <c r="AI5" s="4">
        <v>1</v>
      </c>
      <c r="AJ5" s="4">
        <v>1</v>
      </c>
      <c r="AK5" s="4">
        <v>1</v>
      </c>
      <c r="AL5" s="4">
        <v>1</v>
      </c>
      <c r="AM5" s="4">
        <v>0</v>
      </c>
      <c r="AN5" s="4">
        <v>0</v>
      </c>
      <c r="AO5" s="4" t="s">
        <v>63</v>
      </c>
      <c r="AP5" s="4">
        <f>-125--100</f>
        <v>-25</v>
      </c>
      <c r="AQ5" s="6">
        <v>633748.32999999996</v>
      </c>
      <c r="AR5" s="4">
        <v>3</v>
      </c>
      <c r="AS5" s="15">
        <v>100</v>
      </c>
      <c r="AT5" s="15">
        <v>0</v>
      </c>
      <c r="AU5" s="15">
        <v>100</v>
      </c>
      <c r="AV5" s="15">
        <v>0</v>
      </c>
      <c r="AW5" s="15">
        <v>0</v>
      </c>
      <c r="AX5" s="15">
        <v>0</v>
      </c>
      <c r="AY5" s="31">
        <v>0</v>
      </c>
    </row>
    <row r="6" spans="1:51" x14ac:dyDescent="0.25">
      <c r="A6">
        <v>97</v>
      </c>
      <c r="B6" s="4">
        <v>0.99797266317161903</v>
      </c>
      <c r="C6" s="4">
        <v>3.0233047380239899</v>
      </c>
      <c r="D6" s="4">
        <v>2.40586005211778</v>
      </c>
      <c r="E6" s="4">
        <v>2.5550213110128099E-3</v>
      </c>
      <c r="F6" s="5">
        <v>2.02733682838077E-3</v>
      </c>
      <c r="G6" s="5">
        <v>0</v>
      </c>
      <c r="H6" s="4">
        <v>3.5354588307665602</v>
      </c>
      <c r="I6" s="4">
        <v>3.9031614387086</v>
      </c>
      <c r="J6" s="4">
        <v>-43.060392365888902</v>
      </c>
      <c r="K6" s="4">
        <v>-81.600523239363596</v>
      </c>
      <c r="L6" s="4">
        <v>15.660474617869999</v>
      </c>
      <c r="M6" s="4">
        <v>3.20518993650367</v>
      </c>
      <c r="N6" s="4">
        <v>77.964129619086407</v>
      </c>
      <c r="O6" s="4">
        <v>75.6918427876561</v>
      </c>
      <c r="P6" s="4">
        <v>279352.33304926998</v>
      </c>
      <c r="Q6" s="4">
        <v>238900.58779660999</v>
      </c>
      <c r="R6" s="4">
        <v>777.24213263849401</v>
      </c>
      <c r="S6" s="4">
        <v>0</v>
      </c>
      <c r="T6" s="4">
        <v>0</v>
      </c>
      <c r="U6" s="4">
        <v>0.47467268826408898</v>
      </c>
      <c r="V6" s="4">
        <v>0</v>
      </c>
      <c r="W6" s="4">
        <v>0</v>
      </c>
      <c r="X6" s="4">
        <v>0.36895661929212498</v>
      </c>
      <c r="Y6" s="4">
        <v>0</v>
      </c>
      <c r="Z6" s="5">
        <v>2.13327435872957E-4</v>
      </c>
      <c r="AA6" s="5">
        <v>1.5826766867984201E-5</v>
      </c>
      <c r="AB6" s="10">
        <v>1.4558150978739E-3</v>
      </c>
      <c r="AC6" s="10">
        <v>0</v>
      </c>
      <c r="AD6" s="10">
        <v>3.4235709523489902E-4</v>
      </c>
      <c r="AE6" s="4">
        <v>2.1182109500943701E-2</v>
      </c>
      <c r="AF6" s="4">
        <v>0.946694678904621</v>
      </c>
      <c r="AG6" s="4">
        <v>1</v>
      </c>
      <c r="AH6" s="4">
        <v>1</v>
      </c>
      <c r="AI6" s="4">
        <v>1</v>
      </c>
      <c r="AJ6" s="4">
        <v>1</v>
      </c>
      <c r="AK6" s="4">
        <v>1</v>
      </c>
      <c r="AL6" s="4">
        <v>1</v>
      </c>
      <c r="AM6" s="4">
        <v>0</v>
      </c>
      <c r="AN6" s="4">
        <v>0</v>
      </c>
      <c r="AO6" s="4" t="s">
        <v>64</v>
      </c>
      <c r="AP6" s="4">
        <f>-100--75</f>
        <v>-25</v>
      </c>
      <c r="AQ6" s="6">
        <v>14095134.68</v>
      </c>
      <c r="AR6" s="4">
        <v>59</v>
      </c>
      <c r="AS6" s="15">
        <v>100</v>
      </c>
      <c r="AT6" s="15">
        <v>0</v>
      </c>
      <c r="AU6" s="15">
        <v>100</v>
      </c>
      <c r="AV6" s="15">
        <v>0</v>
      </c>
      <c r="AW6" s="15">
        <v>0</v>
      </c>
      <c r="AX6" s="15">
        <v>0</v>
      </c>
      <c r="AY6">
        <v>3.9004678669732201E-3</v>
      </c>
    </row>
    <row r="7" spans="1:51" x14ac:dyDescent="0.25">
      <c r="A7">
        <v>97</v>
      </c>
      <c r="B7" s="4">
        <v>0.99856672928738399</v>
      </c>
      <c r="C7" s="4">
        <v>0.52014808704502402</v>
      </c>
      <c r="D7" s="4">
        <v>1.7064312731420901</v>
      </c>
      <c r="E7" s="4">
        <v>4.3449355242759698E-4</v>
      </c>
      <c r="F7" s="5">
        <v>1.43327071261531E-3</v>
      </c>
      <c r="G7" s="5">
        <v>0</v>
      </c>
      <c r="H7" s="4">
        <v>3.57736800473872</v>
      </c>
      <c r="I7" s="4">
        <v>3.9937379569081299</v>
      </c>
      <c r="J7" s="4">
        <v>-44.644759716959697</v>
      </c>
      <c r="K7" s="4">
        <v>-56.217107580504702</v>
      </c>
      <c r="L7" s="4">
        <v>15.1842187948395</v>
      </c>
      <c r="M7" s="4">
        <v>3.2835460282278399</v>
      </c>
      <c r="N7" s="4">
        <v>77.576221426654996</v>
      </c>
      <c r="O7" s="4">
        <v>76.0195656240913</v>
      </c>
      <c r="P7" s="4">
        <v>285206.60508236999</v>
      </c>
      <c r="Q7" s="4">
        <v>259464.14016074</v>
      </c>
      <c r="R7" s="4">
        <v>780.33512333126498</v>
      </c>
      <c r="S7" s="4">
        <v>0</v>
      </c>
      <c r="T7" s="4">
        <v>0</v>
      </c>
      <c r="U7" s="4">
        <v>0.57710964756971295</v>
      </c>
      <c r="V7" s="4">
        <v>0</v>
      </c>
      <c r="W7" s="4">
        <v>0</v>
      </c>
      <c r="X7" s="4">
        <v>0.55846904258823704</v>
      </c>
      <c r="Y7" s="4">
        <v>0</v>
      </c>
      <c r="Z7" s="5">
        <v>1.6823862108232001E-4</v>
      </c>
      <c r="AA7" s="5">
        <v>1.2715080344797001E-5</v>
      </c>
      <c r="AB7" s="10">
        <v>1.20810350981369E-3</v>
      </c>
      <c r="AC7" s="10">
        <v>1.2187994864846399E-9</v>
      </c>
      <c r="AD7" s="10">
        <v>4.4202910575650798E-5</v>
      </c>
      <c r="AE7" s="4">
        <v>1.3852591260767801E-2</v>
      </c>
      <c r="AF7" s="4">
        <v>0.96630976210623398</v>
      </c>
      <c r="AG7" s="4">
        <v>0.999884115559181</v>
      </c>
      <c r="AH7" s="4">
        <v>1</v>
      </c>
      <c r="AI7" s="4">
        <v>1</v>
      </c>
      <c r="AJ7" s="4">
        <v>1</v>
      </c>
      <c r="AK7" s="4">
        <v>1</v>
      </c>
      <c r="AL7" s="4">
        <v>1</v>
      </c>
      <c r="AM7" s="4">
        <v>0</v>
      </c>
      <c r="AN7" s="4">
        <v>0</v>
      </c>
      <c r="AO7" s="4" t="s">
        <v>65</v>
      </c>
      <c r="AP7" s="4">
        <f>-75--50</f>
        <v>-25</v>
      </c>
      <c r="AQ7" s="6">
        <v>532679879.75</v>
      </c>
      <c r="AR7" s="4">
        <v>2053</v>
      </c>
      <c r="AS7" s="15">
        <v>100</v>
      </c>
      <c r="AT7" s="15">
        <v>0</v>
      </c>
      <c r="AU7" s="15">
        <v>100</v>
      </c>
      <c r="AV7" s="15">
        <v>0</v>
      </c>
      <c r="AW7" s="15">
        <v>0</v>
      </c>
      <c r="AX7" s="15">
        <v>0</v>
      </c>
      <c r="AY7">
        <v>3.04929730721634E-2</v>
      </c>
    </row>
    <row r="8" spans="1:51" x14ac:dyDescent="0.25">
      <c r="A8">
        <v>97</v>
      </c>
      <c r="B8" s="4">
        <v>0.99812157871523</v>
      </c>
      <c r="C8" s="4">
        <v>1.82206709817919</v>
      </c>
      <c r="D8" s="4">
        <v>2.2309628630656699</v>
      </c>
      <c r="E8" s="4">
        <v>1.5312191315169301E-3</v>
      </c>
      <c r="F8" s="5">
        <v>1.87842128476906E-3</v>
      </c>
      <c r="G8" s="5">
        <v>0</v>
      </c>
      <c r="H8" s="4">
        <v>3.6631886281466799</v>
      </c>
      <c r="I8" s="4">
        <v>3.9864762226078398</v>
      </c>
      <c r="J8" s="4">
        <v>-37.750051692867402</v>
      </c>
      <c r="K8" s="4">
        <v>-32.867869283327401</v>
      </c>
      <c r="L8" s="4">
        <v>14.077283642283</v>
      </c>
      <c r="M8" s="4">
        <v>3.6185652578185099</v>
      </c>
      <c r="N8" s="4">
        <v>72.229087114517398</v>
      </c>
      <c r="O8" s="4">
        <v>70.3001940031765</v>
      </c>
      <c r="P8" s="4">
        <v>303211.33122547797</v>
      </c>
      <c r="Q8" s="4">
        <v>283375.76292227901</v>
      </c>
      <c r="R8" s="4">
        <v>783.43487301104699</v>
      </c>
      <c r="S8" s="4">
        <v>0</v>
      </c>
      <c r="T8" s="4">
        <v>0</v>
      </c>
      <c r="U8" s="4">
        <v>0.58058339348591803</v>
      </c>
      <c r="V8" s="4">
        <v>0</v>
      </c>
      <c r="W8" s="4">
        <v>0</v>
      </c>
      <c r="X8" s="4">
        <v>0.77826090380727897</v>
      </c>
      <c r="Y8" s="4">
        <v>0</v>
      </c>
      <c r="Z8" s="5">
        <v>1.8047642501457201E-4</v>
      </c>
      <c r="AA8" s="5">
        <v>1.29964123866829E-5</v>
      </c>
      <c r="AB8" s="10">
        <v>1.5037752171356E-3</v>
      </c>
      <c r="AC8" s="10">
        <v>5.6977269923309399E-10</v>
      </c>
      <c r="AD8" s="10">
        <v>1.8115837853023201E-4</v>
      </c>
      <c r="AE8" s="4">
        <v>2.1633709293113802E-2</v>
      </c>
      <c r="AF8" s="4">
        <v>0.903221977496662</v>
      </c>
      <c r="AG8" s="4">
        <v>0.99992108257583301</v>
      </c>
      <c r="AH8" s="4">
        <v>1</v>
      </c>
      <c r="AI8" s="4">
        <v>1</v>
      </c>
      <c r="AJ8" s="4">
        <v>1</v>
      </c>
      <c r="AK8" s="4">
        <v>1</v>
      </c>
      <c r="AL8" s="4">
        <v>1</v>
      </c>
      <c r="AM8" s="4">
        <v>0</v>
      </c>
      <c r="AN8" s="4">
        <v>0</v>
      </c>
      <c r="AO8" s="4" t="s">
        <v>66</v>
      </c>
      <c r="AP8" s="4">
        <f>-50--25</f>
        <v>-25</v>
      </c>
      <c r="AQ8" s="6">
        <v>8688584266.9599991</v>
      </c>
      <c r="AR8" s="4">
        <v>30661</v>
      </c>
      <c r="AS8" s="15">
        <v>100</v>
      </c>
      <c r="AT8" s="15">
        <v>0</v>
      </c>
      <c r="AU8" s="15">
        <v>100</v>
      </c>
      <c r="AV8" s="15">
        <v>0</v>
      </c>
      <c r="AW8" s="15">
        <v>0</v>
      </c>
      <c r="AX8" s="15">
        <v>0</v>
      </c>
      <c r="AY8">
        <v>1.03795697221284E-2</v>
      </c>
    </row>
    <row r="9" spans="1:51" x14ac:dyDescent="0.25">
      <c r="A9">
        <v>97</v>
      </c>
      <c r="B9" s="4">
        <v>0.99765786749505703</v>
      </c>
      <c r="C9" s="4">
        <v>2.38193630443017</v>
      </c>
      <c r="D9" s="4">
        <v>2.7746353183902901</v>
      </c>
      <c r="E9" s="4">
        <v>2.0069526091401899E-3</v>
      </c>
      <c r="F9" s="5">
        <v>2.3421325049423698E-3</v>
      </c>
      <c r="G9" s="5">
        <v>0</v>
      </c>
      <c r="H9" s="4">
        <v>3.7010834020157701</v>
      </c>
      <c r="I9" s="4">
        <v>3.97880777036971</v>
      </c>
      <c r="J9" s="4">
        <v>-35.667902158398398</v>
      </c>
      <c r="K9" s="4">
        <v>-22.330318538920999</v>
      </c>
      <c r="L9" s="4">
        <v>13.5352124370085</v>
      </c>
      <c r="M9" s="4">
        <v>3.9527581516553401</v>
      </c>
      <c r="N9" s="4">
        <v>67.190608206018197</v>
      </c>
      <c r="O9" s="4">
        <v>65.064402428342106</v>
      </c>
      <c r="P9" s="4">
        <v>314116.06919528102</v>
      </c>
      <c r="Q9" s="4">
        <v>294863.97466309799</v>
      </c>
      <c r="R9" s="4">
        <v>784.62327806556902</v>
      </c>
      <c r="S9" s="4">
        <v>0</v>
      </c>
      <c r="T9" s="4">
        <v>0</v>
      </c>
      <c r="U9" s="4">
        <v>0.58995520916383903</v>
      </c>
      <c r="V9" s="4">
        <v>0</v>
      </c>
      <c r="W9" s="4">
        <v>0</v>
      </c>
      <c r="X9" s="4">
        <v>0.86258673652870299</v>
      </c>
      <c r="Y9" s="4">
        <v>0</v>
      </c>
      <c r="Z9" s="5">
        <v>2.0371915070974901E-4</v>
      </c>
      <c r="AA9" s="5">
        <v>1.3683034174414E-5</v>
      </c>
      <c r="AB9" s="10">
        <v>1.7096195032642899E-3</v>
      </c>
      <c r="AC9" s="10">
        <v>0</v>
      </c>
      <c r="AD9" s="10">
        <v>4.15096600527675E-4</v>
      </c>
      <c r="AE9" s="4">
        <v>2.5866954957982701E-2</v>
      </c>
      <c r="AF9" s="4">
        <v>0.84102186320679995</v>
      </c>
      <c r="AG9" s="4">
        <v>0.99998926621554896</v>
      </c>
      <c r="AH9" s="4">
        <v>1</v>
      </c>
      <c r="AI9" s="4">
        <v>1</v>
      </c>
      <c r="AJ9" s="4">
        <v>1</v>
      </c>
      <c r="AK9" s="4">
        <v>1</v>
      </c>
      <c r="AL9" s="4">
        <v>1</v>
      </c>
      <c r="AM9" s="4">
        <v>0</v>
      </c>
      <c r="AN9" s="4">
        <v>0</v>
      </c>
      <c r="AO9" s="4" t="s">
        <v>137</v>
      </c>
      <c r="AP9" s="4">
        <f>-25--20</f>
        <v>-5</v>
      </c>
      <c r="AQ9" s="6">
        <v>5343230084.8699999</v>
      </c>
      <c r="AR9" s="4">
        <v>18121</v>
      </c>
      <c r="AS9" s="15">
        <v>100</v>
      </c>
      <c r="AT9" s="15">
        <v>0</v>
      </c>
      <c r="AU9" s="15">
        <v>100</v>
      </c>
      <c r="AV9" s="15">
        <v>0</v>
      </c>
      <c r="AW9" s="15">
        <v>0</v>
      </c>
      <c r="AX9" s="15">
        <v>0</v>
      </c>
      <c r="AY9">
        <v>1.9779622188414701E-2</v>
      </c>
    </row>
    <row r="10" spans="1:51" x14ac:dyDescent="0.25">
      <c r="A10">
        <v>97</v>
      </c>
      <c r="B10" s="4">
        <v>0.99739931692546502</v>
      </c>
      <c r="C10" s="4">
        <v>3.4009596760890299</v>
      </c>
      <c r="D10" s="4">
        <v>3.0765649650687599</v>
      </c>
      <c r="E10" s="4">
        <v>2.8792951352651602E-3</v>
      </c>
      <c r="F10" s="5">
        <v>2.6006830745343499E-3</v>
      </c>
      <c r="G10" s="5">
        <v>0</v>
      </c>
      <c r="H10" s="4">
        <v>3.7184789198287098</v>
      </c>
      <c r="I10" s="4">
        <v>3.9576808045237799</v>
      </c>
      <c r="J10" s="4">
        <v>-34.300537124810297</v>
      </c>
      <c r="K10" s="4">
        <v>-17.3751745624803</v>
      </c>
      <c r="L10" s="4">
        <v>13.2743349338157</v>
      </c>
      <c r="M10" s="4">
        <v>4.2613445190980901</v>
      </c>
      <c r="N10" s="4">
        <v>66.202898495542101</v>
      </c>
      <c r="O10" s="4">
        <v>64.083802349956002</v>
      </c>
      <c r="P10" s="4">
        <v>319034.301251792</v>
      </c>
      <c r="Q10" s="4">
        <v>300594.75178205699</v>
      </c>
      <c r="R10" s="4">
        <v>785.07432752209502</v>
      </c>
      <c r="S10" s="4">
        <v>0</v>
      </c>
      <c r="T10" s="4">
        <v>0</v>
      </c>
      <c r="U10" s="4">
        <v>0.55132735463669802</v>
      </c>
      <c r="V10" s="4">
        <v>0</v>
      </c>
      <c r="W10" s="4">
        <v>0</v>
      </c>
      <c r="X10" s="4">
        <v>0.87541000728777596</v>
      </c>
      <c r="Y10" s="4">
        <v>0</v>
      </c>
      <c r="Z10" s="5">
        <v>2.1768138565077101E-4</v>
      </c>
      <c r="AA10" s="5">
        <v>1.45565845310662E-5</v>
      </c>
      <c r="AB10" s="10">
        <v>1.7927966221596601E-3</v>
      </c>
      <c r="AC10" s="10">
        <v>1.6639204296726499E-9</v>
      </c>
      <c r="AD10" s="10">
        <v>5.7563243615080099E-4</v>
      </c>
      <c r="AE10" s="4">
        <v>2.6326432226484599E-2</v>
      </c>
      <c r="AF10" s="4">
        <v>0.81925979994008602</v>
      </c>
      <c r="AG10" s="4">
        <v>0.99982488116103796</v>
      </c>
      <c r="AH10" s="4">
        <v>1</v>
      </c>
      <c r="AI10" s="4">
        <v>1</v>
      </c>
      <c r="AJ10" s="4">
        <v>1</v>
      </c>
      <c r="AK10" s="4">
        <v>1</v>
      </c>
      <c r="AL10" s="4">
        <v>1</v>
      </c>
      <c r="AM10" s="4">
        <v>0</v>
      </c>
      <c r="AN10" s="4">
        <v>0</v>
      </c>
      <c r="AO10" s="4" t="s">
        <v>138</v>
      </c>
      <c r="AP10" s="4">
        <f>-20--15</f>
        <v>-5</v>
      </c>
      <c r="AQ10" s="6">
        <v>6898950148.1499996</v>
      </c>
      <c r="AR10" s="4">
        <v>22951</v>
      </c>
      <c r="AS10" s="15">
        <v>100</v>
      </c>
      <c r="AT10" s="15">
        <v>0</v>
      </c>
      <c r="AU10" s="15">
        <v>100</v>
      </c>
      <c r="AV10" s="15">
        <v>0</v>
      </c>
      <c r="AW10" s="15">
        <v>0</v>
      </c>
      <c r="AX10" s="15">
        <v>0</v>
      </c>
      <c r="AY10">
        <v>3.2324026688408398E-2</v>
      </c>
    </row>
    <row r="11" spans="1:51" x14ac:dyDescent="0.25">
      <c r="A11">
        <v>97</v>
      </c>
      <c r="B11" s="4">
        <v>0.99707637407677896</v>
      </c>
      <c r="C11" s="4">
        <v>5.4802464539529803</v>
      </c>
      <c r="D11" s="4">
        <v>3.4524832027667198</v>
      </c>
      <c r="E11" s="4">
        <v>4.6857658091720902E-3</v>
      </c>
      <c r="F11" s="5">
        <v>2.9236259232208899E-3</v>
      </c>
      <c r="G11" s="5">
        <v>0</v>
      </c>
      <c r="H11" s="4">
        <v>3.73166753035742</v>
      </c>
      <c r="I11" s="4">
        <v>3.9356319257668999</v>
      </c>
      <c r="J11" s="4">
        <v>-33.270064316674599</v>
      </c>
      <c r="K11" s="4">
        <v>-12.419138582913201</v>
      </c>
      <c r="L11" s="4">
        <v>13.016106709118</v>
      </c>
      <c r="M11" s="4">
        <v>4.6477758187275997</v>
      </c>
      <c r="N11" s="4">
        <v>63.651774802343802</v>
      </c>
      <c r="O11" s="4">
        <v>61.442137153373203</v>
      </c>
      <c r="P11" s="4">
        <v>324536.198985186</v>
      </c>
      <c r="Q11" s="4">
        <v>306453.82875467901</v>
      </c>
      <c r="R11" s="4">
        <v>785.14406621572505</v>
      </c>
      <c r="S11" s="4">
        <v>0</v>
      </c>
      <c r="T11" s="4">
        <v>0</v>
      </c>
      <c r="U11" s="4">
        <v>0.54226809174721702</v>
      </c>
      <c r="V11" s="4">
        <v>0</v>
      </c>
      <c r="W11" s="4">
        <v>0</v>
      </c>
      <c r="X11" s="4">
        <v>0.88497556580787196</v>
      </c>
      <c r="Y11" s="4">
        <v>0</v>
      </c>
      <c r="Z11" s="5">
        <v>2.3355035442231201E-4</v>
      </c>
      <c r="AA11" s="5">
        <v>1.5728211781012299E-5</v>
      </c>
      <c r="AB11" s="10">
        <v>1.9212923612580001E-3</v>
      </c>
      <c r="AC11" s="10">
        <v>3.8327651686897703E-9</v>
      </c>
      <c r="AD11" s="10">
        <v>7.5303664302541699E-4</v>
      </c>
      <c r="AE11" s="4">
        <v>2.7804051472105198E-2</v>
      </c>
      <c r="AF11" s="4">
        <v>0.78677412976435601</v>
      </c>
      <c r="AG11" s="4">
        <v>0.99976096988038099</v>
      </c>
      <c r="AH11" s="4">
        <v>0.99999114832092895</v>
      </c>
      <c r="AI11" s="4">
        <v>1</v>
      </c>
      <c r="AJ11" s="4">
        <v>1</v>
      </c>
      <c r="AK11" s="4">
        <v>1</v>
      </c>
      <c r="AL11" s="4">
        <v>1</v>
      </c>
      <c r="AM11" s="4">
        <v>0</v>
      </c>
      <c r="AN11" s="4">
        <v>0</v>
      </c>
      <c r="AO11" s="4" t="s">
        <v>139</v>
      </c>
      <c r="AP11" s="4">
        <f>-15--10</f>
        <v>-5</v>
      </c>
      <c r="AQ11" s="6">
        <v>8103558593.7600002</v>
      </c>
      <c r="AR11" s="4">
        <v>26443</v>
      </c>
      <c r="AS11" s="15">
        <v>100</v>
      </c>
      <c r="AT11" s="15">
        <v>0</v>
      </c>
      <c r="AU11" s="15">
        <v>100</v>
      </c>
      <c r="AV11" s="15">
        <v>0</v>
      </c>
      <c r="AW11" s="15">
        <v>0</v>
      </c>
      <c r="AX11" s="15">
        <v>0</v>
      </c>
      <c r="AY11">
        <v>0.20954650712369299</v>
      </c>
    </row>
    <row r="12" spans="1:51" x14ac:dyDescent="0.25">
      <c r="A12">
        <v>97</v>
      </c>
      <c r="B12" s="4">
        <v>0.99678466113245601</v>
      </c>
      <c r="C12" s="4">
        <v>9.8109721822039795</v>
      </c>
      <c r="D12" s="4">
        <v>3.7908992232514902</v>
      </c>
      <c r="E12" s="4">
        <v>8.5682819950246708E-3</v>
      </c>
      <c r="F12" s="5">
        <v>3.2153388675430299E-3</v>
      </c>
      <c r="G12" s="5">
        <v>0</v>
      </c>
      <c r="H12" s="4">
        <v>3.7438452074232802</v>
      </c>
      <c r="I12" s="4">
        <v>3.8965884172184402</v>
      </c>
      <c r="J12" s="4">
        <v>-31.387056278398202</v>
      </c>
      <c r="K12" s="4">
        <v>-7.5929594463766197</v>
      </c>
      <c r="L12" s="4">
        <v>12.965151026567501</v>
      </c>
      <c r="M12" s="4">
        <v>5.0700170202425996</v>
      </c>
      <c r="N12" s="4">
        <v>64.638263036072203</v>
      </c>
      <c r="O12" s="4">
        <v>62.257054815769997</v>
      </c>
      <c r="P12" s="4">
        <v>326622.15323876502</v>
      </c>
      <c r="Q12" s="4">
        <v>307542.66563739697</v>
      </c>
      <c r="R12" s="4">
        <v>784.85177829799795</v>
      </c>
      <c r="S12" s="4">
        <v>0</v>
      </c>
      <c r="T12" s="4">
        <v>0</v>
      </c>
      <c r="U12" s="4">
        <v>0.51218500118186305</v>
      </c>
      <c r="V12" s="4">
        <v>0</v>
      </c>
      <c r="W12" s="4">
        <v>0</v>
      </c>
      <c r="X12" s="4">
        <v>0.88306503649448598</v>
      </c>
      <c r="Y12" s="4">
        <v>0</v>
      </c>
      <c r="Z12" s="5">
        <v>2.4627521170452903E-4</v>
      </c>
      <c r="AA12" s="5">
        <v>1.6964418002918902E-5</v>
      </c>
      <c r="AB12" s="10">
        <v>2.0194129682928399E-3</v>
      </c>
      <c r="AC12" s="10">
        <v>8.4613880865909292E-9</v>
      </c>
      <c r="AD12" s="10">
        <v>9.3266340672772498E-4</v>
      </c>
      <c r="AE12" s="4">
        <v>2.9446642283671502E-2</v>
      </c>
      <c r="AF12" s="4">
        <v>0.74383400372969899</v>
      </c>
      <c r="AG12" s="4">
        <v>0.99893761097491995</v>
      </c>
      <c r="AH12" s="4">
        <v>0.99997740834876403</v>
      </c>
      <c r="AI12" s="4">
        <v>1</v>
      </c>
      <c r="AJ12" s="4">
        <v>1</v>
      </c>
      <c r="AK12" s="4">
        <v>1</v>
      </c>
      <c r="AL12" s="4">
        <v>1</v>
      </c>
      <c r="AM12" s="4">
        <v>0</v>
      </c>
      <c r="AN12" s="4">
        <v>0</v>
      </c>
      <c r="AO12" s="4" t="s">
        <v>140</v>
      </c>
      <c r="AP12" s="4">
        <f>-10--5</f>
        <v>-5</v>
      </c>
      <c r="AQ12" s="6">
        <v>8325487501.4700003</v>
      </c>
      <c r="AR12" s="4">
        <v>27071</v>
      </c>
      <c r="AS12" s="15">
        <v>100</v>
      </c>
      <c r="AT12" s="15">
        <v>0</v>
      </c>
      <c r="AU12" s="15">
        <v>100</v>
      </c>
      <c r="AV12" s="15">
        <v>0</v>
      </c>
      <c r="AW12" s="15">
        <v>0</v>
      </c>
      <c r="AX12" s="15">
        <v>0</v>
      </c>
      <c r="AY12">
        <v>1.3000848580039199</v>
      </c>
    </row>
    <row r="13" spans="1:51" x14ac:dyDescent="0.25">
      <c r="A13">
        <v>97</v>
      </c>
      <c r="B13" s="4">
        <v>0.99629304229675997</v>
      </c>
      <c r="C13" s="4">
        <v>13.5590905629488</v>
      </c>
      <c r="D13" s="4">
        <v>4.3587664826750299</v>
      </c>
      <c r="E13" s="4">
        <v>1.20690059791986E-2</v>
      </c>
      <c r="F13" s="5">
        <v>3.70695770323982E-3</v>
      </c>
      <c r="G13" s="5">
        <v>0</v>
      </c>
      <c r="H13" s="4">
        <v>3.7623412675880399</v>
      </c>
      <c r="I13" s="4">
        <v>3.8723282716338199</v>
      </c>
      <c r="J13" s="4">
        <v>-30.447962425847798</v>
      </c>
      <c r="K13" s="4">
        <v>-2.3979690429827101</v>
      </c>
      <c r="L13" s="4">
        <v>12.8704165096275</v>
      </c>
      <c r="M13" s="4">
        <v>5.71385114846895</v>
      </c>
      <c r="N13" s="4">
        <v>62.921880800352398</v>
      </c>
      <c r="O13" s="4">
        <v>60.432265982807301</v>
      </c>
      <c r="P13" s="4">
        <v>328496.01652043901</v>
      </c>
      <c r="Q13" s="4">
        <v>309738.57976658002</v>
      </c>
      <c r="R13" s="4">
        <v>784.53770565786999</v>
      </c>
      <c r="S13" s="4">
        <v>0</v>
      </c>
      <c r="T13" s="4">
        <v>0</v>
      </c>
      <c r="U13" s="4">
        <v>0.49007350344781903</v>
      </c>
      <c r="V13" s="4">
        <v>0</v>
      </c>
      <c r="W13" s="4">
        <v>0</v>
      </c>
      <c r="X13" s="4">
        <v>0.88030676994967605</v>
      </c>
      <c r="Y13" s="4">
        <v>0</v>
      </c>
      <c r="Z13" s="5">
        <v>2.6639484373663398E-4</v>
      </c>
      <c r="AA13" s="5">
        <v>1.85481614104827E-5</v>
      </c>
      <c r="AB13" s="10">
        <v>2.22293422652461E-3</v>
      </c>
      <c r="AC13" s="10">
        <v>1.6758389222367601E-8</v>
      </c>
      <c r="AD13" s="10">
        <v>1.19904947881961E-3</v>
      </c>
      <c r="AE13" s="4">
        <v>3.2579944673558001E-2</v>
      </c>
      <c r="AF13" s="4">
        <v>0.68374284621242598</v>
      </c>
      <c r="AG13" s="4">
        <v>0.99858181990238404</v>
      </c>
      <c r="AH13" s="4">
        <v>0.99996121321897602</v>
      </c>
      <c r="AI13" s="4">
        <v>1</v>
      </c>
      <c r="AJ13" s="4">
        <v>1</v>
      </c>
      <c r="AK13" s="4">
        <v>1</v>
      </c>
      <c r="AL13" s="4">
        <v>1</v>
      </c>
      <c r="AM13" s="4">
        <v>0</v>
      </c>
      <c r="AN13" s="4">
        <v>0</v>
      </c>
      <c r="AO13" s="4" t="s">
        <v>67</v>
      </c>
      <c r="AP13" s="4">
        <f>-25-0</f>
        <v>-25</v>
      </c>
      <c r="AQ13" s="6">
        <v>9036623064.6900005</v>
      </c>
      <c r="AR13" s="4">
        <v>29175</v>
      </c>
      <c r="AS13" s="15">
        <v>100</v>
      </c>
      <c r="AT13" s="15">
        <v>0</v>
      </c>
      <c r="AU13" s="15">
        <v>100</v>
      </c>
      <c r="AV13" s="15">
        <v>0</v>
      </c>
      <c r="AW13" s="15">
        <v>0</v>
      </c>
      <c r="AX13" s="15">
        <v>0</v>
      </c>
      <c r="AY13">
        <v>3.0451798560291299</v>
      </c>
    </row>
    <row r="14" spans="1:51" x14ac:dyDescent="0.25">
      <c r="A14">
        <v>97</v>
      </c>
      <c r="B14" s="4">
        <v>0.99591071120755104</v>
      </c>
      <c r="C14" s="4">
        <v>19.4430148662669</v>
      </c>
      <c r="D14" s="4">
        <v>4.7982701418509901</v>
      </c>
      <c r="E14" s="4">
        <v>1.78557757221115E-2</v>
      </c>
      <c r="F14" s="5">
        <v>4.0892887924484297E-3</v>
      </c>
      <c r="G14" s="5">
        <v>0</v>
      </c>
      <c r="H14" s="4">
        <v>3.82326965656127</v>
      </c>
      <c r="I14" s="4">
        <v>3.8666485463280802</v>
      </c>
      <c r="J14" s="4">
        <v>-28.430549139471701</v>
      </c>
      <c r="K14" s="4">
        <v>2.6004574228175699</v>
      </c>
      <c r="L14" s="4">
        <v>13.230027836734999</v>
      </c>
      <c r="M14" s="4">
        <v>6.3925949772247703</v>
      </c>
      <c r="N14" s="4">
        <v>66.7320457890482</v>
      </c>
      <c r="O14" s="4">
        <v>63.993314521877501</v>
      </c>
      <c r="P14" s="4">
        <v>320342.54383679002</v>
      </c>
      <c r="Q14" s="4">
        <v>301629.26673422498</v>
      </c>
      <c r="R14" s="4">
        <v>784.30399406872095</v>
      </c>
      <c r="S14" s="4">
        <v>0</v>
      </c>
      <c r="T14" s="4">
        <v>0</v>
      </c>
      <c r="U14" s="4">
        <v>0.44368438159998103</v>
      </c>
      <c r="V14" s="4">
        <v>0</v>
      </c>
      <c r="W14" s="4">
        <v>0</v>
      </c>
      <c r="X14" s="4">
        <v>0.86581298961866604</v>
      </c>
      <c r="Y14" s="4">
        <v>0</v>
      </c>
      <c r="Z14" s="5">
        <v>2.81073610099845E-4</v>
      </c>
      <c r="AA14" s="5">
        <v>2.1996502393345699E-5</v>
      </c>
      <c r="AB14" s="10">
        <v>2.3332506909376802E-3</v>
      </c>
      <c r="AC14" s="10">
        <v>4.0040633050244201E-8</v>
      </c>
      <c r="AD14" s="10">
        <v>1.45291394211777E-3</v>
      </c>
      <c r="AE14" s="4">
        <v>3.1260111067935303E-2</v>
      </c>
      <c r="AF14" s="4">
        <v>0.699479808920068</v>
      </c>
      <c r="AG14" s="4">
        <v>0.996721504652055</v>
      </c>
      <c r="AH14" s="4">
        <v>0.99988434338769405</v>
      </c>
      <c r="AI14" s="4">
        <v>1</v>
      </c>
      <c r="AJ14" s="4">
        <v>1</v>
      </c>
      <c r="AK14" s="4">
        <v>1</v>
      </c>
      <c r="AL14" s="4">
        <v>1</v>
      </c>
      <c r="AM14" s="4">
        <v>0</v>
      </c>
      <c r="AN14" s="4">
        <v>0</v>
      </c>
      <c r="AO14" s="4" t="s">
        <v>141</v>
      </c>
      <c r="AP14" s="4" t="s">
        <v>127</v>
      </c>
      <c r="AQ14" s="6">
        <v>8408519068.75</v>
      </c>
      <c r="AR14" s="4">
        <v>27877</v>
      </c>
      <c r="AS14" s="15">
        <v>100</v>
      </c>
      <c r="AT14" s="15">
        <v>0</v>
      </c>
      <c r="AU14" s="15">
        <v>100</v>
      </c>
      <c r="AV14" s="15">
        <v>0</v>
      </c>
      <c r="AW14" s="15">
        <v>0</v>
      </c>
      <c r="AX14" s="15">
        <v>0</v>
      </c>
      <c r="AY14">
        <v>4.5430613797259296</v>
      </c>
    </row>
    <row r="15" spans="1:51" x14ac:dyDescent="0.25">
      <c r="A15">
        <v>97</v>
      </c>
      <c r="B15" s="4">
        <v>0.99536896344035697</v>
      </c>
      <c r="C15" s="4">
        <v>24.5283028415252</v>
      </c>
      <c r="D15" s="4">
        <v>5.4178594037760597</v>
      </c>
      <c r="E15" s="4">
        <v>2.3178200662614799E-2</v>
      </c>
      <c r="F15" s="5">
        <v>4.63103655964289E-3</v>
      </c>
      <c r="G15" s="5">
        <v>0</v>
      </c>
      <c r="H15" s="4">
        <v>3.83780975433501</v>
      </c>
      <c r="I15" s="4">
        <v>3.8415998627050398</v>
      </c>
      <c r="J15" s="4">
        <v>-28.458723637430801</v>
      </c>
      <c r="K15" s="4">
        <v>7.5251221594519997</v>
      </c>
      <c r="L15" s="4">
        <v>13.2821565019517</v>
      </c>
      <c r="M15" s="4">
        <v>7.1801998178736302</v>
      </c>
      <c r="N15" s="4">
        <v>64.986463751757398</v>
      </c>
      <c r="O15" s="4">
        <v>62.158540596271102</v>
      </c>
      <c r="P15" s="4">
        <v>319330.73087206599</v>
      </c>
      <c r="Q15" s="4">
        <v>300383.524770408</v>
      </c>
      <c r="R15" s="4">
        <v>784.41698423467699</v>
      </c>
      <c r="S15" s="4">
        <v>0</v>
      </c>
      <c r="T15" s="4">
        <v>0</v>
      </c>
      <c r="U15" s="4">
        <v>0.45522548833406901</v>
      </c>
      <c r="V15" s="4">
        <v>0</v>
      </c>
      <c r="W15" s="4">
        <v>0</v>
      </c>
      <c r="X15" s="4">
        <v>0.86303883655328895</v>
      </c>
      <c r="Y15" s="4">
        <v>0</v>
      </c>
      <c r="Z15" s="5">
        <v>2.9804059522288298E-4</v>
      </c>
      <c r="AA15" s="5">
        <v>2.5442295392676799E-5</v>
      </c>
      <c r="AB15" s="10">
        <v>2.5018941070387999E-3</v>
      </c>
      <c r="AC15" s="10">
        <v>2.3653332066841399E-7</v>
      </c>
      <c r="AD15" s="10">
        <v>1.8054092588998701E-3</v>
      </c>
      <c r="AE15" s="4">
        <v>3.3843171654539997E-2</v>
      </c>
      <c r="AF15" s="4">
        <v>0.653660137772618</v>
      </c>
      <c r="AG15" s="4">
        <v>0.99363841722579105</v>
      </c>
      <c r="AH15" s="4">
        <v>0.99940966766084804</v>
      </c>
      <c r="AI15" s="4">
        <v>0.99995784513643904</v>
      </c>
      <c r="AJ15" s="4">
        <v>1</v>
      </c>
      <c r="AK15" s="4">
        <v>1</v>
      </c>
      <c r="AL15" s="4">
        <v>1</v>
      </c>
      <c r="AM15" s="4">
        <v>0</v>
      </c>
      <c r="AN15" s="4">
        <v>0</v>
      </c>
      <c r="AO15" s="4" t="s">
        <v>142</v>
      </c>
      <c r="AP15" s="4">
        <v>43230</v>
      </c>
      <c r="AQ15" s="6">
        <v>8595774944.8299999</v>
      </c>
      <c r="AR15" s="4">
        <v>28616</v>
      </c>
      <c r="AS15" s="15">
        <v>100</v>
      </c>
      <c r="AT15" s="15">
        <v>0</v>
      </c>
      <c r="AU15" s="15">
        <v>100</v>
      </c>
      <c r="AV15" s="15">
        <v>0</v>
      </c>
      <c r="AW15" s="15">
        <v>0</v>
      </c>
      <c r="AX15" s="15">
        <v>0</v>
      </c>
      <c r="AY15">
        <v>9.4504738530665602</v>
      </c>
    </row>
    <row r="16" spans="1:51" x14ac:dyDescent="0.25">
      <c r="A16">
        <v>97</v>
      </c>
      <c r="B16" s="4">
        <v>0.99465638246293797</v>
      </c>
      <c r="C16" s="4">
        <v>31.326511682829899</v>
      </c>
      <c r="D16" s="4">
        <v>6.2271998141052096</v>
      </c>
      <c r="E16" s="4">
        <v>3.0831941551417299E-2</v>
      </c>
      <c r="F16" s="5">
        <v>5.3436175370616202E-3</v>
      </c>
      <c r="G16" s="5">
        <v>0</v>
      </c>
      <c r="H16" s="4">
        <v>3.8961119011963299</v>
      </c>
      <c r="I16" s="4">
        <v>3.8450788831108</v>
      </c>
      <c r="J16" s="4">
        <v>-28.0099611766592</v>
      </c>
      <c r="K16" s="4">
        <v>12.4470564709284</v>
      </c>
      <c r="L16" s="4">
        <v>13.463066009016</v>
      </c>
      <c r="M16" s="4">
        <v>8.1136249212488494</v>
      </c>
      <c r="N16" s="4">
        <v>65.377799893359594</v>
      </c>
      <c r="O16" s="4">
        <v>62.250055616354203</v>
      </c>
      <c r="P16" s="4">
        <v>316772.00350733299</v>
      </c>
      <c r="Q16" s="4">
        <v>296470.16030085698</v>
      </c>
      <c r="R16" s="4">
        <v>784.11303738360095</v>
      </c>
      <c r="S16" s="4">
        <v>0</v>
      </c>
      <c r="T16" s="4">
        <v>0</v>
      </c>
      <c r="U16" s="4">
        <v>0.43330575390425502</v>
      </c>
      <c r="V16" s="4">
        <v>0</v>
      </c>
      <c r="W16" s="4">
        <v>0</v>
      </c>
      <c r="X16" s="4">
        <v>0.85360079940525602</v>
      </c>
      <c r="Y16" s="4">
        <v>0</v>
      </c>
      <c r="Z16" s="5">
        <v>3.1514889430839401E-4</v>
      </c>
      <c r="AA16" s="5">
        <v>2.7565375936466701E-5</v>
      </c>
      <c r="AB16" s="10">
        <v>2.71796386213979E-3</v>
      </c>
      <c r="AC16" s="10">
        <v>3.7085638735846498E-7</v>
      </c>
      <c r="AD16" s="10">
        <v>2.2825551376431E-3</v>
      </c>
      <c r="AE16" s="4">
        <v>3.6039856658661898E-2</v>
      </c>
      <c r="AF16" s="4">
        <v>0.62163548597529605</v>
      </c>
      <c r="AG16" s="4">
        <v>0.98801613112389397</v>
      </c>
      <c r="AH16" s="4">
        <v>0.99943049216252899</v>
      </c>
      <c r="AI16" s="4">
        <v>0.99995903709849898</v>
      </c>
      <c r="AJ16" s="4">
        <v>1</v>
      </c>
      <c r="AK16" s="4">
        <v>1</v>
      </c>
      <c r="AL16" s="4">
        <v>1</v>
      </c>
      <c r="AM16" s="4">
        <v>0</v>
      </c>
      <c r="AN16" s="4">
        <v>0</v>
      </c>
      <c r="AO16" s="4" t="s">
        <v>143</v>
      </c>
      <c r="AP16" s="4">
        <v>43388</v>
      </c>
      <c r="AQ16" s="6">
        <v>9302344219.7600002</v>
      </c>
      <c r="AR16" s="4">
        <v>31377</v>
      </c>
      <c r="AS16" s="15">
        <v>100</v>
      </c>
      <c r="AT16" s="15">
        <v>0</v>
      </c>
      <c r="AU16" s="15">
        <v>100</v>
      </c>
      <c r="AV16" s="15">
        <v>0</v>
      </c>
      <c r="AW16" s="15">
        <v>0</v>
      </c>
      <c r="AX16" s="15">
        <v>0</v>
      </c>
      <c r="AY16">
        <v>16.6069459543988</v>
      </c>
    </row>
    <row r="17" spans="1:51" x14ac:dyDescent="0.25">
      <c r="A17">
        <v>97</v>
      </c>
      <c r="B17" s="4">
        <v>0.99396418051323898</v>
      </c>
      <c r="C17" s="4">
        <v>34.805620560310501</v>
      </c>
      <c r="D17" s="4">
        <v>7.0073105612378699</v>
      </c>
      <c r="E17" s="4">
        <v>3.5021776102418099E-2</v>
      </c>
      <c r="F17" s="5">
        <v>6.03581948676083E-3</v>
      </c>
      <c r="G17" s="5">
        <v>0</v>
      </c>
      <c r="H17" s="4">
        <v>3.9628175642905599</v>
      </c>
      <c r="I17" s="4">
        <v>3.8564958310413999</v>
      </c>
      <c r="J17" s="4">
        <v>-27.2141722251178</v>
      </c>
      <c r="K17" s="4">
        <v>17.488387400958299</v>
      </c>
      <c r="L17" s="4">
        <v>13.775079356216301</v>
      </c>
      <c r="M17" s="4">
        <v>9.4585112927154498</v>
      </c>
      <c r="N17" s="4">
        <v>67.114864226334106</v>
      </c>
      <c r="O17" s="4">
        <v>63.784383370340599</v>
      </c>
      <c r="P17" s="4">
        <v>309435.40821129002</v>
      </c>
      <c r="Q17" s="4">
        <v>289795.18842244701</v>
      </c>
      <c r="R17" s="4">
        <v>784.22465623379298</v>
      </c>
      <c r="S17" s="4">
        <v>0</v>
      </c>
      <c r="T17" s="4">
        <v>0</v>
      </c>
      <c r="U17" s="4">
        <v>0.397907414856075</v>
      </c>
      <c r="V17" s="4">
        <v>0</v>
      </c>
      <c r="W17" s="4">
        <v>0</v>
      </c>
      <c r="X17" s="4">
        <v>0.845542775033299</v>
      </c>
      <c r="Y17" s="4">
        <v>0</v>
      </c>
      <c r="Z17" s="5">
        <v>3.3070899812028898E-4</v>
      </c>
      <c r="AA17" s="5">
        <v>3.2455573612142201E-5</v>
      </c>
      <c r="AB17" s="10">
        <v>2.8478718594451102E-3</v>
      </c>
      <c r="AC17" s="10">
        <v>1.2046478329361001E-6</v>
      </c>
      <c r="AD17" s="10">
        <v>2.8235652266368001E-3</v>
      </c>
      <c r="AE17" s="4">
        <v>3.5846425337945902E-2</v>
      </c>
      <c r="AF17" s="4">
        <v>0.62882723406334695</v>
      </c>
      <c r="AG17" s="4">
        <v>0.97363601100641295</v>
      </c>
      <c r="AH17" s="4">
        <v>0.99807576096496997</v>
      </c>
      <c r="AI17" s="4">
        <v>0.99963048163302604</v>
      </c>
      <c r="AJ17" s="4">
        <v>1</v>
      </c>
      <c r="AK17" s="4">
        <v>1</v>
      </c>
      <c r="AL17" s="4">
        <v>1</v>
      </c>
      <c r="AM17" s="4">
        <v>0</v>
      </c>
      <c r="AN17" s="4">
        <v>0</v>
      </c>
      <c r="AO17" s="4" t="s">
        <v>144</v>
      </c>
      <c r="AP17" s="4" t="s">
        <v>128</v>
      </c>
      <c r="AQ17" s="6">
        <v>9728714270.5300007</v>
      </c>
      <c r="AR17" s="4">
        <v>33571</v>
      </c>
      <c r="AS17" s="15">
        <v>100</v>
      </c>
      <c r="AT17" s="15">
        <v>0</v>
      </c>
      <c r="AU17" s="15">
        <v>100</v>
      </c>
      <c r="AV17" s="15">
        <v>0</v>
      </c>
      <c r="AW17" s="15">
        <v>0</v>
      </c>
      <c r="AX17" s="15">
        <v>0</v>
      </c>
      <c r="AY17">
        <v>31.489386944392798</v>
      </c>
    </row>
    <row r="18" spans="1:51" x14ac:dyDescent="0.25">
      <c r="A18">
        <v>97</v>
      </c>
      <c r="B18" s="4">
        <v>0.99321969119492903</v>
      </c>
      <c r="C18" s="4">
        <v>40.405696842334002</v>
      </c>
      <c r="D18" s="4">
        <v>7.8397055809238596</v>
      </c>
      <c r="E18" s="4">
        <v>4.2217137139890303E-2</v>
      </c>
      <c r="F18" s="5">
        <v>6.7803088050703798E-3</v>
      </c>
      <c r="G18" s="5">
        <v>0</v>
      </c>
      <c r="H18" s="4">
        <v>3.98872990699686</v>
      </c>
      <c r="I18" s="4">
        <v>3.8483871562444301</v>
      </c>
      <c r="J18" s="4">
        <v>-27.0893234149225</v>
      </c>
      <c r="K18" s="4">
        <v>22.531536881459999</v>
      </c>
      <c r="L18" s="4">
        <v>13.4924725354985</v>
      </c>
      <c r="M18" s="4">
        <v>10.3480053858729</v>
      </c>
      <c r="N18" s="4">
        <v>64.910352667621794</v>
      </c>
      <c r="O18" s="4">
        <v>61.488224101701803</v>
      </c>
      <c r="P18" s="4">
        <v>315204.73041015101</v>
      </c>
      <c r="Q18" s="4">
        <v>295774.56636426499</v>
      </c>
      <c r="R18" s="4">
        <v>784.32443641962902</v>
      </c>
      <c r="S18" s="4">
        <v>0</v>
      </c>
      <c r="T18" s="4">
        <v>0</v>
      </c>
      <c r="U18" s="4">
        <v>0.37284056981292402</v>
      </c>
      <c r="V18" s="4">
        <v>0</v>
      </c>
      <c r="W18" s="4">
        <v>0</v>
      </c>
      <c r="X18" s="4">
        <v>0.85370513131921499</v>
      </c>
      <c r="Y18" s="4">
        <v>0</v>
      </c>
      <c r="Z18" s="5">
        <v>3.4055567483493298E-4</v>
      </c>
      <c r="AA18" s="5">
        <v>3.3922209282607498E-5</v>
      </c>
      <c r="AB18" s="10">
        <v>2.92450340256868E-3</v>
      </c>
      <c r="AC18" s="10">
        <v>1.9400894443455298E-6</v>
      </c>
      <c r="AD18" s="10">
        <v>3.4793743114794802E-3</v>
      </c>
      <c r="AE18" s="4">
        <v>3.81627881706917E-2</v>
      </c>
      <c r="AF18" s="4">
        <v>0.60228157341576705</v>
      </c>
      <c r="AG18" s="4">
        <v>0.96574056851260004</v>
      </c>
      <c r="AH18" s="4">
        <v>0.99782803931683905</v>
      </c>
      <c r="AI18" s="4">
        <v>0.99944915718038896</v>
      </c>
      <c r="AJ18" s="4">
        <v>1</v>
      </c>
      <c r="AK18" s="4">
        <v>1</v>
      </c>
      <c r="AL18" s="4">
        <v>1</v>
      </c>
      <c r="AM18" s="4">
        <v>0</v>
      </c>
      <c r="AN18" s="4">
        <v>0</v>
      </c>
      <c r="AO18" s="4" t="s">
        <v>68</v>
      </c>
      <c r="AP18" s="4" t="s">
        <v>69</v>
      </c>
      <c r="AQ18" s="6">
        <v>11117574400.5</v>
      </c>
      <c r="AR18" s="4">
        <v>37588</v>
      </c>
      <c r="AS18" s="15">
        <v>100</v>
      </c>
      <c r="AT18" s="15">
        <v>0</v>
      </c>
      <c r="AU18" s="15">
        <v>100</v>
      </c>
      <c r="AV18" s="15">
        <v>0</v>
      </c>
      <c r="AW18" s="15">
        <v>0</v>
      </c>
      <c r="AX18" s="15">
        <v>0</v>
      </c>
      <c r="AY18">
        <v>50.883093838387801</v>
      </c>
    </row>
    <row r="19" spans="1:51" x14ac:dyDescent="0.25">
      <c r="A19">
        <v>97</v>
      </c>
      <c r="B19" s="4">
        <v>0.99256365686200598</v>
      </c>
      <c r="C19" s="4">
        <v>40.300453005503996</v>
      </c>
      <c r="D19" s="4">
        <v>8.5675343889373803</v>
      </c>
      <c r="E19" s="4">
        <v>4.2076296992557299E-2</v>
      </c>
      <c r="F19" s="5">
        <v>7.4363431379939502E-3</v>
      </c>
      <c r="G19" s="5">
        <v>0</v>
      </c>
      <c r="H19" s="4">
        <v>4.0313076378626</v>
      </c>
      <c r="I19" s="4">
        <v>3.8427387935103199</v>
      </c>
      <c r="J19" s="4">
        <v>-26.268649876526599</v>
      </c>
      <c r="K19" s="4">
        <v>27.521169349595901</v>
      </c>
      <c r="L19" s="4">
        <v>13.6003922372154</v>
      </c>
      <c r="M19" s="4">
        <v>11.4367312834381</v>
      </c>
      <c r="N19" s="4">
        <v>66.079715414137794</v>
      </c>
      <c r="O19" s="4">
        <v>62.3327450761265</v>
      </c>
      <c r="P19" s="4">
        <v>312487.74245500698</v>
      </c>
      <c r="Q19" s="4">
        <v>293461.59568870999</v>
      </c>
      <c r="R19" s="4">
        <v>783.99601828652101</v>
      </c>
      <c r="S19" s="4">
        <v>0</v>
      </c>
      <c r="T19" s="4">
        <v>0</v>
      </c>
      <c r="U19" s="4">
        <v>0.35411570355341998</v>
      </c>
      <c r="V19" s="4">
        <v>0</v>
      </c>
      <c r="W19" s="4">
        <v>0</v>
      </c>
      <c r="X19" s="4">
        <v>0.83988310646950304</v>
      </c>
      <c r="Y19" s="4">
        <v>0</v>
      </c>
      <c r="Z19" s="5">
        <v>3.4956490036865899E-4</v>
      </c>
      <c r="AA19" s="5">
        <v>3.92739724390021E-5</v>
      </c>
      <c r="AB19" s="10">
        <v>2.95600754334095E-3</v>
      </c>
      <c r="AC19" s="10">
        <v>3.3864365215517002E-6</v>
      </c>
      <c r="AD19" s="10">
        <v>4.0880972687707797E-3</v>
      </c>
      <c r="AE19" s="4">
        <v>3.97471145668944E-2</v>
      </c>
      <c r="AF19" s="4">
        <v>0.59582736785442503</v>
      </c>
      <c r="AG19" s="4">
        <v>0.95637465642062902</v>
      </c>
      <c r="AH19" s="4">
        <v>0.99634399483855096</v>
      </c>
      <c r="AI19" s="4">
        <v>0.99896574483290501</v>
      </c>
      <c r="AJ19" s="4">
        <v>1</v>
      </c>
      <c r="AK19" s="4">
        <v>1</v>
      </c>
      <c r="AL19" s="4">
        <v>1</v>
      </c>
      <c r="AM19" s="4">
        <v>0</v>
      </c>
      <c r="AN19" s="4">
        <v>0</v>
      </c>
      <c r="AO19" s="4" t="s">
        <v>145</v>
      </c>
      <c r="AP19" s="4" t="s">
        <v>129</v>
      </c>
      <c r="AQ19" s="6">
        <v>10867763273.139999</v>
      </c>
      <c r="AR19" s="4">
        <v>37033</v>
      </c>
      <c r="AS19" s="15">
        <v>100</v>
      </c>
      <c r="AT19" s="15">
        <v>0</v>
      </c>
      <c r="AU19" s="15">
        <v>100</v>
      </c>
      <c r="AV19" s="15">
        <v>0</v>
      </c>
      <c r="AW19" s="15">
        <v>0</v>
      </c>
      <c r="AX19" s="15">
        <v>0</v>
      </c>
      <c r="AY19">
        <v>73.358883634184494</v>
      </c>
    </row>
    <row r="20" spans="1:51" x14ac:dyDescent="0.25">
      <c r="A20">
        <v>97</v>
      </c>
      <c r="B20" s="4">
        <v>0.99188102627932395</v>
      </c>
      <c r="C20" s="4">
        <v>42.170344311486701</v>
      </c>
      <c r="D20" s="4">
        <v>9.3192731572690803</v>
      </c>
      <c r="E20" s="4">
        <v>4.4613242657963501E-2</v>
      </c>
      <c r="F20" s="5">
        <v>8.1189737206755503E-3</v>
      </c>
      <c r="G20" s="5">
        <v>0</v>
      </c>
      <c r="H20" s="4">
        <v>4.0556389841384703</v>
      </c>
      <c r="I20" s="4">
        <v>3.8248749431031799</v>
      </c>
      <c r="J20" s="4">
        <v>-25.7289550709332</v>
      </c>
      <c r="K20" s="4">
        <v>32.4779605108371</v>
      </c>
      <c r="L20" s="4">
        <v>13.59359274393</v>
      </c>
      <c r="M20" s="4">
        <v>12.1993854092013</v>
      </c>
      <c r="N20" s="4">
        <v>65.172271324084903</v>
      </c>
      <c r="O20" s="4">
        <v>61.353030112772998</v>
      </c>
      <c r="P20" s="4">
        <v>312799.154957694</v>
      </c>
      <c r="Q20" s="4">
        <v>293552.21885923698</v>
      </c>
      <c r="R20" s="4">
        <v>784.14268516173797</v>
      </c>
      <c r="S20" s="4">
        <v>0</v>
      </c>
      <c r="T20" s="4">
        <v>0</v>
      </c>
      <c r="U20" s="4">
        <v>0.34766459804307198</v>
      </c>
      <c r="V20" s="4">
        <v>0</v>
      </c>
      <c r="W20" s="4">
        <v>0</v>
      </c>
      <c r="X20" s="4">
        <v>0.84694825555755204</v>
      </c>
      <c r="Y20" s="4">
        <v>0</v>
      </c>
      <c r="Z20" s="5">
        <v>3.5517852262308797E-4</v>
      </c>
      <c r="AA20" s="5">
        <v>4.23545247147081E-5</v>
      </c>
      <c r="AB20" s="10">
        <v>3.0006732615097602E-3</v>
      </c>
      <c r="AC20" s="10">
        <v>4.71501470707704E-6</v>
      </c>
      <c r="AD20" s="10">
        <v>4.7160393810543799E-3</v>
      </c>
      <c r="AE20" s="4">
        <v>4.2659298563405598E-2</v>
      </c>
      <c r="AF20" s="4">
        <v>0.57831841664365602</v>
      </c>
      <c r="AG20" s="4">
        <v>0.93881950275738602</v>
      </c>
      <c r="AH20" s="4">
        <v>0.99595040869512297</v>
      </c>
      <c r="AI20" s="4">
        <v>0.99921484076316203</v>
      </c>
      <c r="AJ20" s="4">
        <v>1</v>
      </c>
      <c r="AK20" s="4">
        <v>1</v>
      </c>
      <c r="AL20" s="4">
        <v>1</v>
      </c>
      <c r="AM20" s="4">
        <v>0</v>
      </c>
      <c r="AN20" s="4">
        <v>0</v>
      </c>
      <c r="AO20" s="4" t="s">
        <v>146</v>
      </c>
      <c r="AP20" s="4" t="s">
        <v>130</v>
      </c>
      <c r="AQ20" s="6">
        <v>10890200215.24</v>
      </c>
      <c r="AR20" s="4">
        <v>37098</v>
      </c>
      <c r="AS20" s="15">
        <v>100</v>
      </c>
      <c r="AT20" s="15">
        <v>0</v>
      </c>
      <c r="AU20" s="15">
        <v>100</v>
      </c>
      <c r="AV20" s="15">
        <v>0</v>
      </c>
      <c r="AW20" s="15">
        <v>0</v>
      </c>
      <c r="AX20" s="15">
        <v>0</v>
      </c>
      <c r="AY20">
        <v>96.915303938553905</v>
      </c>
    </row>
    <row r="21" spans="1:51" x14ac:dyDescent="0.25">
      <c r="A21">
        <v>97</v>
      </c>
      <c r="B21" s="4">
        <v>0.99119031449509298</v>
      </c>
      <c r="C21" s="4">
        <v>44.363700767267098</v>
      </c>
      <c r="D21" s="4">
        <v>10.0741408615813</v>
      </c>
      <c r="E21" s="4">
        <v>4.7686693139055499E-2</v>
      </c>
      <c r="F21" s="5">
        <v>8.8096855049061302E-3</v>
      </c>
      <c r="G21" s="5">
        <v>0</v>
      </c>
      <c r="H21" s="4">
        <v>4.0946866689691497</v>
      </c>
      <c r="I21" s="4">
        <v>3.8150210137671201</v>
      </c>
      <c r="J21" s="4">
        <v>-24.908605570193298</v>
      </c>
      <c r="K21" s="4">
        <v>37.432595284797998</v>
      </c>
      <c r="L21" s="4">
        <v>13.592906435557399</v>
      </c>
      <c r="M21" s="4">
        <v>13.0497687340208</v>
      </c>
      <c r="N21" s="4">
        <v>65.0907246390788</v>
      </c>
      <c r="O21" s="4">
        <v>61.059485922097899</v>
      </c>
      <c r="P21" s="4">
        <v>312909.35597323399</v>
      </c>
      <c r="Q21" s="4">
        <v>293571.69358040398</v>
      </c>
      <c r="R21" s="4">
        <v>783.85419485241096</v>
      </c>
      <c r="S21" s="4">
        <v>0</v>
      </c>
      <c r="T21" s="4">
        <v>0</v>
      </c>
      <c r="U21" s="4">
        <v>0.31964749708981699</v>
      </c>
      <c r="V21" s="4">
        <v>0</v>
      </c>
      <c r="W21" s="4">
        <v>0</v>
      </c>
      <c r="X21" s="4">
        <v>0.83289523338288496</v>
      </c>
      <c r="Y21" s="4">
        <v>0</v>
      </c>
      <c r="Z21" s="5">
        <v>3.6048212403654402E-4</v>
      </c>
      <c r="AA21" s="5">
        <v>4.6612369262919701E-5</v>
      </c>
      <c r="AB21" s="10">
        <v>3.0654346858300799E-3</v>
      </c>
      <c r="AC21" s="10">
        <v>5.4760896487007704E-6</v>
      </c>
      <c r="AD21" s="10">
        <v>5.3316672451418096E-3</v>
      </c>
      <c r="AE21" s="4">
        <v>4.28675056716077E-2</v>
      </c>
      <c r="AF21" s="4">
        <v>0.56440846525381405</v>
      </c>
      <c r="AG21" s="4">
        <v>0.94764673160138202</v>
      </c>
      <c r="AH21" s="4">
        <v>0.99423544425395205</v>
      </c>
      <c r="AI21" s="4">
        <v>0.99937146069105598</v>
      </c>
      <c r="AJ21" s="4">
        <v>1</v>
      </c>
      <c r="AK21" s="4">
        <v>1</v>
      </c>
      <c r="AL21" s="4">
        <v>1</v>
      </c>
      <c r="AM21" s="4">
        <v>0</v>
      </c>
      <c r="AN21" s="4">
        <v>0</v>
      </c>
      <c r="AO21" s="4" t="s">
        <v>147</v>
      </c>
      <c r="AP21" s="4" t="s">
        <v>131</v>
      </c>
      <c r="AQ21" s="6">
        <v>10373062220.969999</v>
      </c>
      <c r="AR21" s="4">
        <v>35334</v>
      </c>
      <c r="AS21" s="15">
        <v>100</v>
      </c>
      <c r="AT21" s="15">
        <v>0</v>
      </c>
      <c r="AU21" s="15">
        <v>100</v>
      </c>
      <c r="AV21" s="15">
        <v>0</v>
      </c>
      <c r="AW21" s="15">
        <v>0</v>
      </c>
      <c r="AX21" s="15">
        <v>0</v>
      </c>
      <c r="AY21">
        <v>117.44396576230901</v>
      </c>
    </row>
    <row r="22" spans="1:51" x14ac:dyDescent="0.25">
      <c r="A22">
        <v>97</v>
      </c>
      <c r="B22" s="4">
        <v>0.990463096094234</v>
      </c>
      <c r="C22" s="4">
        <v>44.9884910334141</v>
      </c>
      <c r="D22" s="4">
        <v>10.862677569077499</v>
      </c>
      <c r="E22" s="4">
        <v>4.8582512227296301E-2</v>
      </c>
      <c r="F22" s="5">
        <v>9.53690390576592E-3</v>
      </c>
      <c r="G22" s="5">
        <v>0</v>
      </c>
      <c r="H22" s="4">
        <v>4.1521944118310898</v>
      </c>
      <c r="I22" s="4">
        <v>3.8159407109255299</v>
      </c>
      <c r="J22" s="4">
        <v>-24.343595371488298</v>
      </c>
      <c r="K22" s="4">
        <v>42.405093877406301</v>
      </c>
      <c r="L22" s="4">
        <v>13.569528967459201</v>
      </c>
      <c r="M22" s="4">
        <v>14.276291661014399</v>
      </c>
      <c r="N22" s="4">
        <v>65.514493338087604</v>
      </c>
      <c r="O22" s="4">
        <v>61.450122602998199</v>
      </c>
      <c r="P22" s="4">
        <v>314106.60485118697</v>
      </c>
      <c r="Q22" s="4">
        <v>294061.72217731399</v>
      </c>
      <c r="R22" s="4">
        <v>783.50475084428899</v>
      </c>
      <c r="S22" s="4">
        <v>0</v>
      </c>
      <c r="T22" s="4">
        <v>0</v>
      </c>
      <c r="U22" s="4">
        <v>0.28485692389797002</v>
      </c>
      <c r="V22" s="4">
        <v>0</v>
      </c>
      <c r="W22" s="4">
        <v>0</v>
      </c>
      <c r="X22" s="4">
        <v>0.82494064424376201</v>
      </c>
      <c r="Y22" s="4">
        <v>0</v>
      </c>
      <c r="Z22" s="5">
        <v>3.6528638208720398E-4</v>
      </c>
      <c r="AA22" s="5">
        <v>5.4759723637789002E-5</v>
      </c>
      <c r="AB22" s="10">
        <v>3.1343377872107602E-3</v>
      </c>
      <c r="AC22" s="10">
        <v>6.4977952350434702E-6</v>
      </c>
      <c r="AD22" s="10">
        <v>5.9760090480450402E-3</v>
      </c>
      <c r="AE22" s="4">
        <v>4.2811300337045603E-2</v>
      </c>
      <c r="AF22" s="4">
        <v>0.56313468112855203</v>
      </c>
      <c r="AG22" s="4">
        <v>0.93613857703916703</v>
      </c>
      <c r="AH22" s="4">
        <v>0.99359039325121801</v>
      </c>
      <c r="AI22" s="4">
        <v>0.99948871258609595</v>
      </c>
      <c r="AJ22" s="4">
        <v>1</v>
      </c>
      <c r="AK22" s="4">
        <v>1</v>
      </c>
      <c r="AL22" s="4">
        <v>1</v>
      </c>
      <c r="AM22" s="4">
        <v>0</v>
      </c>
      <c r="AN22" s="4">
        <v>0</v>
      </c>
      <c r="AO22" s="4" t="s">
        <v>148</v>
      </c>
      <c r="AP22" s="4" t="s">
        <v>132</v>
      </c>
      <c r="AQ22" s="6">
        <v>9058277289.9500008</v>
      </c>
      <c r="AR22" s="4">
        <v>30804</v>
      </c>
      <c r="AS22" s="15">
        <v>100</v>
      </c>
      <c r="AT22" s="15">
        <v>0</v>
      </c>
      <c r="AU22" s="15">
        <v>100</v>
      </c>
      <c r="AV22" s="15">
        <v>0</v>
      </c>
      <c r="AW22" s="15">
        <v>0</v>
      </c>
      <c r="AX22" s="15">
        <v>0</v>
      </c>
      <c r="AY22">
        <v>144.15810451299299</v>
      </c>
    </row>
    <row r="23" spans="1:51" x14ac:dyDescent="0.25">
      <c r="A23">
        <v>97</v>
      </c>
      <c r="B23" s="4">
        <v>0.98969798276649901</v>
      </c>
      <c r="C23" s="4">
        <v>43.845424328571397</v>
      </c>
      <c r="D23" s="4">
        <v>11.6854580291076</v>
      </c>
      <c r="E23" s="4">
        <v>4.6950562958361003E-2</v>
      </c>
      <c r="F23" s="5">
        <v>1.03020172335005E-2</v>
      </c>
      <c r="G23" s="5">
        <v>0</v>
      </c>
      <c r="H23" s="4">
        <v>4.2248362695701998</v>
      </c>
      <c r="I23" s="4">
        <v>3.83196936669738</v>
      </c>
      <c r="J23" s="4">
        <v>-23.5307706577508</v>
      </c>
      <c r="K23" s="4">
        <v>47.508522500165498</v>
      </c>
      <c r="L23" s="4">
        <v>13.6013207186272</v>
      </c>
      <c r="M23" s="4">
        <v>15.7665312172042</v>
      </c>
      <c r="N23" s="4">
        <v>64.950268634912405</v>
      </c>
      <c r="O23" s="4">
        <v>61.065885611939301</v>
      </c>
      <c r="P23" s="4">
        <v>313911.72242639598</v>
      </c>
      <c r="Q23" s="4">
        <v>293309.38504577801</v>
      </c>
      <c r="R23" s="4">
        <v>783.18052825497602</v>
      </c>
      <c r="S23" s="4">
        <v>0</v>
      </c>
      <c r="T23" s="4">
        <v>0</v>
      </c>
      <c r="U23" s="4">
        <v>0.26185926247904201</v>
      </c>
      <c r="V23" s="4">
        <v>0</v>
      </c>
      <c r="W23" s="4">
        <v>0</v>
      </c>
      <c r="X23" s="4">
        <v>0.81299025052121698</v>
      </c>
      <c r="Y23" s="4">
        <v>0</v>
      </c>
      <c r="Z23" s="5">
        <v>3.7081352784952603E-4</v>
      </c>
      <c r="AA23" s="5">
        <v>6.7106090605817693E-5</v>
      </c>
      <c r="AB23" s="10">
        <v>3.20505012511125E-3</v>
      </c>
      <c r="AC23" s="10">
        <v>6.3151365792634498E-6</v>
      </c>
      <c r="AD23" s="10">
        <v>6.6527190537559004E-3</v>
      </c>
      <c r="AE23" s="4">
        <v>3.9020398565727699E-2</v>
      </c>
      <c r="AF23" s="4">
        <v>0.58864347581409504</v>
      </c>
      <c r="AG23" s="4">
        <v>0.94145052183240097</v>
      </c>
      <c r="AH23" s="4">
        <v>0.99372010038337599</v>
      </c>
      <c r="AI23" s="4">
        <v>0.99940074316015304</v>
      </c>
      <c r="AJ23" s="4">
        <v>1</v>
      </c>
      <c r="AK23" s="4">
        <v>1</v>
      </c>
      <c r="AL23" s="4">
        <v>1</v>
      </c>
      <c r="AM23" s="4">
        <v>0</v>
      </c>
      <c r="AN23" s="4">
        <v>0</v>
      </c>
      <c r="AO23" s="4" t="s">
        <v>70</v>
      </c>
      <c r="AP23" s="4" t="s">
        <v>71</v>
      </c>
      <c r="AQ23" s="6">
        <v>8136988959.9399996</v>
      </c>
      <c r="AR23" s="4">
        <v>27742</v>
      </c>
      <c r="AS23" s="15">
        <v>100</v>
      </c>
      <c r="AT23" s="15">
        <v>0</v>
      </c>
      <c r="AU23" s="15">
        <v>100</v>
      </c>
      <c r="AV23" s="15">
        <v>0</v>
      </c>
      <c r="AW23" s="15">
        <v>0</v>
      </c>
      <c r="AX23" s="15">
        <v>0</v>
      </c>
      <c r="AY23">
        <v>177.09587551506601</v>
      </c>
    </row>
    <row r="24" spans="1:51" x14ac:dyDescent="0.25">
      <c r="A24">
        <v>97</v>
      </c>
      <c r="B24" s="4">
        <v>0.98911968760341096</v>
      </c>
      <c r="C24" s="4">
        <v>45.703424830828901</v>
      </c>
      <c r="D24" s="4">
        <v>12.302713733260999</v>
      </c>
      <c r="E24" s="4">
        <v>4.9619092468527699E-2</v>
      </c>
      <c r="F24" s="5">
        <v>1.08803123965886E-2</v>
      </c>
      <c r="G24" s="5">
        <v>0</v>
      </c>
      <c r="H24" s="4">
        <v>4.3366791983923898</v>
      </c>
      <c r="I24" s="4">
        <v>3.8642946832157601</v>
      </c>
      <c r="J24" s="4">
        <v>-21.824259751969901</v>
      </c>
      <c r="K24" s="4">
        <v>52.520843117918403</v>
      </c>
      <c r="L24" s="4">
        <v>14.1753389568401</v>
      </c>
      <c r="M24" s="4">
        <v>17.783017040390401</v>
      </c>
      <c r="N24" s="4">
        <v>68.339367991413397</v>
      </c>
      <c r="O24" s="4">
        <v>64.650499792762602</v>
      </c>
      <c r="P24" s="4">
        <v>302093.56233987201</v>
      </c>
      <c r="Q24" s="4">
        <v>281530.68833745999</v>
      </c>
      <c r="R24" s="4">
        <v>782.245442031631</v>
      </c>
      <c r="S24" s="4">
        <v>0</v>
      </c>
      <c r="T24" s="4">
        <v>0</v>
      </c>
      <c r="U24" s="4">
        <v>0.22794187391176601</v>
      </c>
      <c r="V24" s="4">
        <v>0</v>
      </c>
      <c r="W24" s="4">
        <v>0</v>
      </c>
      <c r="X24" s="4">
        <v>0.77205904804633096</v>
      </c>
      <c r="Y24" s="4">
        <v>0</v>
      </c>
      <c r="Z24" s="5">
        <v>3.7686249044434101E-4</v>
      </c>
      <c r="AA24" s="5">
        <v>8.6200346484009E-5</v>
      </c>
      <c r="AB24" s="10">
        <v>3.3097987300563002E-3</v>
      </c>
      <c r="AC24" s="10">
        <v>5.39108303291856E-6</v>
      </c>
      <c r="AD24" s="10">
        <v>7.1020461734535899E-3</v>
      </c>
      <c r="AE24" s="4">
        <v>2.6408863189031899E-2</v>
      </c>
      <c r="AF24" s="4">
        <v>0.65194556363725598</v>
      </c>
      <c r="AG24" s="4">
        <v>0.95667250460341202</v>
      </c>
      <c r="AH24" s="4">
        <v>0.99518199574413801</v>
      </c>
      <c r="AI24" s="4">
        <v>0.99961313519629003</v>
      </c>
      <c r="AJ24" s="4">
        <v>1</v>
      </c>
      <c r="AK24" s="4">
        <v>1</v>
      </c>
      <c r="AL24" s="4">
        <v>1</v>
      </c>
      <c r="AM24" s="4">
        <v>0</v>
      </c>
      <c r="AN24" s="4">
        <v>0</v>
      </c>
      <c r="AO24" s="4" t="s">
        <v>149</v>
      </c>
      <c r="AP24" s="4" t="s">
        <v>133</v>
      </c>
      <c r="AQ24" s="6">
        <v>6934382384.4399996</v>
      </c>
      <c r="AR24" s="4">
        <v>24631</v>
      </c>
      <c r="AS24" s="15">
        <v>100</v>
      </c>
      <c r="AT24" s="15">
        <v>0</v>
      </c>
      <c r="AU24" s="15">
        <v>100</v>
      </c>
      <c r="AV24" s="15">
        <v>0</v>
      </c>
      <c r="AW24" s="15">
        <v>0</v>
      </c>
      <c r="AX24" s="15">
        <v>0</v>
      </c>
      <c r="AY24">
        <v>207.86746153190501</v>
      </c>
    </row>
    <row r="25" spans="1:51" x14ac:dyDescent="0.25">
      <c r="A25">
        <v>97</v>
      </c>
      <c r="B25" s="4">
        <v>0.98845808666745105</v>
      </c>
      <c r="C25" s="4">
        <v>44.879570211410602</v>
      </c>
      <c r="D25" s="4">
        <v>13.004035943583499</v>
      </c>
      <c r="E25" s="4">
        <v>4.8425673452720003E-2</v>
      </c>
      <c r="F25" s="5">
        <v>1.15419133325482E-2</v>
      </c>
      <c r="G25" s="5">
        <v>0</v>
      </c>
      <c r="H25" s="4">
        <v>4.4065752352722498</v>
      </c>
      <c r="I25" s="4">
        <v>3.8788735955360698</v>
      </c>
      <c r="J25" s="4">
        <v>-21.830965199638499</v>
      </c>
      <c r="K25" s="4">
        <v>57.507543349383901</v>
      </c>
      <c r="L25" s="4">
        <v>14.534699563031401</v>
      </c>
      <c r="M25" s="4">
        <v>19.4838201830838</v>
      </c>
      <c r="N25" s="4">
        <v>67.869547398162297</v>
      </c>
      <c r="O25" s="4">
        <v>64.478268760702406</v>
      </c>
      <c r="P25" s="4">
        <v>295856.573970086</v>
      </c>
      <c r="Q25" s="4">
        <v>274433.60992063401</v>
      </c>
      <c r="R25" s="4">
        <v>782.36237968691603</v>
      </c>
      <c r="S25" s="4">
        <v>0</v>
      </c>
      <c r="T25" s="4">
        <v>0</v>
      </c>
      <c r="U25" s="4">
        <v>0.22635925361942799</v>
      </c>
      <c r="V25" s="4">
        <v>0</v>
      </c>
      <c r="W25" s="4">
        <v>0</v>
      </c>
      <c r="X25" s="4">
        <v>0.77692308575822999</v>
      </c>
      <c r="Y25" s="4">
        <v>0</v>
      </c>
      <c r="Z25" s="5">
        <v>3.84760234734816E-4</v>
      </c>
      <c r="AA25" s="5">
        <v>1.05163533497141E-4</v>
      </c>
      <c r="AB25" s="10">
        <v>3.3757407250262902E-3</v>
      </c>
      <c r="AC25" s="10">
        <v>5.67646262057799E-6</v>
      </c>
      <c r="AD25" s="10">
        <v>7.67055844866251E-3</v>
      </c>
      <c r="AE25" s="4">
        <v>2.0162884873460098E-2</v>
      </c>
      <c r="AF25" s="4">
        <v>0.690086910385042</v>
      </c>
      <c r="AG25" s="4">
        <v>0.95683806995034504</v>
      </c>
      <c r="AH25" s="4">
        <v>0.99508459416657302</v>
      </c>
      <c r="AI25" s="4">
        <v>0.99965194208717501</v>
      </c>
      <c r="AJ25" s="4">
        <v>1</v>
      </c>
      <c r="AK25" s="4">
        <v>1</v>
      </c>
      <c r="AL25" s="4">
        <v>1</v>
      </c>
      <c r="AM25" s="4">
        <v>0</v>
      </c>
      <c r="AN25" s="4">
        <v>0</v>
      </c>
      <c r="AO25" s="4" t="s">
        <v>150</v>
      </c>
      <c r="AP25" s="4" t="s">
        <v>134</v>
      </c>
      <c r="AQ25" s="6">
        <v>6708255160.8999996</v>
      </c>
      <c r="AR25" s="4">
        <v>24444</v>
      </c>
      <c r="AS25" s="15">
        <v>100</v>
      </c>
      <c r="AT25" s="15">
        <v>0</v>
      </c>
      <c r="AU25" s="15">
        <v>100</v>
      </c>
      <c r="AV25" s="15">
        <v>0</v>
      </c>
      <c r="AW25" s="15">
        <v>0</v>
      </c>
      <c r="AX25" s="15">
        <v>0</v>
      </c>
      <c r="AY25">
        <v>251.84888604848501</v>
      </c>
    </row>
    <row r="26" spans="1:51" x14ac:dyDescent="0.25">
      <c r="A26">
        <v>97</v>
      </c>
      <c r="B26" s="4">
        <v>0.98783218368113601</v>
      </c>
      <c r="C26" s="4">
        <v>44.299555169325501</v>
      </c>
      <c r="D26" s="4">
        <v>13.6627807040192</v>
      </c>
      <c r="E26" s="4">
        <v>4.7595244374408499E-2</v>
      </c>
      <c r="F26" s="5">
        <v>1.21678163188639E-2</v>
      </c>
      <c r="G26" s="5">
        <v>0</v>
      </c>
      <c r="H26" s="4">
        <v>4.4947879092034304</v>
      </c>
      <c r="I26" s="4">
        <v>3.9091259633441702</v>
      </c>
      <c r="J26" s="4">
        <v>-21.567774190077301</v>
      </c>
      <c r="K26" s="4">
        <v>62.513804553855699</v>
      </c>
      <c r="L26" s="4">
        <v>14.863919093309001</v>
      </c>
      <c r="M26" s="4">
        <v>21.231172333010701</v>
      </c>
      <c r="N26" s="4">
        <v>68.379424617329306</v>
      </c>
      <c r="O26" s="4">
        <v>65.330988407090999</v>
      </c>
      <c r="P26" s="4">
        <v>289713.12767296302</v>
      </c>
      <c r="Q26" s="4">
        <v>268526.45729381999</v>
      </c>
      <c r="R26" s="4">
        <v>781.71931136278602</v>
      </c>
      <c r="S26" s="4">
        <v>0</v>
      </c>
      <c r="T26" s="4">
        <v>0</v>
      </c>
      <c r="U26" s="4">
        <v>0.21928328321579099</v>
      </c>
      <c r="V26" s="4">
        <v>0</v>
      </c>
      <c r="W26" s="4">
        <v>0</v>
      </c>
      <c r="X26" s="4">
        <v>0.75796337806982195</v>
      </c>
      <c r="Y26" s="4">
        <v>0</v>
      </c>
      <c r="Z26" s="5">
        <v>3.8825004524817102E-4</v>
      </c>
      <c r="AA26" s="5">
        <v>1.25396621491694E-4</v>
      </c>
      <c r="AB26" s="10">
        <v>3.4229111776584698E-3</v>
      </c>
      <c r="AC26" s="10">
        <v>5.4046722503852501E-6</v>
      </c>
      <c r="AD26" s="10">
        <v>8.2258395522719404E-3</v>
      </c>
      <c r="AE26" s="4">
        <v>9.6868107079643908E-3</v>
      </c>
      <c r="AF26" s="4">
        <v>0.74545886307776799</v>
      </c>
      <c r="AG26" s="4">
        <v>0.97252814311424696</v>
      </c>
      <c r="AH26" s="4">
        <v>0.99606247426868999</v>
      </c>
      <c r="AI26" s="4">
        <v>0.999473124081807</v>
      </c>
      <c r="AJ26" s="4">
        <v>1</v>
      </c>
      <c r="AK26" s="4">
        <v>1</v>
      </c>
      <c r="AL26" s="4">
        <v>1</v>
      </c>
      <c r="AM26" s="4">
        <v>0</v>
      </c>
      <c r="AN26" s="4">
        <v>0</v>
      </c>
      <c r="AO26" s="4" t="s">
        <v>151</v>
      </c>
      <c r="AP26" s="4" t="s">
        <v>135</v>
      </c>
      <c r="AQ26" s="6">
        <v>7117562277.0299997</v>
      </c>
      <c r="AR26" s="4">
        <v>26506</v>
      </c>
      <c r="AS26" s="15">
        <v>100</v>
      </c>
      <c r="AT26" s="15">
        <v>0</v>
      </c>
      <c r="AU26" s="15">
        <v>100</v>
      </c>
      <c r="AV26" s="15">
        <v>0</v>
      </c>
      <c r="AW26" s="15">
        <v>0</v>
      </c>
      <c r="AX26" s="15">
        <v>0</v>
      </c>
      <c r="AY26">
        <v>301.20668136172401</v>
      </c>
    </row>
    <row r="27" spans="1:51" x14ac:dyDescent="0.25">
      <c r="A27">
        <v>97</v>
      </c>
      <c r="B27" s="4">
        <v>0.98724693362134697</v>
      </c>
      <c r="C27" s="4">
        <v>44.268220211937503</v>
      </c>
      <c r="D27" s="4">
        <v>14.2745996600637</v>
      </c>
      <c r="E27" s="4">
        <v>4.7550606983575397E-2</v>
      </c>
      <c r="F27" s="5">
        <v>1.2753066378652599E-2</v>
      </c>
      <c r="G27" s="5">
        <v>0</v>
      </c>
      <c r="H27" s="4">
        <v>4.56859868030344</v>
      </c>
      <c r="I27" s="4">
        <v>3.93416679258514</v>
      </c>
      <c r="J27" s="4">
        <v>-21.267154471964499</v>
      </c>
      <c r="K27" s="4">
        <v>67.513142696603197</v>
      </c>
      <c r="L27" s="4">
        <v>15.0922513621843</v>
      </c>
      <c r="M27" s="4">
        <v>22.517169485279101</v>
      </c>
      <c r="N27" s="4">
        <v>68.186084600008996</v>
      </c>
      <c r="O27" s="4">
        <v>65.482197285042204</v>
      </c>
      <c r="P27" s="4">
        <v>285435.234119342</v>
      </c>
      <c r="Q27" s="4">
        <v>264444.87952336</v>
      </c>
      <c r="R27" s="4">
        <v>781.58285000034198</v>
      </c>
      <c r="S27" s="4">
        <v>0</v>
      </c>
      <c r="T27" s="4">
        <v>0</v>
      </c>
      <c r="U27" s="4">
        <v>0.215586172527306</v>
      </c>
      <c r="V27" s="4">
        <v>0</v>
      </c>
      <c r="W27" s="4">
        <v>0</v>
      </c>
      <c r="X27" s="4">
        <v>0.75174280167227503</v>
      </c>
      <c r="Y27" s="4">
        <v>0</v>
      </c>
      <c r="Z27" s="5">
        <v>3.9337327364846497E-4</v>
      </c>
      <c r="AA27" s="5">
        <v>1.4748012847275901E-4</v>
      </c>
      <c r="AB27" s="10">
        <v>3.4358886361942902E-3</v>
      </c>
      <c r="AC27" s="10">
        <v>5.1788835835542898E-6</v>
      </c>
      <c r="AD27" s="10">
        <v>8.7711309186780904E-3</v>
      </c>
      <c r="AE27" s="4">
        <v>1.03928494664642E-3</v>
      </c>
      <c r="AF27" s="4">
        <v>0.78829705021475904</v>
      </c>
      <c r="AG27" s="4">
        <v>0.97361265768093397</v>
      </c>
      <c r="AH27" s="4">
        <v>0.99640300514848701</v>
      </c>
      <c r="AI27" s="4">
        <v>0.999554260796087</v>
      </c>
      <c r="AJ27" s="4">
        <v>1</v>
      </c>
      <c r="AK27" s="4">
        <v>1</v>
      </c>
      <c r="AL27" s="4">
        <v>1</v>
      </c>
      <c r="AM27" s="4">
        <v>0</v>
      </c>
      <c r="AN27" s="4">
        <v>0</v>
      </c>
      <c r="AO27" s="4" t="s">
        <v>152</v>
      </c>
      <c r="AP27" s="4" t="s">
        <v>136</v>
      </c>
      <c r="AQ27" s="6">
        <v>7845021795.9399996</v>
      </c>
      <c r="AR27" s="4">
        <v>29666</v>
      </c>
      <c r="AS27" s="15">
        <v>100</v>
      </c>
      <c r="AT27" s="15">
        <v>0</v>
      </c>
      <c r="AU27" s="15">
        <v>100</v>
      </c>
      <c r="AV27" s="15">
        <v>0</v>
      </c>
      <c r="AW27" s="15">
        <v>0</v>
      </c>
      <c r="AX27" s="15">
        <v>0</v>
      </c>
      <c r="AY27">
        <v>362.52233720933998</v>
      </c>
    </row>
    <row r="28" spans="1:51" x14ac:dyDescent="0.25">
      <c r="A28">
        <v>97</v>
      </c>
      <c r="B28" s="4">
        <v>0.98641156370759897</v>
      </c>
      <c r="C28" s="4">
        <v>44.122989517181203</v>
      </c>
      <c r="D28" s="4">
        <v>15.141010039009</v>
      </c>
      <c r="E28" s="4">
        <v>4.7344022350641397E-2</v>
      </c>
      <c r="F28" s="5">
        <v>1.35884362924007E-2</v>
      </c>
      <c r="G28" s="5">
        <v>0</v>
      </c>
      <c r="H28" s="4">
        <v>4.6046667642435199</v>
      </c>
      <c r="I28" s="4">
        <v>3.9340653220859201</v>
      </c>
      <c r="J28" s="4">
        <v>-20.906663904556702</v>
      </c>
      <c r="K28" s="4">
        <v>72.527574907478098</v>
      </c>
      <c r="L28" s="4">
        <v>14.7461946490237</v>
      </c>
      <c r="M28" s="4">
        <v>23.391567335984998</v>
      </c>
      <c r="N28" s="4">
        <v>66.537019413116994</v>
      </c>
      <c r="O28" s="4">
        <v>63.911441007769398</v>
      </c>
      <c r="P28" s="4">
        <v>291010.982808867</v>
      </c>
      <c r="Q28" s="4">
        <v>270619.32247558999</v>
      </c>
      <c r="R28" s="4">
        <v>781.52015702356005</v>
      </c>
      <c r="S28" s="4">
        <v>0</v>
      </c>
      <c r="T28" s="4">
        <v>0</v>
      </c>
      <c r="U28" s="4">
        <v>0.21062541944996799</v>
      </c>
      <c r="V28" s="4">
        <v>0</v>
      </c>
      <c r="W28" s="4">
        <v>0</v>
      </c>
      <c r="X28" s="4">
        <v>0.76141242823095301</v>
      </c>
      <c r="Y28" s="4">
        <v>0</v>
      </c>
      <c r="Z28" s="5">
        <v>3.9520719794889698E-4</v>
      </c>
      <c r="AA28" s="5">
        <v>1.5913773884762799E-4</v>
      </c>
      <c r="AB28" s="10">
        <v>3.45672407320801E-3</v>
      </c>
      <c r="AC28" s="10">
        <v>5.4208702321699704E-6</v>
      </c>
      <c r="AD28" s="10">
        <v>9.57193180400287E-3</v>
      </c>
      <c r="AE28" s="4">
        <v>-4.8626721531374098E-4</v>
      </c>
      <c r="AF28" s="4">
        <v>0.78810389043576101</v>
      </c>
      <c r="AG28" s="4">
        <v>0.974855778298373</v>
      </c>
      <c r="AH28" s="4">
        <v>0.996431884314538</v>
      </c>
      <c r="AI28" s="4">
        <v>0.99962469657632502</v>
      </c>
      <c r="AJ28" s="4">
        <v>1</v>
      </c>
      <c r="AK28" s="4">
        <v>1</v>
      </c>
      <c r="AL28" s="4">
        <v>1</v>
      </c>
      <c r="AM28" s="4">
        <v>0</v>
      </c>
      <c r="AN28" s="4">
        <v>0</v>
      </c>
      <c r="AO28" s="4" t="s">
        <v>72</v>
      </c>
      <c r="AP28" s="4" t="s">
        <v>73</v>
      </c>
      <c r="AQ28" s="6">
        <v>8758323752.6000004</v>
      </c>
      <c r="AR28" s="4">
        <v>32364</v>
      </c>
      <c r="AS28" s="15">
        <v>100</v>
      </c>
      <c r="AT28" s="15">
        <v>0</v>
      </c>
      <c r="AU28" s="15">
        <v>100</v>
      </c>
      <c r="AV28" s="15">
        <v>0</v>
      </c>
      <c r="AW28" s="15">
        <v>0</v>
      </c>
      <c r="AX28" s="15">
        <v>0</v>
      </c>
      <c r="AY28" s="31">
        <v>426.39860663978402</v>
      </c>
    </row>
    <row r="29" spans="1:51" x14ac:dyDescent="0.25">
      <c r="A29">
        <v>97</v>
      </c>
      <c r="B29" s="4">
        <v>0.98412826183041502</v>
      </c>
      <c r="C29" s="4">
        <v>45.065241148083601</v>
      </c>
      <c r="D29" s="4">
        <v>17.468365398371098</v>
      </c>
      <c r="E29" s="4">
        <v>4.8693198363541398E-2</v>
      </c>
      <c r="F29" s="5">
        <v>1.5871738169584901E-2</v>
      </c>
      <c r="G29" s="5">
        <v>0</v>
      </c>
      <c r="H29" s="4">
        <v>4.71094166375401</v>
      </c>
      <c r="I29" s="4">
        <v>3.9034011534326201</v>
      </c>
      <c r="J29" s="4">
        <v>-17.915544650598399</v>
      </c>
      <c r="K29" s="4">
        <v>86.466533685279501</v>
      </c>
      <c r="L29" s="4">
        <v>14.6056691985598</v>
      </c>
      <c r="M29" s="4">
        <v>25.827459413267501</v>
      </c>
      <c r="N29" s="4">
        <v>65.8945020953648</v>
      </c>
      <c r="O29" s="4">
        <v>63.169475812944398</v>
      </c>
      <c r="P29" s="4">
        <v>294149.17898168199</v>
      </c>
      <c r="Q29" s="4">
        <v>273252.39688066702</v>
      </c>
      <c r="R29" s="4">
        <v>780.74371244152201</v>
      </c>
      <c r="S29" s="4">
        <v>0</v>
      </c>
      <c r="T29" s="4">
        <v>0</v>
      </c>
      <c r="U29" s="4">
        <v>0.21961753941133699</v>
      </c>
      <c r="V29" s="4">
        <v>0</v>
      </c>
      <c r="W29" s="4">
        <v>0</v>
      </c>
      <c r="X29" s="4">
        <v>0.75056619673840197</v>
      </c>
      <c r="Y29" s="4">
        <v>0</v>
      </c>
      <c r="Z29" s="5">
        <v>4.0179811126091598E-4</v>
      </c>
      <c r="AA29" s="5">
        <v>1.96053230754059E-4</v>
      </c>
      <c r="AB29" s="10">
        <v>3.6681764288640502E-3</v>
      </c>
      <c r="AC29" s="10">
        <v>6.9475058560543897E-6</v>
      </c>
      <c r="AD29" s="10">
        <v>1.15987479554737E-2</v>
      </c>
      <c r="AE29" s="4">
        <v>-2.5829861013182999E-3</v>
      </c>
      <c r="AF29" s="4">
        <v>0.78822299571237597</v>
      </c>
      <c r="AG29" s="4">
        <v>0.97795204613907405</v>
      </c>
      <c r="AH29" s="4">
        <v>0.99578131708054096</v>
      </c>
      <c r="AI29" s="4">
        <v>0.99945136549175795</v>
      </c>
      <c r="AJ29" s="4">
        <v>1</v>
      </c>
      <c r="AK29" s="4">
        <v>1</v>
      </c>
      <c r="AL29" s="4">
        <v>1</v>
      </c>
      <c r="AM29" s="4">
        <v>0</v>
      </c>
      <c r="AN29" s="4">
        <v>0</v>
      </c>
      <c r="AO29" s="4" t="s">
        <v>74</v>
      </c>
      <c r="AP29" s="4" t="s">
        <v>75</v>
      </c>
      <c r="AQ29" s="6">
        <v>37216703202.75</v>
      </c>
      <c r="AR29" s="4">
        <v>136199</v>
      </c>
      <c r="AS29" s="15">
        <v>100</v>
      </c>
      <c r="AT29" s="15">
        <v>0</v>
      </c>
      <c r="AU29" s="15">
        <v>100</v>
      </c>
      <c r="AV29" s="15">
        <v>0</v>
      </c>
      <c r="AW29" s="15">
        <v>0</v>
      </c>
      <c r="AX29" s="15">
        <v>0</v>
      </c>
      <c r="AY29" s="31">
        <v>606.40581442919699</v>
      </c>
    </row>
    <row r="30" spans="1:51" x14ac:dyDescent="0.25">
      <c r="A30">
        <v>97</v>
      </c>
      <c r="B30" s="4">
        <v>0.98018266025976997</v>
      </c>
      <c r="C30" s="4">
        <v>45.522351374592297</v>
      </c>
      <c r="D30" s="4">
        <v>21.352633433296901</v>
      </c>
      <c r="E30" s="4">
        <v>4.9355376820502603E-2</v>
      </c>
      <c r="F30" s="5">
        <v>1.9817339740229301E-2</v>
      </c>
      <c r="G30" s="5">
        <v>0</v>
      </c>
      <c r="H30" s="4">
        <v>4.8720919549833503</v>
      </c>
      <c r="I30" s="4">
        <v>3.8022380729037</v>
      </c>
      <c r="J30" s="4">
        <v>-12.895599740814101</v>
      </c>
      <c r="K30" s="4">
        <v>112.676758620974</v>
      </c>
      <c r="L30" s="4">
        <v>15.3240963555899</v>
      </c>
      <c r="M30" s="4">
        <v>30.2993258444952</v>
      </c>
      <c r="N30" s="4">
        <v>68.403759959136707</v>
      </c>
      <c r="O30" s="4">
        <v>64.9059037006122</v>
      </c>
      <c r="P30" s="4">
        <v>280779.533213188</v>
      </c>
      <c r="Q30" s="4">
        <v>260496.021804427</v>
      </c>
      <c r="R30" s="4">
        <v>779.68432482972196</v>
      </c>
      <c r="S30" s="4">
        <v>0</v>
      </c>
      <c r="T30" s="4">
        <v>0</v>
      </c>
      <c r="U30" s="4">
        <v>0.23737623906794</v>
      </c>
      <c r="V30" s="4">
        <v>0</v>
      </c>
      <c r="W30" s="4">
        <v>0</v>
      </c>
      <c r="X30" s="4">
        <v>0.71091831145712503</v>
      </c>
      <c r="Y30" s="4">
        <v>0</v>
      </c>
      <c r="Z30" s="5">
        <v>4.1755276480233801E-4</v>
      </c>
      <c r="AA30" s="5">
        <v>3.1098997866105699E-4</v>
      </c>
      <c r="AB30" s="10">
        <v>3.98700872860924E-3</v>
      </c>
      <c r="AC30" s="10">
        <v>9.9395339383528404E-6</v>
      </c>
      <c r="AD30" s="10">
        <v>1.50918335328091E-2</v>
      </c>
      <c r="AE30" s="4">
        <v>1.44960656411968E-3</v>
      </c>
      <c r="AF30" s="4">
        <v>0.79946552850530905</v>
      </c>
      <c r="AG30" s="4">
        <v>0.97595427339829599</v>
      </c>
      <c r="AH30" s="4">
        <v>0.99579621044983302</v>
      </c>
      <c r="AI30" s="4">
        <v>0.99925250107374697</v>
      </c>
      <c r="AJ30" s="4">
        <v>1</v>
      </c>
      <c r="AK30" s="4">
        <v>1</v>
      </c>
      <c r="AL30" s="4">
        <v>1</v>
      </c>
      <c r="AM30" s="4">
        <v>0</v>
      </c>
      <c r="AN30" s="4">
        <v>0</v>
      </c>
      <c r="AO30" s="4" t="s">
        <v>76</v>
      </c>
      <c r="AP30" s="4" t="s">
        <v>77</v>
      </c>
      <c r="AQ30" s="6">
        <v>29580365259.98</v>
      </c>
      <c r="AR30" s="4">
        <v>113554</v>
      </c>
      <c r="AS30" s="15">
        <v>100</v>
      </c>
      <c r="AT30" s="15">
        <v>0</v>
      </c>
      <c r="AU30" s="15">
        <v>100</v>
      </c>
      <c r="AV30" s="15">
        <v>0</v>
      </c>
      <c r="AW30" s="15">
        <v>0</v>
      </c>
      <c r="AX30" s="15">
        <v>0</v>
      </c>
      <c r="AY30" s="31">
        <v>993.44232604153797</v>
      </c>
    </row>
    <row r="31" spans="1:51" x14ac:dyDescent="0.25">
      <c r="A31">
        <v>97</v>
      </c>
      <c r="B31" s="4">
        <v>0.97630855157263097</v>
      </c>
      <c r="C31" s="4">
        <v>45.548164967478698</v>
      </c>
      <c r="D31" s="4">
        <v>25.0027877759345</v>
      </c>
      <c r="E31" s="4">
        <v>4.9392922622793697E-2</v>
      </c>
      <c r="F31" s="5">
        <v>2.36914484273682E-2</v>
      </c>
      <c r="G31" s="5">
        <v>0</v>
      </c>
      <c r="H31" s="4">
        <v>4.9637002022672201</v>
      </c>
      <c r="I31" s="4">
        <v>3.7060279584385301</v>
      </c>
      <c r="J31" s="4">
        <v>-8.4010928636593292</v>
      </c>
      <c r="K31" s="4">
        <v>135.26171660391</v>
      </c>
      <c r="L31" s="4">
        <v>14.9376094269623</v>
      </c>
      <c r="M31" s="4">
        <v>33.133495391254201</v>
      </c>
      <c r="N31" s="4">
        <v>68.793988324119397</v>
      </c>
      <c r="O31" s="4">
        <v>64.370130043413994</v>
      </c>
      <c r="P31" s="4">
        <v>286836.20377548703</v>
      </c>
      <c r="Q31" s="4">
        <v>267278.100435331</v>
      </c>
      <c r="R31" s="4">
        <v>779.04938485038804</v>
      </c>
      <c r="S31" s="4">
        <v>0</v>
      </c>
      <c r="T31" s="4">
        <v>0</v>
      </c>
      <c r="U31" s="4">
        <v>0.24575534530747101</v>
      </c>
      <c r="V31" s="4">
        <v>0</v>
      </c>
      <c r="W31" s="4">
        <v>0</v>
      </c>
      <c r="X31" s="4">
        <v>0.69339959233342996</v>
      </c>
      <c r="Y31" s="4">
        <v>0</v>
      </c>
      <c r="Z31" s="5">
        <v>4.22760899875093E-4</v>
      </c>
      <c r="AA31" s="5">
        <v>4.0091524830185402E-4</v>
      </c>
      <c r="AB31" s="10">
        <v>3.80312688826269E-3</v>
      </c>
      <c r="AC31" s="10">
        <v>1.6404948396485098E-5</v>
      </c>
      <c r="AD31" s="10">
        <v>1.9048225225921901E-2</v>
      </c>
      <c r="AE31" s="4">
        <v>1.34361079280138E-2</v>
      </c>
      <c r="AF31" s="4">
        <v>0.75615486250175101</v>
      </c>
      <c r="AG31" s="4">
        <v>0.971000724802769</v>
      </c>
      <c r="AH31" s="4">
        <v>0.99345206637357897</v>
      </c>
      <c r="AI31" s="4">
        <v>0.99921580034105595</v>
      </c>
      <c r="AJ31" s="4">
        <v>1</v>
      </c>
      <c r="AK31" s="4">
        <v>1</v>
      </c>
      <c r="AL31" s="4">
        <v>1</v>
      </c>
      <c r="AM31" s="4">
        <v>0</v>
      </c>
      <c r="AN31" s="4">
        <v>0</v>
      </c>
      <c r="AO31" s="4" t="s">
        <v>78</v>
      </c>
      <c r="AP31" s="4" t="s">
        <v>79</v>
      </c>
      <c r="AQ31" s="6">
        <v>19462656717.5</v>
      </c>
      <c r="AR31" s="4">
        <v>72818</v>
      </c>
      <c r="AS31" s="15">
        <v>100</v>
      </c>
      <c r="AT31" s="15">
        <v>0</v>
      </c>
      <c r="AU31" s="15">
        <v>100</v>
      </c>
      <c r="AV31" s="15">
        <v>0</v>
      </c>
      <c r="AW31" s="15">
        <v>0</v>
      </c>
      <c r="AX31" s="15">
        <v>0</v>
      </c>
      <c r="AY31">
        <v>1371.5826617846401</v>
      </c>
    </row>
    <row r="32" spans="1:51" x14ac:dyDescent="0.25">
      <c r="A32">
        <v>97</v>
      </c>
      <c r="B32" s="4">
        <v>0.97155764636326902</v>
      </c>
      <c r="C32" s="4">
        <v>43.283951282905001</v>
      </c>
      <c r="D32" s="4">
        <v>29.2668678918394</v>
      </c>
      <c r="E32" s="4">
        <v>4.6160074028822003E-2</v>
      </c>
      <c r="F32" s="5">
        <v>2.8442353636729999E-2</v>
      </c>
      <c r="G32" s="5">
        <v>0</v>
      </c>
      <c r="H32" s="4">
        <v>5.1675653399862798</v>
      </c>
      <c r="I32" s="4">
        <v>3.6726261058103402</v>
      </c>
      <c r="J32" s="4">
        <v>8.2667362503748691</v>
      </c>
      <c r="K32" s="4">
        <v>159.21447628151401</v>
      </c>
      <c r="L32" s="4">
        <v>15.3176561397184</v>
      </c>
      <c r="M32" s="4">
        <v>34.6533439038393</v>
      </c>
      <c r="N32" s="4">
        <v>78.015016028790697</v>
      </c>
      <c r="O32" s="4">
        <v>72.208354251101397</v>
      </c>
      <c r="P32" s="4">
        <v>279213.36966397002</v>
      </c>
      <c r="Q32" s="4">
        <v>260664.588750341</v>
      </c>
      <c r="R32" s="4">
        <v>777.22790952373498</v>
      </c>
      <c r="S32" s="4">
        <v>0</v>
      </c>
      <c r="T32" s="4">
        <v>0</v>
      </c>
      <c r="U32" s="4">
        <v>0.26481707933086901</v>
      </c>
      <c r="V32" s="4">
        <v>0</v>
      </c>
      <c r="W32" s="4">
        <v>0</v>
      </c>
      <c r="X32" s="4">
        <v>0.514744281873039</v>
      </c>
      <c r="Y32" s="4">
        <v>0</v>
      </c>
      <c r="Z32" s="5">
        <v>4.2416603118242802E-4</v>
      </c>
      <c r="AA32" s="5">
        <v>6.49150204716172E-4</v>
      </c>
      <c r="AB32" s="10">
        <v>3.83669265005668E-3</v>
      </c>
      <c r="AC32" s="10">
        <v>1.6931956285853101E-5</v>
      </c>
      <c r="AD32" s="10">
        <v>2.35153975315473E-2</v>
      </c>
      <c r="AE32" s="4">
        <v>2.45330208397232E-2</v>
      </c>
      <c r="AF32" s="4">
        <v>0.74756591139814599</v>
      </c>
      <c r="AG32" s="4">
        <v>0.97011516313711499</v>
      </c>
      <c r="AH32" s="4">
        <v>0.99291952554476004</v>
      </c>
      <c r="AI32" s="4">
        <v>0.99888263052478399</v>
      </c>
      <c r="AJ32" s="4">
        <v>1</v>
      </c>
      <c r="AK32" s="4">
        <v>1</v>
      </c>
      <c r="AL32" s="4">
        <v>1</v>
      </c>
      <c r="AM32" s="4">
        <v>0</v>
      </c>
      <c r="AN32" s="4">
        <v>0</v>
      </c>
      <c r="AO32" s="4" t="s">
        <v>80</v>
      </c>
      <c r="AP32" s="4" t="s">
        <v>81</v>
      </c>
      <c r="AQ32" s="6">
        <v>3817172237.6599998</v>
      </c>
      <c r="AR32" s="4">
        <v>14644</v>
      </c>
      <c r="AS32" s="15">
        <v>100</v>
      </c>
      <c r="AT32" s="15">
        <v>0</v>
      </c>
      <c r="AU32" s="15">
        <v>100</v>
      </c>
      <c r="AV32" s="15">
        <v>0</v>
      </c>
      <c r="AW32" s="15">
        <v>0</v>
      </c>
      <c r="AX32" s="15">
        <v>0</v>
      </c>
      <c r="AY32">
        <v>1551.8913076240499</v>
      </c>
    </row>
    <row r="33" spans="1:51" x14ac:dyDescent="0.25">
      <c r="A33">
        <v>97</v>
      </c>
      <c r="B33" s="4">
        <v>0.96406404056269701</v>
      </c>
      <c r="C33" s="4">
        <v>43.781170525524502</v>
      </c>
      <c r="D33" s="4">
        <v>35.5429228020895</v>
      </c>
      <c r="E33" s="4">
        <v>4.6859734861038102E-2</v>
      </c>
      <c r="F33" s="5">
        <v>3.5935959437302399E-2</v>
      </c>
      <c r="G33" s="5">
        <v>0</v>
      </c>
      <c r="H33" s="4">
        <v>5.2499824232844201</v>
      </c>
      <c r="I33" s="4">
        <v>3.64595808156486</v>
      </c>
      <c r="J33" s="4">
        <v>17.444702628484102</v>
      </c>
      <c r="K33" s="4">
        <v>181.59610793375799</v>
      </c>
      <c r="L33" s="4">
        <v>14.8604337432288</v>
      </c>
      <c r="M33" s="4">
        <v>34.973725802447099</v>
      </c>
      <c r="N33" s="4">
        <v>82.763741354670401</v>
      </c>
      <c r="O33" s="4">
        <v>74.726780084385496</v>
      </c>
      <c r="P33" s="4">
        <v>287481.97163218702</v>
      </c>
      <c r="Q33" s="4">
        <v>268681.62557639199</v>
      </c>
      <c r="R33" s="4">
        <v>777.08563682904798</v>
      </c>
      <c r="S33" s="4">
        <v>0</v>
      </c>
      <c r="T33" s="4">
        <v>0</v>
      </c>
      <c r="U33" s="4">
        <v>0.26557925364023699</v>
      </c>
      <c r="V33" s="4">
        <v>0</v>
      </c>
      <c r="W33" s="4">
        <v>0</v>
      </c>
      <c r="X33" s="4">
        <v>0.36856528640119401</v>
      </c>
      <c r="Y33" s="4">
        <v>0</v>
      </c>
      <c r="Z33" s="5">
        <v>4.3254617264847003E-4</v>
      </c>
      <c r="AA33" s="5">
        <v>8.0711194777977004E-4</v>
      </c>
      <c r="AB33" s="10">
        <v>3.7172619565654201E-3</v>
      </c>
      <c r="AC33" s="10">
        <v>7.3055524506783002E-5</v>
      </c>
      <c r="AD33" s="10">
        <v>3.0905968538418999E-2</v>
      </c>
      <c r="AE33" s="4">
        <v>4.7334585106384303E-2</v>
      </c>
      <c r="AF33" s="4">
        <v>0.65688511203575695</v>
      </c>
      <c r="AG33" s="4">
        <v>0.92608237889660106</v>
      </c>
      <c r="AH33" s="4">
        <v>0.96831060651491696</v>
      </c>
      <c r="AI33" s="4">
        <v>0.99847229712362195</v>
      </c>
      <c r="AJ33" s="4">
        <v>1</v>
      </c>
      <c r="AK33" s="4">
        <v>1</v>
      </c>
      <c r="AL33" s="4">
        <v>1</v>
      </c>
      <c r="AM33" s="4">
        <v>0</v>
      </c>
      <c r="AN33" s="4">
        <v>0</v>
      </c>
      <c r="AO33" s="4" t="s">
        <v>82</v>
      </c>
      <c r="AP33" s="4" t="s">
        <v>83</v>
      </c>
      <c r="AQ33" s="6">
        <v>487119787.17000002</v>
      </c>
      <c r="AR33" s="4">
        <v>1813</v>
      </c>
      <c r="AS33" s="15">
        <v>100</v>
      </c>
      <c r="AT33" s="15">
        <v>0</v>
      </c>
      <c r="AU33" s="15">
        <v>100</v>
      </c>
      <c r="AV33" s="15">
        <v>0</v>
      </c>
      <c r="AW33" s="15">
        <v>0</v>
      </c>
      <c r="AX33" s="15">
        <v>0</v>
      </c>
      <c r="AY33">
        <v>1702.1715379391501</v>
      </c>
    </row>
    <row r="34" spans="1:51" x14ac:dyDescent="0.25">
      <c r="A34">
        <v>97</v>
      </c>
      <c r="B34" s="4">
        <v>0.95644773377838599</v>
      </c>
      <c r="C34" s="4">
        <v>45.561831459272902</v>
      </c>
      <c r="D34" s="4">
        <v>41.3949676931136</v>
      </c>
      <c r="E34" s="4">
        <v>4.9412807104974997E-2</v>
      </c>
      <c r="F34" s="5">
        <v>4.3552266221612998E-2</v>
      </c>
      <c r="G34" s="5">
        <v>0</v>
      </c>
      <c r="H34" s="4">
        <v>5.1789522712798899</v>
      </c>
      <c r="I34" s="4">
        <v>3.6468912892119301</v>
      </c>
      <c r="J34" s="4">
        <v>14.3064337348336</v>
      </c>
      <c r="K34" s="4">
        <v>207.744873238998</v>
      </c>
      <c r="L34" s="4">
        <v>14.840363751509299</v>
      </c>
      <c r="M34" s="4">
        <v>26.2695716289868</v>
      </c>
      <c r="N34" s="4">
        <v>91.566058728266299</v>
      </c>
      <c r="O34" s="4">
        <v>75.637854048530897</v>
      </c>
      <c r="P34" s="4">
        <v>287006.46248254698</v>
      </c>
      <c r="Q34" s="4">
        <v>268955.64</v>
      </c>
      <c r="R34" s="4">
        <v>779.14197132514198</v>
      </c>
      <c r="S34" s="4">
        <v>0</v>
      </c>
      <c r="T34" s="4">
        <v>0</v>
      </c>
      <c r="U34" s="4">
        <v>0.22380487612123501</v>
      </c>
      <c r="V34" s="4">
        <v>0</v>
      </c>
      <c r="W34" s="4">
        <v>0</v>
      </c>
      <c r="X34" s="4">
        <v>0.24493039017941301</v>
      </c>
      <c r="Y34" s="4">
        <v>0</v>
      </c>
      <c r="Z34" s="5">
        <v>4.7911781549654501E-4</v>
      </c>
      <c r="AA34" s="5">
        <v>7.1110226540214202E-4</v>
      </c>
      <c r="AB34" s="10">
        <v>4.2725465412449398E-3</v>
      </c>
      <c r="AC34" s="10">
        <v>5.1572348811730205E-4</v>
      </c>
      <c r="AD34" s="10">
        <v>3.7573758854306701E-2</v>
      </c>
      <c r="AE34" s="4">
        <v>0.12713491322170101</v>
      </c>
      <c r="AF34" s="4">
        <v>0.25988853031674602</v>
      </c>
      <c r="AG34" s="4">
        <v>0.55131650820816502</v>
      </c>
      <c r="AH34" s="4">
        <v>0.68317242604365103</v>
      </c>
      <c r="AI34" s="4">
        <v>1</v>
      </c>
      <c r="AJ34" s="4">
        <v>1</v>
      </c>
      <c r="AK34" s="4">
        <v>1</v>
      </c>
      <c r="AL34" s="4">
        <v>1</v>
      </c>
      <c r="AM34" s="4">
        <v>0</v>
      </c>
      <c r="AN34" s="4">
        <v>0</v>
      </c>
      <c r="AO34" s="4" t="s">
        <v>84</v>
      </c>
      <c r="AP34" s="4" t="s">
        <v>85</v>
      </c>
      <c r="AQ34" s="6">
        <v>17482116.600000001</v>
      </c>
      <c r="AR34" s="4">
        <v>65</v>
      </c>
      <c r="AS34" s="15">
        <v>100</v>
      </c>
      <c r="AT34" s="15">
        <v>0</v>
      </c>
      <c r="AU34" s="15">
        <v>100</v>
      </c>
      <c r="AV34" s="15">
        <v>0</v>
      </c>
      <c r="AW34" s="15">
        <v>0</v>
      </c>
      <c r="AX34" s="15">
        <v>0</v>
      </c>
      <c r="AY34">
        <v>1725.9623393224899</v>
      </c>
    </row>
    <row r="35" spans="1:51" x14ac:dyDescent="0.25">
      <c r="A35">
        <v>97</v>
      </c>
      <c r="B35" s="4">
        <v>0.96164980176466297</v>
      </c>
      <c r="C35" s="4">
        <v>94.551143370960006</v>
      </c>
      <c r="D35" s="4">
        <v>37.453450362008702</v>
      </c>
      <c r="E35" s="4">
        <v>0.215320846192427</v>
      </c>
      <c r="F35" s="5">
        <v>3.8350198235336599E-2</v>
      </c>
      <c r="G35" s="5">
        <v>0</v>
      </c>
      <c r="H35" s="4">
        <v>5.2857905072799696</v>
      </c>
      <c r="I35" s="4">
        <v>3.6177346358610398</v>
      </c>
      <c r="J35" s="4">
        <v>16.4447984178727</v>
      </c>
      <c r="K35" s="4">
        <v>234.63504479658101</v>
      </c>
      <c r="L35" s="4">
        <v>19.649873271077102</v>
      </c>
      <c r="M35" s="4">
        <v>33.8525980993291</v>
      </c>
      <c r="N35" s="4">
        <v>95.971563104319998</v>
      </c>
      <c r="O35" s="4">
        <v>73.944313897209696</v>
      </c>
      <c r="P35" s="4">
        <v>229530.48535731499</v>
      </c>
      <c r="Q35" s="4">
        <v>202900.68857142801</v>
      </c>
      <c r="R35" s="4">
        <v>794.97459586879302</v>
      </c>
      <c r="S35" s="4">
        <v>0</v>
      </c>
      <c r="T35" s="4">
        <v>0</v>
      </c>
      <c r="U35" s="4">
        <v>0.44507647309117698</v>
      </c>
      <c r="V35" s="4">
        <v>0</v>
      </c>
      <c r="W35" s="4">
        <v>0</v>
      </c>
      <c r="X35" s="4">
        <v>0.121445388040012</v>
      </c>
      <c r="Y35" s="4">
        <v>0</v>
      </c>
      <c r="Z35" s="5">
        <v>8.5375934433039498E-4</v>
      </c>
      <c r="AA35" s="5">
        <v>5.4584288642278895E-4</v>
      </c>
      <c r="AB35" s="10">
        <v>4.6657239470372898E-3</v>
      </c>
      <c r="AC35" s="10">
        <v>2.7921772609234598E-4</v>
      </c>
      <c r="AD35" s="10">
        <v>3.2005636759847599E-2</v>
      </c>
      <c r="AE35" s="4">
        <v>3.3251355809611097E-2</v>
      </c>
      <c r="AF35" s="4">
        <v>0.75443241824666896</v>
      </c>
      <c r="AG35" s="4">
        <v>0.75443241824666896</v>
      </c>
      <c r="AH35" s="4">
        <v>0.75443241824666896</v>
      </c>
      <c r="AI35" s="4">
        <v>1</v>
      </c>
      <c r="AJ35" s="4">
        <v>1</v>
      </c>
      <c r="AK35" s="4">
        <v>1</v>
      </c>
      <c r="AL35" s="4">
        <v>1</v>
      </c>
      <c r="AM35" s="4">
        <v>0</v>
      </c>
      <c r="AN35" s="4">
        <v>0</v>
      </c>
      <c r="AO35" s="4" t="s">
        <v>86</v>
      </c>
      <c r="AP35" s="4" t="s">
        <v>87</v>
      </c>
      <c r="AQ35" s="6">
        <v>1420304.82</v>
      </c>
      <c r="AR35" s="4">
        <v>7</v>
      </c>
      <c r="AS35" s="15">
        <v>100</v>
      </c>
      <c r="AT35" s="15">
        <v>0</v>
      </c>
      <c r="AU35" s="15">
        <v>100</v>
      </c>
      <c r="AV35" s="15">
        <v>0</v>
      </c>
      <c r="AW35" s="15">
        <v>0</v>
      </c>
      <c r="AX35" s="15">
        <v>0</v>
      </c>
      <c r="AY35">
        <v>1358.2889029299999</v>
      </c>
    </row>
    <row r="36" spans="1:51" x14ac:dyDescent="0.25">
      <c r="B36" s="4"/>
      <c r="C36" s="4"/>
      <c r="D36" s="4"/>
      <c r="E36" s="4"/>
      <c r="F36" s="5"/>
      <c r="G36" s="5"/>
      <c r="H36" s="4"/>
      <c r="I36" s="4"/>
      <c r="J36" s="4"/>
      <c r="K36" s="4"/>
      <c r="L36" s="4"/>
      <c r="M36" s="4"/>
      <c r="N36" s="4"/>
      <c r="O36" s="4"/>
      <c r="P36" s="4"/>
      <c r="Q36" s="4"/>
      <c r="R36" s="4"/>
      <c r="S36" s="4"/>
      <c r="T36" s="4"/>
      <c r="U36" s="4"/>
      <c r="V36" s="4"/>
      <c r="W36" s="4"/>
      <c r="X36" s="4"/>
      <c r="Y36" s="4"/>
      <c r="Z36" s="5"/>
      <c r="AA36" s="5"/>
      <c r="AB36" s="10"/>
      <c r="AC36" s="10"/>
      <c r="AD36" s="10"/>
      <c r="AE36" s="4"/>
      <c r="AF36" s="4"/>
      <c r="AG36" s="4"/>
      <c r="AH36" s="4"/>
      <c r="AI36" s="4"/>
      <c r="AJ36" s="4"/>
      <c r="AK36" s="4"/>
      <c r="AL36" s="4"/>
      <c r="AM36" s="4"/>
      <c r="AN36" s="4"/>
      <c r="AO36" s="4"/>
      <c r="AP36" s="4"/>
      <c r="AQ36" s="6"/>
      <c r="AR36" s="4"/>
      <c r="AS36" s="15"/>
      <c r="AT36" s="15"/>
      <c r="AU36" s="15"/>
      <c r="AV36" s="15"/>
      <c r="AW36" s="15"/>
      <c r="AX36" s="15"/>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0.99868457147581402</v>
      </c>
      <c r="C42" s="4">
        <v>1.1185068427010899E-5</v>
      </c>
      <c r="D42" s="4">
        <v>1.56714383199245</v>
      </c>
      <c r="E42" s="4">
        <v>9.3208909753931101E-9</v>
      </c>
      <c r="F42" s="5">
        <v>1.31542852418556E-3</v>
      </c>
      <c r="G42" s="5">
        <v>0</v>
      </c>
      <c r="H42" s="4">
        <v>3.25</v>
      </c>
      <c r="I42" s="4">
        <v>3.7017957802936499</v>
      </c>
      <c r="J42" s="4">
        <v>-54.032510650697901</v>
      </c>
      <c r="K42" s="4">
        <v>-155.24970909704001</v>
      </c>
      <c r="L42" s="4">
        <v>11.159843820827099</v>
      </c>
      <c r="M42" s="4">
        <v>3.99219104135604</v>
      </c>
      <c r="N42" s="4">
        <v>80</v>
      </c>
      <c r="O42" s="4">
        <v>78.5141670769722</v>
      </c>
      <c r="P42" s="4">
        <v>357624.27305952401</v>
      </c>
      <c r="Q42" s="4">
        <v>357619.6</v>
      </c>
      <c r="R42" s="4">
        <v>779</v>
      </c>
      <c r="S42" s="4">
        <v>0</v>
      </c>
      <c r="T42" s="4">
        <v>0</v>
      </c>
      <c r="U42" s="4">
        <v>0</v>
      </c>
      <c r="V42" s="4">
        <v>0</v>
      </c>
      <c r="W42" s="4">
        <v>0</v>
      </c>
      <c r="X42" s="4">
        <v>0</v>
      </c>
      <c r="Y42" s="4">
        <v>0</v>
      </c>
      <c r="Z42" s="5">
        <v>1.8591134859964701E-4</v>
      </c>
      <c r="AA42" s="5">
        <v>5.2859059174422501E-6</v>
      </c>
      <c r="AB42" s="10">
        <v>1.1242245862647499E-3</v>
      </c>
      <c r="AC42" s="10">
        <v>0</v>
      </c>
      <c r="AD42" s="10">
        <v>0</v>
      </c>
      <c r="AE42" s="4">
        <v>1.2368024043088E-2</v>
      </c>
      <c r="AF42" s="4">
        <v>1</v>
      </c>
      <c r="AG42" s="4">
        <v>1</v>
      </c>
      <c r="AH42" s="4">
        <v>1</v>
      </c>
      <c r="AI42" s="4">
        <v>1</v>
      </c>
      <c r="AJ42" s="4">
        <v>1</v>
      </c>
      <c r="AK42" s="4">
        <v>1</v>
      </c>
      <c r="AL42" s="4">
        <v>1</v>
      </c>
      <c r="AM42" s="4">
        <v>0</v>
      </c>
      <c r="AN42" s="4">
        <v>0</v>
      </c>
      <c r="AO42" s="4" t="s">
        <v>172</v>
      </c>
      <c r="AP42" s="4">
        <f>-175--150</f>
        <v>-25</v>
      </c>
      <c r="AQ42" s="6">
        <v>1072858.8</v>
      </c>
      <c r="AR42" s="4">
        <v>3</v>
      </c>
      <c r="AS42" s="15">
        <v>100</v>
      </c>
      <c r="AT42" s="15">
        <v>0</v>
      </c>
      <c r="AU42" s="15">
        <v>100</v>
      </c>
      <c r="AV42" s="15">
        <v>0</v>
      </c>
      <c r="AW42" s="15">
        <v>0</v>
      </c>
      <c r="AX42" s="15">
        <v>0</v>
      </c>
      <c r="AY42" s="31">
        <v>0</v>
      </c>
    </row>
    <row r="43" spans="1:51" x14ac:dyDescent="0.25">
      <c r="A43">
        <v>96</v>
      </c>
      <c r="B43" s="4">
        <v>0.998403776609606</v>
      </c>
      <c r="C43" s="4">
        <v>1.72556880451146E-5</v>
      </c>
      <c r="D43" s="4">
        <v>1.89874089120931</v>
      </c>
      <c r="E43" s="4">
        <v>1.4379741360219901E-8</v>
      </c>
      <c r="F43" s="5">
        <v>1.59622339039317E-3</v>
      </c>
      <c r="G43" s="5">
        <v>0</v>
      </c>
      <c r="H43" s="4">
        <v>3.3074779152874898</v>
      </c>
      <c r="I43" s="4">
        <v>3.6737538033975699</v>
      </c>
      <c r="J43" s="4">
        <v>-44.029759552041199</v>
      </c>
      <c r="K43" s="4">
        <v>-139.56698353388001</v>
      </c>
      <c r="L43" s="4">
        <v>11.4788679327084</v>
      </c>
      <c r="M43" s="4">
        <v>4.5393153383762703</v>
      </c>
      <c r="N43" s="4">
        <v>79.770088338850002</v>
      </c>
      <c r="O43" s="4">
        <v>77.762779958054097</v>
      </c>
      <c r="P43" s="4">
        <v>348460.265062019</v>
      </c>
      <c r="Q43" s="4">
        <v>347711.39750000002</v>
      </c>
      <c r="R43" s="4">
        <v>770.953091859751</v>
      </c>
      <c r="S43" s="4">
        <v>0</v>
      </c>
      <c r="T43" s="4">
        <v>0</v>
      </c>
      <c r="U43" s="4">
        <v>0</v>
      </c>
      <c r="V43" s="4">
        <v>0</v>
      </c>
      <c r="W43" s="4">
        <v>0</v>
      </c>
      <c r="X43" s="4">
        <v>0</v>
      </c>
      <c r="Y43" s="4">
        <v>0</v>
      </c>
      <c r="Z43" s="5">
        <v>2.4735788104493999E-4</v>
      </c>
      <c r="AA43" s="5">
        <v>6.4347683834551303E-6</v>
      </c>
      <c r="AB43" s="10">
        <v>1.2996482476736999E-3</v>
      </c>
      <c r="AC43" s="10">
        <v>0</v>
      </c>
      <c r="AD43" s="10">
        <v>4.27750645569505E-5</v>
      </c>
      <c r="AE43" s="4">
        <v>1.83568964509713E-2</v>
      </c>
      <c r="AF43" s="4">
        <v>1</v>
      </c>
      <c r="AG43" s="4">
        <v>1</v>
      </c>
      <c r="AH43" s="4">
        <v>1</v>
      </c>
      <c r="AI43" s="4">
        <v>1</v>
      </c>
      <c r="AJ43" s="4">
        <v>1</v>
      </c>
      <c r="AK43" s="4">
        <v>1</v>
      </c>
      <c r="AL43" s="4">
        <v>1</v>
      </c>
      <c r="AM43" s="4">
        <v>0</v>
      </c>
      <c r="AN43" s="4">
        <v>0</v>
      </c>
      <c r="AO43" s="4" t="s">
        <v>62</v>
      </c>
      <c r="AP43" s="4">
        <f>-150--125</f>
        <v>-25</v>
      </c>
      <c r="AQ43" s="6">
        <v>1390845.59</v>
      </c>
      <c r="AR43" s="4">
        <v>4</v>
      </c>
      <c r="AS43" s="15">
        <v>100</v>
      </c>
      <c r="AT43" s="15">
        <v>0</v>
      </c>
      <c r="AU43" s="15">
        <v>100</v>
      </c>
      <c r="AV43" s="15">
        <v>0</v>
      </c>
      <c r="AW43" s="15">
        <v>0</v>
      </c>
      <c r="AX43" s="15">
        <v>0</v>
      </c>
      <c r="AY43" s="31">
        <v>0</v>
      </c>
    </row>
    <row r="44" spans="1:51" x14ac:dyDescent="0.25">
      <c r="A44">
        <v>96</v>
      </c>
      <c r="B44" s="4">
        <v>0.99766245158620204</v>
      </c>
      <c r="C44" s="4">
        <v>0</v>
      </c>
      <c r="D44" s="4">
        <v>2.7692743479258</v>
      </c>
      <c r="E44" s="4">
        <v>0</v>
      </c>
      <c r="F44" s="5">
        <v>2.3375484137977899E-3</v>
      </c>
      <c r="G44" s="5">
        <v>0</v>
      </c>
      <c r="H44" s="4">
        <v>3.7817852356313102</v>
      </c>
      <c r="I44" s="4">
        <v>3.9660960123053499</v>
      </c>
      <c r="J44" s="4">
        <v>-34.660108882129897</v>
      </c>
      <c r="K44" s="4">
        <v>-104.159965912967</v>
      </c>
      <c r="L44" s="4">
        <v>18.902137717191302</v>
      </c>
      <c r="M44" s="4">
        <v>2.3692014778169099</v>
      </c>
      <c r="N44" s="4">
        <v>78.970644025207903</v>
      </c>
      <c r="O44" s="4">
        <v>77.485536275417005</v>
      </c>
      <c r="P44" s="4">
        <v>213229.92155003001</v>
      </c>
      <c r="Q44" s="4">
        <v>211249.44333333301</v>
      </c>
      <c r="R44" s="4">
        <v>782.08015240055897</v>
      </c>
      <c r="S44" s="4">
        <v>0</v>
      </c>
      <c r="T44" s="4">
        <v>0</v>
      </c>
      <c r="U44" s="4">
        <v>0.290953019158251</v>
      </c>
      <c r="V44" s="4">
        <v>0</v>
      </c>
      <c r="W44" s="4">
        <v>0</v>
      </c>
      <c r="X44" s="4">
        <v>0.66015449697516304</v>
      </c>
      <c r="Y44" s="4">
        <v>0</v>
      </c>
      <c r="Z44" s="5">
        <v>9.4554692535757801E-5</v>
      </c>
      <c r="AA44" s="5">
        <v>4.60174026210057E-6</v>
      </c>
      <c r="AB44" s="10">
        <v>1.5572297466639399E-3</v>
      </c>
      <c r="AC44" s="10">
        <v>0</v>
      </c>
      <c r="AD44" s="10">
        <v>6.8114854232120803E-4</v>
      </c>
      <c r="AE44" s="4">
        <v>1.55515631575585E-2</v>
      </c>
      <c r="AF44" s="4">
        <v>1</v>
      </c>
      <c r="AG44" s="4">
        <v>1</v>
      </c>
      <c r="AH44" s="4">
        <v>1</v>
      </c>
      <c r="AI44" s="4">
        <v>1</v>
      </c>
      <c r="AJ44" s="4">
        <v>1</v>
      </c>
      <c r="AK44" s="4">
        <v>1</v>
      </c>
      <c r="AL44" s="4">
        <v>1</v>
      </c>
      <c r="AM44" s="4">
        <v>0</v>
      </c>
      <c r="AN44" s="4">
        <v>0</v>
      </c>
      <c r="AO44" s="4" t="s">
        <v>63</v>
      </c>
      <c r="AP44" s="4">
        <f>-125--100</f>
        <v>-25</v>
      </c>
      <c r="AQ44" s="6">
        <v>633748.32999999996</v>
      </c>
      <c r="AR44" s="4">
        <v>3</v>
      </c>
      <c r="AS44" s="15">
        <v>100</v>
      </c>
      <c r="AT44" s="15">
        <v>0</v>
      </c>
      <c r="AU44" s="15">
        <v>100</v>
      </c>
      <c r="AV44" s="15">
        <v>0</v>
      </c>
      <c r="AW44" s="15">
        <v>0</v>
      </c>
      <c r="AX44" s="15">
        <v>0</v>
      </c>
      <c r="AY44" s="31">
        <v>0</v>
      </c>
    </row>
    <row r="45" spans="1:51" x14ac:dyDescent="0.25">
      <c r="A45">
        <v>96</v>
      </c>
      <c r="B45" s="4">
        <v>0.99593406015994101</v>
      </c>
      <c r="C45" s="4">
        <v>3.0233047380239899</v>
      </c>
      <c r="D45" s="4">
        <v>4.7714828330836001</v>
      </c>
      <c r="E45" s="4">
        <v>2.5550213110128099E-3</v>
      </c>
      <c r="F45" s="5">
        <v>4.0659398400583399E-3</v>
      </c>
      <c r="G45" s="5">
        <v>0</v>
      </c>
      <c r="H45" s="4">
        <v>3.5354588307665602</v>
      </c>
      <c r="I45" s="4">
        <v>3.9031614387086</v>
      </c>
      <c r="J45" s="4">
        <v>-43.060392365888902</v>
      </c>
      <c r="K45" s="4">
        <v>-81.600523239363596</v>
      </c>
      <c r="L45" s="4">
        <v>15.660474617869999</v>
      </c>
      <c r="M45" s="4">
        <v>3.20518993650367</v>
      </c>
      <c r="N45" s="4">
        <v>77.964129619086407</v>
      </c>
      <c r="O45" s="4">
        <v>75.6918427876561</v>
      </c>
      <c r="P45" s="4">
        <v>279352.33304926998</v>
      </c>
      <c r="Q45" s="4">
        <v>238900.58779660999</v>
      </c>
      <c r="R45" s="4">
        <v>777.24213263849401</v>
      </c>
      <c r="S45" s="4">
        <v>0</v>
      </c>
      <c r="T45" s="4">
        <v>0</v>
      </c>
      <c r="U45" s="4">
        <v>0.47467268826408898</v>
      </c>
      <c r="V45" s="4">
        <v>0</v>
      </c>
      <c r="W45" s="4">
        <v>0</v>
      </c>
      <c r="X45" s="4">
        <v>0.36895661929212498</v>
      </c>
      <c r="Y45" s="4">
        <v>0</v>
      </c>
      <c r="Z45" s="5">
        <v>2.13327435872957E-4</v>
      </c>
      <c r="AA45" s="5">
        <v>1.5826766867984201E-5</v>
      </c>
      <c r="AB45" s="10">
        <v>1.4558150978739E-3</v>
      </c>
      <c r="AC45" s="10">
        <v>0</v>
      </c>
      <c r="AD45" s="10">
        <v>2.38095932101157E-3</v>
      </c>
      <c r="AE45" s="4">
        <v>2.1182109500943701E-2</v>
      </c>
      <c r="AF45" s="4">
        <v>0.946694678904621</v>
      </c>
      <c r="AG45" s="4">
        <v>1</v>
      </c>
      <c r="AH45" s="4">
        <v>1</v>
      </c>
      <c r="AI45" s="4">
        <v>1</v>
      </c>
      <c r="AJ45" s="4">
        <v>1</v>
      </c>
      <c r="AK45" s="4">
        <v>1</v>
      </c>
      <c r="AL45" s="4">
        <v>1</v>
      </c>
      <c r="AM45" s="4">
        <v>0</v>
      </c>
      <c r="AN45" s="4">
        <v>0</v>
      </c>
      <c r="AO45" s="4" t="s">
        <v>64</v>
      </c>
      <c r="AP45" s="4">
        <f>-100--75</f>
        <v>-25</v>
      </c>
      <c r="AQ45" s="6">
        <v>14095134.68</v>
      </c>
      <c r="AR45" s="4">
        <v>59</v>
      </c>
      <c r="AS45" s="15">
        <v>100</v>
      </c>
      <c r="AT45" s="15">
        <v>0</v>
      </c>
      <c r="AU45" s="15">
        <v>100</v>
      </c>
      <c r="AV45" s="15">
        <v>0</v>
      </c>
      <c r="AW45" s="15">
        <v>0</v>
      </c>
      <c r="AX45" s="15">
        <v>0</v>
      </c>
      <c r="AY45">
        <v>3.9004678669732201E-3</v>
      </c>
    </row>
    <row r="46" spans="1:51" x14ac:dyDescent="0.25">
      <c r="A46">
        <v>96</v>
      </c>
      <c r="B46" s="4">
        <v>0.99834817594827296</v>
      </c>
      <c r="C46" s="4">
        <v>0.52014808704502402</v>
      </c>
      <c r="D46" s="4">
        <v>1.96427939958644</v>
      </c>
      <c r="E46" s="4">
        <v>4.3449355242759698E-4</v>
      </c>
      <c r="F46" s="5">
        <v>1.65182405172691E-3</v>
      </c>
      <c r="G46" s="5">
        <v>0</v>
      </c>
      <c r="H46" s="4">
        <v>3.57736800473872</v>
      </c>
      <c r="I46" s="4">
        <v>3.9937379569081299</v>
      </c>
      <c r="J46" s="4">
        <v>-44.644759716959697</v>
      </c>
      <c r="K46" s="4">
        <v>-56.217107580504702</v>
      </c>
      <c r="L46" s="4">
        <v>15.1842187948395</v>
      </c>
      <c r="M46" s="4">
        <v>3.2835460282278399</v>
      </c>
      <c r="N46" s="4">
        <v>77.576221426654996</v>
      </c>
      <c r="O46" s="4">
        <v>76.0195656240913</v>
      </c>
      <c r="P46" s="4">
        <v>285206.60508236999</v>
      </c>
      <c r="Q46" s="4">
        <v>259464.14016074</v>
      </c>
      <c r="R46" s="4">
        <v>780.33512333126498</v>
      </c>
      <c r="S46" s="4">
        <v>0</v>
      </c>
      <c r="T46" s="4">
        <v>0</v>
      </c>
      <c r="U46" s="4">
        <v>0.57710964756971295</v>
      </c>
      <c r="V46" s="4">
        <v>0</v>
      </c>
      <c r="W46" s="4">
        <v>0</v>
      </c>
      <c r="X46" s="4">
        <v>0.55846904258823704</v>
      </c>
      <c r="Y46" s="4">
        <v>0</v>
      </c>
      <c r="Z46" s="5">
        <v>1.6823862108232001E-4</v>
      </c>
      <c r="AA46" s="5">
        <v>1.2715080344797001E-5</v>
      </c>
      <c r="AB46" s="10">
        <v>1.20810350981369E-3</v>
      </c>
      <c r="AC46" s="10">
        <v>1.2187994864846399E-9</v>
      </c>
      <c r="AD46" s="10">
        <v>2.6275572546257899E-4</v>
      </c>
      <c r="AE46" s="4">
        <v>1.3852591260767801E-2</v>
      </c>
      <c r="AF46" s="4">
        <v>0.96630976210623398</v>
      </c>
      <c r="AG46" s="4">
        <v>0.999884115559181</v>
      </c>
      <c r="AH46" s="4">
        <v>1</v>
      </c>
      <c r="AI46" s="4">
        <v>1</v>
      </c>
      <c r="AJ46" s="4">
        <v>1</v>
      </c>
      <c r="AK46" s="4">
        <v>1</v>
      </c>
      <c r="AL46" s="4">
        <v>1</v>
      </c>
      <c r="AM46" s="4">
        <v>0</v>
      </c>
      <c r="AN46" s="4">
        <v>0</v>
      </c>
      <c r="AO46" s="4" t="s">
        <v>65</v>
      </c>
      <c r="AP46" s="4">
        <f>-75--50</f>
        <v>-25</v>
      </c>
      <c r="AQ46" s="6">
        <v>532679879.75</v>
      </c>
      <c r="AR46" s="4">
        <v>2053</v>
      </c>
      <c r="AS46" s="15">
        <v>100</v>
      </c>
      <c r="AT46" s="15">
        <v>0</v>
      </c>
      <c r="AU46" s="15">
        <v>100</v>
      </c>
      <c r="AV46" s="15">
        <v>0</v>
      </c>
      <c r="AW46" s="15">
        <v>0</v>
      </c>
      <c r="AX46" s="15">
        <v>0</v>
      </c>
      <c r="AY46">
        <v>3.04929730721634E-2</v>
      </c>
    </row>
    <row r="47" spans="1:51" x14ac:dyDescent="0.25">
      <c r="A47">
        <v>96</v>
      </c>
      <c r="B47" s="4">
        <v>0.99672027832637899</v>
      </c>
      <c r="C47" s="4">
        <v>1.82206709817919</v>
      </c>
      <c r="D47" s="4">
        <v>3.8654430493831602</v>
      </c>
      <c r="E47" s="4">
        <v>1.5312191315169301E-3</v>
      </c>
      <c r="F47" s="5">
        <v>3.2797216736202201E-3</v>
      </c>
      <c r="G47" s="5">
        <v>0</v>
      </c>
      <c r="H47" s="4">
        <v>3.6631886281466799</v>
      </c>
      <c r="I47" s="4">
        <v>3.9864762226078398</v>
      </c>
      <c r="J47" s="4">
        <v>-37.750051692867402</v>
      </c>
      <c r="K47" s="4">
        <v>-32.867869283327401</v>
      </c>
      <c r="L47" s="4">
        <v>14.077283642283</v>
      </c>
      <c r="M47" s="4">
        <v>3.6185652578185099</v>
      </c>
      <c r="N47" s="4">
        <v>72.229087114517398</v>
      </c>
      <c r="O47" s="4">
        <v>70.3001940031765</v>
      </c>
      <c r="P47" s="4">
        <v>303211.33122547797</v>
      </c>
      <c r="Q47" s="4">
        <v>283375.76292227901</v>
      </c>
      <c r="R47" s="4">
        <v>783.43487301104699</v>
      </c>
      <c r="S47" s="4">
        <v>0</v>
      </c>
      <c r="T47" s="4">
        <v>0</v>
      </c>
      <c r="U47" s="4">
        <v>0.58058339348591803</v>
      </c>
      <c r="V47" s="4">
        <v>0</v>
      </c>
      <c r="W47" s="4">
        <v>0</v>
      </c>
      <c r="X47" s="4">
        <v>0.77826090380727897</v>
      </c>
      <c r="Y47" s="4">
        <v>0</v>
      </c>
      <c r="Z47" s="5">
        <v>1.8047642501457201E-4</v>
      </c>
      <c r="AA47" s="5">
        <v>1.29964123866829E-5</v>
      </c>
      <c r="AB47" s="10">
        <v>1.5037752171356E-3</v>
      </c>
      <c r="AC47" s="10">
        <v>5.6977269923309399E-10</v>
      </c>
      <c r="AD47" s="10">
        <v>1.5824587822066299E-3</v>
      </c>
      <c r="AE47" s="4">
        <v>2.1633709293113802E-2</v>
      </c>
      <c r="AF47" s="4">
        <v>0.903221977496662</v>
      </c>
      <c r="AG47" s="4">
        <v>0.99992108257583301</v>
      </c>
      <c r="AH47" s="4">
        <v>1</v>
      </c>
      <c r="AI47" s="4">
        <v>1</v>
      </c>
      <c r="AJ47" s="4">
        <v>1</v>
      </c>
      <c r="AK47" s="4">
        <v>1</v>
      </c>
      <c r="AL47" s="4">
        <v>1</v>
      </c>
      <c r="AM47" s="4">
        <v>0</v>
      </c>
      <c r="AN47" s="4">
        <v>0</v>
      </c>
      <c r="AO47" s="4" t="s">
        <v>66</v>
      </c>
      <c r="AP47" s="4">
        <f>-50--25</f>
        <v>-25</v>
      </c>
      <c r="AQ47" s="6">
        <v>8688584266.9599991</v>
      </c>
      <c r="AR47" s="4">
        <v>30661</v>
      </c>
      <c r="AS47" s="15">
        <v>100</v>
      </c>
      <c r="AT47" s="15">
        <v>0</v>
      </c>
      <c r="AU47" s="15">
        <v>100</v>
      </c>
      <c r="AV47" s="15">
        <v>0</v>
      </c>
      <c r="AW47" s="15">
        <v>0</v>
      </c>
      <c r="AX47" s="15">
        <v>0</v>
      </c>
      <c r="AY47">
        <v>1.03795697221284E-2</v>
      </c>
    </row>
    <row r="48" spans="1:51" x14ac:dyDescent="0.25">
      <c r="A48">
        <v>96</v>
      </c>
      <c r="B48" s="4">
        <v>0.99458935629001699</v>
      </c>
      <c r="C48" s="4">
        <v>2.38193630443017</v>
      </c>
      <c r="D48" s="4">
        <v>6.3029996954797101</v>
      </c>
      <c r="E48" s="4">
        <v>2.0069526091401899E-3</v>
      </c>
      <c r="F48" s="5">
        <v>5.41064370998285E-3</v>
      </c>
      <c r="G48" s="5">
        <v>0</v>
      </c>
      <c r="H48" s="4">
        <v>3.7010834020157701</v>
      </c>
      <c r="I48" s="4">
        <v>3.97880777036971</v>
      </c>
      <c r="J48" s="4">
        <v>-35.667902158398398</v>
      </c>
      <c r="K48" s="4">
        <v>-22.330318538920999</v>
      </c>
      <c r="L48" s="4">
        <v>13.5352124370085</v>
      </c>
      <c r="M48" s="4">
        <v>3.9527581516553401</v>
      </c>
      <c r="N48" s="4">
        <v>67.190608206018197</v>
      </c>
      <c r="O48" s="4">
        <v>65.064402428342106</v>
      </c>
      <c r="P48" s="4">
        <v>314116.06919528102</v>
      </c>
      <c r="Q48" s="4">
        <v>294863.97466309799</v>
      </c>
      <c r="R48" s="4">
        <v>784.62327806556902</v>
      </c>
      <c r="S48" s="4">
        <v>0</v>
      </c>
      <c r="T48" s="4">
        <v>0</v>
      </c>
      <c r="U48" s="4">
        <v>0.58995520916383903</v>
      </c>
      <c r="V48" s="4">
        <v>0</v>
      </c>
      <c r="W48" s="4">
        <v>0</v>
      </c>
      <c r="X48" s="4">
        <v>0.86258673652870299</v>
      </c>
      <c r="Y48" s="4">
        <v>0</v>
      </c>
      <c r="Z48" s="5">
        <v>2.0371915070974901E-4</v>
      </c>
      <c r="AA48" s="5">
        <v>1.3683034174414E-5</v>
      </c>
      <c r="AB48" s="10">
        <v>1.7096195032642899E-3</v>
      </c>
      <c r="AC48" s="10">
        <v>0</v>
      </c>
      <c r="AD48" s="10">
        <v>3.4836077636818102E-3</v>
      </c>
      <c r="AE48" s="4">
        <v>2.5866954957982701E-2</v>
      </c>
      <c r="AF48" s="4">
        <v>0.84102186320679995</v>
      </c>
      <c r="AG48" s="4">
        <v>0.99998926621554896</v>
      </c>
      <c r="AH48" s="4">
        <v>1</v>
      </c>
      <c r="AI48" s="4">
        <v>1</v>
      </c>
      <c r="AJ48" s="4">
        <v>1</v>
      </c>
      <c r="AK48" s="4">
        <v>1</v>
      </c>
      <c r="AL48" s="4">
        <v>1</v>
      </c>
      <c r="AM48" s="4">
        <v>0</v>
      </c>
      <c r="AN48" s="4">
        <v>0</v>
      </c>
      <c r="AO48" s="4" t="s">
        <v>137</v>
      </c>
      <c r="AP48" s="4">
        <f>-25--20</f>
        <v>-5</v>
      </c>
      <c r="AQ48" s="6">
        <v>5343230084.8699999</v>
      </c>
      <c r="AR48" s="4">
        <v>18121</v>
      </c>
      <c r="AS48" s="15">
        <v>100</v>
      </c>
      <c r="AT48" s="15">
        <v>0</v>
      </c>
      <c r="AU48" s="15">
        <v>100</v>
      </c>
      <c r="AV48" s="15">
        <v>0</v>
      </c>
      <c r="AW48" s="15">
        <v>0</v>
      </c>
      <c r="AX48" s="15">
        <v>0</v>
      </c>
      <c r="AY48">
        <v>1.9779622188414701E-2</v>
      </c>
    </row>
    <row r="49" spans="1:51" x14ac:dyDescent="0.25">
      <c r="A49">
        <v>96</v>
      </c>
      <c r="B49" s="4">
        <v>0.99329652989264405</v>
      </c>
      <c r="C49" s="4">
        <v>3.4009596760890299</v>
      </c>
      <c r="D49" s="4">
        <v>7.7541113342850601</v>
      </c>
      <c r="E49" s="4">
        <v>2.8792951352651602E-3</v>
      </c>
      <c r="F49" s="5">
        <v>6.70347010735529E-3</v>
      </c>
      <c r="G49" s="5">
        <v>0</v>
      </c>
      <c r="H49" s="4">
        <v>3.7184789198287098</v>
      </c>
      <c r="I49" s="4">
        <v>3.9576808045237799</v>
      </c>
      <c r="J49" s="4">
        <v>-34.300537124810297</v>
      </c>
      <c r="K49" s="4">
        <v>-17.3751745624803</v>
      </c>
      <c r="L49" s="4">
        <v>13.2743349338157</v>
      </c>
      <c r="M49" s="4">
        <v>4.2613445190980901</v>
      </c>
      <c r="N49" s="4">
        <v>66.202898495542101</v>
      </c>
      <c r="O49" s="4">
        <v>64.083802349956002</v>
      </c>
      <c r="P49" s="4">
        <v>319034.301251792</v>
      </c>
      <c r="Q49" s="4">
        <v>300594.75178205699</v>
      </c>
      <c r="R49" s="4">
        <v>785.07432752209502</v>
      </c>
      <c r="S49" s="4">
        <v>0</v>
      </c>
      <c r="T49" s="4">
        <v>0</v>
      </c>
      <c r="U49" s="4">
        <v>0.55132735463669802</v>
      </c>
      <c r="V49" s="4">
        <v>0</v>
      </c>
      <c r="W49" s="4">
        <v>0</v>
      </c>
      <c r="X49" s="4">
        <v>0.87541000728777596</v>
      </c>
      <c r="Y49" s="4">
        <v>0</v>
      </c>
      <c r="Z49" s="5">
        <v>2.1768138565077101E-4</v>
      </c>
      <c r="AA49" s="5">
        <v>1.45565845310662E-5</v>
      </c>
      <c r="AB49" s="10">
        <v>1.7927966221596601E-3</v>
      </c>
      <c r="AC49" s="10">
        <v>1.6639204296726499E-9</v>
      </c>
      <c r="AD49" s="10">
        <v>4.6784193648661499E-3</v>
      </c>
      <c r="AE49" s="4">
        <v>2.6326432226484599E-2</v>
      </c>
      <c r="AF49" s="4">
        <v>0.81925979994008602</v>
      </c>
      <c r="AG49" s="4">
        <v>0.99982488116103796</v>
      </c>
      <c r="AH49" s="4">
        <v>1</v>
      </c>
      <c r="AI49" s="4">
        <v>1</v>
      </c>
      <c r="AJ49" s="4">
        <v>1</v>
      </c>
      <c r="AK49" s="4">
        <v>1</v>
      </c>
      <c r="AL49" s="4">
        <v>1</v>
      </c>
      <c r="AM49" s="4">
        <v>0</v>
      </c>
      <c r="AN49" s="4">
        <v>0</v>
      </c>
      <c r="AO49" s="4" t="s">
        <v>138</v>
      </c>
      <c r="AP49" s="4">
        <f>-20--15</f>
        <v>-5</v>
      </c>
      <c r="AQ49" s="6">
        <v>6898950148.1499996</v>
      </c>
      <c r="AR49" s="4">
        <v>22951</v>
      </c>
      <c r="AS49" s="15">
        <v>100</v>
      </c>
      <c r="AT49" s="15">
        <v>0</v>
      </c>
      <c r="AU49" s="15">
        <v>100</v>
      </c>
      <c r="AV49" s="15">
        <v>0</v>
      </c>
      <c r="AW49" s="15">
        <v>0</v>
      </c>
      <c r="AX49" s="15">
        <v>0</v>
      </c>
      <c r="AY49">
        <v>3.2324026688408398E-2</v>
      </c>
    </row>
    <row r="50" spans="1:51" x14ac:dyDescent="0.25">
      <c r="A50">
        <v>96</v>
      </c>
      <c r="B50" s="4">
        <v>0.99187650870542099</v>
      </c>
      <c r="C50" s="4">
        <v>5.4802464539529803</v>
      </c>
      <c r="D50" s="4">
        <v>9.3242291543590703</v>
      </c>
      <c r="E50" s="4">
        <v>4.6857658091720902E-3</v>
      </c>
      <c r="F50" s="5">
        <v>8.1234912945784606E-3</v>
      </c>
      <c r="G50" s="5">
        <v>0</v>
      </c>
      <c r="H50" s="4">
        <v>3.73166753035742</v>
      </c>
      <c r="I50" s="4">
        <v>3.9356319257668999</v>
      </c>
      <c r="J50" s="4">
        <v>-33.270064316674599</v>
      </c>
      <c r="K50" s="4">
        <v>-12.419138582913201</v>
      </c>
      <c r="L50" s="4">
        <v>13.016106709118</v>
      </c>
      <c r="M50" s="4">
        <v>4.6477758187275997</v>
      </c>
      <c r="N50" s="4">
        <v>63.651774802343802</v>
      </c>
      <c r="O50" s="4">
        <v>61.442137153373203</v>
      </c>
      <c r="P50" s="4">
        <v>324536.198985186</v>
      </c>
      <c r="Q50" s="4">
        <v>306453.82875467901</v>
      </c>
      <c r="R50" s="4">
        <v>785.14406621572505</v>
      </c>
      <c r="S50" s="4">
        <v>0</v>
      </c>
      <c r="T50" s="4">
        <v>0</v>
      </c>
      <c r="U50" s="4">
        <v>0.54226809174721702</v>
      </c>
      <c r="V50" s="4">
        <v>0</v>
      </c>
      <c r="W50" s="4">
        <v>0</v>
      </c>
      <c r="X50" s="4">
        <v>0.88497556580787196</v>
      </c>
      <c r="Y50" s="4">
        <v>0</v>
      </c>
      <c r="Z50" s="5">
        <v>2.3355035442231201E-4</v>
      </c>
      <c r="AA50" s="5">
        <v>1.5728211781012299E-5</v>
      </c>
      <c r="AB50" s="10">
        <v>1.9212923612580001E-3</v>
      </c>
      <c r="AC50" s="10">
        <v>3.8327651686897703E-9</v>
      </c>
      <c r="AD50" s="10">
        <v>5.9529020273611797E-3</v>
      </c>
      <c r="AE50" s="4">
        <v>2.7804051472105198E-2</v>
      </c>
      <c r="AF50" s="4">
        <v>0.78677412976435601</v>
      </c>
      <c r="AG50" s="4">
        <v>0.99976096988038099</v>
      </c>
      <c r="AH50" s="4">
        <v>0.99999114832092895</v>
      </c>
      <c r="AI50" s="4">
        <v>1</v>
      </c>
      <c r="AJ50" s="4">
        <v>1</v>
      </c>
      <c r="AK50" s="4">
        <v>1</v>
      </c>
      <c r="AL50" s="4">
        <v>1</v>
      </c>
      <c r="AM50" s="4">
        <v>0</v>
      </c>
      <c r="AN50" s="4">
        <v>0</v>
      </c>
      <c r="AO50" s="4" t="s">
        <v>139</v>
      </c>
      <c r="AP50" s="4">
        <f>-15--10</f>
        <v>-5</v>
      </c>
      <c r="AQ50" s="6">
        <v>8103558593.7600002</v>
      </c>
      <c r="AR50" s="4">
        <v>26443</v>
      </c>
      <c r="AS50" s="15">
        <v>100</v>
      </c>
      <c r="AT50" s="15">
        <v>0</v>
      </c>
      <c r="AU50" s="15">
        <v>100</v>
      </c>
      <c r="AV50" s="15">
        <v>0</v>
      </c>
      <c r="AW50" s="15">
        <v>0</v>
      </c>
      <c r="AX50" s="15">
        <v>0</v>
      </c>
      <c r="AY50">
        <v>0.20954650712369299</v>
      </c>
    </row>
    <row r="51" spans="1:51" x14ac:dyDescent="0.25">
      <c r="A51">
        <v>96</v>
      </c>
      <c r="B51" s="4">
        <v>0.990516601687078</v>
      </c>
      <c r="C51" s="4">
        <v>9.8109721822039795</v>
      </c>
      <c r="D51" s="4">
        <v>10.804877181408401</v>
      </c>
      <c r="E51" s="4">
        <v>8.5682819950246708E-3</v>
      </c>
      <c r="F51" s="5">
        <v>9.4833983129213699E-3</v>
      </c>
      <c r="G51" s="5">
        <v>0</v>
      </c>
      <c r="H51" s="4">
        <v>3.7438452074232802</v>
      </c>
      <c r="I51" s="4">
        <v>3.8965884172184402</v>
      </c>
      <c r="J51" s="4">
        <v>-31.387056278398202</v>
      </c>
      <c r="K51" s="4">
        <v>-7.5929594463766197</v>
      </c>
      <c r="L51" s="4">
        <v>12.965151026567501</v>
      </c>
      <c r="M51" s="4">
        <v>5.0700170202425996</v>
      </c>
      <c r="N51" s="4">
        <v>64.638263036072203</v>
      </c>
      <c r="O51" s="4">
        <v>62.257054815769997</v>
      </c>
      <c r="P51" s="4">
        <v>326622.15323876502</v>
      </c>
      <c r="Q51" s="4">
        <v>307542.66563739697</v>
      </c>
      <c r="R51" s="4">
        <v>784.85177829799795</v>
      </c>
      <c r="S51" s="4">
        <v>0</v>
      </c>
      <c r="T51" s="4">
        <v>0</v>
      </c>
      <c r="U51" s="4">
        <v>0.51218500118186305</v>
      </c>
      <c r="V51" s="4">
        <v>0</v>
      </c>
      <c r="W51" s="4">
        <v>0</v>
      </c>
      <c r="X51" s="4">
        <v>0.88306503649448598</v>
      </c>
      <c r="Y51" s="4">
        <v>0</v>
      </c>
      <c r="Z51" s="5">
        <v>2.4627521170452903E-4</v>
      </c>
      <c r="AA51" s="5">
        <v>1.6964418002918902E-5</v>
      </c>
      <c r="AB51" s="10">
        <v>2.0194129682928399E-3</v>
      </c>
      <c r="AC51" s="10">
        <v>8.4613880865909292E-9</v>
      </c>
      <c r="AD51" s="10">
        <v>7.2007228167769999E-3</v>
      </c>
      <c r="AE51" s="4">
        <v>2.9446642283671502E-2</v>
      </c>
      <c r="AF51" s="4">
        <v>0.74383400372969899</v>
      </c>
      <c r="AG51" s="4">
        <v>0.99893761097491995</v>
      </c>
      <c r="AH51" s="4">
        <v>0.99997740834876403</v>
      </c>
      <c r="AI51" s="4">
        <v>1</v>
      </c>
      <c r="AJ51" s="4">
        <v>1</v>
      </c>
      <c r="AK51" s="4">
        <v>1</v>
      </c>
      <c r="AL51" s="4">
        <v>1</v>
      </c>
      <c r="AM51" s="4">
        <v>0</v>
      </c>
      <c r="AN51" s="4">
        <v>0</v>
      </c>
      <c r="AO51" s="4" t="s">
        <v>140</v>
      </c>
      <c r="AP51" s="4">
        <f>-10--5</f>
        <v>-5</v>
      </c>
      <c r="AQ51" s="6">
        <v>8325487501.4700003</v>
      </c>
      <c r="AR51" s="4">
        <v>27071</v>
      </c>
      <c r="AS51" s="15">
        <v>100</v>
      </c>
      <c r="AT51" s="15">
        <v>0</v>
      </c>
      <c r="AU51" s="15">
        <v>100</v>
      </c>
      <c r="AV51" s="15">
        <v>0</v>
      </c>
      <c r="AW51" s="15">
        <v>0</v>
      </c>
      <c r="AX51" s="15">
        <v>0</v>
      </c>
      <c r="AY51">
        <v>1.3000848580039199</v>
      </c>
    </row>
    <row r="52" spans="1:51" x14ac:dyDescent="0.25">
      <c r="A52">
        <v>96</v>
      </c>
      <c r="B52" s="4">
        <v>0.98851022732770399</v>
      </c>
      <c r="C52" s="4">
        <v>13.5590905629488</v>
      </c>
      <c r="D52" s="4">
        <v>12.9489520512063</v>
      </c>
      <c r="E52" s="4">
        <v>1.20690059791986E-2</v>
      </c>
      <c r="F52" s="5">
        <v>1.14897726722951E-2</v>
      </c>
      <c r="G52" s="5">
        <v>0</v>
      </c>
      <c r="H52" s="4">
        <v>3.7623412675880399</v>
      </c>
      <c r="I52" s="4">
        <v>3.8723282716338199</v>
      </c>
      <c r="J52" s="4">
        <v>-30.447962425847798</v>
      </c>
      <c r="K52" s="4">
        <v>-2.3979690429827101</v>
      </c>
      <c r="L52" s="4">
        <v>12.8704165096275</v>
      </c>
      <c r="M52" s="4">
        <v>5.71385114846895</v>
      </c>
      <c r="N52" s="4">
        <v>62.921880800352398</v>
      </c>
      <c r="O52" s="4">
        <v>60.432265982807301</v>
      </c>
      <c r="P52" s="4">
        <v>328496.01652043901</v>
      </c>
      <c r="Q52" s="4">
        <v>309738.57976658002</v>
      </c>
      <c r="R52" s="4">
        <v>784.53770565786999</v>
      </c>
      <c r="S52" s="4">
        <v>0</v>
      </c>
      <c r="T52" s="4">
        <v>0</v>
      </c>
      <c r="U52" s="4">
        <v>0.49007350344781903</v>
      </c>
      <c r="V52" s="4">
        <v>0</v>
      </c>
      <c r="W52" s="4">
        <v>0</v>
      </c>
      <c r="X52" s="4">
        <v>0.88030676994967605</v>
      </c>
      <c r="Y52" s="4">
        <v>0</v>
      </c>
      <c r="Z52" s="5">
        <v>2.6639484373663398E-4</v>
      </c>
      <c r="AA52" s="5">
        <v>1.85481614104827E-5</v>
      </c>
      <c r="AB52" s="10">
        <v>2.22293422652461E-3</v>
      </c>
      <c r="AC52" s="10">
        <v>1.6758389222367601E-8</v>
      </c>
      <c r="AD52" s="10">
        <v>8.98186450073395E-3</v>
      </c>
      <c r="AE52" s="4">
        <v>3.2579944673558001E-2</v>
      </c>
      <c r="AF52" s="4">
        <v>0.68374284621242598</v>
      </c>
      <c r="AG52" s="4">
        <v>0.99858181990238404</v>
      </c>
      <c r="AH52" s="4">
        <v>0.99996121321897602</v>
      </c>
      <c r="AI52" s="4">
        <v>1</v>
      </c>
      <c r="AJ52" s="4">
        <v>1</v>
      </c>
      <c r="AK52" s="4">
        <v>1</v>
      </c>
      <c r="AL52" s="4">
        <v>1</v>
      </c>
      <c r="AM52" s="4">
        <v>0</v>
      </c>
      <c r="AN52" s="4">
        <v>0</v>
      </c>
      <c r="AO52" s="4" t="s">
        <v>67</v>
      </c>
      <c r="AP52" s="4">
        <f>-25-0</f>
        <v>-25</v>
      </c>
      <c r="AQ52" s="6">
        <v>9036623064.6900005</v>
      </c>
      <c r="AR52" s="4">
        <v>29175</v>
      </c>
      <c r="AS52" s="15">
        <v>100</v>
      </c>
      <c r="AT52" s="15">
        <v>0</v>
      </c>
      <c r="AU52" s="15">
        <v>100</v>
      </c>
      <c r="AV52" s="15">
        <v>0</v>
      </c>
      <c r="AW52" s="15">
        <v>0</v>
      </c>
      <c r="AX52" s="15">
        <v>0</v>
      </c>
      <c r="AY52">
        <v>3.0451798560291299</v>
      </c>
    </row>
    <row r="53" spans="1:51" x14ac:dyDescent="0.25">
      <c r="A53">
        <v>96</v>
      </c>
      <c r="B53" s="4">
        <v>0.98692530507693899</v>
      </c>
      <c r="C53" s="4">
        <v>19.4430148662669</v>
      </c>
      <c r="D53" s="4">
        <v>14.6091346398527</v>
      </c>
      <c r="E53" s="4">
        <v>1.78557757221115E-2</v>
      </c>
      <c r="F53" s="5">
        <v>1.307469492306E-2</v>
      </c>
      <c r="G53" s="5">
        <v>0</v>
      </c>
      <c r="H53" s="4">
        <v>3.82326965656127</v>
      </c>
      <c r="I53" s="4">
        <v>3.8666485463280802</v>
      </c>
      <c r="J53" s="4">
        <v>-28.430549139471701</v>
      </c>
      <c r="K53" s="4">
        <v>2.6004574228175699</v>
      </c>
      <c r="L53" s="4">
        <v>13.230027836734999</v>
      </c>
      <c r="M53" s="4">
        <v>6.3925949772247703</v>
      </c>
      <c r="N53" s="4">
        <v>66.7320457890482</v>
      </c>
      <c r="O53" s="4">
        <v>63.993314521877501</v>
      </c>
      <c r="P53" s="4">
        <v>320342.54383679002</v>
      </c>
      <c r="Q53" s="4">
        <v>301629.26673422498</v>
      </c>
      <c r="R53" s="4">
        <v>784.30399406872095</v>
      </c>
      <c r="S53" s="4">
        <v>0</v>
      </c>
      <c r="T53" s="4">
        <v>0</v>
      </c>
      <c r="U53" s="4">
        <v>0.44368438159998103</v>
      </c>
      <c r="V53" s="4">
        <v>0</v>
      </c>
      <c r="W53" s="4">
        <v>0</v>
      </c>
      <c r="X53" s="4">
        <v>0.86581298961866604</v>
      </c>
      <c r="Y53" s="4">
        <v>0</v>
      </c>
      <c r="Z53" s="5">
        <v>2.81073610099845E-4</v>
      </c>
      <c r="AA53" s="5">
        <v>2.1996502393345699E-5</v>
      </c>
      <c r="AB53" s="10">
        <v>2.3332506909376802E-3</v>
      </c>
      <c r="AC53" s="10">
        <v>4.0040633050244201E-8</v>
      </c>
      <c r="AD53" s="10">
        <v>1.04383200443073E-2</v>
      </c>
      <c r="AE53" s="4">
        <v>3.1260111067935303E-2</v>
      </c>
      <c r="AF53" s="4">
        <v>0.699479808920068</v>
      </c>
      <c r="AG53" s="4">
        <v>0.996721504652055</v>
      </c>
      <c r="AH53" s="4">
        <v>0.99988434338769405</v>
      </c>
      <c r="AI53" s="4">
        <v>1</v>
      </c>
      <c r="AJ53" s="4">
        <v>1</v>
      </c>
      <c r="AK53" s="4">
        <v>1</v>
      </c>
      <c r="AL53" s="4">
        <v>1</v>
      </c>
      <c r="AM53" s="4">
        <v>0</v>
      </c>
      <c r="AN53" s="4">
        <v>0</v>
      </c>
      <c r="AO53" s="4" t="s">
        <v>141</v>
      </c>
      <c r="AP53" s="4" t="s">
        <v>127</v>
      </c>
      <c r="AQ53" s="6">
        <v>8408519068.75</v>
      </c>
      <c r="AR53" s="4">
        <v>27877</v>
      </c>
      <c r="AS53" s="15">
        <v>100</v>
      </c>
      <c r="AT53" s="15">
        <v>0</v>
      </c>
      <c r="AU53" s="15">
        <v>100</v>
      </c>
      <c r="AV53" s="15">
        <v>0</v>
      </c>
      <c r="AW53" s="15">
        <v>0</v>
      </c>
      <c r="AX53" s="15">
        <v>0</v>
      </c>
      <c r="AY53">
        <v>4.5430613797259296</v>
      </c>
    </row>
    <row r="54" spans="1:51" x14ac:dyDescent="0.25">
      <c r="A54">
        <v>96</v>
      </c>
      <c r="B54" s="4">
        <v>0.98492625023801095</v>
      </c>
      <c r="C54" s="4">
        <v>24.5283028415252</v>
      </c>
      <c r="D54" s="4">
        <v>16.661716921480501</v>
      </c>
      <c r="E54" s="4">
        <v>2.3178200662614799E-2</v>
      </c>
      <c r="F54" s="5">
        <v>1.50737497619884E-2</v>
      </c>
      <c r="G54" s="5">
        <v>0</v>
      </c>
      <c r="H54" s="4">
        <v>3.83780975433501</v>
      </c>
      <c r="I54" s="4">
        <v>3.8415998627050398</v>
      </c>
      <c r="J54" s="4">
        <v>-28.458723637430801</v>
      </c>
      <c r="K54" s="4">
        <v>7.5251221594519997</v>
      </c>
      <c r="L54" s="4">
        <v>13.2821565019517</v>
      </c>
      <c r="M54" s="4">
        <v>7.1801998178736302</v>
      </c>
      <c r="N54" s="4">
        <v>64.986463751757398</v>
      </c>
      <c r="O54" s="4">
        <v>62.158540596271102</v>
      </c>
      <c r="P54" s="4">
        <v>319330.73087206599</v>
      </c>
      <c r="Q54" s="4">
        <v>300383.524770408</v>
      </c>
      <c r="R54" s="4">
        <v>784.41698423467699</v>
      </c>
      <c r="S54" s="4">
        <v>0</v>
      </c>
      <c r="T54" s="4">
        <v>0</v>
      </c>
      <c r="U54" s="4">
        <v>0.45522548833406901</v>
      </c>
      <c r="V54" s="4">
        <v>0</v>
      </c>
      <c r="W54" s="4">
        <v>0</v>
      </c>
      <c r="X54" s="4">
        <v>0.86303883655328895</v>
      </c>
      <c r="Y54" s="4">
        <v>0</v>
      </c>
      <c r="Z54" s="5">
        <v>2.9804059522288298E-4</v>
      </c>
      <c r="AA54" s="5">
        <v>2.5442295392676799E-5</v>
      </c>
      <c r="AB54" s="10">
        <v>2.5018941070387999E-3</v>
      </c>
      <c r="AC54" s="10">
        <v>2.3653332066841399E-7</v>
      </c>
      <c r="AD54" s="10">
        <v>1.2248122448829399E-2</v>
      </c>
      <c r="AE54" s="4">
        <v>3.3843171654539997E-2</v>
      </c>
      <c r="AF54" s="4">
        <v>0.653660137772618</v>
      </c>
      <c r="AG54" s="4">
        <v>0.99363841722579105</v>
      </c>
      <c r="AH54" s="4">
        <v>0.99940966766084804</v>
      </c>
      <c r="AI54" s="4">
        <v>0.99995784513643904</v>
      </c>
      <c r="AJ54" s="4">
        <v>1</v>
      </c>
      <c r="AK54" s="4">
        <v>1</v>
      </c>
      <c r="AL54" s="4">
        <v>1</v>
      </c>
      <c r="AM54" s="4">
        <v>0</v>
      </c>
      <c r="AN54" s="4">
        <v>0</v>
      </c>
      <c r="AO54" s="4" t="s">
        <v>142</v>
      </c>
      <c r="AP54" s="4">
        <v>43230</v>
      </c>
      <c r="AQ54" s="6">
        <v>8595774944.8299999</v>
      </c>
      <c r="AR54" s="4">
        <v>28616</v>
      </c>
      <c r="AS54" s="15">
        <v>100</v>
      </c>
      <c r="AT54" s="15">
        <v>0</v>
      </c>
      <c r="AU54" s="15">
        <v>100</v>
      </c>
      <c r="AV54" s="15">
        <v>0</v>
      </c>
      <c r="AW54" s="15">
        <v>0</v>
      </c>
      <c r="AX54" s="15">
        <v>0</v>
      </c>
      <c r="AY54">
        <v>9.4504738530665602</v>
      </c>
    </row>
    <row r="55" spans="1:51" x14ac:dyDescent="0.25">
      <c r="A55">
        <v>96</v>
      </c>
      <c r="B55" s="4">
        <v>0.98247382584093002</v>
      </c>
      <c r="C55" s="4">
        <v>31.326511682829899</v>
      </c>
      <c r="D55" s="4">
        <v>19.1180022581479</v>
      </c>
      <c r="E55" s="4">
        <v>3.0831941551417299E-2</v>
      </c>
      <c r="F55" s="5">
        <v>1.75261741590697E-2</v>
      </c>
      <c r="G55" s="5">
        <v>0</v>
      </c>
      <c r="H55" s="4">
        <v>3.8961119011963299</v>
      </c>
      <c r="I55" s="4">
        <v>3.8450788831108</v>
      </c>
      <c r="J55" s="4">
        <v>-28.0099611766592</v>
      </c>
      <c r="K55" s="4">
        <v>12.4470564709284</v>
      </c>
      <c r="L55" s="4">
        <v>13.463066009016</v>
      </c>
      <c r="M55" s="4">
        <v>8.1136249212488494</v>
      </c>
      <c r="N55" s="4">
        <v>65.377799893359594</v>
      </c>
      <c r="O55" s="4">
        <v>62.250055616354203</v>
      </c>
      <c r="P55" s="4">
        <v>316772.00350733299</v>
      </c>
      <c r="Q55" s="4">
        <v>296470.16030085698</v>
      </c>
      <c r="R55" s="4">
        <v>784.11303738360095</v>
      </c>
      <c r="S55" s="4">
        <v>0</v>
      </c>
      <c r="T55" s="4">
        <v>0</v>
      </c>
      <c r="U55" s="4">
        <v>0.43330575390425502</v>
      </c>
      <c r="V55" s="4">
        <v>0</v>
      </c>
      <c r="W55" s="4">
        <v>0</v>
      </c>
      <c r="X55" s="4">
        <v>0.85360079940525602</v>
      </c>
      <c r="Y55" s="4">
        <v>0</v>
      </c>
      <c r="Z55" s="5">
        <v>3.1514889430839401E-4</v>
      </c>
      <c r="AA55" s="5">
        <v>2.7565375936466701E-5</v>
      </c>
      <c r="AB55" s="10">
        <v>2.71796386213979E-3</v>
      </c>
      <c r="AC55" s="10">
        <v>3.7085638735846498E-7</v>
      </c>
      <c r="AD55" s="10">
        <v>1.4465111741206099E-2</v>
      </c>
      <c r="AE55" s="4">
        <v>3.6039856658661898E-2</v>
      </c>
      <c r="AF55" s="4">
        <v>0.62163548597529605</v>
      </c>
      <c r="AG55" s="4">
        <v>0.98801613112389397</v>
      </c>
      <c r="AH55" s="4">
        <v>0.99943049216252899</v>
      </c>
      <c r="AI55" s="4">
        <v>0.99995903709849898</v>
      </c>
      <c r="AJ55" s="4">
        <v>1</v>
      </c>
      <c r="AK55" s="4">
        <v>1</v>
      </c>
      <c r="AL55" s="4">
        <v>1</v>
      </c>
      <c r="AM55" s="4">
        <v>0</v>
      </c>
      <c r="AN55" s="4">
        <v>0</v>
      </c>
      <c r="AO55" s="4" t="s">
        <v>143</v>
      </c>
      <c r="AP55" s="4">
        <v>43388</v>
      </c>
      <c r="AQ55" s="6">
        <v>9302344219.7600002</v>
      </c>
      <c r="AR55" s="4">
        <v>31377</v>
      </c>
      <c r="AS55" s="15">
        <v>100</v>
      </c>
      <c r="AT55" s="15">
        <v>0</v>
      </c>
      <c r="AU55" s="15">
        <v>100</v>
      </c>
      <c r="AV55" s="15">
        <v>0</v>
      </c>
      <c r="AW55" s="15">
        <v>0</v>
      </c>
      <c r="AX55" s="15">
        <v>0</v>
      </c>
      <c r="AY55">
        <v>16.6069459543988</v>
      </c>
    </row>
    <row r="56" spans="1:51" x14ac:dyDescent="0.25">
      <c r="A56">
        <v>96</v>
      </c>
      <c r="B56" s="4">
        <v>0.98013722146472404</v>
      </c>
      <c r="C56" s="4">
        <v>34.805620560310501</v>
      </c>
      <c r="D56" s="4">
        <v>21.396373001830302</v>
      </c>
      <c r="E56" s="4">
        <v>3.5021776102418099E-2</v>
      </c>
      <c r="F56" s="5">
        <v>1.9862778535275901E-2</v>
      </c>
      <c r="G56" s="5">
        <v>0</v>
      </c>
      <c r="H56" s="4">
        <v>3.9628175642905599</v>
      </c>
      <c r="I56" s="4">
        <v>3.8564958310413999</v>
      </c>
      <c r="J56" s="4">
        <v>-27.2141722251178</v>
      </c>
      <c r="K56" s="4">
        <v>17.488387400958299</v>
      </c>
      <c r="L56" s="4">
        <v>13.775079356216301</v>
      </c>
      <c r="M56" s="4">
        <v>9.4585112927154498</v>
      </c>
      <c r="N56" s="4">
        <v>67.114864226334106</v>
      </c>
      <c r="O56" s="4">
        <v>63.784383370340599</v>
      </c>
      <c r="P56" s="4">
        <v>309435.40821129002</v>
      </c>
      <c r="Q56" s="4">
        <v>289795.18842244701</v>
      </c>
      <c r="R56" s="4">
        <v>784.22465623379298</v>
      </c>
      <c r="S56" s="4">
        <v>0</v>
      </c>
      <c r="T56" s="4">
        <v>0</v>
      </c>
      <c r="U56" s="4">
        <v>0.397907414856075</v>
      </c>
      <c r="V56" s="4">
        <v>0</v>
      </c>
      <c r="W56" s="4">
        <v>0</v>
      </c>
      <c r="X56" s="4">
        <v>0.845542775033299</v>
      </c>
      <c r="Y56" s="4">
        <v>0</v>
      </c>
      <c r="Z56" s="5">
        <v>3.3070899812028898E-4</v>
      </c>
      <c r="AA56" s="5">
        <v>3.2455573612142201E-5</v>
      </c>
      <c r="AB56" s="10">
        <v>2.8478718594451102E-3</v>
      </c>
      <c r="AC56" s="10">
        <v>1.2046478329361001E-6</v>
      </c>
      <c r="AD56" s="10">
        <v>1.6650524223456201E-2</v>
      </c>
      <c r="AE56" s="4">
        <v>3.5846425337945902E-2</v>
      </c>
      <c r="AF56" s="4">
        <v>0.62882723406334695</v>
      </c>
      <c r="AG56" s="4">
        <v>0.97363601100641295</v>
      </c>
      <c r="AH56" s="4">
        <v>0.99807576096496997</v>
      </c>
      <c r="AI56" s="4">
        <v>0.99963048163302604</v>
      </c>
      <c r="AJ56" s="4">
        <v>1</v>
      </c>
      <c r="AK56" s="4">
        <v>1</v>
      </c>
      <c r="AL56" s="4">
        <v>1</v>
      </c>
      <c r="AM56" s="4">
        <v>0</v>
      </c>
      <c r="AN56" s="4">
        <v>0</v>
      </c>
      <c r="AO56" s="4" t="s">
        <v>144</v>
      </c>
      <c r="AP56" s="4" t="s">
        <v>128</v>
      </c>
      <c r="AQ56" s="6">
        <v>9728714270.5300007</v>
      </c>
      <c r="AR56" s="4">
        <v>33571</v>
      </c>
      <c r="AS56" s="15">
        <v>100</v>
      </c>
      <c r="AT56" s="15">
        <v>0</v>
      </c>
      <c r="AU56" s="15">
        <v>100</v>
      </c>
      <c r="AV56" s="15">
        <v>0</v>
      </c>
      <c r="AW56" s="15">
        <v>0</v>
      </c>
      <c r="AX56" s="15">
        <v>0</v>
      </c>
      <c r="AY56">
        <v>31.489386944392798</v>
      </c>
    </row>
    <row r="57" spans="1:51" x14ac:dyDescent="0.25">
      <c r="A57">
        <v>96</v>
      </c>
      <c r="B57" s="4">
        <v>0.977456009790721</v>
      </c>
      <c r="C57" s="4">
        <v>40.405696842334002</v>
      </c>
      <c r="D57" s="4">
        <v>23.938190312932601</v>
      </c>
      <c r="E57" s="4">
        <v>4.2217137139890303E-2</v>
      </c>
      <c r="F57" s="5">
        <v>2.2543990209278698E-2</v>
      </c>
      <c r="G57" s="5">
        <v>0</v>
      </c>
      <c r="H57" s="4">
        <v>3.98872990699686</v>
      </c>
      <c r="I57" s="4">
        <v>3.8483871562444301</v>
      </c>
      <c r="J57" s="4">
        <v>-27.0893234149225</v>
      </c>
      <c r="K57" s="4">
        <v>22.531536881459999</v>
      </c>
      <c r="L57" s="4">
        <v>13.4924725354985</v>
      </c>
      <c r="M57" s="4">
        <v>10.3480053858729</v>
      </c>
      <c r="N57" s="4">
        <v>64.910352667621794</v>
      </c>
      <c r="O57" s="4">
        <v>61.488224101701803</v>
      </c>
      <c r="P57" s="4">
        <v>315204.73041015101</v>
      </c>
      <c r="Q57" s="4">
        <v>295774.56636426499</v>
      </c>
      <c r="R57" s="4">
        <v>784.32443641962902</v>
      </c>
      <c r="S57" s="4">
        <v>0</v>
      </c>
      <c r="T57" s="4">
        <v>0</v>
      </c>
      <c r="U57" s="4">
        <v>0.37284056981292402</v>
      </c>
      <c r="V57" s="4">
        <v>0</v>
      </c>
      <c r="W57" s="4">
        <v>0</v>
      </c>
      <c r="X57" s="4">
        <v>0.85370513131921499</v>
      </c>
      <c r="Y57" s="4">
        <v>0</v>
      </c>
      <c r="Z57" s="5">
        <v>3.4055567483493298E-4</v>
      </c>
      <c r="AA57" s="5">
        <v>3.3922209282607498E-5</v>
      </c>
      <c r="AB57" s="10">
        <v>2.92450340256868E-3</v>
      </c>
      <c r="AC57" s="10">
        <v>1.9400894443455298E-6</v>
      </c>
      <c r="AD57" s="10">
        <v>1.9243055789154001E-2</v>
      </c>
      <c r="AE57" s="4">
        <v>3.81627881706917E-2</v>
      </c>
      <c r="AF57" s="4">
        <v>0.60228157341576705</v>
      </c>
      <c r="AG57" s="4">
        <v>0.96574056851260004</v>
      </c>
      <c r="AH57" s="4">
        <v>0.99782803931683905</v>
      </c>
      <c r="AI57" s="4">
        <v>0.99944915718038896</v>
      </c>
      <c r="AJ57" s="4">
        <v>1</v>
      </c>
      <c r="AK57" s="4">
        <v>1</v>
      </c>
      <c r="AL57" s="4">
        <v>1</v>
      </c>
      <c r="AM57" s="4">
        <v>0</v>
      </c>
      <c r="AN57" s="4">
        <v>0</v>
      </c>
      <c r="AO57" s="4" t="s">
        <v>68</v>
      </c>
      <c r="AP57" s="4" t="s">
        <v>69</v>
      </c>
      <c r="AQ57" s="6">
        <v>11117574400.5</v>
      </c>
      <c r="AR57" s="4">
        <v>37588</v>
      </c>
      <c r="AS57" s="15">
        <v>100</v>
      </c>
      <c r="AT57" s="15">
        <v>0</v>
      </c>
      <c r="AU57" s="15">
        <v>100</v>
      </c>
      <c r="AV57" s="15">
        <v>0</v>
      </c>
      <c r="AW57" s="15">
        <v>0</v>
      </c>
      <c r="AX57" s="15">
        <v>0</v>
      </c>
      <c r="AY57">
        <v>50.883093838387801</v>
      </c>
    </row>
    <row r="58" spans="1:51" x14ac:dyDescent="0.25">
      <c r="A58">
        <v>96</v>
      </c>
      <c r="B58" s="4">
        <v>0.97520169376243304</v>
      </c>
      <c r="C58" s="4">
        <v>40.300453005503996</v>
      </c>
      <c r="D58" s="4">
        <v>26.016757251158001</v>
      </c>
      <c r="E58" s="4">
        <v>4.2076296992557299E-2</v>
      </c>
      <c r="F58" s="5">
        <v>2.47983062375665E-2</v>
      </c>
      <c r="G58" s="5">
        <v>0</v>
      </c>
      <c r="H58" s="4">
        <v>4.0313076378626</v>
      </c>
      <c r="I58" s="4">
        <v>3.8427387935103199</v>
      </c>
      <c r="J58" s="4">
        <v>-26.268649876526599</v>
      </c>
      <c r="K58" s="4">
        <v>27.521169349595901</v>
      </c>
      <c r="L58" s="4">
        <v>13.6003922372154</v>
      </c>
      <c r="M58" s="4">
        <v>11.4367312834381</v>
      </c>
      <c r="N58" s="4">
        <v>66.079715414137794</v>
      </c>
      <c r="O58" s="4">
        <v>62.3327450761265</v>
      </c>
      <c r="P58" s="4">
        <v>312487.74245500698</v>
      </c>
      <c r="Q58" s="4">
        <v>293461.59568870999</v>
      </c>
      <c r="R58" s="4">
        <v>783.99601828652101</v>
      </c>
      <c r="S58" s="4">
        <v>0</v>
      </c>
      <c r="T58" s="4">
        <v>0</v>
      </c>
      <c r="U58" s="4">
        <v>0.35411570355341998</v>
      </c>
      <c r="V58" s="4">
        <v>0</v>
      </c>
      <c r="W58" s="4">
        <v>0</v>
      </c>
      <c r="X58" s="4">
        <v>0.83988310646950304</v>
      </c>
      <c r="Y58" s="4">
        <v>0</v>
      </c>
      <c r="Z58" s="5">
        <v>3.4956490036865899E-4</v>
      </c>
      <c r="AA58" s="5">
        <v>3.92739724390021E-5</v>
      </c>
      <c r="AB58" s="10">
        <v>2.95600754334095E-3</v>
      </c>
      <c r="AC58" s="10">
        <v>3.3864365215517002E-6</v>
      </c>
      <c r="AD58" s="10">
        <v>2.1450060360978601E-2</v>
      </c>
      <c r="AE58" s="4">
        <v>3.97471145668944E-2</v>
      </c>
      <c r="AF58" s="4">
        <v>0.59582736785442503</v>
      </c>
      <c r="AG58" s="4">
        <v>0.95637465642062902</v>
      </c>
      <c r="AH58" s="4">
        <v>0.99634399483855096</v>
      </c>
      <c r="AI58" s="4">
        <v>0.99896574483290501</v>
      </c>
      <c r="AJ58" s="4">
        <v>1</v>
      </c>
      <c r="AK58" s="4">
        <v>1</v>
      </c>
      <c r="AL58" s="4">
        <v>1</v>
      </c>
      <c r="AM58" s="4">
        <v>0</v>
      </c>
      <c r="AN58" s="4">
        <v>0</v>
      </c>
      <c r="AO58" s="4" t="s">
        <v>145</v>
      </c>
      <c r="AP58" s="4" t="s">
        <v>129</v>
      </c>
      <c r="AQ58" s="6">
        <v>10867763273.139999</v>
      </c>
      <c r="AR58" s="4">
        <v>37033</v>
      </c>
      <c r="AS58" s="15">
        <v>100</v>
      </c>
      <c r="AT58" s="15">
        <v>0</v>
      </c>
      <c r="AU58" s="15">
        <v>100</v>
      </c>
      <c r="AV58" s="15">
        <v>0</v>
      </c>
      <c r="AW58" s="15">
        <v>0</v>
      </c>
      <c r="AX58" s="15">
        <v>0</v>
      </c>
      <c r="AY58">
        <v>73.358883634184494</v>
      </c>
    </row>
    <row r="59" spans="1:51" x14ac:dyDescent="0.25">
      <c r="A59">
        <v>96</v>
      </c>
      <c r="B59" s="4">
        <v>0.97284718045025897</v>
      </c>
      <c r="C59" s="4">
        <v>42.170344311486701</v>
      </c>
      <c r="D59" s="4">
        <v>28.132010690516399</v>
      </c>
      <c r="E59" s="4">
        <v>4.4613242657963501E-2</v>
      </c>
      <c r="F59" s="5">
        <v>2.7152819549740699E-2</v>
      </c>
      <c r="G59" s="5">
        <v>0</v>
      </c>
      <c r="H59" s="4">
        <v>4.0556389841384703</v>
      </c>
      <c r="I59" s="4">
        <v>3.8248749431031799</v>
      </c>
      <c r="J59" s="4">
        <v>-25.7289550709332</v>
      </c>
      <c r="K59" s="4">
        <v>32.4779605108371</v>
      </c>
      <c r="L59" s="4">
        <v>13.59359274393</v>
      </c>
      <c r="M59" s="4">
        <v>12.1993854092013</v>
      </c>
      <c r="N59" s="4">
        <v>65.172271324084903</v>
      </c>
      <c r="O59" s="4">
        <v>61.353030112772998</v>
      </c>
      <c r="P59" s="4">
        <v>312799.154957694</v>
      </c>
      <c r="Q59" s="4">
        <v>293552.21885923698</v>
      </c>
      <c r="R59" s="4">
        <v>784.14268516173797</v>
      </c>
      <c r="S59" s="4">
        <v>0</v>
      </c>
      <c r="T59" s="4">
        <v>0</v>
      </c>
      <c r="U59" s="4">
        <v>0.34766459804307198</v>
      </c>
      <c r="V59" s="4">
        <v>0</v>
      </c>
      <c r="W59" s="4">
        <v>0</v>
      </c>
      <c r="X59" s="4">
        <v>0.84694825555755204</v>
      </c>
      <c r="Y59" s="4">
        <v>0</v>
      </c>
      <c r="Z59" s="5">
        <v>3.5517852262308797E-4</v>
      </c>
      <c r="AA59" s="5">
        <v>4.23545247147081E-5</v>
      </c>
      <c r="AB59" s="10">
        <v>3.0006732615097602E-3</v>
      </c>
      <c r="AC59" s="10">
        <v>4.71501470707704E-6</v>
      </c>
      <c r="AD59" s="10">
        <v>2.3749885226502801E-2</v>
      </c>
      <c r="AE59" s="4">
        <v>4.2659298563405598E-2</v>
      </c>
      <c r="AF59" s="4">
        <v>0.57831841664365602</v>
      </c>
      <c r="AG59" s="4">
        <v>0.93881950275738602</v>
      </c>
      <c r="AH59" s="4">
        <v>0.99595040869512297</v>
      </c>
      <c r="AI59" s="4">
        <v>0.99921484076316203</v>
      </c>
      <c r="AJ59" s="4">
        <v>1</v>
      </c>
      <c r="AK59" s="4">
        <v>1</v>
      </c>
      <c r="AL59" s="4">
        <v>1</v>
      </c>
      <c r="AM59" s="4">
        <v>0</v>
      </c>
      <c r="AN59" s="4">
        <v>0</v>
      </c>
      <c r="AO59" s="4" t="s">
        <v>146</v>
      </c>
      <c r="AP59" s="4" t="s">
        <v>130</v>
      </c>
      <c r="AQ59" s="6">
        <v>10890200215.24</v>
      </c>
      <c r="AR59" s="4">
        <v>37098</v>
      </c>
      <c r="AS59" s="15">
        <v>100</v>
      </c>
      <c r="AT59" s="15">
        <v>0</v>
      </c>
      <c r="AU59" s="15">
        <v>100</v>
      </c>
      <c r="AV59" s="15">
        <v>0</v>
      </c>
      <c r="AW59" s="15">
        <v>0</v>
      </c>
      <c r="AX59" s="15">
        <v>0</v>
      </c>
      <c r="AY59">
        <v>96.915303938553905</v>
      </c>
    </row>
    <row r="60" spans="1:51" x14ac:dyDescent="0.25">
      <c r="A60">
        <v>96</v>
      </c>
      <c r="B60" s="4">
        <v>0.97048884204790198</v>
      </c>
      <c r="C60" s="4">
        <v>44.363700767267098</v>
      </c>
      <c r="D60" s="4">
        <v>30.1949956111572</v>
      </c>
      <c r="E60" s="4">
        <v>4.7686693139055499E-2</v>
      </c>
      <c r="F60" s="5">
        <v>2.9511157952097699E-2</v>
      </c>
      <c r="G60" s="5">
        <v>0</v>
      </c>
      <c r="H60" s="4">
        <v>4.0946866689691497</v>
      </c>
      <c r="I60" s="4">
        <v>3.8150210137671201</v>
      </c>
      <c r="J60" s="4">
        <v>-24.908605570193298</v>
      </c>
      <c r="K60" s="4">
        <v>37.432595284797998</v>
      </c>
      <c r="L60" s="4">
        <v>13.592906435557399</v>
      </c>
      <c r="M60" s="4">
        <v>13.0497687340208</v>
      </c>
      <c r="N60" s="4">
        <v>65.0907246390788</v>
      </c>
      <c r="O60" s="4">
        <v>61.059485922097899</v>
      </c>
      <c r="P60" s="4">
        <v>312909.35597323399</v>
      </c>
      <c r="Q60" s="4">
        <v>293571.69358040398</v>
      </c>
      <c r="R60" s="4">
        <v>783.85419485241096</v>
      </c>
      <c r="S60" s="4">
        <v>0</v>
      </c>
      <c r="T60" s="4">
        <v>0</v>
      </c>
      <c r="U60" s="4">
        <v>0.31964749708981699</v>
      </c>
      <c r="V60" s="4">
        <v>0</v>
      </c>
      <c r="W60" s="4">
        <v>0</v>
      </c>
      <c r="X60" s="4">
        <v>0.83289523338288496</v>
      </c>
      <c r="Y60" s="4">
        <v>0</v>
      </c>
      <c r="Z60" s="5">
        <v>3.6048212403654402E-4</v>
      </c>
      <c r="AA60" s="5">
        <v>4.6612369262919701E-5</v>
      </c>
      <c r="AB60" s="10">
        <v>3.0654346858300799E-3</v>
      </c>
      <c r="AC60" s="10">
        <v>5.4760896487007704E-6</v>
      </c>
      <c r="AD60" s="10">
        <v>2.60331397329862E-2</v>
      </c>
      <c r="AE60" s="4">
        <v>4.28675056716077E-2</v>
      </c>
      <c r="AF60" s="4">
        <v>0.56440846525381405</v>
      </c>
      <c r="AG60" s="4">
        <v>0.94764673160138202</v>
      </c>
      <c r="AH60" s="4">
        <v>0.99423544425395205</v>
      </c>
      <c r="AI60" s="4">
        <v>0.99937146069105598</v>
      </c>
      <c r="AJ60" s="4">
        <v>1</v>
      </c>
      <c r="AK60" s="4">
        <v>1</v>
      </c>
      <c r="AL60" s="4">
        <v>1</v>
      </c>
      <c r="AM60" s="4">
        <v>0</v>
      </c>
      <c r="AN60" s="4">
        <v>0</v>
      </c>
      <c r="AO60" s="4" t="s">
        <v>147</v>
      </c>
      <c r="AP60" s="4" t="s">
        <v>131</v>
      </c>
      <c r="AQ60" s="6">
        <v>10373062220.969999</v>
      </c>
      <c r="AR60" s="4">
        <v>35334</v>
      </c>
      <c r="AS60" s="15">
        <v>100</v>
      </c>
      <c r="AT60" s="15">
        <v>0</v>
      </c>
      <c r="AU60" s="15">
        <v>100</v>
      </c>
      <c r="AV60" s="15">
        <v>0</v>
      </c>
      <c r="AW60" s="15">
        <v>0</v>
      </c>
      <c r="AX60" s="15">
        <v>0</v>
      </c>
      <c r="AY60">
        <v>117.44396576230901</v>
      </c>
    </row>
    <row r="61" spans="1:51" x14ac:dyDescent="0.25">
      <c r="A61">
        <v>96</v>
      </c>
      <c r="B61" s="4">
        <v>0.96800858775786502</v>
      </c>
      <c r="C61" s="4">
        <v>44.9884910334141</v>
      </c>
      <c r="D61" s="4">
        <v>32.305946172473597</v>
      </c>
      <c r="E61" s="4">
        <v>4.8582512227296301E-2</v>
      </c>
      <c r="F61" s="5">
        <v>3.1991412242133997E-2</v>
      </c>
      <c r="G61" s="5">
        <v>0</v>
      </c>
      <c r="H61" s="4">
        <v>4.1521944118310898</v>
      </c>
      <c r="I61" s="4">
        <v>3.8159407109255299</v>
      </c>
      <c r="J61" s="4">
        <v>-24.343595371488298</v>
      </c>
      <c r="K61" s="4">
        <v>42.405093877406301</v>
      </c>
      <c r="L61" s="4">
        <v>13.569528967459201</v>
      </c>
      <c r="M61" s="4">
        <v>14.276291661014399</v>
      </c>
      <c r="N61" s="4">
        <v>65.514493338087604</v>
      </c>
      <c r="O61" s="4">
        <v>61.450122602998199</v>
      </c>
      <c r="P61" s="4">
        <v>314106.60485118697</v>
      </c>
      <c r="Q61" s="4">
        <v>294061.72217731399</v>
      </c>
      <c r="R61" s="4">
        <v>783.50475084428899</v>
      </c>
      <c r="S61" s="4">
        <v>0</v>
      </c>
      <c r="T61" s="4">
        <v>0</v>
      </c>
      <c r="U61" s="4">
        <v>0.28485692389797002</v>
      </c>
      <c r="V61" s="4">
        <v>0</v>
      </c>
      <c r="W61" s="4">
        <v>0</v>
      </c>
      <c r="X61" s="4">
        <v>0.82494064424376201</v>
      </c>
      <c r="Y61" s="4">
        <v>0</v>
      </c>
      <c r="Z61" s="5">
        <v>3.6528638208720398E-4</v>
      </c>
      <c r="AA61" s="5">
        <v>5.4759723637789002E-5</v>
      </c>
      <c r="AB61" s="10">
        <v>3.1343377872107602E-3</v>
      </c>
      <c r="AC61" s="10">
        <v>6.4977952350434702E-6</v>
      </c>
      <c r="AD61" s="10">
        <v>2.84305173318226E-2</v>
      </c>
      <c r="AE61" s="4">
        <v>4.2811300337045603E-2</v>
      </c>
      <c r="AF61" s="4">
        <v>0.56313468112855203</v>
      </c>
      <c r="AG61" s="4">
        <v>0.93613857703916703</v>
      </c>
      <c r="AH61" s="4">
        <v>0.99359039325121801</v>
      </c>
      <c r="AI61" s="4">
        <v>0.99948871258609595</v>
      </c>
      <c r="AJ61" s="4">
        <v>1</v>
      </c>
      <c r="AK61" s="4">
        <v>1</v>
      </c>
      <c r="AL61" s="4">
        <v>1</v>
      </c>
      <c r="AM61" s="4">
        <v>0</v>
      </c>
      <c r="AN61" s="4">
        <v>0</v>
      </c>
      <c r="AO61" s="4" t="s">
        <v>148</v>
      </c>
      <c r="AP61" s="4" t="s">
        <v>132</v>
      </c>
      <c r="AQ61" s="6">
        <v>9058277289.9500008</v>
      </c>
      <c r="AR61" s="4">
        <v>30804</v>
      </c>
      <c r="AS61" s="15">
        <v>100</v>
      </c>
      <c r="AT61" s="15">
        <v>0</v>
      </c>
      <c r="AU61" s="15">
        <v>100</v>
      </c>
      <c r="AV61" s="15">
        <v>0</v>
      </c>
      <c r="AW61" s="15">
        <v>0</v>
      </c>
      <c r="AX61" s="15">
        <v>0</v>
      </c>
      <c r="AY61">
        <v>144.15810451299299</v>
      </c>
    </row>
    <row r="62" spans="1:51" x14ac:dyDescent="0.25">
      <c r="A62">
        <v>96</v>
      </c>
      <c r="B62" s="4">
        <v>0.96547227890253295</v>
      </c>
      <c r="C62" s="4">
        <v>43.845424328571397</v>
      </c>
      <c r="D62" s="4">
        <v>34.403947693374903</v>
      </c>
      <c r="E62" s="4">
        <v>4.6950562958361003E-2</v>
      </c>
      <c r="F62" s="5">
        <v>3.45277210974664E-2</v>
      </c>
      <c r="G62" s="5">
        <v>0</v>
      </c>
      <c r="H62" s="4">
        <v>4.2248362695701998</v>
      </c>
      <c r="I62" s="4">
        <v>3.83196936669738</v>
      </c>
      <c r="J62" s="4">
        <v>-23.5307706577508</v>
      </c>
      <c r="K62" s="4">
        <v>47.508522500165498</v>
      </c>
      <c r="L62" s="4">
        <v>13.6013207186272</v>
      </c>
      <c r="M62" s="4">
        <v>15.7665312172042</v>
      </c>
      <c r="N62" s="4">
        <v>64.950268634912405</v>
      </c>
      <c r="O62" s="4">
        <v>61.065885611939301</v>
      </c>
      <c r="P62" s="4">
        <v>313911.72242639598</v>
      </c>
      <c r="Q62" s="4">
        <v>293309.38504577801</v>
      </c>
      <c r="R62" s="4">
        <v>783.18052825497602</v>
      </c>
      <c r="S62" s="4">
        <v>0</v>
      </c>
      <c r="T62" s="4">
        <v>0</v>
      </c>
      <c r="U62" s="4">
        <v>0.26185926247904201</v>
      </c>
      <c r="V62" s="4">
        <v>0</v>
      </c>
      <c r="W62" s="4">
        <v>0</v>
      </c>
      <c r="X62" s="4">
        <v>0.81299025052121698</v>
      </c>
      <c r="Y62" s="4">
        <v>0</v>
      </c>
      <c r="Z62" s="5">
        <v>3.7081352784952603E-4</v>
      </c>
      <c r="AA62" s="5">
        <v>6.7106090605817693E-5</v>
      </c>
      <c r="AB62" s="10">
        <v>3.20505012511125E-3</v>
      </c>
      <c r="AC62" s="10">
        <v>6.3151365792634498E-6</v>
      </c>
      <c r="AD62" s="10">
        <v>3.0878422837182399E-2</v>
      </c>
      <c r="AE62" s="4">
        <v>3.9020398565727699E-2</v>
      </c>
      <c r="AF62" s="4">
        <v>0.58864347581409504</v>
      </c>
      <c r="AG62" s="4">
        <v>0.94145052183240097</v>
      </c>
      <c r="AH62" s="4">
        <v>0.99372010038337599</v>
      </c>
      <c r="AI62" s="4">
        <v>0.99940074316015304</v>
      </c>
      <c r="AJ62" s="4">
        <v>1</v>
      </c>
      <c r="AK62" s="4">
        <v>1</v>
      </c>
      <c r="AL62" s="4">
        <v>1</v>
      </c>
      <c r="AM62" s="4">
        <v>0</v>
      </c>
      <c r="AN62" s="4">
        <v>0</v>
      </c>
      <c r="AO62" s="4" t="s">
        <v>70</v>
      </c>
      <c r="AP62" s="4" t="s">
        <v>71</v>
      </c>
      <c r="AQ62" s="6">
        <v>8136988959.9399996</v>
      </c>
      <c r="AR62" s="4">
        <v>27742</v>
      </c>
      <c r="AS62" s="15">
        <v>100</v>
      </c>
      <c r="AT62" s="15">
        <v>0</v>
      </c>
      <c r="AU62" s="15">
        <v>100</v>
      </c>
      <c r="AV62" s="15">
        <v>0</v>
      </c>
      <c r="AW62" s="15">
        <v>0</v>
      </c>
      <c r="AX62" s="15">
        <v>0</v>
      </c>
      <c r="AY62">
        <v>177.09587551506601</v>
      </c>
    </row>
    <row r="63" spans="1:51" x14ac:dyDescent="0.25">
      <c r="A63">
        <v>96</v>
      </c>
      <c r="B63" s="4">
        <v>0.96401010864186198</v>
      </c>
      <c r="C63" s="4">
        <v>45.703424830828901</v>
      </c>
      <c r="D63" s="4">
        <v>35.586179985554303</v>
      </c>
      <c r="E63" s="4">
        <v>4.9619092468527699E-2</v>
      </c>
      <c r="F63" s="5">
        <v>3.5989891358137301E-2</v>
      </c>
      <c r="G63" s="5">
        <v>0</v>
      </c>
      <c r="H63" s="4">
        <v>4.3366791983923898</v>
      </c>
      <c r="I63" s="4">
        <v>3.8642946832157601</v>
      </c>
      <c r="J63" s="4">
        <v>-21.824259751969901</v>
      </c>
      <c r="K63" s="4">
        <v>52.520843117918403</v>
      </c>
      <c r="L63" s="4">
        <v>14.1753389568401</v>
      </c>
      <c r="M63" s="4">
        <v>17.783017040390401</v>
      </c>
      <c r="N63" s="4">
        <v>68.339367991413397</v>
      </c>
      <c r="O63" s="4">
        <v>64.650499792762602</v>
      </c>
      <c r="P63" s="4">
        <v>302093.56233987201</v>
      </c>
      <c r="Q63" s="4">
        <v>281530.68833745999</v>
      </c>
      <c r="R63" s="4">
        <v>782.245442031631</v>
      </c>
      <c r="S63" s="4">
        <v>0</v>
      </c>
      <c r="T63" s="4">
        <v>0</v>
      </c>
      <c r="U63" s="4">
        <v>0.22794187391176601</v>
      </c>
      <c r="V63" s="4">
        <v>0</v>
      </c>
      <c r="W63" s="4">
        <v>0</v>
      </c>
      <c r="X63" s="4">
        <v>0.77205904804633096</v>
      </c>
      <c r="Y63" s="4">
        <v>0</v>
      </c>
      <c r="Z63" s="5">
        <v>3.7686249044434101E-4</v>
      </c>
      <c r="AA63" s="5">
        <v>8.6200346484009E-5</v>
      </c>
      <c r="AB63" s="10">
        <v>3.3097987300563002E-3</v>
      </c>
      <c r="AC63" s="10">
        <v>5.39108303291856E-6</v>
      </c>
      <c r="AD63" s="10">
        <v>3.2211625081140199E-2</v>
      </c>
      <c r="AE63" s="4">
        <v>2.6408863189031899E-2</v>
      </c>
      <c r="AF63" s="4">
        <v>0.65194556363725598</v>
      </c>
      <c r="AG63" s="4">
        <v>0.95667250460341202</v>
      </c>
      <c r="AH63" s="4">
        <v>0.99518199574413801</v>
      </c>
      <c r="AI63" s="4">
        <v>0.99961313519629003</v>
      </c>
      <c r="AJ63" s="4">
        <v>1</v>
      </c>
      <c r="AK63" s="4">
        <v>1</v>
      </c>
      <c r="AL63" s="4">
        <v>1</v>
      </c>
      <c r="AM63" s="4">
        <v>0</v>
      </c>
      <c r="AN63" s="4">
        <v>0</v>
      </c>
      <c r="AO63" s="4" t="s">
        <v>149</v>
      </c>
      <c r="AP63" s="4" t="s">
        <v>133</v>
      </c>
      <c r="AQ63" s="6">
        <v>6934382384.4399996</v>
      </c>
      <c r="AR63" s="4">
        <v>24631</v>
      </c>
      <c r="AS63" s="15">
        <v>100</v>
      </c>
      <c r="AT63" s="15">
        <v>0</v>
      </c>
      <c r="AU63" s="15">
        <v>100</v>
      </c>
      <c r="AV63" s="15">
        <v>0</v>
      </c>
      <c r="AW63" s="15">
        <v>0</v>
      </c>
      <c r="AX63" s="15">
        <v>0</v>
      </c>
      <c r="AY63">
        <v>207.86746153190501</v>
      </c>
    </row>
    <row r="64" spans="1:51" x14ac:dyDescent="0.25">
      <c r="A64">
        <v>96</v>
      </c>
      <c r="B64" s="4">
        <v>0.96214777413472397</v>
      </c>
      <c r="C64" s="4">
        <v>44.879570211410602</v>
      </c>
      <c r="D64" s="4">
        <v>37.063678773857802</v>
      </c>
      <c r="E64" s="4">
        <v>4.8425673452720003E-2</v>
      </c>
      <c r="F64" s="5">
        <v>3.7852225865275597E-2</v>
      </c>
      <c r="G64" s="5">
        <v>0</v>
      </c>
      <c r="H64" s="4">
        <v>4.4065752352722498</v>
      </c>
      <c r="I64" s="4">
        <v>3.8788735955360698</v>
      </c>
      <c r="J64" s="4">
        <v>-21.830965199638499</v>
      </c>
      <c r="K64" s="4">
        <v>57.507543349383901</v>
      </c>
      <c r="L64" s="4">
        <v>14.534699563031401</v>
      </c>
      <c r="M64" s="4">
        <v>19.4838201830838</v>
      </c>
      <c r="N64" s="4">
        <v>67.869547398162297</v>
      </c>
      <c r="O64" s="4">
        <v>64.478268760702406</v>
      </c>
      <c r="P64" s="4">
        <v>295856.573970086</v>
      </c>
      <c r="Q64" s="4">
        <v>274433.60992063401</v>
      </c>
      <c r="R64" s="4">
        <v>782.36237968691603</v>
      </c>
      <c r="S64" s="4">
        <v>0</v>
      </c>
      <c r="T64" s="4">
        <v>0</v>
      </c>
      <c r="U64" s="4">
        <v>0.22635925361942799</v>
      </c>
      <c r="V64" s="4">
        <v>0</v>
      </c>
      <c r="W64" s="4">
        <v>0</v>
      </c>
      <c r="X64" s="4">
        <v>0.77692308575822999</v>
      </c>
      <c r="Y64" s="4">
        <v>0</v>
      </c>
      <c r="Z64" s="5">
        <v>3.84760234734816E-4</v>
      </c>
      <c r="AA64" s="5">
        <v>1.05163533497141E-4</v>
      </c>
      <c r="AB64" s="10">
        <v>3.3757407250262902E-3</v>
      </c>
      <c r="AC64" s="10">
        <v>5.67646262057799E-6</v>
      </c>
      <c r="AD64" s="10">
        <v>3.3980871007775998E-2</v>
      </c>
      <c r="AE64" s="4">
        <v>2.0162884873460098E-2</v>
      </c>
      <c r="AF64" s="4">
        <v>0.690086910385042</v>
      </c>
      <c r="AG64" s="4">
        <v>0.95683806995034504</v>
      </c>
      <c r="AH64" s="4">
        <v>0.99508459416657302</v>
      </c>
      <c r="AI64" s="4">
        <v>0.99965194208717501</v>
      </c>
      <c r="AJ64" s="4">
        <v>1</v>
      </c>
      <c r="AK64" s="4">
        <v>1</v>
      </c>
      <c r="AL64" s="4">
        <v>1</v>
      </c>
      <c r="AM64" s="4">
        <v>0</v>
      </c>
      <c r="AN64" s="4">
        <v>0</v>
      </c>
      <c r="AO64" s="4" t="s">
        <v>150</v>
      </c>
      <c r="AP64" s="4" t="s">
        <v>134</v>
      </c>
      <c r="AQ64" s="6">
        <v>6708255160.8999996</v>
      </c>
      <c r="AR64" s="4">
        <v>24444</v>
      </c>
      <c r="AS64" s="15">
        <v>100</v>
      </c>
      <c r="AT64" s="15">
        <v>0</v>
      </c>
      <c r="AU64" s="15">
        <v>100</v>
      </c>
      <c r="AV64" s="15">
        <v>0</v>
      </c>
      <c r="AW64" s="15">
        <v>0</v>
      </c>
      <c r="AX64" s="15">
        <v>0</v>
      </c>
      <c r="AY64">
        <v>251.84888604848501</v>
      </c>
    </row>
    <row r="65" spans="1:51" x14ac:dyDescent="0.25">
      <c r="A65">
        <v>96</v>
      </c>
      <c r="B65" s="4">
        <v>0.96052435553843896</v>
      </c>
      <c r="C65" s="4">
        <v>44.299555169325501</v>
      </c>
      <c r="D65" s="4">
        <v>38.326218428110401</v>
      </c>
      <c r="E65" s="4">
        <v>4.7595244374408499E-2</v>
      </c>
      <c r="F65" s="5">
        <v>3.9475644461560599E-2</v>
      </c>
      <c r="G65" s="5">
        <v>0</v>
      </c>
      <c r="H65" s="4">
        <v>4.4947879092034304</v>
      </c>
      <c r="I65" s="4">
        <v>3.9091259633441702</v>
      </c>
      <c r="J65" s="4">
        <v>-21.567774190077301</v>
      </c>
      <c r="K65" s="4">
        <v>62.513804553855699</v>
      </c>
      <c r="L65" s="4">
        <v>14.863919093309001</v>
      </c>
      <c r="M65" s="4">
        <v>21.231172333010701</v>
      </c>
      <c r="N65" s="4">
        <v>68.379424617329306</v>
      </c>
      <c r="O65" s="4">
        <v>65.330988407090999</v>
      </c>
      <c r="P65" s="4">
        <v>289713.12767296302</v>
      </c>
      <c r="Q65" s="4">
        <v>268526.45729381999</v>
      </c>
      <c r="R65" s="4">
        <v>781.71931136278602</v>
      </c>
      <c r="S65" s="4">
        <v>0</v>
      </c>
      <c r="T65" s="4">
        <v>0</v>
      </c>
      <c r="U65" s="4">
        <v>0.21928328321579099</v>
      </c>
      <c r="V65" s="4">
        <v>0</v>
      </c>
      <c r="W65" s="4">
        <v>0</v>
      </c>
      <c r="X65" s="4">
        <v>0.75796337806982195</v>
      </c>
      <c r="Y65" s="4">
        <v>0</v>
      </c>
      <c r="Z65" s="5">
        <v>3.8825004524817102E-4</v>
      </c>
      <c r="AA65" s="5">
        <v>1.25396621491694E-4</v>
      </c>
      <c r="AB65" s="10">
        <v>3.4229111776584698E-3</v>
      </c>
      <c r="AC65" s="10">
        <v>5.4046722503852501E-6</v>
      </c>
      <c r="AD65" s="10">
        <v>3.5533667688880097E-2</v>
      </c>
      <c r="AE65" s="4">
        <v>9.6868107079643908E-3</v>
      </c>
      <c r="AF65" s="4">
        <v>0.74545886307776799</v>
      </c>
      <c r="AG65" s="4">
        <v>0.97252814311424696</v>
      </c>
      <c r="AH65" s="4">
        <v>0.99606247426868999</v>
      </c>
      <c r="AI65" s="4">
        <v>0.999473124081807</v>
      </c>
      <c r="AJ65" s="4">
        <v>1</v>
      </c>
      <c r="AK65" s="4">
        <v>1</v>
      </c>
      <c r="AL65" s="4">
        <v>1</v>
      </c>
      <c r="AM65" s="4">
        <v>0</v>
      </c>
      <c r="AN65" s="4">
        <v>0</v>
      </c>
      <c r="AO65" s="4" t="s">
        <v>151</v>
      </c>
      <c r="AP65" s="4" t="s">
        <v>135</v>
      </c>
      <c r="AQ65" s="6">
        <v>7117562277.0299997</v>
      </c>
      <c r="AR65" s="4">
        <v>26506</v>
      </c>
      <c r="AS65" s="15">
        <v>100</v>
      </c>
      <c r="AT65" s="15">
        <v>0</v>
      </c>
      <c r="AU65" s="15">
        <v>100</v>
      </c>
      <c r="AV65" s="15">
        <v>0</v>
      </c>
      <c r="AW65" s="15">
        <v>0</v>
      </c>
      <c r="AX65" s="15">
        <v>0</v>
      </c>
      <c r="AY65" s="31">
        <v>301.20668136172401</v>
      </c>
    </row>
    <row r="66" spans="1:51" x14ac:dyDescent="0.25">
      <c r="A66">
        <v>96</v>
      </c>
      <c r="B66" s="4">
        <v>0.95910637797884901</v>
      </c>
      <c r="C66" s="4">
        <v>44.268220211937503</v>
      </c>
      <c r="D66" s="4">
        <v>39.4099447822001</v>
      </c>
      <c r="E66" s="4">
        <v>4.7550606983575397E-2</v>
      </c>
      <c r="F66" s="5">
        <v>4.0893622021150003E-2</v>
      </c>
      <c r="G66" s="5">
        <v>0</v>
      </c>
      <c r="H66" s="4">
        <v>4.56859868030344</v>
      </c>
      <c r="I66" s="4">
        <v>3.93416679258514</v>
      </c>
      <c r="J66" s="4">
        <v>-21.267154471964499</v>
      </c>
      <c r="K66" s="4">
        <v>67.513142696603197</v>
      </c>
      <c r="L66" s="4">
        <v>15.0922513621843</v>
      </c>
      <c r="M66" s="4">
        <v>22.517169485279101</v>
      </c>
      <c r="N66" s="4">
        <v>68.186084600008996</v>
      </c>
      <c r="O66" s="4">
        <v>65.482197285042204</v>
      </c>
      <c r="P66" s="4">
        <v>285435.234119342</v>
      </c>
      <c r="Q66" s="4">
        <v>264444.87952336</v>
      </c>
      <c r="R66" s="4">
        <v>781.58285000034198</v>
      </c>
      <c r="S66" s="4">
        <v>0</v>
      </c>
      <c r="T66" s="4">
        <v>0</v>
      </c>
      <c r="U66" s="4">
        <v>0.215586172527306</v>
      </c>
      <c r="V66" s="4">
        <v>0</v>
      </c>
      <c r="W66" s="4">
        <v>0</v>
      </c>
      <c r="X66" s="4">
        <v>0.75174280167227503</v>
      </c>
      <c r="Y66" s="4">
        <v>0</v>
      </c>
      <c r="Z66" s="5">
        <v>3.9337327364846497E-4</v>
      </c>
      <c r="AA66" s="5">
        <v>1.4748012847275901E-4</v>
      </c>
      <c r="AB66" s="10">
        <v>3.4358886361942902E-3</v>
      </c>
      <c r="AC66" s="10">
        <v>5.1788835835542898E-6</v>
      </c>
      <c r="AD66" s="10">
        <v>3.6911686648842902E-2</v>
      </c>
      <c r="AE66" s="4">
        <v>1.03928494664642E-3</v>
      </c>
      <c r="AF66" s="4">
        <v>0.78829705021475904</v>
      </c>
      <c r="AG66" s="4">
        <v>0.97361265768093397</v>
      </c>
      <c r="AH66" s="4">
        <v>0.99640300514848701</v>
      </c>
      <c r="AI66" s="4">
        <v>0.999554260796087</v>
      </c>
      <c r="AJ66" s="4">
        <v>1</v>
      </c>
      <c r="AK66" s="4">
        <v>1</v>
      </c>
      <c r="AL66" s="4">
        <v>1</v>
      </c>
      <c r="AM66" s="4">
        <v>0</v>
      </c>
      <c r="AN66" s="4">
        <v>0</v>
      </c>
      <c r="AO66" s="4" t="s">
        <v>152</v>
      </c>
      <c r="AP66" s="4" t="s">
        <v>136</v>
      </c>
      <c r="AQ66" s="6">
        <v>7845021795.9399996</v>
      </c>
      <c r="AR66" s="4">
        <v>29666</v>
      </c>
      <c r="AS66" s="15">
        <v>100</v>
      </c>
      <c r="AT66" s="15">
        <v>0</v>
      </c>
      <c r="AU66" s="15">
        <v>100</v>
      </c>
      <c r="AV66" s="15">
        <v>0</v>
      </c>
      <c r="AW66" s="15">
        <v>0</v>
      </c>
      <c r="AX66" s="15">
        <v>0</v>
      </c>
      <c r="AY66" s="31">
        <v>362.52233720933998</v>
      </c>
    </row>
    <row r="67" spans="1:51" x14ac:dyDescent="0.25">
      <c r="A67">
        <v>96</v>
      </c>
      <c r="B67" s="4">
        <v>0.95679124286391204</v>
      </c>
      <c r="C67" s="4">
        <v>44.122989517181203</v>
      </c>
      <c r="D67" s="4">
        <v>41.141891556438303</v>
      </c>
      <c r="E67" s="4">
        <v>4.7344022350641397E-2</v>
      </c>
      <c r="F67" s="5">
        <v>4.3208757136087503E-2</v>
      </c>
      <c r="G67" s="5">
        <v>0</v>
      </c>
      <c r="H67" s="4">
        <v>4.6046667642435199</v>
      </c>
      <c r="I67" s="4">
        <v>3.9340653220859201</v>
      </c>
      <c r="J67" s="4">
        <v>-20.906663904556702</v>
      </c>
      <c r="K67" s="4">
        <v>72.527574907478098</v>
      </c>
      <c r="L67" s="4">
        <v>14.7461946490237</v>
      </c>
      <c r="M67" s="4">
        <v>23.391567335984998</v>
      </c>
      <c r="N67" s="4">
        <v>66.537019413116994</v>
      </c>
      <c r="O67" s="4">
        <v>63.911441007769398</v>
      </c>
      <c r="P67" s="4">
        <v>291010.982808867</v>
      </c>
      <c r="Q67" s="4">
        <v>270619.32247558999</v>
      </c>
      <c r="R67" s="4">
        <v>781.52015702356005</v>
      </c>
      <c r="S67" s="4">
        <v>0</v>
      </c>
      <c r="T67" s="4">
        <v>0</v>
      </c>
      <c r="U67" s="4">
        <v>0.21062541944996799</v>
      </c>
      <c r="V67" s="4">
        <v>0</v>
      </c>
      <c r="W67" s="4">
        <v>0</v>
      </c>
      <c r="X67" s="4">
        <v>0.76141242823095301</v>
      </c>
      <c r="Y67" s="4">
        <v>0</v>
      </c>
      <c r="Z67" s="5">
        <v>3.9520719794889698E-4</v>
      </c>
      <c r="AA67" s="5">
        <v>1.5913773884762799E-4</v>
      </c>
      <c r="AB67" s="10">
        <v>3.45672407320801E-3</v>
      </c>
      <c r="AC67" s="10">
        <v>5.4208702321699704E-6</v>
      </c>
      <c r="AD67" s="10">
        <v>3.91922526122458E-2</v>
      </c>
      <c r="AE67" s="4">
        <v>-4.8626721531374098E-4</v>
      </c>
      <c r="AF67" s="4">
        <v>0.78810389043576101</v>
      </c>
      <c r="AG67" s="4">
        <v>0.974855778298373</v>
      </c>
      <c r="AH67" s="4">
        <v>0.996431884314538</v>
      </c>
      <c r="AI67" s="4">
        <v>0.99962469657632502</v>
      </c>
      <c r="AJ67" s="4">
        <v>1</v>
      </c>
      <c r="AK67" s="4">
        <v>1</v>
      </c>
      <c r="AL67" s="4">
        <v>1</v>
      </c>
      <c r="AM67" s="4">
        <v>0</v>
      </c>
      <c r="AN67" s="4">
        <v>0</v>
      </c>
      <c r="AO67" s="4" t="s">
        <v>72</v>
      </c>
      <c r="AP67" s="4" t="s">
        <v>73</v>
      </c>
      <c r="AQ67" s="6">
        <v>8758323752.6000004</v>
      </c>
      <c r="AR67" s="4">
        <v>32364</v>
      </c>
      <c r="AS67" s="15">
        <v>100</v>
      </c>
      <c r="AT67" s="15">
        <v>0</v>
      </c>
      <c r="AU67" s="15">
        <v>100</v>
      </c>
      <c r="AV67" s="15">
        <v>0</v>
      </c>
      <c r="AW67" s="15">
        <v>0</v>
      </c>
      <c r="AX67" s="15">
        <v>0</v>
      </c>
      <c r="AY67" s="31">
        <v>426.39860663978402</v>
      </c>
    </row>
    <row r="68" spans="1:51" x14ac:dyDescent="0.25">
      <c r="A68">
        <v>96</v>
      </c>
      <c r="B68" s="4">
        <v>0.95235212761515098</v>
      </c>
      <c r="C68" s="4">
        <v>45.065241148083601</v>
      </c>
      <c r="D68" s="4">
        <v>44.336478708345297</v>
      </c>
      <c r="E68" s="4">
        <v>4.8693198363541398E-2</v>
      </c>
      <c r="F68" s="5">
        <v>4.7647872384848501E-2</v>
      </c>
      <c r="G68" s="5">
        <v>0</v>
      </c>
      <c r="H68" s="4">
        <v>4.71094166375401</v>
      </c>
      <c r="I68" s="4">
        <v>3.9034011534326201</v>
      </c>
      <c r="J68" s="4">
        <v>-17.915544650598399</v>
      </c>
      <c r="K68" s="4">
        <v>86.466533685279501</v>
      </c>
      <c r="L68" s="4">
        <v>14.6056691985598</v>
      </c>
      <c r="M68" s="4">
        <v>25.827459413267501</v>
      </c>
      <c r="N68" s="4">
        <v>65.8945020953648</v>
      </c>
      <c r="O68" s="4">
        <v>63.169475812944398</v>
      </c>
      <c r="P68" s="4">
        <v>294149.17898168199</v>
      </c>
      <c r="Q68" s="4">
        <v>273252.39688066702</v>
      </c>
      <c r="R68" s="4">
        <v>780.74371244152201</v>
      </c>
      <c r="S68" s="4">
        <v>0</v>
      </c>
      <c r="T68" s="4">
        <v>0</v>
      </c>
      <c r="U68" s="4">
        <v>0.21961753941133699</v>
      </c>
      <c r="V68" s="4">
        <v>0</v>
      </c>
      <c r="W68" s="4">
        <v>0</v>
      </c>
      <c r="X68" s="4">
        <v>0.75056619673840197</v>
      </c>
      <c r="Y68" s="4">
        <v>0</v>
      </c>
      <c r="Z68" s="5">
        <v>4.0179811126091598E-4</v>
      </c>
      <c r="AA68" s="5">
        <v>1.96053230754059E-4</v>
      </c>
      <c r="AB68" s="10">
        <v>3.6681764288640502E-3</v>
      </c>
      <c r="AC68" s="10">
        <v>6.9475058560543897E-6</v>
      </c>
      <c r="AD68" s="10">
        <v>4.3374882171655998E-2</v>
      </c>
      <c r="AE68" s="4">
        <v>-2.5829861013182999E-3</v>
      </c>
      <c r="AF68" s="4">
        <v>0.78822299571237597</v>
      </c>
      <c r="AG68" s="4">
        <v>0.97795204613907405</v>
      </c>
      <c r="AH68" s="4">
        <v>0.99578131708054096</v>
      </c>
      <c r="AI68" s="4">
        <v>0.99945136549175795</v>
      </c>
      <c r="AJ68" s="4">
        <v>1</v>
      </c>
      <c r="AK68" s="4">
        <v>1</v>
      </c>
      <c r="AL68" s="4">
        <v>1</v>
      </c>
      <c r="AM68" s="4">
        <v>0</v>
      </c>
      <c r="AN68" s="4">
        <v>0</v>
      </c>
      <c r="AO68" s="4" t="s">
        <v>74</v>
      </c>
      <c r="AP68" s="4" t="s">
        <v>75</v>
      </c>
      <c r="AQ68" s="6">
        <v>37216703202.75</v>
      </c>
      <c r="AR68" s="4">
        <v>136199</v>
      </c>
      <c r="AS68" s="15">
        <v>100</v>
      </c>
      <c r="AT68" s="15">
        <v>0</v>
      </c>
      <c r="AU68" s="15">
        <v>100</v>
      </c>
      <c r="AV68" s="15">
        <v>0</v>
      </c>
      <c r="AW68" s="15">
        <v>0</v>
      </c>
      <c r="AX68" s="15">
        <v>0</v>
      </c>
      <c r="AY68">
        <v>606.40581442919699</v>
      </c>
    </row>
    <row r="69" spans="1:51" x14ac:dyDescent="0.25">
      <c r="A69">
        <v>96</v>
      </c>
      <c r="B69" s="4">
        <v>0.94827381865126603</v>
      </c>
      <c r="C69" s="4">
        <v>45.522351374592297</v>
      </c>
      <c r="D69" s="4">
        <v>47.130510012047999</v>
      </c>
      <c r="E69" s="4">
        <v>4.9355376820502603E-2</v>
      </c>
      <c r="F69" s="5">
        <v>5.1726181348732997E-2</v>
      </c>
      <c r="G69" s="5">
        <v>0</v>
      </c>
      <c r="H69" s="4">
        <v>4.8720919549833503</v>
      </c>
      <c r="I69" s="4">
        <v>3.8022380729037</v>
      </c>
      <c r="J69" s="4">
        <v>-12.895599740814101</v>
      </c>
      <c r="K69" s="4">
        <v>112.676758620974</v>
      </c>
      <c r="L69" s="4">
        <v>15.3240963555899</v>
      </c>
      <c r="M69" s="4">
        <v>30.2993258444952</v>
      </c>
      <c r="N69" s="4">
        <v>68.403759959136707</v>
      </c>
      <c r="O69" s="4">
        <v>64.9059037006122</v>
      </c>
      <c r="P69" s="4">
        <v>280779.533213188</v>
      </c>
      <c r="Q69" s="4">
        <v>260496.021804427</v>
      </c>
      <c r="R69" s="4">
        <v>779.68432482972196</v>
      </c>
      <c r="S69" s="4">
        <v>0</v>
      </c>
      <c r="T69" s="4">
        <v>0</v>
      </c>
      <c r="U69" s="4">
        <v>0.23737623906794</v>
      </c>
      <c r="V69" s="4">
        <v>0</v>
      </c>
      <c r="W69" s="4">
        <v>0</v>
      </c>
      <c r="X69" s="4">
        <v>0.71091831145712503</v>
      </c>
      <c r="Y69" s="4">
        <v>0</v>
      </c>
      <c r="Z69" s="5">
        <v>4.1755276480233801E-4</v>
      </c>
      <c r="AA69" s="5">
        <v>3.1098997866105699E-4</v>
      </c>
      <c r="AB69" s="10">
        <v>3.98700872860924E-3</v>
      </c>
      <c r="AC69" s="10">
        <v>9.9395339383528404E-6</v>
      </c>
      <c r="AD69" s="10">
        <v>4.7000675133629301E-2</v>
      </c>
      <c r="AE69" s="4">
        <v>1.44960656411968E-3</v>
      </c>
      <c r="AF69" s="4">
        <v>0.79946552850530905</v>
      </c>
      <c r="AG69" s="4">
        <v>0.97595427339829599</v>
      </c>
      <c r="AH69" s="4">
        <v>0.99579621044983302</v>
      </c>
      <c r="AI69" s="4">
        <v>0.99925250107374697</v>
      </c>
      <c r="AJ69" s="4">
        <v>1</v>
      </c>
      <c r="AK69" s="4">
        <v>1</v>
      </c>
      <c r="AL69" s="4">
        <v>1</v>
      </c>
      <c r="AM69" s="4">
        <v>0</v>
      </c>
      <c r="AN69" s="4">
        <v>0</v>
      </c>
      <c r="AO69" s="4" t="s">
        <v>76</v>
      </c>
      <c r="AP69" s="4" t="s">
        <v>77</v>
      </c>
      <c r="AQ69" s="6">
        <v>29580365259.98</v>
      </c>
      <c r="AR69" s="4">
        <v>113554</v>
      </c>
      <c r="AS69" s="15">
        <v>100</v>
      </c>
      <c r="AT69" s="15">
        <v>0</v>
      </c>
      <c r="AU69" s="15">
        <v>100</v>
      </c>
      <c r="AV69" s="15">
        <v>0</v>
      </c>
      <c r="AW69" s="15">
        <v>0</v>
      </c>
      <c r="AX69" s="15">
        <v>0</v>
      </c>
      <c r="AY69">
        <v>993.44232604153797</v>
      </c>
    </row>
    <row r="70" spans="1:51" x14ac:dyDescent="0.25">
      <c r="A70">
        <v>96</v>
      </c>
      <c r="B70" s="4">
        <v>0.94528413111308895</v>
      </c>
      <c r="C70" s="4">
        <v>45.548164967478698</v>
      </c>
      <c r="D70" s="4">
        <v>49.096410588321902</v>
      </c>
      <c r="E70" s="4">
        <v>4.9392922622793697E-2</v>
      </c>
      <c r="F70" s="5">
        <v>5.4715868886910102E-2</v>
      </c>
      <c r="G70" s="5">
        <v>0</v>
      </c>
      <c r="H70" s="4">
        <v>4.9637002022672201</v>
      </c>
      <c r="I70" s="4">
        <v>3.7060279584385301</v>
      </c>
      <c r="J70" s="4">
        <v>-8.4010928636593292</v>
      </c>
      <c r="K70" s="4">
        <v>135.26171660391</v>
      </c>
      <c r="L70" s="4">
        <v>14.9376094269623</v>
      </c>
      <c r="M70" s="4">
        <v>33.133495391254201</v>
      </c>
      <c r="N70" s="4">
        <v>68.793988324119397</v>
      </c>
      <c r="O70" s="4">
        <v>64.370130043413994</v>
      </c>
      <c r="P70" s="4">
        <v>286836.20377548703</v>
      </c>
      <c r="Q70" s="4">
        <v>267278.100435331</v>
      </c>
      <c r="R70" s="4">
        <v>779.04938485038804</v>
      </c>
      <c r="S70" s="4">
        <v>0</v>
      </c>
      <c r="T70" s="4">
        <v>0</v>
      </c>
      <c r="U70" s="4">
        <v>0.24575534530747101</v>
      </c>
      <c r="V70" s="4">
        <v>0</v>
      </c>
      <c r="W70" s="4">
        <v>0</v>
      </c>
      <c r="X70" s="4">
        <v>0.69339959233342996</v>
      </c>
      <c r="Y70" s="4">
        <v>0</v>
      </c>
      <c r="Z70" s="5">
        <v>4.22760899875093E-4</v>
      </c>
      <c r="AA70" s="5">
        <v>4.0091524830185402E-4</v>
      </c>
      <c r="AB70" s="10">
        <v>3.80312688826269E-3</v>
      </c>
      <c r="AC70" s="10">
        <v>1.6404948396485098E-5</v>
      </c>
      <c r="AD70" s="10">
        <v>5.0072645668181003E-2</v>
      </c>
      <c r="AE70" s="4">
        <v>1.34361079280138E-2</v>
      </c>
      <c r="AF70" s="4">
        <v>0.75615486250175101</v>
      </c>
      <c r="AG70" s="4">
        <v>0.971000724802769</v>
      </c>
      <c r="AH70" s="4">
        <v>0.99345206637357897</v>
      </c>
      <c r="AI70" s="4">
        <v>0.99921580034105595</v>
      </c>
      <c r="AJ70" s="4">
        <v>1</v>
      </c>
      <c r="AK70" s="4">
        <v>1</v>
      </c>
      <c r="AL70" s="4">
        <v>1</v>
      </c>
      <c r="AM70" s="4">
        <v>0</v>
      </c>
      <c r="AN70" s="4">
        <v>0</v>
      </c>
      <c r="AO70" s="4" t="s">
        <v>78</v>
      </c>
      <c r="AP70" s="4" t="s">
        <v>79</v>
      </c>
      <c r="AQ70" s="6">
        <v>19462656717.5</v>
      </c>
      <c r="AR70" s="4">
        <v>72818</v>
      </c>
      <c r="AS70" s="15">
        <v>100</v>
      </c>
      <c r="AT70" s="15">
        <v>0</v>
      </c>
      <c r="AU70" s="15">
        <v>100</v>
      </c>
      <c r="AV70" s="15">
        <v>0</v>
      </c>
      <c r="AW70" s="15">
        <v>0</v>
      </c>
      <c r="AX70" s="15">
        <v>0</v>
      </c>
      <c r="AY70">
        <v>1371.5826617846401</v>
      </c>
    </row>
    <row r="71" spans="1:51" x14ac:dyDescent="0.25">
      <c r="A71">
        <v>96</v>
      </c>
      <c r="B71" s="4">
        <v>0.94387215012380199</v>
      </c>
      <c r="C71" s="4">
        <v>43.283951282905001</v>
      </c>
      <c r="D71" s="4">
        <v>50.001374672841798</v>
      </c>
      <c r="E71" s="4">
        <v>4.6160074028822003E-2</v>
      </c>
      <c r="F71" s="5">
        <v>5.6127849876197101E-2</v>
      </c>
      <c r="G71" s="5">
        <v>0</v>
      </c>
      <c r="H71" s="4">
        <v>5.1675653399862798</v>
      </c>
      <c r="I71" s="4">
        <v>3.6726261058103402</v>
      </c>
      <c r="J71" s="4">
        <v>8.2667362503748691</v>
      </c>
      <c r="K71" s="4">
        <v>159.21447628151401</v>
      </c>
      <c r="L71" s="4">
        <v>15.3176561397184</v>
      </c>
      <c r="M71" s="4">
        <v>34.6533439038393</v>
      </c>
      <c r="N71" s="4">
        <v>78.015016028790697</v>
      </c>
      <c r="O71" s="4">
        <v>72.208354251101397</v>
      </c>
      <c r="P71" s="4">
        <v>279213.36966397002</v>
      </c>
      <c r="Q71" s="4">
        <v>260664.588750341</v>
      </c>
      <c r="R71" s="4">
        <v>777.22790952373498</v>
      </c>
      <c r="S71" s="4">
        <v>0</v>
      </c>
      <c r="T71" s="4">
        <v>0</v>
      </c>
      <c r="U71" s="4">
        <v>0.26481707933086901</v>
      </c>
      <c r="V71" s="4">
        <v>0</v>
      </c>
      <c r="W71" s="4">
        <v>0</v>
      </c>
      <c r="X71" s="4">
        <v>0.514744281873039</v>
      </c>
      <c r="Y71" s="4">
        <v>0</v>
      </c>
      <c r="Z71" s="5">
        <v>4.2416603118242802E-4</v>
      </c>
      <c r="AA71" s="5">
        <v>6.49150204716172E-4</v>
      </c>
      <c r="AB71" s="10">
        <v>3.83669265005668E-3</v>
      </c>
      <c r="AC71" s="10">
        <v>1.6931956285853101E-5</v>
      </c>
      <c r="AD71" s="10">
        <v>5.1200893716759302E-2</v>
      </c>
      <c r="AE71" s="4">
        <v>2.45330208397232E-2</v>
      </c>
      <c r="AF71" s="4">
        <v>0.74756591139814599</v>
      </c>
      <c r="AG71" s="4">
        <v>0.97011516313711499</v>
      </c>
      <c r="AH71" s="4">
        <v>0.99291952554476004</v>
      </c>
      <c r="AI71" s="4">
        <v>0.99888263052478399</v>
      </c>
      <c r="AJ71" s="4">
        <v>1</v>
      </c>
      <c r="AK71" s="4">
        <v>1</v>
      </c>
      <c r="AL71" s="4">
        <v>1</v>
      </c>
      <c r="AM71" s="4">
        <v>0</v>
      </c>
      <c r="AN71" s="4">
        <v>0</v>
      </c>
      <c r="AO71" s="4" t="s">
        <v>80</v>
      </c>
      <c r="AP71" s="4" t="s">
        <v>81</v>
      </c>
      <c r="AQ71" s="6">
        <v>3817172237.6599998</v>
      </c>
      <c r="AR71" s="4">
        <v>14644</v>
      </c>
      <c r="AS71" s="15">
        <v>100</v>
      </c>
      <c r="AT71" s="15">
        <v>0</v>
      </c>
      <c r="AU71" s="15">
        <v>100</v>
      </c>
      <c r="AV71" s="15">
        <v>0</v>
      </c>
      <c r="AW71" s="15">
        <v>0</v>
      </c>
      <c r="AX71" s="15">
        <v>0</v>
      </c>
      <c r="AY71">
        <v>1551.8913076240499</v>
      </c>
    </row>
    <row r="72" spans="1:51" x14ac:dyDescent="0.25">
      <c r="A72">
        <v>96</v>
      </c>
      <c r="B72" s="4">
        <v>0.94071180248013098</v>
      </c>
      <c r="C72" s="4">
        <v>43.781170525524502</v>
      </c>
      <c r="D72" s="4">
        <v>51.973701665965201</v>
      </c>
      <c r="E72" s="4">
        <v>4.6859734861038102E-2</v>
      </c>
      <c r="F72" s="5">
        <v>5.9288197519868198E-2</v>
      </c>
      <c r="G72" s="5">
        <v>0</v>
      </c>
      <c r="H72" s="4">
        <v>5.2499824232844201</v>
      </c>
      <c r="I72" s="4">
        <v>3.64595808156486</v>
      </c>
      <c r="J72" s="4">
        <v>17.444702628484102</v>
      </c>
      <c r="K72" s="4">
        <v>181.59610793375799</v>
      </c>
      <c r="L72" s="4">
        <v>14.8604337432288</v>
      </c>
      <c r="M72" s="4">
        <v>34.973725802447099</v>
      </c>
      <c r="N72" s="4">
        <v>82.763741354670401</v>
      </c>
      <c r="O72" s="4">
        <v>74.726780084385496</v>
      </c>
      <c r="P72" s="4">
        <v>287481.97163218702</v>
      </c>
      <c r="Q72" s="4">
        <v>268681.62557639199</v>
      </c>
      <c r="R72" s="4">
        <v>777.08563682904798</v>
      </c>
      <c r="S72" s="4">
        <v>0</v>
      </c>
      <c r="T72" s="4">
        <v>0</v>
      </c>
      <c r="U72" s="4">
        <v>0.26557925364023699</v>
      </c>
      <c r="V72" s="4">
        <v>0</v>
      </c>
      <c r="W72" s="4">
        <v>0</v>
      </c>
      <c r="X72" s="4">
        <v>0.36856528640119401</v>
      </c>
      <c r="Y72" s="4">
        <v>0</v>
      </c>
      <c r="Z72" s="5">
        <v>4.3254617264847003E-4</v>
      </c>
      <c r="AA72" s="5">
        <v>8.0711194777977004E-4</v>
      </c>
      <c r="AB72" s="10">
        <v>3.7172619565654201E-3</v>
      </c>
      <c r="AC72" s="10">
        <v>7.3055524506783002E-5</v>
      </c>
      <c r="AD72" s="10">
        <v>5.4258206534626902E-2</v>
      </c>
      <c r="AE72" s="4">
        <v>4.7334585106384303E-2</v>
      </c>
      <c r="AF72" s="4">
        <v>0.65688511203575695</v>
      </c>
      <c r="AG72" s="4">
        <v>0.92608237889660106</v>
      </c>
      <c r="AH72" s="4">
        <v>0.96831060651491696</v>
      </c>
      <c r="AI72" s="4">
        <v>0.99847229712362195</v>
      </c>
      <c r="AJ72" s="4">
        <v>1</v>
      </c>
      <c r="AK72" s="4">
        <v>1</v>
      </c>
      <c r="AL72" s="4">
        <v>1</v>
      </c>
      <c r="AM72" s="4">
        <v>0</v>
      </c>
      <c r="AN72" s="4">
        <v>0</v>
      </c>
      <c r="AO72" s="4" t="s">
        <v>82</v>
      </c>
      <c r="AP72" s="4" t="s">
        <v>83</v>
      </c>
      <c r="AQ72" s="6">
        <v>487119787.17000002</v>
      </c>
      <c r="AR72" s="4">
        <v>1813</v>
      </c>
      <c r="AS72" s="15">
        <v>100</v>
      </c>
      <c r="AT72" s="15">
        <v>0</v>
      </c>
      <c r="AU72" s="15">
        <v>100</v>
      </c>
      <c r="AV72" s="15">
        <v>0</v>
      </c>
      <c r="AW72" s="15">
        <v>0</v>
      </c>
      <c r="AX72" s="15">
        <v>0</v>
      </c>
      <c r="AY72">
        <v>1702.1715379391501</v>
      </c>
    </row>
    <row r="73" spans="1:51" x14ac:dyDescent="0.25">
      <c r="A73">
        <v>96</v>
      </c>
      <c r="B73" s="4">
        <v>0.93555925062257395</v>
      </c>
      <c r="C73" s="4">
        <v>45.561831459272902</v>
      </c>
      <c r="D73" s="4">
        <v>55.036970201589597</v>
      </c>
      <c r="E73" s="4">
        <v>4.9412807104974997E-2</v>
      </c>
      <c r="F73" s="5">
        <v>6.4440749377425902E-2</v>
      </c>
      <c r="G73" s="5">
        <v>0</v>
      </c>
      <c r="H73" s="4">
        <v>5.1789522712798899</v>
      </c>
      <c r="I73" s="4">
        <v>3.6468912892119301</v>
      </c>
      <c r="J73" s="4">
        <v>14.3064337348336</v>
      </c>
      <c r="K73" s="4">
        <v>207.744873238998</v>
      </c>
      <c r="L73" s="4">
        <v>14.840363751509299</v>
      </c>
      <c r="M73" s="4">
        <v>26.2695716289868</v>
      </c>
      <c r="N73" s="4">
        <v>91.566058728266299</v>
      </c>
      <c r="O73" s="4">
        <v>75.637854048530897</v>
      </c>
      <c r="P73" s="4">
        <v>287006.46248254698</v>
      </c>
      <c r="Q73" s="4">
        <v>268955.64</v>
      </c>
      <c r="R73" s="4">
        <v>779.14197132514198</v>
      </c>
      <c r="S73" s="4">
        <v>0</v>
      </c>
      <c r="T73" s="4">
        <v>0</v>
      </c>
      <c r="U73" s="4">
        <v>0.22380487612123501</v>
      </c>
      <c r="V73" s="4">
        <v>0</v>
      </c>
      <c r="W73" s="4">
        <v>0</v>
      </c>
      <c r="X73" s="4">
        <v>0.24493039017941301</v>
      </c>
      <c r="Y73" s="4">
        <v>0</v>
      </c>
      <c r="Z73" s="5">
        <v>4.7911781549654501E-4</v>
      </c>
      <c r="AA73" s="5">
        <v>7.1110226540214202E-4</v>
      </c>
      <c r="AB73" s="10">
        <v>4.2725465412449398E-3</v>
      </c>
      <c r="AC73" s="10">
        <v>5.1572348811730205E-4</v>
      </c>
      <c r="AD73" s="10">
        <v>5.8462242488498399E-2</v>
      </c>
      <c r="AE73" s="4">
        <v>0.12713491322170101</v>
      </c>
      <c r="AF73" s="4">
        <v>0.25988853031674602</v>
      </c>
      <c r="AG73" s="4">
        <v>0.55131650820816502</v>
      </c>
      <c r="AH73" s="4">
        <v>0.68317242604365103</v>
      </c>
      <c r="AI73" s="4">
        <v>1</v>
      </c>
      <c r="AJ73" s="4">
        <v>1</v>
      </c>
      <c r="AK73" s="4">
        <v>1</v>
      </c>
      <c r="AL73" s="4">
        <v>1</v>
      </c>
      <c r="AM73" s="4">
        <v>0</v>
      </c>
      <c r="AN73" s="4">
        <v>0</v>
      </c>
      <c r="AO73" s="4" t="s">
        <v>84</v>
      </c>
      <c r="AP73" s="4" t="s">
        <v>85</v>
      </c>
      <c r="AQ73" s="6">
        <v>17482116.600000001</v>
      </c>
      <c r="AR73" s="4">
        <v>65</v>
      </c>
      <c r="AS73" s="15">
        <v>100</v>
      </c>
      <c r="AT73" s="15">
        <v>0</v>
      </c>
      <c r="AU73" s="15">
        <v>100</v>
      </c>
      <c r="AV73" s="15">
        <v>0</v>
      </c>
      <c r="AW73" s="15">
        <v>0</v>
      </c>
      <c r="AX73" s="15">
        <v>0</v>
      </c>
      <c r="AY73">
        <v>1725.9623393224899</v>
      </c>
    </row>
    <row r="74" spans="1:51" x14ac:dyDescent="0.25">
      <c r="A74">
        <v>96</v>
      </c>
      <c r="B74" s="4">
        <v>0.94171799233384201</v>
      </c>
      <c r="C74" s="4">
        <v>94.551143370960006</v>
      </c>
      <c r="D74" s="4">
        <v>51.353632448242401</v>
      </c>
      <c r="E74" s="4">
        <v>0.215320846192427</v>
      </c>
      <c r="F74" s="5">
        <v>5.8282007666157598E-2</v>
      </c>
      <c r="G74" s="5">
        <v>0</v>
      </c>
      <c r="H74" s="4">
        <v>5.2857905072799696</v>
      </c>
      <c r="I74" s="4">
        <v>3.6177346358610398</v>
      </c>
      <c r="J74" s="4">
        <v>16.4447984178727</v>
      </c>
      <c r="K74" s="4">
        <v>234.63504479658101</v>
      </c>
      <c r="L74" s="4">
        <v>19.649873271077102</v>
      </c>
      <c r="M74" s="4">
        <v>33.8525980993291</v>
      </c>
      <c r="N74" s="4">
        <v>95.971563104319998</v>
      </c>
      <c r="O74" s="4">
        <v>73.944313897209696</v>
      </c>
      <c r="P74" s="4">
        <v>229530.48535731499</v>
      </c>
      <c r="Q74" s="4">
        <v>202900.68857142801</v>
      </c>
      <c r="R74" s="4">
        <v>794.97459586879302</v>
      </c>
      <c r="S74" s="4">
        <v>0</v>
      </c>
      <c r="T74" s="4">
        <v>0</v>
      </c>
      <c r="U74" s="4">
        <v>0.44507647309117698</v>
      </c>
      <c r="V74" s="4">
        <v>0</v>
      </c>
      <c r="W74" s="4">
        <v>0</v>
      </c>
      <c r="X74" s="4">
        <v>0.121445388040012</v>
      </c>
      <c r="Y74" s="4">
        <v>0</v>
      </c>
      <c r="Z74" s="5">
        <v>8.5375934433039498E-4</v>
      </c>
      <c r="AA74" s="5">
        <v>5.4584288642278895E-4</v>
      </c>
      <c r="AB74" s="10">
        <v>4.6657239470372898E-3</v>
      </c>
      <c r="AC74" s="10">
        <v>2.7921772609234598E-4</v>
      </c>
      <c r="AD74" s="10">
        <v>5.1937447128362402E-2</v>
      </c>
      <c r="AE74" s="4">
        <v>3.3251355809611097E-2</v>
      </c>
      <c r="AF74" s="4">
        <v>0.75443241824666896</v>
      </c>
      <c r="AG74" s="4">
        <v>0.75443241824666896</v>
      </c>
      <c r="AH74" s="4">
        <v>0.75443241824666896</v>
      </c>
      <c r="AI74" s="4">
        <v>1</v>
      </c>
      <c r="AJ74" s="4">
        <v>1</v>
      </c>
      <c r="AK74" s="4">
        <v>1</v>
      </c>
      <c r="AL74" s="4">
        <v>1</v>
      </c>
      <c r="AM74" s="4">
        <v>0</v>
      </c>
      <c r="AN74" s="4">
        <v>0</v>
      </c>
      <c r="AO74" s="4" t="s">
        <v>86</v>
      </c>
      <c r="AP74" s="4" t="s">
        <v>87</v>
      </c>
      <c r="AQ74" s="6">
        <v>1420304.82</v>
      </c>
      <c r="AR74" s="4">
        <v>7</v>
      </c>
      <c r="AS74" s="15">
        <v>100</v>
      </c>
      <c r="AT74" s="15">
        <v>0</v>
      </c>
      <c r="AU74" s="15">
        <v>100</v>
      </c>
      <c r="AV74" s="15">
        <v>0</v>
      </c>
      <c r="AW74" s="15">
        <v>0</v>
      </c>
      <c r="AX74" s="15">
        <v>0</v>
      </c>
      <c r="AY74">
        <v>1358.2889029299999</v>
      </c>
    </row>
    <row r="75" spans="1:51" x14ac:dyDescent="0.25">
      <c r="B75" s="4"/>
      <c r="C75" s="4"/>
      <c r="D75" s="4"/>
      <c r="E75" s="4"/>
      <c r="F75" s="5"/>
      <c r="G75" s="5"/>
      <c r="H75" s="4"/>
      <c r="I75" s="4"/>
      <c r="J75" s="4"/>
      <c r="K75" s="4"/>
      <c r="L75" s="4"/>
      <c r="M75" s="4"/>
      <c r="N75" s="4"/>
      <c r="O75" s="4"/>
      <c r="P75" s="4"/>
      <c r="Q75" s="4"/>
      <c r="R75" s="4"/>
      <c r="S75" s="4"/>
      <c r="T75" s="4"/>
      <c r="U75" s="4"/>
      <c r="V75" s="4"/>
      <c r="W75" s="4"/>
      <c r="X75" s="4"/>
      <c r="Y75" s="4"/>
      <c r="Z75" s="5"/>
      <c r="AA75" s="5"/>
      <c r="AB75" s="10"/>
      <c r="AC75" s="10"/>
      <c r="AD75" s="10"/>
      <c r="AE75" s="4"/>
      <c r="AF75" s="4"/>
      <c r="AG75" s="4"/>
      <c r="AH75" s="4"/>
      <c r="AI75" s="4"/>
      <c r="AJ75" s="4"/>
      <c r="AK75" s="4"/>
      <c r="AL75" s="4"/>
      <c r="AM75" s="4"/>
      <c r="AN75" s="4"/>
      <c r="AO75" s="4"/>
      <c r="AP75" s="4"/>
      <c r="AQ75" s="6"/>
      <c r="AR75" s="4"/>
      <c r="AS75" s="15"/>
      <c r="AT75" s="15"/>
      <c r="AU75" s="15"/>
      <c r="AV75" s="15"/>
      <c r="AW75" s="15"/>
      <c r="AX75" s="15"/>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7" spans="1:51" x14ac:dyDescent="0.25">
      <c r="L77" s="4" t="s">
        <v>160</v>
      </c>
      <c r="M77" s="35" t="s">
        <v>159</v>
      </c>
      <c r="O77" s="4"/>
      <c r="P77" s="30"/>
    </row>
    <row r="78" spans="1:51" s="35" customFormat="1" x14ac:dyDescent="0.25">
      <c r="L78" t="s">
        <v>153</v>
      </c>
      <c r="M78" s="4">
        <v>1.05</v>
      </c>
      <c r="O78" s="35" t="s">
        <v>169</v>
      </c>
      <c r="P78" s="35" t="s">
        <v>170</v>
      </c>
    </row>
    <row r="79" spans="1:51" s="35" customFormat="1" x14ac:dyDescent="0.25">
      <c r="L79" s="35" t="s">
        <v>184</v>
      </c>
      <c r="M79" s="39">
        <v>1</v>
      </c>
      <c r="O79" s="39">
        <v>1</v>
      </c>
      <c r="P79" s="35">
        <f>1-O79</f>
        <v>0</v>
      </c>
    </row>
    <row r="80" spans="1:51" s="35" customFormat="1" x14ac:dyDescent="0.25">
      <c r="M80" s="39"/>
    </row>
    <row r="81" spans="1:36" x14ac:dyDescent="0.25">
      <c r="K81" t="s">
        <v>98</v>
      </c>
      <c r="L81" t="s">
        <v>89</v>
      </c>
      <c r="M81" t="s">
        <v>90</v>
      </c>
    </row>
    <row r="82" spans="1:36" x14ac:dyDescent="0.25">
      <c r="A82" s="4" t="s">
        <v>93</v>
      </c>
      <c r="B82" t="str">
        <f>AQ2</f>
        <v>Balance</v>
      </c>
      <c r="C82" s="2" t="str">
        <f t="shared" ref="C82:C112"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185</v>
      </c>
      <c r="V82" t="s">
        <v>91</v>
      </c>
    </row>
    <row r="83" spans="1:36" s="35" customFormat="1" x14ac:dyDescent="0.25">
      <c r="A83" s="14">
        <f t="shared" ref="A83:A112" si="1">K3</f>
        <v>-155.24970909704001</v>
      </c>
      <c r="B83" s="32">
        <f t="shared" ref="B83:B112" si="2">AQ3/1000000000</f>
        <v>1.0728587999999999E-3</v>
      </c>
      <c r="C83" s="33" t="str">
        <f t="shared" si="0"/>
        <v>02:-175--150</v>
      </c>
      <c r="D83" s="34">
        <f t="shared" ref="D83:D112" si="3">E3</f>
        <v>9.3208909753931101E-9</v>
      </c>
      <c r="E83" s="34">
        <f t="shared" ref="E83:E112" si="4">Z3+AA3+AB3+AC3+AD3</f>
        <v>1.3154218407818391E-3</v>
      </c>
      <c r="F83" s="32"/>
      <c r="G83" s="33">
        <f t="shared" ref="G83:H98" si="5">(1-(1-D83)^12)*100</f>
        <v>1.118506854913548E-5</v>
      </c>
      <c r="H83" s="33">
        <f t="shared" si="5"/>
        <v>1.5671359271958618</v>
      </c>
      <c r="I83" s="33">
        <f t="shared" ref="I83:I112" si="6">(1-(1-SUM(Z42,AA42,AB42,AC42,AD42*M83))^12)*100</f>
        <v>1.5671359271958618</v>
      </c>
      <c r="K83" s="14">
        <f>VLOOKUP($C83,'Refi Adj'!$B$2:$E$32,2,0)</f>
        <v>1</v>
      </c>
      <c r="L83" s="14">
        <f>VLOOKUP($C83,'Refi Adj'!$B$2:$E$32,3,0)</f>
        <v>1</v>
      </c>
      <c r="M83" s="14">
        <f>VLOOKUP($C83,'Refi Adj'!$B$2:$E$32,4,0)</f>
        <v>1</v>
      </c>
      <c r="O83" s="40">
        <f t="shared" ref="O83:O112" si="7">AD42*M83</f>
        <v>0</v>
      </c>
      <c r="P83" s="40">
        <f t="shared" ref="P83:P112" si="8">AD3</f>
        <v>0</v>
      </c>
      <c r="Q83" s="40">
        <f t="shared" ref="Q83:Q112" si="9">(O83*$O$79+P83*$P$79)</f>
        <v>0</v>
      </c>
      <c r="R83" s="14"/>
      <c r="S83" s="34">
        <f t="shared" ref="S83:S88" si="10">Z3+AA3+AB3*K83+AC3*L83+Q83*$M$78</f>
        <v>1.3154218407818391E-3</v>
      </c>
      <c r="T83" s="33">
        <f t="shared" ref="T83:T112" si="11">100*(1-(1-S83)^12)</f>
        <v>1.5671359271958618</v>
      </c>
      <c r="U83" s="33">
        <f>100*(1-(1-S83*$M$79)^12)</f>
        <v>1.5671359271958618</v>
      </c>
      <c r="V83" s="36">
        <f t="shared" ref="V83:V112" si="12">D83/S83</f>
        <v>7.0858569368538921E-6</v>
      </c>
      <c r="X83" s="37"/>
      <c r="Y83" s="34"/>
      <c r="Z83" s="34"/>
      <c r="AD83" s="34"/>
      <c r="AE83" s="34"/>
      <c r="AJ83" s="34"/>
    </row>
    <row r="84" spans="1:36" s="35" customFormat="1" x14ac:dyDescent="0.25">
      <c r="A84" s="14">
        <f t="shared" si="1"/>
        <v>-139.56698353388001</v>
      </c>
      <c r="B84" s="32">
        <f t="shared" si="2"/>
        <v>1.3908455900000002E-3</v>
      </c>
      <c r="C84" s="33" t="str">
        <f t="shared" si="0"/>
        <v>03:-150--125</v>
      </c>
      <c r="D84" s="34">
        <f t="shared" si="3"/>
        <v>1.4379741360219901E-8</v>
      </c>
      <c r="E84" s="34">
        <f t="shared" si="4"/>
        <v>1.5573356006419754E-3</v>
      </c>
      <c r="F84" s="32"/>
      <c r="G84" s="33">
        <f t="shared" si="5"/>
        <v>1.7255688311568207E-5</v>
      </c>
      <c r="H84" s="33">
        <f t="shared" si="5"/>
        <v>1.8528785827240712</v>
      </c>
      <c r="I84" s="33">
        <f t="shared" si="6"/>
        <v>1.8987321320093509</v>
      </c>
      <c r="K84" s="14">
        <f>VLOOKUP($C84,'Refi Adj'!$B$2:$E$32,2,0)</f>
        <v>1</v>
      </c>
      <c r="L84" s="14">
        <f>VLOOKUP($C84,'Refi Adj'!$B$2:$E$32,3,0)</f>
        <v>1</v>
      </c>
      <c r="M84" s="14">
        <f>VLOOKUP($C84,'Refi Adj'!$B$2:$E$32,4,0)</f>
        <v>1</v>
      </c>
      <c r="O84" s="40">
        <f t="shared" si="7"/>
        <v>4.27750645569505E-5</v>
      </c>
      <c r="P84" s="40">
        <f t="shared" si="8"/>
        <v>3.8947035398803599E-6</v>
      </c>
      <c r="Q84" s="40">
        <f t="shared" si="9"/>
        <v>4.27750645569505E-5</v>
      </c>
      <c r="R84" s="14"/>
      <c r="S84" s="34">
        <f t="shared" si="10"/>
        <v>1.5983547148868929E-3</v>
      </c>
      <c r="T84" s="33">
        <f t="shared" si="11"/>
        <v>1.901253900472033</v>
      </c>
      <c r="U84" s="33">
        <f t="shared" ref="U84:U112" si="13">100*(1-(1-S84*$M$79)^12)</f>
        <v>1.901253900472033</v>
      </c>
      <c r="V84" s="36">
        <f t="shared" si="12"/>
        <v>8.9965895719445975E-6</v>
      </c>
      <c r="X84" s="37"/>
      <c r="Y84" s="34"/>
      <c r="Z84" s="34"/>
      <c r="AC84" s="37"/>
      <c r="AD84" s="34"/>
      <c r="AE84" s="34"/>
      <c r="AJ84" s="34"/>
    </row>
    <row r="85" spans="1:36" s="35" customFormat="1" x14ac:dyDescent="0.25">
      <c r="A85" s="14">
        <f t="shared" si="1"/>
        <v>-104.159965912967</v>
      </c>
      <c r="B85" s="32">
        <f t="shared" si="2"/>
        <v>6.3374832999999993E-4</v>
      </c>
      <c r="C85" s="33" t="str">
        <f t="shared" si="0"/>
        <v>04:-125--100</v>
      </c>
      <c r="D85" s="34">
        <f t="shared" si="3"/>
        <v>0</v>
      </c>
      <c r="E85" s="34">
        <f t="shared" si="4"/>
        <v>1.7366732758371053E-3</v>
      </c>
      <c r="F85" s="32"/>
      <c r="G85" s="33">
        <f t="shared" si="5"/>
        <v>0</v>
      </c>
      <c r="H85" s="33">
        <f t="shared" si="5"/>
        <v>2.0642168901828906</v>
      </c>
      <c r="I85" s="33">
        <f t="shared" si="6"/>
        <v>2.769258335079483</v>
      </c>
      <c r="K85" s="14">
        <f>VLOOKUP($C85,'Refi Adj'!$B$2:$E$32,2,0)</f>
        <v>1</v>
      </c>
      <c r="L85" s="14">
        <f>VLOOKUP($C85,'Refi Adj'!$B$2:$E$32,3,0)</f>
        <v>1</v>
      </c>
      <c r="M85" s="14">
        <f>VLOOKUP($C85,'Refi Adj'!$B$2:$E$32,4,0)</f>
        <v>1</v>
      </c>
      <c r="O85" s="40">
        <f t="shared" si="7"/>
        <v>6.8114854232120803E-4</v>
      </c>
      <c r="P85" s="40">
        <f t="shared" si="8"/>
        <v>8.0287096375307202E-5</v>
      </c>
      <c r="Q85" s="40">
        <f t="shared" si="9"/>
        <v>6.8114854232120803E-4</v>
      </c>
      <c r="R85" s="14"/>
      <c r="S85" s="34">
        <f t="shared" si="10"/>
        <v>2.3715921488990667E-3</v>
      </c>
      <c r="T85" s="33">
        <f t="shared" si="11"/>
        <v>2.809081108980005</v>
      </c>
      <c r="U85" s="33">
        <f t="shared" si="13"/>
        <v>2.809081108980005</v>
      </c>
      <c r="V85" s="36">
        <f t="shared" si="12"/>
        <v>0</v>
      </c>
      <c r="X85" s="37"/>
      <c r="Y85" s="34"/>
      <c r="Z85" s="34"/>
      <c r="AC85" s="37"/>
      <c r="AD85" s="34"/>
      <c r="AE85" s="34"/>
      <c r="AJ85" s="34"/>
    </row>
    <row r="86" spans="1:36" s="35" customFormat="1" x14ac:dyDescent="0.25">
      <c r="A86" s="14">
        <f t="shared" si="1"/>
        <v>-81.600523239363596</v>
      </c>
      <c r="B86" s="32">
        <f t="shared" si="2"/>
        <v>1.4095134679999999E-2</v>
      </c>
      <c r="C86" s="33" t="str">
        <f t="shared" si="0"/>
        <v>05:-100--75</v>
      </c>
      <c r="D86" s="34">
        <f t="shared" si="3"/>
        <v>2.5550213110128099E-3</v>
      </c>
      <c r="E86" s="34">
        <f t="shared" si="4"/>
        <v>2.0273263958497404E-3</v>
      </c>
      <c r="F86" s="32"/>
      <c r="G86" s="33">
        <f t="shared" si="5"/>
        <v>3.0233047380241351</v>
      </c>
      <c r="H86" s="33">
        <f t="shared" si="5"/>
        <v>2.4058478094504565</v>
      </c>
      <c r="I86" s="33">
        <f t="shared" si="6"/>
        <v>4.7714699609697542</v>
      </c>
      <c r="K86" s="14">
        <f>VLOOKUP($C86,'Refi Adj'!$B$2:$E$32,2,0)</f>
        <v>1</v>
      </c>
      <c r="L86" s="14">
        <f>VLOOKUP($C86,'Refi Adj'!$B$2:$E$32,3,0)</f>
        <v>1</v>
      </c>
      <c r="M86" s="14">
        <f>VLOOKUP($C86,'Refi Adj'!$B$2:$E$32,4,0)</f>
        <v>1</v>
      </c>
      <c r="O86" s="40">
        <f t="shared" si="7"/>
        <v>2.38095932101157E-3</v>
      </c>
      <c r="P86" s="40">
        <f t="shared" si="8"/>
        <v>3.4235709523489902E-4</v>
      </c>
      <c r="Q86" s="40">
        <f t="shared" si="9"/>
        <v>2.38095932101157E-3</v>
      </c>
      <c r="R86" s="14"/>
      <c r="S86" s="34">
        <f t="shared" si="10"/>
        <v>4.1849765876769904E-3</v>
      </c>
      <c r="T86" s="33">
        <f t="shared" si="11"/>
        <v>4.9079767386698059</v>
      </c>
      <c r="U86" s="33">
        <f t="shared" si="13"/>
        <v>4.9079767386698059</v>
      </c>
      <c r="V86" s="36">
        <f t="shared" si="12"/>
        <v>0.61052224725373172</v>
      </c>
      <c r="X86" s="37"/>
      <c r="Y86" s="34"/>
      <c r="Z86" s="34"/>
      <c r="AC86" s="37"/>
      <c r="AD86" s="34"/>
      <c r="AE86" s="34"/>
      <c r="AH86" s="37"/>
      <c r="AI86" s="34"/>
      <c r="AJ86" s="34"/>
    </row>
    <row r="87" spans="1:36" x14ac:dyDescent="0.25">
      <c r="A87" s="4">
        <f t="shared" si="1"/>
        <v>-56.217107580504702</v>
      </c>
      <c r="B87" s="3">
        <f t="shared" si="2"/>
        <v>0.53267987974999997</v>
      </c>
      <c r="C87" s="2" t="str">
        <f t="shared" si="0"/>
        <v>06:-75--50</v>
      </c>
      <c r="D87" s="8">
        <f t="shared" si="3"/>
        <v>4.3449355242759698E-4</v>
      </c>
      <c r="E87" s="8">
        <f t="shared" si="4"/>
        <v>1.4332613406159444E-3</v>
      </c>
      <c r="F87" s="3"/>
      <c r="G87" s="2">
        <f t="shared" si="5"/>
        <v>0.52014808704500259</v>
      </c>
      <c r="H87" s="2">
        <f t="shared" si="5"/>
        <v>1.7064202027874842</v>
      </c>
      <c r="I87" s="33">
        <f t="shared" si="6"/>
        <v>1.8093432187256009</v>
      </c>
      <c r="K87" s="14">
        <f>VLOOKUP($C87,'Refi Adj'!$B$2:$E$32,2,0)</f>
        <v>1</v>
      </c>
      <c r="L87" s="14">
        <f>VLOOKUP($C87,'Refi Adj'!$B$2:$E$32,3,0)</f>
        <v>1</v>
      </c>
      <c r="M87" s="14">
        <f>VLOOKUP($C87,'Refi Adj'!$B$2:$E$32,4,0)</f>
        <v>0.5</v>
      </c>
      <c r="O87" s="40">
        <f t="shared" si="7"/>
        <v>1.313778627312895E-4</v>
      </c>
      <c r="P87" s="40">
        <f t="shared" si="8"/>
        <v>4.4202910575650798E-5</v>
      </c>
      <c r="Q87" s="40">
        <f t="shared" si="9"/>
        <v>1.313778627312895E-4</v>
      </c>
      <c r="R87" s="14"/>
      <c r="S87" s="34">
        <f t="shared" si="10"/>
        <v>1.5270051859081475E-3</v>
      </c>
      <c r="T87" s="2">
        <f t="shared" si="11"/>
        <v>1.8170947715856256</v>
      </c>
      <c r="U87" s="33">
        <f t="shared" si="13"/>
        <v>1.8170947715856256</v>
      </c>
      <c r="V87" s="7">
        <f t="shared" si="12"/>
        <v>0.28453967048526624</v>
      </c>
      <c r="X87" s="9"/>
      <c r="Y87" s="8"/>
      <c r="Z87" s="8"/>
      <c r="AC87" s="9"/>
      <c r="AD87" s="8"/>
      <c r="AE87" s="8"/>
      <c r="AH87" s="9"/>
      <c r="AI87" s="8"/>
      <c r="AJ87" s="8"/>
    </row>
    <row r="88" spans="1:36" x14ac:dyDescent="0.25">
      <c r="A88" s="4">
        <f t="shared" si="1"/>
        <v>-32.867869283327401</v>
      </c>
      <c r="B88" s="3">
        <f t="shared" si="2"/>
        <v>8.6885842669599995</v>
      </c>
      <c r="C88" s="2" t="str">
        <f t="shared" si="0"/>
        <v>07:-50--25</v>
      </c>
      <c r="D88" s="8">
        <f t="shared" si="3"/>
        <v>1.5312191315169301E-3</v>
      </c>
      <c r="E88" s="8">
        <f t="shared" si="4"/>
        <v>1.8784070028397863E-3</v>
      </c>
      <c r="F88" s="3"/>
      <c r="G88" s="2">
        <f t="shared" si="5"/>
        <v>1.8220670981790366</v>
      </c>
      <c r="H88" s="2">
        <f t="shared" si="5"/>
        <v>2.2309460755646437</v>
      </c>
      <c r="I88" s="33">
        <f t="shared" si="6"/>
        <v>2.9456400961914264</v>
      </c>
      <c r="K88" s="14">
        <f>VLOOKUP($C88,'Refi Adj'!$B$2:$E$32,2,0)</f>
        <v>1</v>
      </c>
      <c r="L88" s="14">
        <f>VLOOKUP($C88,'Refi Adj'!$B$2:$E$32,3,0)</f>
        <v>1</v>
      </c>
      <c r="M88" s="14">
        <f>VLOOKUP($C88,'Refi Adj'!$B$2:$E$32,4,0)</f>
        <v>0.5</v>
      </c>
      <c r="O88" s="40">
        <f t="shared" si="7"/>
        <v>7.9122939110331495E-4</v>
      </c>
      <c r="P88" s="40">
        <f t="shared" si="8"/>
        <v>1.8115837853023201E-4</v>
      </c>
      <c r="Q88" s="40">
        <f t="shared" si="9"/>
        <v>7.9122939110331495E-4</v>
      </c>
      <c r="R88" s="14"/>
      <c r="S88" s="34">
        <f t="shared" si="10"/>
        <v>2.5280394849680351E-3</v>
      </c>
      <c r="T88" s="2">
        <f t="shared" si="11"/>
        <v>2.9918203227940698</v>
      </c>
      <c r="U88" s="33">
        <f t="shared" si="13"/>
        <v>2.9918203227940698</v>
      </c>
      <c r="V88" s="7">
        <f t="shared" si="12"/>
        <v>0.60569431000651119</v>
      </c>
      <c r="X88" s="9"/>
      <c r="Y88" s="8"/>
      <c r="Z88" s="8"/>
      <c r="AC88" s="9"/>
      <c r="AD88" s="8"/>
      <c r="AE88" s="8"/>
      <c r="AH88" s="9"/>
      <c r="AI88" s="8"/>
      <c r="AJ88" s="8"/>
    </row>
    <row r="89" spans="1:36" x14ac:dyDescent="0.25">
      <c r="A89" s="4">
        <f t="shared" si="1"/>
        <v>-22.330318538920999</v>
      </c>
      <c r="B89" s="3">
        <f t="shared" si="2"/>
        <v>5.3432300848700001</v>
      </c>
      <c r="C89" s="2" t="str">
        <f t="shared" si="0"/>
        <v>08-1:-25--20</v>
      </c>
      <c r="D89" s="8">
        <f t="shared" si="3"/>
        <v>2.0069526091401899E-3</v>
      </c>
      <c r="E89" s="8">
        <f t="shared" si="4"/>
        <v>2.3421182886761279E-3</v>
      </c>
      <c r="F89" s="3"/>
      <c r="G89" s="2">
        <f t="shared" si="5"/>
        <v>2.3819363044301989</v>
      </c>
      <c r="H89" s="2">
        <f t="shared" si="5"/>
        <v>2.7746186932708583</v>
      </c>
      <c r="I89" s="33">
        <f t="shared" si="6"/>
        <v>4.3549694725908195</v>
      </c>
      <c r="K89" s="14">
        <f>VLOOKUP($C89,'Refi Adj'!$B$2:$E$32,2,0)</f>
        <v>1</v>
      </c>
      <c r="L89" s="14">
        <f>VLOOKUP($C89,'Refi Adj'!$B$2:$E$32,3,0)</f>
        <v>1</v>
      </c>
      <c r="M89" s="14">
        <f>VLOOKUP($C89,'Refi Adj'!$B$2:$E$32,4,0)</f>
        <v>0.51</v>
      </c>
      <c r="O89" s="40">
        <f t="shared" si="7"/>
        <v>1.7766399594777232E-3</v>
      </c>
      <c r="P89" s="40">
        <f t="shared" si="8"/>
        <v>4.15096600527675E-4</v>
      </c>
      <c r="Q89" s="40">
        <f t="shared" si="9"/>
        <v>1.7766399594777232E-3</v>
      </c>
      <c r="R89" s="14"/>
      <c r="S89" s="34">
        <f t="shared" ref="S89:S105" si="14">Z9+AA9+AB9*K89+AC9*L89+Q92*$M$78</f>
        <v>6.009831525261012E-3</v>
      </c>
      <c r="T89" s="2">
        <f t="shared" si="11"/>
        <v>6.9781299766466409</v>
      </c>
      <c r="U89" s="33">
        <f t="shared" si="13"/>
        <v>6.9781299766466409</v>
      </c>
      <c r="V89" s="7">
        <f t="shared" si="12"/>
        <v>0.33394490356416878</v>
      </c>
      <c r="X89" s="9"/>
      <c r="Y89" s="8"/>
      <c r="Z89" s="8"/>
      <c r="AC89" s="9"/>
      <c r="AD89" s="8"/>
      <c r="AE89" s="8"/>
      <c r="AH89" s="9"/>
      <c r="AI89" s="8"/>
      <c r="AJ89" s="8"/>
    </row>
    <row r="90" spans="1:36" x14ac:dyDescent="0.25">
      <c r="A90" s="4">
        <f t="shared" si="1"/>
        <v>-17.3751745624803</v>
      </c>
      <c r="B90" s="3">
        <f t="shared" si="2"/>
        <v>6.89895014815</v>
      </c>
      <c r="C90" s="2" t="str">
        <f t="shared" si="0"/>
        <v>08-2:-20--15</v>
      </c>
      <c r="D90" s="8">
        <f t="shared" si="3"/>
        <v>2.8792951352651602E-3</v>
      </c>
      <c r="E90" s="8">
        <f t="shared" si="4"/>
        <v>2.6006686924127283E-3</v>
      </c>
      <c r="F90" s="3"/>
      <c r="G90" s="2">
        <f t="shared" si="5"/>
        <v>3.4009596760891547</v>
      </c>
      <c r="H90" s="2">
        <f t="shared" si="5"/>
        <v>3.0765481938754391</v>
      </c>
      <c r="I90" s="33">
        <f t="shared" si="6"/>
        <v>5.2201507615234011</v>
      </c>
      <c r="K90" s="14">
        <f>VLOOKUP($C90,'Refi Adj'!$B$2:$E$32,2,0)</f>
        <v>1</v>
      </c>
      <c r="L90" s="14">
        <f>VLOOKUP($C90,'Refi Adj'!$B$2:$E$32,3,0)</f>
        <v>1</v>
      </c>
      <c r="M90" s="14">
        <f>VLOOKUP($C90,'Refi Adj'!$B$2:$E$32,4,0)</f>
        <v>0.52</v>
      </c>
      <c r="O90" s="40">
        <f t="shared" si="7"/>
        <v>2.4327780697303981E-3</v>
      </c>
      <c r="P90" s="40">
        <f t="shared" si="8"/>
        <v>5.7563243615080099E-4</v>
      </c>
      <c r="Q90" s="40">
        <f t="shared" si="9"/>
        <v>2.4327780697303981E-3</v>
      </c>
      <c r="R90" s="14"/>
      <c r="S90" s="34">
        <f t="shared" si="14"/>
        <v>7.2120630054357832E-3</v>
      </c>
      <c r="T90" s="2">
        <f t="shared" si="11"/>
        <v>8.3193045892063218</v>
      </c>
      <c r="U90" s="33">
        <f t="shared" si="13"/>
        <v>8.3193045892063218</v>
      </c>
      <c r="V90" s="7">
        <f t="shared" si="12"/>
        <v>0.39923321982836463</v>
      </c>
      <c r="X90" s="9"/>
      <c r="Y90" s="8"/>
      <c r="Z90" s="8"/>
      <c r="AC90" s="9"/>
      <c r="AD90" s="8"/>
      <c r="AE90" s="8"/>
      <c r="AH90" s="9"/>
      <c r="AI90" s="8"/>
      <c r="AJ90" s="8"/>
    </row>
    <row r="91" spans="1:36" x14ac:dyDescent="0.25">
      <c r="A91" s="4">
        <f t="shared" si="1"/>
        <v>-12.419138582913201</v>
      </c>
      <c r="B91" s="3">
        <f t="shared" si="2"/>
        <v>8.1035585937600008</v>
      </c>
      <c r="C91" s="2" t="str">
        <f t="shared" si="0"/>
        <v>08-3:-15--10</v>
      </c>
      <c r="D91" s="8">
        <f t="shared" si="3"/>
        <v>4.6857658091720902E-3</v>
      </c>
      <c r="E91" s="8">
        <f t="shared" si="4"/>
        <v>2.9236114032519102E-3</v>
      </c>
      <c r="F91" s="3"/>
      <c r="G91" s="2">
        <f t="shared" si="5"/>
        <v>5.4802464539530078</v>
      </c>
      <c r="H91" s="2">
        <f t="shared" si="5"/>
        <v>3.452466331035331</v>
      </c>
      <c r="I91" s="33">
        <f t="shared" si="6"/>
        <v>6.2068287253605137</v>
      </c>
      <c r="K91" s="14">
        <f>VLOOKUP($C91,'Refi Adj'!$B$2:$E$32,2,0)</f>
        <v>1</v>
      </c>
      <c r="L91" s="14">
        <f>VLOOKUP($C91,'Refi Adj'!$B$2:$E$32,3,0)</f>
        <v>1</v>
      </c>
      <c r="M91" s="14">
        <f>VLOOKUP($C91,'Refi Adj'!$B$2:$E$32,4,0)</f>
        <v>0.53</v>
      </c>
      <c r="O91" s="40">
        <f t="shared" si="7"/>
        <v>3.1550380745014252E-3</v>
      </c>
      <c r="P91" s="40">
        <f t="shared" si="8"/>
        <v>7.5303664302541699E-4</v>
      </c>
      <c r="Q91" s="40">
        <f t="shared" si="9"/>
        <v>3.1550380745014252E-3</v>
      </c>
      <c r="R91" s="14"/>
      <c r="S91" s="34">
        <f t="shared" si="14"/>
        <v>8.7467163881400928E-3</v>
      </c>
      <c r="T91" s="2">
        <f t="shared" si="11"/>
        <v>10.005562335702066</v>
      </c>
      <c r="U91" s="33">
        <f t="shared" si="13"/>
        <v>10.005562335702066</v>
      </c>
      <c r="V91" s="7">
        <f t="shared" si="12"/>
        <v>0.5357171310053731</v>
      </c>
      <c r="X91" s="9"/>
      <c r="Y91" s="8"/>
      <c r="Z91" s="8"/>
      <c r="AC91" s="9"/>
      <c r="AD91" s="8"/>
      <c r="AE91" s="8"/>
      <c r="AH91" s="9"/>
      <c r="AI91" s="8"/>
      <c r="AJ91" s="8"/>
    </row>
    <row r="92" spans="1:36" x14ac:dyDescent="0.25">
      <c r="A92" s="4">
        <f t="shared" si="1"/>
        <v>-7.5929594463766197</v>
      </c>
      <c r="B92" s="3">
        <f t="shared" si="2"/>
        <v>8.3254875014700005</v>
      </c>
      <c r="C92" s="2" t="str">
        <f t="shared" si="0"/>
        <v>08-4:-10--5</v>
      </c>
      <c r="D92" s="8">
        <f t="shared" si="3"/>
        <v>8.5682819950246708E-3</v>
      </c>
      <c r="E92" s="8">
        <f t="shared" si="4"/>
        <v>3.2153244661160996E-3</v>
      </c>
      <c r="F92" s="3"/>
      <c r="G92" s="2">
        <f t="shared" si="5"/>
        <v>9.8109721822038249</v>
      </c>
      <c r="H92" s="2">
        <f t="shared" si="5"/>
        <v>3.7908825430377546</v>
      </c>
      <c r="I92" s="33">
        <f t="shared" si="6"/>
        <v>7.1590203125654011</v>
      </c>
      <c r="K92" s="14">
        <f>VLOOKUP($C92,'Refi Adj'!$B$2:$E$32,2,0)</f>
        <v>1</v>
      </c>
      <c r="L92" s="14">
        <f>VLOOKUP($C92,'Refi Adj'!$B$2:$E$32,3,0)</f>
        <v>1</v>
      </c>
      <c r="M92" s="14">
        <f>VLOOKUP($C92,'Refi Adj'!$B$2:$E$32,4,0)</f>
        <v>0.54</v>
      </c>
      <c r="O92" s="40">
        <f t="shared" si="7"/>
        <v>3.8883903210595802E-3</v>
      </c>
      <c r="P92" s="40">
        <f t="shared" si="8"/>
        <v>9.3266340672772498E-4</v>
      </c>
      <c r="Q92" s="40">
        <f t="shared" si="9"/>
        <v>3.8883903210595802E-3</v>
      </c>
      <c r="R92" s="14"/>
      <c r="S92" s="34">
        <f t="shared" si="14"/>
        <v>1.0642004630714439E-2</v>
      </c>
      <c r="T92" s="2">
        <f t="shared" si="11"/>
        <v>12.048831494919821</v>
      </c>
      <c r="U92" s="33">
        <f t="shared" si="13"/>
        <v>12.048831494919821</v>
      </c>
      <c r="V92" s="7">
        <f t="shared" si="12"/>
        <v>0.80513796905287094</v>
      </c>
      <c r="X92" s="9"/>
      <c r="Y92" s="8"/>
      <c r="Z92" s="8"/>
      <c r="AC92" s="9"/>
      <c r="AD92" s="8"/>
      <c r="AE92" s="8"/>
      <c r="AH92" s="9"/>
      <c r="AI92" s="8"/>
      <c r="AJ92" s="8"/>
    </row>
    <row r="93" spans="1:36" x14ac:dyDescent="0.25">
      <c r="A93" s="4">
        <f t="shared" si="1"/>
        <v>-2.3979690429827101</v>
      </c>
      <c r="B93" s="3">
        <f t="shared" si="2"/>
        <v>9.0366230646899997</v>
      </c>
      <c r="C93" s="2" t="str">
        <f t="shared" si="0"/>
        <v>08:-25-0</v>
      </c>
      <c r="D93" s="8">
        <f t="shared" si="3"/>
        <v>1.20690059791986E-2</v>
      </c>
      <c r="E93" s="8">
        <f t="shared" si="4"/>
        <v>3.7069434688805592E-3</v>
      </c>
      <c r="F93" s="3"/>
      <c r="G93" s="2">
        <f t="shared" si="5"/>
        <v>13.559090562948716</v>
      </c>
      <c r="H93" s="2">
        <f t="shared" si="5"/>
        <v>4.3587500851888006</v>
      </c>
      <c r="I93" s="33">
        <f t="shared" si="6"/>
        <v>8.5803301538721062</v>
      </c>
      <c r="K93" s="14">
        <f>VLOOKUP($C93,'Refi Adj'!$B$2:$E$32,2,0)</f>
        <v>1</v>
      </c>
      <c r="L93" s="14">
        <f>VLOOKUP($C93,'Refi Adj'!$B$2:$E$32,3,0)</f>
        <v>1</v>
      </c>
      <c r="M93" s="14">
        <f>VLOOKUP($C93,'Refi Adj'!$B$2:$E$32,4,0)</f>
        <v>0.55000000000000004</v>
      </c>
      <c r="O93" s="40">
        <f t="shared" si="7"/>
        <v>4.9400254754036728E-3</v>
      </c>
      <c r="P93" s="40">
        <f t="shared" si="8"/>
        <v>1.19904947881961E-3</v>
      </c>
      <c r="Q93" s="40">
        <f t="shared" si="9"/>
        <v>4.9400254754036728E-3</v>
      </c>
      <c r="R93" s="14"/>
      <c r="S93" s="34">
        <f t="shared" si="14"/>
        <v>1.3139751119847434E-2</v>
      </c>
      <c r="T93" s="2">
        <f t="shared" si="11"/>
        <v>14.676655753991186</v>
      </c>
      <c r="U93" s="33">
        <f t="shared" si="13"/>
        <v>14.676655753991186</v>
      </c>
      <c r="V93" s="7">
        <f t="shared" si="12"/>
        <v>0.91851100291911258</v>
      </c>
      <c r="X93" s="9"/>
      <c r="Y93" s="8"/>
      <c r="Z93" s="8"/>
      <c r="AC93" s="9"/>
      <c r="AD93" s="8"/>
      <c r="AE93" s="8"/>
      <c r="AH93" s="9"/>
      <c r="AI93" s="8"/>
      <c r="AJ93" s="8"/>
    </row>
    <row r="94" spans="1:36" x14ac:dyDescent="0.25">
      <c r="A94" s="4">
        <f t="shared" si="1"/>
        <v>2.6004574228175699</v>
      </c>
      <c r="B94" s="3">
        <f t="shared" si="2"/>
        <v>8.4085190687499995</v>
      </c>
      <c r="C94" s="2" t="str">
        <f t="shared" si="0"/>
        <v>09-1:0-5</v>
      </c>
      <c r="D94" s="8">
        <f t="shared" si="3"/>
        <v>1.78557757221115E-2</v>
      </c>
      <c r="E94" s="8">
        <f t="shared" si="4"/>
        <v>4.0892747861816913E-3</v>
      </c>
      <c r="F94" s="3"/>
      <c r="G94" s="2">
        <f t="shared" si="5"/>
        <v>19.44301486626696</v>
      </c>
      <c r="H94" s="2">
        <f t="shared" si="5"/>
        <v>4.7982540750983738</v>
      </c>
      <c r="I94" s="33">
        <f t="shared" si="6"/>
        <v>10.171713293555197</v>
      </c>
      <c r="K94" s="14">
        <f>VLOOKUP($C94,'Refi Adj'!$B$2:$E$32,2,0)</f>
        <v>1</v>
      </c>
      <c r="L94" s="14">
        <f>VLOOKUP($C94,'Refi Adj'!$B$2:$E$32,3,0)</f>
        <v>1</v>
      </c>
      <c r="M94" s="14">
        <f>VLOOKUP($C94,'Refi Adj'!$B$2:$E$32,4,0)</f>
        <v>0.60000000000000009</v>
      </c>
      <c r="O94" s="40">
        <f t="shared" si="7"/>
        <v>6.2629920265843807E-3</v>
      </c>
      <c r="P94" s="40">
        <f t="shared" si="8"/>
        <v>1.45291394211777E-3</v>
      </c>
      <c r="Q94" s="40">
        <f t="shared" si="9"/>
        <v>6.2629920265843807E-3</v>
      </c>
      <c r="R94" s="14"/>
      <c r="S94" s="34">
        <f t="shared" si="14"/>
        <v>1.574864867003568E-2</v>
      </c>
      <c r="T94" s="2">
        <f t="shared" si="11"/>
        <v>17.344408765000818</v>
      </c>
      <c r="U94" s="33">
        <f t="shared" si="13"/>
        <v>17.344408765000818</v>
      </c>
      <c r="V94" s="7">
        <f t="shared" si="12"/>
        <v>1.1337973242164558</v>
      </c>
      <c r="X94" s="9"/>
      <c r="Y94" s="8"/>
      <c r="Z94" s="8"/>
      <c r="AC94" s="9"/>
      <c r="AD94" s="8"/>
      <c r="AE94" s="8"/>
      <c r="AH94" s="9"/>
      <c r="AI94" s="8"/>
      <c r="AJ94" s="8"/>
    </row>
    <row r="95" spans="1:36" x14ac:dyDescent="0.25">
      <c r="A95" s="4">
        <f t="shared" si="1"/>
        <v>7.5251221594519997</v>
      </c>
      <c r="B95" s="3">
        <f t="shared" si="2"/>
        <v>8.5957749448299996</v>
      </c>
      <c r="C95" s="2" t="str">
        <f t="shared" si="0"/>
        <v>09-2:5-10</v>
      </c>
      <c r="D95" s="8">
        <f t="shared" si="3"/>
        <v>2.3178200662614799E-2</v>
      </c>
      <c r="E95" s="8">
        <f t="shared" si="4"/>
        <v>4.6310227898748984E-3</v>
      </c>
      <c r="F95" s="3"/>
      <c r="G95" s="2">
        <f t="shared" si="5"/>
        <v>24.528302841525207</v>
      </c>
      <c r="H95" s="2">
        <f t="shared" si="5"/>
        <v>5.4178437025724442</v>
      </c>
      <c r="I95" s="33">
        <f t="shared" si="6"/>
        <v>12.203269259967565</v>
      </c>
      <c r="K95" s="14">
        <f>VLOOKUP($C95,'Refi Adj'!$B$2:$E$32,2,0)</f>
        <v>1</v>
      </c>
      <c r="L95" s="14">
        <f>VLOOKUP($C95,'Refi Adj'!$B$2:$E$32,3,0)</f>
        <v>1</v>
      </c>
      <c r="M95" s="14">
        <f>VLOOKUP($C95,'Refi Adj'!$B$2:$E$32,4,0)</f>
        <v>0.65</v>
      </c>
      <c r="O95" s="40">
        <f t="shared" si="7"/>
        <v>7.961279591739109E-3</v>
      </c>
      <c r="P95" s="40">
        <f t="shared" si="8"/>
        <v>1.8054092588998701E-3</v>
      </c>
      <c r="Q95" s="40">
        <f t="shared" si="9"/>
        <v>7.961279591739109E-3</v>
      </c>
      <c r="R95" s="14"/>
      <c r="S95" s="34">
        <f t="shared" si="14"/>
        <v>1.898978039386439E-2</v>
      </c>
      <c r="T95" s="2">
        <f t="shared" si="11"/>
        <v>20.552107794400655</v>
      </c>
      <c r="U95" s="33">
        <f t="shared" si="13"/>
        <v>20.552107794400655</v>
      </c>
      <c r="V95" s="7">
        <f t="shared" si="12"/>
        <v>1.2205618065021799</v>
      </c>
      <c r="X95" s="9"/>
      <c r="Y95" s="8"/>
      <c r="Z95" s="8"/>
      <c r="AC95" s="9"/>
      <c r="AD95" s="8"/>
      <c r="AE95" s="8"/>
      <c r="AH95" s="9"/>
      <c r="AI95" s="8"/>
      <c r="AJ95" s="8"/>
    </row>
    <row r="96" spans="1:36" x14ac:dyDescent="0.25">
      <c r="A96" s="4">
        <f t="shared" si="1"/>
        <v>12.4470564709284</v>
      </c>
      <c r="B96" s="3">
        <f t="shared" si="2"/>
        <v>9.3023442197600001</v>
      </c>
      <c r="C96" s="2" t="str">
        <f t="shared" si="0"/>
        <v>09-3:10-15</v>
      </c>
      <c r="D96" s="8">
        <f t="shared" si="3"/>
        <v>3.0831941551417299E-2</v>
      </c>
      <c r="E96" s="8">
        <f t="shared" si="4"/>
        <v>5.3436041264151093E-3</v>
      </c>
      <c r="F96" s="3"/>
      <c r="G96" s="2">
        <f t="shared" si="5"/>
        <v>31.326511682829928</v>
      </c>
      <c r="H96" s="2">
        <f t="shared" si="5"/>
        <v>6.2271846423857298</v>
      </c>
      <c r="I96" s="33">
        <f t="shared" si="6"/>
        <v>14.725277590810959</v>
      </c>
      <c r="K96" s="14">
        <f>VLOOKUP($C96,'Refi Adj'!$B$2:$E$32,2,0)</f>
        <v>1</v>
      </c>
      <c r="L96" s="14">
        <f>VLOOKUP($C96,'Refi Adj'!$B$2:$E$32,3,0)</f>
        <v>1</v>
      </c>
      <c r="M96" s="14">
        <f>VLOOKUP($C96,'Refi Adj'!$B$2:$E$32,4,0)</f>
        <v>0.70000000000000007</v>
      </c>
      <c r="O96" s="40">
        <f t="shared" si="7"/>
        <v>1.012557821884427E-2</v>
      </c>
      <c r="P96" s="40">
        <f t="shared" si="8"/>
        <v>2.2825551376431E-3</v>
      </c>
      <c r="Q96" s="40">
        <f t="shared" si="9"/>
        <v>1.012557821884427E-2</v>
      </c>
      <c r="R96" s="14"/>
      <c r="S96" s="34">
        <f t="shared" si="14"/>
        <v>2.2205227860945413E-2</v>
      </c>
      <c r="T96" s="2">
        <f t="shared" si="11"/>
        <v>23.621252674074434</v>
      </c>
      <c r="U96" s="33">
        <f t="shared" si="13"/>
        <v>23.621252674074434</v>
      </c>
      <c r="V96" s="7">
        <f t="shared" si="12"/>
        <v>1.3884992193952921</v>
      </c>
      <c r="X96" s="9"/>
      <c r="Y96" s="8"/>
      <c r="Z96" s="8"/>
      <c r="AC96" s="9"/>
      <c r="AD96" s="8"/>
      <c r="AE96" s="8"/>
      <c r="AH96" s="9"/>
      <c r="AI96" s="8"/>
      <c r="AJ96" s="8"/>
    </row>
    <row r="97" spans="1:50" s="24" customFormat="1" x14ac:dyDescent="0.25">
      <c r="A97" s="4">
        <f t="shared" si="1"/>
        <v>17.488387400958299</v>
      </c>
      <c r="B97" s="3">
        <f t="shared" si="2"/>
        <v>9.7287142705300003</v>
      </c>
      <c r="C97" s="2" t="str">
        <f t="shared" si="0"/>
        <v>09-4:15-20</v>
      </c>
      <c r="D97" s="8">
        <f t="shared" si="3"/>
        <v>3.5021776102418099E-2</v>
      </c>
      <c r="E97" s="8">
        <f t="shared" si="4"/>
        <v>6.0358063056472778E-3</v>
      </c>
      <c r="F97" s="3"/>
      <c r="G97" s="2">
        <f t="shared" si="5"/>
        <v>34.805620560310544</v>
      </c>
      <c r="H97" s="2">
        <f t="shared" si="5"/>
        <v>7.0072957629505384</v>
      </c>
      <c r="I97" s="33">
        <f t="shared" si="6"/>
        <v>17.2955057002087</v>
      </c>
      <c r="J97"/>
      <c r="K97" s="14">
        <f>VLOOKUP($C97,'Refi Adj'!$B$2:$E$32,2,0)</f>
        <v>1</v>
      </c>
      <c r="L97" s="14">
        <f>VLOOKUP($C97,'Refi Adj'!$B$2:$E$32,3,0)</f>
        <v>1</v>
      </c>
      <c r="M97" s="14">
        <f>VLOOKUP($C97,'Refi Adj'!$B$2:$E$32,4,0)</f>
        <v>0.75</v>
      </c>
      <c r="O97" s="40">
        <f t="shared" si="7"/>
        <v>1.2487893167592152E-2</v>
      </c>
      <c r="P97" s="40">
        <f t="shared" si="8"/>
        <v>2.8235652266368001E-3</v>
      </c>
      <c r="Q97" s="40">
        <f t="shared" si="9"/>
        <v>1.2487893167592152E-2</v>
      </c>
      <c r="R97" s="14"/>
      <c r="S97" s="34">
        <f t="shared" si="14"/>
        <v>2.5655882618055625E-2</v>
      </c>
      <c r="T97" s="2">
        <f t="shared" si="11"/>
        <v>26.793708088195768</v>
      </c>
      <c r="U97" s="33">
        <f t="shared" si="13"/>
        <v>26.793708088195768</v>
      </c>
      <c r="V97" s="7">
        <f t="shared" si="12"/>
        <v>1.3650583230284628</v>
      </c>
      <c r="W97"/>
      <c r="X97" s="9"/>
      <c r="Y97" s="8"/>
      <c r="Z97" s="8"/>
      <c r="AA97"/>
      <c r="AB97"/>
      <c r="AC97" s="9"/>
      <c r="AD97" s="8"/>
      <c r="AE97" s="8"/>
      <c r="AF97"/>
      <c r="AG97"/>
      <c r="AH97" s="9"/>
      <c r="AI97" s="8"/>
      <c r="AJ97" s="8"/>
    </row>
    <row r="98" spans="1:50" s="24" customFormat="1" x14ac:dyDescent="0.25">
      <c r="A98" s="4">
        <f t="shared" si="1"/>
        <v>22.531536881459999</v>
      </c>
      <c r="B98" s="3">
        <f t="shared" si="2"/>
        <v>11.117574400500001</v>
      </c>
      <c r="C98" s="2" t="str">
        <f t="shared" si="0"/>
        <v>09:0-25</v>
      </c>
      <c r="D98" s="8">
        <f t="shared" si="3"/>
        <v>4.2217137139890303E-2</v>
      </c>
      <c r="E98" s="8">
        <f t="shared" si="4"/>
        <v>6.7802956876100457E-3</v>
      </c>
      <c r="F98" s="3"/>
      <c r="G98" s="2">
        <f t="shared" si="5"/>
        <v>40.405696842333924</v>
      </c>
      <c r="H98" s="2">
        <f t="shared" si="5"/>
        <v>7.8396909749820392</v>
      </c>
      <c r="I98" s="33">
        <f t="shared" si="6"/>
        <v>20.265514447551027</v>
      </c>
      <c r="J98"/>
      <c r="K98" s="14">
        <f>VLOOKUP($C98,'Refi Adj'!$B$2:$E$32,2,0)</f>
        <v>1</v>
      </c>
      <c r="L98" s="14">
        <f>VLOOKUP($C98,'Refi Adj'!$B$2:$E$32,3,0)</f>
        <v>1</v>
      </c>
      <c r="M98" s="14">
        <f>VLOOKUP($C98,'Refi Adj'!$B$2:$E$32,4,0)</f>
        <v>0.8</v>
      </c>
      <c r="O98" s="40">
        <f t="shared" si="7"/>
        <v>1.5394444631323202E-2</v>
      </c>
      <c r="P98" s="40">
        <f t="shared" si="8"/>
        <v>3.4793743114794802E-3</v>
      </c>
      <c r="Q98" s="40">
        <f t="shared" si="9"/>
        <v>1.5394444631323202E-2</v>
      </c>
      <c r="R98" s="14"/>
      <c r="S98" s="34">
        <f t="shared" si="14"/>
        <v>2.9268978259784303E-2</v>
      </c>
      <c r="T98" s="2">
        <f t="shared" si="11"/>
        <v>29.985675414631629</v>
      </c>
      <c r="U98" s="33">
        <f t="shared" si="13"/>
        <v>29.985675414631629</v>
      </c>
      <c r="V98" s="7">
        <f t="shared" si="12"/>
        <v>1.4423850660307067</v>
      </c>
      <c r="W98"/>
      <c r="X98" s="9"/>
      <c r="Y98" s="8"/>
      <c r="Z98" s="8"/>
      <c r="AA98"/>
      <c r="AB98"/>
      <c r="AC98" s="9"/>
      <c r="AD98" s="8"/>
      <c r="AE98" s="8"/>
      <c r="AF98"/>
      <c r="AG98"/>
      <c r="AH98" s="9"/>
      <c r="AI98" s="8"/>
      <c r="AJ98" s="8"/>
    </row>
    <row r="99" spans="1:50" s="24" customFormat="1" x14ac:dyDescent="0.25">
      <c r="A99" s="4">
        <f t="shared" si="1"/>
        <v>27.521169349595901</v>
      </c>
      <c r="B99" s="3">
        <f t="shared" si="2"/>
        <v>10.86776327314</v>
      </c>
      <c r="C99" s="2" t="str">
        <f t="shared" si="0"/>
        <v>10-1:25-30</v>
      </c>
      <c r="D99" s="8">
        <f t="shared" si="3"/>
        <v>4.2076296992557299E-2</v>
      </c>
      <c r="E99" s="8">
        <f t="shared" si="4"/>
        <v>7.436330121440942E-3</v>
      </c>
      <c r="F99" s="3"/>
      <c r="G99" s="2">
        <f t="shared" ref="G99:H112" si="15">(1-(1-D99)^12)*100</f>
        <v>40.300453005504046</v>
      </c>
      <c r="H99" s="2">
        <f t="shared" si="15"/>
        <v>8.5675200003111343</v>
      </c>
      <c r="I99" s="33">
        <f t="shared" si="6"/>
        <v>23.033864288949037</v>
      </c>
      <c r="J99"/>
      <c r="K99" s="14">
        <f>VLOOKUP($C99,'Refi Adj'!$B$2:$E$32,2,0)</f>
        <v>1</v>
      </c>
      <c r="L99" s="14">
        <f>VLOOKUP($C99,'Refi Adj'!$B$2:$E$32,3,0)</f>
        <v>1</v>
      </c>
      <c r="M99" s="14">
        <f>VLOOKUP($C99,'Refi Adj'!$B$2:$E$32,4,0)</f>
        <v>0.85000000000000009</v>
      </c>
      <c r="O99" s="40">
        <f t="shared" si="7"/>
        <v>1.8232551306831813E-2</v>
      </c>
      <c r="P99" s="40">
        <f t="shared" si="8"/>
        <v>4.0880972687707797E-3</v>
      </c>
      <c r="Q99" s="40">
        <f t="shared" si="9"/>
        <v>1.8232551306831813E-2</v>
      </c>
      <c r="R99" s="14"/>
      <c r="S99" s="34">
        <f t="shared" si="14"/>
        <v>3.3200276051083895E-2</v>
      </c>
      <c r="T99" s="2">
        <f t="shared" si="11"/>
        <v>33.313455710154493</v>
      </c>
      <c r="U99" s="33">
        <f t="shared" si="13"/>
        <v>33.313455710154493</v>
      </c>
      <c r="V99" s="7">
        <f t="shared" si="12"/>
        <v>1.2673478054163236</v>
      </c>
      <c r="W99"/>
      <c r="X99" s="9"/>
      <c r="Y99" s="8"/>
      <c r="Z99" s="8"/>
      <c r="AA99"/>
      <c r="AB99"/>
      <c r="AC99" s="9"/>
      <c r="AD99" s="8"/>
      <c r="AE99" s="8"/>
      <c r="AF99"/>
      <c r="AG99"/>
      <c r="AH99" s="9"/>
      <c r="AI99" s="8"/>
      <c r="AJ99" s="8"/>
    </row>
    <row r="100" spans="1:50" s="24" customFormat="1" x14ac:dyDescent="0.25">
      <c r="A100" s="4">
        <f t="shared" si="1"/>
        <v>32.4779605108371</v>
      </c>
      <c r="B100" s="3">
        <f t="shared" si="2"/>
        <v>10.89020021524</v>
      </c>
      <c r="C100" s="2" t="str">
        <f t="shared" si="0"/>
        <v>10-2:30-35</v>
      </c>
      <c r="D100" s="8">
        <f t="shared" si="3"/>
        <v>4.4613242657963501E-2</v>
      </c>
      <c r="E100" s="8">
        <f t="shared" si="4"/>
        <v>8.1189607046090132E-3</v>
      </c>
      <c r="F100" s="3"/>
      <c r="G100" s="2">
        <f t="shared" si="15"/>
        <v>42.170344311486708</v>
      </c>
      <c r="H100" s="2">
        <f t="shared" si="15"/>
        <v>9.3192588776558676</v>
      </c>
      <c r="I100" s="33">
        <f t="shared" si="6"/>
        <v>25.998103148350726</v>
      </c>
      <c r="J100"/>
      <c r="K100" s="14">
        <f>VLOOKUP($C100,'Refi Adj'!$B$2:$E$32,2,0)</f>
        <v>1</v>
      </c>
      <c r="L100" s="14">
        <f>VLOOKUP($C100,'Refi Adj'!$B$2:$E$32,3,0)</f>
        <v>1</v>
      </c>
      <c r="M100" s="14">
        <f>VLOOKUP($C100,'Refi Adj'!$B$2:$E$32,4,0)</f>
        <v>0.9</v>
      </c>
      <c r="O100" s="40">
        <f t="shared" si="7"/>
        <v>2.1374896703852522E-2</v>
      </c>
      <c r="P100" s="40">
        <f t="shared" si="8"/>
        <v>4.7160393810543799E-3</v>
      </c>
      <c r="Q100" s="40">
        <f t="shared" si="9"/>
        <v>2.1374896703852522E-2</v>
      </c>
      <c r="R100" s="14"/>
      <c r="S100" s="34">
        <f t="shared" si="14"/>
        <v>3.7446382501548227E-2</v>
      </c>
      <c r="T100" s="2">
        <f t="shared" si="11"/>
        <v>36.744372787935596</v>
      </c>
      <c r="U100" s="33">
        <f t="shared" si="13"/>
        <v>36.744372787935596</v>
      </c>
      <c r="V100" s="7">
        <f t="shared" si="12"/>
        <v>1.1913899201376517</v>
      </c>
      <c r="W100"/>
      <c r="X100" s="9"/>
      <c r="Y100" s="8"/>
      <c r="Z100" s="8"/>
      <c r="AA100"/>
      <c r="AB100"/>
      <c r="AC100" s="9"/>
      <c r="AD100" s="8"/>
      <c r="AE100" s="8"/>
      <c r="AF100"/>
      <c r="AG100"/>
      <c r="AH100" s="9"/>
      <c r="AI100" s="8"/>
      <c r="AJ100" s="8"/>
    </row>
    <row r="101" spans="1:50" x14ac:dyDescent="0.25">
      <c r="A101" s="4">
        <f t="shared" si="1"/>
        <v>37.432595284797998</v>
      </c>
      <c r="B101" s="3">
        <f t="shared" si="2"/>
        <v>10.373062220969999</v>
      </c>
      <c r="C101" s="2" t="str">
        <f t="shared" si="0"/>
        <v>10-3:35-40</v>
      </c>
      <c r="D101" s="8">
        <f t="shared" si="3"/>
        <v>4.7686693139055499E-2</v>
      </c>
      <c r="E101" s="8">
        <f t="shared" si="4"/>
        <v>8.8096725139200534E-3</v>
      </c>
      <c r="F101" s="3"/>
      <c r="G101" s="2">
        <f t="shared" si="15"/>
        <v>44.363700767267055</v>
      </c>
      <c r="H101" s="2">
        <f t="shared" si="15"/>
        <v>10.074126718275433</v>
      </c>
      <c r="I101" s="33">
        <f t="shared" si="6"/>
        <v>29.063157337856392</v>
      </c>
      <c r="K101" s="14">
        <f>VLOOKUP($C101,'Refi Adj'!$B$2:$E$32,2,0)</f>
        <v>1</v>
      </c>
      <c r="L101" s="14">
        <f>VLOOKUP($C101,'Refi Adj'!$B$2:$E$32,3,0)</f>
        <v>1</v>
      </c>
      <c r="M101" s="14">
        <f>VLOOKUP($C101,'Refi Adj'!$B$2:$E$32,4,0)</f>
        <v>0.95000000000000007</v>
      </c>
      <c r="O101" s="40">
        <f t="shared" si="7"/>
        <v>2.4731482746336891E-2</v>
      </c>
      <c r="P101" s="40">
        <f t="shared" si="8"/>
        <v>5.3316672451418096E-3</v>
      </c>
      <c r="Q101" s="40">
        <f t="shared" si="9"/>
        <v>2.4731482746336891E-2</v>
      </c>
      <c r="R101" s="14"/>
      <c r="S101" s="34">
        <f t="shared" si="14"/>
        <v>4.0682432237495174E-2</v>
      </c>
      <c r="T101" s="2">
        <f t="shared" si="11"/>
        <v>39.249651711511746</v>
      </c>
      <c r="U101" s="33">
        <f t="shared" si="13"/>
        <v>39.249651711511746</v>
      </c>
      <c r="V101" s="7">
        <f t="shared" si="12"/>
        <v>1.1721691776113821</v>
      </c>
      <c r="X101" s="9"/>
      <c r="Y101" s="8"/>
      <c r="Z101" s="8"/>
      <c r="AC101" s="9"/>
      <c r="AD101" s="8"/>
      <c r="AE101" s="8"/>
      <c r="AH101" s="9"/>
      <c r="AI101" s="8"/>
      <c r="AJ101" s="8"/>
    </row>
    <row r="102" spans="1:50" x14ac:dyDescent="0.25">
      <c r="A102" s="4">
        <f t="shared" si="1"/>
        <v>42.405093877406301</v>
      </c>
      <c r="B102" s="3">
        <f t="shared" si="2"/>
        <v>9.0582772899500004</v>
      </c>
      <c r="C102" s="2" t="str">
        <f t="shared" si="0"/>
        <v>10-4:40-45</v>
      </c>
      <c r="D102" s="8">
        <f t="shared" si="3"/>
        <v>4.8582512227296301E-2</v>
      </c>
      <c r="E102" s="8">
        <f t="shared" si="4"/>
        <v>9.5368907362158375E-3</v>
      </c>
      <c r="F102" s="3"/>
      <c r="G102" s="2">
        <f t="shared" si="15"/>
        <v>44.988491033414121</v>
      </c>
      <c r="H102" s="2">
        <f t="shared" si="15"/>
        <v>10.862663346657609</v>
      </c>
      <c r="I102" s="33">
        <f t="shared" si="6"/>
        <v>32.305935076782369</v>
      </c>
      <c r="K102" s="14">
        <f>VLOOKUP($C102,'Refi Adj'!$B$2:$E$32,2,0)</f>
        <v>1</v>
      </c>
      <c r="L102" s="14">
        <f>VLOOKUP($C102,'Refi Adj'!$B$2:$E$32,3,0)</f>
        <v>1</v>
      </c>
      <c r="M102" s="14">
        <f>VLOOKUP($C102,'Refi Adj'!$B$2:$E$32,4,0)</f>
        <v>1</v>
      </c>
      <c r="O102" s="40">
        <f t="shared" si="7"/>
        <v>2.84305173318226E-2</v>
      </c>
      <c r="P102" s="40">
        <f t="shared" si="8"/>
        <v>5.9760090480450402E-3</v>
      </c>
      <c r="Q102" s="40">
        <f t="shared" si="9"/>
        <v>2.84305173318226E-2</v>
      </c>
      <c r="R102" s="14"/>
      <c r="S102" s="34">
        <f t="shared" si="14"/>
        <v>4.2808787702152074E-2</v>
      </c>
      <c r="T102" s="2">
        <f t="shared" si="11"/>
        <v>40.845956836059713</v>
      </c>
      <c r="U102" s="33">
        <f t="shared" si="13"/>
        <v>40.845956836059713</v>
      </c>
      <c r="V102" s="7">
        <f t="shared" si="12"/>
        <v>1.1348724137043005</v>
      </c>
      <c r="X102" s="9"/>
      <c r="Y102" s="8"/>
      <c r="Z102" s="8"/>
      <c r="AC102" s="9"/>
      <c r="AD102" s="8"/>
      <c r="AE102" s="8"/>
      <c r="AH102" s="9"/>
      <c r="AI102" s="8"/>
      <c r="AJ102" s="8"/>
    </row>
    <row r="103" spans="1:50" x14ac:dyDescent="0.25">
      <c r="A103" s="4">
        <f t="shared" si="1"/>
        <v>47.508522500165498</v>
      </c>
      <c r="B103" s="3">
        <f t="shared" si="2"/>
        <v>8.13698895994</v>
      </c>
      <c r="C103" s="2" t="str">
        <f t="shared" si="0"/>
        <v>10:25-50</v>
      </c>
      <c r="D103" s="8">
        <f t="shared" si="3"/>
        <v>4.6950562958361003E-2</v>
      </c>
      <c r="E103" s="8">
        <f t="shared" si="4"/>
        <v>1.0302003933901759E-2</v>
      </c>
      <c r="F103" s="3"/>
      <c r="G103" s="2">
        <f t="shared" si="15"/>
        <v>43.845424328571326</v>
      </c>
      <c r="H103" s="2">
        <f t="shared" si="15"/>
        <v>11.685443787816984</v>
      </c>
      <c r="I103" s="33">
        <f t="shared" si="6"/>
        <v>35.651688469798849</v>
      </c>
      <c r="K103" s="14">
        <f>VLOOKUP($C103,'Refi Adj'!$B$2:$E$32,2,0)</f>
        <v>1</v>
      </c>
      <c r="L103" s="14">
        <f>VLOOKUP($C103,'Refi Adj'!$B$2:$E$32,3,0)</f>
        <v>1</v>
      </c>
      <c r="M103" s="14">
        <f>VLOOKUP($C103,'Refi Adj'!$B$2:$E$32,4,0)</f>
        <v>1.05</v>
      </c>
      <c r="O103" s="40">
        <f t="shared" si="7"/>
        <v>3.2422343979041521E-2</v>
      </c>
      <c r="P103" s="40">
        <f t="shared" si="8"/>
        <v>6.6527190537559004E-3</v>
      </c>
      <c r="Q103" s="40">
        <f t="shared" si="9"/>
        <v>3.2422343979041521E-2</v>
      </c>
      <c r="R103" s="14"/>
      <c r="S103" s="34">
        <f t="shared" si="14"/>
        <v>4.4690671060802371E-2</v>
      </c>
      <c r="T103" s="2">
        <f t="shared" si="11"/>
        <v>42.22656023661068</v>
      </c>
      <c r="U103" s="33">
        <f t="shared" si="13"/>
        <v>42.22656023661068</v>
      </c>
      <c r="V103" s="7">
        <f t="shared" si="12"/>
        <v>1.0505674191932364</v>
      </c>
      <c r="X103" s="9"/>
      <c r="Y103" s="8"/>
      <c r="Z103" s="8"/>
      <c r="AC103" s="9"/>
      <c r="AD103" s="8"/>
      <c r="AE103" s="8"/>
      <c r="AH103" s="9"/>
      <c r="AI103" s="8"/>
      <c r="AJ103" s="8"/>
    </row>
    <row r="104" spans="1:50" x14ac:dyDescent="0.25">
      <c r="A104" s="4">
        <f t="shared" si="1"/>
        <v>52.520843117918403</v>
      </c>
      <c r="B104" s="3">
        <f t="shared" si="2"/>
        <v>6.9343823844399992</v>
      </c>
      <c r="C104" s="2" t="str">
        <f t="shared" si="0"/>
        <v>11-1:50-55</v>
      </c>
      <c r="D104" s="8">
        <f t="shared" si="3"/>
        <v>4.9619092468527699E-2</v>
      </c>
      <c r="E104" s="8">
        <f t="shared" si="4"/>
        <v>1.0880298823471159E-2</v>
      </c>
      <c r="F104" s="3"/>
      <c r="G104" s="2">
        <f t="shared" si="15"/>
        <v>45.703424830828844</v>
      </c>
      <c r="H104" s="2">
        <f t="shared" si="15"/>
        <v>12.302699292230191</v>
      </c>
      <c r="I104" s="33">
        <f t="shared" si="6"/>
        <v>38.122031313145769</v>
      </c>
      <c r="K104" s="14">
        <f>VLOOKUP($C104,'Refi Adj'!$B$2:$E$32,2,0)</f>
        <v>1</v>
      </c>
      <c r="L104" s="14">
        <f>VLOOKUP($C104,'Refi Adj'!$B$2:$E$32,3,0)</f>
        <v>1</v>
      </c>
      <c r="M104" s="14">
        <f>VLOOKUP($C104,'Refi Adj'!$B$2:$E$32,4,0)</f>
        <v>1.1000000000000001</v>
      </c>
      <c r="O104" s="40">
        <f t="shared" si="7"/>
        <v>3.5432787589254222E-2</v>
      </c>
      <c r="P104" s="40">
        <f t="shared" si="8"/>
        <v>7.1020461734535899E-3</v>
      </c>
      <c r="Q104" s="40">
        <f t="shared" si="9"/>
        <v>3.5432787589254222E-2</v>
      </c>
      <c r="R104" s="14"/>
      <c r="S104" s="34">
        <f t="shared" si="14"/>
        <v>4.6411250729431128E-2</v>
      </c>
      <c r="T104" s="2">
        <f t="shared" si="11"/>
        <v>43.46291383459414</v>
      </c>
      <c r="U104" s="33">
        <f t="shared" si="13"/>
        <v>43.46291383459414</v>
      </c>
      <c r="V104" s="7">
        <f t="shared" si="12"/>
        <v>1.0691177610747378</v>
      </c>
      <c r="X104" s="9"/>
      <c r="Y104" s="8"/>
      <c r="Z104" s="8"/>
      <c r="AC104" s="9"/>
      <c r="AD104" s="8"/>
      <c r="AE104" s="8"/>
      <c r="AH104" s="9"/>
      <c r="AI104" s="8"/>
      <c r="AJ104" s="8"/>
      <c r="AK104" s="4"/>
      <c r="AL104" s="4"/>
      <c r="AM104" s="4"/>
      <c r="AN104" s="4"/>
      <c r="AO104" s="4"/>
      <c r="AP104" s="4"/>
      <c r="AQ104" s="6"/>
      <c r="AR104" s="4"/>
      <c r="AS104" s="15"/>
      <c r="AT104" s="15"/>
      <c r="AU104" s="15"/>
      <c r="AV104" s="15"/>
      <c r="AW104" s="15"/>
      <c r="AX104" s="15"/>
    </row>
    <row r="105" spans="1:50" x14ac:dyDescent="0.25">
      <c r="A105" s="4">
        <f t="shared" si="1"/>
        <v>57.507543349383901</v>
      </c>
      <c r="B105" s="3">
        <f t="shared" si="2"/>
        <v>6.7082551608999994</v>
      </c>
      <c r="C105" s="2" t="str">
        <f t="shared" si="0"/>
        <v>11-2:55-60</v>
      </c>
      <c r="D105" s="8">
        <f t="shared" si="3"/>
        <v>4.8425673452720003E-2</v>
      </c>
      <c r="E105" s="8">
        <f t="shared" si="4"/>
        <v>1.1541899404541336E-2</v>
      </c>
      <c r="F105" s="3"/>
      <c r="G105" s="2">
        <f t="shared" si="15"/>
        <v>44.879570211410659</v>
      </c>
      <c r="H105" s="2">
        <f t="shared" si="15"/>
        <v>13.004021233636909</v>
      </c>
      <c r="I105" s="33">
        <f t="shared" si="6"/>
        <v>39.679782636463223</v>
      </c>
      <c r="K105" s="14">
        <f>VLOOKUP($C105,'Refi Adj'!$B$2:$E$32,2,0)</f>
        <v>1</v>
      </c>
      <c r="L105" s="14">
        <f>VLOOKUP($C105,'Refi Adj'!$B$2:$E$32,3,0)</f>
        <v>1</v>
      </c>
      <c r="M105" s="14">
        <f>VLOOKUP($C105,'Refi Adj'!$B$2:$E$32,4,0)</f>
        <v>1.1000000000000001</v>
      </c>
      <c r="O105" s="40">
        <f t="shared" si="7"/>
        <v>3.73789581085536E-2</v>
      </c>
      <c r="P105" s="40">
        <f t="shared" si="8"/>
        <v>7.67055844866251E-3</v>
      </c>
      <c r="Q105" s="40">
        <f t="shared" si="9"/>
        <v>3.73789581085536E-2</v>
      </c>
      <c r="R105" s="14"/>
      <c r="S105" s="34">
        <f t="shared" si="14"/>
        <v>4.9138392723022728E-2</v>
      </c>
      <c r="T105" s="2">
        <f t="shared" si="11"/>
        <v>45.37295000327132</v>
      </c>
      <c r="U105" s="33">
        <f t="shared" si="13"/>
        <v>45.37295000327132</v>
      </c>
      <c r="V105" s="7">
        <f t="shared" si="12"/>
        <v>0.98549567393626214</v>
      </c>
      <c r="X105" s="9"/>
      <c r="Y105" s="8"/>
      <c r="Z105" s="8"/>
      <c r="AC105" s="9"/>
      <c r="AD105" s="8"/>
      <c r="AE105" s="8"/>
      <c r="AH105" s="9"/>
      <c r="AI105" s="8"/>
      <c r="AJ105" s="8"/>
    </row>
    <row r="106" spans="1:50" x14ac:dyDescent="0.25">
      <c r="A106" s="4">
        <f t="shared" si="1"/>
        <v>62.513804553855699</v>
      </c>
      <c r="B106" s="3">
        <f t="shared" si="2"/>
        <v>7.1175622770299993</v>
      </c>
      <c r="C106" s="2" t="str">
        <f t="shared" si="0"/>
        <v>11-3:60-65</v>
      </c>
      <c r="D106" s="8">
        <f t="shared" si="3"/>
        <v>4.7595244374408499E-2</v>
      </c>
      <c r="E106" s="8">
        <f t="shared" si="4"/>
        <v>1.2167802068920659E-2</v>
      </c>
      <c r="F106" s="3"/>
      <c r="G106" s="2">
        <f t="shared" si="15"/>
        <v>44.299555169325565</v>
      </c>
      <c r="H106" s="2">
        <f t="shared" si="15"/>
        <v>13.662765758558781</v>
      </c>
      <c r="I106" s="33">
        <f t="shared" si="6"/>
        <v>41.009056524739876</v>
      </c>
      <c r="K106" s="14">
        <f>VLOOKUP($C106,'Refi Adj'!$B$2:$E$32,2,0)</f>
        <v>1</v>
      </c>
      <c r="L106" s="14">
        <f>VLOOKUP($C106,'Refi Adj'!$B$2:$E$32,3,0)</f>
        <v>1</v>
      </c>
      <c r="M106" s="14">
        <f>VLOOKUP($C106,'Refi Adj'!$B$2:$E$32,4,0)</f>
        <v>1.1000000000000001</v>
      </c>
      <c r="O106" s="40">
        <f t="shared" si="7"/>
        <v>3.9087034457768108E-2</v>
      </c>
      <c r="P106" s="40">
        <f t="shared" si="8"/>
        <v>8.2258395522719404E-3</v>
      </c>
      <c r="Q106" s="40">
        <f t="shared" si="9"/>
        <v>3.9087034457768108E-2</v>
      </c>
      <c r="R106" s="14"/>
      <c r="S106" s="34">
        <f>Z26+AA26+AB26*K106+AC26*L106+Q108*$M$78</f>
        <v>4.9209014283792617E-2</v>
      </c>
      <c r="T106" s="2">
        <f t="shared" si="11"/>
        <v>45.421616669312556</v>
      </c>
      <c r="U106" s="33">
        <f t="shared" si="13"/>
        <v>45.421616669312556</v>
      </c>
      <c r="V106" s="7">
        <f t="shared" si="12"/>
        <v>0.96720580704833126</v>
      </c>
      <c r="X106" s="9"/>
      <c r="Y106" s="8"/>
      <c r="Z106" s="8"/>
      <c r="AC106" s="9"/>
      <c r="AD106" s="8"/>
      <c r="AE106" s="8"/>
      <c r="AH106" s="9"/>
      <c r="AI106" s="8"/>
      <c r="AJ106" s="8"/>
    </row>
    <row r="107" spans="1:50" x14ac:dyDescent="0.25">
      <c r="A107" s="4">
        <f t="shared" si="1"/>
        <v>67.513142696603197</v>
      </c>
      <c r="B107" s="3">
        <f t="shared" si="2"/>
        <v>7.8450217959399993</v>
      </c>
      <c r="C107" s="2" t="str">
        <f t="shared" si="0"/>
        <v>11-4:65-70</v>
      </c>
      <c r="D107" s="8">
        <f t="shared" si="3"/>
        <v>4.7550606983575397E-2</v>
      </c>
      <c r="E107" s="8">
        <f t="shared" si="4"/>
        <v>1.2753051840577158E-2</v>
      </c>
      <c r="F107" s="3"/>
      <c r="G107" s="2">
        <f t="shared" si="15"/>
        <v>44.268220211937468</v>
      </c>
      <c r="H107" s="2">
        <f t="shared" si="15"/>
        <v>14.274584511483535</v>
      </c>
      <c r="I107" s="33">
        <f t="shared" si="6"/>
        <v>42.149664018102541</v>
      </c>
      <c r="K107" s="14">
        <f>VLOOKUP($C107,'Refi Adj'!$B$2:$E$32,2,0)</f>
        <v>1</v>
      </c>
      <c r="L107" s="14">
        <f>VLOOKUP($C107,'Refi Adj'!$B$2:$E$32,3,0)</f>
        <v>1</v>
      </c>
      <c r="M107" s="14">
        <f>VLOOKUP($C107,'Refi Adj'!$B$2:$E$32,4,0)</f>
        <v>1.1000000000000001</v>
      </c>
      <c r="O107" s="40">
        <f t="shared" si="7"/>
        <v>4.0602855313727197E-2</v>
      </c>
      <c r="P107" s="40">
        <f t="shared" si="8"/>
        <v>8.7711309186780904E-3</v>
      </c>
      <c r="Q107" s="40">
        <f t="shared" si="9"/>
        <v>4.0602855313727197E-2</v>
      </c>
      <c r="R107" s="14"/>
      <c r="S107" s="34">
        <f>Z27+AA27+AB27*K107+AC27*L107+Q108*$M$78</f>
        <v>4.924897268904297E-2</v>
      </c>
      <c r="T107" s="2">
        <f t="shared" si="11"/>
        <v>45.449135160735068</v>
      </c>
      <c r="U107" s="33">
        <f t="shared" si="13"/>
        <v>45.449135160735068</v>
      </c>
      <c r="V107" s="7">
        <f t="shared" si="12"/>
        <v>0.96551469781530219</v>
      </c>
      <c r="X107" s="9"/>
      <c r="Y107" s="8"/>
      <c r="Z107" s="8"/>
      <c r="AC107" s="9"/>
      <c r="AD107" s="8"/>
      <c r="AE107" s="8"/>
      <c r="AH107" s="9"/>
      <c r="AI107" s="8"/>
      <c r="AJ107" s="8"/>
    </row>
    <row r="108" spans="1:50" x14ac:dyDescent="0.25">
      <c r="A108" s="4">
        <f t="shared" si="1"/>
        <v>72.527574907478098</v>
      </c>
      <c r="B108" s="3">
        <f t="shared" si="2"/>
        <v>8.7583237526000008</v>
      </c>
      <c r="C108" s="2" t="str">
        <f t="shared" si="0"/>
        <v>11:50-75</v>
      </c>
      <c r="D108" s="8">
        <f t="shared" si="3"/>
        <v>4.7344022350641397E-2</v>
      </c>
      <c r="E108" s="8">
        <f t="shared" si="4"/>
        <v>1.3588421684239575E-2</v>
      </c>
      <c r="F108" s="3"/>
      <c r="G108" s="2">
        <f t="shared" si="15"/>
        <v>44.122989517181111</v>
      </c>
      <c r="H108" s="2">
        <f t="shared" si="15"/>
        <v>15.140994958481313</v>
      </c>
      <c r="I108" s="33">
        <f t="shared" si="6"/>
        <v>43.970730292528785</v>
      </c>
      <c r="K108" s="14">
        <f>VLOOKUP($C108,'Refi Adj'!$B$2:$E$32,2,0)</f>
        <v>1</v>
      </c>
      <c r="L108" s="14">
        <f>VLOOKUP($C108,'Refi Adj'!$B$2:$E$32,3,0)</f>
        <v>1</v>
      </c>
      <c r="M108" s="14">
        <f>VLOOKUP($C108,'Refi Adj'!$B$2:$E$32,4,0)</f>
        <v>1.1000000000000001</v>
      </c>
      <c r="O108" s="40">
        <f t="shared" si="7"/>
        <v>4.3111477873470382E-2</v>
      </c>
      <c r="P108" s="40">
        <f t="shared" si="8"/>
        <v>9.57193180400287E-3</v>
      </c>
      <c r="Q108" s="40">
        <f t="shared" si="9"/>
        <v>4.3111477873470382E-2</v>
      </c>
      <c r="R108" s="14"/>
      <c r="S108" s="34">
        <f>Z28+AA28+AB28*K108+AC28*L108+Q109*$M$78</f>
        <v>5.0470988686080284E-2</v>
      </c>
      <c r="T108" s="2">
        <f t="shared" si="11"/>
        <v>46.284594171572571</v>
      </c>
      <c r="U108" s="33">
        <f t="shared" si="13"/>
        <v>46.284594171572571</v>
      </c>
      <c r="V108" s="7">
        <f t="shared" si="12"/>
        <v>0.93804428213427704</v>
      </c>
      <c r="X108" s="9"/>
      <c r="Y108" s="8"/>
      <c r="Z108" s="8"/>
      <c r="AC108" s="9"/>
      <c r="AD108" s="8"/>
      <c r="AE108" s="8"/>
      <c r="AH108" s="9"/>
      <c r="AI108" s="8"/>
      <c r="AJ108" s="8"/>
    </row>
    <row r="109" spans="1:50" x14ac:dyDescent="0.25">
      <c r="A109" s="4">
        <f t="shared" si="1"/>
        <v>86.466533685279501</v>
      </c>
      <c r="B109" s="3">
        <f t="shared" si="2"/>
        <v>37.216703202749997</v>
      </c>
      <c r="C109" s="2" t="str">
        <f t="shared" si="0"/>
        <v>12:75-100</v>
      </c>
      <c r="D109" s="8">
        <f t="shared" si="3"/>
        <v>4.8693198363541398E-2</v>
      </c>
      <c r="E109" s="8">
        <f t="shared" si="4"/>
        <v>1.5871723232208777E-2</v>
      </c>
      <c r="F109" s="3"/>
      <c r="G109" s="2">
        <f t="shared" si="15"/>
        <v>45.065241148083665</v>
      </c>
      <c r="H109" s="2">
        <f t="shared" si="15"/>
        <v>17.468350366108975</v>
      </c>
      <c r="I109" s="33">
        <f t="shared" si="6"/>
        <v>44.941876166518988</v>
      </c>
      <c r="K109" s="14">
        <f>VLOOKUP($C109,'Refi Adj'!$B$2:$E$32,2,0)</f>
        <v>1</v>
      </c>
      <c r="L109" s="14">
        <f>VLOOKUP($C109,'Refi Adj'!$B$2:$E$32,3,0)</f>
        <v>1</v>
      </c>
      <c r="M109" s="14">
        <f>VLOOKUP($C109,'Refi Adj'!$B$2:$E$32,4,0)</f>
        <v>1.02</v>
      </c>
      <c r="O109" s="40">
        <f t="shared" si="7"/>
        <v>4.424237981508912E-2</v>
      </c>
      <c r="P109" s="40">
        <f t="shared" si="8"/>
        <v>1.15987479554737E-2</v>
      </c>
      <c r="Q109" s="40">
        <f t="shared" si="9"/>
        <v>4.424237981508912E-2</v>
      </c>
      <c r="R109" s="14"/>
      <c r="S109" s="34">
        <f>Z29+AA29+AB29*K109+AC29*L109+Q110*$M$78</f>
        <v>5.1156148722530305E-2</v>
      </c>
      <c r="T109" s="2">
        <f t="shared" si="11"/>
        <v>46.747871493534674</v>
      </c>
      <c r="U109" s="33">
        <f t="shared" si="13"/>
        <v>46.747871493534674</v>
      </c>
      <c r="V109" s="7">
        <f t="shared" si="12"/>
        <v>0.95185426541102836</v>
      </c>
      <c r="X109" s="9"/>
      <c r="Y109" s="8"/>
      <c r="Z109" s="8"/>
      <c r="AC109" s="9"/>
      <c r="AD109" s="8"/>
      <c r="AE109" s="8"/>
      <c r="AH109" s="9"/>
      <c r="AI109" s="8"/>
      <c r="AJ109" s="8"/>
    </row>
    <row r="110" spans="1:50" x14ac:dyDescent="0.25">
      <c r="A110" s="4">
        <f t="shared" si="1"/>
        <v>112.676758620974</v>
      </c>
      <c r="B110" s="3">
        <f t="shared" si="2"/>
        <v>29.580365259979999</v>
      </c>
      <c r="C110" s="2" t="str">
        <f t="shared" si="0"/>
        <v>13:100-125</v>
      </c>
      <c r="D110" s="8">
        <f t="shared" si="3"/>
        <v>4.9355376820502603E-2</v>
      </c>
      <c r="E110" s="8">
        <f t="shared" si="4"/>
        <v>1.9817324538820087E-2</v>
      </c>
      <c r="F110" s="3"/>
      <c r="G110" s="2">
        <f t="shared" si="15"/>
        <v>45.52235137459234</v>
      </c>
      <c r="H110" s="2">
        <f t="shared" si="15"/>
        <v>21.352618796626331</v>
      </c>
      <c r="I110" s="33">
        <f t="shared" si="6"/>
        <v>45.536622681981775</v>
      </c>
      <c r="K110" s="14">
        <f>VLOOKUP($C110,'Refi Adj'!$B$2:$E$32,2,0)</f>
        <v>1</v>
      </c>
      <c r="L110" s="14">
        <f>VLOOKUP($C110,'Refi Adj'!$B$2:$E$32,3,0)</f>
        <v>1</v>
      </c>
      <c r="M110" s="14">
        <f>VLOOKUP($C110,'Refi Adj'!$B$2:$E$32,4,0)</f>
        <v>0.95</v>
      </c>
      <c r="O110" s="40">
        <f t="shared" si="7"/>
        <v>4.4650641376947832E-2</v>
      </c>
      <c r="P110" s="40">
        <f t="shared" si="8"/>
        <v>1.50918335328091E-2</v>
      </c>
      <c r="Q110" s="40">
        <f t="shared" si="9"/>
        <v>4.4650641376947832E-2</v>
      </c>
      <c r="R110" s="14"/>
      <c r="S110" s="34">
        <f>Z30+AA30+AB30*K110+AC30*L110+Q111*$M$78</f>
        <v>5.3095666721473846E-2</v>
      </c>
      <c r="T110" s="2">
        <f t="shared" si="11"/>
        <v>48.039508794072738</v>
      </c>
      <c r="U110" s="33">
        <f t="shared" si="13"/>
        <v>48.039508794072738</v>
      </c>
      <c r="V110" s="7">
        <f t="shared" si="12"/>
        <v>0.92955564678014424</v>
      </c>
      <c r="X110" s="9"/>
      <c r="Y110" s="8"/>
      <c r="Z110" s="8"/>
      <c r="AC110" s="9"/>
      <c r="AD110" s="8"/>
      <c r="AE110" s="8"/>
      <c r="AH110" s="9"/>
      <c r="AI110" s="8"/>
      <c r="AJ110" s="8"/>
    </row>
    <row r="111" spans="1:50" x14ac:dyDescent="0.25">
      <c r="A111" s="4">
        <f t="shared" si="1"/>
        <v>135.26171660391</v>
      </c>
      <c r="B111" s="3">
        <f t="shared" si="2"/>
        <v>19.4626567175</v>
      </c>
      <c r="C111" s="2" t="str">
        <f t="shared" si="0"/>
        <v>14:125-150</v>
      </c>
      <c r="D111" s="8">
        <f t="shared" si="3"/>
        <v>4.9392922622793697E-2</v>
      </c>
      <c r="E111" s="8">
        <f t="shared" si="4"/>
        <v>2.3691433210758023E-2</v>
      </c>
      <c r="F111" s="3"/>
      <c r="G111" s="2">
        <f t="shared" si="15"/>
        <v>45.548164967478769</v>
      </c>
      <c r="H111" s="2">
        <f t="shared" si="15"/>
        <v>25.002773749179099</v>
      </c>
      <c r="I111" s="33">
        <f t="shared" si="6"/>
        <v>46.446650265333197</v>
      </c>
      <c r="K111" s="14">
        <f>VLOOKUP($C111,'Refi Adj'!$B$2:$E$32,2,0)</f>
        <v>1</v>
      </c>
      <c r="L111" s="14">
        <f>VLOOKUP($C111,'Refi Adj'!$B$2:$E$32,3,0)</f>
        <v>1</v>
      </c>
      <c r="M111" s="14">
        <f>VLOOKUP($C111,'Refi Adj'!$B$2:$E$32,4,0)</f>
        <v>0.92</v>
      </c>
      <c r="O111" s="40">
        <f t="shared" si="7"/>
        <v>4.6066834014726527E-2</v>
      </c>
      <c r="P111" s="40">
        <f t="shared" si="8"/>
        <v>1.9048225225921901E-2</v>
      </c>
      <c r="Q111" s="40">
        <f t="shared" si="9"/>
        <v>4.6066834014726527E-2</v>
      </c>
      <c r="R111" s="14"/>
      <c r="S111" s="34">
        <f>Z31+AA31+AB31*K111+AC31*L111+Q112*$M$78</f>
        <v>5.3028052547173667E-2</v>
      </c>
      <c r="T111" s="2">
        <f t="shared" si="11"/>
        <v>47.994968128076643</v>
      </c>
      <c r="U111" s="33">
        <f t="shared" si="13"/>
        <v>47.994968128076643</v>
      </c>
      <c r="V111" s="7">
        <f t="shared" si="12"/>
        <v>0.93144892656304579</v>
      </c>
      <c r="AC111" s="9"/>
      <c r="AD111" s="8"/>
      <c r="AE111" s="8"/>
      <c r="AH111" s="9"/>
      <c r="AI111" s="8"/>
      <c r="AJ111" s="8"/>
    </row>
    <row r="112" spans="1:50" x14ac:dyDescent="0.25">
      <c r="A112" s="4">
        <f t="shared" si="1"/>
        <v>159.21447628151401</v>
      </c>
      <c r="B112" s="3">
        <f t="shared" si="2"/>
        <v>3.8171722376599999</v>
      </c>
      <c r="C112" s="2" t="str">
        <f t="shared" si="0"/>
        <v>15:150-175</v>
      </c>
      <c r="D112" s="8">
        <f t="shared" si="3"/>
        <v>4.6160074028822003E-2</v>
      </c>
      <c r="E112" s="8">
        <f t="shared" si="4"/>
        <v>2.8442338373788432E-2</v>
      </c>
      <c r="F112" s="3"/>
      <c r="G112" s="2">
        <f t="shared" si="15"/>
        <v>43.283951282904987</v>
      </c>
      <c r="H112" s="2">
        <f t="shared" si="15"/>
        <v>29.266854557428314</v>
      </c>
      <c r="I112" s="33">
        <f t="shared" si="6"/>
        <v>46.647838943132079</v>
      </c>
      <c r="K112" s="14">
        <f>VLOOKUP($C112,'Refi Adj'!$B$2:$E$32,2,0)</f>
        <v>1</v>
      </c>
      <c r="L112" s="14">
        <f>VLOOKUP($C112,'Refi Adj'!$B$2:$E$32,3,0)</f>
        <v>1</v>
      </c>
      <c r="M112" s="14">
        <f>VLOOKUP($C112,'Refi Adj'!$B$2:$E$32,4,0)</f>
        <v>0.9</v>
      </c>
      <c r="O112" s="40">
        <f t="shared" si="7"/>
        <v>4.6080804345083375E-2</v>
      </c>
      <c r="P112" s="40">
        <f t="shared" si="8"/>
        <v>2.35153975315473E-2</v>
      </c>
      <c r="Q112" s="40">
        <f t="shared" si="9"/>
        <v>4.6080804345083375E-2</v>
      </c>
      <c r="R112" s="14"/>
      <c r="S112" s="34">
        <f>Z32+AA32+AB32*K112+AC32*L112+Q112*$M$78</f>
        <v>5.3311785404578683E-2</v>
      </c>
      <c r="T112" s="2">
        <f t="shared" si="11"/>
        <v>48.181642016893278</v>
      </c>
      <c r="U112" s="33">
        <f t="shared" si="13"/>
        <v>48.181642016893278</v>
      </c>
      <c r="V112" s="7">
        <f t="shared" si="12"/>
        <v>0.86585121241986285</v>
      </c>
    </row>
    <row r="113" spans="1:51" s="17" customFormat="1" x14ac:dyDescent="0.25">
      <c r="A113" s="4"/>
      <c r="B113" s="3"/>
      <c r="C113" s="2"/>
      <c r="D113" s="8"/>
      <c r="E113" s="8"/>
      <c r="F113" s="3"/>
      <c r="G113" s="2"/>
      <c r="H113" s="2"/>
      <c r="I113" s="33"/>
      <c r="J113"/>
      <c r="K113" s="14"/>
      <c r="L113" s="14"/>
      <c r="M113" s="14"/>
      <c r="N113"/>
      <c r="O113" s="40"/>
      <c r="P113" s="40"/>
      <c r="Q113" s="40"/>
      <c r="R113" s="14"/>
      <c r="S113" s="34"/>
      <c r="T113" s="2"/>
      <c r="U113" s="7"/>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row>
    <row r="120" spans="1:51" s="41" customFormat="1" x14ac:dyDescent="0.25"/>
    <row r="121" spans="1:51" x14ac:dyDescent="0.25">
      <c r="A121" t="s">
        <v>180</v>
      </c>
      <c r="C121" t="s">
        <v>183</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0.98607065999999999</v>
      </c>
      <c r="C123" s="4">
        <v>3.27668715681079</v>
      </c>
      <c r="D123" s="4">
        <v>15.4922689364922</v>
      </c>
      <c r="E123" s="4">
        <v>2.7724603114119501E-3</v>
      </c>
      <c r="F123" s="5">
        <v>1.392934E-2</v>
      </c>
      <c r="G123" s="5">
        <v>0</v>
      </c>
      <c r="H123" s="4">
        <v>4.875</v>
      </c>
      <c r="I123" s="4">
        <v>3.7846229999999998</v>
      </c>
      <c r="J123" s="4">
        <v>-22.2622</v>
      </c>
      <c r="K123" s="4">
        <v>47.41</v>
      </c>
      <c r="L123" s="4">
        <v>97.65</v>
      </c>
      <c r="M123" s="4">
        <v>44</v>
      </c>
      <c r="N123" s="4">
        <v>36</v>
      </c>
      <c r="O123" s="4">
        <v>5</v>
      </c>
      <c r="P123" s="4">
        <v>39758.910000000003</v>
      </c>
      <c r="Q123" s="4">
        <v>39758.910000000003</v>
      </c>
      <c r="R123" s="4">
        <v>802</v>
      </c>
      <c r="S123" s="4">
        <v>0</v>
      </c>
      <c r="T123" s="4">
        <v>0</v>
      </c>
      <c r="U123" s="4">
        <v>0</v>
      </c>
      <c r="V123" s="4">
        <v>0</v>
      </c>
      <c r="W123" s="4">
        <v>0</v>
      </c>
      <c r="X123" s="4">
        <v>1</v>
      </c>
      <c r="Y123" s="4">
        <v>0</v>
      </c>
      <c r="Z123" s="5">
        <v>7.7544199999999997E-3</v>
      </c>
      <c r="AA123" s="5">
        <v>4.2566000000000001E-4</v>
      </c>
      <c r="AB123" s="10">
        <v>5.3365000000000001E-3</v>
      </c>
      <c r="AC123" s="10">
        <v>0</v>
      </c>
      <c r="AD123" s="10">
        <v>4.1272999999999999E-4</v>
      </c>
      <c r="AE123" s="4">
        <v>0.101015969264646</v>
      </c>
      <c r="AF123" s="4">
        <v>0</v>
      </c>
      <c r="AG123" s="4">
        <v>1</v>
      </c>
      <c r="AH123" s="4">
        <v>1</v>
      </c>
      <c r="AI123" s="4">
        <v>1</v>
      </c>
      <c r="AJ123" s="4">
        <v>1</v>
      </c>
      <c r="AK123" s="4">
        <v>1</v>
      </c>
      <c r="AL123" s="4">
        <v>1</v>
      </c>
      <c r="AM123" s="4">
        <v>0</v>
      </c>
      <c r="AN123" s="4">
        <v>0</v>
      </c>
      <c r="AO123" s="4" t="s">
        <v>70</v>
      </c>
      <c r="AP123" s="4" t="s">
        <v>71</v>
      </c>
      <c r="AQ123" s="6">
        <v>39758.910000000003</v>
      </c>
      <c r="AR123" s="4">
        <v>1</v>
      </c>
      <c r="AS123" s="15">
        <v>100</v>
      </c>
      <c r="AT123" s="15">
        <v>0</v>
      </c>
      <c r="AU123" s="15">
        <v>100</v>
      </c>
      <c r="AV123" s="15">
        <v>0</v>
      </c>
      <c r="AW123" s="15">
        <v>0</v>
      </c>
      <c r="AX123" s="15">
        <v>0</v>
      </c>
      <c r="AY123" s="31">
        <v>2053.2399999999998</v>
      </c>
    </row>
    <row r="124" spans="1:51" x14ac:dyDescent="0.25">
      <c r="A124">
        <v>97</v>
      </c>
      <c r="B124" s="4">
        <v>0.98233654000000004</v>
      </c>
      <c r="C124" s="4">
        <v>100</v>
      </c>
      <c r="D124" s="4">
        <v>19.2535224876756</v>
      </c>
      <c r="E124" s="4">
        <v>1</v>
      </c>
      <c r="F124" s="5">
        <v>1.7663459999999999E-2</v>
      </c>
      <c r="G124" s="5">
        <v>0</v>
      </c>
      <c r="H124" s="4">
        <v>5.5</v>
      </c>
      <c r="I124" s="4">
        <v>4.1184729999999998</v>
      </c>
      <c r="J124" s="4">
        <v>58.9788</v>
      </c>
      <c r="K124" s="4">
        <v>63.07</v>
      </c>
      <c r="L124" s="4">
        <v>100</v>
      </c>
      <c r="M124" s="4">
        <v>35</v>
      </c>
      <c r="N124" s="4">
        <v>80</v>
      </c>
      <c r="O124" s="4">
        <v>12.5</v>
      </c>
      <c r="P124" s="4">
        <v>34254.76</v>
      </c>
      <c r="Q124" s="4">
        <v>34254.76</v>
      </c>
      <c r="R124" s="4">
        <v>795</v>
      </c>
      <c r="S124" s="4">
        <v>0</v>
      </c>
      <c r="T124" s="4">
        <v>0</v>
      </c>
      <c r="U124" s="4">
        <v>0</v>
      </c>
      <c r="V124" s="4">
        <v>0</v>
      </c>
      <c r="W124" s="4">
        <v>0</v>
      </c>
      <c r="X124" s="4">
        <v>0</v>
      </c>
      <c r="Y124" s="4">
        <v>0</v>
      </c>
      <c r="Z124" s="5">
        <v>9.2238700000000003E-3</v>
      </c>
      <c r="AA124" s="5">
        <v>2.7724E-4</v>
      </c>
      <c r="AB124" s="10">
        <v>7.7586199999999999E-3</v>
      </c>
      <c r="AC124" s="10">
        <v>0</v>
      </c>
      <c r="AD124" s="10">
        <v>4.0371E-4</v>
      </c>
      <c r="AE124" s="4">
        <v>-0.14094645768024999</v>
      </c>
      <c r="AF124" s="4">
        <v>1</v>
      </c>
      <c r="AG124" s="4">
        <v>1</v>
      </c>
      <c r="AH124" s="4">
        <v>1</v>
      </c>
      <c r="AI124" s="4">
        <v>1</v>
      </c>
      <c r="AJ124" s="4">
        <v>1</v>
      </c>
      <c r="AK124" s="4">
        <v>1</v>
      </c>
      <c r="AL124" s="4">
        <v>1</v>
      </c>
      <c r="AM124" s="4">
        <v>0</v>
      </c>
      <c r="AN124" s="4">
        <v>0</v>
      </c>
      <c r="AO124" s="4" t="s">
        <v>151</v>
      </c>
      <c r="AP124" s="4" t="s">
        <v>135</v>
      </c>
      <c r="AQ124" s="6">
        <v>34254.76</v>
      </c>
      <c r="AR124" s="4">
        <v>1</v>
      </c>
      <c r="AS124" s="15">
        <v>100</v>
      </c>
      <c r="AT124" s="15">
        <v>0</v>
      </c>
      <c r="AU124" s="15">
        <v>100</v>
      </c>
      <c r="AV124" s="15">
        <v>0</v>
      </c>
      <c r="AW124" s="15">
        <v>0</v>
      </c>
      <c r="AX124" s="15">
        <v>0</v>
      </c>
      <c r="AY124" s="31">
        <v>2019.99</v>
      </c>
    </row>
    <row r="125" spans="1:51" x14ac:dyDescent="0.25">
      <c r="A125">
        <v>97</v>
      </c>
      <c r="B125" s="4">
        <v>0.97810486266179997</v>
      </c>
      <c r="C125" s="4">
        <v>97.664280650619204</v>
      </c>
      <c r="D125" s="4">
        <v>23.330078931522301</v>
      </c>
      <c r="E125" s="4">
        <v>0.26880189890355299</v>
      </c>
      <c r="F125" s="5">
        <v>2.1895137338199502E-2</v>
      </c>
      <c r="G125" s="5">
        <v>0</v>
      </c>
      <c r="H125" s="4">
        <v>5.2163997626370504</v>
      </c>
      <c r="I125" s="4">
        <v>3.7893787124495302</v>
      </c>
      <c r="J125" s="4">
        <v>1.0631544367865999</v>
      </c>
      <c r="K125" s="4">
        <v>71.303036771863901</v>
      </c>
      <c r="L125" s="4">
        <v>100</v>
      </c>
      <c r="M125" s="4">
        <v>36.881613292324801</v>
      </c>
      <c r="N125" s="4">
        <v>58.182443674781702</v>
      </c>
      <c r="O125" s="4">
        <v>2.6621731896227399</v>
      </c>
      <c r="P125" s="4">
        <v>18777.620257298298</v>
      </c>
      <c r="Q125" s="4">
        <v>15469.98</v>
      </c>
      <c r="R125" s="4">
        <v>771.11838670767497</v>
      </c>
      <c r="S125" s="4">
        <v>0</v>
      </c>
      <c r="T125" s="4">
        <v>0</v>
      </c>
      <c r="U125" s="4">
        <v>1</v>
      </c>
      <c r="V125" s="4">
        <v>0</v>
      </c>
      <c r="W125" s="4">
        <v>0</v>
      </c>
      <c r="X125" s="4">
        <v>0.73119810109644601</v>
      </c>
      <c r="Y125" s="4">
        <v>0</v>
      </c>
      <c r="Z125" s="5">
        <v>1.3684583306481301E-2</v>
      </c>
      <c r="AA125" s="5">
        <v>8.3258236261456002E-4</v>
      </c>
      <c r="AB125" s="10">
        <v>7.06236995640589E-3</v>
      </c>
      <c r="AC125" s="10">
        <v>0</v>
      </c>
      <c r="AD125" s="10">
        <v>3.1558171269775303E-4</v>
      </c>
      <c r="AE125" s="4">
        <v>-4.2901287388701699E-2</v>
      </c>
      <c r="AF125" s="4">
        <v>0.73119810109644601</v>
      </c>
      <c r="AG125" s="4">
        <v>1</v>
      </c>
      <c r="AH125" s="4">
        <v>1</v>
      </c>
      <c r="AI125" s="4">
        <v>1</v>
      </c>
      <c r="AJ125" s="4">
        <v>1</v>
      </c>
      <c r="AK125" s="4">
        <v>1</v>
      </c>
      <c r="AL125" s="4">
        <v>1</v>
      </c>
      <c r="AM125" s="4">
        <v>0</v>
      </c>
      <c r="AN125" s="4">
        <v>0</v>
      </c>
      <c r="AO125" s="4" t="s">
        <v>72</v>
      </c>
      <c r="AP125" s="4" t="s">
        <v>73</v>
      </c>
      <c r="AQ125" s="6">
        <v>30939.96</v>
      </c>
      <c r="AR125" s="4">
        <v>2</v>
      </c>
      <c r="AS125" s="15">
        <v>100</v>
      </c>
      <c r="AT125" s="15">
        <v>0</v>
      </c>
      <c r="AU125" s="15">
        <v>100</v>
      </c>
      <c r="AV125" s="15">
        <v>0</v>
      </c>
      <c r="AW125" s="15">
        <v>0</v>
      </c>
      <c r="AX125" s="15">
        <v>0</v>
      </c>
      <c r="AY125" s="31">
        <v>2091.7420524137701</v>
      </c>
    </row>
    <row r="126" spans="1:51" x14ac:dyDescent="0.25">
      <c r="A126">
        <v>97</v>
      </c>
      <c r="B126" s="4">
        <v>0.98535783872532701</v>
      </c>
      <c r="C126" s="4">
        <v>45.9950953217988</v>
      </c>
      <c r="D126" s="4">
        <v>16.222439502078601</v>
      </c>
      <c r="E126" s="4">
        <v>5.0045581768730599E-2</v>
      </c>
      <c r="F126" s="5">
        <v>1.46421612746721E-2</v>
      </c>
      <c r="G126" s="5">
        <v>0</v>
      </c>
      <c r="H126" s="4">
        <v>5.1504321235823003</v>
      </c>
      <c r="I126" s="4">
        <v>3.7390046081407</v>
      </c>
      <c r="J126" s="4">
        <v>6.0976076913044599</v>
      </c>
      <c r="K126" s="4">
        <v>93.3563943075266</v>
      </c>
      <c r="L126" s="4">
        <v>73.871136128459099</v>
      </c>
      <c r="M126" s="4">
        <v>40.574983775490502</v>
      </c>
      <c r="N126" s="4">
        <v>72.935554023452696</v>
      </c>
      <c r="O126" s="4">
        <v>26.509605501812199</v>
      </c>
      <c r="P126" s="4">
        <v>66481.101944543305</v>
      </c>
      <c r="Q126" s="4">
        <v>42116.615714285697</v>
      </c>
      <c r="R126" s="4">
        <v>787.19819858338201</v>
      </c>
      <c r="S126" s="4">
        <v>0</v>
      </c>
      <c r="T126" s="4">
        <v>0</v>
      </c>
      <c r="U126" s="4">
        <v>0.112928725008463</v>
      </c>
      <c r="V126" s="4">
        <v>0</v>
      </c>
      <c r="W126" s="4">
        <v>0</v>
      </c>
      <c r="X126" s="4">
        <v>0.25613769468860098</v>
      </c>
      <c r="Y126" s="4">
        <v>0</v>
      </c>
      <c r="Z126" s="5">
        <v>6.4540654521467898E-3</v>
      </c>
      <c r="AA126" s="5">
        <v>6.3918887192825199E-4</v>
      </c>
      <c r="AB126" s="10">
        <v>5.3246337613039397E-3</v>
      </c>
      <c r="AC126" s="10">
        <v>0</v>
      </c>
      <c r="AD126" s="10">
        <v>2.22425601207528E-3</v>
      </c>
      <c r="AE126" s="4">
        <v>3.1532534408375001E-2</v>
      </c>
      <c r="AF126" s="4">
        <v>0.46927303648838098</v>
      </c>
      <c r="AG126" s="4">
        <v>1</v>
      </c>
      <c r="AH126" s="4">
        <v>1</v>
      </c>
      <c r="AI126" s="4">
        <v>1</v>
      </c>
      <c r="AJ126" s="4">
        <v>1</v>
      </c>
      <c r="AK126" s="4">
        <v>1</v>
      </c>
      <c r="AL126" s="4">
        <v>1</v>
      </c>
      <c r="AM126" s="4">
        <v>0</v>
      </c>
      <c r="AN126" s="4">
        <v>0</v>
      </c>
      <c r="AO126" s="4" t="s">
        <v>74</v>
      </c>
      <c r="AP126" s="4" t="s">
        <v>75</v>
      </c>
      <c r="AQ126" s="6">
        <v>589632.62</v>
      </c>
      <c r="AR126" s="4">
        <v>14</v>
      </c>
      <c r="AS126" s="15">
        <v>100</v>
      </c>
      <c r="AT126" s="15">
        <v>0</v>
      </c>
      <c r="AU126" s="15">
        <v>100</v>
      </c>
      <c r="AV126" s="15">
        <v>0</v>
      </c>
      <c r="AW126" s="15">
        <v>0</v>
      </c>
      <c r="AX126" s="15">
        <v>0</v>
      </c>
      <c r="AY126">
        <v>2312.6224848352099</v>
      </c>
    </row>
    <row r="127" spans="1:51" x14ac:dyDescent="0.25">
      <c r="A127">
        <v>97</v>
      </c>
      <c r="B127" s="4">
        <v>0.981250932963323</v>
      </c>
      <c r="C127" s="4">
        <v>38.793530015626601</v>
      </c>
      <c r="D127" s="4">
        <v>20.317859482160799</v>
      </c>
      <c r="E127" s="4">
        <v>4.0084264230880302E-2</v>
      </c>
      <c r="F127" s="5">
        <v>1.87490670366766E-2</v>
      </c>
      <c r="G127" s="5">
        <v>0</v>
      </c>
      <c r="H127" s="4">
        <v>5.2465733056205703</v>
      </c>
      <c r="I127" s="4">
        <v>3.8328350703429299</v>
      </c>
      <c r="J127" s="4">
        <v>16.1532432021368</v>
      </c>
      <c r="K127" s="4">
        <v>117.56813234517401</v>
      </c>
      <c r="L127" s="4">
        <v>31.875436307143101</v>
      </c>
      <c r="M127" s="4">
        <v>38.188021801396097</v>
      </c>
      <c r="N127" s="4">
        <v>71.477790335947105</v>
      </c>
      <c r="O127" s="4">
        <v>51.158287187458797</v>
      </c>
      <c r="P127" s="4">
        <v>168989.56230173999</v>
      </c>
      <c r="Q127" s="4">
        <v>118980.85258823499</v>
      </c>
      <c r="R127" s="4">
        <v>776.330030748882</v>
      </c>
      <c r="S127" s="4">
        <v>0</v>
      </c>
      <c r="T127" s="4">
        <v>0</v>
      </c>
      <c r="U127" s="4">
        <v>0.112765525385618</v>
      </c>
      <c r="V127" s="4">
        <v>0</v>
      </c>
      <c r="W127" s="4">
        <v>0</v>
      </c>
      <c r="X127" s="4">
        <v>0.51854030646613702</v>
      </c>
      <c r="Y127" s="4">
        <v>0</v>
      </c>
      <c r="Z127" s="5">
        <v>1.87467800215184E-3</v>
      </c>
      <c r="AA127" s="5">
        <v>7.7799175188983198E-4</v>
      </c>
      <c r="AB127" s="10">
        <v>4.9703428984609098E-3</v>
      </c>
      <c r="AC127" s="10">
        <v>1.87830502308593E-5</v>
      </c>
      <c r="AD127" s="10">
        <v>1.1107257542496699E-2</v>
      </c>
      <c r="AE127" s="4">
        <v>-1.04384970537929E-2</v>
      </c>
      <c r="AF127" s="4">
        <v>0.73084442424377505</v>
      </c>
      <c r="AG127" s="4">
        <v>0.98793165579908604</v>
      </c>
      <c r="AH127" s="4">
        <v>0.98793165579908604</v>
      </c>
      <c r="AI127" s="4">
        <v>1</v>
      </c>
      <c r="AJ127" s="4">
        <v>1</v>
      </c>
      <c r="AK127" s="4">
        <v>1</v>
      </c>
      <c r="AL127" s="4">
        <v>1</v>
      </c>
      <c r="AM127" s="4">
        <v>0</v>
      </c>
      <c r="AN127" s="4">
        <v>0</v>
      </c>
      <c r="AO127" s="4" t="s">
        <v>76</v>
      </c>
      <c r="AP127" s="4" t="s">
        <v>77</v>
      </c>
      <c r="AQ127" s="6">
        <v>10113372.470000001</v>
      </c>
      <c r="AR127" s="4">
        <v>85</v>
      </c>
      <c r="AS127" s="15">
        <v>100</v>
      </c>
      <c r="AT127" s="15">
        <v>0</v>
      </c>
      <c r="AU127" s="15">
        <v>100</v>
      </c>
      <c r="AV127" s="15">
        <v>0</v>
      </c>
      <c r="AW127" s="15">
        <v>0</v>
      </c>
      <c r="AX127" s="15">
        <v>0</v>
      </c>
      <c r="AY127">
        <v>2249.9122372693</v>
      </c>
    </row>
    <row r="128" spans="1:51" x14ac:dyDescent="0.25">
      <c r="A128">
        <v>97</v>
      </c>
      <c r="B128" s="4">
        <v>0.97544800662794395</v>
      </c>
      <c r="C128" s="4">
        <v>43.944672269755799</v>
      </c>
      <c r="D128" s="4">
        <v>25.792208493637101</v>
      </c>
      <c r="E128" s="4">
        <v>4.7091045578868701E-2</v>
      </c>
      <c r="F128" s="5">
        <v>2.4551993372054999E-2</v>
      </c>
      <c r="G128" s="5">
        <v>0</v>
      </c>
      <c r="H128" s="4">
        <v>5.1294541575295796</v>
      </c>
      <c r="I128" s="4">
        <v>3.8620598889316802</v>
      </c>
      <c r="J128" s="4">
        <v>3.7354867487772898</v>
      </c>
      <c r="K128" s="4">
        <v>139.77321883310699</v>
      </c>
      <c r="L128" s="4">
        <v>14.8674561552087</v>
      </c>
      <c r="M128" s="4">
        <v>36.890086105602201</v>
      </c>
      <c r="N128" s="4">
        <v>59.540258175476197</v>
      </c>
      <c r="O128" s="4">
        <v>56.031925775924996</v>
      </c>
      <c r="P128" s="4">
        <v>292079.22095605597</v>
      </c>
      <c r="Q128" s="4">
        <v>268452.80179076002</v>
      </c>
      <c r="R128" s="4">
        <v>779.61660188851897</v>
      </c>
      <c r="S128" s="4">
        <v>0</v>
      </c>
      <c r="T128" s="4">
        <v>0</v>
      </c>
      <c r="U128" s="4">
        <v>0.26324899982515398</v>
      </c>
      <c r="V128" s="4">
        <v>0</v>
      </c>
      <c r="W128" s="4">
        <v>0</v>
      </c>
      <c r="X128" s="4">
        <v>0.797932302172224</v>
      </c>
      <c r="Y128" s="4">
        <v>0</v>
      </c>
      <c r="Z128" s="5">
        <v>4.6206386822465501E-4</v>
      </c>
      <c r="AA128" s="5">
        <v>5.1492925644697196E-4</v>
      </c>
      <c r="AB128" s="10">
        <v>4.1902917917597798E-3</v>
      </c>
      <c r="AC128" s="10">
        <v>1.1406234187167401E-5</v>
      </c>
      <c r="AD128" s="10">
        <v>1.9373287221071098E-2</v>
      </c>
      <c r="AE128" s="4">
        <v>-1.26058571438107E-3</v>
      </c>
      <c r="AF128" s="4">
        <v>0.71063063335550802</v>
      </c>
      <c r="AG128" s="4">
        <v>0.98667280854530903</v>
      </c>
      <c r="AH128" s="4">
        <v>0.99519837478830397</v>
      </c>
      <c r="AI128" s="4">
        <v>0.99959704866514199</v>
      </c>
      <c r="AJ128" s="4">
        <v>1</v>
      </c>
      <c r="AK128" s="4">
        <v>1</v>
      </c>
      <c r="AL128" s="4">
        <v>1</v>
      </c>
      <c r="AM128" s="4">
        <v>0</v>
      </c>
      <c r="AN128" s="4">
        <v>0</v>
      </c>
      <c r="AO128" s="4" t="s">
        <v>78</v>
      </c>
      <c r="AP128" s="4" t="s">
        <v>79</v>
      </c>
      <c r="AQ128" s="6">
        <v>1690984198.48</v>
      </c>
      <c r="AR128" s="4">
        <v>6299</v>
      </c>
      <c r="AS128" s="15">
        <v>100</v>
      </c>
      <c r="AT128" s="15">
        <v>0</v>
      </c>
      <c r="AU128" s="15">
        <v>100</v>
      </c>
      <c r="AV128" s="15">
        <v>0</v>
      </c>
      <c r="AW128" s="15">
        <v>0</v>
      </c>
      <c r="AX128" s="15">
        <v>0</v>
      </c>
      <c r="AY128">
        <v>2199.9909708084001</v>
      </c>
    </row>
    <row r="129" spans="1:51" x14ac:dyDescent="0.25">
      <c r="A129">
        <v>97</v>
      </c>
      <c r="B129" s="4">
        <v>0.972039876499319</v>
      </c>
      <c r="C129" s="4">
        <v>45.083899409068202</v>
      </c>
      <c r="D129" s="4">
        <v>28.844417383698101</v>
      </c>
      <c r="E129" s="4">
        <v>4.8720128026192702E-2</v>
      </c>
      <c r="F129" s="5">
        <v>2.7960123500680299E-2</v>
      </c>
      <c r="G129" s="5">
        <v>0</v>
      </c>
      <c r="H129" s="4">
        <v>5.2375548982564304</v>
      </c>
      <c r="I129" s="4">
        <v>3.7218308746045499</v>
      </c>
      <c r="J129" s="4">
        <v>12.9781646842484</v>
      </c>
      <c r="K129" s="4">
        <v>162.61850206686299</v>
      </c>
      <c r="L129" s="4">
        <v>15.361112169609401</v>
      </c>
      <c r="M129" s="4">
        <v>37.294547248088598</v>
      </c>
      <c r="N129" s="4">
        <v>64.159312576261598</v>
      </c>
      <c r="O129" s="4">
        <v>60.517960827816196</v>
      </c>
      <c r="P129" s="4">
        <v>280602.583765344</v>
      </c>
      <c r="Q129" s="4">
        <v>259900.09513362899</v>
      </c>
      <c r="R129" s="4">
        <v>778.07632415498404</v>
      </c>
      <c r="S129" s="4">
        <v>0</v>
      </c>
      <c r="T129" s="4">
        <v>0</v>
      </c>
      <c r="U129" s="4">
        <v>0.25818775681232498</v>
      </c>
      <c r="V129" s="4">
        <v>0</v>
      </c>
      <c r="W129" s="4">
        <v>0</v>
      </c>
      <c r="X129" s="4">
        <v>0.76366410932397299</v>
      </c>
      <c r="Y129" s="4">
        <v>0</v>
      </c>
      <c r="Z129" s="5">
        <v>4.5081500116984598E-4</v>
      </c>
      <c r="AA129" s="5">
        <v>6.8258974728818505E-4</v>
      </c>
      <c r="AB129" s="10">
        <v>4.0021027800801797E-3</v>
      </c>
      <c r="AC129" s="10">
        <v>6.0200378975236803E-6</v>
      </c>
      <c r="AD129" s="10">
        <v>2.28185806604294E-2</v>
      </c>
      <c r="AE129" s="4">
        <v>-2.38483701674646E-3</v>
      </c>
      <c r="AF129" s="4">
        <v>0.815161093116616</v>
      </c>
      <c r="AG129" s="4">
        <v>0.98796970846135501</v>
      </c>
      <c r="AH129" s="4">
        <v>0.99812244700761299</v>
      </c>
      <c r="AI129" s="4">
        <v>0.999711948246919</v>
      </c>
      <c r="AJ129" s="4">
        <v>1</v>
      </c>
      <c r="AK129" s="4">
        <v>1</v>
      </c>
      <c r="AL129" s="4">
        <v>1</v>
      </c>
      <c r="AM129" s="4">
        <v>0</v>
      </c>
      <c r="AN129" s="4">
        <v>0</v>
      </c>
      <c r="AO129" s="4" t="s">
        <v>80</v>
      </c>
      <c r="AP129" s="4" t="s">
        <v>81</v>
      </c>
      <c r="AQ129" s="6">
        <v>3919033534.52</v>
      </c>
      <c r="AR129" s="4">
        <v>15079</v>
      </c>
      <c r="AS129" s="15">
        <v>100</v>
      </c>
      <c r="AT129" s="15">
        <v>0</v>
      </c>
      <c r="AU129" s="15">
        <v>100</v>
      </c>
      <c r="AV129" s="15">
        <v>0</v>
      </c>
      <c r="AW129" s="15">
        <v>0</v>
      </c>
      <c r="AX129" s="15">
        <v>0</v>
      </c>
      <c r="AY129">
        <v>2432.83485376817</v>
      </c>
    </row>
    <row r="130" spans="1:51" x14ac:dyDescent="0.25">
      <c r="A130">
        <v>97</v>
      </c>
      <c r="B130" s="4">
        <v>0.96731268272363702</v>
      </c>
      <c r="C130" s="4">
        <v>43.255576375590799</v>
      </c>
      <c r="D130" s="4">
        <v>32.887628768075203</v>
      </c>
      <c r="E130" s="4">
        <v>4.6120316153154303E-2</v>
      </c>
      <c r="F130" s="5">
        <v>3.2687317276362801E-2</v>
      </c>
      <c r="G130" s="5">
        <v>0</v>
      </c>
      <c r="H130" s="4">
        <v>5.3833057432015803</v>
      </c>
      <c r="I130" s="4">
        <v>3.6718766359154702</v>
      </c>
      <c r="J130" s="4">
        <v>28.497003042066101</v>
      </c>
      <c r="K130" s="4">
        <v>184.33409581337199</v>
      </c>
      <c r="L130" s="4">
        <v>15.021579412641801</v>
      </c>
      <c r="M130" s="4">
        <v>39.1133403383309</v>
      </c>
      <c r="N130" s="4">
        <v>68.827671023088698</v>
      </c>
      <c r="O130" s="4">
        <v>63.9980724483231</v>
      </c>
      <c r="P130" s="4">
        <v>285640.38803917897</v>
      </c>
      <c r="Q130" s="4">
        <v>265788.83610871399</v>
      </c>
      <c r="R130" s="4">
        <v>777.13280159132796</v>
      </c>
      <c r="S130" s="4">
        <v>0</v>
      </c>
      <c r="T130" s="4">
        <v>0</v>
      </c>
      <c r="U130" s="4">
        <v>0.24723303066444099</v>
      </c>
      <c r="V130" s="4">
        <v>0</v>
      </c>
      <c r="W130" s="4">
        <v>0</v>
      </c>
      <c r="X130" s="4">
        <v>0.67971339381338203</v>
      </c>
      <c r="Y130" s="4">
        <v>0</v>
      </c>
      <c r="Z130" s="5">
        <v>4.5247614064929201E-4</v>
      </c>
      <c r="AA130" s="5">
        <v>9.2339753947972398E-4</v>
      </c>
      <c r="AB130" s="10">
        <v>3.7501228100801001E-3</v>
      </c>
      <c r="AC130" s="10">
        <v>8.5804243532795198E-6</v>
      </c>
      <c r="AD130" s="10">
        <v>2.7552725136321898E-2</v>
      </c>
      <c r="AE130" s="4">
        <v>1.06276543876609E-2</v>
      </c>
      <c r="AF130" s="4">
        <v>0.75637561330008996</v>
      </c>
      <c r="AG130" s="4">
        <v>0.98886929575815397</v>
      </c>
      <c r="AH130" s="4">
        <v>0.99776634679794995</v>
      </c>
      <c r="AI130" s="4">
        <v>0.99890752716891296</v>
      </c>
      <c r="AJ130" s="4">
        <v>1</v>
      </c>
      <c r="AK130" s="4">
        <v>1</v>
      </c>
      <c r="AL130" s="4">
        <v>1</v>
      </c>
      <c r="AM130" s="4">
        <v>0</v>
      </c>
      <c r="AN130" s="4">
        <v>0</v>
      </c>
      <c r="AO130" s="4" t="s">
        <v>82</v>
      </c>
      <c r="AP130" s="4" t="s">
        <v>83</v>
      </c>
      <c r="AQ130" s="6">
        <v>1848295566.3</v>
      </c>
      <c r="AR130" s="4">
        <v>6954</v>
      </c>
      <c r="AS130" s="15">
        <v>100</v>
      </c>
      <c r="AT130" s="15">
        <v>0</v>
      </c>
      <c r="AU130" s="15">
        <v>100</v>
      </c>
      <c r="AV130" s="15">
        <v>0</v>
      </c>
      <c r="AW130" s="15">
        <v>0</v>
      </c>
      <c r="AX130" s="15">
        <v>0</v>
      </c>
      <c r="AY130">
        <v>2868.3964470874198</v>
      </c>
    </row>
    <row r="131" spans="1:51" x14ac:dyDescent="0.25">
      <c r="A131">
        <v>97</v>
      </c>
      <c r="B131" s="4">
        <v>0.96484314072966904</v>
      </c>
      <c r="C131" s="4">
        <v>50.063258192618299</v>
      </c>
      <c r="D131" s="4">
        <v>34.915051664277399</v>
      </c>
      <c r="E131" s="4">
        <v>5.6225258041055499E-2</v>
      </c>
      <c r="F131" s="5">
        <v>3.515685927033E-2</v>
      </c>
      <c r="G131" s="5">
        <v>0</v>
      </c>
      <c r="H131" s="4">
        <v>5.4947651563324902</v>
      </c>
      <c r="I131" s="4">
        <v>3.6687977815730899</v>
      </c>
      <c r="J131" s="4">
        <v>40.675951705152201</v>
      </c>
      <c r="K131" s="4">
        <v>208.47161923908499</v>
      </c>
      <c r="L131" s="4">
        <v>15.317224598390499</v>
      </c>
      <c r="M131" s="4">
        <v>38.791523854475898</v>
      </c>
      <c r="N131" s="4">
        <v>79.491858091639997</v>
      </c>
      <c r="O131" s="4">
        <v>72.021530241944006</v>
      </c>
      <c r="P131" s="4">
        <v>280216.308650541</v>
      </c>
      <c r="Q131" s="4">
        <v>260670.037706131</v>
      </c>
      <c r="R131" s="4">
        <v>774.64459485577197</v>
      </c>
      <c r="S131" s="4">
        <v>0</v>
      </c>
      <c r="T131" s="4">
        <v>0</v>
      </c>
      <c r="U131" s="4">
        <v>0.17907767754398399</v>
      </c>
      <c r="V131" s="4">
        <v>0</v>
      </c>
      <c r="W131" s="4">
        <v>0</v>
      </c>
      <c r="X131" s="4">
        <v>0.47297787547505898</v>
      </c>
      <c r="Y131" s="4">
        <v>0</v>
      </c>
      <c r="Z131" s="5">
        <v>4.5326252225094302E-4</v>
      </c>
      <c r="AA131" s="5">
        <v>1.15106856584195E-3</v>
      </c>
      <c r="AB131" s="10">
        <v>3.77879977453128E-3</v>
      </c>
      <c r="AC131" s="10">
        <v>3.2948628396604998E-5</v>
      </c>
      <c r="AD131" s="10">
        <v>2.97407646374051E-2</v>
      </c>
      <c r="AE131" s="4">
        <v>3.6019373300261198E-2</v>
      </c>
      <c r="AF131" s="4">
        <v>0.61692814906785898</v>
      </c>
      <c r="AG131" s="4">
        <v>0.96236577393712797</v>
      </c>
      <c r="AH131" s="4">
        <v>0.98552962882913298</v>
      </c>
      <c r="AI131" s="4">
        <v>0.99465369939401704</v>
      </c>
      <c r="AJ131" s="4">
        <v>1</v>
      </c>
      <c r="AK131" s="4">
        <v>1</v>
      </c>
      <c r="AL131" s="4">
        <v>1</v>
      </c>
      <c r="AM131" s="4">
        <v>0</v>
      </c>
      <c r="AN131" s="4">
        <v>0</v>
      </c>
      <c r="AO131" s="4" t="s">
        <v>84</v>
      </c>
      <c r="AP131" s="4" t="s">
        <v>85</v>
      </c>
      <c r="AQ131" s="6">
        <v>246593855.66999999</v>
      </c>
      <c r="AR131" s="4">
        <v>946</v>
      </c>
      <c r="AS131" s="15">
        <v>100</v>
      </c>
      <c r="AT131" s="15">
        <v>0</v>
      </c>
      <c r="AU131" s="15">
        <v>100</v>
      </c>
      <c r="AV131" s="15">
        <v>0</v>
      </c>
      <c r="AW131" s="15">
        <v>0</v>
      </c>
      <c r="AX131" s="15">
        <v>0</v>
      </c>
      <c r="AY131">
        <v>3093.2160058842901</v>
      </c>
    </row>
    <row r="132" spans="1:51" x14ac:dyDescent="0.25">
      <c r="A132">
        <v>97</v>
      </c>
      <c r="B132" s="4">
        <v>0.96601317686483801</v>
      </c>
      <c r="C132" s="4">
        <v>23.498778458382102</v>
      </c>
      <c r="D132" s="4">
        <v>33.961590465337103</v>
      </c>
      <c r="E132" s="4">
        <v>2.2074665008873801E-2</v>
      </c>
      <c r="F132" s="5">
        <v>3.3986823135161201E-2</v>
      </c>
      <c r="G132" s="5">
        <v>0</v>
      </c>
      <c r="H132" s="4">
        <v>5.50625929862486</v>
      </c>
      <c r="I132" s="4">
        <v>3.6670829190924001</v>
      </c>
      <c r="J132" s="4">
        <v>41.428772557196503</v>
      </c>
      <c r="K132" s="4">
        <v>233.11643332779701</v>
      </c>
      <c r="L132" s="4">
        <v>15.0629332716022</v>
      </c>
      <c r="M132" s="4">
        <v>37.766313768849201</v>
      </c>
      <c r="N132" s="4">
        <v>86.931488485126593</v>
      </c>
      <c r="O132" s="4">
        <v>76.211453722866494</v>
      </c>
      <c r="P132" s="4">
        <v>287200.86287802103</v>
      </c>
      <c r="Q132" s="4">
        <v>265072.59000000003</v>
      </c>
      <c r="R132" s="4">
        <v>771.77604276247405</v>
      </c>
      <c r="S132" s="4">
        <v>0</v>
      </c>
      <c r="T132" s="4">
        <v>0</v>
      </c>
      <c r="U132" s="4">
        <v>0.15888661261836501</v>
      </c>
      <c r="V132" s="4">
        <v>0</v>
      </c>
      <c r="W132" s="4">
        <v>0</v>
      </c>
      <c r="X132" s="4">
        <v>0.34454703898279299</v>
      </c>
      <c r="Y132" s="4">
        <v>0</v>
      </c>
      <c r="Z132" s="5">
        <v>4.6845142447485201E-4</v>
      </c>
      <c r="AA132" s="5">
        <v>1.1840974039049399E-3</v>
      </c>
      <c r="AB132" s="10">
        <v>3.6854739148401098E-3</v>
      </c>
      <c r="AC132" s="10">
        <v>7.4690301372767296E-5</v>
      </c>
      <c r="AD132" s="10">
        <v>2.8574093811829401E-2</v>
      </c>
      <c r="AE132" s="4">
        <v>6.50002630029166E-2</v>
      </c>
      <c r="AF132" s="4">
        <v>0.44839943219385198</v>
      </c>
      <c r="AG132" s="4">
        <v>0.88315418487383401</v>
      </c>
      <c r="AH132" s="4">
        <v>0.96960659371428404</v>
      </c>
      <c r="AI132" s="4">
        <v>0.99490874440208099</v>
      </c>
      <c r="AJ132" s="4">
        <v>1</v>
      </c>
      <c r="AK132" s="4">
        <v>1</v>
      </c>
      <c r="AL132" s="4">
        <v>1</v>
      </c>
      <c r="AM132" s="4">
        <v>0</v>
      </c>
      <c r="AN132" s="4">
        <v>0</v>
      </c>
      <c r="AO132" s="4" t="s">
        <v>86</v>
      </c>
      <c r="AP132" s="4" t="s">
        <v>87</v>
      </c>
      <c r="AQ132" s="6">
        <v>34459436.700000003</v>
      </c>
      <c r="AR132" s="4">
        <v>130</v>
      </c>
      <c r="AS132" s="15">
        <v>100</v>
      </c>
      <c r="AT132" s="15">
        <v>0</v>
      </c>
      <c r="AU132" s="15">
        <v>100</v>
      </c>
      <c r="AV132" s="15">
        <v>0</v>
      </c>
      <c r="AW132" s="15">
        <v>0</v>
      </c>
      <c r="AX132" s="15">
        <v>0</v>
      </c>
      <c r="AY132">
        <v>3351.1138050964</v>
      </c>
    </row>
    <row r="133" spans="1:51" x14ac:dyDescent="0.25">
      <c r="A133">
        <v>97</v>
      </c>
      <c r="B133" s="4">
        <v>0.96637858675477895</v>
      </c>
      <c r="C133" s="4">
        <v>0.31085727775854699</v>
      </c>
      <c r="D133" s="4">
        <v>33.6612050578957</v>
      </c>
      <c r="E133" s="4">
        <v>2.5941754763845603E-4</v>
      </c>
      <c r="F133" s="5">
        <v>3.3621413245220798E-2</v>
      </c>
      <c r="G133" s="5">
        <v>0</v>
      </c>
      <c r="H133" s="4">
        <v>5.3226110606132204</v>
      </c>
      <c r="I133" s="4">
        <v>3.6158183412404101</v>
      </c>
      <c r="J133" s="4">
        <v>17.782984136469398</v>
      </c>
      <c r="K133" s="4">
        <v>259.08232255140803</v>
      </c>
      <c r="L133" s="4">
        <v>14.8703845927398</v>
      </c>
      <c r="M133" s="4">
        <v>34.517350742999596</v>
      </c>
      <c r="N133" s="4">
        <v>89.8780970756372</v>
      </c>
      <c r="O133" s="4">
        <v>75.733798597228301</v>
      </c>
      <c r="P133" s="4">
        <v>283282.32709269802</v>
      </c>
      <c r="Q133" s="4">
        <v>268480.51571428502</v>
      </c>
      <c r="R133" s="4">
        <v>758.51068256025201</v>
      </c>
      <c r="S133" s="4">
        <v>0</v>
      </c>
      <c r="T133" s="4">
        <v>0</v>
      </c>
      <c r="U133" s="4">
        <v>8.4845699443972897E-2</v>
      </c>
      <c r="V133" s="4">
        <v>0</v>
      </c>
      <c r="W133" s="4">
        <v>0</v>
      </c>
      <c r="X133" s="4">
        <v>0.897200728495535</v>
      </c>
      <c r="Y133" s="4">
        <v>0</v>
      </c>
      <c r="Z133" s="5">
        <v>4.5165806195177901E-4</v>
      </c>
      <c r="AA133" s="5">
        <v>8.6551349411038102E-4</v>
      </c>
      <c r="AB133" s="10">
        <v>4.21915808003332E-3</v>
      </c>
      <c r="AC133" s="10">
        <v>2.0384581250203001E-4</v>
      </c>
      <c r="AD133" s="10">
        <v>2.7881222441878E-2</v>
      </c>
      <c r="AE133" s="4">
        <v>0.11353377589545099</v>
      </c>
      <c r="AF133" s="4">
        <v>0.23025276625421001</v>
      </c>
      <c r="AG133" s="4">
        <v>0.478254923750492</v>
      </c>
      <c r="AH133" s="4">
        <v>1</v>
      </c>
      <c r="AI133" s="4">
        <v>1</v>
      </c>
      <c r="AJ133" s="4">
        <v>1</v>
      </c>
      <c r="AK133" s="4">
        <v>1</v>
      </c>
      <c r="AL133" s="4">
        <v>1</v>
      </c>
      <c r="AM133" s="4">
        <v>0</v>
      </c>
      <c r="AN133" s="4">
        <v>0</v>
      </c>
      <c r="AO133" s="4" t="s">
        <v>154</v>
      </c>
      <c r="AP133" s="4" t="s">
        <v>155</v>
      </c>
      <c r="AQ133" s="6">
        <v>1879363.61</v>
      </c>
      <c r="AR133" s="4">
        <v>7</v>
      </c>
      <c r="AS133" s="15">
        <v>100</v>
      </c>
      <c r="AT133" s="15">
        <v>0</v>
      </c>
      <c r="AU133" s="15">
        <v>100</v>
      </c>
      <c r="AV133" s="15">
        <v>0</v>
      </c>
      <c r="AW133" s="15">
        <v>0</v>
      </c>
      <c r="AX133" s="15">
        <v>0</v>
      </c>
      <c r="AY133">
        <v>3705.7211718124599</v>
      </c>
    </row>
    <row r="134" spans="1:51" x14ac:dyDescent="0.25">
      <c r="B134" s="4"/>
      <c r="C134" s="4"/>
      <c r="D134" s="4"/>
      <c r="E134" s="4"/>
      <c r="F134" s="5"/>
      <c r="G134" s="5"/>
      <c r="H134" s="4"/>
      <c r="I134" s="4"/>
      <c r="J134" s="4"/>
      <c r="K134" s="4"/>
      <c r="L134" s="4"/>
      <c r="M134" s="4"/>
      <c r="N134" s="4"/>
      <c r="O134" s="4"/>
      <c r="P134" s="4"/>
      <c r="Q134" s="4"/>
      <c r="R134" s="4"/>
      <c r="S134" s="4"/>
      <c r="T134" s="4"/>
      <c r="U134" s="4"/>
      <c r="V134" s="4"/>
      <c r="W134" s="4"/>
      <c r="X134" s="4"/>
      <c r="Y134" s="4"/>
      <c r="Z134" s="5"/>
      <c r="AA134" s="5"/>
      <c r="AB134" s="10"/>
      <c r="AC134" s="10"/>
      <c r="AD134" s="10"/>
      <c r="AE134" s="4"/>
      <c r="AF134" s="4"/>
      <c r="AG134" s="4"/>
      <c r="AH134" s="4"/>
      <c r="AI134" s="4"/>
      <c r="AJ134" s="4"/>
      <c r="AK134" s="4"/>
      <c r="AL134" s="4"/>
      <c r="AM134" s="4"/>
      <c r="AN134" s="4"/>
      <c r="AO134" s="4"/>
      <c r="AP134" s="4"/>
      <c r="AQ134" s="6"/>
      <c r="AR134" s="4"/>
      <c r="AS134" s="15"/>
      <c r="AT134" s="15"/>
      <c r="AU134" s="15"/>
      <c r="AV134" s="15"/>
      <c r="AW134" s="15"/>
      <c r="AX134" s="15"/>
    </row>
    <row r="138" spans="1:51" x14ac:dyDescent="0.25">
      <c r="F138" t="s">
        <v>167</v>
      </c>
    </row>
    <row r="139" spans="1:51" x14ac:dyDescent="0.25">
      <c r="A139" t="s">
        <v>20</v>
      </c>
      <c r="B139" t="s">
        <v>21</v>
      </c>
      <c r="C139" t="s">
        <v>22</v>
      </c>
      <c r="D139" t="s">
        <v>23</v>
      </c>
      <c r="E139" t="s">
        <v>94</v>
      </c>
      <c r="F139" t="s">
        <v>95</v>
      </c>
      <c r="G139" t="s">
        <v>24</v>
      </c>
      <c r="H139" t="s">
        <v>25</v>
      </c>
      <c r="I139" t="s">
        <v>26</v>
      </c>
      <c r="J139" t="s">
        <v>27</v>
      </c>
      <c r="K139" t="s">
        <v>28</v>
      </c>
      <c r="L139" t="s">
        <v>29</v>
      </c>
      <c r="M139" t="s">
        <v>30</v>
      </c>
      <c r="N139" t="s">
        <v>31</v>
      </c>
      <c r="O139" t="s">
        <v>32</v>
      </c>
      <c r="P139" t="s">
        <v>33</v>
      </c>
      <c r="Q139" t="s">
        <v>34</v>
      </c>
      <c r="R139" t="s">
        <v>35</v>
      </c>
      <c r="S139" t="s">
        <v>36</v>
      </c>
      <c r="T139" t="s">
        <v>37</v>
      </c>
      <c r="U139" t="s">
        <v>38</v>
      </c>
      <c r="V139" t="s">
        <v>39</v>
      </c>
      <c r="W139" t="s">
        <v>40</v>
      </c>
      <c r="X139" t="s">
        <v>41</v>
      </c>
      <c r="Y139" t="s">
        <v>42</v>
      </c>
      <c r="Z139" t="s">
        <v>43</v>
      </c>
      <c r="AA139" t="s">
        <v>44</v>
      </c>
      <c r="AB139" t="s">
        <v>45</v>
      </c>
      <c r="AC139" t="s">
        <v>46</v>
      </c>
      <c r="AD139" t="s">
        <v>47</v>
      </c>
      <c r="AE139" t="s">
        <v>48</v>
      </c>
      <c r="AF139" t="s">
        <v>49</v>
      </c>
      <c r="AG139" t="s">
        <v>50</v>
      </c>
      <c r="AH139" t="s">
        <v>51</v>
      </c>
      <c r="AI139" t="s">
        <v>52</v>
      </c>
      <c r="AJ139" t="s">
        <v>53</v>
      </c>
      <c r="AK139" t="s">
        <v>54</v>
      </c>
      <c r="AL139" t="s">
        <v>55</v>
      </c>
      <c r="AM139" t="s">
        <v>56</v>
      </c>
      <c r="AN139" t="s">
        <v>57</v>
      </c>
      <c r="AO139" t="s">
        <v>58</v>
      </c>
      <c r="AP139" t="s">
        <v>59</v>
      </c>
      <c r="AQ139" t="s">
        <v>60</v>
      </c>
      <c r="AR139" t="s">
        <v>61</v>
      </c>
      <c r="AS139" t="s">
        <v>116</v>
      </c>
      <c r="AT139" t="s">
        <v>117</v>
      </c>
      <c r="AU139" t="s">
        <v>118</v>
      </c>
      <c r="AV139" t="s">
        <v>119</v>
      </c>
      <c r="AW139" t="s">
        <v>120</v>
      </c>
      <c r="AX139" t="s">
        <v>121</v>
      </c>
      <c r="AY139" t="s">
        <v>171</v>
      </c>
    </row>
    <row r="140" spans="1:51" x14ac:dyDescent="0.25">
      <c r="A140">
        <v>96</v>
      </c>
      <c r="B140" s="4">
        <v>0.98456522000000002</v>
      </c>
      <c r="C140" s="4">
        <v>3.27668715681079</v>
      </c>
      <c r="D140" s="4">
        <v>17.0275561610393</v>
      </c>
      <c r="E140" s="4">
        <v>2.7724603114119501E-3</v>
      </c>
      <c r="F140" s="5">
        <v>1.543478E-2</v>
      </c>
      <c r="G140" s="5">
        <v>0</v>
      </c>
      <c r="H140" s="4">
        <v>4.875</v>
      </c>
      <c r="I140" s="4">
        <v>3.7846229999999998</v>
      </c>
      <c r="J140" s="4">
        <v>-22.2622</v>
      </c>
      <c r="K140" s="4">
        <v>47.41</v>
      </c>
      <c r="L140" s="4">
        <v>97.65</v>
      </c>
      <c r="M140" s="4">
        <v>44</v>
      </c>
      <c r="N140" s="4">
        <v>36</v>
      </c>
      <c r="O140" s="4">
        <v>5</v>
      </c>
      <c r="P140" s="4">
        <v>39758.910000000003</v>
      </c>
      <c r="Q140" s="4">
        <v>39758.910000000003</v>
      </c>
      <c r="R140" s="4">
        <v>802</v>
      </c>
      <c r="S140" s="4">
        <v>0</v>
      </c>
      <c r="T140" s="4">
        <v>0</v>
      </c>
      <c r="U140" s="4">
        <v>0</v>
      </c>
      <c r="V140" s="4">
        <v>0</v>
      </c>
      <c r="W140" s="4">
        <v>0</v>
      </c>
      <c r="X140" s="4">
        <v>1</v>
      </c>
      <c r="Y140" s="4">
        <v>0</v>
      </c>
      <c r="Z140" s="5">
        <v>7.7544199999999997E-3</v>
      </c>
      <c r="AA140" s="5">
        <v>4.2566000000000001E-4</v>
      </c>
      <c r="AB140" s="10">
        <v>5.3365000000000001E-3</v>
      </c>
      <c r="AC140" s="10">
        <v>0</v>
      </c>
      <c r="AD140" s="10">
        <v>1.91818E-3</v>
      </c>
      <c r="AE140" s="4">
        <v>0.101015969264646</v>
      </c>
      <c r="AF140" s="4">
        <v>0</v>
      </c>
      <c r="AG140" s="4">
        <v>1</v>
      </c>
      <c r="AH140" s="4">
        <v>1</v>
      </c>
      <c r="AI140" s="4">
        <v>1</v>
      </c>
      <c r="AJ140" s="4">
        <v>1</v>
      </c>
      <c r="AK140" s="4">
        <v>1</v>
      </c>
      <c r="AL140" s="4">
        <v>1</v>
      </c>
      <c r="AM140" s="4">
        <v>0</v>
      </c>
      <c r="AN140" s="4">
        <v>0</v>
      </c>
      <c r="AO140" s="4" t="s">
        <v>70</v>
      </c>
      <c r="AP140" s="4" t="s">
        <v>71</v>
      </c>
      <c r="AQ140" s="6">
        <v>39758.910000000003</v>
      </c>
      <c r="AR140" s="4">
        <v>1</v>
      </c>
      <c r="AS140" s="15">
        <v>100</v>
      </c>
      <c r="AT140" s="15">
        <v>0</v>
      </c>
      <c r="AU140" s="15">
        <v>100</v>
      </c>
      <c r="AV140" s="15">
        <v>0</v>
      </c>
      <c r="AW140" s="15">
        <v>0</v>
      </c>
      <c r="AX140" s="15">
        <v>0</v>
      </c>
      <c r="AY140" s="31">
        <v>2053.2399999999998</v>
      </c>
    </row>
    <row r="141" spans="1:51" x14ac:dyDescent="0.25">
      <c r="A141">
        <v>96</v>
      </c>
      <c r="B141" s="4">
        <v>0.98100080999999995</v>
      </c>
      <c r="C141" s="4">
        <v>100</v>
      </c>
      <c r="D141" s="4">
        <v>20.561251845163699</v>
      </c>
      <c r="E141" s="4">
        <v>1</v>
      </c>
      <c r="F141" s="5">
        <v>1.8999189999999999E-2</v>
      </c>
      <c r="G141" s="5">
        <v>0</v>
      </c>
      <c r="H141" s="4">
        <v>5.5</v>
      </c>
      <c r="I141" s="4">
        <v>4.1184729999999998</v>
      </c>
      <c r="J141" s="4">
        <v>58.9788</v>
      </c>
      <c r="K141" s="4">
        <v>63.07</v>
      </c>
      <c r="L141" s="4">
        <v>100</v>
      </c>
      <c r="M141" s="4">
        <v>35</v>
      </c>
      <c r="N141" s="4">
        <v>80</v>
      </c>
      <c r="O141" s="4">
        <v>12.5</v>
      </c>
      <c r="P141" s="4">
        <v>34254.76</v>
      </c>
      <c r="Q141" s="4">
        <v>34254.76</v>
      </c>
      <c r="R141" s="4">
        <v>795</v>
      </c>
      <c r="S141" s="4">
        <v>0</v>
      </c>
      <c r="T141" s="4">
        <v>0</v>
      </c>
      <c r="U141" s="4">
        <v>0</v>
      </c>
      <c r="V141" s="4">
        <v>0</v>
      </c>
      <c r="W141" s="4">
        <v>0</v>
      </c>
      <c r="X141" s="4">
        <v>0</v>
      </c>
      <c r="Y141" s="4">
        <v>0</v>
      </c>
      <c r="Z141" s="5">
        <v>9.2238700000000003E-3</v>
      </c>
      <c r="AA141" s="5">
        <v>2.7724E-4</v>
      </c>
      <c r="AB141" s="10">
        <v>7.7586199999999999E-3</v>
      </c>
      <c r="AC141" s="10">
        <v>0</v>
      </c>
      <c r="AD141" s="10">
        <v>1.73945E-3</v>
      </c>
      <c r="AE141" s="4">
        <v>-0.14094645768024999</v>
      </c>
      <c r="AF141" s="4">
        <v>1</v>
      </c>
      <c r="AG141" s="4">
        <v>1</v>
      </c>
      <c r="AH141" s="4">
        <v>1</v>
      </c>
      <c r="AI141" s="4">
        <v>1</v>
      </c>
      <c r="AJ141" s="4">
        <v>1</v>
      </c>
      <c r="AK141" s="4">
        <v>1</v>
      </c>
      <c r="AL141" s="4">
        <v>1</v>
      </c>
      <c r="AM141" s="4">
        <v>0</v>
      </c>
      <c r="AN141" s="4">
        <v>0</v>
      </c>
      <c r="AO141" s="4" t="s">
        <v>151</v>
      </c>
      <c r="AP141" s="4" t="s">
        <v>135</v>
      </c>
      <c r="AQ141" s="6">
        <v>34254.76</v>
      </c>
      <c r="AR141" s="4">
        <v>1</v>
      </c>
      <c r="AS141" s="15">
        <v>100</v>
      </c>
      <c r="AT141" s="15">
        <v>0</v>
      </c>
      <c r="AU141" s="15">
        <v>100</v>
      </c>
      <c r="AV141" s="15">
        <v>0</v>
      </c>
      <c r="AW141" s="15">
        <v>0</v>
      </c>
      <c r="AX141" s="15">
        <v>0</v>
      </c>
      <c r="AY141" s="31">
        <v>2019.99</v>
      </c>
    </row>
    <row r="142" spans="1:51" x14ac:dyDescent="0.25">
      <c r="A142">
        <v>96</v>
      </c>
      <c r="B142" s="4">
        <v>0.97712084393653997</v>
      </c>
      <c r="C142" s="4">
        <v>97.664280650619204</v>
      </c>
      <c r="D142" s="4">
        <v>24.2505763127626</v>
      </c>
      <c r="E142" s="4">
        <v>0.26880189890355299</v>
      </c>
      <c r="F142" s="5">
        <v>2.28791560634596E-2</v>
      </c>
      <c r="G142" s="5">
        <v>0</v>
      </c>
      <c r="H142" s="4">
        <v>5.2163997626370504</v>
      </c>
      <c r="I142" s="4">
        <v>3.7893787124495302</v>
      </c>
      <c r="J142" s="4">
        <v>1.0631544367865999</v>
      </c>
      <c r="K142" s="4">
        <v>71.303036771863901</v>
      </c>
      <c r="L142" s="4">
        <v>100</v>
      </c>
      <c r="M142" s="4">
        <v>36.881613292324801</v>
      </c>
      <c r="N142" s="4">
        <v>58.182443674781702</v>
      </c>
      <c r="O142" s="4">
        <v>2.6621731896227399</v>
      </c>
      <c r="P142" s="4">
        <v>18777.620257298298</v>
      </c>
      <c r="Q142" s="4">
        <v>15469.98</v>
      </c>
      <c r="R142" s="4">
        <v>771.11838670767497</v>
      </c>
      <c r="S142" s="4">
        <v>0</v>
      </c>
      <c r="T142" s="4">
        <v>0</v>
      </c>
      <c r="U142" s="4">
        <v>1</v>
      </c>
      <c r="V142" s="4">
        <v>0</v>
      </c>
      <c r="W142" s="4">
        <v>0</v>
      </c>
      <c r="X142" s="4">
        <v>0.73119810109644601</v>
      </c>
      <c r="Y142" s="4">
        <v>0</v>
      </c>
      <c r="Z142" s="5">
        <v>1.3684583306481301E-2</v>
      </c>
      <c r="AA142" s="5">
        <v>8.3258236261456002E-4</v>
      </c>
      <c r="AB142" s="10">
        <v>7.06236995640589E-3</v>
      </c>
      <c r="AC142" s="10">
        <v>0</v>
      </c>
      <c r="AD142" s="10">
        <v>1.2996077499389099E-3</v>
      </c>
      <c r="AE142" s="4">
        <v>-4.2901287388701699E-2</v>
      </c>
      <c r="AF142" s="4">
        <v>0.73119810109644601</v>
      </c>
      <c r="AG142" s="4">
        <v>1</v>
      </c>
      <c r="AH142" s="4">
        <v>1</v>
      </c>
      <c r="AI142" s="4">
        <v>1</v>
      </c>
      <c r="AJ142" s="4">
        <v>1</v>
      </c>
      <c r="AK142" s="4">
        <v>1</v>
      </c>
      <c r="AL142" s="4">
        <v>1</v>
      </c>
      <c r="AM142" s="4">
        <v>0</v>
      </c>
      <c r="AN142" s="4">
        <v>0</v>
      </c>
      <c r="AO142" s="4" t="s">
        <v>72</v>
      </c>
      <c r="AP142" s="4" t="s">
        <v>73</v>
      </c>
      <c r="AQ142" s="6">
        <v>30939.96</v>
      </c>
      <c r="AR142" s="4">
        <v>2</v>
      </c>
      <c r="AS142" s="15">
        <v>100</v>
      </c>
      <c r="AT142" s="15">
        <v>0</v>
      </c>
      <c r="AU142" s="15">
        <v>100</v>
      </c>
      <c r="AV142" s="15">
        <v>0</v>
      </c>
      <c r="AW142" s="15">
        <v>0</v>
      </c>
      <c r="AX142" s="15">
        <v>0</v>
      </c>
      <c r="AY142" s="31">
        <v>2091.7420524137701</v>
      </c>
    </row>
    <row r="143" spans="1:51" x14ac:dyDescent="0.25">
      <c r="A143">
        <v>96</v>
      </c>
      <c r="B143" s="4">
        <v>0.97965621500477695</v>
      </c>
      <c r="C143" s="4">
        <v>45.9950953217988</v>
      </c>
      <c r="D143" s="4">
        <v>21.858026328731398</v>
      </c>
      <c r="E143" s="4">
        <v>5.0045581768730599E-2</v>
      </c>
      <c r="F143" s="5">
        <v>2.03437849952227E-2</v>
      </c>
      <c r="G143" s="5">
        <v>0</v>
      </c>
      <c r="H143" s="4">
        <v>5.1504321235823003</v>
      </c>
      <c r="I143" s="4">
        <v>3.7390046081407</v>
      </c>
      <c r="J143" s="4">
        <v>6.0976076913044599</v>
      </c>
      <c r="K143" s="4">
        <v>93.3563943075266</v>
      </c>
      <c r="L143" s="4">
        <v>73.871136128459099</v>
      </c>
      <c r="M143" s="4">
        <v>40.574983775490502</v>
      </c>
      <c r="N143" s="4">
        <v>72.935554023452696</v>
      </c>
      <c r="O143" s="4">
        <v>26.509605501812199</v>
      </c>
      <c r="P143" s="4">
        <v>66481.101944543305</v>
      </c>
      <c r="Q143" s="4">
        <v>42116.615714285697</v>
      </c>
      <c r="R143" s="4">
        <v>787.19819858338201</v>
      </c>
      <c r="S143" s="4">
        <v>0</v>
      </c>
      <c r="T143" s="4">
        <v>0</v>
      </c>
      <c r="U143" s="4">
        <v>0.112928725008463</v>
      </c>
      <c r="V143" s="4">
        <v>0</v>
      </c>
      <c r="W143" s="4">
        <v>0</v>
      </c>
      <c r="X143" s="4">
        <v>0.25613769468860098</v>
      </c>
      <c r="Y143" s="4">
        <v>0</v>
      </c>
      <c r="Z143" s="5">
        <v>6.4540654521467898E-3</v>
      </c>
      <c r="AA143" s="5">
        <v>6.3918887192825199E-4</v>
      </c>
      <c r="AB143" s="10">
        <v>5.3246337613039397E-3</v>
      </c>
      <c r="AC143" s="10">
        <v>0</v>
      </c>
      <c r="AD143" s="10">
        <v>7.9258747396141298E-3</v>
      </c>
      <c r="AE143" s="4">
        <v>3.1532534408375001E-2</v>
      </c>
      <c r="AF143" s="4">
        <v>0.46927303648838098</v>
      </c>
      <c r="AG143" s="4">
        <v>1</v>
      </c>
      <c r="AH143" s="4">
        <v>1</v>
      </c>
      <c r="AI143" s="4">
        <v>1</v>
      </c>
      <c r="AJ143" s="4">
        <v>1</v>
      </c>
      <c r="AK143" s="4">
        <v>1</v>
      </c>
      <c r="AL143" s="4">
        <v>1</v>
      </c>
      <c r="AM143" s="4">
        <v>0</v>
      </c>
      <c r="AN143" s="4">
        <v>0</v>
      </c>
      <c r="AO143" s="4" t="s">
        <v>74</v>
      </c>
      <c r="AP143" s="4" t="s">
        <v>75</v>
      </c>
      <c r="AQ143" s="6">
        <v>589632.62</v>
      </c>
      <c r="AR143" s="4">
        <v>14</v>
      </c>
      <c r="AS143" s="15">
        <v>100</v>
      </c>
      <c r="AT143" s="15">
        <v>0</v>
      </c>
      <c r="AU143" s="15">
        <v>100</v>
      </c>
      <c r="AV143" s="15">
        <v>0</v>
      </c>
      <c r="AW143" s="15">
        <v>0</v>
      </c>
      <c r="AX143" s="15">
        <v>0</v>
      </c>
      <c r="AY143">
        <v>2312.6224848352099</v>
      </c>
    </row>
    <row r="144" spans="1:51" x14ac:dyDescent="0.25">
      <c r="A144">
        <v>96</v>
      </c>
      <c r="B144" s="4">
        <v>0.96377883510097895</v>
      </c>
      <c r="C144" s="4">
        <v>38.793530015626601</v>
      </c>
      <c r="D144" s="4">
        <v>35.771376025080301</v>
      </c>
      <c r="E144" s="4">
        <v>4.0084264230880302E-2</v>
      </c>
      <c r="F144" s="5">
        <v>3.62211648990204E-2</v>
      </c>
      <c r="G144" s="5">
        <v>0</v>
      </c>
      <c r="H144" s="4">
        <v>5.2465733056205703</v>
      </c>
      <c r="I144" s="4">
        <v>3.8328350703429299</v>
      </c>
      <c r="J144" s="4">
        <v>16.1532432021368</v>
      </c>
      <c r="K144" s="4">
        <v>117.56813234517401</v>
      </c>
      <c r="L144" s="4">
        <v>31.875436307143101</v>
      </c>
      <c r="M144" s="4">
        <v>38.188021801396097</v>
      </c>
      <c r="N144" s="4">
        <v>71.477790335947105</v>
      </c>
      <c r="O144" s="4">
        <v>51.158287187458797</v>
      </c>
      <c r="P144" s="4">
        <v>168989.56230173999</v>
      </c>
      <c r="Q144" s="4">
        <v>118980.85258823499</v>
      </c>
      <c r="R144" s="4">
        <v>776.330030748882</v>
      </c>
      <c r="S144" s="4">
        <v>0</v>
      </c>
      <c r="T144" s="4">
        <v>0</v>
      </c>
      <c r="U144" s="4">
        <v>0.112765525385618</v>
      </c>
      <c r="V144" s="4">
        <v>0</v>
      </c>
      <c r="W144" s="4">
        <v>0</v>
      </c>
      <c r="X144" s="4">
        <v>0.51854030646613702</v>
      </c>
      <c r="Y144" s="4">
        <v>0</v>
      </c>
      <c r="Z144" s="5">
        <v>1.87467800215184E-3</v>
      </c>
      <c r="AA144" s="5">
        <v>7.7799175188983198E-4</v>
      </c>
      <c r="AB144" s="10">
        <v>4.9703428984609098E-3</v>
      </c>
      <c r="AC144" s="10">
        <v>1.87830502308593E-5</v>
      </c>
      <c r="AD144" s="10">
        <v>2.8579354466183999E-2</v>
      </c>
      <c r="AE144" s="4">
        <v>-1.04384970537929E-2</v>
      </c>
      <c r="AF144" s="4">
        <v>0.73084442424377505</v>
      </c>
      <c r="AG144" s="4">
        <v>0.98793165579908604</v>
      </c>
      <c r="AH144" s="4">
        <v>0.98793165579908604</v>
      </c>
      <c r="AI144" s="4">
        <v>1</v>
      </c>
      <c r="AJ144" s="4">
        <v>1</v>
      </c>
      <c r="AK144" s="4">
        <v>1</v>
      </c>
      <c r="AL144" s="4">
        <v>1</v>
      </c>
      <c r="AM144" s="4">
        <v>0</v>
      </c>
      <c r="AN144" s="4">
        <v>0</v>
      </c>
      <c r="AO144" s="4" t="s">
        <v>76</v>
      </c>
      <c r="AP144" s="4" t="s">
        <v>77</v>
      </c>
      <c r="AQ144" s="6">
        <v>10113372.470000001</v>
      </c>
      <c r="AR144" s="4">
        <v>85</v>
      </c>
      <c r="AS144" s="15">
        <v>100</v>
      </c>
      <c r="AT144" s="15">
        <v>0</v>
      </c>
      <c r="AU144" s="15">
        <v>100</v>
      </c>
      <c r="AV144" s="15">
        <v>0</v>
      </c>
      <c r="AW144" s="15">
        <v>0</v>
      </c>
      <c r="AX144" s="15">
        <v>0</v>
      </c>
      <c r="AY144">
        <v>2249.9122372693</v>
      </c>
    </row>
    <row r="145" spans="1:51" x14ac:dyDescent="0.25">
      <c r="A145">
        <v>96</v>
      </c>
      <c r="B145" s="4">
        <v>0.94559075887783905</v>
      </c>
      <c r="C145" s="4">
        <v>43.944672269755799</v>
      </c>
      <c r="D145" s="4">
        <v>48.8979136916873</v>
      </c>
      <c r="E145" s="4">
        <v>4.7091045578868701E-2</v>
      </c>
      <c r="F145" s="5">
        <v>5.44092411221603E-2</v>
      </c>
      <c r="G145" s="5">
        <v>0</v>
      </c>
      <c r="H145" s="4">
        <v>5.1294541575295796</v>
      </c>
      <c r="I145" s="4">
        <v>3.8620598889316802</v>
      </c>
      <c r="J145" s="4">
        <v>3.7354867487772898</v>
      </c>
      <c r="K145" s="4">
        <v>139.77321883310699</v>
      </c>
      <c r="L145" s="4">
        <v>14.8674561552087</v>
      </c>
      <c r="M145" s="4">
        <v>36.890086105602201</v>
      </c>
      <c r="N145" s="4">
        <v>59.540258175476197</v>
      </c>
      <c r="O145" s="4">
        <v>56.031925775924996</v>
      </c>
      <c r="P145" s="4">
        <v>292079.22095605597</v>
      </c>
      <c r="Q145" s="4">
        <v>268452.80179076002</v>
      </c>
      <c r="R145" s="4">
        <v>779.61660188851897</v>
      </c>
      <c r="S145" s="4">
        <v>0</v>
      </c>
      <c r="T145" s="4">
        <v>0</v>
      </c>
      <c r="U145" s="4">
        <v>0.26324899982515398</v>
      </c>
      <c r="V145" s="4">
        <v>0</v>
      </c>
      <c r="W145" s="4">
        <v>0</v>
      </c>
      <c r="X145" s="4">
        <v>0.797932302172224</v>
      </c>
      <c r="Y145" s="4">
        <v>0</v>
      </c>
      <c r="Z145" s="5">
        <v>4.6206386822465501E-4</v>
      </c>
      <c r="AA145" s="5">
        <v>5.1492925644697196E-4</v>
      </c>
      <c r="AB145" s="10">
        <v>4.1902917917597798E-3</v>
      </c>
      <c r="AC145" s="10">
        <v>1.1406234187167401E-5</v>
      </c>
      <c r="AD145" s="10">
        <v>4.92305348609023E-2</v>
      </c>
      <c r="AE145" s="4">
        <v>-1.26058571438107E-3</v>
      </c>
      <c r="AF145" s="4">
        <v>0.71063063335550802</v>
      </c>
      <c r="AG145" s="4">
        <v>0.98667280854530903</v>
      </c>
      <c r="AH145" s="4">
        <v>0.99519837478830397</v>
      </c>
      <c r="AI145" s="4">
        <v>0.99959704866514199</v>
      </c>
      <c r="AJ145" s="4">
        <v>1</v>
      </c>
      <c r="AK145" s="4">
        <v>1</v>
      </c>
      <c r="AL145" s="4">
        <v>1</v>
      </c>
      <c r="AM145" s="4">
        <v>0</v>
      </c>
      <c r="AN145" s="4">
        <v>0</v>
      </c>
      <c r="AO145" s="4" t="s">
        <v>78</v>
      </c>
      <c r="AP145" s="4" t="s">
        <v>79</v>
      </c>
      <c r="AQ145" s="6">
        <v>1690984198.48</v>
      </c>
      <c r="AR145" s="4">
        <v>6299</v>
      </c>
      <c r="AS145" s="15">
        <v>100</v>
      </c>
      <c r="AT145" s="15">
        <v>0</v>
      </c>
      <c r="AU145" s="15">
        <v>100</v>
      </c>
      <c r="AV145" s="15">
        <v>0</v>
      </c>
      <c r="AW145" s="15">
        <v>0</v>
      </c>
      <c r="AX145" s="15">
        <v>0</v>
      </c>
      <c r="AY145">
        <v>2199.9909708084001</v>
      </c>
    </row>
    <row r="146" spans="1:51" x14ac:dyDescent="0.25">
      <c r="A146">
        <v>96</v>
      </c>
      <c r="B146" s="4">
        <v>0.94648390343216204</v>
      </c>
      <c r="C146" s="4">
        <v>45.083899409068202</v>
      </c>
      <c r="D146" s="4">
        <v>48.315682066452602</v>
      </c>
      <c r="E146" s="4">
        <v>4.8720128026192702E-2</v>
      </c>
      <c r="F146" s="5">
        <v>5.3516096567837297E-2</v>
      </c>
      <c r="G146" s="5">
        <v>0</v>
      </c>
      <c r="H146" s="4">
        <v>5.2375548982564304</v>
      </c>
      <c r="I146" s="4">
        <v>3.7218308746045499</v>
      </c>
      <c r="J146" s="4">
        <v>12.9781646842484</v>
      </c>
      <c r="K146" s="4">
        <v>162.61850206686299</v>
      </c>
      <c r="L146" s="4">
        <v>15.361112169609401</v>
      </c>
      <c r="M146" s="4">
        <v>37.294547248088598</v>
      </c>
      <c r="N146" s="4">
        <v>64.159312576261598</v>
      </c>
      <c r="O146" s="4">
        <v>60.517960827816196</v>
      </c>
      <c r="P146" s="4">
        <v>280602.583765344</v>
      </c>
      <c r="Q146" s="4">
        <v>259900.09513362899</v>
      </c>
      <c r="R146" s="4">
        <v>778.07632415498404</v>
      </c>
      <c r="S146" s="4">
        <v>0</v>
      </c>
      <c r="T146" s="4">
        <v>0</v>
      </c>
      <c r="U146" s="4">
        <v>0.25818775681232498</v>
      </c>
      <c r="V146" s="4">
        <v>0</v>
      </c>
      <c r="W146" s="4">
        <v>0</v>
      </c>
      <c r="X146" s="4">
        <v>0.76366410932397299</v>
      </c>
      <c r="Y146" s="4">
        <v>0</v>
      </c>
      <c r="Z146" s="5">
        <v>4.5081500116984598E-4</v>
      </c>
      <c r="AA146" s="5">
        <v>6.8258974728818505E-4</v>
      </c>
      <c r="AB146" s="10">
        <v>4.0021027800801797E-3</v>
      </c>
      <c r="AC146" s="10">
        <v>6.0200378975236803E-6</v>
      </c>
      <c r="AD146" s="10">
        <v>4.8374553731897002E-2</v>
      </c>
      <c r="AE146" s="4">
        <v>-2.38483701674646E-3</v>
      </c>
      <c r="AF146" s="4">
        <v>0.815161093116616</v>
      </c>
      <c r="AG146" s="4">
        <v>0.98796970846135501</v>
      </c>
      <c r="AH146" s="4">
        <v>0.99812244700761299</v>
      </c>
      <c r="AI146" s="4">
        <v>0.999711948246919</v>
      </c>
      <c r="AJ146" s="4">
        <v>1</v>
      </c>
      <c r="AK146" s="4">
        <v>1</v>
      </c>
      <c r="AL146" s="4">
        <v>1</v>
      </c>
      <c r="AM146" s="4">
        <v>0</v>
      </c>
      <c r="AN146" s="4">
        <v>0</v>
      </c>
      <c r="AO146" s="4" t="s">
        <v>80</v>
      </c>
      <c r="AP146" s="4" t="s">
        <v>81</v>
      </c>
      <c r="AQ146" s="6">
        <v>3919033534.52</v>
      </c>
      <c r="AR146" s="4">
        <v>15079</v>
      </c>
      <c r="AS146" s="15">
        <v>100</v>
      </c>
      <c r="AT146" s="15">
        <v>0</v>
      </c>
      <c r="AU146" s="15">
        <v>100</v>
      </c>
      <c r="AV146" s="15">
        <v>0</v>
      </c>
      <c r="AW146" s="15">
        <v>0</v>
      </c>
      <c r="AX146" s="15">
        <v>0</v>
      </c>
      <c r="AY146">
        <v>2432.83485376817</v>
      </c>
    </row>
    <row r="147" spans="1:51" x14ac:dyDescent="0.25">
      <c r="A147">
        <v>96</v>
      </c>
      <c r="B147" s="4">
        <v>0.94787995586623697</v>
      </c>
      <c r="C147" s="4">
        <v>43.255576375590799</v>
      </c>
      <c r="D147" s="4">
        <v>47.393419154535202</v>
      </c>
      <c r="E147" s="4">
        <v>4.6120316153154303E-2</v>
      </c>
      <c r="F147" s="5">
        <v>5.2120044133762297E-2</v>
      </c>
      <c r="G147" s="5">
        <v>0</v>
      </c>
      <c r="H147" s="4">
        <v>5.3833057432015803</v>
      </c>
      <c r="I147" s="4">
        <v>3.6718766359154702</v>
      </c>
      <c r="J147" s="4">
        <v>28.497003042066101</v>
      </c>
      <c r="K147" s="4">
        <v>184.33409581337199</v>
      </c>
      <c r="L147" s="4">
        <v>15.021579412641801</v>
      </c>
      <c r="M147" s="4">
        <v>39.1133403383309</v>
      </c>
      <c r="N147" s="4">
        <v>68.827671023088698</v>
      </c>
      <c r="O147" s="4">
        <v>63.9980724483231</v>
      </c>
      <c r="P147" s="4">
        <v>285640.38803917897</v>
      </c>
      <c r="Q147" s="4">
        <v>265788.83610871399</v>
      </c>
      <c r="R147" s="4">
        <v>777.13280159132796</v>
      </c>
      <c r="S147" s="4">
        <v>0</v>
      </c>
      <c r="T147" s="4">
        <v>0</v>
      </c>
      <c r="U147" s="4">
        <v>0.24723303066444099</v>
      </c>
      <c r="V147" s="4">
        <v>0</v>
      </c>
      <c r="W147" s="4">
        <v>0</v>
      </c>
      <c r="X147" s="4">
        <v>0.67971339381338203</v>
      </c>
      <c r="Y147" s="4">
        <v>0</v>
      </c>
      <c r="Z147" s="5">
        <v>4.5247614064929201E-4</v>
      </c>
      <c r="AA147" s="5">
        <v>9.2339753947972398E-4</v>
      </c>
      <c r="AB147" s="10">
        <v>3.7501228100801001E-3</v>
      </c>
      <c r="AC147" s="10">
        <v>8.5804243532795198E-6</v>
      </c>
      <c r="AD147" s="10">
        <v>4.6985451957905697E-2</v>
      </c>
      <c r="AE147" s="4">
        <v>1.06276543876609E-2</v>
      </c>
      <c r="AF147" s="4">
        <v>0.75637561330008996</v>
      </c>
      <c r="AG147" s="4">
        <v>0.98886929575815397</v>
      </c>
      <c r="AH147" s="4">
        <v>0.99776634679794995</v>
      </c>
      <c r="AI147" s="4">
        <v>0.99890752716891296</v>
      </c>
      <c r="AJ147" s="4">
        <v>1</v>
      </c>
      <c r="AK147" s="4">
        <v>1</v>
      </c>
      <c r="AL147" s="4">
        <v>1</v>
      </c>
      <c r="AM147" s="4">
        <v>0</v>
      </c>
      <c r="AN147" s="4">
        <v>0</v>
      </c>
      <c r="AO147" s="4" t="s">
        <v>82</v>
      </c>
      <c r="AP147" s="4" t="s">
        <v>83</v>
      </c>
      <c r="AQ147" s="6">
        <v>1848295566.3</v>
      </c>
      <c r="AR147" s="4">
        <v>6954</v>
      </c>
      <c r="AS147" s="15">
        <v>100</v>
      </c>
      <c r="AT147" s="15">
        <v>0</v>
      </c>
      <c r="AU147" s="15">
        <v>100</v>
      </c>
      <c r="AV147" s="15">
        <v>0</v>
      </c>
      <c r="AW147" s="15">
        <v>0</v>
      </c>
      <c r="AX147" s="15">
        <v>0</v>
      </c>
      <c r="AY147">
        <v>2868.3964470874198</v>
      </c>
    </row>
    <row r="148" spans="1:51" x14ac:dyDescent="0.25">
      <c r="A148">
        <v>96</v>
      </c>
      <c r="B148" s="4">
        <v>0.948249480515025</v>
      </c>
      <c r="C148" s="4">
        <v>50.063258192618299</v>
      </c>
      <c r="D148" s="4">
        <v>47.146790919967998</v>
      </c>
      <c r="E148" s="4">
        <v>5.6225258041055499E-2</v>
      </c>
      <c r="F148" s="5">
        <v>5.1750519484974201E-2</v>
      </c>
      <c r="G148" s="5">
        <v>0</v>
      </c>
      <c r="H148" s="4">
        <v>5.4947651563324902</v>
      </c>
      <c r="I148" s="4">
        <v>3.6687977815730899</v>
      </c>
      <c r="J148" s="4">
        <v>40.675951705152201</v>
      </c>
      <c r="K148" s="4">
        <v>208.47161923908499</v>
      </c>
      <c r="L148" s="4">
        <v>15.317224598390499</v>
      </c>
      <c r="M148" s="4">
        <v>38.791523854475898</v>
      </c>
      <c r="N148" s="4">
        <v>79.491858091639997</v>
      </c>
      <c r="O148" s="4">
        <v>72.021530241944006</v>
      </c>
      <c r="P148" s="4">
        <v>280216.308650541</v>
      </c>
      <c r="Q148" s="4">
        <v>260670.037706131</v>
      </c>
      <c r="R148" s="4">
        <v>774.64459485577197</v>
      </c>
      <c r="S148" s="4">
        <v>0</v>
      </c>
      <c r="T148" s="4">
        <v>0</v>
      </c>
      <c r="U148" s="4">
        <v>0.17907767754398399</v>
      </c>
      <c r="V148" s="4">
        <v>0</v>
      </c>
      <c r="W148" s="4">
        <v>0</v>
      </c>
      <c r="X148" s="4">
        <v>0.47297787547505898</v>
      </c>
      <c r="Y148" s="4">
        <v>0</v>
      </c>
      <c r="Z148" s="5">
        <v>4.5326252225094302E-4</v>
      </c>
      <c r="AA148" s="5">
        <v>1.15106856584195E-3</v>
      </c>
      <c r="AB148" s="10">
        <v>3.77879977453128E-3</v>
      </c>
      <c r="AC148" s="10">
        <v>3.2948628396604998E-5</v>
      </c>
      <c r="AD148" s="10">
        <v>4.6334424835670997E-2</v>
      </c>
      <c r="AE148" s="4">
        <v>3.6019373300261198E-2</v>
      </c>
      <c r="AF148" s="4">
        <v>0.61692814906785898</v>
      </c>
      <c r="AG148" s="4">
        <v>0.96236577393712797</v>
      </c>
      <c r="AH148" s="4">
        <v>0.98552962882913298</v>
      </c>
      <c r="AI148" s="4">
        <v>0.99465369939401704</v>
      </c>
      <c r="AJ148" s="4">
        <v>1</v>
      </c>
      <c r="AK148" s="4">
        <v>1</v>
      </c>
      <c r="AL148" s="4">
        <v>1</v>
      </c>
      <c r="AM148" s="4">
        <v>0</v>
      </c>
      <c r="AN148" s="4">
        <v>0</v>
      </c>
      <c r="AO148" s="4" t="s">
        <v>84</v>
      </c>
      <c r="AP148" s="4" t="s">
        <v>85</v>
      </c>
      <c r="AQ148" s="6">
        <v>246593855.66999999</v>
      </c>
      <c r="AR148" s="4">
        <v>946</v>
      </c>
      <c r="AS148" s="15">
        <v>100</v>
      </c>
      <c r="AT148" s="15">
        <v>0</v>
      </c>
      <c r="AU148" s="15">
        <v>100</v>
      </c>
      <c r="AV148" s="15">
        <v>0</v>
      </c>
      <c r="AW148" s="15">
        <v>0</v>
      </c>
      <c r="AX148" s="15">
        <v>0</v>
      </c>
      <c r="AY148">
        <v>3093.2160058842901</v>
      </c>
    </row>
    <row r="149" spans="1:51" x14ac:dyDescent="0.25">
      <c r="A149">
        <v>96</v>
      </c>
      <c r="B149" s="4">
        <v>0.94833192258503196</v>
      </c>
      <c r="C149" s="4">
        <v>23.498778458382102</v>
      </c>
      <c r="D149" s="4">
        <v>47.091623006055798</v>
      </c>
      <c r="E149" s="4">
        <v>2.2074665008873801E-2</v>
      </c>
      <c r="F149" s="5">
        <v>5.16680774149674E-2</v>
      </c>
      <c r="G149" s="5">
        <v>0</v>
      </c>
      <c r="H149" s="4">
        <v>5.50625929862486</v>
      </c>
      <c r="I149" s="4">
        <v>3.6670829190924001</v>
      </c>
      <c r="J149" s="4">
        <v>41.428772557196503</v>
      </c>
      <c r="K149" s="4">
        <v>233.11643332779701</v>
      </c>
      <c r="L149" s="4">
        <v>15.0629332716022</v>
      </c>
      <c r="M149" s="4">
        <v>37.766313768849201</v>
      </c>
      <c r="N149" s="4">
        <v>86.931488485126593</v>
      </c>
      <c r="O149" s="4">
        <v>76.211453722866494</v>
      </c>
      <c r="P149" s="4">
        <v>287200.86287802103</v>
      </c>
      <c r="Q149" s="4">
        <v>265072.59000000003</v>
      </c>
      <c r="R149" s="4">
        <v>771.77604276247405</v>
      </c>
      <c r="S149" s="4">
        <v>0</v>
      </c>
      <c r="T149" s="4">
        <v>0</v>
      </c>
      <c r="U149" s="4">
        <v>0.15888661261836501</v>
      </c>
      <c r="V149" s="4">
        <v>0</v>
      </c>
      <c r="W149" s="4">
        <v>0</v>
      </c>
      <c r="X149" s="4">
        <v>0.34454703898279299</v>
      </c>
      <c r="Y149" s="4">
        <v>0</v>
      </c>
      <c r="Z149" s="5">
        <v>4.6845142447485201E-4</v>
      </c>
      <c r="AA149" s="5">
        <v>1.1840974039049399E-3</v>
      </c>
      <c r="AB149" s="10">
        <v>3.6854739148401098E-3</v>
      </c>
      <c r="AC149" s="10">
        <v>7.4690301372767296E-5</v>
      </c>
      <c r="AD149" s="10">
        <v>4.6255347880878199E-2</v>
      </c>
      <c r="AE149" s="4">
        <v>6.50002630029166E-2</v>
      </c>
      <c r="AF149" s="4">
        <v>0.44839943219385198</v>
      </c>
      <c r="AG149" s="4">
        <v>0.88315418487383401</v>
      </c>
      <c r="AH149" s="4">
        <v>0.96960659371428404</v>
      </c>
      <c r="AI149" s="4">
        <v>0.99490874440208099</v>
      </c>
      <c r="AJ149" s="4">
        <v>1</v>
      </c>
      <c r="AK149" s="4">
        <v>1</v>
      </c>
      <c r="AL149" s="4">
        <v>1</v>
      </c>
      <c r="AM149" s="4">
        <v>0</v>
      </c>
      <c r="AN149" s="4">
        <v>0</v>
      </c>
      <c r="AO149" s="4" t="s">
        <v>86</v>
      </c>
      <c r="AP149" s="4" t="s">
        <v>87</v>
      </c>
      <c r="AQ149" s="6">
        <v>34459436.700000003</v>
      </c>
      <c r="AR149" s="4">
        <v>130</v>
      </c>
      <c r="AS149" s="15">
        <v>100</v>
      </c>
      <c r="AT149" s="15">
        <v>0</v>
      </c>
      <c r="AU149" s="15">
        <v>100</v>
      </c>
      <c r="AV149" s="15">
        <v>0</v>
      </c>
      <c r="AW149" s="15">
        <v>0</v>
      </c>
      <c r="AX149" s="15">
        <v>0</v>
      </c>
      <c r="AY149">
        <v>3351.1138050964</v>
      </c>
    </row>
    <row r="150" spans="1:51" x14ac:dyDescent="0.25">
      <c r="A150">
        <v>96</v>
      </c>
      <c r="B150" s="4">
        <v>0.94753689566558597</v>
      </c>
      <c r="C150" s="4">
        <v>0.31085727775854699</v>
      </c>
      <c r="D150" s="4">
        <v>47.6214397125269</v>
      </c>
      <c r="E150" s="4">
        <v>2.5941754763845603E-4</v>
      </c>
      <c r="F150" s="5">
        <v>5.2463104334413799E-2</v>
      </c>
      <c r="G150" s="5">
        <v>0</v>
      </c>
      <c r="H150" s="4">
        <v>5.3226110606132204</v>
      </c>
      <c r="I150" s="4">
        <v>3.6158183412404101</v>
      </c>
      <c r="J150" s="4">
        <v>17.782984136469398</v>
      </c>
      <c r="K150" s="4">
        <v>259.08232255140803</v>
      </c>
      <c r="L150" s="4">
        <v>14.8703845927398</v>
      </c>
      <c r="M150" s="4">
        <v>34.517350742999596</v>
      </c>
      <c r="N150" s="4">
        <v>89.8780970756372</v>
      </c>
      <c r="O150" s="4">
        <v>75.733798597228301</v>
      </c>
      <c r="P150" s="4">
        <v>283282.32709269802</v>
      </c>
      <c r="Q150" s="4">
        <v>268480.51571428502</v>
      </c>
      <c r="R150" s="4">
        <v>758.51068256025201</v>
      </c>
      <c r="S150" s="4">
        <v>0</v>
      </c>
      <c r="T150" s="4">
        <v>0</v>
      </c>
      <c r="U150" s="4">
        <v>8.4845699443972897E-2</v>
      </c>
      <c r="V150" s="4">
        <v>0</v>
      </c>
      <c r="W150" s="4">
        <v>0</v>
      </c>
      <c r="X150" s="4">
        <v>0.897200728495535</v>
      </c>
      <c r="Y150" s="4">
        <v>0</v>
      </c>
      <c r="Z150" s="5">
        <v>4.5165806195177901E-4</v>
      </c>
      <c r="AA150" s="5">
        <v>8.6551349411038102E-4</v>
      </c>
      <c r="AB150" s="10">
        <v>4.21915808003332E-3</v>
      </c>
      <c r="AC150" s="10">
        <v>2.0384581250203001E-4</v>
      </c>
      <c r="AD150" s="10">
        <v>4.6722912079042098E-2</v>
      </c>
      <c r="AE150" s="4">
        <v>0.11353377589545099</v>
      </c>
      <c r="AF150" s="4">
        <v>0.23025276625421001</v>
      </c>
      <c r="AG150" s="4">
        <v>0.478254923750492</v>
      </c>
      <c r="AH150" s="4">
        <v>1</v>
      </c>
      <c r="AI150" s="4">
        <v>1</v>
      </c>
      <c r="AJ150" s="4">
        <v>1</v>
      </c>
      <c r="AK150" s="4">
        <v>1</v>
      </c>
      <c r="AL150" s="4">
        <v>1</v>
      </c>
      <c r="AM150" s="4">
        <v>0</v>
      </c>
      <c r="AN150" s="4">
        <v>0</v>
      </c>
      <c r="AO150" s="4" t="s">
        <v>154</v>
      </c>
      <c r="AP150" s="4" t="s">
        <v>155</v>
      </c>
      <c r="AQ150" s="6">
        <v>1879363.61</v>
      </c>
      <c r="AR150" s="4">
        <v>7</v>
      </c>
      <c r="AS150" s="15">
        <v>100</v>
      </c>
      <c r="AT150" s="15">
        <v>0</v>
      </c>
      <c r="AU150" s="15">
        <v>100</v>
      </c>
      <c r="AV150" s="15">
        <v>0</v>
      </c>
      <c r="AW150" s="15">
        <v>0</v>
      </c>
      <c r="AX150" s="15">
        <v>0</v>
      </c>
      <c r="AY150">
        <v>3705.7211718124599</v>
      </c>
    </row>
    <row r="151" spans="1:51" x14ac:dyDescent="0.25">
      <c r="B151" s="4"/>
      <c r="C151" s="4"/>
      <c r="D151" s="4"/>
      <c r="E151" s="4"/>
      <c r="F151" s="5"/>
      <c r="G151" s="5"/>
      <c r="H151" s="4"/>
      <c r="I151" s="4"/>
      <c r="J151" s="4"/>
      <c r="K151" s="4"/>
      <c r="L151" s="4"/>
      <c r="M151" s="4"/>
      <c r="N151" s="4"/>
      <c r="O151" s="4"/>
      <c r="P151" s="4"/>
      <c r="Q151" s="4"/>
      <c r="R151" s="4"/>
      <c r="S151" s="4"/>
      <c r="T151" s="4"/>
      <c r="U151" s="4"/>
      <c r="V151" s="4"/>
      <c r="W151" s="4"/>
      <c r="X151" s="4"/>
      <c r="Y151" s="4"/>
      <c r="Z151" s="5"/>
      <c r="AA151" s="5"/>
      <c r="AB151" s="10"/>
      <c r="AC151" s="10"/>
      <c r="AD151" s="10"/>
      <c r="AE151" s="4"/>
      <c r="AF151" s="4"/>
      <c r="AG151" s="4"/>
      <c r="AH151" s="4"/>
      <c r="AI151" s="4"/>
      <c r="AJ151" s="4"/>
      <c r="AK151" s="4"/>
      <c r="AL151" s="4"/>
      <c r="AM151" s="4"/>
      <c r="AN151" s="4"/>
      <c r="AO151" s="4"/>
      <c r="AP151" s="4"/>
      <c r="AQ151" s="6"/>
      <c r="AR151" s="4"/>
      <c r="AS151" s="15"/>
      <c r="AT151" s="15"/>
      <c r="AU151" s="15"/>
      <c r="AV151" s="15"/>
      <c r="AW151" s="15"/>
      <c r="AX151" s="15"/>
    </row>
    <row r="152" spans="1:51" s="17" customFormat="1" x14ac:dyDescent="0.25">
      <c r="A152" s="15"/>
      <c r="B152" s="20"/>
      <c r="C152" s="21"/>
      <c r="D152" s="16"/>
      <c r="E152" s="16"/>
      <c r="F152" s="20"/>
      <c r="G152" s="21"/>
      <c r="H152" s="21"/>
      <c r="K152" s="15"/>
      <c r="L152" s="15"/>
      <c r="M152" s="23"/>
      <c r="N152" s="16"/>
      <c r="O152" s="21"/>
      <c r="P152" s="22"/>
      <c r="X152" s="18"/>
      <c r="Y152" s="16"/>
      <c r="Z152" s="16"/>
      <c r="AC152" s="18"/>
      <c r="AD152" s="16"/>
      <c r="AE152" s="16"/>
    </row>
    <row r="153" spans="1:51" x14ac:dyDescent="0.25">
      <c r="L153" s="4" t="s">
        <v>160</v>
      </c>
      <c r="M153" s="35" t="s">
        <v>159</v>
      </c>
      <c r="O153" s="4"/>
      <c r="P153" s="30"/>
    </row>
    <row r="154" spans="1:51" s="35" customFormat="1" x14ac:dyDescent="0.25">
      <c r="L154" t="s">
        <v>153</v>
      </c>
      <c r="M154" s="4">
        <v>1.05</v>
      </c>
      <c r="O154" s="35" t="s">
        <v>169</v>
      </c>
      <c r="P154" s="35" t="s">
        <v>170</v>
      </c>
    </row>
    <row r="155" spans="1:51" s="35" customFormat="1" x14ac:dyDescent="0.25">
      <c r="L155" s="35" t="s">
        <v>184</v>
      </c>
      <c r="M155" s="39">
        <v>1</v>
      </c>
      <c r="O155" s="39">
        <v>1</v>
      </c>
      <c r="P155" s="35">
        <f>1-O155</f>
        <v>0</v>
      </c>
    </row>
    <row r="156" spans="1:51" s="35" customFormat="1" x14ac:dyDescent="0.25">
      <c r="M156" s="39"/>
    </row>
    <row r="157" spans="1:51" x14ac:dyDescent="0.25">
      <c r="K157" t="s">
        <v>98</v>
      </c>
      <c r="L157" t="s">
        <v>89</v>
      </c>
      <c r="M157" t="s">
        <v>90</v>
      </c>
    </row>
    <row r="158" spans="1:51" x14ac:dyDescent="0.25">
      <c r="A158" s="4" t="s">
        <v>93</v>
      </c>
      <c r="B158" t="str">
        <f>AQ122</f>
        <v>Balance</v>
      </c>
      <c r="C158" s="2" t="str">
        <f t="shared" ref="C158:C169" si="16">AO122</f>
        <v>groupByColumn</v>
      </c>
      <c r="D158" t="str">
        <f>E122</f>
        <v>PREPAY_SMM1</v>
      </c>
      <c r="E158" t="str">
        <f>F122</f>
        <v>PREPAY_TRACKING_SMM1</v>
      </c>
      <c r="G158" t="str">
        <f>C122</f>
        <v>PREPAY_CPR1</v>
      </c>
      <c r="H158" t="str">
        <f>D122</f>
        <v>PREPAY_TRACKING_CPR1</v>
      </c>
      <c r="I158" t="s">
        <v>168</v>
      </c>
      <c r="K158" t="s">
        <v>92</v>
      </c>
      <c r="L158" t="s">
        <v>92</v>
      </c>
      <c r="M158" t="s">
        <v>92</v>
      </c>
      <c r="O158" t="s">
        <v>163</v>
      </c>
      <c r="P158" t="s">
        <v>164</v>
      </c>
      <c r="Q158" t="s">
        <v>165</v>
      </c>
      <c r="S158" t="s">
        <v>96</v>
      </c>
      <c r="T158" t="s">
        <v>97</v>
      </c>
      <c r="U158" t="s">
        <v>185</v>
      </c>
      <c r="V158" t="s">
        <v>91</v>
      </c>
    </row>
    <row r="159" spans="1:51" s="35" customFormat="1" x14ac:dyDescent="0.25">
      <c r="A159" s="14">
        <f t="shared" ref="A159:A169" si="17">K123</f>
        <v>47.41</v>
      </c>
      <c r="B159" s="32">
        <f t="shared" ref="B159:B169" si="18">AQ123/1000000000</f>
        <v>3.9758910000000004E-5</v>
      </c>
      <c r="C159" s="33" t="str">
        <f t="shared" si="16"/>
        <v>10:25-50</v>
      </c>
      <c r="D159" s="34">
        <f t="shared" ref="D159:D169" si="19">E123</f>
        <v>2.7724603114119501E-3</v>
      </c>
      <c r="E159" s="34">
        <f t="shared" ref="E159:E169" si="20">Z123+AA123+AB123+AC123+AD123</f>
        <v>1.392931E-2</v>
      </c>
      <c r="F159" s="32"/>
      <c r="G159" s="33">
        <f t="shared" ref="G159:G169" si="21">(1-(1-D159)^12)*100</f>
        <v>3.2766871568109424</v>
      </c>
      <c r="H159" s="33">
        <f t="shared" ref="H159:H169" si="22">(1-(1-E159)^12)*100</f>
        <v>15.492238083948395</v>
      </c>
      <c r="I159" s="33">
        <f t="shared" ref="I159:I169" si="23">(1-(1-SUM(Z140,AA140,AB140,AC140,AD140*M159))^12)*100</f>
        <v>17.124474688597246</v>
      </c>
      <c r="K159" s="14">
        <f>VLOOKUP($C159,'Refi Adj'!$B$2:$E$39,2,0)</f>
        <v>1</v>
      </c>
      <c r="L159" s="14">
        <f>VLOOKUP($C159,'Refi Adj'!$B$2:$E$39,3,0)</f>
        <v>1</v>
      </c>
      <c r="M159" s="14">
        <f>VLOOKUP($C159,'Refi Adj'!$B$2:$E$39,4,0)</f>
        <v>1.05</v>
      </c>
      <c r="O159" s="40">
        <f t="shared" ref="O159:O169" si="24">AD140*M159</f>
        <v>2.0140890000000002E-3</v>
      </c>
      <c r="P159" s="40">
        <f t="shared" ref="P159:P169" si="25">AD123</f>
        <v>4.1272999999999999E-4</v>
      </c>
      <c r="Q159" s="40">
        <f t="shared" ref="Q159:Q169" si="26">(O159*$O$79+P159*$P$79)</f>
        <v>2.0140890000000002E-3</v>
      </c>
      <c r="R159" s="14"/>
      <c r="S159" s="34">
        <f>Z123+AA123+AB123*K159+AC123*L159+Q160*$M$154</f>
        <v>1.5525644750000001E-2</v>
      </c>
      <c r="T159" s="33">
        <f t="shared" ref="T159:T169" si="27">100*(1-(1-S159)^12)</f>
        <v>17.119399072329532</v>
      </c>
      <c r="U159" s="33">
        <f>100*(1-(1-S159*$M$155)^12)</f>
        <v>17.119399072329532</v>
      </c>
      <c r="V159" s="36">
        <f t="shared" ref="V159:V169" si="28">D159/S159</f>
        <v>0.17857295822847871</v>
      </c>
      <c r="X159" s="37"/>
      <c r="Y159" s="34"/>
      <c r="Z159" s="34"/>
      <c r="AD159" s="34"/>
      <c r="AE159" s="34"/>
      <c r="AJ159" s="34"/>
    </row>
    <row r="160" spans="1:51" s="35" customFormat="1" x14ac:dyDescent="0.25">
      <c r="A160" s="14">
        <f t="shared" si="17"/>
        <v>63.07</v>
      </c>
      <c r="B160" s="32">
        <f t="shared" si="18"/>
        <v>3.425476E-5</v>
      </c>
      <c r="C160" s="33" t="str">
        <f t="shared" si="16"/>
        <v>11-3:60-65</v>
      </c>
      <c r="D160" s="34">
        <f t="shared" si="19"/>
        <v>1</v>
      </c>
      <c r="E160" s="34">
        <f t="shared" si="20"/>
        <v>1.7663440000000002E-2</v>
      </c>
      <c r="F160" s="32"/>
      <c r="G160" s="33">
        <f t="shared" si="21"/>
        <v>100</v>
      </c>
      <c r="H160" s="33">
        <f t="shared" si="22"/>
        <v>19.253502760060947</v>
      </c>
      <c r="I160" s="33">
        <f t="shared" si="23"/>
        <v>20.730104458321762</v>
      </c>
      <c r="K160" s="14">
        <f>VLOOKUP($C160,'Refi Adj'!$B$2:$E$39,2,0)</f>
        <v>1</v>
      </c>
      <c r="L160" s="14">
        <f>VLOOKUP($C160,'Refi Adj'!$B$2:$E$39,3,0)</f>
        <v>1</v>
      </c>
      <c r="M160" s="14">
        <f>VLOOKUP($C160,'Refi Adj'!$B$2:$E$39,4,0)</f>
        <v>1.1000000000000001</v>
      </c>
      <c r="O160" s="40">
        <f t="shared" si="24"/>
        <v>1.9133950000000002E-3</v>
      </c>
      <c r="P160" s="40">
        <f t="shared" si="25"/>
        <v>4.0371E-4</v>
      </c>
      <c r="Q160" s="40">
        <f t="shared" si="26"/>
        <v>1.9133950000000002E-3</v>
      </c>
      <c r="R160" s="14"/>
      <c r="S160" s="34">
        <f t="shared" ref="S160:S169" si="29">Z124+AA124+AB124*K160+AC124*L160+Q161*$M$154</f>
        <v>1.8760776951179441E-2</v>
      </c>
      <c r="T160" s="33">
        <f t="shared" si="27"/>
        <v>20.329269527624916</v>
      </c>
      <c r="U160" s="33">
        <f t="shared" ref="U160:U169" si="30">100*(1-(1-S160*$M$155)^12)</f>
        <v>20.329269527624916</v>
      </c>
      <c r="V160" s="36">
        <f t="shared" si="28"/>
        <v>53.302696503575916</v>
      </c>
      <c r="X160" s="37"/>
      <c r="Y160" s="34"/>
      <c r="Z160" s="34"/>
      <c r="AC160" s="37"/>
      <c r="AD160" s="34"/>
      <c r="AE160" s="34"/>
      <c r="AJ160" s="34"/>
    </row>
    <row r="161" spans="1:36" s="35" customFormat="1" x14ac:dyDescent="0.25">
      <c r="A161" s="14">
        <f t="shared" si="17"/>
        <v>71.303036771863901</v>
      </c>
      <c r="B161" s="32">
        <f t="shared" si="18"/>
        <v>3.0939959999999996E-5</v>
      </c>
      <c r="C161" s="33" t="str">
        <f t="shared" si="16"/>
        <v>11:50-75</v>
      </c>
      <c r="D161" s="34">
        <f t="shared" si="19"/>
        <v>0.26880189890355299</v>
      </c>
      <c r="E161" s="34">
        <f t="shared" si="20"/>
        <v>2.1895117338199505E-2</v>
      </c>
      <c r="F161" s="32"/>
      <c r="G161" s="33">
        <f t="shared" si="21"/>
        <v>97.664280650619204</v>
      </c>
      <c r="H161" s="33">
        <f t="shared" si="22"/>
        <v>23.330060118832719</v>
      </c>
      <c r="I161" s="33">
        <f t="shared" si="23"/>
        <v>24.371375650110828</v>
      </c>
      <c r="K161" s="14">
        <f>VLOOKUP($C161,'Refi Adj'!$B$2:$E$39,2,0)</f>
        <v>1</v>
      </c>
      <c r="L161" s="14">
        <f>VLOOKUP($C161,'Refi Adj'!$B$2:$E$39,3,0)</f>
        <v>1</v>
      </c>
      <c r="M161" s="14">
        <f>VLOOKUP($C161,'Refi Adj'!$B$2:$E$39,4,0)</f>
        <v>1.1000000000000001</v>
      </c>
      <c r="O161" s="40">
        <f t="shared" si="24"/>
        <v>1.429568524932801E-3</v>
      </c>
      <c r="P161" s="40">
        <f t="shared" si="25"/>
        <v>3.1558171269775303E-4</v>
      </c>
      <c r="Q161" s="40">
        <f t="shared" si="26"/>
        <v>1.429568524932801E-3</v>
      </c>
      <c r="R161" s="14"/>
      <c r="S161" s="34">
        <f t="shared" si="29"/>
        <v>3.0068147471628483E-2</v>
      </c>
      <c r="T161" s="33">
        <f t="shared" si="27"/>
        <v>30.674236481512274</v>
      </c>
      <c r="U161" s="33">
        <f t="shared" si="30"/>
        <v>30.674236481512274</v>
      </c>
      <c r="V161" s="36">
        <f t="shared" si="28"/>
        <v>8.9397559047223449</v>
      </c>
      <c r="X161" s="37"/>
      <c r="Y161" s="34"/>
      <c r="Z161" s="34"/>
      <c r="AC161" s="37"/>
      <c r="AD161" s="34"/>
      <c r="AE161" s="34"/>
      <c r="AJ161" s="34"/>
    </row>
    <row r="162" spans="1:36" s="35" customFormat="1" x14ac:dyDescent="0.25">
      <c r="A162" s="14">
        <f t="shared" si="17"/>
        <v>93.3563943075266</v>
      </c>
      <c r="B162" s="32">
        <f t="shared" si="18"/>
        <v>5.8963262E-4</v>
      </c>
      <c r="C162" s="33" t="str">
        <f t="shared" si="16"/>
        <v>12:75-100</v>
      </c>
      <c r="D162" s="34">
        <f t="shared" si="19"/>
        <v>5.0045581768730599E-2</v>
      </c>
      <c r="E162" s="34">
        <f t="shared" si="20"/>
        <v>1.4642144097454259E-2</v>
      </c>
      <c r="F162" s="32"/>
      <c r="G162" s="33">
        <f t="shared" si="21"/>
        <v>45.995095321798885</v>
      </c>
      <c r="H162" s="33">
        <f t="shared" si="22"/>
        <v>16.222421976682266</v>
      </c>
      <c r="I162" s="33">
        <f t="shared" si="23"/>
        <v>22.009599371652932</v>
      </c>
      <c r="K162" s="14">
        <f>VLOOKUP($C162,'Refi Adj'!$B$2:$E$39,2,0)</f>
        <v>1</v>
      </c>
      <c r="L162" s="14">
        <f>VLOOKUP($C162,'Refi Adj'!$B$2:$E$39,3,0)</f>
        <v>1</v>
      </c>
      <c r="M162" s="14">
        <f>VLOOKUP($C162,'Refi Adj'!$B$2:$E$39,4,0)</f>
        <v>1.02</v>
      </c>
      <c r="O162" s="40">
        <f t="shared" si="24"/>
        <v>8.084392234406412E-3</v>
      </c>
      <c r="P162" s="40">
        <f t="shared" si="25"/>
        <v>2.22425601207528E-3</v>
      </c>
      <c r="Q162" s="40">
        <f t="shared" si="26"/>
        <v>8.084392234406412E-3</v>
      </c>
      <c r="R162" s="14"/>
      <c r="S162" s="34">
        <f t="shared" si="29"/>
        <v>4.0925794165397517E-2</v>
      </c>
      <c r="T162" s="33">
        <f t="shared" si="27"/>
        <v>39.434329385830416</v>
      </c>
      <c r="U162" s="33">
        <f t="shared" si="30"/>
        <v>39.434329385830416</v>
      </c>
      <c r="V162" s="36">
        <f t="shared" si="28"/>
        <v>1.2228371565980216</v>
      </c>
      <c r="X162" s="37"/>
      <c r="Y162" s="34"/>
      <c r="Z162" s="34"/>
      <c r="AC162" s="37"/>
      <c r="AD162" s="34"/>
      <c r="AE162" s="34"/>
      <c r="AH162" s="37"/>
      <c r="AI162" s="34"/>
      <c r="AJ162" s="34"/>
    </row>
    <row r="163" spans="1:36" x14ac:dyDescent="0.25">
      <c r="A163" s="4">
        <f t="shared" si="17"/>
        <v>117.56813234517401</v>
      </c>
      <c r="B163" s="3">
        <f t="shared" si="18"/>
        <v>1.0113372470000001E-2</v>
      </c>
      <c r="C163" s="2" t="str">
        <f t="shared" si="16"/>
        <v>13:100-125</v>
      </c>
      <c r="D163" s="8">
        <f t="shared" si="19"/>
        <v>4.0084264230880302E-2</v>
      </c>
      <c r="E163" s="8">
        <f t="shared" si="20"/>
        <v>1.874905324523014E-2</v>
      </c>
      <c r="F163" s="3"/>
      <c r="G163" s="2">
        <f t="shared" si="21"/>
        <v>38.793530015626622</v>
      </c>
      <c r="H163" s="2">
        <f t="shared" si="22"/>
        <v>20.317846043004529</v>
      </c>
      <c r="I163" s="33">
        <f t="shared" si="23"/>
        <v>34.619239332534548</v>
      </c>
      <c r="K163" s="14">
        <f>VLOOKUP($C163,'Refi Adj'!$B$2:$E$39,2,0)</f>
        <v>1</v>
      </c>
      <c r="L163" s="14">
        <f>VLOOKUP($C163,'Refi Adj'!$B$2:$E$39,3,0)</f>
        <v>1</v>
      </c>
      <c r="M163" s="14">
        <f>VLOOKUP($C163,'Refi Adj'!$B$2:$E$39,4,0)</f>
        <v>0.95</v>
      </c>
      <c r="O163" s="40">
        <f t="shared" si="24"/>
        <v>2.7150386742874798E-2</v>
      </c>
      <c r="P163" s="40">
        <f t="shared" si="25"/>
        <v>1.1107257542496699E-2</v>
      </c>
      <c r="Q163" s="40">
        <f t="shared" si="26"/>
        <v>2.7150386742874798E-2</v>
      </c>
      <c r="R163" s="14"/>
      <c r="S163" s="34">
        <f t="shared" si="29"/>
        <v>5.5198492378365063E-2</v>
      </c>
      <c r="T163" s="2">
        <f t="shared" si="27"/>
        <v>49.407407857029327</v>
      </c>
      <c r="U163" s="33">
        <f t="shared" si="30"/>
        <v>49.407407857029327</v>
      </c>
      <c r="V163" s="7">
        <f t="shared" si="28"/>
        <v>0.72618404060961728</v>
      </c>
      <c r="X163" s="9"/>
      <c r="Y163" s="8"/>
      <c r="Z163" s="8"/>
      <c r="AC163" s="9"/>
      <c r="AD163" s="8"/>
      <c r="AE163" s="8"/>
      <c r="AH163" s="9"/>
      <c r="AI163" s="8"/>
      <c r="AJ163" s="8"/>
    </row>
    <row r="164" spans="1:36" x14ac:dyDescent="0.25">
      <c r="A164" s="4">
        <f t="shared" si="17"/>
        <v>139.77321883310699</v>
      </c>
      <c r="B164" s="3">
        <f t="shared" si="18"/>
        <v>1.69098419848</v>
      </c>
      <c r="C164" s="2" t="str">
        <f t="shared" si="16"/>
        <v>14:125-150</v>
      </c>
      <c r="D164" s="8">
        <f t="shared" si="19"/>
        <v>4.7091045578868701E-2</v>
      </c>
      <c r="E164" s="8">
        <f t="shared" si="20"/>
        <v>2.4551978371689674E-2</v>
      </c>
      <c r="F164" s="3"/>
      <c r="G164" s="2">
        <f t="shared" si="21"/>
        <v>43.944672269755777</v>
      </c>
      <c r="H164" s="2">
        <f t="shared" si="22"/>
        <v>25.792194799694535</v>
      </c>
      <c r="I164" s="33">
        <f t="shared" si="23"/>
        <v>46.284454693183399</v>
      </c>
      <c r="K164" s="14">
        <f>VLOOKUP($C164,'Refi Adj'!$B$2:$E$39,2,0)</f>
        <v>1</v>
      </c>
      <c r="L164" s="14">
        <f>VLOOKUP($C164,'Refi Adj'!$B$2:$E$39,3,0)</f>
        <v>1</v>
      </c>
      <c r="M164" s="14">
        <f>VLOOKUP($C164,'Refi Adj'!$B$2:$E$39,4,0)</f>
        <v>0.92</v>
      </c>
      <c r="O164" s="40">
        <f t="shared" si="24"/>
        <v>4.5292092072030117E-2</v>
      </c>
      <c r="P164" s="40">
        <f t="shared" si="25"/>
        <v>1.9373287221071098E-2</v>
      </c>
      <c r="Q164" s="40">
        <f t="shared" si="26"/>
        <v>4.5292092072030117E-2</v>
      </c>
      <c r="R164" s="14"/>
      <c r="S164" s="34">
        <f t="shared" si="29"/>
        <v>5.0892644427261241E-2</v>
      </c>
      <c r="T164" s="2">
        <f t="shared" si="27"/>
        <v>46.57013581283195</v>
      </c>
      <c r="U164" s="33">
        <f t="shared" si="30"/>
        <v>46.57013581283195</v>
      </c>
      <c r="V164" s="7">
        <f t="shared" si="28"/>
        <v>0.925301605149915</v>
      </c>
      <c r="X164" s="9"/>
      <c r="Y164" s="8"/>
      <c r="Z164" s="8"/>
      <c r="AC164" s="9"/>
      <c r="AD164" s="8"/>
      <c r="AE164" s="8"/>
      <c r="AH164" s="9"/>
      <c r="AI164" s="8"/>
      <c r="AJ164" s="8"/>
    </row>
    <row r="165" spans="1:36" x14ac:dyDescent="0.25">
      <c r="A165" s="4">
        <f t="shared" si="17"/>
        <v>162.61850206686299</v>
      </c>
      <c r="B165" s="3">
        <f t="shared" si="18"/>
        <v>3.91903353452</v>
      </c>
      <c r="C165" s="2" t="str">
        <f t="shared" si="16"/>
        <v>15:150-175</v>
      </c>
      <c r="D165" s="8">
        <f t="shared" si="19"/>
        <v>4.8720128026192702E-2</v>
      </c>
      <c r="E165" s="8">
        <f t="shared" si="20"/>
        <v>2.7960108226865135E-2</v>
      </c>
      <c r="F165" s="3"/>
      <c r="G165" s="2">
        <f t="shared" si="21"/>
        <v>45.083899409068287</v>
      </c>
      <c r="H165" s="2">
        <f t="shared" si="22"/>
        <v>28.844403966750775</v>
      </c>
      <c r="I165" s="33">
        <f t="shared" si="23"/>
        <v>45.055142187323739</v>
      </c>
      <c r="K165" s="14">
        <f>VLOOKUP($C165,'Refi Adj'!$B$2:$E$39,2,0)</f>
        <v>1</v>
      </c>
      <c r="L165" s="14">
        <f>VLOOKUP($C165,'Refi Adj'!$B$2:$E$39,3,0)</f>
        <v>1</v>
      </c>
      <c r="M165" s="14">
        <f>VLOOKUP($C165,'Refi Adj'!$B$2:$E$39,4,0)</f>
        <v>0.9</v>
      </c>
      <c r="O165" s="40">
        <f t="shared" si="24"/>
        <v>4.3537098358707303E-2</v>
      </c>
      <c r="P165" s="40">
        <f t="shared" si="25"/>
        <v>2.28185806604294E-2</v>
      </c>
      <c r="Q165" s="40">
        <f t="shared" si="26"/>
        <v>4.3537098358707303E-2</v>
      </c>
      <c r="R165" s="14"/>
      <c r="S165" s="34">
        <f t="shared" si="29"/>
        <v>4.9542779666656614E-2</v>
      </c>
      <c r="T165" s="2">
        <f t="shared" si="27"/>
        <v>45.651083448622778</v>
      </c>
      <c r="U165" s="33">
        <f t="shared" si="30"/>
        <v>45.651083448622778</v>
      </c>
      <c r="V165" s="7">
        <f t="shared" si="28"/>
        <v>0.98339512546532437</v>
      </c>
      <c r="X165" s="9"/>
      <c r="Y165" s="8"/>
      <c r="Z165" s="8"/>
      <c r="AC165" s="9"/>
      <c r="AD165" s="8"/>
      <c r="AE165" s="8"/>
      <c r="AH165" s="9"/>
      <c r="AI165" s="8"/>
      <c r="AJ165" s="8"/>
    </row>
    <row r="166" spans="1:36" x14ac:dyDescent="0.25">
      <c r="A166" s="4">
        <f t="shared" si="17"/>
        <v>184.33409581337199</v>
      </c>
      <c r="B166" s="3">
        <f t="shared" si="18"/>
        <v>1.8482955663</v>
      </c>
      <c r="C166" s="2" t="str">
        <f t="shared" si="16"/>
        <v>16:175-200</v>
      </c>
      <c r="D166" s="8">
        <f t="shared" si="19"/>
        <v>4.6120316153154303E-2</v>
      </c>
      <c r="E166" s="8">
        <f t="shared" si="20"/>
        <v>3.2687302050884291E-2</v>
      </c>
      <c r="F166" s="3"/>
      <c r="G166" s="2">
        <f t="shared" si="21"/>
        <v>43.255576375590799</v>
      </c>
      <c r="H166" s="2">
        <f t="shared" si="22"/>
        <v>32.887616091908747</v>
      </c>
      <c r="I166" s="33">
        <f t="shared" si="23"/>
        <v>44.177486069438331</v>
      </c>
      <c r="K166" s="14">
        <f>VLOOKUP($C166,'Refi Adj'!$B$2:$E$39,2,0)</f>
        <v>1</v>
      </c>
      <c r="L166" s="14">
        <f>VLOOKUP($C166,'Refi Adj'!$B$2:$E$39,3,0)</f>
        <v>1</v>
      </c>
      <c r="M166" s="14">
        <f>VLOOKUP($C166,'Refi Adj'!$B$2:$E$39,4,0)</f>
        <v>0.9</v>
      </c>
      <c r="O166" s="40">
        <f t="shared" si="24"/>
        <v>4.2286906762115127E-2</v>
      </c>
      <c r="P166" s="40">
        <f t="shared" si="25"/>
        <v>2.7552725136321898E-2</v>
      </c>
      <c r="Q166" s="40">
        <f t="shared" si="26"/>
        <v>4.2286906762115127E-2</v>
      </c>
      <c r="R166" s="14"/>
      <c r="S166" s="34">
        <f t="shared" si="29"/>
        <v>4.8920608384271487E-2</v>
      </c>
      <c r="T166" s="2">
        <f t="shared" si="27"/>
        <v>45.222620062107545</v>
      </c>
      <c r="U166" s="33">
        <f t="shared" si="30"/>
        <v>45.222620062107545</v>
      </c>
      <c r="V166" s="7">
        <f t="shared" si="28"/>
        <v>0.9427584340505154</v>
      </c>
      <c r="X166" s="9"/>
      <c r="Y166" s="8"/>
      <c r="Z166" s="8"/>
      <c r="AC166" s="9"/>
      <c r="AD166" s="8"/>
      <c r="AE166" s="8"/>
      <c r="AH166" s="9"/>
      <c r="AI166" s="8"/>
      <c r="AJ166" s="8"/>
    </row>
    <row r="167" spans="1:36" x14ac:dyDescent="0.25">
      <c r="A167" s="4">
        <f t="shared" si="17"/>
        <v>208.47161923908499</v>
      </c>
      <c r="B167" s="3">
        <f t="shared" si="18"/>
        <v>0.24659385567</v>
      </c>
      <c r="C167" s="2" t="str">
        <f t="shared" si="16"/>
        <v>17:200-225</v>
      </c>
      <c r="D167" s="8">
        <f t="shared" si="19"/>
        <v>5.6225258041055499E-2</v>
      </c>
      <c r="E167" s="8">
        <f t="shared" si="20"/>
        <v>3.5156844128425881E-2</v>
      </c>
      <c r="F167" s="3"/>
      <c r="G167" s="2">
        <f t="shared" si="21"/>
        <v>50.063258192618342</v>
      </c>
      <c r="H167" s="2">
        <f t="shared" si="22"/>
        <v>34.915039407236804</v>
      </c>
      <c r="I167" s="33">
        <f t="shared" si="23"/>
        <v>43.963034543450362</v>
      </c>
      <c r="K167" s="14">
        <f>VLOOKUP($C167,'Refi Adj'!$B$2:$E$39,2,0)</f>
        <v>1</v>
      </c>
      <c r="L167" s="14">
        <f>VLOOKUP($C167,'Refi Adj'!$B$2:$E$39,3,0)</f>
        <v>1</v>
      </c>
      <c r="M167" s="14">
        <f>VLOOKUP($C167,'Refi Adj'!$B$2:$E$39,4,0)</f>
        <v>0.9</v>
      </c>
      <c r="O167" s="40">
        <f t="shared" si="24"/>
        <v>4.1700982352103899E-2</v>
      </c>
      <c r="P167" s="40">
        <f t="shared" si="25"/>
        <v>2.97407646374051E-2</v>
      </c>
      <c r="Q167" s="40">
        <f t="shared" si="26"/>
        <v>4.1700982352103899E-2</v>
      </c>
      <c r="R167" s="14"/>
      <c r="S167" s="34">
        <f t="shared" si="29"/>
        <v>4.912738323845068E-2</v>
      </c>
      <c r="T167" s="2">
        <f t="shared" si="27"/>
        <v>45.365359574212036</v>
      </c>
      <c r="U167" s="33">
        <f t="shared" si="30"/>
        <v>45.365359574212036</v>
      </c>
      <c r="V167" s="7">
        <f t="shared" si="28"/>
        <v>1.1444789918517277</v>
      </c>
      <c r="X167" s="9"/>
      <c r="Y167" s="8"/>
      <c r="Z167" s="8"/>
      <c r="AC167" s="9"/>
      <c r="AD167" s="8"/>
      <c r="AE167" s="8"/>
      <c r="AH167" s="9"/>
      <c r="AI167" s="8"/>
      <c r="AJ167" s="8"/>
    </row>
    <row r="168" spans="1:36" x14ac:dyDescent="0.25">
      <c r="A168" s="4">
        <f t="shared" si="17"/>
        <v>233.11643332779701</v>
      </c>
      <c r="B168" s="3">
        <f t="shared" si="18"/>
        <v>3.4459436700000005E-2</v>
      </c>
      <c r="C168" s="2" t="str">
        <f t="shared" si="16"/>
        <v>18:225-250</v>
      </c>
      <c r="D168" s="8">
        <f t="shared" si="19"/>
        <v>2.2074665008873801E-2</v>
      </c>
      <c r="E168" s="8">
        <f t="shared" si="20"/>
        <v>3.3986806856422067E-2</v>
      </c>
      <c r="F168" s="3"/>
      <c r="G168" s="2">
        <f t="shared" si="21"/>
        <v>23.498778458382187</v>
      </c>
      <c r="H168" s="2">
        <f t="shared" si="22"/>
        <v>33.961577111207021</v>
      </c>
      <c r="I168" s="33">
        <f t="shared" si="23"/>
        <v>43.910412522677099</v>
      </c>
      <c r="K168" s="14">
        <f>VLOOKUP($C168,'Refi Adj'!$B$2:$E$39,2,0)</f>
        <v>1</v>
      </c>
      <c r="L168" s="14">
        <f>VLOOKUP($C168,'Refi Adj'!$B$2:$E$39,3,0)</f>
        <v>1</v>
      </c>
      <c r="M168" s="14">
        <f>VLOOKUP($C168,'Refi Adj'!$B$2:$E$39,4,0)</f>
        <v>0.9</v>
      </c>
      <c r="O168" s="40">
        <f t="shared" si="24"/>
        <v>4.1629813092790381E-2</v>
      </c>
      <c r="P168" s="40">
        <f t="shared" si="25"/>
        <v>2.8574093811829401E-2</v>
      </c>
      <c r="Q168" s="40">
        <f t="shared" si="26"/>
        <v>4.1629813092790381E-2</v>
      </c>
      <c r="R168" s="14"/>
      <c r="S168" s="34">
        <f t="shared" si="29"/>
        <v>4.9565864959287456E-2</v>
      </c>
      <c r="T168" s="2">
        <f t="shared" si="27"/>
        <v>45.666922053740031</v>
      </c>
      <c r="U168" s="33">
        <f t="shared" si="30"/>
        <v>45.666922053740031</v>
      </c>
      <c r="V168" s="7">
        <f t="shared" si="28"/>
        <v>0.44536022980746021</v>
      </c>
      <c r="X168" s="9"/>
      <c r="Y168" s="8"/>
      <c r="Z168" s="8"/>
      <c r="AC168" s="9"/>
      <c r="AD168" s="8"/>
      <c r="AE168" s="8"/>
      <c r="AH168" s="9"/>
      <c r="AI168" s="8"/>
      <c r="AJ168" s="8"/>
    </row>
    <row r="169" spans="1:36" x14ac:dyDescent="0.25">
      <c r="A169" s="4">
        <f t="shared" si="17"/>
        <v>259.08232255140803</v>
      </c>
      <c r="B169" s="3">
        <f t="shared" si="18"/>
        <v>1.8793636100000002E-3</v>
      </c>
      <c r="C169" s="2" t="str">
        <f t="shared" si="16"/>
        <v>999:&gt;= 250</v>
      </c>
      <c r="D169" s="8">
        <f t="shared" si="19"/>
        <v>2.5941754763845603E-4</v>
      </c>
      <c r="E169" s="8">
        <f t="shared" si="20"/>
        <v>3.362139789047551E-2</v>
      </c>
      <c r="F169" s="3"/>
      <c r="G169" s="2">
        <f t="shared" si="21"/>
        <v>0.31085727775866934</v>
      </c>
      <c r="H169" s="2">
        <f t="shared" si="22"/>
        <v>33.661192409245601</v>
      </c>
      <c r="I169" s="33">
        <f t="shared" si="23"/>
        <v>44.436640224672253</v>
      </c>
      <c r="K169" s="14">
        <f>VLOOKUP($C169,'Refi Adj'!$B$2:$E$39,2,0)</f>
        <v>1</v>
      </c>
      <c r="L169" s="14">
        <f>VLOOKUP($C169,'Refi Adj'!$B$2:$E$39,3,0)</f>
        <v>1</v>
      </c>
      <c r="M169" s="14">
        <f>VLOOKUP($C169,'Refi Adj'!$B$2:$E$39,4,0)</f>
        <v>0.9</v>
      </c>
      <c r="O169" s="40">
        <f t="shared" si="24"/>
        <v>4.2050620871137888E-2</v>
      </c>
      <c r="P169" s="40">
        <f t="shared" si="25"/>
        <v>2.7881222441878E-2</v>
      </c>
      <c r="Q169" s="40">
        <f t="shared" si="26"/>
        <v>4.2050620871137888E-2</v>
      </c>
      <c r="R169" s="14"/>
      <c r="S169" s="34">
        <f t="shared" si="29"/>
        <v>5.74017544859751E-3</v>
      </c>
      <c r="T169" s="2">
        <f t="shared" si="27"/>
        <v>6.6748508384526613</v>
      </c>
      <c r="U169" s="33">
        <f t="shared" si="30"/>
        <v>6.6748508384526613</v>
      </c>
      <c r="V169" s="7">
        <f t="shared" si="28"/>
        <v>4.5193313333626271E-2</v>
      </c>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33"/>
      <c r="V170" s="7"/>
      <c r="X170" s="9"/>
      <c r="Y170" s="8"/>
      <c r="Z170" s="8"/>
      <c r="AC170" s="9"/>
      <c r="AD170" s="8"/>
      <c r="AE170" s="8"/>
      <c r="AH170" s="9"/>
      <c r="AI170" s="8"/>
      <c r="AJ170" s="8"/>
    </row>
    <row r="171" spans="1:36" x14ac:dyDescent="0.25">
      <c r="A171" s="4"/>
      <c r="B171" s="3"/>
      <c r="C171" s="2"/>
      <c r="D171" s="8"/>
      <c r="E171" s="8"/>
      <c r="F171" s="3"/>
      <c r="G171" s="2"/>
      <c r="H171" s="2"/>
      <c r="I171" s="33"/>
      <c r="K171" s="14"/>
      <c r="L171" s="14"/>
      <c r="M171" s="14"/>
      <c r="O171" s="40"/>
      <c r="P171" s="40"/>
      <c r="Q171" s="40"/>
      <c r="R171" s="14"/>
      <c r="S171" s="34"/>
      <c r="T171" s="2"/>
      <c r="U171" s="33"/>
      <c r="V171" s="7"/>
      <c r="X171" s="9"/>
      <c r="Y171" s="8"/>
      <c r="Z171" s="8"/>
      <c r="AC171" s="9"/>
      <c r="AD171" s="8"/>
      <c r="AE171" s="8"/>
      <c r="AH171" s="9"/>
      <c r="AI171" s="8"/>
      <c r="AJ171" s="8"/>
    </row>
    <row r="172" spans="1:36" x14ac:dyDescent="0.25">
      <c r="A172" s="4"/>
      <c r="B172" s="3"/>
      <c r="C172" s="2"/>
      <c r="D172" s="8"/>
      <c r="E172" s="8"/>
      <c r="F172" s="3"/>
      <c r="G172" s="2"/>
      <c r="H172" s="2"/>
      <c r="I172" s="33"/>
      <c r="K172" s="14"/>
      <c r="L172" s="14"/>
      <c r="M172" s="14"/>
      <c r="O172" s="40"/>
      <c r="P172" s="40"/>
      <c r="Q172" s="40"/>
      <c r="R172" s="14"/>
      <c r="S172" s="34"/>
      <c r="T172" s="2"/>
      <c r="U172" s="33"/>
      <c r="V172" s="7"/>
      <c r="X172" s="9"/>
      <c r="Y172" s="8"/>
      <c r="Z172" s="8"/>
      <c r="AC172" s="9"/>
      <c r="AD172" s="8"/>
      <c r="AE172" s="8"/>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33"/>
      <c r="V173" s="7"/>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33"/>
      <c r="V174" s="7"/>
      <c r="W174"/>
      <c r="X174" s="9"/>
      <c r="Y174" s="8"/>
      <c r="Z174" s="8"/>
      <c r="AA174"/>
      <c r="AB174"/>
      <c r="AC174" s="9"/>
      <c r="AD174" s="8"/>
      <c r="AE174" s="8"/>
      <c r="AF174"/>
      <c r="AG174"/>
      <c r="AH174" s="9"/>
      <c r="AI174" s="8"/>
      <c r="AJ174" s="8"/>
    </row>
    <row r="175" spans="1:36" s="24" customFormat="1" x14ac:dyDescent="0.25">
      <c r="A175" s="4"/>
      <c r="B175" s="3"/>
      <c r="C175" s="2"/>
      <c r="D175" s="8"/>
      <c r="E175" s="8"/>
      <c r="F175" s="3"/>
      <c r="G175" s="2"/>
      <c r="H175" s="2"/>
      <c r="I175" s="33"/>
      <c r="J175"/>
      <c r="K175" s="14"/>
      <c r="L175" s="14"/>
      <c r="M175" s="14"/>
      <c r="O175" s="40"/>
      <c r="P175" s="40"/>
      <c r="Q175" s="40"/>
      <c r="R175" s="14"/>
      <c r="S175" s="34"/>
      <c r="T175" s="2"/>
      <c r="U175" s="33"/>
      <c r="V175" s="7"/>
      <c r="W175"/>
      <c r="X175" s="9"/>
      <c r="Y175" s="8"/>
      <c r="Z175" s="8"/>
      <c r="AA175"/>
      <c r="AB175"/>
      <c r="AC175" s="9"/>
      <c r="AD175" s="8"/>
      <c r="AE175" s="8"/>
      <c r="AF175"/>
      <c r="AG175"/>
      <c r="AH175" s="9"/>
      <c r="AI175" s="8"/>
      <c r="AJ175" s="8"/>
    </row>
    <row r="176" spans="1:36" s="24" customFormat="1" x14ac:dyDescent="0.25">
      <c r="A176" s="4"/>
      <c r="B176" s="3"/>
      <c r="C176" s="2"/>
      <c r="D176" s="8"/>
      <c r="E176" s="8"/>
      <c r="F176" s="3"/>
      <c r="G176" s="2"/>
      <c r="H176" s="2"/>
      <c r="I176" s="33"/>
      <c r="J176"/>
      <c r="K176" s="14"/>
      <c r="L176" s="14"/>
      <c r="M176" s="14"/>
      <c r="O176" s="40"/>
      <c r="P176" s="40"/>
      <c r="Q176" s="40"/>
      <c r="R176" s="14"/>
      <c r="S176" s="34"/>
      <c r="T176" s="2"/>
      <c r="U176" s="33"/>
      <c r="V176" s="7"/>
      <c r="W176"/>
      <c r="X176" s="9"/>
      <c r="Y176" s="8"/>
      <c r="Z176" s="8"/>
      <c r="AA176"/>
      <c r="AB176"/>
      <c r="AC176" s="9"/>
      <c r="AD176" s="8"/>
      <c r="AE176" s="8"/>
      <c r="AF176"/>
      <c r="AG176"/>
      <c r="AH176" s="9"/>
      <c r="AI176" s="8"/>
      <c r="AJ176" s="8"/>
    </row>
    <row r="177" spans="1:51" x14ac:dyDescent="0.25">
      <c r="A177" s="4"/>
      <c r="B177" s="3"/>
      <c r="C177" s="2"/>
      <c r="D177" s="8"/>
      <c r="E177" s="8"/>
      <c r="F177" s="3"/>
      <c r="G177" s="2"/>
      <c r="H177" s="2"/>
      <c r="I177" s="33"/>
      <c r="K177" s="14"/>
      <c r="L177" s="14"/>
      <c r="M177" s="14"/>
      <c r="O177" s="40"/>
      <c r="P177" s="40"/>
      <c r="Q177" s="40"/>
      <c r="R177" s="14"/>
      <c r="S177" s="34"/>
      <c r="T177" s="2"/>
      <c r="U177" s="33"/>
      <c r="V177" s="7"/>
      <c r="X177" s="9"/>
      <c r="Y177" s="8"/>
      <c r="Z177" s="8"/>
      <c r="AC177" s="9"/>
      <c r="AD177" s="8"/>
      <c r="AE177" s="8"/>
      <c r="AH177" s="9"/>
      <c r="AI177" s="8"/>
      <c r="AJ177" s="8"/>
    </row>
    <row r="178" spans="1:51" x14ac:dyDescent="0.25">
      <c r="A178" s="4"/>
      <c r="B178" s="3"/>
      <c r="C178" s="2"/>
      <c r="D178" s="8"/>
      <c r="E178" s="8"/>
      <c r="F178" s="3"/>
      <c r="G178" s="2"/>
      <c r="H178" s="2"/>
      <c r="I178" s="33"/>
      <c r="K178" s="14"/>
      <c r="L178" s="14"/>
      <c r="M178" s="14"/>
      <c r="O178" s="40"/>
      <c r="P178" s="40"/>
      <c r="Q178" s="40"/>
      <c r="R178" s="14"/>
      <c r="S178" s="34"/>
      <c r="T178" s="2"/>
      <c r="U178" s="33"/>
      <c r="V178" s="7"/>
      <c r="X178" s="9"/>
      <c r="Y178" s="8"/>
      <c r="Z178" s="8"/>
      <c r="AC178" s="9"/>
      <c r="AD178" s="8"/>
      <c r="AE178" s="8"/>
      <c r="AH178" s="9"/>
      <c r="AI178" s="8"/>
      <c r="AJ178" s="8"/>
    </row>
    <row r="179" spans="1:51" x14ac:dyDescent="0.25">
      <c r="A179" s="4"/>
      <c r="B179" s="3"/>
      <c r="C179" s="2"/>
      <c r="D179" s="8"/>
      <c r="E179" s="8"/>
      <c r="F179" s="3"/>
      <c r="G179" s="2"/>
      <c r="H179" s="2"/>
      <c r="I179" s="33"/>
      <c r="K179" s="14"/>
      <c r="L179" s="14"/>
      <c r="M179" s="14"/>
      <c r="O179" s="40"/>
      <c r="P179" s="40"/>
      <c r="Q179" s="40"/>
      <c r="R179" s="14"/>
      <c r="S179" s="34"/>
      <c r="T179" s="2"/>
      <c r="U179" s="33"/>
      <c r="V179" s="7"/>
      <c r="X179" s="9"/>
      <c r="Y179" s="8"/>
      <c r="Z179" s="8"/>
      <c r="AC179" s="9"/>
      <c r="AD179" s="8"/>
      <c r="AE179" s="8"/>
      <c r="AH179" s="9"/>
      <c r="AI179" s="8"/>
      <c r="AJ179" s="8"/>
    </row>
    <row r="180" spans="1:51" x14ac:dyDescent="0.25">
      <c r="A180" s="4"/>
      <c r="B180" s="3"/>
      <c r="C180" s="2"/>
      <c r="D180" s="8"/>
      <c r="E180" s="8"/>
      <c r="F180" s="3"/>
      <c r="G180" s="2"/>
      <c r="H180" s="2"/>
      <c r="I180" s="33"/>
      <c r="K180" s="14"/>
      <c r="L180" s="14"/>
      <c r="M180" s="14"/>
      <c r="O180" s="40"/>
      <c r="P180" s="40"/>
      <c r="Q180" s="40"/>
      <c r="R180" s="14"/>
      <c r="S180" s="34"/>
      <c r="T180" s="2"/>
      <c r="U180" s="33"/>
      <c r="V180" s="7"/>
      <c r="X180" s="9"/>
      <c r="Y180" s="8"/>
      <c r="Z180" s="8"/>
      <c r="AC180" s="9"/>
      <c r="AD180" s="8"/>
      <c r="AE180" s="8"/>
      <c r="AH180" s="9"/>
      <c r="AI180" s="8"/>
      <c r="AJ180" s="8"/>
      <c r="AK180" s="4"/>
      <c r="AL180" s="4"/>
      <c r="AM180" s="4"/>
      <c r="AN180" s="4"/>
      <c r="AO180" s="4"/>
      <c r="AP180" s="4"/>
      <c r="AQ180" s="6"/>
      <c r="AR180" s="4"/>
      <c r="AS180" s="15"/>
      <c r="AT180" s="15"/>
      <c r="AU180" s="15"/>
      <c r="AV180" s="15"/>
      <c r="AW180" s="15"/>
      <c r="AX180" s="15"/>
    </row>
    <row r="181" spans="1:51" s="41" customFormat="1" x14ac:dyDescent="0.25"/>
    <row r="182" spans="1:51" x14ac:dyDescent="0.25">
      <c r="A182" t="s">
        <v>181</v>
      </c>
      <c r="C182" t="s">
        <v>183</v>
      </c>
      <c r="F182" t="s">
        <v>166</v>
      </c>
      <c r="AS182" s="17" t="s">
        <v>88</v>
      </c>
      <c r="AT182" s="17" t="s">
        <v>89</v>
      </c>
      <c r="AU182" s="17"/>
      <c r="AV182" s="17"/>
      <c r="AW182" s="17" t="s">
        <v>90</v>
      </c>
      <c r="AX182" s="17"/>
    </row>
    <row r="183" spans="1:51" x14ac:dyDescent="0.25">
      <c r="A183" t="s">
        <v>20</v>
      </c>
      <c r="B183" t="s">
        <v>21</v>
      </c>
      <c r="C183" t="s">
        <v>22</v>
      </c>
      <c r="D183" t="s">
        <v>23</v>
      </c>
      <c r="E183" t="s">
        <v>94</v>
      </c>
      <c r="F183" t="s">
        <v>95</v>
      </c>
      <c r="G183" t="s">
        <v>24</v>
      </c>
      <c r="H183" t="s">
        <v>25</v>
      </c>
      <c r="I183" t="s">
        <v>26</v>
      </c>
      <c r="J183" t="s">
        <v>27</v>
      </c>
      <c r="K183" t="s">
        <v>28</v>
      </c>
      <c r="L183" t="s">
        <v>29</v>
      </c>
      <c r="M183" t="s">
        <v>30</v>
      </c>
      <c r="N183" t="s">
        <v>31</v>
      </c>
      <c r="O183" t="s">
        <v>32</v>
      </c>
      <c r="P183" t="s">
        <v>33</v>
      </c>
      <c r="Q183" t="s">
        <v>34</v>
      </c>
      <c r="R183" t="s">
        <v>35</v>
      </c>
      <c r="S183" t="s">
        <v>36</v>
      </c>
      <c r="T183" t="s">
        <v>37</v>
      </c>
      <c r="U183" t="s">
        <v>38</v>
      </c>
      <c r="V183" t="s">
        <v>39</v>
      </c>
      <c r="W183" t="s">
        <v>40</v>
      </c>
      <c r="X183" t="s">
        <v>41</v>
      </c>
      <c r="Y183" t="s">
        <v>42</v>
      </c>
      <c r="Z183" t="s">
        <v>43</v>
      </c>
      <c r="AA183" t="s">
        <v>44</v>
      </c>
      <c r="AB183" s="1" t="s">
        <v>45</v>
      </c>
      <c r="AC183" s="1" t="s">
        <v>46</v>
      </c>
      <c r="AD183" s="1" t="s">
        <v>47</v>
      </c>
      <c r="AE183" t="s">
        <v>48</v>
      </c>
      <c r="AF183" t="s">
        <v>49</v>
      </c>
      <c r="AG183" t="s">
        <v>50</v>
      </c>
      <c r="AH183" t="s">
        <v>51</v>
      </c>
      <c r="AI183" t="s">
        <v>52</v>
      </c>
      <c r="AJ183" t="s">
        <v>53</v>
      </c>
      <c r="AK183" t="s">
        <v>54</v>
      </c>
      <c r="AL183" t="s">
        <v>55</v>
      </c>
      <c r="AM183" t="s">
        <v>56</v>
      </c>
      <c r="AN183" t="s">
        <v>57</v>
      </c>
      <c r="AO183" t="s">
        <v>58</v>
      </c>
      <c r="AP183" t="s">
        <v>59</v>
      </c>
      <c r="AQ183" t="s">
        <v>60</v>
      </c>
      <c r="AR183" t="s">
        <v>61</v>
      </c>
      <c r="AS183" s="19" t="s">
        <v>116</v>
      </c>
      <c r="AT183" s="19" t="s">
        <v>117</v>
      </c>
      <c r="AU183" s="17" t="s">
        <v>118</v>
      </c>
      <c r="AV183" s="17" t="s">
        <v>119</v>
      </c>
      <c r="AW183" s="19" t="s">
        <v>120</v>
      </c>
      <c r="AX183" s="17" t="s">
        <v>121</v>
      </c>
      <c r="AY183" t="s">
        <v>171</v>
      </c>
    </row>
    <row r="184" spans="1:51" x14ac:dyDescent="0.25">
      <c r="A184">
        <v>97</v>
      </c>
      <c r="B184" s="4">
        <v>0.98241491999999997</v>
      </c>
      <c r="C184" s="4">
        <v>18.6810986246022</v>
      </c>
      <c r="D184" s="4">
        <v>19.1761760373378</v>
      </c>
      <c r="E184" s="4">
        <v>1.7085009538450199E-2</v>
      </c>
      <c r="F184" s="5">
        <v>1.7585079999999999E-2</v>
      </c>
      <c r="G184" s="5">
        <v>0</v>
      </c>
      <c r="H184" s="4">
        <v>5.5</v>
      </c>
      <c r="I184" s="4">
        <v>3.7846229999999998</v>
      </c>
      <c r="J184" s="4">
        <v>58.9208</v>
      </c>
      <c r="K184" s="4">
        <v>145.43</v>
      </c>
      <c r="L184" s="4">
        <v>62.63</v>
      </c>
      <c r="M184" s="4">
        <v>45</v>
      </c>
      <c r="N184" s="4">
        <v>69</v>
      </c>
      <c r="O184" s="4">
        <v>10.39</v>
      </c>
      <c r="P184" s="4">
        <v>61875.88</v>
      </c>
      <c r="Q184" s="4">
        <v>61875.88</v>
      </c>
      <c r="R184" s="4">
        <v>742</v>
      </c>
      <c r="S184" s="4">
        <v>0</v>
      </c>
      <c r="T184" s="4">
        <v>0</v>
      </c>
      <c r="U184" s="4">
        <v>0</v>
      </c>
      <c r="V184" s="4">
        <v>0</v>
      </c>
      <c r="W184" s="4">
        <v>0</v>
      </c>
      <c r="X184" s="4">
        <v>0</v>
      </c>
      <c r="Y184" s="4">
        <v>0</v>
      </c>
      <c r="Z184" s="5">
        <v>8.2468899999999998E-3</v>
      </c>
      <c r="AA184" s="5">
        <v>9.6195000000000004E-4</v>
      </c>
      <c r="AB184" s="10">
        <v>6.3866900000000004E-3</v>
      </c>
      <c r="AC184" s="10">
        <v>0</v>
      </c>
      <c r="AD184" s="10">
        <v>1.9895400000000001E-3</v>
      </c>
      <c r="AE184" s="4">
        <v>1.46117991622104E-2</v>
      </c>
      <c r="AF184" s="4">
        <v>1</v>
      </c>
      <c r="AG184" s="4">
        <v>1</v>
      </c>
      <c r="AH184" s="4">
        <v>1</v>
      </c>
      <c r="AI184" s="4">
        <v>1</v>
      </c>
      <c r="AJ184" s="4">
        <v>1</v>
      </c>
      <c r="AK184" s="4">
        <v>1</v>
      </c>
      <c r="AL184" s="4">
        <v>1</v>
      </c>
      <c r="AM184" s="4">
        <v>0</v>
      </c>
      <c r="AN184" s="4">
        <v>0</v>
      </c>
      <c r="AO184" s="4" t="s">
        <v>78</v>
      </c>
      <c r="AP184" s="4" t="s">
        <v>79</v>
      </c>
      <c r="AQ184" s="6">
        <v>61875.88</v>
      </c>
      <c r="AR184" s="4">
        <v>1</v>
      </c>
      <c r="AS184" s="15">
        <v>100</v>
      </c>
      <c r="AT184" s="15">
        <v>0</v>
      </c>
      <c r="AU184" s="15">
        <v>100</v>
      </c>
      <c r="AV184" s="15">
        <v>0</v>
      </c>
      <c r="AW184" s="15">
        <v>0</v>
      </c>
      <c r="AX184" s="15">
        <v>0</v>
      </c>
      <c r="AY184" s="31">
        <v>4087.47</v>
      </c>
    </row>
    <row r="185" spans="1:51" x14ac:dyDescent="0.25">
      <c r="A185">
        <v>97</v>
      </c>
      <c r="B185" s="4">
        <v>0.98019425000000004</v>
      </c>
      <c r="C185" s="4">
        <v>7.40804608310716</v>
      </c>
      <c r="D185" s="4">
        <v>21.3414735318051</v>
      </c>
      <c r="E185" s="4">
        <v>6.3934691469515002E-3</v>
      </c>
      <c r="F185" s="5">
        <v>1.980575E-2</v>
      </c>
      <c r="G185" s="5">
        <v>0</v>
      </c>
      <c r="H185" s="4">
        <v>5.5</v>
      </c>
      <c r="I185" s="4">
        <v>3.7846229999999998</v>
      </c>
      <c r="J185" s="4">
        <v>40.237699999999997</v>
      </c>
      <c r="K185" s="4">
        <v>169.9</v>
      </c>
      <c r="L185" s="4">
        <v>25.36</v>
      </c>
      <c r="M185" s="4">
        <v>44</v>
      </c>
      <c r="N185" s="4">
        <v>94</v>
      </c>
      <c r="O185" s="4">
        <v>76.150000000000006</v>
      </c>
      <c r="P185" s="4">
        <v>157296.45000000001</v>
      </c>
      <c r="Q185" s="4">
        <v>157296.45000000001</v>
      </c>
      <c r="R185" s="4">
        <v>751</v>
      </c>
      <c r="S185" s="4">
        <v>0</v>
      </c>
      <c r="T185" s="4">
        <v>0</v>
      </c>
      <c r="U185" s="4">
        <v>1</v>
      </c>
      <c r="V185" s="4">
        <v>0</v>
      </c>
      <c r="W185" s="4">
        <v>0</v>
      </c>
      <c r="X185" s="4">
        <v>1</v>
      </c>
      <c r="Y185" s="4">
        <v>0</v>
      </c>
      <c r="Z185" s="5">
        <v>8.5357E-4</v>
      </c>
      <c r="AA185" s="5">
        <v>1.18786E-3</v>
      </c>
      <c r="AB185" s="10">
        <v>5.0870300000000002E-3</v>
      </c>
      <c r="AC185" s="10">
        <v>0</v>
      </c>
      <c r="AD185" s="10">
        <v>1.2677269999999999E-2</v>
      </c>
      <c r="AE185" s="4">
        <v>-7.3330191432502698E-3</v>
      </c>
      <c r="AF185" s="4">
        <v>1</v>
      </c>
      <c r="AG185" s="4">
        <v>1</v>
      </c>
      <c r="AH185" s="4">
        <v>1</v>
      </c>
      <c r="AI185" s="4">
        <v>1</v>
      </c>
      <c r="AJ185" s="4">
        <v>1</v>
      </c>
      <c r="AK185" s="4">
        <v>1</v>
      </c>
      <c r="AL185" s="4">
        <v>1</v>
      </c>
      <c r="AM185" s="4">
        <v>0</v>
      </c>
      <c r="AN185" s="4">
        <v>0</v>
      </c>
      <c r="AO185" s="4" t="s">
        <v>80</v>
      </c>
      <c r="AP185" s="4" t="s">
        <v>81</v>
      </c>
      <c r="AQ185" s="6">
        <v>157296.45000000001</v>
      </c>
      <c r="AR185" s="4">
        <v>1</v>
      </c>
      <c r="AS185" s="15">
        <v>100</v>
      </c>
      <c r="AT185" s="15">
        <v>0</v>
      </c>
      <c r="AU185" s="15">
        <v>100</v>
      </c>
      <c r="AV185" s="15">
        <v>0</v>
      </c>
      <c r="AW185" s="15">
        <v>0</v>
      </c>
      <c r="AX185" s="15">
        <v>0</v>
      </c>
      <c r="AY185" s="31">
        <v>4026.58</v>
      </c>
    </row>
    <row r="186" spans="1:51" x14ac:dyDescent="0.25">
      <c r="A186">
        <v>97</v>
      </c>
      <c r="B186" s="4">
        <v>0.97046996911071703</v>
      </c>
      <c r="C186" s="4">
        <v>38.537029056871397</v>
      </c>
      <c r="D186" s="4">
        <v>30.211283706472901</v>
      </c>
      <c r="E186" s="4">
        <v>3.97496759093241E-2</v>
      </c>
      <c r="F186" s="5">
        <v>2.9530030889282799E-2</v>
      </c>
      <c r="G186" s="5">
        <v>0</v>
      </c>
      <c r="H186" s="4">
        <v>5.5152104014553096</v>
      </c>
      <c r="I186" s="4">
        <v>3.7795323821603302</v>
      </c>
      <c r="J186" s="4">
        <v>42.664829531476698</v>
      </c>
      <c r="K186" s="4">
        <v>189.94437416189001</v>
      </c>
      <c r="L186" s="4">
        <v>15.1908081138191</v>
      </c>
      <c r="M186" s="4">
        <v>42.853078548615798</v>
      </c>
      <c r="N186" s="4">
        <v>58.491040043645299</v>
      </c>
      <c r="O186" s="4">
        <v>52.900672896333496</v>
      </c>
      <c r="P186" s="4">
        <v>285248.96792761801</v>
      </c>
      <c r="Q186" s="4">
        <v>262759.10761904699</v>
      </c>
      <c r="R186" s="4">
        <v>777.85019650970298</v>
      </c>
      <c r="S186" s="4">
        <v>0</v>
      </c>
      <c r="T186" s="4">
        <v>0</v>
      </c>
      <c r="U186" s="4">
        <v>0.27356598340136301</v>
      </c>
      <c r="V186" s="4">
        <v>0</v>
      </c>
      <c r="W186" s="4">
        <v>0</v>
      </c>
      <c r="X186" s="4">
        <v>0.73988134791105997</v>
      </c>
      <c r="Y186" s="4">
        <v>0</v>
      </c>
      <c r="Z186" s="5">
        <v>5.06477734996211E-4</v>
      </c>
      <c r="AA186" s="5">
        <v>1.1098015428504201E-3</v>
      </c>
      <c r="AB186" s="10">
        <v>4.1651711553513998E-3</v>
      </c>
      <c r="AC186" s="10">
        <v>0</v>
      </c>
      <c r="AD186" s="10">
        <v>2.37485658493925E-2</v>
      </c>
      <c r="AE186" s="4">
        <v>2.0843167286490698E-2</v>
      </c>
      <c r="AF186" s="4">
        <v>0.58098451067185497</v>
      </c>
      <c r="AG186" s="4">
        <v>1</v>
      </c>
      <c r="AH186" s="4">
        <v>1</v>
      </c>
      <c r="AI186" s="4">
        <v>1</v>
      </c>
      <c r="AJ186" s="4">
        <v>1</v>
      </c>
      <c r="AK186" s="4">
        <v>1</v>
      </c>
      <c r="AL186" s="4">
        <v>1</v>
      </c>
      <c r="AM186" s="4">
        <v>0</v>
      </c>
      <c r="AN186" s="4">
        <v>0</v>
      </c>
      <c r="AO186" s="4" t="s">
        <v>82</v>
      </c>
      <c r="AP186" s="4" t="s">
        <v>83</v>
      </c>
      <c r="AQ186" s="6">
        <v>38625588.82</v>
      </c>
      <c r="AR186" s="4">
        <v>147</v>
      </c>
      <c r="AS186" s="15">
        <v>100</v>
      </c>
      <c r="AT186" s="15">
        <v>0</v>
      </c>
      <c r="AU186" s="15">
        <v>100</v>
      </c>
      <c r="AV186" s="15">
        <v>0</v>
      </c>
      <c r="AW186" s="15">
        <v>0</v>
      </c>
      <c r="AX186" s="15">
        <v>0</v>
      </c>
      <c r="AY186" s="31">
        <v>4264.7873255342402</v>
      </c>
    </row>
    <row r="187" spans="1:51" x14ac:dyDescent="0.25">
      <c r="A187">
        <v>97</v>
      </c>
      <c r="B187" s="4">
        <v>0.96979935262199402</v>
      </c>
      <c r="C187" s="4">
        <v>46.106845565156704</v>
      </c>
      <c r="D187" s="4">
        <v>30.787796114388801</v>
      </c>
      <c r="E187" s="4">
        <v>5.0209545968611997E-2</v>
      </c>
      <c r="F187" s="5">
        <v>3.0200647378005398E-2</v>
      </c>
      <c r="G187" s="5">
        <v>0</v>
      </c>
      <c r="H187" s="4">
        <v>5.6835751115114901</v>
      </c>
      <c r="I187" s="4">
        <v>3.6911712421338101</v>
      </c>
      <c r="J187" s="4">
        <v>59.609451378217798</v>
      </c>
      <c r="K187" s="4">
        <v>212.649738760883</v>
      </c>
      <c r="L187" s="4">
        <v>15.0632334034878</v>
      </c>
      <c r="M187" s="4">
        <v>40.907175020729902</v>
      </c>
      <c r="N187" s="4">
        <v>61.082880914234302</v>
      </c>
      <c r="O187" s="4">
        <v>57.504980244049499</v>
      </c>
      <c r="P187" s="4">
        <v>286291.16826791898</v>
      </c>
      <c r="Q187" s="4">
        <v>265040.34883522702</v>
      </c>
      <c r="R187" s="4">
        <v>773.91309521955702</v>
      </c>
      <c r="S187" s="4">
        <v>0</v>
      </c>
      <c r="T187" s="4">
        <v>0</v>
      </c>
      <c r="U187" s="4">
        <v>0.189709297477346</v>
      </c>
      <c r="V187" s="4">
        <v>0</v>
      </c>
      <c r="W187" s="4">
        <v>0</v>
      </c>
      <c r="X187" s="4">
        <v>0.74300370930904203</v>
      </c>
      <c r="Y187" s="4">
        <v>0</v>
      </c>
      <c r="Z187" s="5">
        <v>4.79606524020088E-4</v>
      </c>
      <c r="AA187" s="5">
        <v>1.30283445195552E-3</v>
      </c>
      <c r="AB187" s="10">
        <v>3.90419178615775E-3</v>
      </c>
      <c r="AC187" s="10">
        <v>7.0713433646245103E-6</v>
      </c>
      <c r="AD187" s="10">
        <v>2.4506928444136902E-2</v>
      </c>
      <c r="AE187" s="4">
        <v>-7.2347857582423696E-3</v>
      </c>
      <c r="AF187" s="4">
        <v>0.74936504379984503</v>
      </c>
      <c r="AG187" s="4">
        <v>0.99608246676567103</v>
      </c>
      <c r="AH187" s="4">
        <v>0.99608246676567103</v>
      </c>
      <c r="AI187" s="4">
        <v>1</v>
      </c>
      <c r="AJ187" s="4">
        <v>1</v>
      </c>
      <c r="AK187" s="4">
        <v>1</v>
      </c>
      <c r="AL187" s="4">
        <v>1</v>
      </c>
      <c r="AM187" s="4">
        <v>0</v>
      </c>
      <c r="AN187" s="4">
        <v>0</v>
      </c>
      <c r="AO187" s="4" t="s">
        <v>84</v>
      </c>
      <c r="AP187" s="4" t="s">
        <v>85</v>
      </c>
      <c r="AQ187" s="6">
        <v>93294202.790000007</v>
      </c>
      <c r="AR187" s="4">
        <v>352</v>
      </c>
      <c r="AS187" s="15">
        <v>100</v>
      </c>
      <c r="AT187" s="15">
        <v>0</v>
      </c>
      <c r="AU187" s="15">
        <v>100</v>
      </c>
      <c r="AV187" s="15">
        <v>0</v>
      </c>
      <c r="AW187" s="15">
        <v>0</v>
      </c>
      <c r="AX187" s="15">
        <v>0</v>
      </c>
      <c r="AY187">
        <v>4401.8553049995899</v>
      </c>
    </row>
    <row r="188" spans="1:51" x14ac:dyDescent="0.25">
      <c r="A188">
        <v>97</v>
      </c>
      <c r="B188" s="4">
        <v>0.97013297391974995</v>
      </c>
      <c r="C188" s="4">
        <v>33.990454326658103</v>
      </c>
      <c r="D188" s="4">
        <v>30.501538084884199</v>
      </c>
      <c r="E188" s="4">
        <v>3.40220153536204E-2</v>
      </c>
      <c r="F188" s="5">
        <v>2.9867026080249302E-2</v>
      </c>
      <c r="G188" s="5">
        <v>0</v>
      </c>
      <c r="H188" s="4">
        <v>5.8141297937736098</v>
      </c>
      <c r="I188" s="4">
        <v>3.6770818472557001</v>
      </c>
      <c r="J188" s="4">
        <v>74.562336683159103</v>
      </c>
      <c r="K188" s="4">
        <v>235.007849665093</v>
      </c>
      <c r="L188" s="4">
        <v>15.391680713323201</v>
      </c>
      <c r="M188" s="4">
        <v>41.601834720149199</v>
      </c>
      <c r="N188" s="4">
        <v>69.723824002754796</v>
      </c>
      <c r="O188" s="4">
        <v>62.897450642166497</v>
      </c>
      <c r="P188" s="4">
        <v>278655.60756884899</v>
      </c>
      <c r="Q188" s="4">
        <v>259356.04972972901</v>
      </c>
      <c r="R188" s="4">
        <v>776.90877703503497</v>
      </c>
      <c r="S188" s="4">
        <v>0</v>
      </c>
      <c r="T188" s="4">
        <v>0</v>
      </c>
      <c r="U188" s="4">
        <v>0.17138362720615299</v>
      </c>
      <c r="V188" s="4">
        <v>0</v>
      </c>
      <c r="W188" s="4">
        <v>0</v>
      </c>
      <c r="X188" s="4">
        <v>0.72382502529779003</v>
      </c>
      <c r="Y188" s="4">
        <v>0</v>
      </c>
      <c r="Z188" s="5">
        <v>5.1944722691823098E-4</v>
      </c>
      <c r="AA188" s="5">
        <v>1.8301880297421E-3</v>
      </c>
      <c r="AB188" s="10">
        <v>3.7240045258149601E-3</v>
      </c>
      <c r="AC188" s="10">
        <v>1.0398310366319301E-5</v>
      </c>
      <c r="AD188" s="10">
        <v>2.3782973757269298E-2</v>
      </c>
      <c r="AE188" s="4">
        <v>1.5967234271085901E-2</v>
      </c>
      <c r="AF188" s="4">
        <v>0.64059455440211099</v>
      </c>
      <c r="AG188" s="4">
        <v>0.99046490205100302</v>
      </c>
      <c r="AH188" s="4">
        <v>1</v>
      </c>
      <c r="AI188" s="4">
        <v>1</v>
      </c>
      <c r="AJ188" s="4">
        <v>1</v>
      </c>
      <c r="AK188" s="4">
        <v>1</v>
      </c>
      <c r="AL188" s="4">
        <v>1</v>
      </c>
      <c r="AM188" s="4">
        <v>0</v>
      </c>
      <c r="AN188" s="4">
        <v>0</v>
      </c>
      <c r="AO188" s="4" t="s">
        <v>86</v>
      </c>
      <c r="AP188" s="4" t="s">
        <v>87</v>
      </c>
      <c r="AQ188" s="6">
        <v>38384695.359999999</v>
      </c>
      <c r="AR188" s="4">
        <v>148</v>
      </c>
      <c r="AS188" s="15">
        <v>100</v>
      </c>
      <c r="AT188" s="15">
        <v>0</v>
      </c>
      <c r="AU188" s="15">
        <v>100</v>
      </c>
      <c r="AV188" s="15">
        <v>0</v>
      </c>
      <c r="AW188" s="15">
        <v>0</v>
      </c>
      <c r="AX188" s="15">
        <v>0</v>
      </c>
      <c r="AY188">
        <v>4708.8613273130004</v>
      </c>
    </row>
    <row r="189" spans="1:51" x14ac:dyDescent="0.25">
      <c r="A189">
        <v>97</v>
      </c>
      <c r="B189" s="4">
        <v>0.97071902421783496</v>
      </c>
      <c r="C189" s="4">
        <v>38.7084252482124</v>
      </c>
      <c r="D189" s="4">
        <v>29.996058616280401</v>
      </c>
      <c r="E189" s="4">
        <v>3.9973108513252698E-2</v>
      </c>
      <c r="F189" s="5">
        <v>2.9280975782164299E-2</v>
      </c>
      <c r="G189" s="5">
        <v>0</v>
      </c>
      <c r="H189" s="4">
        <v>5.8121076221558097</v>
      </c>
      <c r="I189" s="4">
        <v>3.70921266691815</v>
      </c>
      <c r="J189" s="4">
        <v>71.031916846388498</v>
      </c>
      <c r="K189" s="4">
        <v>262.52574219043299</v>
      </c>
      <c r="L189" s="4">
        <v>14.8943474797669</v>
      </c>
      <c r="M189" s="4">
        <v>40.922848403443702</v>
      </c>
      <c r="N189" s="4">
        <v>87.020282368190294</v>
      </c>
      <c r="O189" s="4">
        <v>76.657156357865105</v>
      </c>
      <c r="P189" s="4">
        <v>289794.62937171099</v>
      </c>
      <c r="Q189" s="4">
        <v>268076.97675675602</v>
      </c>
      <c r="R189" s="4">
        <v>778.24345432412201</v>
      </c>
      <c r="S189" s="4">
        <v>0</v>
      </c>
      <c r="T189" s="4">
        <v>0</v>
      </c>
      <c r="U189" s="4">
        <v>9.7292460412646206E-2</v>
      </c>
      <c r="V189" s="4">
        <v>0</v>
      </c>
      <c r="W189" s="4">
        <v>0</v>
      </c>
      <c r="X189" s="4">
        <v>0.42984137067351003</v>
      </c>
      <c r="Y189" s="4">
        <v>0</v>
      </c>
      <c r="Z189" s="5">
        <v>4.7458270805231798E-4</v>
      </c>
      <c r="AA189" s="5">
        <v>1.29186465182003E-3</v>
      </c>
      <c r="AB189" s="10">
        <v>3.6197436228409601E-3</v>
      </c>
      <c r="AC189" s="10">
        <v>1.03135266122745E-4</v>
      </c>
      <c r="AD189" s="10">
        <v>2.3791635213034401E-2</v>
      </c>
      <c r="AE189" s="4">
        <v>6.2955178861447095E-2</v>
      </c>
      <c r="AF189" s="4">
        <v>0.287201218305979</v>
      </c>
      <c r="AG189" s="4">
        <v>0.93441825292427505</v>
      </c>
      <c r="AH189" s="4">
        <v>0.93441825292427505</v>
      </c>
      <c r="AI189" s="4">
        <v>1</v>
      </c>
      <c r="AJ189" s="4">
        <v>1</v>
      </c>
      <c r="AK189" s="4">
        <v>1</v>
      </c>
      <c r="AL189" s="4">
        <v>1</v>
      </c>
      <c r="AM189" s="4">
        <v>0</v>
      </c>
      <c r="AN189" s="4">
        <v>0</v>
      </c>
      <c r="AO189" s="4" t="s">
        <v>154</v>
      </c>
      <c r="AP189" s="4" t="s">
        <v>155</v>
      </c>
      <c r="AQ189" s="6">
        <v>9918848.1400000006</v>
      </c>
      <c r="AR189" s="4">
        <v>37</v>
      </c>
      <c r="AS189" s="15">
        <v>100</v>
      </c>
      <c r="AT189" s="15">
        <v>0</v>
      </c>
      <c r="AU189" s="15">
        <v>100</v>
      </c>
      <c r="AV189" s="15">
        <v>0</v>
      </c>
      <c r="AW189" s="15">
        <v>0</v>
      </c>
      <c r="AX189" s="15">
        <v>0</v>
      </c>
      <c r="AY189">
        <v>4873.1645700073104</v>
      </c>
    </row>
    <row r="193" spans="1:51" x14ac:dyDescent="0.25">
      <c r="F193" t="s">
        <v>167</v>
      </c>
    </row>
    <row r="194" spans="1:51" x14ac:dyDescent="0.25">
      <c r="A194" t="s">
        <v>20</v>
      </c>
      <c r="B194" t="s">
        <v>21</v>
      </c>
      <c r="C194" t="s">
        <v>22</v>
      </c>
      <c r="D194" t="s">
        <v>23</v>
      </c>
      <c r="E194" t="s">
        <v>94</v>
      </c>
      <c r="F194" t="s">
        <v>95</v>
      </c>
      <c r="G194" t="s">
        <v>24</v>
      </c>
      <c r="H194" t="s">
        <v>25</v>
      </c>
      <c r="I194" t="s">
        <v>26</v>
      </c>
      <c r="J194" t="s">
        <v>27</v>
      </c>
      <c r="K194" t="s">
        <v>28</v>
      </c>
      <c r="L194" t="s">
        <v>29</v>
      </c>
      <c r="M194" t="s">
        <v>30</v>
      </c>
      <c r="N194" t="s">
        <v>31</v>
      </c>
      <c r="O194" t="s">
        <v>32</v>
      </c>
      <c r="P194" t="s">
        <v>33</v>
      </c>
      <c r="Q194" t="s">
        <v>34</v>
      </c>
      <c r="R194" t="s">
        <v>35</v>
      </c>
      <c r="S194" t="s">
        <v>36</v>
      </c>
      <c r="T194" t="s">
        <v>37</v>
      </c>
      <c r="U194" t="s">
        <v>38</v>
      </c>
      <c r="V194" t="s">
        <v>39</v>
      </c>
      <c r="W194" t="s">
        <v>40</v>
      </c>
      <c r="X194" t="s">
        <v>41</v>
      </c>
      <c r="Y194" t="s">
        <v>42</v>
      </c>
      <c r="Z194" t="s">
        <v>43</v>
      </c>
      <c r="AA194" t="s">
        <v>44</v>
      </c>
      <c r="AB194" t="s">
        <v>45</v>
      </c>
      <c r="AC194" t="s">
        <v>46</v>
      </c>
      <c r="AD194" t="s">
        <v>47</v>
      </c>
      <c r="AE194" t="s">
        <v>48</v>
      </c>
      <c r="AF194" t="s">
        <v>49</v>
      </c>
      <c r="AG194" t="s">
        <v>50</v>
      </c>
      <c r="AH194" t="s">
        <v>51</v>
      </c>
      <c r="AI194" t="s">
        <v>52</v>
      </c>
      <c r="AJ194" t="s">
        <v>53</v>
      </c>
      <c r="AK194" t="s">
        <v>54</v>
      </c>
      <c r="AL194" t="s">
        <v>55</v>
      </c>
      <c r="AM194" t="s">
        <v>56</v>
      </c>
      <c r="AN194" t="s">
        <v>57</v>
      </c>
      <c r="AO194" t="s">
        <v>58</v>
      </c>
      <c r="AP194" t="s">
        <v>59</v>
      </c>
      <c r="AQ194" t="s">
        <v>60</v>
      </c>
      <c r="AR194" t="s">
        <v>61</v>
      </c>
      <c r="AS194" t="s">
        <v>116</v>
      </c>
      <c r="AT194" t="s">
        <v>117</v>
      </c>
      <c r="AU194" t="s">
        <v>118</v>
      </c>
      <c r="AV194" t="s">
        <v>119</v>
      </c>
      <c r="AW194" t="s">
        <v>120</v>
      </c>
      <c r="AX194" t="s">
        <v>121</v>
      </c>
      <c r="AY194" t="s">
        <v>171</v>
      </c>
    </row>
    <row r="195" spans="1:51" x14ac:dyDescent="0.25">
      <c r="A195">
        <v>96</v>
      </c>
      <c r="B195" s="4">
        <v>0.97956571999999997</v>
      </c>
      <c r="C195" s="4">
        <v>18.6810986246022</v>
      </c>
      <c r="D195" s="4">
        <v>21.944602005769799</v>
      </c>
      <c r="E195" s="4">
        <v>1.7085009538450199E-2</v>
      </c>
      <c r="F195" s="5">
        <v>2.0434279999999999E-2</v>
      </c>
      <c r="G195" s="5">
        <v>0</v>
      </c>
      <c r="H195" s="4">
        <v>5.5</v>
      </c>
      <c r="I195" s="4">
        <v>3.7846229999999998</v>
      </c>
      <c r="J195" s="4">
        <v>58.9208</v>
      </c>
      <c r="K195" s="4">
        <v>145.43</v>
      </c>
      <c r="L195" s="4">
        <v>62.63</v>
      </c>
      <c r="M195" s="4">
        <v>45</v>
      </c>
      <c r="N195" s="4">
        <v>69</v>
      </c>
      <c r="O195" s="4">
        <v>10.39</v>
      </c>
      <c r="P195" s="4">
        <v>61875.88</v>
      </c>
      <c r="Q195" s="4">
        <v>61875.88</v>
      </c>
      <c r="R195" s="4">
        <v>742</v>
      </c>
      <c r="S195" s="4">
        <v>0</v>
      </c>
      <c r="T195" s="4">
        <v>0</v>
      </c>
      <c r="U195" s="4">
        <v>0</v>
      </c>
      <c r="V195" s="4">
        <v>0</v>
      </c>
      <c r="W195" s="4">
        <v>0</v>
      </c>
      <c r="X195" s="4">
        <v>0</v>
      </c>
      <c r="Y195" s="4">
        <v>0</v>
      </c>
      <c r="Z195" s="5">
        <v>8.2468899999999998E-3</v>
      </c>
      <c r="AA195" s="5">
        <v>9.6195000000000004E-4</v>
      </c>
      <c r="AB195" s="10">
        <v>6.3866900000000004E-3</v>
      </c>
      <c r="AC195" s="10">
        <v>0</v>
      </c>
      <c r="AD195" s="10">
        <v>4.8387300000000003E-3</v>
      </c>
      <c r="AE195" s="4">
        <v>1.46117991622104E-2</v>
      </c>
      <c r="AF195" s="4">
        <v>1</v>
      </c>
      <c r="AG195" s="4">
        <v>1</v>
      </c>
      <c r="AH195" s="4">
        <v>1</v>
      </c>
      <c r="AI195" s="4">
        <v>1</v>
      </c>
      <c r="AJ195" s="4">
        <v>1</v>
      </c>
      <c r="AK195" s="4">
        <v>1</v>
      </c>
      <c r="AL195" s="4">
        <v>1</v>
      </c>
      <c r="AM195" s="4">
        <v>0</v>
      </c>
      <c r="AN195" s="4">
        <v>0</v>
      </c>
      <c r="AO195" s="4" t="s">
        <v>78</v>
      </c>
      <c r="AP195" s="4" t="s">
        <v>79</v>
      </c>
      <c r="AQ195" s="6">
        <v>61875.88</v>
      </c>
      <c r="AR195" s="4">
        <v>1</v>
      </c>
      <c r="AS195" s="15">
        <v>100</v>
      </c>
      <c r="AT195" s="15">
        <v>0</v>
      </c>
      <c r="AU195" s="15">
        <v>100</v>
      </c>
      <c r="AV195" s="15">
        <v>0</v>
      </c>
      <c r="AW195" s="15">
        <v>0</v>
      </c>
      <c r="AX195" s="15">
        <v>0</v>
      </c>
      <c r="AY195" s="31">
        <v>4087.47</v>
      </c>
    </row>
    <row r="196" spans="1:51" x14ac:dyDescent="0.25">
      <c r="A196">
        <v>96</v>
      </c>
      <c r="B196" s="4">
        <v>0.96750519999999995</v>
      </c>
      <c r="C196" s="4">
        <v>7.40804608310716</v>
      </c>
      <c r="D196" s="4">
        <v>32.727170499521499</v>
      </c>
      <c r="E196" s="4">
        <v>6.3934691469515002E-3</v>
      </c>
      <c r="F196" s="5">
        <v>3.2494799999999997E-2</v>
      </c>
      <c r="G196" s="5">
        <v>0</v>
      </c>
      <c r="H196" s="4">
        <v>5.5</v>
      </c>
      <c r="I196" s="4">
        <v>3.7846229999999998</v>
      </c>
      <c r="J196" s="4">
        <v>40.237699999999997</v>
      </c>
      <c r="K196" s="4">
        <v>169.9</v>
      </c>
      <c r="L196" s="4">
        <v>25.36</v>
      </c>
      <c r="M196" s="4">
        <v>44</v>
      </c>
      <c r="N196" s="4">
        <v>94</v>
      </c>
      <c r="O196" s="4">
        <v>76.150000000000006</v>
      </c>
      <c r="P196" s="4">
        <v>157296.45000000001</v>
      </c>
      <c r="Q196" s="4">
        <v>157296.45000000001</v>
      </c>
      <c r="R196" s="4">
        <v>751</v>
      </c>
      <c r="S196" s="4">
        <v>0</v>
      </c>
      <c r="T196" s="4">
        <v>0</v>
      </c>
      <c r="U196" s="4">
        <v>1</v>
      </c>
      <c r="V196" s="4">
        <v>0</v>
      </c>
      <c r="W196" s="4">
        <v>0</v>
      </c>
      <c r="X196" s="4">
        <v>1</v>
      </c>
      <c r="Y196" s="4">
        <v>0</v>
      </c>
      <c r="Z196" s="5">
        <v>8.5357E-4</v>
      </c>
      <c r="AA196" s="5">
        <v>1.18786E-3</v>
      </c>
      <c r="AB196" s="10">
        <v>5.0870300000000002E-3</v>
      </c>
      <c r="AC196" s="10">
        <v>0</v>
      </c>
      <c r="AD196" s="10">
        <v>2.5366320000000001E-2</v>
      </c>
      <c r="AE196" s="4">
        <v>-7.3330191432502698E-3</v>
      </c>
      <c r="AF196" s="4">
        <v>1</v>
      </c>
      <c r="AG196" s="4">
        <v>1</v>
      </c>
      <c r="AH196" s="4">
        <v>1</v>
      </c>
      <c r="AI196" s="4">
        <v>1</v>
      </c>
      <c r="AJ196" s="4">
        <v>1</v>
      </c>
      <c r="AK196" s="4">
        <v>1</v>
      </c>
      <c r="AL196" s="4">
        <v>1</v>
      </c>
      <c r="AM196" s="4">
        <v>0</v>
      </c>
      <c r="AN196" s="4">
        <v>0</v>
      </c>
      <c r="AO196" s="4" t="s">
        <v>80</v>
      </c>
      <c r="AP196" s="4" t="s">
        <v>81</v>
      </c>
      <c r="AQ196" s="6">
        <v>157296.45000000001</v>
      </c>
      <c r="AR196" s="4">
        <v>1</v>
      </c>
      <c r="AS196" s="15">
        <v>100</v>
      </c>
      <c r="AT196" s="15">
        <v>0</v>
      </c>
      <c r="AU196" s="15">
        <v>100</v>
      </c>
      <c r="AV196" s="15">
        <v>0</v>
      </c>
      <c r="AW196" s="15">
        <v>0</v>
      </c>
      <c r="AX196" s="15">
        <v>0</v>
      </c>
      <c r="AY196" s="31">
        <v>4026.58</v>
      </c>
    </row>
    <row r="197" spans="1:51" x14ac:dyDescent="0.25">
      <c r="A197">
        <v>96</v>
      </c>
      <c r="B197" s="4">
        <v>0.95583537476124503</v>
      </c>
      <c r="C197" s="4">
        <v>38.537029056871397</v>
      </c>
      <c r="D197" s="4">
        <v>41.843643141060298</v>
      </c>
      <c r="E197" s="4">
        <v>3.97496759093241E-2</v>
      </c>
      <c r="F197" s="5">
        <v>4.4164625238754002E-2</v>
      </c>
      <c r="G197" s="5">
        <v>0</v>
      </c>
      <c r="H197" s="4">
        <v>5.5152104014553096</v>
      </c>
      <c r="I197" s="4">
        <v>3.7795323821603302</v>
      </c>
      <c r="J197" s="4">
        <v>42.664829531476698</v>
      </c>
      <c r="K197" s="4">
        <v>189.94437416189001</v>
      </c>
      <c r="L197" s="4">
        <v>15.1908081138191</v>
      </c>
      <c r="M197" s="4">
        <v>42.853078548615798</v>
      </c>
      <c r="N197" s="4">
        <v>58.491040043645299</v>
      </c>
      <c r="O197" s="4">
        <v>52.900672896333496</v>
      </c>
      <c r="P197" s="4">
        <v>285248.96792761801</v>
      </c>
      <c r="Q197" s="4">
        <v>262759.10761904699</v>
      </c>
      <c r="R197" s="4">
        <v>777.85019650970298</v>
      </c>
      <c r="S197" s="4">
        <v>0</v>
      </c>
      <c r="T197" s="4">
        <v>0</v>
      </c>
      <c r="U197" s="4">
        <v>0.27356598340136301</v>
      </c>
      <c r="V197" s="4">
        <v>0</v>
      </c>
      <c r="W197" s="4">
        <v>0</v>
      </c>
      <c r="X197" s="4">
        <v>0.73988134791105997</v>
      </c>
      <c r="Y197" s="4">
        <v>0</v>
      </c>
      <c r="Z197" s="5">
        <v>5.06477734996211E-4</v>
      </c>
      <c r="AA197" s="5">
        <v>1.1098015428504201E-3</v>
      </c>
      <c r="AB197" s="10">
        <v>4.1651711553513998E-3</v>
      </c>
      <c r="AC197" s="10">
        <v>0</v>
      </c>
      <c r="AD197" s="10">
        <v>3.8383160111136301E-2</v>
      </c>
      <c r="AE197" s="4">
        <v>2.0843167286490698E-2</v>
      </c>
      <c r="AF197" s="4">
        <v>0.58098451067185497</v>
      </c>
      <c r="AG197" s="4">
        <v>1</v>
      </c>
      <c r="AH197" s="4">
        <v>1</v>
      </c>
      <c r="AI197" s="4">
        <v>1</v>
      </c>
      <c r="AJ197" s="4">
        <v>1</v>
      </c>
      <c r="AK197" s="4">
        <v>1</v>
      </c>
      <c r="AL197" s="4">
        <v>1</v>
      </c>
      <c r="AM197" s="4">
        <v>0</v>
      </c>
      <c r="AN197" s="4">
        <v>0</v>
      </c>
      <c r="AO197" s="4" t="s">
        <v>82</v>
      </c>
      <c r="AP197" s="4" t="s">
        <v>83</v>
      </c>
      <c r="AQ197" s="6">
        <v>38625588.82</v>
      </c>
      <c r="AR197" s="4">
        <v>147</v>
      </c>
      <c r="AS197" s="15">
        <v>100</v>
      </c>
      <c r="AT197" s="15">
        <v>0</v>
      </c>
      <c r="AU197" s="15">
        <v>100</v>
      </c>
      <c r="AV197" s="15">
        <v>0</v>
      </c>
      <c r="AW197" s="15">
        <v>0</v>
      </c>
      <c r="AX197" s="15">
        <v>0</v>
      </c>
      <c r="AY197" s="31">
        <v>4264.7873255342402</v>
      </c>
    </row>
    <row r="198" spans="1:51" x14ac:dyDescent="0.25">
      <c r="A198">
        <v>96</v>
      </c>
      <c r="B198" s="4">
        <v>0.955846958723089</v>
      </c>
      <c r="C198" s="4">
        <v>46.106845565156704</v>
      </c>
      <c r="D198" s="4">
        <v>41.835184873751601</v>
      </c>
      <c r="E198" s="4">
        <v>5.0209545968611997E-2</v>
      </c>
      <c r="F198" s="5">
        <v>4.41530412769107E-2</v>
      </c>
      <c r="G198" s="5">
        <v>0</v>
      </c>
      <c r="H198" s="4">
        <v>5.6835751115114901</v>
      </c>
      <c r="I198" s="4">
        <v>3.6911712421338101</v>
      </c>
      <c r="J198" s="4">
        <v>59.609451378217798</v>
      </c>
      <c r="K198" s="4">
        <v>212.649738760883</v>
      </c>
      <c r="L198" s="4">
        <v>15.0632334034878</v>
      </c>
      <c r="M198" s="4">
        <v>40.907175020729902</v>
      </c>
      <c r="N198" s="4">
        <v>61.082880914234302</v>
      </c>
      <c r="O198" s="4">
        <v>57.504980244049499</v>
      </c>
      <c r="P198" s="4">
        <v>286291.16826791898</v>
      </c>
      <c r="Q198" s="4">
        <v>265040.34883522702</v>
      </c>
      <c r="R198" s="4">
        <v>773.91309521955702</v>
      </c>
      <c r="S198" s="4">
        <v>0</v>
      </c>
      <c r="T198" s="4">
        <v>0</v>
      </c>
      <c r="U198" s="4">
        <v>0.189709297477346</v>
      </c>
      <c r="V198" s="4">
        <v>0</v>
      </c>
      <c r="W198" s="4">
        <v>0</v>
      </c>
      <c r="X198" s="4">
        <v>0.74300370930904203</v>
      </c>
      <c r="Y198" s="4">
        <v>0</v>
      </c>
      <c r="Z198" s="5">
        <v>4.79606524020088E-4</v>
      </c>
      <c r="AA198" s="5">
        <v>1.30283445195552E-3</v>
      </c>
      <c r="AB198" s="10">
        <v>3.90419178615775E-3</v>
      </c>
      <c r="AC198" s="10">
        <v>7.0713433646245103E-6</v>
      </c>
      <c r="AD198" s="10">
        <v>3.8459322271067402E-2</v>
      </c>
      <c r="AE198" s="4">
        <v>-7.2347857582423696E-3</v>
      </c>
      <c r="AF198" s="4">
        <v>0.74936504379984503</v>
      </c>
      <c r="AG198" s="4">
        <v>0.99608246676567103</v>
      </c>
      <c r="AH198" s="4">
        <v>0.99608246676567103</v>
      </c>
      <c r="AI198" s="4">
        <v>1</v>
      </c>
      <c r="AJ198" s="4">
        <v>1</v>
      </c>
      <c r="AK198" s="4">
        <v>1</v>
      </c>
      <c r="AL198" s="4">
        <v>1</v>
      </c>
      <c r="AM198" s="4">
        <v>0</v>
      </c>
      <c r="AN198" s="4">
        <v>0</v>
      </c>
      <c r="AO198" s="4" t="s">
        <v>84</v>
      </c>
      <c r="AP198" s="4" t="s">
        <v>85</v>
      </c>
      <c r="AQ198" s="6">
        <v>93294202.790000007</v>
      </c>
      <c r="AR198" s="4">
        <v>352</v>
      </c>
      <c r="AS198" s="15">
        <v>100</v>
      </c>
      <c r="AT198" s="15">
        <v>0</v>
      </c>
      <c r="AU198" s="15">
        <v>100</v>
      </c>
      <c r="AV198" s="15">
        <v>0</v>
      </c>
      <c r="AW198" s="15">
        <v>0</v>
      </c>
      <c r="AX198" s="15">
        <v>0</v>
      </c>
      <c r="AY198">
        <v>4401.8553049995899</v>
      </c>
    </row>
    <row r="199" spans="1:51" x14ac:dyDescent="0.25">
      <c r="A199">
        <v>96</v>
      </c>
      <c r="B199" s="4">
        <v>0.95530344964456604</v>
      </c>
      <c r="C199" s="4">
        <v>33.990454326658103</v>
      </c>
      <c r="D199" s="4">
        <v>42.230826778140397</v>
      </c>
      <c r="E199" s="4">
        <v>3.40220153536204E-2</v>
      </c>
      <c r="F199" s="5">
        <v>4.4696550355433899E-2</v>
      </c>
      <c r="G199" s="5">
        <v>0</v>
      </c>
      <c r="H199" s="4">
        <v>5.8141297937736098</v>
      </c>
      <c r="I199" s="4">
        <v>3.6770818472557001</v>
      </c>
      <c r="J199" s="4">
        <v>74.562336683159103</v>
      </c>
      <c r="K199" s="4">
        <v>235.007849665093</v>
      </c>
      <c r="L199" s="4">
        <v>15.391680713323201</v>
      </c>
      <c r="M199" s="4">
        <v>41.601834720149199</v>
      </c>
      <c r="N199" s="4">
        <v>69.723824002754796</v>
      </c>
      <c r="O199" s="4">
        <v>62.897450642166497</v>
      </c>
      <c r="P199" s="4">
        <v>278655.60756884899</v>
      </c>
      <c r="Q199" s="4">
        <v>259356.04972972901</v>
      </c>
      <c r="R199" s="4">
        <v>776.90877703503497</v>
      </c>
      <c r="S199" s="4">
        <v>0</v>
      </c>
      <c r="T199" s="4">
        <v>0</v>
      </c>
      <c r="U199" s="4">
        <v>0.17138362720615299</v>
      </c>
      <c r="V199" s="4">
        <v>0</v>
      </c>
      <c r="W199" s="4">
        <v>0</v>
      </c>
      <c r="X199" s="4">
        <v>0.72382502529779003</v>
      </c>
      <c r="Y199" s="4">
        <v>0</v>
      </c>
      <c r="Z199" s="5">
        <v>5.1944722691823098E-4</v>
      </c>
      <c r="AA199" s="5">
        <v>1.8301880297421E-3</v>
      </c>
      <c r="AB199" s="10">
        <v>3.7240045258149601E-3</v>
      </c>
      <c r="AC199" s="10">
        <v>1.0398310366319301E-5</v>
      </c>
      <c r="AD199" s="10">
        <v>3.8612498158676303E-2</v>
      </c>
      <c r="AE199" s="4">
        <v>1.5967234271085901E-2</v>
      </c>
      <c r="AF199" s="4">
        <v>0.64059455440211099</v>
      </c>
      <c r="AG199" s="4">
        <v>0.99046490205100302</v>
      </c>
      <c r="AH199" s="4">
        <v>1</v>
      </c>
      <c r="AI199" s="4">
        <v>1</v>
      </c>
      <c r="AJ199" s="4">
        <v>1</v>
      </c>
      <c r="AK199" s="4">
        <v>1</v>
      </c>
      <c r="AL199" s="4">
        <v>1</v>
      </c>
      <c r="AM199" s="4">
        <v>0</v>
      </c>
      <c r="AN199" s="4">
        <v>0</v>
      </c>
      <c r="AO199" s="4" t="s">
        <v>86</v>
      </c>
      <c r="AP199" s="4" t="s">
        <v>87</v>
      </c>
      <c r="AQ199" s="6">
        <v>38384695.359999999</v>
      </c>
      <c r="AR199" s="4">
        <v>148</v>
      </c>
      <c r="AS199" s="15">
        <v>100</v>
      </c>
      <c r="AT199" s="15">
        <v>0</v>
      </c>
      <c r="AU199" s="15">
        <v>100</v>
      </c>
      <c r="AV199" s="15">
        <v>0</v>
      </c>
      <c r="AW199" s="15">
        <v>0</v>
      </c>
      <c r="AX199" s="15">
        <v>0</v>
      </c>
      <c r="AY199">
        <v>4708.8613273130004</v>
      </c>
    </row>
    <row r="200" spans="1:51" x14ac:dyDescent="0.25">
      <c r="A200">
        <v>96</v>
      </c>
      <c r="B200" s="4">
        <v>0.95448209880110102</v>
      </c>
      <c r="C200" s="4">
        <v>38.7084252482124</v>
      </c>
      <c r="D200" s="4">
        <v>42.8240417496825</v>
      </c>
      <c r="E200" s="4">
        <v>3.9973108513252698E-2</v>
      </c>
      <c r="F200" s="5">
        <v>4.55179011988988E-2</v>
      </c>
      <c r="G200" s="5">
        <v>0</v>
      </c>
      <c r="H200" s="4">
        <v>5.8121076221558097</v>
      </c>
      <c r="I200" s="4">
        <v>3.70921266691815</v>
      </c>
      <c r="J200" s="4">
        <v>71.031916846388498</v>
      </c>
      <c r="K200" s="4">
        <v>262.52574219043299</v>
      </c>
      <c r="L200" s="4">
        <v>14.8943474797669</v>
      </c>
      <c r="M200" s="4">
        <v>40.922848403443702</v>
      </c>
      <c r="N200" s="4">
        <v>87.020282368190294</v>
      </c>
      <c r="O200" s="4">
        <v>76.657156357865105</v>
      </c>
      <c r="P200" s="4">
        <v>289794.62937171099</v>
      </c>
      <c r="Q200" s="4">
        <v>268076.97675675602</v>
      </c>
      <c r="R200" s="4">
        <v>778.24345432412201</v>
      </c>
      <c r="S200" s="4">
        <v>0</v>
      </c>
      <c r="T200" s="4">
        <v>0</v>
      </c>
      <c r="U200" s="4">
        <v>9.7292460412646206E-2</v>
      </c>
      <c r="V200" s="4">
        <v>0</v>
      </c>
      <c r="W200" s="4">
        <v>0</v>
      </c>
      <c r="X200" s="4">
        <v>0.42984137067351003</v>
      </c>
      <c r="Y200" s="4">
        <v>0</v>
      </c>
      <c r="Z200" s="5">
        <v>4.7458270805231798E-4</v>
      </c>
      <c r="AA200" s="5">
        <v>1.29186465182003E-3</v>
      </c>
      <c r="AB200" s="10">
        <v>3.6197436228409601E-3</v>
      </c>
      <c r="AC200" s="10">
        <v>1.03135266122745E-4</v>
      </c>
      <c r="AD200" s="10">
        <v>4.0028559988965297E-2</v>
      </c>
      <c r="AE200" s="4">
        <v>6.2955178861447095E-2</v>
      </c>
      <c r="AF200" s="4">
        <v>0.287201218305979</v>
      </c>
      <c r="AG200" s="4">
        <v>0.93441825292427505</v>
      </c>
      <c r="AH200" s="4">
        <v>0.93441825292427505</v>
      </c>
      <c r="AI200" s="4">
        <v>1</v>
      </c>
      <c r="AJ200" s="4">
        <v>1</v>
      </c>
      <c r="AK200" s="4">
        <v>1</v>
      </c>
      <c r="AL200" s="4">
        <v>1</v>
      </c>
      <c r="AM200" s="4">
        <v>0</v>
      </c>
      <c r="AN200" s="4">
        <v>0</v>
      </c>
      <c r="AO200" s="4" t="s">
        <v>154</v>
      </c>
      <c r="AP200" s="4" t="s">
        <v>155</v>
      </c>
      <c r="AQ200" s="6">
        <v>9918848.1400000006</v>
      </c>
      <c r="AR200" s="4">
        <v>37</v>
      </c>
      <c r="AS200" s="15">
        <v>100</v>
      </c>
      <c r="AT200" s="15">
        <v>0</v>
      </c>
      <c r="AU200" s="15">
        <v>100</v>
      </c>
      <c r="AV200" s="15">
        <v>0</v>
      </c>
      <c r="AW200" s="15">
        <v>0</v>
      </c>
      <c r="AX200" s="15">
        <v>0</v>
      </c>
      <c r="AY200">
        <v>4873.1645700073104</v>
      </c>
    </row>
    <row r="201" spans="1:51" x14ac:dyDescent="0.25">
      <c r="B201" s="4"/>
      <c r="C201" s="4"/>
      <c r="D201" s="4"/>
      <c r="E201" s="4"/>
      <c r="F201" s="5"/>
      <c r="G201" s="5"/>
      <c r="H201" s="4"/>
      <c r="I201" s="4"/>
      <c r="J201" s="4"/>
      <c r="K201" s="4"/>
      <c r="L201" s="4"/>
      <c r="M201" s="4"/>
      <c r="N201" s="4"/>
      <c r="O201" s="4"/>
      <c r="P201" s="4"/>
      <c r="Q201" s="4"/>
      <c r="R201" s="4"/>
      <c r="S201" s="4"/>
      <c r="T201" s="4"/>
      <c r="U201" s="4"/>
      <c r="V201" s="4"/>
      <c r="W201" s="4"/>
      <c r="X201" s="4"/>
      <c r="Y201" s="4"/>
      <c r="Z201" s="5"/>
      <c r="AA201" s="5"/>
      <c r="AB201" s="10"/>
      <c r="AC201" s="10"/>
      <c r="AD201" s="10"/>
      <c r="AE201" s="4"/>
      <c r="AF201" s="4"/>
      <c r="AG201" s="4"/>
      <c r="AH201" s="4"/>
      <c r="AI201" s="4"/>
      <c r="AJ201" s="4"/>
      <c r="AK201" s="4"/>
      <c r="AL201" s="4"/>
      <c r="AM201" s="4"/>
      <c r="AN201" s="4"/>
      <c r="AO201" s="4"/>
      <c r="AP201" s="4"/>
      <c r="AQ201" s="6"/>
      <c r="AR201" s="4"/>
      <c r="AS201" s="15"/>
      <c r="AT201" s="15"/>
      <c r="AU201" s="15"/>
      <c r="AV201" s="15"/>
      <c r="AW201" s="15"/>
      <c r="AX201" s="15"/>
    </row>
    <row r="202" spans="1:51" s="17" customFormat="1" x14ac:dyDescent="0.25">
      <c r="A202" s="15"/>
      <c r="B202" s="20"/>
      <c r="C202" s="21"/>
      <c r="D202" s="16"/>
      <c r="E202" s="16"/>
      <c r="F202" s="20"/>
      <c r="G202" s="21"/>
      <c r="H202" s="21"/>
      <c r="K202" s="15"/>
      <c r="L202" s="15"/>
      <c r="M202" s="23"/>
      <c r="N202" s="16"/>
      <c r="O202" s="21"/>
      <c r="P202" s="22"/>
      <c r="X202" s="18"/>
      <c r="Y202" s="16"/>
      <c r="Z202" s="16"/>
      <c r="AC202" s="18"/>
      <c r="AD202" s="16"/>
      <c r="AE202" s="16"/>
    </row>
    <row r="203" spans="1:51" x14ac:dyDescent="0.25">
      <c r="L203" s="4" t="s">
        <v>160</v>
      </c>
      <c r="M203" s="35" t="s">
        <v>159</v>
      </c>
      <c r="O203" s="4"/>
      <c r="P203" s="30"/>
    </row>
    <row r="204" spans="1:51" s="35" customFormat="1" x14ac:dyDescent="0.25">
      <c r="L204" t="s">
        <v>153</v>
      </c>
      <c r="M204" s="4">
        <v>1.05</v>
      </c>
      <c r="O204" s="35" t="s">
        <v>169</v>
      </c>
      <c r="P204" s="35" t="s">
        <v>170</v>
      </c>
    </row>
    <row r="205" spans="1:51" s="35" customFormat="1" x14ac:dyDescent="0.25">
      <c r="L205" s="35" t="s">
        <v>184</v>
      </c>
      <c r="M205" s="39">
        <v>1</v>
      </c>
      <c r="O205" s="39">
        <v>1</v>
      </c>
      <c r="P205" s="35">
        <f>1-O205</f>
        <v>0</v>
      </c>
    </row>
    <row r="206" spans="1:51" s="35" customFormat="1" x14ac:dyDescent="0.25">
      <c r="M206" s="39"/>
    </row>
    <row r="207" spans="1:51" x14ac:dyDescent="0.25">
      <c r="K207" t="s">
        <v>98</v>
      </c>
      <c r="L207" t="s">
        <v>89</v>
      </c>
      <c r="M207" t="s">
        <v>90</v>
      </c>
    </row>
    <row r="208" spans="1:51" x14ac:dyDescent="0.25">
      <c r="A208" s="4" t="s">
        <v>93</v>
      </c>
      <c r="B208" t="str">
        <f>AQ183</f>
        <v>Balance</v>
      </c>
      <c r="C208" s="2" t="str">
        <f t="shared" ref="C208:C214" si="31">AO183</f>
        <v>groupByColumn</v>
      </c>
      <c r="D208" t="str">
        <f>E183</f>
        <v>PREPAY_SMM1</v>
      </c>
      <c r="E208" t="str">
        <f>F183</f>
        <v>PREPAY_TRACKING_SMM1</v>
      </c>
      <c r="G208" t="str">
        <f>C183</f>
        <v>PREPAY_CPR1</v>
      </c>
      <c r="H208" t="str">
        <f>D183</f>
        <v>PREPAY_TRACKING_CPR1</v>
      </c>
      <c r="I208" t="s">
        <v>168</v>
      </c>
      <c r="K208" t="s">
        <v>92</v>
      </c>
      <c r="L208" t="s">
        <v>92</v>
      </c>
      <c r="M208" t="s">
        <v>92</v>
      </c>
      <c r="O208" t="s">
        <v>163</v>
      </c>
      <c r="P208" t="s">
        <v>164</v>
      </c>
      <c r="Q208" t="s">
        <v>165</v>
      </c>
      <c r="S208" t="s">
        <v>96</v>
      </c>
      <c r="T208" t="s">
        <v>97</v>
      </c>
      <c r="U208" t="s">
        <v>185</v>
      </c>
      <c r="V208" t="s">
        <v>91</v>
      </c>
    </row>
    <row r="209" spans="1:36" s="35" customFormat="1" x14ac:dyDescent="0.25">
      <c r="A209" s="14">
        <f t="shared" ref="A209:A214" si="32">K184</f>
        <v>145.43</v>
      </c>
      <c r="B209" s="32">
        <f t="shared" ref="B209:B214" si="33">AQ184/1000000000</f>
        <v>6.1875879999999993E-5</v>
      </c>
      <c r="C209" s="33" t="str">
        <f t="shared" si="31"/>
        <v>14:125-150</v>
      </c>
      <c r="D209" s="34">
        <f t="shared" ref="D209:D214" si="34">E184</f>
        <v>1.7085009538450199E-2</v>
      </c>
      <c r="E209" s="34">
        <f t="shared" ref="E209:E214" si="35">Z184+AA184+AB184+AC184+AD184</f>
        <v>1.7585070000000001E-2</v>
      </c>
      <c r="F209" s="32"/>
      <c r="G209" s="33">
        <f t="shared" ref="G209:G214" si="36">(1-(1-D209)^12)*100</f>
        <v>18.681098624602356</v>
      </c>
      <c r="H209" s="33">
        <f t="shared" ref="H209:H214" si="37">(1-(1-E209)^12)*100</f>
        <v>19.176166164870246</v>
      </c>
      <c r="I209" s="33">
        <f t="shared" ref="I209:I214" si="38">(1-(1-SUM(Z195,AA195,AB195,AC195,AD195*M209))^12)*100</f>
        <v>21.573632159960564</v>
      </c>
      <c r="K209" s="14">
        <f>VLOOKUP($C209,'Refi Adj'!$B$2:$E$39,2,0)</f>
        <v>1</v>
      </c>
      <c r="L209" s="14">
        <f>VLOOKUP($C209,'Refi Adj'!$B$2:$E$39,3,0)</f>
        <v>1</v>
      </c>
      <c r="M209" s="14">
        <f>VLOOKUP($C209,'Refi Adj'!$B$2:$E$39,4,0)</f>
        <v>0.92</v>
      </c>
      <c r="O209" s="40">
        <f t="shared" ref="O209:O214" si="39">AD195*M209</f>
        <v>4.4516316000000004E-3</v>
      </c>
      <c r="P209" s="40">
        <f t="shared" ref="P209:P214" si="40">AD184</f>
        <v>1.9895400000000001E-3</v>
      </c>
      <c r="Q209" s="40">
        <f t="shared" ref="Q209:Q214" si="41">(O209*$O$79+P209*$P$79)</f>
        <v>4.4516316000000004E-3</v>
      </c>
      <c r="R209" s="14"/>
      <c r="S209" s="34">
        <f>Z184+AA184+AB184*K209+AC184*L209+Q210*$M$154</f>
        <v>3.9566702400000001E-2</v>
      </c>
      <c r="T209" s="33">
        <f t="shared" ref="T209:T214" si="42">100*(1-(1-S209)^12)</f>
        <v>38.396342128783211</v>
      </c>
      <c r="U209" s="33">
        <f>100*(1-(1-S209*$M$205)^12)</f>
        <v>38.396342128783211</v>
      </c>
      <c r="V209" s="36">
        <f t="shared" ref="V209:V214" si="43">D209/S209</f>
        <v>0.43180271546840354</v>
      </c>
      <c r="X209" s="37"/>
      <c r="Y209" s="34"/>
      <c r="Z209" s="34"/>
      <c r="AD209" s="34"/>
      <c r="AE209" s="34"/>
      <c r="AJ209" s="34"/>
    </row>
    <row r="210" spans="1:36" s="35" customFormat="1" x14ac:dyDescent="0.25">
      <c r="A210" s="14">
        <f t="shared" si="32"/>
        <v>169.9</v>
      </c>
      <c r="B210" s="32">
        <f t="shared" si="33"/>
        <v>1.5729645000000001E-4</v>
      </c>
      <c r="C210" s="33" t="str">
        <f t="shared" si="31"/>
        <v>15:150-175</v>
      </c>
      <c r="D210" s="34">
        <f t="shared" si="34"/>
        <v>6.3934691469515002E-3</v>
      </c>
      <c r="E210" s="34">
        <f t="shared" si="35"/>
        <v>1.9805730000000001E-2</v>
      </c>
      <c r="F210" s="32"/>
      <c r="G210" s="33">
        <f t="shared" si="36"/>
        <v>7.408046083107056</v>
      </c>
      <c r="H210" s="33">
        <f t="shared" si="37"/>
        <v>21.341454272307914</v>
      </c>
      <c r="I210" s="33">
        <f t="shared" si="38"/>
        <v>30.579831221056775</v>
      </c>
      <c r="K210" s="14">
        <f>VLOOKUP($C210,'Refi Adj'!$B$2:$E$39,2,0)</f>
        <v>1</v>
      </c>
      <c r="L210" s="14">
        <f>VLOOKUP($C210,'Refi Adj'!$B$2:$E$39,3,0)</f>
        <v>1</v>
      </c>
      <c r="M210" s="14">
        <f>VLOOKUP($C210,'Refi Adj'!$B$2:$E$39,4,0)</f>
        <v>0.9</v>
      </c>
      <c r="O210" s="40">
        <f t="shared" si="39"/>
        <v>2.2829688000000001E-2</v>
      </c>
      <c r="P210" s="40">
        <f t="shared" si="40"/>
        <v>1.2677269999999999E-2</v>
      </c>
      <c r="Q210" s="40">
        <f t="shared" si="41"/>
        <v>2.2829688000000001E-2</v>
      </c>
      <c r="R210" s="14"/>
      <c r="S210" s="34">
        <f>Z185+AA185+AB185*K210+AC185*L210+Q211*$M$154</f>
        <v>4.340054630502381E-2</v>
      </c>
      <c r="T210" s="33">
        <f t="shared" si="42"/>
        <v>41.283313137639929</v>
      </c>
      <c r="U210" s="33">
        <f t="shared" ref="U210:U214" si="44">100*(1-(1-S210*$M$205)^12)</f>
        <v>41.283313137639929</v>
      </c>
      <c r="V210" s="36">
        <f t="shared" si="43"/>
        <v>0.14731310297380812</v>
      </c>
      <c r="X210" s="37"/>
      <c r="Y210" s="34"/>
      <c r="Z210" s="34"/>
      <c r="AC210" s="37"/>
      <c r="AD210" s="34"/>
      <c r="AE210" s="34"/>
      <c r="AJ210" s="34"/>
    </row>
    <row r="211" spans="1:36" s="35" customFormat="1" x14ac:dyDescent="0.25">
      <c r="A211" s="14">
        <f t="shared" si="32"/>
        <v>189.94437416189001</v>
      </c>
      <c r="B211" s="32">
        <f t="shared" si="33"/>
        <v>3.8625588820000001E-2</v>
      </c>
      <c r="C211" s="33" t="str">
        <f t="shared" si="31"/>
        <v>16:175-200</v>
      </c>
      <c r="D211" s="34">
        <f t="shared" si="34"/>
        <v>3.97496759093241E-2</v>
      </c>
      <c r="E211" s="34">
        <f t="shared" si="35"/>
        <v>2.953001628259053E-2</v>
      </c>
      <c r="F211" s="32"/>
      <c r="G211" s="33">
        <f t="shared" si="36"/>
        <v>38.537029056871418</v>
      </c>
      <c r="H211" s="33">
        <f t="shared" si="37"/>
        <v>30.211271101663904</v>
      </c>
      <c r="I211" s="33">
        <f t="shared" si="38"/>
        <v>38.97846243025834</v>
      </c>
      <c r="K211" s="14">
        <f>VLOOKUP($C211,'Refi Adj'!$B$2:$E$39,2,0)</f>
        <v>1</v>
      </c>
      <c r="L211" s="14">
        <f>VLOOKUP($C211,'Refi Adj'!$B$2:$E$39,3,0)</f>
        <v>1</v>
      </c>
      <c r="M211" s="14">
        <f>VLOOKUP($C211,'Refi Adj'!$B$2:$E$39,4,0)</f>
        <v>0.9</v>
      </c>
      <c r="O211" s="40">
        <f t="shared" si="39"/>
        <v>3.4544844100022669E-2</v>
      </c>
      <c r="P211" s="40">
        <f t="shared" si="40"/>
        <v>2.37485658493925E-2</v>
      </c>
      <c r="Q211" s="40">
        <f t="shared" si="41"/>
        <v>3.4544844100022669E-2</v>
      </c>
      <c r="R211" s="14"/>
      <c r="S211" s="34">
        <f>Z186+AA186+AB186*K211+AC186*L211+Q212*$M$154</f>
        <v>4.2125509979356733E-2</v>
      </c>
      <c r="T211" s="33">
        <f t="shared" si="42"/>
        <v>40.337247121656304</v>
      </c>
      <c r="U211" s="33">
        <f t="shared" si="44"/>
        <v>40.337247121656304</v>
      </c>
      <c r="V211" s="36">
        <f t="shared" si="43"/>
        <v>0.94360106094390572</v>
      </c>
      <c r="X211" s="37"/>
      <c r="Y211" s="34"/>
      <c r="Z211" s="34"/>
      <c r="AC211" s="37"/>
      <c r="AD211" s="34"/>
      <c r="AE211" s="34"/>
      <c r="AJ211" s="34"/>
    </row>
    <row r="212" spans="1:36" s="35" customFormat="1" x14ac:dyDescent="0.25">
      <c r="A212" s="14">
        <f t="shared" si="32"/>
        <v>212.649738760883</v>
      </c>
      <c r="B212" s="32">
        <f t="shared" si="33"/>
        <v>9.3294202790000003E-2</v>
      </c>
      <c r="C212" s="33" t="str">
        <f t="shared" si="31"/>
        <v>17:200-225</v>
      </c>
      <c r="D212" s="34">
        <f t="shared" si="34"/>
        <v>5.0209545968611997E-2</v>
      </c>
      <c r="E212" s="34">
        <f t="shared" si="35"/>
        <v>3.0200632549634884E-2</v>
      </c>
      <c r="F212" s="32"/>
      <c r="G212" s="33">
        <f t="shared" si="36"/>
        <v>46.106845565156632</v>
      </c>
      <c r="H212" s="33">
        <f t="shared" si="37"/>
        <v>30.787783415214033</v>
      </c>
      <c r="I212" s="33">
        <f t="shared" si="38"/>
        <v>38.963810376743034</v>
      </c>
      <c r="K212" s="14">
        <f>VLOOKUP($C212,'Refi Adj'!$B$2:$E$39,2,0)</f>
        <v>1</v>
      </c>
      <c r="L212" s="14">
        <f>VLOOKUP($C212,'Refi Adj'!$B$2:$E$39,3,0)</f>
        <v>1</v>
      </c>
      <c r="M212" s="14">
        <f>VLOOKUP($C212,'Refi Adj'!$B$2:$E$39,4,0)</f>
        <v>0.9</v>
      </c>
      <c r="O212" s="40">
        <f t="shared" si="39"/>
        <v>3.4613390043960662E-2</v>
      </c>
      <c r="P212" s="40">
        <f t="shared" si="40"/>
        <v>2.4506928444136902E-2</v>
      </c>
      <c r="Q212" s="40">
        <f t="shared" si="41"/>
        <v>3.4613390043960662E-2</v>
      </c>
      <c r="R212" s="14"/>
      <c r="S212" s="34">
        <f>Z187+AA187+AB187*K212+AC187*L212+Q213*$M$154</f>
        <v>4.2182514865447093E-2</v>
      </c>
      <c r="T212" s="33">
        <f t="shared" si="42"/>
        <v>40.379840870209307</v>
      </c>
      <c r="U212" s="33">
        <f t="shared" si="44"/>
        <v>40.379840870209307</v>
      </c>
      <c r="V212" s="36">
        <f t="shared" si="43"/>
        <v>1.1902928530641039</v>
      </c>
      <c r="X212" s="37"/>
      <c r="Y212" s="34"/>
      <c r="Z212" s="34"/>
      <c r="AC212" s="37"/>
      <c r="AD212" s="34"/>
      <c r="AE212" s="34"/>
      <c r="AH212" s="37"/>
      <c r="AI212" s="34"/>
      <c r="AJ212" s="34"/>
    </row>
    <row r="213" spans="1:36" x14ac:dyDescent="0.25">
      <c r="A213" s="4">
        <f t="shared" si="32"/>
        <v>235.007849665093</v>
      </c>
      <c r="B213" s="3">
        <f t="shared" si="33"/>
        <v>3.8384695359999998E-2</v>
      </c>
      <c r="C213" s="2" t="str">
        <f t="shared" si="31"/>
        <v>18:225-250</v>
      </c>
      <c r="D213" s="8">
        <f t="shared" si="34"/>
        <v>3.40220153536204E-2</v>
      </c>
      <c r="E213" s="8">
        <f t="shared" si="35"/>
        <v>2.9867011850110911E-2</v>
      </c>
      <c r="F213" s="3"/>
      <c r="G213" s="2">
        <f t="shared" si="36"/>
        <v>33.990454326658167</v>
      </c>
      <c r="H213" s="2">
        <f t="shared" si="37"/>
        <v>30.50152585184598</v>
      </c>
      <c r="I213" s="33">
        <f t="shared" si="38"/>
        <v>39.365706865730267</v>
      </c>
      <c r="K213" s="14">
        <f>VLOOKUP($C213,'Refi Adj'!$B$2:$E$39,2,0)</f>
        <v>1</v>
      </c>
      <c r="L213" s="14">
        <f>VLOOKUP($C213,'Refi Adj'!$B$2:$E$39,3,0)</f>
        <v>1</v>
      </c>
      <c r="M213" s="14">
        <f>VLOOKUP($C213,'Refi Adj'!$B$2:$E$39,4,0)</f>
        <v>0.9</v>
      </c>
      <c r="O213" s="40">
        <f t="shared" si="39"/>
        <v>3.4751248342808676E-2</v>
      </c>
      <c r="P213" s="40">
        <f t="shared" si="40"/>
        <v>2.3782973757269298E-2</v>
      </c>
      <c r="Q213" s="40">
        <f t="shared" si="41"/>
        <v>3.4751248342808676E-2</v>
      </c>
      <c r="R213" s="14"/>
      <c r="S213" s="34">
        <f>Z188+AA188+AB188*K213+AC188*L213+Q214*$M$154</f>
        <v>4.391102728241382E-2</v>
      </c>
      <c r="T213" s="2">
        <f t="shared" si="42"/>
        <v>41.658215307299038</v>
      </c>
      <c r="U213" s="33">
        <f t="shared" si="44"/>
        <v>41.658215307299038</v>
      </c>
      <c r="V213" s="7">
        <f t="shared" si="43"/>
        <v>0.77479433889824012</v>
      </c>
      <c r="X213" s="9"/>
      <c r="Y213" s="8"/>
      <c r="Z213" s="8"/>
      <c r="AC213" s="9"/>
      <c r="AD213" s="8"/>
      <c r="AE213" s="8"/>
      <c r="AH213" s="9"/>
      <c r="AI213" s="8"/>
      <c r="AJ213" s="8"/>
    </row>
    <row r="214" spans="1:36" x14ac:dyDescent="0.25">
      <c r="A214" s="4">
        <f t="shared" si="32"/>
        <v>262.52574219043299</v>
      </c>
      <c r="B214" s="3">
        <f t="shared" si="33"/>
        <v>9.9188481400000004E-3</v>
      </c>
      <c r="C214" s="2" t="str">
        <f t="shared" si="31"/>
        <v>999:&gt;= 250</v>
      </c>
      <c r="D214" s="8">
        <f t="shared" si="34"/>
        <v>3.9973108513252698E-2</v>
      </c>
      <c r="E214" s="8">
        <f t="shared" si="35"/>
        <v>2.9280961461870453E-2</v>
      </c>
      <c r="F214" s="3"/>
      <c r="G214" s="2">
        <f t="shared" si="36"/>
        <v>38.708425248212343</v>
      </c>
      <c r="H214" s="2">
        <f t="shared" si="37"/>
        <v>29.99604622368809</v>
      </c>
      <c r="I214" s="33">
        <f t="shared" si="38"/>
        <v>39.879347714564553</v>
      </c>
      <c r="K214" s="14">
        <f>VLOOKUP($C214,'Refi Adj'!$B$2:$E$39,2,0)</f>
        <v>1</v>
      </c>
      <c r="L214" s="14">
        <f>VLOOKUP($C214,'Refi Adj'!$B$2:$E$39,3,0)</f>
        <v>1</v>
      </c>
      <c r="M214" s="14">
        <f>VLOOKUP($C214,'Refi Adj'!$B$2:$E$39,4,0)</f>
        <v>0.9</v>
      </c>
      <c r="O214" s="40">
        <f t="shared" si="39"/>
        <v>3.6025703990068769E-2</v>
      </c>
      <c r="P214" s="40">
        <f t="shared" si="40"/>
        <v>2.3791635213034401E-2</v>
      </c>
      <c r="Q214" s="40">
        <f t="shared" si="41"/>
        <v>3.6025703990068769E-2</v>
      </c>
      <c r="R214" s="14"/>
      <c r="S214" s="34">
        <f>Z189+AA189+AB189*K214+AC189*L214+Q214*$M$154</f>
        <v>4.3316315438408262E-2</v>
      </c>
      <c r="T214" s="2">
        <f t="shared" si="42"/>
        <v>41.221241348555672</v>
      </c>
      <c r="U214" s="33">
        <f t="shared" si="44"/>
        <v>41.221241348555672</v>
      </c>
      <c r="V214" s="7">
        <f t="shared" si="43"/>
        <v>0.92281876029115883</v>
      </c>
      <c r="X214" s="9"/>
      <c r="Y214" s="8"/>
      <c r="Z214" s="8"/>
      <c r="AC214" s="9"/>
      <c r="AD214" s="8"/>
      <c r="AE214" s="8"/>
      <c r="AH214" s="9"/>
      <c r="AI214" s="8"/>
      <c r="AJ214" s="8"/>
    </row>
    <row r="215" spans="1:36" x14ac:dyDescent="0.25">
      <c r="A215" s="4"/>
      <c r="B215" s="3"/>
      <c r="C215" s="2"/>
      <c r="D215" s="8"/>
      <c r="E215" s="8"/>
      <c r="F215" s="3"/>
      <c r="G215" s="2"/>
      <c r="H215" s="2"/>
      <c r="I215" s="33"/>
      <c r="K215" s="14"/>
      <c r="L215" s="14"/>
      <c r="M215" s="14"/>
      <c r="O215" s="40"/>
      <c r="P215" s="40"/>
      <c r="Q215" s="40"/>
      <c r="R215" s="14"/>
      <c r="S215" s="34"/>
      <c r="T215" s="2"/>
      <c r="U215" s="33"/>
      <c r="V215" s="7"/>
      <c r="X215" s="9"/>
      <c r="Y215" s="8"/>
      <c r="Z215" s="8"/>
      <c r="AC215" s="9"/>
      <c r="AD215" s="8"/>
      <c r="AE215" s="8"/>
      <c r="AH215" s="9"/>
      <c r="AI215" s="8"/>
      <c r="AJ215" s="8"/>
    </row>
    <row r="216" spans="1:36" x14ac:dyDescent="0.25">
      <c r="A216" s="4"/>
      <c r="B216" s="3"/>
      <c r="C216" s="2"/>
      <c r="D216" s="8"/>
      <c r="E216" s="8"/>
      <c r="F216" s="3"/>
      <c r="G216" s="2"/>
      <c r="H216" s="2"/>
      <c r="I216" s="33"/>
      <c r="K216" s="14"/>
      <c r="L216" s="14"/>
      <c r="M216" s="14"/>
      <c r="O216" s="40"/>
      <c r="P216" s="40"/>
      <c r="Q216" s="40"/>
      <c r="R216" s="14"/>
      <c r="S216" s="34"/>
      <c r="T216" s="2"/>
      <c r="U216" s="33"/>
      <c r="V216" s="7"/>
      <c r="X216" s="9"/>
      <c r="Y216" s="8"/>
      <c r="Z216" s="8"/>
      <c r="AC216" s="9"/>
      <c r="AD216" s="8"/>
      <c r="AE216" s="8"/>
      <c r="AH216" s="9"/>
      <c r="AI216" s="8"/>
      <c r="AJ216" s="8"/>
    </row>
    <row r="217" spans="1:36" x14ac:dyDescent="0.25">
      <c r="A217" s="4"/>
      <c r="B217" s="3"/>
      <c r="C217" s="2"/>
      <c r="D217" s="8"/>
      <c r="E217" s="8"/>
      <c r="F217" s="3"/>
      <c r="G217" s="2"/>
      <c r="H217" s="2"/>
      <c r="I217" s="33"/>
      <c r="K217" s="14"/>
      <c r="L217" s="14"/>
      <c r="M217" s="14"/>
      <c r="O217" s="40"/>
      <c r="P217" s="40"/>
      <c r="Q217" s="40"/>
      <c r="R217" s="14"/>
      <c r="S217" s="34"/>
      <c r="T217" s="2"/>
      <c r="U217" s="33"/>
      <c r="V217" s="7"/>
      <c r="X217" s="9"/>
      <c r="Y217" s="8"/>
      <c r="Z217" s="8"/>
      <c r="AC217" s="9"/>
      <c r="AD217" s="8"/>
      <c r="AE217" s="8"/>
      <c r="AH217" s="9"/>
      <c r="AI217" s="8"/>
      <c r="AJ217" s="8"/>
    </row>
    <row r="218" spans="1:36" x14ac:dyDescent="0.25">
      <c r="A218" s="4"/>
      <c r="B218" s="3"/>
      <c r="C218" s="2"/>
      <c r="D218" s="8"/>
      <c r="E218" s="8"/>
      <c r="F218" s="3"/>
      <c r="G218" s="2"/>
      <c r="H218" s="2"/>
      <c r="I218" s="33"/>
      <c r="K218" s="14"/>
      <c r="L218" s="14"/>
      <c r="M218" s="14"/>
      <c r="O218" s="40"/>
      <c r="P218" s="40"/>
      <c r="Q218" s="40"/>
      <c r="R218" s="14"/>
      <c r="S218" s="34"/>
      <c r="T218" s="2"/>
      <c r="U218" s="33"/>
      <c r="V218" s="7"/>
      <c r="X218" s="9"/>
      <c r="Y218" s="8"/>
      <c r="Z218" s="8"/>
      <c r="AC218" s="9"/>
      <c r="AD218" s="8"/>
      <c r="AE218" s="8"/>
      <c r="AH218" s="9"/>
      <c r="AI218" s="8"/>
      <c r="AJ218" s="8"/>
    </row>
    <row r="219" spans="1:36" x14ac:dyDescent="0.25">
      <c r="A219" s="4"/>
      <c r="B219" s="3"/>
      <c r="C219" s="2"/>
      <c r="D219" s="8"/>
      <c r="E219" s="8"/>
      <c r="F219" s="3"/>
      <c r="G219" s="2"/>
      <c r="H219" s="2"/>
      <c r="I219" s="33"/>
      <c r="K219" s="14"/>
      <c r="L219" s="14"/>
      <c r="M219" s="14"/>
      <c r="O219" s="40"/>
      <c r="P219" s="40"/>
      <c r="Q219" s="40"/>
      <c r="R219" s="14"/>
      <c r="S219" s="34"/>
      <c r="T219" s="2"/>
      <c r="U219" s="33"/>
      <c r="V219" s="7"/>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33"/>
      <c r="V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33"/>
      <c r="V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33"/>
      <c r="V222" s="7"/>
      <c r="X222" s="9"/>
      <c r="Y222" s="8"/>
      <c r="Z222" s="8"/>
      <c r="AC222" s="9"/>
      <c r="AD222" s="8"/>
      <c r="AE222" s="8"/>
      <c r="AH222" s="9"/>
      <c r="AI222" s="8"/>
      <c r="AJ222" s="8"/>
    </row>
    <row r="223" spans="1:36" s="24" customFormat="1" x14ac:dyDescent="0.25">
      <c r="A223" s="4"/>
      <c r="B223" s="3"/>
      <c r="C223" s="2"/>
      <c r="D223" s="8"/>
      <c r="E223" s="8"/>
      <c r="F223" s="3"/>
      <c r="G223" s="2"/>
      <c r="H223" s="2"/>
      <c r="I223" s="33"/>
      <c r="J223"/>
      <c r="K223" s="14"/>
      <c r="L223" s="14"/>
      <c r="M223" s="14"/>
      <c r="O223" s="40"/>
      <c r="P223" s="40"/>
      <c r="Q223" s="40"/>
      <c r="R223" s="14"/>
      <c r="S223" s="34"/>
      <c r="T223" s="2"/>
      <c r="U223" s="33"/>
      <c r="V223" s="7"/>
      <c r="W223"/>
      <c r="X223" s="9"/>
      <c r="Y223" s="8"/>
      <c r="Z223" s="8"/>
      <c r="AA223"/>
      <c r="AB223"/>
      <c r="AC223" s="9"/>
      <c r="AD223" s="8"/>
      <c r="AE223" s="8"/>
      <c r="AF223"/>
      <c r="AG223"/>
      <c r="AH223" s="9"/>
      <c r="AI223" s="8"/>
      <c r="AJ223" s="8"/>
    </row>
    <row r="224" spans="1:36" s="24" customFormat="1" x14ac:dyDescent="0.25">
      <c r="A224" s="4"/>
      <c r="B224" s="3"/>
      <c r="C224" s="2"/>
      <c r="D224" s="8"/>
      <c r="E224" s="8"/>
      <c r="F224" s="3"/>
      <c r="G224" s="2"/>
      <c r="H224" s="2"/>
      <c r="I224" s="33"/>
      <c r="J224"/>
      <c r="K224" s="14"/>
      <c r="L224" s="14"/>
      <c r="M224" s="14"/>
      <c r="O224" s="40"/>
      <c r="P224" s="40"/>
      <c r="Q224" s="40"/>
      <c r="R224" s="14"/>
      <c r="S224" s="34"/>
      <c r="T224" s="2"/>
      <c r="U224" s="33"/>
      <c r="V224" s="7"/>
      <c r="W224"/>
      <c r="X224" s="9"/>
      <c r="Y224" s="8"/>
      <c r="Z224" s="8"/>
      <c r="AA224"/>
      <c r="AB224"/>
      <c r="AC224" s="9"/>
      <c r="AD224" s="8"/>
      <c r="AE224" s="8"/>
      <c r="AF224"/>
      <c r="AG224"/>
      <c r="AH224" s="9"/>
      <c r="AI224" s="8"/>
      <c r="AJ224" s="8"/>
    </row>
    <row r="225" spans="1:50" s="24" customFormat="1" x14ac:dyDescent="0.25">
      <c r="A225" s="4"/>
      <c r="B225" s="3"/>
      <c r="C225" s="2"/>
      <c r="D225" s="8"/>
      <c r="E225" s="8"/>
      <c r="F225" s="3"/>
      <c r="G225" s="2"/>
      <c r="H225" s="2"/>
      <c r="I225" s="33"/>
      <c r="J225"/>
      <c r="K225" s="14"/>
      <c r="L225" s="14"/>
      <c r="M225" s="14"/>
      <c r="O225" s="40"/>
      <c r="P225" s="40"/>
      <c r="Q225" s="40"/>
      <c r="R225" s="14"/>
      <c r="S225" s="34"/>
      <c r="T225" s="2"/>
      <c r="U225" s="33"/>
      <c r="V225" s="7"/>
      <c r="W225"/>
      <c r="X225" s="9"/>
      <c r="Y225" s="8"/>
      <c r="Z225" s="8"/>
      <c r="AA225"/>
      <c r="AB225"/>
      <c r="AC225" s="9"/>
      <c r="AD225" s="8"/>
      <c r="AE225" s="8"/>
      <c r="AF225"/>
      <c r="AG225"/>
      <c r="AH225" s="9"/>
      <c r="AI225" s="8"/>
      <c r="AJ225" s="8"/>
    </row>
    <row r="226" spans="1:50" s="24" customFormat="1" x14ac:dyDescent="0.25">
      <c r="A226" s="4"/>
      <c r="B226" s="3"/>
      <c r="C226" s="2"/>
      <c r="D226" s="8"/>
      <c r="E226" s="8"/>
      <c r="F226" s="3"/>
      <c r="G226" s="2"/>
      <c r="H226" s="2"/>
      <c r="I226" s="33"/>
      <c r="J226"/>
      <c r="K226" s="14"/>
      <c r="L226" s="14"/>
      <c r="M226" s="14"/>
      <c r="O226" s="40"/>
      <c r="P226" s="40"/>
      <c r="Q226" s="40"/>
      <c r="R226" s="14"/>
      <c r="S226" s="34"/>
      <c r="T226" s="2"/>
      <c r="U226" s="33"/>
      <c r="V226" s="7"/>
      <c r="W226"/>
      <c r="X226" s="9"/>
      <c r="Y226" s="8"/>
      <c r="Z226" s="8"/>
      <c r="AA226"/>
      <c r="AB226"/>
      <c r="AC226" s="9"/>
      <c r="AD226" s="8"/>
      <c r="AE226" s="8"/>
      <c r="AF226"/>
      <c r="AG226"/>
      <c r="AH226" s="9"/>
      <c r="AI226" s="8"/>
      <c r="AJ226" s="8"/>
    </row>
    <row r="227" spans="1:50" x14ac:dyDescent="0.25">
      <c r="A227" s="4"/>
      <c r="B227" s="3"/>
      <c r="C227" s="2"/>
      <c r="D227" s="8"/>
      <c r="E227" s="8"/>
      <c r="F227" s="3"/>
      <c r="G227" s="2"/>
      <c r="H227" s="2"/>
      <c r="I227" s="33"/>
      <c r="K227" s="14"/>
      <c r="L227" s="14"/>
      <c r="M227" s="14"/>
      <c r="O227" s="40"/>
      <c r="P227" s="40"/>
      <c r="Q227" s="40"/>
      <c r="R227" s="14"/>
      <c r="S227" s="34"/>
      <c r="T227" s="2"/>
      <c r="U227" s="33"/>
      <c r="V227" s="7"/>
      <c r="X227" s="9"/>
      <c r="Y227" s="8"/>
      <c r="Z227" s="8"/>
      <c r="AC227" s="9"/>
      <c r="AD227" s="8"/>
      <c r="AE227" s="8"/>
      <c r="AH227" s="9"/>
      <c r="AI227" s="8"/>
      <c r="AJ227" s="8"/>
    </row>
    <row r="228" spans="1:50" x14ac:dyDescent="0.25">
      <c r="A228" s="4"/>
      <c r="B228" s="3"/>
      <c r="C228" s="2"/>
      <c r="D228" s="8"/>
      <c r="E228" s="8"/>
      <c r="F228" s="3"/>
      <c r="G228" s="2"/>
      <c r="H228" s="2"/>
      <c r="I228" s="33"/>
      <c r="K228" s="14"/>
      <c r="L228" s="14"/>
      <c r="M228" s="14"/>
      <c r="O228" s="40"/>
      <c r="P228" s="40"/>
      <c r="Q228" s="40"/>
      <c r="R228" s="14"/>
      <c r="S228" s="34"/>
      <c r="T228" s="2"/>
      <c r="U228" s="33"/>
      <c r="V228" s="7"/>
      <c r="X228" s="9"/>
      <c r="Y228" s="8"/>
      <c r="Z228" s="8"/>
      <c r="AC228" s="9"/>
      <c r="AD228" s="8"/>
      <c r="AE228" s="8"/>
      <c r="AH228" s="9"/>
      <c r="AI228" s="8"/>
      <c r="AJ228" s="8"/>
    </row>
    <row r="229" spans="1:50" x14ac:dyDescent="0.25">
      <c r="A229" s="4"/>
      <c r="B229" s="3"/>
      <c r="C229" s="2"/>
      <c r="D229" s="8"/>
      <c r="E229" s="8"/>
      <c r="F229" s="3"/>
      <c r="G229" s="2"/>
      <c r="H229" s="2"/>
      <c r="I229" s="33"/>
      <c r="K229" s="14"/>
      <c r="L229" s="14"/>
      <c r="M229" s="14"/>
      <c r="O229" s="40"/>
      <c r="P229" s="40"/>
      <c r="Q229" s="40"/>
      <c r="R229" s="14"/>
      <c r="S229" s="34"/>
      <c r="T229" s="2"/>
      <c r="U229" s="33"/>
      <c r="V229" s="7"/>
      <c r="X229" s="9"/>
      <c r="Y229" s="8"/>
      <c r="Z229" s="8"/>
      <c r="AC229" s="9"/>
      <c r="AD229" s="8"/>
      <c r="AE229" s="8"/>
      <c r="AH229" s="9"/>
      <c r="AI229" s="8"/>
      <c r="AJ229" s="8"/>
    </row>
    <row r="230" spans="1:50" x14ac:dyDescent="0.25">
      <c r="A230" s="4"/>
      <c r="B230" s="3"/>
      <c r="C230" s="2"/>
      <c r="D230" s="8"/>
      <c r="E230" s="8"/>
      <c r="F230" s="3"/>
      <c r="G230" s="2"/>
      <c r="H230" s="2"/>
      <c r="I230" s="33"/>
      <c r="K230" s="14"/>
      <c r="L230" s="14"/>
      <c r="M230" s="14"/>
      <c r="O230" s="40"/>
      <c r="P230" s="40"/>
      <c r="Q230" s="40"/>
      <c r="R230" s="14"/>
      <c r="S230" s="34"/>
      <c r="T230" s="2"/>
      <c r="U230" s="33"/>
      <c r="V230" s="7"/>
      <c r="X230" s="9"/>
      <c r="Y230" s="8"/>
      <c r="Z230" s="8"/>
      <c r="AC230" s="9"/>
      <c r="AD230" s="8"/>
      <c r="AE230" s="8"/>
      <c r="AH230" s="9"/>
      <c r="AI230" s="8"/>
      <c r="AJ230" s="8"/>
      <c r="AK230" s="4"/>
      <c r="AL230" s="4"/>
      <c r="AM230" s="4"/>
      <c r="AN230" s="4"/>
      <c r="AO230" s="4"/>
      <c r="AP230" s="4"/>
      <c r="AQ230" s="6"/>
      <c r="AR230" s="4"/>
      <c r="AS230" s="15"/>
      <c r="AT230" s="15"/>
      <c r="AU230" s="15"/>
      <c r="AV230" s="15"/>
      <c r="AW230" s="15"/>
      <c r="AX230" s="15"/>
    </row>
  </sheetData>
  <conditionalFormatting sqref="F87:F113">
    <cfRule type="colorScale" priority="31">
      <colorScale>
        <cfvo type="min"/>
        <cfvo type="num" val="1"/>
        <cfvo type="max"/>
        <color rgb="FFF8696B"/>
        <color theme="0"/>
        <color theme="4"/>
      </colorScale>
    </cfRule>
  </conditionalFormatting>
  <conditionalFormatting sqref="B83:B113">
    <cfRule type="dataBar" priority="32">
      <dataBar>
        <cfvo type="min"/>
        <cfvo type="max"/>
        <color rgb="FF638EC6"/>
      </dataBar>
      <extLst>
        <ext xmlns:x14="http://schemas.microsoft.com/office/spreadsheetml/2009/9/main" uri="{B025F937-C7B1-47D3-B67F-A62EFF666E3E}">
          <x14:id>{70E4FBD2-25A9-46FE-95C4-1FB1093D93E6}</x14:id>
        </ext>
      </extLst>
    </cfRule>
  </conditionalFormatting>
  <conditionalFormatting sqref="F114:F116">
    <cfRule type="colorScale" priority="28">
      <colorScale>
        <cfvo type="min"/>
        <cfvo type="num" val="1"/>
        <cfvo type="max"/>
        <color rgb="FFF8696B"/>
        <color theme="0"/>
        <color theme="4"/>
      </colorScale>
    </cfRule>
  </conditionalFormatting>
  <conditionalFormatting sqref="P114:P116">
    <cfRule type="colorScale" priority="27">
      <colorScale>
        <cfvo type="min"/>
        <cfvo type="num" val="1"/>
        <cfvo type="max"/>
        <color rgb="FFF8696B"/>
        <color theme="0"/>
        <color theme="4"/>
      </colorScale>
    </cfRule>
  </conditionalFormatting>
  <conditionalFormatting sqref="B114:B115">
    <cfRule type="dataBar" priority="29">
      <dataBar>
        <cfvo type="min"/>
        <cfvo type="max"/>
        <color rgb="FF638EC6"/>
      </dataBar>
      <extLst>
        <ext xmlns:x14="http://schemas.microsoft.com/office/spreadsheetml/2009/9/main" uri="{B025F937-C7B1-47D3-B67F-A62EFF666E3E}">
          <x14:id>{DDDAD543-598E-41A8-A639-13FA9BDA5E8F}</x14:id>
        </ext>
      </extLst>
    </cfRule>
  </conditionalFormatting>
  <conditionalFormatting sqref="AQ104">
    <cfRule type="dataBar" priority="26">
      <dataBar>
        <cfvo type="min"/>
        <cfvo type="max"/>
        <color rgb="FF638EC6"/>
      </dataBar>
      <extLst>
        <ext xmlns:x14="http://schemas.microsoft.com/office/spreadsheetml/2009/9/main" uri="{B025F937-C7B1-47D3-B67F-A62EFF666E3E}">
          <x14:id>{5D47B951-9A01-4698-9E30-2A84B4FDCDC0}</x14:id>
        </ext>
      </extLst>
    </cfRule>
  </conditionalFormatting>
  <conditionalFormatting sqref="AQ42:AQ64">
    <cfRule type="dataBar" priority="25">
      <dataBar>
        <cfvo type="min"/>
        <cfvo type="max"/>
        <color rgb="FF638EC6"/>
      </dataBar>
      <extLst>
        <ext xmlns:x14="http://schemas.microsoft.com/office/spreadsheetml/2009/9/main" uri="{B025F937-C7B1-47D3-B67F-A62EFF666E3E}">
          <x14:id>{20DB146B-E689-443F-AE18-94C38FA78F91}</x14:id>
        </ext>
      </extLst>
    </cfRule>
  </conditionalFormatting>
  <conditionalFormatting sqref="AQ65:AQ75">
    <cfRule type="dataBar" priority="24">
      <dataBar>
        <cfvo type="min"/>
        <cfvo type="max"/>
        <color rgb="FF638EC6"/>
      </dataBar>
      <extLst>
        <ext xmlns:x14="http://schemas.microsoft.com/office/spreadsheetml/2009/9/main" uri="{B025F937-C7B1-47D3-B67F-A62EFF666E3E}">
          <x14:id>{8DC0F534-8137-43B4-973B-CA9823782DA6}</x14:id>
        </ext>
      </extLst>
    </cfRule>
  </conditionalFormatting>
  <conditionalFormatting sqref="AQ3:AQ36">
    <cfRule type="dataBar" priority="23">
      <dataBar>
        <cfvo type="min"/>
        <cfvo type="max"/>
        <color rgb="FF638EC6"/>
      </dataBar>
      <extLst>
        <ext xmlns:x14="http://schemas.microsoft.com/office/spreadsheetml/2009/9/main" uri="{B025F937-C7B1-47D3-B67F-A62EFF666E3E}">
          <x14:id>{BB0F8E2B-586D-4502-AD07-38104A04EE5F}</x14:id>
        </ext>
      </extLst>
    </cfRule>
  </conditionalFormatting>
  <conditionalFormatting sqref="F163:F180">
    <cfRule type="colorScale" priority="13">
      <colorScale>
        <cfvo type="min"/>
        <cfvo type="num" val="1"/>
        <cfvo type="max"/>
        <color rgb="FFF8696B"/>
        <color theme="0"/>
        <color theme="4"/>
      </colorScale>
    </cfRule>
  </conditionalFormatting>
  <conditionalFormatting sqref="B159:B180">
    <cfRule type="dataBar" priority="14">
      <dataBar>
        <cfvo type="min"/>
        <cfvo type="max"/>
        <color rgb="FF638EC6"/>
      </dataBar>
      <extLst>
        <ext xmlns:x14="http://schemas.microsoft.com/office/spreadsheetml/2009/9/main" uri="{B025F937-C7B1-47D3-B67F-A62EFF666E3E}">
          <x14:id>{CB529F8F-C171-4170-AAD2-8AC2227C6BF4}</x14:id>
        </ext>
      </extLst>
    </cfRule>
  </conditionalFormatting>
  <conditionalFormatting sqref="AQ180">
    <cfRule type="dataBar" priority="11">
      <dataBar>
        <cfvo type="min"/>
        <cfvo type="max"/>
        <color rgb="FF638EC6"/>
      </dataBar>
      <extLst>
        <ext xmlns:x14="http://schemas.microsoft.com/office/spreadsheetml/2009/9/main" uri="{B025F937-C7B1-47D3-B67F-A62EFF666E3E}">
          <x14:id>{6BE7E8B8-01D6-442E-B003-20144905BA3D}</x14:id>
        </ext>
      </extLst>
    </cfRule>
  </conditionalFormatting>
  <conditionalFormatting sqref="AQ123:AQ134">
    <cfRule type="dataBar" priority="83">
      <dataBar>
        <cfvo type="min"/>
        <cfvo type="max"/>
        <color rgb="FF638EC6"/>
      </dataBar>
      <extLst>
        <ext xmlns:x14="http://schemas.microsoft.com/office/spreadsheetml/2009/9/main" uri="{B025F937-C7B1-47D3-B67F-A62EFF666E3E}">
          <x14:id>{0FF0103C-3C39-4C8F-A4B3-AFB79578A52B}</x14:id>
        </ext>
      </extLst>
    </cfRule>
  </conditionalFormatting>
  <conditionalFormatting sqref="AQ140:AQ150">
    <cfRule type="dataBar" priority="84">
      <dataBar>
        <cfvo type="min"/>
        <cfvo type="max"/>
        <color rgb="FF638EC6"/>
      </dataBar>
      <extLst>
        <ext xmlns:x14="http://schemas.microsoft.com/office/spreadsheetml/2009/9/main" uri="{B025F937-C7B1-47D3-B67F-A62EFF666E3E}">
          <x14:id>{268CC28E-746D-4511-BF98-A5D9430C5516}</x14:id>
        </ext>
      </extLst>
    </cfRule>
  </conditionalFormatting>
  <conditionalFormatting sqref="AQ151">
    <cfRule type="dataBar" priority="85">
      <dataBar>
        <cfvo type="min"/>
        <cfvo type="max"/>
        <color rgb="FF638EC6"/>
      </dataBar>
      <extLst>
        <ext xmlns:x14="http://schemas.microsoft.com/office/spreadsheetml/2009/9/main" uri="{B025F937-C7B1-47D3-B67F-A62EFF666E3E}">
          <x14:id>{30EFFBA4-5AB2-48AC-8B3B-341429664CC2}</x14:id>
        </ext>
      </extLst>
    </cfRule>
  </conditionalFormatting>
  <conditionalFormatting sqref="F213:F230">
    <cfRule type="colorScale" priority="3">
      <colorScale>
        <cfvo type="min"/>
        <cfvo type="num" val="1"/>
        <cfvo type="max"/>
        <color rgb="FFF8696B"/>
        <color theme="0"/>
        <color theme="4"/>
      </colorScale>
    </cfRule>
  </conditionalFormatting>
  <conditionalFormatting sqref="B209:B230">
    <cfRule type="dataBar" priority="4">
      <dataBar>
        <cfvo type="min"/>
        <cfvo type="max"/>
        <color rgb="FF638EC6"/>
      </dataBar>
      <extLst>
        <ext xmlns:x14="http://schemas.microsoft.com/office/spreadsheetml/2009/9/main" uri="{B025F937-C7B1-47D3-B67F-A62EFF666E3E}">
          <x14:id>{087E6481-4765-4124-81F0-449C67FF31A8}</x14:id>
        </ext>
      </extLst>
    </cfRule>
  </conditionalFormatting>
  <conditionalFormatting sqref="AQ230">
    <cfRule type="dataBar" priority="1">
      <dataBar>
        <cfvo type="min"/>
        <cfvo type="max"/>
        <color rgb="FF638EC6"/>
      </dataBar>
      <extLst>
        <ext xmlns:x14="http://schemas.microsoft.com/office/spreadsheetml/2009/9/main" uri="{B025F937-C7B1-47D3-B67F-A62EFF666E3E}">
          <x14:id>{AA844BB7-6FC0-42C2-948D-6884926F3698}</x14:id>
        </ext>
      </extLst>
    </cfRule>
  </conditionalFormatting>
  <conditionalFormatting sqref="AQ201">
    <cfRule type="dataBar" priority="7">
      <dataBar>
        <cfvo type="min"/>
        <cfvo type="max"/>
        <color rgb="FF638EC6"/>
      </dataBar>
      <extLst>
        <ext xmlns:x14="http://schemas.microsoft.com/office/spreadsheetml/2009/9/main" uri="{B025F937-C7B1-47D3-B67F-A62EFF666E3E}">
          <x14:id>{F1943ACB-19D2-4327-8ED4-5C4A9AC56884}</x14:id>
        </ext>
      </extLst>
    </cfRule>
  </conditionalFormatting>
  <conditionalFormatting sqref="AQ184:AQ189">
    <cfRule type="dataBar" priority="86">
      <dataBar>
        <cfvo type="min"/>
        <cfvo type="max"/>
        <color rgb="FF638EC6"/>
      </dataBar>
      <extLst>
        <ext xmlns:x14="http://schemas.microsoft.com/office/spreadsheetml/2009/9/main" uri="{B025F937-C7B1-47D3-B67F-A62EFF666E3E}">
          <x14:id>{EF5CA81F-F987-4CB6-B953-E21E5DF281C4}</x14:id>
        </ext>
      </extLst>
    </cfRule>
  </conditionalFormatting>
  <conditionalFormatting sqref="AQ195:AQ200">
    <cfRule type="dataBar" priority="87">
      <dataBar>
        <cfvo type="min"/>
        <cfvo type="max"/>
        <color rgb="FF638EC6"/>
      </dataBar>
      <extLst>
        <ext xmlns:x14="http://schemas.microsoft.com/office/spreadsheetml/2009/9/main" uri="{B025F937-C7B1-47D3-B67F-A62EFF666E3E}">
          <x14:id>{91D3882C-48D3-43DA-9437-6675C41E9EE6}</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0E4FBD2-25A9-46FE-95C4-1FB1093D93E6}">
            <x14:dataBar minLength="0" maxLength="100" border="1" negativeBarBorderColorSameAsPositive="0">
              <x14:cfvo type="autoMin"/>
              <x14:cfvo type="autoMax"/>
              <x14:borderColor rgb="FF638EC6"/>
              <x14:negativeFillColor rgb="FFFF0000"/>
              <x14:negativeBorderColor rgb="FFFF0000"/>
              <x14:axisColor rgb="FF000000"/>
            </x14:dataBar>
          </x14:cfRule>
          <xm:sqref>B83:B113</xm:sqref>
        </x14:conditionalFormatting>
        <x14:conditionalFormatting xmlns:xm="http://schemas.microsoft.com/office/excel/2006/main">
          <x14:cfRule type="dataBar" id="{DDDAD543-598E-41A8-A639-13FA9BDA5E8F}">
            <x14:dataBar minLength="0" maxLength="100" border="1" negativeBarBorderColorSameAsPositive="0">
              <x14:cfvo type="autoMin"/>
              <x14:cfvo type="autoMax"/>
              <x14:borderColor rgb="FF638EC6"/>
              <x14:negativeFillColor rgb="FFFF0000"/>
              <x14:negativeBorderColor rgb="FFFF0000"/>
              <x14:axisColor rgb="FF000000"/>
            </x14:dataBar>
          </x14:cfRule>
          <xm:sqref>B114:B115</xm:sqref>
        </x14:conditionalFormatting>
        <x14:conditionalFormatting xmlns:xm="http://schemas.microsoft.com/office/excel/2006/main">
          <x14:cfRule type="dataBar" id="{5D47B951-9A01-4698-9E30-2A84B4FDCDC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20DB146B-E689-443F-AE18-94C38FA78F91}">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8DC0F534-8137-43B4-973B-CA9823782DA6}">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BB0F8E2B-586D-4502-AD07-38104A04EE5F}">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CB529F8F-C171-4170-AAD2-8AC2227C6BF4}">
            <x14:dataBar minLength="0" maxLength="100" border="1" negativeBarBorderColorSameAsPositive="0">
              <x14:cfvo type="autoMin"/>
              <x14:cfvo type="autoMax"/>
              <x14:borderColor rgb="FF638EC6"/>
              <x14:negativeFillColor rgb="FFFF0000"/>
              <x14:negativeBorderColor rgb="FFFF0000"/>
              <x14:axisColor rgb="FF000000"/>
            </x14:dataBar>
          </x14:cfRule>
          <xm:sqref>B159:B180</xm:sqref>
        </x14:conditionalFormatting>
        <x14:conditionalFormatting xmlns:xm="http://schemas.microsoft.com/office/excel/2006/main">
          <x14:cfRule type="dataBar" id="{6BE7E8B8-01D6-442E-B003-20144905BA3D}">
            <x14:dataBar minLength="0" maxLength="100" border="1" negativeBarBorderColorSameAsPositive="0">
              <x14:cfvo type="autoMin"/>
              <x14:cfvo type="autoMax"/>
              <x14:borderColor rgb="FF638EC6"/>
              <x14:negativeFillColor rgb="FFFF0000"/>
              <x14:negativeBorderColor rgb="FFFF0000"/>
              <x14:axisColor rgb="FF000000"/>
            </x14:dataBar>
          </x14:cfRule>
          <xm:sqref>AQ180</xm:sqref>
        </x14:conditionalFormatting>
        <x14:conditionalFormatting xmlns:xm="http://schemas.microsoft.com/office/excel/2006/main">
          <x14:cfRule type="dataBar" id="{0FF0103C-3C39-4C8F-A4B3-AFB79578A52B}">
            <x14:dataBar minLength="0" maxLength="100" border="1" negativeBarBorderColorSameAsPositive="0">
              <x14:cfvo type="autoMin"/>
              <x14:cfvo type="autoMax"/>
              <x14:borderColor rgb="FF638EC6"/>
              <x14:negativeFillColor rgb="FFFF0000"/>
              <x14:negativeBorderColor rgb="FFFF0000"/>
              <x14:axisColor rgb="FF000000"/>
            </x14:dataBar>
          </x14:cfRule>
          <xm:sqref>AQ123:AQ134</xm:sqref>
        </x14:conditionalFormatting>
        <x14:conditionalFormatting xmlns:xm="http://schemas.microsoft.com/office/excel/2006/main">
          <x14:cfRule type="dataBar" id="{268CC28E-746D-4511-BF98-A5D9430C5516}">
            <x14:dataBar minLength="0" maxLength="100" border="1" negativeBarBorderColorSameAsPositive="0">
              <x14:cfvo type="autoMin"/>
              <x14:cfvo type="autoMax"/>
              <x14:borderColor rgb="FF638EC6"/>
              <x14:negativeFillColor rgb="FFFF0000"/>
              <x14:negativeBorderColor rgb="FFFF0000"/>
              <x14:axisColor rgb="FF000000"/>
            </x14:dataBar>
          </x14:cfRule>
          <xm:sqref>AQ140:AQ150</xm:sqref>
        </x14:conditionalFormatting>
        <x14:conditionalFormatting xmlns:xm="http://schemas.microsoft.com/office/excel/2006/main">
          <x14:cfRule type="dataBar" id="{30EFFBA4-5AB2-48AC-8B3B-341429664CC2}">
            <x14:dataBar minLength="0" maxLength="100" border="1" negativeBarBorderColorSameAsPositive="0">
              <x14:cfvo type="autoMin"/>
              <x14:cfvo type="autoMax"/>
              <x14:borderColor rgb="FF638EC6"/>
              <x14:negativeFillColor rgb="FFFF0000"/>
              <x14:negativeBorderColor rgb="FFFF0000"/>
              <x14:axisColor rgb="FF000000"/>
            </x14:dataBar>
          </x14:cfRule>
          <xm:sqref>AQ151</xm:sqref>
        </x14:conditionalFormatting>
        <x14:conditionalFormatting xmlns:xm="http://schemas.microsoft.com/office/excel/2006/main">
          <x14:cfRule type="dataBar" id="{087E6481-4765-4124-81F0-449C67FF31A8}">
            <x14:dataBar minLength="0" maxLength="100" border="1" negativeBarBorderColorSameAsPositive="0">
              <x14:cfvo type="autoMin"/>
              <x14:cfvo type="autoMax"/>
              <x14:borderColor rgb="FF638EC6"/>
              <x14:negativeFillColor rgb="FFFF0000"/>
              <x14:negativeBorderColor rgb="FFFF0000"/>
              <x14:axisColor rgb="FF000000"/>
            </x14:dataBar>
          </x14:cfRule>
          <xm:sqref>B209:B230</xm:sqref>
        </x14:conditionalFormatting>
        <x14:conditionalFormatting xmlns:xm="http://schemas.microsoft.com/office/excel/2006/main">
          <x14:cfRule type="dataBar" id="{AA844BB7-6FC0-42C2-948D-6884926F3698}">
            <x14:dataBar minLength="0" maxLength="100" border="1" negativeBarBorderColorSameAsPositive="0">
              <x14:cfvo type="autoMin"/>
              <x14:cfvo type="autoMax"/>
              <x14:borderColor rgb="FF638EC6"/>
              <x14:negativeFillColor rgb="FFFF0000"/>
              <x14:negativeBorderColor rgb="FFFF0000"/>
              <x14:axisColor rgb="FF000000"/>
            </x14:dataBar>
          </x14:cfRule>
          <xm:sqref>AQ230</xm:sqref>
        </x14:conditionalFormatting>
        <x14:conditionalFormatting xmlns:xm="http://schemas.microsoft.com/office/excel/2006/main">
          <x14:cfRule type="dataBar" id="{F1943ACB-19D2-4327-8ED4-5C4A9AC56884}">
            <x14:dataBar minLength="0" maxLength="100" border="1" negativeBarBorderColorSameAsPositive="0">
              <x14:cfvo type="autoMin"/>
              <x14:cfvo type="autoMax"/>
              <x14:borderColor rgb="FF638EC6"/>
              <x14:negativeFillColor rgb="FFFF0000"/>
              <x14:negativeBorderColor rgb="FFFF0000"/>
              <x14:axisColor rgb="FF000000"/>
            </x14:dataBar>
          </x14:cfRule>
          <xm:sqref>AQ201</xm:sqref>
        </x14:conditionalFormatting>
        <x14:conditionalFormatting xmlns:xm="http://schemas.microsoft.com/office/excel/2006/main">
          <x14:cfRule type="dataBar" id="{EF5CA81F-F987-4CB6-B953-E21E5DF281C4}">
            <x14:dataBar minLength="0" maxLength="100" border="1" negativeBarBorderColorSameAsPositive="0">
              <x14:cfvo type="autoMin"/>
              <x14:cfvo type="autoMax"/>
              <x14:borderColor rgb="FF638EC6"/>
              <x14:negativeFillColor rgb="FFFF0000"/>
              <x14:negativeBorderColor rgb="FFFF0000"/>
              <x14:axisColor rgb="FF000000"/>
            </x14:dataBar>
          </x14:cfRule>
          <xm:sqref>AQ184:AQ189</xm:sqref>
        </x14:conditionalFormatting>
        <x14:conditionalFormatting xmlns:xm="http://schemas.microsoft.com/office/excel/2006/main">
          <x14:cfRule type="dataBar" id="{91D3882C-48D3-43DA-9437-6675C41E9EE6}">
            <x14:dataBar minLength="0" maxLength="100" border="1" negativeBarBorderColorSameAsPositive="0">
              <x14:cfvo type="autoMin"/>
              <x14:cfvo type="autoMax"/>
              <x14:borderColor rgb="FF638EC6"/>
              <x14:negativeFillColor rgb="FFFF0000"/>
              <x14:negativeBorderColor rgb="FFFF0000"/>
              <x14:axisColor rgb="FF000000"/>
            </x14:dataBar>
          </x14:cfRule>
          <xm:sqref>AQ195:AQ200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0"/>
  <sheetViews>
    <sheetView tabSelected="1" zoomScale="80" zoomScaleNormal="80" workbookViewId="0">
      <pane xSplit="31860" topLeftCell="AQ1"/>
      <selection activeCell="C182" sqref="C182"/>
      <selection pane="topRight" activeCell="AX3" sqref="AX3"/>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188</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0.99884929</v>
      </c>
      <c r="C3" s="4">
        <v>0</v>
      </c>
      <c r="D3" s="4">
        <v>1.3721461535033199</v>
      </c>
      <c r="E3" s="4">
        <v>0</v>
      </c>
      <c r="F3" s="5">
        <v>1.1507100000000001E-3</v>
      </c>
      <c r="G3" s="5">
        <v>0</v>
      </c>
      <c r="H3" s="4">
        <v>3.25</v>
      </c>
      <c r="I3" s="4">
        <v>3.7846220000000002</v>
      </c>
      <c r="J3" s="4">
        <v>-35.678899999999999</v>
      </c>
      <c r="K3" s="4">
        <v>-158.22</v>
      </c>
      <c r="L3" s="4">
        <v>14.79</v>
      </c>
      <c r="M3" s="4">
        <v>3</v>
      </c>
      <c r="N3" s="4">
        <v>80</v>
      </c>
      <c r="O3" s="4">
        <v>78.61</v>
      </c>
      <c r="P3" s="4">
        <v>269859.03000000003</v>
      </c>
      <c r="Q3" s="4">
        <v>269859.03000000003</v>
      </c>
      <c r="R3" s="4">
        <v>746</v>
      </c>
      <c r="S3" s="4">
        <v>0</v>
      </c>
      <c r="T3" s="4">
        <v>0</v>
      </c>
      <c r="U3" s="4">
        <v>0</v>
      </c>
      <c r="V3" s="4">
        <v>1</v>
      </c>
      <c r="W3" s="4">
        <v>0</v>
      </c>
      <c r="X3" s="4">
        <v>0</v>
      </c>
      <c r="Y3" s="4">
        <v>0</v>
      </c>
      <c r="Z3" s="5">
        <v>1.4259E-4</v>
      </c>
      <c r="AA3" s="5">
        <v>8.8400000000000001E-6</v>
      </c>
      <c r="AB3" s="10">
        <v>9.9927000000000002E-4</v>
      </c>
      <c r="AC3" s="10">
        <v>0</v>
      </c>
      <c r="AD3" s="10">
        <v>0</v>
      </c>
      <c r="AE3" s="4">
        <v>1.26502178898171E-2</v>
      </c>
      <c r="AF3" s="4">
        <v>1</v>
      </c>
      <c r="AG3" s="4">
        <v>1</v>
      </c>
      <c r="AH3" s="4">
        <v>1</v>
      </c>
      <c r="AI3" s="4">
        <v>1</v>
      </c>
      <c r="AJ3" s="4">
        <v>1</v>
      </c>
      <c r="AK3" s="4">
        <v>1</v>
      </c>
      <c r="AL3" s="4">
        <v>1</v>
      </c>
      <c r="AM3" s="4">
        <v>0</v>
      </c>
      <c r="AN3" s="4">
        <v>0</v>
      </c>
      <c r="AO3" s="4" t="s">
        <v>172</v>
      </c>
      <c r="AP3" s="4">
        <f>-175--150</f>
        <v>-25</v>
      </c>
      <c r="AQ3" s="6">
        <v>269859.03000000003</v>
      </c>
      <c r="AR3" s="4">
        <v>1</v>
      </c>
      <c r="AS3" s="15">
        <v>0</v>
      </c>
      <c r="AT3" s="15">
        <v>0</v>
      </c>
      <c r="AU3" s="15">
        <v>0</v>
      </c>
      <c r="AV3" s="15">
        <v>100</v>
      </c>
      <c r="AW3" s="15">
        <v>0</v>
      </c>
      <c r="AX3" s="15">
        <v>100</v>
      </c>
      <c r="AY3" s="31">
        <v>0</v>
      </c>
    </row>
    <row r="4" spans="1:51" x14ac:dyDescent="0.25">
      <c r="A4">
        <v>97</v>
      </c>
      <c r="B4" s="4">
        <v>0.99796208642513395</v>
      </c>
      <c r="C4" s="4">
        <v>1.3607005350335999</v>
      </c>
      <c r="D4" s="4">
        <v>2.4182712334810899</v>
      </c>
      <c r="E4" s="4">
        <v>1.1410509302395601E-3</v>
      </c>
      <c r="F4" s="5">
        <v>2.0379135748653E-3</v>
      </c>
      <c r="G4" s="5">
        <v>0</v>
      </c>
      <c r="H4" s="4">
        <v>3.4361868837170499</v>
      </c>
      <c r="I4" s="4">
        <v>3.6907462299345899</v>
      </c>
      <c r="J4" s="4">
        <v>-25.404333402415801</v>
      </c>
      <c r="K4" s="4">
        <v>-134.57504655499099</v>
      </c>
      <c r="L4" s="4">
        <v>15.080232784588199</v>
      </c>
      <c r="M4" s="4">
        <v>3.2774686091775602</v>
      </c>
      <c r="N4" s="4">
        <v>80</v>
      </c>
      <c r="O4" s="4">
        <v>77.159649001553205</v>
      </c>
      <c r="P4" s="4">
        <v>273466.28340945399</v>
      </c>
      <c r="Q4" s="4">
        <v>264744.97499999998</v>
      </c>
      <c r="R4" s="4">
        <v>766.37193742770705</v>
      </c>
      <c r="S4" s="4">
        <v>0</v>
      </c>
      <c r="T4" s="4">
        <v>0</v>
      </c>
      <c r="U4" s="4">
        <v>0</v>
      </c>
      <c r="V4" s="4">
        <v>1</v>
      </c>
      <c r="W4" s="4">
        <v>0</v>
      </c>
      <c r="X4" s="4">
        <v>0</v>
      </c>
      <c r="Y4" s="4">
        <v>0</v>
      </c>
      <c r="Z4" s="5">
        <v>2.1276077457560799E-4</v>
      </c>
      <c r="AA4" s="5">
        <v>6.0680094557035501E-6</v>
      </c>
      <c r="AB4" s="10">
        <v>1.77654391995797E-3</v>
      </c>
      <c r="AC4" s="10">
        <v>0</v>
      </c>
      <c r="AD4" s="10">
        <v>4.2527634308356499E-5</v>
      </c>
      <c r="AE4" s="4">
        <v>2.9958581768200501E-2</v>
      </c>
      <c r="AF4" s="4">
        <v>1</v>
      </c>
      <c r="AG4" s="4">
        <v>1</v>
      </c>
      <c r="AH4" s="4">
        <v>1</v>
      </c>
      <c r="AI4" s="4">
        <v>1</v>
      </c>
      <c r="AJ4" s="4">
        <v>1</v>
      </c>
      <c r="AK4" s="4">
        <v>1</v>
      </c>
      <c r="AL4" s="4">
        <v>1</v>
      </c>
      <c r="AM4" s="4">
        <v>0</v>
      </c>
      <c r="AN4" s="4">
        <v>0</v>
      </c>
      <c r="AO4" s="4" t="s">
        <v>62</v>
      </c>
      <c r="AP4" s="4">
        <f>-150--125</f>
        <v>-25</v>
      </c>
      <c r="AQ4" s="6">
        <v>1058979.8999999999</v>
      </c>
      <c r="AR4" s="4">
        <v>4</v>
      </c>
      <c r="AS4" s="15">
        <v>0</v>
      </c>
      <c r="AT4" s="15">
        <v>0</v>
      </c>
      <c r="AU4" s="15">
        <v>0</v>
      </c>
      <c r="AV4" s="15">
        <v>100</v>
      </c>
      <c r="AW4" s="15">
        <v>0</v>
      </c>
      <c r="AX4" s="15">
        <v>100</v>
      </c>
      <c r="AY4" s="31">
        <v>0</v>
      </c>
    </row>
    <row r="5" spans="1:51" x14ac:dyDescent="0.25">
      <c r="A5">
        <v>97</v>
      </c>
      <c r="B5" s="4">
        <v>0.99752062806300201</v>
      </c>
      <c r="C5" s="4">
        <v>3.1040952516578901</v>
      </c>
      <c r="D5" s="4">
        <v>2.93500768984299</v>
      </c>
      <c r="E5" s="4">
        <v>2.62429472257309E-3</v>
      </c>
      <c r="F5" s="5">
        <v>2.4793719369974902E-3</v>
      </c>
      <c r="G5" s="5">
        <v>0</v>
      </c>
      <c r="H5" s="4">
        <v>3.74338349596764</v>
      </c>
      <c r="I5" s="4">
        <v>3.9193896141510698</v>
      </c>
      <c r="J5" s="4">
        <v>-33.857361070211802</v>
      </c>
      <c r="K5" s="4">
        <v>-109.95371887641301</v>
      </c>
      <c r="L5" s="4">
        <v>18.357228231025601</v>
      </c>
      <c r="M5" s="4">
        <v>5.8516043614467499</v>
      </c>
      <c r="N5" s="4">
        <v>79.889688461937695</v>
      </c>
      <c r="O5" s="4">
        <v>77.383609775932101</v>
      </c>
      <c r="P5" s="4">
        <v>242136.171867714</v>
      </c>
      <c r="Q5" s="4">
        <v>215230.77129032201</v>
      </c>
      <c r="R5" s="4">
        <v>781.99528001445594</v>
      </c>
      <c r="S5" s="4">
        <v>0</v>
      </c>
      <c r="T5" s="4">
        <v>0</v>
      </c>
      <c r="U5" s="4">
        <v>0</v>
      </c>
      <c r="V5" s="4">
        <v>1</v>
      </c>
      <c r="W5" s="4">
        <v>0</v>
      </c>
      <c r="X5" s="4">
        <v>0.134868640942366</v>
      </c>
      <c r="Y5" s="4">
        <v>0</v>
      </c>
      <c r="Z5" s="5">
        <v>3.1163999758332899E-4</v>
      </c>
      <c r="AA5" s="5">
        <v>9.5462147019147495E-5</v>
      </c>
      <c r="AB5" s="10">
        <v>1.9755544513885099E-3</v>
      </c>
      <c r="AC5" s="10">
        <v>0</v>
      </c>
      <c r="AD5" s="10">
        <v>9.6703990637110401E-5</v>
      </c>
      <c r="AE5" s="4">
        <v>1.4450716919734201E-2</v>
      </c>
      <c r="AF5" s="4">
        <v>0.96669189545119405</v>
      </c>
      <c r="AG5" s="4">
        <v>1</v>
      </c>
      <c r="AH5" s="4">
        <v>1</v>
      </c>
      <c r="AI5" s="4">
        <v>1</v>
      </c>
      <c r="AJ5" s="4">
        <v>1</v>
      </c>
      <c r="AK5" s="4">
        <v>1</v>
      </c>
      <c r="AL5" s="4">
        <v>1</v>
      </c>
      <c r="AM5" s="4">
        <v>0</v>
      </c>
      <c r="AN5" s="4">
        <v>0</v>
      </c>
      <c r="AO5" s="4" t="s">
        <v>63</v>
      </c>
      <c r="AP5" s="4">
        <f>-125--100</f>
        <v>-25</v>
      </c>
      <c r="AQ5" s="6">
        <v>6672153.9100000001</v>
      </c>
      <c r="AR5" s="4">
        <v>31</v>
      </c>
      <c r="AS5" s="15">
        <v>0</v>
      </c>
      <c r="AT5" s="15">
        <v>0</v>
      </c>
      <c r="AU5" s="15">
        <v>0</v>
      </c>
      <c r="AV5" s="15">
        <v>100</v>
      </c>
      <c r="AW5" s="15">
        <v>0</v>
      </c>
      <c r="AX5" s="15">
        <v>100</v>
      </c>
      <c r="AY5" s="31">
        <v>0</v>
      </c>
    </row>
    <row r="6" spans="1:51" x14ac:dyDescent="0.25">
      <c r="A6">
        <v>97</v>
      </c>
      <c r="B6" s="4">
        <v>0.99669042900328098</v>
      </c>
      <c r="C6" s="4">
        <v>2.73538140607763</v>
      </c>
      <c r="D6" s="4">
        <v>3.8999852845056902</v>
      </c>
      <c r="E6" s="4">
        <v>2.3085723930023798E-3</v>
      </c>
      <c r="F6" s="5">
        <v>3.3095709967186498E-3</v>
      </c>
      <c r="G6" s="5">
        <v>0</v>
      </c>
      <c r="H6" s="4">
        <v>3.9460040132939702</v>
      </c>
      <c r="I6" s="4">
        <v>3.8515993614474699</v>
      </c>
      <c r="J6" s="4">
        <v>-14.9374395154749</v>
      </c>
      <c r="K6" s="4">
        <v>-84.467718519781101</v>
      </c>
      <c r="L6" s="4">
        <v>18.153930308802799</v>
      </c>
      <c r="M6" s="4">
        <v>7.6771466606613901</v>
      </c>
      <c r="N6" s="4">
        <v>78.610667717289004</v>
      </c>
      <c r="O6" s="4">
        <v>75.757957862040101</v>
      </c>
      <c r="P6" s="4">
        <v>256213.84663240801</v>
      </c>
      <c r="Q6" s="4">
        <v>213352.78754237201</v>
      </c>
      <c r="R6" s="4">
        <v>779.81346679429305</v>
      </c>
      <c r="S6" s="4">
        <v>0</v>
      </c>
      <c r="T6" s="4">
        <v>0</v>
      </c>
      <c r="U6" s="4">
        <v>0</v>
      </c>
      <c r="V6" s="4">
        <v>1</v>
      </c>
      <c r="W6" s="4">
        <v>0</v>
      </c>
      <c r="X6" s="4">
        <v>0.30271326373573099</v>
      </c>
      <c r="Y6" s="4">
        <v>0</v>
      </c>
      <c r="Z6" s="5">
        <v>4.11303406169881E-4</v>
      </c>
      <c r="AA6" s="5">
        <v>2.5461421142708999E-5</v>
      </c>
      <c r="AB6" s="10">
        <v>2.1879033651087099E-3</v>
      </c>
      <c r="AC6" s="10">
        <v>0</v>
      </c>
      <c r="AD6" s="10">
        <v>6.8488942317417999E-4</v>
      </c>
      <c r="AE6" s="4">
        <v>8.3430451873192594E-3</v>
      </c>
      <c r="AF6" s="4">
        <v>0.93157793814051104</v>
      </c>
      <c r="AG6" s="4">
        <v>1</v>
      </c>
      <c r="AH6" s="4">
        <v>1</v>
      </c>
      <c r="AI6" s="4">
        <v>1</v>
      </c>
      <c r="AJ6" s="4">
        <v>1</v>
      </c>
      <c r="AK6" s="4">
        <v>1</v>
      </c>
      <c r="AL6" s="4">
        <v>1</v>
      </c>
      <c r="AM6" s="4">
        <v>0</v>
      </c>
      <c r="AN6" s="4">
        <v>0</v>
      </c>
      <c r="AO6" s="4" t="s">
        <v>64</v>
      </c>
      <c r="AP6" s="4">
        <f>-100--75</f>
        <v>-25</v>
      </c>
      <c r="AQ6" s="6">
        <v>25175628.93</v>
      </c>
      <c r="AR6" s="4">
        <v>118</v>
      </c>
      <c r="AS6" s="15">
        <v>0</v>
      </c>
      <c r="AT6" s="15">
        <v>0</v>
      </c>
      <c r="AU6" s="15">
        <v>0</v>
      </c>
      <c r="AV6" s="15">
        <v>100</v>
      </c>
      <c r="AW6" s="15">
        <v>0</v>
      </c>
      <c r="AX6" s="15">
        <v>100</v>
      </c>
      <c r="AY6">
        <v>4.0890774775174603E-2</v>
      </c>
    </row>
    <row r="7" spans="1:51" x14ac:dyDescent="0.25">
      <c r="A7">
        <v>97</v>
      </c>
      <c r="B7" s="4">
        <v>0.99799455687779504</v>
      </c>
      <c r="C7" s="4">
        <v>2.5766161876004401</v>
      </c>
      <c r="D7" s="4">
        <v>2.3801644954817598</v>
      </c>
      <c r="E7" s="4">
        <v>2.1729626863243802E-3</v>
      </c>
      <c r="F7" s="5">
        <v>2.0054431222045199E-3</v>
      </c>
      <c r="G7" s="5">
        <v>0</v>
      </c>
      <c r="H7" s="4">
        <v>3.65606061004685</v>
      </c>
      <c r="I7" s="4">
        <v>3.9930969361080999</v>
      </c>
      <c r="J7" s="4">
        <v>-43.721096252905397</v>
      </c>
      <c r="K7" s="4">
        <v>-56.808618320161699</v>
      </c>
      <c r="L7" s="4">
        <v>17.347418090462899</v>
      </c>
      <c r="M7" s="4">
        <v>5.1766206744867604</v>
      </c>
      <c r="N7" s="4">
        <v>78.719759277482197</v>
      </c>
      <c r="O7" s="4">
        <v>76.614271624509797</v>
      </c>
      <c r="P7" s="4">
        <v>257871.86854844401</v>
      </c>
      <c r="Q7" s="4">
        <v>226318.88150579101</v>
      </c>
      <c r="R7" s="4">
        <v>780.29432048859803</v>
      </c>
      <c r="S7" s="4">
        <v>0</v>
      </c>
      <c r="T7" s="4">
        <v>0</v>
      </c>
      <c r="U7" s="4">
        <v>3.6021855311495002E-2</v>
      </c>
      <c r="V7" s="4">
        <v>1</v>
      </c>
      <c r="W7" s="4">
        <v>0</v>
      </c>
      <c r="X7" s="4">
        <v>0.23863433331797901</v>
      </c>
      <c r="Y7" s="4">
        <v>0</v>
      </c>
      <c r="Z7" s="5">
        <v>3.0069801394448301E-4</v>
      </c>
      <c r="AA7" s="5">
        <v>2.5224010733100001E-5</v>
      </c>
      <c r="AB7" s="10">
        <v>1.56386230803447E-3</v>
      </c>
      <c r="AC7" s="10">
        <v>0</v>
      </c>
      <c r="AD7" s="10">
        <v>1.15649126675807E-4</v>
      </c>
      <c r="AE7" s="4">
        <v>8.4470040467323204E-3</v>
      </c>
      <c r="AF7" s="4">
        <v>0.971725342753052</v>
      </c>
      <c r="AG7" s="4">
        <v>1</v>
      </c>
      <c r="AH7" s="4">
        <v>1</v>
      </c>
      <c r="AI7" s="4">
        <v>1</v>
      </c>
      <c r="AJ7" s="4">
        <v>1</v>
      </c>
      <c r="AK7" s="4">
        <v>1</v>
      </c>
      <c r="AL7" s="4">
        <v>1</v>
      </c>
      <c r="AM7" s="4">
        <v>0</v>
      </c>
      <c r="AN7" s="4">
        <v>0</v>
      </c>
      <c r="AO7" s="4" t="s">
        <v>65</v>
      </c>
      <c r="AP7" s="4">
        <f>-75--50</f>
        <v>-25</v>
      </c>
      <c r="AQ7" s="6">
        <v>351699541.86000001</v>
      </c>
      <c r="AR7" s="4">
        <v>1554</v>
      </c>
      <c r="AS7" s="15">
        <v>0</v>
      </c>
      <c r="AT7" s="15">
        <v>0</v>
      </c>
      <c r="AU7" s="15">
        <v>0</v>
      </c>
      <c r="AV7" s="15">
        <v>100</v>
      </c>
      <c r="AW7" s="15">
        <v>0</v>
      </c>
      <c r="AX7" s="15">
        <v>100</v>
      </c>
      <c r="AY7">
        <v>0.122102660899951</v>
      </c>
    </row>
    <row r="8" spans="1:51" x14ac:dyDescent="0.25">
      <c r="A8">
        <v>97</v>
      </c>
      <c r="B8" s="4">
        <v>0.99781590160378297</v>
      </c>
      <c r="C8" s="4">
        <v>3.2945067444212102</v>
      </c>
      <c r="D8" s="4">
        <v>2.58966227969267</v>
      </c>
      <c r="E8" s="4">
        <v>2.7877717563973901E-3</v>
      </c>
      <c r="F8" s="5">
        <v>2.18409839621664E-3</v>
      </c>
      <c r="G8" s="5">
        <v>0</v>
      </c>
      <c r="H8" s="4">
        <v>3.7205977994678499</v>
      </c>
      <c r="I8" s="4">
        <v>3.9654331423204998</v>
      </c>
      <c r="J8" s="4">
        <v>-36.055435118554001</v>
      </c>
      <c r="K8" s="4">
        <v>-33.426627884314101</v>
      </c>
      <c r="L8" s="4">
        <v>15.7711747607076</v>
      </c>
      <c r="M8" s="4">
        <v>5.1959591546027202</v>
      </c>
      <c r="N8" s="4">
        <v>76.162991205720203</v>
      </c>
      <c r="O8" s="4">
        <v>74.253062664003707</v>
      </c>
      <c r="P8" s="4">
        <v>273858.08548573102</v>
      </c>
      <c r="Q8" s="4">
        <v>251896.208265394</v>
      </c>
      <c r="R8" s="4">
        <v>783.04716563938098</v>
      </c>
      <c r="S8" s="4">
        <v>0</v>
      </c>
      <c r="T8" s="4">
        <v>0</v>
      </c>
      <c r="U8" s="4">
        <v>7.3155261791144802E-2</v>
      </c>
      <c r="V8" s="4">
        <v>1</v>
      </c>
      <c r="W8" s="4">
        <v>0</v>
      </c>
      <c r="X8" s="4">
        <v>0.36438936945031197</v>
      </c>
      <c r="Y8" s="4">
        <v>0</v>
      </c>
      <c r="Z8" s="5">
        <v>2.4370324585455699E-4</v>
      </c>
      <c r="AA8" s="5">
        <v>2.5320424291560499E-5</v>
      </c>
      <c r="AB8" s="10">
        <v>1.7121432106226801E-3</v>
      </c>
      <c r="AC8" s="10">
        <v>1.10352228781894E-9</v>
      </c>
      <c r="AD8" s="10">
        <v>2.0291612211230701E-4</v>
      </c>
      <c r="AE8" s="4">
        <v>1.38413296722135E-2</v>
      </c>
      <c r="AF8" s="4">
        <v>0.94455101883642201</v>
      </c>
      <c r="AG8" s="4">
        <v>0.99973268791653902</v>
      </c>
      <c r="AH8" s="4">
        <v>1</v>
      </c>
      <c r="AI8" s="4">
        <v>1</v>
      </c>
      <c r="AJ8" s="4">
        <v>1</v>
      </c>
      <c r="AK8" s="4">
        <v>1</v>
      </c>
      <c r="AL8" s="4">
        <v>1</v>
      </c>
      <c r="AM8" s="4">
        <v>0</v>
      </c>
      <c r="AN8" s="4">
        <v>0</v>
      </c>
      <c r="AO8" s="4" t="s">
        <v>66</v>
      </c>
      <c r="AP8" s="4">
        <f>-50--25</f>
        <v>-25</v>
      </c>
      <c r="AQ8" s="6">
        <v>4381230750.3599997</v>
      </c>
      <c r="AR8" s="4">
        <v>17393</v>
      </c>
      <c r="AS8" s="15">
        <v>0</v>
      </c>
      <c r="AT8" s="15">
        <v>0</v>
      </c>
      <c r="AU8" s="15">
        <v>0</v>
      </c>
      <c r="AV8" s="15">
        <v>100</v>
      </c>
      <c r="AW8" s="15">
        <v>0</v>
      </c>
      <c r="AX8" s="15">
        <v>100</v>
      </c>
      <c r="AY8">
        <v>6.72851951219363E-2</v>
      </c>
    </row>
    <row r="9" spans="1:51" x14ac:dyDescent="0.25">
      <c r="A9">
        <v>97</v>
      </c>
      <c r="B9" s="4">
        <v>0.99752805816142798</v>
      </c>
      <c r="C9" s="4">
        <v>2.86192890222314</v>
      </c>
      <c r="D9" s="4">
        <v>2.9263313941634301</v>
      </c>
      <c r="E9" s="4">
        <v>2.4168086537628402E-3</v>
      </c>
      <c r="F9" s="5">
        <v>2.4719418385710399E-3</v>
      </c>
      <c r="G9" s="5">
        <v>0</v>
      </c>
      <c r="H9" s="4">
        <v>3.7721229817373501</v>
      </c>
      <c r="I9" s="4">
        <v>3.9568340351553402</v>
      </c>
      <c r="J9" s="4">
        <v>-31.7630363988632</v>
      </c>
      <c r="K9" s="4">
        <v>-22.347277204719301</v>
      </c>
      <c r="L9" s="4">
        <v>15.361732593586501</v>
      </c>
      <c r="M9" s="4">
        <v>5.2874797820754003</v>
      </c>
      <c r="N9" s="4">
        <v>73.421975522371497</v>
      </c>
      <c r="O9" s="4">
        <v>71.467919662833395</v>
      </c>
      <c r="P9" s="4">
        <v>279598.036858092</v>
      </c>
      <c r="Q9" s="4">
        <v>259431.830560487</v>
      </c>
      <c r="R9" s="4">
        <v>783.88046629623</v>
      </c>
      <c r="S9" s="4">
        <v>0</v>
      </c>
      <c r="T9" s="4">
        <v>0</v>
      </c>
      <c r="U9" s="4">
        <v>8.3982248702012402E-2</v>
      </c>
      <c r="V9" s="4">
        <v>1</v>
      </c>
      <c r="W9" s="4">
        <v>0</v>
      </c>
      <c r="X9" s="4">
        <v>0.48209047997249899</v>
      </c>
      <c r="Y9" s="4">
        <v>0</v>
      </c>
      <c r="Z9" s="5">
        <v>2.35530510886405E-4</v>
      </c>
      <c r="AA9" s="5">
        <v>2.31325896929488E-5</v>
      </c>
      <c r="AB9" s="10">
        <v>1.83616186688712E-3</v>
      </c>
      <c r="AC9" s="10">
        <v>0</v>
      </c>
      <c r="AD9" s="10">
        <v>3.7710230213047698E-4</v>
      </c>
      <c r="AE9" s="4">
        <v>1.62638738564653E-2</v>
      </c>
      <c r="AF9" s="4">
        <v>0.92167798682302704</v>
      </c>
      <c r="AG9" s="4">
        <v>0.99980749454339701</v>
      </c>
      <c r="AH9" s="4">
        <v>1</v>
      </c>
      <c r="AI9" s="4">
        <v>1</v>
      </c>
      <c r="AJ9" s="4">
        <v>1</v>
      </c>
      <c r="AK9" s="4">
        <v>1</v>
      </c>
      <c r="AL9" s="4">
        <v>1</v>
      </c>
      <c r="AM9" s="4">
        <v>0</v>
      </c>
      <c r="AN9" s="4">
        <v>0</v>
      </c>
      <c r="AO9" s="4" t="s">
        <v>137</v>
      </c>
      <c r="AP9" s="4">
        <f>-25--20</f>
        <v>-5</v>
      </c>
      <c r="AQ9" s="6">
        <v>2425428183.9099998</v>
      </c>
      <c r="AR9" s="4">
        <v>9349</v>
      </c>
      <c r="AS9" s="15">
        <v>0</v>
      </c>
      <c r="AT9" s="15">
        <v>0</v>
      </c>
      <c r="AU9" s="15">
        <v>0</v>
      </c>
      <c r="AV9" s="15">
        <v>100</v>
      </c>
      <c r="AW9" s="15">
        <v>0</v>
      </c>
      <c r="AX9" s="15">
        <v>100</v>
      </c>
      <c r="AY9">
        <v>0.108971321306707</v>
      </c>
    </row>
    <row r="10" spans="1:51" x14ac:dyDescent="0.25">
      <c r="A10">
        <v>97</v>
      </c>
      <c r="B10" s="4">
        <v>0.99732479497192195</v>
      </c>
      <c r="C10" s="4">
        <v>3.61522420183866</v>
      </c>
      <c r="D10" s="4">
        <v>3.1634303497360499</v>
      </c>
      <c r="E10" s="4">
        <v>3.06379067223282E-3</v>
      </c>
      <c r="F10" s="5">
        <v>2.6752050280778399E-3</v>
      </c>
      <c r="G10" s="5">
        <v>0</v>
      </c>
      <c r="H10" s="4">
        <v>3.8063413798527401</v>
      </c>
      <c r="I10" s="4">
        <v>3.95468198762708</v>
      </c>
      <c r="J10" s="4">
        <v>-29.556989631390699</v>
      </c>
      <c r="K10" s="4">
        <v>-17.383839824316201</v>
      </c>
      <c r="L10" s="4">
        <v>15.1617357954302</v>
      </c>
      <c r="M10" s="4">
        <v>5.6048290018864497</v>
      </c>
      <c r="N10" s="4">
        <v>72.270805141429406</v>
      </c>
      <c r="O10" s="4">
        <v>70.281025698736499</v>
      </c>
      <c r="P10" s="4">
        <v>283801.29283787799</v>
      </c>
      <c r="Q10" s="4">
        <v>262737.94453040499</v>
      </c>
      <c r="R10" s="4">
        <v>784.11372066360605</v>
      </c>
      <c r="S10" s="4">
        <v>0</v>
      </c>
      <c r="T10" s="4">
        <v>0</v>
      </c>
      <c r="U10" s="4">
        <v>7.6516429055711002E-2</v>
      </c>
      <c r="V10" s="4">
        <v>1</v>
      </c>
      <c r="W10" s="4">
        <v>0</v>
      </c>
      <c r="X10" s="4">
        <v>0.53219479110747203</v>
      </c>
      <c r="Y10" s="4">
        <v>0</v>
      </c>
      <c r="Z10" s="5">
        <v>2.4441356711980697E-4</v>
      </c>
      <c r="AA10" s="5">
        <v>2.8978026048785802E-5</v>
      </c>
      <c r="AB10" s="10">
        <v>1.90571955071833E-3</v>
      </c>
      <c r="AC10" s="10">
        <v>1.1153510714128E-9</v>
      </c>
      <c r="AD10" s="10">
        <v>4.9607833412027599E-4</v>
      </c>
      <c r="AE10" s="4">
        <v>1.672205547247E-2</v>
      </c>
      <c r="AF10" s="4">
        <v>0.90581346431891097</v>
      </c>
      <c r="AG10" s="4">
        <v>0.99958989035835</v>
      </c>
      <c r="AH10" s="4">
        <v>1</v>
      </c>
      <c r="AI10" s="4">
        <v>1</v>
      </c>
      <c r="AJ10" s="4">
        <v>1</v>
      </c>
      <c r="AK10" s="4">
        <v>1</v>
      </c>
      <c r="AL10" s="4">
        <v>1</v>
      </c>
      <c r="AM10" s="4">
        <v>0</v>
      </c>
      <c r="AN10" s="4">
        <v>0</v>
      </c>
      <c r="AO10" s="4" t="s">
        <v>138</v>
      </c>
      <c r="AP10" s="4">
        <f>-20--15</f>
        <v>-5</v>
      </c>
      <c r="AQ10" s="6">
        <v>3158372831.1999998</v>
      </c>
      <c r="AR10" s="4">
        <v>12021</v>
      </c>
      <c r="AS10" s="15">
        <v>0</v>
      </c>
      <c r="AT10" s="15">
        <v>0</v>
      </c>
      <c r="AU10" s="15">
        <v>0</v>
      </c>
      <c r="AV10" s="15">
        <v>100</v>
      </c>
      <c r="AW10" s="15">
        <v>0</v>
      </c>
      <c r="AX10" s="15">
        <v>100</v>
      </c>
      <c r="AY10">
        <v>0.12622302695097901</v>
      </c>
    </row>
    <row r="11" spans="1:51" x14ac:dyDescent="0.25">
      <c r="A11">
        <v>97</v>
      </c>
      <c r="B11" s="4">
        <v>0.99706903484056397</v>
      </c>
      <c r="C11" s="4">
        <v>3.7798664246295899</v>
      </c>
      <c r="D11" s="4">
        <v>3.4610108104526001</v>
      </c>
      <c r="E11" s="4">
        <v>3.2058138274863599E-3</v>
      </c>
      <c r="F11" s="5">
        <v>2.9309651594351701E-3</v>
      </c>
      <c r="G11" s="5">
        <v>0</v>
      </c>
      <c r="H11" s="4">
        <v>3.8378664024767701</v>
      </c>
      <c r="I11" s="4">
        <v>3.9462396523276899</v>
      </c>
      <c r="J11" s="4">
        <v>-27.809347473617901</v>
      </c>
      <c r="K11" s="4">
        <v>-12.387981044926301</v>
      </c>
      <c r="L11" s="4">
        <v>15.169058366368301</v>
      </c>
      <c r="M11" s="4">
        <v>6.1443635228783702</v>
      </c>
      <c r="N11" s="4">
        <v>70.856295572060901</v>
      </c>
      <c r="O11" s="4">
        <v>68.863903301333806</v>
      </c>
      <c r="P11" s="4">
        <v>283425.48809845798</v>
      </c>
      <c r="Q11" s="4">
        <v>262547.36216328299</v>
      </c>
      <c r="R11" s="4">
        <v>784.311660049485</v>
      </c>
      <c r="S11" s="4">
        <v>0</v>
      </c>
      <c r="T11" s="4">
        <v>0</v>
      </c>
      <c r="U11" s="4">
        <v>6.4873103264782503E-2</v>
      </c>
      <c r="V11" s="4">
        <v>1</v>
      </c>
      <c r="W11" s="4">
        <v>0</v>
      </c>
      <c r="X11" s="4">
        <v>0.56004056340763397</v>
      </c>
      <c r="Y11" s="4">
        <v>0</v>
      </c>
      <c r="Z11" s="5">
        <v>2.5632760578078099E-4</v>
      </c>
      <c r="AA11" s="5">
        <v>3.14795934041671E-5</v>
      </c>
      <c r="AB11" s="10">
        <v>2.0180455192467801E-3</v>
      </c>
      <c r="AC11" s="10">
        <v>3.3497294023706301E-9</v>
      </c>
      <c r="AD11" s="10">
        <v>6.2509462245053402E-4</v>
      </c>
      <c r="AE11" s="4">
        <v>1.6820557431441101E-2</v>
      </c>
      <c r="AF11" s="4">
        <v>0.89158599557376905</v>
      </c>
      <c r="AG11" s="4">
        <v>0.99959610716403102</v>
      </c>
      <c r="AH11" s="4">
        <v>0.99994562793483199</v>
      </c>
      <c r="AI11" s="4">
        <v>1</v>
      </c>
      <c r="AJ11" s="4">
        <v>1</v>
      </c>
      <c r="AK11" s="4">
        <v>1</v>
      </c>
      <c r="AL11" s="4">
        <v>1</v>
      </c>
      <c r="AM11" s="4">
        <v>0</v>
      </c>
      <c r="AN11" s="4">
        <v>0</v>
      </c>
      <c r="AO11" s="4" t="s">
        <v>139</v>
      </c>
      <c r="AP11" s="4">
        <f>-15--10</f>
        <v>-5</v>
      </c>
      <c r="AQ11" s="6">
        <v>4177391079.3800001</v>
      </c>
      <c r="AR11" s="4">
        <v>15911</v>
      </c>
      <c r="AS11" s="15">
        <v>0</v>
      </c>
      <c r="AT11" s="15">
        <v>0</v>
      </c>
      <c r="AU11" s="15">
        <v>0</v>
      </c>
      <c r="AV11" s="15">
        <v>100</v>
      </c>
      <c r="AW11" s="15">
        <v>0</v>
      </c>
      <c r="AX11" s="15">
        <v>100</v>
      </c>
      <c r="AY11">
        <v>0.38502493518909697</v>
      </c>
    </row>
    <row r="12" spans="1:51" x14ac:dyDescent="0.25">
      <c r="A12">
        <v>97</v>
      </c>
      <c r="B12" s="4">
        <v>0.99690015269904897</v>
      </c>
      <c r="C12" s="4">
        <v>4.6711998551785703</v>
      </c>
      <c r="D12" s="4">
        <v>3.6570477666437702</v>
      </c>
      <c r="E12" s="4">
        <v>3.9785823770926198E-3</v>
      </c>
      <c r="F12" s="5">
        <v>3.0998473009502098E-3</v>
      </c>
      <c r="G12" s="5">
        <v>0</v>
      </c>
      <c r="H12" s="4">
        <v>3.88302439571209</v>
      </c>
      <c r="I12" s="4">
        <v>3.9426622412789301</v>
      </c>
      <c r="J12" s="4">
        <v>-25.362959630067301</v>
      </c>
      <c r="K12" s="4">
        <v>-7.4396034037135701</v>
      </c>
      <c r="L12" s="4">
        <v>15.08372586432</v>
      </c>
      <c r="M12" s="4">
        <v>6.7324692363237304</v>
      </c>
      <c r="N12" s="4">
        <v>71.331741994608905</v>
      </c>
      <c r="O12" s="4">
        <v>69.385003959182797</v>
      </c>
      <c r="P12" s="4">
        <v>284933.72612900299</v>
      </c>
      <c r="Q12" s="4">
        <v>264253.59974372003</v>
      </c>
      <c r="R12" s="4">
        <v>784.16552025006695</v>
      </c>
      <c r="S12" s="4">
        <v>0</v>
      </c>
      <c r="T12" s="4">
        <v>0</v>
      </c>
      <c r="U12" s="4">
        <v>5.1705595928543603E-2</v>
      </c>
      <c r="V12" s="4">
        <v>1</v>
      </c>
      <c r="W12" s="4">
        <v>0</v>
      </c>
      <c r="X12" s="4">
        <v>0.58630642267155597</v>
      </c>
      <c r="Y12" s="4">
        <v>0</v>
      </c>
      <c r="Z12" s="5">
        <v>2.66173235593669E-4</v>
      </c>
      <c r="AA12" s="5">
        <v>3.4660121329606E-5</v>
      </c>
      <c r="AB12" s="10">
        <v>2.0490519442484798E-3</v>
      </c>
      <c r="AC12" s="10">
        <v>5.10308860992643E-9</v>
      </c>
      <c r="AD12" s="10">
        <v>7.49942466743023E-4</v>
      </c>
      <c r="AE12" s="4">
        <v>1.4351265175094099E-2</v>
      </c>
      <c r="AF12" s="4">
        <v>0.89129022173293004</v>
      </c>
      <c r="AG12" s="4">
        <v>0.999503694170367</v>
      </c>
      <c r="AH12" s="4">
        <v>0.99995309681913003</v>
      </c>
      <c r="AI12" s="4">
        <v>1</v>
      </c>
      <c r="AJ12" s="4">
        <v>1</v>
      </c>
      <c r="AK12" s="4">
        <v>1</v>
      </c>
      <c r="AL12" s="4">
        <v>1</v>
      </c>
      <c r="AM12" s="4">
        <v>0</v>
      </c>
      <c r="AN12" s="4">
        <v>0</v>
      </c>
      <c r="AO12" s="4" t="s">
        <v>140</v>
      </c>
      <c r="AP12" s="4">
        <f>-10--5</f>
        <v>-5</v>
      </c>
      <c r="AQ12" s="6">
        <v>5196811292.5600004</v>
      </c>
      <c r="AR12" s="4">
        <v>19666</v>
      </c>
      <c r="AS12" s="15">
        <v>0</v>
      </c>
      <c r="AT12" s="15">
        <v>0</v>
      </c>
      <c r="AU12" s="15">
        <v>0</v>
      </c>
      <c r="AV12" s="15">
        <v>100</v>
      </c>
      <c r="AW12" s="15">
        <v>0</v>
      </c>
      <c r="AX12" s="15">
        <v>100</v>
      </c>
      <c r="AY12">
        <v>1.3664333008848599</v>
      </c>
    </row>
    <row r="13" spans="1:51" x14ac:dyDescent="0.25">
      <c r="A13">
        <v>97</v>
      </c>
      <c r="B13" s="4">
        <v>0.99659434871600305</v>
      </c>
      <c r="C13" s="4">
        <v>4.8991568739181801</v>
      </c>
      <c r="D13" s="4">
        <v>4.0110940844491001</v>
      </c>
      <c r="E13" s="4">
        <v>4.17728002511369E-3</v>
      </c>
      <c r="F13" s="5">
        <v>3.4056512839967098E-3</v>
      </c>
      <c r="G13" s="5">
        <v>0</v>
      </c>
      <c r="H13" s="4">
        <v>3.9067358343598402</v>
      </c>
      <c r="I13" s="4">
        <v>3.9340560233506801</v>
      </c>
      <c r="J13" s="4">
        <v>-24.456681056358899</v>
      </c>
      <c r="K13" s="4">
        <v>-2.3961540498359502</v>
      </c>
      <c r="L13" s="4">
        <v>14.832843195307399</v>
      </c>
      <c r="M13" s="4">
        <v>7.3381077809919102</v>
      </c>
      <c r="N13" s="4">
        <v>69.897117888759595</v>
      </c>
      <c r="O13" s="4">
        <v>67.905462595223298</v>
      </c>
      <c r="P13" s="4">
        <v>289710.20241139701</v>
      </c>
      <c r="Q13" s="4">
        <v>268382.76342141</v>
      </c>
      <c r="R13" s="4">
        <v>784.11815021185896</v>
      </c>
      <c r="S13" s="4">
        <v>0</v>
      </c>
      <c r="T13" s="4">
        <v>0</v>
      </c>
      <c r="U13" s="4">
        <v>4.6374323662732198E-2</v>
      </c>
      <c r="V13" s="4">
        <v>1</v>
      </c>
      <c r="W13" s="4">
        <v>0</v>
      </c>
      <c r="X13" s="4">
        <v>0.63091403673559299</v>
      </c>
      <c r="Y13" s="4">
        <v>0</v>
      </c>
      <c r="Z13" s="5">
        <v>2.7892680534641302E-4</v>
      </c>
      <c r="AA13" s="5">
        <v>3.66817584058414E-5</v>
      </c>
      <c r="AB13" s="10">
        <v>2.1587619646375898E-3</v>
      </c>
      <c r="AC13" s="10">
        <v>1.2669278707563399E-9</v>
      </c>
      <c r="AD13" s="10">
        <v>9.3126513683735701E-4</v>
      </c>
      <c r="AE13" s="4">
        <v>1.47124953749395E-2</v>
      </c>
      <c r="AF13" s="4">
        <v>0.87200713689336895</v>
      </c>
      <c r="AG13" s="4">
        <v>0.99947063875685804</v>
      </c>
      <c r="AH13" s="4">
        <v>1</v>
      </c>
      <c r="AI13" s="4">
        <v>1</v>
      </c>
      <c r="AJ13" s="4">
        <v>1</v>
      </c>
      <c r="AK13" s="4">
        <v>1</v>
      </c>
      <c r="AL13" s="4">
        <v>1</v>
      </c>
      <c r="AM13" s="4">
        <v>0</v>
      </c>
      <c r="AN13" s="4">
        <v>0</v>
      </c>
      <c r="AO13" s="4" t="s">
        <v>67</v>
      </c>
      <c r="AP13" s="4">
        <f>-25-0</f>
        <v>-25</v>
      </c>
      <c r="AQ13" s="6">
        <v>6510697457.8400002</v>
      </c>
      <c r="AR13" s="4">
        <v>24259</v>
      </c>
      <c r="AS13" s="15">
        <v>0</v>
      </c>
      <c r="AT13" s="15">
        <v>0</v>
      </c>
      <c r="AU13" s="15">
        <v>0</v>
      </c>
      <c r="AV13" s="15">
        <v>100</v>
      </c>
      <c r="AW13" s="15">
        <v>0</v>
      </c>
      <c r="AX13" s="15">
        <v>100</v>
      </c>
      <c r="AY13">
        <v>3.3171129570348699</v>
      </c>
    </row>
    <row r="14" spans="1:51" x14ac:dyDescent="0.25">
      <c r="A14">
        <v>97</v>
      </c>
      <c r="B14" s="4">
        <v>0.99631599726698805</v>
      </c>
      <c r="C14" s="4">
        <v>6.4977392981920801</v>
      </c>
      <c r="D14" s="4">
        <v>4.3323198071636497</v>
      </c>
      <c r="E14" s="4">
        <v>5.5830706872234204E-3</v>
      </c>
      <c r="F14" s="5">
        <v>3.6840027330113699E-3</v>
      </c>
      <c r="G14" s="5">
        <v>0</v>
      </c>
      <c r="H14" s="4">
        <v>3.9499860091183701</v>
      </c>
      <c r="I14" s="4">
        <v>3.92983759598612</v>
      </c>
      <c r="J14" s="4">
        <v>-22.538408163811599</v>
      </c>
      <c r="K14" s="4">
        <v>2.5728035527417998</v>
      </c>
      <c r="L14" s="4">
        <v>14.974520957545</v>
      </c>
      <c r="M14" s="4">
        <v>8.0211933125231099</v>
      </c>
      <c r="N14" s="4">
        <v>69.893726697393703</v>
      </c>
      <c r="O14" s="4">
        <v>67.8096829396912</v>
      </c>
      <c r="P14" s="4">
        <v>287619.68205949501</v>
      </c>
      <c r="Q14" s="4">
        <v>266193.32729584799</v>
      </c>
      <c r="R14" s="4">
        <v>784.372072505348</v>
      </c>
      <c r="S14" s="4">
        <v>0</v>
      </c>
      <c r="T14" s="4">
        <v>0</v>
      </c>
      <c r="U14" s="4">
        <v>4.7530579394218203E-2</v>
      </c>
      <c r="V14" s="4">
        <v>1</v>
      </c>
      <c r="W14" s="4">
        <v>0</v>
      </c>
      <c r="X14" s="4">
        <v>0.65130957212539997</v>
      </c>
      <c r="Y14" s="4">
        <v>0</v>
      </c>
      <c r="Z14" s="5">
        <v>2.8923615077662502E-4</v>
      </c>
      <c r="AA14" s="5">
        <v>3.9261689274367403E-5</v>
      </c>
      <c r="AB14" s="10">
        <v>2.2438790322383399E-3</v>
      </c>
      <c r="AC14" s="10">
        <v>3.0940475523610503E-8</v>
      </c>
      <c r="AD14" s="10">
        <v>1.1115805968820499E-3</v>
      </c>
      <c r="AE14" s="4">
        <v>1.4361773052915E-2</v>
      </c>
      <c r="AF14" s="4">
        <v>0.865389372661856</v>
      </c>
      <c r="AG14" s="4">
        <v>0.99868950506225596</v>
      </c>
      <c r="AH14" s="4">
        <v>0.99985704435743405</v>
      </c>
      <c r="AI14" s="4">
        <v>0.999930884426805</v>
      </c>
      <c r="AJ14" s="4">
        <v>1</v>
      </c>
      <c r="AK14" s="4">
        <v>1</v>
      </c>
      <c r="AL14" s="4">
        <v>1</v>
      </c>
      <c r="AM14" s="4">
        <v>0</v>
      </c>
      <c r="AN14" s="4">
        <v>0</v>
      </c>
      <c r="AO14" s="4" t="s">
        <v>141</v>
      </c>
      <c r="AP14" s="4" t="s">
        <v>127</v>
      </c>
      <c r="AQ14" s="6">
        <v>7598488527.6599998</v>
      </c>
      <c r="AR14" s="4">
        <v>28545</v>
      </c>
      <c r="AS14" s="15">
        <v>0</v>
      </c>
      <c r="AT14" s="15">
        <v>0</v>
      </c>
      <c r="AU14" s="15">
        <v>0</v>
      </c>
      <c r="AV14" s="15">
        <v>100</v>
      </c>
      <c r="AW14" s="15">
        <v>0</v>
      </c>
      <c r="AX14" s="15">
        <v>100</v>
      </c>
      <c r="AY14">
        <v>6.3151631853240202</v>
      </c>
    </row>
    <row r="15" spans="1:51" x14ac:dyDescent="0.25">
      <c r="A15">
        <v>97</v>
      </c>
      <c r="B15" s="4">
        <v>0.99598572431008503</v>
      </c>
      <c r="C15" s="4">
        <v>5.8793882888622804</v>
      </c>
      <c r="D15" s="4">
        <v>4.7121860837157303</v>
      </c>
      <c r="E15" s="4">
        <v>5.0366999810021098E-3</v>
      </c>
      <c r="F15" s="5">
        <v>4.0142756899141999E-3</v>
      </c>
      <c r="G15" s="5">
        <v>0</v>
      </c>
      <c r="H15" s="4">
        <v>3.99290612478972</v>
      </c>
      <c r="I15" s="4">
        <v>3.9264481130853399</v>
      </c>
      <c r="J15" s="4">
        <v>-21.259572907654</v>
      </c>
      <c r="K15" s="4">
        <v>7.5880621822887901</v>
      </c>
      <c r="L15" s="4">
        <v>15.210740404277001</v>
      </c>
      <c r="M15" s="4">
        <v>8.7997779946246002</v>
      </c>
      <c r="N15" s="4">
        <v>69.734201098316504</v>
      </c>
      <c r="O15" s="4">
        <v>67.651070996842904</v>
      </c>
      <c r="P15" s="4">
        <v>282700.15241234901</v>
      </c>
      <c r="Q15" s="4">
        <v>262079.80042624101</v>
      </c>
      <c r="R15" s="4">
        <v>784.42864979373496</v>
      </c>
      <c r="S15" s="4">
        <v>0</v>
      </c>
      <c r="T15" s="4">
        <v>0</v>
      </c>
      <c r="U15" s="4">
        <v>4.7768560179708298E-2</v>
      </c>
      <c r="V15" s="4">
        <v>1</v>
      </c>
      <c r="W15" s="4">
        <v>0</v>
      </c>
      <c r="X15" s="4">
        <v>0.67948623337542702</v>
      </c>
      <c r="Y15" s="4">
        <v>0</v>
      </c>
      <c r="Z15" s="5">
        <v>3.0179907191315398E-4</v>
      </c>
      <c r="AA15" s="5">
        <v>4.2421819360996897E-5</v>
      </c>
      <c r="AB15" s="10">
        <v>2.3344466498225499E-3</v>
      </c>
      <c r="AC15" s="10">
        <v>7.3937725084258899E-8</v>
      </c>
      <c r="AD15" s="10">
        <v>1.33551988902618E-3</v>
      </c>
      <c r="AE15" s="4">
        <v>1.2866085681940399E-2</v>
      </c>
      <c r="AF15" s="4">
        <v>0.86452923326869402</v>
      </c>
      <c r="AG15" s="4">
        <v>0.99737309154144205</v>
      </c>
      <c r="AH15" s="4">
        <v>0.99984274516220895</v>
      </c>
      <c r="AI15" s="4">
        <v>1</v>
      </c>
      <c r="AJ15" s="4">
        <v>1</v>
      </c>
      <c r="AK15" s="4">
        <v>1</v>
      </c>
      <c r="AL15" s="4">
        <v>1</v>
      </c>
      <c r="AM15" s="4">
        <v>0</v>
      </c>
      <c r="AN15" s="4">
        <v>0</v>
      </c>
      <c r="AO15" s="4" t="s">
        <v>142</v>
      </c>
      <c r="AP15" s="4">
        <v>43230</v>
      </c>
      <c r="AQ15" s="6">
        <v>9032318241.8899994</v>
      </c>
      <c r="AR15" s="4">
        <v>34464</v>
      </c>
      <c r="AS15" s="15">
        <v>0</v>
      </c>
      <c r="AT15" s="15">
        <v>0</v>
      </c>
      <c r="AU15" s="15">
        <v>0</v>
      </c>
      <c r="AV15" s="15">
        <v>100</v>
      </c>
      <c r="AW15" s="15">
        <v>0</v>
      </c>
      <c r="AX15" s="15">
        <v>100</v>
      </c>
      <c r="AY15">
        <v>11.6997587268747</v>
      </c>
    </row>
    <row r="16" spans="1:51" x14ac:dyDescent="0.25">
      <c r="A16">
        <v>97</v>
      </c>
      <c r="B16" s="4">
        <v>0.99557056426691004</v>
      </c>
      <c r="C16" s="4">
        <v>8.1845142920413707</v>
      </c>
      <c r="D16" s="4">
        <v>5.1877245254528903</v>
      </c>
      <c r="E16" s="4">
        <v>7.0905106147375104E-3</v>
      </c>
      <c r="F16" s="5">
        <v>4.4294357330895004E-3</v>
      </c>
      <c r="G16" s="5">
        <v>0</v>
      </c>
      <c r="H16" s="4">
        <v>4.0364921597294101</v>
      </c>
      <c r="I16" s="4">
        <v>3.9284678685342298</v>
      </c>
      <c r="J16" s="4">
        <v>-20.2904707799749</v>
      </c>
      <c r="K16" s="4">
        <v>12.5806723556453</v>
      </c>
      <c r="L16" s="4">
        <v>15.2299846292668</v>
      </c>
      <c r="M16" s="4">
        <v>9.5045723336419599</v>
      </c>
      <c r="N16" s="4">
        <v>69.286600745583897</v>
      </c>
      <c r="O16" s="4">
        <v>67.108559142362196</v>
      </c>
      <c r="P16" s="4">
        <v>282317.12283456698</v>
      </c>
      <c r="Q16" s="4">
        <v>261879.334615928</v>
      </c>
      <c r="R16" s="4">
        <v>784.38944966957001</v>
      </c>
      <c r="S16" s="4">
        <v>0</v>
      </c>
      <c r="T16" s="4">
        <v>0</v>
      </c>
      <c r="U16" s="4">
        <v>4.2420775371323001E-2</v>
      </c>
      <c r="V16" s="4">
        <v>1</v>
      </c>
      <c r="W16" s="4">
        <v>0</v>
      </c>
      <c r="X16" s="4">
        <v>0.70105228185784696</v>
      </c>
      <c r="Y16" s="4">
        <v>0</v>
      </c>
      <c r="Z16" s="5">
        <v>3.1011197792591799E-4</v>
      </c>
      <c r="AA16" s="5">
        <v>4.5878247670148303E-5</v>
      </c>
      <c r="AB16" s="10">
        <v>2.43444094929835E-3</v>
      </c>
      <c r="AC16" s="10">
        <v>1.38707702121224E-7</v>
      </c>
      <c r="AD16" s="10">
        <v>1.63885170074363E-3</v>
      </c>
      <c r="AE16" s="4">
        <v>1.3236753319132599E-2</v>
      </c>
      <c r="AF16" s="4">
        <v>0.85314065414100804</v>
      </c>
      <c r="AG16" s="4">
        <v>0.99687350784061801</v>
      </c>
      <c r="AH16" s="4">
        <v>0.99964001607372999</v>
      </c>
      <c r="AI16" s="4">
        <v>0.99989059367926403</v>
      </c>
      <c r="AJ16" s="4">
        <v>1</v>
      </c>
      <c r="AK16" s="4">
        <v>1</v>
      </c>
      <c r="AL16" s="4">
        <v>1</v>
      </c>
      <c r="AM16" s="4">
        <v>0</v>
      </c>
      <c r="AN16" s="4">
        <v>0</v>
      </c>
      <c r="AO16" s="4" t="s">
        <v>143</v>
      </c>
      <c r="AP16" s="4">
        <v>43388</v>
      </c>
      <c r="AQ16" s="6">
        <v>11114158961.1</v>
      </c>
      <c r="AR16" s="4">
        <v>42440</v>
      </c>
      <c r="AS16" s="15">
        <v>0</v>
      </c>
      <c r="AT16" s="15">
        <v>0</v>
      </c>
      <c r="AU16" s="15">
        <v>0</v>
      </c>
      <c r="AV16" s="15">
        <v>100</v>
      </c>
      <c r="AW16" s="15">
        <v>0</v>
      </c>
      <c r="AX16" s="15">
        <v>100</v>
      </c>
      <c r="AY16">
        <v>20.819136799619798</v>
      </c>
    </row>
    <row r="17" spans="1:51" x14ac:dyDescent="0.25">
      <c r="A17">
        <v>97</v>
      </c>
      <c r="B17" s="4">
        <v>0.99510624585948004</v>
      </c>
      <c r="C17" s="4">
        <v>8.5878549916852904</v>
      </c>
      <c r="D17" s="4">
        <v>5.7169929168764702</v>
      </c>
      <c r="E17" s="4">
        <v>7.4547278791800304E-3</v>
      </c>
      <c r="F17" s="5">
        <v>4.8937541405196404E-3</v>
      </c>
      <c r="G17" s="5">
        <v>0</v>
      </c>
      <c r="H17" s="4">
        <v>4.0902944832793198</v>
      </c>
      <c r="I17" s="4">
        <v>3.9398731228980401</v>
      </c>
      <c r="J17" s="4">
        <v>-19.225309159320101</v>
      </c>
      <c r="K17" s="4">
        <v>17.569140352017499</v>
      </c>
      <c r="L17" s="4">
        <v>15.254906424444499</v>
      </c>
      <c r="M17" s="4">
        <v>10.3692317167902</v>
      </c>
      <c r="N17" s="4">
        <v>68.881416996467493</v>
      </c>
      <c r="O17" s="4">
        <v>66.684012306382201</v>
      </c>
      <c r="P17" s="4">
        <v>281365.08902036602</v>
      </c>
      <c r="Q17" s="4">
        <v>261597.895893874</v>
      </c>
      <c r="R17" s="4">
        <v>784.68065548817299</v>
      </c>
      <c r="S17" s="4">
        <v>0</v>
      </c>
      <c r="T17" s="4">
        <v>0</v>
      </c>
      <c r="U17" s="4">
        <v>3.9066692474765997E-2</v>
      </c>
      <c r="V17" s="4">
        <v>1</v>
      </c>
      <c r="W17" s="4">
        <v>0</v>
      </c>
      <c r="X17" s="4">
        <v>0.73209587605632698</v>
      </c>
      <c r="Y17" s="4">
        <v>0</v>
      </c>
      <c r="Z17" s="5">
        <v>3.2008288750046501E-4</v>
      </c>
      <c r="AA17" s="5">
        <v>4.98940098225669E-5</v>
      </c>
      <c r="AB17" s="10">
        <v>2.5166647742789401E-3</v>
      </c>
      <c r="AC17" s="10">
        <v>2.3027253603818999E-7</v>
      </c>
      <c r="AD17" s="10">
        <v>2.00686806578808E-3</v>
      </c>
      <c r="AE17" s="4">
        <v>1.2051198273784799E-2</v>
      </c>
      <c r="AF17" s="4">
        <v>0.85104138932141604</v>
      </c>
      <c r="AG17" s="4">
        <v>0.99526335530210297</v>
      </c>
      <c r="AH17" s="4">
        <v>0.99957740721285904</v>
      </c>
      <c r="AI17" s="4">
        <v>0.999868198388012</v>
      </c>
      <c r="AJ17" s="4">
        <v>1</v>
      </c>
      <c r="AK17" s="4">
        <v>1</v>
      </c>
      <c r="AL17" s="4">
        <v>1</v>
      </c>
      <c r="AM17" s="4">
        <v>0</v>
      </c>
      <c r="AN17" s="4">
        <v>0</v>
      </c>
      <c r="AO17" s="4" t="s">
        <v>144</v>
      </c>
      <c r="AP17" s="4" t="s">
        <v>128</v>
      </c>
      <c r="AQ17" s="6">
        <v>13503160190.25</v>
      </c>
      <c r="AR17" s="4">
        <v>51618</v>
      </c>
      <c r="AS17" s="15">
        <v>0</v>
      </c>
      <c r="AT17" s="15">
        <v>0</v>
      </c>
      <c r="AU17" s="15">
        <v>0</v>
      </c>
      <c r="AV17" s="15">
        <v>100</v>
      </c>
      <c r="AW17" s="15">
        <v>0</v>
      </c>
      <c r="AX17" s="15">
        <v>100</v>
      </c>
      <c r="AY17">
        <v>34.968685248849297</v>
      </c>
    </row>
    <row r="18" spans="1:51" x14ac:dyDescent="0.25">
      <c r="A18">
        <v>97</v>
      </c>
      <c r="B18" s="4">
        <v>0.994581605718038</v>
      </c>
      <c r="C18" s="4">
        <v>9.5242364787280103</v>
      </c>
      <c r="D18" s="4">
        <v>6.3117611914601</v>
      </c>
      <c r="E18" s="4">
        <v>8.3059944830091298E-3</v>
      </c>
      <c r="F18" s="5">
        <v>5.4183942819609997E-3</v>
      </c>
      <c r="G18" s="5">
        <v>0</v>
      </c>
      <c r="H18" s="4">
        <v>4.1226068264242501</v>
      </c>
      <c r="I18" s="4">
        <v>3.93678201392835</v>
      </c>
      <c r="J18" s="4">
        <v>-18.036037860907001</v>
      </c>
      <c r="K18" s="4">
        <v>22.567100051053298</v>
      </c>
      <c r="L18" s="4">
        <v>15.041201303254701</v>
      </c>
      <c r="M18" s="4">
        <v>11.0432893261614</v>
      </c>
      <c r="N18" s="4">
        <v>67.0717238715105</v>
      </c>
      <c r="O18" s="4">
        <v>64.829243472553003</v>
      </c>
      <c r="P18" s="4">
        <v>285406.77939088701</v>
      </c>
      <c r="Q18" s="4">
        <v>265171.10750830203</v>
      </c>
      <c r="R18" s="4">
        <v>784.90305087674994</v>
      </c>
      <c r="S18" s="4">
        <v>0</v>
      </c>
      <c r="T18" s="4">
        <v>0</v>
      </c>
      <c r="U18" s="4">
        <v>3.8179324660752897E-2</v>
      </c>
      <c r="V18" s="4">
        <v>1</v>
      </c>
      <c r="W18" s="4">
        <v>0</v>
      </c>
      <c r="X18" s="4">
        <v>0.76149603855932801</v>
      </c>
      <c r="Y18" s="4">
        <v>0</v>
      </c>
      <c r="Z18" s="5">
        <v>3.2804591829162997E-4</v>
      </c>
      <c r="AA18" s="5">
        <v>5.1530027229568802E-5</v>
      </c>
      <c r="AB18" s="10">
        <v>2.5993158050944599E-3</v>
      </c>
      <c r="AC18" s="10">
        <v>4.04937148787178E-7</v>
      </c>
      <c r="AD18" s="10">
        <v>2.4390836284019601E-3</v>
      </c>
      <c r="AE18" s="4">
        <v>1.2641971581631601E-2</v>
      </c>
      <c r="AF18" s="4">
        <v>0.83805055957952501</v>
      </c>
      <c r="AG18" s="4">
        <v>0.99347871569552904</v>
      </c>
      <c r="AH18" s="4">
        <v>0.99935530722259602</v>
      </c>
      <c r="AI18" s="4">
        <v>0.99991580541813097</v>
      </c>
      <c r="AJ18" s="4">
        <v>1</v>
      </c>
      <c r="AK18" s="4">
        <v>1</v>
      </c>
      <c r="AL18" s="4">
        <v>1</v>
      </c>
      <c r="AM18" s="4">
        <v>0</v>
      </c>
      <c r="AN18" s="4">
        <v>0</v>
      </c>
      <c r="AO18" s="4" t="s">
        <v>68</v>
      </c>
      <c r="AP18" s="4" t="s">
        <v>69</v>
      </c>
      <c r="AQ18" s="6">
        <v>16209114288.66</v>
      </c>
      <c r="AR18" s="4">
        <v>61127</v>
      </c>
      <c r="AS18" s="15">
        <v>0</v>
      </c>
      <c r="AT18" s="15">
        <v>0</v>
      </c>
      <c r="AU18" s="15">
        <v>0</v>
      </c>
      <c r="AV18" s="15">
        <v>100</v>
      </c>
      <c r="AW18" s="15">
        <v>0</v>
      </c>
      <c r="AX18" s="15">
        <v>100</v>
      </c>
      <c r="AY18">
        <v>53.446074696290303</v>
      </c>
    </row>
    <row r="19" spans="1:51" x14ac:dyDescent="0.25">
      <c r="A19">
        <v>97</v>
      </c>
      <c r="B19" s="4">
        <v>0.99405479155243304</v>
      </c>
      <c r="C19" s="4">
        <v>11.4020334389715</v>
      </c>
      <c r="D19" s="4">
        <v>6.9055315581788301</v>
      </c>
      <c r="E19" s="4">
        <v>1.0037722338399399E-2</v>
      </c>
      <c r="F19" s="5">
        <v>5.9452084475665103E-3</v>
      </c>
      <c r="G19" s="5">
        <v>0</v>
      </c>
      <c r="H19" s="4">
        <v>4.1692026726986597</v>
      </c>
      <c r="I19" s="4">
        <v>3.9359708460592402</v>
      </c>
      <c r="J19" s="4">
        <v>-16.040947362052201</v>
      </c>
      <c r="K19" s="4">
        <v>27.552431543686001</v>
      </c>
      <c r="L19" s="4">
        <v>15.0815378917898</v>
      </c>
      <c r="M19" s="4">
        <v>11.653300292649</v>
      </c>
      <c r="N19" s="4">
        <v>66.995429419944202</v>
      </c>
      <c r="O19" s="4">
        <v>64.634096831859196</v>
      </c>
      <c r="P19" s="4">
        <v>284779.66887532902</v>
      </c>
      <c r="Q19" s="4">
        <v>264567.21086187899</v>
      </c>
      <c r="R19" s="4">
        <v>784.95715631169003</v>
      </c>
      <c r="S19" s="4">
        <v>0</v>
      </c>
      <c r="T19" s="4">
        <v>0</v>
      </c>
      <c r="U19" s="4">
        <v>3.4307882357450997E-2</v>
      </c>
      <c r="V19" s="4">
        <v>1</v>
      </c>
      <c r="W19" s="4">
        <v>0</v>
      </c>
      <c r="X19" s="4">
        <v>0.78404016316107605</v>
      </c>
      <c r="Y19" s="4">
        <v>0</v>
      </c>
      <c r="Z19" s="5">
        <v>3.3582180281316499E-4</v>
      </c>
      <c r="AA19" s="5">
        <v>5.5789284967256502E-5</v>
      </c>
      <c r="AB19" s="10">
        <v>2.66627208863853E-3</v>
      </c>
      <c r="AC19" s="10">
        <v>5.4820711304526001E-7</v>
      </c>
      <c r="AD19" s="10">
        <v>2.8867632217685298E-3</v>
      </c>
      <c r="AE19" s="4">
        <v>1.3172280682909999E-2</v>
      </c>
      <c r="AF19" s="4">
        <v>0.82815614431205598</v>
      </c>
      <c r="AG19" s="4">
        <v>0.99092358308501804</v>
      </c>
      <c r="AH19" s="4">
        <v>0.99934503274855202</v>
      </c>
      <c r="AI19" s="4">
        <v>0.99984622057806005</v>
      </c>
      <c r="AJ19" s="4">
        <v>1</v>
      </c>
      <c r="AK19" s="4">
        <v>1</v>
      </c>
      <c r="AL19" s="4">
        <v>1</v>
      </c>
      <c r="AM19" s="4">
        <v>0</v>
      </c>
      <c r="AN19" s="4">
        <v>0</v>
      </c>
      <c r="AO19" s="4" t="s">
        <v>145</v>
      </c>
      <c r="AP19" s="4" t="s">
        <v>129</v>
      </c>
      <c r="AQ19" s="6">
        <v>18064913724.860001</v>
      </c>
      <c r="AR19" s="4">
        <v>68281</v>
      </c>
      <c r="AS19" s="15">
        <v>0</v>
      </c>
      <c r="AT19" s="15">
        <v>0</v>
      </c>
      <c r="AU19" s="15">
        <v>0</v>
      </c>
      <c r="AV19" s="15">
        <v>100</v>
      </c>
      <c r="AW19" s="15">
        <v>0</v>
      </c>
      <c r="AX19" s="15">
        <v>100</v>
      </c>
      <c r="AY19">
        <v>75.144978466407096</v>
      </c>
    </row>
    <row r="20" spans="1:51" x14ac:dyDescent="0.25">
      <c r="A20">
        <v>97</v>
      </c>
      <c r="B20" s="4">
        <v>0.99354670165884595</v>
      </c>
      <c r="C20" s="4">
        <v>12.8964646385406</v>
      </c>
      <c r="D20" s="4">
        <v>7.4749281040460804</v>
      </c>
      <c r="E20" s="4">
        <v>1.1440117888668101E-2</v>
      </c>
      <c r="F20" s="5">
        <v>6.45329834115318E-3</v>
      </c>
      <c r="G20" s="5">
        <v>0</v>
      </c>
      <c r="H20" s="4">
        <v>4.1946531582292996</v>
      </c>
      <c r="I20" s="4">
        <v>3.91727286051478</v>
      </c>
      <c r="J20" s="4">
        <v>-14.132625960655</v>
      </c>
      <c r="K20" s="4">
        <v>32.522226934949302</v>
      </c>
      <c r="L20" s="4">
        <v>14.9151354449899</v>
      </c>
      <c r="M20" s="4">
        <v>12.1225569527325</v>
      </c>
      <c r="N20" s="4">
        <v>66.696978967089194</v>
      </c>
      <c r="O20" s="4">
        <v>64.268336098876702</v>
      </c>
      <c r="P20" s="4">
        <v>287279.15221257898</v>
      </c>
      <c r="Q20" s="4">
        <v>267409.58220123599</v>
      </c>
      <c r="R20" s="4">
        <v>784.96835394767595</v>
      </c>
      <c r="S20" s="4">
        <v>0</v>
      </c>
      <c r="T20" s="4">
        <v>0</v>
      </c>
      <c r="U20" s="4">
        <v>3.0597135865554102E-2</v>
      </c>
      <c r="V20" s="4">
        <v>1</v>
      </c>
      <c r="W20" s="4">
        <v>0</v>
      </c>
      <c r="X20" s="4">
        <v>0.79912987163656202</v>
      </c>
      <c r="Y20" s="4">
        <v>0</v>
      </c>
      <c r="Z20" s="5">
        <v>3.4056255352391099E-4</v>
      </c>
      <c r="AA20" s="5">
        <v>5.8528200598874703E-5</v>
      </c>
      <c r="AB20" s="10">
        <v>2.7220197511077199E-3</v>
      </c>
      <c r="AC20" s="10">
        <v>8.1136954653520395E-7</v>
      </c>
      <c r="AD20" s="10">
        <v>3.3313626530685199E-3</v>
      </c>
      <c r="AE20" s="4">
        <v>1.40147199171833E-2</v>
      </c>
      <c r="AF20" s="4">
        <v>0.816515534047073</v>
      </c>
      <c r="AG20" s="4">
        <v>0.98854953695112102</v>
      </c>
      <c r="AH20" s="4">
        <v>0.99911955556376297</v>
      </c>
      <c r="AI20" s="4">
        <v>0.999811883286845</v>
      </c>
      <c r="AJ20" s="4">
        <v>1</v>
      </c>
      <c r="AK20" s="4">
        <v>1</v>
      </c>
      <c r="AL20" s="4">
        <v>1</v>
      </c>
      <c r="AM20" s="4">
        <v>0</v>
      </c>
      <c r="AN20" s="4">
        <v>0</v>
      </c>
      <c r="AO20" s="4" t="s">
        <v>146</v>
      </c>
      <c r="AP20" s="4" t="s">
        <v>130</v>
      </c>
      <c r="AQ20" s="6">
        <v>19326492734.43</v>
      </c>
      <c r="AR20" s="4">
        <v>72273</v>
      </c>
      <c r="AS20" s="15">
        <v>0</v>
      </c>
      <c r="AT20" s="15">
        <v>0</v>
      </c>
      <c r="AU20" s="15">
        <v>0</v>
      </c>
      <c r="AV20" s="15">
        <v>100</v>
      </c>
      <c r="AW20" s="15">
        <v>0</v>
      </c>
      <c r="AX20" s="15">
        <v>100</v>
      </c>
      <c r="AY20">
        <v>96.325303456267704</v>
      </c>
    </row>
    <row r="21" spans="1:51" x14ac:dyDescent="0.25">
      <c r="A21">
        <v>97</v>
      </c>
      <c r="B21" s="4">
        <v>0.99296702217075705</v>
      </c>
      <c r="C21" s="4">
        <v>13.9885635166859</v>
      </c>
      <c r="D21" s="4">
        <v>8.1206524660730501</v>
      </c>
      <c r="E21" s="4">
        <v>1.24789767018742E-2</v>
      </c>
      <c r="F21" s="5">
        <v>7.0329778292423902E-3</v>
      </c>
      <c r="G21" s="5">
        <v>0</v>
      </c>
      <c r="H21" s="4">
        <v>4.2277082802184101</v>
      </c>
      <c r="I21" s="4">
        <v>3.90411900837401</v>
      </c>
      <c r="J21" s="4">
        <v>-13.090436191465599</v>
      </c>
      <c r="K21" s="4">
        <v>37.513319813532803</v>
      </c>
      <c r="L21" s="4">
        <v>14.9082642357296</v>
      </c>
      <c r="M21" s="4">
        <v>12.8337685040543</v>
      </c>
      <c r="N21" s="4">
        <v>65.934337129893706</v>
      </c>
      <c r="O21" s="4">
        <v>63.36267682655</v>
      </c>
      <c r="P21" s="4">
        <v>288139.59720027598</v>
      </c>
      <c r="Q21" s="4">
        <v>267567.61083530198</v>
      </c>
      <c r="R21" s="4">
        <v>784.97944346340898</v>
      </c>
      <c r="S21" s="4">
        <v>0</v>
      </c>
      <c r="T21" s="4">
        <v>0</v>
      </c>
      <c r="U21" s="4">
        <v>2.7366957010532902E-2</v>
      </c>
      <c r="V21" s="4">
        <v>1</v>
      </c>
      <c r="W21" s="4">
        <v>0</v>
      </c>
      <c r="X21" s="4">
        <v>0.80556223854053599</v>
      </c>
      <c r="Y21" s="4">
        <v>0</v>
      </c>
      <c r="Z21" s="5">
        <v>3.4650050414428097E-4</v>
      </c>
      <c r="AA21" s="5">
        <v>6.5459892404010102E-5</v>
      </c>
      <c r="AB21" s="10">
        <v>2.8194809903870801E-3</v>
      </c>
      <c r="AC21" s="10">
        <v>1.0667967832436399E-6</v>
      </c>
      <c r="AD21" s="10">
        <v>3.8004559469381901E-3</v>
      </c>
      <c r="AE21" s="4">
        <v>1.5483339672404599E-2</v>
      </c>
      <c r="AF21" s="4">
        <v>0.79614065226220898</v>
      </c>
      <c r="AG21" s="4">
        <v>0.98804745344617695</v>
      </c>
      <c r="AH21" s="4">
        <v>0.99884237704992496</v>
      </c>
      <c r="AI21" s="4">
        <v>0.99974970649152195</v>
      </c>
      <c r="AJ21" s="4">
        <v>1</v>
      </c>
      <c r="AK21" s="4">
        <v>1</v>
      </c>
      <c r="AL21" s="4">
        <v>1</v>
      </c>
      <c r="AM21" s="4">
        <v>0</v>
      </c>
      <c r="AN21" s="4">
        <v>0</v>
      </c>
      <c r="AO21" s="4" t="s">
        <v>147</v>
      </c>
      <c r="AP21" s="4" t="s">
        <v>131</v>
      </c>
      <c r="AQ21" s="6">
        <v>20045897836.169998</v>
      </c>
      <c r="AR21" s="4">
        <v>74919</v>
      </c>
      <c r="AS21" s="15">
        <v>0</v>
      </c>
      <c r="AT21" s="15">
        <v>0</v>
      </c>
      <c r="AU21" s="15">
        <v>0</v>
      </c>
      <c r="AV21" s="15">
        <v>100</v>
      </c>
      <c r="AW21" s="15">
        <v>0</v>
      </c>
      <c r="AX21" s="15">
        <v>100</v>
      </c>
      <c r="AY21">
        <v>119.93085194835299</v>
      </c>
    </row>
    <row r="22" spans="1:51" x14ac:dyDescent="0.25">
      <c r="A22">
        <v>97</v>
      </c>
      <c r="B22" s="4">
        <v>0.99235014762061202</v>
      </c>
      <c r="C22" s="4">
        <v>16.5205407050635</v>
      </c>
      <c r="D22" s="4">
        <v>8.8032705662761899</v>
      </c>
      <c r="E22" s="4">
        <v>1.4934817696171001E-2</v>
      </c>
      <c r="F22" s="5">
        <v>7.6498523793870803E-3</v>
      </c>
      <c r="G22" s="5">
        <v>0</v>
      </c>
      <c r="H22" s="4">
        <v>4.2808340242912299</v>
      </c>
      <c r="I22" s="4">
        <v>3.9013058123886402</v>
      </c>
      <c r="J22" s="4">
        <v>-12.2276987871748</v>
      </c>
      <c r="K22" s="4">
        <v>42.489317449278502</v>
      </c>
      <c r="L22" s="4">
        <v>15.069334379863401</v>
      </c>
      <c r="M22" s="4">
        <v>13.930624154569699</v>
      </c>
      <c r="N22" s="4">
        <v>66.517534667674894</v>
      </c>
      <c r="O22" s="4">
        <v>63.893372195089398</v>
      </c>
      <c r="P22" s="4">
        <v>285474.081911808</v>
      </c>
      <c r="Q22" s="4">
        <v>264750.566307022</v>
      </c>
      <c r="R22" s="4">
        <v>784.83579880442801</v>
      </c>
      <c r="S22" s="4">
        <v>0</v>
      </c>
      <c r="T22" s="4">
        <v>0</v>
      </c>
      <c r="U22" s="4">
        <v>2.3707058413520301E-2</v>
      </c>
      <c r="V22" s="4">
        <v>1</v>
      </c>
      <c r="W22" s="4">
        <v>0</v>
      </c>
      <c r="X22" s="4">
        <v>0.80631823476351505</v>
      </c>
      <c r="Y22" s="4">
        <v>0</v>
      </c>
      <c r="Z22" s="5">
        <v>3.5580080987579899E-4</v>
      </c>
      <c r="AA22" s="5">
        <v>7.4431614236701303E-5</v>
      </c>
      <c r="AB22" s="10">
        <v>2.91492674073253E-3</v>
      </c>
      <c r="AC22" s="10">
        <v>1.4553599829331601E-6</v>
      </c>
      <c r="AD22" s="10">
        <v>4.30322420034437E-3</v>
      </c>
      <c r="AE22" s="4">
        <v>1.43345224522944E-2</v>
      </c>
      <c r="AF22" s="4">
        <v>0.78804138377920896</v>
      </c>
      <c r="AG22" s="4">
        <v>0.98579692632405802</v>
      </c>
      <c r="AH22" s="4">
        <v>0.99860544040468102</v>
      </c>
      <c r="AI22" s="4">
        <v>0.99963343698298501</v>
      </c>
      <c r="AJ22" s="4">
        <v>1</v>
      </c>
      <c r="AK22" s="4">
        <v>1</v>
      </c>
      <c r="AL22" s="4">
        <v>1</v>
      </c>
      <c r="AM22" s="4">
        <v>0</v>
      </c>
      <c r="AN22" s="4">
        <v>0</v>
      </c>
      <c r="AO22" s="4" t="s">
        <v>148</v>
      </c>
      <c r="AP22" s="4" t="s">
        <v>132</v>
      </c>
      <c r="AQ22" s="6">
        <v>20295513662.529999</v>
      </c>
      <c r="AR22" s="4">
        <v>76659</v>
      </c>
      <c r="AS22" s="15">
        <v>0</v>
      </c>
      <c r="AT22" s="15">
        <v>0</v>
      </c>
      <c r="AU22" s="15">
        <v>0</v>
      </c>
      <c r="AV22" s="15">
        <v>100</v>
      </c>
      <c r="AW22" s="15">
        <v>0</v>
      </c>
      <c r="AX22" s="15">
        <v>100</v>
      </c>
      <c r="AY22">
        <v>146.78033098956701</v>
      </c>
    </row>
    <row r="23" spans="1:51" x14ac:dyDescent="0.25">
      <c r="A23">
        <v>97</v>
      </c>
      <c r="B23" s="4">
        <v>0.99167082875925505</v>
      </c>
      <c r="C23" s="4">
        <v>17.805750441855601</v>
      </c>
      <c r="D23" s="4">
        <v>9.5496071917310807</v>
      </c>
      <c r="E23" s="4">
        <v>1.62076234068084E-2</v>
      </c>
      <c r="F23" s="5">
        <v>8.3291712407442403E-3</v>
      </c>
      <c r="G23" s="5">
        <v>0</v>
      </c>
      <c r="H23" s="4">
        <v>4.3307345025545896</v>
      </c>
      <c r="I23" s="4">
        <v>3.90100674615551</v>
      </c>
      <c r="J23" s="4">
        <v>-11.848876005819299</v>
      </c>
      <c r="K23" s="4">
        <v>47.544537496227299</v>
      </c>
      <c r="L23" s="4">
        <v>15.0170816071141</v>
      </c>
      <c r="M23" s="4">
        <v>15.0546702667584</v>
      </c>
      <c r="N23" s="4">
        <v>66.013070750535206</v>
      </c>
      <c r="O23" s="4">
        <v>63.357111195610798</v>
      </c>
      <c r="P23" s="4">
        <v>286063.19443941198</v>
      </c>
      <c r="Q23" s="4">
        <v>265545.35071162402</v>
      </c>
      <c r="R23" s="4">
        <v>784.74897635764898</v>
      </c>
      <c r="S23" s="4">
        <v>0</v>
      </c>
      <c r="T23" s="4">
        <v>0</v>
      </c>
      <c r="U23" s="4">
        <v>2.0414164459258598E-2</v>
      </c>
      <c r="V23" s="4">
        <v>1</v>
      </c>
      <c r="W23" s="4">
        <v>0</v>
      </c>
      <c r="X23" s="4">
        <v>0.81139676688531304</v>
      </c>
      <c r="Y23" s="4">
        <v>0</v>
      </c>
      <c r="Z23" s="5">
        <v>3.6414451181766703E-4</v>
      </c>
      <c r="AA23" s="5">
        <v>8.3545484680324996E-5</v>
      </c>
      <c r="AB23" s="10">
        <v>3.0164590198307499E-3</v>
      </c>
      <c r="AC23" s="10">
        <v>1.65374948504623E-6</v>
      </c>
      <c r="AD23" s="10">
        <v>4.8633548167170502E-3</v>
      </c>
      <c r="AE23" s="4">
        <v>1.3508575277446699E-2</v>
      </c>
      <c r="AF23" s="4">
        <v>0.78390886037812202</v>
      </c>
      <c r="AG23" s="4">
        <v>0.98549935396146904</v>
      </c>
      <c r="AH23" s="4">
        <v>0.99848567868678695</v>
      </c>
      <c r="AI23" s="4">
        <v>0.99979236406479299</v>
      </c>
      <c r="AJ23" s="4">
        <v>1</v>
      </c>
      <c r="AK23" s="4">
        <v>1</v>
      </c>
      <c r="AL23" s="4">
        <v>1</v>
      </c>
      <c r="AM23" s="4">
        <v>0</v>
      </c>
      <c r="AN23" s="4">
        <v>0</v>
      </c>
      <c r="AO23" s="4" t="s">
        <v>70</v>
      </c>
      <c r="AP23" s="4" t="s">
        <v>71</v>
      </c>
      <c r="AQ23" s="6">
        <v>21169009813.380001</v>
      </c>
      <c r="AR23" s="4">
        <v>79719</v>
      </c>
      <c r="AS23" s="15">
        <v>0</v>
      </c>
      <c r="AT23" s="15">
        <v>0</v>
      </c>
      <c r="AU23" s="15">
        <v>0</v>
      </c>
      <c r="AV23" s="15">
        <v>100</v>
      </c>
      <c r="AW23" s="15">
        <v>0</v>
      </c>
      <c r="AX23" s="15">
        <v>100</v>
      </c>
      <c r="AY23">
        <v>178.43086867755</v>
      </c>
    </row>
    <row r="24" spans="1:51" x14ac:dyDescent="0.25">
      <c r="A24">
        <v>97</v>
      </c>
      <c r="B24" s="4">
        <v>0.99099685810564397</v>
      </c>
      <c r="C24" s="4">
        <v>21.4795998151383</v>
      </c>
      <c r="D24" s="4">
        <v>10.2845311662313</v>
      </c>
      <c r="E24" s="4">
        <v>1.99493026504628E-2</v>
      </c>
      <c r="F24" s="5">
        <v>9.0031418943556808E-3</v>
      </c>
      <c r="G24" s="5">
        <v>0</v>
      </c>
      <c r="H24" s="4">
        <v>4.3958460213402901</v>
      </c>
      <c r="I24" s="4">
        <v>3.9053248275626302</v>
      </c>
      <c r="J24" s="4">
        <v>-11.5357106470852</v>
      </c>
      <c r="K24" s="4">
        <v>52.532569319769003</v>
      </c>
      <c r="L24" s="4">
        <v>15.277180089466601</v>
      </c>
      <c r="M24" s="4">
        <v>16.4731990580004</v>
      </c>
      <c r="N24" s="4">
        <v>67.447922649925303</v>
      </c>
      <c r="O24" s="4">
        <v>64.661230082057997</v>
      </c>
      <c r="P24" s="4">
        <v>281328.180833689</v>
      </c>
      <c r="Q24" s="4">
        <v>261168.54554060599</v>
      </c>
      <c r="R24" s="4">
        <v>784.41976681658196</v>
      </c>
      <c r="S24" s="4">
        <v>0</v>
      </c>
      <c r="T24" s="4">
        <v>0</v>
      </c>
      <c r="U24" s="4">
        <v>1.6920261695931599E-2</v>
      </c>
      <c r="V24" s="4">
        <v>1</v>
      </c>
      <c r="W24" s="4">
        <v>0</v>
      </c>
      <c r="X24" s="4">
        <v>0.80365239906129404</v>
      </c>
      <c r="Y24" s="4">
        <v>0</v>
      </c>
      <c r="Z24" s="5">
        <v>3.7261181844541801E-4</v>
      </c>
      <c r="AA24" s="5">
        <v>9.7372372610781899E-5</v>
      </c>
      <c r="AB24" s="10">
        <v>3.1336735617522099E-3</v>
      </c>
      <c r="AC24" s="10">
        <v>1.8749763000207801E-6</v>
      </c>
      <c r="AD24" s="10">
        <v>5.3975954057054699E-3</v>
      </c>
      <c r="AE24" s="4">
        <v>1.1203485687666199E-2</v>
      </c>
      <c r="AF24" s="4">
        <v>0.78589589823203798</v>
      </c>
      <c r="AG24" s="4">
        <v>0.98510132065453904</v>
      </c>
      <c r="AH24" s="4">
        <v>0.998373241189637</v>
      </c>
      <c r="AI24" s="4">
        <v>0.99968686991815603</v>
      </c>
      <c r="AJ24" s="4">
        <v>1</v>
      </c>
      <c r="AK24" s="4">
        <v>1</v>
      </c>
      <c r="AL24" s="4">
        <v>1</v>
      </c>
      <c r="AM24" s="4">
        <v>0</v>
      </c>
      <c r="AN24" s="4">
        <v>0</v>
      </c>
      <c r="AO24" s="4" t="s">
        <v>149</v>
      </c>
      <c r="AP24" s="4" t="s">
        <v>133</v>
      </c>
      <c r="AQ24" s="6">
        <v>20886954429.610001</v>
      </c>
      <c r="AR24" s="4">
        <v>79975</v>
      </c>
      <c r="AS24" s="15">
        <v>0</v>
      </c>
      <c r="AT24" s="15">
        <v>0</v>
      </c>
      <c r="AU24" s="15">
        <v>0</v>
      </c>
      <c r="AV24" s="15">
        <v>100</v>
      </c>
      <c r="AW24" s="15">
        <v>0</v>
      </c>
      <c r="AX24" s="15">
        <v>100</v>
      </c>
      <c r="AY24">
        <v>212.277079338069</v>
      </c>
    </row>
    <row r="25" spans="1:51" x14ac:dyDescent="0.25">
      <c r="A25">
        <v>97</v>
      </c>
      <c r="B25" s="4">
        <v>0.99034795034075895</v>
      </c>
      <c r="C25" s="4">
        <v>22.433175731473</v>
      </c>
      <c r="D25" s="4">
        <v>10.986949426289801</v>
      </c>
      <c r="E25" s="4">
        <v>2.09467030216938E-2</v>
      </c>
      <c r="F25" s="5">
        <v>9.6520496592404394E-3</v>
      </c>
      <c r="G25" s="5">
        <v>0</v>
      </c>
      <c r="H25" s="4">
        <v>4.4442286575113501</v>
      </c>
      <c r="I25" s="4">
        <v>3.9030550712991401</v>
      </c>
      <c r="J25" s="4">
        <v>-12.0710863929482</v>
      </c>
      <c r="K25" s="4">
        <v>57.505105926582701</v>
      </c>
      <c r="L25" s="4">
        <v>15.480579510770401</v>
      </c>
      <c r="M25" s="4">
        <v>17.8264531269119</v>
      </c>
      <c r="N25" s="4">
        <v>67.452195987619007</v>
      </c>
      <c r="O25" s="4">
        <v>64.575106978467701</v>
      </c>
      <c r="P25" s="4">
        <v>277948.38215493498</v>
      </c>
      <c r="Q25" s="4">
        <v>257600.374791943</v>
      </c>
      <c r="R25" s="4">
        <v>784.21629461058103</v>
      </c>
      <c r="S25" s="4">
        <v>0</v>
      </c>
      <c r="T25" s="4">
        <v>0</v>
      </c>
      <c r="U25" s="4">
        <v>1.1985493980929299E-2</v>
      </c>
      <c r="V25" s="4">
        <v>1</v>
      </c>
      <c r="W25" s="4">
        <v>0</v>
      </c>
      <c r="X25" s="4">
        <v>0.79894321553550796</v>
      </c>
      <c r="Y25" s="4">
        <v>0</v>
      </c>
      <c r="Z25" s="5">
        <v>3.81123432697542E-4</v>
      </c>
      <c r="AA25" s="5">
        <v>1.11046489550344E-4</v>
      </c>
      <c r="AB25" s="10">
        <v>3.2483273436871899E-3</v>
      </c>
      <c r="AC25" s="10">
        <v>2.44450145803421E-6</v>
      </c>
      <c r="AD25" s="10">
        <v>5.9090940035445797E-3</v>
      </c>
      <c r="AE25" s="4">
        <v>1.0930815630942401E-2</v>
      </c>
      <c r="AF25" s="4">
        <v>0.78022073850578899</v>
      </c>
      <c r="AG25" s="4">
        <v>0.98260582795334195</v>
      </c>
      <c r="AH25" s="4">
        <v>0.99812453290222003</v>
      </c>
      <c r="AI25" s="4">
        <v>0.99971074633097901</v>
      </c>
      <c r="AJ25" s="4">
        <v>1</v>
      </c>
      <c r="AK25" s="4">
        <v>1</v>
      </c>
      <c r="AL25" s="4">
        <v>1</v>
      </c>
      <c r="AM25" s="4">
        <v>0</v>
      </c>
      <c r="AN25" s="4">
        <v>0</v>
      </c>
      <c r="AO25" s="4" t="s">
        <v>150</v>
      </c>
      <c r="AP25" s="4" t="s">
        <v>134</v>
      </c>
      <c r="AQ25" s="6">
        <v>21128640340.810001</v>
      </c>
      <c r="AR25" s="4">
        <v>82021</v>
      </c>
      <c r="AS25" s="15">
        <v>0</v>
      </c>
      <c r="AT25" s="15">
        <v>0</v>
      </c>
      <c r="AU25" s="15">
        <v>0</v>
      </c>
      <c r="AV25" s="15">
        <v>100</v>
      </c>
      <c r="AW25" s="15">
        <v>0</v>
      </c>
      <c r="AX25" s="15">
        <v>100</v>
      </c>
      <c r="AY25">
        <v>254.44973936697599</v>
      </c>
    </row>
    <row r="26" spans="1:51" x14ac:dyDescent="0.25">
      <c r="A26">
        <v>97</v>
      </c>
      <c r="B26" s="4">
        <v>0.98967047327125002</v>
      </c>
      <c r="C26" s="4">
        <v>25.7645563906494</v>
      </c>
      <c r="D26" s="4">
        <v>11.7149108577823</v>
      </c>
      <c r="E26" s="4">
        <v>2.4521708386070401E-2</v>
      </c>
      <c r="F26" s="5">
        <v>1.0329526728749301E-2</v>
      </c>
      <c r="G26" s="5">
        <v>0</v>
      </c>
      <c r="H26" s="4">
        <v>4.5027604431338704</v>
      </c>
      <c r="I26" s="4">
        <v>3.91005448167249</v>
      </c>
      <c r="J26" s="4">
        <v>-12.6942004659311</v>
      </c>
      <c r="K26" s="4">
        <v>62.515125404733602</v>
      </c>
      <c r="L26" s="4">
        <v>15.726254941281701</v>
      </c>
      <c r="M26" s="4">
        <v>19.413777241239998</v>
      </c>
      <c r="N26" s="4">
        <v>67.584020033374301</v>
      </c>
      <c r="O26" s="4">
        <v>64.663577918948207</v>
      </c>
      <c r="P26" s="4">
        <v>273545.43101302203</v>
      </c>
      <c r="Q26" s="4">
        <v>253800.630582732</v>
      </c>
      <c r="R26" s="4">
        <v>783.813132893599</v>
      </c>
      <c r="S26" s="4">
        <v>0</v>
      </c>
      <c r="T26" s="4">
        <v>0</v>
      </c>
      <c r="U26" s="4">
        <v>9.5753559665456098E-3</v>
      </c>
      <c r="V26" s="4">
        <v>1</v>
      </c>
      <c r="W26" s="4">
        <v>0</v>
      </c>
      <c r="X26" s="4">
        <v>0.79597619412151999</v>
      </c>
      <c r="Y26" s="4">
        <v>0</v>
      </c>
      <c r="Z26" s="5">
        <v>3.8603161147040101E-4</v>
      </c>
      <c r="AA26" s="5">
        <v>1.29707592541252E-4</v>
      </c>
      <c r="AB26" s="10">
        <v>3.3687928916245201E-3</v>
      </c>
      <c r="AC26" s="10">
        <v>3.1811124462094399E-6</v>
      </c>
      <c r="AD26" s="10">
        <v>6.4417994323857797E-3</v>
      </c>
      <c r="AE26" s="4">
        <v>8.1765606751978692E-3</v>
      </c>
      <c r="AF26" s="4">
        <v>0.78304523659708203</v>
      </c>
      <c r="AG26" s="4">
        <v>0.98237719483526798</v>
      </c>
      <c r="AH26" s="4">
        <v>0.99766072063629996</v>
      </c>
      <c r="AI26" s="4">
        <v>0.99961840180456196</v>
      </c>
      <c r="AJ26" s="4">
        <v>1</v>
      </c>
      <c r="AK26" s="4">
        <v>1</v>
      </c>
      <c r="AL26" s="4">
        <v>1</v>
      </c>
      <c r="AM26" s="4">
        <v>0</v>
      </c>
      <c r="AN26" s="4">
        <v>0</v>
      </c>
      <c r="AO26" s="4" t="s">
        <v>151</v>
      </c>
      <c r="AP26" s="4" t="s">
        <v>135</v>
      </c>
      <c r="AQ26" s="6">
        <v>22817691891.91</v>
      </c>
      <c r="AR26" s="4">
        <v>89904</v>
      </c>
      <c r="AS26" s="15">
        <v>0</v>
      </c>
      <c r="AT26" s="15">
        <v>0</v>
      </c>
      <c r="AU26" s="15">
        <v>0</v>
      </c>
      <c r="AV26" s="15">
        <v>100</v>
      </c>
      <c r="AW26" s="15">
        <v>0</v>
      </c>
      <c r="AX26" s="15">
        <v>100</v>
      </c>
      <c r="AY26">
        <v>303.49745016183601</v>
      </c>
    </row>
    <row r="27" spans="1:51" x14ac:dyDescent="0.25">
      <c r="A27">
        <v>97</v>
      </c>
      <c r="B27" s="4">
        <v>0.98908682286571503</v>
      </c>
      <c r="C27" s="4">
        <v>28.795809567442799</v>
      </c>
      <c r="D27" s="4">
        <v>12.337673567237101</v>
      </c>
      <c r="E27" s="4">
        <v>2.79048058116107E-2</v>
      </c>
      <c r="F27" s="5">
        <v>1.0913177134284699E-2</v>
      </c>
      <c r="G27" s="5">
        <v>0</v>
      </c>
      <c r="H27" s="4">
        <v>4.5594102515106902</v>
      </c>
      <c r="I27" s="4">
        <v>3.9199885577376601</v>
      </c>
      <c r="J27" s="4">
        <v>-12.9849680040042</v>
      </c>
      <c r="K27" s="4">
        <v>67.517627106661095</v>
      </c>
      <c r="L27" s="4">
        <v>15.8643260453052</v>
      </c>
      <c r="M27" s="4">
        <v>20.697957536586099</v>
      </c>
      <c r="N27" s="4">
        <v>67.427784626728496</v>
      </c>
      <c r="O27" s="4">
        <v>64.610198701750093</v>
      </c>
      <c r="P27" s="4">
        <v>270885.831757023</v>
      </c>
      <c r="Q27" s="4">
        <v>251578.22887413701</v>
      </c>
      <c r="R27" s="4">
        <v>783.78771951556496</v>
      </c>
      <c r="S27" s="4">
        <v>0</v>
      </c>
      <c r="T27" s="4">
        <v>0</v>
      </c>
      <c r="U27" s="4">
        <v>9.0738411942679793E-3</v>
      </c>
      <c r="V27" s="4">
        <v>1</v>
      </c>
      <c r="W27" s="4">
        <v>0</v>
      </c>
      <c r="X27" s="4">
        <v>0.79535661250276402</v>
      </c>
      <c r="Y27" s="4">
        <v>0</v>
      </c>
      <c r="Z27" s="5">
        <v>3.9185416027495999E-4</v>
      </c>
      <c r="AA27" s="5">
        <v>1.4588698332993001E-4</v>
      </c>
      <c r="AB27" s="10">
        <v>3.4183996860505002E-3</v>
      </c>
      <c r="AC27" s="10">
        <v>3.4424236618017502E-6</v>
      </c>
      <c r="AD27" s="10">
        <v>6.9535796639524404E-3</v>
      </c>
      <c r="AE27" s="4">
        <v>4.1502456753568099E-3</v>
      </c>
      <c r="AF27" s="4">
        <v>0.79588161202906504</v>
      </c>
      <c r="AG27" s="4">
        <v>0.98129962616439204</v>
      </c>
      <c r="AH27" s="4">
        <v>0.99756174031373601</v>
      </c>
      <c r="AI27" s="4">
        <v>0.99957231526727297</v>
      </c>
      <c r="AJ27" s="4">
        <v>1</v>
      </c>
      <c r="AK27" s="4">
        <v>1</v>
      </c>
      <c r="AL27" s="4">
        <v>1</v>
      </c>
      <c r="AM27" s="4">
        <v>0</v>
      </c>
      <c r="AN27" s="4">
        <v>0</v>
      </c>
      <c r="AO27" s="4" t="s">
        <v>152</v>
      </c>
      <c r="AP27" s="4" t="s">
        <v>136</v>
      </c>
      <c r="AQ27" s="6">
        <v>25089393609.16</v>
      </c>
      <c r="AR27" s="4">
        <v>99728</v>
      </c>
      <c r="AS27" s="15">
        <v>0</v>
      </c>
      <c r="AT27" s="15">
        <v>0</v>
      </c>
      <c r="AU27" s="15">
        <v>0</v>
      </c>
      <c r="AV27" s="15">
        <v>100</v>
      </c>
      <c r="AW27" s="15">
        <v>0</v>
      </c>
      <c r="AX27" s="15">
        <v>100</v>
      </c>
      <c r="AY27">
        <v>361.71250923877301</v>
      </c>
    </row>
    <row r="28" spans="1:51" x14ac:dyDescent="0.25">
      <c r="A28">
        <v>97</v>
      </c>
      <c r="B28" s="4">
        <v>0.98841905932565599</v>
      </c>
      <c r="C28" s="4">
        <v>29.350461811454402</v>
      </c>
      <c r="D28" s="4">
        <v>13.045245387725201</v>
      </c>
      <c r="E28" s="4">
        <v>2.8538089462005301E-2</v>
      </c>
      <c r="F28" s="5">
        <v>1.1580940674343501E-2</v>
      </c>
      <c r="G28" s="5">
        <v>0</v>
      </c>
      <c r="H28" s="4">
        <v>4.5962362556227401</v>
      </c>
      <c r="I28" s="4">
        <v>3.9179972542215502</v>
      </c>
      <c r="J28" s="4">
        <v>-12.658964239883799</v>
      </c>
      <c r="K28" s="4">
        <v>72.539794286483897</v>
      </c>
      <c r="L28" s="4">
        <v>15.5748506994822</v>
      </c>
      <c r="M28" s="4">
        <v>21.4964300179948</v>
      </c>
      <c r="N28" s="4">
        <v>66.368028641934401</v>
      </c>
      <c r="O28" s="4">
        <v>63.579424426342797</v>
      </c>
      <c r="P28" s="4">
        <v>275814.74676527601</v>
      </c>
      <c r="Q28" s="4">
        <v>256219.559122576</v>
      </c>
      <c r="R28" s="4">
        <v>783.60556012542997</v>
      </c>
      <c r="S28" s="4">
        <v>0</v>
      </c>
      <c r="T28" s="4">
        <v>0</v>
      </c>
      <c r="U28" s="4">
        <v>8.4512782299936001E-3</v>
      </c>
      <c r="V28" s="4">
        <v>1</v>
      </c>
      <c r="W28" s="4">
        <v>0</v>
      </c>
      <c r="X28" s="4">
        <v>0.80243585723250499</v>
      </c>
      <c r="Y28" s="4">
        <v>0</v>
      </c>
      <c r="Z28" s="5">
        <v>3.9455412176553101E-4</v>
      </c>
      <c r="AA28" s="5">
        <v>1.5757981426700501E-4</v>
      </c>
      <c r="AB28" s="10">
        <v>3.4314924161822002E-3</v>
      </c>
      <c r="AC28" s="10">
        <v>4.4387542413871001E-6</v>
      </c>
      <c r="AD28" s="10">
        <v>7.5928611718171198E-3</v>
      </c>
      <c r="AE28" s="4">
        <v>3.2630026895594101E-3</v>
      </c>
      <c r="AF28" s="4">
        <v>0.79341604909558705</v>
      </c>
      <c r="AG28" s="4">
        <v>0.97985827606459897</v>
      </c>
      <c r="AH28" s="4">
        <v>0.99712357399519402</v>
      </c>
      <c r="AI28" s="4">
        <v>0.99948091040839404</v>
      </c>
      <c r="AJ28" s="4">
        <v>1</v>
      </c>
      <c r="AK28" s="4">
        <v>1</v>
      </c>
      <c r="AL28" s="4">
        <v>1</v>
      </c>
      <c r="AM28" s="4">
        <v>0</v>
      </c>
      <c r="AN28" s="4">
        <v>0</v>
      </c>
      <c r="AO28" s="4" t="s">
        <v>72</v>
      </c>
      <c r="AP28" s="4" t="s">
        <v>73</v>
      </c>
      <c r="AQ28" s="6">
        <v>27855165589.57</v>
      </c>
      <c r="AR28" s="4">
        <v>108716</v>
      </c>
      <c r="AS28" s="15">
        <v>0</v>
      </c>
      <c r="AT28" s="15">
        <v>0</v>
      </c>
      <c r="AU28" s="15">
        <v>0</v>
      </c>
      <c r="AV28" s="15">
        <v>100</v>
      </c>
      <c r="AW28" s="15">
        <v>0</v>
      </c>
      <c r="AX28" s="15">
        <v>100</v>
      </c>
      <c r="AY28" s="31">
        <v>424.00250644488102</v>
      </c>
    </row>
    <row r="29" spans="1:51" x14ac:dyDescent="0.25">
      <c r="A29">
        <v>97</v>
      </c>
      <c r="B29" s="4">
        <v>0.98653271408996102</v>
      </c>
      <c r="C29" s="4">
        <v>33.613033607390598</v>
      </c>
      <c r="D29" s="4">
        <v>15.015857654602801</v>
      </c>
      <c r="E29" s="4">
        <v>3.35629552791794E-2</v>
      </c>
      <c r="F29" s="5">
        <v>1.34672859100382E-2</v>
      </c>
      <c r="G29" s="5">
        <v>0</v>
      </c>
      <c r="H29" s="4">
        <v>4.7011606152312</v>
      </c>
      <c r="I29" s="4">
        <v>3.8856987630078699</v>
      </c>
      <c r="J29" s="4">
        <v>-8.7525529156358299</v>
      </c>
      <c r="K29" s="4">
        <v>86.818601173581399</v>
      </c>
      <c r="L29" s="4">
        <v>15.453463320693301</v>
      </c>
      <c r="M29" s="4">
        <v>23.403424583174701</v>
      </c>
      <c r="N29" s="4">
        <v>65.676354515938698</v>
      </c>
      <c r="O29" s="4">
        <v>62.736164951318898</v>
      </c>
      <c r="P29" s="4">
        <v>278109.57838285202</v>
      </c>
      <c r="Q29" s="4">
        <v>258268.90263535199</v>
      </c>
      <c r="R29" s="4">
        <v>783.36941492060805</v>
      </c>
      <c r="S29" s="4">
        <v>0</v>
      </c>
      <c r="T29" s="4">
        <v>0</v>
      </c>
      <c r="U29" s="4">
        <v>7.2428356325469501E-3</v>
      </c>
      <c r="V29" s="4">
        <v>1</v>
      </c>
      <c r="W29" s="4">
        <v>0</v>
      </c>
      <c r="X29" s="4">
        <v>0.82230639179854403</v>
      </c>
      <c r="Y29" s="4">
        <v>0</v>
      </c>
      <c r="Z29" s="5">
        <v>3.9950817104840799E-4</v>
      </c>
      <c r="AA29" s="5">
        <v>1.89156414571007E-4</v>
      </c>
      <c r="AB29" s="10">
        <v>3.56959334389686E-3</v>
      </c>
      <c r="AC29" s="10">
        <v>5.6597381720192702E-6</v>
      </c>
      <c r="AD29" s="10">
        <v>9.3033535855901305E-3</v>
      </c>
      <c r="AE29" s="4">
        <v>3.15581437509759E-3</v>
      </c>
      <c r="AF29" s="4">
        <v>0.78524342254957402</v>
      </c>
      <c r="AG29" s="4">
        <v>0.97897869869933896</v>
      </c>
      <c r="AH29" s="4">
        <v>0.99650018875833501</v>
      </c>
      <c r="AI29" s="4">
        <v>0.99957894660798396</v>
      </c>
      <c r="AJ29" s="4">
        <v>1</v>
      </c>
      <c r="AK29" s="4">
        <v>1</v>
      </c>
      <c r="AL29" s="4">
        <v>1</v>
      </c>
      <c r="AM29" s="4">
        <v>0</v>
      </c>
      <c r="AN29" s="4">
        <v>0</v>
      </c>
      <c r="AO29" s="4" t="s">
        <v>74</v>
      </c>
      <c r="AP29" s="4" t="s">
        <v>75</v>
      </c>
      <c r="AQ29" s="6">
        <v>128965285186.45</v>
      </c>
      <c r="AR29" s="4">
        <v>499345</v>
      </c>
      <c r="AS29" s="15">
        <v>0</v>
      </c>
      <c r="AT29" s="15">
        <v>0</v>
      </c>
      <c r="AU29" s="15">
        <v>0</v>
      </c>
      <c r="AV29" s="15">
        <v>100</v>
      </c>
      <c r="AW29" s="15">
        <v>0</v>
      </c>
      <c r="AX29" s="15">
        <v>100</v>
      </c>
      <c r="AY29" s="31">
        <v>606.92775988526705</v>
      </c>
    </row>
    <row r="30" spans="1:51" x14ac:dyDescent="0.25">
      <c r="A30">
        <v>97</v>
      </c>
      <c r="B30" s="4">
        <v>0.98324721983522601</v>
      </c>
      <c r="C30" s="4">
        <v>37.642046388413597</v>
      </c>
      <c r="D30" s="4">
        <v>18.3506512238359</v>
      </c>
      <c r="E30" s="4">
        <v>3.8592170630280698E-2</v>
      </c>
      <c r="F30" s="5">
        <v>1.67527801647731E-2</v>
      </c>
      <c r="G30" s="5">
        <v>0</v>
      </c>
      <c r="H30" s="4">
        <v>4.8812417712340403</v>
      </c>
      <c r="I30" s="4">
        <v>3.81252418568759</v>
      </c>
      <c r="J30" s="4">
        <v>-3.6182122082713999</v>
      </c>
      <c r="K30" s="4">
        <v>112.46756410455301</v>
      </c>
      <c r="L30" s="4">
        <v>15.960063848665699</v>
      </c>
      <c r="M30" s="4">
        <v>27.503772393224502</v>
      </c>
      <c r="N30" s="4">
        <v>67.310488994942602</v>
      </c>
      <c r="O30" s="4">
        <v>63.869864361731601</v>
      </c>
      <c r="P30" s="4">
        <v>269019.43486823299</v>
      </c>
      <c r="Q30" s="4">
        <v>250144.80003444201</v>
      </c>
      <c r="R30" s="4">
        <v>782.06644223886201</v>
      </c>
      <c r="S30" s="4">
        <v>0</v>
      </c>
      <c r="T30" s="4">
        <v>0</v>
      </c>
      <c r="U30" s="4">
        <v>5.5887109663640801E-3</v>
      </c>
      <c r="V30" s="4">
        <v>1</v>
      </c>
      <c r="W30" s="4">
        <v>0</v>
      </c>
      <c r="X30" s="4">
        <v>0.800724562530721</v>
      </c>
      <c r="Y30" s="4">
        <v>0</v>
      </c>
      <c r="Z30" s="5">
        <v>4.1365018550366202E-4</v>
      </c>
      <c r="AA30" s="5">
        <v>3.0135962058336401E-4</v>
      </c>
      <c r="AB30" s="10">
        <v>3.8267262185914699E-3</v>
      </c>
      <c r="AC30" s="10">
        <v>8.9553369651813199E-6</v>
      </c>
      <c r="AD30" s="10">
        <v>1.2202073750162599E-2</v>
      </c>
      <c r="AE30" s="4">
        <v>3.8793303005006299E-3</v>
      </c>
      <c r="AF30" s="4">
        <v>0.78182617324127901</v>
      </c>
      <c r="AG30" s="4">
        <v>0.97699774316806998</v>
      </c>
      <c r="AH30" s="4">
        <v>0.99592839063393301</v>
      </c>
      <c r="AI30" s="4">
        <v>0.99929744983355995</v>
      </c>
      <c r="AJ30" s="4">
        <v>1</v>
      </c>
      <c r="AK30" s="4">
        <v>1</v>
      </c>
      <c r="AL30" s="4">
        <v>1</v>
      </c>
      <c r="AM30" s="4">
        <v>0</v>
      </c>
      <c r="AN30" s="4">
        <v>0</v>
      </c>
      <c r="AO30" s="4" t="s">
        <v>76</v>
      </c>
      <c r="AP30" s="4" t="s">
        <v>77</v>
      </c>
      <c r="AQ30" s="6">
        <v>107125261049.14999</v>
      </c>
      <c r="AR30" s="4">
        <v>428253</v>
      </c>
      <c r="AS30" s="15">
        <v>0</v>
      </c>
      <c r="AT30" s="15">
        <v>0</v>
      </c>
      <c r="AU30" s="15">
        <v>0</v>
      </c>
      <c r="AV30" s="15">
        <v>100</v>
      </c>
      <c r="AW30" s="15">
        <v>0</v>
      </c>
      <c r="AX30" s="15">
        <v>100</v>
      </c>
      <c r="AY30" s="31">
        <v>1007.2176327695501</v>
      </c>
    </row>
    <row r="31" spans="1:51" x14ac:dyDescent="0.25">
      <c r="A31">
        <v>97</v>
      </c>
      <c r="B31" s="4">
        <v>0.97985601610459205</v>
      </c>
      <c r="C31" s="4">
        <v>40.236146024013699</v>
      </c>
      <c r="D31" s="4">
        <v>21.666566786508199</v>
      </c>
      <c r="E31" s="4">
        <v>4.1990351630923101E-2</v>
      </c>
      <c r="F31" s="5">
        <v>2.0143983895407801E-2</v>
      </c>
      <c r="G31" s="5">
        <v>0</v>
      </c>
      <c r="H31" s="4">
        <v>4.9925616892107296</v>
      </c>
      <c r="I31" s="4">
        <v>3.7224698610345301</v>
      </c>
      <c r="J31" s="4">
        <v>-6.7443574423826896E-2</v>
      </c>
      <c r="K31" s="4">
        <v>135.43507063732301</v>
      </c>
      <c r="L31" s="4">
        <v>15.6123120617453</v>
      </c>
      <c r="M31" s="4">
        <v>30.292143192223801</v>
      </c>
      <c r="N31" s="4">
        <v>67.462353538307099</v>
      </c>
      <c r="O31" s="4">
        <v>63.339810687752298</v>
      </c>
      <c r="P31" s="4">
        <v>274749.83467258897</v>
      </c>
      <c r="Q31" s="4">
        <v>255731.05597081501</v>
      </c>
      <c r="R31" s="4">
        <v>781.29862250342296</v>
      </c>
      <c r="S31" s="4">
        <v>0</v>
      </c>
      <c r="T31" s="4">
        <v>0</v>
      </c>
      <c r="U31" s="4">
        <v>6.3548691461962998E-3</v>
      </c>
      <c r="V31" s="4">
        <v>1</v>
      </c>
      <c r="W31" s="4">
        <v>0</v>
      </c>
      <c r="X31" s="4">
        <v>0.79816846314329004</v>
      </c>
      <c r="Y31" s="4">
        <v>0</v>
      </c>
      <c r="Z31" s="5">
        <v>4.1985292246228198E-4</v>
      </c>
      <c r="AA31" s="5">
        <v>3.94464468196477E-4</v>
      </c>
      <c r="AB31" s="10">
        <v>3.7731522136760002E-3</v>
      </c>
      <c r="AC31" s="10">
        <v>1.4609292545832701E-5</v>
      </c>
      <c r="AD31" s="10">
        <v>1.55418897883973E-2</v>
      </c>
      <c r="AE31" s="4">
        <v>1.21762728580278E-2</v>
      </c>
      <c r="AF31" s="4">
        <v>0.75282182648516904</v>
      </c>
      <c r="AG31" s="4">
        <v>0.97069839788576195</v>
      </c>
      <c r="AH31" s="4">
        <v>0.99407225243103503</v>
      </c>
      <c r="AI31" s="4">
        <v>0.99919046025126301</v>
      </c>
      <c r="AJ31" s="4">
        <v>1</v>
      </c>
      <c r="AK31" s="4">
        <v>1</v>
      </c>
      <c r="AL31" s="4">
        <v>1</v>
      </c>
      <c r="AM31" s="4">
        <v>0</v>
      </c>
      <c r="AN31" s="4">
        <v>0</v>
      </c>
      <c r="AO31" s="4" t="s">
        <v>78</v>
      </c>
      <c r="AP31" s="4" t="s">
        <v>79</v>
      </c>
      <c r="AQ31" s="6">
        <v>66929420506.57</v>
      </c>
      <c r="AR31" s="4">
        <v>261718</v>
      </c>
      <c r="AS31" s="15">
        <v>0</v>
      </c>
      <c r="AT31" s="15">
        <v>0</v>
      </c>
      <c r="AU31" s="15">
        <v>0</v>
      </c>
      <c r="AV31" s="15">
        <v>100</v>
      </c>
      <c r="AW31" s="15">
        <v>0</v>
      </c>
      <c r="AX31" s="15">
        <v>100</v>
      </c>
      <c r="AY31">
        <v>1399.30499726413</v>
      </c>
    </row>
    <row r="32" spans="1:51" x14ac:dyDescent="0.25">
      <c r="A32">
        <v>97</v>
      </c>
      <c r="B32" s="4">
        <v>0.97565701317429399</v>
      </c>
      <c r="C32" s="4">
        <v>37.671299265980601</v>
      </c>
      <c r="D32" s="4">
        <v>25.601179897927899</v>
      </c>
      <c r="E32" s="4">
        <v>3.8629762726438303E-2</v>
      </c>
      <c r="F32" s="5">
        <v>2.4342986825705602E-2</v>
      </c>
      <c r="G32" s="5">
        <v>0</v>
      </c>
      <c r="H32" s="4">
        <v>5.18157481140158</v>
      </c>
      <c r="I32" s="4">
        <v>3.6749928775479299</v>
      </c>
      <c r="J32" s="4">
        <v>13.7485002200892</v>
      </c>
      <c r="K32" s="4">
        <v>158.93308303662801</v>
      </c>
      <c r="L32" s="4">
        <v>15.7558323621338</v>
      </c>
      <c r="M32" s="4">
        <v>31.252909187507498</v>
      </c>
      <c r="N32" s="4">
        <v>76.641524442370795</v>
      </c>
      <c r="O32" s="4">
        <v>70.9384195471239</v>
      </c>
      <c r="P32" s="4">
        <v>271358.390472845</v>
      </c>
      <c r="Q32" s="4">
        <v>253418.07369768099</v>
      </c>
      <c r="R32" s="4">
        <v>779.02802384692302</v>
      </c>
      <c r="S32" s="4">
        <v>0</v>
      </c>
      <c r="T32" s="4">
        <v>0</v>
      </c>
      <c r="U32" s="4">
        <v>6.94698614718343E-3</v>
      </c>
      <c r="V32" s="4">
        <v>1</v>
      </c>
      <c r="W32" s="4">
        <v>0</v>
      </c>
      <c r="X32" s="4">
        <v>0.73032332077362505</v>
      </c>
      <c r="Y32" s="4">
        <v>0</v>
      </c>
      <c r="Z32" s="5">
        <v>4.21220801079624E-4</v>
      </c>
      <c r="AA32" s="5">
        <v>6.1751176977307195E-4</v>
      </c>
      <c r="AB32" s="10">
        <v>3.7498363474846902E-3</v>
      </c>
      <c r="AC32" s="10">
        <v>1.8383179943117901E-5</v>
      </c>
      <c r="AD32" s="10">
        <v>1.9536019477626301E-2</v>
      </c>
      <c r="AE32" s="4">
        <v>2.73401164794333E-2</v>
      </c>
      <c r="AF32" s="4">
        <v>0.70548153489603005</v>
      </c>
      <c r="AG32" s="4">
        <v>0.96716791056331997</v>
      </c>
      <c r="AH32" s="4">
        <v>0.99236114036842904</v>
      </c>
      <c r="AI32" s="4">
        <v>0.99893747468959904</v>
      </c>
      <c r="AJ32" s="4">
        <v>1</v>
      </c>
      <c r="AK32" s="4">
        <v>1</v>
      </c>
      <c r="AL32" s="4">
        <v>1</v>
      </c>
      <c r="AM32" s="4">
        <v>0</v>
      </c>
      <c r="AN32" s="4">
        <v>0</v>
      </c>
      <c r="AO32" s="4" t="s">
        <v>80</v>
      </c>
      <c r="AP32" s="4" t="s">
        <v>81</v>
      </c>
      <c r="AQ32" s="6">
        <v>14307224186.75</v>
      </c>
      <c r="AR32" s="4">
        <v>56457</v>
      </c>
      <c r="AS32" s="15">
        <v>0</v>
      </c>
      <c r="AT32" s="15">
        <v>0</v>
      </c>
      <c r="AU32" s="15">
        <v>0</v>
      </c>
      <c r="AV32" s="15">
        <v>100</v>
      </c>
      <c r="AW32" s="15">
        <v>0</v>
      </c>
      <c r="AX32" s="15">
        <v>100</v>
      </c>
      <c r="AY32">
        <v>1580.01661585496</v>
      </c>
    </row>
    <row r="33" spans="1:51" x14ac:dyDescent="0.25">
      <c r="A33">
        <v>97</v>
      </c>
      <c r="B33" s="4">
        <v>0.96891158549565204</v>
      </c>
      <c r="C33" s="4">
        <v>36.328359776885698</v>
      </c>
      <c r="D33" s="4">
        <v>31.544273045891799</v>
      </c>
      <c r="E33" s="4">
        <v>3.6920430825307597E-2</v>
      </c>
      <c r="F33" s="5">
        <v>3.1088414504347399E-2</v>
      </c>
      <c r="G33" s="5">
        <v>0</v>
      </c>
      <c r="H33" s="4">
        <v>5.27454386722005</v>
      </c>
      <c r="I33" s="4">
        <v>3.6511078525434102</v>
      </c>
      <c r="J33" s="4">
        <v>24.2356305018148</v>
      </c>
      <c r="K33" s="4">
        <v>181.614353501968</v>
      </c>
      <c r="L33" s="4">
        <v>15.047433023976801</v>
      </c>
      <c r="M33" s="4">
        <v>31.9036088582539</v>
      </c>
      <c r="N33" s="4">
        <v>82.862192598981096</v>
      </c>
      <c r="O33" s="4">
        <v>74.555187309182102</v>
      </c>
      <c r="P33" s="4">
        <v>284232.112159585</v>
      </c>
      <c r="Q33" s="4">
        <v>265342.53940657497</v>
      </c>
      <c r="R33" s="4">
        <v>778.22083156904603</v>
      </c>
      <c r="S33" s="4">
        <v>0</v>
      </c>
      <c r="T33" s="4">
        <v>0</v>
      </c>
      <c r="U33" s="4">
        <v>1.51319288660427E-2</v>
      </c>
      <c r="V33" s="4">
        <v>1</v>
      </c>
      <c r="W33" s="4">
        <v>0</v>
      </c>
      <c r="X33" s="4">
        <v>0.64072221849630295</v>
      </c>
      <c r="Y33" s="4">
        <v>0</v>
      </c>
      <c r="Z33" s="5">
        <v>4.3317628772882797E-4</v>
      </c>
      <c r="AA33" s="5">
        <v>8.0132513978559302E-4</v>
      </c>
      <c r="AB33" s="10">
        <v>3.6619789230298901E-3</v>
      </c>
      <c r="AC33" s="10">
        <v>5.1954276900793003E-5</v>
      </c>
      <c r="AD33" s="10">
        <v>2.6139964551456001E-2</v>
      </c>
      <c r="AE33" s="4">
        <v>5.23116693084964E-2</v>
      </c>
      <c r="AF33" s="4">
        <v>0.58102678728438495</v>
      </c>
      <c r="AG33" s="4">
        <v>0.92910968841869601</v>
      </c>
      <c r="AH33" s="4">
        <v>0.97575787032496697</v>
      </c>
      <c r="AI33" s="4">
        <v>0.99786618219456702</v>
      </c>
      <c r="AJ33" s="4">
        <v>1</v>
      </c>
      <c r="AK33" s="4">
        <v>1</v>
      </c>
      <c r="AL33" s="4">
        <v>1</v>
      </c>
      <c r="AM33" s="4">
        <v>0</v>
      </c>
      <c r="AN33" s="4">
        <v>0</v>
      </c>
      <c r="AO33" s="4" t="s">
        <v>82</v>
      </c>
      <c r="AP33" s="4" t="s">
        <v>83</v>
      </c>
      <c r="AQ33" s="6">
        <v>1654410733.2</v>
      </c>
      <c r="AR33" s="4">
        <v>6235</v>
      </c>
      <c r="AS33" s="15">
        <v>0</v>
      </c>
      <c r="AT33" s="15">
        <v>0</v>
      </c>
      <c r="AU33" s="15">
        <v>0</v>
      </c>
      <c r="AV33" s="15">
        <v>100</v>
      </c>
      <c r="AW33" s="15">
        <v>0</v>
      </c>
      <c r="AX33" s="15">
        <v>100</v>
      </c>
      <c r="AY33">
        <v>1703.40121551075</v>
      </c>
    </row>
    <row r="34" spans="1:51" x14ac:dyDescent="0.25">
      <c r="A34">
        <v>97</v>
      </c>
      <c r="B34" s="4">
        <v>0.96240301813742402</v>
      </c>
      <c r="C34" s="4">
        <v>38.942758267856</v>
      </c>
      <c r="D34" s="4">
        <v>36.8630329470002</v>
      </c>
      <c r="E34" s="4">
        <v>4.0279514382837001E-2</v>
      </c>
      <c r="F34" s="5">
        <v>3.7596981862575297E-2</v>
      </c>
      <c r="G34" s="5">
        <v>0</v>
      </c>
      <c r="H34" s="4">
        <v>5.2584410472343102</v>
      </c>
      <c r="I34" s="4">
        <v>3.6901338681703799</v>
      </c>
      <c r="J34" s="4">
        <v>35.192774180943402</v>
      </c>
      <c r="K34" s="4">
        <v>207.22068314833399</v>
      </c>
      <c r="L34" s="4">
        <v>15.0443660840661</v>
      </c>
      <c r="M34" s="4">
        <v>23.332505589133401</v>
      </c>
      <c r="N34" s="4">
        <v>90.009753610404502</v>
      </c>
      <c r="O34" s="4">
        <v>75.142063492162706</v>
      </c>
      <c r="P34" s="4">
        <v>288502.94402454898</v>
      </c>
      <c r="Q34" s="4">
        <v>265318.44494117599</v>
      </c>
      <c r="R34" s="4">
        <v>777.25461049215005</v>
      </c>
      <c r="S34" s="4">
        <v>0</v>
      </c>
      <c r="T34" s="4">
        <v>0</v>
      </c>
      <c r="U34" s="4">
        <v>1.1318561060742E-2</v>
      </c>
      <c r="V34" s="4">
        <v>1</v>
      </c>
      <c r="W34" s="4">
        <v>0</v>
      </c>
      <c r="X34" s="4">
        <v>0.70290137530575503</v>
      </c>
      <c r="Y34" s="4">
        <v>0</v>
      </c>
      <c r="Z34" s="5">
        <v>5.0317953766026297E-4</v>
      </c>
      <c r="AA34" s="5">
        <v>6.5604787179320196E-4</v>
      </c>
      <c r="AB34" s="10">
        <v>4.0975847466188601E-3</v>
      </c>
      <c r="AC34" s="10">
        <v>2.91227985895499E-4</v>
      </c>
      <c r="AD34" s="10">
        <v>3.2048925958394002E-2</v>
      </c>
      <c r="AE34" s="4">
        <v>0.105441554876214</v>
      </c>
      <c r="AF34" s="4">
        <v>0.25587583007425202</v>
      </c>
      <c r="AG34" s="4">
        <v>0.71213793925763902</v>
      </c>
      <c r="AH34" s="4">
        <v>0.83137016671730302</v>
      </c>
      <c r="AI34" s="4">
        <v>0.99392130316264105</v>
      </c>
      <c r="AJ34" s="4">
        <v>1</v>
      </c>
      <c r="AK34" s="4">
        <v>1</v>
      </c>
      <c r="AL34" s="4">
        <v>1</v>
      </c>
      <c r="AM34" s="4">
        <v>0</v>
      </c>
      <c r="AN34" s="4">
        <v>0</v>
      </c>
      <c r="AO34" s="4" t="s">
        <v>84</v>
      </c>
      <c r="AP34" s="4" t="s">
        <v>85</v>
      </c>
      <c r="AQ34" s="6">
        <v>67656203.459999993</v>
      </c>
      <c r="AR34" s="4">
        <v>255</v>
      </c>
      <c r="AS34" s="15">
        <v>0</v>
      </c>
      <c r="AT34" s="15">
        <v>0</v>
      </c>
      <c r="AU34" s="15">
        <v>0</v>
      </c>
      <c r="AV34" s="15">
        <v>100</v>
      </c>
      <c r="AW34" s="15">
        <v>0</v>
      </c>
      <c r="AX34" s="15">
        <v>100</v>
      </c>
      <c r="AY34">
        <v>1720.83393534621</v>
      </c>
    </row>
    <row r="35" spans="1:51" x14ac:dyDescent="0.25">
      <c r="A35">
        <v>97</v>
      </c>
      <c r="B35" s="4">
        <v>0.96235089482506297</v>
      </c>
      <c r="C35" s="4">
        <v>53.259295562111298</v>
      </c>
      <c r="D35" s="4">
        <v>36.9040543613065</v>
      </c>
      <c r="E35" s="4">
        <v>6.1412849198621298E-2</v>
      </c>
      <c r="F35" s="5">
        <v>3.76491051749362E-2</v>
      </c>
      <c r="G35" s="5">
        <v>0</v>
      </c>
      <c r="H35" s="4">
        <v>5.3525429708691501</v>
      </c>
      <c r="I35" s="4">
        <v>3.6655120735998601</v>
      </c>
      <c r="J35" s="4">
        <v>39.396810465213001</v>
      </c>
      <c r="K35" s="4">
        <v>231.61097412837799</v>
      </c>
      <c r="L35" s="4">
        <v>14.9215646229329</v>
      </c>
      <c r="M35" s="4">
        <v>22.6907750499008</v>
      </c>
      <c r="N35" s="4">
        <v>94.1181422933265</v>
      </c>
      <c r="O35" s="4">
        <v>73.909209937427605</v>
      </c>
      <c r="P35" s="4">
        <v>285023.61851012497</v>
      </c>
      <c r="Q35" s="4">
        <v>267429.77117646998</v>
      </c>
      <c r="R35" s="4">
        <v>789.004902956259</v>
      </c>
      <c r="S35" s="4">
        <v>0</v>
      </c>
      <c r="T35" s="4">
        <v>0</v>
      </c>
      <c r="U35" s="4">
        <v>0</v>
      </c>
      <c r="V35" s="4">
        <v>1</v>
      </c>
      <c r="W35" s="4">
        <v>0</v>
      </c>
      <c r="X35" s="4">
        <v>0.61952794023365898</v>
      </c>
      <c r="Y35" s="4">
        <v>0</v>
      </c>
      <c r="Z35" s="5">
        <v>5.9572058417280604E-4</v>
      </c>
      <c r="AA35" s="5">
        <v>7.2086309457873197E-4</v>
      </c>
      <c r="AB35" s="10">
        <v>4.19919429821204E-3</v>
      </c>
      <c r="AC35" s="10">
        <v>6.4053653534141305E-4</v>
      </c>
      <c r="AD35" s="10">
        <v>3.1492773531647401E-2</v>
      </c>
      <c r="AE35" s="4">
        <v>0.13431291059580699</v>
      </c>
      <c r="AF35" s="4">
        <v>0.375337592479007</v>
      </c>
      <c r="AG35" s="4">
        <v>0.43108040958553001</v>
      </c>
      <c r="AH35" s="4">
        <v>0.62134496482463997</v>
      </c>
      <c r="AI35" s="4">
        <v>0.95475242207128797</v>
      </c>
      <c r="AJ35" s="4">
        <v>1</v>
      </c>
      <c r="AK35" s="4">
        <v>1</v>
      </c>
      <c r="AL35" s="4">
        <v>1</v>
      </c>
      <c r="AM35" s="4">
        <v>0</v>
      </c>
      <c r="AN35" s="4">
        <v>0</v>
      </c>
      <c r="AO35" s="4" t="s">
        <v>86</v>
      </c>
      <c r="AP35" s="4" t="s">
        <v>87</v>
      </c>
      <c r="AQ35" s="6">
        <v>4546306.1100000003</v>
      </c>
      <c r="AR35" s="4">
        <v>17</v>
      </c>
      <c r="AS35" s="15">
        <v>0</v>
      </c>
      <c r="AT35" s="15">
        <v>0</v>
      </c>
      <c r="AU35" s="15">
        <v>0</v>
      </c>
      <c r="AV35" s="15">
        <v>100</v>
      </c>
      <c r="AW35" s="15">
        <v>0</v>
      </c>
      <c r="AX35" s="15">
        <v>100</v>
      </c>
      <c r="AY35">
        <v>1767.28835744874</v>
      </c>
    </row>
    <row r="36" spans="1:51" x14ac:dyDescent="0.25">
      <c r="A36">
        <v>97</v>
      </c>
      <c r="B36" s="4">
        <v>0.97085009</v>
      </c>
      <c r="C36" s="4">
        <v>100</v>
      </c>
      <c r="D36" s="4">
        <v>29.882551770272201</v>
      </c>
      <c r="E36" s="4">
        <v>1</v>
      </c>
      <c r="F36" s="5">
        <v>2.9149910000000001E-2</v>
      </c>
      <c r="G36" s="5">
        <v>0</v>
      </c>
      <c r="H36" s="4">
        <v>5.625</v>
      </c>
      <c r="I36" s="4">
        <v>3.7846229999999998</v>
      </c>
      <c r="J36" s="4">
        <v>55.396599999999999</v>
      </c>
      <c r="K36" s="4">
        <v>279.11</v>
      </c>
      <c r="L36" s="4">
        <v>23.7</v>
      </c>
      <c r="M36" s="4">
        <v>23</v>
      </c>
      <c r="N36" s="4">
        <v>102</v>
      </c>
      <c r="O36" s="4">
        <v>66.61</v>
      </c>
      <c r="P36" s="4">
        <v>168148</v>
      </c>
      <c r="Q36" s="4">
        <v>168148</v>
      </c>
      <c r="R36" s="4">
        <v>781</v>
      </c>
      <c r="S36" s="4">
        <v>0</v>
      </c>
      <c r="T36" s="4">
        <v>0</v>
      </c>
      <c r="U36" s="4">
        <v>0</v>
      </c>
      <c r="V36" s="4">
        <v>1</v>
      </c>
      <c r="W36" s="4">
        <v>0</v>
      </c>
      <c r="X36" s="4">
        <v>1</v>
      </c>
      <c r="Y36" s="4">
        <v>0</v>
      </c>
      <c r="Z36" s="5">
        <v>1.18778E-3</v>
      </c>
      <c r="AA36" s="5">
        <v>1.164E-5</v>
      </c>
      <c r="AB36" s="10">
        <v>4.3739900000000003E-3</v>
      </c>
      <c r="AC36" s="10">
        <v>0</v>
      </c>
      <c r="AD36" s="10">
        <v>2.3576489999999999E-2</v>
      </c>
      <c r="AE36" s="4">
        <v>4.8819969521868102E-2</v>
      </c>
      <c r="AF36" s="4">
        <v>1</v>
      </c>
      <c r="AG36" s="4">
        <v>1</v>
      </c>
      <c r="AH36" s="4">
        <v>1</v>
      </c>
      <c r="AI36" s="4">
        <v>1</v>
      </c>
      <c r="AJ36" s="4">
        <v>1</v>
      </c>
      <c r="AK36" s="4">
        <v>1</v>
      </c>
      <c r="AL36" s="4">
        <v>1</v>
      </c>
      <c r="AM36" s="4">
        <v>0</v>
      </c>
      <c r="AN36" s="4">
        <v>0</v>
      </c>
      <c r="AO36" s="4" t="s">
        <v>154</v>
      </c>
      <c r="AP36" s="4" t="s">
        <v>155</v>
      </c>
      <c r="AQ36" s="6">
        <v>168148</v>
      </c>
      <c r="AR36" s="4">
        <v>1</v>
      </c>
      <c r="AS36" s="15">
        <v>0</v>
      </c>
      <c r="AT36" s="15">
        <v>0</v>
      </c>
      <c r="AU36" s="15">
        <v>0</v>
      </c>
      <c r="AV36" s="15">
        <v>100</v>
      </c>
      <c r="AW36" s="15">
        <v>0</v>
      </c>
      <c r="AX36" s="15">
        <v>100</v>
      </c>
      <c r="AY36">
        <v>1585.61</v>
      </c>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0.99884929</v>
      </c>
      <c r="C42" s="4">
        <v>0</v>
      </c>
      <c r="D42" s="4">
        <v>1.3721461535033199</v>
      </c>
      <c r="E42" s="4">
        <v>0</v>
      </c>
      <c r="F42" s="5">
        <v>1.1507100000000001E-3</v>
      </c>
      <c r="G42" s="5">
        <v>0</v>
      </c>
      <c r="H42" s="4">
        <v>3.25</v>
      </c>
      <c r="I42" s="4">
        <v>3.7846220000000002</v>
      </c>
      <c r="J42" s="4">
        <v>-35.678899999999999</v>
      </c>
      <c r="K42" s="4">
        <v>-158.22</v>
      </c>
      <c r="L42" s="4">
        <v>14.79</v>
      </c>
      <c r="M42" s="4">
        <v>3</v>
      </c>
      <c r="N42" s="4">
        <v>80</v>
      </c>
      <c r="O42" s="4">
        <v>78.61</v>
      </c>
      <c r="P42" s="4">
        <v>269859.03000000003</v>
      </c>
      <c r="Q42" s="4">
        <v>269859.03000000003</v>
      </c>
      <c r="R42" s="4">
        <v>746</v>
      </c>
      <c r="S42" s="4">
        <v>0</v>
      </c>
      <c r="T42" s="4">
        <v>0</v>
      </c>
      <c r="U42" s="4">
        <v>0</v>
      </c>
      <c r="V42" s="4">
        <v>1</v>
      </c>
      <c r="W42" s="4">
        <v>0</v>
      </c>
      <c r="X42" s="4">
        <v>0</v>
      </c>
      <c r="Y42" s="4">
        <v>0</v>
      </c>
      <c r="Z42" s="5">
        <v>1.4259E-4</v>
      </c>
      <c r="AA42" s="5">
        <v>8.8400000000000001E-6</v>
      </c>
      <c r="AB42" s="10">
        <v>9.9927000000000002E-4</v>
      </c>
      <c r="AC42" s="10">
        <v>0</v>
      </c>
      <c r="AD42" s="10">
        <v>0</v>
      </c>
      <c r="AE42" s="4">
        <v>1.26502178898171E-2</v>
      </c>
      <c r="AF42" s="4">
        <v>1</v>
      </c>
      <c r="AG42" s="4">
        <v>1</v>
      </c>
      <c r="AH42" s="4">
        <v>1</v>
      </c>
      <c r="AI42" s="4">
        <v>1</v>
      </c>
      <c r="AJ42" s="4">
        <v>1</v>
      </c>
      <c r="AK42" s="4">
        <v>1</v>
      </c>
      <c r="AL42" s="4">
        <v>1</v>
      </c>
      <c r="AM42" s="4">
        <v>0</v>
      </c>
      <c r="AN42" s="4">
        <v>0</v>
      </c>
      <c r="AO42" s="4" t="s">
        <v>172</v>
      </c>
      <c r="AP42" s="4">
        <f>-175--150</f>
        <v>-25</v>
      </c>
      <c r="AQ42" s="6">
        <v>269859.03000000003</v>
      </c>
      <c r="AR42" s="4">
        <v>1</v>
      </c>
      <c r="AS42" s="15">
        <v>0</v>
      </c>
      <c r="AT42" s="15">
        <v>0</v>
      </c>
      <c r="AU42" s="15">
        <v>0</v>
      </c>
      <c r="AV42" s="15">
        <v>100</v>
      </c>
      <c r="AW42" s="15">
        <v>0</v>
      </c>
      <c r="AX42" s="15">
        <v>100</v>
      </c>
      <c r="AY42" s="31">
        <v>0</v>
      </c>
    </row>
    <row r="43" spans="1:51" x14ac:dyDescent="0.25">
      <c r="A43">
        <v>96</v>
      </c>
      <c r="B43" s="4">
        <v>0.99759590819231203</v>
      </c>
      <c r="C43" s="4">
        <v>1.3607005350335999</v>
      </c>
      <c r="D43" s="4">
        <v>2.8470684692719801</v>
      </c>
      <c r="E43" s="4">
        <v>1.1410509302395601E-3</v>
      </c>
      <c r="F43" s="5">
        <v>2.40409180768728E-3</v>
      </c>
      <c r="G43" s="5">
        <v>0</v>
      </c>
      <c r="H43" s="4">
        <v>3.4361868837170499</v>
      </c>
      <c r="I43" s="4">
        <v>3.6907462299345899</v>
      </c>
      <c r="J43" s="4">
        <v>-25.404333402415801</v>
      </c>
      <c r="K43" s="4">
        <v>-134.57504655499099</v>
      </c>
      <c r="L43" s="4">
        <v>15.080232784588199</v>
      </c>
      <c r="M43" s="4">
        <v>3.2774686091775602</v>
      </c>
      <c r="N43" s="4">
        <v>80</v>
      </c>
      <c r="O43" s="4">
        <v>77.159649001553205</v>
      </c>
      <c r="P43" s="4">
        <v>273466.28340945399</v>
      </c>
      <c r="Q43" s="4">
        <v>264744.97499999998</v>
      </c>
      <c r="R43" s="4">
        <v>766.37193742770705</v>
      </c>
      <c r="S43" s="4">
        <v>0</v>
      </c>
      <c r="T43" s="4">
        <v>0</v>
      </c>
      <c r="U43" s="4">
        <v>0</v>
      </c>
      <c r="V43" s="4">
        <v>1</v>
      </c>
      <c r="W43" s="4">
        <v>0</v>
      </c>
      <c r="X43" s="4">
        <v>0</v>
      </c>
      <c r="Y43" s="4">
        <v>0</v>
      </c>
      <c r="Z43" s="5">
        <v>2.1276077457560799E-4</v>
      </c>
      <c r="AA43" s="5">
        <v>6.0680094557035501E-6</v>
      </c>
      <c r="AB43" s="10">
        <v>1.77654391995797E-3</v>
      </c>
      <c r="AC43" s="10">
        <v>0</v>
      </c>
      <c r="AD43" s="10">
        <v>4.0870586713033898E-4</v>
      </c>
      <c r="AE43" s="4">
        <v>2.9958581768200501E-2</v>
      </c>
      <c r="AF43" s="4">
        <v>1</v>
      </c>
      <c r="AG43" s="4">
        <v>1</v>
      </c>
      <c r="AH43" s="4">
        <v>1</v>
      </c>
      <c r="AI43" s="4">
        <v>1</v>
      </c>
      <c r="AJ43" s="4">
        <v>1</v>
      </c>
      <c r="AK43" s="4">
        <v>1</v>
      </c>
      <c r="AL43" s="4">
        <v>1</v>
      </c>
      <c r="AM43" s="4">
        <v>0</v>
      </c>
      <c r="AN43" s="4">
        <v>0</v>
      </c>
      <c r="AO43" s="4" t="s">
        <v>62</v>
      </c>
      <c r="AP43" s="4">
        <f>-150--125</f>
        <v>-25</v>
      </c>
      <c r="AQ43" s="6">
        <v>1058979.8999999999</v>
      </c>
      <c r="AR43" s="4">
        <v>4</v>
      </c>
      <c r="AS43" s="15">
        <v>0</v>
      </c>
      <c r="AT43" s="15">
        <v>0</v>
      </c>
      <c r="AU43" s="15">
        <v>0</v>
      </c>
      <c r="AV43" s="15">
        <v>100</v>
      </c>
      <c r="AW43" s="15">
        <v>0</v>
      </c>
      <c r="AX43" s="15">
        <v>100</v>
      </c>
      <c r="AY43" s="31">
        <v>0</v>
      </c>
    </row>
    <row r="44" spans="1:51" x14ac:dyDescent="0.25">
      <c r="A44">
        <v>96</v>
      </c>
      <c r="B44" s="4">
        <v>0.99676983816290499</v>
      </c>
      <c r="C44" s="4">
        <v>3.1040952516578901</v>
      </c>
      <c r="D44" s="4">
        <v>3.8080662763898698</v>
      </c>
      <c r="E44" s="4">
        <v>2.62429472257309E-3</v>
      </c>
      <c r="F44" s="5">
        <v>3.2301618370947399E-3</v>
      </c>
      <c r="G44" s="5">
        <v>0</v>
      </c>
      <c r="H44" s="4">
        <v>3.74338349596764</v>
      </c>
      <c r="I44" s="4">
        <v>3.9193896141510698</v>
      </c>
      <c r="J44" s="4">
        <v>-33.857361070211802</v>
      </c>
      <c r="K44" s="4">
        <v>-109.95371887641301</v>
      </c>
      <c r="L44" s="4">
        <v>18.357228231025601</v>
      </c>
      <c r="M44" s="4">
        <v>5.8516043614467499</v>
      </c>
      <c r="N44" s="4">
        <v>79.889688461937695</v>
      </c>
      <c r="O44" s="4">
        <v>77.383609775932101</v>
      </c>
      <c r="P44" s="4">
        <v>242136.171867714</v>
      </c>
      <c r="Q44" s="4">
        <v>215230.77129032201</v>
      </c>
      <c r="R44" s="4">
        <v>781.99528001445594</v>
      </c>
      <c r="S44" s="4">
        <v>0</v>
      </c>
      <c r="T44" s="4">
        <v>0</v>
      </c>
      <c r="U44" s="4">
        <v>0</v>
      </c>
      <c r="V44" s="4">
        <v>1</v>
      </c>
      <c r="W44" s="4">
        <v>0</v>
      </c>
      <c r="X44" s="4">
        <v>0.134868640942366</v>
      </c>
      <c r="Y44" s="4">
        <v>0</v>
      </c>
      <c r="Z44" s="5">
        <v>3.1163999758332899E-4</v>
      </c>
      <c r="AA44" s="5">
        <v>9.5462147019147495E-5</v>
      </c>
      <c r="AB44" s="10">
        <v>1.9755544513885099E-3</v>
      </c>
      <c r="AC44" s="10">
        <v>0</v>
      </c>
      <c r="AD44" s="10">
        <v>8.4749356469294903E-4</v>
      </c>
      <c r="AE44" s="4">
        <v>1.4450716919734201E-2</v>
      </c>
      <c r="AF44" s="4">
        <v>0.96669189545119405</v>
      </c>
      <c r="AG44" s="4">
        <v>1</v>
      </c>
      <c r="AH44" s="4">
        <v>1</v>
      </c>
      <c r="AI44" s="4">
        <v>1</v>
      </c>
      <c r="AJ44" s="4">
        <v>1</v>
      </c>
      <c r="AK44" s="4">
        <v>1</v>
      </c>
      <c r="AL44" s="4">
        <v>1</v>
      </c>
      <c r="AM44" s="4">
        <v>0</v>
      </c>
      <c r="AN44" s="4">
        <v>0</v>
      </c>
      <c r="AO44" s="4" t="s">
        <v>63</v>
      </c>
      <c r="AP44" s="4">
        <f>-125--100</f>
        <v>-25</v>
      </c>
      <c r="AQ44" s="6">
        <v>6672153.9100000001</v>
      </c>
      <c r="AR44" s="4">
        <v>31</v>
      </c>
      <c r="AS44" s="15">
        <v>0</v>
      </c>
      <c r="AT44" s="15">
        <v>0</v>
      </c>
      <c r="AU44" s="15">
        <v>0</v>
      </c>
      <c r="AV44" s="15">
        <v>100</v>
      </c>
      <c r="AW44" s="15">
        <v>0</v>
      </c>
      <c r="AX44" s="15">
        <v>100</v>
      </c>
      <c r="AY44" s="31">
        <v>0</v>
      </c>
    </row>
    <row r="45" spans="1:51" x14ac:dyDescent="0.25">
      <c r="A45">
        <v>96</v>
      </c>
      <c r="B45" s="4">
        <v>0.99237854844068096</v>
      </c>
      <c r="C45" s="4">
        <v>2.73538140607763</v>
      </c>
      <c r="D45" s="4">
        <v>8.7719452969026204</v>
      </c>
      <c r="E45" s="4">
        <v>2.3085723930023798E-3</v>
      </c>
      <c r="F45" s="5">
        <v>7.6214515593182198E-3</v>
      </c>
      <c r="G45" s="5">
        <v>0</v>
      </c>
      <c r="H45" s="4">
        <v>3.9460040132939702</v>
      </c>
      <c r="I45" s="4">
        <v>3.8515993614474699</v>
      </c>
      <c r="J45" s="4">
        <v>-14.9374395154749</v>
      </c>
      <c r="K45" s="4">
        <v>-84.467718519781101</v>
      </c>
      <c r="L45" s="4">
        <v>18.153930308802799</v>
      </c>
      <c r="M45" s="4">
        <v>7.6771466606613901</v>
      </c>
      <c r="N45" s="4">
        <v>78.610667717289004</v>
      </c>
      <c r="O45" s="4">
        <v>75.757957862040101</v>
      </c>
      <c r="P45" s="4">
        <v>256213.84663240801</v>
      </c>
      <c r="Q45" s="4">
        <v>213352.78754237201</v>
      </c>
      <c r="R45" s="4">
        <v>779.81346679429305</v>
      </c>
      <c r="S45" s="4">
        <v>0</v>
      </c>
      <c r="T45" s="4">
        <v>0</v>
      </c>
      <c r="U45" s="4">
        <v>0</v>
      </c>
      <c r="V45" s="4">
        <v>1</v>
      </c>
      <c r="W45" s="4">
        <v>0</v>
      </c>
      <c r="X45" s="4">
        <v>0.30271326373573099</v>
      </c>
      <c r="Y45" s="4">
        <v>0</v>
      </c>
      <c r="Z45" s="5">
        <v>4.11303406169881E-4</v>
      </c>
      <c r="AA45" s="5">
        <v>2.5461421142708999E-5</v>
      </c>
      <c r="AB45" s="10">
        <v>2.1879033651087099E-3</v>
      </c>
      <c r="AC45" s="10">
        <v>0</v>
      </c>
      <c r="AD45" s="10">
        <v>4.9967698052165504E-3</v>
      </c>
      <c r="AE45" s="4">
        <v>8.3430451873192594E-3</v>
      </c>
      <c r="AF45" s="4">
        <v>0.93157793814051104</v>
      </c>
      <c r="AG45" s="4">
        <v>1</v>
      </c>
      <c r="AH45" s="4">
        <v>1</v>
      </c>
      <c r="AI45" s="4">
        <v>1</v>
      </c>
      <c r="AJ45" s="4">
        <v>1</v>
      </c>
      <c r="AK45" s="4">
        <v>1</v>
      </c>
      <c r="AL45" s="4">
        <v>1</v>
      </c>
      <c r="AM45" s="4">
        <v>0</v>
      </c>
      <c r="AN45" s="4">
        <v>0</v>
      </c>
      <c r="AO45" s="4" t="s">
        <v>64</v>
      </c>
      <c r="AP45" s="4">
        <f>-100--75</f>
        <v>-25</v>
      </c>
      <c r="AQ45" s="6">
        <v>25175628.93</v>
      </c>
      <c r="AR45" s="4">
        <v>118</v>
      </c>
      <c r="AS45" s="15">
        <v>0</v>
      </c>
      <c r="AT45" s="15">
        <v>0</v>
      </c>
      <c r="AU45" s="15">
        <v>0</v>
      </c>
      <c r="AV45" s="15">
        <v>100</v>
      </c>
      <c r="AW45" s="15">
        <v>0</v>
      </c>
      <c r="AX45" s="15">
        <v>100</v>
      </c>
      <c r="AY45">
        <v>4.0890774775174603E-2</v>
      </c>
    </row>
    <row r="46" spans="1:51" x14ac:dyDescent="0.25">
      <c r="A46">
        <v>96</v>
      </c>
      <c r="B46" s="4">
        <v>0.99742354568474501</v>
      </c>
      <c r="C46" s="4">
        <v>2.5766161876004401</v>
      </c>
      <c r="D46" s="4">
        <v>3.0483076966426901</v>
      </c>
      <c r="E46" s="4">
        <v>2.1729626863243802E-3</v>
      </c>
      <c r="F46" s="5">
        <v>2.5764543152544E-3</v>
      </c>
      <c r="G46" s="5">
        <v>0</v>
      </c>
      <c r="H46" s="4">
        <v>3.65606061004685</v>
      </c>
      <c r="I46" s="4">
        <v>3.9930969361080999</v>
      </c>
      <c r="J46" s="4">
        <v>-43.721096252905397</v>
      </c>
      <c r="K46" s="4">
        <v>-56.808618320161699</v>
      </c>
      <c r="L46" s="4">
        <v>17.347418090462899</v>
      </c>
      <c r="M46" s="4">
        <v>5.1766206744867604</v>
      </c>
      <c r="N46" s="4">
        <v>78.719759277482197</v>
      </c>
      <c r="O46" s="4">
        <v>76.614271624509797</v>
      </c>
      <c r="P46" s="4">
        <v>257871.86854844401</v>
      </c>
      <c r="Q46" s="4">
        <v>226318.88150579101</v>
      </c>
      <c r="R46" s="4">
        <v>780.29432048859803</v>
      </c>
      <c r="S46" s="4">
        <v>0</v>
      </c>
      <c r="T46" s="4">
        <v>0</v>
      </c>
      <c r="U46" s="4">
        <v>3.6021855311495002E-2</v>
      </c>
      <c r="V46" s="4">
        <v>1</v>
      </c>
      <c r="W46" s="4">
        <v>0</v>
      </c>
      <c r="X46" s="4">
        <v>0.23863433331797901</v>
      </c>
      <c r="Y46" s="4">
        <v>0</v>
      </c>
      <c r="Z46" s="5">
        <v>3.0069801394448301E-4</v>
      </c>
      <c r="AA46" s="5">
        <v>2.5224010733100001E-5</v>
      </c>
      <c r="AB46" s="10">
        <v>1.56386230803447E-3</v>
      </c>
      <c r="AC46" s="10">
        <v>0</v>
      </c>
      <c r="AD46" s="10">
        <v>6.86659776723671E-4</v>
      </c>
      <c r="AE46" s="4">
        <v>8.4470040467323204E-3</v>
      </c>
      <c r="AF46" s="4">
        <v>0.971725342753052</v>
      </c>
      <c r="AG46" s="4">
        <v>1</v>
      </c>
      <c r="AH46" s="4">
        <v>1</v>
      </c>
      <c r="AI46" s="4">
        <v>1</v>
      </c>
      <c r="AJ46" s="4">
        <v>1</v>
      </c>
      <c r="AK46" s="4">
        <v>1</v>
      </c>
      <c r="AL46" s="4">
        <v>1</v>
      </c>
      <c r="AM46" s="4">
        <v>0</v>
      </c>
      <c r="AN46" s="4">
        <v>0</v>
      </c>
      <c r="AO46" s="4" t="s">
        <v>65</v>
      </c>
      <c r="AP46" s="4">
        <f>-75--50</f>
        <v>-25</v>
      </c>
      <c r="AQ46" s="6">
        <v>351699541.86000001</v>
      </c>
      <c r="AR46" s="4">
        <v>1554</v>
      </c>
      <c r="AS46" s="15">
        <v>0</v>
      </c>
      <c r="AT46" s="15">
        <v>0</v>
      </c>
      <c r="AU46" s="15">
        <v>0</v>
      </c>
      <c r="AV46" s="15">
        <v>100</v>
      </c>
      <c r="AW46" s="15">
        <v>0</v>
      </c>
      <c r="AX46" s="15">
        <v>100</v>
      </c>
      <c r="AY46">
        <v>0.122102660899951</v>
      </c>
    </row>
    <row r="47" spans="1:51" x14ac:dyDescent="0.25">
      <c r="A47">
        <v>96</v>
      </c>
      <c r="B47" s="4">
        <v>0.99638447097815597</v>
      </c>
      <c r="C47" s="4">
        <v>3.2945067444212102</v>
      </c>
      <c r="D47" s="4">
        <v>4.25339065802482</v>
      </c>
      <c r="E47" s="4">
        <v>2.7877717563973901E-3</v>
      </c>
      <c r="F47" s="5">
        <v>3.6155290218437999E-3</v>
      </c>
      <c r="G47" s="5">
        <v>0</v>
      </c>
      <c r="H47" s="4">
        <v>3.7205977994678499</v>
      </c>
      <c r="I47" s="4">
        <v>3.9654331423204998</v>
      </c>
      <c r="J47" s="4">
        <v>-36.055435118554001</v>
      </c>
      <c r="K47" s="4">
        <v>-33.426627884314101</v>
      </c>
      <c r="L47" s="4">
        <v>15.7711747607076</v>
      </c>
      <c r="M47" s="4">
        <v>5.1959591546027202</v>
      </c>
      <c r="N47" s="4">
        <v>76.162991205720203</v>
      </c>
      <c r="O47" s="4">
        <v>74.253062664003707</v>
      </c>
      <c r="P47" s="4">
        <v>273858.08548573102</v>
      </c>
      <c r="Q47" s="4">
        <v>251896.208265394</v>
      </c>
      <c r="R47" s="4">
        <v>783.04716563938098</v>
      </c>
      <c r="S47" s="4">
        <v>0</v>
      </c>
      <c r="T47" s="4">
        <v>0</v>
      </c>
      <c r="U47" s="4">
        <v>7.3155261791144802E-2</v>
      </c>
      <c r="V47" s="4">
        <v>1</v>
      </c>
      <c r="W47" s="4">
        <v>0</v>
      </c>
      <c r="X47" s="4">
        <v>0.36438936945031197</v>
      </c>
      <c r="Y47" s="4">
        <v>0</v>
      </c>
      <c r="Z47" s="5">
        <v>2.4370324585455699E-4</v>
      </c>
      <c r="AA47" s="5">
        <v>2.5320424291560499E-5</v>
      </c>
      <c r="AB47" s="10">
        <v>1.7121432106226801E-3</v>
      </c>
      <c r="AC47" s="10">
        <v>1.10352228781894E-9</v>
      </c>
      <c r="AD47" s="10">
        <v>1.6343467434013199E-3</v>
      </c>
      <c r="AE47" s="4">
        <v>1.38413296722135E-2</v>
      </c>
      <c r="AF47" s="4">
        <v>0.94455101883642201</v>
      </c>
      <c r="AG47" s="4">
        <v>0.99973268791653902</v>
      </c>
      <c r="AH47" s="4">
        <v>1</v>
      </c>
      <c r="AI47" s="4">
        <v>1</v>
      </c>
      <c r="AJ47" s="4">
        <v>1</v>
      </c>
      <c r="AK47" s="4">
        <v>1</v>
      </c>
      <c r="AL47" s="4">
        <v>1</v>
      </c>
      <c r="AM47" s="4">
        <v>0</v>
      </c>
      <c r="AN47" s="4">
        <v>0</v>
      </c>
      <c r="AO47" s="4" t="s">
        <v>66</v>
      </c>
      <c r="AP47" s="4">
        <f>-50--25</f>
        <v>-25</v>
      </c>
      <c r="AQ47" s="6">
        <v>4381230750.3599997</v>
      </c>
      <c r="AR47" s="4">
        <v>17393</v>
      </c>
      <c r="AS47" s="15">
        <v>0</v>
      </c>
      <c r="AT47" s="15">
        <v>0</v>
      </c>
      <c r="AU47" s="15">
        <v>0</v>
      </c>
      <c r="AV47" s="15">
        <v>100</v>
      </c>
      <c r="AW47" s="15">
        <v>0</v>
      </c>
      <c r="AX47" s="15">
        <v>100</v>
      </c>
      <c r="AY47">
        <v>6.72851951219363E-2</v>
      </c>
    </row>
    <row r="48" spans="1:51" x14ac:dyDescent="0.25">
      <c r="A48">
        <v>96</v>
      </c>
      <c r="B48" s="4">
        <v>0.99482234027611705</v>
      </c>
      <c r="C48" s="4">
        <v>2.86192890222314</v>
      </c>
      <c r="D48" s="4">
        <v>6.0392762073251003</v>
      </c>
      <c r="E48" s="4">
        <v>2.4168086537628402E-3</v>
      </c>
      <c r="F48" s="5">
        <v>5.1776597238826598E-3</v>
      </c>
      <c r="G48" s="5">
        <v>0</v>
      </c>
      <c r="H48" s="4">
        <v>3.7721229817373501</v>
      </c>
      <c r="I48" s="4">
        <v>3.9568340351553402</v>
      </c>
      <c r="J48" s="4">
        <v>-31.7630363988632</v>
      </c>
      <c r="K48" s="4">
        <v>-22.347277204719301</v>
      </c>
      <c r="L48" s="4">
        <v>15.361732593586501</v>
      </c>
      <c r="M48" s="4">
        <v>5.2874797820754003</v>
      </c>
      <c r="N48" s="4">
        <v>73.421975522371497</v>
      </c>
      <c r="O48" s="4">
        <v>71.467919662833395</v>
      </c>
      <c r="P48" s="4">
        <v>279598.036858092</v>
      </c>
      <c r="Q48" s="4">
        <v>259431.830560487</v>
      </c>
      <c r="R48" s="4">
        <v>783.88046629623</v>
      </c>
      <c r="S48" s="4">
        <v>0</v>
      </c>
      <c r="T48" s="4">
        <v>0</v>
      </c>
      <c r="U48" s="4">
        <v>8.3982248702012402E-2</v>
      </c>
      <c r="V48" s="4">
        <v>1</v>
      </c>
      <c r="W48" s="4">
        <v>0</v>
      </c>
      <c r="X48" s="4">
        <v>0.48209047997249899</v>
      </c>
      <c r="Y48" s="4">
        <v>0</v>
      </c>
      <c r="Z48" s="5">
        <v>2.35530510886405E-4</v>
      </c>
      <c r="AA48" s="5">
        <v>2.31325896929488E-5</v>
      </c>
      <c r="AB48" s="10">
        <v>1.83616186688712E-3</v>
      </c>
      <c r="AC48" s="10">
        <v>0</v>
      </c>
      <c r="AD48" s="10">
        <v>3.0828201293831002E-3</v>
      </c>
      <c r="AE48" s="4">
        <v>1.62638738564653E-2</v>
      </c>
      <c r="AF48" s="4">
        <v>0.92167798682302704</v>
      </c>
      <c r="AG48" s="4">
        <v>0.99980749454339701</v>
      </c>
      <c r="AH48" s="4">
        <v>1</v>
      </c>
      <c r="AI48" s="4">
        <v>1</v>
      </c>
      <c r="AJ48" s="4">
        <v>1</v>
      </c>
      <c r="AK48" s="4">
        <v>1</v>
      </c>
      <c r="AL48" s="4">
        <v>1</v>
      </c>
      <c r="AM48" s="4">
        <v>0</v>
      </c>
      <c r="AN48" s="4">
        <v>0</v>
      </c>
      <c r="AO48" s="4" t="s">
        <v>137</v>
      </c>
      <c r="AP48" s="4">
        <f>-25--20</f>
        <v>-5</v>
      </c>
      <c r="AQ48" s="6">
        <v>2425428183.9099998</v>
      </c>
      <c r="AR48" s="4">
        <v>9349</v>
      </c>
      <c r="AS48" s="15">
        <v>0</v>
      </c>
      <c r="AT48" s="15">
        <v>0</v>
      </c>
      <c r="AU48" s="15">
        <v>0</v>
      </c>
      <c r="AV48" s="15">
        <v>100</v>
      </c>
      <c r="AW48" s="15">
        <v>0</v>
      </c>
      <c r="AX48" s="15">
        <v>100</v>
      </c>
      <c r="AY48">
        <v>0.108971321306707</v>
      </c>
    </row>
    <row r="49" spans="1:51" x14ac:dyDescent="0.25">
      <c r="A49">
        <v>96</v>
      </c>
      <c r="B49" s="4">
        <v>0.99387933412434504</v>
      </c>
      <c r="C49" s="4">
        <v>3.61522420183866</v>
      </c>
      <c r="D49" s="4">
        <v>7.1025219274753599</v>
      </c>
      <c r="E49" s="4">
        <v>3.06379067223282E-3</v>
      </c>
      <c r="F49" s="5">
        <v>6.1206658756547301E-3</v>
      </c>
      <c r="G49" s="5">
        <v>0</v>
      </c>
      <c r="H49" s="4">
        <v>3.8063413798527401</v>
      </c>
      <c r="I49" s="4">
        <v>3.95468198762708</v>
      </c>
      <c r="J49" s="4">
        <v>-29.556989631390699</v>
      </c>
      <c r="K49" s="4">
        <v>-17.383839824316201</v>
      </c>
      <c r="L49" s="4">
        <v>15.1617357954302</v>
      </c>
      <c r="M49" s="4">
        <v>5.6048290018864497</v>
      </c>
      <c r="N49" s="4">
        <v>72.270805141429406</v>
      </c>
      <c r="O49" s="4">
        <v>70.281025698736499</v>
      </c>
      <c r="P49" s="4">
        <v>283801.29283787799</v>
      </c>
      <c r="Q49" s="4">
        <v>262737.94453040499</v>
      </c>
      <c r="R49" s="4">
        <v>784.11372066360605</v>
      </c>
      <c r="S49" s="4">
        <v>0</v>
      </c>
      <c r="T49" s="4">
        <v>0</v>
      </c>
      <c r="U49" s="4">
        <v>7.6516429055711002E-2</v>
      </c>
      <c r="V49" s="4">
        <v>1</v>
      </c>
      <c r="W49" s="4">
        <v>0</v>
      </c>
      <c r="X49" s="4">
        <v>0.53219479110747203</v>
      </c>
      <c r="Y49" s="4">
        <v>0</v>
      </c>
      <c r="Z49" s="5">
        <v>2.4441356711980697E-4</v>
      </c>
      <c r="AA49" s="5">
        <v>2.8978026048785802E-5</v>
      </c>
      <c r="AB49" s="10">
        <v>1.90571955071833E-3</v>
      </c>
      <c r="AC49" s="10">
        <v>1.1153510714128E-9</v>
      </c>
      <c r="AD49" s="10">
        <v>3.9415391343759201E-3</v>
      </c>
      <c r="AE49" s="4">
        <v>1.672205547247E-2</v>
      </c>
      <c r="AF49" s="4">
        <v>0.90581346431891097</v>
      </c>
      <c r="AG49" s="4">
        <v>0.99958989035835</v>
      </c>
      <c r="AH49" s="4">
        <v>1</v>
      </c>
      <c r="AI49" s="4">
        <v>1</v>
      </c>
      <c r="AJ49" s="4">
        <v>1</v>
      </c>
      <c r="AK49" s="4">
        <v>1</v>
      </c>
      <c r="AL49" s="4">
        <v>1</v>
      </c>
      <c r="AM49" s="4">
        <v>0</v>
      </c>
      <c r="AN49" s="4">
        <v>0</v>
      </c>
      <c r="AO49" s="4" t="s">
        <v>138</v>
      </c>
      <c r="AP49" s="4">
        <f>-20--15</f>
        <v>-5</v>
      </c>
      <c r="AQ49" s="6">
        <v>3158372831.1999998</v>
      </c>
      <c r="AR49" s="4">
        <v>12021</v>
      </c>
      <c r="AS49" s="15">
        <v>0</v>
      </c>
      <c r="AT49" s="15">
        <v>0</v>
      </c>
      <c r="AU49" s="15">
        <v>0</v>
      </c>
      <c r="AV49" s="15">
        <v>100</v>
      </c>
      <c r="AW49" s="15">
        <v>0</v>
      </c>
      <c r="AX49" s="15">
        <v>100</v>
      </c>
      <c r="AY49">
        <v>0.12622302695097901</v>
      </c>
    </row>
    <row r="50" spans="1:51" x14ac:dyDescent="0.25">
      <c r="A50">
        <v>96</v>
      </c>
      <c r="B50" s="4">
        <v>0.99281213981634797</v>
      </c>
      <c r="C50" s="4">
        <v>3.7798664246295899</v>
      </c>
      <c r="D50" s="4">
        <v>8.2924803824222799</v>
      </c>
      <c r="E50" s="4">
        <v>3.2058138274863599E-3</v>
      </c>
      <c r="F50" s="5">
        <v>7.1878601836515704E-3</v>
      </c>
      <c r="G50" s="5">
        <v>0</v>
      </c>
      <c r="H50" s="4">
        <v>3.8378664024767701</v>
      </c>
      <c r="I50" s="4">
        <v>3.9462396523276899</v>
      </c>
      <c r="J50" s="4">
        <v>-27.809347473617901</v>
      </c>
      <c r="K50" s="4">
        <v>-12.387981044926301</v>
      </c>
      <c r="L50" s="4">
        <v>15.169058366368301</v>
      </c>
      <c r="M50" s="4">
        <v>6.1443635228783702</v>
      </c>
      <c r="N50" s="4">
        <v>70.856295572060901</v>
      </c>
      <c r="O50" s="4">
        <v>68.863903301333806</v>
      </c>
      <c r="P50" s="4">
        <v>283425.48809845798</v>
      </c>
      <c r="Q50" s="4">
        <v>262547.36216328299</v>
      </c>
      <c r="R50" s="4">
        <v>784.311660049485</v>
      </c>
      <c r="S50" s="4">
        <v>0</v>
      </c>
      <c r="T50" s="4">
        <v>0</v>
      </c>
      <c r="U50" s="4">
        <v>6.4873103264782503E-2</v>
      </c>
      <c r="V50" s="4">
        <v>1</v>
      </c>
      <c r="W50" s="4">
        <v>0</v>
      </c>
      <c r="X50" s="4">
        <v>0.56004056340763397</v>
      </c>
      <c r="Y50" s="4">
        <v>0</v>
      </c>
      <c r="Z50" s="5">
        <v>2.5632760578078099E-4</v>
      </c>
      <c r="AA50" s="5">
        <v>3.14795934041671E-5</v>
      </c>
      <c r="AB50" s="10">
        <v>2.0180455192467801E-3</v>
      </c>
      <c r="AC50" s="10">
        <v>3.3497294023706301E-9</v>
      </c>
      <c r="AD50" s="10">
        <v>4.8819896213471298E-3</v>
      </c>
      <c r="AE50" s="4">
        <v>1.6820557431441101E-2</v>
      </c>
      <c r="AF50" s="4">
        <v>0.89158599557376905</v>
      </c>
      <c r="AG50" s="4">
        <v>0.99959610716403102</v>
      </c>
      <c r="AH50" s="4">
        <v>0.99994562793483199</v>
      </c>
      <c r="AI50" s="4">
        <v>1</v>
      </c>
      <c r="AJ50" s="4">
        <v>1</v>
      </c>
      <c r="AK50" s="4">
        <v>1</v>
      </c>
      <c r="AL50" s="4">
        <v>1</v>
      </c>
      <c r="AM50" s="4">
        <v>0</v>
      </c>
      <c r="AN50" s="4">
        <v>0</v>
      </c>
      <c r="AO50" s="4" t="s">
        <v>139</v>
      </c>
      <c r="AP50" s="4">
        <f>-15--10</f>
        <v>-5</v>
      </c>
      <c r="AQ50" s="6">
        <v>4177391079.3800001</v>
      </c>
      <c r="AR50" s="4">
        <v>15911</v>
      </c>
      <c r="AS50" s="15">
        <v>0</v>
      </c>
      <c r="AT50" s="15">
        <v>0</v>
      </c>
      <c r="AU50" s="15">
        <v>0</v>
      </c>
      <c r="AV50" s="15">
        <v>100</v>
      </c>
      <c r="AW50" s="15">
        <v>0</v>
      </c>
      <c r="AX50" s="15">
        <v>100</v>
      </c>
      <c r="AY50">
        <v>0.38502493518909697</v>
      </c>
    </row>
    <row r="51" spans="1:51" x14ac:dyDescent="0.25">
      <c r="A51">
        <v>96</v>
      </c>
      <c r="B51" s="4">
        <v>0.99189372444829005</v>
      </c>
      <c r="C51" s="4">
        <v>4.6711998551785703</v>
      </c>
      <c r="D51" s="4">
        <v>9.3053413217951597</v>
      </c>
      <c r="E51" s="4">
        <v>3.9785823770926198E-3</v>
      </c>
      <c r="F51" s="5">
        <v>8.1062755517099707E-3</v>
      </c>
      <c r="G51" s="5">
        <v>0</v>
      </c>
      <c r="H51" s="4">
        <v>3.88302439571209</v>
      </c>
      <c r="I51" s="4">
        <v>3.9426622412789301</v>
      </c>
      <c r="J51" s="4">
        <v>-25.362959630067301</v>
      </c>
      <c r="K51" s="4">
        <v>-7.4396034037135701</v>
      </c>
      <c r="L51" s="4">
        <v>15.08372586432</v>
      </c>
      <c r="M51" s="4">
        <v>6.7324692363237304</v>
      </c>
      <c r="N51" s="4">
        <v>71.331741994608905</v>
      </c>
      <c r="O51" s="4">
        <v>69.385003959182797</v>
      </c>
      <c r="P51" s="4">
        <v>284933.72612900299</v>
      </c>
      <c r="Q51" s="4">
        <v>264253.59974372003</v>
      </c>
      <c r="R51" s="4">
        <v>784.16552025006695</v>
      </c>
      <c r="S51" s="4">
        <v>0</v>
      </c>
      <c r="T51" s="4">
        <v>0</v>
      </c>
      <c r="U51" s="4">
        <v>5.1705595928543603E-2</v>
      </c>
      <c r="V51" s="4">
        <v>1</v>
      </c>
      <c r="W51" s="4">
        <v>0</v>
      </c>
      <c r="X51" s="4">
        <v>0.58630642267155597</v>
      </c>
      <c r="Y51" s="4">
        <v>0</v>
      </c>
      <c r="Z51" s="5">
        <v>2.66173235593669E-4</v>
      </c>
      <c r="AA51" s="5">
        <v>3.4660121329606E-5</v>
      </c>
      <c r="AB51" s="10">
        <v>2.0490519442484798E-3</v>
      </c>
      <c r="AC51" s="10">
        <v>5.10308860992643E-9</v>
      </c>
      <c r="AD51" s="10">
        <v>5.7563707055262297E-3</v>
      </c>
      <c r="AE51" s="4">
        <v>1.4351265175094099E-2</v>
      </c>
      <c r="AF51" s="4">
        <v>0.89129022173293004</v>
      </c>
      <c r="AG51" s="4">
        <v>0.999503694170367</v>
      </c>
      <c r="AH51" s="4">
        <v>0.99995309681913003</v>
      </c>
      <c r="AI51" s="4">
        <v>1</v>
      </c>
      <c r="AJ51" s="4">
        <v>1</v>
      </c>
      <c r="AK51" s="4">
        <v>1</v>
      </c>
      <c r="AL51" s="4">
        <v>1</v>
      </c>
      <c r="AM51" s="4">
        <v>0</v>
      </c>
      <c r="AN51" s="4">
        <v>0</v>
      </c>
      <c r="AO51" s="4" t="s">
        <v>140</v>
      </c>
      <c r="AP51" s="4">
        <f>-10--5</f>
        <v>-5</v>
      </c>
      <c r="AQ51" s="6">
        <v>5196811292.5600004</v>
      </c>
      <c r="AR51" s="4">
        <v>19666</v>
      </c>
      <c r="AS51" s="15">
        <v>0</v>
      </c>
      <c r="AT51" s="15">
        <v>0</v>
      </c>
      <c r="AU51" s="15">
        <v>0</v>
      </c>
      <c r="AV51" s="15">
        <v>100</v>
      </c>
      <c r="AW51" s="15">
        <v>0</v>
      </c>
      <c r="AX51" s="15">
        <v>100</v>
      </c>
      <c r="AY51">
        <v>1.3664333008848599</v>
      </c>
    </row>
    <row r="52" spans="1:51" x14ac:dyDescent="0.25">
      <c r="A52">
        <v>96</v>
      </c>
      <c r="B52" s="4">
        <v>0.99058516562177601</v>
      </c>
      <c r="C52" s="4">
        <v>4.8991568739181801</v>
      </c>
      <c r="D52" s="4">
        <v>10.7307595255423</v>
      </c>
      <c r="E52" s="4">
        <v>4.17728002511369E-3</v>
      </c>
      <c r="F52" s="5">
        <v>9.4148343782235102E-3</v>
      </c>
      <c r="G52" s="5">
        <v>0</v>
      </c>
      <c r="H52" s="4">
        <v>3.9067358343598402</v>
      </c>
      <c r="I52" s="4">
        <v>3.9340560233506801</v>
      </c>
      <c r="J52" s="4">
        <v>-24.456681056358899</v>
      </c>
      <c r="K52" s="4">
        <v>-2.3961540498359502</v>
      </c>
      <c r="L52" s="4">
        <v>14.832843195307399</v>
      </c>
      <c r="M52" s="4">
        <v>7.3381077809919102</v>
      </c>
      <c r="N52" s="4">
        <v>69.897117888759595</v>
      </c>
      <c r="O52" s="4">
        <v>67.905462595223298</v>
      </c>
      <c r="P52" s="4">
        <v>289710.20241139701</v>
      </c>
      <c r="Q52" s="4">
        <v>268382.76342141</v>
      </c>
      <c r="R52" s="4">
        <v>784.11815021185896</v>
      </c>
      <c r="S52" s="4">
        <v>0</v>
      </c>
      <c r="T52" s="4">
        <v>0</v>
      </c>
      <c r="U52" s="4">
        <v>4.6374323662732198E-2</v>
      </c>
      <c r="V52" s="4">
        <v>1</v>
      </c>
      <c r="W52" s="4">
        <v>0</v>
      </c>
      <c r="X52" s="4">
        <v>0.63091403673559299</v>
      </c>
      <c r="Y52" s="4">
        <v>0</v>
      </c>
      <c r="Z52" s="5">
        <v>2.7892680534641302E-4</v>
      </c>
      <c r="AA52" s="5">
        <v>3.66817584058414E-5</v>
      </c>
      <c r="AB52" s="10">
        <v>2.1587619646375898E-3</v>
      </c>
      <c r="AC52" s="10">
        <v>1.2669278707563399E-9</v>
      </c>
      <c r="AD52" s="10">
        <v>6.9404481883720403E-3</v>
      </c>
      <c r="AE52" s="4">
        <v>1.47124953749395E-2</v>
      </c>
      <c r="AF52" s="4">
        <v>0.87200713689336895</v>
      </c>
      <c r="AG52" s="4">
        <v>0.99947063875685804</v>
      </c>
      <c r="AH52" s="4">
        <v>1</v>
      </c>
      <c r="AI52" s="4">
        <v>1</v>
      </c>
      <c r="AJ52" s="4">
        <v>1</v>
      </c>
      <c r="AK52" s="4">
        <v>1</v>
      </c>
      <c r="AL52" s="4">
        <v>1</v>
      </c>
      <c r="AM52" s="4">
        <v>0</v>
      </c>
      <c r="AN52" s="4">
        <v>0</v>
      </c>
      <c r="AO52" s="4" t="s">
        <v>67</v>
      </c>
      <c r="AP52" s="4">
        <f>-25-0</f>
        <v>-25</v>
      </c>
      <c r="AQ52" s="6">
        <v>6510697457.8400002</v>
      </c>
      <c r="AR52" s="4">
        <v>24259</v>
      </c>
      <c r="AS52" s="15">
        <v>0</v>
      </c>
      <c r="AT52" s="15">
        <v>0</v>
      </c>
      <c r="AU52" s="15">
        <v>0</v>
      </c>
      <c r="AV52" s="15">
        <v>100</v>
      </c>
      <c r="AW52" s="15">
        <v>0</v>
      </c>
      <c r="AX52" s="15">
        <v>100</v>
      </c>
      <c r="AY52">
        <v>3.3171129570348699</v>
      </c>
    </row>
    <row r="53" spans="1:51" x14ac:dyDescent="0.25">
      <c r="A53">
        <v>96</v>
      </c>
      <c r="B53" s="4">
        <v>0.98946761954759099</v>
      </c>
      <c r="C53" s="4">
        <v>6.4977392981920801</v>
      </c>
      <c r="D53" s="4">
        <v>11.931816793903501</v>
      </c>
      <c r="E53" s="4">
        <v>5.5830706872234204E-3</v>
      </c>
      <c r="F53" s="5">
        <v>1.0532380452408899E-2</v>
      </c>
      <c r="G53" s="5">
        <v>0</v>
      </c>
      <c r="H53" s="4">
        <v>3.9499860091183701</v>
      </c>
      <c r="I53" s="4">
        <v>3.92983759598612</v>
      </c>
      <c r="J53" s="4">
        <v>-22.538408163811599</v>
      </c>
      <c r="K53" s="4">
        <v>2.5728035527417998</v>
      </c>
      <c r="L53" s="4">
        <v>14.974520957545</v>
      </c>
      <c r="M53" s="4">
        <v>8.0211933125231099</v>
      </c>
      <c r="N53" s="4">
        <v>69.893726697393703</v>
      </c>
      <c r="O53" s="4">
        <v>67.8096829396912</v>
      </c>
      <c r="P53" s="4">
        <v>287619.68205949501</v>
      </c>
      <c r="Q53" s="4">
        <v>266193.32729584799</v>
      </c>
      <c r="R53" s="4">
        <v>784.372072505348</v>
      </c>
      <c r="S53" s="4">
        <v>0</v>
      </c>
      <c r="T53" s="4">
        <v>0</v>
      </c>
      <c r="U53" s="4">
        <v>4.7530579394218203E-2</v>
      </c>
      <c r="V53" s="4">
        <v>1</v>
      </c>
      <c r="W53" s="4">
        <v>0</v>
      </c>
      <c r="X53" s="4">
        <v>0.65130957212539997</v>
      </c>
      <c r="Y53" s="4">
        <v>0</v>
      </c>
      <c r="Z53" s="5">
        <v>2.8923615077662502E-4</v>
      </c>
      <c r="AA53" s="5">
        <v>3.9261689274367403E-5</v>
      </c>
      <c r="AB53" s="10">
        <v>2.2438790322383399E-3</v>
      </c>
      <c r="AC53" s="10">
        <v>3.0940475523610503E-8</v>
      </c>
      <c r="AD53" s="10">
        <v>7.9599582735400808E-3</v>
      </c>
      <c r="AE53" s="4">
        <v>1.4361773052915E-2</v>
      </c>
      <c r="AF53" s="4">
        <v>0.865389372661856</v>
      </c>
      <c r="AG53" s="4">
        <v>0.99868950506225596</v>
      </c>
      <c r="AH53" s="4">
        <v>0.99985704435743405</v>
      </c>
      <c r="AI53" s="4">
        <v>0.999930884426805</v>
      </c>
      <c r="AJ53" s="4">
        <v>1</v>
      </c>
      <c r="AK53" s="4">
        <v>1</v>
      </c>
      <c r="AL53" s="4">
        <v>1</v>
      </c>
      <c r="AM53" s="4">
        <v>0</v>
      </c>
      <c r="AN53" s="4">
        <v>0</v>
      </c>
      <c r="AO53" s="4" t="s">
        <v>141</v>
      </c>
      <c r="AP53" s="4" t="s">
        <v>127</v>
      </c>
      <c r="AQ53" s="6">
        <v>7598488527.6599998</v>
      </c>
      <c r="AR53" s="4">
        <v>28545</v>
      </c>
      <c r="AS53" s="15">
        <v>0</v>
      </c>
      <c r="AT53" s="15">
        <v>0</v>
      </c>
      <c r="AU53" s="15">
        <v>0</v>
      </c>
      <c r="AV53" s="15">
        <v>100</v>
      </c>
      <c r="AW53" s="15">
        <v>0</v>
      </c>
      <c r="AX53" s="15">
        <v>100</v>
      </c>
      <c r="AY53">
        <v>6.3151631853240202</v>
      </c>
    </row>
    <row r="54" spans="1:51" x14ac:dyDescent="0.25">
      <c r="A54">
        <v>96</v>
      </c>
      <c r="B54" s="4">
        <v>0.98828361039366497</v>
      </c>
      <c r="C54" s="4">
        <v>5.8793882888622804</v>
      </c>
      <c r="D54" s="4">
        <v>13.1881287802193</v>
      </c>
      <c r="E54" s="4">
        <v>5.0366999810021098E-3</v>
      </c>
      <c r="F54" s="5">
        <v>1.17163896063341E-2</v>
      </c>
      <c r="G54" s="5">
        <v>0</v>
      </c>
      <c r="H54" s="4">
        <v>3.99290612478972</v>
      </c>
      <c r="I54" s="4">
        <v>3.9264481130853399</v>
      </c>
      <c r="J54" s="4">
        <v>-21.259572907654</v>
      </c>
      <c r="K54" s="4">
        <v>7.5880621822887901</v>
      </c>
      <c r="L54" s="4">
        <v>15.210740404277001</v>
      </c>
      <c r="M54" s="4">
        <v>8.7997779946246002</v>
      </c>
      <c r="N54" s="4">
        <v>69.734201098316504</v>
      </c>
      <c r="O54" s="4">
        <v>67.651070996842904</v>
      </c>
      <c r="P54" s="4">
        <v>282700.15241234901</v>
      </c>
      <c r="Q54" s="4">
        <v>262079.80042624101</v>
      </c>
      <c r="R54" s="4">
        <v>784.42864979373496</v>
      </c>
      <c r="S54" s="4">
        <v>0</v>
      </c>
      <c r="T54" s="4">
        <v>0</v>
      </c>
      <c r="U54" s="4">
        <v>4.7768560179708298E-2</v>
      </c>
      <c r="V54" s="4">
        <v>1</v>
      </c>
      <c r="W54" s="4">
        <v>0</v>
      </c>
      <c r="X54" s="4">
        <v>0.67948623337542702</v>
      </c>
      <c r="Y54" s="4">
        <v>0</v>
      </c>
      <c r="Z54" s="5">
        <v>3.0179907191315398E-4</v>
      </c>
      <c r="AA54" s="5">
        <v>4.2421819360996897E-5</v>
      </c>
      <c r="AB54" s="10">
        <v>2.3344466498225499E-3</v>
      </c>
      <c r="AC54" s="10">
        <v>7.3937725084258899E-8</v>
      </c>
      <c r="AD54" s="10">
        <v>9.03763374458901E-3</v>
      </c>
      <c r="AE54" s="4">
        <v>1.2866085681940399E-2</v>
      </c>
      <c r="AF54" s="4">
        <v>0.86452923326869402</v>
      </c>
      <c r="AG54" s="4">
        <v>0.99737309154144205</v>
      </c>
      <c r="AH54" s="4">
        <v>0.99984274516220895</v>
      </c>
      <c r="AI54" s="4">
        <v>1</v>
      </c>
      <c r="AJ54" s="4">
        <v>1</v>
      </c>
      <c r="AK54" s="4">
        <v>1</v>
      </c>
      <c r="AL54" s="4">
        <v>1</v>
      </c>
      <c r="AM54" s="4">
        <v>0</v>
      </c>
      <c r="AN54" s="4">
        <v>0</v>
      </c>
      <c r="AO54" s="4" t="s">
        <v>142</v>
      </c>
      <c r="AP54" s="4">
        <v>43230</v>
      </c>
      <c r="AQ54" s="6">
        <v>9032318241.8899994</v>
      </c>
      <c r="AR54" s="4">
        <v>34464</v>
      </c>
      <c r="AS54" s="15">
        <v>0</v>
      </c>
      <c r="AT54" s="15">
        <v>0</v>
      </c>
      <c r="AU54" s="15">
        <v>0</v>
      </c>
      <c r="AV54" s="15">
        <v>100</v>
      </c>
      <c r="AW54" s="15">
        <v>0</v>
      </c>
      <c r="AX54" s="15">
        <v>100</v>
      </c>
      <c r="AY54">
        <v>11.6997587268747</v>
      </c>
    </row>
    <row r="55" spans="1:51" x14ac:dyDescent="0.25">
      <c r="A55">
        <v>96</v>
      </c>
      <c r="B55" s="4">
        <v>0.98685241180551497</v>
      </c>
      <c r="C55" s="4">
        <v>8.1845142920413707</v>
      </c>
      <c r="D55" s="4">
        <v>14.6847864640312</v>
      </c>
      <c r="E55" s="4">
        <v>7.0905106147375104E-3</v>
      </c>
      <c r="F55" s="5">
        <v>1.3147588194484E-2</v>
      </c>
      <c r="G55" s="5">
        <v>0</v>
      </c>
      <c r="H55" s="4">
        <v>4.0364921597294101</v>
      </c>
      <c r="I55" s="4">
        <v>3.9284678685342298</v>
      </c>
      <c r="J55" s="4">
        <v>-20.2904707799749</v>
      </c>
      <c r="K55" s="4">
        <v>12.5806723556453</v>
      </c>
      <c r="L55" s="4">
        <v>15.2299846292668</v>
      </c>
      <c r="M55" s="4">
        <v>9.5045723336419599</v>
      </c>
      <c r="N55" s="4">
        <v>69.286600745583897</v>
      </c>
      <c r="O55" s="4">
        <v>67.108559142362196</v>
      </c>
      <c r="P55" s="4">
        <v>282317.12283456698</v>
      </c>
      <c r="Q55" s="4">
        <v>261879.334615928</v>
      </c>
      <c r="R55" s="4">
        <v>784.38944966957001</v>
      </c>
      <c r="S55" s="4">
        <v>0</v>
      </c>
      <c r="T55" s="4">
        <v>0</v>
      </c>
      <c r="U55" s="4">
        <v>4.2420775371323001E-2</v>
      </c>
      <c r="V55" s="4">
        <v>1</v>
      </c>
      <c r="W55" s="4">
        <v>0</v>
      </c>
      <c r="X55" s="4">
        <v>0.70105228185784696</v>
      </c>
      <c r="Y55" s="4">
        <v>0</v>
      </c>
      <c r="Z55" s="5">
        <v>3.1011197792591799E-4</v>
      </c>
      <c r="AA55" s="5">
        <v>4.5878247670148303E-5</v>
      </c>
      <c r="AB55" s="10">
        <v>2.43444094929835E-3</v>
      </c>
      <c r="AC55" s="10">
        <v>1.38707702121224E-7</v>
      </c>
      <c r="AD55" s="10">
        <v>1.03570041542405E-2</v>
      </c>
      <c r="AE55" s="4">
        <v>1.3236753319132599E-2</v>
      </c>
      <c r="AF55" s="4">
        <v>0.85314065414100804</v>
      </c>
      <c r="AG55" s="4">
        <v>0.99687350784061801</v>
      </c>
      <c r="AH55" s="4">
        <v>0.99964001607372999</v>
      </c>
      <c r="AI55" s="4">
        <v>0.99989059367926403</v>
      </c>
      <c r="AJ55" s="4">
        <v>1</v>
      </c>
      <c r="AK55" s="4">
        <v>1</v>
      </c>
      <c r="AL55" s="4">
        <v>1</v>
      </c>
      <c r="AM55" s="4">
        <v>0</v>
      </c>
      <c r="AN55" s="4">
        <v>0</v>
      </c>
      <c r="AO55" s="4" t="s">
        <v>143</v>
      </c>
      <c r="AP55" s="4">
        <v>43388</v>
      </c>
      <c r="AQ55" s="6">
        <v>11114158961.1</v>
      </c>
      <c r="AR55" s="4">
        <v>42440</v>
      </c>
      <c r="AS55" s="15">
        <v>0</v>
      </c>
      <c r="AT55" s="15">
        <v>0</v>
      </c>
      <c r="AU55" s="15">
        <v>0</v>
      </c>
      <c r="AV55" s="15">
        <v>100</v>
      </c>
      <c r="AW55" s="15">
        <v>0</v>
      </c>
      <c r="AX55" s="15">
        <v>100</v>
      </c>
      <c r="AY55">
        <v>20.819136799619798</v>
      </c>
    </row>
    <row r="56" spans="1:51" x14ac:dyDescent="0.25">
      <c r="A56">
        <v>96</v>
      </c>
      <c r="B56" s="4">
        <v>0.98530271899478195</v>
      </c>
      <c r="C56" s="4">
        <v>8.5878549916852904</v>
      </c>
      <c r="D56" s="4">
        <v>16.278659193041101</v>
      </c>
      <c r="E56" s="4">
        <v>7.4547278791800304E-3</v>
      </c>
      <c r="F56" s="5">
        <v>1.4697281005217401E-2</v>
      </c>
      <c r="G56" s="5">
        <v>0</v>
      </c>
      <c r="H56" s="4">
        <v>4.0902944832793198</v>
      </c>
      <c r="I56" s="4">
        <v>3.9398731228980401</v>
      </c>
      <c r="J56" s="4">
        <v>-19.225309159320101</v>
      </c>
      <c r="K56" s="4">
        <v>17.569140352017499</v>
      </c>
      <c r="L56" s="4">
        <v>15.254906424444499</v>
      </c>
      <c r="M56" s="4">
        <v>10.3692317167902</v>
      </c>
      <c r="N56" s="4">
        <v>68.881416996467493</v>
      </c>
      <c r="O56" s="4">
        <v>66.684012306382201</v>
      </c>
      <c r="P56" s="4">
        <v>281365.08902036602</v>
      </c>
      <c r="Q56" s="4">
        <v>261597.895893874</v>
      </c>
      <c r="R56" s="4">
        <v>784.68065548817299</v>
      </c>
      <c r="S56" s="4">
        <v>0</v>
      </c>
      <c r="T56" s="4">
        <v>0</v>
      </c>
      <c r="U56" s="4">
        <v>3.9066692474765997E-2</v>
      </c>
      <c r="V56" s="4">
        <v>1</v>
      </c>
      <c r="W56" s="4">
        <v>0</v>
      </c>
      <c r="X56" s="4">
        <v>0.73209587605632698</v>
      </c>
      <c r="Y56" s="4">
        <v>0</v>
      </c>
      <c r="Z56" s="5">
        <v>3.2008288750046501E-4</v>
      </c>
      <c r="AA56" s="5">
        <v>4.98940098225669E-5</v>
      </c>
      <c r="AB56" s="10">
        <v>2.5166647742789401E-3</v>
      </c>
      <c r="AC56" s="10">
        <v>2.3027253603818999E-7</v>
      </c>
      <c r="AD56" s="10">
        <v>1.18103950057773E-2</v>
      </c>
      <c r="AE56" s="4">
        <v>1.2051198273784799E-2</v>
      </c>
      <c r="AF56" s="4">
        <v>0.85104138932141604</v>
      </c>
      <c r="AG56" s="4">
        <v>0.99526335530210297</v>
      </c>
      <c r="AH56" s="4">
        <v>0.99957740721285904</v>
      </c>
      <c r="AI56" s="4">
        <v>0.999868198388012</v>
      </c>
      <c r="AJ56" s="4">
        <v>1</v>
      </c>
      <c r="AK56" s="4">
        <v>1</v>
      </c>
      <c r="AL56" s="4">
        <v>1</v>
      </c>
      <c r="AM56" s="4">
        <v>0</v>
      </c>
      <c r="AN56" s="4">
        <v>0</v>
      </c>
      <c r="AO56" s="4" t="s">
        <v>144</v>
      </c>
      <c r="AP56" s="4" t="s">
        <v>128</v>
      </c>
      <c r="AQ56" s="6">
        <v>13503160190.25</v>
      </c>
      <c r="AR56" s="4">
        <v>51618</v>
      </c>
      <c r="AS56" s="15">
        <v>0</v>
      </c>
      <c r="AT56" s="15">
        <v>0</v>
      </c>
      <c r="AU56" s="15">
        <v>0</v>
      </c>
      <c r="AV56" s="15">
        <v>100</v>
      </c>
      <c r="AW56" s="15">
        <v>0</v>
      </c>
      <c r="AX56" s="15">
        <v>100</v>
      </c>
      <c r="AY56">
        <v>34.968685248849297</v>
      </c>
    </row>
    <row r="57" spans="1:51" x14ac:dyDescent="0.25">
      <c r="A57">
        <v>96</v>
      </c>
      <c r="B57" s="4">
        <v>0.983540822039216</v>
      </c>
      <c r="C57" s="4">
        <v>9.5242364787280103</v>
      </c>
      <c r="D57" s="4">
        <v>18.0575997346211</v>
      </c>
      <c r="E57" s="4">
        <v>8.3059944830091298E-3</v>
      </c>
      <c r="F57" s="5">
        <v>1.6459177960783101E-2</v>
      </c>
      <c r="G57" s="5">
        <v>0</v>
      </c>
      <c r="H57" s="4">
        <v>4.1226068264242501</v>
      </c>
      <c r="I57" s="4">
        <v>3.93678201392835</v>
      </c>
      <c r="J57" s="4">
        <v>-18.036037860907001</v>
      </c>
      <c r="K57" s="4">
        <v>22.567100051053298</v>
      </c>
      <c r="L57" s="4">
        <v>15.041201303254701</v>
      </c>
      <c r="M57" s="4">
        <v>11.0432893261614</v>
      </c>
      <c r="N57" s="4">
        <v>67.0717238715105</v>
      </c>
      <c r="O57" s="4">
        <v>64.829243472553003</v>
      </c>
      <c r="P57" s="4">
        <v>285406.77939088701</v>
      </c>
      <c r="Q57" s="4">
        <v>265171.10750830203</v>
      </c>
      <c r="R57" s="4">
        <v>784.90305087674994</v>
      </c>
      <c r="S57" s="4">
        <v>0</v>
      </c>
      <c r="T57" s="4">
        <v>0</v>
      </c>
      <c r="U57" s="4">
        <v>3.8179324660752897E-2</v>
      </c>
      <c r="V57" s="4">
        <v>1</v>
      </c>
      <c r="W57" s="4">
        <v>0</v>
      </c>
      <c r="X57" s="4">
        <v>0.76149603855932801</v>
      </c>
      <c r="Y57" s="4">
        <v>0</v>
      </c>
      <c r="Z57" s="5">
        <v>3.2804591829162997E-4</v>
      </c>
      <c r="AA57" s="5">
        <v>5.1530027229568802E-5</v>
      </c>
      <c r="AB57" s="10">
        <v>2.5993158050944599E-3</v>
      </c>
      <c r="AC57" s="10">
        <v>4.04937148787178E-7</v>
      </c>
      <c r="AD57" s="10">
        <v>1.3479867340109799E-2</v>
      </c>
      <c r="AE57" s="4">
        <v>1.2641971581631601E-2</v>
      </c>
      <c r="AF57" s="4">
        <v>0.83805055957952501</v>
      </c>
      <c r="AG57" s="4">
        <v>0.99347871569552904</v>
      </c>
      <c r="AH57" s="4">
        <v>0.99935530722259602</v>
      </c>
      <c r="AI57" s="4">
        <v>0.99991580541813097</v>
      </c>
      <c r="AJ57" s="4">
        <v>1</v>
      </c>
      <c r="AK57" s="4">
        <v>1</v>
      </c>
      <c r="AL57" s="4">
        <v>1</v>
      </c>
      <c r="AM57" s="4">
        <v>0</v>
      </c>
      <c r="AN57" s="4">
        <v>0</v>
      </c>
      <c r="AO57" s="4" t="s">
        <v>68</v>
      </c>
      <c r="AP57" s="4" t="s">
        <v>69</v>
      </c>
      <c r="AQ57" s="6">
        <v>16209114288.66</v>
      </c>
      <c r="AR57" s="4">
        <v>61127</v>
      </c>
      <c r="AS57" s="15">
        <v>0</v>
      </c>
      <c r="AT57" s="15">
        <v>0</v>
      </c>
      <c r="AU57" s="15">
        <v>0</v>
      </c>
      <c r="AV57" s="15">
        <v>100</v>
      </c>
      <c r="AW57" s="15">
        <v>0</v>
      </c>
      <c r="AX57" s="15">
        <v>100</v>
      </c>
      <c r="AY57">
        <v>53.446074696290303</v>
      </c>
    </row>
    <row r="58" spans="1:51" x14ac:dyDescent="0.25">
      <c r="A58">
        <v>96</v>
      </c>
      <c r="B58" s="4">
        <v>0.98180148832166902</v>
      </c>
      <c r="C58" s="4">
        <v>11.4020334389715</v>
      </c>
      <c r="D58" s="4">
        <v>19.7797089397144</v>
      </c>
      <c r="E58" s="4">
        <v>1.0037722338399399E-2</v>
      </c>
      <c r="F58" s="5">
        <v>1.81985116783305E-2</v>
      </c>
      <c r="G58" s="5">
        <v>0</v>
      </c>
      <c r="H58" s="4">
        <v>4.1692026726986597</v>
      </c>
      <c r="I58" s="4">
        <v>3.9359708460592402</v>
      </c>
      <c r="J58" s="4">
        <v>-16.040947362052201</v>
      </c>
      <c r="K58" s="4">
        <v>27.552431543686001</v>
      </c>
      <c r="L58" s="4">
        <v>15.0815378917898</v>
      </c>
      <c r="M58" s="4">
        <v>11.653300292649</v>
      </c>
      <c r="N58" s="4">
        <v>66.995429419944202</v>
      </c>
      <c r="O58" s="4">
        <v>64.634096831859196</v>
      </c>
      <c r="P58" s="4">
        <v>284779.66887532902</v>
      </c>
      <c r="Q58" s="4">
        <v>264567.21086187899</v>
      </c>
      <c r="R58" s="4">
        <v>784.95715631169003</v>
      </c>
      <c r="S58" s="4">
        <v>0</v>
      </c>
      <c r="T58" s="4">
        <v>0</v>
      </c>
      <c r="U58" s="4">
        <v>3.4307882357450997E-2</v>
      </c>
      <c r="V58" s="4">
        <v>1</v>
      </c>
      <c r="W58" s="4">
        <v>0</v>
      </c>
      <c r="X58" s="4">
        <v>0.78404016316107605</v>
      </c>
      <c r="Y58" s="4">
        <v>0</v>
      </c>
      <c r="Z58" s="5">
        <v>3.3582180281316499E-4</v>
      </c>
      <c r="AA58" s="5">
        <v>5.5789284967256502E-5</v>
      </c>
      <c r="AB58" s="10">
        <v>2.66627208863853E-3</v>
      </c>
      <c r="AC58" s="10">
        <v>5.4820711304526001E-7</v>
      </c>
      <c r="AD58" s="10">
        <v>1.5140066442245999E-2</v>
      </c>
      <c r="AE58" s="4">
        <v>1.3172280682909999E-2</v>
      </c>
      <c r="AF58" s="4">
        <v>0.82815614431205598</v>
      </c>
      <c r="AG58" s="4">
        <v>0.99092358308501804</v>
      </c>
      <c r="AH58" s="4">
        <v>0.99934503274855202</v>
      </c>
      <c r="AI58" s="4">
        <v>0.99984622057806005</v>
      </c>
      <c r="AJ58" s="4">
        <v>1</v>
      </c>
      <c r="AK58" s="4">
        <v>1</v>
      </c>
      <c r="AL58" s="4">
        <v>1</v>
      </c>
      <c r="AM58" s="4">
        <v>0</v>
      </c>
      <c r="AN58" s="4">
        <v>0</v>
      </c>
      <c r="AO58" s="4" t="s">
        <v>145</v>
      </c>
      <c r="AP58" s="4" t="s">
        <v>129</v>
      </c>
      <c r="AQ58" s="6">
        <v>18064913724.860001</v>
      </c>
      <c r="AR58" s="4">
        <v>68281</v>
      </c>
      <c r="AS58" s="15">
        <v>0</v>
      </c>
      <c r="AT58" s="15">
        <v>0</v>
      </c>
      <c r="AU58" s="15">
        <v>0</v>
      </c>
      <c r="AV58" s="15">
        <v>100</v>
      </c>
      <c r="AW58" s="15">
        <v>0</v>
      </c>
      <c r="AX58" s="15">
        <v>100</v>
      </c>
      <c r="AY58">
        <v>75.144978466407096</v>
      </c>
    </row>
    <row r="59" spans="1:51" x14ac:dyDescent="0.25">
      <c r="A59">
        <v>96</v>
      </c>
      <c r="B59" s="4">
        <v>0.98010659094609698</v>
      </c>
      <c r="C59" s="4">
        <v>12.8964646385406</v>
      </c>
      <c r="D59" s="4">
        <v>21.425845479965901</v>
      </c>
      <c r="E59" s="4">
        <v>1.1440117888668101E-2</v>
      </c>
      <c r="F59" s="5">
        <v>1.98934090539028E-2</v>
      </c>
      <c r="G59" s="5">
        <v>0</v>
      </c>
      <c r="H59" s="4">
        <v>4.1946531582292996</v>
      </c>
      <c r="I59" s="4">
        <v>3.91727286051478</v>
      </c>
      <c r="J59" s="4">
        <v>-14.132625960655</v>
      </c>
      <c r="K59" s="4">
        <v>32.522226934949302</v>
      </c>
      <c r="L59" s="4">
        <v>14.9151354449899</v>
      </c>
      <c r="M59" s="4">
        <v>12.1225569527325</v>
      </c>
      <c r="N59" s="4">
        <v>66.696978967089194</v>
      </c>
      <c r="O59" s="4">
        <v>64.268336098876702</v>
      </c>
      <c r="P59" s="4">
        <v>287279.15221257898</v>
      </c>
      <c r="Q59" s="4">
        <v>267409.58220123599</v>
      </c>
      <c r="R59" s="4">
        <v>784.96835394767595</v>
      </c>
      <c r="S59" s="4">
        <v>0</v>
      </c>
      <c r="T59" s="4">
        <v>0</v>
      </c>
      <c r="U59" s="4">
        <v>3.0597135865554102E-2</v>
      </c>
      <c r="V59" s="4">
        <v>1</v>
      </c>
      <c r="W59" s="4">
        <v>0</v>
      </c>
      <c r="X59" s="4">
        <v>0.79912987163656202</v>
      </c>
      <c r="Y59" s="4">
        <v>0</v>
      </c>
      <c r="Z59" s="5">
        <v>3.4056255352391099E-4</v>
      </c>
      <c r="AA59" s="5">
        <v>5.8528200598874703E-5</v>
      </c>
      <c r="AB59" s="10">
        <v>2.7220197511077199E-3</v>
      </c>
      <c r="AC59" s="10">
        <v>8.1136954653520395E-7</v>
      </c>
      <c r="AD59" s="10">
        <v>1.6771473377899901E-2</v>
      </c>
      <c r="AE59" s="4">
        <v>1.40147199171833E-2</v>
      </c>
      <c r="AF59" s="4">
        <v>0.816515534047073</v>
      </c>
      <c r="AG59" s="4">
        <v>0.98854953695112102</v>
      </c>
      <c r="AH59" s="4">
        <v>0.99911955556376297</v>
      </c>
      <c r="AI59" s="4">
        <v>0.999811883286845</v>
      </c>
      <c r="AJ59" s="4">
        <v>1</v>
      </c>
      <c r="AK59" s="4">
        <v>1</v>
      </c>
      <c r="AL59" s="4">
        <v>1</v>
      </c>
      <c r="AM59" s="4">
        <v>0</v>
      </c>
      <c r="AN59" s="4">
        <v>0</v>
      </c>
      <c r="AO59" s="4" t="s">
        <v>146</v>
      </c>
      <c r="AP59" s="4" t="s">
        <v>130</v>
      </c>
      <c r="AQ59" s="6">
        <v>19326492734.43</v>
      </c>
      <c r="AR59" s="4">
        <v>72273</v>
      </c>
      <c r="AS59" s="15">
        <v>0</v>
      </c>
      <c r="AT59" s="15">
        <v>0</v>
      </c>
      <c r="AU59" s="15">
        <v>0</v>
      </c>
      <c r="AV59" s="15">
        <v>100</v>
      </c>
      <c r="AW59" s="15">
        <v>0</v>
      </c>
      <c r="AX59" s="15">
        <v>100</v>
      </c>
      <c r="AY59">
        <v>96.325303456267704</v>
      </c>
    </row>
    <row r="60" spans="1:51" x14ac:dyDescent="0.25">
      <c r="A60">
        <v>96</v>
      </c>
      <c r="B60" s="4">
        <v>0.97821945582300296</v>
      </c>
      <c r="C60" s="4">
        <v>13.9885635166859</v>
      </c>
      <c r="D60" s="4">
        <v>23.222219181296701</v>
      </c>
      <c r="E60" s="4">
        <v>1.24789767018742E-2</v>
      </c>
      <c r="F60" s="5">
        <v>2.1780544176996802E-2</v>
      </c>
      <c r="G60" s="5">
        <v>0</v>
      </c>
      <c r="H60" s="4">
        <v>4.2277082802184101</v>
      </c>
      <c r="I60" s="4">
        <v>3.90411900837401</v>
      </c>
      <c r="J60" s="4">
        <v>-13.090436191465599</v>
      </c>
      <c r="K60" s="4">
        <v>37.513319813532803</v>
      </c>
      <c r="L60" s="4">
        <v>14.9082642357296</v>
      </c>
      <c r="M60" s="4">
        <v>12.8337685040543</v>
      </c>
      <c r="N60" s="4">
        <v>65.934337129893706</v>
      </c>
      <c r="O60" s="4">
        <v>63.36267682655</v>
      </c>
      <c r="P60" s="4">
        <v>288139.59720027598</v>
      </c>
      <c r="Q60" s="4">
        <v>267567.61083530198</v>
      </c>
      <c r="R60" s="4">
        <v>784.97944346340898</v>
      </c>
      <c r="S60" s="4">
        <v>0</v>
      </c>
      <c r="T60" s="4">
        <v>0</v>
      </c>
      <c r="U60" s="4">
        <v>2.7366957010532902E-2</v>
      </c>
      <c r="V60" s="4">
        <v>1</v>
      </c>
      <c r="W60" s="4">
        <v>0</v>
      </c>
      <c r="X60" s="4">
        <v>0.80556223854053599</v>
      </c>
      <c r="Y60" s="4">
        <v>0</v>
      </c>
      <c r="Z60" s="5">
        <v>3.4650050414428097E-4</v>
      </c>
      <c r="AA60" s="5">
        <v>6.5459892404010102E-5</v>
      </c>
      <c r="AB60" s="10">
        <v>2.8194809903870801E-3</v>
      </c>
      <c r="AC60" s="10">
        <v>1.0667967832436399E-6</v>
      </c>
      <c r="AD60" s="10">
        <v>1.8548022285340499E-2</v>
      </c>
      <c r="AE60" s="4">
        <v>1.5483339672404599E-2</v>
      </c>
      <c r="AF60" s="4">
        <v>0.79614065226220898</v>
      </c>
      <c r="AG60" s="4">
        <v>0.98804745344617695</v>
      </c>
      <c r="AH60" s="4">
        <v>0.99884237704992496</v>
      </c>
      <c r="AI60" s="4">
        <v>0.99974970649152195</v>
      </c>
      <c r="AJ60" s="4">
        <v>1</v>
      </c>
      <c r="AK60" s="4">
        <v>1</v>
      </c>
      <c r="AL60" s="4">
        <v>1</v>
      </c>
      <c r="AM60" s="4">
        <v>0</v>
      </c>
      <c r="AN60" s="4">
        <v>0</v>
      </c>
      <c r="AO60" s="4" t="s">
        <v>147</v>
      </c>
      <c r="AP60" s="4" t="s">
        <v>131</v>
      </c>
      <c r="AQ60" s="6">
        <v>20045897836.169998</v>
      </c>
      <c r="AR60" s="4">
        <v>74919</v>
      </c>
      <c r="AS60" s="15">
        <v>0</v>
      </c>
      <c r="AT60" s="15">
        <v>0</v>
      </c>
      <c r="AU60" s="15">
        <v>0</v>
      </c>
      <c r="AV60" s="15">
        <v>100</v>
      </c>
      <c r="AW60" s="15">
        <v>0</v>
      </c>
      <c r="AX60" s="15">
        <v>100</v>
      </c>
      <c r="AY60">
        <v>119.93085194835299</v>
      </c>
    </row>
    <row r="61" spans="1:51" x14ac:dyDescent="0.25">
      <c r="A61">
        <v>96</v>
      </c>
      <c r="B61" s="4">
        <v>0.97618719440764501</v>
      </c>
      <c r="C61" s="4">
        <v>16.5205407050635</v>
      </c>
      <c r="D61" s="4">
        <v>25.1145790244449</v>
      </c>
      <c r="E61" s="4">
        <v>1.4934817696171001E-2</v>
      </c>
      <c r="F61" s="5">
        <v>2.3812805592353999E-2</v>
      </c>
      <c r="G61" s="5">
        <v>0</v>
      </c>
      <c r="H61" s="4">
        <v>4.2808340242912299</v>
      </c>
      <c r="I61" s="4">
        <v>3.9013058123886402</v>
      </c>
      <c r="J61" s="4">
        <v>-12.2276987871748</v>
      </c>
      <c r="K61" s="4">
        <v>42.489317449278502</v>
      </c>
      <c r="L61" s="4">
        <v>15.069334379863401</v>
      </c>
      <c r="M61" s="4">
        <v>13.930624154569699</v>
      </c>
      <c r="N61" s="4">
        <v>66.517534667674894</v>
      </c>
      <c r="O61" s="4">
        <v>63.893372195089398</v>
      </c>
      <c r="P61" s="4">
        <v>285474.081911808</v>
      </c>
      <c r="Q61" s="4">
        <v>264750.566307022</v>
      </c>
      <c r="R61" s="4">
        <v>784.83579880442801</v>
      </c>
      <c r="S61" s="4">
        <v>0</v>
      </c>
      <c r="T61" s="4">
        <v>0</v>
      </c>
      <c r="U61" s="4">
        <v>2.3707058413520301E-2</v>
      </c>
      <c r="V61" s="4">
        <v>1</v>
      </c>
      <c r="W61" s="4">
        <v>0</v>
      </c>
      <c r="X61" s="4">
        <v>0.80631823476351505</v>
      </c>
      <c r="Y61" s="4">
        <v>0</v>
      </c>
      <c r="Z61" s="5">
        <v>3.5580080987579899E-4</v>
      </c>
      <c r="AA61" s="5">
        <v>7.4431614236701303E-5</v>
      </c>
      <c r="AB61" s="10">
        <v>2.91492674073253E-3</v>
      </c>
      <c r="AC61" s="10">
        <v>1.4553599829331601E-6</v>
      </c>
      <c r="AD61" s="10">
        <v>2.0466177403567799E-2</v>
      </c>
      <c r="AE61" s="4">
        <v>1.43345224522944E-2</v>
      </c>
      <c r="AF61" s="4">
        <v>0.78804138377920896</v>
      </c>
      <c r="AG61" s="4">
        <v>0.98579692632405802</v>
      </c>
      <c r="AH61" s="4">
        <v>0.99860544040468102</v>
      </c>
      <c r="AI61" s="4">
        <v>0.99963343698298501</v>
      </c>
      <c r="AJ61" s="4">
        <v>1</v>
      </c>
      <c r="AK61" s="4">
        <v>1</v>
      </c>
      <c r="AL61" s="4">
        <v>1</v>
      </c>
      <c r="AM61" s="4">
        <v>0</v>
      </c>
      <c r="AN61" s="4">
        <v>0</v>
      </c>
      <c r="AO61" s="4" t="s">
        <v>148</v>
      </c>
      <c r="AP61" s="4" t="s">
        <v>132</v>
      </c>
      <c r="AQ61" s="6">
        <v>20295513662.529999</v>
      </c>
      <c r="AR61" s="4">
        <v>76659</v>
      </c>
      <c r="AS61" s="15">
        <v>0</v>
      </c>
      <c r="AT61" s="15">
        <v>0</v>
      </c>
      <c r="AU61" s="15">
        <v>0</v>
      </c>
      <c r="AV61" s="15">
        <v>100</v>
      </c>
      <c r="AW61" s="15">
        <v>0</v>
      </c>
      <c r="AX61" s="15">
        <v>100</v>
      </c>
      <c r="AY61">
        <v>146.78033098956701</v>
      </c>
    </row>
    <row r="62" spans="1:51" x14ac:dyDescent="0.25">
      <c r="A62">
        <v>96</v>
      </c>
      <c r="B62" s="4">
        <v>0.97395595716453298</v>
      </c>
      <c r="C62" s="4">
        <v>17.805750441855601</v>
      </c>
      <c r="D62" s="4">
        <v>27.1429102718484</v>
      </c>
      <c r="E62" s="4">
        <v>1.62076234068084E-2</v>
      </c>
      <c r="F62" s="5">
        <v>2.60440428354662E-2</v>
      </c>
      <c r="G62" s="5">
        <v>0</v>
      </c>
      <c r="H62" s="4">
        <v>4.3307345025545896</v>
      </c>
      <c r="I62" s="4">
        <v>3.90100674615551</v>
      </c>
      <c r="J62" s="4">
        <v>-11.848876005819299</v>
      </c>
      <c r="K62" s="4">
        <v>47.544537496227299</v>
      </c>
      <c r="L62" s="4">
        <v>15.0170816071141</v>
      </c>
      <c r="M62" s="4">
        <v>15.0546702667584</v>
      </c>
      <c r="N62" s="4">
        <v>66.013070750535206</v>
      </c>
      <c r="O62" s="4">
        <v>63.357111195610798</v>
      </c>
      <c r="P62" s="4">
        <v>286063.19443941198</v>
      </c>
      <c r="Q62" s="4">
        <v>265545.35071162402</v>
      </c>
      <c r="R62" s="4">
        <v>784.74897635764898</v>
      </c>
      <c r="S62" s="4">
        <v>0</v>
      </c>
      <c r="T62" s="4">
        <v>0</v>
      </c>
      <c r="U62" s="4">
        <v>2.0414164459258598E-2</v>
      </c>
      <c r="V62" s="4">
        <v>1</v>
      </c>
      <c r="W62" s="4">
        <v>0</v>
      </c>
      <c r="X62" s="4">
        <v>0.81139676688531304</v>
      </c>
      <c r="Y62" s="4">
        <v>0</v>
      </c>
      <c r="Z62" s="5">
        <v>3.6414451181766703E-4</v>
      </c>
      <c r="AA62" s="5">
        <v>8.3545484680324996E-5</v>
      </c>
      <c r="AB62" s="10">
        <v>3.0164590198307499E-3</v>
      </c>
      <c r="AC62" s="10">
        <v>1.65374948504623E-6</v>
      </c>
      <c r="AD62" s="10">
        <v>2.25782264100058E-2</v>
      </c>
      <c r="AE62" s="4">
        <v>1.3508575277446699E-2</v>
      </c>
      <c r="AF62" s="4">
        <v>0.78390886037812202</v>
      </c>
      <c r="AG62" s="4">
        <v>0.98549935396146904</v>
      </c>
      <c r="AH62" s="4">
        <v>0.99848567868678695</v>
      </c>
      <c r="AI62" s="4">
        <v>0.99979236406479299</v>
      </c>
      <c r="AJ62" s="4">
        <v>1</v>
      </c>
      <c r="AK62" s="4">
        <v>1</v>
      </c>
      <c r="AL62" s="4">
        <v>1</v>
      </c>
      <c r="AM62" s="4">
        <v>0</v>
      </c>
      <c r="AN62" s="4">
        <v>0</v>
      </c>
      <c r="AO62" s="4" t="s">
        <v>70</v>
      </c>
      <c r="AP62" s="4" t="s">
        <v>71</v>
      </c>
      <c r="AQ62" s="6">
        <v>21169009813.380001</v>
      </c>
      <c r="AR62" s="4">
        <v>79719</v>
      </c>
      <c r="AS62" s="15">
        <v>0</v>
      </c>
      <c r="AT62" s="15">
        <v>0</v>
      </c>
      <c r="AU62" s="15">
        <v>0</v>
      </c>
      <c r="AV62" s="15">
        <v>100</v>
      </c>
      <c r="AW62" s="15">
        <v>0</v>
      </c>
      <c r="AX62" s="15">
        <v>100</v>
      </c>
      <c r="AY62">
        <v>178.43086867755</v>
      </c>
    </row>
    <row r="63" spans="1:51" x14ac:dyDescent="0.25">
      <c r="A63">
        <v>96</v>
      </c>
      <c r="B63" s="4">
        <v>0.97191007477308899</v>
      </c>
      <c r="C63" s="4">
        <v>21.4795998151383</v>
      </c>
      <c r="D63" s="4">
        <v>28.958355142166798</v>
      </c>
      <c r="E63" s="4">
        <v>1.99493026504628E-2</v>
      </c>
      <c r="F63" s="5">
        <v>2.8089925226910201E-2</v>
      </c>
      <c r="G63" s="5">
        <v>0</v>
      </c>
      <c r="H63" s="4">
        <v>4.3958460213402901</v>
      </c>
      <c r="I63" s="4">
        <v>3.9053248275626302</v>
      </c>
      <c r="J63" s="4">
        <v>-11.5357106470852</v>
      </c>
      <c r="K63" s="4">
        <v>52.532569319769003</v>
      </c>
      <c r="L63" s="4">
        <v>15.277180089466601</v>
      </c>
      <c r="M63" s="4">
        <v>16.4731990580004</v>
      </c>
      <c r="N63" s="4">
        <v>67.447922649925303</v>
      </c>
      <c r="O63" s="4">
        <v>64.661230082057997</v>
      </c>
      <c r="P63" s="4">
        <v>281328.180833689</v>
      </c>
      <c r="Q63" s="4">
        <v>261168.54554060599</v>
      </c>
      <c r="R63" s="4">
        <v>784.41976681658196</v>
      </c>
      <c r="S63" s="4">
        <v>0</v>
      </c>
      <c r="T63" s="4">
        <v>0</v>
      </c>
      <c r="U63" s="4">
        <v>1.6920261695931599E-2</v>
      </c>
      <c r="V63" s="4">
        <v>1</v>
      </c>
      <c r="W63" s="4">
        <v>0</v>
      </c>
      <c r="X63" s="4">
        <v>0.80365239906129404</v>
      </c>
      <c r="Y63" s="4">
        <v>0</v>
      </c>
      <c r="Z63" s="5">
        <v>3.7261181844541801E-4</v>
      </c>
      <c r="AA63" s="5">
        <v>9.7372372610781899E-5</v>
      </c>
      <c r="AB63" s="10">
        <v>3.1336735617522099E-3</v>
      </c>
      <c r="AC63" s="10">
        <v>1.8749763000207801E-6</v>
      </c>
      <c r="AD63" s="10">
        <v>2.44843787227703E-2</v>
      </c>
      <c r="AE63" s="4">
        <v>1.1203485687666199E-2</v>
      </c>
      <c r="AF63" s="4">
        <v>0.78589589823203798</v>
      </c>
      <c r="AG63" s="4">
        <v>0.98510132065453904</v>
      </c>
      <c r="AH63" s="4">
        <v>0.998373241189637</v>
      </c>
      <c r="AI63" s="4">
        <v>0.99968686991815603</v>
      </c>
      <c r="AJ63" s="4">
        <v>1</v>
      </c>
      <c r="AK63" s="4">
        <v>1</v>
      </c>
      <c r="AL63" s="4">
        <v>1</v>
      </c>
      <c r="AM63" s="4">
        <v>0</v>
      </c>
      <c r="AN63" s="4">
        <v>0</v>
      </c>
      <c r="AO63" s="4" t="s">
        <v>149</v>
      </c>
      <c r="AP63" s="4" t="s">
        <v>133</v>
      </c>
      <c r="AQ63" s="6">
        <v>20886954429.610001</v>
      </c>
      <c r="AR63" s="4">
        <v>79975</v>
      </c>
      <c r="AS63" s="15">
        <v>0</v>
      </c>
      <c r="AT63" s="15">
        <v>0</v>
      </c>
      <c r="AU63" s="15">
        <v>0</v>
      </c>
      <c r="AV63" s="15">
        <v>100</v>
      </c>
      <c r="AW63" s="15">
        <v>0</v>
      </c>
      <c r="AX63" s="15">
        <v>100</v>
      </c>
      <c r="AY63">
        <v>212.277079338069</v>
      </c>
    </row>
    <row r="64" spans="1:51" x14ac:dyDescent="0.25">
      <c r="A64">
        <v>96</v>
      </c>
      <c r="B64" s="4">
        <v>0.97007886223756301</v>
      </c>
      <c r="C64" s="4">
        <v>22.433175731473</v>
      </c>
      <c r="D64" s="4">
        <v>30.548041300139001</v>
      </c>
      <c r="E64" s="4">
        <v>2.09467030216938E-2</v>
      </c>
      <c r="F64" s="5">
        <v>2.9921137762436899E-2</v>
      </c>
      <c r="G64" s="5">
        <v>0</v>
      </c>
      <c r="H64" s="4">
        <v>4.4442286575113501</v>
      </c>
      <c r="I64" s="4">
        <v>3.9030550712991401</v>
      </c>
      <c r="J64" s="4">
        <v>-12.0710863929482</v>
      </c>
      <c r="K64" s="4">
        <v>57.505105926582701</v>
      </c>
      <c r="L64" s="4">
        <v>15.480579510770401</v>
      </c>
      <c r="M64" s="4">
        <v>17.8264531269119</v>
      </c>
      <c r="N64" s="4">
        <v>67.452195987619007</v>
      </c>
      <c r="O64" s="4">
        <v>64.575106978467701</v>
      </c>
      <c r="P64" s="4">
        <v>277948.38215493498</v>
      </c>
      <c r="Q64" s="4">
        <v>257600.374791943</v>
      </c>
      <c r="R64" s="4">
        <v>784.21629461058103</v>
      </c>
      <c r="S64" s="4">
        <v>0</v>
      </c>
      <c r="T64" s="4">
        <v>0</v>
      </c>
      <c r="U64" s="4">
        <v>1.1985493980929299E-2</v>
      </c>
      <c r="V64" s="4">
        <v>1</v>
      </c>
      <c r="W64" s="4">
        <v>0</v>
      </c>
      <c r="X64" s="4">
        <v>0.79894321553550796</v>
      </c>
      <c r="Y64" s="4">
        <v>0</v>
      </c>
      <c r="Z64" s="5">
        <v>3.81123432697542E-4</v>
      </c>
      <c r="AA64" s="5">
        <v>1.11046489550344E-4</v>
      </c>
      <c r="AB64" s="10">
        <v>3.2483273436871899E-3</v>
      </c>
      <c r="AC64" s="10">
        <v>2.44450145803421E-6</v>
      </c>
      <c r="AD64" s="10">
        <v>2.6178182112492499E-2</v>
      </c>
      <c r="AE64" s="4">
        <v>1.0930815630942401E-2</v>
      </c>
      <c r="AF64" s="4">
        <v>0.78022073850578899</v>
      </c>
      <c r="AG64" s="4">
        <v>0.98260582795334195</v>
      </c>
      <c r="AH64" s="4">
        <v>0.99812453290222003</v>
      </c>
      <c r="AI64" s="4">
        <v>0.99971074633097901</v>
      </c>
      <c r="AJ64" s="4">
        <v>1</v>
      </c>
      <c r="AK64" s="4">
        <v>1</v>
      </c>
      <c r="AL64" s="4">
        <v>1</v>
      </c>
      <c r="AM64" s="4">
        <v>0</v>
      </c>
      <c r="AN64" s="4">
        <v>0</v>
      </c>
      <c r="AO64" s="4" t="s">
        <v>150</v>
      </c>
      <c r="AP64" s="4" t="s">
        <v>134</v>
      </c>
      <c r="AQ64" s="6">
        <v>21128640340.810001</v>
      </c>
      <c r="AR64" s="4">
        <v>82021</v>
      </c>
      <c r="AS64" s="15">
        <v>0</v>
      </c>
      <c r="AT64" s="15">
        <v>0</v>
      </c>
      <c r="AU64" s="15">
        <v>0</v>
      </c>
      <c r="AV64" s="15">
        <v>100</v>
      </c>
      <c r="AW64" s="15">
        <v>0</v>
      </c>
      <c r="AX64" s="15">
        <v>100</v>
      </c>
      <c r="AY64">
        <v>254.44973936697599</v>
      </c>
    </row>
    <row r="65" spans="1:51" x14ac:dyDescent="0.25">
      <c r="A65">
        <v>96</v>
      </c>
      <c r="B65" s="4">
        <v>0.96828786534927802</v>
      </c>
      <c r="C65" s="4">
        <v>25.7645563906494</v>
      </c>
      <c r="D65" s="4">
        <v>32.071211145871303</v>
      </c>
      <c r="E65" s="4">
        <v>2.4521708386070401E-2</v>
      </c>
      <c r="F65" s="5">
        <v>3.1712134650721598E-2</v>
      </c>
      <c r="G65" s="5">
        <v>0</v>
      </c>
      <c r="H65" s="4">
        <v>4.5027604431338704</v>
      </c>
      <c r="I65" s="4">
        <v>3.91005448167249</v>
      </c>
      <c r="J65" s="4">
        <v>-12.6942004659311</v>
      </c>
      <c r="K65" s="4">
        <v>62.515125404733602</v>
      </c>
      <c r="L65" s="4">
        <v>15.726254941281701</v>
      </c>
      <c r="M65" s="4">
        <v>19.413777241239998</v>
      </c>
      <c r="N65" s="4">
        <v>67.584020033374301</v>
      </c>
      <c r="O65" s="4">
        <v>64.663577918948207</v>
      </c>
      <c r="P65" s="4">
        <v>273545.43101302203</v>
      </c>
      <c r="Q65" s="4">
        <v>253800.630582732</v>
      </c>
      <c r="R65" s="4">
        <v>783.813132893599</v>
      </c>
      <c r="S65" s="4">
        <v>0</v>
      </c>
      <c r="T65" s="4">
        <v>0</v>
      </c>
      <c r="U65" s="4">
        <v>9.5753559665456098E-3</v>
      </c>
      <c r="V65" s="4">
        <v>1</v>
      </c>
      <c r="W65" s="4">
        <v>0</v>
      </c>
      <c r="X65" s="4">
        <v>0.79597619412151999</v>
      </c>
      <c r="Y65" s="4">
        <v>0</v>
      </c>
      <c r="Z65" s="5">
        <v>3.8603161147040101E-4</v>
      </c>
      <c r="AA65" s="5">
        <v>1.29707592541252E-4</v>
      </c>
      <c r="AB65" s="10">
        <v>3.3687928916245201E-3</v>
      </c>
      <c r="AC65" s="10">
        <v>3.1811124462094399E-6</v>
      </c>
      <c r="AD65" s="10">
        <v>2.7824407346548102E-2</v>
      </c>
      <c r="AE65" s="4">
        <v>8.1765606751978692E-3</v>
      </c>
      <c r="AF65" s="4">
        <v>0.78304523659708203</v>
      </c>
      <c r="AG65" s="4">
        <v>0.98237719483526798</v>
      </c>
      <c r="AH65" s="4">
        <v>0.99766072063629996</v>
      </c>
      <c r="AI65" s="4">
        <v>0.99961840180456196</v>
      </c>
      <c r="AJ65" s="4">
        <v>1</v>
      </c>
      <c r="AK65" s="4">
        <v>1</v>
      </c>
      <c r="AL65" s="4">
        <v>1</v>
      </c>
      <c r="AM65" s="4">
        <v>0</v>
      </c>
      <c r="AN65" s="4">
        <v>0</v>
      </c>
      <c r="AO65" s="4" t="s">
        <v>151</v>
      </c>
      <c r="AP65" s="4" t="s">
        <v>135</v>
      </c>
      <c r="AQ65" s="6">
        <v>22817691891.91</v>
      </c>
      <c r="AR65" s="4">
        <v>89904</v>
      </c>
      <c r="AS65" s="15">
        <v>0</v>
      </c>
      <c r="AT65" s="15">
        <v>0</v>
      </c>
      <c r="AU65" s="15">
        <v>0</v>
      </c>
      <c r="AV65" s="15">
        <v>100</v>
      </c>
      <c r="AW65" s="15">
        <v>0</v>
      </c>
      <c r="AX65" s="15">
        <v>100</v>
      </c>
      <c r="AY65" s="31">
        <v>303.49745016183601</v>
      </c>
    </row>
    <row r="66" spans="1:51" x14ac:dyDescent="0.25">
      <c r="A66">
        <v>96</v>
      </c>
      <c r="B66" s="4">
        <v>0.96677649221765205</v>
      </c>
      <c r="C66" s="4">
        <v>28.795809567442799</v>
      </c>
      <c r="D66" s="4">
        <v>33.332682515071802</v>
      </c>
      <c r="E66" s="4">
        <v>2.79048058116107E-2</v>
      </c>
      <c r="F66" s="5">
        <v>3.3223507782347603E-2</v>
      </c>
      <c r="G66" s="5">
        <v>0</v>
      </c>
      <c r="H66" s="4">
        <v>4.5594102515106902</v>
      </c>
      <c r="I66" s="4">
        <v>3.9199885577376601</v>
      </c>
      <c r="J66" s="4">
        <v>-12.9849680040042</v>
      </c>
      <c r="K66" s="4">
        <v>67.517627106661095</v>
      </c>
      <c r="L66" s="4">
        <v>15.8643260453052</v>
      </c>
      <c r="M66" s="4">
        <v>20.697957536586099</v>
      </c>
      <c r="N66" s="4">
        <v>67.427784626728496</v>
      </c>
      <c r="O66" s="4">
        <v>64.610198701750093</v>
      </c>
      <c r="P66" s="4">
        <v>270885.831757023</v>
      </c>
      <c r="Q66" s="4">
        <v>251578.22887413701</v>
      </c>
      <c r="R66" s="4">
        <v>783.78771951556496</v>
      </c>
      <c r="S66" s="4">
        <v>0</v>
      </c>
      <c r="T66" s="4">
        <v>0</v>
      </c>
      <c r="U66" s="4">
        <v>9.0738411942679793E-3</v>
      </c>
      <c r="V66" s="4">
        <v>1</v>
      </c>
      <c r="W66" s="4">
        <v>0</v>
      </c>
      <c r="X66" s="4">
        <v>0.79535661250276402</v>
      </c>
      <c r="Y66" s="4">
        <v>0</v>
      </c>
      <c r="Z66" s="5">
        <v>3.9185416027495999E-4</v>
      </c>
      <c r="AA66" s="5">
        <v>1.4588698332993001E-4</v>
      </c>
      <c r="AB66" s="10">
        <v>3.4183996860505002E-3</v>
      </c>
      <c r="AC66" s="10">
        <v>3.4424236618017502E-6</v>
      </c>
      <c r="AD66" s="10">
        <v>2.9263910314899801E-2</v>
      </c>
      <c r="AE66" s="4">
        <v>4.1502456753568099E-3</v>
      </c>
      <c r="AF66" s="4">
        <v>0.79588161202906504</v>
      </c>
      <c r="AG66" s="4">
        <v>0.98129962616439204</v>
      </c>
      <c r="AH66" s="4">
        <v>0.99756174031373601</v>
      </c>
      <c r="AI66" s="4">
        <v>0.99957231526727297</v>
      </c>
      <c r="AJ66" s="4">
        <v>1</v>
      </c>
      <c r="AK66" s="4">
        <v>1</v>
      </c>
      <c r="AL66" s="4">
        <v>1</v>
      </c>
      <c r="AM66" s="4">
        <v>0</v>
      </c>
      <c r="AN66" s="4">
        <v>0</v>
      </c>
      <c r="AO66" s="4" t="s">
        <v>152</v>
      </c>
      <c r="AP66" s="4" t="s">
        <v>136</v>
      </c>
      <c r="AQ66" s="6">
        <v>25089393609.16</v>
      </c>
      <c r="AR66" s="4">
        <v>99728</v>
      </c>
      <c r="AS66" s="15">
        <v>0</v>
      </c>
      <c r="AT66" s="15">
        <v>0</v>
      </c>
      <c r="AU66" s="15">
        <v>0</v>
      </c>
      <c r="AV66" s="15">
        <v>100</v>
      </c>
      <c r="AW66" s="15">
        <v>0</v>
      </c>
      <c r="AX66" s="15">
        <v>100</v>
      </c>
      <c r="AY66" s="31">
        <v>361.71250923877301</v>
      </c>
    </row>
    <row r="67" spans="1:51" x14ac:dyDescent="0.25">
      <c r="A67">
        <v>96</v>
      </c>
      <c r="B67" s="4">
        <v>0.96492436540703297</v>
      </c>
      <c r="C67" s="4">
        <v>29.350461811454402</v>
      </c>
      <c r="D67" s="4">
        <v>34.849271616292697</v>
      </c>
      <c r="E67" s="4">
        <v>2.8538089462005301E-2</v>
      </c>
      <c r="F67" s="5">
        <v>3.5075634592966802E-2</v>
      </c>
      <c r="G67" s="5">
        <v>0</v>
      </c>
      <c r="H67" s="4">
        <v>4.5962362556227401</v>
      </c>
      <c r="I67" s="4">
        <v>3.9179972542215502</v>
      </c>
      <c r="J67" s="4">
        <v>-12.658964239883799</v>
      </c>
      <c r="K67" s="4">
        <v>72.539794286483897</v>
      </c>
      <c r="L67" s="4">
        <v>15.5748506994822</v>
      </c>
      <c r="M67" s="4">
        <v>21.4964300179948</v>
      </c>
      <c r="N67" s="4">
        <v>66.368028641934401</v>
      </c>
      <c r="O67" s="4">
        <v>63.579424426342797</v>
      </c>
      <c r="P67" s="4">
        <v>275814.74676527601</v>
      </c>
      <c r="Q67" s="4">
        <v>256219.559122576</v>
      </c>
      <c r="R67" s="4">
        <v>783.60556012542997</v>
      </c>
      <c r="S67" s="4">
        <v>0</v>
      </c>
      <c r="T67" s="4">
        <v>0</v>
      </c>
      <c r="U67" s="4">
        <v>8.4512782299936001E-3</v>
      </c>
      <c r="V67" s="4">
        <v>1</v>
      </c>
      <c r="W67" s="4">
        <v>0</v>
      </c>
      <c r="X67" s="4">
        <v>0.80243585723250499</v>
      </c>
      <c r="Y67" s="4">
        <v>0</v>
      </c>
      <c r="Z67" s="5">
        <v>3.9455412176553101E-4</v>
      </c>
      <c r="AA67" s="5">
        <v>1.5757981426700501E-4</v>
      </c>
      <c r="AB67" s="10">
        <v>3.4314924161822002E-3</v>
      </c>
      <c r="AC67" s="10">
        <v>4.4387542413871001E-6</v>
      </c>
      <c r="AD67" s="10">
        <v>3.1087555143360101E-2</v>
      </c>
      <c r="AE67" s="4">
        <v>3.2630026895594101E-3</v>
      </c>
      <c r="AF67" s="4">
        <v>0.79341604909558705</v>
      </c>
      <c r="AG67" s="4">
        <v>0.97985827606459897</v>
      </c>
      <c r="AH67" s="4">
        <v>0.99712357399519402</v>
      </c>
      <c r="AI67" s="4">
        <v>0.99948091040839404</v>
      </c>
      <c r="AJ67" s="4">
        <v>1</v>
      </c>
      <c r="AK67" s="4">
        <v>1</v>
      </c>
      <c r="AL67" s="4">
        <v>1</v>
      </c>
      <c r="AM67" s="4">
        <v>0</v>
      </c>
      <c r="AN67" s="4">
        <v>0</v>
      </c>
      <c r="AO67" s="4" t="s">
        <v>72</v>
      </c>
      <c r="AP67" s="4" t="s">
        <v>73</v>
      </c>
      <c r="AQ67" s="6">
        <v>27855165589.57</v>
      </c>
      <c r="AR67" s="4">
        <v>108716</v>
      </c>
      <c r="AS67" s="15">
        <v>0</v>
      </c>
      <c r="AT67" s="15">
        <v>0</v>
      </c>
      <c r="AU67" s="15">
        <v>0</v>
      </c>
      <c r="AV67" s="15">
        <v>100</v>
      </c>
      <c r="AW67" s="15">
        <v>0</v>
      </c>
      <c r="AX67" s="15">
        <v>100</v>
      </c>
      <c r="AY67" s="31">
        <v>424.00250644488102</v>
      </c>
    </row>
    <row r="68" spans="1:51" x14ac:dyDescent="0.25">
      <c r="A68">
        <v>96</v>
      </c>
      <c r="B68" s="4">
        <v>0.96113080366011105</v>
      </c>
      <c r="C68" s="4">
        <v>33.613033607390598</v>
      </c>
      <c r="D68" s="4">
        <v>37.857323256676302</v>
      </c>
      <c r="E68" s="4">
        <v>3.35629552791794E-2</v>
      </c>
      <c r="F68" s="5">
        <v>3.8869196339888799E-2</v>
      </c>
      <c r="G68" s="5">
        <v>0</v>
      </c>
      <c r="H68" s="4">
        <v>4.7011606152312</v>
      </c>
      <c r="I68" s="4">
        <v>3.8856987630078699</v>
      </c>
      <c r="J68" s="4">
        <v>-8.7525529156358299</v>
      </c>
      <c r="K68" s="4">
        <v>86.818601173581399</v>
      </c>
      <c r="L68" s="4">
        <v>15.453463320693301</v>
      </c>
      <c r="M68" s="4">
        <v>23.403424583174701</v>
      </c>
      <c r="N68" s="4">
        <v>65.676354515938698</v>
      </c>
      <c r="O68" s="4">
        <v>62.736164951318898</v>
      </c>
      <c r="P68" s="4">
        <v>278109.57838285202</v>
      </c>
      <c r="Q68" s="4">
        <v>258268.90263535199</v>
      </c>
      <c r="R68" s="4">
        <v>783.36941492060805</v>
      </c>
      <c r="S68" s="4">
        <v>0</v>
      </c>
      <c r="T68" s="4">
        <v>0</v>
      </c>
      <c r="U68" s="4">
        <v>7.2428356325469501E-3</v>
      </c>
      <c r="V68" s="4">
        <v>1</v>
      </c>
      <c r="W68" s="4">
        <v>0</v>
      </c>
      <c r="X68" s="4">
        <v>0.82230639179854403</v>
      </c>
      <c r="Y68" s="4">
        <v>0</v>
      </c>
      <c r="Z68" s="5">
        <v>3.9950817104840799E-4</v>
      </c>
      <c r="AA68" s="5">
        <v>1.89156414571007E-4</v>
      </c>
      <c r="AB68" s="10">
        <v>3.56959334389686E-3</v>
      </c>
      <c r="AC68" s="10">
        <v>5.6597381720192702E-6</v>
      </c>
      <c r="AD68" s="10">
        <v>3.4705264011636802E-2</v>
      </c>
      <c r="AE68" s="4">
        <v>3.15581437509759E-3</v>
      </c>
      <c r="AF68" s="4">
        <v>0.78524342254957402</v>
      </c>
      <c r="AG68" s="4">
        <v>0.97897869869933896</v>
      </c>
      <c r="AH68" s="4">
        <v>0.99650018875833501</v>
      </c>
      <c r="AI68" s="4">
        <v>0.99957894660798396</v>
      </c>
      <c r="AJ68" s="4">
        <v>1</v>
      </c>
      <c r="AK68" s="4">
        <v>1</v>
      </c>
      <c r="AL68" s="4">
        <v>1</v>
      </c>
      <c r="AM68" s="4">
        <v>0</v>
      </c>
      <c r="AN68" s="4">
        <v>0</v>
      </c>
      <c r="AO68" s="4" t="s">
        <v>74</v>
      </c>
      <c r="AP68" s="4" t="s">
        <v>75</v>
      </c>
      <c r="AQ68" s="6">
        <v>128965285186.45</v>
      </c>
      <c r="AR68" s="4">
        <v>499345</v>
      </c>
      <c r="AS68" s="15">
        <v>0</v>
      </c>
      <c r="AT68" s="15">
        <v>0</v>
      </c>
      <c r="AU68" s="15">
        <v>0</v>
      </c>
      <c r="AV68" s="15">
        <v>100</v>
      </c>
      <c r="AW68" s="15">
        <v>0</v>
      </c>
      <c r="AX68" s="15">
        <v>100</v>
      </c>
      <c r="AY68">
        <v>606.92775988526705</v>
      </c>
    </row>
    <row r="69" spans="1:51" x14ac:dyDescent="0.25">
      <c r="A69">
        <v>96</v>
      </c>
      <c r="B69" s="4">
        <v>0.95739862475774695</v>
      </c>
      <c r="C69" s="4">
        <v>37.642046388413597</v>
      </c>
      <c r="D69" s="4">
        <v>40.691957279072803</v>
      </c>
      <c r="E69" s="4">
        <v>3.8592170630280698E-2</v>
      </c>
      <c r="F69" s="5">
        <v>4.2601375242252201E-2</v>
      </c>
      <c r="G69" s="5">
        <v>0</v>
      </c>
      <c r="H69" s="4">
        <v>4.8812417712340403</v>
      </c>
      <c r="I69" s="4">
        <v>3.81252418568759</v>
      </c>
      <c r="J69" s="4">
        <v>-3.6182122082713999</v>
      </c>
      <c r="K69" s="4">
        <v>112.46756410455301</v>
      </c>
      <c r="L69" s="4">
        <v>15.960063848665699</v>
      </c>
      <c r="M69" s="4">
        <v>27.503772393224502</v>
      </c>
      <c r="N69" s="4">
        <v>67.310488994942602</v>
      </c>
      <c r="O69" s="4">
        <v>63.869864361731601</v>
      </c>
      <c r="P69" s="4">
        <v>269019.43486823299</v>
      </c>
      <c r="Q69" s="4">
        <v>250144.80003444201</v>
      </c>
      <c r="R69" s="4">
        <v>782.06644223886201</v>
      </c>
      <c r="S69" s="4">
        <v>0</v>
      </c>
      <c r="T69" s="4">
        <v>0</v>
      </c>
      <c r="U69" s="4">
        <v>5.5887109663640801E-3</v>
      </c>
      <c r="V69" s="4">
        <v>1</v>
      </c>
      <c r="W69" s="4">
        <v>0</v>
      </c>
      <c r="X69" s="4">
        <v>0.800724562530721</v>
      </c>
      <c r="Y69" s="4">
        <v>0</v>
      </c>
      <c r="Z69" s="5">
        <v>4.1365018550366202E-4</v>
      </c>
      <c r="AA69" s="5">
        <v>3.0135962058336401E-4</v>
      </c>
      <c r="AB69" s="10">
        <v>3.8267262185914699E-3</v>
      </c>
      <c r="AC69" s="10">
        <v>8.9553369651813199E-6</v>
      </c>
      <c r="AD69" s="10">
        <v>3.8050668822262101E-2</v>
      </c>
      <c r="AE69" s="4">
        <v>3.8793303005006299E-3</v>
      </c>
      <c r="AF69" s="4">
        <v>0.78182617324127901</v>
      </c>
      <c r="AG69" s="4">
        <v>0.97699774316806998</v>
      </c>
      <c r="AH69" s="4">
        <v>0.99592839063393301</v>
      </c>
      <c r="AI69" s="4">
        <v>0.99929744983355995</v>
      </c>
      <c r="AJ69" s="4">
        <v>1</v>
      </c>
      <c r="AK69" s="4">
        <v>1</v>
      </c>
      <c r="AL69" s="4">
        <v>1</v>
      </c>
      <c r="AM69" s="4">
        <v>0</v>
      </c>
      <c r="AN69" s="4">
        <v>0</v>
      </c>
      <c r="AO69" s="4" t="s">
        <v>76</v>
      </c>
      <c r="AP69" s="4" t="s">
        <v>77</v>
      </c>
      <c r="AQ69" s="6">
        <v>107125261049.14999</v>
      </c>
      <c r="AR69" s="4">
        <v>428253</v>
      </c>
      <c r="AS69" s="15">
        <v>0</v>
      </c>
      <c r="AT69" s="15">
        <v>0</v>
      </c>
      <c r="AU69" s="15">
        <v>0</v>
      </c>
      <c r="AV69" s="15">
        <v>100</v>
      </c>
      <c r="AW69" s="15">
        <v>0</v>
      </c>
      <c r="AX69" s="15">
        <v>100</v>
      </c>
      <c r="AY69">
        <v>1007.2176327695501</v>
      </c>
    </row>
    <row r="70" spans="1:51" x14ac:dyDescent="0.25">
      <c r="A70">
        <v>96</v>
      </c>
      <c r="B70" s="4">
        <v>0.95460085527923799</v>
      </c>
      <c r="C70" s="4">
        <v>40.236146024013699</v>
      </c>
      <c r="D70" s="4">
        <v>42.738617448814601</v>
      </c>
      <c r="E70" s="4">
        <v>4.1990351630923101E-2</v>
      </c>
      <c r="F70" s="5">
        <v>4.5399144720761501E-2</v>
      </c>
      <c r="G70" s="5">
        <v>0</v>
      </c>
      <c r="H70" s="4">
        <v>4.9925616892107296</v>
      </c>
      <c r="I70" s="4">
        <v>3.7224698610345301</v>
      </c>
      <c r="J70" s="4">
        <v>-6.7443574423826896E-2</v>
      </c>
      <c r="K70" s="4">
        <v>135.43507063732301</v>
      </c>
      <c r="L70" s="4">
        <v>15.6123120617453</v>
      </c>
      <c r="M70" s="4">
        <v>30.292143192223801</v>
      </c>
      <c r="N70" s="4">
        <v>67.462353538307099</v>
      </c>
      <c r="O70" s="4">
        <v>63.339810687752298</v>
      </c>
      <c r="P70" s="4">
        <v>274749.83467258897</v>
      </c>
      <c r="Q70" s="4">
        <v>255731.05597081501</v>
      </c>
      <c r="R70" s="4">
        <v>781.29862250342296</v>
      </c>
      <c r="S70" s="4">
        <v>0</v>
      </c>
      <c r="T70" s="4">
        <v>0</v>
      </c>
      <c r="U70" s="4">
        <v>6.3548691461962998E-3</v>
      </c>
      <c r="V70" s="4">
        <v>1</v>
      </c>
      <c r="W70" s="4">
        <v>0</v>
      </c>
      <c r="X70" s="4">
        <v>0.79816846314329004</v>
      </c>
      <c r="Y70" s="4">
        <v>0</v>
      </c>
      <c r="Z70" s="5">
        <v>4.1985292246228198E-4</v>
      </c>
      <c r="AA70" s="5">
        <v>3.94464468196477E-4</v>
      </c>
      <c r="AB70" s="10">
        <v>3.7731522136760002E-3</v>
      </c>
      <c r="AC70" s="10">
        <v>1.4609292545832701E-5</v>
      </c>
      <c r="AD70" s="10">
        <v>4.0797050599273098E-2</v>
      </c>
      <c r="AE70" s="4">
        <v>1.21762728580278E-2</v>
      </c>
      <c r="AF70" s="4">
        <v>0.75282182648516904</v>
      </c>
      <c r="AG70" s="4">
        <v>0.97069839788576195</v>
      </c>
      <c r="AH70" s="4">
        <v>0.99407225243103503</v>
      </c>
      <c r="AI70" s="4">
        <v>0.99919046025126301</v>
      </c>
      <c r="AJ70" s="4">
        <v>1</v>
      </c>
      <c r="AK70" s="4">
        <v>1</v>
      </c>
      <c r="AL70" s="4">
        <v>1</v>
      </c>
      <c r="AM70" s="4">
        <v>0</v>
      </c>
      <c r="AN70" s="4">
        <v>0</v>
      </c>
      <c r="AO70" s="4" t="s">
        <v>78</v>
      </c>
      <c r="AP70" s="4" t="s">
        <v>79</v>
      </c>
      <c r="AQ70" s="6">
        <v>66929420506.57</v>
      </c>
      <c r="AR70" s="4">
        <v>261718</v>
      </c>
      <c r="AS70" s="15">
        <v>0</v>
      </c>
      <c r="AT70" s="15">
        <v>0</v>
      </c>
      <c r="AU70" s="15">
        <v>0</v>
      </c>
      <c r="AV70" s="15">
        <v>100</v>
      </c>
      <c r="AW70" s="15">
        <v>0</v>
      </c>
      <c r="AX70" s="15">
        <v>100</v>
      </c>
      <c r="AY70">
        <v>1399.30499726413</v>
      </c>
    </row>
    <row r="71" spans="1:51" x14ac:dyDescent="0.25">
      <c r="A71">
        <v>96</v>
      </c>
      <c r="B71" s="4">
        <v>0.95258649324224098</v>
      </c>
      <c r="C71" s="4">
        <v>37.671299265980601</v>
      </c>
      <c r="D71" s="4">
        <v>44.171876299711997</v>
      </c>
      <c r="E71" s="4">
        <v>3.8629762726438303E-2</v>
      </c>
      <c r="F71" s="5">
        <v>4.7413506757758801E-2</v>
      </c>
      <c r="G71" s="5">
        <v>0</v>
      </c>
      <c r="H71" s="4">
        <v>5.18157481140158</v>
      </c>
      <c r="I71" s="4">
        <v>3.6749928775479299</v>
      </c>
      <c r="J71" s="4">
        <v>13.7485002200892</v>
      </c>
      <c r="K71" s="4">
        <v>158.93308303662801</v>
      </c>
      <c r="L71" s="4">
        <v>15.7558323621338</v>
      </c>
      <c r="M71" s="4">
        <v>31.252909187507498</v>
      </c>
      <c r="N71" s="4">
        <v>76.641524442370795</v>
      </c>
      <c r="O71" s="4">
        <v>70.9384195471239</v>
      </c>
      <c r="P71" s="4">
        <v>271358.390472845</v>
      </c>
      <c r="Q71" s="4">
        <v>253418.07369768099</v>
      </c>
      <c r="R71" s="4">
        <v>779.02802384692302</v>
      </c>
      <c r="S71" s="4">
        <v>0</v>
      </c>
      <c r="T71" s="4">
        <v>0</v>
      </c>
      <c r="U71" s="4">
        <v>6.94698614718343E-3</v>
      </c>
      <c r="V71" s="4">
        <v>1</v>
      </c>
      <c r="W71" s="4">
        <v>0</v>
      </c>
      <c r="X71" s="4">
        <v>0.73032332077362505</v>
      </c>
      <c r="Y71" s="4">
        <v>0</v>
      </c>
      <c r="Z71" s="5">
        <v>4.21220801079624E-4</v>
      </c>
      <c r="AA71" s="5">
        <v>6.1751176977307195E-4</v>
      </c>
      <c r="AB71" s="10">
        <v>3.7498363474846902E-3</v>
      </c>
      <c r="AC71" s="10">
        <v>1.8383179943117901E-5</v>
      </c>
      <c r="AD71" s="10">
        <v>4.2606539401764898E-2</v>
      </c>
      <c r="AE71" s="4">
        <v>2.73401164794333E-2</v>
      </c>
      <c r="AF71" s="4">
        <v>0.70548153489603005</v>
      </c>
      <c r="AG71" s="4">
        <v>0.96716791056331997</v>
      </c>
      <c r="AH71" s="4">
        <v>0.99236114036842904</v>
      </c>
      <c r="AI71" s="4">
        <v>0.99893747468959904</v>
      </c>
      <c r="AJ71" s="4">
        <v>1</v>
      </c>
      <c r="AK71" s="4">
        <v>1</v>
      </c>
      <c r="AL71" s="4">
        <v>1</v>
      </c>
      <c r="AM71" s="4">
        <v>0</v>
      </c>
      <c r="AN71" s="4">
        <v>0</v>
      </c>
      <c r="AO71" s="4" t="s">
        <v>80</v>
      </c>
      <c r="AP71" s="4" t="s">
        <v>81</v>
      </c>
      <c r="AQ71" s="6">
        <v>14307224186.75</v>
      </c>
      <c r="AR71" s="4">
        <v>56457</v>
      </c>
      <c r="AS71" s="15">
        <v>0</v>
      </c>
      <c r="AT71" s="15">
        <v>0</v>
      </c>
      <c r="AU71" s="15">
        <v>0</v>
      </c>
      <c r="AV71" s="15">
        <v>100</v>
      </c>
      <c r="AW71" s="15">
        <v>0</v>
      </c>
      <c r="AX71" s="15">
        <v>100</v>
      </c>
      <c r="AY71">
        <v>1580.01661585496</v>
      </c>
    </row>
    <row r="72" spans="1:51" x14ac:dyDescent="0.25">
      <c r="A72">
        <v>96</v>
      </c>
      <c r="B72" s="4">
        <v>0.94921113877031404</v>
      </c>
      <c r="C72" s="4">
        <v>36.328359776885698</v>
      </c>
      <c r="D72" s="4">
        <v>46.499984107584901</v>
      </c>
      <c r="E72" s="4">
        <v>3.6920430825307597E-2</v>
      </c>
      <c r="F72" s="5">
        <v>5.0788861229685199E-2</v>
      </c>
      <c r="G72" s="5">
        <v>0</v>
      </c>
      <c r="H72" s="4">
        <v>5.27454386722005</v>
      </c>
      <c r="I72" s="4">
        <v>3.6511078525434102</v>
      </c>
      <c r="J72" s="4">
        <v>24.2356305018148</v>
      </c>
      <c r="K72" s="4">
        <v>181.614353501968</v>
      </c>
      <c r="L72" s="4">
        <v>15.047433023976801</v>
      </c>
      <c r="M72" s="4">
        <v>31.9036088582539</v>
      </c>
      <c r="N72" s="4">
        <v>82.862192598981096</v>
      </c>
      <c r="O72" s="4">
        <v>74.555187309182102</v>
      </c>
      <c r="P72" s="4">
        <v>284232.112159585</v>
      </c>
      <c r="Q72" s="4">
        <v>265342.53940657497</v>
      </c>
      <c r="R72" s="4">
        <v>778.22083156904603</v>
      </c>
      <c r="S72" s="4">
        <v>0</v>
      </c>
      <c r="T72" s="4">
        <v>0</v>
      </c>
      <c r="U72" s="4">
        <v>1.51319288660427E-2</v>
      </c>
      <c r="V72" s="4">
        <v>1</v>
      </c>
      <c r="W72" s="4">
        <v>0</v>
      </c>
      <c r="X72" s="4">
        <v>0.64072221849630295</v>
      </c>
      <c r="Y72" s="4">
        <v>0</v>
      </c>
      <c r="Z72" s="5">
        <v>4.3317628772882797E-4</v>
      </c>
      <c r="AA72" s="5">
        <v>8.0132513978559302E-4</v>
      </c>
      <c r="AB72" s="10">
        <v>3.6619789230298901E-3</v>
      </c>
      <c r="AC72" s="10">
        <v>5.1954276900793003E-5</v>
      </c>
      <c r="AD72" s="10">
        <v>4.5840411218435198E-2</v>
      </c>
      <c r="AE72" s="4">
        <v>5.23116693084964E-2</v>
      </c>
      <c r="AF72" s="4">
        <v>0.58102678728438495</v>
      </c>
      <c r="AG72" s="4">
        <v>0.92910968841869601</v>
      </c>
      <c r="AH72" s="4">
        <v>0.97575787032496697</v>
      </c>
      <c r="AI72" s="4">
        <v>0.99786618219456702</v>
      </c>
      <c r="AJ72" s="4">
        <v>1</v>
      </c>
      <c r="AK72" s="4">
        <v>1</v>
      </c>
      <c r="AL72" s="4">
        <v>1</v>
      </c>
      <c r="AM72" s="4">
        <v>0</v>
      </c>
      <c r="AN72" s="4">
        <v>0</v>
      </c>
      <c r="AO72" s="4" t="s">
        <v>82</v>
      </c>
      <c r="AP72" s="4" t="s">
        <v>83</v>
      </c>
      <c r="AQ72" s="6">
        <v>1654410733.2</v>
      </c>
      <c r="AR72" s="4">
        <v>6235</v>
      </c>
      <c r="AS72" s="15">
        <v>0</v>
      </c>
      <c r="AT72" s="15">
        <v>0</v>
      </c>
      <c r="AU72" s="15">
        <v>0</v>
      </c>
      <c r="AV72" s="15">
        <v>100</v>
      </c>
      <c r="AW72" s="15">
        <v>0</v>
      </c>
      <c r="AX72" s="15">
        <v>100</v>
      </c>
      <c r="AY72">
        <v>1703.40121551075</v>
      </c>
    </row>
    <row r="73" spans="1:51" x14ac:dyDescent="0.25">
      <c r="A73">
        <v>96</v>
      </c>
      <c r="B73" s="4">
        <v>0.94461671289654103</v>
      </c>
      <c r="C73" s="4">
        <v>38.942758267856</v>
      </c>
      <c r="D73" s="4">
        <v>49.526025702307003</v>
      </c>
      <c r="E73" s="4">
        <v>4.0279514382837001E-2</v>
      </c>
      <c r="F73" s="5">
        <v>5.5383287103458197E-2</v>
      </c>
      <c r="G73" s="5">
        <v>0</v>
      </c>
      <c r="H73" s="4">
        <v>5.2584410472343102</v>
      </c>
      <c r="I73" s="4">
        <v>3.6901338681703799</v>
      </c>
      <c r="J73" s="4">
        <v>35.192774180943402</v>
      </c>
      <c r="K73" s="4">
        <v>207.22068314833399</v>
      </c>
      <c r="L73" s="4">
        <v>15.0443660840661</v>
      </c>
      <c r="M73" s="4">
        <v>23.332505589133401</v>
      </c>
      <c r="N73" s="4">
        <v>90.009753610404502</v>
      </c>
      <c r="O73" s="4">
        <v>75.142063492162706</v>
      </c>
      <c r="P73" s="4">
        <v>288502.94402454898</v>
      </c>
      <c r="Q73" s="4">
        <v>265318.44494117599</v>
      </c>
      <c r="R73" s="4">
        <v>777.25461049215005</v>
      </c>
      <c r="S73" s="4">
        <v>0</v>
      </c>
      <c r="T73" s="4">
        <v>0</v>
      </c>
      <c r="U73" s="4">
        <v>1.1318561060742E-2</v>
      </c>
      <c r="V73" s="4">
        <v>1</v>
      </c>
      <c r="W73" s="4">
        <v>0</v>
      </c>
      <c r="X73" s="4">
        <v>0.70290137530575503</v>
      </c>
      <c r="Y73" s="4">
        <v>0</v>
      </c>
      <c r="Z73" s="5">
        <v>5.0317953766026297E-4</v>
      </c>
      <c r="AA73" s="5">
        <v>6.5604787179320196E-4</v>
      </c>
      <c r="AB73" s="10">
        <v>4.0975847466188601E-3</v>
      </c>
      <c r="AC73" s="10">
        <v>2.91227985895499E-4</v>
      </c>
      <c r="AD73" s="10">
        <v>4.9835230916147701E-2</v>
      </c>
      <c r="AE73" s="4">
        <v>0.105441554876214</v>
      </c>
      <c r="AF73" s="4">
        <v>0.25587583007425202</v>
      </c>
      <c r="AG73" s="4">
        <v>0.71213793925763902</v>
      </c>
      <c r="AH73" s="4">
        <v>0.83137016671730302</v>
      </c>
      <c r="AI73" s="4">
        <v>0.99392130316264105</v>
      </c>
      <c r="AJ73" s="4">
        <v>1</v>
      </c>
      <c r="AK73" s="4">
        <v>1</v>
      </c>
      <c r="AL73" s="4">
        <v>1</v>
      </c>
      <c r="AM73" s="4">
        <v>0</v>
      </c>
      <c r="AN73" s="4">
        <v>0</v>
      </c>
      <c r="AO73" s="4" t="s">
        <v>84</v>
      </c>
      <c r="AP73" s="4" t="s">
        <v>85</v>
      </c>
      <c r="AQ73" s="6">
        <v>67656203.459999993</v>
      </c>
      <c r="AR73" s="4">
        <v>255</v>
      </c>
      <c r="AS73" s="15">
        <v>0</v>
      </c>
      <c r="AT73" s="15">
        <v>0</v>
      </c>
      <c r="AU73" s="15">
        <v>0</v>
      </c>
      <c r="AV73" s="15">
        <v>100</v>
      </c>
      <c r="AW73" s="15">
        <v>0</v>
      </c>
      <c r="AX73" s="15">
        <v>100</v>
      </c>
      <c r="AY73">
        <v>1720.83393534621</v>
      </c>
    </row>
    <row r="74" spans="1:51" x14ac:dyDescent="0.25">
      <c r="A74">
        <v>96</v>
      </c>
      <c r="B74" s="4">
        <v>0.942968851120911</v>
      </c>
      <c r="C74" s="4">
        <v>53.259295562111298</v>
      </c>
      <c r="D74" s="4">
        <v>50.572554688105399</v>
      </c>
      <c r="E74" s="4">
        <v>6.1412849198621298E-2</v>
      </c>
      <c r="F74" s="5">
        <v>5.7031148879088098E-2</v>
      </c>
      <c r="G74" s="5">
        <v>0</v>
      </c>
      <c r="H74" s="4">
        <v>5.3525429708691501</v>
      </c>
      <c r="I74" s="4">
        <v>3.6655120735998601</v>
      </c>
      <c r="J74" s="4">
        <v>39.396810465213001</v>
      </c>
      <c r="K74" s="4">
        <v>231.61097412837799</v>
      </c>
      <c r="L74" s="4">
        <v>14.9215646229329</v>
      </c>
      <c r="M74" s="4">
        <v>22.6907750499008</v>
      </c>
      <c r="N74" s="4">
        <v>94.1181422933265</v>
      </c>
      <c r="O74" s="4">
        <v>73.909209937427605</v>
      </c>
      <c r="P74" s="4">
        <v>285023.61851012497</v>
      </c>
      <c r="Q74" s="4">
        <v>267429.77117646998</v>
      </c>
      <c r="R74" s="4">
        <v>789.004902956259</v>
      </c>
      <c r="S74" s="4">
        <v>0</v>
      </c>
      <c r="T74" s="4">
        <v>0</v>
      </c>
      <c r="U74" s="4">
        <v>0</v>
      </c>
      <c r="V74" s="4">
        <v>1</v>
      </c>
      <c r="W74" s="4">
        <v>0</v>
      </c>
      <c r="X74" s="4">
        <v>0.61952794023365898</v>
      </c>
      <c r="Y74" s="4">
        <v>0</v>
      </c>
      <c r="Z74" s="5">
        <v>5.9572058417280604E-4</v>
      </c>
      <c r="AA74" s="5">
        <v>7.2086309457873197E-4</v>
      </c>
      <c r="AB74" s="10">
        <v>4.19919429821204E-3</v>
      </c>
      <c r="AC74" s="10">
        <v>6.4053653534141305E-4</v>
      </c>
      <c r="AD74" s="10">
        <v>5.0874816287259698E-2</v>
      </c>
      <c r="AE74" s="4">
        <v>0.13431291059580699</v>
      </c>
      <c r="AF74" s="4">
        <v>0.375337592479007</v>
      </c>
      <c r="AG74" s="4">
        <v>0.43108040958553001</v>
      </c>
      <c r="AH74" s="4">
        <v>0.62134496482463997</v>
      </c>
      <c r="AI74" s="4">
        <v>0.95475242207128797</v>
      </c>
      <c r="AJ74" s="4">
        <v>1</v>
      </c>
      <c r="AK74" s="4">
        <v>1</v>
      </c>
      <c r="AL74" s="4">
        <v>1</v>
      </c>
      <c r="AM74" s="4">
        <v>0</v>
      </c>
      <c r="AN74" s="4">
        <v>0</v>
      </c>
      <c r="AO74" s="4" t="s">
        <v>86</v>
      </c>
      <c r="AP74" s="4" t="s">
        <v>87</v>
      </c>
      <c r="AQ74" s="6">
        <v>4546306.1100000003</v>
      </c>
      <c r="AR74" s="4">
        <v>17</v>
      </c>
      <c r="AS74" s="15">
        <v>0</v>
      </c>
      <c r="AT74" s="15">
        <v>0</v>
      </c>
      <c r="AU74" s="15">
        <v>0</v>
      </c>
      <c r="AV74" s="15">
        <v>100</v>
      </c>
      <c r="AW74" s="15">
        <v>0</v>
      </c>
      <c r="AX74" s="15">
        <v>100</v>
      </c>
      <c r="AY74">
        <v>1767.28835744874</v>
      </c>
    </row>
    <row r="75" spans="1:51" x14ac:dyDescent="0.25">
      <c r="A75">
        <v>96</v>
      </c>
      <c r="B75" s="4">
        <v>0.95387584000000003</v>
      </c>
      <c r="C75" s="4">
        <v>100</v>
      </c>
      <c r="D75" s="4">
        <v>43.2583202693122</v>
      </c>
      <c r="E75" s="4">
        <v>1</v>
      </c>
      <c r="F75" s="5">
        <v>4.6124159999999997E-2</v>
      </c>
      <c r="G75" s="5">
        <v>0</v>
      </c>
      <c r="H75" s="4">
        <v>5.625</v>
      </c>
      <c r="I75" s="4">
        <v>3.7846229999999998</v>
      </c>
      <c r="J75" s="4">
        <v>55.396599999999999</v>
      </c>
      <c r="K75" s="4">
        <v>279.11</v>
      </c>
      <c r="L75" s="4">
        <v>23.7</v>
      </c>
      <c r="M75" s="4">
        <v>23</v>
      </c>
      <c r="N75" s="4">
        <v>102</v>
      </c>
      <c r="O75" s="4">
        <v>66.61</v>
      </c>
      <c r="P75" s="4">
        <v>168148</v>
      </c>
      <c r="Q75" s="4">
        <v>168148</v>
      </c>
      <c r="R75" s="4">
        <v>781</v>
      </c>
      <c r="S75" s="4">
        <v>0</v>
      </c>
      <c r="T75" s="4">
        <v>0</v>
      </c>
      <c r="U75" s="4">
        <v>0</v>
      </c>
      <c r="V75" s="4">
        <v>1</v>
      </c>
      <c r="W75" s="4">
        <v>0</v>
      </c>
      <c r="X75" s="4">
        <v>1</v>
      </c>
      <c r="Y75" s="4">
        <v>0</v>
      </c>
      <c r="Z75" s="5">
        <v>1.18778E-3</v>
      </c>
      <c r="AA75" s="5">
        <v>1.164E-5</v>
      </c>
      <c r="AB75" s="10">
        <v>4.3739900000000003E-3</v>
      </c>
      <c r="AC75" s="10">
        <v>0</v>
      </c>
      <c r="AD75" s="10">
        <v>4.055073E-2</v>
      </c>
      <c r="AE75" s="4">
        <v>4.8819969521868102E-2</v>
      </c>
      <c r="AF75" s="4">
        <v>1</v>
      </c>
      <c r="AG75" s="4">
        <v>1</v>
      </c>
      <c r="AH75" s="4">
        <v>1</v>
      </c>
      <c r="AI75" s="4">
        <v>1</v>
      </c>
      <c r="AJ75" s="4">
        <v>1</v>
      </c>
      <c r="AK75" s="4">
        <v>1</v>
      </c>
      <c r="AL75" s="4">
        <v>1</v>
      </c>
      <c r="AM75" s="4">
        <v>0</v>
      </c>
      <c r="AN75" s="4">
        <v>0</v>
      </c>
      <c r="AO75" s="4" t="s">
        <v>154</v>
      </c>
      <c r="AP75" s="4" t="s">
        <v>155</v>
      </c>
      <c r="AQ75" s="6">
        <v>168148</v>
      </c>
      <c r="AR75" s="4">
        <v>1</v>
      </c>
      <c r="AS75" s="15">
        <v>0</v>
      </c>
      <c r="AT75" s="15">
        <v>0</v>
      </c>
      <c r="AU75" s="15">
        <v>0</v>
      </c>
      <c r="AV75" s="15">
        <v>100</v>
      </c>
      <c r="AW75" s="15">
        <v>0</v>
      </c>
      <c r="AX75" s="15">
        <v>100</v>
      </c>
      <c r="AY75">
        <v>1585.61</v>
      </c>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7" spans="1:51" x14ac:dyDescent="0.25">
      <c r="L77" s="4" t="s">
        <v>160</v>
      </c>
      <c r="M77" s="30" t="s">
        <v>187</v>
      </c>
      <c r="O77" s="4"/>
      <c r="P77" s="30"/>
    </row>
    <row r="78" spans="1:51" s="35" customFormat="1" x14ac:dyDescent="0.25">
      <c r="L78" t="s">
        <v>153</v>
      </c>
      <c r="M78" s="4">
        <v>0.95</v>
      </c>
      <c r="O78" s="35" t="s">
        <v>169</v>
      </c>
      <c r="P78" s="35" t="s">
        <v>170</v>
      </c>
    </row>
    <row r="79" spans="1:51" s="35" customFormat="1" x14ac:dyDescent="0.25">
      <c r="L79" s="35" t="s">
        <v>184</v>
      </c>
      <c r="M79" s="39">
        <v>1</v>
      </c>
      <c r="O79" s="39">
        <v>1</v>
      </c>
      <c r="P79" s="35">
        <f>1-O79</f>
        <v>0</v>
      </c>
    </row>
    <row r="80" spans="1:51" s="35" customFormat="1" x14ac:dyDescent="0.25">
      <c r="M80" s="39"/>
    </row>
    <row r="81" spans="1:36" x14ac:dyDescent="0.25">
      <c r="K81" t="s">
        <v>98</v>
      </c>
      <c r="L81" t="s">
        <v>89</v>
      </c>
      <c r="M81" t="s">
        <v>90</v>
      </c>
    </row>
    <row r="82" spans="1:36" x14ac:dyDescent="0.25">
      <c r="A82" s="4" t="s">
        <v>93</v>
      </c>
      <c r="B82" t="str">
        <f>AQ2</f>
        <v>Balance</v>
      </c>
      <c r="C82" s="2" t="str">
        <f t="shared" ref="C82:C112"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185</v>
      </c>
      <c r="V82" t="s">
        <v>91</v>
      </c>
    </row>
    <row r="83" spans="1:36" s="35" customFormat="1" x14ac:dyDescent="0.25">
      <c r="A83" s="14">
        <f t="shared" ref="A83:A112" si="1">K3</f>
        <v>-158.22</v>
      </c>
      <c r="B83" s="32">
        <f t="shared" ref="B83:B112" si="2">AQ3/1000000000</f>
        <v>2.6985903000000005E-4</v>
      </c>
      <c r="C83" s="33" t="str">
        <f t="shared" si="0"/>
        <v>02:-175--150</v>
      </c>
      <c r="D83" s="34">
        <f t="shared" ref="D83:D112" si="3">E3</f>
        <v>0</v>
      </c>
      <c r="E83" s="34">
        <f t="shared" ref="E83:E112" si="4">Z3+AA3+AB3+AC3+AD3</f>
        <v>1.1506999999999999E-3</v>
      </c>
      <c r="F83" s="32"/>
      <c r="G83" s="33">
        <f t="shared" ref="G83:H98" si="5">(1-(1-D83)^12)*100</f>
        <v>0</v>
      </c>
      <c r="H83" s="33">
        <f t="shared" si="5"/>
        <v>1.3721343045254075</v>
      </c>
      <c r="I83" s="33">
        <f t="shared" ref="I83:I112" si="6">(1-(1-SUM(Z42,AA42,AB42,AC42,AD42*M83))^12)*100</f>
        <v>1.3721343045254075</v>
      </c>
      <c r="K83" s="14">
        <f>VLOOKUP($C83,'Refi Adj'!$B$2:$E$32,2,0)</f>
        <v>1</v>
      </c>
      <c r="L83" s="14">
        <f>VLOOKUP($C83,'Refi Adj'!$B$2:$E$32,3,0)</f>
        <v>1</v>
      </c>
      <c r="M83" s="14">
        <f>VLOOKUP($C83,'Refi Adj'!$B$2:$E$32,4,0)</f>
        <v>1</v>
      </c>
      <c r="O83" s="40">
        <f t="shared" ref="O83:O112" si="7">AD42*M83</f>
        <v>0</v>
      </c>
      <c r="P83" s="40">
        <f t="shared" ref="P83:P112" si="8">AD3</f>
        <v>0</v>
      </c>
      <c r="Q83" s="40">
        <f t="shared" ref="Q83:Q112" si="9">(O83*$O$79+P83*$P$79)</f>
        <v>0</v>
      </c>
      <c r="R83" s="14"/>
      <c r="S83" s="34">
        <f t="shared" ref="S83:S89" si="10">Z3+AA3+AB3*K83+AC3*L83+Q83*$M$78</f>
        <v>1.1506999999999999E-3</v>
      </c>
      <c r="T83" s="33">
        <f t="shared" ref="T83:T112" si="11">100*(1-(1-S83)^12)</f>
        <v>1.3721343045254075</v>
      </c>
      <c r="U83" s="33">
        <f>100*(1-(1-S83*$M$79)^12)</f>
        <v>1.3721343045254075</v>
      </c>
      <c r="V83" s="36">
        <f t="shared" ref="V83:V112" si="12">D83/S83</f>
        <v>0</v>
      </c>
      <c r="X83" s="37"/>
      <c r="Y83" s="34"/>
      <c r="Z83" s="34"/>
      <c r="AD83" s="34"/>
      <c r="AE83" s="34"/>
      <c r="AJ83" s="34"/>
    </row>
    <row r="84" spans="1:36" s="35" customFormat="1" x14ac:dyDescent="0.25">
      <c r="A84" s="14">
        <f t="shared" si="1"/>
        <v>-134.57504655499099</v>
      </c>
      <c r="B84" s="32">
        <f t="shared" si="2"/>
        <v>1.0589798999999999E-3</v>
      </c>
      <c r="C84" s="33" t="str">
        <f t="shared" si="0"/>
        <v>03:-150--125</v>
      </c>
      <c r="D84" s="34">
        <f t="shared" si="3"/>
        <v>1.1410509302395601E-3</v>
      </c>
      <c r="E84" s="34">
        <f t="shared" si="4"/>
        <v>2.0379003382976378E-3</v>
      </c>
      <c r="F84" s="32"/>
      <c r="G84" s="33">
        <f t="shared" si="5"/>
        <v>1.3607005350337542</v>
      </c>
      <c r="H84" s="33">
        <f t="shared" si="5"/>
        <v>2.4182557020623441</v>
      </c>
      <c r="I84" s="33">
        <f t="shared" si="6"/>
        <v>2.8470530004261474</v>
      </c>
      <c r="K84" s="14">
        <f>VLOOKUP($C84,'Refi Adj'!$B$2:$E$32,2,0)</f>
        <v>1</v>
      </c>
      <c r="L84" s="14">
        <f>VLOOKUP($C84,'Refi Adj'!$B$2:$E$32,3,0)</f>
        <v>1</v>
      </c>
      <c r="M84" s="14">
        <f>VLOOKUP($C84,'Refi Adj'!$B$2:$E$32,4,0)</f>
        <v>1</v>
      </c>
      <c r="O84" s="40">
        <f t="shared" si="7"/>
        <v>4.0870586713033898E-4</v>
      </c>
      <c r="P84" s="40">
        <f t="shared" si="8"/>
        <v>4.2527634308356499E-5</v>
      </c>
      <c r="Q84" s="40">
        <f t="shared" si="9"/>
        <v>4.0870586713033898E-4</v>
      </c>
      <c r="R84" s="14"/>
      <c r="S84" s="34">
        <f t="shared" si="10"/>
        <v>2.3836432777631033E-3</v>
      </c>
      <c r="T84" s="33">
        <f t="shared" si="11"/>
        <v>2.8231687087090007</v>
      </c>
      <c r="U84" s="33">
        <f t="shared" ref="U84:U112" si="13">100*(1-(1-S84*$M$79)^12)</f>
        <v>2.8231687087090007</v>
      </c>
      <c r="V84" s="36">
        <f t="shared" si="12"/>
        <v>0.47870037470974408</v>
      </c>
      <c r="X84" s="37"/>
      <c r="Y84" s="34"/>
      <c r="Z84" s="34"/>
      <c r="AC84" s="37"/>
      <c r="AD84" s="34"/>
      <c r="AE84" s="34"/>
      <c r="AJ84" s="34"/>
    </row>
    <row r="85" spans="1:36" s="35" customFormat="1" x14ac:dyDescent="0.25">
      <c r="A85" s="14">
        <f t="shared" si="1"/>
        <v>-109.95371887641301</v>
      </c>
      <c r="B85" s="32">
        <f t="shared" si="2"/>
        <v>6.6721539099999999E-3</v>
      </c>
      <c r="C85" s="33" t="str">
        <f t="shared" si="0"/>
        <v>04:-125--100</v>
      </c>
      <c r="D85" s="34">
        <f t="shared" si="3"/>
        <v>2.62429472257309E-3</v>
      </c>
      <c r="E85" s="34">
        <f t="shared" si="4"/>
        <v>2.4793605866280971E-3</v>
      </c>
      <c r="F85" s="32"/>
      <c r="G85" s="33">
        <f t="shared" si="5"/>
        <v>3.1040952516580012</v>
      </c>
      <c r="H85" s="33">
        <f t="shared" si="5"/>
        <v>2.934994436299565</v>
      </c>
      <c r="I85" s="33">
        <f t="shared" si="6"/>
        <v>3.8080527545929499</v>
      </c>
      <c r="K85" s="14">
        <f>VLOOKUP($C85,'Refi Adj'!$B$2:$E$32,2,0)</f>
        <v>1</v>
      </c>
      <c r="L85" s="14">
        <f>VLOOKUP($C85,'Refi Adj'!$B$2:$E$32,3,0)</f>
        <v>1</v>
      </c>
      <c r="M85" s="14">
        <f>VLOOKUP($C85,'Refi Adj'!$B$2:$E$32,4,0)</f>
        <v>1</v>
      </c>
      <c r="O85" s="40">
        <f t="shared" si="7"/>
        <v>8.4749356469294903E-4</v>
      </c>
      <c r="P85" s="40">
        <f t="shared" si="8"/>
        <v>9.6703990637110401E-5</v>
      </c>
      <c r="Q85" s="40">
        <f t="shared" si="9"/>
        <v>8.4749356469294903E-4</v>
      </c>
      <c r="R85" s="14"/>
      <c r="S85" s="34">
        <f t="shared" si="10"/>
        <v>3.1877754824492883E-3</v>
      </c>
      <c r="T85" s="33">
        <f t="shared" si="11"/>
        <v>3.7589695363512199</v>
      </c>
      <c r="U85" s="33">
        <f t="shared" si="13"/>
        <v>3.7589695363512199</v>
      </c>
      <c r="V85" s="36">
        <f t="shared" si="12"/>
        <v>0.82323699928727267</v>
      </c>
      <c r="X85" s="37"/>
      <c r="Y85" s="34"/>
      <c r="Z85" s="34"/>
      <c r="AC85" s="37"/>
      <c r="AD85" s="34"/>
      <c r="AE85" s="34"/>
      <c r="AJ85" s="34"/>
    </row>
    <row r="86" spans="1:36" s="35" customFormat="1" x14ac:dyDescent="0.25">
      <c r="A86" s="14">
        <f t="shared" si="1"/>
        <v>-84.467718519781101</v>
      </c>
      <c r="B86" s="32">
        <f t="shared" si="2"/>
        <v>2.5175628929999999E-2</v>
      </c>
      <c r="C86" s="33" t="str">
        <f t="shared" si="0"/>
        <v>05:-100--75</v>
      </c>
      <c r="D86" s="34">
        <f t="shared" si="3"/>
        <v>2.3085723930023798E-3</v>
      </c>
      <c r="E86" s="34">
        <f t="shared" si="4"/>
        <v>3.3095576155954798E-3</v>
      </c>
      <c r="F86" s="32"/>
      <c r="G86" s="33">
        <f t="shared" si="5"/>
        <v>2.735381406077797</v>
      </c>
      <c r="H86" s="33">
        <f t="shared" si="5"/>
        <v>3.8999698021509599</v>
      </c>
      <c r="I86" s="33">
        <f t="shared" si="6"/>
        <v>8.7719303364121259</v>
      </c>
      <c r="K86" s="14">
        <f>VLOOKUP($C86,'Refi Adj'!$B$2:$E$32,2,0)</f>
        <v>1</v>
      </c>
      <c r="L86" s="14">
        <f>VLOOKUP($C86,'Refi Adj'!$B$2:$E$32,3,0)</f>
        <v>1</v>
      </c>
      <c r="M86" s="14">
        <f>VLOOKUP($C86,'Refi Adj'!$B$2:$E$32,4,0)</f>
        <v>1</v>
      </c>
      <c r="O86" s="40">
        <f t="shared" si="7"/>
        <v>4.9967698052165504E-3</v>
      </c>
      <c r="P86" s="40">
        <f t="shared" si="8"/>
        <v>6.8488942317417999E-4</v>
      </c>
      <c r="Q86" s="40">
        <f t="shared" si="9"/>
        <v>4.9967698052165504E-3</v>
      </c>
      <c r="R86" s="14"/>
      <c r="S86" s="34">
        <f t="shared" si="10"/>
        <v>7.3715995073770219E-3</v>
      </c>
      <c r="T86" s="33">
        <f t="shared" si="11"/>
        <v>8.4959404643126906</v>
      </c>
      <c r="U86" s="33">
        <f t="shared" si="13"/>
        <v>8.4959404643126906</v>
      </c>
      <c r="V86" s="36">
        <f t="shared" si="12"/>
        <v>0.3131711632858119</v>
      </c>
      <c r="X86" s="37"/>
      <c r="Y86" s="34"/>
      <c r="Z86" s="34"/>
      <c r="AC86" s="37"/>
      <c r="AD86" s="34"/>
      <c r="AE86" s="34"/>
      <c r="AH86" s="37"/>
      <c r="AI86" s="34"/>
      <c r="AJ86" s="34"/>
    </row>
    <row r="87" spans="1:36" x14ac:dyDescent="0.25">
      <c r="A87" s="4">
        <f t="shared" si="1"/>
        <v>-56.808618320161699</v>
      </c>
      <c r="B87" s="3">
        <f t="shared" si="2"/>
        <v>0.35169954186000002</v>
      </c>
      <c r="C87" s="2" t="str">
        <f t="shared" si="0"/>
        <v>06:-75--50</v>
      </c>
      <c r="D87" s="8">
        <f t="shared" si="3"/>
        <v>2.1729626863243802E-3</v>
      </c>
      <c r="E87" s="8">
        <f t="shared" si="4"/>
        <v>2.0054334593878603E-3</v>
      </c>
      <c r="F87" s="3"/>
      <c r="G87" s="2">
        <f t="shared" si="5"/>
        <v>2.5766161876005444</v>
      </c>
      <c r="H87" s="2">
        <f t="shared" si="5"/>
        <v>2.3801531533442777</v>
      </c>
      <c r="I87" s="33">
        <f t="shared" si="6"/>
        <v>2.6470679585054224</v>
      </c>
      <c r="K87" s="14">
        <f>VLOOKUP($C87,'Refi Adj'!$B$2:$E$32,2,0)</f>
        <v>1</v>
      </c>
      <c r="L87" s="14">
        <f>VLOOKUP($C87,'Refi Adj'!$B$2:$E$32,3,0)</f>
        <v>1</v>
      </c>
      <c r="M87" s="14">
        <f>VLOOKUP($C87,'Refi Adj'!$B$2:$E$32,4,0)</f>
        <v>0.5</v>
      </c>
      <c r="O87" s="40">
        <f t="shared" si="7"/>
        <v>3.433298883618355E-4</v>
      </c>
      <c r="P87" s="40">
        <f t="shared" si="8"/>
        <v>1.15649126675807E-4</v>
      </c>
      <c r="Q87" s="40">
        <f t="shared" si="9"/>
        <v>3.433298883618355E-4</v>
      </c>
      <c r="R87" s="14"/>
      <c r="S87" s="34">
        <f>Z7+AA7+AB7*K87+AC7*L87+Q87*$M$78</f>
        <v>2.2159477266557965E-3</v>
      </c>
      <c r="T87" s="2">
        <f t="shared" si="11"/>
        <v>2.6269666694503591</v>
      </c>
      <c r="U87" s="33">
        <f t="shared" si="13"/>
        <v>2.6269666694503591</v>
      </c>
      <c r="V87" s="7">
        <f t="shared" si="12"/>
        <v>0.9806019610416139</v>
      </c>
      <c r="X87" s="9"/>
      <c r="Y87" s="8"/>
      <c r="Z87" s="8"/>
      <c r="AC87" s="9"/>
      <c r="AD87" s="8"/>
      <c r="AE87" s="8"/>
      <c r="AH87" s="9"/>
      <c r="AI87" s="8"/>
      <c r="AJ87" s="8"/>
    </row>
    <row r="88" spans="1:36" x14ac:dyDescent="0.25">
      <c r="A88" s="4">
        <f t="shared" si="1"/>
        <v>-33.426627884314101</v>
      </c>
      <c r="B88" s="3">
        <f t="shared" si="2"/>
        <v>4.3812307503599994</v>
      </c>
      <c r="C88" s="2" t="str">
        <f t="shared" si="0"/>
        <v>07:-50--25</v>
      </c>
      <c r="D88" s="8">
        <f t="shared" si="3"/>
        <v>2.7877717563973901E-3</v>
      </c>
      <c r="E88" s="8">
        <f t="shared" si="4"/>
        <v>2.1840841064033924E-3</v>
      </c>
      <c r="F88" s="3"/>
      <c r="G88" s="2">
        <f t="shared" si="5"/>
        <v>3.2945067444213327</v>
      </c>
      <c r="H88" s="2">
        <f t="shared" si="5"/>
        <v>2.5896455394224582</v>
      </c>
      <c r="I88" s="33">
        <f t="shared" si="6"/>
        <v>3.30680597697669</v>
      </c>
      <c r="K88" s="14">
        <f>VLOOKUP($C88,'Refi Adj'!$B$2:$E$32,2,0)</f>
        <v>1</v>
      </c>
      <c r="L88" s="14">
        <f>VLOOKUP($C88,'Refi Adj'!$B$2:$E$32,3,0)</f>
        <v>1</v>
      </c>
      <c r="M88" s="14">
        <f>VLOOKUP($C88,'Refi Adj'!$B$2:$E$32,4,0)</f>
        <v>0.5</v>
      </c>
      <c r="O88" s="40">
        <f t="shared" si="7"/>
        <v>8.1717337170065997E-4</v>
      </c>
      <c r="P88" s="40">
        <f t="shared" si="8"/>
        <v>2.0291612211230701E-4</v>
      </c>
      <c r="Q88" s="40">
        <f t="shared" si="9"/>
        <v>8.1717337170065997E-4</v>
      </c>
      <c r="R88" s="14"/>
      <c r="S88" s="34">
        <f t="shared" si="10"/>
        <v>2.7574826874067126E-3</v>
      </c>
      <c r="T88" s="2">
        <f t="shared" si="11"/>
        <v>3.2592531606885022</v>
      </c>
      <c r="U88" s="33">
        <f t="shared" si="13"/>
        <v>3.2592531606885022</v>
      </c>
      <c r="V88" s="7">
        <f t="shared" si="12"/>
        <v>1.0109843188241965</v>
      </c>
      <c r="X88" s="9"/>
      <c r="Y88" s="8"/>
      <c r="Z88" s="8"/>
      <c r="AC88" s="9"/>
      <c r="AD88" s="8"/>
      <c r="AE88" s="8"/>
      <c r="AH88" s="9"/>
      <c r="AI88" s="8"/>
      <c r="AJ88" s="8"/>
    </row>
    <row r="89" spans="1:36" x14ac:dyDescent="0.25">
      <c r="A89" s="4">
        <f t="shared" si="1"/>
        <v>-22.347277204719301</v>
      </c>
      <c r="B89" s="3">
        <f t="shared" si="2"/>
        <v>2.4254281839099998</v>
      </c>
      <c r="C89" s="2" t="str">
        <f t="shared" si="0"/>
        <v>08-1:-25--20</v>
      </c>
      <c r="D89" s="8">
        <f t="shared" si="3"/>
        <v>2.4168086537628402E-3</v>
      </c>
      <c r="E89" s="8">
        <f t="shared" si="4"/>
        <v>2.4719272695969507E-3</v>
      </c>
      <c r="F89" s="3"/>
      <c r="G89" s="2">
        <f t="shared" si="5"/>
        <v>2.8619289022231542</v>
      </c>
      <c r="H89" s="2">
        <f t="shared" si="5"/>
        <v>2.9263143809415304</v>
      </c>
      <c r="I89" s="33">
        <f t="shared" si="6"/>
        <v>4.3127993235280382</v>
      </c>
      <c r="K89" s="14">
        <f>VLOOKUP($C89,'Refi Adj'!$B$2:$E$32,2,0)</f>
        <v>1</v>
      </c>
      <c r="L89" s="14">
        <f>VLOOKUP($C89,'Refi Adj'!$B$2:$E$32,3,0)</f>
        <v>1</v>
      </c>
      <c r="M89" s="14">
        <f>VLOOKUP($C89,'Refi Adj'!$B$2:$E$32,4,0)</f>
        <v>0.51</v>
      </c>
      <c r="O89" s="40">
        <f t="shared" si="7"/>
        <v>1.5722382659853812E-3</v>
      </c>
      <c r="P89" s="40">
        <f t="shared" si="8"/>
        <v>3.7710230213047698E-4</v>
      </c>
      <c r="Q89" s="40">
        <f t="shared" si="9"/>
        <v>1.5722382659853812E-3</v>
      </c>
      <c r="R89" s="14"/>
      <c r="S89" s="34">
        <f t="shared" si="10"/>
        <v>3.5884513201525857E-3</v>
      </c>
      <c r="T89" s="2">
        <f t="shared" si="11"/>
        <v>4.2221619215739858</v>
      </c>
      <c r="U89" s="33">
        <f t="shared" si="13"/>
        <v>4.2221619215739858</v>
      </c>
      <c r="V89" s="7">
        <f t="shared" si="12"/>
        <v>0.67349629077874029</v>
      </c>
      <c r="X89" s="9"/>
      <c r="Y89" s="8"/>
      <c r="Z89" s="8"/>
      <c r="AC89" s="9"/>
      <c r="AD89" s="8"/>
      <c r="AE89" s="8"/>
      <c r="AH89" s="9"/>
      <c r="AI89" s="8"/>
      <c r="AJ89" s="8"/>
    </row>
    <row r="90" spans="1:36" x14ac:dyDescent="0.25">
      <c r="A90" s="4">
        <f t="shared" si="1"/>
        <v>-17.383839824316201</v>
      </c>
      <c r="B90" s="3">
        <f t="shared" si="2"/>
        <v>3.1583728311999999</v>
      </c>
      <c r="C90" s="2" t="str">
        <f t="shared" si="0"/>
        <v>08-2:-20--15</v>
      </c>
      <c r="D90" s="8">
        <f t="shared" si="3"/>
        <v>3.06379067223282E-3</v>
      </c>
      <c r="E90" s="8">
        <f t="shared" si="4"/>
        <v>2.6751905933582705E-3</v>
      </c>
      <c r="F90" s="3"/>
      <c r="G90" s="2">
        <f t="shared" si="5"/>
        <v>3.615224201838807</v>
      </c>
      <c r="H90" s="2">
        <f t="shared" si="5"/>
        <v>3.1634135310367184</v>
      </c>
      <c r="I90" s="33">
        <f t="shared" si="6"/>
        <v>4.9580817343076404</v>
      </c>
      <c r="K90" s="14">
        <f>VLOOKUP($C90,'Refi Adj'!$B$2:$E$32,2,0)</f>
        <v>1</v>
      </c>
      <c r="L90" s="14">
        <f>VLOOKUP($C90,'Refi Adj'!$B$2:$E$32,3,0)</f>
        <v>1</v>
      </c>
      <c r="M90" s="14">
        <f>VLOOKUP($C90,'Refi Adj'!$B$2:$E$32,4,0)</f>
        <v>0.52</v>
      </c>
      <c r="O90" s="40">
        <f t="shared" si="7"/>
        <v>2.0496003498754784E-3</v>
      </c>
      <c r="P90" s="40">
        <f t="shared" si="8"/>
        <v>4.9607833412027599E-4</v>
      </c>
      <c r="Q90" s="40">
        <f t="shared" si="9"/>
        <v>2.0496003498754784E-3</v>
      </c>
      <c r="R90" s="14"/>
      <c r="S90" s="34">
        <f t="shared" ref="S90:S96" si="14">Z10+AA10+AB10*K90+AC10*L90+Q87*$M$78</f>
        <v>2.5052756531817382E-3</v>
      </c>
      <c r="T90" s="2">
        <f t="shared" si="11"/>
        <v>2.9652504921974687</v>
      </c>
      <c r="U90" s="33">
        <f t="shared" si="13"/>
        <v>2.9652504921974687</v>
      </c>
      <c r="V90" s="7">
        <f t="shared" si="12"/>
        <v>1.2229355553516672</v>
      </c>
      <c r="X90" s="9"/>
      <c r="Y90" s="8"/>
      <c r="Z90" s="8"/>
      <c r="AC90" s="9"/>
      <c r="AD90" s="8"/>
      <c r="AE90" s="8"/>
      <c r="AH90" s="9"/>
      <c r="AI90" s="8"/>
      <c r="AJ90" s="8"/>
    </row>
    <row r="91" spans="1:36" x14ac:dyDescent="0.25">
      <c r="A91" s="4">
        <f t="shared" si="1"/>
        <v>-12.387981044926301</v>
      </c>
      <c r="B91" s="3">
        <f t="shared" si="2"/>
        <v>4.1773910793800004</v>
      </c>
      <c r="C91" s="2" t="str">
        <f t="shared" si="0"/>
        <v>08-3:-15--10</v>
      </c>
      <c r="D91" s="8">
        <f t="shared" si="3"/>
        <v>3.2058138274863599E-3</v>
      </c>
      <c r="E91" s="8">
        <f t="shared" si="4"/>
        <v>2.9309506906116645E-3</v>
      </c>
      <c r="F91" s="3"/>
      <c r="G91" s="2">
        <f t="shared" si="5"/>
        <v>3.7798664246297187</v>
      </c>
      <c r="H91" s="2">
        <f t="shared" si="5"/>
        <v>3.4609939995117411</v>
      </c>
      <c r="I91" s="33">
        <f t="shared" si="6"/>
        <v>5.7164885907921352</v>
      </c>
      <c r="K91" s="14">
        <f>VLOOKUP($C91,'Refi Adj'!$B$2:$E$32,2,0)</f>
        <v>1</v>
      </c>
      <c r="L91" s="14">
        <f>VLOOKUP($C91,'Refi Adj'!$B$2:$E$32,3,0)</f>
        <v>1</v>
      </c>
      <c r="M91" s="14">
        <f>VLOOKUP($C91,'Refi Adj'!$B$2:$E$32,4,0)</f>
        <v>0.53</v>
      </c>
      <c r="O91" s="40">
        <f t="shared" si="7"/>
        <v>2.5874544993139789E-3</v>
      </c>
      <c r="P91" s="40">
        <f t="shared" si="8"/>
        <v>6.2509462245053402E-4</v>
      </c>
      <c r="Q91" s="40">
        <f t="shared" si="9"/>
        <v>2.5874544993139789E-3</v>
      </c>
      <c r="R91" s="14"/>
      <c r="S91" s="34">
        <f t="shared" si="14"/>
        <v>3.0821707712767577E-3</v>
      </c>
      <c r="T91" s="2">
        <f t="shared" si="11"/>
        <v>3.6365461128871623</v>
      </c>
      <c r="U91" s="33">
        <f t="shared" si="13"/>
        <v>3.6365461128871623</v>
      </c>
      <c r="V91" s="7">
        <f t="shared" si="12"/>
        <v>1.0401155761263625</v>
      </c>
      <c r="X91" s="9"/>
      <c r="Y91" s="8"/>
      <c r="Z91" s="8"/>
      <c r="AC91" s="9"/>
      <c r="AD91" s="8"/>
      <c r="AE91" s="8"/>
      <c r="AH91" s="9"/>
      <c r="AI91" s="8"/>
      <c r="AJ91" s="8"/>
    </row>
    <row r="92" spans="1:36" x14ac:dyDescent="0.25">
      <c r="A92" s="4">
        <f t="shared" si="1"/>
        <v>-7.4396034037135701</v>
      </c>
      <c r="B92" s="3">
        <f t="shared" si="2"/>
        <v>5.1968112925600005</v>
      </c>
      <c r="C92" s="2" t="str">
        <f t="shared" si="0"/>
        <v>08-4:-10--5</v>
      </c>
      <c r="D92" s="8">
        <f t="shared" si="3"/>
        <v>3.9785823770926198E-3</v>
      </c>
      <c r="E92" s="8">
        <f t="shared" si="4"/>
        <v>3.0998328710033882E-3</v>
      </c>
      <c r="F92" s="3"/>
      <c r="G92" s="2">
        <f t="shared" si="5"/>
        <v>4.6711998551786866</v>
      </c>
      <c r="H92" s="2">
        <f t="shared" si="5"/>
        <v>3.6570310320838795</v>
      </c>
      <c r="I92" s="33">
        <f t="shared" si="6"/>
        <v>6.3568945705389286</v>
      </c>
      <c r="K92" s="14">
        <f>VLOOKUP($C92,'Refi Adj'!$B$2:$E$32,2,0)</f>
        <v>1</v>
      </c>
      <c r="L92" s="14">
        <f>VLOOKUP($C92,'Refi Adj'!$B$2:$E$32,3,0)</f>
        <v>1</v>
      </c>
      <c r="M92" s="14">
        <f>VLOOKUP($C92,'Refi Adj'!$B$2:$E$32,4,0)</f>
        <v>0.54</v>
      </c>
      <c r="O92" s="40">
        <f t="shared" si="7"/>
        <v>3.1084401809841644E-3</v>
      </c>
      <c r="P92" s="40">
        <f t="shared" si="8"/>
        <v>7.49942466743023E-4</v>
      </c>
      <c r="Q92" s="40">
        <f t="shared" si="9"/>
        <v>3.1084401809841644E-3</v>
      </c>
      <c r="R92" s="14"/>
      <c r="S92" s="34">
        <f t="shared" si="14"/>
        <v>3.8435167569464772E-3</v>
      </c>
      <c r="T92" s="2">
        <f t="shared" si="11"/>
        <v>4.5159592070310168</v>
      </c>
      <c r="U92" s="33">
        <f t="shared" si="13"/>
        <v>4.5159592070310168</v>
      </c>
      <c r="V92" s="7">
        <f t="shared" si="12"/>
        <v>1.0351411555321139</v>
      </c>
      <c r="X92" s="9"/>
      <c r="Y92" s="8"/>
      <c r="Z92" s="8"/>
      <c r="AC92" s="9"/>
      <c r="AD92" s="8"/>
      <c r="AE92" s="8"/>
      <c r="AH92" s="9"/>
      <c r="AI92" s="8"/>
      <c r="AJ92" s="8"/>
    </row>
    <row r="93" spans="1:36" x14ac:dyDescent="0.25">
      <c r="A93" s="4">
        <f t="shared" si="1"/>
        <v>-2.3961540498359502</v>
      </c>
      <c r="B93" s="3">
        <f t="shared" si="2"/>
        <v>6.5106974578400001</v>
      </c>
      <c r="C93" s="2" t="str">
        <f t="shared" si="0"/>
        <v>08:-25-0</v>
      </c>
      <c r="D93" s="8">
        <f t="shared" si="3"/>
        <v>4.17728002511369E-3</v>
      </c>
      <c r="E93" s="8">
        <f t="shared" si="4"/>
        <v>3.405636932155072E-3</v>
      </c>
      <c r="F93" s="3"/>
      <c r="G93" s="2">
        <f t="shared" si="5"/>
        <v>4.8991568739183089</v>
      </c>
      <c r="H93" s="2">
        <f t="shared" si="5"/>
        <v>4.0110774965443134</v>
      </c>
      <c r="I93" s="33">
        <f t="shared" si="6"/>
        <v>7.2940868363785878</v>
      </c>
      <c r="K93" s="14">
        <f>VLOOKUP($C93,'Refi Adj'!$B$2:$E$32,2,0)</f>
        <v>1</v>
      </c>
      <c r="L93" s="14">
        <f>VLOOKUP($C93,'Refi Adj'!$B$2:$E$32,3,0)</f>
        <v>1</v>
      </c>
      <c r="M93" s="14">
        <f>VLOOKUP($C93,'Refi Adj'!$B$2:$E$32,4,0)</f>
        <v>0.55000000000000004</v>
      </c>
      <c r="O93" s="40">
        <f t="shared" si="7"/>
        <v>3.8172465036046227E-3</v>
      </c>
      <c r="P93" s="40">
        <f t="shared" si="8"/>
        <v>9.3126513683735701E-4</v>
      </c>
      <c r="Q93" s="40">
        <f t="shared" si="9"/>
        <v>3.8172465036046227E-3</v>
      </c>
      <c r="R93" s="14"/>
      <c r="S93" s="34">
        <f t="shared" si="14"/>
        <v>4.4214921276994196E-3</v>
      </c>
      <c r="T93" s="2">
        <f t="shared" si="11"/>
        <v>5.1786461008966889</v>
      </c>
      <c r="U93" s="33">
        <f t="shared" si="13"/>
        <v>5.1786461008966889</v>
      </c>
      <c r="V93" s="7">
        <f t="shared" si="12"/>
        <v>0.94476703892430147</v>
      </c>
      <c r="X93" s="9"/>
      <c r="Y93" s="8"/>
      <c r="Z93" s="8"/>
      <c r="AC93" s="9"/>
      <c r="AD93" s="8"/>
      <c r="AE93" s="8"/>
      <c r="AH93" s="9"/>
      <c r="AI93" s="8"/>
      <c r="AJ93" s="8"/>
    </row>
    <row r="94" spans="1:36" x14ac:dyDescent="0.25">
      <c r="A94" s="4">
        <f t="shared" si="1"/>
        <v>2.5728035527417998</v>
      </c>
      <c r="B94" s="3">
        <f t="shared" si="2"/>
        <v>7.5984885276599998</v>
      </c>
      <c r="C94" s="2" t="str">
        <f t="shared" si="0"/>
        <v>09-1:0-5</v>
      </c>
      <c r="D94" s="8">
        <f t="shared" si="3"/>
        <v>5.5830706872234204E-3</v>
      </c>
      <c r="E94" s="8">
        <f t="shared" si="4"/>
        <v>3.6839884096469058E-3</v>
      </c>
      <c r="F94" s="3"/>
      <c r="G94" s="2">
        <f t="shared" si="5"/>
        <v>6.4977392981921174</v>
      </c>
      <c r="H94" s="2">
        <f t="shared" si="5"/>
        <v>4.3323033029641582</v>
      </c>
      <c r="I94" s="33">
        <f t="shared" si="6"/>
        <v>8.4702547386685705</v>
      </c>
      <c r="K94" s="14">
        <f>VLOOKUP($C94,'Refi Adj'!$B$2:$E$32,2,0)</f>
        <v>1</v>
      </c>
      <c r="L94" s="14">
        <f>VLOOKUP($C94,'Refi Adj'!$B$2:$E$32,3,0)</f>
        <v>1</v>
      </c>
      <c r="M94" s="14">
        <f>VLOOKUP($C94,'Refi Adj'!$B$2:$E$32,4,0)</f>
        <v>0.60000000000000009</v>
      </c>
      <c r="O94" s="40">
        <f t="shared" si="7"/>
        <v>4.7759749641240494E-3</v>
      </c>
      <c r="P94" s="40">
        <f t="shared" si="8"/>
        <v>1.1115805968820499E-3</v>
      </c>
      <c r="Q94" s="40">
        <f t="shared" si="9"/>
        <v>4.7759749641240494E-3</v>
      </c>
      <c r="R94" s="14"/>
      <c r="S94" s="34">
        <f t="shared" si="14"/>
        <v>5.0304895871131359E-3</v>
      </c>
      <c r="T94" s="2">
        <f t="shared" si="11"/>
        <v>5.8723382261430812</v>
      </c>
      <c r="U94" s="33">
        <f t="shared" si="13"/>
        <v>5.8723382261430812</v>
      </c>
      <c r="V94" s="7">
        <f t="shared" si="12"/>
        <v>1.1098463858320788</v>
      </c>
      <c r="X94" s="9"/>
      <c r="Y94" s="8"/>
      <c r="Z94" s="8"/>
      <c r="AC94" s="9"/>
      <c r="AD94" s="8"/>
      <c r="AE94" s="8"/>
      <c r="AH94" s="9"/>
      <c r="AI94" s="8"/>
      <c r="AJ94" s="8"/>
    </row>
    <row r="95" spans="1:36" x14ac:dyDescent="0.25">
      <c r="A95" s="4">
        <f t="shared" si="1"/>
        <v>7.5880621822887901</v>
      </c>
      <c r="B95" s="3">
        <f t="shared" si="2"/>
        <v>9.0323182418899997</v>
      </c>
      <c r="C95" s="2" t="str">
        <f t="shared" si="0"/>
        <v>09-2:5-10</v>
      </c>
      <c r="D95" s="8">
        <f t="shared" si="3"/>
        <v>5.0366999810021098E-3</v>
      </c>
      <c r="E95" s="8">
        <f t="shared" si="4"/>
        <v>4.0142613678479655E-3</v>
      </c>
      <c r="F95" s="3"/>
      <c r="G95" s="2">
        <f t="shared" si="5"/>
        <v>5.8793882888622973</v>
      </c>
      <c r="H95" s="2">
        <f t="shared" si="5"/>
        <v>4.7121696410886704</v>
      </c>
      <c r="I95" s="33">
        <f t="shared" si="6"/>
        <v>9.7945106983706509</v>
      </c>
      <c r="K95" s="14">
        <f>VLOOKUP($C95,'Refi Adj'!$B$2:$E$32,2,0)</f>
        <v>1</v>
      </c>
      <c r="L95" s="14">
        <f>VLOOKUP($C95,'Refi Adj'!$B$2:$E$32,3,0)</f>
        <v>1</v>
      </c>
      <c r="M95" s="14">
        <f>VLOOKUP($C95,'Refi Adj'!$B$2:$E$32,4,0)</f>
        <v>0.65</v>
      </c>
      <c r="O95" s="40">
        <f t="shared" si="7"/>
        <v>5.8744619339828564E-3</v>
      </c>
      <c r="P95" s="40">
        <f t="shared" si="8"/>
        <v>1.33551988902618E-3</v>
      </c>
      <c r="Q95" s="40">
        <f t="shared" si="9"/>
        <v>5.8744619339828564E-3</v>
      </c>
      <c r="R95" s="14"/>
      <c r="S95" s="34">
        <f t="shared" si="14"/>
        <v>5.6317596507567411E-3</v>
      </c>
      <c r="T95" s="2">
        <f t="shared" si="11"/>
        <v>6.552661561856798</v>
      </c>
      <c r="U95" s="33">
        <f t="shared" si="13"/>
        <v>6.552661561856798</v>
      </c>
      <c r="V95" s="7">
        <f t="shared" si="12"/>
        <v>0.89433858924098919</v>
      </c>
      <c r="X95" s="9"/>
      <c r="Y95" s="8"/>
      <c r="Z95" s="8"/>
      <c r="AC95" s="9"/>
      <c r="AD95" s="8"/>
      <c r="AE95" s="8"/>
      <c r="AH95" s="9"/>
      <c r="AI95" s="8"/>
      <c r="AJ95" s="8"/>
    </row>
    <row r="96" spans="1:36" x14ac:dyDescent="0.25">
      <c r="A96" s="4">
        <f t="shared" si="1"/>
        <v>12.5806723556453</v>
      </c>
      <c r="B96" s="3">
        <f t="shared" si="2"/>
        <v>11.114158961100001</v>
      </c>
      <c r="C96" s="2" t="str">
        <f t="shared" si="0"/>
        <v>09-3:10-15</v>
      </c>
      <c r="D96" s="8">
        <f t="shared" si="3"/>
        <v>7.0905106147375104E-3</v>
      </c>
      <c r="E96" s="8">
        <f t="shared" si="4"/>
        <v>4.4294215833401672E-3</v>
      </c>
      <c r="F96" s="3"/>
      <c r="G96" s="2">
        <f t="shared" si="5"/>
        <v>8.1845142920415004</v>
      </c>
      <c r="H96" s="2">
        <f t="shared" si="5"/>
        <v>5.1877083549863645</v>
      </c>
      <c r="I96" s="33">
        <f t="shared" si="6"/>
        <v>11.40498725752559</v>
      </c>
      <c r="K96" s="14">
        <f>VLOOKUP($C96,'Refi Adj'!$B$2:$E$32,2,0)</f>
        <v>1</v>
      </c>
      <c r="L96" s="14">
        <f>VLOOKUP($C96,'Refi Adj'!$B$2:$E$32,3,0)</f>
        <v>1</v>
      </c>
      <c r="M96" s="14">
        <f>VLOOKUP($C96,'Refi Adj'!$B$2:$E$32,4,0)</f>
        <v>0.70000000000000007</v>
      </c>
      <c r="O96" s="40">
        <f t="shared" si="7"/>
        <v>7.2499029079683506E-3</v>
      </c>
      <c r="P96" s="40">
        <f t="shared" si="8"/>
        <v>1.63885170074363E-3</v>
      </c>
      <c r="Q96" s="40">
        <f t="shared" si="9"/>
        <v>7.2499029079683506E-3</v>
      </c>
      <c r="R96" s="14"/>
      <c r="S96" s="34">
        <f t="shared" si="14"/>
        <v>6.4169540610209286E-3</v>
      </c>
      <c r="T96" s="2">
        <f t="shared" si="11"/>
        <v>7.4343047440941774</v>
      </c>
      <c r="U96" s="33">
        <f t="shared" si="13"/>
        <v>7.4343047440941774</v>
      </c>
      <c r="V96" s="7">
        <f t="shared" si="12"/>
        <v>1.1049651512713836</v>
      </c>
      <c r="X96" s="9"/>
      <c r="Y96" s="8"/>
      <c r="Z96" s="8"/>
      <c r="AC96" s="9"/>
      <c r="AD96" s="8"/>
      <c r="AE96" s="8"/>
      <c r="AH96" s="9"/>
      <c r="AI96" s="8"/>
      <c r="AJ96" s="8"/>
    </row>
    <row r="97" spans="1:50" s="24" customFormat="1" x14ac:dyDescent="0.25">
      <c r="A97" s="4">
        <f t="shared" si="1"/>
        <v>17.569140352017499</v>
      </c>
      <c r="B97" s="3">
        <f t="shared" si="2"/>
        <v>13.50316019025</v>
      </c>
      <c r="C97" s="2" t="str">
        <f t="shared" si="0"/>
        <v>09-4:15-20</v>
      </c>
      <c r="D97" s="8">
        <f t="shared" si="3"/>
        <v>7.4547278791800304E-3</v>
      </c>
      <c r="E97" s="8">
        <f t="shared" si="4"/>
        <v>4.8937400099260901E-3</v>
      </c>
      <c r="F97" s="3"/>
      <c r="G97" s="2">
        <f t="shared" si="5"/>
        <v>8.5878549916851838</v>
      </c>
      <c r="H97" s="2">
        <f t="shared" si="5"/>
        <v>5.7169768509541807</v>
      </c>
      <c r="I97" s="33">
        <f t="shared" si="6"/>
        <v>13.217932344675631</v>
      </c>
      <c r="J97"/>
      <c r="K97" s="14">
        <f>VLOOKUP($C97,'Refi Adj'!$B$2:$E$32,2,0)</f>
        <v>1</v>
      </c>
      <c r="L97" s="14">
        <f>VLOOKUP($C97,'Refi Adj'!$B$2:$E$32,3,0)</f>
        <v>1</v>
      </c>
      <c r="M97" s="14">
        <f>VLOOKUP($C97,'Refi Adj'!$B$2:$E$32,4,0)</f>
        <v>0.75</v>
      </c>
      <c r="O97" s="40">
        <f t="shared" si="7"/>
        <v>8.8577962543329759E-3</v>
      </c>
      <c r="P97" s="40">
        <f t="shared" si="8"/>
        <v>2.00686806578808E-3</v>
      </c>
      <c r="Q97" s="40">
        <f t="shared" si="9"/>
        <v>8.8577962543329759E-3</v>
      </c>
      <c r="R97" s="14"/>
      <c r="S97" s="34">
        <f>Z17+AA17+AB17*K97+AC17*L97+Q94*$M$78</f>
        <v>7.4240481600558565E-3</v>
      </c>
      <c r="T97" s="2">
        <f t="shared" si="11"/>
        <v>8.5539424739302543</v>
      </c>
      <c r="U97" s="33">
        <f t="shared" si="13"/>
        <v>8.5539424739302543</v>
      </c>
      <c r="V97" s="7">
        <f t="shared" si="12"/>
        <v>1.004132478462255</v>
      </c>
      <c r="W97"/>
      <c r="X97" s="9"/>
      <c r="Y97" s="8"/>
      <c r="Z97" s="8"/>
      <c r="AA97"/>
      <c r="AB97"/>
      <c r="AC97" s="9"/>
      <c r="AD97" s="8"/>
      <c r="AE97" s="8"/>
      <c r="AF97"/>
      <c r="AG97"/>
      <c r="AH97" s="9"/>
      <c r="AI97" s="8"/>
      <c r="AJ97" s="8"/>
    </row>
    <row r="98" spans="1:50" s="24" customFormat="1" x14ac:dyDescent="0.25">
      <c r="A98" s="4">
        <f t="shared" si="1"/>
        <v>22.567100051053298</v>
      </c>
      <c r="B98" s="3">
        <f t="shared" si="2"/>
        <v>16.20911428866</v>
      </c>
      <c r="C98" s="2" t="str">
        <f t="shared" si="0"/>
        <v>09:0-25</v>
      </c>
      <c r="D98" s="8">
        <f t="shared" si="3"/>
        <v>8.3059944830091298E-3</v>
      </c>
      <c r="E98" s="8">
        <f t="shared" si="4"/>
        <v>5.418380316166406E-3</v>
      </c>
      <c r="F98" s="3"/>
      <c r="G98" s="2">
        <f t="shared" si="5"/>
        <v>9.5242364787280209</v>
      </c>
      <c r="H98" s="2">
        <f t="shared" si="5"/>
        <v>6.311745404752001</v>
      </c>
      <c r="I98" s="33">
        <f t="shared" si="6"/>
        <v>15.321239428411371</v>
      </c>
      <c r="J98"/>
      <c r="K98" s="14">
        <f>VLOOKUP($C98,'Refi Adj'!$B$2:$E$32,2,0)</f>
        <v>1</v>
      </c>
      <c r="L98" s="14">
        <f>VLOOKUP($C98,'Refi Adj'!$B$2:$E$32,3,0)</f>
        <v>1</v>
      </c>
      <c r="M98" s="14">
        <f>VLOOKUP($C98,'Refi Adj'!$B$2:$E$32,4,0)</f>
        <v>0.8</v>
      </c>
      <c r="O98" s="40">
        <f t="shared" si="7"/>
        <v>1.078389387208784E-2</v>
      </c>
      <c r="P98" s="40">
        <f t="shared" si="8"/>
        <v>2.4390836284019601E-3</v>
      </c>
      <c r="Q98" s="40">
        <f t="shared" si="9"/>
        <v>1.078389387208784E-2</v>
      </c>
      <c r="R98" s="14"/>
      <c r="S98" s="34">
        <f t="shared" ref="S98:S109" si="15">Z18+AA18+AB18*K98+AC18*L98+Q95*$M$78</f>
        <v>8.56003552504816E-3</v>
      </c>
      <c r="T98" s="2">
        <f t="shared" si="11"/>
        <v>9.8019697451598553</v>
      </c>
      <c r="U98" s="33">
        <f t="shared" si="13"/>
        <v>9.8019697451598553</v>
      </c>
      <c r="V98" s="7">
        <f t="shared" si="12"/>
        <v>0.97032243133855445</v>
      </c>
      <c r="W98"/>
      <c r="X98" s="9"/>
      <c r="Y98" s="8"/>
      <c r="Z98" s="8"/>
      <c r="AA98"/>
      <c r="AB98"/>
      <c r="AC98" s="9"/>
      <c r="AD98" s="8"/>
      <c r="AE98" s="8"/>
      <c r="AF98"/>
      <c r="AG98"/>
      <c r="AH98" s="9"/>
      <c r="AI98" s="8"/>
      <c r="AJ98" s="8"/>
    </row>
    <row r="99" spans="1:50" s="24" customFormat="1" x14ac:dyDescent="0.25">
      <c r="A99" s="4">
        <f t="shared" si="1"/>
        <v>27.552431543686001</v>
      </c>
      <c r="B99" s="3">
        <f t="shared" si="2"/>
        <v>18.064913724860002</v>
      </c>
      <c r="C99" s="2" t="str">
        <f t="shared" si="0"/>
        <v>10-1:25-30</v>
      </c>
      <c r="D99" s="8">
        <f t="shared" si="3"/>
        <v>1.0037722338399399E-2</v>
      </c>
      <c r="E99" s="8">
        <f t="shared" si="4"/>
        <v>5.9451946053005267E-3</v>
      </c>
      <c r="F99" s="3"/>
      <c r="G99" s="2">
        <f t="shared" ref="G99:H112" si="16">(1-(1-D99)^12)*100</f>
        <v>11.402033438971426</v>
      </c>
      <c r="H99" s="2">
        <f t="shared" si="16"/>
        <v>6.9055160020323525</v>
      </c>
      <c r="I99" s="33">
        <f t="shared" si="6"/>
        <v>17.524451743046498</v>
      </c>
      <c r="J99"/>
      <c r="K99" s="14">
        <f>VLOOKUP($C99,'Refi Adj'!$B$2:$E$32,2,0)</f>
        <v>1</v>
      </c>
      <c r="L99" s="14">
        <f>VLOOKUP($C99,'Refi Adj'!$B$2:$E$32,3,0)</f>
        <v>1</v>
      </c>
      <c r="M99" s="14">
        <f>VLOOKUP($C99,'Refi Adj'!$B$2:$E$32,4,0)</f>
        <v>0.85000000000000009</v>
      </c>
      <c r="O99" s="40">
        <f t="shared" si="7"/>
        <v>1.2869056475909101E-2</v>
      </c>
      <c r="P99" s="40">
        <f t="shared" si="8"/>
        <v>2.8867632217685298E-3</v>
      </c>
      <c r="Q99" s="40">
        <f t="shared" si="9"/>
        <v>1.2869056475909101E-2</v>
      </c>
      <c r="R99" s="14"/>
      <c r="S99" s="34">
        <f t="shared" si="15"/>
        <v>9.9458391461019289E-3</v>
      </c>
      <c r="T99" s="2">
        <f t="shared" si="11"/>
        <v>11.303304574716243</v>
      </c>
      <c r="U99" s="33">
        <f t="shared" si="13"/>
        <v>11.303304574716243</v>
      </c>
      <c r="V99" s="7">
        <f t="shared" si="12"/>
        <v>1.0092383549490123</v>
      </c>
      <c r="W99"/>
      <c r="X99" s="9"/>
      <c r="Y99" s="8"/>
      <c r="Z99" s="8"/>
      <c r="AA99"/>
      <c r="AB99"/>
      <c r="AC99" s="9"/>
      <c r="AD99" s="8"/>
      <c r="AE99" s="8"/>
      <c r="AF99"/>
      <c r="AG99"/>
      <c r="AH99" s="9"/>
      <c r="AI99" s="8"/>
      <c r="AJ99" s="8"/>
    </row>
    <row r="100" spans="1:50" s="24" customFormat="1" x14ac:dyDescent="0.25">
      <c r="A100" s="4">
        <f t="shared" si="1"/>
        <v>32.522226934949302</v>
      </c>
      <c r="B100" s="3">
        <f t="shared" si="2"/>
        <v>19.326492734430001</v>
      </c>
      <c r="C100" s="2" t="str">
        <f t="shared" si="0"/>
        <v>10-2:30-35</v>
      </c>
      <c r="D100" s="8">
        <f t="shared" si="3"/>
        <v>1.1440117888668101E-2</v>
      </c>
      <c r="E100" s="8">
        <f t="shared" si="4"/>
        <v>6.4532845278455608E-3</v>
      </c>
      <c r="F100" s="3"/>
      <c r="G100" s="2">
        <f t="shared" si="16"/>
        <v>12.896464638540561</v>
      </c>
      <c r="H100" s="2">
        <f t="shared" si="16"/>
        <v>7.4749126675009547</v>
      </c>
      <c r="I100" s="33">
        <f t="shared" si="6"/>
        <v>19.797097359486592</v>
      </c>
      <c r="J100"/>
      <c r="K100" s="14">
        <f>VLOOKUP($C100,'Refi Adj'!$B$2:$E$32,2,0)</f>
        <v>1</v>
      </c>
      <c r="L100" s="14">
        <f>VLOOKUP($C100,'Refi Adj'!$B$2:$E$32,3,0)</f>
        <v>1</v>
      </c>
      <c r="M100" s="14">
        <f>VLOOKUP($C100,'Refi Adj'!$B$2:$E$32,4,0)</f>
        <v>0.9</v>
      </c>
      <c r="O100" s="40">
        <f t="shared" si="7"/>
        <v>1.5094326040109912E-2</v>
      </c>
      <c r="P100" s="40">
        <f t="shared" si="8"/>
        <v>3.3313626530685199E-3</v>
      </c>
      <c r="Q100" s="40">
        <f t="shared" si="9"/>
        <v>1.5094326040109912E-2</v>
      </c>
      <c r="R100" s="14"/>
      <c r="S100" s="34">
        <f t="shared" si="15"/>
        <v>1.1536828316393367E-2</v>
      </c>
      <c r="T100" s="2">
        <f t="shared" si="11"/>
        <v>12.998665295231804</v>
      </c>
      <c r="U100" s="33">
        <f t="shared" si="13"/>
        <v>12.998665295231804</v>
      </c>
      <c r="V100" s="7">
        <f t="shared" si="12"/>
        <v>0.99161724305216148</v>
      </c>
      <c r="W100"/>
      <c r="X100" s="9"/>
      <c r="Y100" s="8"/>
      <c r="Z100" s="8"/>
      <c r="AA100"/>
      <c r="AB100"/>
      <c r="AC100" s="9"/>
      <c r="AD100" s="8"/>
      <c r="AE100" s="8"/>
      <c r="AF100"/>
      <c r="AG100"/>
      <c r="AH100" s="9"/>
      <c r="AI100" s="8"/>
      <c r="AJ100" s="8"/>
    </row>
    <row r="101" spans="1:50" x14ac:dyDescent="0.25">
      <c r="A101" s="4">
        <f t="shared" si="1"/>
        <v>37.513319813532803</v>
      </c>
      <c r="B101" s="3">
        <f t="shared" si="2"/>
        <v>20.045897836169999</v>
      </c>
      <c r="C101" s="2" t="str">
        <f t="shared" si="0"/>
        <v>10-3:35-40</v>
      </c>
      <c r="D101" s="8">
        <f t="shared" si="3"/>
        <v>1.24789767018742E-2</v>
      </c>
      <c r="E101" s="8">
        <f t="shared" si="4"/>
        <v>7.0329641306568049E-3</v>
      </c>
      <c r="F101" s="3"/>
      <c r="G101" s="2">
        <f t="shared" si="16"/>
        <v>13.988563516685758</v>
      </c>
      <c r="H101" s="2">
        <f t="shared" si="16"/>
        <v>8.1206372556923192</v>
      </c>
      <c r="I101" s="33">
        <f t="shared" si="6"/>
        <v>22.344166945398026</v>
      </c>
      <c r="K101" s="14">
        <f>VLOOKUP($C101,'Refi Adj'!$B$2:$E$32,2,0)</f>
        <v>1</v>
      </c>
      <c r="L101" s="14">
        <f>VLOOKUP($C101,'Refi Adj'!$B$2:$E$32,3,0)</f>
        <v>1</v>
      </c>
      <c r="M101" s="14">
        <f>VLOOKUP($C101,'Refi Adj'!$B$2:$E$32,4,0)</f>
        <v>0.95000000000000007</v>
      </c>
      <c r="O101" s="40">
        <f t="shared" si="7"/>
        <v>1.7620621171073474E-2</v>
      </c>
      <c r="P101" s="40">
        <f t="shared" si="8"/>
        <v>3.8004559469381901E-3</v>
      </c>
      <c r="Q101" s="40">
        <f t="shared" si="9"/>
        <v>1.7620621171073474E-2</v>
      </c>
      <c r="R101" s="14"/>
      <c r="S101" s="34">
        <f t="shared" si="15"/>
        <v>1.3477207362202063E-2</v>
      </c>
      <c r="T101" s="2">
        <f t="shared" si="11"/>
        <v>15.026113202598646</v>
      </c>
      <c r="U101" s="33">
        <f t="shared" si="13"/>
        <v>15.026113202598646</v>
      </c>
      <c r="V101" s="7">
        <f t="shared" si="12"/>
        <v>0.92593193578608257</v>
      </c>
      <c r="X101" s="9"/>
      <c r="Y101" s="8"/>
      <c r="Z101" s="8"/>
      <c r="AC101" s="9"/>
      <c r="AD101" s="8"/>
      <c r="AE101" s="8"/>
      <c r="AH101" s="9"/>
      <c r="AI101" s="8"/>
      <c r="AJ101" s="8"/>
    </row>
    <row r="102" spans="1:50" x14ac:dyDescent="0.25">
      <c r="A102" s="4">
        <f t="shared" si="1"/>
        <v>42.489317449278502</v>
      </c>
      <c r="B102" s="3">
        <f t="shared" si="2"/>
        <v>20.295513662529999</v>
      </c>
      <c r="C102" s="2" t="str">
        <f t="shared" si="0"/>
        <v>10-4:40-45</v>
      </c>
      <c r="D102" s="8">
        <f t="shared" si="3"/>
        <v>1.4934817696171001E-2</v>
      </c>
      <c r="E102" s="8">
        <f t="shared" si="4"/>
        <v>7.6498387251723336E-3</v>
      </c>
      <c r="F102" s="3"/>
      <c r="G102" s="2">
        <f t="shared" si="16"/>
        <v>16.520540705063581</v>
      </c>
      <c r="H102" s="2">
        <f t="shared" si="16"/>
        <v>8.8032555084481601</v>
      </c>
      <c r="I102" s="33">
        <f t="shared" si="6"/>
        <v>25.11456644614416</v>
      </c>
      <c r="K102" s="14">
        <f>VLOOKUP($C102,'Refi Adj'!$B$2:$E$32,2,0)</f>
        <v>1</v>
      </c>
      <c r="L102" s="14">
        <f>VLOOKUP($C102,'Refi Adj'!$B$2:$E$32,3,0)</f>
        <v>1</v>
      </c>
      <c r="M102" s="14">
        <f>VLOOKUP($C102,'Refi Adj'!$B$2:$E$32,4,0)</f>
        <v>1</v>
      </c>
      <c r="O102" s="40">
        <f t="shared" si="7"/>
        <v>2.0466177403567799E-2</v>
      </c>
      <c r="P102" s="40">
        <f t="shared" si="8"/>
        <v>4.30322420034437E-3</v>
      </c>
      <c r="Q102" s="40">
        <f t="shared" si="9"/>
        <v>2.0466177403567799E-2</v>
      </c>
      <c r="R102" s="14"/>
      <c r="S102" s="34">
        <f t="shared" si="15"/>
        <v>1.5572218176941608E-2</v>
      </c>
      <c r="T102" s="2">
        <f t="shared" si="11"/>
        <v>17.166437730808425</v>
      </c>
      <c r="U102" s="33">
        <f t="shared" si="13"/>
        <v>17.166437730808425</v>
      </c>
      <c r="V102" s="7">
        <f t="shared" si="12"/>
        <v>0.95906809977049823</v>
      </c>
      <c r="X102" s="9"/>
      <c r="Y102" s="8"/>
      <c r="Z102" s="8"/>
      <c r="AC102" s="9"/>
      <c r="AD102" s="8"/>
      <c r="AE102" s="8"/>
      <c r="AH102" s="9"/>
      <c r="AI102" s="8"/>
      <c r="AJ102" s="8"/>
    </row>
    <row r="103" spans="1:50" x14ac:dyDescent="0.25">
      <c r="A103" s="4">
        <f t="shared" si="1"/>
        <v>47.544537496227299</v>
      </c>
      <c r="B103" s="3">
        <f t="shared" si="2"/>
        <v>21.169009813380001</v>
      </c>
      <c r="C103" s="2" t="str">
        <f t="shared" si="0"/>
        <v>10:25-50</v>
      </c>
      <c r="D103" s="8">
        <f t="shared" si="3"/>
        <v>1.62076234068084E-2</v>
      </c>
      <c r="E103" s="8">
        <f t="shared" si="4"/>
        <v>8.329157582530838E-3</v>
      </c>
      <c r="F103" s="3"/>
      <c r="G103" s="2">
        <f t="shared" si="16"/>
        <v>17.805750441855629</v>
      </c>
      <c r="H103" s="2">
        <f t="shared" si="16"/>
        <v>9.5495922425262059</v>
      </c>
      <c r="I103" s="33">
        <f t="shared" si="6"/>
        <v>28.149845608722611</v>
      </c>
      <c r="K103" s="14">
        <f>VLOOKUP($C103,'Refi Adj'!$B$2:$E$32,2,0)</f>
        <v>1</v>
      </c>
      <c r="L103" s="14">
        <f>VLOOKUP($C103,'Refi Adj'!$B$2:$E$32,3,0)</f>
        <v>1</v>
      </c>
      <c r="M103" s="14">
        <f>VLOOKUP($C103,'Refi Adj'!$B$2:$E$32,4,0)</f>
        <v>1.05</v>
      </c>
      <c r="O103" s="40">
        <f t="shared" si="7"/>
        <v>2.3707137730506089E-2</v>
      </c>
      <c r="P103" s="40">
        <f t="shared" si="8"/>
        <v>4.8633548167170502E-3</v>
      </c>
      <c r="Q103" s="40">
        <f t="shared" si="9"/>
        <v>2.3707137730506089E-2</v>
      </c>
      <c r="R103" s="14"/>
      <c r="S103" s="34">
        <f t="shared" si="15"/>
        <v>1.7805412503918205E-2</v>
      </c>
      <c r="T103" s="2">
        <f t="shared" si="11"/>
        <v>19.39343045669748</v>
      </c>
      <c r="U103" s="33">
        <f t="shared" si="13"/>
        <v>19.39343045669748</v>
      </c>
      <c r="V103" s="7">
        <f t="shared" si="12"/>
        <v>0.91026385394001963</v>
      </c>
      <c r="X103" s="9"/>
      <c r="Y103" s="8"/>
      <c r="Z103" s="8"/>
      <c r="AC103" s="9"/>
      <c r="AD103" s="8"/>
      <c r="AE103" s="8"/>
      <c r="AH103" s="9"/>
      <c r="AI103" s="8"/>
      <c r="AJ103" s="8"/>
    </row>
    <row r="104" spans="1:50" x14ac:dyDescent="0.25">
      <c r="A104" s="4">
        <f t="shared" si="1"/>
        <v>52.532569319769003</v>
      </c>
      <c r="B104" s="3">
        <f t="shared" si="2"/>
        <v>20.88695442961</v>
      </c>
      <c r="C104" s="2" t="str">
        <f t="shared" si="0"/>
        <v>11-1:50-55</v>
      </c>
      <c r="D104" s="8">
        <f t="shared" si="3"/>
        <v>1.99493026504628E-2</v>
      </c>
      <c r="E104" s="8">
        <f t="shared" si="4"/>
        <v>9.0031281348139005E-3</v>
      </c>
      <c r="F104" s="3"/>
      <c r="G104" s="2">
        <f t="shared" si="16"/>
        <v>21.479599815138318</v>
      </c>
      <c r="H104" s="2">
        <f t="shared" si="16"/>
        <v>10.284516218327155</v>
      </c>
      <c r="I104" s="33">
        <f t="shared" si="6"/>
        <v>31.076454385331875</v>
      </c>
      <c r="K104" s="14">
        <f>VLOOKUP($C104,'Refi Adj'!$B$2:$E$32,2,0)</f>
        <v>1</v>
      </c>
      <c r="L104" s="14">
        <f>VLOOKUP($C104,'Refi Adj'!$B$2:$E$32,3,0)</f>
        <v>1</v>
      </c>
      <c r="M104" s="14">
        <f>VLOOKUP($C104,'Refi Adj'!$B$2:$E$32,4,0)</f>
        <v>1.1000000000000001</v>
      </c>
      <c r="O104" s="40">
        <f t="shared" si="7"/>
        <v>2.6932816595047333E-2</v>
      </c>
      <c r="P104" s="40">
        <f t="shared" si="8"/>
        <v>5.3975954057054699E-3</v>
      </c>
      <c r="Q104" s="40">
        <f t="shared" si="9"/>
        <v>2.6932816595047333E-2</v>
      </c>
      <c r="R104" s="14"/>
      <c r="S104" s="34">
        <f t="shared" si="15"/>
        <v>2.0345122841628233E-2</v>
      </c>
      <c r="T104" s="2">
        <f t="shared" si="11"/>
        <v>21.859306873948736</v>
      </c>
      <c r="U104" s="33">
        <f t="shared" si="13"/>
        <v>21.859306873948736</v>
      </c>
      <c r="V104" s="7">
        <f t="shared" si="12"/>
        <v>0.98054471362760498</v>
      </c>
      <c r="X104" s="9"/>
      <c r="Y104" s="8"/>
      <c r="Z104" s="8"/>
      <c r="AC104" s="9"/>
      <c r="AD104" s="8"/>
      <c r="AE104" s="8"/>
      <c r="AH104" s="9"/>
      <c r="AI104" s="8"/>
      <c r="AJ104" s="8"/>
      <c r="AK104" s="4"/>
      <c r="AL104" s="4"/>
      <c r="AM104" s="4"/>
      <c r="AN104" s="4"/>
      <c r="AO104" s="4"/>
      <c r="AP104" s="4"/>
      <c r="AQ104" s="6"/>
      <c r="AR104" s="4"/>
      <c r="AS104" s="15"/>
      <c r="AT104" s="15"/>
      <c r="AU104" s="15"/>
      <c r="AV104" s="15"/>
      <c r="AW104" s="15"/>
      <c r="AX104" s="15"/>
    </row>
    <row r="105" spans="1:50" x14ac:dyDescent="0.25">
      <c r="A105" s="4">
        <f t="shared" si="1"/>
        <v>57.505105926582701</v>
      </c>
      <c r="B105" s="3">
        <f t="shared" si="2"/>
        <v>21.128640340810001</v>
      </c>
      <c r="C105" s="2" t="str">
        <f t="shared" si="0"/>
        <v>11-2:55-60</v>
      </c>
      <c r="D105" s="8">
        <f t="shared" si="3"/>
        <v>2.09467030216938E-2</v>
      </c>
      <c r="E105" s="8">
        <f t="shared" si="4"/>
        <v>9.6520357709376902E-3</v>
      </c>
      <c r="F105" s="3"/>
      <c r="G105" s="2">
        <f t="shared" si="16"/>
        <v>22.43317573147301</v>
      </c>
      <c r="H105" s="2">
        <f t="shared" si="16"/>
        <v>10.986934446823737</v>
      </c>
      <c r="I105" s="33">
        <f t="shared" si="6"/>
        <v>32.763992854355514</v>
      </c>
      <c r="K105" s="14">
        <f>VLOOKUP($C105,'Refi Adj'!$B$2:$E$32,2,0)</f>
        <v>1</v>
      </c>
      <c r="L105" s="14">
        <f>VLOOKUP($C105,'Refi Adj'!$B$2:$E$32,3,0)</f>
        <v>1</v>
      </c>
      <c r="M105" s="14">
        <f>VLOOKUP($C105,'Refi Adj'!$B$2:$E$32,4,0)</f>
        <v>1.1000000000000001</v>
      </c>
      <c r="O105" s="40">
        <f t="shared" si="7"/>
        <v>2.8796000323741751E-2</v>
      </c>
      <c r="P105" s="40">
        <f t="shared" si="8"/>
        <v>5.9090940035445797E-3</v>
      </c>
      <c r="Q105" s="40">
        <f t="shared" si="9"/>
        <v>2.8796000323741751E-2</v>
      </c>
      <c r="R105" s="14"/>
      <c r="S105" s="34">
        <f t="shared" si="15"/>
        <v>2.3185810300782518E-2</v>
      </c>
      <c r="T105" s="2">
        <f t="shared" si="11"/>
        <v>24.535357815539037</v>
      </c>
      <c r="U105" s="33">
        <f t="shared" si="13"/>
        <v>24.535357815539037</v>
      </c>
      <c r="V105" s="7">
        <f t="shared" si="12"/>
        <v>0.90342768917534233</v>
      </c>
      <c r="X105" s="9"/>
      <c r="Y105" s="8"/>
      <c r="Z105" s="8"/>
      <c r="AC105" s="9"/>
      <c r="AD105" s="8"/>
      <c r="AE105" s="8"/>
      <c r="AH105" s="9"/>
      <c r="AI105" s="8"/>
      <c r="AJ105" s="8"/>
    </row>
    <row r="106" spans="1:50" x14ac:dyDescent="0.25">
      <c r="A106" s="4">
        <f t="shared" si="1"/>
        <v>62.515125404733602</v>
      </c>
      <c r="B106" s="3">
        <f t="shared" si="2"/>
        <v>22.817691891909998</v>
      </c>
      <c r="C106" s="2" t="str">
        <f t="shared" si="0"/>
        <v>11-3:60-65</v>
      </c>
      <c r="D106" s="8">
        <f t="shared" si="3"/>
        <v>2.4521708386070401E-2</v>
      </c>
      <c r="E106" s="8">
        <f t="shared" si="4"/>
        <v>1.0329512640468162E-2</v>
      </c>
      <c r="F106" s="3"/>
      <c r="G106" s="2">
        <f t="shared" si="16"/>
        <v>25.764556390649485</v>
      </c>
      <c r="H106" s="2">
        <f t="shared" si="16"/>
        <v>11.714895776577528</v>
      </c>
      <c r="I106" s="33">
        <f t="shared" si="6"/>
        <v>34.376907288438275</v>
      </c>
      <c r="K106" s="14">
        <f>VLOOKUP($C106,'Refi Adj'!$B$2:$E$32,2,0)</f>
        <v>1</v>
      </c>
      <c r="L106" s="14">
        <f>VLOOKUP($C106,'Refi Adj'!$B$2:$E$32,3,0)</f>
        <v>1</v>
      </c>
      <c r="M106" s="14">
        <f>VLOOKUP($C106,'Refi Adj'!$B$2:$E$32,4,0)</f>
        <v>1.1000000000000001</v>
      </c>
      <c r="O106" s="40">
        <f t="shared" si="7"/>
        <v>3.0606848081202915E-2</v>
      </c>
      <c r="P106" s="40">
        <f t="shared" si="8"/>
        <v>6.4417994323857797E-3</v>
      </c>
      <c r="Q106" s="40">
        <f t="shared" si="9"/>
        <v>3.0606848081202915E-2</v>
      </c>
      <c r="R106" s="14"/>
      <c r="S106" s="34">
        <f t="shared" si="15"/>
        <v>2.6409494052063165E-2</v>
      </c>
      <c r="T106" s="2">
        <f t="shared" si="11"/>
        <v>27.470286461083749</v>
      </c>
      <c r="U106" s="33">
        <f t="shared" si="13"/>
        <v>27.470286461083749</v>
      </c>
      <c r="V106" s="7">
        <f t="shared" si="12"/>
        <v>0.92851867353947715</v>
      </c>
      <c r="X106" s="9"/>
      <c r="Y106" s="8"/>
      <c r="Z106" s="8"/>
      <c r="AC106" s="9"/>
      <c r="AD106" s="8"/>
      <c r="AE106" s="8"/>
      <c r="AH106" s="9"/>
      <c r="AI106" s="8"/>
      <c r="AJ106" s="8"/>
    </row>
    <row r="107" spans="1:50" x14ac:dyDescent="0.25">
      <c r="A107" s="4">
        <f t="shared" si="1"/>
        <v>67.517627106661095</v>
      </c>
      <c r="B107" s="3">
        <f t="shared" si="2"/>
        <v>25.089393609159998</v>
      </c>
      <c r="C107" s="2" t="str">
        <f t="shared" si="0"/>
        <v>11-4:65-70</v>
      </c>
      <c r="D107" s="8">
        <f t="shared" si="3"/>
        <v>2.79048058116107E-2</v>
      </c>
      <c r="E107" s="8">
        <f t="shared" si="4"/>
        <v>1.0913162917269632E-2</v>
      </c>
      <c r="F107" s="3"/>
      <c r="G107" s="2">
        <f t="shared" si="16"/>
        <v>28.795809567442689</v>
      </c>
      <c r="H107" s="2">
        <f t="shared" si="16"/>
        <v>12.337658446662946</v>
      </c>
      <c r="I107" s="33">
        <f t="shared" si="6"/>
        <v>35.714349269795839</v>
      </c>
      <c r="K107" s="14">
        <f>VLOOKUP($C107,'Refi Adj'!$B$2:$E$32,2,0)</f>
        <v>1</v>
      </c>
      <c r="L107" s="14">
        <f>VLOOKUP($C107,'Refi Adj'!$B$2:$E$32,3,0)</f>
        <v>1</v>
      </c>
      <c r="M107" s="14">
        <f>VLOOKUP($C107,'Refi Adj'!$B$2:$E$32,4,0)</f>
        <v>1.1000000000000001</v>
      </c>
      <c r="O107" s="40">
        <f t="shared" si="7"/>
        <v>3.2190301346389782E-2</v>
      </c>
      <c r="P107" s="40">
        <f t="shared" si="8"/>
        <v>6.9535796639524404E-3</v>
      </c>
      <c r="Q107" s="40">
        <f t="shared" si="9"/>
        <v>3.2190301346389782E-2</v>
      </c>
      <c r="R107" s="14"/>
      <c r="S107" s="34">
        <f t="shared" si="15"/>
        <v>2.9545759018612158E-2</v>
      </c>
      <c r="T107" s="2">
        <f t="shared" si="11"/>
        <v>30.224855045989074</v>
      </c>
      <c r="U107" s="33">
        <f t="shared" si="13"/>
        <v>30.224855045989074</v>
      </c>
      <c r="V107" s="7">
        <f t="shared" si="12"/>
        <v>0.94446061764845002</v>
      </c>
      <c r="X107" s="9"/>
      <c r="Y107" s="8"/>
      <c r="Z107" s="8"/>
      <c r="AC107" s="9"/>
      <c r="AD107" s="8"/>
      <c r="AE107" s="8"/>
      <c r="AH107" s="9"/>
      <c r="AI107" s="8"/>
      <c r="AJ107" s="8"/>
    </row>
    <row r="108" spans="1:50" x14ac:dyDescent="0.25">
      <c r="A108" s="4">
        <f t="shared" si="1"/>
        <v>72.539794286483897</v>
      </c>
      <c r="B108" s="3">
        <f t="shared" si="2"/>
        <v>27.855165589569999</v>
      </c>
      <c r="C108" s="2" t="str">
        <f t="shared" si="0"/>
        <v>11:50-75</v>
      </c>
      <c r="D108" s="8">
        <f t="shared" si="3"/>
        <v>2.8538089462005301E-2</v>
      </c>
      <c r="E108" s="8">
        <f t="shared" si="4"/>
        <v>1.1580926278273243E-2</v>
      </c>
      <c r="F108" s="3"/>
      <c r="G108" s="2">
        <f t="shared" si="16"/>
        <v>29.350461811454444</v>
      </c>
      <c r="H108" s="2">
        <f t="shared" si="16"/>
        <v>13.045230190039481</v>
      </c>
      <c r="I108" s="33">
        <f t="shared" si="6"/>
        <v>37.323904673486638</v>
      </c>
      <c r="K108" s="14">
        <f>VLOOKUP($C108,'Refi Adj'!$B$2:$E$32,2,0)</f>
        <v>1</v>
      </c>
      <c r="L108" s="14">
        <f>VLOOKUP($C108,'Refi Adj'!$B$2:$E$32,3,0)</f>
        <v>1</v>
      </c>
      <c r="M108" s="14">
        <f>VLOOKUP($C108,'Refi Adj'!$B$2:$E$32,4,0)</f>
        <v>1.1000000000000001</v>
      </c>
      <c r="O108" s="40">
        <f t="shared" si="7"/>
        <v>3.4196310657696113E-2</v>
      </c>
      <c r="P108" s="40">
        <f t="shared" si="8"/>
        <v>7.5928611718171198E-3</v>
      </c>
      <c r="Q108" s="40">
        <f t="shared" si="9"/>
        <v>3.4196310657696113E-2</v>
      </c>
      <c r="R108" s="14"/>
      <c r="S108" s="34">
        <f t="shared" si="15"/>
        <v>3.1344265414010787E-2</v>
      </c>
      <c r="T108" s="2">
        <f t="shared" si="11"/>
        <v>31.760875417421808</v>
      </c>
      <c r="U108" s="33">
        <f t="shared" si="13"/>
        <v>31.760875417421808</v>
      </c>
      <c r="V108" s="7">
        <f t="shared" si="12"/>
        <v>0.91047242884974</v>
      </c>
      <c r="X108" s="9"/>
      <c r="Y108" s="8"/>
      <c r="Z108" s="8"/>
      <c r="AC108" s="9"/>
      <c r="AD108" s="8"/>
      <c r="AE108" s="8"/>
      <c r="AH108" s="9"/>
      <c r="AI108" s="8"/>
      <c r="AJ108" s="8"/>
    </row>
    <row r="109" spans="1:50" x14ac:dyDescent="0.25">
      <c r="A109" s="4">
        <f t="shared" si="1"/>
        <v>86.818601173581399</v>
      </c>
      <c r="B109" s="3">
        <f t="shared" si="2"/>
        <v>128.96528518644999</v>
      </c>
      <c r="C109" s="2" t="str">
        <f t="shared" si="0"/>
        <v>12:75-100</v>
      </c>
      <c r="D109" s="8">
        <f t="shared" si="3"/>
        <v>3.35629552791794E-2</v>
      </c>
      <c r="E109" s="8">
        <f t="shared" si="4"/>
        <v>1.3467271253278425E-2</v>
      </c>
      <c r="F109" s="3"/>
      <c r="G109" s="2">
        <f t="shared" si="16"/>
        <v>33.613033607390562</v>
      </c>
      <c r="H109" s="2">
        <f t="shared" si="16"/>
        <v>15.015842503450783</v>
      </c>
      <c r="I109" s="33">
        <f t="shared" si="6"/>
        <v>38.393713218599011</v>
      </c>
      <c r="K109" s="14">
        <f>VLOOKUP($C109,'Refi Adj'!$B$2:$E$32,2,0)</f>
        <v>1</v>
      </c>
      <c r="L109" s="14">
        <f>VLOOKUP($C109,'Refi Adj'!$B$2:$E$32,3,0)</f>
        <v>1</v>
      </c>
      <c r="M109" s="14">
        <f>VLOOKUP($C109,'Refi Adj'!$B$2:$E$32,4,0)</f>
        <v>1.02</v>
      </c>
      <c r="O109" s="40">
        <f t="shared" si="7"/>
        <v>3.5399369291869535E-2</v>
      </c>
      <c r="P109" s="40">
        <f t="shared" si="8"/>
        <v>9.3033535855901305E-3</v>
      </c>
      <c r="Q109" s="40">
        <f t="shared" si="9"/>
        <v>3.5399369291869535E-2</v>
      </c>
      <c r="R109" s="14"/>
      <c r="S109" s="34">
        <f t="shared" si="15"/>
        <v>3.3240423344831065E-2</v>
      </c>
      <c r="T109" s="2">
        <f t="shared" si="11"/>
        <v>33.346678800667327</v>
      </c>
      <c r="U109" s="33">
        <f t="shared" si="13"/>
        <v>33.346678800667327</v>
      </c>
      <c r="V109" s="7">
        <f t="shared" si="12"/>
        <v>1.0097030032079446</v>
      </c>
      <c r="X109" s="9"/>
      <c r="Y109" s="8"/>
      <c r="Z109" s="8"/>
      <c r="AC109" s="9"/>
      <c r="AD109" s="8"/>
      <c r="AE109" s="8"/>
      <c r="AH109" s="9"/>
      <c r="AI109" s="8"/>
      <c r="AJ109" s="8"/>
    </row>
    <row r="110" spans="1:50" x14ac:dyDescent="0.25">
      <c r="A110" s="4">
        <f t="shared" si="1"/>
        <v>112.46756410455301</v>
      </c>
      <c r="B110" s="3">
        <f t="shared" si="2"/>
        <v>107.12526104915</v>
      </c>
      <c r="C110" s="2" t="str">
        <f t="shared" si="0"/>
        <v>13:100-125</v>
      </c>
      <c r="D110" s="8">
        <f t="shared" si="3"/>
        <v>3.8592170630280698E-2</v>
      </c>
      <c r="E110" s="8">
        <f t="shared" si="4"/>
        <v>1.6752765111806275E-2</v>
      </c>
      <c r="F110" s="3"/>
      <c r="G110" s="2">
        <f t="shared" si="16"/>
        <v>37.642046388413732</v>
      </c>
      <c r="H110" s="2">
        <f t="shared" si="16"/>
        <v>18.350636223762397</v>
      </c>
      <c r="I110" s="33">
        <f t="shared" si="6"/>
        <v>39.262109045732515</v>
      </c>
      <c r="K110" s="14">
        <f>VLOOKUP($C110,'Refi Adj'!$B$2:$E$32,2,0)</f>
        <v>1</v>
      </c>
      <c r="L110" s="14">
        <f>VLOOKUP($C110,'Refi Adj'!$B$2:$E$32,3,0)</f>
        <v>1</v>
      </c>
      <c r="M110" s="14">
        <f>VLOOKUP($C110,'Refi Adj'!$B$2:$E$32,4,0)</f>
        <v>0.95</v>
      </c>
      <c r="O110" s="40">
        <f t="shared" si="7"/>
        <v>3.6148135381148992E-2</v>
      </c>
      <c r="P110" s="40">
        <f t="shared" si="8"/>
        <v>1.2202073750162599E-2</v>
      </c>
      <c r="Q110" s="40">
        <f t="shared" si="9"/>
        <v>3.6148135381148992E-2</v>
      </c>
      <c r="R110" s="14"/>
      <c r="S110" s="34">
        <f t="shared" ref="S110:S111" si="17">Z30+AA30+AB30*K110+AC30*L110+Q109*$M$78</f>
        <v>3.8180092188919733E-2</v>
      </c>
      <c r="T110" s="2">
        <f t="shared" si="11"/>
        <v>37.320554954401544</v>
      </c>
      <c r="U110" s="33">
        <f t="shared" si="13"/>
        <v>37.320554954401544</v>
      </c>
      <c r="V110" s="7">
        <f t="shared" si="12"/>
        <v>1.0107930185008971</v>
      </c>
      <c r="X110" s="9"/>
      <c r="Y110" s="8"/>
      <c r="Z110" s="8"/>
      <c r="AC110" s="9"/>
      <c r="AD110" s="8"/>
      <c r="AE110" s="8"/>
      <c r="AH110" s="9"/>
      <c r="AI110" s="8"/>
      <c r="AJ110" s="8"/>
    </row>
    <row r="111" spans="1:50" x14ac:dyDescent="0.25">
      <c r="A111" s="4">
        <f t="shared" si="1"/>
        <v>135.43507063732301</v>
      </c>
      <c r="B111" s="3">
        <f t="shared" si="2"/>
        <v>66.929420506569997</v>
      </c>
      <c r="C111" s="2" t="str">
        <f t="shared" si="0"/>
        <v>14:125-150</v>
      </c>
      <c r="D111" s="8">
        <f t="shared" si="3"/>
        <v>4.1990351630923101E-2</v>
      </c>
      <c r="E111" s="8">
        <f t="shared" si="4"/>
        <v>2.0143968685277892E-2</v>
      </c>
      <c r="F111" s="3"/>
      <c r="G111" s="2">
        <f t="shared" si="16"/>
        <v>40.236146024013664</v>
      </c>
      <c r="H111" s="2">
        <f t="shared" si="16"/>
        <v>21.666552195036314</v>
      </c>
      <c r="I111" s="33">
        <f t="shared" si="6"/>
        <v>40.344613069519511</v>
      </c>
      <c r="K111" s="14">
        <f>VLOOKUP($C111,'Refi Adj'!$B$2:$E$32,2,0)</f>
        <v>1</v>
      </c>
      <c r="L111" s="14">
        <f>VLOOKUP($C111,'Refi Adj'!$B$2:$E$32,3,0)</f>
        <v>1</v>
      </c>
      <c r="M111" s="14">
        <f>VLOOKUP($C111,'Refi Adj'!$B$2:$E$32,4,0)</f>
        <v>0.92</v>
      </c>
      <c r="O111" s="40">
        <f t="shared" si="7"/>
        <v>3.7533286551331251E-2</v>
      </c>
      <c r="P111" s="40">
        <f t="shared" si="8"/>
        <v>1.55418897883973E-2</v>
      </c>
      <c r="Q111" s="40">
        <f t="shared" si="9"/>
        <v>3.7533286551331251E-2</v>
      </c>
      <c r="R111" s="14"/>
      <c r="S111" s="34">
        <f t="shared" si="17"/>
        <v>3.8942807508972131E-2</v>
      </c>
      <c r="T111" s="2">
        <f t="shared" si="11"/>
        <v>37.914411869379869</v>
      </c>
      <c r="U111" s="33">
        <f t="shared" si="13"/>
        <v>37.914411869379869</v>
      </c>
      <c r="V111" s="7">
        <f t="shared" si="12"/>
        <v>1.0782569187198134</v>
      </c>
      <c r="AC111" s="9"/>
      <c r="AD111" s="8"/>
      <c r="AE111" s="8"/>
      <c r="AH111" s="9"/>
      <c r="AI111" s="8"/>
      <c r="AJ111" s="8"/>
    </row>
    <row r="112" spans="1:50" x14ac:dyDescent="0.25">
      <c r="A112" s="4">
        <f t="shared" si="1"/>
        <v>158.93308303662801</v>
      </c>
      <c r="B112" s="3">
        <f t="shared" si="2"/>
        <v>14.30722418675</v>
      </c>
      <c r="C112" s="2" t="str">
        <f t="shared" si="0"/>
        <v>15:150-175</v>
      </c>
      <c r="D112" s="8">
        <f t="shared" si="3"/>
        <v>3.8629762726438303E-2</v>
      </c>
      <c r="E112" s="8">
        <f t="shared" si="4"/>
        <v>2.4342971575906806E-2</v>
      </c>
      <c r="F112" s="3"/>
      <c r="G112" s="2">
        <f t="shared" si="16"/>
        <v>37.671299265980615</v>
      </c>
      <c r="H112" s="2">
        <f t="shared" si="16"/>
        <v>25.601165943428018</v>
      </c>
      <c r="I112" s="33">
        <f t="shared" si="6"/>
        <v>41.100598803851341</v>
      </c>
      <c r="K112" s="14">
        <f>VLOOKUP($C112,'Refi Adj'!$B$2:$E$32,2,0)</f>
        <v>1</v>
      </c>
      <c r="L112" s="14">
        <f>VLOOKUP($C112,'Refi Adj'!$B$2:$E$32,3,0)</f>
        <v>1</v>
      </c>
      <c r="M112" s="14">
        <f>VLOOKUP($C112,'Refi Adj'!$B$2:$E$32,4,0)</f>
        <v>0.9</v>
      </c>
      <c r="O112" s="40">
        <f t="shared" si="7"/>
        <v>3.834588546158841E-2</v>
      </c>
      <c r="P112" s="40">
        <f t="shared" si="8"/>
        <v>1.9536019477626301E-2</v>
      </c>
      <c r="Q112" s="40">
        <f t="shared" si="9"/>
        <v>3.834588546158841E-2</v>
      </c>
      <c r="R112" s="14"/>
      <c r="S112" s="34">
        <f>Z32+AA32+AB32*K112+AC32*L112+Q111*$M$78</f>
        <v>4.0463574322045191E-2</v>
      </c>
      <c r="T112" s="2">
        <f t="shared" si="11"/>
        <v>39.083128457380781</v>
      </c>
      <c r="U112" s="33">
        <f t="shared" si="13"/>
        <v>39.083128457380781</v>
      </c>
      <c r="V112" s="7">
        <f t="shared" si="12"/>
        <v>0.95467994050619998</v>
      </c>
    </row>
    <row r="113" spans="1:51" s="17" customFormat="1" x14ac:dyDescent="0.25">
      <c r="A113" s="4"/>
      <c r="B113" s="3"/>
      <c r="C113" s="2"/>
      <c r="D113" s="8"/>
      <c r="E113" s="8"/>
      <c r="F113" s="3"/>
      <c r="G113" s="2"/>
      <c r="H113" s="2"/>
      <c r="I113" s="33"/>
      <c r="J113"/>
      <c r="K113" s="14"/>
      <c r="L113" s="14"/>
      <c r="M113" s="14"/>
      <c r="N113"/>
      <c r="O113" s="40"/>
      <c r="P113" s="40"/>
      <c r="Q113" s="40"/>
      <c r="R113" s="14"/>
      <c r="S113" s="34"/>
      <c r="T113" s="2"/>
      <c r="U113" s="7"/>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row>
    <row r="120" spans="1:51" s="41" customFormat="1" x14ac:dyDescent="0.25"/>
    <row r="121" spans="1:51" x14ac:dyDescent="0.25">
      <c r="A121" t="s">
        <v>180</v>
      </c>
      <c r="C121" t="s">
        <v>188</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0.98050231848334701</v>
      </c>
      <c r="C123" s="4">
        <v>0.479945509940227</v>
      </c>
      <c r="D123" s="4">
        <v>21.0442980078153</v>
      </c>
      <c r="E123" s="4">
        <v>4.0083709905576898E-4</v>
      </c>
      <c r="F123" s="5">
        <v>1.9497681516652501E-2</v>
      </c>
      <c r="G123" s="5">
        <v>0</v>
      </c>
      <c r="H123" s="4">
        <v>5.375</v>
      </c>
      <c r="I123" s="4">
        <v>4.1184729999999998</v>
      </c>
      <c r="J123" s="4">
        <v>23.5424197380617</v>
      </c>
      <c r="K123" s="4">
        <v>50.07</v>
      </c>
      <c r="L123" s="4">
        <v>100</v>
      </c>
      <c r="M123" s="4">
        <v>33.209289298537101</v>
      </c>
      <c r="N123" s="4">
        <v>63.348452530754003</v>
      </c>
      <c r="O123" s="4">
        <v>5.7076192340469998</v>
      </c>
      <c r="P123" s="4">
        <v>30867.745782434798</v>
      </c>
      <c r="Q123" s="4">
        <v>30336.413333333301</v>
      </c>
      <c r="R123" s="4">
        <v>798.464779620179</v>
      </c>
      <c r="S123" s="4">
        <v>0</v>
      </c>
      <c r="T123" s="4">
        <v>0</v>
      </c>
      <c r="U123" s="4">
        <v>0</v>
      </c>
      <c r="V123" s="4">
        <v>1</v>
      </c>
      <c r="W123" s="4">
        <v>0</v>
      </c>
      <c r="X123" s="4">
        <v>0</v>
      </c>
      <c r="Y123" s="4">
        <v>0</v>
      </c>
      <c r="Z123" s="5">
        <v>1.1349377006373101E-2</v>
      </c>
      <c r="AA123" s="5">
        <v>5.4514653278062695E-4</v>
      </c>
      <c r="AB123" s="10">
        <v>7.3596064612801897E-3</v>
      </c>
      <c r="AC123" s="10">
        <v>0</v>
      </c>
      <c r="AD123" s="10">
        <v>2.43534597806772E-4</v>
      </c>
      <c r="AE123" s="4">
        <v>-9.8658002752804192E-3</v>
      </c>
      <c r="AF123" s="4">
        <v>1</v>
      </c>
      <c r="AG123" s="4">
        <v>1</v>
      </c>
      <c r="AH123" s="4">
        <v>1</v>
      </c>
      <c r="AI123" s="4">
        <v>1</v>
      </c>
      <c r="AJ123" s="4">
        <v>1</v>
      </c>
      <c r="AK123" s="4">
        <v>1</v>
      </c>
      <c r="AL123" s="4">
        <v>1</v>
      </c>
      <c r="AM123" s="4">
        <v>0</v>
      </c>
      <c r="AN123" s="4">
        <v>0</v>
      </c>
      <c r="AO123" s="4" t="s">
        <v>149</v>
      </c>
      <c r="AP123" s="4" t="s">
        <v>133</v>
      </c>
      <c r="AQ123" s="6">
        <v>91009.24</v>
      </c>
      <c r="AR123" s="4">
        <v>3</v>
      </c>
      <c r="AS123" s="15">
        <v>0</v>
      </c>
      <c r="AT123" s="15">
        <v>0</v>
      </c>
      <c r="AU123" s="15">
        <v>0</v>
      </c>
      <c r="AV123" s="15">
        <v>100</v>
      </c>
      <c r="AW123" s="15">
        <v>0</v>
      </c>
      <c r="AX123" s="15">
        <v>100</v>
      </c>
      <c r="AY123" s="31">
        <v>2091.2716663154201</v>
      </c>
    </row>
    <row r="124" spans="1:51" x14ac:dyDescent="0.25">
      <c r="A124">
        <v>97</v>
      </c>
      <c r="B124" s="4">
        <v>0.98293060628909401</v>
      </c>
      <c r="C124" s="4">
        <v>87.792004567409407</v>
      </c>
      <c r="D124" s="4">
        <v>18.665594053989899</v>
      </c>
      <c r="E124" s="4">
        <v>0.160758348265996</v>
      </c>
      <c r="F124" s="5">
        <v>1.7069393710905899E-2</v>
      </c>
      <c r="G124" s="5">
        <v>0</v>
      </c>
      <c r="H124" s="4">
        <v>5.2106309462523104</v>
      </c>
      <c r="I124" s="4">
        <v>3.9026459785341898</v>
      </c>
      <c r="J124" s="4">
        <v>8.3012170243146599</v>
      </c>
      <c r="K124" s="4">
        <v>58.907576396162703</v>
      </c>
      <c r="L124" s="4">
        <v>99.848909932778199</v>
      </c>
      <c r="M124" s="4">
        <v>36.342332366422703</v>
      </c>
      <c r="N124" s="4">
        <v>51.045165084299398</v>
      </c>
      <c r="O124" s="4">
        <v>6.2222425620489199</v>
      </c>
      <c r="P124" s="4">
        <v>31039.907747233399</v>
      </c>
      <c r="Q124" s="4">
        <v>28859.714285714199</v>
      </c>
      <c r="R124" s="4">
        <v>796.00800235622501</v>
      </c>
      <c r="S124" s="4">
        <v>0</v>
      </c>
      <c r="T124" s="4">
        <v>0</v>
      </c>
      <c r="U124" s="4">
        <v>0</v>
      </c>
      <c r="V124" s="4">
        <v>1</v>
      </c>
      <c r="W124" s="4">
        <v>0</v>
      </c>
      <c r="X124" s="4">
        <v>0.17845637517448901</v>
      </c>
      <c r="Y124" s="4">
        <v>0</v>
      </c>
      <c r="Z124" s="5">
        <v>9.4841490107034996E-3</v>
      </c>
      <c r="AA124" s="5">
        <v>4.78713661924184E-4</v>
      </c>
      <c r="AB124" s="10">
        <v>6.8305385134191004E-3</v>
      </c>
      <c r="AC124" s="10">
        <v>0</v>
      </c>
      <c r="AD124" s="10">
        <v>2.7598133836143301E-4</v>
      </c>
      <c r="AE124" s="4">
        <v>-3.1602861182554801E-2</v>
      </c>
      <c r="AF124" s="4">
        <v>1</v>
      </c>
      <c r="AG124" s="4">
        <v>1</v>
      </c>
      <c r="AH124" s="4">
        <v>1</v>
      </c>
      <c r="AI124" s="4">
        <v>1</v>
      </c>
      <c r="AJ124" s="4">
        <v>1</v>
      </c>
      <c r="AK124" s="4">
        <v>1</v>
      </c>
      <c r="AL124" s="4">
        <v>1</v>
      </c>
      <c r="AM124" s="4">
        <v>0</v>
      </c>
      <c r="AN124" s="4">
        <v>0</v>
      </c>
      <c r="AO124" s="4" t="s">
        <v>150</v>
      </c>
      <c r="AP124" s="4" t="s">
        <v>134</v>
      </c>
      <c r="AQ124" s="6">
        <v>202018</v>
      </c>
      <c r="AR124" s="4">
        <v>7</v>
      </c>
      <c r="AS124" s="15">
        <v>0</v>
      </c>
      <c r="AT124" s="15">
        <v>0</v>
      </c>
      <c r="AU124" s="15">
        <v>0</v>
      </c>
      <c r="AV124" s="15">
        <v>100</v>
      </c>
      <c r="AW124" s="15">
        <v>0</v>
      </c>
      <c r="AX124" s="15">
        <v>100</v>
      </c>
      <c r="AY124" s="31">
        <v>2148.2204151639899</v>
      </c>
    </row>
    <row r="125" spans="1:51" x14ac:dyDescent="0.25">
      <c r="A125">
        <v>97</v>
      </c>
      <c r="B125" s="4">
        <v>0.979366446156823</v>
      </c>
      <c r="C125" s="4">
        <v>6.4455304620292199E-4</v>
      </c>
      <c r="D125" s="4">
        <v>22.134935423233799</v>
      </c>
      <c r="E125" s="4">
        <v>5.3712912539413703E-7</v>
      </c>
      <c r="F125" s="5">
        <v>2.0633553843176899E-2</v>
      </c>
      <c r="G125" s="5">
        <v>0</v>
      </c>
      <c r="H125" s="4">
        <v>5.7187064682941298</v>
      </c>
      <c r="I125" s="4">
        <v>4.1009782321882096</v>
      </c>
      <c r="J125" s="4">
        <v>61.608206131126202</v>
      </c>
      <c r="K125" s="4">
        <v>69.1700835808752</v>
      </c>
      <c r="L125" s="4">
        <v>23.616405768122402</v>
      </c>
      <c r="M125" s="4">
        <v>29.625870634117302</v>
      </c>
      <c r="N125" s="4">
        <v>67.247562224471395</v>
      </c>
      <c r="O125" s="4">
        <v>66.4330708019165</v>
      </c>
      <c r="P125" s="4">
        <v>261721.03844646999</v>
      </c>
      <c r="Q125" s="4">
        <v>167557.47</v>
      </c>
      <c r="R125" s="4">
        <v>794.87621888776403</v>
      </c>
      <c r="S125" s="4">
        <v>0</v>
      </c>
      <c r="T125" s="4">
        <v>0</v>
      </c>
      <c r="U125" s="4">
        <v>0</v>
      </c>
      <c r="V125" s="4">
        <v>1</v>
      </c>
      <c r="W125" s="4">
        <v>0</v>
      </c>
      <c r="X125" s="4">
        <v>0.87482587317652805</v>
      </c>
      <c r="Y125" s="4">
        <v>0</v>
      </c>
      <c r="Z125" s="5">
        <v>9.2974982228724199E-4</v>
      </c>
      <c r="AA125" s="5">
        <v>6.1568353253961094E-5</v>
      </c>
      <c r="AB125" s="10">
        <v>3.7062504050001401E-3</v>
      </c>
      <c r="AC125" s="10">
        <v>0</v>
      </c>
      <c r="AD125" s="10">
        <v>1.59359652626355E-2</v>
      </c>
      <c r="AE125" s="4">
        <v>-9.6079314790342402E-2</v>
      </c>
      <c r="AF125" s="4">
        <v>1</v>
      </c>
      <c r="AG125" s="4">
        <v>1</v>
      </c>
      <c r="AH125" s="4">
        <v>1</v>
      </c>
      <c r="AI125" s="4">
        <v>1</v>
      </c>
      <c r="AJ125" s="4">
        <v>1</v>
      </c>
      <c r="AK125" s="4">
        <v>1</v>
      </c>
      <c r="AL125" s="4">
        <v>1</v>
      </c>
      <c r="AM125" s="4">
        <v>0</v>
      </c>
      <c r="AN125" s="4">
        <v>0</v>
      </c>
      <c r="AO125" s="4" t="s">
        <v>152</v>
      </c>
      <c r="AP125" s="4" t="s">
        <v>136</v>
      </c>
      <c r="AQ125" s="6">
        <v>335114.94</v>
      </c>
      <c r="AR125" s="4">
        <v>2</v>
      </c>
      <c r="AS125" s="15">
        <v>0</v>
      </c>
      <c r="AT125" s="15">
        <v>0</v>
      </c>
      <c r="AU125" s="15">
        <v>0</v>
      </c>
      <c r="AV125" s="15">
        <v>100</v>
      </c>
      <c r="AW125" s="15">
        <v>0</v>
      </c>
      <c r="AX125" s="15">
        <v>100</v>
      </c>
      <c r="AY125" s="31">
        <v>2132.7333316580798</v>
      </c>
    </row>
    <row r="126" spans="1:51" x14ac:dyDescent="0.25">
      <c r="A126">
        <v>97</v>
      </c>
      <c r="B126" s="4">
        <v>0.98436401200079804</v>
      </c>
      <c r="C126" s="4">
        <v>85.994227134312098</v>
      </c>
      <c r="D126" s="4">
        <v>17.230804869538201</v>
      </c>
      <c r="E126" s="4">
        <v>0.151095328982599</v>
      </c>
      <c r="F126" s="5">
        <v>1.5635987999201E-2</v>
      </c>
      <c r="G126" s="5">
        <v>0</v>
      </c>
      <c r="H126" s="4">
        <v>5.1541970608674603</v>
      </c>
      <c r="I126" s="4">
        <v>3.7999139793513699</v>
      </c>
      <c r="J126" s="4">
        <v>3.9387966443727298</v>
      </c>
      <c r="K126" s="4">
        <v>71.404483669810602</v>
      </c>
      <c r="L126" s="4">
        <v>96.725284691862697</v>
      </c>
      <c r="M126" s="4">
        <v>36.417168406848504</v>
      </c>
      <c r="N126" s="4">
        <v>53.650567669416397</v>
      </c>
      <c r="O126" s="4">
        <v>6.5110404260727899</v>
      </c>
      <c r="P126" s="4">
        <v>34013.157334172698</v>
      </c>
      <c r="Q126" s="4">
        <v>31836.604444444401</v>
      </c>
      <c r="R126" s="4">
        <v>791.11425171528595</v>
      </c>
      <c r="S126" s="4">
        <v>0</v>
      </c>
      <c r="T126" s="4">
        <v>0</v>
      </c>
      <c r="U126" s="4">
        <v>0</v>
      </c>
      <c r="V126" s="4">
        <v>1</v>
      </c>
      <c r="W126" s="4">
        <v>0</v>
      </c>
      <c r="X126" s="4">
        <v>0.51799225238425695</v>
      </c>
      <c r="Y126" s="4">
        <v>0</v>
      </c>
      <c r="Z126" s="5">
        <v>8.8588906541627894E-3</v>
      </c>
      <c r="AA126" s="5">
        <v>4.9172934709501397E-4</v>
      </c>
      <c r="AB126" s="10">
        <v>5.8929279035166496E-3</v>
      </c>
      <c r="AC126" s="10">
        <v>0</v>
      </c>
      <c r="AD126" s="10">
        <v>3.9242042973699299E-4</v>
      </c>
      <c r="AE126" s="4">
        <v>2.1973192743475999E-2</v>
      </c>
      <c r="AF126" s="4">
        <v>0.62223759624839903</v>
      </c>
      <c r="AG126" s="4">
        <v>1</v>
      </c>
      <c r="AH126" s="4">
        <v>1</v>
      </c>
      <c r="AI126" s="4">
        <v>1</v>
      </c>
      <c r="AJ126" s="4">
        <v>1</v>
      </c>
      <c r="AK126" s="4">
        <v>1</v>
      </c>
      <c r="AL126" s="4">
        <v>1</v>
      </c>
      <c r="AM126" s="4">
        <v>0</v>
      </c>
      <c r="AN126" s="4">
        <v>0</v>
      </c>
      <c r="AO126" s="4" t="s">
        <v>72</v>
      </c>
      <c r="AP126" s="4" t="s">
        <v>73</v>
      </c>
      <c r="AQ126" s="6">
        <v>286529.44</v>
      </c>
      <c r="AR126" s="4">
        <v>9</v>
      </c>
      <c r="AS126" s="15">
        <v>0</v>
      </c>
      <c r="AT126" s="15">
        <v>0</v>
      </c>
      <c r="AU126" s="15">
        <v>0</v>
      </c>
      <c r="AV126" s="15">
        <v>100</v>
      </c>
      <c r="AW126" s="15">
        <v>0</v>
      </c>
      <c r="AX126" s="15">
        <v>100</v>
      </c>
      <c r="AY126">
        <v>2207.4224312419601</v>
      </c>
    </row>
    <row r="127" spans="1:51" x14ac:dyDescent="0.25">
      <c r="A127">
        <v>97</v>
      </c>
      <c r="B127" s="4">
        <v>0.98596314503447802</v>
      </c>
      <c r="C127" s="4">
        <v>77.809600057455498</v>
      </c>
      <c r="D127" s="4">
        <v>15.6027729742591</v>
      </c>
      <c r="E127" s="4">
        <v>0.117908248849628</v>
      </c>
      <c r="F127" s="5">
        <v>1.40368549655216E-2</v>
      </c>
      <c r="G127" s="5">
        <v>0</v>
      </c>
      <c r="H127" s="4">
        <v>5.1872136482290401</v>
      </c>
      <c r="I127" s="4">
        <v>3.8806083528870499</v>
      </c>
      <c r="J127" s="4">
        <v>12.6978153850401</v>
      </c>
      <c r="K127" s="4">
        <v>92.546441968638007</v>
      </c>
      <c r="L127" s="4">
        <v>60.710197009160701</v>
      </c>
      <c r="M127" s="4">
        <v>33.455410774905999</v>
      </c>
      <c r="N127" s="4">
        <v>72.167034117894602</v>
      </c>
      <c r="O127" s="4">
        <v>35.411998092308998</v>
      </c>
      <c r="P127" s="4">
        <v>118009.30532939101</v>
      </c>
      <c r="Q127" s="4">
        <v>49936.888679245203</v>
      </c>
      <c r="R127" s="4">
        <v>783.453808567652</v>
      </c>
      <c r="S127" s="4">
        <v>0</v>
      </c>
      <c r="T127" s="4">
        <v>0</v>
      </c>
      <c r="U127" s="4">
        <v>8.4792669056122892E-3</v>
      </c>
      <c r="V127" s="4">
        <v>1</v>
      </c>
      <c r="W127" s="4">
        <v>0</v>
      </c>
      <c r="X127" s="4">
        <v>0.64351646536792695</v>
      </c>
      <c r="Y127" s="4">
        <v>0</v>
      </c>
      <c r="Z127" s="5">
        <v>4.8021622385729396E-3</v>
      </c>
      <c r="AA127" s="5">
        <v>4.7875242592627498E-4</v>
      </c>
      <c r="AB127" s="10">
        <v>5.0935685805541297E-3</v>
      </c>
      <c r="AC127" s="10">
        <v>0</v>
      </c>
      <c r="AD127" s="10">
        <v>3.6623552549330399E-3</v>
      </c>
      <c r="AE127" s="4">
        <v>-2.6446431036024499E-3</v>
      </c>
      <c r="AF127" s="4">
        <v>0.8613633298876</v>
      </c>
      <c r="AG127" s="4">
        <v>1</v>
      </c>
      <c r="AH127" s="4">
        <v>1</v>
      </c>
      <c r="AI127" s="4">
        <v>1</v>
      </c>
      <c r="AJ127" s="4">
        <v>1</v>
      </c>
      <c r="AK127" s="4">
        <v>1</v>
      </c>
      <c r="AL127" s="4">
        <v>1</v>
      </c>
      <c r="AM127" s="4">
        <v>0</v>
      </c>
      <c r="AN127" s="4">
        <v>0</v>
      </c>
      <c r="AO127" s="4" t="s">
        <v>74</v>
      </c>
      <c r="AP127" s="4" t="s">
        <v>75</v>
      </c>
      <c r="AQ127" s="6">
        <v>5293310.2</v>
      </c>
      <c r="AR127" s="4">
        <v>106</v>
      </c>
      <c r="AS127" s="15">
        <v>0</v>
      </c>
      <c r="AT127" s="15">
        <v>0</v>
      </c>
      <c r="AU127" s="15">
        <v>0</v>
      </c>
      <c r="AV127" s="15">
        <v>100</v>
      </c>
      <c r="AW127" s="15">
        <v>0</v>
      </c>
      <c r="AX127" s="15">
        <v>100</v>
      </c>
      <c r="AY127">
        <v>2256.4990102386</v>
      </c>
    </row>
    <row r="128" spans="1:51" x14ac:dyDescent="0.25">
      <c r="A128">
        <v>97</v>
      </c>
      <c r="B128" s="4">
        <v>0.98503417466277299</v>
      </c>
      <c r="C128" s="4">
        <v>58.382500396458802</v>
      </c>
      <c r="D128" s="4">
        <v>16.552068198614599</v>
      </c>
      <c r="E128" s="4">
        <v>7.04494788908228E-2</v>
      </c>
      <c r="F128" s="5">
        <v>1.49658253372264E-2</v>
      </c>
      <c r="G128" s="5">
        <v>0</v>
      </c>
      <c r="H128" s="4">
        <v>5.16594676873137</v>
      </c>
      <c r="I128" s="4">
        <v>3.87847826213785</v>
      </c>
      <c r="J128" s="4">
        <v>10.047369419292</v>
      </c>
      <c r="K128" s="4">
        <v>116.48456760847201</v>
      </c>
      <c r="L128" s="4">
        <v>32.738533629553203</v>
      </c>
      <c r="M128" s="4">
        <v>34.743909712039702</v>
      </c>
      <c r="N128" s="4">
        <v>76.748325266405899</v>
      </c>
      <c r="O128" s="4">
        <v>54.334200295806198</v>
      </c>
      <c r="P128" s="4">
        <v>171650.70933421701</v>
      </c>
      <c r="Q128" s="4">
        <v>112839.992643391</v>
      </c>
      <c r="R128" s="4">
        <v>778.05951402302298</v>
      </c>
      <c r="S128" s="4">
        <v>0</v>
      </c>
      <c r="T128" s="4">
        <v>0</v>
      </c>
      <c r="U128" s="4">
        <v>2.1693540961402399E-3</v>
      </c>
      <c r="V128" s="4">
        <v>1</v>
      </c>
      <c r="W128" s="4">
        <v>0</v>
      </c>
      <c r="X128" s="4">
        <v>0.597429358242478</v>
      </c>
      <c r="Y128" s="4">
        <v>0</v>
      </c>
      <c r="Z128" s="5">
        <v>1.87171193470179E-3</v>
      </c>
      <c r="AA128" s="5">
        <v>5.0774895847749695E-4</v>
      </c>
      <c r="AB128" s="10">
        <v>4.8133276197897196E-3</v>
      </c>
      <c r="AC128" s="10">
        <v>1.32711778342157E-6</v>
      </c>
      <c r="AD128" s="10">
        <v>7.7716947995790497E-3</v>
      </c>
      <c r="AE128" s="4">
        <v>-1.0504368393510899E-2</v>
      </c>
      <c r="AF128" s="4">
        <v>0.83199646232675895</v>
      </c>
      <c r="AG128" s="4">
        <v>0.99005298347220105</v>
      </c>
      <c r="AH128" s="4">
        <v>1</v>
      </c>
      <c r="AI128" s="4">
        <v>1</v>
      </c>
      <c r="AJ128" s="4">
        <v>1</v>
      </c>
      <c r="AK128" s="4">
        <v>1</v>
      </c>
      <c r="AL128" s="4">
        <v>1</v>
      </c>
      <c r="AM128" s="4">
        <v>0</v>
      </c>
      <c r="AN128" s="4">
        <v>0</v>
      </c>
      <c r="AO128" s="4" t="s">
        <v>76</v>
      </c>
      <c r="AP128" s="4" t="s">
        <v>77</v>
      </c>
      <c r="AQ128" s="6">
        <v>45248837.049999997</v>
      </c>
      <c r="AR128" s="4">
        <v>401</v>
      </c>
      <c r="AS128" s="15">
        <v>0</v>
      </c>
      <c r="AT128" s="15">
        <v>0</v>
      </c>
      <c r="AU128" s="15">
        <v>0</v>
      </c>
      <c r="AV128" s="15">
        <v>100</v>
      </c>
      <c r="AW128" s="15">
        <v>0</v>
      </c>
      <c r="AX128" s="15">
        <v>100</v>
      </c>
      <c r="AY128">
        <v>2231.1366373927899</v>
      </c>
    </row>
    <row r="129" spans="1:51" x14ac:dyDescent="0.25">
      <c r="A129">
        <v>97</v>
      </c>
      <c r="B129" s="4">
        <v>0.979222170640768</v>
      </c>
      <c r="C129" s="4">
        <v>43.849101342837102</v>
      </c>
      <c r="D129" s="4">
        <v>22.272472395719099</v>
      </c>
      <c r="E129" s="4">
        <v>4.6955763605430703E-2</v>
      </c>
      <c r="F129" s="5">
        <v>2.0777829359231E-2</v>
      </c>
      <c r="G129" s="5">
        <v>0</v>
      </c>
      <c r="H129" s="4">
        <v>5.1677027736007801</v>
      </c>
      <c r="I129" s="4">
        <v>3.8755796943738701</v>
      </c>
      <c r="J129" s="4">
        <v>9.3832068619619307</v>
      </c>
      <c r="K129" s="4">
        <v>140.62959511809501</v>
      </c>
      <c r="L129" s="4">
        <v>15.935171131725699</v>
      </c>
      <c r="M129" s="4">
        <v>34.8323506239268</v>
      </c>
      <c r="N129" s="4">
        <v>59.740452842096602</v>
      </c>
      <c r="O129" s="4">
        <v>56.588816685007998</v>
      </c>
      <c r="P129" s="4">
        <v>272792.63941890898</v>
      </c>
      <c r="Q129" s="4">
        <v>250420.217573995</v>
      </c>
      <c r="R129" s="4">
        <v>781.60201099076301</v>
      </c>
      <c r="S129" s="4">
        <v>0</v>
      </c>
      <c r="T129" s="4">
        <v>0</v>
      </c>
      <c r="U129" s="4">
        <v>5.0514597300276498E-3</v>
      </c>
      <c r="V129" s="4">
        <v>1</v>
      </c>
      <c r="W129" s="4">
        <v>0</v>
      </c>
      <c r="X129" s="4">
        <v>0.87413909174742899</v>
      </c>
      <c r="Y129" s="4">
        <v>0</v>
      </c>
      <c r="Z129" s="5">
        <v>4.5947379162976902E-4</v>
      </c>
      <c r="AA129" s="5">
        <v>5.0172034556358696E-4</v>
      </c>
      <c r="AB129" s="10">
        <v>4.2126129494470498E-3</v>
      </c>
      <c r="AC129" s="10">
        <v>7.6919768710740898E-6</v>
      </c>
      <c r="AD129" s="10">
        <v>1.55963150719982E-2</v>
      </c>
      <c r="AE129" s="4">
        <v>-6.4489366189470401E-3</v>
      </c>
      <c r="AF129" s="4">
        <v>0.76773961949941005</v>
      </c>
      <c r="AG129" s="4">
        <v>0.98183593896708699</v>
      </c>
      <c r="AH129" s="4">
        <v>0.99709380584155205</v>
      </c>
      <c r="AI129" s="4">
        <v>0.99974119484184698</v>
      </c>
      <c r="AJ129" s="4">
        <v>1</v>
      </c>
      <c r="AK129" s="4">
        <v>1</v>
      </c>
      <c r="AL129" s="4">
        <v>1</v>
      </c>
      <c r="AM129" s="4">
        <v>0</v>
      </c>
      <c r="AN129" s="4">
        <v>0</v>
      </c>
      <c r="AO129" s="4" t="s">
        <v>78</v>
      </c>
      <c r="AP129" s="4" t="s">
        <v>79</v>
      </c>
      <c r="AQ129" s="6">
        <v>6201656688.2200003</v>
      </c>
      <c r="AR129" s="4">
        <v>24765</v>
      </c>
      <c r="AS129" s="15">
        <v>0</v>
      </c>
      <c r="AT129" s="15">
        <v>0</v>
      </c>
      <c r="AU129" s="15">
        <v>0</v>
      </c>
      <c r="AV129" s="15">
        <v>100</v>
      </c>
      <c r="AW129" s="15">
        <v>0</v>
      </c>
      <c r="AX129" s="15">
        <v>100</v>
      </c>
      <c r="AY129">
        <v>2210.7249622885001</v>
      </c>
    </row>
    <row r="130" spans="1:51" x14ac:dyDescent="0.25">
      <c r="A130">
        <v>97</v>
      </c>
      <c r="B130" s="4">
        <v>0.97643160128200901</v>
      </c>
      <c r="C130" s="4">
        <v>42.6279818134892</v>
      </c>
      <c r="D130" s="4">
        <v>24.889281222005799</v>
      </c>
      <c r="E130" s="4">
        <v>4.5245580694309E-2</v>
      </c>
      <c r="F130" s="5">
        <v>2.35683987179908E-2</v>
      </c>
      <c r="G130" s="5">
        <v>0</v>
      </c>
      <c r="H130" s="4">
        <v>5.24815970691429</v>
      </c>
      <c r="I130" s="4">
        <v>3.7260428189674002</v>
      </c>
      <c r="J130" s="4">
        <v>15.1529898361064</v>
      </c>
      <c r="K130" s="4">
        <v>162.75349245071899</v>
      </c>
      <c r="L130" s="4">
        <v>16.174255049248</v>
      </c>
      <c r="M130" s="4">
        <v>34.824204357335503</v>
      </c>
      <c r="N130" s="4">
        <v>62.9849604075374</v>
      </c>
      <c r="O130" s="4">
        <v>59.660153362968501</v>
      </c>
      <c r="P130" s="4">
        <v>266006.19067425601</v>
      </c>
      <c r="Q130" s="4">
        <v>246832.365205195</v>
      </c>
      <c r="R130" s="4">
        <v>780.43902784079205</v>
      </c>
      <c r="S130" s="4">
        <v>0</v>
      </c>
      <c r="T130" s="4">
        <v>0</v>
      </c>
      <c r="U130" s="4">
        <v>4.1032943769282598E-3</v>
      </c>
      <c r="V130" s="4">
        <v>1</v>
      </c>
      <c r="W130" s="4">
        <v>0</v>
      </c>
      <c r="X130" s="4">
        <v>0.87256647548266397</v>
      </c>
      <c r="Y130" s="4">
        <v>0</v>
      </c>
      <c r="Z130" s="5">
        <v>4.43468904529567E-4</v>
      </c>
      <c r="AA130" s="5">
        <v>6.60011909527291E-4</v>
      </c>
      <c r="AB130" s="10">
        <v>3.9722327063412399E-3</v>
      </c>
      <c r="AC130" s="10">
        <v>7.9957972000084608E-6</v>
      </c>
      <c r="AD130" s="10">
        <v>1.8484674047168002E-2</v>
      </c>
      <c r="AE130" s="4">
        <v>-3.3514981419331398E-3</v>
      </c>
      <c r="AF130" s="4">
        <v>0.825190611439093</v>
      </c>
      <c r="AG130" s="4">
        <v>0.98243605476397899</v>
      </c>
      <c r="AH130" s="4">
        <v>0.99736558999537706</v>
      </c>
      <c r="AI130" s="4">
        <v>0.999553118942486</v>
      </c>
      <c r="AJ130" s="4">
        <v>1</v>
      </c>
      <c r="AK130" s="4">
        <v>1</v>
      </c>
      <c r="AL130" s="4">
        <v>1</v>
      </c>
      <c r="AM130" s="4">
        <v>0</v>
      </c>
      <c r="AN130" s="4">
        <v>0</v>
      </c>
      <c r="AO130" s="4" t="s">
        <v>80</v>
      </c>
      <c r="AP130" s="4" t="s">
        <v>81</v>
      </c>
      <c r="AQ130" s="6">
        <v>17881277032.560001</v>
      </c>
      <c r="AR130" s="4">
        <v>72443</v>
      </c>
      <c r="AS130" s="15">
        <v>0</v>
      </c>
      <c r="AT130" s="15">
        <v>0</v>
      </c>
      <c r="AU130" s="15">
        <v>0</v>
      </c>
      <c r="AV130" s="15">
        <v>100</v>
      </c>
      <c r="AW130" s="15">
        <v>0</v>
      </c>
      <c r="AX130" s="15">
        <v>100</v>
      </c>
      <c r="AY130">
        <v>2434.4253033892501</v>
      </c>
    </row>
    <row r="131" spans="1:51" x14ac:dyDescent="0.25">
      <c r="A131">
        <v>97</v>
      </c>
      <c r="B131" s="4">
        <v>0.97242576653447499</v>
      </c>
      <c r="C131" s="4">
        <v>40.760343437696697</v>
      </c>
      <c r="D131" s="4">
        <v>28.5046996761359</v>
      </c>
      <c r="E131" s="4">
        <v>4.2693419309122398E-2</v>
      </c>
      <c r="F131" s="5">
        <v>2.7574233465524699E-2</v>
      </c>
      <c r="G131" s="5">
        <v>0</v>
      </c>
      <c r="H131" s="4">
        <v>5.3917564209658702</v>
      </c>
      <c r="I131" s="4">
        <v>3.6752486550320902</v>
      </c>
      <c r="J131" s="4">
        <v>28.588166355364098</v>
      </c>
      <c r="K131" s="4">
        <v>184.14327691484399</v>
      </c>
      <c r="L131" s="4">
        <v>15.7660377840658</v>
      </c>
      <c r="M131" s="4">
        <v>36.053773882640698</v>
      </c>
      <c r="N131" s="4">
        <v>66.611249583236699</v>
      </c>
      <c r="O131" s="4">
        <v>62.406024099232901</v>
      </c>
      <c r="P131" s="4">
        <v>272644.11941107397</v>
      </c>
      <c r="Q131" s="4">
        <v>253247.84289714799</v>
      </c>
      <c r="R131" s="4">
        <v>779.11486498103602</v>
      </c>
      <c r="S131" s="4">
        <v>0</v>
      </c>
      <c r="T131" s="4">
        <v>0</v>
      </c>
      <c r="U131" s="4">
        <v>7.5448545204322296E-3</v>
      </c>
      <c r="V131" s="4">
        <v>1</v>
      </c>
      <c r="W131" s="4">
        <v>0</v>
      </c>
      <c r="X131" s="4">
        <v>0.849395830585852</v>
      </c>
      <c r="Y131" s="4">
        <v>0</v>
      </c>
      <c r="Z131" s="5">
        <v>4.45447456861345E-4</v>
      </c>
      <c r="AA131" s="5">
        <v>8.92967167578789E-4</v>
      </c>
      <c r="AB131" s="10">
        <v>3.75251145185913E-3</v>
      </c>
      <c r="AC131" s="10">
        <v>1.1446080636110401E-5</v>
      </c>
      <c r="AD131" s="10">
        <v>2.2471846010375399E-2</v>
      </c>
      <c r="AE131" s="4">
        <v>7.2283137617176196E-3</v>
      </c>
      <c r="AF131" s="4">
        <v>0.77411948562714705</v>
      </c>
      <c r="AG131" s="4">
        <v>0.97922590267455101</v>
      </c>
      <c r="AH131" s="4">
        <v>0.996290542789667</v>
      </c>
      <c r="AI131" s="4">
        <v>0.99956323001854297</v>
      </c>
      <c r="AJ131" s="4">
        <v>1</v>
      </c>
      <c r="AK131" s="4">
        <v>1</v>
      </c>
      <c r="AL131" s="4">
        <v>1</v>
      </c>
      <c r="AM131" s="4">
        <v>0</v>
      </c>
      <c r="AN131" s="4">
        <v>0</v>
      </c>
      <c r="AO131" s="4" t="s">
        <v>82</v>
      </c>
      <c r="AP131" s="4" t="s">
        <v>83</v>
      </c>
      <c r="AQ131" s="6">
        <v>8401243940.2700005</v>
      </c>
      <c r="AR131" s="4">
        <v>33174</v>
      </c>
      <c r="AS131" s="15">
        <v>0</v>
      </c>
      <c r="AT131" s="15">
        <v>0</v>
      </c>
      <c r="AU131" s="15">
        <v>0</v>
      </c>
      <c r="AV131" s="15">
        <v>100</v>
      </c>
      <c r="AW131" s="15">
        <v>0</v>
      </c>
      <c r="AX131" s="15">
        <v>100</v>
      </c>
      <c r="AY131">
        <v>2886.1310888088001</v>
      </c>
    </row>
    <row r="132" spans="1:51" x14ac:dyDescent="0.25">
      <c r="A132">
        <v>97</v>
      </c>
      <c r="B132" s="4">
        <v>0.97063666207124399</v>
      </c>
      <c r="C132" s="4">
        <v>40.190975703625099</v>
      </c>
      <c r="D132" s="4">
        <v>30.067300467890501</v>
      </c>
      <c r="E132" s="4">
        <v>4.1930032814298801E-2</v>
      </c>
      <c r="F132" s="5">
        <v>2.9363337928755399E-2</v>
      </c>
      <c r="G132" s="5">
        <v>0</v>
      </c>
      <c r="H132" s="4">
        <v>5.5185653852723897</v>
      </c>
      <c r="I132" s="4">
        <v>3.6700276169402799</v>
      </c>
      <c r="J132" s="4">
        <v>42.059755203427102</v>
      </c>
      <c r="K132" s="4">
        <v>208.438939601453</v>
      </c>
      <c r="L132" s="4">
        <v>16.0452377740313</v>
      </c>
      <c r="M132" s="4">
        <v>36.827101698522497</v>
      </c>
      <c r="N132" s="4">
        <v>76.958578699488299</v>
      </c>
      <c r="O132" s="4">
        <v>70.556812073871399</v>
      </c>
      <c r="P132" s="4">
        <v>267091.18887301098</v>
      </c>
      <c r="Q132" s="4">
        <v>248857.255097716</v>
      </c>
      <c r="R132" s="4">
        <v>777.21790424223298</v>
      </c>
      <c r="S132" s="4">
        <v>0</v>
      </c>
      <c r="T132" s="4">
        <v>0</v>
      </c>
      <c r="U132" s="4">
        <v>8.7797502449012497E-3</v>
      </c>
      <c r="V132" s="4">
        <v>1</v>
      </c>
      <c r="W132" s="4">
        <v>0</v>
      </c>
      <c r="X132" s="4">
        <v>0.73591202127496202</v>
      </c>
      <c r="Y132" s="4">
        <v>0</v>
      </c>
      <c r="Z132" s="5">
        <v>4.4483822450640199E-4</v>
      </c>
      <c r="AA132" s="5">
        <v>9.7260931235378296E-4</v>
      </c>
      <c r="AB132" s="10">
        <v>3.8230471643819299E-3</v>
      </c>
      <c r="AC132" s="10">
        <v>3.0428516892053601E-5</v>
      </c>
      <c r="AD132" s="10">
        <v>2.40923994286905E-2</v>
      </c>
      <c r="AE132" s="4">
        <v>2.8238742214936299E-2</v>
      </c>
      <c r="AF132" s="4">
        <v>0.67611445732546205</v>
      </c>
      <c r="AG132" s="4">
        <v>0.94638208714172101</v>
      </c>
      <c r="AH132" s="4">
        <v>0.98932164965523295</v>
      </c>
      <c r="AI132" s="4">
        <v>0.997496002747008</v>
      </c>
      <c r="AJ132" s="4">
        <v>1</v>
      </c>
      <c r="AK132" s="4">
        <v>1</v>
      </c>
      <c r="AL132" s="4">
        <v>1</v>
      </c>
      <c r="AM132" s="4">
        <v>0</v>
      </c>
      <c r="AN132" s="4">
        <v>0</v>
      </c>
      <c r="AO132" s="4" t="s">
        <v>84</v>
      </c>
      <c r="AP132" s="4" t="s">
        <v>85</v>
      </c>
      <c r="AQ132" s="6">
        <v>1209695117.03</v>
      </c>
      <c r="AR132" s="4">
        <v>4861</v>
      </c>
      <c r="AS132" s="15">
        <v>0</v>
      </c>
      <c r="AT132" s="15">
        <v>0</v>
      </c>
      <c r="AU132" s="15">
        <v>0</v>
      </c>
      <c r="AV132" s="15">
        <v>100</v>
      </c>
      <c r="AW132" s="15">
        <v>0</v>
      </c>
      <c r="AX132" s="15">
        <v>100</v>
      </c>
      <c r="AY132">
        <v>3186.0866235592298</v>
      </c>
    </row>
    <row r="133" spans="1:51" x14ac:dyDescent="0.25">
      <c r="A133">
        <v>97</v>
      </c>
      <c r="B133" s="4">
        <v>0.96962013596857999</v>
      </c>
      <c r="C133" s="4">
        <v>39.5671759305474</v>
      </c>
      <c r="D133" s="4">
        <v>30.941123254148302</v>
      </c>
      <c r="E133" s="4">
        <v>4.1101275810127298E-2</v>
      </c>
      <c r="F133" s="5">
        <v>3.0379864031419498E-2</v>
      </c>
      <c r="G133" s="5">
        <v>0</v>
      </c>
      <c r="H133" s="4">
        <v>5.4267095885704002</v>
      </c>
      <c r="I133" s="4">
        <v>3.6727287507231199</v>
      </c>
      <c r="J133" s="4">
        <v>39.410405250249802</v>
      </c>
      <c r="K133" s="4">
        <v>233.92580867514101</v>
      </c>
      <c r="L133" s="4">
        <v>14.7763801144218</v>
      </c>
      <c r="M133" s="4">
        <v>32.819708124683899</v>
      </c>
      <c r="N133" s="4">
        <v>86.185751130511406</v>
      </c>
      <c r="O133" s="4">
        <v>75.7276478778099</v>
      </c>
      <c r="P133" s="4">
        <v>290862.11667502101</v>
      </c>
      <c r="Q133" s="4">
        <v>270218.49641653901</v>
      </c>
      <c r="R133" s="4">
        <v>776.48787647701101</v>
      </c>
      <c r="S133" s="4">
        <v>0</v>
      </c>
      <c r="T133" s="4">
        <v>0</v>
      </c>
      <c r="U133" s="4">
        <v>1.8820384108813201E-2</v>
      </c>
      <c r="V133" s="4">
        <v>1</v>
      </c>
      <c r="W133" s="4">
        <v>0</v>
      </c>
      <c r="X133" s="4">
        <v>0.65335509062357799</v>
      </c>
      <c r="Y133" s="4">
        <v>0</v>
      </c>
      <c r="Z133" s="5">
        <v>4.4091879818720301E-4</v>
      </c>
      <c r="AA133" s="5">
        <v>9.0774940982237104E-4</v>
      </c>
      <c r="AB133" s="10">
        <v>3.7035511099767502E-3</v>
      </c>
      <c r="AC133" s="10">
        <v>1.3058958865197801E-4</v>
      </c>
      <c r="AD133" s="10">
        <v>2.5197039638048702E-2</v>
      </c>
      <c r="AE133" s="4">
        <v>7.7215545097488403E-2</v>
      </c>
      <c r="AF133" s="4">
        <v>0.39235092259253601</v>
      </c>
      <c r="AG133" s="4">
        <v>0.81604464234559704</v>
      </c>
      <c r="AH133" s="4">
        <v>0.95474874559421596</v>
      </c>
      <c r="AI133" s="4">
        <v>0.99330334017980404</v>
      </c>
      <c r="AJ133" s="4">
        <v>1</v>
      </c>
      <c r="AK133" s="4">
        <v>1</v>
      </c>
      <c r="AL133" s="4">
        <v>1</v>
      </c>
      <c r="AM133" s="4">
        <v>0</v>
      </c>
      <c r="AN133" s="4">
        <v>0</v>
      </c>
      <c r="AO133" s="4" t="s">
        <v>86</v>
      </c>
      <c r="AP133" s="4" t="s">
        <v>87</v>
      </c>
      <c r="AQ133" s="6">
        <v>176452678.16</v>
      </c>
      <c r="AR133" s="4">
        <v>653</v>
      </c>
      <c r="AS133" s="15">
        <v>0</v>
      </c>
      <c r="AT133" s="15">
        <v>0</v>
      </c>
      <c r="AU133" s="15">
        <v>0</v>
      </c>
      <c r="AV133" s="15">
        <v>100</v>
      </c>
      <c r="AW133" s="15">
        <v>0</v>
      </c>
      <c r="AX133" s="15">
        <v>100</v>
      </c>
      <c r="AY133">
        <v>3233.6285174386098</v>
      </c>
    </row>
    <row r="134" spans="1:51" x14ac:dyDescent="0.25">
      <c r="A134">
        <v>97</v>
      </c>
      <c r="B134" s="4">
        <v>0.96948210063981999</v>
      </c>
      <c r="C134" s="4">
        <v>46.664371358849998</v>
      </c>
      <c r="D134" s="4">
        <v>31.0590057624512</v>
      </c>
      <c r="E134" s="4">
        <v>5.1032254290071001E-2</v>
      </c>
      <c r="F134" s="5">
        <v>3.0517899360179599E-2</v>
      </c>
      <c r="G134" s="5">
        <v>0</v>
      </c>
      <c r="H134" s="4">
        <v>5.4891784016490304</v>
      </c>
      <c r="I134" s="4">
        <v>3.6691161775135499</v>
      </c>
      <c r="J134" s="4">
        <v>47.4003608593544</v>
      </c>
      <c r="K134" s="4">
        <v>262.77929298172199</v>
      </c>
      <c r="L134" s="4">
        <v>14.9681706139413</v>
      </c>
      <c r="M134" s="4">
        <v>25.369374415808501</v>
      </c>
      <c r="N134" s="4">
        <v>88.5500150016954</v>
      </c>
      <c r="O134" s="4">
        <v>76.332258143874995</v>
      </c>
      <c r="P134" s="4">
        <v>285040.95223494002</v>
      </c>
      <c r="Q134" s="4">
        <v>266772.09105769201</v>
      </c>
      <c r="R134" s="4">
        <v>783.13309351422504</v>
      </c>
      <c r="S134" s="4">
        <v>0</v>
      </c>
      <c r="T134" s="4">
        <v>0</v>
      </c>
      <c r="U134" s="4">
        <v>0</v>
      </c>
      <c r="V134" s="4">
        <v>1</v>
      </c>
      <c r="W134" s="4">
        <v>0</v>
      </c>
      <c r="X134" s="4">
        <v>0.87788770237691605</v>
      </c>
      <c r="Y134" s="4">
        <v>0</v>
      </c>
      <c r="Z134" s="5">
        <v>4.2110612378348301E-4</v>
      </c>
      <c r="AA134" s="5">
        <v>7.9630853425725196E-4</v>
      </c>
      <c r="AB134" s="10">
        <v>3.96248503078671E-3</v>
      </c>
      <c r="AC134" s="10">
        <v>1.53953238634083E-4</v>
      </c>
      <c r="AD134" s="10">
        <v>2.5184030704821701E-2</v>
      </c>
      <c r="AE134" s="4">
        <v>0.107936156534711</v>
      </c>
      <c r="AF134" s="4">
        <v>0.25146690153333301</v>
      </c>
      <c r="AG134" s="4">
        <v>0.63841571801024899</v>
      </c>
      <c r="AH134" s="4">
        <v>0.94810761304888702</v>
      </c>
      <c r="AI134" s="4">
        <v>0.98994720841997896</v>
      </c>
      <c r="AJ134" s="4">
        <v>1</v>
      </c>
      <c r="AK134" s="4">
        <v>1</v>
      </c>
      <c r="AL134" s="4">
        <v>1</v>
      </c>
      <c r="AM134" s="4">
        <v>0</v>
      </c>
      <c r="AN134" s="4">
        <v>0</v>
      </c>
      <c r="AO134" s="4" t="s">
        <v>154</v>
      </c>
      <c r="AP134" s="4" t="s">
        <v>155</v>
      </c>
      <c r="AQ134" s="6">
        <v>27744297.469999999</v>
      </c>
      <c r="AR134" s="4">
        <v>104</v>
      </c>
      <c r="AS134" s="15">
        <v>0</v>
      </c>
      <c r="AT134" s="15">
        <v>0</v>
      </c>
      <c r="AU134" s="15">
        <v>0</v>
      </c>
      <c r="AV134" s="15">
        <v>100</v>
      </c>
      <c r="AW134" s="15">
        <v>0</v>
      </c>
      <c r="AX134" s="15">
        <v>100</v>
      </c>
      <c r="AY134">
        <v>3280.9714415448602</v>
      </c>
    </row>
    <row r="138" spans="1:51" x14ac:dyDescent="0.25">
      <c r="F138" t="s">
        <v>167</v>
      </c>
    </row>
    <row r="139" spans="1:51" x14ac:dyDescent="0.25">
      <c r="A139" t="s">
        <v>20</v>
      </c>
      <c r="B139" t="s">
        <v>21</v>
      </c>
      <c r="C139" t="s">
        <v>22</v>
      </c>
      <c r="D139" t="s">
        <v>23</v>
      </c>
      <c r="E139" t="s">
        <v>94</v>
      </c>
      <c r="F139" t="s">
        <v>95</v>
      </c>
      <c r="G139" t="s">
        <v>24</v>
      </c>
      <c r="H139" t="s">
        <v>25</v>
      </c>
      <c r="I139" t="s">
        <v>26</v>
      </c>
      <c r="J139" t="s">
        <v>27</v>
      </c>
      <c r="K139" t="s">
        <v>28</v>
      </c>
      <c r="L139" t="s">
        <v>29</v>
      </c>
      <c r="M139" t="s">
        <v>30</v>
      </c>
      <c r="N139" t="s">
        <v>31</v>
      </c>
      <c r="O139" t="s">
        <v>32</v>
      </c>
      <c r="P139" t="s">
        <v>33</v>
      </c>
      <c r="Q139" t="s">
        <v>34</v>
      </c>
      <c r="R139" t="s">
        <v>35</v>
      </c>
      <c r="S139" t="s">
        <v>36</v>
      </c>
      <c r="T139" t="s">
        <v>37</v>
      </c>
      <c r="U139" t="s">
        <v>38</v>
      </c>
      <c r="V139" t="s">
        <v>39</v>
      </c>
      <c r="W139" t="s">
        <v>40</v>
      </c>
      <c r="X139" t="s">
        <v>41</v>
      </c>
      <c r="Y139" t="s">
        <v>42</v>
      </c>
      <c r="Z139" t="s">
        <v>43</v>
      </c>
      <c r="AA139" t="s">
        <v>44</v>
      </c>
      <c r="AB139" t="s">
        <v>45</v>
      </c>
      <c r="AC139" t="s">
        <v>46</v>
      </c>
      <c r="AD139" t="s">
        <v>47</v>
      </c>
      <c r="AE139" t="s">
        <v>48</v>
      </c>
      <c r="AF139" t="s">
        <v>49</v>
      </c>
      <c r="AG139" t="s">
        <v>50</v>
      </c>
      <c r="AH139" t="s">
        <v>51</v>
      </c>
      <c r="AI139" t="s">
        <v>52</v>
      </c>
      <c r="AJ139" t="s">
        <v>53</v>
      </c>
      <c r="AK139" t="s">
        <v>54</v>
      </c>
      <c r="AL139" t="s">
        <v>55</v>
      </c>
      <c r="AM139" t="s">
        <v>56</v>
      </c>
      <c r="AN139" t="s">
        <v>57</v>
      </c>
      <c r="AO139" t="s">
        <v>58</v>
      </c>
      <c r="AP139" t="s">
        <v>59</v>
      </c>
      <c r="AQ139" t="s">
        <v>60</v>
      </c>
      <c r="AR139" t="s">
        <v>61</v>
      </c>
      <c r="AS139" t="s">
        <v>116</v>
      </c>
      <c r="AT139" t="s">
        <v>117</v>
      </c>
      <c r="AU139" t="s">
        <v>118</v>
      </c>
      <c r="AV139" t="s">
        <v>119</v>
      </c>
      <c r="AW139" t="s">
        <v>120</v>
      </c>
      <c r="AX139" t="s">
        <v>121</v>
      </c>
      <c r="AY139" t="s">
        <v>171</v>
      </c>
    </row>
    <row r="140" spans="1:51" x14ac:dyDescent="0.25">
      <c r="A140">
        <v>96</v>
      </c>
      <c r="B140" s="4">
        <v>0.97962786239107402</v>
      </c>
      <c r="C140" s="4">
        <v>0.479945509940227</v>
      </c>
      <c r="D140" s="4">
        <v>21.8851604584084</v>
      </c>
      <c r="E140" s="4">
        <v>4.0083709905576898E-4</v>
      </c>
      <c r="F140" s="5">
        <v>2.03721376089252E-2</v>
      </c>
      <c r="G140" s="5">
        <v>0</v>
      </c>
      <c r="H140" s="4">
        <v>5.375</v>
      </c>
      <c r="I140" s="4">
        <v>4.1184729999999998</v>
      </c>
      <c r="J140" s="4">
        <v>23.5424197380617</v>
      </c>
      <c r="K140" s="4">
        <v>50.07</v>
      </c>
      <c r="L140" s="4">
        <v>100</v>
      </c>
      <c r="M140" s="4">
        <v>33.209289298537101</v>
      </c>
      <c r="N140" s="4">
        <v>63.348452530754003</v>
      </c>
      <c r="O140" s="4">
        <v>5.7076192340469998</v>
      </c>
      <c r="P140" s="4">
        <v>30867.745782434798</v>
      </c>
      <c r="Q140" s="4">
        <v>30336.413333333301</v>
      </c>
      <c r="R140" s="4">
        <v>798.464779620179</v>
      </c>
      <c r="S140" s="4">
        <v>0</v>
      </c>
      <c r="T140" s="4">
        <v>0</v>
      </c>
      <c r="U140" s="4">
        <v>0</v>
      </c>
      <c r="V140" s="4">
        <v>1</v>
      </c>
      <c r="W140" s="4">
        <v>0</v>
      </c>
      <c r="X140" s="4">
        <v>0</v>
      </c>
      <c r="Y140" s="4">
        <v>0</v>
      </c>
      <c r="Z140" s="5">
        <v>1.1349377006373101E-2</v>
      </c>
      <c r="AA140" s="5">
        <v>5.4514653278062695E-4</v>
      </c>
      <c r="AB140" s="10">
        <v>7.3596064612801897E-3</v>
      </c>
      <c r="AC140" s="10">
        <v>0</v>
      </c>
      <c r="AD140" s="10">
        <v>1.1179906900793801E-3</v>
      </c>
      <c r="AE140" s="4">
        <v>-9.8658002752804192E-3</v>
      </c>
      <c r="AF140" s="4">
        <v>1</v>
      </c>
      <c r="AG140" s="4">
        <v>1</v>
      </c>
      <c r="AH140" s="4">
        <v>1</v>
      </c>
      <c r="AI140" s="4">
        <v>1</v>
      </c>
      <c r="AJ140" s="4">
        <v>1</v>
      </c>
      <c r="AK140" s="4">
        <v>1</v>
      </c>
      <c r="AL140" s="4">
        <v>1</v>
      </c>
      <c r="AM140" s="4">
        <v>0</v>
      </c>
      <c r="AN140" s="4">
        <v>0</v>
      </c>
      <c r="AO140" s="4" t="s">
        <v>149</v>
      </c>
      <c r="AP140" s="4" t="s">
        <v>133</v>
      </c>
      <c r="AQ140" s="6">
        <v>91009.24</v>
      </c>
      <c r="AR140" s="4">
        <v>3</v>
      </c>
      <c r="AS140" s="15">
        <v>0</v>
      </c>
      <c r="AT140" s="15">
        <v>0</v>
      </c>
      <c r="AU140" s="15">
        <v>0</v>
      </c>
      <c r="AV140" s="15">
        <v>100</v>
      </c>
      <c r="AW140" s="15">
        <v>0</v>
      </c>
      <c r="AX140" s="15">
        <v>100</v>
      </c>
      <c r="AY140" s="31">
        <v>2091.2716663154201</v>
      </c>
    </row>
    <row r="141" spans="1:51" x14ac:dyDescent="0.25">
      <c r="A141">
        <v>96</v>
      </c>
      <c r="B141" s="4">
        <v>0.981991721725195</v>
      </c>
      <c r="C141" s="4">
        <v>87.792004567409407</v>
      </c>
      <c r="D141" s="4">
        <v>19.592988680534599</v>
      </c>
      <c r="E141" s="4">
        <v>0.160758348265996</v>
      </c>
      <c r="F141" s="5">
        <v>1.8008278274804699E-2</v>
      </c>
      <c r="G141" s="5">
        <v>0</v>
      </c>
      <c r="H141" s="4">
        <v>5.2106309462523104</v>
      </c>
      <c r="I141" s="4">
        <v>3.9026459785341898</v>
      </c>
      <c r="J141" s="4">
        <v>8.3012170243146599</v>
      </c>
      <c r="K141" s="4">
        <v>58.907576396162703</v>
      </c>
      <c r="L141" s="4">
        <v>99.848909932778199</v>
      </c>
      <c r="M141" s="4">
        <v>36.342332366422703</v>
      </c>
      <c r="N141" s="4">
        <v>51.045165084299398</v>
      </c>
      <c r="O141" s="4">
        <v>6.2222425620489199</v>
      </c>
      <c r="P141" s="4">
        <v>31039.907747233399</v>
      </c>
      <c r="Q141" s="4">
        <v>28859.714285714199</v>
      </c>
      <c r="R141" s="4">
        <v>796.00800235622501</v>
      </c>
      <c r="S141" s="4">
        <v>0</v>
      </c>
      <c r="T141" s="4">
        <v>0</v>
      </c>
      <c r="U141" s="4">
        <v>0</v>
      </c>
      <c r="V141" s="4">
        <v>1</v>
      </c>
      <c r="W141" s="4">
        <v>0</v>
      </c>
      <c r="X141" s="4">
        <v>0.17845637517448901</v>
      </c>
      <c r="Y141" s="4">
        <v>0</v>
      </c>
      <c r="Z141" s="5">
        <v>9.4841490107034996E-3</v>
      </c>
      <c r="AA141" s="5">
        <v>4.78713661924184E-4</v>
      </c>
      <c r="AB141" s="10">
        <v>6.8305385134191004E-3</v>
      </c>
      <c r="AC141" s="10">
        <v>0</v>
      </c>
      <c r="AD141" s="10">
        <v>1.2148656467250399E-3</v>
      </c>
      <c r="AE141" s="4">
        <v>-3.1602861182554801E-2</v>
      </c>
      <c r="AF141" s="4">
        <v>1</v>
      </c>
      <c r="AG141" s="4">
        <v>1</v>
      </c>
      <c r="AH141" s="4">
        <v>1</v>
      </c>
      <c r="AI141" s="4">
        <v>1</v>
      </c>
      <c r="AJ141" s="4">
        <v>1</v>
      </c>
      <c r="AK141" s="4">
        <v>1</v>
      </c>
      <c r="AL141" s="4">
        <v>1</v>
      </c>
      <c r="AM141" s="4">
        <v>0</v>
      </c>
      <c r="AN141" s="4">
        <v>0</v>
      </c>
      <c r="AO141" s="4" t="s">
        <v>150</v>
      </c>
      <c r="AP141" s="4" t="s">
        <v>134</v>
      </c>
      <c r="AQ141" s="6">
        <v>202018</v>
      </c>
      <c r="AR141" s="4">
        <v>7</v>
      </c>
      <c r="AS141" s="15">
        <v>0</v>
      </c>
      <c r="AT141" s="15">
        <v>0</v>
      </c>
      <c r="AU141" s="15">
        <v>0</v>
      </c>
      <c r="AV141" s="15">
        <v>100</v>
      </c>
      <c r="AW141" s="15">
        <v>0</v>
      </c>
      <c r="AX141" s="15">
        <v>100</v>
      </c>
      <c r="AY141" s="31">
        <v>2148.2204151639899</v>
      </c>
    </row>
    <row r="142" spans="1:51" x14ac:dyDescent="0.25">
      <c r="A142">
        <v>96</v>
      </c>
      <c r="B142" s="4">
        <v>0.95550674218366305</v>
      </c>
      <c r="C142" s="4">
        <v>6.4455304620292199E-4</v>
      </c>
      <c r="D142" s="4">
        <v>42.083131754198803</v>
      </c>
      <c r="E142" s="4">
        <v>5.3712912539413703E-7</v>
      </c>
      <c r="F142" s="5">
        <v>4.4493257816336597E-2</v>
      </c>
      <c r="G142" s="5">
        <v>0</v>
      </c>
      <c r="H142" s="4">
        <v>5.7187064682941298</v>
      </c>
      <c r="I142" s="4">
        <v>4.1009782321882096</v>
      </c>
      <c r="J142" s="4">
        <v>61.608206131126202</v>
      </c>
      <c r="K142" s="4">
        <v>69.1700835808752</v>
      </c>
      <c r="L142" s="4">
        <v>23.616405768122402</v>
      </c>
      <c r="M142" s="4">
        <v>29.625870634117302</v>
      </c>
      <c r="N142" s="4">
        <v>67.247562224471395</v>
      </c>
      <c r="O142" s="4">
        <v>66.4330708019165</v>
      </c>
      <c r="P142" s="4">
        <v>261721.03844646999</v>
      </c>
      <c r="Q142" s="4">
        <v>167557.47</v>
      </c>
      <c r="R142" s="4">
        <v>794.87621888776403</v>
      </c>
      <c r="S142" s="4">
        <v>0</v>
      </c>
      <c r="T142" s="4">
        <v>0</v>
      </c>
      <c r="U142" s="4">
        <v>0</v>
      </c>
      <c r="V142" s="4">
        <v>1</v>
      </c>
      <c r="W142" s="4">
        <v>0</v>
      </c>
      <c r="X142" s="4">
        <v>0.87482587317652805</v>
      </c>
      <c r="Y142" s="4">
        <v>0</v>
      </c>
      <c r="Z142" s="5">
        <v>9.2974982228724199E-4</v>
      </c>
      <c r="AA142" s="5">
        <v>6.1568353253961094E-5</v>
      </c>
      <c r="AB142" s="10">
        <v>3.7062504050001401E-3</v>
      </c>
      <c r="AC142" s="10">
        <v>0</v>
      </c>
      <c r="AD142" s="10">
        <v>3.9795669235795299E-2</v>
      </c>
      <c r="AE142" s="4">
        <v>-9.6079314790342402E-2</v>
      </c>
      <c r="AF142" s="4">
        <v>1</v>
      </c>
      <c r="AG142" s="4">
        <v>1</v>
      </c>
      <c r="AH142" s="4">
        <v>1</v>
      </c>
      <c r="AI142" s="4">
        <v>1</v>
      </c>
      <c r="AJ142" s="4">
        <v>1</v>
      </c>
      <c r="AK142" s="4">
        <v>1</v>
      </c>
      <c r="AL142" s="4">
        <v>1</v>
      </c>
      <c r="AM142" s="4">
        <v>0</v>
      </c>
      <c r="AN142" s="4">
        <v>0</v>
      </c>
      <c r="AO142" s="4" t="s">
        <v>152</v>
      </c>
      <c r="AP142" s="4" t="s">
        <v>136</v>
      </c>
      <c r="AQ142" s="6">
        <v>335114.94</v>
      </c>
      <c r="AR142" s="4">
        <v>2</v>
      </c>
      <c r="AS142" s="15">
        <v>0</v>
      </c>
      <c r="AT142" s="15">
        <v>0</v>
      </c>
      <c r="AU142" s="15">
        <v>0</v>
      </c>
      <c r="AV142" s="15">
        <v>100</v>
      </c>
      <c r="AW142" s="15">
        <v>0</v>
      </c>
      <c r="AX142" s="15">
        <v>100</v>
      </c>
      <c r="AY142" s="31">
        <v>2132.7333316580798</v>
      </c>
    </row>
    <row r="143" spans="1:51" x14ac:dyDescent="0.25">
      <c r="A143">
        <v>96</v>
      </c>
      <c r="B143" s="4">
        <v>0.98314157868274499</v>
      </c>
      <c r="C143" s="4">
        <v>85.994227134312098</v>
      </c>
      <c r="D143" s="4">
        <v>18.455858979173801</v>
      </c>
      <c r="E143" s="4">
        <v>0.151095328982599</v>
      </c>
      <c r="F143" s="5">
        <v>1.6858421317254499E-2</v>
      </c>
      <c r="G143" s="5">
        <v>0</v>
      </c>
      <c r="H143" s="4">
        <v>5.1541970608674603</v>
      </c>
      <c r="I143" s="4">
        <v>3.7999139793513699</v>
      </c>
      <c r="J143" s="4">
        <v>3.9387966443727298</v>
      </c>
      <c r="K143" s="4">
        <v>71.404483669810602</v>
      </c>
      <c r="L143" s="4">
        <v>96.725284691862697</v>
      </c>
      <c r="M143" s="4">
        <v>36.417168406848504</v>
      </c>
      <c r="N143" s="4">
        <v>53.650567669416397</v>
      </c>
      <c r="O143" s="4">
        <v>6.5110404260727899</v>
      </c>
      <c r="P143" s="4">
        <v>34013.157334172698</v>
      </c>
      <c r="Q143" s="4">
        <v>31836.604444444401</v>
      </c>
      <c r="R143" s="4">
        <v>791.11425171528595</v>
      </c>
      <c r="S143" s="4">
        <v>0</v>
      </c>
      <c r="T143" s="4">
        <v>0</v>
      </c>
      <c r="U143" s="4">
        <v>0</v>
      </c>
      <c r="V143" s="4">
        <v>1</v>
      </c>
      <c r="W143" s="4">
        <v>0</v>
      </c>
      <c r="X143" s="4">
        <v>0.51799225238425695</v>
      </c>
      <c r="Y143" s="4">
        <v>0</v>
      </c>
      <c r="Z143" s="5">
        <v>8.8588906541627894E-3</v>
      </c>
      <c r="AA143" s="5">
        <v>4.9172934709501397E-4</v>
      </c>
      <c r="AB143" s="10">
        <v>5.8929279035166496E-3</v>
      </c>
      <c r="AC143" s="10">
        <v>0</v>
      </c>
      <c r="AD143" s="10">
        <v>1.61485365662879E-3</v>
      </c>
      <c r="AE143" s="4">
        <v>2.1973192743475999E-2</v>
      </c>
      <c r="AF143" s="4">
        <v>0.62223759624839903</v>
      </c>
      <c r="AG143" s="4">
        <v>1</v>
      </c>
      <c r="AH143" s="4">
        <v>1</v>
      </c>
      <c r="AI143" s="4">
        <v>1</v>
      </c>
      <c r="AJ143" s="4">
        <v>1</v>
      </c>
      <c r="AK143" s="4">
        <v>1</v>
      </c>
      <c r="AL143" s="4">
        <v>1</v>
      </c>
      <c r="AM143" s="4">
        <v>0</v>
      </c>
      <c r="AN143" s="4">
        <v>0</v>
      </c>
      <c r="AO143" s="4" t="s">
        <v>72</v>
      </c>
      <c r="AP143" s="4" t="s">
        <v>73</v>
      </c>
      <c r="AQ143" s="6">
        <v>286529.44</v>
      </c>
      <c r="AR143" s="4">
        <v>9</v>
      </c>
      <c r="AS143" s="15">
        <v>0</v>
      </c>
      <c r="AT143" s="15">
        <v>0</v>
      </c>
      <c r="AU143" s="15">
        <v>0</v>
      </c>
      <c r="AV143" s="15">
        <v>100</v>
      </c>
      <c r="AW143" s="15">
        <v>0</v>
      </c>
      <c r="AX143" s="15">
        <v>100</v>
      </c>
      <c r="AY143">
        <v>2207.4224312419601</v>
      </c>
    </row>
    <row r="144" spans="1:51" x14ac:dyDescent="0.25">
      <c r="A144">
        <v>96</v>
      </c>
      <c r="B144" s="4">
        <v>0.97655007731019094</v>
      </c>
      <c r="C144" s="4">
        <v>77.809600057455498</v>
      </c>
      <c r="D144" s="4">
        <v>24.779844854467001</v>
      </c>
      <c r="E144" s="4">
        <v>0.117908248849628</v>
      </c>
      <c r="F144" s="5">
        <v>2.3449922689808798E-2</v>
      </c>
      <c r="G144" s="5">
        <v>0</v>
      </c>
      <c r="H144" s="4">
        <v>5.1872136482290401</v>
      </c>
      <c r="I144" s="4">
        <v>3.8806083528870499</v>
      </c>
      <c r="J144" s="4">
        <v>12.6978153850401</v>
      </c>
      <c r="K144" s="4">
        <v>92.546441968638007</v>
      </c>
      <c r="L144" s="4">
        <v>60.710197009160701</v>
      </c>
      <c r="M144" s="4">
        <v>33.455410774905999</v>
      </c>
      <c r="N144" s="4">
        <v>72.167034117894602</v>
      </c>
      <c r="O144" s="4">
        <v>35.411998092308998</v>
      </c>
      <c r="P144" s="4">
        <v>118009.30532939101</v>
      </c>
      <c r="Q144" s="4">
        <v>49936.888679245203</v>
      </c>
      <c r="R144" s="4">
        <v>783.453808567652</v>
      </c>
      <c r="S144" s="4">
        <v>0</v>
      </c>
      <c r="T144" s="4">
        <v>0</v>
      </c>
      <c r="U144" s="4">
        <v>8.4792669056122892E-3</v>
      </c>
      <c r="V144" s="4">
        <v>1</v>
      </c>
      <c r="W144" s="4">
        <v>0</v>
      </c>
      <c r="X144" s="4">
        <v>0.64351646536792695</v>
      </c>
      <c r="Y144" s="4">
        <v>0</v>
      </c>
      <c r="Z144" s="5">
        <v>4.8021622385729396E-3</v>
      </c>
      <c r="AA144" s="5">
        <v>4.7875242592627498E-4</v>
      </c>
      <c r="AB144" s="10">
        <v>5.0935685805541297E-3</v>
      </c>
      <c r="AC144" s="10">
        <v>0</v>
      </c>
      <c r="AD144" s="10">
        <v>1.3075423021844499E-2</v>
      </c>
      <c r="AE144" s="4">
        <v>-2.6446431036024499E-3</v>
      </c>
      <c r="AF144" s="4">
        <v>0.8613633298876</v>
      </c>
      <c r="AG144" s="4">
        <v>1</v>
      </c>
      <c r="AH144" s="4">
        <v>1</v>
      </c>
      <c r="AI144" s="4">
        <v>1</v>
      </c>
      <c r="AJ144" s="4">
        <v>1</v>
      </c>
      <c r="AK144" s="4">
        <v>1</v>
      </c>
      <c r="AL144" s="4">
        <v>1</v>
      </c>
      <c r="AM144" s="4">
        <v>0</v>
      </c>
      <c r="AN144" s="4">
        <v>0</v>
      </c>
      <c r="AO144" s="4" t="s">
        <v>74</v>
      </c>
      <c r="AP144" s="4" t="s">
        <v>75</v>
      </c>
      <c r="AQ144" s="6">
        <v>5293310.2</v>
      </c>
      <c r="AR144" s="4">
        <v>106</v>
      </c>
      <c r="AS144" s="15">
        <v>0</v>
      </c>
      <c r="AT144" s="15">
        <v>0</v>
      </c>
      <c r="AU144" s="15">
        <v>0</v>
      </c>
      <c r="AV144" s="15">
        <v>100</v>
      </c>
      <c r="AW144" s="15">
        <v>0</v>
      </c>
      <c r="AX144" s="15">
        <v>100</v>
      </c>
      <c r="AY144">
        <v>2256.4990102386</v>
      </c>
    </row>
    <row r="145" spans="1:51" x14ac:dyDescent="0.25">
      <c r="A145">
        <v>96</v>
      </c>
      <c r="B145" s="4">
        <v>0.96935138916013797</v>
      </c>
      <c r="C145" s="4">
        <v>58.382500396458802</v>
      </c>
      <c r="D145" s="4">
        <v>31.170463622694001</v>
      </c>
      <c r="E145" s="4">
        <v>7.04494788908228E-2</v>
      </c>
      <c r="F145" s="5">
        <v>3.0648610839861E-2</v>
      </c>
      <c r="G145" s="5">
        <v>0</v>
      </c>
      <c r="H145" s="4">
        <v>5.16594676873137</v>
      </c>
      <c r="I145" s="4">
        <v>3.87847826213785</v>
      </c>
      <c r="J145" s="4">
        <v>10.047369419292</v>
      </c>
      <c r="K145" s="4">
        <v>116.48456760847201</v>
      </c>
      <c r="L145" s="4">
        <v>32.738533629553203</v>
      </c>
      <c r="M145" s="4">
        <v>34.743909712039702</v>
      </c>
      <c r="N145" s="4">
        <v>76.748325266405899</v>
      </c>
      <c r="O145" s="4">
        <v>54.334200295806198</v>
      </c>
      <c r="P145" s="4">
        <v>171650.70933421701</v>
      </c>
      <c r="Q145" s="4">
        <v>112839.992643391</v>
      </c>
      <c r="R145" s="4">
        <v>778.05951402302298</v>
      </c>
      <c r="S145" s="4">
        <v>0</v>
      </c>
      <c r="T145" s="4">
        <v>0</v>
      </c>
      <c r="U145" s="4">
        <v>2.1693540961402399E-3</v>
      </c>
      <c r="V145" s="4">
        <v>1</v>
      </c>
      <c r="W145" s="4">
        <v>0</v>
      </c>
      <c r="X145" s="4">
        <v>0.597429358242478</v>
      </c>
      <c r="Y145" s="4">
        <v>0</v>
      </c>
      <c r="Z145" s="5">
        <v>1.87171193470179E-3</v>
      </c>
      <c r="AA145" s="5">
        <v>5.0774895847749695E-4</v>
      </c>
      <c r="AB145" s="10">
        <v>4.8133276197897196E-3</v>
      </c>
      <c r="AC145" s="10">
        <v>1.32711778342157E-6</v>
      </c>
      <c r="AD145" s="10">
        <v>2.3454480475845599E-2</v>
      </c>
      <c r="AE145" s="4">
        <v>-1.0504368393510899E-2</v>
      </c>
      <c r="AF145" s="4">
        <v>0.83199646232675895</v>
      </c>
      <c r="AG145" s="4">
        <v>0.99005298347220105</v>
      </c>
      <c r="AH145" s="4">
        <v>1</v>
      </c>
      <c r="AI145" s="4">
        <v>1</v>
      </c>
      <c r="AJ145" s="4">
        <v>1</v>
      </c>
      <c r="AK145" s="4">
        <v>1</v>
      </c>
      <c r="AL145" s="4">
        <v>1</v>
      </c>
      <c r="AM145" s="4">
        <v>0</v>
      </c>
      <c r="AN145" s="4">
        <v>0</v>
      </c>
      <c r="AO145" s="4" t="s">
        <v>76</v>
      </c>
      <c r="AP145" s="4" t="s">
        <v>77</v>
      </c>
      <c r="AQ145" s="6">
        <v>45248837.049999997</v>
      </c>
      <c r="AR145" s="4">
        <v>401</v>
      </c>
      <c r="AS145" s="15">
        <v>0</v>
      </c>
      <c r="AT145" s="15">
        <v>0</v>
      </c>
      <c r="AU145" s="15">
        <v>0</v>
      </c>
      <c r="AV145" s="15">
        <v>100</v>
      </c>
      <c r="AW145" s="15">
        <v>0</v>
      </c>
      <c r="AX145" s="15">
        <v>100</v>
      </c>
      <c r="AY145">
        <v>2231.1366373927899</v>
      </c>
    </row>
    <row r="146" spans="1:51" x14ac:dyDescent="0.25">
      <c r="A146">
        <v>96</v>
      </c>
      <c r="B146" s="4">
        <v>0.95544810209887998</v>
      </c>
      <c r="C146" s="4">
        <v>43.849101342837102</v>
      </c>
      <c r="D146" s="4">
        <v>42.125770121253701</v>
      </c>
      <c r="E146" s="4">
        <v>4.6955763605430703E-2</v>
      </c>
      <c r="F146" s="5">
        <v>4.4551897901118999E-2</v>
      </c>
      <c r="G146" s="5">
        <v>0</v>
      </c>
      <c r="H146" s="4">
        <v>5.1677027736007801</v>
      </c>
      <c r="I146" s="4">
        <v>3.8755796943738701</v>
      </c>
      <c r="J146" s="4">
        <v>9.3832068619619307</v>
      </c>
      <c r="K146" s="4">
        <v>140.62959511809501</v>
      </c>
      <c r="L146" s="4">
        <v>15.935171131725699</v>
      </c>
      <c r="M146" s="4">
        <v>34.8323506239268</v>
      </c>
      <c r="N146" s="4">
        <v>59.740452842096602</v>
      </c>
      <c r="O146" s="4">
        <v>56.588816685007998</v>
      </c>
      <c r="P146" s="4">
        <v>272792.63941890898</v>
      </c>
      <c r="Q146" s="4">
        <v>250420.217573995</v>
      </c>
      <c r="R146" s="4">
        <v>781.60201099076301</v>
      </c>
      <c r="S146" s="4">
        <v>0</v>
      </c>
      <c r="T146" s="4">
        <v>0</v>
      </c>
      <c r="U146" s="4">
        <v>5.0514597300276498E-3</v>
      </c>
      <c r="V146" s="4">
        <v>1</v>
      </c>
      <c r="W146" s="4">
        <v>0</v>
      </c>
      <c r="X146" s="4">
        <v>0.87413909174742899</v>
      </c>
      <c r="Y146" s="4">
        <v>0</v>
      </c>
      <c r="Z146" s="5">
        <v>4.5947379162976902E-4</v>
      </c>
      <c r="AA146" s="5">
        <v>5.0172034556358696E-4</v>
      </c>
      <c r="AB146" s="10">
        <v>4.2126129494470498E-3</v>
      </c>
      <c r="AC146" s="10">
        <v>7.6919768710740898E-6</v>
      </c>
      <c r="AD146" s="10">
        <v>3.9370383588000199E-2</v>
      </c>
      <c r="AE146" s="4">
        <v>-6.4489366189470401E-3</v>
      </c>
      <c r="AF146" s="4">
        <v>0.76773961949941005</v>
      </c>
      <c r="AG146" s="4">
        <v>0.98183593896708699</v>
      </c>
      <c r="AH146" s="4">
        <v>0.99709380584155205</v>
      </c>
      <c r="AI146" s="4">
        <v>0.99974119484184698</v>
      </c>
      <c r="AJ146" s="4">
        <v>1</v>
      </c>
      <c r="AK146" s="4">
        <v>1</v>
      </c>
      <c r="AL146" s="4">
        <v>1</v>
      </c>
      <c r="AM146" s="4">
        <v>0</v>
      </c>
      <c r="AN146" s="4">
        <v>0</v>
      </c>
      <c r="AO146" s="4" t="s">
        <v>78</v>
      </c>
      <c r="AP146" s="4" t="s">
        <v>79</v>
      </c>
      <c r="AQ146" s="6">
        <v>6201656688.2200003</v>
      </c>
      <c r="AR146" s="4">
        <v>24765</v>
      </c>
      <c r="AS146" s="15">
        <v>0</v>
      </c>
      <c r="AT146" s="15">
        <v>0</v>
      </c>
      <c r="AU146" s="15">
        <v>0</v>
      </c>
      <c r="AV146" s="15">
        <v>100</v>
      </c>
      <c r="AW146" s="15">
        <v>0</v>
      </c>
      <c r="AX146" s="15">
        <v>100</v>
      </c>
      <c r="AY146">
        <v>2210.7249622885001</v>
      </c>
    </row>
    <row r="147" spans="1:51" x14ac:dyDescent="0.25">
      <c r="A147">
        <v>96</v>
      </c>
      <c r="B147" s="4">
        <v>0.95578463307063699</v>
      </c>
      <c r="C147" s="4">
        <v>42.6279818134892</v>
      </c>
      <c r="D147" s="4">
        <v>41.8806799425234</v>
      </c>
      <c r="E147" s="4">
        <v>4.5245580694309E-2</v>
      </c>
      <c r="F147" s="5">
        <v>4.42153669293626E-2</v>
      </c>
      <c r="G147" s="5">
        <v>0</v>
      </c>
      <c r="H147" s="4">
        <v>5.24815970691429</v>
      </c>
      <c r="I147" s="4">
        <v>3.7260428189674002</v>
      </c>
      <c r="J147" s="4">
        <v>15.1529898361064</v>
      </c>
      <c r="K147" s="4">
        <v>162.75349245071899</v>
      </c>
      <c r="L147" s="4">
        <v>16.174255049248</v>
      </c>
      <c r="M147" s="4">
        <v>34.824204357335503</v>
      </c>
      <c r="N147" s="4">
        <v>62.9849604075374</v>
      </c>
      <c r="O147" s="4">
        <v>59.660153362968501</v>
      </c>
      <c r="P147" s="4">
        <v>266006.19067425601</v>
      </c>
      <c r="Q147" s="4">
        <v>246832.365205195</v>
      </c>
      <c r="R147" s="4">
        <v>780.43902784079205</v>
      </c>
      <c r="S147" s="4">
        <v>0</v>
      </c>
      <c r="T147" s="4">
        <v>0</v>
      </c>
      <c r="U147" s="4">
        <v>4.1032943769282598E-3</v>
      </c>
      <c r="V147" s="4">
        <v>1</v>
      </c>
      <c r="W147" s="4">
        <v>0</v>
      </c>
      <c r="X147" s="4">
        <v>0.87256647548266397</v>
      </c>
      <c r="Y147" s="4">
        <v>0</v>
      </c>
      <c r="Z147" s="5">
        <v>4.43468904529567E-4</v>
      </c>
      <c r="AA147" s="5">
        <v>6.60011909527291E-4</v>
      </c>
      <c r="AB147" s="10">
        <v>3.9722327063412399E-3</v>
      </c>
      <c r="AC147" s="10">
        <v>7.9957972000084608E-6</v>
      </c>
      <c r="AD147" s="10">
        <v>3.9131642260427403E-2</v>
      </c>
      <c r="AE147" s="4">
        <v>-3.3514981419331398E-3</v>
      </c>
      <c r="AF147" s="4">
        <v>0.825190611439093</v>
      </c>
      <c r="AG147" s="4">
        <v>0.98243605476397899</v>
      </c>
      <c r="AH147" s="4">
        <v>0.99736558999537706</v>
      </c>
      <c r="AI147" s="4">
        <v>0.999553118942486</v>
      </c>
      <c r="AJ147" s="4">
        <v>1</v>
      </c>
      <c r="AK147" s="4">
        <v>1</v>
      </c>
      <c r="AL147" s="4">
        <v>1</v>
      </c>
      <c r="AM147" s="4">
        <v>0</v>
      </c>
      <c r="AN147" s="4">
        <v>0</v>
      </c>
      <c r="AO147" s="4" t="s">
        <v>80</v>
      </c>
      <c r="AP147" s="4" t="s">
        <v>81</v>
      </c>
      <c r="AQ147" s="6">
        <v>17881277032.560001</v>
      </c>
      <c r="AR147" s="4">
        <v>72443</v>
      </c>
      <c r="AS147" s="15">
        <v>0</v>
      </c>
      <c r="AT147" s="15">
        <v>0</v>
      </c>
      <c r="AU147" s="15">
        <v>0</v>
      </c>
      <c r="AV147" s="15">
        <v>100</v>
      </c>
      <c r="AW147" s="15">
        <v>0</v>
      </c>
      <c r="AX147" s="15">
        <v>100</v>
      </c>
      <c r="AY147">
        <v>2434.4253033892501</v>
      </c>
    </row>
    <row r="148" spans="1:51" x14ac:dyDescent="0.25">
      <c r="A148">
        <v>96</v>
      </c>
      <c r="B148" s="4">
        <v>0.95648232118625098</v>
      </c>
      <c r="C148" s="4">
        <v>40.760343437696697</v>
      </c>
      <c r="D148" s="4">
        <v>41.3695310785956</v>
      </c>
      <c r="E148" s="4">
        <v>4.2693419309122398E-2</v>
      </c>
      <c r="F148" s="5">
        <v>4.3517678813748399E-2</v>
      </c>
      <c r="G148" s="5">
        <v>0</v>
      </c>
      <c r="H148" s="4">
        <v>5.3917564209658702</v>
      </c>
      <c r="I148" s="4">
        <v>3.6752486550320902</v>
      </c>
      <c r="J148" s="4">
        <v>28.588166355364098</v>
      </c>
      <c r="K148" s="4">
        <v>184.14327691484399</v>
      </c>
      <c r="L148" s="4">
        <v>15.7660377840658</v>
      </c>
      <c r="M148" s="4">
        <v>36.053773882640698</v>
      </c>
      <c r="N148" s="4">
        <v>66.611249583236699</v>
      </c>
      <c r="O148" s="4">
        <v>62.406024099232901</v>
      </c>
      <c r="P148" s="4">
        <v>272644.11941107397</v>
      </c>
      <c r="Q148" s="4">
        <v>253247.84289714799</v>
      </c>
      <c r="R148" s="4">
        <v>779.11486498103602</v>
      </c>
      <c r="S148" s="4">
        <v>0</v>
      </c>
      <c r="T148" s="4">
        <v>0</v>
      </c>
      <c r="U148" s="4">
        <v>7.5448545204322296E-3</v>
      </c>
      <c r="V148" s="4">
        <v>1</v>
      </c>
      <c r="W148" s="4">
        <v>0</v>
      </c>
      <c r="X148" s="4">
        <v>0.849395830585852</v>
      </c>
      <c r="Y148" s="4">
        <v>0</v>
      </c>
      <c r="Z148" s="5">
        <v>4.45447456861345E-4</v>
      </c>
      <c r="AA148" s="5">
        <v>8.92967167578789E-4</v>
      </c>
      <c r="AB148" s="10">
        <v>3.75251145185913E-3</v>
      </c>
      <c r="AC148" s="10">
        <v>1.1446080636110401E-5</v>
      </c>
      <c r="AD148" s="10">
        <v>3.8415291393920803E-2</v>
      </c>
      <c r="AE148" s="4">
        <v>7.2283137617176196E-3</v>
      </c>
      <c r="AF148" s="4">
        <v>0.77411948562714705</v>
      </c>
      <c r="AG148" s="4">
        <v>0.97922590267455101</v>
      </c>
      <c r="AH148" s="4">
        <v>0.996290542789667</v>
      </c>
      <c r="AI148" s="4">
        <v>0.99956323001854297</v>
      </c>
      <c r="AJ148" s="4">
        <v>1</v>
      </c>
      <c r="AK148" s="4">
        <v>1</v>
      </c>
      <c r="AL148" s="4">
        <v>1</v>
      </c>
      <c r="AM148" s="4">
        <v>0</v>
      </c>
      <c r="AN148" s="4">
        <v>0</v>
      </c>
      <c r="AO148" s="4" t="s">
        <v>82</v>
      </c>
      <c r="AP148" s="4" t="s">
        <v>83</v>
      </c>
      <c r="AQ148" s="6">
        <v>8401243940.2700005</v>
      </c>
      <c r="AR148" s="4">
        <v>33174</v>
      </c>
      <c r="AS148" s="15">
        <v>0</v>
      </c>
      <c r="AT148" s="15">
        <v>0</v>
      </c>
      <c r="AU148" s="15">
        <v>0</v>
      </c>
      <c r="AV148" s="15">
        <v>100</v>
      </c>
      <c r="AW148" s="15">
        <v>0</v>
      </c>
      <c r="AX148" s="15">
        <v>100</v>
      </c>
      <c r="AY148">
        <v>2886.1310888088001</v>
      </c>
    </row>
    <row r="149" spans="1:51" x14ac:dyDescent="0.25">
      <c r="A149">
        <v>96</v>
      </c>
      <c r="B149" s="4">
        <v>0.95718723048266796</v>
      </c>
      <c r="C149" s="4">
        <v>40.190975703625099</v>
      </c>
      <c r="D149" s="4">
        <v>40.848909663979299</v>
      </c>
      <c r="E149" s="4">
        <v>4.1930032814298801E-2</v>
      </c>
      <c r="F149" s="5">
        <v>4.2812769517330998E-2</v>
      </c>
      <c r="G149" s="5">
        <v>0</v>
      </c>
      <c r="H149" s="4">
        <v>5.5185653852723897</v>
      </c>
      <c r="I149" s="4">
        <v>3.6700276169402799</v>
      </c>
      <c r="J149" s="4">
        <v>42.059755203427102</v>
      </c>
      <c r="K149" s="4">
        <v>208.438939601453</v>
      </c>
      <c r="L149" s="4">
        <v>16.0452377740313</v>
      </c>
      <c r="M149" s="4">
        <v>36.827101698522497</v>
      </c>
      <c r="N149" s="4">
        <v>76.958578699488299</v>
      </c>
      <c r="O149" s="4">
        <v>70.556812073871399</v>
      </c>
      <c r="P149" s="4">
        <v>267091.18887301098</v>
      </c>
      <c r="Q149" s="4">
        <v>248857.255097716</v>
      </c>
      <c r="R149" s="4">
        <v>777.21790424223298</v>
      </c>
      <c r="S149" s="4">
        <v>0</v>
      </c>
      <c r="T149" s="4">
        <v>0</v>
      </c>
      <c r="U149" s="4">
        <v>8.7797502449012497E-3</v>
      </c>
      <c r="V149" s="4">
        <v>1</v>
      </c>
      <c r="W149" s="4">
        <v>0</v>
      </c>
      <c r="X149" s="4">
        <v>0.73591202127496202</v>
      </c>
      <c r="Y149" s="4">
        <v>0</v>
      </c>
      <c r="Z149" s="5">
        <v>4.4483822450640199E-4</v>
      </c>
      <c r="AA149" s="5">
        <v>9.7260931235378296E-4</v>
      </c>
      <c r="AB149" s="10">
        <v>3.8230471643819299E-3</v>
      </c>
      <c r="AC149" s="10">
        <v>3.0428516892053601E-5</v>
      </c>
      <c r="AD149" s="10">
        <v>3.75418310604093E-2</v>
      </c>
      <c r="AE149" s="4">
        <v>2.8238742214936299E-2</v>
      </c>
      <c r="AF149" s="4">
        <v>0.67611445732546205</v>
      </c>
      <c r="AG149" s="4">
        <v>0.94638208714172101</v>
      </c>
      <c r="AH149" s="4">
        <v>0.98932164965523295</v>
      </c>
      <c r="AI149" s="4">
        <v>0.997496002747008</v>
      </c>
      <c r="AJ149" s="4">
        <v>1</v>
      </c>
      <c r="AK149" s="4">
        <v>1</v>
      </c>
      <c r="AL149" s="4">
        <v>1</v>
      </c>
      <c r="AM149" s="4">
        <v>0</v>
      </c>
      <c r="AN149" s="4">
        <v>0</v>
      </c>
      <c r="AO149" s="4" t="s">
        <v>84</v>
      </c>
      <c r="AP149" s="4" t="s">
        <v>85</v>
      </c>
      <c r="AQ149" s="6">
        <v>1209695117.03</v>
      </c>
      <c r="AR149" s="4">
        <v>4861</v>
      </c>
      <c r="AS149" s="15">
        <v>0</v>
      </c>
      <c r="AT149" s="15">
        <v>0</v>
      </c>
      <c r="AU149" s="15">
        <v>0</v>
      </c>
      <c r="AV149" s="15">
        <v>100</v>
      </c>
      <c r="AW149" s="15">
        <v>0</v>
      </c>
      <c r="AX149" s="15">
        <v>100</v>
      </c>
      <c r="AY149">
        <v>3186.0866235592298</v>
      </c>
    </row>
    <row r="150" spans="1:51" x14ac:dyDescent="0.25">
      <c r="A150">
        <v>96</v>
      </c>
      <c r="B150" s="4">
        <v>0.95397947433720598</v>
      </c>
      <c r="C150" s="4">
        <v>39.5671759305474</v>
      </c>
      <c r="D150" s="4">
        <v>43.184299296468602</v>
      </c>
      <c r="E150" s="4">
        <v>4.1101275810127298E-2</v>
      </c>
      <c r="F150" s="5">
        <v>4.6020525662793299E-2</v>
      </c>
      <c r="G150" s="5">
        <v>0</v>
      </c>
      <c r="H150" s="4">
        <v>5.4267095885704002</v>
      </c>
      <c r="I150" s="4">
        <v>3.6727287507231199</v>
      </c>
      <c r="J150" s="4">
        <v>39.410405250249802</v>
      </c>
      <c r="K150" s="4">
        <v>233.92580867514101</v>
      </c>
      <c r="L150" s="4">
        <v>14.7763801144218</v>
      </c>
      <c r="M150" s="4">
        <v>32.819708124683899</v>
      </c>
      <c r="N150" s="4">
        <v>86.185751130511406</v>
      </c>
      <c r="O150" s="4">
        <v>75.7276478778099</v>
      </c>
      <c r="P150" s="4">
        <v>290862.11667502101</v>
      </c>
      <c r="Q150" s="4">
        <v>270218.49641653901</v>
      </c>
      <c r="R150" s="4">
        <v>776.48787647701101</v>
      </c>
      <c r="S150" s="4">
        <v>0</v>
      </c>
      <c r="T150" s="4">
        <v>0</v>
      </c>
      <c r="U150" s="4">
        <v>1.8820384108813201E-2</v>
      </c>
      <c r="V150" s="4">
        <v>1</v>
      </c>
      <c r="W150" s="4">
        <v>0</v>
      </c>
      <c r="X150" s="4">
        <v>0.65335509062357799</v>
      </c>
      <c r="Y150" s="4">
        <v>0</v>
      </c>
      <c r="Z150" s="5">
        <v>4.4091879818720301E-4</v>
      </c>
      <c r="AA150" s="5">
        <v>9.0774940982237104E-4</v>
      </c>
      <c r="AB150" s="10">
        <v>3.7035511099767502E-3</v>
      </c>
      <c r="AC150" s="10">
        <v>1.3058958865197801E-4</v>
      </c>
      <c r="AD150" s="10">
        <v>4.0837701214059802E-2</v>
      </c>
      <c r="AE150" s="4">
        <v>7.7215545097488403E-2</v>
      </c>
      <c r="AF150" s="4">
        <v>0.39235092259253601</v>
      </c>
      <c r="AG150" s="4">
        <v>0.81604464234559704</v>
      </c>
      <c r="AH150" s="4">
        <v>0.95474874559421596</v>
      </c>
      <c r="AI150" s="4">
        <v>0.99330334017980404</v>
      </c>
      <c r="AJ150" s="4">
        <v>1</v>
      </c>
      <c r="AK150" s="4">
        <v>1</v>
      </c>
      <c r="AL150" s="4">
        <v>1</v>
      </c>
      <c r="AM150" s="4">
        <v>0</v>
      </c>
      <c r="AN150" s="4">
        <v>0</v>
      </c>
      <c r="AO150" s="4" t="s">
        <v>86</v>
      </c>
      <c r="AP150" s="4" t="s">
        <v>87</v>
      </c>
      <c r="AQ150" s="6">
        <v>176452678.16</v>
      </c>
      <c r="AR150" s="4">
        <v>653</v>
      </c>
      <c r="AS150" s="15">
        <v>0</v>
      </c>
      <c r="AT150" s="15">
        <v>0</v>
      </c>
      <c r="AU150" s="15">
        <v>0</v>
      </c>
      <c r="AV150" s="15">
        <v>100</v>
      </c>
      <c r="AW150" s="15">
        <v>0</v>
      </c>
      <c r="AX150" s="15">
        <v>100</v>
      </c>
      <c r="AY150">
        <v>3233.6285174386098</v>
      </c>
    </row>
    <row r="151" spans="1:51" x14ac:dyDescent="0.25">
      <c r="A151">
        <v>96</v>
      </c>
      <c r="B151" s="4">
        <v>0.95226134809813301</v>
      </c>
      <c r="C151" s="4">
        <v>46.664371358849998</v>
      </c>
      <c r="D151" s="4">
        <v>44.400116420822101</v>
      </c>
      <c r="E151" s="4">
        <v>5.1032254290071001E-2</v>
      </c>
      <c r="F151" s="5">
        <v>4.7738651901866803E-2</v>
      </c>
      <c r="G151" s="5">
        <v>0</v>
      </c>
      <c r="H151" s="4">
        <v>5.4891784016490304</v>
      </c>
      <c r="I151" s="4">
        <v>3.6691161775135499</v>
      </c>
      <c r="J151" s="4">
        <v>47.4003608593544</v>
      </c>
      <c r="K151" s="4">
        <v>262.77929298172199</v>
      </c>
      <c r="L151" s="4">
        <v>14.9681706139413</v>
      </c>
      <c r="M151" s="4">
        <v>25.369374415808501</v>
      </c>
      <c r="N151" s="4">
        <v>88.5500150016954</v>
      </c>
      <c r="O151" s="4">
        <v>76.332258143874995</v>
      </c>
      <c r="P151" s="4">
        <v>285040.95223494002</v>
      </c>
      <c r="Q151" s="4">
        <v>266772.09105769201</v>
      </c>
      <c r="R151" s="4">
        <v>783.13309351422504</v>
      </c>
      <c r="S151" s="4">
        <v>0</v>
      </c>
      <c r="T151" s="4">
        <v>0</v>
      </c>
      <c r="U151" s="4">
        <v>0</v>
      </c>
      <c r="V151" s="4">
        <v>1</v>
      </c>
      <c r="W151" s="4">
        <v>0</v>
      </c>
      <c r="X151" s="4">
        <v>0.87788770237691605</v>
      </c>
      <c r="Y151" s="4">
        <v>0</v>
      </c>
      <c r="Z151" s="5">
        <v>4.2110612378348301E-4</v>
      </c>
      <c r="AA151" s="5">
        <v>7.9630853425725196E-4</v>
      </c>
      <c r="AB151" s="10">
        <v>3.96248503078671E-3</v>
      </c>
      <c r="AC151" s="10">
        <v>1.53953238634083E-4</v>
      </c>
      <c r="AD151" s="10">
        <v>4.2404784371800001E-2</v>
      </c>
      <c r="AE151" s="4">
        <v>0.107936156534711</v>
      </c>
      <c r="AF151" s="4">
        <v>0.25146690153333301</v>
      </c>
      <c r="AG151" s="4">
        <v>0.63841571801024899</v>
      </c>
      <c r="AH151" s="4">
        <v>0.94810761304888702</v>
      </c>
      <c r="AI151" s="4">
        <v>0.98994720841997896</v>
      </c>
      <c r="AJ151" s="4">
        <v>1</v>
      </c>
      <c r="AK151" s="4">
        <v>1</v>
      </c>
      <c r="AL151" s="4">
        <v>1</v>
      </c>
      <c r="AM151" s="4">
        <v>0</v>
      </c>
      <c r="AN151" s="4">
        <v>0</v>
      </c>
      <c r="AO151" s="4" t="s">
        <v>154</v>
      </c>
      <c r="AP151" s="4" t="s">
        <v>155</v>
      </c>
      <c r="AQ151" s="6">
        <v>27744297.469999999</v>
      </c>
      <c r="AR151" s="4">
        <v>104</v>
      </c>
      <c r="AS151" s="15">
        <v>0</v>
      </c>
      <c r="AT151" s="15">
        <v>0</v>
      </c>
      <c r="AU151" s="15">
        <v>0</v>
      </c>
      <c r="AV151" s="15">
        <v>100</v>
      </c>
      <c r="AW151" s="15">
        <v>0</v>
      </c>
      <c r="AX151" s="15">
        <v>100</v>
      </c>
      <c r="AY151">
        <v>3280.9714415448602</v>
      </c>
    </row>
    <row r="152" spans="1:51" s="17" customFormat="1" x14ac:dyDescent="0.25">
      <c r="A152" s="15"/>
      <c r="B152" s="20"/>
      <c r="C152" s="21"/>
      <c r="D152" s="16"/>
      <c r="E152" s="16"/>
      <c r="F152" s="20"/>
      <c r="G152" s="21"/>
      <c r="H152" s="21"/>
      <c r="K152" s="15"/>
      <c r="L152" s="15"/>
      <c r="M152" s="23"/>
      <c r="N152" s="16"/>
      <c r="O152" s="21"/>
      <c r="P152" s="22"/>
      <c r="X152" s="18"/>
      <c r="Y152" s="16"/>
      <c r="Z152" s="16"/>
      <c r="AC152" s="18"/>
      <c r="AD152" s="16"/>
      <c r="AE152" s="16"/>
    </row>
    <row r="153" spans="1:51" x14ac:dyDescent="0.25">
      <c r="L153" s="4" t="s">
        <v>160</v>
      </c>
      <c r="M153" s="30" t="s">
        <v>187</v>
      </c>
      <c r="O153" s="4"/>
      <c r="P153" s="30"/>
    </row>
    <row r="154" spans="1:51" s="35" customFormat="1" x14ac:dyDescent="0.25">
      <c r="L154" t="s">
        <v>153</v>
      </c>
      <c r="M154" s="4">
        <v>0.95</v>
      </c>
      <c r="O154" s="35" t="s">
        <v>169</v>
      </c>
      <c r="P154" s="35" t="s">
        <v>170</v>
      </c>
    </row>
    <row r="155" spans="1:51" s="35" customFormat="1" x14ac:dyDescent="0.25">
      <c r="L155" s="35" t="s">
        <v>184</v>
      </c>
      <c r="M155" s="39">
        <v>1.1499999999999999</v>
      </c>
      <c r="O155" s="39">
        <v>1</v>
      </c>
      <c r="P155" s="35">
        <f>1-O155</f>
        <v>0</v>
      </c>
    </row>
    <row r="156" spans="1:51" s="35" customFormat="1" x14ac:dyDescent="0.25">
      <c r="M156" s="39"/>
    </row>
    <row r="157" spans="1:51" x14ac:dyDescent="0.25">
      <c r="K157" t="s">
        <v>98</v>
      </c>
      <c r="L157" t="s">
        <v>89</v>
      </c>
      <c r="M157" t="s">
        <v>90</v>
      </c>
    </row>
    <row r="158" spans="1:51" x14ac:dyDescent="0.25">
      <c r="A158" s="4" t="s">
        <v>93</v>
      </c>
      <c r="B158" t="str">
        <f>AQ122</f>
        <v>Balance</v>
      </c>
      <c r="C158" s="2" t="str">
        <f t="shared" ref="C158:C169" si="18">AO122</f>
        <v>groupByColumn</v>
      </c>
      <c r="D158" t="str">
        <f>E122</f>
        <v>PREPAY_SMM1</v>
      </c>
      <c r="E158" t="str">
        <f>F122</f>
        <v>PREPAY_TRACKING_SMM1</v>
      </c>
      <c r="G158" t="str">
        <f>C122</f>
        <v>PREPAY_CPR1</v>
      </c>
      <c r="H158" t="str">
        <f>D122</f>
        <v>PREPAY_TRACKING_CPR1</v>
      </c>
      <c r="I158" t="s">
        <v>168</v>
      </c>
      <c r="K158" t="s">
        <v>92</v>
      </c>
      <c r="L158" t="s">
        <v>92</v>
      </c>
      <c r="M158" t="s">
        <v>92</v>
      </c>
      <c r="O158" t="s">
        <v>163</v>
      </c>
      <c r="P158" t="s">
        <v>164</v>
      </c>
      <c r="Q158" t="s">
        <v>165</v>
      </c>
      <c r="S158" t="s">
        <v>96</v>
      </c>
      <c r="T158" t="s">
        <v>97</v>
      </c>
      <c r="U158" t="s">
        <v>185</v>
      </c>
      <c r="V158" t="s">
        <v>91</v>
      </c>
    </row>
    <row r="159" spans="1:51" s="35" customFormat="1" x14ac:dyDescent="0.25">
      <c r="A159" s="14">
        <f t="shared" ref="A159:A169" si="19">K123</f>
        <v>50.07</v>
      </c>
      <c r="B159" s="32">
        <f t="shared" ref="B159:B169" si="20">AQ123/1000000000</f>
        <v>9.1009239999999999E-5</v>
      </c>
      <c r="C159" s="33" t="str">
        <f t="shared" si="18"/>
        <v>11-1:50-55</v>
      </c>
      <c r="D159" s="34">
        <f t="shared" ref="D159:D169" si="21">E123</f>
        <v>4.0083709905576898E-4</v>
      </c>
      <c r="E159" s="34">
        <f t="shared" ref="E159:E169" si="22">Z123+AA123+AB123+AC123+AD123</f>
        <v>1.9497664598240691E-2</v>
      </c>
      <c r="F159" s="32"/>
      <c r="G159" s="33">
        <f t="shared" ref="G159:H169" si="23">(1-(1-D159)^12)*100</f>
        <v>0.47994550994033824</v>
      </c>
      <c r="H159" s="33">
        <f t="shared" si="23"/>
        <v>21.044281659396425</v>
      </c>
      <c r="I159" s="33">
        <f t="shared" ref="I159:I169" si="24">(1-(1-SUM(Z140,AA140,AB140,AC140,AD140*M159))^12)*100</f>
        <v>21.992054521139291</v>
      </c>
      <c r="K159" s="14">
        <f>VLOOKUP($C159,'Refi Adj'!$B$2:$E$39,2,0)</f>
        <v>1</v>
      </c>
      <c r="L159" s="14">
        <f>VLOOKUP($C159,'Refi Adj'!$B$2:$E$39,3,0)</f>
        <v>1</v>
      </c>
      <c r="M159" s="14">
        <f>VLOOKUP($C159,'Refi Adj'!$B$2:$E$39,4,0)</f>
        <v>1.1000000000000001</v>
      </c>
      <c r="O159" s="40">
        <f t="shared" ref="O159:O169" si="25">AD140*M159</f>
        <v>1.2297897590873182E-3</v>
      </c>
      <c r="P159" s="40">
        <f t="shared" ref="P159:P169" si="26">AD123</f>
        <v>2.43534597806772E-4</v>
      </c>
      <c r="Q159" s="40">
        <f t="shared" ref="Q159:Q169" si="27">(O159*$O$79+P159*$P$79)</f>
        <v>1.2297897590873182E-3</v>
      </c>
      <c r="R159" s="14"/>
      <c r="S159" s="34">
        <f>Z123+AA123+AB123*K159+AC123*L159+Q159*$M$154</f>
        <v>2.0422430271566872E-2</v>
      </c>
      <c r="T159" s="33">
        <f t="shared" ref="T159:T169" si="28">100*(1-(1-S159)^12)</f>
        <v>21.933270492736877</v>
      </c>
      <c r="U159" s="33">
        <f>100*(1-(1-S159*$M$155)^12)</f>
        <v>24.8129953699165</v>
      </c>
      <c r="V159" s="36">
        <f t="shared" ref="V159:V169" si="29">D159/S159</f>
        <v>1.9627296738225834E-2</v>
      </c>
      <c r="X159" s="37"/>
      <c r="Y159" s="34"/>
      <c r="Z159" s="34"/>
      <c r="AD159" s="34"/>
      <c r="AE159" s="34"/>
      <c r="AJ159" s="34"/>
    </row>
    <row r="160" spans="1:51" s="35" customFormat="1" x14ac:dyDescent="0.25">
      <c r="A160" s="14">
        <f t="shared" si="19"/>
        <v>58.907576396162703</v>
      </c>
      <c r="B160" s="32">
        <f t="shared" si="20"/>
        <v>2.0201799999999999E-4</v>
      </c>
      <c r="C160" s="33" t="str">
        <f t="shared" si="18"/>
        <v>11-2:55-60</v>
      </c>
      <c r="D160" s="34">
        <f t="shared" si="21"/>
        <v>0.160758348265996</v>
      </c>
      <c r="E160" s="34">
        <f t="shared" si="22"/>
        <v>1.7069382524408219E-2</v>
      </c>
      <c r="F160" s="32"/>
      <c r="G160" s="33">
        <f t="shared" si="23"/>
        <v>87.792004567409464</v>
      </c>
      <c r="H160" s="33">
        <f t="shared" si="23"/>
        <v>18.665582946220706</v>
      </c>
      <c r="I160" s="33">
        <f t="shared" si="24"/>
        <v>19.712266372784249</v>
      </c>
      <c r="K160" s="14">
        <f>VLOOKUP($C160,'Refi Adj'!$B$2:$E$39,2,0)</f>
        <v>1</v>
      </c>
      <c r="L160" s="14">
        <f>VLOOKUP($C160,'Refi Adj'!$B$2:$E$39,3,0)</f>
        <v>1</v>
      </c>
      <c r="M160" s="14">
        <f>VLOOKUP($C160,'Refi Adj'!$B$2:$E$39,4,0)</f>
        <v>1.1000000000000001</v>
      </c>
      <c r="O160" s="40">
        <f t="shared" si="25"/>
        <v>1.3363522113975441E-3</v>
      </c>
      <c r="P160" s="40">
        <f t="shared" si="26"/>
        <v>2.7598133836143301E-4</v>
      </c>
      <c r="Q160" s="40">
        <f t="shared" si="27"/>
        <v>1.3363522113975441E-3</v>
      </c>
      <c r="R160" s="14"/>
      <c r="S160" s="34">
        <f t="shared" ref="S160:S169" si="30">Z124+AA124+AB124*K160+AC124*L160+Q160*$M$154</f>
        <v>1.8062935786874453E-2</v>
      </c>
      <c r="T160" s="33">
        <f t="shared" si="28"/>
        <v>19.646677549226222</v>
      </c>
      <c r="U160" s="33">
        <f t="shared" ref="U160:U169" si="31">100*(1-(1-S160*$M$155)^12)</f>
        <v>22.267277941362629</v>
      </c>
      <c r="V160" s="36">
        <f t="shared" si="29"/>
        <v>8.8999014425336149</v>
      </c>
      <c r="X160" s="37"/>
      <c r="Y160" s="34"/>
      <c r="Z160" s="34"/>
      <c r="AC160" s="37"/>
      <c r="AD160" s="34"/>
      <c r="AE160" s="34"/>
      <c r="AJ160" s="34"/>
    </row>
    <row r="161" spans="1:36" s="35" customFormat="1" x14ac:dyDescent="0.25">
      <c r="A161" s="14">
        <f t="shared" si="19"/>
        <v>69.1700835808752</v>
      </c>
      <c r="B161" s="32">
        <f t="shared" si="20"/>
        <v>3.3511494E-4</v>
      </c>
      <c r="C161" s="33" t="str">
        <f t="shared" si="18"/>
        <v>11-4:65-70</v>
      </c>
      <c r="D161" s="34">
        <f t="shared" si="21"/>
        <v>5.3712912539413703E-7</v>
      </c>
      <c r="E161" s="34">
        <f t="shared" si="22"/>
        <v>2.0633533843176843E-2</v>
      </c>
      <c r="F161" s="32"/>
      <c r="G161" s="33">
        <f t="shared" si="23"/>
        <v>6.445530463028426E-4</v>
      </c>
      <c r="H161" s="33">
        <f t="shared" si="23"/>
        <v>22.134916341900524</v>
      </c>
      <c r="I161" s="33">
        <f t="shared" si="24"/>
        <v>44.912322535401337</v>
      </c>
      <c r="K161" s="14">
        <f>VLOOKUP($C161,'Refi Adj'!$B$2:$E$39,2,0)</f>
        <v>1</v>
      </c>
      <c r="L161" s="14">
        <f>VLOOKUP($C161,'Refi Adj'!$B$2:$E$39,3,0)</f>
        <v>1</v>
      </c>
      <c r="M161" s="14">
        <f>VLOOKUP($C161,'Refi Adj'!$B$2:$E$39,4,0)</f>
        <v>1.1000000000000001</v>
      </c>
      <c r="O161" s="40">
        <f t="shared" si="25"/>
        <v>4.3775236159374835E-2</v>
      </c>
      <c r="P161" s="40">
        <f t="shared" si="26"/>
        <v>1.59359652626355E-2</v>
      </c>
      <c r="Q161" s="40">
        <f t="shared" si="27"/>
        <v>4.3775236159374835E-2</v>
      </c>
      <c r="R161" s="14"/>
      <c r="S161" s="34">
        <f t="shared" si="30"/>
        <v>4.6284042931947433E-2</v>
      </c>
      <c r="T161" s="33">
        <f t="shared" si="28"/>
        <v>43.372343505271552</v>
      </c>
      <c r="U161" s="33">
        <f t="shared" si="31"/>
        <v>48.12569381256683</v>
      </c>
      <c r="V161" s="36">
        <f t="shared" si="29"/>
        <v>1.1605060650900597E-5</v>
      </c>
      <c r="X161" s="37"/>
      <c r="Y161" s="34"/>
      <c r="Z161" s="34"/>
      <c r="AC161" s="37"/>
      <c r="AD161" s="34"/>
      <c r="AE161" s="34"/>
      <c r="AJ161" s="34"/>
    </row>
    <row r="162" spans="1:36" s="35" customFormat="1" x14ac:dyDescent="0.25">
      <c r="A162" s="14">
        <f t="shared" si="19"/>
        <v>71.404483669810602</v>
      </c>
      <c r="B162" s="32">
        <f t="shared" si="20"/>
        <v>2.8652944000000002E-4</v>
      </c>
      <c r="C162" s="33" t="str">
        <f t="shared" si="18"/>
        <v>11:50-75</v>
      </c>
      <c r="D162" s="34">
        <f t="shared" si="21"/>
        <v>0.151095328982599</v>
      </c>
      <c r="E162" s="34">
        <f t="shared" si="22"/>
        <v>1.5635968334511446E-2</v>
      </c>
      <c r="F162" s="32"/>
      <c r="G162" s="33">
        <f t="shared" si="23"/>
        <v>85.994227134312069</v>
      </c>
      <c r="H162" s="33">
        <f t="shared" si="23"/>
        <v>17.23078502772325</v>
      </c>
      <c r="I162" s="33">
        <f t="shared" si="24"/>
        <v>18.61642207238393</v>
      </c>
      <c r="K162" s="14">
        <f>VLOOKUP($C162,'Refi Adj'!$B$2:$E$39,2,0)</f>
        <v>1</v>
      </c>
      <c r="L162" s="14">
        <f>VLOOKUP($C162,'Refi Adj'!$B$2:$E$39,3,0)</f>
        <v>1</v>
      </c>
      <c r="M162" s="14">
        <f>VLOOKUP($C162,'Refi Adj'!$B$2:$E$39,4,0)</f>
        <v>1.1000000000000001</v>
      </c>
      <c r="O162" s="40">
        <f t="shared" si="25"/>
        <v>1.7763390222916692E-3</v>
      </c>
      <c r="P162" s="40">
        <f t="shared" si="26"/>
        <v>3.9242042973699299E-4</v>
      </c>
      <c r="Q162" s="40">
        <f t="shared" si="27"/>
        <v>1.7763390222916692E-3</v>
      </c>
      <c r="R162" s="14"/>
      <c r="S162" s="34">
        <f t="shared" si="30"/>
        <v>1.6931069975951538E-2</v>
      </c>
      <c r="T162" s="33">
        <f t="shared" si="28"/>
        <v>18.528137465213945</v>
      </c>
      <c r="U162" s="33">
        <f t="shared" si="31"/>
        <v>21.018251027889569</v>
      </c>
      <c r="V162" s="36">
        <f t="shared" si="29"/>
        <v>8.9241453255589267</v>
      </c>
      <c r="X162" s="37"/>
      <c r="Y162" s="34"/>
      <c r="Z162" s="34"/>
      <c r="AC162" s="37"/>
      <c r="AD162" s="34"/>
      <c r="AE162" s="34"/>
      <c r="AH162" s="37"/>
      <c r="AI162" s="34"/>
      <c r="AJ162" s="34"/>
    </row>
    <row r="163" spans="1:36" x14ac:dyDescent="0.25">
      <c r="A163" s="4">
        <f t="shared" si="19"/>
        <v>92.546441968638007</v>
      </c>
      <c r="B163" s="3">
        <f t="shared" si="20"/>
        <v>5.2933101999999999E-3</v>
      </c>
      <c r="C163" s="2" t="str">
        <f t="shared" si="18"/>
        <v>12:75-100</v>
      </c>
      <c r="D163" s="8">
        <f t="shared" si="21"/>
        <v>0.117908248849628</v>
      </c>
      <c r="E163" s="8">
        <f t="shared" si="22"/>
        <v>1.4036838499986385E-2</v>
      </c>
      <c r="F163" s="3"/>
      <c r="G163" s="2">
        <f t="shared" si="23"/>
        <v>77.809600057455427</v>
      </c>
      <c r="H163" s="2">
        <f t="shared" si="23"/>
        <v>15.602756061103918</v>
      </c>
      <c r="I163" s="33">
        <f t="shared" si="24"/>
        <v>25.021190750072552</v>
      </c>
      <c r="K163" s="14">
        <f>VLOOKUP($C163,'Refi Adj'!$B$2:$E$39,2,0)</f>
        <v>1</v>
      </c>
      <c r="L163" s="14">
        <f>VLOOKUP($C163,'Refi Adj'!$B$2:$E$39,3,0)</f>
        <v>1</v>
      </c>
      <c r="M163" s="14">
        <f>VLOOKUP($C163,'Refi Adj'!$B$2:$E$39,4,0)</f>
        <v>1.02</v>
      </c>
      <c r="O163" s="40">
        <f t="shared" si="25"/>
        <v>1.333693148228139E-2</v>
      </c>
      <c r="P163" s="40">
        <f t="shared" si="26"/>
        <v>3.6623552549330399E-3</v>
      </c>
      <c r="Q163" s="40">
        <f t="shared" si="27"/>
        <v>1.333693148228139E-2</v>
      </c>
      <c r="R163" s="14"/>
      <c r="S163" s="34">
        <f t="shared" si="30"/>
        <v>2.3044568153220667E-2</v>
      </c>
      <c r="T163" s="2">
        <f t="shared" si="28"/>
        <v>24.404312190490785</v>
      </c>
      <c r="U163" s="33">
        <f t="shared" si="31"/>
        <v>27.5522736456427</v>
      </c>
      <c r="V163" s="7">
        <f t="shared" si="29"/>
        <v>5.1165310656146685</v>
      </c>
      <c r="X163" s="9"/>
      <c r="Y163" s="8"/>
      <c r="Z163" s="8"/>
      <c r="AC163" s="9"/>
      <c r="AD163" s="8"/>
      <c r="AE163" s="8"/>
      <c r="AH163" s="9"/>
      <c r="AI163" s="8"/>
      <c r="AJ163" s="8"/>
    </row>
    <row r="164" spans="1:36" x14ac:dyDescent="0.25">
      <c r="A164" s="4">
        <f t="shared" si="19"/>
        <v>116.48456760847201</v>
      </c>
      <c r="B164" s="3">
        <f t="shared" si="20"/>
        <v>4.5248837049999997E-2</v>
      </c>
      <c r="C164" s="2" t="str">
        <f t="shared" si="18"/>
        <v>13:100-125</v>
      </c>
      <c r="D164" s="8">
        <f t="shared" si="21"/>
        <v>7.04494788908228E-2</v>
      </c>
      <c r="E164" s="8">
        <f t="shared" si="22"/>
        <v>1.4965810430331478E-2</v>
      </c>
      <c r="F164" s="3"/>
      <c r="G164" s="2">
        <f t="shared" si="23"/>
        <v>58.382500396458781</v>
      </c>
      <c r="H164" s="2">
        <f t="shared" si="23"/>
        <v>16.552053044423896</v>
      </c>
      <c r="I164" s="33">
        <f t="shared" si="24"/>
        <v>30.164533154196004</v>
      </c>
      <c r="K164" s="14">
        <f>VLOOKUP($C164,'Refi Adj'!$B$2:$E$39,2,0)</f>
        <v>1</v>
      </c>
      <c r="L164" s="14">
        <f>VLOOKUP($C164,'Refi Adj'!$B$2:$E$39,3,0)</f>
        <v>1</v>
      </c>
      <c r="M164" s="14">
        <f>VLOOKUP($C164,'Refi Adj'!$B$2:$E$39,4,0)</f>
        <v>0.95</v>
      </c>
      <c r="O164" s="40">
        <f t="shared" si="25"/>
        <v>2.2281756452053318E-2</v>
      </c>
      <c r="P164" s="40">
        <f t="shared" si="26"/>
        <v>7.7716947995790497E-3</v>
      </c>
      <c r="Q164" s="40">
        <f t="shared" si="27"/>
        <v>2.2281756452053318E-2</v>
      </c>
      <c r="R164" s="14"/>
      <c r="S164" s="34">
        <f t="shared" si="30"/>
        <v>2.8361784260203079E-2</v>
      </c>
      <c r="T164" s="2">
        <f t="shared" si="28"/>
        <v>29.196446653564735</v>
      </c>
      <c r="U164" s="33">
        <f t="shared" si="31"/>
        <v>32.828271825708747</v>
      </c>
      <c r="V164" s="7">
        <f t="shared" si="29"/>
        <v>2.4839579288978895</v>
      </c>
      <c r="X164" s="9"/>
      <c r="Y164" s="8"/>
      <c r="Z164" s="8"/>
      <c r="AC164" s="9"/>
      <c r="AD164" s="8"/>
      <c r="AE164" s="8"/>
      <c r="AH164" s="9"/>
      <c r="AI164" s="8"/>
      <c r="AJ164" s="8"/>
    </row>
    <row r="165" spans="1:36" x14ac:dyDescent="0.25">
      <c r="A165" s="4">
        <f t="shared" si="19"/>
        <v>140.62959511809501</v>
      </c>
      <c r="B165" s="3">
        <f t="shared" si="20"/>
        <v>6.2016566882199999</v>
      </c>
      <c r="C165" s="2" t="str">
        <f t="shared" si="18"/>
        <v>14:125-150</v>
      </c>
      <c r="D165" s="8">
        <f t="shared" si="21"/>
        <v>4.6955763605430703E-2</v>
      </c>
      <c r="E165" s="8">
        <f t="shared" si="22"/>
        <v>2.0777814135509678E-2</v>
      </c>
      <c r="F165" s="3"/>
      <c r="G165" s="2">
        <f t="shared" si="23"/>
        <v>43.849101342837237</v>
      </c>
      <c r="H165" s="2">
        <f t="shared" si="23"/>
        <v>22.272457894793586</v>
      </c>
      <c r="I165" s="33">
        <f t="shared" si="24"/>
        <v>39.7944049992185</v>
      </c>
      <c r="K165" s="14">
        <f>VLOOKUP($C165,'Refi Adj'!$B$2:$E$39,2,0)</f>
        <v>1</v>
      </c>
      <c r="L165" s="14">
        <f>VLOOKUP($C165,'Refi Adj'!$B$2:$E$39,3,0)</f>
        <v>1</v>
      </c>
      <c r="M165" s="14">
        <f>VLOOKUP($C165,'Refi Adj'!$B$2:$E$39,4,0)</f>
        <v>0.92</v>
      </c>
      <c r="O165" s="40">
        <f t="shared" si="25"/>
        <v>3.6220752900960183E-2</v>
      </c>
      <c r="P165" s="40">
        <f t="shared" si="26"/>
        <v>1.55963150719982E-2</v>
      </c>
      <c r="Q165" s="40">
        <f t="shared" si="27"/>
        <v>3.6220752900960183E-2</v>
      </c>
      <c r="R165" s="14"/>
      <c r="S165" s="34">
        <f t="shared" si="30"/>
        <v>3.9591214319423654E-2</v>
      </c>
      <c r="T165" s="2">
        <f t="shared" si="28"/>
        <v>38.415206263857534</v>
      </c>
      <c r="U165" s="33">
        <f t="shared" si="31"/>
        <v>42.832663726750489</v>
      </c>
      <c r="V165" s="7">
        <f t="shared" si="29"/>
        <v>1.1860147361631685</v>
      </c>
      <c r="X165" s="9"/>
      <c r="Y165" s="8"/>
      <c r="Z165" s="8"/>
      <c r="AC165" s="9"/>
      <c r="AD165" s="8"/>
      <c r="AE165" s="8"/>
      <c r="AH165" s="9"/>
      <c r="AI165" s="8"/>
      <c r="AJ165" s="8"/>
    </row>
    <row r="166" spans="1:36" x14ac:dyDescent="0.25">
      <c r="A166" s="4">
        <f t="shared" si="19"/>
        <v>162.75349245071899</v>
      </c>
      <c r="B166" s="3">
        <f t="shared" si="20"/>
        <v>17.88127703256</v>
      </c>
      <c r="C166" s="2" t="str">
        <f t="shared" si="18"/>
        <v>15:150-175</v>
      </c>
      <c r="D166" s="8">
        <f t="shared" si="21"/>
        <v>4.5245580694309E-2</v>
      </c>
      <c r="E166" s="8">
        <f t="shared" si="22"/>
        <v>2.3568383364766108E-2</v>
      </c>
      <c r="F166" s="3"/>
      <c r="G166" s="2">
        <f t="shared" si="23"/>
        <v>42.627981813489178</v>
      </c>
      <c r="H166" s="2">
        <f t="shared" si="23"/>
        <v>24.889267049684825</v>
      </c>
      <c r="I166" s="33">
        <f t="shared" si="24"/>
        <v>38.960065420728753</v>
      </c>
      <c r="K166" s="14">
        <f>VLOOKUP($C166,'Refi Adj'!$B$2:$E$39,2,0)</f>
        <v>1</v>
      </c>
      <c r="L166" s="14">
        <f>VLOOKUP($C166,'Refi Adj'!$B$2:$E$39,3,0)</f>
        <v>1</v>
      </c>
      <c r="M166" s="14">
        <f>VLOOKUP($C166,'Refi Adj'!$B$2:$E$39,4,0)</f>
        <v>0.9</v>
      </c>
      <c r="O166" s="40">
        <f t="shared" si="25"/>
        <v>3.5218478034384666E-2</v>
      </c>
      <c r="P166" s="40">
        <f t="shared" si="26"/>
        <v>1.8484674047168002E-2</v>
      </c>
      <c r="Q166" s="40">
        <f t="shared" si="27"/>
        <v>3.5218478034384666E-2</v>
      </c>
      <c r="R166" s="14"/>
      <c r="S166" s="34">
        <f t="shared" si="30"/>
        <v>3.8541263450263541E-2</v>
      </c>
      <c r="T166" s="2">
        <f t="shared" si="28"/>
        <v>37.602412108782659</v>
      </c>
      <c r="U166" s="33">
        <f t="shared" si="31"/>
        <v>41.958772019976465</v>
      </c>
      <c r="V166" s="7">
        <f t="shared" si="29"/>
        <v>1.1739516726714785</v>
      </c>
      <c r="X166" s="9"/>
      <c r="Y166" s="8"/>
      <c r="Z166" s="8"/>
      <c r="AC166" s="9"/>
      <c r="AD166" s="8"/>
      <c r="AE166" s="8"/>
      <c r="AH166" s="9"/>
      <c r="AI166" s="8"/>
      <c r="AJ166" s="8"/>
    </row>
    <row r="167" spans="1:36" x14ac:dyDescent="0.25">
      <c r="A167" s="4">
        <f t="shared" si="19"/>
        <v>184.14327691484399</v>
      </c>
      <c r="B167" s="3">
        <f t="shared" si="20"/>
        <v>8.4012439402699997</v>
      </c>
      <c r="C167" s="2" t="str">
        <f t="shared" si="18"/>
        <v>16:175-200</v>
      </c>
      <c r="D167" s="8">
        <f t="shared" si="21"/>
        <v>4.2693419309122398E-2</v>
      </c>
      <c r="E167" s="8">
        <f t="shared" si="22"/>
        <v>2.7574218167310774E-2</v>
      </c>
      <c r="F167" s="3"/>
      <c r="G167" s="2">
        <f t="shared" si="23"/>
        <v>40.760343437696775</v>
      </c>
      <c r="H167" s="2">
        <f t="shared" si="23"/>
        <v>28.50468617895563</v>
      </c>
      <c r="I167" s="33">
        <f t="shared" si="24"/>
        <v>38.48051899976722</v>
      </c>
      <c r="K167" s="14">
        <f>VLOOKUP($C167,'Refi Adj'!$B$2:$E$39,2,0)</f>
        <v>1</v>
      </c>
      <c r="L167" s="14">
        <f>VLOOKUP($C167,'Refi Adj'!$B$2:$E$39,3,0)</f>
        <v>1</v>
      </c>
      <c r="M167" s="14">
        <f>VLOOKUP($C167,'Refi Adj'!$B$2:$E$39,4,0)</f>
        <v>0.9</v>
      </c>
      <c r="O167" s="40">
        <f t="shared" si="25"/>
        <v>3.4573762254528725E-2</v>
      </c>
      <c r="P167" s="40">
        <f t="shared" si="26"/>
        <v>2.2471846010375399E-2</v>
      </c>
      <c r="Q167" s="40">
        <f t="shared" si="27"/>
        <v>3.4573762254528725E-2</v>
      </c>
      <c r="R167" s="14"/>
      <c r="S167" s="34">
        <f t="shared" si="30"/>
        <v>3.7947446298737662E-2</v>
      </c>
      <c r="T167" s="2">
        <f t="shared" si="28"/>
        <v>37.138381180722121</v>
      </c>
      <c r="U167" s="33">
        <f t="shared" si="31"/>
        <v>41.459123554270484</v>
      </c>
      <c r="V167" s="7">
        <f t="shared" si="29"/>
        <v>1.1250669932575308</v>
      </c>
      <c r="X167" s="9"/>
      <c r="Y167" s="8"/>
      <c r="Z167" s="8"/>
      <c r="AC167" s="9"/>
      <c r="AD167" s="8"/>
      <c r="AE167" s="8"/>
      <c r="AH167" s="9"/>
      <c r="AI167" s="8"/>
      <c r="AJ167" s="8"/>
    </row>
    <row r="168" spans="1:36" x14ac:dyDescent="0.25">
      <c r="A168" s="4">
        <f t="shared" si="19"/>
        <v>208.438939601453</v>
      </c>
      <c r="B168" s="3">
        <f t="shared" si="20"/>
        <v>1.2096951170299999</v>
      </c>
      <c r="C168" s="2" t="str">
        <f t="shared" si="18"/>
        <v>17:200-225</v>
      </c>
      <c r="D168" s="8">
        <f t="shared" si="21"/>
        <v>4.1930032814298801E-2</v>
      </c>
      <c r="E168" s="8">
        <f t="shared" si="22"/>
        <v>2.9363322646824667E-2</v>
      </c>
      <c r="F168" s="3"/>
      <c r="G168" s="2">
        <f t="shared" si="23"/>
        <v>40.190975703625178</v>
      </c>
      <c r="H168" s="2">
        <f t="shared" si="23"/>
        <v>30.067287255447905</v>
      </c>
      <c r="I168" s="33">
        <f t="shared" si="24"/>
        <v>38.004094300941482</v>
      </c>
      <c r="K168" s="14">
        <f>VLOOKUP($C168,'Refi Adj'!$B$2:$E$39,2,0)</f>
        <v>1</v>
      </c>
      <c r="L168" s="14">
        <f>VLOOKUP($C168,'Refi Adj'!$B$2:$E$39,3,0)</f>
        <v>1</v>
      </c>
      <c r="M168" s="14">
        <f>VLOOKUP($C168,'Refi Adj'!$B$2:$E$39,4,0)</f>
        <v>0.9</v>
      </c>
      <c r="O168" s="40">
        <f t="shared" si="25"/>
        <v>3.3787647954368373E-2</v>
      </c>
      <c r="P168" s="40">
        <f t="shared" si="26"/>
        <v>2.40923994286905E-2</v>
      </c>
      <c r="Q168" s="40">
        <f t="shared" si="27"/>
        <v>3.3787647954368373E-2</v>
      </c>
      <c r="R168" s="14"/>
      <c r="S168" s="34">
        <f t="shared" si="30"/>
        <v>3.7369188774784123E-2</v>
      </c>
      <c r="T168" s="2">
        <f t="shared" si="28"/>
        <v>36.683471137969818</v>
      </c>
      <c r="U168" s="33">
        <f t="shared" si="31"/>
        <v>40.968781012152547</v>
      </c>
      <c r="V168" s="7">
        <f t="shared" si="29"/>
        <v>1.1220482485451284</v>
      </c>
      <c r="X168" s="9"/>
      <c r="Y168" s="8"/>
      <c r="Z168" s="8"/>
      <c r="AC168" s="9"/>
      <c r="AD168" s="8"/>
      <c r="AE168" s="8"/>
      <c r="AH168" s="9"/>
      <c r="AI168" s="8"/>
      <c r="AJ168" s="8"/>
    </row>
    <row r="169" spans="1:36" x14ac:dyDescent="0.25">
      <c r="A169" s="4">
        <f t="shared" si="19"/>
        <v>233.92580867514101</v>
      </c>
      <c r="B169" s="3">
        <f t="shared" si="20"/>
        <v>0.17645267815999999</v>
      </c>
      <c r="C169" s="2" t="str">
        <f t="shared" si="18"/>
        <v>18:225-250</v>
      </c>
      <c r="D169" s="8">
        <f t="shared" si="21"/>
        <v>4.1101275810127298E-2</v>
      </c>
      <c r="E169" s="8">
        <f t="shared" si="22"/>
        <v>3.0379848544687005E-2</v>
      </c>
      <c r="F169" s="3"/>
      <c r="G169" s="2">
        <f t="shared" si="23"/>
        <v>39.567175930547471</v>
      </c>
      <c r="H169" s="2">
        <f t="shared" si="23"/>
        <v>30.941110018081076</v>
      </c>
      <c r="I169" s="33">
        <f t="shared" si="24"/>
        <v>40.195999989012755</v>
      </c>
      <c r="K169" s="14">
        <f>VLOOKUP($C169,'Refi Adj'!$B$2:$E$39,2,0)</f>
        <v>1</v>
      </c>
      <c r="L169" s="14">
        <f>VLOOKUP($C169,'Refi Adj'!$B$2:$E$39,3,0)</f>
        <v>1</v>
      </c>
      <c r="M169" s="14">
        <f>VLOOKUP($C169,'Refi Adj'!$B$2:$E$39,4,0)</f>
        <v>0.9</v>
      </c>
      <c r="O169" s="40">
        <f t="shared" si="25"/>
        <v>3.6753931092653826E-2</v>
      </c>
      <c r="P169" s="40">
        <f t="shared" si="26"/>
        <v>2.5197039638048702E-2</v>
      </c>
      <c r="Q169" s="40">
        <f t="shared" si="27"/>
        <v>3.6753931092653826E-2</v>
      </c>
      <c r="R169" s="14"/>
      <c r="S169" s="34">
        <f t="shared" si="30"/>
        <v>4.0099043444659435E-2</v>
      </c>
      <c r="T169" s="2">
        <f t="shared" si="28"/>
        <v>38.804837344484568</v>
      </c>
      <c r="U169" s="33">
        <f t="shared" si="31"/>
        <v>43.250995966788949</v>
      </c>
      <c r="V169" s="7">
        <f t="shared" si="29"/>
        <v>1.0249939220333533</v>
      </c>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33"/>
      <c r="V170" s="7"/>
      <c r="X170" s="9"/>
      <c r="Y170" s="8"/>
      <c r="Z170" s="8"/>
      <c r="AC170" s="9"/>
      <c r="AD170" s="8"/>
      <c r="AE170" s="8"/>
      <c r="AH170" s="9"/>
      <c r="AI170" s="8"/>
      <c r="AJ170" s="8"/>
    </row>
    <row r="171" spans="1:36" x14ac:dyDescent="0.25">
      <c r="A171" s="4"/>
      <c r="B171" s="3"/>
      <c r="C171" s="2"/>
      <c r="D171" s="8"/>
      <c r="E171" s="8"/>
      <c r="F171" s="3"/>
      <c r="G171" s="2"/>
      <c r="H171" s="2"/>
      <c r="I171" s="33"/>
      <c r="K171" s="14"/>
      <c r="L171" s="14"/>
      <c r="M171" s="14"/>
      <c r="O171" s="40"/>
      <c r="P171" s="40"/>
      <c r="Q171" s="40"/>
      <c r="R171" s="14"/>
      <c r="S171" s="34"/>
      <c r="T171" s="2"/>
      <c r="U171" s="33"/>
      <c r="V171" s="7"/>
      <c r="X171" s="9"/>
      <c r="Y171" s="8"/>
      <c r="Z171" s="8"/>
      <c r="AC171" s="9"/>
      <c r="AD171" s="8"/>
      <c r="AE171" s="8"/>
      <c r="AH171" s="9"/>
      <c r="AI171" s="8"/>
      <c r="AJ171" s="8"/>
    </row>
    <row r="172" spans="1:36" x14ac:dyDescent="0.25">
      <c r="A172" s="4"/>
      <c r="B172" s="3"/>
      <c r="C172" s="2"/>
      <c r="D172" s="8"/>
      <c r="E172" s="8"/>
      <c r="F172" s="3"/>
      <c r="G172" s="2"/>
      <c r="H172" s="2"/>
      <c r="I172" s="33"/>
      <c r="K172" s="14"/>
      <c r="L172" s="14"/>
      <c r="M172" s="14"/>
      <c r="O172" s="40"/>
      <c r="P172" s="40"/>
      <c r="Q172" s="40"/>
      <c r="R172" s="14"/>
      <c r="S172" s="34"/>
      <c r="T172" s="2"/>
      <c r="U172" s="33"/>
      <c r="V172" s="7"/>
      <c r="X172" s="9"/>
      <c r="Y172" s="8"/>
      <c r="Z172" s="8"/>
      <c r="AC172" s="9"/>
      <c r="AD172" s="8"/>
      <c r="AE172" s="8"/>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33"/>
      <c r="V173" s="7"/>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33"/>
      <c r="V174" s="7"/>
      <c r="W174"/>
      <c r="X174" s="9"/>
      <c r="Y174" s="8"/>
      <c r="Z174" s="8"/>
      <c r="AA174"/>
      <c r="AB174"/>
      <c r="AC174" s="9"/>
      <c r="AD174" s="8"/>
      <c r="AE174" s="8"/>
      <c r="AF174"/>
      <c r="AG174"/>
      <c r="AH174" s="9"/>
      <c r="AI174" s="8"/>
      <c r="AJ174" s="8"/>
    </row>
    <row r="175" spans="1:36" s="24" customFormat="1" x14ac:dyDescent="0.25">
      <c r="A175" s="4"/>
      <c r="B175" s="3"/>
      <c r="C175" s="2"/>
      <c r="D175" s="8"/>
      <c r="E175" s="8"/>
      <c r="F175" s="3"/>
      <c r="G175" s="2"/>
      <c r="H175" s="2"/>
      <c r="I175" s="33"/>
      <c r="J175"/>
      <c r="K175" s="14"/>
      <c r="L175" s="14"/>
      <c r="M175" s="14"/>
      <c r="O175" s="40"/>
      <c r="P175" s="40"/>
      <c r="Q175" s="40"/>
      <c r="R175" s="14"/>
      <c r="S175" s="34"/>
      <c r="T175" s="2"/>
      <c r="U175" s="33"/>
      <c r="V175" s="7"/>
      <c r="W175"/>
      <c r="X175" s="9"/>
      <c r="Y175" s="8"/>
      <c r="Z175" s="8"/>
      <c r="AA175"/>
      <c r="AB175"/>
      <c r="AC175" s="9"/>
      <c r="AD175" s="8"/>
      <c r="AE175" s="8"/>
      <c r="AF175"/>
      <c r="AG175"/>
      <c r="AH175" s="9"/>
      <c r="AI175" s="8"/>
      <c r="AJ175" s="8"/>
    </row>
    <row r="176" spans="1:36" s="24" customFormat="1" x14ac:dyDescent="0.25">
      <c r="A176" s="4"/>
      <c r="B176" s="3"/>
      <c r="C176" s="2"/>
      <c r="D176" s="8"/>
      <c r="E176" s="8"/>
      <c r="F176" s="3"/>
      <c r="G176" s="2"/>
      <c r="H176" s="2"/>
      <c r="I176" s="33"/>
      <c r="J176"/>
      <c r="K176" s="14"/>
      <c r="L176" s="14"/>
      <c r="M176" s="14"/>
      <c r="O176" s="40"/>
      <c r="P176" s="40"/>
      <c r="Q176" s="40"/>
      <c r="R176" s="14"/>
      <c r="S176" s="34"/>
      <c r="T176" s="2"/>
      <c r="U176" s="33"/>
      <c r="V176" s="7"/>
      <c r="W176"/>
      <c r="X176" s="9"/>
      <c r="Y176" s="8"/>
      <c r="Z176" s="8"/>
      <c r="AA176"/>
      <c r="AB176"/>
      <c r="AC176" s="9"/>
      <c r="AD176" s="8"/>
      <c r="AE176" s="8"/>
      <c r="AF176"/>
      <c r="AG176"/>
      <c r="AH176" s="9"/>
      <c r="AI176" s="8"/>
      <c r="AJ176" s="8"/>
    </row>
    <row r="177" spans="1:51" x14ac:dyDescent="0.25">
      <c r="A177" s="4"/>
      <c r="B177" s="3"/>
      <c r="C177" s="2"/>
      <c r="D177" s="8"/>
      <c r="E177" s="8"/>
      <c r="F177" s="3"/>
      <c r="G177" s="2"/>
      <c r="H177" s="2"/>
      <c r="I177" s="33"/>
      <c r="K177" s="14"/>
      <c r="L177" s="14"/>
      <c r="M177" s="14"/>
      <c r="O177" s="40"/>
      <c r="P177" s="40"/>
      <c r="Q177" s="40"/>
      <c r="R177" s="14"/>
      <c r="S177" s="34"/>
      <c r="T177" s="2"/>
      <c r="U177" s="33"/>
      <c r="V177" s="7"/>
      <c r="X177" s="9"/>
      <c r="Y177" s="8"/>
      <c r="Z177" s="8"/>
      <c r="AC177" s="9"/>
      <c r="AD177" s="8"/>
      <c r="AE177" s="8"/>
      <c r="AH177" s="9"/>
      <c r="AI177" s="8"/>
      <c r="AJ177" s="8"/>
    </row>
    <row r="178" spans="1:51" x14ac:dyDescent="0.25">
      <c r="A178" s="4"/>
      <c r="B178" s="3"/>
      <c r="C178" s="2"/>
      <c r="D178" s="8"/>
      <c r="E178" s="8"/>
      <c r="F178" s="3"/>
      <c r="G178" s="2"/>
      <c r="H178" s="2"/>
      <c r="I178" s="33"/>
      <c r="K178" s="14"/>
      <c r="L178" s="14"/>
      <c r="M178" s="14"/>
      <c r="O178" s="40"/>
      <c r="P178" s="40"/>
      <c r="Q178" s="40"/>
      <c r="R178" s="14"/>
      <c r="S178" s="34"/>
      <c r="T178" s="2"/>
      <c r="U178" s="33"/>
      <c r="V178" s="7"/>
      <c r="X178" s="9"/>
      <c r="Y178" s="8"/>
      <c r="Z178" s="8"/>
      <c r="AC178" s="9"/>
      <c r="AD178" s="8"/>
      <c r="AE178" s="8"/>
      <c r="AH178" s="9"/>
      <c r="AI178" s="8"/>
      <c r="AJ178" s="8"/>
    </row>
    <row r="179" spans="1:51" x14ac:dyDescent="0.25">
      <c r="A179" s="4"/>
      <c r="B179" s="3"/>
      <c r="C179" s="2"/>
      <c r="D179" s="8"/>
      <c r="E179" s="8"/>
      <c r="F179" s="3"/>
      <c r="G179" s="2"/>
      <c r="H179" s="2"/>
      <c r="I179" s="33"/>
      <c r="K179" s="14"/>
      <c r="L179" s="14"/>
      <c r="M179" s="14"/>
      <c r="O179" s="40"/>
      <c r="P179" s="40"/>
      <c r="Q179" s="40"/>
      <c r="R179" s="14"/>
      <c r="S179" s="34"/>
      <c r="T179" s="2"/>
      <c r="U179" s="33"/>
      <c r="V179" s="7"/>
      <c r="X179" s="9"/>
      <c r="Y179" s="8"/>
      <c r="Z179" s="8"/>
      <c r="AC179" s="9"/>
      <c r="AD179" s="8"/>
      <c r="AE179" s="8"/>
      <c r="AH179" s="9"/>
      <c r="AI179" s="8"/>
      <c r="AJ179" s="8"/>
    </row>
    <row r="180" spans="1:51" x14ac:dyDescent="0.25">
      <c r="A180" s="4"/>
      <c r="B180" s="3"/>
      <c r="C180" s="2"/>
      <c r="D180" s="8"/>
      <c r="E180" s="8"/>
      <c r="F180" s="3"/>
      <c r="G180" s="2"/>
      <c r="H180" s="2"/>
      <c r="I180" s="33"/>
      <c r="K180" s="14"/>
      <c r="L180" s="14"/>
      <c r="M180" s="14"/>
      <c r="O180" s="40"/>
      <c r="P180" s="40"/>
      <c r="Q180" s="40"/>
      <c r="R180" s="14"/>
      <c r="S180" s="34"/>
      <c r="T180" s="2"/>
      <c r="U180" s="33"/>
      <c r="V180" s="7"/>
      <c r="X180" s="9"/>
      <c r="Y180" s="8"/>
      <c r="Z180" s="8"/>
      <c r="AC180" s="9"/>
      <c r="AD180" s="8"/>
      <c r="AE180" s="8"/>
      <c r="AH180" s="9"/>
      <c r="AI180" s="8"/>
      <c r="AJ180" s="8"/>
      <c r="AK180" s="4"/>
      <c r="AL180" s="4"/>
      <c r="AM180" s="4"/>
      <c r="AN180" s="4"/>
      <c r="AO180" s="4"/>
      <c r="AP180" s="4"/>
      <c r="AQ180" s="6"/>
      <c r="AR180" s="4"/>
      <c r="AS180" s="15"/>
      <c r="AT180" s="15"/>
      <c r="AU180" s="15"/>
      <c r="AV180" s="15"/>
      <c r="AW180" s="15"/>
      <c r="AX180" s="15"/>
    </row>
    <row r="181" spans="1:51" s="41" customFormat="1" x14ac:dyDescent="0.25"/>
    <row r="182" spans="1:51" x14ac:dyDescent="0.25">
      <c r="A182" t="s">
        <v>181</v>
      </c>
      <c r="C182" t="s">
        <v>188</v>
      </c>
      <c r="F182" t="s">
        <v>166</v>
      </c>
      <c r="AS182" s="17" t="s">
        <v>88</v>
      </c>
      <c r="AT182" s="17" t="s">
        <v>89</v>
      </c>
      <c r="AU182" s="17"/>
      <c r="AV182" s="17"/>
      <c r="AW182" s="17" t="s">
        <v>90</v>
      </c>
      <c r="AX182" s="17"/>
    </row>
    <row r="183" spans="1:51" x14ac:dyDescent="0.25">
      <c r="A183" t="s">
        <v>20</v>
      </c>
      <c r="B183" t="s">
        <v>21</v>
      </c>
      <c r="C183" t="s">
        <v>22</v>
      </c>
      <c r="D183" t="s">
        <v>23</v>
      </c>
      <c r="E183" t="s">
        <v>94</v>
      </c>
      <c r="F183" t="s">
        <v>95</v>
      </c>
      <c r="G183" t="s">
        <v>24</v>
      </c>
      <c r="H183" t="s">
        <v>25</v>
      </c>
      <c r="I183" t="s">
        <v>26</v>
      </c>
      <c r="J183" t="s">
        <v>27</v>
      </c>
      <c r="K183" t="s">
        <v>28</v>
      </c>
      <c r="L183" t="s">
        <v>29</v>
      </c>
      <c r="M183" t="s">
        <v>30</v>
      </c>
      <c r="N183" t="s">
        <v>31</v>
      </c>
      <c r="O183" t="s">
        <v>32</v>
      </c>
      <c r="P183" t="s">
        <v>33</v>
      </c>
      <c r="Q183" t="s">
        <v>34</v>
      </c>
      <c r="R183" t="s">
        <v>35</v>
      </c>
      <c r="S183" t="s">
        <v>36</v>
      </c>
      <c r="T183" t="s">
        <v>37</v>
      </c>
      <c r="U183" t="s">
        <v>38</v>
      </c>
      <c r="V183" t="s">
        <v>39</v>
      </c>
      <c r="W183" t="s">
        <v>40</v>
      </c>
      <c r="X183" t="s">
        <v>41</v>
      </c>
      <c r="Y183" t="s">
        <v>42</v>
      </c>
      <c r="Z183" t="s">
        <v>43</v>
      </c>
      <c r="AA183" t="s">
        <v>44</v>
      </c>
      <c r="AB183" s="1" t="s">
        <v>45</v>
      </c>
      <c r="AC183" s="1" t="s">
        <v>46</v>
      </c>
      <c r="AD183" s="1" t="s">
        <v>47</v>
      </c>
      <c r="AE183" t="s">
        <v>48</v>
      </c>
      <c r="AF183" t="s">
        <v>49</v>
      </c>
      <c r="AG183" t="s">
        <v>50</v>
      </c>
      <c r="AH183" t="s">
        <v>51</v>
      </c>
      <c r="AI183" t="s">
        <v>52</v>
      </c>
      <c r="AJ183" t="s">
        <v>53</v>
      </c>
      <c r="AK183" t="s">
        <v>54</v>
      </c>
      <c r="AL183" t="s">
        <v>55</v>
      </c>
      <c r="AM183" t="s">
        <v>56</v>
      </c>
      <c r="AN183" t="s">
        <v>57</v>
      </c>
      <c r="AO183" t="s">
        <v>58</v>
      </c>
      <c r="AP183" t="s">
        <v>59</v>
      </c>
      <c r="AQ183" t="s">
        <v>60</v>
      </c>
      <c r="AR183" t="s">
        <v>61</v>
      </c>
      <c r="AS183" s="19" t="s">
        <v>116</v>
      </c>
      <c r="AT183" s="19" t="s">
        <v>117</v>
      </c>
      <c r="AU183" s="17" t="s">
        <v>118</v>
      </c>
      <c r="AV183" s="17" t="s">
        <v>119</v>
      </c>
      <c r="AW183" s="19" t="s">
        <v>120</v>
      </c>
      <c r="AX183" s="17" t="s">
        <v>121</v>
      </c>
      <c r="AY183" t="s">
        <v>171</v>
      </c>
    </row>
    <row r="184" spans="1:51" x14ac:dyDescent="0.25">
      <c r="A184">
        <v>97</v>
      </c>
      <c r="B184" s="4">
        <v>0.98588940999999997</v>
      </c>
      <c r="C184" s="4">
        <v>0.25996866775399502</v>
      </c>
      <c r="D184" s="4">
        <v>15.678481363312599</v>
      </c>
      <c r="E184" s="4">
        <v>2.1689911822958099E-4</v>
      </c>
      <c r="F184" s="5">
        <v>1.4110589999999999E-2</v>
      </c>
      <c r="G184" s="5">
        <v>0</v>
      </c>
      <c r="H184" s="4">
        <v>5.625</v>
      </c>
      <c r="I184" s="4">
        <v>4.1184729999999998</v>
      </c>
      <c r="J184" s="4">
        <v>41.955300000000001</v>
      </c>
      <c r="K184" s="4">
        <v>123.72</v>
      </c>
      <c r="L184" s="4">
        <v>19.579999999999998</v>
      </c>
      <c r="M184" s="4">
        <v>32</v>
      </c>
      <c r="N184" s="4">
        <v>81</v>
      </c>
      <c r="O184" s="4">
        <v>79.67</v>
      </c>
      <c r="P184" s="4">
        <v>203965.79</v>
      </c>
      <c r="Q184" s="4">
        <v>203965.79</v>
      </c>
      <c r="R184" s="4">
        <v>797</v>
      </c>
      <c r="S184" s="4">
        <v>0</v>
      </c>
      <c r="T184" s="4">
        <v>0</v>
      </c>
      <c r="U184" s="4">
        <v>1</v>
      </c>
      <c r="V184" s="4">
        <v>1</v>
      </c>
      <c r="W184" s="4">
        <v>0</v>
      </c>
      <c r="X184" s="4">
        <v>1</v>
      </c>
      <c r="Y184" s="4">
        <v>0</v>
      </c>
      <c r="Z184" s="5">
        <v>4.0004999999999999E-4</v>
      </c>
      <c r="AA184" s="5">
        <v>6.3369000000000001E-4</v>
      </c>
      <c r="AB184" s="10">
        <v>4.75626E-3</v>
      </c>
      <c r="AC184" s="10">
        <v>0</v>
      </c>
      <c r="AD184" s="10">
        <v>8.3205799999999993E-3</v>
      </c>
      <c r="AE184" s="4">
        <v>-2.6144855169694399E-2</v>
      </c>
      <c r="AF184" s="4">
        <v>1</v>
      </c>
      <c r="AG184" s="4">
        <v>1</v>
      </c>
      <c r="AH184" s="4">
        <v>1</v>
      </c>
      <c r="AI184" s="4">
        <v>1</v>
      </c>
      <c r="AJ184" s="4">
        <v>1</v>
      </c>
      <c r="AK184" s="4">
        <v>1</v>
      </c>
      <c r="AL184" s="4">
        <v>1</v>
      </c>
      <c r="AM184" s="4">
        <v>0</v>
      </c>
      <c r="AN184" s="4">
        <v>0</v>
      </c>
      <c r="AO184" s="4" t="s">
        <v>76</v>
      </c>
      <c r="AP184" s="4" t="s">
        <v>77</v>
      </c>
      <c r="AQ184" s="6">
        <v>203965.79</v>
      </c>
      <c r="AR184" s="4">
        <v>1</v>
      </c>
      <c r="AS184" s="15">
        <v>0</v>
      </c>
      <c r="AT184" s="15">
        <v>0</v>
      </c>
      <c r="AU184" s="15">
        <v>0</v>
      </c>
      <c r="AV184" s="15">
        <v>100</v>
      </c>
      <c r="AW184" s="15">
        <v>0</v>
      </c>
      <c r="AX184" s="15">
        <v>100</v>
      </c>
      <c r="AY184" s="31">
        <v>4046.03</v>
      </c>
    </row>
    <row r="185" spans="1:51" x14ac:dyDescent="0.25">
      <c r="A185">
        <v>97</v>
      </c>
      <c r="B185" s="4">
        <v>0.98363403128357096</v>
      </c>
      <c r="C185" s="4">
        <v>9.7676491272868898E-2</v>
      </c>
      <c r="D185" s="4">
        <v>17.964363891148999</v>
      </c>
      <c r="E185" s="4">
        <v>8.1433538979209196E-5</v>
      </c>
      <c r="F185" s="5">
        <v>1.6365968716428401E-2</v>
      </c>
      <c r="G185" s="5">
        <v>0</v>
      </c>
      <c r="H185" s="4">
        <v>5.3332266072016301</v>
      </c>
      <c r="I185" s="4">
        <v>3.85944751209973</v>
      </c>
      <c r="J185" s="4">
        <v>14.9356273575216</v>
      </c>
      <c r="K185" s="4">
        <v>143.18438874849201</v>
      </c>
      <c r="L185" s="4">
        <v>20.8876955126157</v>
      </c>
      <c r="M185" s="4">
        <v>35.273653044310898</v>
      </c>
      <c r="N185" s="4">
        <v>82.971693823478205</v>
      </c>
      <c r="O185" s="4">
        <v>69.073875771892304</v>
      </c>
      <c r="P185" s="4">
        <v>228598.572338011</v>
      </c>
      <c r="Q185" s="4">
        <v>190633.776666666</v>
      </c>
      <c r="R185" s="4">
        <v>767.52070149933002</v>
      </c>
      <c r="S185" s="4">
        <v>0</v>
      </c>
      <c r="T185" s="4">
        <v>0</v>
      </c>
      <c r="U185" s="4">
        <v>0.35609693371407197</v>
      </c>
      <c r="V185" s="4">
        <v>1</v>
      </c>
      <c r="W185" s="4">
        <v>0</v>
      </c>
      <c r="X185" s="4">
        <v>0.85916472689441004</v>
      </c>
      <c r="Y185" s="4">
        <v>0</v>
      </c>
      <c r="Z185" s="5">
        <v>6.4207751410894597E-4</v>
      </c>
      <c r="AA185" s="5">
        <v>9.1046391400715905E-4</v>
      </c>
      <c r="AB185" s="10">
        <v>4.9653036045654896E-3</v>
      </c>
      <c r="AC185" s="10">
        <v>0</v>
      </c>
      <c r="AD185" s="10">
        <v>9.8481101227774707E-3</v>
      </c>
      <c r="AE185" s="4">
        <v>3.9834324168055303E-2</v>
      </c>
      <c r="AF185" s="4">
        <v>0.35609693371407197</v>
      </c>
      <c r="AG185" s="4">
        <v>1</v>
      </c>
      <c r="AH185" s="4">
        <v>1</v>
      </c>
      <c r="AI185" s="4">
        <v>1</v>
      </c>
      <c r="AJ185" s="4">
        <v>1</v>
      </c>
      <c r="AK185" s="4">
        <v>1</v>
      </c>
      <c r="AL185" s="4">
        <v>1</v>
      </c>
      <c r="AM185" s="4">
        <v>0</v>
      </c>
      <c r="AN185" s="4">
        <v>0</v>
      </c>
      <c r="AO185" s="4" t="s">
        <v>78</v>
      </c>
      <c r="AP185" s="4" t="s">
        <v>79</v>
      </c>
      <c r="AQ185" s="6">
        <v>571901.32999999996</v>
      </c>
      <c r="AR185" s="4">
        <v>3</v>
      </c>
      <c r="AS185" s="15">
        <v>0</v>
      </c>
      <c r="AT185" s="15">
        <v>0</v>
      </c>
      <c r="AU185" s="15">
        <v>0</v>
      </c>
      <c r="AV185" s="15">
        <v>100</v>
      </c>
      <c r="AW185" s="15">
        <v>0</v>
      </c>
      <c r="AX185" s="15">
        <v>100</v>
      </c>
      <c r="AY185" s="31">
        <v>4179.9341366450299</v>
      </c>
    </row>
    <row r="186" spans="1:51" x14ac:dyDescent="0.25">
      <c r="A186">
        <v>97</v>
      </c>
      <c r="B186" s="4">
        <v>0.98200849281741598</v>
      </c>
      <c r="C186" s="4">
        <v>0.83912147166706996</v>
      </c>
      <c r="D186" s="4">
        <v>19.576508214777999</v>
      </c>
      <c r="E186" s="4">
        <v>7.0197176541541802E-4</v>
      </c>
      <c r="F186" s="5">
        <v>1.7991507182583601E-2</v>
      </c>
      <c r="G186" s="5">
        <v>0</v>
      </c>
      <c r="H186" s="4">
        <v>5.5290643181405796</v>
      </c>
      <c r="I186" s="4">
        <v>3.8203273667292299</v>
      </c>
      <c r="J186" s="4">
        <v>37.809067748989399</v>
      </c>
      <c r="K186" s="4">
        <v>167.424100974731</v>
      </c>
      <c r="L186" s="4">
        <v>21.723970975353499</v>
      </c>
      <c r="M186" s="4">
        <v>35.956471273237099</v>
      </c>
      <c r="N186" s="4">
        <v>81.3752696222776</v>
      </c>
      <c r="O186" s="4">
        <v>69.048186588647894</v>
      </c>
      <c r="P186" s="4">
        <v>203910.57442921799</v>
      </c>
      <c r="Q186" s="4">
        <v>183490.26250000001</v>
      </c>
      <c r="R186" s="4">
        <v>780.08983393601</v>
      </c>
      <c r="S186" s="4">
        <v>0</v>
      </c>
      <c r="T186" s="4">
        <v>0</v>
      </c>
      <c r="U186" s="4">
        <v>0.165962894080006</v>
      </c>
      <c r="V186" s="4">
        <v>1</v>
      </c>
      <c r="W186" s="4">
        <v>0</v>
      </c>
      <c r="X186" s="4">
        <v>0.62905495053177496</v>
      </c>
      <c r="Y186" s="4">
        <v>0</v>
      </c>
      <c r="Z186" s="5">
        <v>7.3112716142067699E-4</v>
      </c>
      <c r="AA186" s="5">
        <v>1.1075778164144801E-3</v>
      </c>
      <c r="AB186" s="10">
        <v>4.7054246352359703E-3</v>
      </c>
      <c r="AC186" s="10">
        <v>7.5224269732297096E-5</v>
      </c>
      <c r="AD186" s="10">
        <v>1.1372137576484E-2</v>
      </c>
      <c r="AE186" s="4">
        <v>1.40005298739415E-2</v>
      </c>
      <c r="AF186" s="4">
        <v>0.84806452059002302</v>
      </c>
      <c r="AG186" s="4">
        <v>0.92657536799807005</v>
      </c>
      <c r="AH186" s="4">
        <v>1</v>
      </c>
      <c r="AI186" s="4">
        <v>1</v>
      </c>
      <c r="AJ186" s="4">
        <v>1</v>
      </c>
      <c r="AK186" s="4">
        <v>1</v>
      </c>
      <c r="AL186" s="4">
        <v>1</v>
      </c>
      <c r="AM186" s="4">
        <v>0</v>
      </c>
      <c r="AN186" s="4">
        <v>0</v>
      </c>
      <c r="AO186" s="4" t="s">
        <v>80</v>
      </c>
      <c r="AP186" s="4" t="s">
        <v>81</v>
      </c>
      <c r="AQ186" s="6">
        <v>3669805.25</v>
      </c>
      <c r="AR186" s="4">
        <v>20</v>
      </c>
      <c r="AS186" s="15">
        <v>0</v>
      </c>
      <c r="AT186" s="15">
        <v>0</v>
      </c>
      <c r="AU186" s="15">
        <v>0</v>
      </c>
      <c r="AV186" s="15">
        <v>100</v>
      </c>
      <c r="AW186" s="15">
        <v>0</v>
      </c>
      <c r="AX186" s="15">
        <v>100</v>
      </c>
      <c r="AY186" s="31">
        <v>4387.6132591428304</v>
      </c>
    </row>
    <row r="187" spans="1:51" x14ac:dyDescent="0.25">
      <c r="A187">
        <v>97</v>
      </c>
      <c r="B187" s="4">
        <v>0.97543804774117304</v>
      </c>
      <c r="C187" s="4">
        <v>38.362594257551599</v>
      </c>
      <c r="D187" s="4">
        <v>25.801299522472501</v>
      </c>
      <c r="E187" s="4">
        <v>3.9522867822506302E-2</v>
      </c>
      <c r="F187" s="5">
        <v>2.4561952258826E-2</v>
      </c>
      <c r="G187" s="5">
        <v>0</v>
      </c>
      <c r="H187" s="4">
        <v>5.5264951891891601</v>
      </c>
      <c r="I187" s="4">
        <v>3.7779905070930702</v>
      </c>
      <c r="J187" s="4">
        <v>38.945059903569103</v>
      </c>
      <c r="K187" s="4">
        <v>190.73263498008299</v>
      </c>
      <c r="L187" s="4">
        <v>16.769578865011699</v>
      </c>
      <c r="M187" s="4">
        <v>41.712640549609802</v>
      </c>
      <c r="N187" s="4">
        <v>60.074820327495097</v>
      </c>
      <c r="O187" s="4">
        <v>55.674402648291199</v>
      </c>
      <c r="P187" s="4">
        <v>258654.746157252</v>
      </c>
      <c r="Q187" s="4">
        <v>238043.028854679</v>
      </c>
      <c r="R187" s="4">
        <v>780.63765127099805</v>
      </c>
      <c r="S187" s="4">
        <v>0</v>
      </c>
      <c r="T187" s="4">
        <v>0</v>
      </c>
      <c r="U187" s="4">
        <v>1.84879307355953E-2</v>
      </c>
      <c r="V187" s="4">
        <v>1</v>
      </c>
      <c r="W187" s="4">
        <v>0</v>
      </c>
      <c r="X187" s="4">
        <v>0.89609619085496095</v>
      </c>
      <c r="Y187" s="4">
        <v>0</v>
      </c>
      <c r="Z187" s="5">
        <v>4.8781532108217599E-4</v>
      </c>
      <c r="AA187" s="5">
        <v>9.6248790184946201E-4</v>
      </c>
      <c r="AB187" s="10">
        <v>4.1904382013821604E-3</v>
      </c>
      <c r="AC187" s="10">
        <v>1.62418591870698E-5</v>
      </c>
      <c r="AD187" s="10">
        <v>1.8904954423474001E-2</v>
      </c>
      <c r="AE187" s="4">
        <v>7.0900701679599901E-3</v>
      </c>
      <c r="AF187" s="4">
        <v>0.67773608378286898</v>
      </c>
      <c r="AG187" s="4">
        <v>0.99053822023218796</v>
      </c>
      <c r="AH187" s="4">
        <v>0.99331708530255303</v>
      </c>
      <c r="AI187" s="4">
        <v>1</v>
      </c>
      <c r="AJ187" s="4">
        <v>1</v>
      </c>
      <c r="AK187" s="4">
        <v>1</v>
      </c>
      <c r="AL187" s="4">
        <v>1</v>
      </c>
      <c r="AM187" s="4">
        <v>0</v>
      </c>
      <c r="AN187" s="4">
        <v>0</v>
      </c>
      <c r="AO187" s="4" t="s">
        <v>82</v>
      </c>
      <c r="AP187" s="4" t="s">
        <v>83</v>
      </c>
      <c r="AQ187" s="6">
        <v>193290939.43000001</v>
      </c>
      <c r="AR187" s="4">
        <v>812</v>
      </c>
      <c r="AS187" s="15">
        <v>0</v>
      </c>
      <c r="AT187" s="15">
        <v>0</v>
      </c>
      <c r="AU187" s="15">
        <v>0</v>
      </c>
      <c r="AV187" s="15">
        <v>100</v>
      </c>
      <c r="AW187" s="15">
        <v>0</v>
      </c>
      <c r="AX187" s="15">
        <v>100</v>
      </c>
      <c r="AY187">
        <v>4249.2430020105303</v>
      </c>
    </row>
    <row r="188" spans="1:51" x14ac:dyDescent="0.25">
      <c r="A188">
        <v>97</v>
      </c>
      <c r="B188" s="4">
        <v>0.97522031315344104</v>
      </c>
      <c r="C188" s="4">
        <v>35.315922348770997</v>
      </c>
      <c r="D188" s="4">
        <v>25.999804849239201</v>
      </c>
      <c r="E188" s="4">
        <v>3.5653483956137502E-2</v>
      </c>
      <c r="F188" s="5">
        <v>2.4779686846558201E-2</v>
      </c>
      <c r="G188" s="5">
        <v>0</v>
      </c>
      <c r="H188" s="4">
        <v>5.7039164023161799</v>
      </c>
      <c r="I188" s="4">
        <v>3.6974488699024199</v>
      </c>
      <c r="J188" s="4">
        <v>55.769513930830897</v>
      </c>
      <c r="K188" s="4">
        <v>213.06494243084799</v>
      </c>
      <c r="L188" s="4">
        <v>16.753627034707598</v>
      </c>
      <c r="M188" s="4">
        <v>40.2563892901033</v>
      </c>
      <c r="N188" s="4">
        <v>62.517748052958503</v>
      </c>
      <c r="O188" s="4">
        <v>59.603718705577798</v>
      </c>
      <c r="P188" s="4">
        <v>257434.419513186</v>
      </c>
      <c r="Q188" s="4">
        <v>238334.36734093001</v>
      </c>
      <c r="R188" s="4">
        <v>779.08940778977899</v>
      </c>
      <c r="S188" s="4">
        <v>0</v>
      </c>
      <c r="T188" s="4">
        <v>0</v>
      </c>
      <c r="U188" s="4">
        <v>4.0015211009655099E-4</v>
      </c>
      <c r="V188" s="4">
        <v>1</v>
      </c>
      <c r="W188" s="4">
        <v>0</v>
      </c>
      <c r="X188" s="4">
        <v>0.92486274243499</v>
      </c>
      <c r="Y188" s="4">
        <v>0</v>
      </c>
      <c r="Z188" s="5">
        <v>4.5916583871211098E-4</v>
      </c>
      <c r="AA188" s="5">
        <v>1.05996193068555E-3</v>
      </c>
      <c r="AB188" s="10">
        <v>3.9213159308137202E-3</v>
      </c>
      <c r="AC188" s="10">
        <v>8.4189450322563205E-6</v>
      </c>
      <c r="AD188" s="10">
        <v>1.9330809099003098E-2</v>
      </c>
      <c r="AE188" s="4">
        <v>-1.20673225088805E-2</v>
      </c>
      <c r="AF188" s="4">
        <v>0.82504577696853099</v>
      </c>
      <c r="AG188" s="4">
        <v>0.99173402938685196</v>
      </c>
      <c r="AH188" s="4">
        <v>0.997427912360348</v>
      </c>
      <c r="AI188" s="4">
        <v>1</v>
      </c>
      <c r="AJ188" s="4">
        <v>1</v>
      </c>
      <c r="AK188" s="4">
        <v>1</v>
      </c>
      <c r="AL188" s="4">
        <v>1</v>
      </c>
      <c r="AM188" s="4">
        <v>0</v>
      </c>
      <c r="AN188" s="4">
        <v>0</v>
      </c>
      <c r="AO188" s="4" t="s">
        <v>84</v>
      </c>
      <c r="AP188" s="4" t="s">
        <v>85</v>
      </c>
      <c r="AQ188" s="6">
        <v>501932177.62</v>
      </c>
      <c r="AR188" s="4">
        <v>2106</v>
      </c>
      <c r="AS188" s="15">
        <v>0</v>
      </c>
      <c r="AT188" s="15">
        <v>0</v>
      </c>
      <c r="AU188" s="15">
        <v>0</v>
      </c>
      <c r="AV188" s="15">
        <v>100</v>
      </c>
      <c r="AW188" s="15">
        <v>0</v>
      </c>
      <c r="AX188" s="15">
        <v>100</v>
      </c>
      <c r="AY188">
        <v>4404.6378117240301</v>
      </c>
    </row>
    <row r="189" spans="1:51" x14ac:dyDescent="0.25">
      <c r="A189">
        <v>97</v>
      </c>
      <c r="B189" s="4">
        <v>0.97567763373902705</v>
      </c>
      <c r="C189" s="4">
        <v>28.135041571570898</v>
      </c>
      <c r="D189" s="4">
        <v>25.582308626430699</v>
      </c>
      <c r="E189" s="4">
        <v>2.7156238597534601E-2</v>
      </c>
      <c r="F189" s="5">
        <v>2.43223662609721E-2</v>
      </c>
      <c r="G189" s="5">
        <v>0</v>
      </c>
      <c r="H189" s="4">
        <v>5.8430891839932197</v>
      </c>
      <c r="I189" s="4">
        <v>3.6691302869279601</v>
      </c>
      <c r="J189" s="4">
        <v>70.287968609857401</v>
      </c>
      <c r="K189" s="4">
        <v>233.82974533569299</v>
      </c>
      <c r="L189" s="4">
        <v>17.133944498213701</v>
      </c>
      <c r="M189" s="4">
        <v>40.283325742080898</v>
      </c>
      <c r="N189" s="4">
        <v>67.267682780057697</v>
      </c>
      <c r="O189" s="4">
        <v>63.5379386086518</v>
      </c>
      <c r="P189" s="4">
        <v>252293.41560619001</v>
      </c>
      <c r="Q189" s="4">
        <v>233064.75861323101</v>
      </c>
      <c r="R189" s="4">
        <v>777.505623419014</v>
      </c>
      <c r="S189" s="4">
        <v>0</v>
      </c>
      <c r="T189" s="4">
        <v>0</v>
      </c>
      <c r="U189" s="4">
        <v>8.8875132041317494E-3</v>
      </c>
      <c r="V189" s="4">
        <v>1</v>
      </c>
      <c r="W189" s="4">
        <v>0</v>
      </c>
      <c r="X189" s="4">
        <v>0.891037956062947</v>
      </c>
      <c r="Y189" s="4">
        <v>0</v>
      </c>
      <c r="Z189" s="5">
        <v>4.5003478854081298E-4</v>
      </c>
      <c r="AA189" s="5">
        <v>1.5604379157353101E-3</v>
      </c>
      <c r="AB189" s="10">
        <v>3.8522593072315898E-3</v>
      </c>
      <c r="AC189" s="10">
        <v>2.58353331373792E-5</v>
      </c>
      <c r="AD189" s="10">
        <v>1.8433783470686201E-2</v>
      </c>
      <c r="AE189" s="4">
        <v>-3.27960388737285E-3</v>
      </c>
      <c r="AF189" s="4">
        <v>0.83075466627997696</v>
      </c>
      <c r="AG189" s="4">
        <v>0.97819303470836805</v>
      </c>
      <c r="AH189" s="4">
        <v>0.99224687959856295</v>
      </c>
      <c r="AI189" s="4">
        <v>1</v>
      </c>
      <c r="AJ189" s="4">
        <v>1</v>
      </c>
      <c r="AK189" s="4">
        <v>1</v>
      </c>
      <c r="AL189" s="4">
        <v>1</v>
      </c>
      <c r="AM189" s="4">
        <v>0</v>
      </c>
      <c r="AN189" s="4">
        <v>0</v>
      </c>
      <c r="AO189" s="4" t="s">
        <v>86</v>
      </c>
      <c r="AP189" s="4" t="s">
        <v>87</v>
      </c>
      <c r="AQ189" s="6">
        <v>183188900.27000001</v>
      </c>
      <c r="AR189" s="4">
        <v>786</v>
      </c>
      <c r="AS189" s="15">
        <v>0</v>
      </c>
      <c r="AT189" s="15">
        <v>0</v>
      </c>
      <c r="AU189" s="15">
        <v>0</v>
      </c>
      <c r="AV189" s="15">
        <v>100</v>
      </c>
      <c r="AW189" s="15">
        <v>0</v>
      </c>
      <c r="AX189" s="15">
        <v>100</v>
      </c>
      <c r="AY189">
        <v>4808.2791693776599</v>
      </c>
    </row>
    <row r="190" spans="1:51" x14ac:dyDescent="0.25">
      <c r="A190">
        <v>97</v>
      </c>
      <c r="B190" s="4">
        <v>0.975739126603548</v>
      </c>
      <c r="C190" s="4">
        <v>46.027606864277502</v>
      </c>
      <c r="D190" s="4">
        <v>25.526006296935201</v>
      </c>
      <c r="E190" s="4">
        <v>5.0093251834660402E-2</v>
      </c>
      <c r="F190" s="5">
        <v>2.4260873396451201E-2</v>
      </c>
      <c r="G190" s="5">
        <v>0</v>
      </c>
      <c r="H190" s="4">
        <v>5.7632953062013996</v>
      </c>
      <c r="I190" s="4">
        <v>3.6884603543436398</v>
      </c>
      <c r="J190" s="4">
        <v>65.963483984266304</v>
      </c>
      <c r="K190" s="4">
        <v>265.54811241113401</v>
      </c>
      <c r="L190" s="4">
        <v>16.558419901030302</v>
      </c>
      <c r="M190" s="4">
        <v>39.114742309626799</v>
      </c>
      <c r="N190" s="4">
        <v>84.1680958204349</v>
      </c>
      <c r="O190" s="4">
        <v>74.966077935632299</v>
      </c>
      <c r="P190" s="4">
        <v>257354.75341315099</v>
      </c>
      <c r="Q190" s="4">
        <v>241126.79740932601</v>
      </c>
      <c r="R190" s="4">
        <v>774.47227935280205</v>
      </c>
      <c r="S190" s="4">
        <v>0</v>
      </c>
      <c r="T190" s="4">
        <v>0</v>
      </c>
      <c r="U190" s="4">
        <v>1.68629972355674E-2</v>
      </c>
      <c r="V190" s="4">
        <v>1</v>
      </c>
      <c r="W190" s="4">
        <v>0</v>
      </c>
      <c r="X190" s="4">
        <v>0.75299809979579002</v>
      </c>
      <c r="Y190" s="4">
        <v>0</v>
      </c>
      <c r="Z190" s="5">
        <v>4.95788468736485E-4</v>
      </c>
      <c r="AA190" s="5">
        <v>1.4411995051952899E-3</v>
      </c>
      <c r="AB190" s="10">
        <v>3.7869484104268501E-3</v>
      </c>
      <c r="AC190" s="10">
        <v>1.26827849735344E-5</v>
      </c>
      <c r="AD190" s="10">
        <v>1.8524238168087199E-2</v>
      </c>
      <c r="AE190" s="4">
        <v>4.1208061485788601E-2</v>
      </c>
      <c r="AF190" s="4">
        <v>0.56170196967661201</v>
      </c>
      <c r="AG190" s="4">
        <v>0.94865985962593702</v>
      </c>
      <c r="AH190" s="4">
        <v>1</v>
      </c>
      <c r="AI190" s="4">
        <v>1</v>
      </c>
      <c r="AJ190" s="4">
        <v>1</v>
      </c>
      <c r="AK190" s="4">
        <v>1</v>
      </c>
      <c r="AL190" s="4">
        <v>1</v>
      </c>
      <c r="AM190" s="4">
        <v>0</v>
      </c>
      <c r="AN190" s="4">
        <v>0</v>
      </c>
      <c r="AO190" s="4" t="s">
        <v>154</v>
      </c>
      <c r="AP190" s="4" t="s">
        <v>155</v>
      </c>
      <c r="AQ190" s="6">
        <v>46537471.899999999</v>
      </c>
      <c r="AR190" s="4">
        <v>193</v>
      </c>
      <c r="AS190" s="15">
        <v>0</v>
      </c>
      <c r="AT190" s="15">
        <v>0</v>
      </c>
      <c r="AU190" s="15">
        <v>0</v>
      </c>
      <c r="AV190" s="15">
        <v>100</v>
      </c>
      <c r="AW190" s="15">
        <v>0</v>
      </c>
      <c r="AX190" s="15">
        <v>100</v>
      </c>
      <c r="AY190" s="31">
        <v>4883.2879415916204</v>
      </c>
    </row>
    <row r="193" spans="1:51" x14ac:dyDescent="0.25">
      <c r="F193" t="s">
        <v>167</v>
      </c>
    </row>
    <row r="194" spans="1:51" x14ac:dyDescent="0.25">
      <c r="A194" t="s">
        <v>20</v>
      </c>
      <c r="B194" t="s">
        <v>21</v>
      </c>
      <c r="C194" t="s">
        <v>22</v>
      </c>
      <c r="D194" t="s">
        <v>23</v>
      </c>
      <c r="E194" t="s">
        <v>94</v>
      </c>
      <c r="F194" t="s">
        <v>95</v>
      </c>
      <c r="G194" t="s">
        <v>24</v>
      </c>
      <c r="H194" t="s">
        <v>25</v>
      </c>
      <c r="I194" t="s">
        <v>26</v>
      </c>
      <c r="J194" t="s">
        <v>27</v>
      </c>
      <c r="K194" t="s">
        <v>28</v>
      </c>
      <c r="L194" t="s">
        <v>29</v>
      </c>
      <c r="M194" t="s">
        <v>30</v>
      </c>
      <c r="N194" t="s">
        <v>31</v>
      </c>
      <c r="O194" t="s">
        <v>32</v>
      </c>
      <c r="P194" t="s">
        <v>33</v>
      </c>
      <c r="Q194" t="s">
        <v>34</v>
      </c>
      <c r="R194" t="s">
        <v>35</v>
      </c>
      <c r="S194" t="s">
        <v>36</v>
      </c>
      <c r="T194" t="s">
        <v>37</v>
      </c>
      <c r="U194" t="s">
        <v>38</v>
      </c>
      <c r="V194" t="s">
        <v>39</v>
      </c>
      <c r="W194" t="s">
        <v>40</v>
      </c>
      <c r="X194" t="s">
        <v>41</v>
      </c>
      <c r="Y194" t="s">
        <v>42</v>
      </c>
      <c r="Z194" t="s">
        <v>43</v>
      </c>
      <c r="AA194" t="s">
        <v>44</v>
      </c>
      <c r="AB194" t="s">
        <v>45</v>
      </c>
      <c r="AC194" t="s">
        <v>46</v>
      </c>
      <c r="AD194" t="s">
        <v>47</v>
      </c>
      <c r="AE194" t="s">
        <v>48</v>
      </c>
      <c r="AF194" t="s">
        <v>49</v>
      </c>
      <c r="AG194" t="s">
        <v>50</v>
      </c>
      <c r="AH194" t="s">
        <v>51</v>
      </c>
      <c r="AI194" t="s">
        <v>52</v>
      </c>
      <c r="AJ194" t="s">
        <v>53</v>
      </c>
      <c r="AK194" t="s">
        <v>54</v>
      </c>
      <c r="AL194" t="s">
        <v>55</v>
      </c>
      <c r="AM194" t="s">
        <v>56</v>
      </c>
      <c r="AN194" t="s">
        <v>57</v>
      </c>
      <c r="AO194" t="s">
        <v>58</v>
      </c>
      <c r="AP194" t="s">
        <v>59</v>
      </c>
      <c r="AQ194" t="s">
        <v>60</v>
      </c>
      <c r="AR194" t="s">
        <v>61</v>
      </c>
      <c r="AS194" t="s">
        <v>116</v>
      </c>
      <c r="AT194" t="s">
        <v>117</v>
      </c>
      <c r="AU194" t="s">
        <v>118</v>
      </c>
      <c r="AV194" t="s">
        <v>119</v>
      </c>
      <c r="AW194" t="s">
        <v>120</v>
      </c>
      <c r="AX194" t="s">
        <v>121</v>
      </c>
      <c r="AY194" t="s">
        <v>171</v>
      </c>
    </row>
    <row r="195" spans="1:51" x14ac:dyDescent="0.25">
      <c r="A195">
        <v>96</v>
      </c>
      <c r="B195" s="4">
        <v>0.97022991000000003</v>
      </c>
      <c r="C195" s="4">
        <v>0.25996866775399502</v>
      </c>
      <c r="D195" s="4">
        <v>30.4181604995863</v>
      </c>
      <c r="E195" s="4">
        <v>2.1689911822958099E-4</v>
      </c>
      <c r="F195" s="5">
        <v>2.9770089999999999E-2</v>
      </c>
      <c r="G195" s="5">
        <v>0</v>
      </c>
      <c r="H195" s="4">
        <v>5.625</v>
      </c>
      <c r="I195" s="4">
        <v>4.1184729999999998</v>
      </c>
      <c r="J195" s="4">
        <v>41.955300000000001</v>
      </c>
      <c r="K195" s="4">
        <v>123.72</v>
      </c>
      <c r="L195" s="4">
        <v>19.579999999999998</v>
      </c>
      <c r="M195" s="4">
        <v>32</v>
      </c>
      <c r="N195" s="4">
        <v>81</v>
      </c>
      <c r="O195" s="4">
        <v>79.67</v>
      </c>
      <c r="P195" s="4">
        <v>203965.79</v>
      </c>
      <c r="Q195" s="4">
        <v>203965.79</v>
      </c>
      <c r="R195" s="4">
        <v>797</v>
      </c>
      <c r="S195" s="4">
        <v>0</v>
      </c>
      <c r="T195" s="4">
        <v>0</v>
      </c>
      <c r="U195" s="4">
        <v>1</v>
      </c>
      <c r="V195" s="4">
        <v>1</v>
      </c>
      <c r="W195" s="4">
        <v>0</v>
      </c>
      <c r="X195" s="4">
        <v>1</v>
      </c>
      <c r="Y195" s="4">
        <v>0</v>
      </c>
      <c r="Z195" s="5">
        <v>4.0004999999999999E-4</v>
      </c>
      <c r="AA195" s="5">
        <v>6.3369000000000001E-4</v>
      </c>
      <c r="AB195" s="10">
        <v>4.75626E-3</v>
      </c>
      <c r="AC195" s="10">
        <v>0</v>
      </c>
      <c r="AD195" s="10">
        <v>2.3980069999999999E-2</v>
      </c>
      <c r="AE195" s="4">
        <v>-2.6144855169694399E-2</v>
      </c>
      <c r="AF195" s="4">
        <v>1</v>
      </c>
      <c r="AG195" s="4">
        <v>1</v>
      </c>
      <c r="AH195" s="4">
        <v>1</v>
      </c>
      <c r="AI195" s="4">
        <v>1</v>
      </c>
      <c r="AJ195" s="4">
        <v>1</v>
      </c>
      <c r="AK195" s="4">
        <v>1</v>
      </c>
      <c r="AL195" s="4">
        <v>1</v>
      </c>
      <c r="AM195" s="4">
        <v>0</v>
      </c>
      <c r="AN195" s="4">
        <v>0</v>
      </c>
      <c r="AO195" s="4" t="s">
        <v>76</v>
      </c>
      <c r="AP195" s="4" t="s">
        <v>77</v>
      </c>
      <c r="AQ195" s="6">
        <v>203965.79</v>
      </c>
      <c r="AR195" s="4">
        <v>1</v>
      </c>
      <c r="AS195" s="15">
        <v>0</v>
      </c>
      <c r="AT195" s="15">
        <v>0</v>
      </c>
      <c r="AU195" s="15">
        <v>0</v>
      </c>
      <c r="AV195" s="15">
        <v>100</v>
      </c>
      <c r="AW195" s="15">
        <v>0</v>
      </c>
      <c r="AX195" s="15">
        <v>100</v>
      </c>
      <c r="AY195" s="31">
        <v>4046.03</v>
      </c>
    </row>
    <row r="196" spans="1:51" x14ac:dyDescent="0.25">
      <c r="A196">
        <v>96</v>
      </c>
      <c r="B196" s="4">
        <v>0.969125501400527</v>
      </c>
      <c r="C196" s="4">
        <v>9.7676491272868898E-2</v>
      </c>
      <c r="D196" s="4">
        <v>31.3626891263281</v>
      </c>
      <c r="E196" s="4">
        <v>8.1433538979209196E-5</v>
      </c>
      <c r="F196" s="5">
        <v>3.0874498599472298E-2</v>
      </c>
      <c r="G196" s="5">
        <v>0</v>
      </c>
      <c r="H196" s="4">
        <v>5.3332266072016301</v>
      </c>
      <c r="I196" s="4">
        <v>3.85944751209973</v>
      </c>
      <c r="J196" s="4">
        <v>14.9356273575216</v>
      </c>
      <c r="K196" s="4">
        <v>143.18438874849201</v>
      </c>
      <c r="L196" s="4">
        <v>20.8876955126157</v>
      </c>
      <c r="M196" s="4">
        <v>35.273653044310898</v>
      </c>
      <c r="N196" s="4">
        <v>82.971693823478205</v>
      </c>
      <c r="O196" s="4">
        <v>69.073875771892304</v>
      </c>
      <c r="P196" s="4">
        <v>228598.572338011</v>
      </c>
      <c r="Q196" s="4">
        <v>190633.776666666</v>
      </c>
      <c r="R196" s="4">
        <v>767.52070149933002</v>
      </c>
      <c r="S196" s="4">
        <v>0</v>
      </c>
      <c r="T196" s="4">
        <v>0</v>
      </c>
      <c r="U196" s="4">
        <v>0.35609693371407197</v>
      </c>
      <c r="V196" s="4">
        <v>1</v>
      </c>
      <c r="W196" s="4">
        <v>0</v>
      </c>
      <c r="X196" s="4">
        <v>0.85916472689441004</v>
      </c>
      <c r="Y196" s="4">
        <v>0</v>
      </c>
      <c r="Z196" s="5">
        <v>6.4207751410894597E-4</v>
      </c>
      <c r="AA196" s="5">
        <v>9.1046391400715905E-4</v>
      </c>
      <c r="AB196" s="10">
        <v>4.9653036045654896E-3</v>
      </c>
      <c r="AC196" s="10">
        <v>0</v>
      </c>
      <c r="AD196" s="10">
        <v>2.4356636383496201E-2</v>
      </c>
      <c r="AE196" s="4">
        <v>3.9834324168055303E-2</v>
      </c>
      <c r="AF196" s="4">
        <v>0.35609693371407197</v>
      </c>
      <c r="AG196" s="4">
        <v>1</v>
      </c>
      <c r="AH196" s="4">
        <v>1</v>
      </c>
      <c r="AI196" s="4">
        <v>1</v>
      </c>
      <c r="AJ196" s="4">
        <v>1</v>
      </c>
      <c r="AK196" s="4">
        <v>1</v>
      </c>
      <c r="AL196" s="4">
        <v>1</v>
      </c>
      <c r="AM196" s="4">
        <v>0</v>
      </c>
      <c r="AN196" s="4">
        <v>0</v>
      </c>
      <c r="AO196" s="4" t="s">
        <v>78</v>
      </c>
      <c r="AP196" s="4" t="s">
        <v>79</v>
      </c>
      <c r="AQ196" s="6">
        <v>571901.32999999996</v>
      </c>
      <c r="AR196" s="4">
        <v>3</v>
      </c>
      <c r="AS196" s="15">
        <v>0</v>
      </c>
      <c r="AT196" s="15">
        <v>0</v>
      </c>
      <c r="AU196" s="15">
        <v>0</v>
      </c>
      <c r="AV196" s="15">
        <v>100</v>
      </c>
      <c r="AW196" s="15">
        <v>0</v>
      </c>
      <c r="AX196" s="15">
        <v>100</v>
      </c>
      <c r="AY196" s="31">
        <v>4179.9341366450299</v>
      </c>
    </row>
    <row r="197" spans="1:51" x14ac:dyDescent="0.25">
      <c r="A197">
        <v>96</v>
      </c>
      <c r="B197" s="4">
        <v>0.97030002294736795</v>
      </c>
      <c r="C197" s="4">
        <v>0.83912147166706996</v>
      </c>
      <c r="D197" s="4">
        <v>30.357797149262201</v>
      </c>
      <c r="E197" s="4">
        <v>7.0197176541541802E-4</v>
      </c>
      <c r="F197" s="5">
        <v>2.9699977052631301E-2</v>
      </c>
      <c r="G197" s="5">
        <v>0</v>
      </c>
      <c r="H197" s="4">
        <v>5.5290643181405796</v>
      </c>
      <c r="I197" s="4">
        <v>3.8203273667292299</v>
      </c>
      <c r="J197" s="4">
        <v>37.809067748989399</v>
      </c>
      <c r="K197" s="4">
        <v>167.424100974731</v>
      </c>
      <c r="L197" s="4">
        <v>21.723970975353499</v>
      </c>
      <c r="M197" s="4">
        <v>35.956471273237099</v>
      </c>
      <c r="N197" s="4">
        <v>81.3752696222776</v>
      </c>
      <c r="O197" s="4">
        <v>69.048186588647894</v>
      </c>
      <c r="P197" s="4">
        <v>203910.57442921799</v>
      </c>
      <c r="Q197" s="4">
        <v>183490.26250000001</v>
      </c>
      <c r="R197" s="4">
        <v>780.08983393601</v>
      </c>
      <c r="S197" s="4">
        <v>0</v>
      </c>
      <c r="T197" s="4">
        <v>0</v>
      </c>
      <c r="U197" s="4">
        <v>0.165962894080006</v>
      </c>
      <c r="V197" s="4">
        <v>1</v>
      </c>
      <c r="W197" s="4">
        <v>0</v>
      </c>
      <c r="X197" s="4">
        <v>0.62905495053177496</v>
      </c>
      <c r="Y197" s="4">
        <v>0</v>
      </c>
      <c r="Z197" s="5">
        <v>7.3112716142067699E-4</v>
      </c>
      <c r="AA197" s="5">
        <v>1.1075778164144801E-3</v>
      </c>
      <c r="AB197" s="10">
        <v>4.7054246352359703E-3</v>
      </c>
      <c r="AC197" s="10">
        <v>7.5224269732297096E-5</v>
      </c>
      <c r="AD197" s="10">
        <v>2.3080606490615101E-2</v>
      </c>
      <c r="AE197" s="4">
        <v>1.40005298739415E-2</v>
      </c>
      <c r="AF197" s="4">
        <v>0.84806452059002302</v>
      </c>
      <c r="AG197" s="4">
        <v>0.92657536799807005</v>
      </c>
      <c r="AH197" s="4">
        <v>1</v>
      </c>
      <c r="AI197" s="4">
        <v>1</v>
      </c>
      <c r="AJ197" s="4">
        <v>1</v>
      </c>
      <c r="AK197" s="4">
        <v>1</v>
      </c>
      <c r="AL197" s="4">
        <v>1</v>
      </c>
      <c r="AM197" s="4">
        <v>0</v>
      </c>
      <c r="AN197" s="4">
        <v>0</v>
      </c>
      <c r="AO197" s="4" t="s">
        <v>80</v>
      </c>
      <c r="AP197" s="4" t="s">
        <v>81</v>
      </c>
      <c r="AQ197" s="6">
        <v>3669805.25</v>
      </c>
      <c r="AR197" s="4">
        <v>20</v>
      </c>
      <c r="AS197" s="15">
        <v>0</v>
      </c>
      <c r="AT197" s="15">
        <v>0</v>
      </c>
      <c r="AU197" s="15">
        <v>0</v>
      </c>
      <c r="AV197" s="15">
        <v>100</v>
      </c>
      <c r="AW197" s="15">
        <v>0</v>
      </c>
      <c r="AX197" s="15">
        <v>100</v>
      </c>
      <c r="AY197" s="31">
        <v>4387.6132591428304</v>
      </c>
    </row>
    <row r="198" spans="1:51" x14ac:dyDescent="0.25">
      <c r="A198">
        <v>96</v>
      </c>
      <c r="B198" s="4">
        <v>0.96401701986640498</v>
      </c>
      <c r="C198" s="4">
        <v>38.362594257551599</v>
      </c>
      <c r="D198" s="4">
        <v>35.580638185642101</v>
      </c>
      <c r="E198" s="4">
        <v>3.9522867822506302E-2</v>
      </c>
      <c r="F198" s="5">
        <v>3.5982980133594501E-2</v>
      </c>
      <c r="G198" s="5">
        <v>0</v>
      </c>
      <c r="H198" s="4">
        <v>5.5264951891891601</v>
      </c>
      <c r="I198" s="4">
        <v>3.7779905070930702</v>
      </c>
      <c r="J198" s="4">
        <v>38.945059903569103</v>
      </c>
      <c r="K198" s="4">
        <v>190.73263498008299</v>
      </c>
      <c r="L198" s="4">
        <v>16.769578865011699</v>
      </c>
      <c r="M198" s="4">
        <v>41.712640549609802</v>
      </c>
      <c r="N198" s="4">
        <v>60.074820327495097</v>
      </c>
      <c r="O198" s="4">
        <v>55.674402648291199</v>
      </c>
      <c r="P198" s="4">
        <v>258654.746157252</v>
      </c>
      <c r="Q198" s="4">
        <v>238043.028854679</v>
      </c>
      <c r="R198" s="4">
        <v>780.63765127099805</v>
      </c>
      <c r="S198" s="4">
        <v>0</v>
      </c>
      <c r="T198" s="4">
        <v>0</v>
      </c>
      <c r="U198" s="4">
        <v>1.84879307355953E-2</v>
      </c>
      <c r="V198" s="4">
        <v>1</v>
      </c>
      <c r="W198" s="4">
        <v>0</v>
      </c>
      <c r="X198" s="4">
        <v>0.89609619085496095</v>
      </c>
      <c r="Y198" s="4">
        <v>0</v>
      </c>
      <c r="Z198" s="5">
        <v>4.8781532108217599E-4</v>
      </c>
      <c r="AA198" s="5">
        <v>9.6248790184946201E-4</v>
      </c>
      <c r="AB198" s="10">
        <v>4.1904382013821604E-3</v>
      </c>
      <c r="AC198" s="10">
        <v>1.62418591870698E-5</v>
      </c>
      <c r="AD198" s="10">
        <v>3.0325982358350798E-2</v>
      </c>
      <c r="AE198" s="4">
        <v>7.0900701679599901E-3</v>
      </c>
      <c r="AF198" s="4">
        <v>0.67773608378286898</v>
      </c>
      <c r="AG198" s="4">
        <v>0.99053822023218796</v>
      </c>
      <c r="AH198" s="4">
        <v>0.99331708530255303</v>
      </c>
      <c r="AI198" s="4">
        <v>1</v>
      </c>
      <c r="AJ198" s="4">
        <v>1</v>
      </c>
      <c r="AK198" s="4">
        <v>1</v>
      </c>
      <c r="AL198" s="4">
        <v>1</v>
      </c>
      <c r="AM198" s="4">
        <v>0</v>
      </c>
      <c r="AN198" s="4">
        <v>0</v>
      </c>
      <c r="AO198" s="4" t="s">
        <v>82</v>
      </c>
      <c r="AP198" s="4" t="s">
        <v>83</v>
      </c>
      <c r="AQ198" s="6">
        <v>193290939.43000001</v>
      </c>
      <c r="AR198" s="4">
        <v>812</v>
      </c>
      <c r="AS198" s="15">
        <v>0</v>
      </c>
      <c r="AT198" s="15">
        <v>0</v>
      </c>
      <c r="AU198" s="15">
        <v>0</v>
      </c>
      <c r="AV198" s="15">
        <v>100</v>
      </c>
      <c r="AW198" s="15">
        <v>0</v>
      </c>
      <c r="AX198" s="15">
        <v>100</v>
      </c>
      <c r="AY198">
        <v>4249.2430020105303</v>
      </c>
    </row>
    <row r="199" spans="1:51" x14ac:dyDescent="0.25">
      <c r="A199">
        <v>96</v>
      </c>
      <c r="B199" s="4">
        <v>0.96419597204259699</v>
      </c>
      <c r="C199" s="4">
        <v>35.315922348770997</v>
      </c>
      <c r="D199" s="4">
        <v>35.436992231500902</v>
      </c>
      <c r="E199" s="4">
        <v>3.5653483956137502E-2</v>
      </c>
      <c r="F199" s="5">
        <v>3.5804027957402201E-2</v>
      </c>
      <c r="G199" s="5">
        <v>0</v>
      </c>
      <c r="H199" s="4">
        <v>5.7039164023161799</v>
      </c>
      <c r="I199" s="4">
        <v>3.6974488699024199</v>
      </c>
      <c r="J199" s="4">
        <v>55.769513930830897</v>
      </c>
      <c r="K199" s="4">
        <v>213.06494243084799</v>
      </c>
      <c r="L199" s="4">
        <v>16.753627034707598</v>
      </c>
      <c r="M199" s="4">
        <v>40.2563892901033</v>
      </c>
      <c r="N199" s="4">
        <v>62.517748052958503</v>
      </c>
      <c r="O199" s="4">
        <v>59.603718705577798</v>
      </c>
      <c r="P199" s="4">
        <v>257434.419513186</v>
      </c>
      <c r="Q199" s="4">
        <v>238334.36734093001</v>
      </c>
      <c r="R199" s="4">
        <v>779.08940778977899</v>
      </c>
      <c r="S199" s="4">
        <v>0</v>
      </c>
      <c r="T199" s="4">
        <v>0</v>
      </c>
      <c r="U199" s="4">
        <v>4.0015211009655099E-4</v>
      </c>
      <c r="V199" s="4">
        <v>1</v>
      </c>
      <c r="W199" s="4">
        <v>0</v>
      </c>
      <c r="X199" s="4">
        <v>0.92486274243499</v>
      </c>
      <c r="Y199" s="4">
        <v>0</v>
      </c>
      <c r="Z199" s="5">
        <v>4.5916583871211098E-4</v>
      </c>
      <c r="AA199" s="5">
        <v>1.05996193068555E-3</v>
      </c>
      <c r="AB199" s="10">
        <v>3.9213159308137202E-3</v>
      </c>
      <c r="AC199" s="10">
        <v>8.4189450322563205E-6</v>
      </c>
      <c r="AD199" s="10">
        <v>3.03551501323381E-2</v>
      </c>
      <c r="AE199" s="4">
        <v>-1.20673225088805E-2</v>
      </c>
      <c r="AF199" s="4">
        <v>0.82504577696853099</v>
      </c>
      <c r="AG199" s="4">
        <v>0.99173402938685196</v>
      </c>
      <c r="AH199" s="4">
        <v>0.997427912360348</v>
      </c>
      <c r="AI199" s="4">
        <v>1</v>
      </c>
      <c r="AJ199" s="4">
        <v>1</v>
      </c>
      <c r="AK199" s="4">
        <v>1</v>
      </c>
      <c r="AL199" s="4">
        <v>1</v>
      </c>
      <c r="AM199" s="4">
        <v>0</v>
      </c>
      <c r="AN199" s="4">
        <v>0</v>
      </c>
      <c r="AO199" s="4" t="s">
        <v>84</v>
      </c>
      <c r="AP199" s="4" t="s">
        <v>85</v>
      </c>
      <c r="AQ199" s="6">
        <v>501932177.62</v>
      </c>
      <c r="AR199" s="4">
        <v>2106</v>
      </c>
      <c r="AS199" s="15">
        <v>0</v>
      </c>
      <c r="AT199" s="15">
        <v>0</v>
      </c>
      <c r="AU199" s="15">
        <v>0</v>
      </c>
      <c r="AV199" s="15">
        <v>100</v>
      </c>
      <c r="AW199" s="15">
        <v>0</v>
      </c>
      <c r="AX199" s="15">
        <v>100</v>
      </c>
      <c r="AY199">
        <v>4404.6378117240301</v>
      </c>
    </row>
    <row r="200" spans="1:51" x14ac:dyDescent="0.25">
      <c r="A200">
        <v>96</v>
      </c>
      <c r="B200" s="4">
        <v>0.96423694207406196</v>
      </c>
      <c r="C200" s="4">
        <v>28.135041571570898</v>
      </c>
      <c r="D200" s="4">
        <v>35.404064069978197</v>
      </c>
      <c r="E200" s="4">
        <v>2.7156238597534601E-2</v>
      </c>
      <c r="F200" s="5">
        <v>3.5763057925937203E-2</v>
      </c>
      <c r="G200" s="5">
        <v>0</v>
      </c>
      <c r="H200" s="4">
        <v>5.8430891839932197</v>
      </c>
      <c r="I200" s="4">
        <v>3.6691302869279601</v>
      </c>
      <c r="J200" s="4">
        <v>70.287968609857401</v>
      </c>
      <c r="K200" s="4">
        <v>233.82974533569299</v>
      </c>
      <c r="L200" s="4">
        <v>17.133944498213701</v>
      </c>
      <c r="M200" s="4">
        <v>40.283325742080898</v>
      </c>
      <c r="N200" s="4">
        <v>67.267682780057697</v>
      </c>
      <c r="O200" s="4">
        <v>63.5379386086518</v>
      </c>
      <c r="P200" s="4">
        <v>252293.41560619001</v>
      </c>
      <c r="Q200" s="4">
        <v>233064.75861323101</v>
      </c>
      <c r="R200" s="4">
        <v>777.505623419014</v>
      </c>
      <c r="S200" s="4">
        <v>0</v>
      </c>
      <c r="T200" s="4">
        <v>0</v>
      </c>
      <c r="U200" s="4">
        <v>8.8875132041317494E-3</v>
      </c>
      <c r="V200" s="4">
        <v>1</v>
      </c>
      <c r="W200" s="4">
        <v>0</v>
      </c>
      <c r="X200" s="4">
        <v>0.891037956062947</v>
      </c>
      <c r="Y200" s="4">
        <v>0</v>
      </c>
      <c r="Z200" s="5">
        <v>4.5003478854081298E-4</v>
      </c>
      <c r="AA200" s="5">
        <v>1.5604379157353101E-3</v>
      </c>
      <c r="AB200" s="10">
        <v>3.8522593072315898E-3</v>
      </c>
      <c r="AC200" s="10">
        <v>2.58353331373792E-5</v>
      </c>
      <c r="AD200" s="10">
        <v>2.98744752763863E-2</v>
      </c>
      <c r="AE200" s="4">
        <v>-3.27960388737285E-3</v>
      </c>
      <c r="AF200" s="4">
        <v>0.83075466627997696</v>
      </c>
      <c r="AG200" s="4">
        <v>0.97819303470836805</v>
      </c>
      <c r="AH200" s="4">
        <v>0.99224687959856295</v>
      </c>
      <c r="AI200" s="4">
        <v>1</v>
      </c>
      <c r="AJ200" s="4">
        <v>1</v>
      </c>
      <c r="AK200" s="4">
        <v>1</v>
      </c>
      <c r="AL200" s="4">
        <v>1</v>
      </c>
      <c r="AM200" s="4">
        <v>0</v>
      </c>
      <c r="AN200" s="4">
        <v>0</v>
      </c>
      <c r="AO200" s="4" t="s">
        <v>86</v>
      </c>
      <c r="AP200" s="4" t="s">
        <v>87</v>
      </c>
      <c r="AQ200" s="6">
        <v>183188900.27000001</v>
      </c>
      <c r="AR200" s="4">
        <v>786</v>
      </c>
      <c r="AS200" s="15">
        <v>0</v>
      </c>
      <c r="AT200" s="15">
        <v>0</v>
      </c>
      <c r="AU200" s="15">
        <v>0</v>
      </c>
      <c r="AV200" s="15">
        <v>100</v>
      </c>
      <c r="AW200" s="15">
        <v>0</v>
      </c>
      <c r="AX200" s="15">
        <v>100</v>
      </c>
      <c r="AY200">
        <v>4808.2791693776599</v>
      </c>
    </row>
    <row r="201" spans="1:51" x14ac:dyDescent="0.25">
      <c r="A201">
        <v>96</v>
      </c>
      <c r="B201" s="4">
        <v>0.96296898916164397</v>
      </c>
      <c r="C201" s="4">
        <v>46.027606864277502</v>
      </c>
      <c r="D201" s="4">
        <v>36.4160331084218</v>
      </c>
      <c r="E201" s="4">
        <v>5.0093251834660402E-2</v>
      </c>
      <c r="F201" s="5">
        <v>3.7031010838355201E-2</v>
      </c>
      <c r="G201" s="5">
        <v>0</v>
      </c>
      <c r="H201" s="4">
        <v>5.7632953062013996</v>
      </c>
      <c r="I201" s="4">
        <v>3.6884603543436398</v>
      </c>
      <c r="J201" s="4">
        <v>65.963483984266304</v>
      </c>
      <c r="K201" s="4">
        <v>265.54811241113401</v>
      </c>
      <c r="L201" s="4">
        <v>16.558419901030302</v>
      </c>
      <c r="M201" s="4">
        <v>39.114742309626799</v>
      </c>
      <c r="N201" s="4">
        <v>84.1680958204349</v>
      </c>
      <c r="O201" s="4">
        <v>74.966077935632299</v>
      </c>
      <c r="P201" s="4">
        <v>257354.75341315099</v>
      </c>
      <c r="Q201" s="4">
        <v>241126.79740932601</v>
      </c>
      <c r="R201" s="4">
        <v>774.47227935280205</v>
      </c>
      <c r="S201" s="4">
        <v>0</v>
      </c>
      <c r="T201" s="4">
        <v>0</v>
      </c>
      <c r="U201" s="4">
        <v>1.68629972355674E-2</v>
      </c>
      <c r="V201" s="4">
        <v>1</v>
      </c>
      <c r="W201" s="4">
        <v>0</v>
      </c>
      <c r="X201" s="4">
        <v>0.75299809979579002</v>
      </c>
      <c r="Y201" s="4">
        <v>0</v>
      </c>
      <c r="Z201" s="5">
        <v>4.95788468736485E-4</v>
      </c>
      <c r="AA201" s="5">
        <v>1.4411995051952899E-3</v>
      </c>
      <c r="AB201" s="10">
        <v>3.7869484104268501E-3</v>
      </c>
      <c r="AC201" s="10">
        <v>1.26827849735344E-5</v>
      </c>
      <c r="AD201" s="10">
        <v>3.1294375604491602E-2</v>
      </c>
      <c r="AE201" s="4">
        <v>4.1208061485788601E-2</v>
      </c>
      <c r="AF201" s="4">
        <v>0.56170196967661201</v>
      </c>
      <c r="AG201" s="4">
        <v>0.94865985962593702</v>
      </c>
      <c r="AH201" s="4">
        <v>1</v>
      </c>
      <c r="AI201" s="4">
        <v>1</v>
      </c>
      <c r="AJ201" s="4">
        <v>1</v>
      </c>
      <c r="AK201" s="4">
        <v>1</v>
      </c>
      <c r="AL201" s="4">
        <v>1</v>
      </c>
      <c r="AM201" s="4">
        <v>0</v>
      </c>
      <c r="AN201" s="4">
        <v>0</v>
      </c>
      <c r="AO201" s="4" t="s">
        <v>154</v>
      </c>
      <c r="AP201" s="4" t="s">
        <v>155</v>
      </c>
      <c r="AQ201" s="6">
        <v>46537471.899999999</v>
      </c>
      <c r="AR201" s="4">
        <v>193</v>
      </c>
      <c r="AS201" s="15">
        <v>0</v>
      </c>
      <c r="AT201" s="15">
        <v>0</v>
      </c>
      <c r="AU201" s="15">
        <v>0</v>
      </c>
      <c r="AV201" s="15">
        <v>100</v>
      </c>
      <c r="AW201" s="15">
        <v>0</v>
      </c>
      <c r="AX201" s="15">
        <v>100</v>
      </c>
      <c r="AY201">
        <v>4883.2879415916204</v>
      </c>
    </row>
    <row r="202" spans="1:51" s="17" customFormat="1" x14ac:dyDescent="0.25">
      <c r="A202" s="15"/>
      <c r="B202" s="20"/>
      <c r="C202" s="21"/>
      <c r="D202" s="16"/>
      <c r="E202" s="16"/>
      <c r="F202" s="20"/>
      <c r="G202" s="21"/>
      <c r="H202" s="21"/>
      <c r="K202" s="15"/>
      <c r="L202" s="15"/>
      <c r="M202" s="23"/>
      <c r="N202" s="16"/>
      <c r="O202" s="21"/>
      <c r="P202" s="22"/>
      <c r="X202" s="18"/>
      <c r="Y202" s="16"/>
      <c r="Z202" s="16"/>
      <c r="AC202" s="18"/>
      <c r="AD202" s="16"/>
      <c r="AE202" s="16"/>
    </row>
    <row r="203" spans="1:51" x14ac:dyDescent="0.25">
      <c r="L203" s="4" t="s">
        <v>160</v>
      </c>
      <c r="M203" s="30" t="s">
        <v>187</v>
      </c>
      <c r="O203" s="4"/>
      <c r="P203" s="30"/>
    </row>
    <row r="204" spans="1:51" s="35" customFormat="1" x14ac:dyDescent="0.25">
      <c r="L204" t="s">
        <v>153</v>
      </c>
      <c r="M204" s="4">
        <v>0.95</v>
      </c>
      <c r="O204" s="35" t="s">
        <v>169</v>
      </c>
      <c r="P204" s="35" t="s">
        <v>170</v>
      </c>
    </row>
    <row r="205" spans="1:51" s="35" customFormat="1" x14ac:dyDescent="0.25">
      <c r="L205" s="35" t="s">
        <v>184</v>
      </c>
      <c r="M205" s="39">
        <v>1</v>
      </c>
      <c r="O205" s="39">
        <v>1</v>
      </c>
      <c r="P205" s="35">
        <f>1-O205</f>
        <v>0</v>
      </c>
    </row>
    <row r="206" spans="1:51" s="35" customFormat="1" x14ac:dyDescent="0.25">
      <c r="M206" s="39"/>
    </row>
    <row r="207" spans="1:51" x14ac:dyDescent="0.25">
      <c r="K207" t="s">
        <v>98</v>
      </c>
      <c r="L207" t="s">
        <v>89</v>
      </c>
      <c r="M207" t="s">
        <v>90</v>
      </c>
    </row>
    <row r="208" spans="1:51" x14ac:dyDescent="0.25">
      <c r="A208" s="4" t="s">
        <v>93</v>
      </c>
      <c r="B208" t="str">
        <f>AQ183</f>
        <v>Balance</v>
      </c>
      <c r="C208" s="2" t="str">
        <f t="shared" ref="C208:C214" si="32">AO183</f>
        <v>groupByColumn</v>
      </c>
      <c r="D208" t="str">
        <f>E183</f>
        <v>PREPAY_SMM1</v>
      </c>
      <c r="E208" t="str">
        <f>F183</f>
        <v>PREPAY_TRACKING_SMM1</v>
      </c>
      <c r="G208" t="str">
        <f>C183</f>
        <v>PREPAY_CPR1</v>
      </c>
      <c r="H208" t="str">
        <f>D183</f>
        <v>PREPAY_TRACKING_CPR1</v>
      </c>
      <c r="I208" t="s">
        <v>168</v>
      </c>
      <c r="K208" t="s">
        <v>92</v>
      </c>
      <c r="L208" t="s">
        <v>92</v>
      </c>
      <c r="M208" t="s">
        <v>92</v>
      </c>
      <c r="O208" t="s">
        <v>163</v>
      </c>
      <c r="P208" t="s">
        <v>164</v>
      </c>
      <c r="Q208" t="s">
        <v>165</v>
      </c>
      <c r="S208" t="s">
        <v>96</v>
      </c>
      <c r="T208" t="s">
        <v>97</v>
      </c>
      <c r="U208" t="s">
        <v>185</v>
      </c>
      <c r="V208" t="s">
        <v>91</v>
      </c>
    </row>
    <row r="209" spans="1:36" s="35" customFormat="1" x14ac:dyDescent="0.25">
      <c r="A209" s="14">
        <f t="shared" ref="A209:A214" si="33">K184</f>
        <v>123.72</v>
      </c>
      <c r="B209" s="32">
        <f t="shared" ref="B209:B214" si="34">AQ184/1000000000</f>
        <v>2.0396579E-4</v>
      </c>
      <c r="C209" s="33" t="str">
        <f t="shared" si="32"/>
        <v>13:100-125</v>
      </c>
      <c r="D209" s="34">
        <f t="shared" ref="D209:D214" si="35">E184</f>
        <v>2.1689911822958099E-4</v>
      </c>
      <c r="E209" s="34">
        <f t="shared" ref="E209:E214" si="36">Z184+AA184+AB184+AC184+AD184</f>
        <v>1.4110579999999999E-2</v>
      </c>
      <c r="F209" s="32"/>
      <c r="G209" s="33">
        <f t="shared" ref="G209:H214" si="37">(1-(1-D209)^12)*100</f>
        <v>0.25996866775398475</v>
      </c>
      <c r="H209" s="33">
        <f t="shared" si="37"/>
        <v>15.678471099907076</v>
      </c>
      <c r="I209" s="33">
        <f t="shared" ref="I209:I214" si="38">(1-(1-SUM(Z195,AA195,AB195,AC195,AD195*M209))^12)*100</f>
        <v>29.379235488102285</v>
      </c>
      <c r="K209" s="14">
        <f>VLOOKUP($C209,'Refi Adj'!$B$2:$E$39,2,0)</f>
        <v>1</v>
      </c>
      <c r="L209" s="14">
        <f>VLOOKUP($C209,'Refi Adj'!$B$2:$E$39,3,0)</f>
        <v>1</v>
      </c>
      <c r="M209" s="14">
        <f>VLOOKUP($C209,'Refi Adj'!$B$2:$E$39,4,0)</f>
        <v>0.95</v>
      </c>
      <c r="O209" s="40">
        <f t="shared" ref="O209:O214" si="39">AD195*M209</f>
        <v>2.2781066499999999E-2</v>
      </c>
      <c r="P209" s="40">
        <f t="shared" ref="P209:P214" si="40">AD184</f>
        <v>8.3205799999999993E-3</v>
      </c>
      <c r="Q209" s="40">
        <f t="shared" ref="Q209:Q214" si="41">(O209*$O$79+P209*$P$79)</f>
        <v>2.2781066499999999E-2</v>
      </c>
      <c r="R209" s="14"/>
      <c r="S209" s="34">
        <f>Z184+AA184+AB184*K209+AC184*L209+Q209*$M$154</f>
        <v>2.7432013174999999E-2</v>
      </c>
      <c r="T209" s="33">
        <f t="shared" ref="T209:T214" si="42">100*(1-(1-S209)^12)</f>
        <v>28.379121775830786</v>
      </c>
      <c r="U209" s="33">
        <f>100*(1-(1-S209*$M$205)^12)</f>
        <v>28.379121775830786</v>
      </c>
      <c r="V209" s="36">
        <f t="shared" ref="V209:V214" si="43">D209/S209</f>
        <v>7.9067882056593174E-3</v>
      </c>
      <c r="X209" s="37"/>
      <c r="Y209" s="34"/>
      <c r="Z209" s="34"/>
      <c r="AD209" s="34"/>
      <c r="AE209" s="34"/>
      <c r="AJ209" s="34"/>
    </row>
    <row r="210" spans="1:36" s="35" customFormat="1" x14ac:dyDescent="0.25">
      <c r="A210" s="14">
        <f t="shared" si="33"/>
        <v>143.18438874849201</v>
      </c>
      <c r="B210" s="32">
        <f t="shared" si="34"/>
        <v>5.7190132999999997E-4</v>
      </c>
      <c r="C210" s="33" t="str">
        <f t="shared" si="32"/>
        <v>14:125-150</v>
      </c>
      <c r="D210" s="34">
        <f t="shared" si="35"/>
        <v>8.1433538979209196E-5</v>
      </c>
      <c r="E210" s="34">
        <f t="shared" si="36"/>
        <v>1.6365955155459064E-2</v>
      </c>
      <c r="F210" s="32"/>
      <c r="G210" s="33">
        <f t="shared" si="37"/>
        <v>9.7676491272857824E-2</v>
      </c>
      <c r="H210" s="33">
        <f t="shared" si="37"/>
        <v>17.964350319237543</v>
      </c>
      <c r="I210" s="33">
        <f t="shared" si="38"/>
        <v>29.688205709544725</v>
      </c>
      <c r="K210" s="14">
        <f>VLOOKUP($C210,'Refi Adj'!$B$2:$E$39,2,0)</f>
        <v>1</v>
      </c>
      <c r="L210" s="14">
        <f>VLOOKUP($C210,'Refi Adj'!$B$2:$E$39,3,0)</f>
        <v>1</v>
      </c>
      <c r="M210" s="14">
        <f>VLOOKUP($C210,'Refi Adj'!$B$2:$E$39,4,0)</f>
        <v>0.92</v>
      </c>
      <c r="O210" s="40">
        <f t="shared" si="39"/>
        <v>2.2408105472816506E-2</v>
      </c>
      <c r="P210" s="40">
        <f t="shared" si="40"/>
        <v>9.8481101227774707E-3</v>
      </c>
      <c r="Q210" s="40">
        <f t="shared" si="41"/>
        <v>2.2408105472816506E-2</v>
      </c>
      <c r="R210" s="14"/>
      <c r="S210" s="34">
        <f t="shared" ref="S210:S215" si="44">Z185+AA185+AB185*K210+AC185*L210+Q210*$M$154</f>
        <v>2.7805545231857274E-2</v>
      </c>
      <c r="T210" s="33">
        <f t="shared" si="42"/>
        <v>28.708512686533215</v>
      </c>
      <c r="U210" s="33">
        <f t="shared" ref="U210:U215" si="45">100*(1-(1-S210*$M$205)^12)</f>
        <v>28.708512686533215</v>
      </c>
      <c r="V210" s="36">
        <f t="shared" si="43"/>
        <v>2.9286798118926811E-3</v>
      </c>
      <c r="X210" s="37"/>
      <c r="Y210" s="34"/>
      <c r="Z210" s="34"/>
      <c r="AC210" s="37"/>
      <c r="AD210" s="34"/>
      <c r="AE210" s="34"/>
      <c r="AJ210" s="34"/>
    </row>
    <row r="211" spans="1:36" s="35" customFormat="1" x14ac:dyDescent="0.25">
      <c r="A211" s="14">
        <f t="shared" si="33"/>
        <v>167.424100974731</v>
      </c>
      <c r="B211" s="32">
        <f t="shared" si="34"/>
        <v>3.6698052499999998E-3</v>
      </c>
      <c r="C211" s="33" t="str">
        <f t="shared" si="32"/>
        <v>15:150-175</v>
      </c>
      <c r="D211" s="34">
        <f t="shared" si="35"/>
        <v>7.0197176541541802E-4</v>
      </c>
      <c r="E211" s="34">
        <f t="shared" si="36"/>
        <v>1.7991491459287426E-2</v>
      </c>
      <c r="F211" s="32"/>
      <c r="G211" s="33">
        <f t="shared" si="37"/>
        <v>0.83912147166697038</v>
      </c>
      <c r="H211" s="33">
        <f t="shared" si="37"/>
        <v>19.576492762498365</v>
      </c>
      <c r="I211" s="33">
        <f t="shared" si="38"/>
        <v>28.343665798489614</v>
      </c>
      <c r="K211" s="14">
        <f>VLOOKUP($C211,'Refi Adj'!$B$2:$E$39,2,0)</f>
        <v>1</v>
      </c>
      <c r="L211" s="14">
        <f>VLOOKUP($C211,'Refi Adj'!$B$2:$E$39,3,0)</f>
        <v>1</v>
      </c>
      <c r="M211" s="14">
        <f>VLOOKUP($C211,'Refi Adj'!$B$2:$E$39,4,0)</f>
        <v>0.9</v>
      </c>
      <c r="O211" s="40">
        <f t="shared" si="39"/>
        <v>2.0772545841553591E-2</v>
      </c>
      <c r="P211" s="40">
        <f t="shared" si="40"/>
        <v>1.1372137576484E-2</v>
      </c>
      <c r="Q211" s="40">
        <f t="shared" si="41"/>
        <v>2.0772545841553591E-2</v>
      </c>
      <c r="R211" s="14"/>
      <c r="S211" s="34">
        <f t="shared" si="44"/>
        <v>2.6353272432279334E-2</v>
      </c>
      <c r="T211" s="33">
        <f t="shared" si="42"/>
        <v>27.420010292787968</v>
      </c>
      <c r="U211" s="33">
        <f t="shared" si="45"/>
        <v>27.420010292787968</v>
      </c>
      <c r="V211" s="36">
        <f t="shared" si="43"/>
        <v>2.6636986629242819E-2</v>
      </c>
      <c r="X211" s="37"/>
      <c r="Y211" s="34"/>
      <c r="Z211" s="34"/>
      <c r="AC211" s="37"/>
      <c r="AD211" s="34"/>
      <c r="AE211" s="34"/>
      <c r="AJ211" s="34"/>
    </row>
    <row r="212" spans="1:36" s="35" customFormat="1" x14ac:dyDescent="0.25">
      <c r="A212" s="14">
        <f t="shared" si="33"/>
        <v>190.73263498008299</v>
      </c>
      <c r="B212" s="32">
        <f t="shared" si="34"/>
        <v>0.19329093943</v>
      </c>
      <c r="C212" s="33" t="str">
        <f t="shared" si="32"/>
        <v>16:175-200</v>
      </c>
      <c r="D212" s="34">
        <f t="shared" si="35"/>
        <v>3.9522867822506302E-2</v>
      </c>
      <c r="E212" s="34">
        <f t="shared" si="36"/>
        <v>2.456193770697487E-2</v>
      </c>
      <c r="F212" s="32"/>
      <c r="G212" s="33">
        <f t="shared" si="37"/>
        <v>38.36259425755172</v>
      </c>
      <c r="H212" s="33">
        <f t="shared" si="37"/>
        <v>25.801286239473786</v>
      </c>
      <c r="I212" s="33">
        <f t="shared" si="38"/>
        <v>33.106307230686497</v>
      </c>
      <c r="K212" s="14">
        <f>VLOOKUP($C212,'Refi Adj'!$B$2:$E$39,2,0)</f>
        <v>1</v>
      </c>
      <c r="L212" s="14">
        <f>VLOOKUP($C212,'Refi Adj'!$B$2:$E$39,3,0)</f>
        <v>1</v>
      </c>
      <c r="M212" s="14">
        <f>VLOOKUP($C212,'Refi Adj'!$B$2:$E$39,4,0)</f>
        <v>0.9</v>
      </c>
      <c r="O212" s="40">
        <f t="shared" si="39"/>
        <v>2.729338412251572E-2</v>
      </c>
      <c r="P212" s="40">
        <f t="shared" si="40"/>
        <v>1.8904954423474001E-2</v>
      </c>
      <c r="Q212" s="40">
        <f t="shared" si="41"/>
        <v>2.729338412251572E-2</v>
      </c>
      <c r="R212" s="14"/>
      <c r="S212" s="34">
        <f t="shared" si="44"/>
        <v>3.1585698199890801E-2</v>
      </c>
      <c r="T212" s="33">
        <f t="shared" si="42"/>
        <v>31.964695146159993</v>
      </c>
      <c r="U212" s="33">
        <f t="shared" si="45"/>
        <v>31.964695146159993</v>
      </c>
      <c r="V212" s="36">
        <f t="shared" si="43"/>
        <v>1.2512899848654586</v>
      </c>
      <c r="X212" s="37"/>
      <c r="Y212" s="34"/>
      <c r="Z212" s="34"/>
      <c r="AC212" s="37"/>
      <c r="AD212" s="34"/>
      <c r="AE212" s="34"/>
      <c r="AH212" s="37"/>
      <c r="AI212" s="34"/>
      <c r="AJ212" s="34"/>
    </row>
    <row r="213" spans="1:36" x14ac:dyDescent="0.25">
      <c r="A213" s="4">
        <f t="shared" si="33"/>
        <v>213.06494243084799</v>
      </c>
      <c r="B213" s="3">
        <f t="shared" si="34"/>
        <v>0.50193217761999998</v>
      </c>
      <c r="C213" s="2" t="str">
        <f t="shared" si="32"/>
        <v>17:200-225</v>
      </c>
      <c r="D213" s="8">
        <f t="shared" si="35"/>
        <v>3.5653483956137502E-2</v>
      </c>
      <c r="E213" s="8">
        <f t="shared" si="36"/>
        <v>2.4779671744246737E-2</v>
      </c>
      <c r="F213" s="3"/>
      <c r="G213" s="2">
        <f t="shared" si="37"/>
        <v>35.315922348771132</v>
      </c>
      <c r="H213" s="2">
        <f t="shared" si="37"/>
        <v>25.999791097588609</v>
      </c>
      <c r="I213" s="33">
        <f t="shared" si="38"/>
        <v>32.955185425489255</v>
      </c>
      <c r="K213" s="14">
        <f>VLOOKUP($C213,'Refi Adj'!$B$2:$E$39,2,0)</f>
        <v>1</v>
      </c>
      <c r="L213" s="14">
        <f>VLOOKUP($C213,'Refi Adj'!$B$2:$E$39,3,0)</f>
        <v>1</v>
      </c>
      <c r="M213" s="14">
        <f>VLOOKUP($C213,'Refi Adj'!$B$2:$E$39,4,0)</f>
        <v>0.9</v>
      </c>
      <c r="O213" s="40">
        <f t="shared" si="39"/>
        <v>2.7319635119104291E-2</v>
      </c>
      <c r="P213" s="40">
        <f t="shared" si="40"/>
        <v>1.9330809099003098E-2</v>
      </c>
      <c r="Q213" s="40">
        <f t="shared" si="41"/>
        <v>2.7319635119104291E-2</v>
      </c>
      <c r="R213" s="14"/>
      <c r="S213" s="34">
        <f t="shared" si="44"/>
        <v>3.1402516008392709E-2</v>
      </c>
      <c r="T213" s="2">
        <f t="shared" si="42"/>
        <v>31.810102258121663</v>
      </c>
      <c r="U213" s="33">
        <f t="shared" si="45"/>
        <v>31.810102258121663</v>
      </c>
      <c r="V213" s="7">
        <f t="shared" si="43"/>
        <v>1.1353702979279963</v>
      </c>
      <c r="X213" s="9"/>
      <c r="Y213" s="8"/>
      <c r="Z213" s="8"/>
      <c r="AC213" s="9"/>
      <c r="AD213" s="8"/>
      <c r="AE213" s="8"/>
      <c r="AH213" s="9"/>
      <c r="AI213" s="8"/>
      <c r="AJ213" s="8"/>
    </row>
    <row r="214" spans="1:36" x14ac:dyDescent="0.25">
      <c r="A214" s="4">
        <f t="shared" si="33"/>
        <v>233.82974533569299</v>
      </c>
      <c r="B214" s="3">
        <f t="shared" si="34"/>
        <v>0.18318890027000001</v>
      </c>
      <c r="C214" s="2" t="str">
        <f t="shared" si="32"/>
        <v>18:225-250</v>
      </c>
      <c r="D214" s="8">
        <f t="shared" si="35"/>
        <v>2.7156238597534601E-2</v>
      </c>
      <c r="E214" s="8">
        <f t="shared" si="36"/>
        <v>2.4322350815331292E-2</v>
      </c>
      <c r="F214" s="3"/>
      <c r="G214" s="2">
        <f t="shared" si="37"/>
        <v>28.135041571570941</v>
      </c>
      <c r="H214" s="2">
        <f t="shared" si="37"/>
        <v>25.582294489437263</v>
      </c>
      <c r="I214" s="33">
        <f t="shared" si="38"/>
        <v>32.961088706000972</v>
      </c>
      <c r="K214" s="14">
        <f>VLOOKUP($C214,'Refi Adj'!$B$2:$E$39,2,0)</f>
        <v>1</v>
      </c>
      <c r="L214" s="14">
        <f>VLOOKUP($C214,'Refi Adj'!$B$2:$E$39,3,0)</f>
        <v>1</v>
      </c>
      <c r="M214" s="14">
        <f>VLOOKUP($C214,'Refi Adj'!$B$2:$E$39,4,0)</f>
        <v>0.9</v>
      </c>
      <c r="O214" s="40">
        <f t="shared" si="39"/>
        <v>2.6887027748747672E-2</v>
      </c>
      <c r="P214" s="40">
        <f t="shared" si="40"/>
        <v>1.8433783470686201E-2</v>
      </c>
      <c r="Q214" s="40">
        <f t="shared" si="41"/>
        <v>2.6887027748747672E-2</v>
      </c>
      <c r="R214" s="14"/>
      <c r="S214" s="34">
        <f t="shared" si="44"/>
        <v>3.1431243705955382E-2</v>
      </c>
      <c r="T214" s="2">
        <f t="shared" si="42"/>
        <v>31.83436768442921</v>
      </c>
      <c r="U214" s="33">
        <f t="shared" si="45"/>
        <v>31.83436768442921</v>
      </c>
      <c r="V214" s="7">
        <f t="shared" si="43"/>
        <v>0.86398867482260078</v>
      </c>
      <c r="X214" s="9"/>
      <c r="Y214" s="8"/>
      <c r="Z214" s="8"/>
      <c r="AC214" s="9"/>
      <c r="AD214" s="8"/>
      <c r="AE214" s="8"/>
      <c r="AH214" s="9"/>
      <c r="AI214" s="8"/>
      <c r="AJ214" s="8"/>
    </row>
    <row r="215" spans="1:36" x14ac:dyDescent="0.25">
      <c r="A215" s="4">
        <f t="shared" ref="A215" si="46">K190</f>
        <v>265.54811241113401</v>
      </c>
      <c r="B215" s="3">
        <f t="shared" ref="B215" si="47">AQ190/1000000000</f>
        <v>4.6537471899999995E-2</v>
      </c>
      <c r="C215" s="2" t="str">
        <f t="shared" ref="C215" si="48">AO190</f>
        <v>999:&gt;= 250</v>
      </c>
      <c r="D215" s="8">
        <f t="shared" ref="D215" si="49">E190</f>
        <v>5.0093251834660402E-2</v>
      </c>
      <c r="E215" s="8">
        <f t="shared" ref="E215" si="50">Z190+AA190+AB190+AC190+AD190</f>
        <v>2.426085733741936E-2</v>
      </c>
      <c r="F215" s="3"/>
      <c r="G215" s="2">
        <f t="shared" ref="G215" si="51">(1-(1-D215)^12)*100</f>
        <v>46.027606864277551</v>
      </c>
      <c r="H215" s="2">
        <f t="shared" ref="H215" si="52">(1-(1-E215)^12)*100</f>
        <v>25.525991588327368</v>
      </c>
      <c r="I215" s="33">
        <f t="shared" ref="I215" si="53">(1-(1-SUM(Z201,AA201,AB201,AC201,AD201*M215))^12)*100</f>
        <v>33.891609305416104</v>
      </c>
      <c r="K215" s="14">
        <f>VLOOKUP($C215,'Refi Adj'!$B$2:$E$39,2,0)</f>
        <v>1</v>
      </c>
      <c r="L215" s="14">
        <f>VLOOKUP($C215,'Refi Adj'!$B$2:$E$39,3,0)</f>
        <v>1</v>
      </c>
      <c r="M215" s="14">
        <f>VLOOKUP($C215,'Refi Adj'!$B$2:$E$39,4,0)</f>
        <v>0.9</v>
      </c>
      <c r="O215" s="40">
        <f t="shared" ref="O215" si="54">AD201*M215</f>
        <v>2.8164938044042444E-2</v>
      </c>
      <c r="P215" s="40">
        <f t="shared" ref="P215" si="55">AD190</f>
        <v>1.8524238168087199E-2</v>
      </c>
      <c r="Q215" s="40">
        <f t="shared" ref="Q215" si="56">(O215*$O$79+P215*$P$79)</f>
        <v>2.8164938044042444E-2</v>
      </c>
      <c r="R215" s="14"/>
      <c r="S215" s="34">
        <f t="shared" si="44"/>
        <v>3.2493310311172481E-2</v>
      </c>
      <c r="T215" s="2">
        <f t="shared" ref="T215" si="57">100*(1-(1-S215)^12)</f>
        <v>32.725927511706956</v>
      </c>
      <c r="U215" s="33">
        <f t="shared" si="45"/>
        <v>32.725927511706956</v>
      </c>
      <c r="V215" s="7">
        <f t="shared" ref="V215" si="58">D215/S215</f>
        <v>1.5416481532642234</v>
      </c>
      <c r="X215" s="9"/>
      <c r="Y215" s="8"/>
      <c r="Z215" s="8"/>
      <c r="AC215" s="9"/>
      <c r="AD215" s="8"/>
      <c r="AE215" s="8"/>
      <c r="AH215" s="9"/>
      <c r="AI215" s="8"/>
      <c r="AJ215" s="8"/>
    </row>
    <row r="216" spans="1:36" x14ac:dyDescent="0.25">
      <c r="A216" s="4"/>
      <c r="B216" s="3"/>
      <c r="C216" s="2"/>
      <c r="D216" s="8"/>
      <c r="E216" s="8"/>
      <c r="F216" s="3"/>
      <c r="G216" s="2"/>
      <c r="H216" s="2"/>
      <c r="I216" s="33"/>
      <c r="K216" s="14"/>
      <c r="L216" s="14"/>
      <c r="M216" s="14"/>
      <c r="O216" s="40"/>
      <c r="P216" s="40"/>
      <c r="Q216" s="40"/>
      <c r="R216" s="14"/>
      <c r="S216" s="34"/>
      <c r="T216" s="2"/>
      <c r="U216" s="33"/>
      <c r="V216" s="7"/>
      <c r="X216" s="9"/>
      <c r="Y216" s="8"/>
      <c r="Z216" s="8"/>
      <c r="AC216" s="9"/>
      <c r="AD216" s="8"/>
      <c r="AE216" s="8"/>
      <c r="AH216" s="9"/>
      <c r="AI216" s="8"/>
      <c r="AJ216" s="8"/>
    </row>
    <row r="217" spans="1:36" x14ac:dyDescent="0.25">
      <c r="A217" s="4"/>
      <c r="B217" s="3"/>
      <c r="C217" s="2"/>
      <c r="D217" s="8"/>
      <c r="E217" s="8"/>
      <c r="F217" s="3"/>
      <c r="G217" s="2"/>
      <c r="H217" s="2"/>
      <c r="I217" s="33"/>
      <c r="K217" s="14"/>
      <c r="L217" s="14"/>
      <c r="M217" s="14"/>
      <c r="O217" s="40"/>
      <c r="P217" s="40"/>
      <c r="Q217" s="40"/>
      <c r="R217" s="14"/>
      <c r="S217" s="34"/>
      <c r="T217" s="2"/>
      <c r="U217" s="33"/>
      <c r="V217" s="7"/>
      <c r="X217" s="9"/>
      <c r="Y217" s="8"/>
      <c r="Z217" s="8"/>
      <c r="AC217" s="9"/>
      <c r="AD217" s="8"/>
      <c r="AE217" s="8"/>
      <c r="AH217" s="9"/>
      <c r="AI217" s="8"/>
      <c r="AJ217" s="8"/>
    </row>
    <row r="218" spans="1:36" x14ac:dyDescent="0.25">
      <c r="A218" s="4"/>
      <c r="B218" s="3"/>
      <c r="C218" s="2"/>
      <c r="D218" s="8"/>
      <c r="E218" s="8"/>
      <c r="F218" s="3"/>
      <c r="G218" s="2"/>
      <c r="H218" s="2"/>
      <c r="I218" s="33"/>
      <c r="K218" s="14"/>
      <c r="L218" s="14"/>
      <c r="M218" s="14"/>
      <c r="O218" s="40"/>
      <c r="P218" s="40"/>
      <c r="Q218" s="40"/>
      <c r="R218" s="14"/>
      <c r="S218" s="34"/>
      <c r="T218" s="2"/>
      <c r="U218" s="33"/>
      <c r="V218" s="7"/>
      <c r="X218" s="9"/>
      <c r="Y218" s="8"/>
      <c r="Z218" s="8"/>
      <c r="AC218" s="9"/>
      <c r="AD218" s="8"/>
      <c r="AE218" s="8"/>
      <c r="AH218" s="9"/>
      <c r="AI218" s="8"/>
      <c r="AJ218" s="8"/>
    </row>
    <row r="219" spans="1:36" x14ac:dyDescent="0.25">
      <c r="A219" s="4"/>
      <c r="B219" s="3"/>
      <c r="C219" s="2"/>
      <c r="D219" s="8"/>
      <c r="E219" s="8"/>
      <c r="F219" s="3"/>
      <c r="G219" s="2"/>
      <c r="H219" s="2"/>
      <c r="I219" s="33"/>
      <c r="K219" s="14"/>
      <c r="L219" s="14"/>
      <c r="M219" s="14"/>
      <c r="O219" s="40"/>
      <c r="P219" s="40"/>
      <c r="Q219" s="40"/>
      <c r="R219" s="14"/>
      <c r="S219" s="34"/>
      <c r="T219" s="2"/>
      <c r="U219" s="33"/>
      <c r="V219" s="7"/>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33"/>
      <c r="V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33"/>
      <c r="V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33"/>
      <c r="V222" s="7"/>
      <c r="X222" s="9"/>
      <c r="Y222" s="8"/>
      <c r="Z222" s="8"/>
      <c r="AC222" s="9"/>
      <c r="AD222" s="8"/>
      <c r="AE222" s="8"/>
      <c r="AH222" s="9"/>
      <c r="AI222" s="8"/>
      <c r="AJ222" s="8"/>
    </row>
    <row r="223" spans="1:36" s="24" customFormat="1" x14ac:dyDescent="0.25">
      <c r="A223" s="4"/>
      <c r="B223" s="3"/>
      <c r="C223" s="2"/>
      <c r="D223" s="8"/>
      <c r="E223" s="8"/>
      <c r="F223" s="3"/>
      <c r="G223" s="2"/>
      <c r="H223" s="2"/>
      <c r="I223" s="33"/>
      <c r="J223"/>
      <c r="K223" s="14"/>
      <c r="L223" s="14"/>
      <c r="M223" s="14"/>
      <c r="O223" s="40"/>
      <c r="P223" s="40"/>
      <c r="Q223" s="40"/>
      <c r="R223" s="14"/>
      <c r="S223" s="34"/>
      <c r="T223" s="2"/>
      <c r="U223" s="33"/>
      <c r="V223" s="7"/>
      <c r="W223"/>
      <c r="X223" s="9"/>
      <c r="Y223" s="8"/>
      <c r="Z223" s="8"/>
      <c r="AA223"/>
      <c r="AB223"/>
      <c r="AC223" s="9"/>
      <c r="AD223" s="8"/>
      <c r="AE223" s="8"/>
      <c r="AF223"/>
      <c r="AG223"/>
      <c r="AH223" s="9"/>
      <c r="AI223" s="8"/>
      <c r="AJ223" s="8"/>
    </row>
    <row r="224" spans="1:36" s="24" customFormat="1" x14ac:dyDescent="0.25">
      <c r="A224" s="4"/>
      <c r="B224" s="3"/>
      <c r="C224" s="2"/>
      <c r="D224" s="8"/>
      <c r="E224" s="8"/>
      <c r="F224" s="3"/>
      <c r="G224" s="2"/>
      <c r="H224" s="2"/>
      <c r="I224" s="33"/>
      <c r="J224"/>
      <c r="K224" s="14"/>
      <c r="L224" s="14"/>
      <c r="M224" s="14"/>
      <c r="O224" s="40"/>
      <c r="P224" s="40"/>
      <c r="Q224" s="40"/>
      <c r="R224" s="14"/>
      <c r="S224" s="34"/>
      <c r="T224" s="2"/>
      <c r="U224" s="33"/>
      <c r="V224" s="7"/>
      <c r="W224"/>
      <c r="X224" s="9"/>
      <c r="Y224" s="8"/>
      <c r="Z224" s="8"/>
      <c r="AA224"/>
      <c r="AB224"/>
      <c r="AC224" s="9"/>
      <c r="AD224" s="8"/>
      <c r="AE224" s="8"/>
      <c r="AF224"/>
      <c r="AG224"/>
      <c r="AH224" s="9"/>
      <c r="AI224" s="8"/>
      <c r="AJ224" s="8"/>
    </row>
    <row r="225" spans="1:50" s="24" customFormat="1" x14ac:dyDescent="0.25">
      <c r="A225" s="4"/>
      <c r="B225" s="3"/>
      <c r="C225" s="2"/>
      <c r="D225" s="8"/>
      <c r="E225" s="8"/>
      <c r="F225" s="3"/>
      <c r="G225" s="2"/>
      <c r="H225" s="2"/>
      <c r="I225" s="33"/>
      <c r="J225"/>
      <c r="K225" s="14"/>
      <c r="L225" s="14"/>
      <c r="M225" s="14"/>
      <c r="O225" s="40"/>
      <c r="P225" s="40"/>
      <c r="Q225" s="40"/>
      <c r="R225" s="14"/>
      <c r="S225" s="34"/>
      <c r="T225" s="2"/>
      <c r="U225" s="33"/>
      <c r="V225" s="7"/>
      <c r="W225"/>
      <c r="X225" s="9"/>
      <c r="Y225" s="8"/>
      <c r="Z225" s="8"/>
      <c r="AA225"/>
      <c r="AB225"/>
      <c r="AC225" s="9"/>
      <c r="AD225" s="8"/>
      <c r="AE225" s="8"/>
      <c r="AF225"/>
      <c r="AG225"/>
      <c r="AH225" s="9"/>
      <c r="AI225" s="8"/>
      <c r="AJ225" s="8"/>
    </row>
    <row r="226" spans="1:50" s="24" customFormat="1" x14ac:dyDescent="0.25">
      <c r="A226" s="4"/>
      <c r="B226" s="3"/>
      <c r="C226" s="2"/>
      <c r="D226" s="8"/>
      <c r="E226" s="8"/>
      <c r="F226" s="3"/>
      <c r="G226" s="2"/>
      <c r="H226" s="2"/>
      <c r="I226" s="33"/>
      <c r="J226"/>
      <c r="K226" s="14"/>
      <c r="L226" s="14"/>
      <c r="M226" s="14"/>
      <c r="O226" s="40"/>
      <c r="P226" s="40"/>
      <c r="Q226" s="40"/>
      <c r="R226" s="14"/>
      <c r="S226" s="34"/>
      <c r="T226" s="2"/>
      <c r="U226" s="33"/>
      <c r="V226" s="7"/>
      <c r="W226"/>
      <c r="X226" s="9"/>
      <c r="Y226" s="8"/>
      <c r="Z226" s="8"/>
      <c r="AA226"/>
      <c r="AB226"/>
      <c r="AC226" s="9"/>
      <c r="AD226" s="8"/>
      <c r="AE226" s="8"/>
      <c r="AF226"/>
      <c r="AG226"/>
      <c r="AH226" s="9"/>
      <c r="AI226" s="8"/>
      <c r="AJ226" s="8"/>
    </row>
    <row r="227" spans="1:50" x14ac:dyDescent="0.25">
      <c r="A227" s="4"/>
      <c r="B227" s="3"/>
      <c r="C227" s="2"/>
      <c r="D227" s="8"/>
      <c r="E227" s="8"/>
      <c r="F227" s="3"/>
      <c r="G227" s="2"/>
      <c r="H227" s="2"/>
      <c r="I227" s="33"/>
      <c r="K227" s="14"/>
      <c r="L227" s="14"/>
      <c r="M227" s="14"/>
      <c r="O227" s="40"/>
      <c r="P227" s="40"/>
      <c r="Q227" s="40"/>
      <c r="R227" s="14"/>
      <c r="S227" s="34"/>
      <c r="T227" s="2"/>
      <c r="U227" s="33"/>
      <c r="V227" s="7"/>
      <c r="X227" s="9"/>
      <c r="Y227" s="8"/>
      <c r="Z227" s="8"/>
      <c r="AC227" s="9"/>
      <c r="AD227" s="8"/>
      <c r="AE227" s="8"/>
      <c r="AH227" s="9"/>
      <c r="AI227" s="8"/>
      <c r="AJ227" s="8"/>
    </row>
    <row r="228" spans="1:50" x14ac:dyDescent="0.25">
      <c r="A228" s="4"/>
      <c r="B228" s="3"/>
      <c r="C228" s="2"/>
      <c r="D228" s="8"/>
      <c r="E228" s="8"/>
      <c r="F228" s="3"/>
      <c r="G228" s="2"/>
      <c r="H228" s="2"/>
      <c r="I228" s="33"/>
      <c r="K228" s="14"/>
      <c r="L228" s="14"/>
      <c r="M228" s="14"/>
      <c r="O228" s="40"/>
      <c r="P228" s="40"/>
      <c r="Q228" s="40"/>
      <c r="R228" s="14"/>
      <c r="S228" s="34"/>
      <c r="T228" s="2"/>
      <c r="U228" s="33"/>
      <c r="V228" s="7"/>
      <c r="X228" s="9"/>
      <c r="Y228" s="8"/>
      <c r="Z228" s="8"/>
      <c r="AC228" s="9"/>
      <c r="AD228" s="8"/>
      <c r="AE228" s="8"/>
      <c r="AH228" s="9"/>
      <c r="AI228" s="8"/>
      <c r="AJ228" s="8"/>
    </row>
    <row r="229" spans="1:50" x14ac:dyDescent="0.25">
      <c r="A229" s="4"/>
      <c r="B229" s="3"/>
      <c r="C229" s="2"/>
      <c r="D229" s="8"/>
      <c r="E229" s="8"/>
      <c r="F229" s="3"/>
      <c r="G229" s="2"/>
      <c r="H229" s="2"/>
      <c r="I229" s="33"/>
      <c r="K229" s="14"/>
      <c r="L229" s="14"/>
      <c r="M229" s="14"/>
      <c r="O229" s="40"/>
      <c r="P229" s="40"/>
      <c r="Q229" s="40"/>
      <c r="R229" s="14"/>
      <c r="S229" s="34"/>
      <c r="T229" s="2"/>
      <c r="U229" s="33"/>
      <c r="V229" s="7"/>
      <c r="X229" s="9"/>
      <c r="Y229" s="8"/>
      <c r="Z229" s="8"/>
      <c r="AC229" s="9"/>
      <c r="AD229" s="8"/>
      <c r="AE229" s="8"/>
      <c r="AH229" s="9"/>
      <c r="AI229" s="8"/>
      <c r="AJ229" s="8"/>
    </row>
    <row r="230" spans="1:50" x14ac:dyDescent="0.25">
      <c r="A230" s="4"/>
      <c r="B230" s="3"/>
      <c r="C230" s="2"/>
      <c r="D230" s="8"/>
      <c r="E230" s="8"/>
      <c r="F230" s="3"/>
      <c r="G230" s="2"/>
      <c r="H230" s="2"/>
      <c r="I230" s="33"/>
      <c r="K230" s="14"/>
      <c r="L230" s="14"/>
      <c r="M230" s="14"/>
      <c r="O230" s="40"/>
      <c r="P230" s="40"/>
      <c r="Q230" s="40"/>
      <c r="R230" s="14"/>
      <c r="S230" s="34"/>
      <c r="T230" s="2"/>
      <c r="U230" s="33"/>
      <c r="V230" s="7"/>
      <c r="X230" s="9"/>
      <c r="Y230" s="8"/>
      <c r="Z230" s="8"/>
      <c r="AC230" s="9"/>
      <c r="AD230" s="8"/>
      <c r="AE230" s="8"/>
      <c r="AH230" s="9"/>
      <c r="AI230" s="8"/>
      <c r="AJ230" s="8"/>
      <c r="AK230" s="4"/>
      <c r="AL230" s="4"/>
      <c r="AM230" s="4"/>
      <c r="AN230" s="4"/>
      <c r="AO230" s="4"/>
      <c r="AP230" s="4"/>
      <c r="AQ230" s="6"/>
      <c r="AR230" s="4"/>
      <c r="AS230" s="15"/>
      <c r="AT230" s="15"/>
      <c r="AU230" s="15"/>
      <c r="AV230" s="15"/>
      <c r="AW230" s="15"/>
      <c r="AX230" s="15"/>
    </row>
  </sheetData>
  <conditionalFormatting sqref="F87:F113">
    <cfRule type="colorScale" priority="15">
      <colorScale>
        <cfvo type="min"/>
        <cfvo type="num" val="1"/>
        <cfvo type="max"/>
        <color rgb="FFF8696B"/>
        <color theme="0"/>
        <color theme="4"/>
      </colorScale>
    </cfRule>
  </conditionalFormatting>
  <conditionalFormatting sqref="B83:B113">
    <cfRule type="dataBar" priority="16">
      <dataBar>
        <cfvo type="min"/>
        <cfvo type="max"/>
        <color rgb="FF638EC6"/>
      </dataBar>
      <extLst>
        <ext xmlns:x14="http://schemas.microsoft.com/office/spreadsheetml/2009/9/main" uri="{B025F937-C7B1-47D3-B67F-A62EFF666E3E}">
          <x14:id>{2D47F72F-938D-4352-BFEC-E80E8439521A}</x14:id>
        </ext>
      </extLst>
    </cfRule>
  </conditionalFormatting>
  <conditionalFormatting sqref="F114:F116">
    <cfRule type="colorScale" priority="13">
      <colorScale>
        <cfvo type="min"/>
        <cfvo type="num" val="1"/>
        <cfvo type="max"/>
        <color rgb="FFF8696B"/>
        <color theme="0"/>
        <color theme="4"/>
      </colorScale>
    </cfRule>
  </conditionalFormatting>
  <conditionalFormatting sqref="P114:P116">
    <cfRule type="colorScale" priority="12">
      <colorScale>
        <cfvo type="min"/>
        <cfvo type="num" val="1"/>
        <cfvo type="max"/>
        <color rgb="FFF8696B"/>
        <color theme="0"/>
        <color theme="4"/>
      </colorScale>
    </cfRule>
  </conditionalFormatting>
  <conditionalFormatting sqref="B114:B115">
    <cfRule type="dataBar" priority="14">
      <dataBar>
        <cfvo type="min"/>
        <cfvo type="max"/>
        <color rgb="FF638EC6"/>
      </dataBar>
      <extLst>
        <ext xmlns:x14="http://schemas.microsoft.com/office/spreadsheetml/2009/9/main" uri="{B025F937-C7B1-47D3-B67F-A62EFF666E3E}">
          <x14:id>{903F46A6-3A5A-4C33-8222-A6E37E824AC8}</x14:id>
        </ext>
      </extLst>
    </cfRule>
  </conditionalFormatting>
  <conditionalFormatting sqref="AQ104">
    <cfRule type="dataBar" priority="11">
      <dataBar>
        <cfvo type="min"/>
        <cfvo type="max"/>
        <color rgb="FF638EC6"/>
      </dataBar>
      <extLst>
        <ext xmlns:x14="http://schemas.microsoft.com/office/spreadsheetml/2009/9/main" uri="{B025F937-C7B1-47D3-B67F-A62EFF666E3E}">
          <x14:id>{DA56AC16-1B49-406A-9942-EA7BAF0E0337}</x14:id>
        </ext>
      </extLst>
    </cfRule>
  </conditionalFormatting>
  <conditionalFormatting sqref="AQ42:AQ64">
    <cfRule type="dataBar" priority="10">
      <dataBar>
        <cfvo type="min"/>
        <cfvo type="max"/>
        <color rgb="FF638EC6"/>
      </dataBar>
      <extLst>
        <ext xmlns:x14="http://schemas.microsoft.com/office/spreadsheetml/2009/9/main" uri="{B025F937-C7B1-47D3-B67F-A62EFF666E3E}">
          <x14:id>{96BC29E7-DBAB-44E9-802D-C244DDC45E97}</x14:id>
        </ext>
      </extLst>
    </cfRule>
  </conditionalFormatting>
  <conditionalFormatting sqref="AQ65:AQ75">
    <cfRule type="dataBar" priority="9">
      <dataBar>
        <cfvo type="min"/>
        <cfvo type="max"/>
        <color rgb="FF638EC6"/>
      </dataBar>
      <extLst>
        <ext xmlns:x14="http://schemas.microsoft.com/office/spreadsheetml/2009/9/main" uri="{B025F937-C7B1-47D3-B67F-A62EFF666E3E}">
          <x14:id>{C86D0531-24D3-4744-A0A7-D767E151C1B7}</x14:id>
        </ext>
      </extLst>
    </cfRule>
  </conditionalFormatting>
  <conditionalFormatting sqref="AQ3:AQ36">
    <cfRule type="dataBar" priority="8">
      <dataBar>
        <cfvo type="min"/>
        <cfvo type="max"/>
        <color rgb="FF638EC6"/>
      </dataBar>
      <extLst>
        <ext xmlns:x14="http://schemas.microsoft.com/office/spreadsheetml/2009/9/main" uri="{B025F937-C7B1-47D3-B67F-A62EFF666E3E}">
          <x14:id>{21ED1511-C844-4DFA-83AB-56D9B5095966}</x14:id>
        </ext>
      </extLst>
    </cfRule>
  </conditionalFormatting>
  <conditionalFormatting sqref="F163:F180">
    <cfRule type="colorScale" priority="6">
      <colorScale>
        <cfvo type="min"/>
        <cfvo type="num" val="1"/>
        <cfvo type="max"/>
        <color rgb="FFF8696B"/>
        <color theme="0"/>
        <color theme="4"/>
      </colorScale>
    </cfRule>
  </conditionalFormatting>
  <conditionalFormatting sqref="B159:B180">
    <cfRule type="dataBar" priority="7">
      <dataBar>
        <cfvo type="min"/>
        <cfvo type="max"/>
        <color rgb="FF638EC6"/>
      </dataBar>
      <extLst>
        <ext xmlns:x14="http://schemas.microsoft.com/office/spreadsheetml/2009/9/main" uri="{B025F937-C7B1-47D3-B67F-A62EFF666E3E}">
          <x14:id>{8DFF1617-EB7E-440C-A0CC-3D3CCC09CBE6}</x14:id>
        </ext>
      </extLst>
    </cfRule>
  </conditionalFormatting>
  <conditionalFormatting sqref="AQ180">
    <cfRule type="dataBar" priority="5">
      <dataBar>
        <cfvo type="min"/>
        <cfvo type="max"/>
        <color rgb="FF638EC6"/>
      </dataBar>
      <extLst>
        <ext xmlns:x14="http://schemas.microsoft.com/office/spreadsheetml/2009/9/main" uri="{B025F937-C7B1-47D3-B67F-A62EFF666E3E}">
          <x14:id>{1EEE5FD2-A1F6-48E2-B514-86AB22CED20C}</x14:id>
        </ext>
      </extLst>
    </cfRule>
  </conditionalFormatting>
  <conditionalFormatting sqref="AQ123:AQ134">
    <cfRule type="dataBar" priority="17">
      <dataBar>
        <cfvo type="min"/>
        <cfvo type="max"/>
        <color rgb="FF638EC6"/>
      </dataBar>
      <extLst>
        <ext xmlns:x14="http://schemas.microsoft.com/office/spreadsheetml/2009/9/main" uri="{B025F937-C7B1-47D3-B67F-A62EFF666E3E}">
          <x14:id>{2208B9D2-BB1C-44D0-AA5A-345F68F4CC7E}</x14:id>
        </ext>
      </extLst>
    </cfRule>
  </conditionalFormatting>
  <conditionalFormatting sqref="AQ140:AQ150">
    <cfRule type="dataBar" priority="18">
      <dataBar>
        <cfvo type="min"/>
        <cfvo type="max"/>
        <color rgb="FF638EC6"/>
      </dataBar>
      <extLst>
        <ext xmlns:x14="http://schemas.microsoft.com/office/spreadsheetml/2009/9/main" uri="{B025F937-C7B1-47D3-B67F-A62EFF666E3E}">
          <x14:id>{292AF2B9-6538-4928-9506-958CA7E9C314}</x14:id>
        </ext>
      </extLst>
    </cfRule>
  </conditionalFormatting>
  <conditionalFormatting sqref="AQ151">
    <cfRule type="dataBar" priority="19">
      <dataBar>
        <cfvo type="min"/>
        <cfvo type="max"/>
        <color rgb="FF638EC6"/>
      </dataBar>
      <extLst>
        <ext xmlns:x14="http://schemas.microsoft.com/office/spreadsheetml/2009/9/main" uri="{B025F937-C7B1-47D3-B67F-A62EFF666E3E}">
          <x14:id>{37C5C761-4C98-4AAB-847D-7831187A39DA}</x14:id>
        </ext>
      </extLst>
    </cfRule>
  </conditionalFormatting>
  <conditionalFormatting sqref="F213:F230">
    <cfRule type="colorScale" priority="2">
      <colorScale>
        <cfvo type="min"/>
        <cfvo type="num" val="1"/>
        <cfvo type="max"/>
        <color rgb="FFF8696B"/>
        <color theme="0"/>
        <color theme="4"/>
      </colorScale>
    </cfRule>
  </conditionalFormatting>
  <conditionalFormatting sqref="B209:B230">
    <cfRule type="dataBar" priority="3">
      <dataBar>
        <cfvo type="min"/>
        <cfvo type="max"/>
        <color rgb="FF638EC6"/>
      </dataBar>
      <extLst>
        <ext xmlns:x14="http://schemas.microsoft.com/office/spreadsheetml/2009/9/main" uri="{B025F937-C7B1-47D3-B67F-A62EFF666E3E}">
          <x14:id>{8D154ADD-5470-4565-869A-FC9FD5F06D08}</x14:id>
        </ext>
      </extLst>
    </cfRule>
  </conditionalFormatting>
  <conditionalFormatting sqref="AQ230">
    <cfRule type="dataBar" priority="1">
      <dataBar>
        <cfvo type="min"/>
        <cfvo type="max"/>
        <color rgb="FF638EC6"/>
      </dataBar>
      <extLst>
        <ext xmlns:x14="http://schemas.microsoft.com/office/spreadsheetml/2009/9/main" uri="{B025F937-C7B1-47D3-B67F-A62EFF666E3E}">
          <x14:id>{799C1371-BE99-4F9B-B6F8-9458C69BF13A}</x14:id>
        </ext>
      </extLst>
    </cfRule>
  </conditionalFormatting>
  <conditionalFormatting sqref="AQ201">
    <cfRule type="dataBar" priority="4">
      <dataBar>
        <cfvo type="min"/>
        <cfvo type="max"/>
        <color rgb="FF638EC6"/>
      </dataBar>
      <extLst>
        <ext xmlns:x14="http://schemas.microsoft.com/office/spreadsheetml/2009/9/main" uri="{B025F937-C7B1-47D3-B67F-A62EFF666E3E}">
          <x14:id>{AAE9BB5A-21EA-42E7-90AD-992E69EA3E13}</x14:id>
        </ext>
      </extLst>
    </cfRule>
  </conditionalFormatting>
  <conditionalFormatting sqref="AQ184:AQ190">
    <cfRule type="dataBar" priority="20">
      <dataBar>
        <cfvo type="min"/>
        <cfvo type="max"/>
        <color rgb="FF638EC6"/>
      </dataBar>
      <extLst>
        <ext xmlns:x14="http://schemas.microsoft.com/office/spreadsheetml/2009/9/main" uri="{B025F937-C7B1-47D3-B67F-A62EFF666E3E}">
          <x14:id>{DA8170CD-849C-4C0D-94D0-85D81110D5B3}</x14:id>
        </ext>
      </extLst>
    </cfRule>
  </conditionalFormatting>
  <conditionalFormatting sqref="AQ195:AQ200">
    <cfRule type="dataBar" priority="21">
      <dataBar>
        <cfvo type="min"/>
        <cfvo type="max"/>
        <color rgb="FF638EC6"/>
      </dataBar>
      <extLst>
        <ext xmlns:x14="http://schemas.microsoft.com/office/spreadsheetml/2009/9/main" uri="{B025F937-C7B1-47D3-B67F-A62EFF666E3E}">
          <x14:id>{72EC3046-1FBB-4551-AD35-B69DAD75F4E8}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D47F72F-938D-4352-BFEC-E80E8439521A}">
            <x14:dataBar minLength="0" maxLength="100" border="1" negativeBarBorderColorSameAsPositive="0">
              <x14:cfvo type="autoMin"/>
              <x14:cfvo type="autoMax"/>
              <x14:borderColor rgb="FF638EC6"/>
              <x14:negativeFillColor rgb="FFFF0000"/>
              <x14:negativeBorderColor rgb="FFFF0000"/>
              <x14:axisColor rgb="FF000000"/>
            </x14:dataBar>
          </x14:cfRule>
          <xm:sqref>B83:B113</xm:sqref>
        </x14:conditionalFormatting>
        <x14:conditionalFormatting xmlns:xm="http://schemas.microsoft.com/office/excel/2006/main">
          <x14:cfRule type="dataBar" id="{903F46A6-3A5A-4C33-8222-A6E37E824AC8}">
            <x14:dataBar minLength="0" maxLength="100" border="1" negativeBarBorderColorSameAsPositive="0">
              <x14:cfvo type="autoMin"/>
              <x14:cfvo type="autoMax"/>
              <x14:borderColor rgb="FF638EC6"/>
              <x14:negativeFillColor rgb="FFFF0000"/>
              <x14:negativeBorderColor rgb="FFFF0000"/>
              <x14:axisColor rgb="FF000000"/>
            </x14:dataBar>
          </x14:cfRule>
          <xm:sqref>B114:B115</xm:sqref>
        </x14:conditionalFormatting>
        <x14:conditionalFormatting xmlns:xm="http://schemas.microsoft.com/office/excel/2006/main">
          <x14:cfRule type="dataBar" id="{DA56AC16-1B49-406A-9942-EA7BAF0E0337}">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96BC29E7-DBAB-44E9-802D-C244DDC45E97}">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C86D0531-24D3-4744-A0A7-D767E151C1B7}">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21ED1511-C844-4DFA-83AB-56D9B5095966}">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8DFF1617-EB7E-440C-A0CC-3D3CCC09CBE6}">
            <x14:dataBar minLength="0" maxLength="100" border="1" negativeBarBorderColorSameAsPositive="0">
              <x14:cfvo type="autoMin"/>
              <x14:cfvo type="autoMax"/>
              <x14:borderColor rgb="FF638EC6"/>
              <x14:negativeFillColor rgb="FFFF0000"/>
              <x14:negativeBorderColor rgb="FFFF0000"/>
              <x14:axisColor rgb="FF000000"/>
            </x14:dataBar>
          </x14:cfRule>
          <xm:sqref>B159:B180</xm:sqref>
        </x14:conditionalFormatting>
        <x14:conditionalFormatting xmlns:xm="http://schemas.microsoft.com/office/excel/2006/main">
          <x14:cfRule type="dataBar" id="{1EEE5FD2-A1F6-48E2-B514-86AB22CED20C}">
            <x14:dataBar minLength="0" maxLength="100" border="1" negativeBarBorderColorSameAsPositive="0">
              <x14:cfvo type="autoMin"/>
              <x14:cfvo type="autoMax"/>
              <x14:borderColor rgb="FF638EC6"/>
              <x14:negativeFillColor rgb="FFFF0000"/>
              <x14:negativeBorderColor rgb="FFFF0000"/>
              <x14:axisColor rgb="FF000000"/>
            </x14:dataBar>
          </x14:cfRule>
          <xm:sqref>AQ180</xm:sqref>
        </x14:conditionalFormatting>
        <x14:conditionalFormatting xmlns:xm="http://schemas.microsoft.com/office/excel/2006/main">
          <x14:cfRule type="dataBar" id="{2208B9D2-BB1C-44D0-AA5A-345F68F4CC7E}">
            <x14:dataBar minLength="0" maxLength="100" border="1" negativeBarBorderColorSameAsPositive="0">
              <x14:cfvo type="autoMin"/>
              <x14:cfvo type="autoMax"/>
              <x14:borderColor rgb="FF638EC6"/>
              <x14:negativeFillColor rgb="FFFF0000"/>
              <x14:negativeBorderColor rgb="FFFF0000"/>
              <x14:axisColor rgb="FF000000"/>
            </x14:dataBar>
          </x14:cfRule>
          <xm:sqref>AQ123:AQ134</xm:sqref>
        </x14:conditionalFormatting>
        <x14:conditionalFormatting xmlns:xm="http://schemas.microsoft.com/office/excel/2006/main">
          <x14:cfRule type="dataBar" id="{292AF2B9-6538-4928-9506-958CA7E9C314}">
            <x14:dataBar minLength="0" maxLength="100" border="1" negativeBarBorderColorSameAsPositive="0">
              <x14:cfvo type="autoMin"/>
              <x14:cfvo type="autoMax"/>
              <x14:borderColor rgb="FF638EC6"/>
              <x14:negativeFillColor rgb="FFFF0000"/>
              <x14:negativeBorderColor rgb="FFFF0000"/>
              <x14:axisColor rgb="FF000000"/>
            </x14:dataBar>
          </x14:cfRule>
          <xm:sqref>AQ140:AQ150</xm:sqref>
        </x14:conditionalFormatting>
        <x14:conditionalFormatting xmlns:xm="http://schemas.microsoft.com/office/excel/2006/main">
          <x14:cfRule type="dataBar" id="{37C5C761-4C98-4AAB-847D-7831187A39DA}">
            <x14:dataBar minLength="0" maxLength="100" border="1" negativeBarBorderColorSameAsPositive="0">
              <x14:cfvo type="autoMin"/>
              <x14:cfvo type="autoMax"/>
              <x14:borderColor rgb="FF638EC6"/>
              <x14:negativeFillColor rgb="FFFF0000"/>
              <x14:negativeBorderColor rgb="FFFF0000"/>
              <x14:axisColor rgb="FF000000"/>
            </x14:dataBar>
          </x14:cfRule>
          <xm:sqref>AQ151</xm:sqref>
        </x14:conditionalFormatting>
        <x14:conditionalFormatting xmlns:xm="http://schemas.microsoft.com/office/excel/2006/main">
          <x14:cfRule type="dataBar" id="{8D154ADD-5470-4565-869A-FC9FD5F06D08}">
            <x14:dataBar minLength="0" maxLength="100" border="1" negativeBarBorderColorSameAsPositive="0">
              <x14:cfvo type="autoMin"/>
              <x14:cfvo type="autoMax"/>
              <x14:borderColor rgb="FF638EC6"/>
              <x14:negativeFillColor rgb="FFFF0000"/>
              <x14:negativeBorderColor rgb="FFFF0000"/>
              <x14:axisColor rgb="FF000000"/>
            </x14:dataBar>
          </x14:cfRule>
          <xm:sqref>B209:B230</xm:sqref>
        </x14:conditionalFormatting>
        <x14:conditionalFormatting xmlns:xm="http://schemas.microsoft.com/office/excel/2006/main">
          <x14:cfRule type="dataBar" id="{799C1371-BE99-4F9B-B6F8-9458C69BF13A}">
            <x14:dataBar minLength="0" maxLength="100" border="1" negativeBarBorderColorSameAsPositive="0">
              <x14:cfvo type="autoMin"/>
              <x14:cfvo type="autoMax"/>
              <x14:borderColor rgb="FF638EC6"/>
              <x14:negativeFillColor rgb="FFFF0000"/>
              <x14:negativeBorderColor rgb="FFFF0000"/>
              <x14:axisColor rgb="FF000000"/>
            </x14:dataBar>
          </x14:cfRule>
          <xm:sqref>AQ230</xm:sqref>
        </x14:conditionalFormatting>
        <x14:conditionalFormatting xmlns:xm="http://schemas.microsoft.com/office/excel/2006/main">
          <x14:cfRule type="dataBar" id="{AAE9BB5A-21EA-42E7-90AD-992E69EA3E13}">
            <x14:dataBar minLength="0" maxLength="100" border="1" negativeBarBorderColorSameAsPositive="0">
              <x14:cfvo type="autoMin"/>
              <x14:cfvo type="autoMax"/>
              <x14:borderColor rgb="FF638EC6"/>
              <x14:negativeFillColor rgb="FFFF0000"/>
              <x14:negativeBorderColor rgb="FFFF0000"/>
              <x14:axisColor rgb="FF000000"/>
            </x14:dataBar>
          </x14:cfRule>
          <xm:sqref>AQ201</xm:sqref>
        </x14:conditionalFormatting>
        <x14:conditionalFormatting xmlns:xm="http://schemas.microsoft.com/office/excel/2006/main">
          <x14:cfRule type="dataBar" id="{DA8170CD-849C-4C0D-94D0-85D81110D5B3}">
            <x14:dataBar minLength="0" maxLength="100" border="1" negativeBarBorderColorSameAsPositive="0">
              <x14:cfvo type="autoMin"/>
              <x14:cfvo type="autoMax"/>
              <x14:borderColor rgb="FF638EC6"/>
              <x14:negativeFillColor rgb="FFFF0000"/>
              <x14:negativeBorderColor rgb="FFFF0000"/>
              <x14:axisColor rgb="FF000000"/>
            </x14:dataBar>
          </x14:cfRule>
          <xm:sqref>AQ184:AQ190</xm:sqref>
        </x14:conditionalFormatting>
        <x14:conditionalFormatting xmlns:xm="http://schemas.microsoft.com/office/excel/2006/main">
          <x14:cfRule type="dataBar" id="{72EC3046-1FBB-4551-AD35-B69DAD75F4E8}">
            <x14:dataBar minLength="0" maxLength="100" border="1" negativeBarBorderColorSameAsPositive="0">
              <x14:cfvo type="autoMin"/>
              <x14:cfvo type="autoMax"/>
              <x14:borderColor rgb="FF638EC6"/>
              <x14:negativeFillColor rgb="FFFF0000"/>
              <x14:negativeBorderColor rgb="FFFF0000"/>
              <x14:axisColor rgb="FF000000"/>
            </x14:dataBar>
          </x14:cfRule>
          <xm:sqref>AQ195:AQ200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zoomScale="80" zoomScaleNormal="80" workbookViewId="0">
      <selection activeCell="H35" sqref="H35"/>
    </sheetView>
  </sheetViews>
  <sheetFormatPr defaultRowHeight="15" x14ac:dyDescent="0.25"/>
  <cols>
    <col min="1" max="1" width="11" bestFit="1" customWidth="1"/>
    <col min="2" max="2" width="15.28515625" bestFit="1" customWidth="1"/>
  </cols>
  <sheetData>
    <row r="1" spans="1:5" x14ac:dyDescent="0.25">
      <c r="C1" t="s">
        <v>98</v>
      </c>
      <c r="D1" t="s">
        <v>89</v>
      </c>
      <c r="E1" t="s">
        <v>90</v>
      </c>
    </row>
    <row r="2" spans="1:5" x14ac:dyDescent="0.25">
      <c r="A2" t="s">
        <v>162</v>
      </c>
      <c r="B2" t="s">
        <v>58</v>
      </c>
      <c r="C2" t="s">
        <v>92</v>
      </c>
      <c r="D2" t="s">
        <v>92</v>
      </c>
      <c r="E2" t="s">
        <v>92</v>
      </c>
    </row>
    <row r="3" spans="1:5" x14ac:dyDescent="0.25">
      <c r="B3" t="s">
        <v>172</v>
      </c>
      <c r="C3">
        <v>1</v>
      </c>
      <c r="D3">
        <v>1</v>
      </c>
      <c r="E3">
        <v>1</v>
      </c>
    </row>
    <row r="4" spans="1:5" x14ac:dyDescent="0.25">
      <c r="B4" t="s">
        <v>62</v>
      </c>
      <c r="C4">
        <v>1</v>
      </c>
      <c r="D4">
        <v>1</v>
      </c>
      <c r="E4">
        <v>1</v>
      </c>
    </row>
    <row r="5" spans="1:5" x14ac:dyDescent="0.25">
      <c r="B5" t="s">
        <v>63</v>
      </c>
      <c r="C5">
        <v>1</v>
      </c>
      <c r="D5">
        <v>1</v>
      </c>
      <c r="E5">
        <v>1</v>
      </c>
    </row>
    <row r="6" spans="1:5" x14ac:dyDescent="0.25">
      <c r="B6" t="s">
        <v>64</v>
      </c>
      <c r="C6">
        <v>1</v>
      </c>
      <c r="D6">
        <v>1</v>
      </c>
      <c r="E6">
        <v>1</v>
      </c>
    </row>
    <row r="7" spans="1:5" x14ac:dyDescent="0.25">
      <c r="B7" t="s">
        <v>65</v>
      </c>
      <c r="C7">
        <v>1</v>
      </c>
      <c r="D7">
        <v>1</v>
      </c>
      <c r="E7">
        <v>0.5</v>
      </c>
    </row>
    <row r="8" spans="1:5" x14ac:dyDescent="0.25">
      <c r="B8" t="s">
        <v>66</v>
      </c>
      <c r="C8">
        <v>1</v>
      </c>
      <c r="D8">
        <v>1</v>
      </c>
      <c r="E8">
        <v>0.5</v>
      </c>
    </row>
    <row r="9" spans="1:5" x14ac:dyDescent="0.25">
      <c r="B9" t="s">
        <v>137</v>
      </c>
      <c r="C9">
        <v>1</v>
      </c>
      <c r="D9">
        <v>1</v>
      </c>
      <c r="E9">
        <v>0.51</v>
      </c>
    </row>
    <row r="10" spans="1:5" x14ac:dyDescent="0.25">
      <c r="B10" t="s">
        <v>138</v>
      </c>
      <c r="C10">
        <v>1</v>
      </c>
      <c r="D10">
        <v>1</v>
      </c>
      <c r="E10">
        <v>0.52</v>
      </c>
    </row>
    <row r="11" spans="1:5" x14ac:dyDescent="0.25">
      <c r="B11" t="s">
        <v>139</v>
      </c>
      <c r="C11">
        <v>1</v>
      </c>
      <c r="D11">
        <v>1</v>
      </c>
      <c r="E11">
        <v>0.53</v>
      </c>
    </row>
    <row r="12" spans="1:5" x14ac:dyDescent="0.25">
      <c r="B12" t="s">
        <v>140</v>
      </c>
      <c r="C12">
        <v>1</v>
      </c>
      <c r="D12">
        <v>1</v>
      </c>
      <c r="E12">
        <v>0.54</v>
      </c>
    </row>
    <row r="13" spans="1:5" x14ac:dyDescent="0.25">
      <c r="B13" t="s">
        <v>67</v>
      </c>
      <c r="C13">
        <v>1</v>
      </c>
      <c r="D13">
        <v>1</v>
      </c>
      <c r="E13">
        <v>0.55000000000000004</v>
      </c>
    </row>
    <row r="14" spans="1:5" x14ac:dyDescent="0.25">
      <c r="B14" t="s">
        <v>141</v>
      </c>
      <c r="C14">
        <v>1</v>
      </c>
      <c r="D14">
        <v>1</v>
      </c>
      <c r="E14">
        <v>0.60000000000000009</v>
      </c>
    </row>
    <row r="15" spans="1:5" x14ac:dyDescent="0.25">
      <c r="B15" t="s">
        <v>142</v>
      </c>
      <c r="C15">
        <v>1</v>
      </c>
      <c r="D15">
        <v>1</v>
      </c>
      <c r="E15">
        <v>0.65</v>
      </c>
    </row>
    <row r="16" spans="1:5" x14ac:dyDescent="0.25">
      <c r="B16" t="s">
        <v>143</v>
      </c>
      <c r="C16">
        <v>1</v>
      </c>
      <c r="D16">
        <v>1</v>
      </c>
      <c r="E16">
        <v>0.70000000000000007</v>
      </c>
    </row>
    <row r="17" spans="2:5" x14ac:dyDescent="0.25">
      <c r="B17" t="s">
        <v>144</v>
      </c>
      <c r="C17">
        <v>1</v>
      </c>
      <c r="D17">
        <v>1</v>
      </c>
      <c r="E17">
        <v>0.75</v>
      </c>
    </row>
    <row r="18" spans="2:5" x14ac:dyDescent="0.25">
      <c r="B18" t="s">
        <v>68</v>
      </c>
      <c r="C18">
        <v>1</v>
      </c>
      <c r="D18">
        <v>1</v>
      </c>
      <c r="E18">
        <v>0.8</v>
      </c>
    </row>
    <row r="19" spans="2:5" x14ac:dyDescent="0.25">
      <c r="B19" t="s">
        <v>145</v>
      </c>
      <c r="C19">
        <v>1</v>
      </c>
      <c r="D19">
        <v>1</v>
      </c>
      <c r="E19">
        <v>0.85000000000000009</v>
      </c>
    </row>
    <row r="20" spans="2:5" x14ac:dyDescent="0.25">
      <c r="B20" t="s">
        <v>146</v>
      </c>
      <c r="C20">
        <v>1</v>
      </c>
      <c r="D20">
        <v>1</v>
      </c>
      <c r="E20">
        <v>0.9</v>
      </c>
    </row>
    <row r="21" spans="2:5" x14ac:dyDescent="0.25">
      <c r="B21" t="s">
        <v>147</v>
      </c>
      <c r="C21">
        <v>1</v>
      </c>
      <c r="D21">
        <v>1</v>
      </c>
      <c r="E21">
        <v>0.95000000000000007</v>
      </c>
    </row>
    <row r="22" spans="2:5" x14ac:dyDescent="0.25">
      <c r="B22" t="s">
        <v>148</v>
      </c>
      <c r="C22">
        <v>1</v>
      </c>
      <c r="D22">
        <v>1</v>
      </c>
      <c r="E22">
        <v>1</v>
      </c>
    </row>
    <row r="23" spans="2:5" x14ac:dyDescent="0.25">
      <c r="B23" t="s">
        <v>70</v>
      </c>
      <c r="C23">
        <v>1</v>
      </c>
      <c r="D23">
        <v>1</v>
      </c>
      <c r="E23">
        <v>1.05</v>
      </c>
    </row>
    <row r="24" spans="2:5" x14ac:dyDescent="0.25">
      <c r="B24" t="s">
        <v>149</v>
      </c>
      <c r="C24">
        <v>1</v>
      </c>
      <c r="D24">
        <v>1</v>
      </c>
      <c r="E24">
        <v>1.1000000000000001</v>
      </c>
    </row>
    <row r="25" spans="2:5" x14ac:dyDescent="0.25">
      <c r="B25" t="s">
        <v>150</v>
      </c>
      <c r="C25">
        <v>1</v>
      </c>
      <c r="D25">
        <v>1</v>
      </c>
      <c r="E25">
        <v>1.1000000000000001</v>
      </c>
    </row>
    <row r="26" spans="2:5" x14ac:dyDescent="0.25">
      <c r="B26" t="s">
        <v>151</v>
      </c>
      <c r="C26">
        <v>1</v>
      </c>
      <c r="D26">
        <v>1</v>
      </c>
      <c r="E26">
        <v>1.1000000000000001</v>
      </c>
    </row>
    <row r="27" spans="2:5" x14ac:dyDescent="0.25">
      <c r="B27" t="s">
        <v>152</v>
      </c>
      <c r="C27">
        <v>1</v>
      </c>
      <c r="D27">
        <v>1</v>
      </c>
      <c r="E27">
        <v>1.1000000000000001</v>
      </c>
    </row>
    <row r="28" spans="2:5" x14ac:dyDescent="0.25">
      <c r="B28" t="s">
        <v>72</v>
      </c>
      <c r="C28">
        <v>1</v>
      </c>
      <c r="D28">
        <v>1</v>
      </c>
      <c r="E28">
        <v>1.1000000000000001</v>
      </c>
    </row>
    <row r="29" spans="2:5" x14ac:dyDescent="0.25">
      <c r="B29" t="s">
        <v>74</v>
      </c>
      <c r="C29">
        <v>1</v>
      </c>
      <c r="D29">
        <v>1</v>
      </c>
      <c r="E29">
        <v>1.02</v>
      </c>
    </row>
    <row r="30" spans="2:5" x14ac:dyDescent="0.25">
      <c r="B30" t="s">
        <v>76</v>
      </c>
      <c r="C30">
        <v>1</v>
      </c>
      <c r="D30">
        <v>1</v>
      </c>
      <c r="E30">
        <v>0.95</v>
      </c>
    </row>
    <row r="31" spans="2:5" x14ac:dyDescent="0.25">
      <c r="B31" t="s">
        <v>78</v>
      </c>
      <c r="C31">
        <v>1</v>
      </c>
      <c r="D31">
        <v>1</v>
      </c>
      <c r="E31">
        <v>0.92</v>
      </c>
    </row>
    <row r="32" spans="2:5" x14ac:dyDescent="0.25">
      <c r="B32" t="s">
        <v>80</v>
      </c>
      <c r="C32">
        <v>1</v>
      </c>
      <c r="D32">
        <v>1</v>
      </c>
      <c r="E32">
        <v>0.9</v>
      </c>
    </row>
    <row r="33" spans="2:5" x14ac:dyDescent="0.25">
      <c r="B33" s="2" t="s">
        <v>82</v>
      </c>
      <c r="C33">
        <v>1</v>
      </c>
      <c r="D33">
        <v>1</v>
      </c>
      <c r="E33">
        <v>0.9</v>
      </c>
    </row>
    <row r="34" spans="2:5" x14ac:dyDescent="0.25">
      <c r="B34" s="2" t="s">
        <v>84</v>
      </c>
      <c r="C34">
        <v>1</v>
      </c>
      <c r="D34">
        <v>1</v>
      </c>
      <c r="E34">
        <v>0.9</v>
      </c>
    </row>
    <row r="35" spans="2:5" x14ac:dyDescent="0.25">
      <c r="B35" s="2" t="s">
        <v>86</v>
      </c>
      <c r="C35">
        <v>1</v>
      </c>
      <c r="D35">
        <v>1</v>
      </c>
      <c r="E35">
        <v>0.9</v>
      </c>
    </row>
    <row r="36" spans="2:5" x14ac:dyDescent="0.25">
      <c r="B36" s="2" t="s">
        <v>154</v>
      </c>
      <c r="C36">
        <v>1</v>
      </c>
      <c r="D36">
        <v>1</v>
      </c>
      <c r="E36">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Distribution of data</vt:lpstr>
      <vt:lpstr>Baseline</vt:lpstr>
      <vt:lpstr>Burnout 2013 Corres+Cashwindow_</vt:lpstr>
      <vt:lpstr>Actual</vt:lpstr>
      <vt:lpstr>Spline Pre-Adj</vt:lpstr>
      <vt:lpstr>Burnout 2013 Corres+CW</vt:lpstr>
      <vt:lpstr>Burnout 2013 Broker</vt:lpstr>
      <vt:lpstr>Burnout 2013 NonCW</vt:lpstr>
      <vt:lpstr>Refi 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2018-09-24T20:06:43Z</dcterms:modified>
</cp:coreProperties>
</file>