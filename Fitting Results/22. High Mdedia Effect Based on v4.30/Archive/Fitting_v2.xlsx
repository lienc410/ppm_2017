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33555" windowHeight="19470" activeTab="1"/>
  </bookViews>
  <sheets>
    <sheet name="Distribution of data" sheetId="1" r:id="rId1"/>
    <sheet name="Baseline" sheetId="2" r:id="rId2"/>
    <sheet name="Spline Pre-Adj" sheetId="4" r:id="rId3"/>
  </sheets>
  <calcPr calcId="145621"/>
  <pivotCaches>
    <pivotCache cacheId="20" r:id="rId4"/>
  </pivotCaches>
</workbook>
</file>

<file path=xl/calcChain.xml><?xml version="1.0" encoding="utf-8"?>
<calcChain xmlns="http://schemas.openxmlformats.org/spreadsheetml/2006/main">
  <c r="Z31" i="2" l="1"/>
  <c r="Z32" i="2"/>
  <c r="Y31" i="2"/>
  <c r="Y32" i="2"/>
  <c r="X31" i="2"/>
  <c r="X32" i="2"/>
  <c r="N44" i="2"/>
  <c r="N43" i="2"/>
  <c r="N42" i="2"/>
  <c r="N41" i="2"/>
  <c r="N40" i="2"/>
  <c r="N39" i="2"/>
  <c r="N38" i="2"/>
  <c r="N37" i="2"/>
  <c r="N36" i="2"/>
  <c r="N35" i="2"/>
  <c r="N34" i="2"/>
  <c r="N33" i="2"/>
  <c r="N32" i="2"/>
  <c r="N31" i="2"/>
  <c r="N30" i="2"/>
  <c r="AP3" i="2"/>
  <c r="AP4" i="2"/>
  <c r="AP5" i="2"/>
  <c r="AP6" i="2"/>
  <c r="AP7" i="2"/>
  <c r="AP8" i="2"/>
  <c r="AP9" i="2"/>
  <c r="I2" i="1" l="1"/>
  <c r="N29" i="2"/>
  <c r="O30" i="2"/>
  <c r="O31" i="2"/>
  <c r="O33" i="2"/>
  <c r="O34" i="2"/>
  <c r="O36" i="2"/>
  <c r="P39" i="2"/>
  <c r="O44" i="2"/>
  <c r="N45" i="2"/>
  <c r="N28" i="2"/>
  <c r="O28" i="2" s="1"/>
  <c r="H31" i="2"/>
  <c r="H27" i="2"/>
  <c r="G27" i="2"/>
  <c r="E29" i="2"/>
  <c r="H29" i="2" s="1"/>
  <c r="E30" i="2"/>
  <c r="H30" i="2" s="1"/>
  <c r="E31" i="2"/>
  <c r="E32" i="2"/>
  <c r="H32" i="2" s="1"/>
  <c r="E33" i="2"/>
  <c r="H33" i="2" s="1"/>
  <c r="E34" i="2"/>
  <c r="H34" i="2" s="1"/>
  <c r="E35" i="2"/>
  <c r="E36" i="2"/>
  <c r="H36" i="2" s="1"/>
  <c r="E37" i="2"/>
  <c r="H37" i="2" s="1"/>
  <c r="E38" i="2"/>
  <c r="H38" i="2" s="1"/>
  <c r="E39" i="2"/>
  <c r="H39" i="2" s="1"/>
  <c r="E40" i="2"/>
  <c r="E41" i="2"/>
  <c r="H41" i="2" s="1"/>
  <c r="E42" i="2"/>
  <c r="H42" i="2" s="1"/>
  <c r="E43" i="2"/>
  <c r="F43" i="2" s="1"/>
  <c r="E44" i="2"/>
  <c r="H44" i="2" s="1"/>
  <c r="E45" i="2"/>
  <c r="H45" i="2" s="1"/>
  <c r="E28" i="2"/>
  <c r="H28" i="2" s="1"/>
  <c r="D43" i="2"/>
  <c r="G43" i="2" s="1"/>
  <c r="D44" i="2"/>
  <c r="G44" i="2" s="1"/>
  <c r="D45" i="2"/>
  <c r="G45" i="2" s="1"/>
  <c r="D28" i="2"/>
  <c r="D29" i="2"/>
  <c r="G29" i="2" s="1"/>
  <c r="D30" i="2"/>
  <c r="G30" i="2" s="1"/>
  <c r="D31" i="2"/>
  <c r="G31" i="2" s="1"/>
  <c r="D32" i="2"/>
  <c r="D33" i="2"/>
  <c r="F33" i="2" s="1"/>
  <c r="D34" i="2"/>
  <c r="G34" i="2" s="1"/>
  <c r="D35" i="2"/>
  <c r="G35" i="2" s="1"/>
  <c r="D36" i="2"/>
  <c r="G36" i="2" s="1"/>
  <c r="D37" i="2"/>
  <c r="G37" i="2" s="1"/>
  <c r="D38" i="2"/>
  <c r="G38" i="2" s="1"/>
  <c r="D39" i="2"/>
  <c r="G39" i="2" s="1"/>
  <c r="D40" i="2"/>
  <c r="G40" i="2" s="1"/>
  <c r="D41" i="2"/>
  <c r="F41" i="2" s="1"/>
  <c r="D42" i="2"/>
  <c r="G42" i="2" s="1"/>
  <c r="E27" i="2"/>
  <c r="D27" i="2"/>
  <c r="A43" i="2"/>
  <c r="AC43" i="2" s="1"/>
  <c r="AD43" i="2" s="1"/>
  <c r="AE43" i="2" s="1"/>
  <c r="A44" i="2"/>
  <c r="X44" i="2" s="1"/>
  <c r="Y44" i="2" s="1"/>
  <c r="Z44" i="2" s="1"/>
  <c r="A45" i="2"/>
  <c r="AC45" i="2" s="1"/>
  <c r="AD45" i="2" s="1"/>
  <c r="AE45" i="2" s="1"/>
  <c r="A29" i="2"/>
  <c r="S29" i="2" s="1"/>
  <c r="T29" i="2" s="1"/>
  <c r="U29" i="2" s="1"/>
  <c r="A30" i="2"/>
  <c r="S30" i="2" s="1"/>
  <c r="T30" i="2" s="1"/>
  <c r="U30" i="2" s="1"/>
  <c r="A31" i="2"/>
  <c r="S31" i="2" s="1"/>
  <c r="T31" i="2" s="1"/>
  <c r="U31" i="2" s="1"/>
  <c r="A32" i="2"/>
  <c r="S32" i="2" s="1"/>
  <c r="T32" i="2" s="1"/>
  <c r="U32" i="2" s="1"/>
  <c r="A33" i="2"/>
  <c r="AC33" i="2" s="1"/>
  <c r="AD33" i="2" s="1"/>
  <c r="AE33" i="2" s="1"/>
  <c r="A34" i="2"/>
  <c r="S34" i="2" s="1"/>
  <c r="T34" i="2" s="1"/>
  <c r="U34" i="2" s="1"/>
  <c r="A35" i="2"/>
  <c r="X35" i="2" s="1"/>
  <c r="Y35" i="2" s="1"/>
  <c r="Z35" i="2" s="1"/>
  <c r="A36" i="2"/>
  <c r="X36" i="2" s="1"/>
  <c r="Y36" i="2" s="1"/>
  <c r="Z36" i="2" s="1"/>
  <c r="A37" i="2"/>
  <c r="AC37" i="2" s="1"/>
  <c r="AD37" i="2" s="1"/>
  <c r="AE37" i="2" s="1"/>
  <c r="A38" i="2"/>
  <c r="AC38" i="2" s="1"/>
  <c r="AD38" i="2" s="1"/>
  <c r="AE38" i="2" s="1"/>
  <c r="A39" i="2"/>
  <c r="AC39" i="2" s="1"/>
  <c r="AD39" i="2" s="1"/>
  <c r="AE39" i="2" s="1"/>
  <c r="A40" i="2"/>
  <c r="X40" i="2" s="1"/>
  <c r="Y40" i="2" s="1"/>
  <c r="Z40" i="2" s="1"/>
  <c r="A41" i="2"/>
  <c r="AC41" i="2" s="1"/>
  <c r="AD41" i="2" s="1"/>
  <c r="AE41" i="2" s="1"/>
  <c r="A42" i="2"/>
  <c r="AC42" i="2" s="1"/>
  <c r="AD42" i="2" s="1"/>
  <c r="AE42" i="2" s="1"/>
  <c r="A28" i="2"/>
  <c r="S28" i="2" s="1"/>
  <c r="T28" i="2" s="1"/>
  <c r="U28" i="2" s="1"/>
  <c r="B43" i="2"/>
  <c r="B44" i="2"/>
  <c r="B45" i="2"/>
  <c r="C43" i="2"/>
  <c r="C44" i="2"/>
  <c r="C45" i="2"/>
  <c r="B29" i="2"/>
  <c r="B30" i="2"/>
  <c r="B31" i="2"/>
  <c r="B32" i="2"/>
  <c r="B33" i="2"/>
  <c r="B34" i="2"/>
  <c r="B35" i="2"/>
  <c r="B36" i="2"/>
  <c r="B37" i="2"/>
  <c r="B38" i="2"/>
  <c r="B39" i="2"/>
  <c r="B40" i="2"/>
  <c r="B41" i="2"/>
  <c r="B42" i="2"/>
  <c r="B28" i="2"/>
  <c r="C28" i="2"/>
  <c r="C29" i="2"/>
  <c r="C30" i="2"/>
  <c r="C31" i="2"/>
  <c r="C32" i="2"/>
  <c r="C33" i="2"/>
  <c r="C34" i="2"/>
  <c r="C35" i="2"/>
  <c r="C36" i="2"/>
  <c r="C37" i="2"/>
  <c r="C38" i="2"/>
  <c r="C39" i="2"/>
  <c r="C40" i="2"/>
  <c r="C41" i="2"/>
  <c r="C42" i="2"/>
  <c r="C27" i="2"/>
  <c r="B27" i="2"/>
  <c r="F40" i="2" l="1"/>
  <c r="AC35" i="2"/>
  <c r="AD35" i="2" s="1"/>
  <c r="AE35" i="2" s="1"/>
  <c r="F42" i="2"/>
  <c r="X34" i="2"/>
  <c r="Y34" i="2" s="1"/>
  <c r="Z34" i="2" s="1"/>
  <c r="F39" i="2"/>
  <c r="P43" i="2"/>
  <c r="X45" i="2"/>
  <c r="Y45" i="2" s="1"/>
  <c r="Z45" i="2" s="1"/>
  <c r="F31" i="2"/>
  <c r="P40" i="2"/>
  <c r="P32" i="2"/>
  <c r="AC34" i="2"/>
  <c r="AD34" i="2" s="1"/>
  <c r="AE34" i="2" s="1"/>
  <c r="F38" i="2"/>
  <c r="G33" i="2"/>
  <c r="X37" i="2"/>
  <c r="Y37" i="2" s="1"/>
  <c r="Z37" i="2" s="1"/>
  <c r="F35" i="2"/>
  <c r="G41" i="2"/>
  <c r="X38" i="2"/>
  <c r="Y38" i="2" s="1"/>
  <c r="Z38" i="2" s="1"/>
  <c r="F32" i="2"/>
  <c r="F30" i="2"/>
  <c r="H40" i="2"/>
  <c r="G32" i="2"/>
  <c r="X41" i="2"/>
  <c r="Y41" i="2" s="1"/>
  <c r="Z41" i="2" s="1"/>
  <c r="S37" i="2"/>
  <c r="T37" i="2" s="1"/>
  <c r="U37" i="2" s="1"/>
  <c r="X42" i="2"/>
  <c r="Y42" i="2" s="1"/>
  <c r="Z42" i="2" s="1"/>
  <c r="P35" i="2"/>
  <c r="S38" i="2"/>
  <c r="T38" i="2" s="1"/>
  <c r="U38" i="2" s="1"/>
  <c r="S36" i="2"/>
  <c r="T36" i="2" s="1"/>
  <c r="U36" i="2" s="1"/>
  <c r="P42" i="2"/>
  <c r="X28" i="2"/>
  <c r="Y28" i="2" s="1"/>
  <c r="Z28" i="2" s="1"/>
  <c r="AC44" i="2"/>
  <c r="AD44" i="2" s="1"/>
  <c r="AE44" i="2" s="1"/>
  <c r="S35" i="2"/>
  <c r="T35" i="2" s="1"/>
  <c r="U35" i="2" s="1"/>
  <c r="F28" i="2"/>
  <c r="P41" i="2"/>
  <c r="X33" i="2"/>
  <c r="Y33" i="2" s="1"/>
  <c r="Z33" i="2" s="1"/>
  <c r="AC36" i="2"/>
  <c r="AD36" i="2" s="1"/>
  <c r="AE36" i="2" s="1"/>
  <c r="S33" i="2"/>
  <c r="T33" i="2" s="1"/>
  <c r="U33" i="2" s="1"/>
  <c r="P31" i="2"/>
  <c r="P33" i="2"/>
  <c r="P30" i="2"/>
  <c r="AC40" i="2"/>
  <c r="AD40" i="2" s="1"/>
  <c r="AE40" i="2" s="1"/>
  <c r="H43" i="2"/>
  <c r="X30" i="2"/>
  <c r="Y30" i="2" s="1"/>
  <c r="Z30" i="2" s="1"/>
  <c r="O42" i="2"/>
  <c r="F34" i="2"/>
  <c r="AC32" i="2"/>
  <c r="AD32" i="2" s="1"/>
  <c r="AE32" i="2" s="1"/>
  <c r="G28" i="2"/>
  <c r="H35" i="2"/>
  <c r="O40" i="2"/>
  <c r="P38" i="2"/>
  <c r="F45" i="2"/>
  <c r="F37" i="2"/>
  <c r="F29" i="2"/>
  <c r="P45" i="2"/>
  <c r="P37" i="2"/>
  <c r="P29" i="2"/>
  <c r="X43" i="2"/>
  <c r="Y43" i="2" s="1"/>
  <c r="Z43" i="2" s="1"/>
  <c r="X39" i="2"/>
  <c r="Y39" i="2" s="1"/>
  <c r="Z39" i="2" s="1"/>
  <c r="F44" i="2"/>
  <c r="F36" i="2"/>
  <c r="O38" i="2"/>
  <c r="O45" i="2"/>
  <c r="O43" i="2"/>
  <c r="O41" i="2"/>
  <c r="O39" i="2"/>
  <c r="O37" i="2"/>
  <c r="P28" i="2"/>
  <c r="O29" i="2"/>
  <c r="P44" i="2"/>
  <c r="O32" i="2"/>
  <c r="P36" i="2"/>
  <c r="O35" i="2"/>
  <c r="P34" i="2"/>
  <c r="AS3" i="2"/>
  <c r="AT3" i="2" s="1"/>
  <c r="AU3" i="2" s="1"/>
  <c r="AS4" i="2"/>
  <c r="AT4" i="2" s="1"/>
  <c r="AU4" i="2" s="1"/>
  <c r="AS5" i="2"/>
  <c r="AT5" i="2" s="1"/>
  <c r="AU5" i="2" s="1"/>
  <c r="AS6" i="2"/>
  <c r="AT6" i="2" s="1"/>
  <c r="AU6" i="2" s="1"/>
  <c r="AS7" i="2"/>
  <c r="AT7" i="2" s="1"/>
  <c r="AU7" i="2" s="1"/>
  <c r="AS8" i="2"/>
  <c r="AT8" i="2" s="1"/>
  <c r="AU8" i="2" s="1"/>
  <c r="AS9" i="2"/>
  <c r="AT9" i="2" s="1"/>
  <c r="AU9" i="2" s="1"/>
  <c r="AS10" i="2"/>
  <c r="AT10" i="2" s="1"/>
  <c r="AU10" i="2" s="1"/>
  <c r="AS11" i="2"/>
  <c r="AT11" i="2" s="1"/>
  <c r="AU11" i="2" s="1"/>
  <c r="AS12" i="2"/>
  <c r="AT12" i="2" s="1"/>
  <c r="AU12" i="2" s="1"/>
  <c r="AS13" i="2"/>
  <c r="AT13" i="2" s="1"/>
  <c r="AU13" i="2" s="1"/>
  <c r="AS14" i="2"/>
  <c r="AT14" i="2" s="1"/>
  <c r="AU14" i="2" s="1"/>
  <c r="AS15" i="2"/>
  <c r="AT15" i="2" s="1"/>
  <c r="AU15" i="2" s="1"/>
  <c r="AS16" i="2"/>
  <c r="AT16" i="2" s="1"/>
  <c r="AU16" i="2" s="1"/>
  <c r="AS17" i="2"/>
  <c r="AT17" i="2" s="1"/>
  <c r="AU17" i="2" s="1"/>
  <c r="AS18" i="2"/>
  <c r="AT18" i="2" s="1"/>
  <c r="AU18" i="2" s="1"/>
  <c r="AS19" i="2"/>
  <c r="AT19" i="2" s="1"/>
  <c r="AU19" i="2" s="1"/>
  <c r="AS20" i="2"/>
  <c r="AT20" i="2" s="1"/>
  <c r="AU20" i="2" s="1"/>
  <c r="AW3" i="2"/>
  <c r="AV3" i="2"/>
  <c r="A10" i="1"/>
  <c r="AX3" i="2" l="1"/>
</calcChain>
</file>

<file path=xl/sharedStrings.xml><?xml version="1.0" encoding="utf-8"?>
<sst xmlns="http://schemas.openxmlformats.org/spreadsheetml/2006/main" count="148" uniqueCount="123">
  <si>
    <t>count()</t>
  </si>
  <si>
    <t>bucket</t>
  </si>
  <si>
    <t>'Done'</t>
  </si>
  <si>
    <t>&lt;= 417 &gt;= 740 no lien no invest cltv &lt;= 80</t>
  </si>
  <si>
    <t>'FICO'</t>
  </si>
  <si>
    <t>'2nd Lien'</t>
  </si>
  <si>
    <t>'INV'</t>
  </si>
  <si>
    <t>'CLTV'</t>
  </si>
  <si>
    <t>'Jumbo'</t>
  </si>
  <si>
    <t>'Not Done'</t>
  </si>
  <si>
    <t>total</t>
  </si>
  <si>
    <t>tag</t>
  </si>
  <si>
    <t>Baseline</t>
  </si>
  <si>
    <t>loansize</t>
  </si>
  <si>
    <t>fico</t>
  </si>
  <si>
    <t>lien</t>
  </si>
  <si>
    <t>invest</t>
  </si>
  <si>
    <t>cltv</t>
  </si>
  <si>
    <t>no</t>
  </si>
  <si>
    <t>&lt;=80</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</si>
  <si>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</si>
  <si>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</si>
  <si>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</si>
  <si>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</si>
  <si>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</si>
  <si>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</si>
  <si>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</si>
  <si>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</si>
  <si>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</si>
  <si>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</si>
  <si>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</si>
  <si>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</si>
  <si>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</si>
  <si>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</si>
  <si>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</si>
  <si>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</si>
  <si>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</si>
  <si>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</si>
  <si>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</si>
  <si>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</si>
  <si>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</si>
  <si>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</si>
  <si>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</si>
  <si>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</si>
  <si>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</si>
  <si>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</si>
  <si>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</si>
  <si>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</si>
  <si>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</si>
  <si>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</si>
  <si>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</si>
  <si>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</si>
  <si>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</si>
  <si>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</si>
  <si>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</si>
  <si>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</si>
  <si>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</si>
  <si>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</si>
  <si>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</si>
  <si>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</si>
  <si>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</si>
  <si>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</si>
  <si>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</si>
  <si>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</si>
  <si>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02:-175--150</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</si>
  <si>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</si>
  <si>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</si>
  <si>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</si>
  <si>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</si>
  <si>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</si>
  <si>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</si>
  <si>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</si>
  <si>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</si>
  <si>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</si>
  <si>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</si>
  <si>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</si>
  <si>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</si>
  <si>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</si>
  <si>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</si>
  <si>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</si>
  <si>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</si>
  <si>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</si>
  <si>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</si>
  <si>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</si>
  <si>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</si>
  <si>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</si>
  <si>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</si>
  <si>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</si>
  <si>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</si>
  <si>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</si>
  <si>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</si>
  <si>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999:&gt;= 250</t>
  </si>
  <si>
    <t>&gt;= 250</t>
  </si>
  <si>
    <t>tover</t>
  </si>
  <si>
    <t>cash</t>
  </si>
  <si>
    <t>refi</t>
  </si>
  <si>
    <t>ratio</t>
  </si>
  <si>
    <t>adj</t>
  </si>
  <si>
    <t>Knot</t>
  </si>
  <si>
    <t>incentive</t>
  </si>
  <si>
    <t>x</t>
  </si>
  <si>
    <t>PREPAY_SMM1</t>
  </si>
  <si>
    <t>PREPAY_TRACKING_SMM1</t>
  </si>
  <si>
    <t>adj Knot</t>
  </si>
  <si>
    <t>mdl_smm</t>
  </si>
  <si>
    <t>mdl_cpr</t>
  </si>
  <si>
    <t>turn</t>
  </si>
  <si>
    <t>adj x</t>
  </si>
  <si>
    <t>Row Labels</t>
  </si>
  <si>
    <t>Average of knotValues</t>
  </si>
  <si>
    <t>Grand Total</t>
  </si>
  <si>
    <t>conventional_cashout_incentive</t>
  </si>
  <si>
    <t>spline</t>
  </si>
  <si>
    <t>conventional_turnover_incentive</t>
  </si>
  <si>
    <t>conventional_refinance_himedia_incentive</t>
  </si>
  <si>
    <t>asOf</t>
  </si>
  <si>
    <t>20120101~20130401</t>
  </si>
  <si>
    <t>Ticker</t>
  </si>
  <si>
    <t>All 4</t>
  </si>
  <si>
    <t>Orig Date</t>
  </si>
  <si>
    <t>post HARP</t>
  </si>
  <si>
    <t>&gt;740</t>
  </si>
  <si>
    <t>175~417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</si>
</sst>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43" fontId="3" fillId="0" borderId="0" xfId="1" applyFont="1"/>
    <xf numFmtId="2" fontId="3" fillId="0" borderId="0" xfId="0" applyNumberFormat="1" applyFont="1"/>
    <xf numFmtId="164" fontId="3" fillId="0" borderId="0" xfId="0" applyNumberFormat="1" applyFont="1"/>
    <xf numFmtId="0" fontId="3" fillId="0" borderId="0" xfId="0" applyFont="1"/>
    <xf numFmtId="43" fontId="3" fillId="0" borderId="0" xfId="0" applyNumberFormat="1" applyFont="1"/>
    <xf numFmtId="1" fontId="3" fillId="0" borderId="0" xfId="0" applyNumberFormat="1"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164" fontId="5" fillId="0" borderId="0" xfId="0" applyNumberFormat="1" applyFont="1"/>
    <xf numFmtId="1" fontId="5" fillId="0" borderId="0" xfId="0" applyNumberFormat="1" applyFont="1"/>
    <xf numFmtId="0" fontId="4" fillId="2" borderId="0" xfId="0" applyFont="1" applyFill="1"/>
    <xf numFmtId="43" fontId="4" fillId="0" borderId="0" xfId="1" applyFont="1"/>
    <xf numFmtId="2" fontId="4" fillId="0" borderId="0" xfId="0" applyNumberFormat="1" applyFont="1"/>
    <xf numFmtId="43" fontId="4" fillId="0" borderId="0" xfId="0"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Baseline!$A$33:$A$46</c:f>
              <c:numCache>
                <c:formatCode>0.00</c:formatCode>
                <c:ptCount val="14"/>
                <c:pt idx="0">
                  <c:v>-33.228194347884497</c:v>
                </c:pt>
                <c:pt idx="1">
                  <c:v>-10.7013698878008</c:v>
                </c:pt>
                <c:pt idx="2">
                  <c:v>13.714314830516599</c:v>
                </c:pt>
                <c:pt idx="3">
                  <c:v>37.351224691526397</c:v>
                </c:pt>
                <c:pt idx="4">
                  <c:v>63.015946979401498</c:v>
                </c:pt>
                <c:pt idx="5">
                  <c:v>86.521419189998596</c:v>
                </c:pt>
                <c:pt idx="6">
                  <c:v>112.436974258131</c:v>
                </c:pt>
                <c:pt idx="7">
                  <c:v>135.67619516426799</c:v>
                </c:pt>
                <c:pt idx="8">
                  <c:v>160.95501366301301</c:v>
                </c:pt>
                <c:pt idx="9">
                  <c:v>183.8749947606</c:v>
                </c:pt>
                <c:pt idx="10">
                  <c:v>209.46184725144801</c:v>
                </c:pt>
                <c:pt idx="11">
                  <c:v>233.69307781447901</c:v>
                </c:pt>
                <c:pt idx="12">
                  <c:v>270.639175904252</c:v>
                </c:pt>
              </c:numCache>
            </c:numRef>
          </c:xVal>
          <c:yVal>
            <c:numRef>
              <c:f>Baseline!$G$33:$G$46</c:f>
              <c:numCache>
                <c:formatCode>0.00</c:formatCode>
                <c:ptCount val="14"/>
                <c:pt idx="0">
                  <c:v>2.2874455307716923</c:v>
                </c:pt>
                <c:pt idx="1">
                  <c:v>5.595240338632534</c:v>
                </c:pt>
                <c:pt idx="2">
                  <c:v>16.816718182171876</c:v>
                </c:pt>
                <c:pt idx="3">
                  <c:v>26.955235303417524</c:v>
                </c:pt>
                <c:pt idx="4">
                  <c:v>34.045919421507961</c:v>
                </c:pt>
                <c:pt idx="5">
                  <c:v>39.107607927814833</c:v>
                </c:pt>
                <c:pt idx="6">
                  <c:v>41.437464370555318</c:v>
                </c:pt>
                <c:pt idx="7">
                  <c:v>42.882034447067184</c:v>
                </c:pt>
                <c:pt idx="8">
                  <c:v>42.37659144695516</c:v>
                </c:pt>
                <c:pt idx="9">
                  <c:v>40.977649254849361</c:v>
                </c:pt>
                <c:pt idx="10">
                  <c:v>39.021199317708103</c:v>
                </c:pt>
                <c:pt idx="11">
                  <c:v>36.251143249721515</c:v>
                </c:pt>
                <c:pt idx="12">
                  <c:v>46.783863409153547</c:v>
                </c:pt>
              </c:numCache>
            </c:numRef>
          </c:yVal>
          <c:smooth val="1"/>
        </c:ser>
        <c:ser>
          <c:idx val="1"/>
          <c:order val="1"/>
          <c:xVal>
            <c:numRef>
              <c:f>Baseline!$A$33:$A$46</c:f>
              <c:numCache>
                <c:formatCode>0.00</c:formatCode>
                <c:ptCount val="14"/>
                <c:pt idx="0">
                  <c:v>-33.228194347884497</c:v>
                </c:pt>
                <c:pt idx="1">
                  <c:v>-10.7013698878008</c:v>
                </c:pt>
                <c:pt idx="2">
                  <c:v>13.714314830516599</c:v>
                </c:pt>
                <c:pt idx="3">
                  <c:v>37.351224691526397</c:v>
                </c:pt>
                <c:pt idx="4">
                  <c:v>63.015946979401498</c:v>
                </c:pt>
                <c:pt idx="5">
                  <c:v>86.521419189998596</c:v>
                </c:pt>
                <c:pt idx="6">
                  <c:v>112.436974258131</c:v>
                </c:pt>
                <c:pt idx="7">
                  <c:v>135.67619516426799</c:v>
                </c:pt>
                <c:pt idx="8">
                  <c:v>160.95501366301301</c:v>
                </c:pt>
                <c:pt idx="9">
                  <c:v>183.8749947606</c:v>
                </c:pt>
                <c:pt idx="10">
                  <c:v>209.46184725144801</c:v>
                </c:pt>
                <c:pt idx="11">
                  <c:v>233.69307781447901</c:v>
                </c:pt>
                <c:pt idx="12">
                  <c:v>270.639175904252</c:v>
                </c:pt>
              </c:numCache>
            </c:numRef>
          </c:xVal>
          <c:yVal>
            <c:numRef>
              <c:f>Baseline!$H$33:$H$46</c:f>
              <c:numCache>
                <c:formatCode>0.00</c:formatCode>
                <c:ptCount val="14"/>
                <c:pt idx="0">
                  <c:v>3.7531232201040821</c:v>
                </c:pt>
                <c:pt idx="1">
                  <c:v>7.786504188355881</c:v>
                </c:pt>
                <c:pt idx="2">
                  <c:v>14.196806390594052</c:v>
                </c:pt>
                <c:pt idx="3">
                  <c:v>21.835231180068305</c:v>
                </c:pt>
                <c:pt idx="4">
                  <c:v>29.206037604518542</c:v>
                </c:pt>
                <c:pt idx="5">
                  <c:v>34.411863346615313</c:v>
                </c:pt>
                <c:pt idx="6">
                  <c:v>37.959684719940256</c:v>
                </c:pt>
                <c:pt idx="7">
                  <c:v>40.708399724884579</c:v>
                </c:pt>
                <c:pt idx="8">
                  <c:v>41.383607449821113</c:v>
                </c:pt>
                <c:pt idx="9">
                  <c:v>41.65505325647311</c:v>
                </c:pt>
                <c:pt idx="10">
                  <c:v>39.609823083650156</c:v>
                </c:pt>
                <c:pt idx="11">
                  <c:v>38.486541761493484</c:v>
                </c:pt>
                <c:pt idx="12">
                  <c:v>37.42849757965503</c:v>
                </c:pt>
              </c:numCache>
            </c:numRef>
          </c:yVal>
          <c:smooth val="1"/>
        </c:ser>
        <c:ser>
          <c:idx val="2"/>
          <c:order val="2"/>
          <c:xVal>
            <c:numRef>
              <c:f>Baseline!$A$33:$A$46</c:f>
              <c:numCache>
                <c:formatCode>0.00</c:formatCode>
                <c:ptCount val="14"/>
                <c:pt idx="0">
                  <c:v>-33.228194347884497</c:v>
                </c:pt>
                <c:pt idx="1">
                  <c:v>-10.7013698878008</c:v>
                </c:pt>
                <c:pt idx="2">
                  <c:v>13.714314830516599</c:v>
                </c:pt>
                <c:pt idx="3">
                  <c:v>37.351224691526397</c:v>
                </c:pt>
                <c:pt idx="4">
                  <c:v>63.015946979401498</c:v>
                </c:pt>
                <c:pt idx="5">
                  <c:v>86.521419189998596</c:v>
                </c:pt>
                <c:pt idx="6">
                  <c:v>112.436974258131</c:v>
                </c:pt>
                <c:pt idx="7">
                  <c:v>135.67619516426799</c:v>
                </c:pt>
                <c:pt idx="8">
                  <c:v>160.95501366301301</c:v>
                </c:pt>
                <c:pt idx="9">
                  <c:v>183.8749947606</c:v>
                </c:pt>
                <c:pt idx="10">
                  <c:v>209.46184725144801</c:v>
                </c:pt>
                <c:pt idx="11">
                  <c:v>233.69307781447901</c:v>
                </c:pt>
                <c:pt idx="12">
                  <c:v>270.639175904252</c:v>
                </c:pt>
              </c:numCache>
            </c:numRef>
          </c:xVal>
          <c:yVal>
            <c:numRef>
              <c:f>Baseline!$O$33:$O$46</c:f>
              <c:numCache>
                <c:formatCode>0.00</c:formatCode>
                <c:ptCount val="14"/>
                <c:pt idx="0">
                  <c:v>2.2926318099796394</c:v>
                </c:pt>
                <c:pt idx="1">
                  <c:v>5.5767016709136534</c:v>
                </c:pt>
                <c:pt idx="2">
                  <c:v>16.812461940223244</c:v>
                </c:pt>
                <c:pt idx="3">
                  <c:v>26.941438950666154</c:v>
                </c:pt>
                <c:pt idx="4">
                  <c:v>34.056408215868672</c:v>
                </c:pt>
                <c:pt idx="5">
                  <c:v>38.922433732331939</c:v>
                </c:pt>
                <c:pt idx="6">
                  <c:v>41.580717875539086</c:v>
                </c:pt>
                <c:pt idx="7">
                  <c:v>43.016095378859568</c:v>
                </c:pt>
                <c:pt idx="8">
                  <c:v>42.312608991276122</c:v>
                </c:pt>
                <c:pt idx="9">
                  <c:v>40.924882455374622</c:v>
                </c:pt>
                <c:pt idx="10">
                  <c:v>39.091535656976617</c:v>
                </c:pt>
                <c:pt idx="11">
                  <c:v>37.693353672580443</c:v>
                </c:pt>
                <c:pt idx="12">
                  <c:v>36.574770547593495</c:v>
                </c:pt>
              </c:numCache>
            </c:numRef>
          </c:yVal>
          <c:smooth val="1"/>
        </c:ser>
        <c:dLbls>
          <c:showLegendKey val="0"/>
          <c:showVal val="0"/>
          <c:showCatName val="0"/>
          <c:showSerName val="0"/>
          <c:showPercent val="0"/>
          <c:showBubbleSize val="0"/>
        </c:dLbls>
        <c:axId val="192361600"/>
        <c:axId val="192363136"/>
      </c:scatterChart>
      <c:valAx>
        <c:axId val="192361600"/>
        <c:scaling>
          <c:orientation val="minMax"/>
        </c:scaling>
        <c:delete val="0"/>
        <c:axPos val="b"/>
        <c:numFmt formatCode="0" sourceLinked="0"/>
        <c:majorTickMark val="out"/>
        <c:minorTickMark val="none"/>
        <c:tickLblPos val="nextTo"/>
        <c:crossAx val="192363136"/>
        <c:crosses val="autoZero"/>
        <c:crossBetween val="midCat"/>
      </c:valAx>
      <c:valAx>
        <c:axId val="192363136"/>
        <c:scaling>
          <c:orientation val="minMax"/>
        </c:scaling>
        <c:delete val="0"/>
        <c:axPos val="l"/>
        <c:majorGridlines/>
        <c:numFmt formatCode="0.00" sourceLinked="1"/>
        <c:majorTickMark val="out"/>
        <c:minorTickMark val="none"/>
        <c:tickLblPos val="nextTo"/>
        <c:crossAx val="192361600"/>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Baseline!$AD$27:$AD$31</c:f>
              <c:strCache>
                <c:ptCount val="1"/>
                <c:pt idx="0">
                  <c:v>Knot</c:v>
                </c:pt>
              </c:strCache>
            </c:strRef>
          </c:tx>
          <c:marker>
            <c:symbol val="none"/>
          </c:marker>
          <c:cat>
            <c:numRef>
              <c:f>Baseline!$AC$32:$AC$42</c:f>
              <c:numCache>
                <c:formatCode>0</c:formatCode>
                <c:ptCount val="11"/>
                <c:pt idx="0">
                  <c:v>-57.293498820956799</c:v>
                </c:pt>
                <c:pt idx="1">
                  <c:v>-33.228194347884497</c:v>
                </c:pt>
                <c:pt idx="2">
                  <c:v>-10.7013698878008</c:v>
                </c:pt>
                <c:pt idx="3">
                  <c:v>13.714314830516599</c:v>
                </c:pt>
                <c:pt idx="4">
                  <c:v>37.351224691526397</c:v>
                </c:pt>
                <c:pt idx="5">
                  <c:v>63.015946979401498</c:v>
                </c:pt>
                <c:pt idx="6">
                  <c:v>86.521419189998596</c:v>
                </c:pt>
                <c:pt idx="7">
                  <c:v>112.436974258131</c:v>
                </c:pt>
                <c:pt idx="8">
                  <c:v>135.67619516426799</c:v>
                </c:pt>
                <c:pt idx="9">
                  <c:v>160.95501366301301</c:v>
                </c:pt>
                <c:pt idx="10">
                  <c:v>183.8749947606</c:v>
                </c:pt>
              </c:numCache>
            </c:numRef>
          </c:cat>
          <c:val>
            <c:numRef>
              <c:f>Baseline!$AD$32:$AD$42</c:f>
              <c:numCache>
                <c:formatCode>0.000</c:formatCode>
                <c:ptCount val="11"/>
                <c:pt idx="0">
                  <c:v>0</c:v>
                </c:pt>
                <c:pt idx="1">
                  <c:v>0.39387319081357403</c:v>
                </c:pt>
                <c:pt idx="2">
                  <c:v>1.12945976419159</c:v>
                </c:pt>
                <c:pt idx="3">
                  <c:v>1.66381445856873</c:v>
                </c:pt>
                <c:pt idx="4">
                  <c:v>2.4264029166777901</c:v>
                </c:pt>
                <c:pt idx="5">
                  <c:v>3.38971993926679</c:v>
                </c:pt>
                <c:pt idx="6">
                  <c:v>4.1191352784208304</c:v>
                </c:pt>
                <c:pt idx="7">
                  <c:v>4.75215670710576</c:v>
                </c:pt>
                <c:pt idx="8">
                  <c:v>5.2241824620250199</c:v>
                </c:pt>
                <c:pt idx="9">
                  <c:v>5.6662697466415004</c:v>
                </c:pt>
                <c:pt idx="10">
                  <c:v>6.0276934430763003</c:v>
                </c:pt>
              </c:numCache>
            </c:numRef>
          </c:val>
          <c:smooth val="0"/>
        </c:ser>
        <c:ser>
          <c:idx val="1"/>
          <c:order val="1"/>
          <c:tx>
            <c:strRef>
              <c:f>Baseline!$AE$27:$AE$31</c:f>
              <c:strCache>
                <c:ptCount val="1"/>
                <c:pt idx="0">
                  <c:v>adj Knot</c:v>
                </c:pt>
              </c:strCache>
            </c:strRef>
          </c:tx>
          <c:marker>
            <c:symbol val="none"/>
          </c:marker>
          <c:cat>
            <c:numRef>
              <c:f>Baseline!$AC$32:$AC$42</c:f>
              <c:numCache>
                <c:formatCode>0</c:formatCode>
                <c:ptCount val="11"/>
                <c:pt idx="0">
                  <c:v>-57.293498820956799</c:v>
                </c:pt>
                <c:pt idx="1">
                  <c:v>-33.228194347884497</c:v>
                </c:pt>
                <c:pt idx="2">
                  <c:v>-10.7013698878008</c:v>
                </c:pt>
                <c:pt idx="3">
                  <c:v>13.714314830516599</c:v>
                </c:pt>
                <c:pt idx="4">
                  <c:v>37.351224691526397</c:v>
                </c:pt>
                <c:pt idx="5">
                  <c:v>63.015946979401498</c:v>
                </c:pt>
                <c:pt idx="6">
                  <c:v>86.521419189998596</c:v>
                </c:pt>
                <c:pt idx="7">
                  <c:v>112.436974258131</c:v>
                </c:pt>
                <c:pt idx="8">
                  <c:v>135.67619516426799</c:v>
                </c:pt>
                <c:pt idx="9">
                  <c:v>160.95501366301301</c:v>
                </c:pt>
                <c:pt idx="10">
                  <c:v>183.8749947606</c:v>
                </c:pt>
              </c:numCache>
            </c:numRef>
          </c:cat>
          <c:val>
            <c:numRef>
              <c:f>Baseline!$AE$32:$AE$42</c:f>
              <c:numCache>
                <c:formatCode>0.000</c:formatCode>
                <c:ptCount val="11"/>
                <c:pt idx="0">
                  <c:v>0</c:v>
                </c:pt>
                <c:pt idx="1">
                  <c:v>0.12603942106034369</c:v>
                </c:pt>
                <c:pt idx="2">
                  <c:v>0.75673804200836536</c:v>
                </c:pt>
                <c:pt idx="3">
                  <c:v>2.2128732298964109</c:v>
                </c:pt>
                <c:pt idx="4">
                  <c:v>3.3241719958485727</c:v>
                </c:pt>
                <c:pt idx="5">
                  <c:v>4.3049443228688231</c:v>
                </c:pt>
                <c:pt idx="6">
                  <c:v>5.0253450396734127</c:v>
                </c:pt>
                <c:pt idx="7">
                  <c:v>5.5600233473137388</c:v>
                </c:pt>
                <c:pt idx="8">
                  <c:v>5.7988425328477726</c:v>
                </c:pt>
                <c:pt idx="9">
                  <c:v>6.0062459314399907</c:v>
                </c:pt>
                <c:pt idx="10">
                  <c:v>6.0276934430763003</c:v>
                </c:pt>
              </c:numCache>
            </c:numRef>
          </c:val>
          <c:smooth val="0"/>
        </c:ser>
        <c:dLbls>
          <c:showLegendKey val="0"/>
          <c:showVal val="0"/>
          <c:showCatName val="0"/>
          <c:showSerName val="0"/>
          <c:showPercent val="0"/>
          <c:showBubbleSize val="0"/>
        </c:dLbls>
        <c:marker val="1"/>
        <c:smooth val="0"/>
        <c:axId val="195580288"/>
        <c:axId val="261763840"/>
      </c:lineChart>
      <c:catAx>
        <c:axId val="195580288"/>
        <c:scaling>
          <c:orientation val="minMax"/>
        </c:scaling>
        <c:delete val="0"/>
        <c:axPos val="b"/>
        <c:numFmt formatCode="0" sourceLinked="1"/>
        <c:majorTickMark val="out"/>
        <c:minorTickMark val="none"/>
        <c:tickLblPos val="nextTo"/>
        <c:crossAx val="261763840"/>
        <c:crosses val="autoZero"/>
        <c:auto val="1"/>
        <c:lblAlgn val="ctr"/>
        <c:lblOffset val="100"/>
        <c:noMultiLvlLbl val="0"/>
      </c:catAx>
      <c:valAx>
        <c:axId val="261763840"/>
        <c:scaling>
          <c:orientation val="minMax"/>
        </c:scaling>
        <c:delete val="0"/>
        <c:axPos val="l"/>
        <c:numFmt formatCode="0" sourceLinked="0"/>
        <c:majorTickMark val="out"/>
        <c:minorTickMark val="none"/>
        <c:tickLblPos val="nextTo"/>
        <c:crossAx val="19558028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Baseline!$Y$27</c:f>
              <c:strCache>
                <c:ptCount val="1"/>
                <c:pt idx="0">
                  <c:v>Knot</c:v>
                </c:pt>
              </c:strCache>
            </c:strRef>
          </c:tx>
          <c:marker>
            <c:symbol val="none"/>
          </c:marker>
          <c:cat>
            <c:numRef>
              <c:f>Baseline!$X$28:$X$42</c:f>
              <c:numCache>
                <c:formatCode>General</c:formatCode>
                <c:ptCount val="15"/>
                <c:pt idx="0" formatCode="0">
                  <c:v>-155.71535987376399</c:v>
                </c:pt>
                <c:pt idx="2" formatCode="0">
                  <c:v>-109.734812778546</c:v>
                </c:pt>
                <c:pt idx="3" formatCode="0">
                  <c:v>-82.890223279164502</c:v>
                </c:pt>
                <c:pt idx="4" formatCode="0">
                  <c:v>-57.293498820956799</c:v>
                </c:pt>
                <c:pt idx="5" formatCode="0">
                  <c:v>-33.228194347884497</c:v>
                </c:pt>
                <c:pt idx="6" formatCode="0">
                  <c:v>-10.7013698878008</c:v>
                </c:pt>
                <c:pt idx="7" formatCode="0">
                  <c:v>13.714314830516599</c:v>
                </c:pt>
                <c:pt idx="8" formatCode="0">
                  <c:v>37.351224691526397</c:v>
                </c:pt>
                <c:pt idx="9" formatCode="0">
                  <c:v>63.015946979401498</c:v>
                </c:pt>
                <c:pt idx="10" formatCode="0">
                  <c:v>86.521419189998596</c:v>
                </c:pt>
                <c:pt idx="11" formatCode="0">
                  <c:v>112.436974258131</c:v>
                </c:pt>
                <c:pt idx="12" formatCode="0">
                  <c:v>135.67619516426799</c:v>
                </c:pt>
                <c:pt idx="13" formatCode="0">
                  <c:v>160.95501366301301</c:v>
                </c:pt>
                <c:pt idx="14" formatCode="0">
                  <c:v>183.8749947606</c:v>
                </c:pt>
              </c:numCache>
            </c:numRef>
          </c:cat>
          <c:val>
            <c:numRef>
              <c:f>Baseline!$Y$28:$Y$42</c:f>
              <c:numCache>
                <c:formatCode>0.000</c:formatCode>
                <c:ptCount val="15"/>
                <c:pt idx="0">
                  <c:v>0</c:v>
                </c:pt>
                <c:pt idx="2">
                  <c:v>0</c:v>
                </c:pt>
                <c:pt idx="3">
                  <c:v>3.7519520013150301E-2</c:v>
                </c:pt>
                <c:pt idx="4">
                  <c:v>0.183833391304348</c:v>
                </c:pt>
                <c:pt idx="5">
                  <c:v>0.30615060763888902</c:v>
                </c:pt>
                <c:pt idx="6">
                  <c:v>0.50716095652173898</c:v>
                </c:pt>
                <c:pt idx="7">
                  <c:v>0.93625960915717799</c:v>
                </c:pt>
                <c:pt idx="8">
                  <c:v>1.89537379409471</c:v>
                </c:pt>
                <c:pt idx="9">
                  <c:v>3.4374613236676899</c:v>
                </c:pt>
                <c:pt idx="10">
                  <c:v>4.7646640542534699</c:v>
                </c:pt>
                <c:pt idx="11">
                  <c:v>6.2750975705599998</c:v>
                </c:pt>
                <c:pt idx="12">
                  <c:v>7.6782094614435499</c:v>
                </c:pt>
                <c:pt idx="13">
                  <c:v>8.7434835551418502</c:v>
                </c:pt>
                <c:pt idx="14">
                  <c:v>8.8912890705385497</c:v>
                </c:pt>
              </c:numCache>
            </c:numRef>
          </c:val>
          <c:smooth val="0"/>
        </c:ser>
        <c:ser>
          <c:idx val="1"/>
          <c:order val="1"/>
          <c:tx>
            <c:strRef>
              <c:f>Baseline!$Z$27</c:f>
              <c:strCache>
                <c:ptCount val="1"/>
                <c:pt idx="0">
                  <c:v>adj Knot</c:v>
                </c:pt>
              </c:strCache>
            </c:strRef>
          </c:tx>
          <c:marker>
            <c:symbol val="none"/>
          </c:marker>
          <c:cat>
            <c:numRef>
              <c:f>Baseline!$X$28:$X$42</c:f>
              <c:numCache>
                <c:formatCode>General</c:formatCode>
                <c:ptCount val="15"/>
                <c:pt idx="0" formatCode="0">
                  <c:v>-155.71535987376399</c:v>
                </c:pt>
                <c:pt idx="2" formatCode="0">
                  <c:v>-109.734812778546</c:v>
                </c:pt>
                <c:pt idx="3" formatCode="0">
                  <c:v>-82.890223279164502</c:v>
                </c:pt>
                <c:pt idx="4" formatCode="0">
                  <c:v>-57.293498820956799</c:v>
                </c:pt>
                <c:pt idx="5" formatCode="0">
                  <c:v>-33.228194347884497</c:v>
                </c:pt>
                <c:pt idx="6" formatCode="0">
                  <c:v>-10.7013698878008</c:v>
                </c:pt>
                <c:pt idx="7" formatCode="0">
                  <c:v>13.714314830516599</c:v>
                </c:pt>
                <c:pt idx="8" formatCode="0">
                  <c:v>37.351224691526397</c:v>
                </c:pt>
                <c:pt idx="9" formatCode="0">
                  <c:v>63.015946979401498</c:v>
                </c:pt>
                <c:pt idx="10" formatCode="0">
                  <c:v>86.521419189998596</c:v>
                </c:pt>
                <c:pt idx="11" formatCode="0">
                  <c:v>112.436974258131</c:v>
                </c:pt>
                <c:pt idx="12" formatCode="0">
                  <c:v>135.67619516426799</c:v>
                </c:pt>
                <c:pt idx="13" formatCode="0">
                  <c:v>160.95501366301301</c:v>
                </c:pt>
                <c:pt idx="14" formatCode="0">
                  <c:v>183.8749947606</c:v>
                </c:pt>
              </c:numCache>
            </c:numRef>
          </c:cat>
          <c:val>
            <c:numRef>
              <c:f>Baseline!$Z$28:$Z$42</c:f>
              <c:numCache>
                <c:formatCode>0.000</c:formatCode>
                <c:ptCount val="15"/>
                <c:pt idx="0">
                  <c:v>0</c:v>
                </c:pt>
                <c:pt idx="2">
                  <c:v>0</c:v>
                </c:pt>
                <c:pt idx="3">
                  <c:v>3.7519520013150301E-2</c:v>
                </c:pt>
                <c:pt idx="4">
                  <c:v>0.183833391304348</c:v>
                </c:pt>
                <c:pt idx="5">
                  <c:v>0.30615060763888902</c:v>
                </c:pt>
                <c:pt idx="6">
                  <c:v>0.50716095652173898</c:v>
                </c:pt>
                <c:pt idx="7">
                  <c:v>0.93625960915717799</c:v>
                </c:pt>
                <c:pt idx="8">
                  <c:v>1.89537379409471</c:v>
                </c:pt>
                <c:pt idx="9">
                  <c:v>3.4374613236676899</c:v>
                </c:pt>
                <c:pt idx="10">
                  <c:v>4.7646640542534699</c:v>
                </c:pt>
                <c:pt idx="11">
                  <c:v>6.2750975705599998</c:v>
                </c:pt>
                <c:pt idx="12">
                  <c:v>7.6782094614435499</c:v>
                </c:pt>
                <c:pt idx="13">
                  <c:v>8.7434835551418502</c:v>
                </c:pt>
                <c:pt idx="14">
                  <c:v>8.8912890705385497</c:v>
                </c:pt>
              </c:numCache>
            </c:numRef>
          </c:val>
          <c:smooth val="0"/>
        </c:ser>
        <c:dLbls>
          <c:showLegendKey val="0"/>
          <c:showVal val="0"/>
          <c:showCatName val="0"/>
          <c:showSerName val="0"/>
          <c:showPercent val="0"/>
          <c:showBubbleSize val="0"/>
        </c:dLbls>
        <c:marker val="1"/>
        <c:smooth val="0"/>
        <c:axId val="285868416"/>
        <c:axId val="286763264"/>
      </c:lineChart>
      <c:catAx>
        <c:axId val="285868416"/>
        <c:scaling>
          <c:orientation val="minMax"/>
        </c:scaling>
        <c:delete val="0"/>
        <c:axPos val="b"/>
        <c:numFmt formatCode="0" sourceLinked="1"/>
        <c:majorTickMark val="out"/>
        <c:minorTickMark val="none"/>
        <c:tickLblPos val="nextTo"/>
        <c:crossAx val="286763264"/>
        <c:crosses val="autoZero"/>
        <c:auto val="1"/>
        <c:lblAlgn val="ctr"/>
        <c:lblOffset val="100"/>
        <c:noMultiLvlLbl val="0"/>
      </c:catAx>
      <c:valAx>
        <c:axId val="286763264"/>
        <c:scaling>
          <c:orientation val="minMax"/>
        </c:scaling>
        <c:delete val="0"/>
        <c:axPos val="l"/>
        <c:numFmt formatCode="0" sourceLinked="0"/>
        <c:majorTickMark val="out"/>
        <c:minorTickMark val="none"/>
        <c:tickLblPos val="nextTo"/>
        <c:crossAx val="28586841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Baseline!$T$27</c:f>
              <c:strCache>
                <c:ptCount val="1"/>
                <c:pt idx="0">
                  <c:v>Knot</c:v>
                </c:pt>
              </c:strCache>
            </c:strRef>
          </c:tx>
          <c:marker>
            <c:symbol val="none"/>
          </c:marker>
          <c:cat>
            <c:numRef>
              <c:f>Baseline!$S$28:$S$38</c:f>
              <c:numCache>
                <c:formatCode>0</c:formatCode>
                <c:ptCount val="11"/>
                <c:pt idx="0">
                  <c:v>-155.71535987376399</c:v>
                </c:pt>
                <c:pt idx="1">
                  <c:v>-134.802538155684</c:v>
                </c:pt>
                <c:pt idx="2">
                  <c:v>-109.734812778546</c:v>
                </c:pt>
                <c:pt idx="3">
                  <c:v>-82.890223279164502</c:v>
                </c:pt>
                <c:pt idx="4">
                  <c:v>-57.293498820956799</c:v>
                </c:pt>
                <c:pt idx="5">
                  <c:v>-33.228194347884497</c:v>
                </c:pt>
                <c:pt idx="6">
                  <c:v>-10.7013698878008</c:v>
                </c:pt>
                <c:pt idx="7">
                  <c:v>13.714314830516599</c:v>
                </c:pt>
                <c:pt idx="8">
                  <c:v>37.351224691526397</c:v>
                </c:pt>
                <c:pt idx="9">
                  <c:v>63.015946979401498</c:v>
                </c:pt>
                <c:pt idx="10">
                  <c:v>86.521419189998596</c:v>
                </c:pt>
              </c:numCache>
            </c:numRef>
          </c:cat>
          <c:val>
            <c:numRef>
              <c:f>Baseline!$T$28:$T$38</c:f>
              <c:numCache>
                <c:formatCode>0.000</c:formatCode>
                <c:ptCount val="11"/>
                <c:pt idx="0">
                  <c:v>0.91156174999999995</c:v>
                </c:pt>
                <c:pt idx="1">
                  <c:v>0.95169665599999997</c:v>
                </c:pt>
                <c:pt idx="2">
                  <c:v>1.016004106</c:v>
                </c:pt>
                <c:pt idx="3">
                  <c:v>1.141723072</c:v>
                </c:pt>
                <c:pt idx="4">
                  <c:v>1.276980872</c:v>
                </c:pt>
                <c:pt idx="5">
                  <c:v>1.2869999999999999</c:v>
                </c:pt>
                <c:pt idx="6">
                  <c:v>1.2869999999999999</c:v>
                </c:pt>
                <c:pt idx="7">
                  <c:v>1.2869999999999999</c:v>
                </c:pt>
                <c:pt idx="8">
                  <c:v>1.2869999999999999</c:v>
                </c:pt>
                <c:pt idx="9">
                  <c:v>1.2869999999999999</c:v>
                </c:pt>
                <c:pt idx="10">
                  <c:v>1.2869999999999999</c:v>
                </c:pt>
              </c:numCache>
            </c:numRef>
          </c:val>
          <c:smooth val="0"/>
        </c:ser>
        <c:ser>
          <c:idx val="1"/>
          <c:order val="1"/>
          <c:tx>
            <c:strRef>
              <c:f>Baseline!$U$27</c:f>
              <c:strCache>
                <c:ptCount val="1"/>
                <c:pt idx="0">
                  <c:v>adj Knot</c:v>
                </c:pt>
              </c:strCache>
            </c:strRef>
          </c:tx>
          <c:marker>
            <c:symbol val="none"/>
          </c:marker>
          <c:cat>
            <c:numRef>
              <c:f>Baseline!$S$28:$S$38</c:f>
              <c:numCache>
                <c:formatCode>0</c:formatCode>
                <c:ptCount val="11"/>
                <c:pt idx="0">
                  <c:v>-155.71535987376399</c:v>
                </c:pt>
                <c:pt idx="1">
                  <c:v>-134.802538155684</c:v>
                </c:pt>
                <c:pt idx="2">
                  <c:v>-109.734812778546</c:v>
                </c:pt>
                <c:pt idx="3">
                  <c:v>-82.890223279164502</c:v>
                </c:pt>
                <c:pt idx="4">
                  <c:v>-57.293498820956799</c:v>
                </c:pt>
                <c:pt idx="5">
                  <c:v>-33.228194347884497</c:v>
                </c:pt>
                <c:pt idx="6">
                  <c:v>-10.7013698878008</c:v>
                </c:pt>
                <c:pt idx="7">
                  <c:v>13.714314830516599</c:v>
                </c:pt>
                <c:pt idx="8">
                  <c:v>37.351224691526397</c:v>
                </c:pt>
                <c:pt idx="9">
                  <c:v>63.015946979401498</c:v>
                </c:pt>
                <c:pt idx="10">
                  <c:v>86.521419189998596</c:v>
                </c:pt>
              </c:numCache>
            </c:numRef>
          </c:cat>
          <c:val>
            <c:numRef>
              <c:f>Baseline!$U$28:$U$38</c:f>
              <c:numCache>
                <c:formatCode>0.000</c:formatCode>
                <c:ptCount val="11"/>
                <c:pt idx="0">
                  <c:v>0.68367131250000002</c:v>
                </c:pt>
                <c:pt idx="1">
                  <c:v>0.71377249199999993</c:v>
                </c:pt>
                <c:pt idx="2">
                  <c:v>0.76200307950000001</c:v>
                </c:pt>
                <c:pt idx="3">
                  <c:v>0.856292304</c:v>
                </c:pt>
                <c:pt idx="4">
                  <c:v>0.95773565399999994</c:v>
                </c:pt>
                <c:pt idx="5">
                  <c:v>0.96524999999999994</c:v>
                </c:pt>
                <c:pt idx="6">
                  <c:v>0.96524999999999994</c:v>
                </c:pt>
                <c:pt idx="7">
                  <c:v>0.96524999999999994</c:v>
                </c:pt>
                <c:pt idx="8">
                  <c:v>0.96524999999999994</c:v>
                </c:pt>
                <c:pt idx="9">
                  <c:v>0.96524999999999994</c:v>
                </c:pt>
                <c:pt idx="10">
                  <c:v>0.96524999999999994</c:v>
                </c:pt>
              </c:numCache>
            </c:numRef>
          </c:val>
          <c:smooth val="0"/>
        </c:ser>
        <c:dLbls>
          <c:showLegendKey val="0"/>
          <c:showVal val="0"/>
          <c:showCatName val="0"/>
          <c:showSerName val="0"/>
          <c:showPercent val="0"/>
          <c:showBubbleSize val="0"/>
        </c:dLbls>
        <c:marker val="1"/>
        <c:smooth val="0"/>
        <c:axId val="362293888"/>
        <c:axId val="362328448"/>
      </c:lineChart>
      <c:catAx>
        <c:axId val="362293888"/>
        <c:scaling>
          <c:orientation val="minMax"/>
        </c:scaling>
        <c:delete val="0"/>
        <c:axPos val="b"/>
        <c:numFmt formatCode="0" sourceLinked="1"/>
        <c:majorTickMark val="out"/>
        <c:minorTickMark val="none"/>
        <c:tickLblPos val="nextTo"/>
        <c:crossAx val="362328448"/>
        <c:crosses val="autoZero"/>
        <c:auto val="1"/>
        <c:lblAlgn val="ctr"/>
        <c:lblOffset val="100"/>
        <c:noMultiLvlLbl val="0"/>
      </c:catAx>
      <c:valAx>
        <c:axId val="362328448"/>
        <c:scaling>
          <c:orientation val="minMax"/>
        </c:scaling>
        <c:delete val="0"/>
        <c:axPos val="l"/>
        <c:numFmt formatCode="0" sourceLinked="0"/>
        <c:majorTickMark val="out"/>
        <c:minorTickMark val="none"/>
        <c:tickLblPos val="nextTo"/>
        <c:crossAx val="36229388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62</xdr:col>
      <xdr:colOff>0</xdr:colOff>
      <xdr:row>2</xdr:row>
      <xdr:rowOff>11907</xdr:rowOff>
    </xdr:from>
    <xdr:to>
      <xdr:col>91</xdr:col>
      <xdr:colOff>154781</xdr:colOff>
      <xdr:row>32</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52</xdr:col>
      <xdr:colOff>0</xdr:colOff>
      <xdr:row>25</xdr:row>
      <xdr:rowOff>0</xdr:rowOff>
    </xdr:from>
    <xdr:to>
      <xdr:col>61</xdr:col>
      <xdr:colOff>23812</xdr:colOff>
      <xdr:row>46</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83345</xdr:colOff>
      <xdr:row>49</xdr:row>
      <xdr:rowOff>71437</xdr:rowOff>
    </xdr:from>
    <xdr:to>
      <xdr:col>31</xdr:col>
      <xdr:colOff>404813</xdr:colOff>
      <xdr:row>63</xdr:row>
      <xdr:rowOff>147637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41672</xdr:colOff>
      <xdr:row>49</xdr:row>
      <xdr:rowOff>71437</xdr:rowOff>
    </xdr:from>
    <xdr:to>
      <xdr:col>26</xdr:col>
      <xdr:colOff>363140</xdr:colOff>
      <xdr:row>63</xdr:row>
      <xdr:rowOff>147637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49</xdr:row>
      <xdr:rowOff>71437</xdr:rowOff>
    </xdr:from>
    <xdr:to>
      <xdr:col>21</xdr:col>
      <xdr:colOff>321468</xdr:colOff>
      <xdr:row>63</xdr:row>
      <xdr:rowOff>147637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
  <sheetViews>
    <sheetView workbookViewId="0">
      <selection activeCell="F50" sqref="F50"/>
    </sheetView>
  </sheetViews>
  <sheetFormatPr defaultRowHeight="15" x14ac:dyDescent="0.25"/>
  <cols>
    <col min="1" max="1" width="13.28515625" bestFit="1" customWidth="1"/>
    <col min="7" max="7" width="1" customWidth="1"/>
    <col min="9" max="9" width="14.28515625" bestFit="1" customWidth="1"/>
  </cols>
  <sheetData>
    <row r="1" spans="1:19" x14ac:dyDescent="0.25">
      <c r="A1" t="s">
        <v>0</v>
      </c>
      <c r="B1" t="s">
        <v>1</v>
      </c>
      <c r="I1" t="s">
        <v>0</v>
      </c>
      <c r="J1" s="1" t="s">
        <v>11</v>
      </c>
      <c r="K1" t="s">
        <v>13</v>
      </c>
      <c r="L1" t="s">
        <v>14</v>
      </c>
      <c r="M1" t="s">
        <v>15</v>
      </c>
      <c r="N1" t="s">
        <v>16</v>
      </c>
      <c r="O1" t="s">
        <v>17</v>
      </c>
      <c r="P1" t="s">
        <v>20</v>
      </c>
      <c r="Q1" t="s">
        <v>115</v>
      </c>
      <c r="R1" t="s">
        <v>117</v>
      </c>
      <c r="S1" t="s">
        <v>119</v>
      </c>
    </row>
    <row r="2" spans="1:19" x14ac:dyDescent="0.25">
      <c r="A2" s="6">
        <v>1096925</v>
      </c>
      <c r="B2" t="s">
        <v>2</v>
      </c>
      <c r="C2" t="s">
        <v>3</v>
      </c>
      <c r="I2" s="6">
        <f>SUM(Baseline!AR3:AR23)</f>
        <v>7946682</v>
      </c>
      <c r="J2" s="1" t="s">
        <v>12</v>
      </c>
      <c r="K2" t="s">
        <v>122</v>
      </c>
      <c r="L2" t="s">
        <v>121</v>
      </c>
      <c r="M2" t="s">
        <v>18</v>
      </c>
      <c r="N2" t="s">
        <v>18</v>
      </c>
      <c r="O2" t="s">
        <v>19</v>
      </c>
      <c r="P2" t="s">
        <v>21</v>
      </c>
      <c r="Q2" t="s">
        <v>116</v>
      </c>
      <c r="R2" t="s">
        <v>118</v>
      </c>
      <c r="S2" t="s">
        <v>120</v>
      </c>
    </row>
    <row r="3" spans="1:19" x14ac:dyDescent="0.25">
      <c r="A3" s="6">
        <v>466351</v>
      </c>
      <c r="B3" t="s">
        <v>4</v>
      </c>
      <c r="J3" s="1"/>
    </row>
    <row r="4" spans="1:19" x14ac:dyDescent="0.25">
      <c r="A4" s="6">
        <v>230769</v>
      </c>
      <c r="B4" t="s">
        <v>5</v>
      </c>
      <c r="J4" s="1"/>
    </row>
    <row r="5" spans="1:19" x14ac:dyDescent="0.25">
      <c r="A5" s="6">
        <v>144409</v>
      </c>
      <c r="B5" t="s">
        <v>6</v>
      </c>
      <c r="J5" s="1"/>
    </row>
    <row r="6" spans="1:19" x14ac:dyDescent="0.25">
      <c r="A6" s="6">
        <v>124596</v>
      </c>
      <c r="B6" t="s">
        <v>7</v>
      </c>
      <c r="J6" s="1"/>
    </row>
    <row r="7" spans="1:19" x14ac:dyDescent="0.25">
      <c r="A7" s="6">
        <v>57525</v>
      </c>
      <c r="B7" t="s">
        <v>8</v>
      </c>
      <c r="J7" s="1"/>
    </row>
    <row r="8" spans="1:19" x14ac:dyDescent="0.25">
      <c r="A8" s="6">
        <v>2</v>
      </c>
      <c r="B8" t="s">
        <v>9</v>
      </c>
      <c r="J8" s="1"/>
    </row>
    <row r="9" spans="1:19" x14ac:dyDescent="0.25">
      <c r="A9" s="6"/>
      <c r="J9" s="1"/>
    </row>
    <row r="10" spans="1:19" x14ac:dyDescent="0.25">
      <c r="A10" s="6">
        <f>SUM(A2:A8)</f>
        <v>2120577</v>
      </c>
      <c r="B10"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5"/>
  <sheetViews>
    <sheetView tabSelected="1" zoomScale="80" zoomScaleNormal="80" workbookViewId="0">
      <pane xSplit="29100" topLeftCell="AZ1"/>
      <selection activeCell="AH53" sqref="AH53"/>
      <selection pane="topRight" activeCell="BH60" sqref="BH60"/>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7" width="9.42578125" bestFit="1" customWidth="1"/>
    <col min="48" max="50" width="9.28515625" bestFit="1" customWidth="1"/>
  </cols>
  <sheetData>
    <row r="1" spans="1:50" x14ac:dyDescent="0.25">
      <c r="AS1" s="23" t="s">
        <v>93</v>
      </c>
      <c r="AT1" s="23" t="s">
        <v>94</v>
      </c>
      <c r="AU1" s="23" t="s">
        <v>95</v>
      </c>
      <c r="AV1" s="23"/>
      <c r="AW1" s="23"/>
      <c r="AX1" s="23"/>
    </row>
    <row r="2" spans="1:50" x14ac:dyDescent="0.25">
      <c r="A2" t="s">
        <v>22</v>
      </c>
      <c r="B2" t="s">
        <v>23</v>
      </c>
      <c r="C2" t="s">
        <v>24</v>
      </c>
      <c r="D2" t="s">
        <v>25</v>
      </c>
      <c r="E2" t="s">
        <v>101</v>
      </c>
      <c r="F2" t="s">
        <v>102</v>
      </c>
      <c r="G2" t="s">
        <v>26</v>
      </c>
      <c r="H2" t="s">
        <v>27</v>
      </c>
      <c r="I2" t="s">
        <v>28</v>
      </c>
      <c r="J2" t="s">
        <v>29</v>
      </c>
      <c r="K2" t="s">
        <v>30</v>
      </c>
      <c r="L2" t="s">
        <v>31</v>
      </c>
      <c r="M2" t="s">
        <v>32</v>
      </c>
      <c r="N2" t="s">
        <v>33</v>
      </c>
      <c r="O2" t="s">
        <v>34</v>
      </c>
      <c r="P2" t="s">
        <v>35</v>
      </c>
      <c r="Q2" t="s">
        <v>36</v>
      </c>
      <c r="R2" t="s">
        <v>37</v>
      </c>
      <c r="S2" t="s">
        <v>38</v>
      </c>
      <c r="T2" t="s">
        <v>39</v>
      </c>
      <c r="U2" t="s">
        <v>40</v>
      </c>
      <c r="V2" t="s">
        <v>41</v>
      </c>
      <c r="W2" t="s">
        <v>42</v>
      </c>
      <c r="X2" t="s">
        <v>43</v>
      </c>
      <c r="Y2" t="s">
        <v>44</v>
      </c>
      <c r="Z2" t="s">
        <v>45</v>
      </c>
      <c r="AA2" t="s">
        <v>46</v>
      </c>
      <c r="AB2" s="1" t="s">
        <v>47</v>
      </c>
      <c r="AC2" s="1" t="s">
        <v>48</v>
      </c>
      <c r="AD2" s="1" t="s">
        <v>49</v>
      </c>
      <c r="AE2" t="s">
        <v>50</v>
      </c>
      <c r="AF2" t="s">
        <v>51</v>
      </c>
      <c r="AG2" t="s">
        <v>52</v>
      </c>
      <c r="AH2" t="s">
        <v>53</v>
      </c>
      <c r="AI2" t="s">
        <v>54</v>
      </c>
      <c r="AJ2" t="s">
        <v>55</v>
      </c>
      <c r="AK2" t="s">
        <v>56</v>
      </c>
      <c r="AL2" t="s">
        <v>57</v>
      </c>
      <c r="AM2" t="s">
        <v>58</v>
      </c>
      <c r="AN2" t="s">
        <v>59</v>
      </c>
      <c r="AO2" t="s">
        <v>60</v>
      </c>
      <c r="AP2" t="s">
        <v>61</v>
      </c>
      <c r="AQ2" t="s">
        <v>62</v>
      </c>
      <c r="AR2" t="s">
        <v>63</v>
      </c>
      <c r="AS2" s="27">
        <v>1</v>
      </c>
      <c r="AT2" s="27">
        <v>1</v>
      </c>
      <c r="AU2" s="27">
        <v>1</v>
      </c>
      <c r="AV2" s="23"/>
      <c r="AW2" s="23"/>
      <c r="AX2" s="23"/>
    </row>
    <row r="3" spans="1:50" x14ac:dyDescent="0.25">
      <c r="A3">
        <v>98</v>
      </c>
      <c r="B3" s="4">
        <v>0.99837137827076605</v>
      </c>
      <c r="C3" s="4">
        <v>9.9331498601007401E-2</v>
      </c>
      <c r="D3" s="4">
        <v>1.9369348650274301</v>
      </c>
      <c r="E3" s="4">
        <v>8.2813958258023802E-5</v>
      </c>
      <c r="F3" s="5">
        <v>1.6286217292336199E-3</v>
      </c>
      <c r="G3" s="5">
        <v>0</v>
      </c>
      <c r="H3" s="4">
        <v>3.25</v>
      </c>
      <c r="I3" s="4">
        <v>3.7250214200198499</v>
      </c>
      <c r="J3" s="4">
        <v>-46.608490109421602</v>
      </c>
      <c r="K3" s="4">
        <v>-155.71535987376399</v>
      </c>
      <c r="L3" s="4">
        <v>12.9047732531159</v>
      </c>
      <c r="M3" s="4">
        <v>3.59518642498427</v>
      </c>
      <c r="N3" s="4">
        <v>80</v>
      </c>
      <c r="O3" s="4">
        <v>78.210600956146905</v>
      </c>
      <c r="P3" s="4">
        <v>321428.78462229599</v>
      </c>
      <c r="Q3" s="4">
        <v>309299.13142857101</v>
      </c>
      <c r="R3" s="4">
        <v>773.06252077046099</v>
      </c>
      <c r="S3" s="4">
        <v>0</v>
      </c>
      <c r="T3" s="4">
        <v>0</v>
      </c>
      <c r="U3" s="4">
        <v>0</v>
      </c>
      <c r="V3" s="4">
        <v>0.29584860226294402</v>
      </c>
      <c r="W3" s="4">
        <v>0</v>
      </c>
      <c r="X3" s="4">
        <v>0</v>
      </c>
      <c r="Y3" s="4">
        <v>0</v>
      </c>
      <c r="Z3" s="5">
        <v>1.7093033693092599E-4</v>
      </c>
      <c r="AA3" s="5">
        <v>5.7498827790805402E-6</v>
      </c>
      <c r="AB3" s="10">
        <v>1.4519281291073001E-3</v>
      </c>
      <c r="AC3" s="10">
        <v>0</v>
      </c>
      <c r="AD3" s="10">
        <v>0</v>
      </c>
      <c r="AE3" s="4">
        <v>1.6886848884895E-2</v>
      </c>
      <c r="AF3" s="4">
        <v>1</v>
      </c>
      <c r="AG3" s="4">
        <v>1</v>
      </c>
      <c r="AH3" s="4">
        <v>1</v>
      </c>
      <c r="AI3" s="4">
        <v>1</v>
      </c>
      <c r="AJ3" s="4">
        <v>1</v>
      </c>
      <c r="AK3" s="4">
        <v>1</v>
      </c>
      <c r="AL3" s="4">
        <v>1</v>
      </c>
      <c r="AM3" s="4">
        <v>0</v>
      </c>
      <c r="AN3" s="4">
        <v>0</v>
      </c>
      <c r="AO3" s="4" t="s">
        <v>64</v>
      </c>
      <c r="AP3" s="4">
        <f>-175--150</f>
        <v>-25</v>
      </c>
      <c r="AQ3" s="6">
        <v>2165093.92</v>
      </c>
      <c r="AR3" s="4">
        <v>7</v>
      </c>
      <c r="AS3" s="21">
        <f>Z3+AA3+AB3*$AS$2+AC3*$AT$2+AD3*$AU$2</f>
        <v>1.6286083488173066E-3</v>
      </c>
      <c r="AT3" s="21">
        <f t="shared" ref="AT3" si="0">100*(1-(1-AS3)^12)</f>
        <v>1.936919093845324</v>
      </c>
      <c r="AU3" s="21">
        <f>AT3-D3</f>
        <v>-1.5771182106050219E-5</v>
      </c>
      <c r="AV3" s="21">
        <f>G3-D3</f>
        <v>-1.9369348650274301</v>
      </c>
      <c r="AW3" s="21">
        <f>1-(1-D3/100)^(1/12)</f>
        <v>1.6286217292336147E-3</v>
      </c>
      <c r="AX3" s="21">
        <f>AW3-AS3</f>
        <v>1.3380416308142809E-8</v>
      </c>
    </row>
    <row r="4" spans="1:50" x14ac:dyDescent="0.25">
      <c r="A4">
        <v>98</v>
      </c>
      <c r="B4" s="4">
        <v>0.99811170595306697</v>
      </c>
      <c r="C4" s="4">
        <v>0.28663903320228501</v>
      </c>
      <c r="D4" s="4">
        <v>2.2425670358754202</v>
      </c>
      <c r="E4" s="4">
        <v>2.3918024984046101E-4</v>
      </c>
      <c r="F4" s="5">
        <v>1.88829404693208E-3</v>
      </c>
      <c r="G4" s="5">
        <v>0</v>
      </c>
      <c r="H4" s="4">
        <v>3.4796364112409002</v>
      </c>
      <c r="I4" s="4">
        <v>3.7685876181396001</v>
      </c>
      <c r="J4" s="4">
        <v>-26.078841244722401</v>
      </c>
      <c r="K4" s="4">
        <v>-134.802538155684</v>
      </c>
      <c r="L4" s="4">
        <v>14.6559479365449</v>
      </c>
      <c r="M4" s="4">
        <v>4.21012396674322</v>
      </c>
      <c r="N4" s="4">
        <v>79.159890421733607</v>
      </c>
      <c r="O4" s="4">
        <v>77.309020443845995</v>
      </c>
      <c r="P4" s="4">
        <v>289494.109275122</v>
      </c>
      <c r="Q4" s="4">
        <v>272396.96419354802</v>
      </c>
      <c r="R4" s="4">
        <v>777.17493622202198</v>
      </c>
      <c r="S4" s="4">
        <v>0</v>
      </c>
      <c r="T4" s="4">
        <v>0</v>
      </c>
      <c r="U4" s="4">
        <v>3.1384525081433301E-2</v>
      </c>
      <c r="V4" s="4">
        <v>0.56605616047857299</v>
      </c>
      <c r="W4" s="4">
        <v>0</v>
      </c>
      <c r="X4" s="4">
        <v>0.33979799137759498</v>
      </c>
      <c r="Y4" s="4">
        <v>0</v>
      </c>
      <c r="Z4" s="5">
        <v>2.2071805963298601E-4</v>
      </c>
      <c r="AA4" s="5">
        <v>1.60047999868109E-5</v>
      </c>
      <c r="AB4" s="10">
        <v>1.59977270959446E-3</v>
      </c>
      <c r="AC4" s="10">
        <v>0</v>
      </c>
      <c r="AD4" s="10">
        <v>5.1786862996255101E-5</v>
      </c>
      <c r="AE4" s="4">
        <v>1.6276550127797999E-2</v>
      </c>
      <c r="AF4" s="4">
        <v>0.96861547491856603</v>
      </c>
      <c r="AG4" s="4">
        <v>1</v>
      </c>
      <c r="AH4" s="4">
        <v>1</v>
      </c>
      <c r="AI4" s="4">
        <v>1</v>
      </c>
      <c r="AJ4" s="4">
        <v>1</v>
      </c>
      <c r="AK4" s="4">
        <v>1</v>
      </c>
      <c r="AL4" s="4">
        <v>1</v>
      </c>
      <c r="AM4" s="4">
        <v>0</v>
      </c>
      <c r="AN4" s="4">
        <v>0</v>
      </c>
      <c r="AO4" s="4" t="s">
        <v>65</v>
      </c>
      <c r="AP4" s="4">
        <f>-150--125</f>
        <v>-25</v>
      </c>
      <c r="AQ4" s="6">
        <v>8444305.8900000006</v>
      </c>
      <c r="AR4" s="4">
        <v>31</v>
      </c>
      <c r="AS4" s="21">
        <f t="shared" ref="AS4:AS20" si="1">Z4+AA4+AB4*$AS$2+AC4*$AT$2+AD4*$AU$2</f>
        <v>1.888282432210512E-3</v>
      </c>
      <c r="AT4" s="21">
        <f t="shared" ref="AT4:AT20" si="2">100*(1-(1-AS4)^12)</f>
        <v>2.2425533849930734</v>
      </c>
      <c r="AU4" s="21">
        <f t="shared" ref="AU4:AU20" si="3">AT4-D4</f>
        <v>-1.36508823467274E-5</v>
      </c>
      <c r="AV4" s="21"/>
      <c r="AW4" s="21"/>
      <c r="AX4" s="21"/>
    </row>
    <row r="5" spans="1:50" x14ac:dyDescent="0.25">
      <c r="A5">
        <v>98</v>
      </c>
      <c r="B5" s="4">
        <v>0.99693626580335304</v>
      </c>
      <c r="C5" s="4">
        <v>0.79163741061674098</v>
      </c>
      <c r="D5" s="4">
        <v>3.6151586804337299</v>
      </c>
      <c r="E5" s="4">
        <v>6.6210362543973997E-4</v>
      </c>
      <c r="F5" s="5">
        <v>3.0637341966464199E-3</v>
      </c>
      <c r="G5" s="5">
        <v>0</v>
      </c>
      <c r="H5" s="4">
        <v>3.6820110203644498</v>
      </c>
      <c r="I5" s="4">
        <v>3.8618190118223299</v>
      </c>
      <c r="J5" s="4">
        <v>-26.136873751223401</v>
      </c>
      <c r="K5" s="4">
        <v>-109.734812778546</v>
      </c>
      <c r="L5" s="4">
        <v>15.969280507929099</v>
      </c>
      <c r="M5" s="4">
        <v>5.0181502676699203</v>
      </c>
      <c r="N5" s="4">
        <v>79.192379197912501</v>
      </c>
      <c r="O5" s="4">
        <v>77.270464972192102</v>
      </c>
      <c r="P5" s="4">
        <v>276980.37885969802</v>
      </c>
      <c r="Q5" s="4">
        <v>240612.28864661601</v>
      </c>
      <c r="R5" s="4">
        <v>780.01282531948402</v>
      </c>
      <c r="S5" s="4">
        <v>0</v>
      </c>
      <c r="T5" s="4">
        <v>0</v>
      </c>
      <c r="U5" s="4">
        <v>5.6329533796250497E-2</v>
      </c>
      <c r="V5" s="4">
        <v>0.64868544350270896</v>
      </c>
      <c r="W5" s="4">
        <v>0</v>
      </c>
      <c r="X5" s="4">
        <v>0.54456578594632099</v>
      </c>
      <c r="Y5" s="4">
        <v>0</v>
      </c>
      <c r="Z5" s="5">
        <v>2.6906856190668299E-4</v>
      </c>
      <c r="AA5" s="5">
        <v>3.53987176865511E-5</v>
      </c>
      <c r="AB5" s="10">
        <v>1.7871060526493401E-3</v>
      </c>
      <c r="AC5" s="10">
        <v>0</v>
      </c>
      <c r="AD5" s="10">
        <v>9.72147994686181E-4</v>
      </c>
      <c r="AE5" s="4">
        <v>1.13684448324042E-2</v>
      </c>
      <c r="AF5" s="4">
        <v>0.97216146941593296</v>
      </c>
      <c r="AG5" s="4">
        <v>1</v>
      </c>
      <c r="AH5" s="4">
        <v>1</v>
      </c>
      <c r="AI5" s="4">
        <v>1</v>
      </c>
      <c r="AJ5" s="4">
        <v>1</v>
      </c>
      <c r="AK5" s="4">
        <v>1</v>
      </c>
      <c r="AL5" s="4">
        <v>1</v>
      </c>
      <c r="AM5" s="4">
        <v>0</v>
      </c>
      <c r="AN5" s="4">
        <v>0</v>
      </c>
      <c r="AO5" s="4" t="s">
        <v>66</v>
      </c>
      <c r="AP5" s="4">
        <f>-125--100</f>
        <v>-25</v>
      </c>
      <c r="AQ5" s="6">
        <v>32001434.390000001</v>
      </c>
      <c r="AR5" s="4">
        <v>133</v>
      </c>
      <c r="AS5" s="21">
        <f t="shared" si="1"/>
        <v>3.0637213269287551E-3</v>
      </c>
      <c r="AT5" s="21">
        <f t="shared" si="2"/>
        <v>3.6151437493394778</v>
      </c>
      <c r="AU5" s="21">
        <f t="shared" si="3"/>
        <v>-1.4931094252101929E-5</v>
      </c>
      <c r="AV5" s="21"/>
      <c r="AW5" s="21"/>
      <c r="AX5" s="21"/>
    </row>
    <row r="6" spans="1:50" x14ac:dyDescent="0.25">
      <c r="A6">
        <v>98</v>
      </c>
      <c r="B6" s="4">
        <v>0.99627518629303302</v>
      </c>
      <c r="C6" s="4">
        <v>3.53538262345007</v>
      </c>
      <c r="D6" s="4">
        <v>4.3793339480965399</v>
      </c>
      <c r="E6" s="4">
        <v>2.994998033957E-3</v>
      </c>
      <c r="F6" s="5">
        <v>3.7248137069666801E-3</v>
      </c>
      <c r="G6" s="5">
        <v>0</v>
      </c>
      <c r="H6" s="4">
        <v>3.3922685231354701</v>
      </c>
      <c r="I6" s="4">
        <v>3.8250409143966602</v>
      </c>
      <c r="J6" s="4">
        <v>-46.867674344232299</v>
      </c>
      <c r="K6" s="4">
        <v>-82.890223279164502</v>
      </c>
      <c r="L6" s="4">
        <v>16.662473646860601</v>
      </c>
      <c r="M6" s="4">
        <v>4.8541798325968797</v>
      </c>
      <c r="N6" s="4">
        <v>78.414048604933598</v>
      </c>
      <c r="O6" s="4">
        <v>76.405563138258799</v>
      </c>
      <c r="P6" s="4">
        <v>264101.91146872099</v>
      </c>
      <c r="Q6" s="4">
        <v>234508.48126858199</v>
      </c>
      <c r="R6" s="4">
        <v>779.21788027901403</v>
      </c>
      <c r="S6" s="4">
        <v>0</v>
      </c>
      <c r="T6" s="4">
        <v>0</v>
      </c>
      <c r="U6" s="4">
        <v>4.9109839494179401E-2</v>
      </c>
      <c r="V6" s="4">
        <v>0.697429606954871</v>
      </c>
      <c r="W6" s="4">
        <v>0</v>
      </c>
      <c r="X6" s="4">
        <v>0.51635706328668896</v>
      </c>
      <c r="Y6" s="4">
        <v>0</v>
      </c>
      <c r="Z6" s="5">
        <v>2.9223966432705497E-4</v>
      </c>
      <c r="AA6" s="5">
        <v>1.7203580871376099E-5</v>
      </c>
      <c r="AB6" s="10">
        <v>1.7010624555746699E-3</v>
      </c>
      <c r="AC6" s="10">
        <v>0</v>
      </c>
      <c r="AD6" s="10">
        <v>1.7142964795213999E-3</v>
      </c>
      <c r="AE6" s="4">
        <v>1.1586515986989799E-2</v>
      </c>
      <c r="AF6" s="4">
        <v>0.96664328947103295</v>
      </c>
      <c r="AG6" s="4">
        <v>1</v>
      </c>
      <c r="AH6" s="4">
        <v>1</v>
      </c>
      <c r="AI6" s="4">
        <v>1</v>
      </c>
      <c r="AJ6" s="4">
        <v>1</v>
      </c>
      <c r="AK6" s="4">
        <v>1</v>
      </c>
      <c r="AL6" s="4">
        <v>1</v>
      </c>
      <c r="AM6" s="4">
        <v>0</v>
      </c>
      <c r="AN6" s="4">
        <v>0</v>
      </c>
      <c r="AO6" s="4" t="s">
        <v>67</v>
      </c>
      <c r="AP6" s="4">
        <f>-100--75</f>
        <v>-25</v>
      </c>
      <c r="AQ6" s="6">
        <v>236619057.59999999</v>
      </c>
      <c r="AR6" s="4">
        <v>1009</v>
      </c>
      <c r="AS6" s="21">
        <f t="shared" si="1"/>
        <v>3.7248021802945008E-3</v>
      </c>
      <c r="AT6" s="21">
        <f t="shared" si="2"/>
        <v>4.3793206723892091</v>
      </c>
      <c r="AU6" s="21">
        <f t="shared" si="3"/>
        <v>-1.3275707330784314E-5</v>
      </c>
      <c r="AV6" s="21"/>
      <c r="AW6" s="21"/>
      <c r="AX6" s="21"/>
    </row>
    <row r="7" spans="1:50" x14ac:dyDescent="0.25">
      <c r="A7">
        <v>98</v>
      </c>
      <c r="B7" s="4">
        <v>0.99782146023782103</v>
      </c>
      <c r="C7" s="4">
        <v>2.13648317751047</v>
      </c>
      <c r="D7" s="4">
        <v>2.5831502366361199</v>
      </c>
      <c r="E7" s="4">
        <v>1.7980784740109601E-3</v>
      </c>
      <c r="F7" s="5">
        <v>2.1785397621787101E-3</v>
      </c>
      <c r="G7" s="5">
        <v>0</v>
      </c>
      <c r="H7" s="4">
        <v>3.5019953825213999</v>
      </c>
      <c r="I7" s="4">
        <v>3.9295947408681702</v>
      </c>
      <c r="J7" s="4">
        <v>-46.5460973399396</v>
      </c>
      <c r="K7" s="4">
        <v>-57.293498820956799</v>
      </c>
      <c r="L7" s="4">
        <v>16.1947459040599</v>
      </c>
      <c r="M7" s="4">
        <v>4.4167240059661701</v>
      </c>
      <c r="N7" s="4">
        <v>77.591168331521303</v>
      </c>
      <c r="O7" s="4">
        <v>76.0851128119224</v>
      </c>
      <c r="P7" s="4">
        <v>268771.577424969</v>
      </c>
      <c r="Q7" s="4">
        <v>244083.56068159299</v>
      </c>
      <c r="R7" s="4">
        <v>780.31562373310101</v>
      </c>
      <c r="S7" s="4">
        <v>0</v>
      </c>
      <c r="T7" s="4">
        <v>0</v>
      </c>
      <c r="U7" s="4">
        <v>0.14108344600557199</v>
      </c>
      <c r="V7" s="4">
        <v>0.47825913027776501</v>
      </c>
      <c r="W7" s="4">
        <v>0</v>
      </c>
      <c r="X7" s="4">
        <v>0.50315960298168505</v>
      </c>
      <c r="Y7" s="4">
        <v>0</v>
      </c>
      <c r="Z7" s="5">
        <v>2.3044079744773599E-4</v>
      </c>
      <c r="AA7" s="5">
        <v>1.76833508197156E-5</v>
      </c>
      <c r="AB7" s="10">
        <v>1.5308578924269501E-3</v>
      </c>
      <c r="AC7" s="10">
        <v>2.01887486716415E-10</v>
      </c>
      <c r="AD7" s="10">
        <v>3.9954701682063998E-4</v>
      </c>
      <c r="AE7" s="4">
        <v>9.1814708514863595E-3</v>
      </c>
      <c r="AF7" s="4">
        <v>0.97321718426064796</v>
      </c>
      <c r="AG7" s="4">
        <v>0.99996684575851602</v>
      </c>
      <c r="AH7" s="4">
        <v>1</v>
      </c>
      <c r="AI7" s="4">
        <v>1</v>
      </c>
      <c r="AJ7" s="4">
        <v>1</v>
      </c>
      <c r="AK7" s="4">
        <v>1</v>
      </c>
      <c r="AL7" s="4">
        <v>1</v>
      </c>
      <c r="AM7" s="4">
        <v>0</v>
      </c>
      <c r="AN7" s="4">
        <v>0</v>
      </c>
      <c r="AO7" s="4" t="s">
        <v>68</v>
      </c>
      <c r="AP7" s="4">
        <f>-75--50</f>
        <v>-25</v>
      </c>
      <c r="AQ7" s="6">
        <v>3215800911.98</v>
      </c>
      <c r="AR7" s="4">
        <v>13175</v>
      </c>
      <c r="AS7" s="21">
        <f t="shared" si="1"/>
        <v>2.1785292594025283E-3</v>
      </c>
      <c r="AT7" s="21">
        <f t="shared" si="2"/>
        <v>2.5831379320609194</v>
      </c>
      <c r="AU7" s="21">
        <f t="shared" si="3"/>
        <v>-1.2304575200516865E-5</v>
      </c>
      <c r="AV7" s="21"/>
      <c r="AW7" s="21"/>
      <c r="AX7" s="21"/>
    </row>
    <row r="8" spans="1:50" x14ac:dyDescent="0.25">
      <c r="A8">
        <v>98</v>
      </c>
      <c r="B8" s="4">
        <v>0.99681725583985603</v>
      </c>
      <c r="C8" s="4">
        <v>2.2874455307716999</v>
      </c>
      <c r="D8" s="4">
        <v>3.7531401565672899</v>
      </c>
      <c r="E8" s="4">
        <v>1.9264865212697401E-3</v>
      </c>
      <c r="F8" s="5">
        <v>3.1827441601436301E-3</v>
      </c>
      <c r="G8" s="5">
        <v>0</v>
      </c>
      <c r="H8" s="4">
        <v>3.6690276597007401</v>
      </c>
      <c r="I8" s="4">
        <v>3.96261226407769</v>
      </c>
      <c r="J8" s="4">
        <v>-37.755519234580603</v>
      </c>
      <c r="K8" s="4">
        <v>-33.228194347884497</v>
      </c>
      <c r="L8" s="4">
        <v>15.100245223728701</v>
      </c>
      <c r="M8" s="4">
        <v>4.6381313077447697</v>
      </c>
      <c r="N8" s="4">
        <v>74.215418928412006</v>
      </c>
      <c r="O8" s="4">
        <v>72.514632142473204</v>
      </c>
      <c r="P8" s="4">
        <v>284646.57344084699</v>
      </c>
      <c r="Q8" s="4">
        <v>263942.49538693897</v>
      </c>
      <c r="R8" s="4">
        <v>782.48143760971698</v>
      </c>
      <c r="S8" s="4">
        <v>0</v>
      </c>
      <c r="T8" s="4">
        <v>0</v>
      </c>
      <c r="U8" s="4">
        <v>0.20812616005875201</v>
      </c>
      <c r="V8" s="4">
        <v>0.36456998333527801</v>
      </c>
      <c r="W8" s="4">
        <v>0</v>
      </c>
      <c r="X8" s="4">
        <v>0.63114163769354903</v>
      </c>
      <c r="Y8" s="4">
        <v>0</v>
      </c>
      <c r="Z8" s="5">
        <v>2.20253190860298E-4</v>
      </c>
      <c r="AA8" s="5">
        <v>1.9630281034472302E-5</v>
      </c>
      <c r="AB8" s="10">
        <v>1.74256933687498E-3</v>
      </c>
      <c r="AC8" s="10">
        <v>3.1662033774788501E-9</v>
      </c>
      <c r="AD8" s="10">
        <v>1.20027356776079E-3</v>
      </c>
      <c r="AE8" s="4">
        <v>1.4746992012983601E-2</v>
      </c>
      <c r="AF8" s="4">
        <v>0.935051827293647</v>
      </c>
      <c r="AG8" s="4">
        <v>0.99986787707094305</v>
      </c>
      <c r="AH8" s="4">
        <v>0.999997034411924</v>
      </c>
      <c r="AI8" s="4">
        <v>0.99999797692731696</v>
      </c>
      <c r="AJ8" s="4">
        <v>1</v>
      </c>
      <c r="AK8" s="4">
        <v>1</v>
      </c>
      <c r="AL8" s="4">
        <v>1</v>
      </c>
      <c r="AM8" s="4">
        <v>0</v>
      </c>
      <c r="AN8" s="4">
        <v>0</v>
      </c>
      <c r="AO8" s="4" t="s">
        <v>69</v>
      </c>
      <c r="AP8" s="4">
        <f>-50--25</f>
        <v>-25</v>
      </c>
      <c r="AQ8" s="6">
        <v>37469276645.129997</v>
      </c>
      <c r="AR8" s="4">
        <v>141960</v>
      </c>
      <c r="AS8" s="21">
        <f t="shared" si="1"/>
        <v>3.1827295427339182E-3</v>
      </c>
      <c r="AT8" s="21">
        <f t="shared" si="2"/>
        <v>3.7531232201040821</v>
      </c>
      <c r="AU8" s="21">
        <f t="shared" si="3"/>
        <v>-1.6936463207883889E-5</v>
      </c>
      <c r="AV8" s="21"/>
      <c r="AW8" s="21"/>
      <c r="AX8" s="21"/>
    </row>
    <row r="9" spans="1:50" x14ac:dyDescent="0.25">
      <c r="A9">
        <v>98</v>
      </c>
      <c r="B9" s="4">
        <v>0.99326744371241005</v>
      </c>
      <c r="C9" s="4">
        <v>5.5952403386325003</v>
      </c>
      <c r="D9" s="4">
        <v>7.7865203688711002</v>
      </c>
      <c r="E9" s="4">
        <v>4.7867314075002798E-3</v>
      </c>
      <c r="F9" s="5">
        <v>6.7325562875895396E-3</v>
      </c>
      <c r="G9" s="5">
        <v>0</v>
      </c>
      <c r="H9" s="4">
        <v>3.79115424254275</v>
      </c>
      <c r="I9" s="4">
        <v>3.9306453385698399</v>
      </c>
      <c r="J9" s="4">
        <v>-30.087740261230799</v>
      </c>
      <c r="K9" s="4">
        <v>-10.7013698878008</v>
      </c>
      <c r="L9" s="4">
        <v>14.2126405233381</v>
      </c>
      <c r="M9" s="4">
        <v>5.7718337666558304</v>
      </c>
      <c r="N9" s="4">
        <v>68.642460652433996</v>
      </c>
      <c r="O9" s="4">
        <v>66.680403319917701</v>
      </c>
      <c r="P9" s="4">
        <v>301398.90070188598</v>
      </c>
      <c r="Q9" s="4">
        <v>280517.54794925102</v>
      </c>
      <c r="R9" s="4">
        <v>783.61878223127201</v>
      </c>
      <c r="S9" s="4">
        <v>0</v>
      </c>
      <c r="T9" s="4">
        <v>0</v>
      </c>
      <c r="U9" s="4">
        <v>0.184577120965602</v>
      </c>
      <c r="V9" s="4">
        <v>0.358542422146301</v>
      </c>
      <c r="W9" s="4">
        <v>0</v>
      </c>
      <c r="X9" s="4">
        <v>0.74823687880579004</v>
      </c>
      <c r="Y9" s="4">
        <v>0</v>
      </c>
      <c r="Z9" s="5">
        <v>2.5452514895670702E-4</v>
      </c>
      <c r="AA9" s="5">
        <v>2.48125746453741E-5</v>
      </c>
      <c r="AB9" s="10">
        <v>2.0932521930598301E-3</v>
      </c>
      <c r="AC9" s="10">
        <v>6.2896809027270503E-9</v>
      </c>
      <c r="AD9" s="10">
        <v>4.3599455573596797E-3</v>
      </c>
      <c r="AE9" s="4">
        <v>1.93492833405771E-2</v>
      </c>
      <c r="AF9" s="4">
        <v>0.851549297479954</v>
      </c>
      <c r="AG9" s="4">
        <v>0.99951205163352297</v>
      </c>
      <c r="AH9" s="4">
        <v>0.99998269698160802</v>
      </c>
      <c r="AI9" s="4">
        <v>0.99999959679096695</v>
      </c>
      <c r="AJ9" s="4">
        <v>1</v>
      </c>
      <c r="AK9" s="4">
        <v>1</v>
      </c>
      <c r="AL9" s="4">
        <v>1</v>
      </c>
      <c r="AM9" s="4">
        <v>0</v>
      </c>
      <c r="AN9" s="4">
        <v>0</v>
      </c>
      <c r="AO9" s="4" t="s">
        <v>70</v>
      </c>
      <c r="AP9" s="4">
        <f>-25-0</f>
        <v>-25</v>
      </c>
      <c r="AQ9" s="6">
        <v>167440643853.35999</v>
      </c>
      <c r="AR9" s="4">
        <v>596899</v>
      </c>
      <c r="AS9" s="21">
        <f t="shared" si="1"/>
        <v>6.7325417637024935E-3</v>
      </c>
      <c r="AT9" s="21">
        <f t="shared" si="2"/>
        <v>7.786504188355881</v>
      </c>
      <c r="AU9" s="21">
        <f t="shared" si="3"/>
        <v>-1.6180515219232916E-5</v>
      </c>
      <c r="AV9" s="21"/>
      <c r="AW9" s="21"/>
      <c r="AX9" s="21"/>
    </row>
    <row r="10" spans="1:50" x14ac:dyDescent="0.25">
      <c r="A10">
        <v>98</v>
      </c>
      <c r="B10" s="4">
        <v>0.98732154680850404</v>
      </c>
      <c r="C10" s="4">
        <v>16.816718182171801</v>
      </c>
      <c r="D10" s="4">
        <v>14.1968208850609</v>
      </c>
      <c r="E10" s="4">
        <v>1.52265357923716E-2</v>
      </c>
      <c r="F10" s="5">
        <v>1.2678453191495499E-2</v>
      </c>
      <c r="G10" s="5">
        <v>0</v>
      </c>
      <c r="H10" s="4">
        <v>3.9967112948047898</v>
      </c>
      <c r="I10" s="4">
        <v>3.90276752742915</v>
      </c>
      <c r="J10" s="4">
        <v>-23.390222130988999</v>
      </c>
      <c r="K10" s="4">
        <v>13.714314830516599</v>
      </c>
      <c r="L10" s="4">
        <v>14.505833481631999</v>
      </c>
      <c r="M10" s="4">
        <v>9.1984500543420893</v>
      </c>
      <c r="N10" s="4">
        <v>68.154914814897793</v>
      </c>
      <c r="O10" s="4">
        <v>65.866707573077704</v>
      </c>
      <c r="P10" s="4">
        <v>295883.63893491297</v>
      </c>
      <c r="Q10" s="4">
        <v>275057.02677466499</v>
      </c>
      <c r="R10" s="4">
        <v>783.37171828653197</v>
      </c>
      <c r="S10" s="4">
        <v>0</v>
      </c>
      <c r="T10" s="4">
        <v>0</v>
      </c>
      <c r="U10" s="4">
        <v>0.10507620130218</v>
      </c>
      <c r="V10" s="4">
        <v>0.40864517352311303</v>
      </c>
      <c r="W10" s="4">
        <v>0</v>
      </c>
      <c r="X10" s="4">
        <v>0.76361726670903796</v>
      </c>
      <c r="Y10" s="4">
        <v>0</v>
      </c>
      <c r="Z10" s="5">
        <v>3.1347047583456098E-4</v>
      </c>
      <c r="AA10" s="5">
        <v>4.0352968841230301E-5</v>
      </c>
      <c r="AB10" s="10">
        <v>2.6260748012075399E-3</v>
      </c>
      <c r="AC10" s="10">
        <v>3.0982412790219199E-7</v>
      </c>
      <c r="AD10" s="10">
        <v>9.6982312227197106E-3</v>
      </c>
      <c r="AE10" s="4">
        <v>1.7822231888052799E-2</v>
      </c>
      <c r="AF10" s="4">
        <v>0.80101441049090705</v>
      </c>
      <c r="AG10" s="4">
        <v>0.99364075311311495</v>
      </c>
      <c r="AH10" s="4">
        <v>0.99956836044186204</v>
      </c>
      <c r="AI10" s="4">
        <v>0.99991432771811395</v>
      </c>
      <c r="AJ10" s="4">
        <v>1</v>
      </c>
      <c r="AK10" s="4">
        <v>1</v>
      </c>
      <c r="AL10" s="4">
        <v>1</v>
      </c>
      <c r="AM10" s="4">
        <v>0</v>
      </c>
      <c r="AN10" s="4">
        <v>0</v>
      </c>
      <c r="AO10" s="4" t="s">
        <v>71</v>
      </c>
      <c r="AP10" s="4" t="s">
        <v>72</v>
      </c>
      <c r="AQ10" s="6">
        <v>297744555514.12</v>
      </c>
      <c r="AR10" s="4">
        <v>1082483</v>
      </c>
      <c r="AS10" s="21">
        <f t="shared" si="1"/>
        <v>1.2678439292730943E-2</v>
      </c>
      <c r="AT10" s="21">
        <f t="shared" si="2"/>
        <v>14.196806390594052</v>
      </c>
      <c r="AU10" s="21">
        <f t="shared" si="3"/>
        <v>-1.4494466848091747E-5</v>
      </c>
      <c r="AV10" s="21"/>
      <c r="AW10" s="21"/>
      <c r="AX10" s="21"/>
    </row>
    <row r="11" spans="1:50" x14ac:dyDescent="0.25">
      <c r="A11">
        <v>98</v>
      </c>
      <c r="B11" s="4">
        <v>0.97968001340988797</v>
      </c>
      <c r="C11" s="4">
        <v>26.955235303417499</v>
      </c>
      <c r="D11" s="4">
        <v>21.835244016269499</v>
      </c>
      <c r="E11" s="4">
        <v>2.5835218839960698E-2</v>
      </c>
      <c r="F11" s="5">
        <v>2.0319986590111298E-2</v>
      </c>
      <c r="G11" s="5">
        <v>0</v>
      </c>
      <c r="H11" s="4">
        <v>4.1882467313195297</v>
      </c>
      <c r="I11" s="4">
        <v>3.8740889318002401</v>
      </c>
      <c r="J11" s="4">
        <v>-18.823804055278401</v>
      </c>
      <c r="K11" s="4">
        <v>37.351224691526397</v>
      </c>
      <c r="L11" s="4">
        <v>14.560603224666099</v>
      </c>
      <c r="M11" s="4">
        <v>12.999068104578701</v>
      </c>
      <c r="N11" s="4">
        <v>67.160605770697998</v>
      </c>
      <c r="O11" s="4">
        <v>64.276990769076903</v>
      </c>
      <c r="P11" s="4">
        <v>294784.60480299703</v>
      </c>
      <c r="Q11" s="4">
        <v>274003.38996333297</v>
      </c>
      <c r="R11" s="4">
        <v>783.29810144860505</v>
      </c>
      <c r="S11" s="4">
        <v>0</v>
      </c>
      <c r="T11" s="4">
        <v>0</v>
      </c>
      <c r="U11" s="4">
        <v>6.8609198140272901E-2</v>
      </c>
      <c r="V11" s="4">
        <v>0.46176129718352199</v>
      </c>
      <c r="W11" s="4">
        <v>0</v>
      </c>
      <c r="X11" s="4">
        <v>0.77095976771218599</v>
      </c>
      <c r="Y11" s="4">
        <v>0</v>
      </c>
      <c r="Z11" s="5">
        <v>3.5330237471094202E-4</v>
      </c>
      <c r="AA11" s="5">
        <v>6.0717223246197002E-5</v>
      </c>
      <c r="AB11" s="10">
        <v>3.00735940681018E-3</v>
      </c>
      <c r="AC11" s="10">
        <v>1.96211756333088E-6</v>
      </c>
      <c r="AD11" s="10">
        <v>1.6896632060876399E-2</v>
      </c>
      <c r="AE11" s="4">
        <v>2.1317795922463599E-2</v>
      </c>
      <c r="AF11" s="4">
        <v>0.74844931129179004</v>
      </c>
      <c r="AG11" s="4">
        <v>0.978124132533015</v>
      </c>
      <c r="AH11" s="4">
        <v>0.99813597445612301</v>
      </c>
      <c r="AI11" s="4">
        <v>0.99970647557002101</v>
      </c>
      <c r="AJ11" s="4">
        <v>1</v>
      </c>
      <c r="AK11" s="4">
        <v>1</v>
      </c>
      <c r="AL11" s="4">
        <v>1</v>
      </c>
      <c r="AM11" s="4">
        <v>0</v>
      </c>
      <c r="AN11" s="4">
        <v>0</v>
      </c>
      <c r="AO11" s="4" t="s">
        <v>73</v>
      </c>
      <c r="AP11" s="4" t="s">
        <v>74</v>
      </c>
      <c r="AQ11" s="6">
        <v>378727485607.32001</v>
      </c>
      <c r="AR11" s="4">
        <v>1382200</v>
      </c>
      <c r="AS11" s="21">
        <f t="shared" si="1"/>
        <v>2.0319973183207048E-2</v>
      </c>
      <c r="AT11" s="21">
        <f t="shared" si="2"/>
        <v>21.835231180068305</v>
      </c>
      <c r="AU11" s="21">
        <f t="shared" si="3"/>
        <v>-1.2836201193522356E-5</v>
      </c>
      <c r="AV11" s="21"/>
      <c r="AW11" s="21"/>
      <c r="AX11" s="21"/>
    </row>
    <row r="12" spans="1:50" x14ac:dyDescent="0.25">
      <c r="A12">
        <v>98</v>
      </c>
      <c r="B12" s="4">
        <v>0.97162723295360398</v>
      </c>
      <c r="C12" s="4">
        <v>34.045919421508003</v>
      </c>
      <c r="D12" s="4">
        <v>29.206049881603398</v>
      </c>
      <c r="E12" s="4">
        <v>3.4089680700331797E-2</v>
      </c>
      <c r="F12" s="5">
        <v>2.8372767046395901E-2</v>
      </c>
      <c r="G12" s="5">
        <v>0</v>
      </c>
      <c r="H12" s="4">
        <v>4.5030234671149598</v>
      </c>
      <c r="I12" s="4">
        <v>3.9156710717838599</v>
      </c>
      <c r="J12" s="4">
        <v>-15.966994629755099</v>
      </c>
      <c r="K12" s="4">
        <v>63.015946979401498</v>
      </c>
      <c r="L12" s="4">
        <v>15.281890257337601</v>
      </c>
      <c r="M12" s="4">
        <v>19.380108167701302</v>
      </c>
      <c r="N12" s="4">
        <v>68.037790591573994</v>
      </c>
      <c r="O12" s="4">
        <v>65.309754559557604</v>
      </c>
      <c r="P12" s="4">
        <v>281620.231782232</v>
      </c>
      <c r="Q12" s="4">
        <v>261117.48854272501</v>
      </c>
      <c r="R12" s="4">
        <v>782.29293467287903</v>
      </c>
      <c r="S12" s="4">
        <v>0</v>
      </c>
      <c r="T12" s="4">
        <v>0</v>
      </c>
      <c r="U12" s="4">
        <v>3.7825998723079603E-2</v>
      </c>
      <c r="V12" s="4">
        <v>0.48696138558329499</v>
      </c>
      <c r="W12" s="4">
        <v>0</v>
      </c>
      <c r="X12" s="4">
        <v>0.74234649723525403</v>
      </c>
      <c r="Y12" s="4">
        <v>0</v>
      </c>
      <c r="Z12" s="5">
        <v>3.8428156718121903E-4</v>
      </c>
      <c r="AA12" s="5">
        <v>1.2500077728890601E-4</v>
      </c>
      <c r="AB12" s="10">
        <v>3.44704621059818E-3</v>
      </c>
      <c r="AC12" s="10">
        <v>3.4946327844739902E-6</v>
      </c>
      <c r="AD12" s="10">
        <v>2.4412929816913599E-2</v>
      </c>
      <c r="AE12" s="4">
        <v>6.0898549879763904E-3</v>
      </c>
      <c r="AF12" s="4">
        <v>0.79291185197924097</v>
      </c>
      <c r="AG12" s="4">
        <v>0.98129518282172101</v>
      </c>
      <c r="AH12" s="4">
        <v>0.99753704277618005</v>
      </c>
      <c r="AI12" s="4">
        <v>0.99965197659272698</v>
      </c>
      <c r="AJ12" s="4">
        <v>1</v>
      </c>
      <c r="AK12" s="4">
        <v>1</v>
      </c>
      <c r="AL12" s="4">
        <v>1</v>
      </c>
      <c r="AM12" s="4">
        <v>0</v>
      </c>
      <c r="AN12" s="4">
        <v>0</v>
      </c>
      <c r="AO12" s="4" t="s">
        <v>75</v>
      </c>
      <c r="AP12" s="4" t="s">
        <v>76</v>
      </c>
      <c r="AQ12" s="6">
        <v>364279002563.71997</v>
      </c>
      <c r="AR12" s="4">
        <v>1395077</v>
      </c>
      <c r="AS12" s="21">
        <f t="shared" si="1"/>
        <v>2.8372753004766379E-2</v>
      </c>
      <c r="AT12" s="21">
        <f t="shared" si="2"/>
        <v>29.206037604518542</v>
      </c>
      <c r="AU12" s="21">
        <f t="shared" si="3"/>
        <v>-1.2277084856293641E-5</v>
      </c>
      <c r="AV12" s="21"/>
      <c r="AW12" s="21"/>
      <c r="AX12" s="21"/>
    </row>
    <row r="13" spans="1:50" x14ac:dyDescent="0.25">
      <c r="A13">
        <v>98</v>
      </c>
      <c r="B13" s="4">
        <v>0.96546255482364596</v>
      </c>
      <c r="C13" s="4">
        <v>39.107607927814897</v>
      </c>
      <c r="D13" s="4">
        <v>34.411875326737999</v>
      </c>
      <c r="E13" s="4">
        <v>4.0495712751441398E-2</v>
      </c>
      <c r="F13" s="5">
        <v>3.4537445176353397E-2</v>
      </c>
      <c r="G13" s="5">
        <v>0</v>
      </c>
      <c r="H13" s="4">
        <v>4.7046692267022401</v>
      </c>
      <c r="I13" s="4">
        <v>3.8934420051828802</v>
      </c>
      <c r="J13" s="4">
        <v>-12.166973867072601</v>
      </c>
      <c r="K13" s="4">
        <v>86.521419189998596</v>
      </c>
      <c r="L13" s="4">
        <v>15.2047537004901</v>
      </c>
      <c r="M13" s="4">
        <v>23.6905420187184</v>
      </c>
      <c r="N13" s="4">
        <v>66.652858703001996</v>
      </c>
      <c r="O13" s="4">
        <v>63.813717598320999</v>
      </c>
      <c r="P13" s="4">
        <v>283058.52033285197</v>
      </c>
      <c r="Q13" s="4">
        <v>262487.70761398802</v>
      </c>
      <c r="R13" s="4">
        <v>781.71453308280002</v>
      </c>
      <c r="S13" s="4">
        <v>0</v>
      </c>
      <c r="T13" s="4">
        <v>0</v>
      </c>
      <c r="U13" s="4">
        <v>3.79541372839024E-2</v>
      </c>
      <c r="V13" s="4">
        <v>0.52486945578919197</v>
      </c>
      <c r="W13" s="4">
        <v>0</v>
      </c>
      <c r="X13" s="4">
        <v>0.74898601179027202</v>
      </c>
      <c r="Y13" s="4">
        <v>0</v>
      </c>
      <c r="Z13" s="5">
        <v>3.9807887575953299E-4</v>
      </c>
      <c r="AA13" s="5">
        <v>1.8590136923134101E-4</v>
      </c>
      <c r="AB13" s="10">
        <v>3.7298464568867001E-3</v>
      </c>
      <c r="AC13" s="10">
        <v>5.7529069400165898E-6</v>
      </c>
      <c r="AD13" s="10">
        <v>3.02178508718383E-2</v>
      </c>
      <c r="AE13" s="4">
        <v>1.0383064131703999E-3</v>
      </c>
      <c r="AF13" s="4">
        <v>0.79676599700458395</v>
      </c>
      <c r="AG13" s="4">
        <v>0.98061847397336699</v>
      </c>
      <c r="AH13" s="4">
        <v>0.996697976970083</v>
      </c>
      <c r="AI13" s="4">
        <v>0.99959360527110197</v>
      </c>
      <c r="AJ13" s="4">
        <v>1</v>
      </c>
      <c r="AK13" s="4">
        <v>1</v>
      </c>
      <c r="AL13" s="4">
        <v>1</v>
      </c>
      <c r="AM13" s="4">
        <v>0</v>
      </c>
      <c r="AN13" s="4">
        <v>0</v>
      </c>
      <c r="AO13" s="4" t="s">
        <v>77</v>
      </c>
      <c r="AP13" s="4" t="s">
        <v>78</v>
      </c>
      <c r="AQ13" s="6">
        <v>335446953408.41998</v>
      </c>
      <c r="AR13" s="4">
        <v>1277953</v>
      </c>
      <c r="AS13" s="21">
        <f t="shared" si="1"/>
        <v>3.4537430480655891E-2</v>
      </c>
      <c r="AT13" s="21">
        <f t="shared" si="2"/>
        <v>34.411863346615313</v>
      </c>
      <c r="AU13" s="21">
        <f t="shared" si="3"/>
        <v>-1.1980122685883998E-5</v>
      </c>
      <c r="AV13" s="21"/>
      <c r="AW13" s="21"/>
      <c r="AX13" s="21"/>
    </row>
    <row r="14" spans="1:50" x14ac:dyDescent="0.25">
      <c r="A14">
        <v>98</v>
      </c>
      <c r="B14" s="4">
        <v>0.96099875759364095</v>
      </c>
      <c r="C14" s="4">
        <v>41.437464370555297</v>
      </c>
      <c r="D14" s="4">
        <v>37.9596963997895</v>
      </c>
      <c r="E14" s="4">
        <v>4.3610081742913302E-2</v>
      </c>
      <c r="F14" s="5">
        <v>3.9001242406358501E-2</v>
      </c>
      <c r="G14" s="5">
        <v>0</v>
      </c>
      <c r="H14" s="4">
        <v>4.8792888426577798</v>
      </c>
      <c r="I14" s="4">
        <v>3.8111414410215101</v>
      </c>
      <c r="J14" s="4">
        <v>-6.9812635487011301</v>
      </c>
      <c r="K14" s="4">
        <v>112.436974258131</v>
      </c>
      <c r="L14" s="4">
        <v>15.802136368816299</v>
      </c>
      <c r="M14" s="4">
        <v>27.8749972445442</v>
      </c>
      <c r="N14" s="4">
        <v>68.562136846690393</v>
      </c>
      <c r="O14" s="4">
        <v>65.081699072192507</v>
      </c>
      <c r="P14" s="4">
        <v>272232.58098403702</v>
      </c>
      <c r="Q14" s="4">
        <v>252623.613098665</v>
      </c>
      <c r="R14" s="4">
        <v>780.70757007725194</v>
      </c>
      <c r="S14" s="4">
        <v>0</v>
      </c>
      <c r="T14" s="4">
        <v>0</v>
      </c>
      <c r="U14" s="4">
        <v>3.91410709510841E-2</v>
      </c>
      <c r="V14" s="4">
        <v>0.53614137762349201</v>
      </c>
      <c r="W14" s="4">
        <v>0</v>
      </c>
      <c r="X14" s="4">
        <v>0.71523073079807897</v>
      </c>
      <c r="Y14" s="4">
        <v>0</v>
      </c>
      <c r="Z14" s="5">
        <v>4.1276956496963998E-4</v>
      </c>
      <c r="AA14" s="5">
        <v>2.9611287911332902E-4</v>
      </c>
      <c r="AB14" s="10">
        <v>4.0571922122017998E-3</v>
      </c>
      <c r="AC14" s="10">
        <v>9.6908011067542202E-6</v>
      </c>
      <c r="AD14" s="10">
        <v>3.42254618723166E-2</v>
      </c>
      <c r="AE14" s="4">
        <v>3.4970147541067598E-3</v>
      </c>
      <c r="AF14" s="4">
        <v>0.78898940040489196</v>
      </c>
      <c r="AG14" s="4">
        <v>0.977179123728799</v>
      </c>
      <c r="AH14" s="4">
        <v>0.99586732184115601</v>
      </c>
      <c r="AI14" s="4">
        <v>0.999293854115619</v>
      </c>
      <c r="AJ14" s="4">
        <v>1</v>
      </c>
      <c r="AK14" s="4">
        <v>1</v>
      </c>
      <c r="AL14" s="4">
        <v>1</v>
      </c>
      <c r="AM14" s="4">
        <v>0</v>
      </c>
      <c r="AN14" s="4">
        <v>0</v>
      </c>
      <c r="AO14" s="4" t="s">
        <v>79</v>
      </c>
      <c r="AP14" s="4" t="s">
        <v>80</v>
      </c>
      <c r="AQ14" s="6">
        <v>259615729462.01001</v>
      </c>
      <c r="AR14" s="4">
        <v>1027678</v>
      </c>
      <c r="AS14" s="21">
        <f t="shared" si="1"/>
        <v>3.9001227329708121E-2</v>
      </c>
      <c r="AT14" s="21">
        <f t="shared" si="2"/>
        <v>37.959684719940256</v>
      </c>
      <c r="AU14" s="21">
        <f t="shared" si="3"/>
        <v>-1.1679849244217166E-5</v>
      </c>
      <c r="AV14" s="21"/>
      <c r="AW14" s="21"/>
      <c r="AX14" s="21"/>
    </row>
    <row r="15" spans="1:50" x14ac:dyDescent="0.25">
      <c r="A15">
        <v>98</v>
      </c>
      <c r="B15" s="4">
        <v>0.95737648779554796</v>
      </c>
      <c r="C15" s="4">
        <v>42.882034447067198</v>
      </c>
      <c r="D15" s="4">
        <v>40.7084110267513</v>
      </c>
      <c r="E15" s="4">
        <v>4.55986151073631E-2</v>
      </c>
      <c r="F15" s="5">
        <v>4.26235122044515E-2</v>
      </c>
      <c r="G15" s="5">
        <v>0</v>
      </c>
      <c r="H15" s="4">
        <v>4.9931857866475902</v>
      </c>
      <c r="I15" s="4">
        <v>3.7274877355048899</v>
      </c>
      <c r="J15" s="4">
        <v>-2.5769854356258199</v>
      </c>
      <c r="K15" s="4">
        <v>135.67619516426799</v>
      </c>
      <c r="L15" s="4">
        <v>15.4499896957474</v>
      </c>
      <c r="M15" s="4">
        <v>31.2066092463891</v>
      </c>
      <c r="N15" s="4">
        <v>68.087265438658406</v>
      </c>
      <c r="O15" s="4">
        <v>63.9021534716004</v>
      </c>
      <c r="P15" s="4">
        <v>278246.06141301402</v>
      </c>
      <c r="Q15" s="4">
        <v>258407.371403764</v>
      </c>
      <c r="R15" s="4">
        <v>780.00133449607995</v>
      </c>
      <c r="S15" s="4">
        <v>0</v>
      </c>
      <c r="T15" s="4">
        <v>0</v>
      </c>
      <c r="U15" s="4">
        <v>4.4090834022318698E-2</v>
      </c>
      <c r="V15" s="4">
        <v>0.542773074363464</v>
      </c>
      <c r="W15" s="4">
        <v>0</v>
      </c>
      <c r="X15" s="4">
        <v>0.71928372175491695</v>
      </c>
      <c r="Y15" s="4">
        <v>0</v>
      </c>
      <c r="Z15" s="5">
        <v>4.2202705066880699E-4</v>
      </c>
      <c r="AA15" s="5">
        <v>3.91089373601236E-4</v>
      </c>
      <c r="AB15" s="10">
        <v>3.9871604983935296E-3</v>
      </c>
      <c r="AC15" s="10">
        <v>1.6116363791129799E-5</v>
      </c>
      <c r="AD15" s="10">
        <v>3.7807103710470802E-2</v>
      </c>
      <c r="AE15" s="4">
        <v>1.1479292056929101E-2</v>
      </c>
      <c r="AF15" s="4">
        <v>0.75582205396135105</v>
      </c>
      <c r="AG15" s="4">
        <v>0.97175419355853199</v>
      </c>
      <c r="AH15" s="4">
        <v>0.99370748831621403</v>
      </c>
      <c r="AI15" s="4">
        <v>0.99917906501166398</v>
      </c>
      <c r="AJ15" s="4">
        <v>1</v>
      </c>
      <c r="AK15" s="4">
        <v>1</v>
      </c>
      <c r="AL15" s="4">
        <v>1</v>
      </c>
      <c r="AM15" s="4">
        <v>0</v>
      </c>
      <c r="AN15" s="4">
        <v>0</v>
      </c>
      <c r="AO15" s="4" t="s">
        <v>81</v>
      </c>
      <c r="AP15" s="4" t="s">
        <v>82</v>
      </c>
      <c r="AQ15" s="6">
        <v>171207028701.45001</v>
      </c>
      <c r="AR15" s="4">
        <v>662547</v>
      </c>
      <c r="AS15" s="21">
        <f t="shared" si="1"/>
        <v>4.2623496996925504E-2</v>
      </c>
      <c r="AT15" s="21">
        <f t="shared" si="2"/>
        <v>40.708399724884579</v>
      </c>
      <c r="AU15" s="21">
        <f t="shared" si="3"/>
        <v>-1.1301866720714315E-5</v>
      </c>
      <c r="AV15" s="21"/>
      <c r="AW15" s="21"/>
      <c r="AX15" s="21"/>
    </row>
    <row r="16" spans="1:50" x14ac:dyDescent="0.25">
      <c r="A16">
        <v>98</v>
      </c>
      <c r="B16" s="4">
        <v>0.95646316723632196</v>
      </c>
      <c r="C16" s="4">
        <v>42.376591446955103</v>
      </c>
      <c r="D16" s="4">
        <v>41.383618716540298</v>
      </c>
      <c r="E16" s="4">
        <v>4.4897653559653097E-2</v>
      </c>
      <c r="F16" s="5">
        <v>4.3536832763677202E-2</v>
      </c>
      <c r="G16" s="5">
        <v>0</v>
      </c>
      <c r="H16" s="4">
        <v>5.2090575247768296</v>
      </c>
      <c r="I16" s="4">
        <v>3.7012662485754899</v>
      </c>
      <c r="J16" s="4">
        <v>12.9605232930149</v>
      </c>
      <c r="K16" s="4">
        <v>160.95501366301301</v>
      </c>
      <c r="L16" s="4">
        <v>15.8421979003936</v>
      </c>
      <c r="M16" s="4">
        <v>33.8640851322209</v>
      </c>
      <c r="N16" s="4">
        <v>70.366210579694695</v>
      </c>
      <c r="O16" s="4">
        <v>65.847560495813298</v>
      </c>
      <c r="P16" s="4">
        <v>271240.57163447799</v>
      </c>
      <c r="Q16" s="4">
        <v>252020.82296375601</v>
      </c>
      <c r="R16" s="4">
        <v>778.78162830692395</v>
      </c>
      <c r="S16" s="4">
        <v>0</v>
      </c>
      <c r="T16" s="4">
        <v>0</v>
      </c>
      <c r="U16" s="4">
        <v>4.2182539238604801E-2</v>
      </c>
      <c r="V16" s="4">
        <v>0.59641232647128095</v>
      </c>
      <c r="W16" s="4">
        <v>0</v>
      </c>
      <c r="X16" s="4">
        <v>0.71116014115529902</v>
      </c>
      <c r="Y16" s="4">
        <v>0</v>
      </c>
      <c r="Z16" s="5">
        <v>4.3351143712462201E-4</v>
      </c>
      <c r="AA16" s="5">
        <v>6.3253411410044797E-4</v>
      </c>
      <c r="AB16" s="10">
        <v>4.1119350647584197E-3</v>
      </c>
      <c r="AC16" s="10">
        <v>1.7343798571417801E-5</v>
      </c>
      <c r="AD16" s="10">
        <v>3.8341493028887001E-2</v>
      </c>
      <c r="AE16" s="4">
        <v>1.04427511488907E-2</v>
      </c>
      <c r="AF16" s="4">
        <v>0.77504897477509405</v>
      </c>
      <c r="AG16" s="4">
        <v>0.97349847224934505</v>
      </c>
      <c r="AH16" s="4">
        <v>0.99374998465914899</v>
      </c>
      <c r="AI16" s="4">
        <v>0.99907118717244403</v>
      </c>
      <c r="AJ16" s="4">
        <v>1</v>
      </c>
      <c r="AK16" s="4">
        <v>1</v>
      </c>
      <c r="AL16" s="4">
        <v>1</v>
      </c>
      <c r="AM16" s="4">
        <v>0</v>
      </c>
      <c r="AN16" s="4">
        <v>0</v>
      </c>
      <c r="AO16" s="4" t="s">
        <v>83</v>
      </c>
      <c r="AP16" s="4" t="s">
        <v>84</v>
      </c>
      <c r="AQ16" s="6">
        <v>67552921491.32</v>
      </c>
      <c r="AR16" s="4">
        <v>268045</v>
      </c>
      <c r="AS16" s="21">
        <f t="shared" si="1"/>
        <v>4.3536817443441907E-2</v>
      </c>
      <c r="AT16" s="21">
        <f t="shared" si="2"/>
        <v>41.383607449821113</v>
      </c>
      <c r="AU16" s="21">
        <f t="shared" si="3"/>
        <v>-1.1266719184277463E-5</v>
      </c>
      <c r="AV16" s="21"/>
      <c r="AW16" s="21"/>
      <c r="AX16" s="21"/>
    </row>
    <row r="17" spans="1:50" x14ac:dyDescent="0.25">
      <c r="A17">
        <v>98</v>
      </c>
      <c r="B17" s="4">
        <v>0.95609327556638202</v>
      </c>
      <c r="C17" s="4">
        <v>40.977649254849197</v>
      </c>
      <c r="D17" s="4">
        <v>41.655064444577</v>
      </c>
      <c r="E17" s="4">
        <v>4.2986549053528902E-2</v>
      </c>
      <c r="F17" s="5">
        <v>4.3906724433617497E-2</v>
      </c>
      <c r="G17" s="5">
        <v>0</v>
      </c>
      <c r="H17" s="4">
        <v>5.3630491480555298</v>
      </c>
      <c r="I17" s="4">
        <v>3.6723811541610001</v>
      </c>
      <c r="J17" s="4">
        <v>27.253279966308401</v>
      </c>
      <c r="K17" s="4">
        <v>183.8749947606</v>
      </c>
      <c r="L17" s="4">
        <v>15.4492759143447</v>
      </c>
      <c r="M17" s="4">
        <v>36.151825572058797</v>
      </c>
      <c r="N17" s="4">
        <v>70.511524196982805</v>
      </c>
      <c r="O17" s="4">
        <v>65.371788399839303</v>
      </c>
      <c r="P17" s="4">
        <v>278323.96252546803</v>
      </c>
      <c r="Q17" s="4">
        <v>258436.77303526801</v>
      </c>
      <c r="R17" s="4">
        <v>778.16105348997201</v>
      </c>
      <c r="S17" s="4">
        <v>0</v>
      </c>
      <c r="T17" s="4">
        <v>0</v>
      </c>
      <c r="U17" s="4">
        <v>4.4521835384746203E-2</v>
      </c>
      <c r="V17" s="4">
        <v>0.60430008242303002</v>
      </c>
      <c r="W17" s="4">
        <v>0</v>
      </c>
      <c r="X17" s="4">
        <v>0.71447653305828096</v>
      </c>
      <c r="Y17" s="4">
        <v>0</v>
      </c>
      <c r="Z17" s="5">
        <v>4.44196499603966E-4</v>
      </c>
      <c r="AA17" s="5">
        <v>8.57257322531739E-4</v>
      </c>
      <c r="AB17" s="10">
        <v>3.9657180430344502E-3</v>
      </c>
      <c r="AC17" s="10">
        <v>3.5115444864580502E-5</v>
      </c>
      <c r="AD17" s="10">
        <v>3.8604421845378697E-2</v>
      </c>
      <c r="AE17" s="4">
        <v>1.62046015133041E-2</v>
      </c>
      <c r="AF17" s="4">
        <v>0.73558864430508997</v>
      </c>
      <c r="AG17" s="4">
        <v>0.96335096111324403</v>
      </c>
      <c r="AH17" s="4">
        <v>0.98706276929343995</v>
      </c>
      <c r="AI17" s="4">
        <v>0.99806822657809502</v>
      </c>
      <c r="AJ17" s="4">
        <v>1</v>
      </c>
      <c r="AK17" s="4">
        <v>1</v>
      </c>
      <c r="AL17" s="4">
        <v>1</v>
      </c>
      <c r="AM17" s="4">
        <v>0</v>
      </c>
      <c r="AN17" s="4">
        <v>0</v>
      </c>
      <c r="AO17" s="4" t="s">
        <v>85</v>
      </c>
      <c r="AP17" s="4" t="s">
        <v>86</v>
      </c>
      <c r="AQ17" s="6">
        <v>20788912459.73</v>
      </c>
      <c r="AR17" s="4">
        <v>80441</v>
      </c>
      <c r="AS17" s="21">
        <f t="shared" si="1"/>
        <v>4.3906709155413434E-2</v>
      </c>
      <c r="AT17" s="21">
        <f t="shared" si="2"/>
        <v>41.65505325647311</v>
      </c>
      <c r="AU17" s="21">
        <f t="shared" si="3"/>
        <v>-1.118810389044711E-5</v>
      </c>
      <c r="AV17" s="21"/>
      <c r="AW17" s="21"/>
      <c r="AX17" s="21"/>
    </row>
    <row r="18" spans="1:50" x14ac:dyDescent="0.25">
      <c r="A18">
        <v>98</v>
      </c>
      <c r="B18" s="4">
        <v>0.95884229968203205</v>
      </c>
      <c r="C18" s="4">
        <v>39.021199317708003</v>
      </c>
      <c r="D18" s="4">
        <v>39.609834729685502</v>
      </c>
      <c r="E18" s="4">
        <v>4.0382322071301303E-2</v>
      </c>
      <c r="F18" s="5">
        <v>4.11577003179679E-2</v>
      </c>
      <c r="G18" s="5">
        <v>0</v>
      </c>
      <c r="H18" s="4">
        <v>5.5421969553865003</v>
      </c>
      <c r="I18" s="4">
        <v>3.6776450547109101</v>
      </c>
      <c r="J18" s="4">
        <v>45.103912364091997</v>
      </c>
      <c r="K18" s="4">
        <v>209.46184725144801</v>
      </c>
      <c r="L18" s="4">
        <v>15.8681811229259</v>
      </c>
      <c r="M18" s="4">
        <v>37.441373538918803</v>
      </c>
      <c r="N18" s="4">
        <v>74.508940397977199</v>
      </c>
      <c r="O18" s="4">
        <v>68.218435485609405</v>
      </c>
      <c r="P18" s="4">
        <v>271689.71890557301</v>
      </c>
      <c r="Q18" s="4">
        <v>251622.57078836899</v>
      </c>
      <c r="R18" s="4">
        <v>776.84088648167597</v>
      </c>
      <c r="S18" s="4">
        <v>0</v>
      </c>
      <c r="T18" s="4">
        <v>0</v>
      </c>
      <c r="U18" s="4">
        <v>3.1176214666313699E-2</v>
      </c>
      <c r="V18" s="4">
        <v>0.61835846620303303</v>
      </c>
      <c r="W18" s="4">
        <v>0</v>
      </c>
      <c r="X18" s="4">
        <v>0.66155623074140701</v>
      </c>
      <c r="Y18" s="4">
        <v>0</v>
      </c>
      <c r="Z18" s="5">
        <v>4.5174542296598399E-4</v>
      </c>
      <c r="AA18" s="5">
        <v>1.0055274295740599E-3</v>
      </c>
      <c r="AB18" s="10">
        <v>4.1514632563818699E-3</v>
      </c>
      <c r="AC18" s="10">
        <v>6.9801249798752299E-5</v>
      </c>
      <c r="AD18" s="10">
        <v>3.5479147550129098E-2</v>
      </c>
      <c r="AE18" s="4">
        <v>2.5959143151298901E-2</v>
      </c>
      <c r="AF18" s="4">
        <v>0.66940403531575698</v>
      </c>
      <c r="AG18" s="4">
        <v>0.93434677429411805</v>
      </c>
      <c r="AH18" s="4">
        <v>0.97530930947727501</v>
      </c>
      <c r="AI18" s="4">
        <v>0.99561249054008105</v>
      </c>
      <c r="AJ18" s="4">
        <v>1</v>
      </c>
      <c r="AK18" s="4">
        <v>1</v>
      </c>
      <c r="AL18" s="4">
        <v>1</v>
      </c>
      <c r="AM18" s="4">
        <v>0</v>
      </c>
      <c r="AN18" s="4">
        <v>0</v>
      </c>
      <c r="AO18" s="4" t="s">
        <v>87</v>
      </c>
      <c r="AP18" s="4" t="s">
        <v>88</v>
      </c>
      <c r="AQ18" s="6">
        <v>3478933663.7199998</v>
      </c>
      <c r="AR18" s="4">
        <v>13826</v>
      </c>
      <c r="AS18" s="21">
        <f t="shared" si="1"/>
        <v>4.1157684908849766E-2</v>
      </c>
      <c r="AT18" s="21">
        <f t="shared" si="2"/>
        <v>39.609823083650156</v>
      </c>
      <c r="AU18" s="21">
        <f t="shared" si="3"/>
        <v>-1.1646035346757344E-5</v>
      </c>
      <c r="AV18" s="21"/>
      <c r="AW18" s="21"/>
      <c r="AX18" s="21"/>
    </row>
    <row r="19" spans="1:50" x14ac:dyDescent="0.25">
      <c r="A19">
        <v>98</v>
      </c>
      <c r="B19" s="4">
        <v>0.960316014989962</v>
      </c>
      <c r="C19" s="4">
        <v>36.251143249721501</v>
      </c>
      <c r="D19" s="4">
        <v>38.4865537518235</v>
      </c>
      <c r="E19" s="4">
        <v>3.68231552349551E-2</v>
      </c>
      <c r="F19" s="5">
        <v>3.9683985010037802E-2</v>
      </c>
      <c r="G19" s="5">
        <v>0</v>
      </c>
      <c r="H19" s="4">
        <v>5.6526078669618798</v>
      </c>
      <c r="I19" s="4">
        <v>3.6694158438589999</v>
      </c>
      <c r="J19" s="4">
        <v>57.221694635507298</v>
      </c>
      <c r="K19" s="4">
        <v>233.69307781447901</v>
      </c>
      <c r="L19" s="4">
        <v>15.5988953834549</v>
      </c>
      <c r="M19" s="4">
        <v>37.509330650424403</v>
      </c>
      <c r="N19" s="4">
        <v>77.167767837782193</v>
      </c>
      <c r="O19" s="4">
        <v>69.437574785285605</v>
      </c>
      <c r="P19" s="4">
        <v>277927.35753854603</v>
      </c>
      <c r="Q19" s="4">
        <v>255971.273140954</v>
      </c>
      <c r="R19" s="4">
        <v>777.13301120231904</v>
      </c>
      <c r="S19" s="4">
        <v>0</v>
      </c>
      <c r="T19" s="4">
        <v>0</v>
      </c>
      <c r="U19" s="4">
        <v>3.8273873642324902E-2</v>
      </c>
      <c r="V19" s="4">
        <v>0.64039094896682902</v>
      </c>
      <c r="W19" s="4">
        <v>0</v>
      </c>
      <c r="X19" s="4">
        <v>0.64020068555333798</v>
      </c>
      <c r="Y19" s="4">
        <v>0</v>
      </c>
      <c r="Z19" s="5">
        <v>4.5779189189115997E-4</v>
      </c>
      <c r="AA19" s="5">
        <v>1.3493147429098501E-3</v>
      </c>
      <c r="AB19" s="10">
        <v>4.10341783204482E-3</v>
      </c>
      <c r="AC19" s="10">
        <v>1.3648120830261901E-4</v>
      </c>
      <c r="AD19" s="10">
        <v>3.3636963735989601E-2</v>
      </c>
      <c r="AE19" s="4">
        <v>4.1572011428334298E-2</v>
      </c>
      <c r="AF19" s="4">
        <v>0.59126164410496496</v>
      </c>
      <c r="AG19" s="4">
        <v>0.88611681281296595</v>
      </c>
      <c r="AH19" s="4">
        <v>0.94924196177325704</v>
      </c>
      <c r="AI19" s="4">
        <v>0.99475401101752503</v>
      </c>
      <c r="AJ19" s="4">
        <v>1</v>
      </c>
      <c r="AK19" s="4">
        <v>1</v>
      </c>
      <c r="AL19" s="4">
        <v>1</v>
      </c>
      <c r="AM19" s="4">
        <v>0</v>
      </c>
      <c r="AN19" s="4">
        <v>0</v>
      </c>
      <c r="AO19" s="4" t="s">
        <v>89</v>
      </c>
      <c r="AP19" s="4" t="s">
        <v>90</v>
      </c>
      <c r="AQ19" s="6">
        <v>691890351.29999995</v>
      </c>
      <c r="AR19" s="4">
        <v>2703</v>
      </c>
      <c r="AS19" s="21">
        <f t="shared" si="1"/>
        <v>3.9683969411138054E-2</v>
      </c>
      <c r="AT19" s="21">
        <f t="shared" si="2"/>
        <v>38.486541761493484</v>
      </c>
      <c r="AU19" s="21">
        <f t="shared" si="3"/>
        <v>-1.1990330015976269E-5</v>
      </c>
      <c r="AV19" s="21"/>
      <c r="AW19" s="21"/>
      <c r="AX19" s="21"/>
    </row>
    <row r="20" spans="1:50" x14ac:dyDescent="0.25">
      <c r="A20">
        <v>98</v>
      </c>
      <c r="B20" s="4">
        <v>0.96168175062216299</v>
      </c>
      <c r="C20" s="4">
        <v>46.783863409153497</v>
      </c>
      <c r="D20" s="4">
        <v>37.428510023287302</v>
      </c>
      <c r="E20" s="4">
        <v>5.1209607135789197E-2</v>
      </c>
      <c r="F20" s="5">
        <v>3.8318249377835997E-2</v>
      </c>
      <c r="G20" s="5">
        <v>0</v>
      </c>
      <c r="H20" s="4">
        <v>5.8138485757279801</v>
      </c>
      <c r="I20" s="4">
        <v>3.6947700722388199</v>
      </c>
      <c r="J20" s="4">
        <v>73.632766969519693</v>
      </c>
      <c r="K20" s="4">
        <v>270.639175904252</v>
      </c>
      <c r="L20" s="4">
        <v>15.222860355121099</v>
      </c>
      <c r="M20" s="4">
        <v>36.651414713072498</v>
      </c>
      <c r="N20" s="4">
        <v>84.453562773102206</v>
      </c>
      <c r="O20" s="4">
        <v>74.286137511321101</v>
      </c>
      <c r="P20" s="4">
        <v>282114.23609733698</v>
      </c>
      <c r="Q20" s="4">
        <v>262289.89462135901</v>
      </c>
      <c r="R20" s="4">
        <v>775.40391658473698</v>
      </c>
      <c r="S20" s="4">
        <v>0</v>
      </c>
      <c r="T20" s="4">
        <v>0</v>
      </c>
      <c r="U20" s="4">
        <v>2.43721449109453E-2</v>
      </c>
      <c r="V20" s="4">
        <v>0.72614399408817498</v>
      </c>
      <c r="W20" s="4">
        <v>0</v>
      </c>
      <c r="X20" s="4">
        <v>0.59446656340662196</v>
      </c>
      <c r="Y20" s="4">
        <v>0</v>
      </c>
      <c r="Z20" s="5">
        <v>4.69013585466625E-4</v>
      </c>
      <c r="AA20" s="5">
        <v>1.39423322259436E-3</v>
      </c>
      <c r="AB20" s="10">
        <v>4.3466209869593301E-3</v>
      </c>
      <c r="AC20" s="10">
        <v>1.31630569833988E-4</v>
      </c>
      <c r="AD20" s="10">
        <v>3.1976735075460998E-2</v>
      </c>
      <c r="AE20" s="4">
        <v>6.5483561801402801E-2</v>
      </c>
      <c r="AF20" s="4">
        <v>0.44410558891207502</v>
      </c>
      <c r="AG20" s="4">
        <v>0.80035279696819805</v>
      </c>
      <c r="AH20" s="4">
        <v>0.95599139299717395</v>
      </c>
      <c r="AI20" s="4">
        <v>0.99793523027720299</v>
      </c>
      <c r="AJ20" s="4">
        <v>1</v>
      </c>
      <c r="AK20" s="4">
        <v>1</v>
      </c>
      <c r="AL20" s="4">
        <v>1</v>
      </c>
      <c r="AM20" s="4">
        <v>0</v>
      </c>
      <c r="AN20" s="4">
        <v>0</v>
      </c>
      <c r="AO20" s="4" t="s">
        <v>91</v>
      </c>
      <c r="AP20" s="4" t="s">
        <v>92</v>
      </c>
      <c r="AQ20" s="6">
        <v>135079295.72999999</v>
      </c>
      <c r="AR20" s="4">
        <v>515</v>
      </c>
      <c r="AS20" s="21">
        <f t="shared" si="1"/>
        <v>3.8318233440315298E-2</v>
      </c>
      <c r="AT20" s="21">
        <f t="shared" si="2"/>
        <v>37.42849757965503</v>
      </c>
      <c r="AU20" s="21">
        <f t="shared" si="3"/>
        <v>-1.2443632272152172E-5</v>
      </c>
      <c r="AV20" s="21"/>
      <c r="AW20" s="21"/>
      <c r="AX20" s="21"/>
    </row>
    <row r="26" spans="1:50" x14ac:dyDescent="0.25">
      <c r="K26" t="s">
        <v>106</v>
      </c>
      <c r="L26" t="s">
        <v>94</v>
      </c>
      <c r="M26" t="s">
        <v>95</v>
      </c>
      <c r="R26" t="s">
        <v>106</v>
      </c>
      <c r="W26" t="s">
        <v>94</v>
      </c>
      <c r="AB26" t="s">
        <v>95</v>
      </c>
    </row>
    <row r="27" spans="1:50" x14ac:dyDescent="0.25">
      <c r="A27" s="4" t="s">
        <v>99</v>
      </c>
      <c r="B27" t="str">
        <f>AQ2</f>
        <v>Balance</v>
      </c>
      <c r="C27" s="2" t="str">
        <f t="shared" ref="C27:C46" si="4">AO2</f>
        <v>groupByColumn</v>
      </c>
      <c r="D27" t="str">
        <f>E2</f>
        <v>PREPAY_SMM1</v>
      </c>
      <c r="E27" t="str">
        <f>F2</f>
        <v>PREPAY_TRACKING_SMM1</v>
      </c>
      <c r="F27" t="s">
        <v>96</v>
      </c>
      <c r="G27" t="str">
        <f>C2</f>
        <v>PREPAY_CPR1</v>
      </c>
      <c r="H27" t="str">
        <f>D2</f>
        <v>PREPAY_TRACKING_CPR1</v>
      </c>
      <c r="K27" t="s">
        <v>97</v>
      </c>
      <c r="L27" t="s">
        <v>97</v>
      </c>
      <c r="M27" t="s">
        <v>97</v>
      </c>
      <c r="N27" t="s">
        <v>104</v>
      </c>
      <c r="O27" t="s">
        <v>105</v>
      </c>
      <c r="P27" t="s">
        <v>96</v>
      </c>
      <c r="R27" t="s">
        <v>100</v>
      </c>
      <c r="T27" t="s">
        <v>98</v>
      </c>
      <c r="U27" t="s">
        <v>103</v>
      </c>
      <c r="W27" t="s">
        <v>100</v>
      </c>
      <c r="X27" t="s">
        <v>107</v>
      </c>
      <c r="Y27" t="s">
        <v>98</v>
      </c>
      <c r="Z27" t="s">
        <v>103</v>
      </c>
      <c r="AB27" t="s">
        <v>100</v>
      </c>
      <c r="AC27" t="s">
        <v>107</v>
      </c>
      <c r="AD27" t="s">
        <v>98</v>
      </c>
      <c r="AE27" t="s">
        <v>103</v>
      </c>
    </row>
    <row r="28" spans="1:50" s="23" customFormat="1" x14ac:dyDescent="0.25">
      <c r="A28" s="21">
        <f>K3</f>
        <v>-155.71535987376399</v>
      </c>
      <c r="B28" s="28">
        <f t="shared" ref="B28:B46" si="5">AQ3/1000000000</f>
        <v>2.1650939200000001E-3</v>
      </c>
      <c r="C28" s="29" t="str">
        <f t="shared" si="4"/>
        <v>02:-175--150</v>
      </c>
      <c r="D28" s="22">
        <f t="shared" ref="D28" si="6">E3</f>
        <v>8.2813958258023802E-5</v>
      </c>
      <c r="E28" s="22">
        <f>Z3+AA3+AB3+AC3+AD3</f>
        <v>1.6286083488173066E-3</v>
      </c>
      <c r="F28" s="28">
        <f>D28/E28</f>
        <v>5.0849523348055536E-2</v>
      </c>
      <c r="G28" s="29">
        <f>(1-(1-D28)^12)*100</f>
        <v>9.9331498601107349E-2</v>
      </c>
      <c r="H28" s="29">
        <f>(1-(1-E28)^12)*100</f>
        <v>1.936919093845324</v>
      </c>
      <c r="K28" s="21">
        <v>0.75</v>
      </c>
      <c r="L28" s="21">
        <v>1</v>
      </c>
      <c r="M28" s="21">
        <v>1</v>
      </c>
      <c r="N28" s="22">
        <f t="shared" ref="N28:N46" si="7">Z3+AA3+AB3*K28+AC3*L28+AD3*M28</f>
        <v>1.2656263165404815E-3</v>
      </c>
      <c r="O28" s="29">
        <f>100*(1-(1-N28)^12)</f>
        <v>1.5082241077187808</v>
      </c>
      <c r="P28" s="30">
        <f t="shared" ref="P28:P47" si="8">D28/N28</f>
        <v>6.5433182903774562E-2</v>
      </c>
      <c r="R28" s="23">
        <v>-300</v>
      </c>
      <c r="S28" s="24">
        <f>A28</f>
        <v>-155.71535987376399</v>
      </c>
      <c r="T28" s="22">
        <f>VLOOKUP(ROUNDDOWN(S28,0),'Spline Pre-Adj'!A:B,2,0)</f>
        <v>0.91156174999999995</v>
      </c>
      <c r="U28" s="22">
        <f>T28*K28</f>
        <v>0.68367131250000002</v>
      </c>
      <c r="W28" s="23">
        <v>-300</v>
      </c>
      <c r="X28" s="24">
        <f>A28</f>
        <v>-155.71535987376399</v>
      </c>
      <c r="Y28" s="22">
        <f>VLOOKUP(ROUNDDOWN(X28,0),'Spline Pre-Adj'!F:G,2,0)</f>
        <v>0</v>
      </c>
      <c r="Z28" s="22">
        <f>Y28*L28</f>
        <v>0</v>
      </c>
      <c r="AC28" s="24"/>
      <c r="AE28" s="22"/>
    </row>
    <row r="29" spans="1:50" s="23" customFormat="1" x14ac:dyDescent="0.25">
      <c r="A29" s="21">
        <f t="shared" ref="A29:A46" si="9">K4</f>
        <v>-134.802538155684</v>
      </c>
      <c r="B29" s="28">
        <f t="shared" si="5"/>
        <v>8.44430589E-3</v>
      </c>
      <c r="C29" s="29" t="str">
        <f t="shared" si="4"/>
        <v>03:-150--125</v>
      </c>
      <c r="D29" s="22">
        <f t="shared" ref="D29" si="10">E4</f>
        <v>2.3918024984046101E-4</v>
      </c>
      <c r="E29" s="22">
        <f t="shared" ref="E29:E46" si="11">Z4+AA4+AB4+AC4+AD4</f>
        <v>1.888282432210512E-3</v>
      </c>
      <c r="F29" s="28">
        <f t="shared" ref="F29:F47" si="12">D29/E29</f>
        <v>0.12666550604957194</v>
      </c>
      <c r="G29" s="29">
        <f t="shared" ref="G29:G47" si="13">(1-(1-D29)^12)*100</f>
        <v>0.28663903320231832</v>
      </c>
      <c r="H29" s="29">
        <f t="shared" ref="H29:H47" si="14">(1-(1-E29)^12)*100</f>
        <v>2.2425533849930734</v>
      </c>
      <c r="K29" s="21">
        <v>0.75</v>
      </c>
      <c r="L29" s="21">
        <v>1</v>
      </c>
      <c r="M29" s="21">
        <v>1</v>
      </c>
      <c r="N29" s="22">
        <f t="shared" si="7"/>
        <v>1.488339254811897E-3</v>
      </c>
      <c r="O29" s="29">
        <f t="shared" ref="O29:O47" si="15">100*(1-(1-N29)^12)</f>
        <v>1.7714593805986056</v>
      </c>
      <c r="P29" s="30">
        <f t="shared" si="8"/>
        <v>0.16070277597474888</v>
      </c>
      <c r="R29" s="23">
        <v>-200</v>
      </c>
      <c r="S29" s="24">
        <f>A29</f>
        <v>-134.802538155684</v>
      </c>
      <c r="T29" s="22">
        <f>VLOOKUP(ROUNDDOWN(S29,0),'Spline Pre-Adj'!A:B,2,0)</f>
        <v>0.95169665599999997</v>
      </c>
      <c r="U29" s="22">
        <f>T29*K29</f>
        <v>0.71377249199999993</v>
      </c>
      <c r="Y29" s="22"/>
      <c r="Z29" s="22"/>
      <c r="AE29" s="22"/>
    </row>
    <row r="30" spans="1:50" s="23" customFormat="1" x14ac:dyDescent="0.25">
      <c r="A30" s="21">
        <f t="shared" si="9"/>
        <v>-109.734812778546</v>
      </c>
      <c r="B30" s="28">
        <f t="shared" si="5"/>
        <v>3.200143439E-2</v>
      </c>
      <c r="C30" s="29" t="str">
        <f t="shared" si="4"/>
        <v>04:-125--100</v>
      </c>
      <c r="D30" s="22">
        <f t="shared" ref="D30" si="16">E5</f>
        <v>6.6210362543973997E-4</v>
      </c>
      <c r="E30" s="22">
        <f t="shared" si="11"/>
        <v>3.0637213269287551E-3</v>
      </c>
      <c r="F30" s="28">
        <f t="shared" si="12"/>
        <v>0.21611091701459334</v>
      </c>
      <c r="G30" s="29">
        <f t="shared" si="13"/>
        <v>0.79163741061688553</v>
      </c>
      <c r="H30" s="29">
        <f t="shared" si="14"/>
        <v>3.6151437493394778</v>
      </c>
      <c r="K30" s="21">
        <v>0.75</v>
      </c>
      <c r="L30" s="21">
        <v>1</v>
      </c>
      <c r="M30" s="21">
        <v>1</v>
      </c>
      <c r="N30" s="22">
        <f t="shared" si="7"/>
        <v>2.6169448137664201E-3</v>
      </c>
      <c r="O30" s="29">
        <f t="shared" si="15"/>
        <v>3.0955263050631565</v>
      </c>
      <c r="P30" s="30">
        <f t="shared" si="8"/>
        <v>0.25300633851992155</v>
      </c>
      <c r="S30" s="24">
        <f t="shared" ref="S30:S31" si="17">A30</f>
        <v>-109.734812778546</v>
      </c>
      <c r="T30" s="22">
        <f>VLOOKUP(ROUNDDOWN(S30,0),'Spline Pre-Adj'!A:B,2,0)</f>
        <v>1.016004106</v>
      </c>
      <c r="U30" s="22">
        <f t="shared" ref="U30:U31" si="18">T30*K30</f>
        <v>0.76200307950000001</v>
      </c>
      <c r="W30" s="23">
        <v>-150</v>
      </c>
      <c r="X30" s="24">
        <f>A30</f>
        <v>-109.734812778546</v>
      </c>
      <c r="Y30" s="22">
        <f>VLOOKUP(ROUNDDOWN(X30,0),'Spline Pre-Adj'!F:G,2,0)</f>
        <v>0</v>
      </c>
      <c r="Z30" s="22">
        <f t="shared" ref="Z30:Z45" si="19">Y30*L30</f>
        <v>0</v>
      </c>
      <c r="AE30" s="22"/>
    </row>
    <row r="31" spans="1:50" s="23" customFormat="1" x14ac:dyDescent="0.25">
      <c r="A31" s="21">
        <f t="shared" si="9"/>
        <v>-82.890223279164502</v>
      </c>
      <c r="B31" s="28">
        <f t="shared" si="5"/>
        <v>0.23661905759999999</v>
      </c>
      <c r="C31" s="29" t="str">
        <f t="shared" si="4"/>
        <v>05:-100--75</v>
      </c>
      <c r="D31" s="22">
        <f t="shared" ref="D31" si="20">E6</f>
        <v>2.994998033957E-3</v>
      </c>
      <c r="E31" s="22">
        <f t="shared" si="11"/>
        <v>3.7248021802945008E-3</v>
      </c>
      <c r="F31" s="28">
        <f t="shared" si="12"/>
        <v>0.80406901869892078</v>
      </c>
      <c r="G31" s="29">
        <f t="shared" si="13"/>
        <v>3.5353826234500896</v>
      </c>
      <c r="H31" s="29">
        <f t="shared" si="14"/>
        <v>4.3793206723892091</v>
      </c>
      <c r="K31" s="21">
        <v>0.75</v>
      </c>
      <c r="L31" s="21">
        <v>1</v>
      </c>
      <c r="M31" s="21">
        <v>1</v>
      </c>
      <c r="N31" s="22">
        <f t="shared" ref="N31:N44" si="21">Z6+AA6+AB6*K31+AC6*L31+AD6*M31</f>
        <v>3.2995365664008338E-3</v>
      </c>
      <c r="O31" s="29">
        <f t="shared" si="15"/>
        <v>3.8883745102320622</v>
      </c>
      <c r="P31" s="30">
        <f t="shared" si="8"/>
        <v>0.90770263450178179</v>
      </c>
      <c r="S31" s="24">
        <f t="shared" si="17"/>
        <v>-82.890223279164502</v>
      </c>
      <c r="T31" s="22">
        <f>VLOOKUP(ROUNDDOWN(S31,0),'Spline Pre-Adj'!A:B,2,0)</f>
        <v>1.141723072</v>
      </c>
      <c r="U31" s="22">
        <f t="shared" si="18"/>
        <v>0.856292304</v>
      </c>
      <c r="X31" s="9">
        <f t="shared" ref="X31:X45" si="22">A31</f>
        <v>-82.890223279164502</v>
      </c>
      <c r="Y31" s="8">
        <f>VLOOKUP(ROUNDDOWN(X31,0),'Spline Pre-Adj'!F:G,2,0)</f>
        <v>3.7519520013150301E-2</v>
      </c>
      <c r="Z31" s="8">
        <f t="shared" si="19"/>
        <v>3.7519520013150301E-2</v>
      </c>
      <c r="AE31" s="22"/>
    </row>
    <row r="32" spans="1:50" s="18" customFormat="1" x14ac:dyDescent="0.25">
      <c r="A32" s="14">
        <f t="shared" si="9"/>
        <v>-57.293498820956799</v>
      </c>
      <c r="B32" s="15">
        <f t="shared" si="5"/>
        <v>3.2158009119800002</v>
      </c>
      <c r="C32" s="16" t="str">
        <f t="shared" si="4"/>
        <v>06:-75--50</v>
      </c>
      <c r="D32" s="17">
        <f t="shared" ref="D32" si="23">E7</f>
        <v>1.7980784740109601E-3</v>
      </c>
      <c r="E32" s="17">
        <f t="shared" si="11"/>
        <v>2.1785292594025283E-3</v>
      </c>
      <c r="F32" s="15">
        <f t="shared" si="12"/>
        <v>0.82536347228317297</v>
      </c>
      <c r="G32" s="16">
        <f t="shared" si="13"/>
        <v>2.1364831775106174</v>
      </c>
      <c r="H32" s="16">
        <f t="shared" si="14"/>
        <v>2.5831379320609194</v>
      </c>
      <c r="K32" s="4">
        <v>0.75</v>
      </c>
      <c r="L32" s="4">
        <v>1</v>
      </c>
      <c r="M32" s="4">
        <v>1</v>
      </c>
      <c r="N32" s="8">
        <f t="shared" si="21"/>
        <v>1.795814786295791E-3</v>
      </c>
      <c r="O32" s="16">
        <f t="shared" si="15"/>
        <v>2.1338199664009294</v>
      </c>
      <c r="P32" s="19">
        <f t="shared" si="8"/>
        <v>1.0012605351801553</v>
      </c>
      <c r="R32" s="18">
        <v>-100</v>
      </c>
      <c r="S32" s="20">
        <f t="shared" ref="S32:S37" si="24">A32</f>
        <v>-57.293498820956799</v>
      </c>
      <c r="T32" s="17">
        <f>VLOOKUP(ROUNDDOWN(S32,0),'Spline Pre-Adj'!A:B,2,0)</f>
        <v>1.276980872</v>
      </c>
      <c r="U32" s="17">
        <f t="shared" ref="U32:U37" si="25">T32*K32</f>
        <v>0.95773565399999994</v>
      </c>
      <c r="X32" s="9">
        <f t="shared" si="22"/>
        <v>-57.293498820956799</v>
      </c>
      <c r="Y32" s="8">
        <f>VLOOKUP(ROUNDDOWN(X32,0),'Spline Pre-Adj'!F:G,2,0)</f>
        <v>0.183833391304348</v>
      </c>
      <c r="Z32" s="8">
        <f t="shared" si="19"/>
        <v>0.183833391304348</v>
      </c>
      <c r="AB32" s="18">
        <v>-116</v>
      </c>
      <c r="AC32" s="20">
        <f t="shared" ref="AC32:AC43" si="26">A32</f>
        <v>-57.293498820956799</v>
      </c>
      <c r="AD32" s="17">
        <f>VLOOKUP(ROUNDDOWN(AC32,0),'Spline Pre-Adj'!K:L,2,0)</f>
        <v>0</v>
      </c>
      <c r="AE32" s="17">
        <f t="shared" ref="AE32:AE43" si="27">AD32*M32</f>
        <v>0</v>
      </c>
    </row>
    <row r="33" spans="1:31" x14ac:dyDescent="0.25">
      <c r="A33" s="4">
        <f t="shared" si="9"/>
        <v>-33.228194347884497</v>
      </c>
      <c r="B33" s="3">
        <f t="shared" si="5"/>
        <v>37.469276645129995</v>
      </c>
      <c r="C33" s="2" t="str">
        <f t="shared" si="4"/>
        <v>07:-50--25</v>
      </c>
      <c r="D33" s="8">
        <f t="shared" ref="D33" si="28">E8</f>
        <v>1.9264865212697401E-3</v>
      </c>
      <c r="E33" s="8">
        <f t="shared" si="11"/>
        <v>3.1827295427339182E-3</v>
      </c>
      <c r="F33" s="3">
        <f t="shared" si="12"/>
        <v>0.60529381947261418</v>
      </c>
      <c r="G33" s="2">
        <f t="shared" si="13"/>
        <v>2.2874455307716923</v>
      </c>
      <c r="H33" s="2">
        <f t="shared" si="14"/>
        <v>3.7531232201040821</v>
      </c>
      <c r="K33" s="4">
        <v>0.75</v>
      </c>
      <c r="L33" s="4">
        <v>1</v>
      </c>
      <c r="M33" s="4">
        <v>0.32</v>
      </c>
      <c r="N33" s="8">
        <f t="shared" si="21"/>
        <v>1.9309011824378355E-3</v>
      </c>
      <c r="O33" s="2">
        <f t="shared" si="15"/>
        <v>2.2926318099796394</v>
      </c>
      <c r="P33" s="7">
        <f t="shared" si="8"/>
        <v>0.99771367835482816</v>
      </c>
      <c r="S33" s="9">
        <f t="shared" si="24"/>
        <v>-33.228194347884497</v>
      </c>
      <c r="T33" s="8">
        <f>VLOOKUP(ROUNDDOWN(S33,0),'Spline Pre-Adj'!A:B,2,0)</f>
        <v>1.2869999999999999</v>
      </c>
      <c r="U33" s="8">
        <f t="shared" si="25"/>
        <v>0.96524999999999994</v>
      </c>
      <c r="W33">
        <v>-92</v>
      </c>
      <c r="X33" s="9">
        <f t="shared" si="22"/>
        <v>-33.228194347884497</v>
      </c>
      <c r="Y33" s="8">
        <f>VLOOKUP(ROUNDDOWN(X33,0),'Spline Pre-Adj'!F:G,2,0)</f>
        <v>0.30615060763888902</v>
      </c>
      <c r="Z33" s="8">
        <f t="shared" si="19"/>
        <v>0.30615060763888902</v>
      </c>
      <c r="AC33" s="9">
        <f t="shared" si="26"/>
        <v>-33.228194347884497</v>
      </c>
      <c r="AD33" s="8">
        <f>VLOOKUP(ROUNDDOWN(AC33,0),'Spline Pre-Adj'!K:L,2,0)</f>
        <v>0.39387319081357403</v>
      </c>
      <c r="AE33" s="8">
        <f t="shared" si="27"/>
        <v>0.12603942106034369</v>
      </c>
    </row>
    <row r="34" spans="1:31" x14ac:dyDescent="0.25">
      <c r="A34" s="4">
        <f t="shared" si="9"/>
        <v>-10.7013698878008</v>
      </c>
      <c r="B34" s="3">
        <f t="shared" si="5"/>
        <v>167.44064385335997</v>
      </c>
      <c r="C34" s="2" t="str">
        <f t="shared" si="4"/>
        <v>08:-25-0</v>
      </c>
      <c r="D34" s="8">
        <f t="shared" ref="D34" si="29">E9</f>
        <v>4.7867314075002798E-3</v>
      </c>
      <c r="E34" s="8">
        <f t="shared" si="11"/>
        <v>6.7325417637024935E-3</v>
      </c>
      <c r="F34" s="3">
        <f t="shared" si="12"/>
        <v>0.71098428728763874</v>
      </c>
      <c r="G34" s="2">
        <f t="shared" si="13"/>
        <v>5.595240338632534</v>
      </c>
      <c r="H34" s="2">
        <f t="shared" si="14"/>
        <v>7.786504188355881</v>
      </c>
      <c r="K34" s="4">
        <v>0.75</v>
      </c>
      <c r="L34" s="4">
        <v>1</v>
      </c>
      <c r="M34" s="4">
        <v>0.67</v>
      </c>
      <c r="N34" s="8">
        <f t="shared" si="21"/>
        <v>4.7704466815088418E-3</v>
      </c>
      <c r="O34" s="2">
        <f t="shared" si="15"/>
        <v>5.5767016709136534</v>
      </c>
      <c r="P34" s="7">
        <f t="shared" si="8"/>
        <v>1.0034136690080953</v>
      </c>
      <c r="R34">
        <v>-50</v>
      </c>
      <c r="S34" s="9">
        <f t="shared" si="24"/>
        <v>-10.7013698878008</v>
      </c>
      <c r="T34" s="8">
        <f>VLOOKUP(ROUNDDOWN(S34,0),'Spline Pre-Adj'!A:B,2,0)</f>
        <v>1.2869999999999999</v>
      </c>
      <c r="U34" s="8">
        <f t="shared" si="25"/>
        <v>0.96524999999999994</v>
      </c>
      <c r="W34">
        <v>-69</v>
      </c>
      <c r="X34" s="9">
        <f t="shared" si="22"/>
        <v>-10.7013698878008</v>
      </c>
      <c r="Y34" s="8">
        <f>VLOOKUP(ROUNDDOWN(X34,0),'Spline Pre-Adj'!F:G,2,0)</f>
        <v>0.50716095652173898</v>
      </c>
      <c r="Z34" s="8">
        <f t="shared" si="19"/>
        <v>0.50716095652173898</v>
      </c>
      <c r="AB34">
        <v>-51</v>
      </c>
      <c r="AC34" s="9">
        <f t="shared" si="26"/>
        <v>-10.7013698878008</v>
      </c>
      <c r="AD34" s="8">
        <f>VLOOKUP(ROUNDDOWN(AC34,0),'Spline Pre-Adj'!K:L,2,0)</f>
        <v>1.12945976419159</v>
      </c>
      <c r="AE34" s="8">
        <f t="shared" si="27"/>
        <v>0.75673804200836536</v>
      </c>
    </row>
    <row r="35" spans="1:31" x14ac:dyDescent="0.25">
      <c r="A35" s="4">
        <f t="shared" si="9"/>
        <v>13.714314830516599</v>
      </c>
      <c r="B35" s="3">
        <f t="shared" si="5"/>
        <v>297.74455551412001</v>
      </c>
      <c r="C35" s="2" t="str">
        <f t="shared" si="4"/>
        <v>09:0-25</v>
      </c>
      <c r="D35" s="8">
        <f t="shared" ref="D35" si="30">E10</f>
        <v>1.52265357923716E-2</v>
      </c>
      <c r="E35" s="8">
        <f t="shared" si="11"/>
        <v>1.2678439292730943E-2</v>
      </c>
      <c r="F35" s="3">
        <f t="shared" si="12"/>
        <v>1.2009787199203283</v>
      </c>
      <c r="G35" s="2">
        <f t="shared" si="13"/>
        <v>16.816718182171876</v>
      </c>
      <c r="H35" s="2">
        <f t="shared" si="14"/>
        <v>14.196806390594052</v>
      </c>
      <c r="K35" s="4">
        <v>0.75</v>
      </c>
      <c r="L35" s="4">
        <v>1</v>
      </c>
      <c r="M35" s="4">
        <v>1.33</v>
      </c>
      <c r="N35" s="8">
        <f t="shared" si="21"/>
        <v>1.5222336895926565E-2</v>
      </c>
      <c r="O35" s="2">
        <f t="shared" si="15"/>
        <v>16.812461940223244</v>
      </c>
      <c r="P35" s="7">
        <f t="shared" si="8"/>
        <v>1.0002758378344758</v>
      </c>
      <c r="R35">
        <v>-35</v>
      </c>
      <c r="S35" s="9">
        <f t="shared" si="24"/>
        <v>13.714314830516599</v>
      </c>
      <c r="T35" s="8">
        <f>VLOOKUP(ROUNDDOWN(S35,0),'Spline Pre-Adj'!A:B,2,0)</f>
        <v>1.2869999999999999</v>
      </c>
      <c r="U35" s="8">
        <f t="shared" si="25"/>
        <v>0.96524999999999994</v>
      </c>
      <c r="W35">
        <v>-44</v>
      </c>
      <c r="X35" s="9">
        <f t="shared" si="22"/>
        <v>13.714314830516599</v>
      </c>
      <c r="Y35" s="8">
        <f>VLOOKUP(ROUNDDOWN(X35,0),'Spline Pre-Adj'!F:G,2,0)</f>
        <v>0.93625960915717799</v>
      </c>
      <c r="Z35" s="8">
        <f t="shared" si="19"/>
        <v>0.93625960915717799</v>
      </c>
      <c r="AC35" s="9">
        <f t="shared" si="26"/>
        <v>13.714314830516599</v>
      </c>
      <c r="AD35" s="8">
        <f>VLOOKUP(ROUNDDOWN(AC35,0),'Spline Pre-Adj'!K:L,2,0)</f>
        <v>1.66381445856873</v>
      </c>
      <c r="AE35" s="8">
        <f t="shared" si="27"/>
        <v>2.2128732298964109</v>
      </c>
    </row>
    <row r="36" spans="1:31" x14ac:dyDescent="0.25">
      <c r="A36" s="4">
        <f t="shared" si="9"/>
        <v>37.351224691526397</v>
      </c>
      <c r="B36" s="3">
        <f t="shared" si="5"/>
        <v>378.72748560732003</v>
      </c>
      <c r="C36" s="2" t="str">
        <f t="shared" si="4"/>
        <v>10:25-50</v>
      </c>
      <c r="D36" s="8">
        <f t="shared" ref="D36" si="31">E11</f>
        <v>2.5835218839960698E-2</v>
      </c>
      <c r="E36" s="8">
        <f t="shared" si="11"/>
        <v>2.0319973183207048E-2</v>
      </c>
      <c r="F36" s="3">
        <f t="shared" si="12"/>
        <v>1.2714199279215384</v>
      </c>
      <c r="G36" s="2">
        <f t="shared" si="13"/>
        <v>26.955235303417524</v>
      </c>
      <c r="H36" s="2">
        <f t="shared" si="14"/>
        <v>21.835231180068305</v>
      </c>
      <c r="K36" s="4">
        <v>0.75</v>
      </c>
      <c r="L36" s="4">
        <v>1</v>
      </c>
      <c r="M36" s="4">
        <v>1.37</v>
      </c>
      <c r="N36" s="8">
        <f t="shared" si="21"/>
        <v>2.5819887194028772E-2</v>
      </c>
      <c r="O36" s="2">
        <f t="shared" si="15"/>
        <v>26.941438950666154</v>
      </c>
      <c r="P36" s="7">
        <f t="shared" si="8"/>
        <v>1.0005937921345942</v>
      </c>
      <c r="R36">
        <v>0</v>
      </c>
      <c r="S36" s="9">
        <f t="shared" si="24"/>
        <v>37.351224691526397</v>
      </c>
      <c r="T36" s="8">
        <f>VLOOKUP(ROUNDDOWN(S36,0),'Spline Pre-Adj'!A:B,2,0)</f>
        <v>1.2869999999999999</v>
      </c>
      <c r="U36" s="8">
        <f t="shared" si="25"/>
        <v>0.96524999999999994</v>
      </c>
      <c r="W36">
        <v>-20</v>
      </c>
      <c r="X36" s="9">
        <f t="shared" si="22"/>
        <v>37.351224691526397</v>
      </c>
      <c r="Y36" s="8">
        <f>VLOOKUP(ROUNDDOWN(X36,0),'Spline Pre-Adj'!F:G,2,0)</f>
        <v>1.89537379409471</v>
      </c>
      <c r="Z36" s="8">
        <f t="shared" si="19"/>
        <v>1.89537379409471</v>
      </c>
      <c r="AB36">
        <v>-16</v>
      </c>
      <c r="AC36" s="9">
        <f t="shared" si="26"/>
        <v>37.351224691526397</v>
      </c>
      <c r="AD36" s="8">
        <f>VLOOKUP(ROUNDDOWN(AC36,0),'Spline Pre-Adj'!K:L,2,0)</f>
        <v>2.4264029166777901</v>
      </c>
      <c r="AE36" s="8">
        <f t="shared" si="27"/>
        <v>3.3241719958485727</v>
      </c>
    </row>
    <row r="37" spans="1:31" x14ac:dyDescent="0.25">
      <c r="A37" s="4">
        <f t="shared" si="9"/>
        <v>63.015946979401498</v>
      </c>
      <c r="B37" s="3">
        <f t="shared" si="5"/>
        <v>364.27900256371998</v>
      </c>
      <c r="C37" s="2" t="str">
        <f t="shared" si="4"/>
        <v>11:50-75</v>
      </c>
      <c r="D37" s="8">
        <f t="shared" ref="D37" si="32">E12</f>
        <v>3.4089680700331797E-2</v>
      </c>
      <c r="E37" s="8">
        <f t="shared" si="11"/>
        <v>2.8372753004766379E-2</v>
      </c>
      <c r="F37" s="3">
        <f t="shared" si="12"/>
        <v>1.2014935841652385</v>
      </c>
      <c r="G37" s="2">
        <f t="shared" si="13"/>
        <v>34.045919421507961</v>
      </c>
      <c r="H37" s="2">
        <f t="shared" si="14"/>
        <v>29.206037604518542</v>
      </c>
      <c r="K37" s="4">
        <v>0.75</v>
      </c>
      <c r="L37" s="4">
        <v>1</v>
      </c>
      <c r="M37" s="4">
        <v>1.27</v>
      </c>
      <c r="N37" s="8">
        <f t="shared" si="21"/>
        <v>3.4102482502683509E-2</v>
      </c>
      <c r="O37" s="2">
        <f t="shared" si="15"/>
        <v>34.056408215868672</v>
      </c>
      <c r="P37" s="7">
        <f t="shared" si="8"/>
        <v>0.9996246079049903</v>
      </c>
      <c r="S37" s="9">
        <f t="shared" si="24"/>
        <v>63.015946979401498</v>
      </c>
      <c r="T37" s="8">
        <f>VLOOKUP(ROUNDDOWN(S37,0),'Spline Pre-Adj'!A:B,2,0)</f>
        <v>1.2869999999999999</v>
      </c>
      <c r="U37" s="8">
        <f t="shared" si="25"/>
        <v>0.96524999999999994</v>
      </c>
      <c r="W37">
        <v>5</v>
      </c>
      <c r="X37" s="9">
        <f t="shared" si="22"/>
        <v>63.015946979401498</v>
      </c>
      <c r="Y37" s="8">
        <f>VLOOKUP(ROUNDDOWN(X37,0),'Spline Pre-Adj'!F:G,2,0)</f>
        <v>3.4374613236676899</v>
      </c>
      <c r="Z37" s="8">
        <f t="shared" si="19"/>
        <v>3.4374613236676899</v>
      </c>
      <c r="AB37">
        <v>19</v>
      </c>
      <c r="AC37" s="9">
        <f t="shared" si="26"/>
        <v>63.015946979401498</v>
      </c>
      <c r="AD37" s="8">
        <f>VLOOKUP(ROUNDDOWN(AC37,0),'Spline Pre-Adj'!K:L,2,0)</f>
        <v>3.38971993926679</v>
      </c>
      <c r="AE37" s="8">
        <f t="shared" si="27"/>
        <v>4.3049443228688231</v>
      </c>
    </row>
    <row r="38" spans="1:31" x14ac:dyDescent="0.25">
      <c r="A38" s="4">
        <f t="shared" si="9"/>
        <v>86.521419189998596</v>
      </c>
      <c r="B38" s="3">
        <f t="shared" si="5"/>
        <v>335.44695340841997</v>
      </c>
      <c r="C38" s="2" t="str">
        <f t="shared" si="4"/>
        <v>12:75-100</v>
      </c>
      <c r="D38" s="8">
        <f t="shared" ref="D38" si="33">E13</f>
        <v>4.0495712751441398E-2</v>
      </c>
      <c r="E38" s="8">
        <f t="shared" si="11"/>
        <v>3.4537430480655891E-2</v>
      </c>
      <c r="F38" s="3">
        <f t="shared" si="12"/>
        <v>1.1725166634536606</v>
      </c>
      <c r="G38" s="2">
        <f t="shared" si="13"/>
        <v>39.107607927814833</v>
      </c>
      <c r="H38" s="2">
        <f t="shared" si="14"/>
        <v>34.411863346615313</v>
      </c>
      <c r="K38" s="4">
        <v>0.75</v>
      </c>
      <c r="L38" s="4">
        <v>1</v>
      </c>
      <c r="M38" s="4">
        <v>1.22</v>
      </c>
      <c r="N38" s="8">
        <f t="shared" si="21"/>
        <v>4.0252896058238639E-2</v>
      </c>
      <c r="O38" s="2">
        <f t="shared" si="15"/>
        <v>38.922433732331939</v>
      </c>
      <c r="P38" s="7">
        <f t="shared" si="8"/>
        <v>1.0060322788415383</v>
      </c>
      <c r="R38">
        <v>50</v>
      </c>
      <c r="S38" s="9">
        <f>A38</f>
        <v>86.521419189998596</v>
      </c>
      <c r="T38" s="8">
        <f>VLOOKUP(ROUNDDOWN(S38,0),'Spline Pre-Adj'!A:B,2,0)</f>
        <v>1.2869999999999999</v>
      </c>
      <c r="U38" s="8">
        <f>T38*K38</f>
        <v>0.96524999999999994</v>
      </c>
      <c r="W38">
        <v>28</v>
      </c>
      <c r="X38" s="9">
        <f t="shared" si="22"/>
        <v>86.521419189998596</v>
      </c>
      <c r="Y38" s="8">
        <f>VLOOKUP(ROUNDDOWN(X38,0),'Spline Pre-Adj'!F:G,2,0)</f>
        <v>4.7646640542534699</v>
      </c>
      <c r="Z38" s="8">
        <f t="shared" si="19"/>
        <v>4.7646640542534699</v>
      </c>
      <c r="AC38" s="9">
        <f t="shared" si="26"/>
        <v>86.521419189998596</v>
      </c>
      <c r="AD38" s="8">
        <f>VLOOKUP(ROUNDDOWN(AC38,0),'Spline Pre-Adj'!K:L,2,0)</f>
        <v>4.1191352784208304</v>
      </c>
      <c r="AE38" s="8">
        <f t="shared" si="27"/>
        <v>5.0253450396734127</v>
      </c>
    </row>
    <row r="39" spans="1:31" x14ac:dyDescent="0.25">
      <c r="A39" s="4">
        <f t="shared" si="9"/>
        <v>112.436974258131</v>
      </c>
      <c r="B39" s="3">
        <f t="shared" si="5"/>
        <v>259.61572946200999</v>
      </c>
      <c r="C39" s="2" t="str">
        <f t="shared" si="4"/>
        <v>13:100-125</v>
      </c>
      <c r="D39" s="8">
        <f t="shared" ref="D39" si="34">E14</f>
        <v>4.3610081742913302E-2</v>
      </c>
      <c r="E39" s="8">
        <f t="shared" si="11"/>
        <v>3.9001227329708121E-2</v>
      </c>
      <c r="F39" s="3">
        <f t="shared" si="12"/>
        <v>1.1181720353116813</v>
      </c>
      <c r="G39" s="2">
        <f t="shared" si="13"/>
        <v>41.437464370555318</v>
      </c>
      <c r="H39" s="2">
        <f t="shared" si="14"/>
        <v>37.959684719940256</v>
      </c>
      <c r="K39" s="4">
        <v>0.75</v>
      </c>
      <c r="L39" s="4">
        <v>1</v>
      </c>
      <c r="M39" s="4">
        <v>1.17</v>
      </c>
      <c r="N39" s="8">
        <f t="shared" si="21"/>
        <v>4.3805257794951494E-2</v>
      </c>
      <c r="O39" s="2">
        <f t="shared" si="15"/>
        <v>41.580717875539086</v>
      </c>
      <c r="P39" s="7">
        <f t="shared" si="8"/>
        <v>0.99554446059987156</v>
      </c>
      <c r="W39">
        <v>54</v>
      </c>
      <c r="X39" s="9">
        <f t="shared" si="22"/>
        <v>112.436974258131</v>
      </c>
      <c r="Y39" s="8">
        <f>VLOOKUP(ROUNDDOWN(X39,0),'Spline Pre-Adj'!F:G,2,0)</f>
        <v>6.2750975705599998</v>
      </c>
      <c r="Z39" s="8">
        <f t="shared" si="19"/>
        <v>6.2750975705599998</v>
      </c>
      <c r="AC39" s="9">
        <f t="shared" si="26"/>
        <v>112.436974258131</v>
      </c>
      <c r="AD39" s="8">
        <f>VLOOKUP(ROUNDDOWN(AC39,0),'Spline Pre-Adj'!K:L,2,0)</f>
        <v>4.75215670710576</v>
      </c>
      <c r="AE39" s="8">
        <f t="shared" si="27"/>
        <v>5.5600233473137388</v>
      </c>
    </row>
    <row r="40" spans="1:31" x14ac:dyDescent="0.25">
      <c r="A40" s="4">
        <f t="shared" si="9"/>
        <v>135.67619516426799</v>
      </c>
      <c r="B40" s="3">
        <f t="shared" si="5"/>
        <v>171.20702870145001</v>
      </c>
      <c r="C40" s="2" t="str">
        <f t="shared" si="4"/>
        <v>14:125-150</v>
      </c>
      <c r="D40" s="8">
        <f t="shared" ref="D40" si="35">E15</f>
        <v>4.55986151073631E-2</v>
      </c>
      <c r="E40" s="8">
        <f t="shared" si="11"/>
        <v>4.2623496996925504E-2</v>
      </c>
      <c r="F40" s="3">
        <f t="shared" si="12"/>
        <v>1.0697999535479736</v>
      </c>
      <c r="G40" s="2">
        <f t="shared" si="13"/>
        <v>42.882034447067184</v>
      </c>
      <c r="H40" s="2">
        <f t="shared" si="14"/>
        <v>40.708399724884579</v>
      </c>
      <c r="K40" s="4">
        <v>0.75</v>
      </c>
      <c r="L40" s="4">
        <v>1</v>
      </c>
      <c r="M40" s="4">
        <v>1.1100000000000001</v>
      </c>
      <c r="N40" s="8">
        <f t="shared" si="21"/>
        <v>4.578548828047891E-2</v>
      </c>
      <c r="O40" s="2">
        <f t="shared" si="15"/>
        <v>43.016095378859568</v>
      </c>
      <c r="P40" s="7">
        <f t="shared" si="8"/>
        <v>0.99591850649334479</v>
      </c>
      <c r="W40">
        <v>79</v>
      </c>
      <c r="X40" s="9">
        <f t="shared" si="22"/>
        <v>135.67619516426799</v>
      </c>
      <c r="Y40" s="8">
        <f>VLOOKUP(ROUNDDOWN(X40,0),'Spline Pre-Adj'!F:G,2,0)</f>
        <v>7.6782094614435499</v>
      </c>
      <c r="Z40" s="8">
        <f t="shared" si="19"/>
        <v>7.6782094614435499</v>
      </c>
      <c r="AB40">
        <v>84</v>
      </c>
      <c r="AC40" s="9">
        <f t="shared" si="26"/>
        <v>135.67619516426799</v>
      </c>
      <c r="AD40" s="8">
        <f>VLOOKUP(ROUNDDOWN(AC40,0),'Spline Pre-Adj'!K:L,2,0)</f>
        <v>5.2241824620250199</v>
      </c>
      <c r="AE40" s="8">
        <f t="shared" si="27"/>
        <v>5.7988425328477726</v>
      </c>
    </row>
    <row r="41" spans="1:31" x14ac:dyDescent="0.25">
      <c r="A41" s="4">
        <f t="shared" si="9"/>
        <v>160.95501366301301</v>
      </c>
      <c r="B41" s="3">
        <f t="shared" si="5"/>
        <v>67.552921491320006</v>
      </c>
      <c r="C41" s="2" t="str">
        <f t="shared" si="4"/>
        <v>15:150-175</v>
      </c>
      <c r="D41" s="8">
        <f t="shared" ref="D41" si="36">E16</f>
        <v>4.4897653559653097E-2</v>
      </c>
      <c r="E41" s="8">
        <f t="shared" si="11"/>
        <v>4.3536817443441907E-2</v>
      </c>
      <c r="F41" s="3">
        <f t="shared" si="12"/>
        <v>1.0312571335279395</v>
      </c>
      <c r="G41" s="2">
        <f t="shared" si="13"/>
        <v>42.37659144695516</v>
      </c>
      <c r="H41" s="2">
        <f t="shared" si="14"/>
        <v>41.383607449821113</v>
      </c>
      <c r="K41" s="4">
        <v>0.75</v>
      </c>
      <c r="L41" s="4">
        <v>1</v>
      </c>
      <c r="M41" s="4">
        <v>1.06</v>
      </c>
      <c r="N41" s="8">
        <f t="shared" si="21"/>
        <v>4.4809323258985526E-2</v>
      </c>
      <c r="O41" s="2">
        <f t="shared" si="15"/>
        <v>42.312608991276122</v>
      </c>
      <c r="P41" s="7">
        <f t="shared" si="8"/>
        <v>1.0019712482636045</v>
      </c>
      <c r="W41">
        <v>103</v>
      </c>
      <c r="X41" s="9">
        <f t="shared" si="22"/>
        <v>160.95501366301301</v>
      </c>
      <c r="Y41" s="8">
        <f>VLOOKUP(ROUNDDOWN(X41,0),'Spline Pre-Adj'!F:G,2,0)</f>
        <v>8.7434835551418502</v>
      </c>
      <c r="Z41" s="8">
        <f t="shared" si="19"/>
        <v>8.7434835551418502</v>
      </c>
      <c r="AC41" s="9">
        <f t="shared" si="26"/>
        <v>160.95501366301301</v>
      </c>
      <c r="AD41" s="8">
        <f>VLOOKUP(ROUNDDOWN(AC41,0),'Spline Pre-Adj'!K:L,2,0)</f>
        <v>5.6662697466415004</v>
      </c>
      <c r="AE41" s="8">
        <f t="shared" si="27"/>
        <v>6.0062459314399907</v>
      </c>
    </row>
    <row r="42" spans="1:31" x14ac:dyDescent="0.25">
      <c r="A42" s="4">
        <f t="shared" si="9"/>
        <v>183.8749947606</v>
      </c>
      <c r="B42" s="3">
        <f t="shared" si="5"/>
        <v>20.78891245973</v>
      </c>
      <c r="C42" s="2" t="str">
        <f t="shared" si="4"/>
        <v>16:175-200</v>
      </c>
      <c r="D42" s="8">
        <f t="shared" ref="D42" si="37">E17</f>
        <v>4.2986549053528902E-2</v>
      </c>
      <c r="E42" s="8">
        <f t="shared" si="11"/>
        <v>4.3906709155413434E-2</v>
      </c>
      <c r="F42" s="3">
        <f t="shared" si="12"/>
        <v>0.97904283605889231</v>
      </c>
      <c r="G42" s="2">
        <f t="shared" si="13"/>
        <v>40.977649254849361</v>
      </c>
      <c r="H42" s="2">
        <f t="shared" si="14"/>
        <v>41.65505325647311</v>
      </c>
      <c r="K42" s="4">
        <v>0.75</v>
      </c>
      <c r="L42" s="4">
        <v>1</v>
      </c>
      <c r="M42" s="4">
        <v>1</v>
      </c>
      <c r="N42" s="8">
        <f t="shared" si="21"/>
        <v>4.2915279644654823E-2</v>
      </c>
      <c r="O42" s="2">
        <f t="shared" si="15"/>
        <v>40.924882455374622</v>
      </c>
      <c r="P42" s="7">
        <f t="shared" si="8"/>
        <v>1.001660700092466</v>
      </c>
      <c r="W42">
        <v>128</v>
      </c>
      <c r="X42" s="9">
        <f t="shared" si="22"/>
        <v>183.8749947606</v>
      </c>
      <c r="Y42" s="8">
        <f>VLOOKUP(ROUNDDOWN(X42,0),'Spline Pre-Adj'!F:G,2,0)</f>
        <v>8.8912890705385497</v>
      </c>
      <c r="Z42" s="8">
        <f t="shared" si="19"/>
        <v>8.8912890705385497</v>
      </c>
      <c r="AC42" s="9">
        <f t="shared" si="26"/>
        <v>183.8749947606</v>
      </c>
      <c r="AD42" s="8">
        <f>VLOOKUP(ROUNDDOWN(AC42,0),'Spline Pre-Adj'!K:L,2,0)</f>
        <v>6.0276934430763003</v>
      </c>
      <c r="AE42" s="8">
        <f t="shared" si="27"/>
        <v>6.0276934430763003</v>
      </c>
    </row>
    <row r="43" spans="1:31" s="18" customFormat="1" x14ac:dyDescent="0.25">
      <c r="A43" s="14">
        <f>K18</f>
        <v>209.46184725144801</v>
      </c>
      <c r="B43" s="15">
        <f t="shared" si="5"/>
        <v>3.4789336637199999</v>
      </c>
      <c r="C43" s="16" t="str">
        <f t="shared" si="4"/>
        <v>17:200-225</v>
      </c>
      <c r="D43" s="17">
        <f>E18</f>
        <v>4.0382322071301303E-2</v>
      </c>
      <c r="E43" s="17">
        <f t="shared" si="11"/>
        <v>4.1157684908849766E-2</v>
      </c>
      <c r="F43" s="15">
        <f>D43/E43</f>
        <v>0.98116116493758998</v>
      </c>
      <c r="G43" s="16">
        <f t="shared" si="13"/>
        <v>39.021199317708103</v>
      </c>
      <c r="H43" s="16">
        <f t="shared" si="14"/>
        <v>39.609823083650156</v>
      </c>
      <c r="K43" s="14">
        <v>0.75</v>
      </c>
      <c r="L43" s="14">
        <v>1</v>
      </c>
      <c r="M43" s="14">
        <v>1.01</v>
      </c>
      <c r="N43" s="17">
        <f t="shared" si="21"/>
        <v>4.0474610570255587E-2</v>
      </c>
      <c r="O43" s="16">
        <f t="shared" si="15"/>
        <v>39.091535656976617</v>
      </c>
      <c r="P43" s="19">
        <f t="shared" si="8"/>
        <v>0.99771984220097465</v>
      </c>
      <c r="W43" s="18">
        <v>152</v>
      </c>
      <c r="X43" s="20">
        <f t="shared" si="22"/>
        <v>209.46184725144801</v>
      </c>
      <c r="Y43" s="17">
        <f>VLOOKUP(ROUNDDOWN(X43,0),'Spline Pre-Adj'!F:G,2,0)</f>
        <v>8.9</v>
      </c>
      <c r="Z43" s="17">
        <f t="shared" si="19"/>
        <v>8.9</v>
      </c>
      <c r="AC43" s="26">
        <f t="shared" si="26"/>
        <v>209.46184725144801</v>
      </c>
      <c r="AD43" s="25">
        <f>VLOOKUP(ROUNDDOWN(AC43,0),'Spline Pre-Adj'!K:L,2,0)</f>
        <v>6.3657668913125001</v>
      </c>
      <c r="AE43" s="25">
        <f t="shared" si="27"/>
        <v>6.429424560225625</v>
      </c>
    </row>
    <row r="44" spans="1:31" s="23" customFormat="1" x14ac:dyDescent="0.25">
      <c r="A44" s="21">
        <f t="shared" si="9"/>
        <v>233.69307781447901</v>
      </c>
      <c r="B44" s="28">
        <f t="shared" si="5"/>
        <v>0.69189035129999998</v>
      </c>
      <c r="C44" s="29" t="str">
        <f t="shared" si="4"/>
        <v>18:225-250</v>
      </c>
      <c r="D44" s="22">
        <f t="shared" ref="D44" si="38">E19</f>
        <v>3.68231552349551E-2</v>
      </c>
      <c r="E44" s="22">
        <f t="shared" si="11"/>
        <v>3.9683969411138054E-2</v>
      </c>
      <c r="F44" s="28">
        <f t="shared" si="12"/>
        <v>0.92791008009949705</v>
      </c>
      <c r="G44" s="29">
        <f t="shared" si="13"/>
        <v>36.251143249721515</v>
      </c>
      <c r="H44" s="29">
        <f t="shared" si="14"/>
        <v>38.486541761493484</v>
      </c>
      <c r="K44" s="21">
        <v>0.75</v>
      </c>
      <c r="L44" s="21">
        <v>1</v>
      </c>
      <c r="M44" s="21">
        <v>1</v>
      </c>
      <c r="N44" s="22">
        <f t="shared" si="21"/>
        <v>3.8658114953126849E-2</v>
      </c>
      <c r="O44" s="29">
        <f t="shared" si="15"/>
        <v>37.693353672580443</v>
      </c>
      <c r="P44" s="30">
        <f t="shared" si="8"/>
        <v>0.95253364732355295</v>
      </c>
      <c r="W44" s="23">
        <v>197</v>
      </c>
      <c r="X44" s="24">
        <f t="shared" si="22"/>
        <v>233.69307781447901</v>
      </c>
      <c r="Y44" s="22">
        <f>VLOOKUP(ROUNDDOWN(X44,0),'Spline Pre-Adj'!F:G,2,0)</f>
        <v>8.9</v>
      </c>
      <c r="Z44" s="22">
        <f t="shared" si="19"/>
        <v>8.9</v>
      </c>
      <c r="AB44" s="23">
        <v>184</v>
      </c>
      <c r="AC44" s="24">
        <f>A44</f>
        <v>233.69307781447901</v>
      </c>
      <c r="AD44" s="22">
        <f>VLOOKUP(ROUNDDOWN(AC44,0),'Spline Pre-Adj'!K:L,2,0)</f>
        <v>6.6052587481674401</v>
      </c>
      <c r="AE44" s="22">
        <f>AD44*M44</f>
        <v>6.6052587481674401</v>
      </c>
    </row>
    <row r="45" spans="1:31" s="23" customFormat="1" x14ac:dyDescent="0.25">
      <c r="A45" s="21">
        <f t="shared" si="9"/>
        <v>270.639175904252</v>
      </c>
      <c r="B45" s="28">
        <f t="shared" si="5"/>
        <v>0.13507929572999999</v>
      </c>
      <c r="C45" s="29" t="str">
        <f t="shared" si="4"/>
        <v>999:&gt;= 250</v>
      </c>
      <c r="D45" s="22">
        <f t="shared" ref="D45" si="39">E20</f>
        <v>5.1209607135789197E-2</v>
      </c>
      <c r="E45" s="22">
        <f t="shared" si="11"/>
        <v>3.8318233440315298E-2</v>
      </c>
      <c r="F45" s="28">
        <f t="shared" si="12"/>
        <v>1.336429228021526</v>
      </c>
      <c r="G45" s="29">
        <f t="shared" si="13"/>
        <v>46.783863409153547</v>
      </c>
      <c r="H45" s="29">
        <f t="shared" si="14"/>
        <v>37.42849757965503</v>
      </c>
      <c r="K45" s="21">
        <v>0.75</v>
      </c>
      <c r="L45" s="21">
        <v>1</v>
      </c>
      <c r="M45" s="21">
        <v>1</v>
      </c>
      <c r="N45" s="22">
        <f t="shared" si="7"/>
        <v>3.7231578193575469E-2</v>
      </c>
      <c r="O45" s="29">
        <f t="shared" si="15"/>
        <v>36.574770547593495</v>
      </c>
      <c r="P45" s="30">
        <f t="shared" si="8"/>
        <v>1.375434768559602</v>
      </c>
      <c r="W45" s="23">
        <v>217</v>
      </c>
      <c r="X45" s="24">
        <f t="shared" si="22"/>
        <v>270.639175904252</v>
      </c>
      <c r="Y45" s="22">
        <f>VLOOKUP(ROUNDDOWN(X45,0),'Spline Pre-Adj'!F:G,2,0)</f>
        <v>8.9</v>
      </c>
      <c r="Z45" s="22">
        <f t="shared" si="19"/>
        <v>8.9</v>
      </c>
      <c r="AC45" s="24">
        <f>A45</f>
        <v>270.639175904252</v>
      </c>
      <c r="AD45" s="22">
        <f>VLOOKUP(ROUNDDOWN(AC45,0),'Spline Pre-Adj'!K:L,2,0)</f>
        <v>6.9314420666471399</v>
      </c>
      <c r="AE45" s="22">
        <f>AD45*M45</f>
        <v>6.9314420666471399</v>
      </c>
    </row>
  </sheetData>
  <conditionalFormatting sqref="AQ2:AQ20">
    <cfRule type="dataBar" priority="4">
      <dataBar>
        <cfvo type="min"/>
        <cfvo type="max"/>
        <color rgb="FF638EC6"/>
      </dataBar>
      <extLst>
        <ext xmlns:x14="http://schemas.microsoft.com/office/spreadsheetml/2009/9/main" uri="{B025F937-C7B1-47D3-B67F-A62EFF666E3E}">
          <x14:id>{7F887866-3709-4557-B367-E276FB81D8F0}</x14:id>
        </ext>
      </extLst>
    </cfRule>
  </conditionalFormatting>
  <conditionalFormatting sqref="F33:F43">
    <cfRule type="colorScale" priority="2">
      <colorScale>
        <cfvo type="min"/>
        <cfvo type="num" val="1"/>
        <cfvo type="max"/>
        <color rgb="FFF8696B"/>
        <color theme="0"/>
        <color theme="4"/>
      </colorScale>
    </cfRule>
  </conditionalFormatting>
  <conditionalFormatting sqref="P33:P43">
    <cfRule type="colorScale" priority="1">
      <colorScale>
        <cfvo type="min"/>
        <cfvo type="num" val="1"/>
        <cfvo type="max"/>
        <color rgb="FFF8696B"/>
        <color theme="0"/>
        <color theme="4"/>
      </colorScale>
    </cfRule>
  </conditionalFormatting>
  <conditionalFormatting sqref="B28:B45">
    <cfRule type="dataBar" priority="5">
      <dataBar>
        <cfvo type="min"/>
        <cfvo type="max"/>
        <color rgb="FF638EC6"/>
      </dataBar>
      <extLst>
        <ext xmlns:x14="http://schemas.microsoft.com/office/spreadsheetml/2009/9/main" uri="{B025F937-C7B1-47D3-B67F-A62EFF666E3E}">
          <x14:id>{3BB78279-90DE-4177-B88A-2B785057A913}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AQ2:AQ20</xm:sqref>
        </x14:conditionalFormatting>
        <x14:conditionalFormatting xmlns:xm="http://schemas.microsoft.com/office/excel/2006/main">
          <x14:cfRule type="dataBar" id="{3BB78279-90DE-4177-B88A-2B785057A913}">
            <x14:dataBar minLength="0" maxLength="100" border="1" negativeBarBorderColorSameAsPositive="0">
              <x14:cfvo type="autoMin"/>
              <x14:cfvo type="autoMax"/>
              <x14:borderColor rgb="FF638EC6"/>
              <x14:negativeFillColor rgb="FFFF0000"/>
              <x14:negativeBorderColor rgb="FFFF0000"/>
              <x14:axisColor rgb="FF000000"/>
            </x14:dataBar>
          </x14:cfRule>
          <xm:sqref>B28:B45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I50" sqref="I50"/>
    </sheetView>
  </sheetViews>
  <sheetFormatPr defaultRowHeight="15" x14ac:dyDescent="0.25"/>
  <sheetData>
    <row r="1" spans="1:12" x14ac:dyDescent="0.25">
      <c r="A1" s="13" t="s">
        <v>112</v>
      </c>
      <c r="B1" t="s">
        <v>113</v>
      </c>
      <c r="F1" s="13" t="s">
        <v>112</v>
      </c>
      <c r="G1" t="s">
        <v>111</v>
      </c>
      <c r="K1" s="13" t="s">
        <v>112</v>
      </c>
      <c r="L1" t="s">
        <v>114</v>
      </c>
    </row>
    <row r="3" spans="1:12" x14ac:dyDescent="0.25">
      <c r="A3" s="13" t="s">
        <v>108</v>
      </c>
      <c r="B3" t="s">
        <v>109</v>
      </c>
      <c r="F3" s="13" t="s">
        <v>108</v>
      </c>
      <c r="G3" t="s">
        <v>109</v>
      </c>
      <c r="K3" s="13" t="s">
        <v>108</v>
      </c>
      <c r="L3" t="s">
        <v>109</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110</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110</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110</v>
      </c>
      <c r="B915" s="12">
        <v>0.92777098243689093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Distribution of data</vt:lpstr>
      <vt:lpstr>Baseline</vt:lpstr>
      <vt:lpstr>Spline Pre-Adj</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2018-08-27T18:16:19Z</dcterms:modified>
</cp:coreProperties>
</file>